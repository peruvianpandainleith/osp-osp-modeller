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kapsarcksa.sharepoint.com/teams/EMI-EMI-EnergyMarketInsights/Shared Documents/EMI/10. Projects/OSPs/Model/"/>
    </mc:Choice>
  </mc:AlternateContent>
  <xr:revisionPtr revIDLastSave="1774" documentId="8_{F7C5E470-00E6-4350-961A-D2E624FFB163}" xr6:coauthVersionLast="47" xr6:coauthVersionMax="47" xr10:uidLastSave="{B27C771C-2526-4F72-958D-7DCC3D819E92}"/>
  <bookViews>
    <workbookView xWindow="-108" yWindow="-108" windowWidth="41496" windowHeight="16896" tabRatio="920" activeTab="9" xr2:uid="{CE00232A-9F5A-4EA2-8B97-36CEAC1C2F48}"/>
  </bookViews>
  <sheets>
    <sheet name="Modelling Architecture" sheetId="1" r:id="rId1"/>
    <sheet name="Arablight OSP" sheetId="2" r:id="rId2"/>
    <sheet name="Arabmedlight" sheetId="3" r:id="rId3"/>
    <sheet name="OSP Med-Light spread" sheetId="9" r:id="rId4"/>
    <sheet name="Qatar Marine FOB" sheetId="8" r:id="rId5"/>
    <sheet name="Runs - Platts" sheetId="7" r:id="rId6"/>
    <sheet name="Exports MoE" sheetId="6" r:id="rId7"/>
    <sheet name="Dubai-alight asia mgn" sheetId="15" r:id="rId8"/>
    <sheet name="HCU_BVU_HSFO - FO CRACK" sheetId="5" r:id="rId9"/>
    <sheet name="Arabxltlight" sheetId="4" r:id="rId10"/>
    <sheet name="Arabxltlight_2" sheetId="31" r:id="rId11"/>
    <sheet name="ArabXlt-LT diff" sheetId="11" r:id="rId12"/>
    <sheet name="Murban diff Dubai" sheetId="13" r:id="rId13"/>
    <sheet name="Naphtha crack Dubai" sheetId="17" r:id="rId14"/>
    <sheet name="Arabhvylight" sheetId="19" r:id="rId15"/>
    <sheet name="OSP Hvy-light spread" sheetId="20" r:id="rId16"/>
    <sheet name="Arabhvy v med sour X" sheetId="22" r:id="rId17"/>
    <sheet name="Basrah Medium v OSP" sheetId="27" r:id="rId18"/>
    <sheet name="URALS" sheetId="30" r:id="rId19"/>
    <sheet name="Notes" sheetId="18" r:id="rId20"/>
  </sheets>
  <externalReferences>
    <externalReference r:id="rId21"/>
  </externalReferences>
  <definedNames>
    <definedName name="curve_IDs">[1]CurveCodes!$B$10:INDEX([1]CurveCodes!$B$10:$B$5000, COUNTA([1]CurveCodes!$C$10:$C$5000))</definedName>
    <definedName name="frequencies">[1]Filters!$B$10:$B$15</definedName>
    <definedName name="months">[1]Filters!$C$10:$C$29</definedName>
    <definedName name="quarters">[1]Filters!$D$10:$D$18</definedName>
    <definedName name="selected_frequency_relative">[1]Results!$C$18</definedName>
    <definedName name="weeks">[1]Filters!$F$10:$F$17</definedName>
    <definedName name="years">[1]Filters!$E$10:$E$13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 i="4" l="1"/>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J76" i="31"/>
  <c r="G76" i="31"/>
  <c r="F76" i="31"/>
  <c r="B75" i="31"/>
  <c r="B74" i="31"/>
  <c r="B73" i="31"/>
  <c r="B72" i="31"/>
  <c r="B71" i="31"/>
  <c r="B70" i="31"/>
  <c r="B69" i="31"/>
  <c r="B68" i="31"/>
  <c r="B67" i="31"/>
  <c r="B66" i="31"/>
  <c r="B65" i="31"/>
  <c r="B64" i="31"/>
  <c r="B63" i="31"/>
  <c r="B62" i="31"/>
  <c r="B61" i="31"/>
  <c r="B60" i="31"/>
  <c r="B59" i="31"/>
  <c r="B58" i="31"/>
  <c r="B57" i="31"/>
  <c r="B56" i="31"/>
  <c r="B55" i="31"/>
  <c r="B54" i="31"/>
  <c r="B53" i="31"/>
  <c r="B52" i="31"/>
  <c r="B51" i="31"/>
  <c r="B50" i="31"/>
  <c r="B49" i="31"/>
  <c r="B48" i="31"/>
  <c r="B47" i="31"/>
  <c r="B46" i="31"/>
  <c r="B45" i="31"/>
  <c r="B44" i="31"/>
  <c r="B43" i="31"/>
  <c r="B42" i="31"/>
  <c r="B41" i="31"/>
  <c r="B40" i="31"/>
  <c r="B39" i="31"/>
  <c r="B38" i="31"/>
  <c r="B37" i="31"/>
  <c r="B36" i="31"/>
  <c r="B35" i="31"/>
  <c r="B34" i="31"/>
  <c r="B33" i="31"/>
  <c r="B32" i="31"/>
  <c r="B31" i="31"/>
  <c r="B30" i="31"/>
  <c r="B29" i="31"/>
  <c r="B28" i="31"/>
  <c r="B27" i="31"/>
  <c r="B26" i="31"/>
  <c r="B25" i="31"/>
  <c r="B24" i="31"/>
  <c r="B23" i="31"/>
  <c r="B22" i="31"/>
  <c r="B21" i="31"/>
  <c r="B20" i="31"/>
  <c r="B19" i="31"/>
  <c r="B18" i="31"/>
  <c r="B17" i="31"/>
  <c r="B16" i="31"/>
  <c r="B15" i="31"/>
  <c r="B14" i="31"/>
  <c r="B13" i="31"/>
  <c r="B12" i="31"/>
  <c r="B11" i="31"/>
  <c r="B10" i="31"/>
  <c r="B9" i="31"/>
  <c r="B8" i="31"/>
  <c r="B7" i="31"/>
  <c r="B6" i="31"/>
  <c r="B5" i="31"/>
  <c r="B4" i="31"/>
  <c r="B3" i="31"/>
  <c r="B2" i="31"/>
  <c r="G74" i="30"/>
  <c r="G50" i="30"/>
  <c r="G38" i="30"/>
  <c r="G26" i="30"/>
  <c r="G14" i="30"/>
  <c r="D778" i="30"/>
  <c r="C778" i="30"/>
  <c r="D777" i="30"/>
  <c r="C777" i="30"/>
  <c r="D776" i="30"/>
  <c r="C776" i="30"/>
  <c r="D775" i="30"/>
  <c r="C775" i="30"/>
  <c r="D774" i="30"/>
  <c r="C774" i="30"/>
  <c r="D773" i="30"/>
  <c r="C773" i="30"/>
  <c r="D772" i="30"/>
  <c r="C772" i="30"/>
  <c r="D771" i="30"/>
  <c r="C771" i="30"/>
  <c r="D770" i="30"/>
  <c r="C770" i="30"/>
  <c r="D769" i="30"/>
  <c r="C769" i="30"/>
  <c r="D768" i="30"/>
  <c r="C768" i="30"/>
  <c r="D767" i="30"/>
  <c r="C767" i="30"/>
  <c r="D766" i="30"/>
  <c r="C766" i="30"/>
  <c r="D765" i="30"/>
  <c r="C765" i="30"/>
  <c r="D764" i="30"/>
  <c r="C764" i="30"/>
  <c r="D763" i="30"/>
  <c r="C763" i="30"/>
  <c r="D762" i="30"/>
  <c r="C762" i="30"/>
  <c r="D761" i="30"/>
  <c r="C761" i="30"/>
  <c r="D760" i="30"/>
  <c r="C760" i="30"/>
  <c r="D759" i="30"/>
  <c r="C759" i="30"/>
  <c r="D758" i="30"/>
  <c r="C758" i="30"/>
  <c r="D757" i="30"/>
  <c r="C757" i="30"/>
  <c r="D756" i="30"/>
  <c r="C756" i="30"/>
  <c r="D755" i="30"/>
  <c r="C755" i="30"/>
  <c r="D754" i="30"/>
  <c r="C754" i="30"/>
  <c r="D753" i="30"/>
  <c r="C753" i="30"/>
  <c r="D752" i="30"/>
  <c r="C752" i="30"/>
  <c r="D751" i="30"/>
  <c r="C751" i="30"/>
  <c r="D750" i="30"/>
  <c r="C750" i="30"/>
  <c r="D749" i="30"/>
  <c r="C749" i="30"/>
  <c r="D748" i="30"/>
  <c r="C748" i="30"/>
  <c r="D747" i="30"/>
  <c r="C747" i="30"/>
  <c r="D746" i="30"/>
  <c r="C746" i="30"/>
  <c r="D745" i="30"/>
  <c r="C745" i="30"/>
  <c r="D744" i="30"/>
  <c r="C744" i="30"/>
  <c r="D743" i="30"/>
  <c r="C743" i="30"/>
  <c r="D742" i="30"/>
  <c r="C742" i="30"/>
  <c r="D741" i="30"/>
  <c r="C741" i="30"/>
  <c r="D740" i="30"/>
  <c r="C740" i="30"/>
  <c r="D739" i="30"/>
  <c r="C739" i="30"/>
  <c r="D738" i="30"/>
  <c r="C738" i="30"/>
  <c r="D737" i="30"/>
  <c r="C737" i="30"/>
  <c r="D736" i="30"/>
  <c r="C736" i="30"/>
  <c r="D735" i="30"/>
  <c r="C735" i="30"/>
  <c r="D734" i="30"/>
  <c r="C734" i="30"/>
  <c r="D733" i="30"/>
  <c r="C733" i="30"/>
  <c r="D732" i="30"/>
  <c r="C732" i="30"/>
  <c r="D731" i="30"/>
  <c r="C731" i="30"/>
  <c r="D730" i="30"/>
  <c r="C730" i="30"/>
  <c r="D729" i="30"/>
  <c r="C729" i="30"/>
  <c r="D728" i="30"/>
  <c r="C728" i="30"/>
  <c r="D727" i="30"/>
  <c r="C727" i="30"/>
  <c r="D726" i="30"/>
  <c r="C726" i="30"/>
  <c r="D725" i="30"/>
  <c r="C725" i="30"/>
  <c r="D724" i="30"/>
  <c r="C724" i="30"/>
  <c r="D723" i="30"/>
  <c r="C723" i="30"/>
  <c r="D722" i="30"/>
  <c r="C722" i="30"/>
  <c r="D721" i="30"/>
  <c r="C721" i="30"/>
  <c r="D720" i="30"/>
  <c r="C720" i="30"/>
  <c r="D719" i="30"/>
  <c r="C719" i="30"/>
  <c r="D718" i="30"/>
  <c r="C718" i="30"/>
  <c r="D717" i="30"/>
  <c r="C717" i="30"/>
  <c r="D716" i="30"/>
  <c r="C716" i="30"/>
  <c r="D715" i="30"/>
  <c r="C715" i="30"/>
  <c r="D714" i="30"/>
  <c r="C714" i="30"/>
  <c r="D713" i="30"/>
  <c r="C713" i="30"/>
  <c r="D712" i="30"/>
  <c r="C712" i="30"/>
  <c r="D711" i="30"/>
  <c r="C711" i="30"/>
  <c r="D710" i="30"/>
  <c r="C710" i="30"/>
  <c r="D709" i="30"/>
  <c r="C709" i="30"/>
  <c r="D708" i="30"/>
  <c r="C708" i="30"/>
  <c r="D707" i="30"/>
  <c r="C707" i="30"/>
  <c r="D706" i="30"/>
  <c r="C706" i="30"/>
  <c r="D705" i="30"/>
  <c r="C705" i="30"/>
  <c r="D704" i="30"/>
  <c r="C704" i="30"/>
  <c r="D703" i="30"/>
  <c r="C703" i="30"/>
  <c r="D702" i="30"/>
  <c r="C702" i="30"/>
  <c r="D701" i="30"/>
  <c r="C701" i="30"/>
  <c r="D700" i="30"/>
  <c r="C700" i="30"/>
  <c r="D699" i="30"/>
  <c r="C699" i="30"/>
  <c r="D698" i="30"/>
  <c r="C698" i="30"/>
  <c r="D697" i="30"/>
  <c r="C697" i="30"/>
  <c r="D696" i="30"/>
  <c r="C696" i="30"/>
  <c r="D695" i="30"/>
  <c r="C695" i="30"/>
  <c r="D694" i="30"/>
  <c r="C694" i="30"/>
  <c r="D693" i="30"/>
  <c r="C693" i="30"/>
  <c r="D692" i="30"/>
  <c r="C692" i="30"/>
  <c r="D691" i="30"/>
  <c r="C691" i="30"/>
  <c r="D690" i="30"/>
  <c r="C690" i="30"/>
  <c r="D689" i="30"/>
  <c r="C689" i="30"/>
  <c r="D688" i="30"/>
  <c r="C688" i="30"/>
  <c r="D687" i="30"/>
  <c r="C687" i="30"/>
  <c r="D686" i="30"/>
  <c r="C686" i="30"/>
  <c r="D685" i="30"/>
  <c r="C685" i="30"/>
  <c r="D684" i="30"/>
  <c r="C684" i="30"/>
  <c r="D683" i="30"/>
  <c r="C683" i="30"/>
  <c r="D682" i="30"/>
  <c r="C682" i="30"/>
  <c r="D681" i="30"/>
  <c r="C681" i="30"/>
  <c r="D680" i="30"/>
  <c r="C680" i="30"/>
  <c r="D679" i="30"/>
  <c r="C679" i="30"/>
  <c r="D678" i="30"/>
  <c r="C678" i="30"/>
  <c r="D677" i="30"/>
  <c r="C677" i="30"/>
  <c r="D676" i="30"/>
  <c r="C676" i="30"/>
  <c r="D675" i="30"/>
  <c r="C675" i="30"/>
  <c r="D674" i="30"/>
  <c r="C674" i="30"/>
  <c r="D673" i="30"/>
  <c r="C673" i="30"/>
  <c r="D672" i="30"/>
  <c r="C672" i="30"/>
  <c r="D671" i="30"/>
  <c r="C671" i="30"/>
  <c r="D670" i="30"/>
  <c r="C670" i="30"/>
  <c r="D669" i="30"/>
  <c r="C669" i="30"/>
  <c r="D668" i="30"/>
  <c r="C668" i="30"/>
  <c r="D667" i="30"/>
  <c r="C667" i="30"/>
  <c r="D666" i="30"/>
  <c r="C666" i="30"/>
  <c r="D665" i="30"/>
  <c r="C665" i="30"/>
  <c r="D664" i="30"/>
  <c r="C664" i="30"/>
  <c r="D663" i="30"/>
  <c r="C663" i="30"/>
  <c r="D662" i="30"/>
  <c r="C662" i="30"/>
  <c r="D661" i="30"/>
  <c r="C661" i="30"/>
  <c r="D660" i="30"/>
  <c r="C660" i="30"/>
  <c r="D659" i="30"/>
  <c r="C659" i="30"/>
  <c r="D658" i="30"/>
  <c r="C658" i="30"/>
  <c r="D657" i="30"/>
  <c r="C657" i="30"/>
  <c r="D656" i="30"/>
  <c r="C656" i="30"/>
  <c r="D655" i="30"/>
  <c r="C655" i="30"/>
  <c r="D654" i="30"/>
  <c r="C654" i="30"/>
  <c r="D653" i="30"/>
  <c r="C653" i="30"/>
  <c r="D652" i="30"/>
  <c r="C652" i="30"/>
  <c r="D651" i="30"/>
  <c r="C651" i="30"/>
  <c r="D650" i="30"/>
  <c r="C650" i="30"/>
  <c r="D649" i="30"/>
  <c r="C649" i="30"/>
  <c r="D648" i="30"/>
  <c r="C648" i="30"/>
  <c r="D647" i="30"/>
  <c r="C647" i="30"/>
  <c r="D646" i="30"/>
  <c r="C646" i="30"/>
  <c r="D645" i="30"/>
  <c r="C645" i="30"/>
  <c r="D644" i="30"/>
  <c r="C644" i="30"/>
  <c r="D643" i="30"/>
  <c r="C643" i="30"/>
  <c r="D642" i="30"/>
  <c r="C642" i="30"/>
  <c r="D641" i="30"/>
  <c r="C641" i="30"/>
  <c r="D640" i="30"/>
  <c r="C640" i="30"/>
  <c r="D639" i="30"/>
  <c r="C639" i="30"/>
  <c r="D638" i="30"/>
  <c r="C638" i="30"/>
  <c r="D637" i="30"/>
  <c r="C637" i="30"/>
  <c r="D636" i="30"/>
  <c r="C636" i="30"/>
  <c r="D635" i="30"/>
  <c r="C635" i="30"/>
  <c r="D634" i="30"/>
  <c r="C634" i="30"/>
  <c r="D633" i="30"/>
  <c r="C633" i="30"/>
  <c r="D632" i="30"/>
  <c r="C632" i="30"/>
  <c r="D631" i="30"/>
  <c r="C631" i="30"/>
  <c r="D630" i="30"/>
  <c r="C630" i="30"/>
  <c r="D629" i="30"/>
  <c r="C629" i="30"/>
  <c r="D628" i="30"/>
  <c r="C628" i="30"/>
  <c r="D627" i="30"/>
  <c r="C627" i="30"/>
  <c r="D626" i="30"/>
  <c r="C626" i="30"/>
  <c r="D625" i="30"/>
  <c r="C625" i="30"/>
  <c r="D624" i="30"/>
  <c r="C624" i="30"/>
  <c r="D623" i="30"/>
  <c r="C623" i="30"/>
  <c r="D622" i="30"/>
  <c r="C622" i="30"/>
  <c r="D621" i="30"/>
  <c r="C621" i="30"/>
  <c r="D620" i="30"/>
  <c r="C620" i="30"/>
  <c r="D619" i="30"/>
  <c r="C619" i="30"/>
  <c r="D618" i="30"/>
  <c r="C618" i="30"/>
  <c r="D617" i="30"/>
  <c r="C617" i="30"/>
  <c r="D616" i="30"/>
  <c r="C616" i="30"/>
  <c r="D615" i="30"/>
  <c r="C615" i="30"/>
  <c r="D614" i="30"/>
  <c r="C614" i="30"/>
  <c r="D613" i="30"/>
  <c r="C613" i="30"/>
  <c r="D612" i="30"/>
  <c r="C612" i="30"/>
  <c r="D611" i="30"/>
  <c r="C611" i="30"/>
  <c r="D610" i="30"/>
  <c r="C610" i="30"/>
  <c r="D609" i="30"/>
  <c r="C609" i="30"/>
  <c r="D608" i="30"/>
  <c r="C608" i="30"/>
  <c r="D607" i="30"/>
  <c r="C607" i="30"/>
  <c r="D606" i="30"/>
  <c r="C606" i="30"/>
  <c r="D605" i="30"/>
  <c r="C605" i="30"/>
  <c r="D604" i="30"/>
  <c r="C604" i="30"/>
  <c r="D603" i="30"/>
  <c r="C603" i="30"/>
  <c r="D602" i="30"/>
  <c r="C602" i="30"/>
  <c r="D601" i="30"/>
  <c r="C601" i="30"/>
  <c r="D600" i="30"/>
  <c r="C600" i="30"/>
  <c r="D599" i="30"/>
  <c r="C599" i="30"/>
  <c r="D598" i="30"/>
  <c r="C598" i="30"/>
  <c r="D597" i="30"/>
  <c r="C597" i="30"/>
  <c r="D596" i="30"/>
  <c r="C596" i="30"/>
  <c r="D595" i="30"/>
  <c r="C595" i="30"/>
  <c r="D594" i="30"/>
  <c r="C594" i="30"/>
  <c r="D593" i="30"/>
  <c r="C593" i="30"/>
  <c r="D592" i="30"/>
  <c r="C592" i="30"/>
  <c r="D591" i="30"/>
  <c r="C591" i="30"/>
  <c r="D590" i="30"/>
  <c r="C590" i="30"/>
  <c r="D589" i="30"/>
  <c r="C589" i="30"/>
  <c r="D588" i="30"/>
  <c r="C588" i="30"/>
  <c r="D587" i="30"/>
  <c r="C587" i="30"/>
  <c r="D586" i="30"/>
  <c r="C586" i="30"/>
  <c r="D585" i="30"/>
  <c r="C585" i="30"/>
  <c r="D584" i="30"/>
  <c r="C584" i="30"/>
  <c r="D583" i="30"/>
  <c r="C583" i="30"/>
  <c r="D582" i="30"/>
  <c r="C582" i="30"/>
  <c r="D581" i="30"/>
  <c r="C581" i="30"/>
  <c r="D580" i="30"/>
  <c r="C580" i="30"/>
  <c r="D579" i="30"/>
  <c r="C579" i="30"/>
  <c r="D578" i="30"/>
  <c r="C578" i="30"/>
  <c r="D577" i="30"/>
  <c r="C577" i="30"/>
  <c r="D576" i="30"/>
  <c r="C576" i="30"/>
  <c r="D575" i="30"/>
  <c r="C575" i="30"/>
  <c r="D574" i="30"/>
  <c r="C574" i="30"/>
  <c r="D573" i="30"/>
  <c r="C573" i="30"/>
  <c r="D572" i="30"/>
  <c r="C572" i="30"/>
  <c r="D571" i="30"/>
  <c r="C571" i="30"/>
  <c r="D570" i="30"/>
  <c r="C570" i="30"/>
  <c r="D569" i="30"/>
  <c r="C569" i="30"/>
  <c r="D568" i="30"/>
  <c r="C568" i="30"/>
  <c r="D567" i="30"/>
  <c r="C567" i="30"/>
  <c r="D566" i="30"/>
  <c r="C566" i="30"/>
  <c r="D565" i="30"/>
  <c r="C565" i="30"/>
  <c r="D564" i="30"/>
  <c r="C564" i="30"/>
  <c r="D563" i="30"/>
  <c r="C563" i="30"/>
  <c r="D562" i="30"/>
  <c r="C562" i="30"/>
  <c r="D561" i="30"/>
  <c r="C561" i="30"/>
  <c r="D560" i="30"/>
  <c r="C560" i="30"/>
  <c r="D559" i="30"/>
  <c r="C559" i="30"/>
  <c r="D558" i="30"/>
  <c r="C558" i="30"/>
  <c r="D557" i="30"/>
  <c r="C557" i="30"/>
  <c r="D556" i="30"/>
  <c r="C556" i="30"/>
  <c r="D555" i="30"/>
  <c r="C555" i="30"/>
  <c r="D554" i="30"/>
  <c r="C554" i="30"/>
  <c r="D553" i="30"/>
  <c r="C553" i="30"/>
  <c r="D552" i="30"/>
  <c r="C552" i="30"/>
  <c r="D551" i="30"/>
  <c r="C551" i="30"/>
  <c r="D550" i="30"/>
  <c r="C550" i="30"/>
  <c r="D549" i="30"/>
  <c r="C549" i="30"/>
  <c r="D548" i="30"/>
  <c r="C548" i="30"/>
  <c r="D547" i="30"/>
  <c r="C547" i="30"/>
  <c r="D546" i="30"/>
  <c r="C546" i="30"/>
  <c r="D545" i="30"/>
  <c r="C545" i="30"/>
  <c r="D544" i="30"/>
  <c r="C544" i="30"/>
  <c r="D543" i="30"/>
  <c r="C543" i="30"/>
  <c r="D542" i="30"/>
  <c r="C542" i="30"/>
  <c r="D541" i="30"/>
  <c r="C541" i="30"/>
  <c r="D540" i="30"/>
  <c r="C540" i="30"/>
  <c r="D539" i="30"/>
  <c r="C539" i="30"/>
  <c r="D538" i="30"/>
  <c r="C538" i="30"/>
  <c r="D537" i="30"/>
  <c r="C537" i="30"/>
  <c r="D536" i="30"/>
  <c r="C536" i="30"/>
  <c r="D535" i="30"/>
  <c r="C535" i="30"/>
  <c r="D534" i="30"/>
  <c r="C534" i="30"/>
  <c r="D533" i="30"/>
  <c r="C533" i="30"/>
  <c r="D532" i="30"/>
  <c r="C532" i="30"/>
  <c r="D531" i="30"/>
  <c r="C531" i="30"/>
  <c r="D530" i="30"/>
  <c r="C530" i="30"/>
  <c r="D529" i="30"/>
  <c r="C529" i="30"/>
  <c r="D528" i="30"/>
  <c r="C528" i="30"/>
  <c r="D527" i="30"/>
  <c r="C527" i="30"/>
  <c r="D526" i="30"/>
  <c r="C526" i="30"/>
  <c r="D525" i="30"/>
  <c r="C525" i="30"/>
  <c r="D524" i="30"/>
  <c r="C524" i="30"/>
  <c r="D523" i="30"/>
  <c r="C523" i="30"/>
  <c r="D522" i="30"/>
  <c r="C522" i="30"/>
  <c r="D521" i="30"/>
  <c r="C521" i="30"/>
  <c r="D520" i="30"/>
  <c r="C520" i="30"/>
  <c r="D519" i="30"/>
  <c r="C519" i="30"/>
  <c r="D518" i="30"/>
  <c r="C518" i="30"/>
  <c r="D517" i="30"/>
  <c r="C517" i="30"/>
  <c r="D516" i="30"/>
  <c r="C516" i="30"/>
  <c r="D515" i="30"/>
  <c r="C515" i="30"/>
  <c r="D514" i="30"/>
  <c r="C514" i="30"/>
  <c r="D513" i="30"/>
  <c r="C513" i="30"/>
  <c r="D512" i="30"/>
  <c r="C512" i="30"/>
  <c r="D511" i="30"/>
  <c r="C511" i="30"/>
  <c r="D510" i="30"/>
  <c r="C510" i="30"/>
  <c r="D509" i="30"/>
  <c r="C509" i="30"/>
  <c r="D508" i="30"/>
  <c r="C508" i="30"/>
  <c r="D507" i="30"/>
  <c r="C507" i="30"/>
  <c r="D506" i="30"/>
  <c r="C506" i="30"/>
  <c r="D505" i="30"/>
  <c r="C505" i="30"/>
  <c r="D504" i="30"/>
  <c r="C504" i="30"/>
  <c r="D503" i="30"/>
  <c r="C503" i="30"/>
  <c r="D502" i="30"/>
  <c r="C502" i="30"/>
  <c r="D501" i="30"/>
  <c r="C501" i="30"/>
  <c r="D500" i="30"/>
  <c r="C500" i="30"/>
  <c r="D499" i="30"/>
  <c r="C499" i="30"/>
  <c r="D498" i="30"/>
  <c r="C498" i="30"/>
  <c r="D497" i="30"/>
  <c r="C497" i="30"/>
  <c r="D496" i="30"/>
  <c r="C496" i="30"/>
  <c r="D495" i="30"/>
  <c r="C495" i="30"/>
  <c r="D494" i="30"/>
  <c r="C494" i="30"/>
  <c r="D493" i="30"/>
  <c r="C493" i="30"/>
  <c r="D492" i="30"/>
  <c r="C492" i="30"/>
  <c r="D491" i="30"/>
  <c r="C491" i="30"/>
  <c r="D490" i="30"/>
  <c r="C490" i="30"/>
  <c r="D489" i="30"/>
  <c r="C489" i="30"/>
  <c r="D488" i="30"/>
  <c r="C488" i="30"/>
  <c r="D487" i="30"/>
  <c r="C487" i="30"/>
  <c r="D486" i="30"/>
  <c r="C486" i="30"/>
  <c r="D485" i="30"/>
  <c r="C485" i="30"/>
  <c r="D484" i="30"/>
  <c r="C484" i="30"/>
  <c r="D483" i="30"/>
  <c r="C483" i="30"/>
  <c r="D482" i="30"/>
  <c r="C482" i="30"/>
  <c r="D481" i="30"/>
  <c r="C481" i="30"/>
  <c r="D480" i="30"/>
  <c r="C480" i="30"/>
  <c r="D479" i="30"/>
  <c r="C479" i="30"/>
  <c r="D478" i="30"/>
  <c r="C478" i="30"/>
  <c r="D477" i="30"/>
  <c r="C477" i="30"/>
  <c r="D476" i="30"/>
  <c r="C476" i="30"/>
  <c r="D475" i="30"/>
  <c r="C475" i="30"/>
  <c r="D474" i="30"/>
  <c r="C474" i="30"/>
  <c r="D473" i="30"/>
  <c r="C473" i="30"/>
  <c r="D472" i="30"/>
  <c r="C472" i="30"/>
  <c r="D471" i="30"/>
  <c r="C471" i="30"/>
  <c r="D470" i="30"/>
  <c r="C470" i="30"/>
  <c r="D469" i="30"/>
  <c r="C469" i="30"/>
  <c r="D468" i="30"/>
  <c r="C468" i="30"/>
  <c r="D467" i="30"/>
  <c r="C467" i="30"/>
  <c r="D466" i="30"/>
  <c r="C466" i="30"/>
  <c r="D465" i="30"/>
  <c r="C465" i="30"/>
  <c r="D464" i="30"/>
  <c r="C464" i="30"/>
  <c r="D463" i="30"/>
  <c r="C463" i="30"/>
  <c r="D462" i="30"/>
  <c r="C462" i="30"/>
  <c r="D461" i="30"/>
  <c r="C461" i="30"/>
  <c r="D460" i="30"/>
  <c r="C460" i="30"/>
  <c r="D459" i="30"/>
  <c r="C459" i="30"/>
  <c r="D458" i="30"/>
  <c r="C458" i="30"/>
  <c r="D457" i="30"/>
  <c r="C457" i="30"/>
  <c r="D456" i="30"/>
  <c r="C456" i="30"/>
  <c r="D455" i="30"/>
  <c r="C455" i="30"/>
  <c r="D454" i="30"/>
  <c r="C454" i="30"/>
  <c r="D453" i="30"/>
  <c r="C453" i="30"/>
  <c r="D452" i="30"/>
  <c r="C452" i="30"/>
  <c r="D451" i="30"/>
  <c r="C451" i="30"/>
  <c r="D450" i="30"/>
  <c r="C450" i="30"/>
  <c r="D449" i="30"/>
  <c r="C449" i="30"/>
  <c r="D448" i="30"/>
  <c r="C448" i="30"/>
  <c r="D447" i="30"/>
  <c r="C447" i="30"/>
  <c r="D446" i="30"/>
  <c r="C446" i="30"/>
  <c r="D445" i="30"/>
  <c r="C445" i="30"/>
  <c r="D444" i="30"/>
  <c r="C444" i="30"/>
  <c r="D443" i="30"/>
  <c r="C443" i="30"/>
  <c r="D442" i="30"/>
  <c r="C442" i="30"/>
  <c r="D441" i="30"/>
  <c r="C441" i="30"/>
  <c r="D440" i="30"/>
  <c r="C440" i="30"/>
  <c r="D439" i="30"/>
  <c r="C439" i="30"/>
  <c r="D438" i="30"/>
  <c r="C438" i="30"/>
  <c r="D437" i="30"/>
  <c r="C437" i="30"/>
  <c r="D436" i="30"/>
  <c r="C436" i="30"/>
  <c r="D435" i="30"/>
  <c r="C435" i="30"/>
  <c r="D434" i="30"/>
  <c r="C434" i="30"/>
  <c r="D433" i="30"/>
  <c r="C433" i="30"/>
  <c r="D432" i="30"/>
  <c r="C432" i="30"/>
  <c r="D431" i="30"/>
  <c r="C431" i="30"/>
  <c r="D430" i="30"/>
  <c r="C430" i="30"/>
  <c r="D429" i="30"/>
  <c r="C429" i="30"/>
  <c r="D428" i="30"/>
  <c r="C428" i="30"/>
  <c r="D427" i="30"/>
  <c r="C427" i="30"/>
  <c r="D426" i="30"/>
  <c r="C426" i="30"/>
  <c r="D425" i="30"/>
  <c r="C425" i="30"/>
  <c r="D424" i="30"/>
  <c r="C424" i="30"/>
  <c r="D423" i="30"/>
  <c r="C423" i="30"/>
  <c r="D422" i="30"/>
  <c r="C422" i="30"/>
  <c r="D421" i="30"/>
  <c r="C421" i="30"/>
  <c r="D420" i="30"/>
  <c r="C420" i="30"/>
  <c r="D419" i="30"/>
  <c r="C419" i="30"/>
  <c r="D418" i="30"/>
  <c r="C418" i="30"/>
  <c r="D417" i="30"/>
  <c r="C417" i="30"/>
  <c r="D416" i="30"/>
  <c r="C416" i="30"/>
  <c r="D415" i="30"/>
  <c r="C415" i="30"/>
  <c r="D414" i="30"/>
  <c r="C414" i="30"/>
  <c r="D413" i="30"/>
  <c r="C413" i="30"/>
  <c r="D412" i="30"/>
  <c r="C412" i="30"/>
  <c r="D411" i="30"/>
  <c r="C411" i="30"/>
  <c r="D410" i="30"/>
  <c r="C410" i="30"/>
  <c r="D409" i="30"/>
  <c r="C409" i="30"/>
  <c r="D408" i="30"/>
  <c r="C408" i="30"/>
  <c r="D407" i="30"/>
  <c r="C407" i="30"/>
  <c r="D406" i="30"/>
  <c r="C406" i="30"/>
  <c r="D405" i="30"/>
  <c r="C405" i="30"/>
  <c r="D404" i="30"/>
  <c r="C404" i="30"/>
  <c r="D403" i="30"/>
  <c r="C403" i="30"/>
  <c r="D402" i="30"/>
  <c r="C402" i="30"/>
  <c r="D401" i="30"/>
  <c r="C401" i="30"/>
  <c r="D400" i="30"/>
  <c r="C400" i="30"/>
  <c r="D399" i="30"/>
  <c r="C399" i="30"/>
  <c r="D398" i="30"/>
  <c r="C398" i="30"/>
  <c r="D397" i="30"/>
  <c r="C397" i="30"/>
  <c r="D396" i="30"/>
  <c r="C396" i="30"/>
  <c r="D395" i="30"/>
  <c r="C395" i="30"/>
  <c r="D394" i="30"/>
  <c r="C394" i="30"/>
  <c r="D393" i="30"/>
  <c r="C393" i="30"/>
  <c r="D392" i="30"/>
  <c r="C392" i="30"/>
  <c r="D391" i="30"/>
  <c r="C391" i="30"/>
  <c r="D390" i="30"/>
  <c r="C390" i="30"/>
  <c r="D389" i="30"/>
  <c r="C389" i="30"/>
  <c r="D388" i="30"/>
  <c r="C388" i="30"/>
  <c r="D387" i="30"/>
  <c r="C387" i="30"/>
  <c r="D386" i="30"/>
  <c r="C386" i="30"/>
  <c r="D385" i="30"/>
  <c r="C385" i="30"/>
  <c r="D384" i="30"/>
  <c r="C384" i="30"/>
  <c r="D383" i="30"/>
  <c r="C383" i="30"/>
  <c r="D382" i="30"/>
  <c r="C382" i="30"/>
  <c r="D381" i="30"/>
  <c r="C381" i="30"/>
  <c r="D380" i="30"/>
  <c r="C380" i="30"/>
  <c r="D379" i="30"/>
  <c r="C379" i="30"/>
  <c r="D378" i="30"/>
  <c r="C378" i="30"/>
  <c r="D377" i="30"/>
  <c r="C377" i="30"/>
  <c r="D376" i="30"/>
  <c r="C376" i="30"/>
  <c r="D375" i="30"/>
  <c r="C375" i="30"/>
  <c r="D374" i="30"/>
  <c r="C374" i="30"/>
  <c r="D373" i="30"/>
  <c r="C373" i="30"/>
  <c r="D372" i="30"/>
  <c r="C372" i="30"/>
  <c r="D371" i="30"/>
  <c r="C371" i="30"/>
  <c r="D370" i="30"/>
  <c r="C370" i="30"/>
  <c r="D369" i="30"/>
  <c r="C369" i="30"/>
  <c r="D368" i="30"/>
  <c r="C368" i="30"/>
  <c r="D367" i="30"/>
  <c r="C367" i="30"/>
  <c r="D366" i="30"/>
  <c r="C366" i="30"/>
  <c r="D365" i="30"/>
  <c r="C365" i="30"/>
  <c r="D364" i="30"/>
  <c r="C364" i="30"/>
  <c r="D363" i="30"/>
  <c r="C363" i="30"/>
  <c r="D362" i="30"/>
  <c r="C362" i="30"/>
  <c r="D361" i="30"/>
  <c r="C361" i="30"/>
  <c r="D360" i="30"/>
  <c r="C360" i="30"/>
  <c r="D359" i="30"/>
  <c r="C359" i="30"/>
  <c r="D358" i="30"/>
  <c r="C358" i="30"/>
  <c r="D357" i="30"/>
  <c r="C357" i="30"/>
  <c r="D356" i="30"/>
  <c r="C356" i="30"/>
  <c r="D355" i="30"/>
  <c r="C355" i="30"/>
  <c r="D354" i="30"/>
  <c r="C354" i="30"/>
  <c r="D353" i="30"/>
  <c r="C353" i="30"/>
  <c r="D352" i="30"/>
  <c r="C352" i="30"/>
  <c r="D351" i="30"/>
  <c r="G62" i="30" s="1"/>
  <c r="C351" i="30"/>
  <c r="D350" i="30"/>
  <c r="C350" i="30"/>
  <c r="D349" i="30"/>
  <c r="C349" i="30"/>
  <c r="D348" i="30"/>
  <c r="C348" i="30"/>
  <c r="D347" i="30"/>
  <c r="C347" i="30"/>
  <c r="D346" i="30"/>
  <c r="C346" i="30"/>
  <c r="D345" i="30"/>
  <c r="C345" i="30"/>
  <c r="D344" i="30"/>
  <c r="C344" i="30"/>
  <c r="D343" i="30"/>
  <c r="C343" i="30"/>
  <c r="D342" i="30"/>
  <c r="C342" i="30"/>
  <c r="D341" i="30"/>
  <c r="C341" i="30"/>
  <c r="D340" i="30"/>
  <c r="C340" i="30"/>
  <c r="D339" i="30"/>
  <c r="C339" i="30"/>
  <c r="D338" i="30"/>
  <c r="C338" i="30"/>
  <c r="D337" i="30"/>
  <c r="C337" i="30"/>
  <c r="D336" i="30"/>
  <c r="C336" i="30"/>
  <c r="D335" i="30"/>
  <c r="C335" i="30"/>
  <c r="D334" i="30"/>
  <c r="C334" i="30"/>
  <c r="D333" i="30"/>
  <c r="C333" i="30"/>
  <c r="D332" i="30"/>
  <c r="C332" i="30"/>
  <c r="D331" i="30"/>
  <c r="C331" i="30"/>
  <c r="D330" i="30"/>
  <c r="C330" i="30"/>
  <c r="D329" i="30"/>
  <c r="C329" i="30"/>
  <c r="D328" i="30"/>
  <c r="C328" i="30"/>
  <c r="D327" i="30"/>
  <c r="C327" i="30"/>
  <c r="D326" i="30"/>
  <c r="C326" i="30"/>
  <c r="D325" i="30"/>
  <c r="C325" i="30"/>
  <c r="D324" i="30"/>
  <c r="C324" i="30"/>
  <c r="D323" i="30"/>
  <c r="C323" i="30"/>
  <c r="D322" i="30"/>
  <c r="C322" i="30"/>
  <c r="D321" i="30"/>
  <c r="C321" i="30"/>
  <c r="D320" i="30"/>
  <c r="C320" i="30"/>
  <c r="D319" i="30"/>
  <c r="C319" i="30"/>
  <c r="D318" i="30"/>
  <c r="C318" i="30"/>
  <c r="D317" i="30"/>
  <c r="C317" i="30"/>
  <c r="D316" i="30"/>
  <c r="C316" i="30"/>
  <c r="D315" i="30"/>
  <c r="C315" i="30"/>
  <c r="D314" i="30"/>
  <c r="C314" i="30"/>
  <c r="D313" i="30"/>
  <c r="C313" i="30"/>
  <c r="D312" i="30"/>
  <c r="C312" i="30"/>
  <c r="D311" i="30"/>
  <c r="C311" i="30"/>
  <c r="D310" i="30"/>
  <c r="C310" i="30"/>
  <c r="D309" i="30"/>
  <c r="C309" i="30"/>
  <c r="D308" i="30"/>
  <c r="C308" i="30"/>
  <c r="D307" i="30"/>
  <c r="C307" i="30"/>
  <c r="D306" i="30"/>
  <c r="C306" i="30"/>
  <c r="D305" i="30"/>
  <c r="C305" i="30"/>
  <c r="D304" i="30"/>
  <c r="C304" i="30"/>
  <c r="D303" i="30"/>
  <c r="C303" i="30"/>
  <c r="D302" i="30"/>
  <c r="C302" i="30"/>
  <c r="D301" i="30"/>
  <c r="C301" i="30"/>
  <c r="D300" i="30"/>
  <c r="C300" i="30"/>
  <c r="D299" i="30"/>
  <c r="C299" i="30"/>
  <c r="D298" i="30"/>
  <c r="C298" i="30"/>
  <c r="D297" i="30"/>
  <c r="C297" i="30"/>
  <c r="D296" i="30"/>
  <c r="C296" i="30"/>
  <c r="D295" i="30"/>
  <c r="C295" i="30"/>
  <c r="D294" i="30"/>
  <c r="C294" i="30"/>
  <c r="D293" i="30"/>
  <c r="C293" i="30"/>
  <c r="D292" i="30"/>
  <c r="C292" i="30"/>
  <c r="D291" i="30"/>
  <c r="C291" i="30"/>
  <c r="D290" i="30"/>
  <c r="C290" i="30"/>
  <c r="D289" i="30"/>
  <c r="C289" i="30"/>
  <c r="D288" i="30"/>
  <c r="C288" i="30"/>
  <c r="D287" i="30"/>
  <c r="C287" i="30"/>
  <c r="D286" i="30"/>
  <c r="C286" i="30"/>
  <c r="D285" i="30"/>
  <c r="C285" i="30"/>
  <c r="D284" i="30"/>
  <c r="C284" i="30"/>
  <c r="D283" i="30"/>
  <c r="C283" i="30"/>
  <c r="D282" i="30"/>
  <c r="C282" i="30"/>
  <c r="D281" i="30"/>
  <c r="C281" i="30"/>
  <c r="D280" i="30"/>
  <c r="C280" i="30"/>
  <c r="D279" i="30"/>
  <c r="C279" i="30"/>
  <c r="D278" i="30"/>
  <c r="C278" i="30"/>
  <c r="D277" i="30"/>
  <c r="C277" i="30"/>
  <c r="D276" i="30"/>
  <c r="C276" i="30"/>
  <c r="D275" i="30"/>
  <c r="C275" i="30"/>
  <c r="D274" i="30"/>
  <c r="C274" i="30"/>
  <c r="D273" i="30"/>
  <c r="C273" i="30"/>
  <c r="D272" i="30"/>
  <c r="C272" i="30"/>
  <c r="D271" i="30"/>
  <c r="C271" i="30"/>
  <c r="D270" i="30"/>
  <c r="C270" i="30"/>
  <c r="D269" i="30"/>
  <c r="C269" i="30"/>
  <c r="D268" i="30"/>
  <c r="C268" i="30"/>
  <c r="D267" i="30"/>
  <c r="C267" i="30"/>
  <c r="D266" i="30"/>
  <c r="C266" i="30"/>
  <c r="D265" i="30"/>
  <c r="C265" i="30"/>
  <c r="D264" i="30"/>
  <c r="C264" i="30"/>
  <c r="D263" i="30"/>
  <c r="C263" i="30"/>
  <c r="D262" i="30"/>
  <c r="C262" i="30"/>
  <c r="D261" i="30"/>
  <c r="C261" i="30"/>
  <c r="D260" i="30"/>
  <c r="C260" i="30"/>
  <c r="D259" i="30"/>
  <c r="C259" i="30"/>
  <c r="D258" i="30"/>
  <c r="C258" i="30"/>
  <c r="D257" i="30"/>
  <c r="C257" i="30"/>
  <c r="D256" i="30"/>
  <c r="C256" i="30"/>
  <c r="D255" i="30"/>
  <c r="C255" i="30"/>
  <c r="D254" i="30"/>
  <c r="C254" i="30"/>
  <c r="D253" i="30"/>
  <c r="C253" i="30"/>
  <c r="D252" i="30"/>
  <c r="C252" i="30"/>
  <c r="D251" i="30"/>
  <c r="C251" i="30"/>
  <c r="D250" i="30"/>
  <c r="C250" i="30"/>
  <c r="D249" i="30"/>
  <c r="C249" i="30"/>
  <c r="D248" i="30"/>
  <c r="C248" i="30"/>
  <c r="D247" i="30"/>
  <c r="C247" i="30"/>
  <c r="D246" i="30"/>
  <c r="C246" i="30"/>
  <c r="D245" i="30"/>
  <c r="C245" i="30"/>
  <c r="D244" i="30"/>
  <c r="C244" i="30"/>
  <c r="D243" i="30"/>
  <c r="C243" i="30"/>
  <c r="D242" i="30"/>
  <c r="C242" i="30"/>
  <c r="D241" i="30"/>
  <c r="C241" i="30"/>
  <c r="D240" i="30"/>
  <c r="C240" i="30"/>
  <c r="D239" i="30"/>
  <c r="C239" i="30"/>
  <c r="D238" i="30"/>
  <c r="C238" i="30"/>
  <c r="D237" i="30"/>
  <c r="C237" i="30"/>
  <c r="D236" i="30"/>
  <c r="C236" i="30"/>
  <c r="D235" i="30"/>
  <c r="C235" i="30"/>
  <c r="D234" i="30"/>
  <c r="C234" i="30"/>
  <c r="D233" i="30"/>
  <c r="C233" i="30"/>
  <c r="D232" i="30"/>
  <c r="C232" i="30"/>
  <c r="D231" i="30"/>
  <c r="C231" i="30"/>
  <c r="D230" i="30"/>
  <c r="C230" i="30"/>
  <c r="D229" i="30"/>
  <c r="C229" i="30"/>
  <c r="D228" i="30"/>
  <c r="C228" i="30"/>
  <c r="D227" i="30"/>
  <c r="C227" i="30"/>
  <c r="D226" i="30"/>
  <c r="C226" i="30"/>
  <c r="D225" i="30"/>
  <c r="C225" i="30"/>
  <c r="D224" i="30"/>
  <c r="C224" i="30"/>
  <c r="D223" i="30"/>
  <c r="C223" i="30"/>
  <c r="D222" i="30"/>
  <c r="C222" i="30"/>
  <c r="D221" i="30"/>
  <c r="C221" i="30"/>
  <c r="D220" i="30"/>
  <c r="C220" i="30"/>
  <c r="D219" i="30"/>
  <c r="C219" i="30"/>
  <c r="D218" i="30"/>
  <c r="C218" i="30"/>
  <c r="D217" i="30"/>
  <c r="C217" i="30"/>
  <c r="D216" i="30"/>
  <c r="C216" i="30"/>
  <c r="D215" i="30"/>
  <c r="C215" i="30"/>
  <c r="D214" i="30"/>
  <c r="C214" i="30"/>
  <c r="D213" i="30"/>
  <c r="C213" i="30"/>
  <c r="D212" i="30"/>
  <c r="C212" i="30"/>
  <c r="D211" i="30"/>
  <c r="C211" i="30"/>
  <c r="D210" i="30"/>
  <c r="C210" i="30"/>
  <c r="D209" i="30"/>
  <c r="C209" i="30"/>
  <c r="D208" i="30"/>
  <c r="C208" i="30"/>
  <c r="D207" i="30"/>
  <c r="C207" i="30"/>
  <c r="D206" i="30"/>
  <c r="C206" i="30"/>
  <c r="D205" i="30"/>
  <c r="C205" i="30"/>
  <c r="D204" i="30"/>
  <c r="C204" i="30"/>
  <c r="D203" i="30"/>
  <c r="C203" i="30"/>
  <c r="D202" i="30"/>
  <c r="C202" i="30"/>
  <c r="D201" i="30"/>
  <c r="C201" i="30"/>
  <c r="D200" i="30"/>
  <c r="C200" i="30"/>
  <c r="D199" i="30"/>
  <c r="C199" i="30"/>
  <c r="D198" i="30"/>
  <c r="C198" i="30"/>
  <c r="D197" i="30"/>
  <c r="C197" i="30"/>
  <c r="D196" i="30"/>
  <c r="C196" i="30"/>
  <c r="D195" i="30"/>
  <c r="C195" i="30"/>
  <c r="D194" i="30"/>
  <c r="C194" i="30"/>
  <c r="D193" i="30"/>
  <c r="C193" i="30"/>
  <c r="D192" i="30"/>
  <c r="C192" i="30"/>
  <c r="D191" i="30"/>
  <c r="C191" i="30"/>
  <c r="D190" i="30"/>
  <c r="C190" i="30"/>
  <c r="D189" i="30"/>
  <c r="C189" i="30"/>
  <c r="D188" i="30"/>
  <c r="C188" i="30"/>
  <c r="D187" i="30"/>
  <c r="C187" i="30"/>
  <c r="D186" i="30"/>
  <c r="C186" i="30"/>
  <c r="D185" i="30"/>
  <c r="C185" i="30"/>
  <c r="D184" i="30"/>
  <c r="C184" i="30"/>
  <c r="D183" i="30"/>
  <c r="C183" i="30"/>
  <c r="D182" i="30"/>
  <c r="C182" i="30"/>
  <c r="D181" i="30"/>
  <c r="C181" i="30"/>
  <c r="D180" i="30"/>
  <c r="C180" i="30"/>
  <c r="D179" i="30"/>
  <c r="C179" i="30"/>
  <c r="D178" i="30"/>
  <c r="C178" i="30"/>
  <c r="D177" i="30"/>
  <c r="C177" i="30"/>
  <c r="D176" i="30"/>
  <c r="C176" i="30"/>
  <c r="D175" i="30"/>
  <c r="C175" i="30"/>
  <c r="D174" i="30"/>
  <c r="C174" i="30"/>
  <c r="D173" i="30"/>
  <c r="C173" i="30"/>
  <c r="D172" i="30"/>
  <c r="C172" i="30"/>
  <c r="D171" i="30"/>
  <c r="C171" i="30"/>
  <c r="D170" i="30"/>
  <c r="C170" i="30"/>
  <c r="D169" i="30"/>
  <c r="C169" i="30"/>
  <c r="D168" i="30"/>
  <c r="C168" i="30"/>
  <c r="D167" i="30"/>
  <c r="C167" i="30"/>
  <c r="D166" i="30"/>
  <c r="C166" i="30"/>
  <c r="D165" i="30"/>
  <c r="C165" i="30"/>
  <c r="D164" i="30"/>
  <c r="C164" i="30"/>
  <c r="D163" i="30"/>
  <c r="C163" i="30"/>
  <c r="D162" i="30"/>
  <c r="C162" i="30"/>
  <c r="D161" i="30"/>
  <c r="C161" i="30"/>
  <c r="D160" i="30"/>
  <c r="C160" i="30"/>
  <c r="D159" i="30"/>
  <c r="C159" i="30"/>
  <c r="D158" i="30"/>
  <c r="C158" i="30"/>
  <c r="D157" i="30"/>
  <c r="C157" i="30"/>
  <c r="D156" i="30"/>
  <c r="C156" i="30"/>
  <c r="D155" i="30"/>
  <c r="C155" i="30"/>
  <c r="D154" i="30"/>
  <c r="C154" i="30"/>
  <c r="D153" i="30"/>
  <c r="C153" i="30"/>
  <c r="D152" i="30"/>
  <c r="C152" i="30"/>
  <c r="D151" i="30"/>
  <c r="C151" i="30"/>
  <c r="D150" i="30"/>
  <c r="C150" i="30"/>
  <c r="D149" i="30"/>
  <c r="C149" i="30"/>
  <c r="D148" i="30"/>
  <c r="C148" i="30"/>
  <c r="D147" i="30"/>
  <c r="C147" i="30"/>
  <c r="D146" i="30"/>
  <c r="C146" i="30"/>
  <c r="D145" i="30"/>
  <c r="C145" i="30"/>
  <c r="D144" i="30"/>
  <c r="C144" i="30"/>
  <c r="D143" i="30"/>
  <c r="C143" i="30"/>
  <c r="D142" i="30"/>
  <c r="C142" i="30"/>
  <c r="D141" i="30"/>
  <c r="C141" i="30"/>
  <c r="D140" i="30"/>
  <c r="C140" i="30"/>
  <c r="D139" i="30"/>
  <c r="C139" i="30"/>
  <c r="D138" i="30"/>
  <c r="C138" i="30"/>
  <c r="D137" i="30"/>
  <c r="C137" i="30"/>
  <c r="D136" i="30"/>
  <c r="C136" i="30"/>
  <c r="D135" i="30"/>
  <c r="C135" i="30"/>
  <c r="D134" i="30"/>
  <c r="C134" i="30"/>
  <c r="D133" i="30"/>
  <c r="C133" i="30"/>
  <c r="D132" i="30"/>
  <c r="C132" i="30"/>
  <c r="D131" i="30"/>
  <c r="C131" i="30"/>
  <c r="D130" i="30"/>
  <c r="C130" i="30"/>
  <c r="D129" i="30"/>
  <c r="C129" i="30"/>
  <c r="D128" i="30"/>
  <c r="C128" i="30"/>
  <c r="D127" i="30"/>
  <c r="C127" i="30"/>
  <c r="D126" i="30"/>
  <c r="C126" i="30"/>
  <c r="D125" i="30"/>
  <c r="C125" i="30"/>
  <c r="D124" i="30"/>
  <c r="C124" i="30"/>
  <c r="D123" i="30"/>
  <c r="C123" i="30"/>
  <c r="D122" i="30"/>
  <c r="C122" i="30"/>
  <c r="D121" i="30"/>
  <c r="C121" i="30"/>
  <c r="D120" i="30"/>
  <c r="C120" i="30"/>
  <c r="D119" i="30"/>
  <c r="C119" i="30"/>
  <c r="D118" i="30"/>
  <c r="C118" i="30"/>
  <c r="D117" i="30"/>
  <c r="C117" i="30"/>
  <c r="D116" i="30"/>
  <c r="C116" i="30"/>
  <c r="D115" i="30"/>
  <c r="C115" i="30"/>
  <c r="D114" i="30"/>
  <c r="C114" i="30"/>
  <c r="D113" i="30"/>
  <c r="C113" i="30"/>
  <c r="D112" i="30"/>
  <c r="C112" i="30"/>
  <c r="D111" i="30"/>
  <c r="C111" i="30"/>
  <c r="D110" i="30"/>
  <c r="C110" i="30"/>
  <c r="D109" i="30"/>
  <c r="C109" i="30"/>
  <c r="D108" i="30"/>
  <c r="C108" i="30"/>
  <c r="D107" i="30"/>
  <c r="C107" i="30"/>
  <c r="D106" i="30"/>
  <c r="C106" i="30"/>
  <c r="D105" i="30"/>
  <c r="C105" i="30"/>
  <c r="D104" i="30"/>
  <c r="C104" i="30"/>
  <c r="D103" i="30"/>
  <c r="C103" i="30"/>
  <c r="D102" i="30"/>
  <c r="C102" i="30"/>
  <c r="D101" i="30"/>
  <c r="C101" i="30"/>
  <c r="D100" i="30"/>
  <c r="C100" i="30"/>
  <c r="D99" i="30"/>
  <c r="C99" i="30"/>
  <c r="D98" i="30"/>
  <c r="C98" i="30"/>
  <c r="D97" i="30"/>
  <c r="C97" i="30"/>
  <c r="D96" i="30"/>
  <c r="C96" i="30"/>
  <c r="D95" i="30"/>
  <c r="C95" i="30"/>
  <c r="D94" i="30"/>
  <c r="C94" i="30"/>
  <c r="D93" i="30"/>
  <c r="C93" i="30"/>
  <c r="D92" i="30"/>
  <c r="C92" i="30"/>
  <c r="D91" i="30"/>
  <c r="C91" i="30"/>
  <c r="D90" i="30"/>
  <c r="C90" i="30"/>
  <c r="D89" i="30"/>
  <c r="C89" i="30"/>
  <c r="D88" i="30"/>
  <c r="C88" i="30"/>
  <c r="D87" i="30"/>
  <c r="C87" i="30"/>
  <c r="D86" i="30"/>
  <c r="C86" i="30"/>
  <c r="D85" i="30"/>
  <c r="C85" i="30"/>
  <c r="D84" i="30"/>
  <c r="C84" i="30"/>
  <c r="D83" i="30"/>
  <c r="C83" i="30"/>
  <c r="D82" i="30"/>
  <c r="C82" i="30"/>
  <c r="D81" i="30"/>
  <c r="C81" i="30"/>
  <c r="D80" i="30"/>
  <c r="C80" i="30"/>
  <c r="D79" i="30"/>
  <c r="C79" i="30"/>
  <c r="D78" i="30"/>
  <c r="C78" i="30"/>
  <c r="D77" i="30"/>
  <c r="C77" i="30"/>
  <c r="D76" i="30"/>
  <c r="C76" i="30"/>
  <c r="D75" i="30"/>
  <c r="C75" i="30"/>
  <c r="D74" i="30"/>
  <c r="C74" i="30"/>
  <c r="D73" i="30"/>
  <c r="C73" i="30"/>
  <c r="D72" i="30"/>
  <c r="C72" i="30"/>
  <c r="D71" i="30"/>
  <c r="C71" i="30"/>
  <c r="D70" i="30"/>
  <c r="C70" i="30"/>
  <c r="D69" i="30"/>
  <c r="C69" i="30"/>
  <c r="D68" i="30"/>
  <c r="C68" i="30"/>
  <c r="D67" i="30"/>
  <c r="C67" i="30"/>
  <c r="D66" i="30"/>
  <c r="C66" i="30"/>
  <c r="D65" i="30"/>
  <c r="C65" i="30"/>
  <c r="D64" i="30"/>
  <c r="C64" i="30"/>
  <c r="D63" i="30"/>
  <c r="C63" i="30"/>
  <c r="D62" i="30"/>
  <c r="C62" i="30"/>
  <c r="D61" i="30"/>
  <c r="C61" i="30"/>
  <c r="D60" i="30"/>
  <c r="C60" i="30"/>
  <c r="D59" i="30"/>
  <c r="C59" i="30"/>
  <c r="D58" i="30"/>
  <c r="C58" i="30"/>
  <c r="D57" i="30"/>
  <c r="C57" i="30"/>
  <c r="D56" i="30"/>
  <c r="C56" i="30"/>
  <c r="D55" i="30"/>
  <c r="C55" i="30"/>
  <c r="D54" i="30"/>
  <c r="C54" i="30"/>
  <c r="D53" i="30"/>
  <c r="C53" i="30"/>
  <c r="D52" i="30"/>
  <c r="C52" i="30"/>
  <c r="D51" i="30"/>
  <c r="C51" i="30"/>
  <c r="D50" i="30"/>
  <c r="C50" i="30"/>
  <c r="D49" i="30"/>
  <c r="C49" i="30"/>
  <c r="D48" i="30"/>
  <c r="C48" i="30"/>
  <c r="D47" i="30"/>
  <c r="C47" i="30"/>
  <c r="D46" i="30"/>
  <c r="C46" i="30"/>
  <c r="D45" i="30"/>
  <c r="C45" i="30"/>
  <c r="D44" i="30"/>
  <c r="C44" i="30"/>
  <c r="D43" i="30"/>
  <c r="C43" i="30"/>
  <c r="D42" i="30"/>
  <c r="C42" i="30"/>
  <c r="D41" i="30"/>
  <c r="C41" i="30"/>
  <c r="D40" i="30"/>
  <c r="C40" i="30"/>
  <c r="D39" i="30"/>
  <c r="C39" i="30"/>
  <c r="D38" i="30"/>
  <c r="C38" i="30"/>
  <c r="D37" i="30"/>
  <c r="C37" i="30"/>
  <c r="D36" i="30"/>
  <c r="C36" i="30"/>
  <c r="D35" i="30"/>
  <c r="C35" i="30"/>
  <c r="D34" i="30"/>
  <c r="C34" i="30"/>
  <c r="D33" i="30"/>
  <c r="C33" i="30"/>
  <c r="D32" i="30"/>
  <c r="C32" i="30"/>
  <c r="D31" i="30"/>
  <c r="C31" i="30"/>
  <c r="D30" i="30"/>
  <c r="C30" i="30"/>
  <c r="D29" i="30"/>
  <c r="C29" i="30"/>
  <c r="D28" i="30"/>
  <c r="C28" i="30"/>
  <c r="D27" i="30"/>
  <c r="C27" i="30"/>
  <c r="D26" i="30"/>
  <c r="C26" i="30"/>
  <c r="D25" i="30"/>
  <c r="C25" i="30"/>
  <c r="D24" i="30"/>
  <c r="C24" i="30"/>
  <c r="D23" i="30"/>
  <c r="C23" i="30"/>
  <c r="D22" i="30"/>
  <c r="C22" i="30"/>
  <c r="D21" i="30"/>
  <c r="C21" i="30"/>
  <c r="D20" i="30"/>
  <c r="C20" i="30"/>
  <c r="D19" i="30"/>
  <c r="C19" i="30"/>
  <c r="D18" i="30"/>
  <c r="C18" i="30"/>
  <c r="D17" i="30"/>
  <c r="C17" i="30"/>
  <c r="D16" i="30"/>
  <c r="C16" i="30"/>
  <c r="D15" i="30"/>
  <c r="C15" i="30"/>
  <c r="D14" i="30"/>
  <c r="C14" i="30"/>
  <c r="D13" i="30"/>
  <c r="C13" i="30"/>
  <c r="D12" i="30"/>
  <c r="C12" i="30"/>
  <c r="D11" i="30"/>
  <c r="C11" i="30"/>
  <c r="D10" i="30"/>
  <c r="C10" i="30"/>
  <c r="G64" i="30" s="1"/>
  <c r="D9" i="30"/>
  <c r="C9" i="30"/>
  <c r="D8" i="30"/>
  <c r="C8" i="30"/>
  <c r="D7" i="30"/>
  <c r="C7" i="30"/>
  <c r="D6" i="30"/>
  <c r="C6" i="30"/>
  <c r="D5" i="30"/>
  <c r="C5" i="30"/>
  <c r="G71" i="30" s="1"/>
  <c r="G79" i="27"/>
  <c r="G78" i="27"/>
  <c r="G77" i="27"/>
  <c r="G76" i="27"/>
  <c r="G75" i="27"/>
  <c r="G74" i="27"/>
  <c r="G73" i="27"/>
  <c r="G72" i="27"/>
  <c r="G71" i="27"/>
  <c r="G70" i="27"/>
  <c r="G69" i="27"/>
  <c r="G68" i="27"/>
  <c r="G67" i="27"/>
  <c r="G66" i="27"/>
  <c r="G65" i="27"/>
  <c r="G64" i="27"/>
  <c r="G63" i="27"/>
  <c r="G62" i="27"/>
  <c r="G61" i="27"/>
  <c r="G60" i="27"/>
  <c r="G59" i="27"/>
  <c r="G58" i="27"/>
  <c r="G57" i="27"/>
  <c r="G56" i="27"/>
  <c r="G55" i="27"/>
  <c r="G54" i="27"/>
  <c r="G53" i="27"/>
  <c r="G52" i="27"/>
  <c r="G51" i="27"/>
  <c r="G50" i="27"/>
  <c r="G49" i="27"/>
  <c r="G48" i="27"/>
  <c r="G47" i="27"/>
  <c r="G46" i="27"/>
  <c r="G45" i="27"/>
  <c r="G44" i="27"/>
  <c r="G43" i="27"/>
  <c r="G42" i="27"/>
  <c r="G41" i="27"/>
  <c r="G40" i="27"/>
  <c r="G39" i="27"/>
  <c r="G38" i="27"/>
  <c r="G37" i="27"/>
  <c r="G36" i="27"/>
  <c r="G35" i="27"/>
  <c r="G34" i="27"/>
  <c r="G33" i="27"/>
  <c r="G32" i="27"/>
  <c r="G31" i="27"/>
  <c r="G30" i="27"/>
  <c r="G29" i="27"/>
  <c r="G28" i="27"/>
  <c r="G27" i="27"/>
  <c r="G26" i="27"/>
  <c r="G25" i="27"/>
  <c r="G24" i="27"/>
  <c r="G23" i="27"/>
  <c r="G22" i="27"/>
  <c r="G21" i="27"/>
  <c r="G20" i="27"/>
  <c r="G19" i="27"/>
  <c r="G18" i="27"/>
  <c r="G17" i="27"/>
  <c r="G16" i="27"/>
  <c r="G15" i="27"/>
  <c r="G14" i="27"/>
  <c r="G13" i="27"/>
  <c r="G12" i="27"/>
  <c r="G11" i="27"/>
  <c r="G10" i="27"/>
  <c r="G9" i="27"/>
  <c r="G8" i="27"/>
  <c r="G7" i="27"/>
  <c r="G6" i="27"/>
  <c r="C5" i="27"/>
  <c r="G5" i="27"/>
  <c r="D1267" i="27"/>
  <c r="C1267" i="27"/>
  <c r="D1266" i="27"/>
  <c r="C1266" i="27"/>
  <c r="D1265" i="27"/>
  <c r="C1265" i="27"/>
  <c r="D1264" i="27"/>
  <c r="C1264" i="27"/>
  <c r="D1263" i="27"/>
  <c r="C1263" i="27"/>
  <c r="D1262" i="27"/>
  <c r="C1262" i="27"/>
  <c r="D1261" i="27"/>
  <c r="C1261" i="27"/>
  <c r="D1260" i="27"/>
  <c r="C1260" i="27"/>
  <c r="D1259" i="27"/>
  <c r="C1259" i="27"/>
  <c r="D1258" i="27"/>
  <c r="C1258" i="27"/>
  <c r="D1257" i="27"/>
  <c r="C1257" i="27"/>
  <c r="D1256" i="27"/>
  <c r="C1256" i="27"/>
  <c r="D1255" i="27"/>
  <c r="C1255" i="27"/>
  <c r="D1254" i="27"/>
  <c r="C1254" i="27"/>
  <c r="D1253" i="27"/>
  <c r="C1253" i="27"/>
  <c r="D1252" i="27"/>
  <c r="C1252" i="27"/>
  <c r="D1251" i="27"/>
  <c r="C1251" i="27"/>
  <c r="D1250" i="27"/>
  <c r="C1250" i="27"/>
  <c r="D1249" i="27"/>
  <c r="C1249" i="27"/>
  <c r="D1248" i="27"/>
  <c r="C1248" i="27"/>
  <c r="D1247" i="27"/>
  <c r="C1247" i="27"/>
  <c r="D1246" i="27"/>
  <c r="C1246" i="27"/>
  <c r="D1245" i="27"/>
  <c r="C1245" i="27"/>
  <c r="D1244" i="27"/>
  <c r="C1244" i="27"/>
  <c r="D1243" i="27"/>
  <c r="C1243" i="27"/>
  <c r="D1242" i="27"/>
  <c r="C1242" i="27"/>
  <c r="D1241" i="27"/>
  <c r="C1241" i="27"/>
  <c r="D1240" i="27"/>
  <c r="C1240" i="27"/>
  <c r="D1239" i="27"/>
  <c r="C1239" i="27"/>
  <c r="D1238" i="27"/>
  <c r="C1238" i="27"/>
  <c r="D1237" i="27"/>
  <c r="C1237" i="27"/>
  <c r="D1236" i="27"/>
  <c r="C1236" i="27"/>
  <c r="D1235" i="27"/>
  <c r="C1235" i="27"/>
  <c r="D1234" i="27"/>
  <c r="C1234" i="27"/>
  <c r="D1233" i="27"/>
  <c r="C1233" i="27"/>
  <c r="D1232" i="27"/>
  <c r="C1232" i="27"/>
  <c r="D1231" i="27"/>
  <c r="C1231" i="27"/>
  <c r="D1230" i="27"/>
  <c r="C1230" i="27"/>
  <c r="D1229" i="27"/>
  <c r="C1229" i="27"/>
  <c r="D1228" i="27"/>
  <c r="C1228" i="27"/>
  <c r="D1227" i="27"/>
  <c r="C1227" i="27"/>
  <c r="D1226" i="27"/>
  <c r="C1226" i="27"/>
  <c r="D1225" i="27"/>
  <c r="C1225" i="27"/>
  <c r="D1224" i="27"/>
  <c r="C1224" i="27"/>
  <c r="D1223" i="27"/>
  <c r="C1223" i="27"/>
  <c r="D1222" i="27"/>
  <c r="C1222" i="27"/>
  <c r="D1221" i="27"/>
  <c r="C1221" i="27"/>
  <c r="D1220" i="27"/>
  <c r="C1220" i="27"/>
  <c r="D1219" i="27"/>
  <c r="C1219" i="27"/>
  <c r="D1218" i="27"/>
  <c r="C1218" i="27"/>
  <c r="D1217" i="27"/>
  <c r="C1217" i="27"/>
  <c r="D1216" i="27"/>
  <c r="C1216" i="27"/>
  <c r="D1215" i="27"/>
  <c r="C1215" i="27"/>
  <c r="D1214" i="27"/>
  <c r="C1214" i="27"/>
  <c r="D1213" i="27"/>
  <c r="C1213" i="27"/>
  <c r="D1212" i="27"/>
  <c r="C1212" i="27"/>
  <c r="D1211" i="27"/>
  <c r="C1211" i="27"/>
  <c r="D1210" i="27"/>
  <c r="C1210" i="27"/>
  <c r="D1209" i="27"/>
  <c r="C1209" i="27"/>
  <c r="D1208" i="27"/>
  <c r="C1208" i="27"/>
  <c r="D1207" i="27"/>
  <c r="C1207" i="27"/>
  <c r="D1206" i="27"/>
  <c r="C1206" i="27"/>
  <c r="D1205" i="27"/>
  <c r="C1205" i="27"/>
  <c r="D1204" i="27"/>
  <c r="C1204" i="27"/>
  <c r="D1203" i="27"/>
  <c r="C1203" i="27"/>
  <c r="D1202" i="27"/>
  <c r="C1202" i="27"/>
  <c r="D1201" i="27"/>
  <c r="C1201" i="27"/>
  <c r="D1200" i="27"/>
  <c r="C1200" i="27"/>
  <c r="D1199" i="27"/>
  <c r="C1199" i="27"/>
  <c r="D1198" i="27"/>
  <c r="C1198" i="27"/>
  <c r="D1197" i="27"/>
  <c r="C1197" i="27"/>
  <c r="D1196" i="27"/>
  <c r="C1196" i="27"/>
  <c r="D1195" i="27"/>
  <c r="C1195" i="27"/>
  <c r="D1194" i="27"/>
  <c r="C1194" i="27"/>
  <c r="D1193" i="27"/>
  <c r="C1193" i="27"/>
  <c r="D1192" i="27"/>
  <c r="C1192" i="27"/>
  <c r="D1191" i="27"/>
  <c r="C1191" i="27"/>
  <c r="D1190" i="27"/>
  <c r="C1190" i="27"/>
  <c r="D1189" i="27"/>
  <c r="C1189" i="27"/>
  <c r="D1188" i="27"/>
  <c r="C1188" i="27"/>
  <c r="D1187" i="27"/>
  <c r="C1187" i="27"/>
  <c r="D1186" i="27"/>
  <c r="C1186" i="27"/>
  <c r="D1185" i="27"/>
  <c r="C1185" i="27"/>
  <c r="D1184" i="27"/>
  <c r="C1184" i="27"/>
  <c r="D1183" i="27"/>
  <c r="C1183" i="27"/>
  <c r="D1182" i="27"/>
  <c r="C1182" i="27"/>
  <c r="D1181" i="27"/>
  <c r="C1181" i="27"/>
  <c r="D1180" i="27"/>
  <c r="C1180" i="27"/>
  <c r="D1179" i="27"/>
  <c r="C1179" i="27"/>
  <c r="D1178" i="27"/>
  <c r="C1178" i="27"/>
  <c r="D1177" i="27"/>
  <c r="C1177" i="27"/>
  <c r="D1176" i="27"/>
  <c r="C1176" i="27"/>
  <c r="D1175" i="27"/>
  <c r="C1175" i="27"/>
  <c r="D1174" i="27"/>
  <c r="C1174" i="27"/>
  <c r="D1173" i="27"/>
  <c r="C1173" i="27"/>
  <c r="D1172" i="27"/>
  <c r="C1172" i="27"/>
  <c r="D1171" i="27"/>
  <c r="C1171" i="27"/>
  <c r="D1170" i="27"/>
  <c r="C1170" i="27"/>
  <c r="D1169" i="27"/>
  <c r="C1169" i="27"/>
  <c r="D1168" i="27"/>
  <c r="C1168" i="27"/>
  <c r="D1167" i="27"/>
  <c r="C1167" i="27"/>
  <c r="D1166" i="27"/>
  <c r="C1166" i="27"/>
  <c r="D1165" i="27"/>
  <c r="C1165" i="27"/>
  <c r="D1164" i="27"/>
  <c r="C1164" i="27"/>
  <c r="D1163" i="27"/>
  <c r="C1163" i="27"/>
  <c r="D1162" i="27"/>
  <c r="C1162" i="27"/>
  <c r="D1161" i="27"/>
  <c r="C1161" i="27"/>
  <c r="D1160" i="27"/>
  <c r="C1160" i="27"/>
  <c r="D1159" i="27"/>
  <c r="C1159" i="27"/>
  <c r="D1158" i="27"/>
  <c r="C1158" i="27"/>
  <c r="D1157" i="27"/>
  <c r="C1157" i="27"/>
  <c r="D1156" i="27"/>
  <c r="C1156" i="27"/>
  <c r="D1155" i="27"/>
  <c r="C1155" i="27"/>
  <c r="D1154" i="27"/>
  <c r="C1154" i="27"/>
  <c r="D1153" i="27"/>
  <c r="C1153" i="27"/>
  <c r="D1152" i="27"/>
  <c r="C1152" i="27"/>
  <c r="D1151" i="27"/>
  <c r="C1151" i="27"/>
  <c r="D1150" i="27"/>
  <c r="C1150" i="27"/>
  <c r="D1149" i="27"/>
  <c r="C1149" i="27"/>
  <c r="D1148" i="27"/>
  <c r="C1148" i="27"/>
  <c r="D1147" i="27"/>
  <c r="C1147" i="27"/>
  <c r="D1146" i="27"/>
  <c r="C1146" i="27"/>
  <c r="D1145" i="27"/>
  <c r="C1145" i="27"/>
  <c r="D1144" i="27"/>
  <c r="C1144" i="27"/>
  <c r="D1143" i="27"/>
  <c r="C1143" i="27"/>
  <c r="D1142" i="27"/>
  <c r="C1142" i="27"/>
  <c r="D1141" i="27"/>
  <c r="C1141" i="27"/>
  <c r="D1140" i="27"/>
  <c r="C1140" i="27"/>
  <c r="D1139" i="27"/>
  <c r="C1139" i="27"/>
  <c r="D1138" i="27"/>
  <c r="C1138" i="27"/>
  <c r="D1137" i="27"/>
  <c r="C1137" i="27"/>
  <c r="D1136" i="27"/>
  <c r="C1136" i="27"/>
  <c r="D1135" i="27"/>
  <c r="C1135" i="27"/>
  <c r="D1134" i="27"/>
  <c r="C1134" i="27"/>
  <c r="D1133" i="27"/>
  <c r="C1133" i="27"/>
  <c r="D1132" i="27"/>
  <c r="C1132" i="27"/>
  <c r="D1131" i="27"/>
  <c r="C1131" i="27"/>
  <c r="D1130" i="27"/>
  <c r="C1130" i="27"/>
  <c r="D1129" i="27"/>
  <c r="C1129" i="27"/>
  <c r="D1128" i="27"/>
  <c r="C1128" i="27"/>
  <c r="D1127" i="27"/>
  <c r="C1127" i="27"/>
  <c r="D1126" i="27"/>
  <c r="C1126" i="27"/>
  <c r="D1125" i="27"/>
  <c r="C1125" i="27"/>
  <c r="D1124" i="27"/>
  <c r="C1124" i="27"/>
  <c r="D1123" i="27"/>
  <c r="C1123" i="27"/>
  <c r="D1122" i="27"/>
  <c r="C1122" i="27"/>
  <c r="D1121" i="27"/>
  <c r="C1121" i="27"/>
  <c r="D1120" i="27"/>
  <c r="C1120" i="27"/>
  <c r="D1119" i="27"/>
  <c r="C1119" i="27"/>
  <c r="D1118" i="27"/>
  <c r="C1118" i="27"/>
  <c r="D1117" i="27"/>
  <c r="C1117" i="27"/>
  <c r="D1116" i="27"/>
  <c r="C1116" i="27"/>
  <c r="D1115" i="27"/>
  <c r="C1115" i="27"/>
  <c r="D1114" i="27"/>
  <c r="C1114" i="27"/>
  <c r="D1113" i="27"/>
  <c r="C1113" i="27"/>
  <c r="D1112" i="27"/>
  <c r="C1112" i="27"/>
  <c r="D1111" i="27"/>
  <c r="C1111" i="27"/>
  <c r="D1110" i="27"/>
  <c r="C1110" i="27"/>
  <c r="D1109" i="27"/>
  <c r="C1109" i="27"/>
  <c r="D1108" i="27"/>
  <c r="C1108" i="27"/>
  <c r="D1107" i="27"/>
  <c r="C1107" i="27"/>
  <c r="D1106" i="27"/>
  <c r="C1106" i="27"/>
  <c r="D1105" i="27"/>
  <c r="C1105" i="27"/>
  <c r="D1104" i="27"/>
  <c r="C1104" i="27"/>
  <c r="D1103" i="27"/>
  <c r="C1103" i="27"/>
  <c r="D1102" i="27"/>
  <c r="C1102" i="27"/>
  <c r="D1101" i="27"/>
  <c r="C1101" i="27"/>
  <c r="D1100" i="27"/>
  <c r="C1100" i="27"/>
  <c r="D1099" i="27"/>
  <c r="C1099" i="27"/>
  <c r="D1098" i="27"/>
  <c r="C1098" i="27"/>
  <c r="D1097" i="27"/>
  <c r="C1097" i="27"/>
  <c r="D1096" i="27"/>
  <c r="C1096" i="27"/>
  <c r="D1095" i="27"/>
  <c r="C1095" i="27"/>
  <c r="D1094" i="27"/>
  <c r="C1094" i="27"/>
  <c r="D1093" i="27"/>
  <c r="C1093" i="27"/>
  <c r="D1092" i="27"/>
  <c r="C1092" i="27"/>
  <c r="D1091" i="27"/>
  <c r="C1091" i="27"/>
  <c r="D1090" i="27"/>
  <c r="C1090" i="27"/>
  <c r="D1089" i="27"/>
  <c r="C1089" i="27"/>
  <c r="D1088" i="27"/>
  <c r="C1088" i="27"/>
  <c r="D1087" i="27"/>
  <c r="C1087" i="27"/>
  <c r="D1086" i="27"/>
  <c r="C1086" i="27"/>
  <c r="D1085" i="27"/>
  <c r="C1085" i="27"/>
  <c r="D1084" i="27"/>
  <c r="C1084" i="27"/>
  <c r="D1083" i="27"/>
  <c r="C1083" i="27"/>
  <c r="D1082" i="27"/>
  <c r="C1082" i="27"/>
  <c r="D1081" i="27"/>
  <c r="C1081" i="27"/>
  <c r="D1080" i="27"/>
  <c r="C1080" i="27"/>
  <c r="D1079" i="27"/>
  <c r="C1079" i="27"/>
  <c r="D1078" i="27"/>
  <c r="C1078" i="27"/>
  <c r="D1077" i="27"/>
  <c r="C1077" i="27"/>
  <c r="D1076" i="27"/>
  <c r="C1076" i="27"/>
  <c r="D1075" i="27"/>
  <c r="C1075" i="27"/>
  <c r="D1074" i="27"/>
  <c r="C1074" i="27"/>
  <c r="D1073" i="27"/>
  <c r="C1073" i="27"/>
  <c r="D1072" i="27"/>
  <c r="C1072" i="27"/>
  <c r="D1071" i="27"/>
  <c r="C1071" i="27"/>
  <c r="D1070" i="27"/>
  <c r="C1070" i="27"/>
  <c r="D1069" i="27"/>
  <c r="C1069" i="27"/>
  <c r="D1068" i="27"/>
  <c r="C1068" i="27"/>
  <c r="D1067" i="27"/>
  <c r="C1067" i="27"/>
  <c r="D1066" i="27"/>
  <c r="C1066" i="27"/>
  <c r="D1065" i="27"/>
  <c r="C1065" i="27"/>
  <c r="D1064" i="27"/>
  <c r="C1064" i="27"/>
  <c r="D1063" i="27"/>
  <c r="C1063" i="27"/>
  <c r="D1062" i="27"/>
  <c r="C1062" i="27"/>
  <c r="D1061" i="27"/>
  <c r="C1061" i="27"/>
  <c r="D1060" i="27"/>
  <c r="C1060" i="27"/>
  <c r="D1059" i="27"/>
  <c r="C1059" i="27"/>
  <c r="D1058" i="27"/>
  <c r="C1058" i="27"/>
  <c r="D1057" i="27"/>
  <c r="C1057" i="27"/>
  <c r="D1056" i="27"/>
  <c r="C1056" i="27"/>
  <c r="D1055" i="27"/>
  <c r="C1055" i="27"/>
  <c r="D1054" i="27"/>
  <c r="C1054" i="27"/>
  <c r="D1053" i="27"/>
  <c r="C1053" i="27"/>
  <c r="D1052" i="27"/>
  <c r="C1052" i="27"/>
  <c r="D1051" i="27"/>
  <c r="C1051" i="27"/>
  <c r="D1050" i="27"/>
  <c r="C1050" i="27"/>
  <c r="D1049" i="27"/>
  <c r="C1049" i="27"/>
  <c r="D1048" i="27"/>
  <c r="C1048" i="27"/>
  <c r="D1047" i="27"/>
  <c r="C1047" i="27"/>
  <c r="D1046" i="27"/>
  <c r="C1046" i="27"/>
  <c r="D1045" i="27"/>
  <c r="C1045" i="27"/>
  <c r="D1044" i="27"/>
  <c r="C1044" i="27"/>
  <c r="D1043" i="27"/>
  <c r="C1043" i="27"/>
  <c r="D1042" i="27"/>
  <c r="C1042" i="27"/>
  <c r="D1041" i="27"/>
  <c r="C1041" i="27"/>
  <c r="D1040" i="27"/>
  <c r="C1040" i="27"/>
  <c r="D1039" i="27"/>
  <c r="C1039" i="27"/>
  <c r="D1038" i="27"/>
  <c r="C1038" i="27"/>
  <c r="D1037" i="27"/>
  <c r="C1037" i="27"/>
  <c r="D1036" i="27"/>
  <c r="C1036" i="27"/>
  <c r="D1035" i="27"/>
  <c r="C1035" i="27"/>
  <c r="D1034" i="27"/>
  <c r="C1034" i="27"/>
  <c r="D1033" i="27"/>
  <c r="C1033" i="27"/>
  <c r="D1032" i="27"/>
  <c r="C1032" i="27"/>
  <c r="D1031" i="27"/>
  <c r="C1031" i="27"/>
  <c r="D1030" i="27"/>
  <c r="C1030" i="27"/>
  <c r="D1029" i="27"/>
  <c r="C1029" i="27"/>
  <c r="D1028" i="27"/>
  <c r="C1028" i="27"/>
  <c r="D1027" i="27"/>
  <c r="C1027" i="27"/>
  <c r="D1026" i="27"/>
  <c r="C1026" i="27"/>
  <c r="D1025" i="27"/>
  <c r="C1025" i="27"/>
  <c r="D1024" i="27"/>
  <c r="C1024" i="27"/>
  <c r="D1023" i="27"/>
  <c r="C1023" i="27"/>
  <c r="D1022" i="27"/>
  <c r="C1022" i="27"/>
  <c r="D1021" i="27"/>
  <c r="C1021" i="27"/>
  <c r="D1020" i="27"/>
  <c r="C1020" i="27"/>
  <c r="D1019" i="27"/>
  <c r="C1019" i="27"/>
  <c r="D1018" i="27"/>
  <c r="C1018" i="27"/>
  <c r="D1017" i="27"/>
  <c r="C1017" i="27"/>
  <c r="D1016" i="27"/>
  <c r="C1016" i="27"/>
  <c r="D1015" i="27"/>
  <c r="C1015" i="27"/>
  <c r="D1014" i="27"/>
  <c r="C1014" i="27"/>
  <c r="D1013" i="27"/>
  <c r="C1013" i="27"/>
  <c r="D1012" i="27"/>
  <c r="C1012" i="27"/>
  <c r="D1011" i="27"/>
  <c r="C1011" i="27"/>
  <c r="D1010" i="27"/>
  <c r="C1010" i="27"/>
  <c r="D1009" i="27"/>
  <c r="C1009" i="27"/>
  <c r="D1008" i="27"/>
  <c r="C1008" i="27"/>
  <c r="D1007" i="27"/>
  <c r="C1007" i="27"/>
  <c r="D1006" i="27"/>
  <c r="C1006" i="27"/>
  <c r="D1005" i="27"/>
  <c r="C1005" i="27"/>
  <c r="D1004" i="27"/>
  <c r="C1004" i="27"/>
  <c r="D1003" i="27"/>
  <c r="C1003" i="27"/>
  <c r="D1002" i="27"/>
  <c r="C1002" i="27"/>
  <c r="D1001" i="27"/>
  <c r="C1001" i="27"/>
  <c r="D1000" i="27"/>
  <c r="C1000" i="27"/>
  <c r="D999" i="27"/>
  <c r="C999" i="27"/>
  <c r="D998" i="27"/>
  <c r="C998" i="27"/>
  <c r="D997" i="27"/>
  <c r="C997" i="27"/>
  <c r="D996" i="27"/>
  <c r="C996" i="27"/>
  <c r="D995" i="27"/>
  <c r="C995" i="27"/>
  <c r="D994" i="27"/>
  <c r="C994" i="27"/>
  <c r="D993" i="27"/>
  <c r="C993" i="27"/>
  <c r="D992" i="27"/>
  <c r="C992" i="27"/>
  <c r="D991" i="27"/>
  <c r="C991" i="27"/>
  <c r="D990" i="27"/>
  <c r="C990" i="27"/>
  <c r="D989" i="27"/>
  <c r="C989" i="27"/>
  <c r="D988" i="27"/>
  <c r="C988" i="27"/>
  <c r="D987" i="27"/>
  <c r="C987" i="27"/>
  <c r="D986" i="27"/>
  <c r="C986" i="27"/>
  <c r="D985" i="27"/>
  <c r="C985" i="27"/>
  <c r="D984" i="27"/>
  <c r="C984" i="27"/>
  <c r="D983" i="27"/>
  <c r="C983" i="27"/>
  <c r="D982" i="27"/>
  <c r="C982" i="27"/>
  <c r="D981" i="27"/>
  <c r="C981" i="27"/>
  <c r="D980" i="27"/>
  <c r="C980" i="27"/>
  <c r="D979" i="27"/>
  <c r="C979" i="27"/>
  <c r="D978" i="27"/>
  <c r="C978" i="27"/>
  <c r="D977" i="27"/>
  <c r="C977" i="27"/>
  <c r="D976" i="27"/>
  <c r="C976" i="27"/>
  <c r="D975" i="27"/>
  <c r="C975" i="27"/>
  <c r="D974" i="27"/>
  <c r="C974" i="27"/>
  <c r="D973" i="27"/>
  <c r="C973" i="27"/>
  <c r="D972" i="27"/>
  <c r="C972" i="27"/>
  <c r="D971" i="27"/>
  <c r="C971" i="27"/>
  <c r="D970" i="27"/>
  <c r="C970" i="27"/>
  <c r="D969" i="27"/>
  <c r="C969" i="27"/>
  <c r="D968" i="27"/>
  <c r="C968" i="27"/>
  <c r="D967" i="27"/>
  <c r="C967" i="27"/>
  <c r="D966" i="27"/>
  <c r="C966" i="27"/>
  <c r="D965" i="27"/>
  <c r="C965" i="27"/>
  <c r="D964" i="27"/>
  <c r="C964" i="27"/>
  <c r="D963" i="27"/>
  <c r="C963" i="27"/>
  <c r="D962" i="27"/>
  <c r="C962" i="27"/>
  <c r="D961" i="27"/>
  <c r="C961" i="27"/>
  <c r="D960" i="27"/>
  <c r="C960" i="27"/>
  <c r="D959" i="27"/>
  <c r="C959" i="27"/>
  <c r="D958" i="27"/>
  <c r="C958" i="27"/>
  <c r="D957" i="27"/>
  <c r="C957" i="27"/>
  <c r="D956" i="27"/>
  <c r="C956" i="27"/>
  <c r="D955" i="27"/>
  <c r="C955" i="27"/>
  <c r="D954" i="27"/>
  <c r="C954" i="27"/>
  <c r="D953" i="27"/>
  <c r="C953" i="27"/>
  <c r="D952" i="27"/>
  <c r="C952" i="27"/>
  <c r="D951" i="27"/>
  <c r="C951" i="27"/>
  <c r="D950" i="27"/>
  <c r="C950" i="27"/>
  <c r="D949" i="27"/>
  <c r="C949" i="27"/>
  <c r="D948" i="27"/>
  <c r="C948" i="27"/>
  <c r="D947" i="27"/>
  <c r="C947" i="27"/>
  <c r="D946" i="27"/>
  <c r="C946" i="27"/>
  <c r="D945" i="27"/>
  <c r="C945" i="27"/>
  <c r="D944" i="27"/>
  <c r="C944" i="27"/>
  <c r="D943" i="27"/>
  <c r="C943" i="27"/>
  <c r="D942" i="27"/>
  <c r="C942" i="27"/>
  <c r="D941" i="27"/>
  <c r="C941" i="27"/>
  <c r="D940" i="27"/>
  <c r="C940" i="27"/>
  <c r="D939" i="27"/>
  <c r="C939" i="27"/>
  <c r="D938" i="27"/>
  <c r="C938" i="27"/>
  <c r="D937" i="27"/>
  <c r="C937" i="27"/>
  <c r="D936" i="27"/>
  <c r="C936" i="27"/>
  <c r="D935" i="27"/>
  <c r="C935" i="27"/>
  <c r="D934" i="27"/>
  <c r="C934" i="27"/>
  <c r="D933" i="27"/>
  <c r="C933" i="27"/>
  <c r="D932" i="27"/>
  <c r="C932" i="27"/>
  <c r="D931" i="27"/>
  <c r="C931" i="27"/>
  <c r="D930" i="27"/>
  <c r="C930" i="27"/>
  <c r="D929" i="27"/>
  <c r="C929" i="27"/>
  <c r="D928" i="27"/>
  <c r="C928" i="27"/>
  <c r="D927" i="27"/>
  <c r="C927" i="27"/>
  <c r="D926" i="27"/>
  <c r="C926" i="27"/>
  <c r="D925" i="27"/>
  <c r="C925" i="27"/>
  <c r="D924" i="27"/>
  <c r="C924" i="27"/>
  <c r="D923" i="27"/>
  <c r="C923" i="27"/>
  <c r="D922" i="27"/>
  <c r="C922" i="27"/>
  <c r="D921" i="27"/>
  <c r="C921" i="27"/>
  <c r="D920" i="27"/>
  <c r="C920" i="27"/>
  <c r="D919" i="27"/>
  <c r="C919" i="27"/>
  <c r="D918" i="27"/>
  <c r="C918" i="27"/>
  <c r="D917" i="27"/>
  <c r="C917" i="27"/>
  <c r="D916" i="27"/>
  <c r="C916" i="27"/>
  <c r="D915" i="27"/>
  <c r="C915" i="27"/>
  <c r="D914" i="27"/>
  <c r="C914" i="27"/>
  <c r="D913" i="27"/>
  <c r="C913" i="27"/>
  <c r="D912" i="27"/>
  <c r="C912" i="27"/>
  <c r="D911" i="27"/>
  <c r="C911" i="27"/>
  <c r="D910" i="27"/>
  <c r="C910" i="27"/>
  <c r="D909" i="27"/>
  <c r="C909" i="27"/>
  <c r="D908" i="27"/>
  <c r="C908" i="27"/>
  <c r="D907" i="27"/>
  <c r="C907" i="27"/>
  <c r="D906" i="27"/>
  <c r="C906" i="27"/>
  <c r="D905" i="27"/>
  <c r="C905" i="27"/>
  <c r="D904" i="27"/>
  <c r="C904" i="27"/>
  <c r="D903" i="27"/>
  <c r="C903" i="27"/>
  <c r="D902" i="27"/>
  <c r="C902" i="27"/>
  <c r="D901" i="27"/>
  <c r="C901" i="27"/>
  <c r="D900" i="27"/>
  <c r="C900" i="27"/>
  <c r="D899" i="27"/>
  <c r="C899" i="27"/>
  <c r="D898" i="27"/>
  <c r="C898" i="27"/>
  <c r="D897" i="27"/>
  <c r="C897" i="27"/>
  <c r="D896" i="27"/>
  <c r="C896" i="27"/>
  <c r="D895" i="27"/>
  <c r="C895" i="27"/>
  <c r="D894" i="27"/>
  <c r="C894" i="27"/>
  <c r="D893" i="27"/>
  <c r="C893" i="27"/>
  <c r="D892" i="27"/>
  <c r="C892" i="27"/>
  <c r="D891" i="27"/>
  <c r="C891" i="27"/>
  <c r="D890" i="27"/>
  <c r="C890" i="27"/>
  <c r="D889" i="27"/>
  <c r="C889" i="27"/>
  <c r="D888" i="27"/>
  <c r="C888" i="27"/>
  <c r="D887" i="27"/>
  <c r="C887" i="27"/>
  <c r="D886" i="27"/>
  <c r="C886" i="27"/>
  <c r="D885" i="27"/>
  <c r="C885" i="27"/>
  <c r="D884" i="27"/>
  <c r="C884" i="27"/>
  <c r="D883" i="27"/>
  <c r="C883" i="27"/>
  <c r="D882" i="27"/>
  <c r="C882" i="27"/>
  <c r="D881" i="27"/>
  <c r="C881" i="27"/>
  <c r="D880" i="27"/>
  <c r="C880" i="27"/>
  <c r="D879" i="27"/>
  <c r="C879" i="27"/>
  <c r="D878" i="27"/>
  <c r="C878" i="27"/>
  <c r="D877" i="27"/>
  <c r="C877" i="27"/>
  <c r="D876" i="27"/>
  <c r="C876" i="27"/>
  <c r="D875" i="27"/>
  <c r="C875" i="27"/>
  <c r="D874" i="27"/>
  <c r="C874" i="27"/>
  <c r="D873" i="27"/>
  <c r="C873" i="27"/>
  <c r="D872" i="27"/>
  <c r="C872" i="27"/>
  <c r="D871" i="27"/>
  <c r="C871" i="27"/>
  <c r="D870" i="27"/>
  <c r="C870" i="27"/>
  <c r="D869" i="27"/>
  <c r="C869" i="27"/>
  <c r="D868" i="27"/>
  <c r="C868" i="27"/>
  <c r="D867" i="27"/>
  <c r="C867" i="27"/>
  <c r="D866" i="27"/>
  <c r="C866" i="27"/>
  <c r="D865" i="27"/>
  <c r="C865" i="27"/>
  <c r="D864" i="27"/>
  <c r="C864" i="27"/>
  <c r="D863" i="27"/>
  <c r="C863" i="27"/>
  <c r="D862" i="27"/>
  <c r="C862" i="27"/>
  <c r="D861" i="27"/>
  <c r="C861" i="27"/>
  <c r="D860" i="27"/>
  <c r="C860" i="27"/>
  <c r="D859" i="27"/>
  <c r="C859" i="27"/>
  <c r="D858" i="27"/>
  <c r="C858" i="27"/>
  <c r="D857" i="27"/>
  <c r="C857" i="27"/>
  <c r="D856" i="27"/>
  <c r="C856" i="27"/>
  <c r="D855" i="27"/>
  <c r="C855" i="27"/>
  <c r="D854" i="27"/>
  <c r="C854" i="27"/>
  <c r="D853" i="27"/>
  <c r="C853" i="27"/>
  <c r="D852" i="27"/>
  <c r="C852" i="27"/>
  <c r="D851" i="27"/>
  <c r="C851" i="27"/>
  <c r="D850" i="27"/>
  <c r="C850" i="27"/>
  <c r="D849" i="27"/>
  <c r="C849" i="27"/>
  <c r="D848" i="27"/>
  <c r="C848" i="27"/>
  <c r="D847" i="27"/>
  <c r="C847" i="27"/>
  <c r="D846" i="27"/>
  <c r="C846" i="27"/>
  <c r="D845" i="27"/>
  <c r="C845" i="27"/>
  <c r="D844" i="27"/>
  <c r="C844" i="27"/>
  <c r="D843" i="27"/>
  <c r="C843" i="27"/>
  <c r="D842" i="27"/>
  <c r="C842" i="27"/>
  <c r="D841" i="27"/>
  <c r="C841" i="27"/>
  <c r="D840" i="27"/>
  <c r="C840" i="27"/>
  <c r="D839" i="27"/>
  <c r="C839" i="27"/>
  <c r="D838" i="27"/>
  <c r="C838" i="27"/>
  <c r="D837" i="27"/>
  <c r="C837" i="27"/>
  <c r="D836" i="27"/>
  <c r="C836" i="27"/>
  <c r="D835" i="27"/>
  <c r="C835" i="27"/>
  <c r="D834" i="27"/>
  <c r="C834" i="27"/>
  <c r="D833" i="27"/>
  <c r="C833" i="27"/>
  <c r="D832" i="27"/>
  <c r="C832" i="27"/>
  <c r="D831" i="27"/>
  <c r="C831" i="27"/>
  <c r="D830" i="27"/>
  <c r="C830" i="27"/>
  <c r="D829" i="27"/>
  <c r="C829" i="27"/>
  <c r="D828" i="27"/>
  <c r="C828" i="27"/>
  <c r="D827" i="27"/>
  <c r="C827" i="27"/>
  <c r="D826" i="27"/>
  <c r="C826" i="27"/>
  <c r="D825" i="27"/>
  <c r="C825" i="27"/>
  <c r="D824" i="27"/>
  <c r="C824" i="27"/>
  <c r="D823" i="27"/>
  <c r="C823" i="27"/>
  <c r="D822" i="27"/>
  <c r="C822" i="27"/>
  <c r="D821" i="27"/>
  <c r="C821" i="27"/>
  <c r="D820" i="27"/>
  <c r="C820" i="27"/>
  <c r="D819" i="27"/>
  <c r="C819" i="27"/>
  <c r="D818" i="27"/>
  <c r="C818" i="27"/>
  <c r="D817" i="27"/>
  <c r="C817" i="27"/>
  <c r="D816" i="27"/>
  <c r="C816" i="27"/>
  <c r="D815" i="27"/>
  <c r="C815" i="27"/>
  <c r="D814" i="27"/>
  <c r="C814" i="27"/>
  <c r="D813" i="27"/>
  <c r="C813" i="27"/>
  <c r="D812" i="27"/>
  <c r="C812" i="27"/>
  <c r="D811" i="27"/>
  <c r="C811" i="27"/>
  <c r="D810" i="27"/>
  <c r="C810" i="27"/>
  <c r="D809" i="27"/>
  <c r="C809" i="27"/>
  <c r="D808" i="27"/>
  <c r="C808" i="27"/>
  <c r="D807" i="27"/>
  <c r="C807" i="27"/>
  <c r="D806" i="27"/>
  <c r="C806" i="27"/>
  <c r="D805" i="27"/>
  <c r="C805" i="27"/>
  <c r="D804" i="27"/>
  <c r="C804" i="27"/>
  <c r="D803" i="27"/>
  <c r="C803" i="27"/>
  <c r="D802" i="27"/>
  <c r="C802" i="27"/>
  <c r="D801" i="27"/>
  <c r="C801" i="27"/>
  <c r="D800" i="27"/>
  <c r="C800" i="27"/>
  <c r="D799" i="27"/>
  <c r="C799" i="27"/>
  <c r="D798" i="27"/>
  <c r="C798" i="27"/>
  <c r="D797" i="27"/>
  <c r="C797" i="27"/>
  <c r="D796" i="27"/>
  <c r="C796" i="27"/>
  <c r="D795" i="27"/>
  <c r="C795" i="27"/>
  <c r="D794" i="27"/>
  <c r="C794" i="27"/>
  <c r="D793" i="27"/>
  <c r="C793" i="27"/>
  <c r="D792" i="27"/>
  <c r="C792" i="27"/>
  <c r="D791" i="27"/>
  <c r="C791" i="27"/>
  <c r="D790" i="27"/>
  <c r="C790" i="27"/>
  <c r="D789" i="27"/>
  <c r="C789" i="27"/>
  <c r="D788" i="27"/>
  <c r="C788" i="27"/>
  <c r="D787" i="27"/>
  <c r="C787" i="27"/>
  <c r="D786" i="27"/>
  <c r="C786" i="27"/>
  <c r="D785" i="27"/>
  <c r="C785" i="27"/>
  <c r="D784" i="27"/>
  <c r="C784" i="27"/>
  <c r="D783" i="27"/>
  <c r="C783" i="27"/>
  <c r="D782" i="27"/>
  <c r="C782" i="27"/>
  <c r="D781" i="27"/>
  <c r="C781" i="27"/>
  <c r="D780" i="27"/>
  <c r="C780" i="27"/>
  <c r="D779" i="27"/>
  <c r="C779" i="27"/>
  <c r="D778" i="27"/>
  <c r="C778" i="27"/>
  <c r="D777" i="27"/>
  <c r="C777" i="27"/>
  <c r="D776" i="27"/>
  <c r="C776" i="27"/>
  <c r="D775" i="27"/>
  <c r="C775" i="27"/>
  <c r="D774" i="27"/>
  <c r="C774" i="27"/>
  <c r="D773" i="27"/>
  <c r="C773" i="27"/>
  <c r="D772" i="27"/>
  <c r="C772" i="27"/>
  <c r="D771" i="27"/>
  <c r="C771" i="27"/>
  <c r="D770" i="27"/>
  <c r="C770" i="27"/>
  <c r="D769" i="27"/>
  <c r="C769" i="27"/>
  <c r="D768" i="27"/>
  <c r="C768" i="27"/>
  <c r="D767" i="27"/>
  <c r="C767" i="27"/>
  <c r="D766" i="27"/>
  <c r="C766" i="27"/>
  <c r="D765" i="27"/>
  <c r="C765" i="27"/>
  <c r="D764" i="27"/>
  <c r="C764" i="27"/>
  <c r="D763" i="27"/>
  <c r="C763" i="27"/>
  <c r="D762" i="27"/>
  <c r="C762" i="27"/>
  <c r="D761" i="27"/>
  <c r="C761" i="27"/>
  <c r="D760" i="27"/>
  <c r="C760" i="27"/>
  <c r="D759" i="27"/>
  <c r="C759" i="27"/>
  <c r="D758" i="27"/>
  <c r="C758" i="27"/>
  <c r="D757" i="27"/>
  <c r="C757" i="27"/>
  <c r="D756" i="27"/>
  <c r="C756" i="27"/>
  <c r="D755" i="27"/>
  <c r="C755" i="27"/>
  <c r="D754" i="27"/>
  <c r="C754" i="27"/>
  <c r="D753" i="27"/>
  <c r="C753" i="27"/>
  <c r="D752" i="27"/>
  <c r="C752" i="27"/>
  <c r="D751" i="27"/>
  <c r="C751" i="27"/>
  <c r="D750" i="27"/>
  <c r="C750" i="27"/>
  <c r="D749" i="27"/>
  <c r="C749" i="27"/>
  <c r="D748" i="27"/>
  <c r="C748" i="27"/>
  <c r="D747" i="27"/>
  <c r="C747" i="27"/>
  <c r="D746" i="27"/>
  <c r="C746" i="27"/>
  <c r="D745" i="27"/>
  <c r="C745" i="27"/>
  <c r="D744" i="27"/>
  <c r="C744" i="27"/>
  <c r="D743" i="27"/>
  <c r="C743" i="27"/>
  <c r="D742" i="27"/>
  <c r="C742" i="27"/>
  <c r="D741" i="27"/>
  <c r="C741" i="27"/>
  <c r="D740" i="27"/>
  <c r="C740" i="27"/>
  <c r="D739" i="27"/>
  <c r="C739" i="27"/>
  <c r="D738" i="27"/>
  <c r="C738" i="27"/>
  <c r="D737" i="27"/>
  <c r="C737" i="27"/>
  <c r="D736" i="27"/>
  <c r="C736" i="27"/>
  <c r="D735" i="27"/>
  <c r="C735" i="27"/>
  <c r="D734" i="27"/>
  <c r="C734" i="27"/>
  <c r="D733" i="27"/>
  <c r="C733" i="27"/>
  <c r="D732" i="27"/>
  <c r="C732" i="27"/>
  <c r="D731" i="27"/>
  <c r="C731" i="27"/>
  <c r="D730" i="27"/>
  <c r="C730" i="27"/>
  <c r="D729" i="27"/>
  <c r="C729" i="27"/>
  <c r="D728" i="27"/>
  <c r="C728" i="27"/>
  <c r="D727" i="27"/>
  <c r="C727" i="27"/>
  <c r="D726" i="27"/>
  <c r="C726" i="27"/>
  <c r="D725" i="27"/>
  <c r="C725" i="27"/>
  <c r="D724" i="27"/>
  <c r="C724" i="27"/>
  <c r="D723" i="27"/>
  <c r="C723" i="27"/>
  <c r="D722" i="27"/>
  <c r="C722" i="27"/>
  <c r="D721" i="27"/>
  <c r="C721" i="27"/>
  <c r="D720" i="27"/>
  <c r="C720" i="27"/>
  <c r="D719" i="27"/>
  <c r="C719" i="27"/>
  <c r="D718" i="27"/>
  <c r="C718" i="27"/>
  <c r="D717" i="27"/>
  <c r="C717" i="27"/>
  <c r="D716" i="27"/>
  <c r="C716" i="27"/>
  <c r="D715" i="27"/>
  <c r="C715" i="27"/>
  <c r="D714" i="27"/>
  <c r="C714" i="27"/>
  <c r="D713" i="27"/>
  <c r="C713" i="27"/>
  <c r="D712" i="27"/>
  <c r="C712" i="27"/>
  <c r="D711" i="27"/>
  <c r="C711" i="27"/>
  <c r="D710" i="27"/>
  <c r="C710" i="27"/>
  <c r="D709" i="27"/>
  <c r="C709" i="27"/>
  <c r="D708" i="27"/>
  <c r="C708" i="27"/>
  <c r="D707" i="27"/>
  <c r="C707" i="27"/>
  <c r="D706" i="27"/>
  <c r="C706" i="27"/>
  <c r="D705" i="27"/>
  <c r="C705" i="27"/>
  <c r="D704" i="27"/>
  <c r="C704" i="27"/>
  <c r="D703" i="27"/>
  <c r="C703" i="27"/>
  <c r="D702" i="27"/>
  <c r="C702" i="27"/>
  <c r="D701" i="27"/>
  <c r="C701" i="27"/>
  <c r="D700" i="27"/>
  <c r="C700" i="27"/>
  <c r="D699" i="27"/>
  <c r="C699" i="27"/>
  <c r="D698" i="27"/>
  <c r="C698" i="27"/>
  <c r="D697" i="27"/>
  <c r="C697" i="27"/>
  <c r="D696" i="27"/>
  <c r="C696" i="27"/>
  <c r="D695" i="27"/>
  <c r="C695" i="27"/>
  <c r="D694" i="27"/>
  <c r="C694" i="27"/>
  <c r="D693" i="27"/>
  <c r="C693" i="27"/>
  <c r="D692" i="27"/>
  <c r="C692" i="27"/>
  <c r="D691" i="27"/>
  <c r="C691" i="27"/>
  <c r="D690" i="27"/>
  <c r="C690" i="27"/>
  <c r="D689" i="27"/>
  <c r="C689" i="27"/>
  <c r="D688" i="27"/>
  <c r="C688" i="27"/>
  <c r="D687" i="27"/>
  <c r="C687" i="27"/>
  <c r="D686" i="27"/>
  <c r="C686" i="27"/>
  <c r="D685" i="27"/>
  <c r="C685" i="27"/>
  <c r="D684" i="27"/>
  <c r="C684" i="27"/>
  <c r="D683" i="27"/>
  <c r="C683" i="27"/>
  <c r="D682" i="27"/>
  <c r="C682" i="27"/>
  <c r="D681" i="27"/>
  <c r="C681" i="27"/>
  <c r="D680" i="27"/>
  <c r="C680" i="27"/>
  <c r="D679" i="27"/>
  <c r="C679" i="27"/>
  <c r="D678" i="27"/>
  <c r="C678" i="27"/>
  <c r="D677" i="27"/>
  <c r="C677" i="27"/>
  <c r="D676" i="27"/>
  <c r="C676" i="27"/>
  <c r="D675" i="27"/>
  <c r="C675" i="27"/>
  <c r="D674" i="27"/>
  <c r="C674" i="27"/>
  <c r="D673" i="27"/>
  <c r="C673" i="27"/>
  <c r="D672" i="27"/>
  <c r="C672" i="27"/>
  <c r="D671" i="27"/>
  <c r="C671" i="27"/>
  <c r="D670" i="27"/>
  <c r="C670" i="27"/>
  <c r="D669" i="27"/>
  <c r="C669" i="27"/>
  <c r="D668" i="27"/>
  <c r="C668" i="27"/>
  <c r="D667" i="27"/>
  <c r="C667" i="27"/>
  <c r="D666" i="27"/>
  <c r="C666" i="27"/>
  <c r="D665" i="27"/>
  <c r="C665" i="27"/>
  <c r="D664" i="27"/>
  <c r="C664" i="27"/>
  <c r="D663" i="27"/>
  <c r="C663" i="27"/>
  <c r="D662" i="27"/>
  <c r="C662" i="27"/>
  <c r="D661" i="27"/>
  <c r="C661" i="27"/>
  <c r="D660" i="27"/>
  <c r="C660" i="27"/>
  <c r="D659" i="27"/>
  <c r="C659" i="27"/>
  <c r="D658" i="27"/>
  <c r="C658" i="27"/>
  <c r="D657" i="27"/>
  <c r="C657" i="27"/>
  <c r="D656" i="27"/>
  <c r="C656" i="27"/>
  <c r="D655" i="27"/>
  <c r="C655" i="27"/>
  <c r="D654" i="27"/>
  <c r="C654" i="27"/>
  <c r="D653" i="27"/>
  <c r="C653" i="27"/>
  <c r="D652" i="27"/>
  <c r="C652" i="27"/>
  <c r="D651" i="27"/>
  <c r="C651" i="27"/>
  <c r="D650" i="27"/>
  <c r="C650" i="27"/>
  <c r="D649" i="27"/>
  <c r="C649" i="27"/>
  <c r="D648" i="27"/>
  <c r="C648" i="27"/>
  <c r="D647" i="27"/>
  <c r="C647" i="27"/>
  <c r="D646" i="27"/>
  <c r="C646" i="27"/>
  <c r="D645" i="27"/>
  <c r="C645" i="27"/>
  <c r="D644" i="27"/>
  <c r="C644" i="27"/>
  <c r="D643" i="27"/>
  <c r="C643" i="27"/>
  <c r="D642" i="27"/>
  <c r="C642" i="27"/>
  <c r="D641" i="27"/>
  <c r="C641" i="27"/>
  <c r="D640" i="27"/>
  <c r="C640" i="27"/>
  <c r="D639" i="27"/>
  <c r="C639" i="27"/>
  <c r="D638" i="27"/>
  <c r="C638" i="27"/>
  <c r="D637" i="27"/>
  <c r="C637" i="27"/>
  <c r="D636" i="27"/>
  <c r="C636" i="27"/>
  <c r="D635" i="27"/>
  <c r="C635" i="27"/>
  <c r="D634" i="27"/>
  <c r="C634" i="27"/>
  <c r="D633" i="27"/>
  <c r="C633" i="27"/>
  <c r="D632" i="27"/>
  <c r="C632" i="27"/>
  <c r="D631" i="27"/>
  <c r="C631" i="27"/>
  <c r="D630" i="27"/>
  <c r="C630" i="27"/>
  <c r="D629" i="27"/>
  <c r="C629" i="27"/>
  <c r="D628" i="27"/>
  <c r="C628" i="27"/>
  <c r="D627" i="27"/>
  <c r="C627" i="27"/>
  <c r="D626" i="27"/>
  <c r="C626" i="27"/>
  <c r="D625" i="27"/>
  <c r="C625" i="27"/>
  <c r="D624" i="27"/>
  <c r="C624" i="27"/>
  <c r="D623" i="27"/>
  <c r="C623" i="27"/>
  <c r="D622" i="27"/>
  <c r="C622" i="27"/>
  <c r="D621" i="27"/>
  <c r="C621" i="27"/>
  <c r="D620" i="27"/>
  <c r="C620" i="27"/>
  <c r="D619" i="27"/>
  <c r="C619" i="27"/>
  <c r="D618" i="27"/>
  <c r="C618" i="27"/>
  <c r="D617" i="27"/>
  <c r="C617" i="27"/>
  <c r="D616" i="27"/>
  <c r="C616" i="27"/>
  <c r="D615" i="27"/>
  <c r="C615" i="27"/>
  <c r="D614" i="27"/>
  <c r="C614" i="27"/>
  <c r="D613" i="27"/>
  <c r="C613" i="27"/>
  <c r="D612" i="27"/>
  <c r="C612" i="27"/>
  <c r="D611" i="27"/>
  <c r="C611" i="27"/>
  <c r="D610" i="27"/>
  <c r="C610" i="27"/>
  <c r="D609" i="27"/>
  <c r="C609" i="27"/>
  <c r="D608" i="27"/>
  <c r="C608" i="27"/>
  <c r="D607" i="27"/>
  <c r="C607" i="27"/>
  <c r="D606" i="27"/>
  <c r="C606" i="27"/>
  <c r="D605" i="27"/>
  <c r="C605" i="27"/>
  <c r="D604" i="27"/>
  <c r="C604" i="27"/>
  <c r="D603" i="27"/>
  <c r="C603" i="27"/>
  <c r="D602" i="27"/>
  <c r="C602" i="27"/>
  <c r="D601" i="27"/>
  <c r="C601" i="27"/>
  <c r="D600" i="27"/>
  <c r="C600" i="27"/>
  <c r="D599" i="27"/>
  <c r="C599" i="27"/>
  <c r="D598" i="27"/>
  <c r="C598" i="27"/>
  <c r="D597" i="27"/>
  <c r="C597" i="27"/>
  <c r="D596" i="27"/>
  <c r="C596" i="27"/>
  <c r="D595" i="27"/>
  <c r="C595" i="27"/>
  <c r="D594" i="27"/>
  <c r="C594" i="27"/>
  <c r="D593" i="27"/>
  <c r="C593" i="27"/>
  <c r="D592" i="27"/>
  <c r="C592" i="27"/>
  <c r="D591" i="27"/>
  <c r="C591" i="27"/>
  <c r="D590" i="27"/>
  <c r="C590" i="27"/>
  <c r="D589" i="27"/>
  <c r="C589" i="27"/>
  <c r="D588" i="27"/>
  <c r="C588" i="27"/>
  <c r="D587" i="27"/>
  <c r="C587" i="27"/>
  <c r="D586" i="27"/>
  <c r="C586" i="27"/>
  <c r="D585" i="27"/>
  <c r="C585" i="27"/>
  <c r="D584" i="27"/>
  <c r="C584" i="27"/>
  <c r="D583" i="27"/>
  <c r="C583" i="27"/>
  <c r="D582" i="27"/>
  <c r="C582" i="27"/>
  <c r="D581" i="27"/>
  <c r="C581" i="27"/>
  <c r="D580" i="27"/>
  <c r="C580" i="27"/>
  <c r="D579" i="27"/>
  <c r="C579" i="27"/>
  <c r="D578" i="27"/>
  <c r="C578" i="27"/>
  <c r="D577" i="27"/>
  <c r="C577" i="27"/>
  <c r="D576" i="27"/>
  <c r="C576" i="27"/>
  <c r="D575" i="27"/>
  <c r="C575" i="27"/>
  <c r="D574" i="27"/>
  <c r="C574" i="27"/>
  <c r="D573" i="27"/>
  <c r="C573" i="27"/>
  <c r="D572" i="27"/>
  <c r="C572" i="27"/>
  <c r="D571" i="27"/>
  <c r="C571" i="27"/>
  <c r="D570" i="27"/>
  <c r="C570" i="27"/>
  <c r="D569" i="27"/>
  <c r="C569" i="27"/>
  <c r="D568" i="27"/>
  <c r="C568" i="27"/>
  <c r="D567" i="27"/>
  <c r="C567" i="27"/>
  <c r="D566" i="27"/>
  <c r="C566" i="27"/>
  <c r="D565" i="27"/>
  <c r="C565" i="27"/>
  <c r="D564" i="27"/>
  <c r="C564" i="27"/>
  <c r="D563" i="27"/>
  <c r="C563" i="27"/>
  <c r="D562" i="27"/>
  <c r="C562" i="27"/>
  <c r="D561" i="27"/>
  <c r="C561" i="27"/>
  <c r="D560" i="27"/>
  <c r="C560" i="27"/>
  <c r="D559" i="27"/>
  <c r="C559" i="27"/>
  <c r="D558" i="27"/>
  <c r="C558" i="27"/>
  <c r="D557" i="27"/>
  <c r="C557" i="27"/>
  <c r="D556" i="27"/>
  <c r="C556" i="27"/>
  <c r="D555" i="27"/>
  <c r="C555" i="27"/>
  <c r="D554" i="27"/>
  <c r="C554" i="27"/>
  <c r="D553" i="27"/>
  <c r="C553" i="27"/>
  <c r="D552" i="27"/>
  <c r="C552" i="27"/>
  <c r="D551" i="27"/>
  <c r="C551" i="27"/>
  <c r="D550" i="27"/>
  <c r="C550" i="27"/>
  <c r="D549" i="27"/>
  <c r="C549" i="27"/>
  <c r="D548" i="27"/>
  <c r="C548" i="27"/>
  <c r="D547" i="27"/>
  <c r="C547" i="27"/>
  <c r="D546" i="27"/>
  <c r="C546" i="27"/>
  <c r="D545" i="27"/>
  <c r="C545" i="27"/>
  <c r="D544" i="27"/>
  <c r="C544" i="27"/>
  <c r="D543" i="27"/>
  <c r="C543" i="27"/>
  <c r="D542" i="27"/>
  <c r="C542" i="27"/>
  <c r="D541" i="27"/>
  <c r="C541" i="27"/>
  <c r="D540" i="27"/>
  <c r="C540" i="27"/>
  <c r="D539" i="27"/>
  <c r="C539" i="27"/>
  <c r="D538" i="27"/>
  <c r="C538" i="27"/>
  <c r="D537" i="27"/>
  <c r="C537" i="27"/>
  <c r="D536" i="27"/>
  <c r="C536" i="27"/>
  <c r="D535" i="27"/>
  <c r="C535" i="27"/>
  <c r="D534" i="27"/>
  <c r="C534" i="27"/>
  <c r="D533" i="27"/>
  <c r="C533" i="27"/>
  <c r="D532" i="27"/>
  <c r="C532" i="27"/>
  <c r="D531" i="27"/>
  <c r="C531" i="27"/>
  <c r="D530" i="27"/>
  <c r="C530" i="27"/>
  <c r="D529" i="27"/>
  <c r="C529" i="27"/>
  <c r="D528" i="27"/>
  <c r="C528" i="27"/>
  <c r="D527" i="27"/>
  <c r="C527" i="27"/>
  <c r="D526" i="27"/>
  <c r="C526" i="27"/>
  <c r="D525" i="27"/>
  <c r="C525" i="27"/>
  <c r="D524" i="27"/>
  <c r="C524" i="27"/>
  <c r="D523" i="27"/>
  <c r="C523" i="27"/>
  <c r="D522" i="27"/>
  <c r="C522" i="27"/>
  <c r="D521" i="27"/>
  <c r="C521" i="27"/>
  <c r="D520" i="27"/>
  <c r="C520" i="27"/>
  <c r="D519" i="27"/>
  <c r="C519" i="27"/>
  <c r="D518" i="27"/>
  <c r="C518" i="27"/>
  <c r="D517" i="27"/>
  <c r="C517" i="27"/>
  <c r="D516" i="27"/>
  <c r="C516" i="27"/>
  <c r="D515" i="27"/>
  <c r="C515" i="27"/>
  <c r="D514" i="27"/>
  <c r="C514" i="27"/>
  <c r="D513" i="27"/>
  <c r="C513" i="27"/>
  <c r="D512" i="27"/>
  <c r="C512" i="27"/>
  <c r="D511" i="27"/>
  <c r="C511" i="27"/>
  <c r="D510" i="27"/>
  <c r="C510" i="27"/>
  <c r="D509" i="27"/>
  <c r="C509" i="27"/>
  <c r="D508" i="27"/>
  <c r="C508" i="27"/>
  <c r="D507" i="27"/>
  <c r="C507" i="27"/>
  <c r="D506" i="27"/>
  <c r="C506" i="27"/>
  <c r="D505" i="27"/>
  <c r="C505" i="27"/>
  <c r="D504" i="27"/>
  <c r="C504" i="27"/>
  <c r="D503" i="27"/>
  <c r="C503" i="27"/>
  <c r="D502" i="27"/>
  <c r="C502" i="27"/>
  <c r="D501" i="27"/>
  <c r="C501" i="27"/>
  <c r="D500" i="27"/>
  <c r="C500" i="27"/>
  <c r="D499" i="27"/>
  <c r="C499" i="27"/>
  <c r="D498" i="27"/>
  <c r="C498" i="27"/>
  <c r="D497" i="27"/>
  <c r="C497" i="27"/>
  <c r="D496" i="27"/>
  <c r="C496" i="27"/>
  <c r="D495" i="27"/>
  <c r="C495" i="27"/>
  <c r="D494" i="27"/>
  <c r="C494" i="27"/>
  <c r="D493" i="27"/>
  <c r="C493" i="27"/>
  <c r="D492" i="27"/>
  <c r="C492" i="27"/>
  <c r="D491" i="27"/>
  <c r="C491" i="27"/>
  <c r="D490" i="27"/>
  <c r="C490" i="27"/>
  <c r="D489" i="27"/>
  <c r="C489" i="27"/>
  <c r="D488" i="27"/>
  <c r="C488" i="27"/>
  <c r="D487" i="27"/>
  <c r="C487" i="27"/>
  <c r="D486" i="27"/>
  <c r="C486" i="27"/>
  <c r="D485" i="27"/>
  <c r="C485" i="27"/>
  <c r="D484" i="27"/>
  <c r="C484" i="27"/>
  <c r="D483" i="27"/>
  <c r="C483" i="27"/>
  <c r="D482" i="27"/>
  <c r="C482" i="27"/>
  <c r="D481" i="27"/>
  <c r="C481" i="27"/>
  <c r="D480" i="27"/>
  <c r="C480" i="27"/>
  <c r="D479" i="27"/>
  <c r="C479" i="27"/>
  <c r="D478" i="27"/>
  <c r="C478" i="27"/>
  <c r="D477" i="27"/>
  <c r="C477" i="27"/>
  <c r="D476" i="27"/>
  <c r="C476" i="27"/>
  <c r="D475" i="27"/>
  <c r="C475" i="27"/>
  <c r="D474" i="27"/>
  <c r="C474" i="27"/>
  <c r="D473" i="27"/>
  <c r="C473" i="27"/>
  <c r="D472" i="27"/>
  <c r="C472" i="27"/>
  <c r="D471" i="27"/>
  <c r="C471" i="27"/>
  <c r="D470" i="27"/>
  <c r="C470" i="27"/>
  <c r="D469" i="27"/>
  <c r="C469" i="27"/>
  <c r="D468" i="27"/>
  <c r="C468" i="27"/>
  <c r="D467" i="27"/>
  <c r="C467" i="27"/>
  <c r="D466" i="27"/>
  <c r="C466" i="27"/>
  <c r="D465" i="27"/>
  <c r="C465" i="27"/>
  <c r="D464" i="27"/>
  <c r="C464" i="27"/>
  <c r="D463" i="27"/>
  <c r="C463" i="27"/>
  <c r="D462" i="27"/>
  <c r="C462" i="27"/>
  <c r="D461" i="27"/>
  <c r="C461" i="27"/>
  <c r="D460" i="27"/>
  <c r="C460" i="27"/>
  <c r="D459" i="27"/>
  <c r="C459" i="27"/>
  <c r="D458" i="27"/>
  <c r="C458" i="27"/>
  <c r="D457" i="27"/>
  <c r="C457" i="27"/>
  <c r="D456" i="27"/>
  <c r="C456" i="27"/>
  <c r="D455" i="27"/>
  <c r="C455" i="27"/>
  <c r="D454" i="27"/>
  <c r="C454" i="27"/>
  <c r="D453" i="27"/>
  <c r="C453" i="27"/>
  <c r="D452" i="27"/>
  <c r="C452" i="27"/>
  <c r="D451" i="27"/>
  <c r="C451" i="27"/>
  <c r="D450" i="27"/>
  <c r="C450" i="27"/>
  <c r="D449" i="27"/>
  <c r="C449" i="27"/>
  <c r="D448" i="27"/>
  <c r="C448" i="27"/>
  <c r="D447" i="27"/>
  <c r="C447" i="27"/>
  <c r="D446" i="27"/>
  <c r="C446" i="27"/>
  <c r="D445" i="27"/>
  <c r="C445" i="27"/>
  <c r="D444" i="27"/>
  <c r="C444" i="27"/>
  <c r="D443" i="27"/>
  <c r="C443" i="27"/>
  <c r="D442" i="27"/>
  <c r="C442" i="27"/>
  <c r="D441" i="27"/>
  <c r="C441" i="27"/>
  <c r="D440" i="27"/>
  <c r="C440" i="27"/>
  <c r="D439" i="27"/>
  <c r="C439" i="27"/>
  <c r="D438" i="27"/>
  <c r="C438" i="27"/>
  <c r="D437" i="27"/>
  <c r="C437" i="27"/>
  <c r="D436" i="27"/>
  <c r="C436" i="27"/>
  <c r="D435" i="27"/>
  <c r="C435" i="27"/>
  <c r="D434" i="27"/>
  <c r="C434" i="27"/>
  <c r="D433" i="27"/>
  <c r="C433" i="27"/>
  <c r="D432" i="27"/>
  <c r="C432" i="27"/>
  <c r="D431" i="27"/>
  <c r="C431" i="27"/>
  <c r="D430" i="27"/>
  <c r="C430" i="27"/>
  <c r="D429" i="27"/>
  <c r="C429" i="27"/>
  <c r="D428" i="27"/>
  <c r="C428" i="27"/>
  <c r="D427" i="27"/>
  <c r="C427" i="27"/>
  <c r="D426" i="27"/>
  <c r="C426" i="27"/>
  <c r="D425" i="27"/>
  <c r="C425" i="27"/>
  <c r="D424" i="27"/>
  <c r="C424" i="27"/>
  <c r="D423" i="27"/>
  <c r="C423" i="27"/>
  <c r="D422" i="27"/>
  <c r="C422" i="27"/>
  <c r="D421" i="27"/>
  <c r="C421" i="27"/>
  <c r="D420" i="27"/>
  <c r="C420" i="27"/>
  <c r="D419" i="27"/>
  <c r="C419" i="27"/>
  <c r="D418" i="27"/>
  <c r="C418" i="27"/>
  <c r="D417" i="27"/>
  <c r="C417" i="27"/>
  <c r="D416" i="27"/>
  <c r="C416" i="27"/>
  <c r="D415" i="27"/>
  <c r="C415" i="27"/>
  <c r="D414" i="27"/>
  <c r="C414" i="27"/>
  <c r="D413" i="27"/>
  <c r="C413" i="27"/>
  <c r="D412" i="27"/>
  <c r="C412" i="27"/>
  <c r="D411" i="27"/>
  <c r="C411" i="27"/>
  <c r="D410" i="27"/>
  <c r="C410" i="27"/>
  <c r="D409" i="27"/>
  <c r="C409" i="27"/>
  <c r="D408" i="27"/>
  <c r="C408" i="27"/>
  <c r="D407" i="27"/>
  <c r="C407" i="27"/>
  <c r="D406" i="27"/>
  <c r="C406" i="27"/>
  <c r="D405" i="27"/>
  <c r="C405" i="27"/>
  <c r="D404" i="27"/>
  <c r="C404" i="27"/>
  <c r="D403" i="27"/>
  <c r="C403" i="27"/>
  <c r="D402" i="27"/>
  <c r="C402" i="27"/>
  <c r="D401" i="27"/>
  <c r="C401" i="27"/>
  <c r="D400" i="27"/>
  <c r="C400" i="27"/>
  <c r="D399" i="27"/>
  <c r="C399" i="27"/>
  <c r="D398" i="27"/>
  <c r="C398" i="27"/>
  <c r="D397" i="27"/>
  <c r="C397" i="27"/>
  <c r="D396" i="27"/>
  <c r="C396" i="27"/>
  <c r="D395" i="27"/>
  <c r="C395" i="27"/>
  <c r="D394" i="27"/>
  <c r="C394" i="27"/>
  <c r="D393" i="27"/>
  <c r="C393" i="27"/>
  <c r="D392" i="27"/>
  <c r="C392" i="27"/>
  <c r="D391" i="27"/>
  <c r="C391" i="27"/>
  <c r="D390" i="27"/>
  <c r="C390" i="27"/>
  <c r="D389" i="27"/>
  <c r="C389" i="27"/>
  <c r="D388" i="27"/>
  <c r="C388" i="27"/>
  <c r="D387" i="27"/>
  <c r="C387" i="27"/>
  <c r="D386" i="27"/>
  <c r="C386" i="27"/>
  <c r="D385" i="27"/>
  <c r="C385" i="27"/>
  <c r="D384" i="27"/>
  <c r="C384" i="27"/>
  <c r="D383" i="27"/>
  <c r="C383" i="27"/>
  <c r="D382" i="27"/>
  <c r="C382" i="27"/>
  <c r="D381" i="27"/>
  <c r="C381" i="27"/>
  <c r="D380" i="27"/>
  <c r="C380" i="27"/>
  <c r="D379" i="27"/>
  <c r="C379" i="27"/>
  <c r="D378" i="27"/>
  <c r="C378" i="27"/>
  <c r="D377" i="27"/>
  <c r="C377" i="27"/>
  <c r="D376" i="27"/>
  <c r="C376" i="27"/>
  <c r="D375" i="27"/>
  <c r="C375" i="27"/>
  <c r="D374" i="27"/>
  <c r="C374" i="27"/>
  <c r="D373" i="27"/>
  <c r="C373" i="27"/>
  <c r="D372" i="27"/>
  <c r="C372" i="27"/>
  <c r="D371" i="27"/>
  <c r="C371" i="27"/>
  <c r="D370" i="27"/>
  <c r="C370" i="27"/>
  <c r="D369" i="27"/>
  <c r="C369" i="27"/>
  <c r="D368" i="27"/>
  <c r="C368" i="27"/>
  <c r="D367" i="27"/>
  <c r="C367" i="27"/>
  <c r="D366" i="27"/>
  <c r="C366" i="27"/>
  <c r="D365" i="27"/>
  <c r="C365" i="27"/>
  <c r="D364" i="27"/>
  <c r="C364" i="27"/>
  <c r="D363" i="27"/>
  <c r="C363" i="27"/>
  <c r="D362" i="27"/>
  <c r="C362" i="27"/>
  <c r="D361" i="27"/>
  <c r="C361" i="27"/>
  <c r="D360" i="27"/>
  <c r="C360" i="27"/>
  <c r="D359" i="27"/>
  <c r="C359" i="27"/>
  <c r="D358" i="27"/>
  <c r="C358" i="27"/>
  <c r="D357" i="27"/>
  <c r="C357" i="27"/>
  <c r="D356" i="27"/>
  <c r="C356" i="27"/>
  <c r="D355" i="27"/>
  <c r="C355" i="27"/>
  <c r="D354" i="27"/>
  <c r="C354" i="27"/>
  <c r="D353" i="27"/>
  <c r="C353" i="27"/>
  <c r="D352" i="27"/>
  <c r="C352" i="27"/>
  <c r="D351" i="27"/>
  <c r="C351" i="27"/>
  <c r="D350" i="27"/>
  <c r="C350" i="27"/>
  <c r="D349" i="27"/>
  <c r="C349" i="27"/>
  <c r="D348" i="27"/>
  <c r="C348" i="27"/>
  <c r="D347" i="27"/>
  <c r="C347" i="27"/>
  <c r="D346" i="27"/>
  <c r="C346" i="27"/>
  <c r="D345" i="27"/>
  <c r="C345" i="27"/>
  <c r="D344" i="27"/>
  <c r="C344" i="27"/>
  <c r="D343" i="27"/>
  <c r="C343" i="27"/>
  <c r="D342" i="27"/>
  <c r="C342" i="27"/>
  <c r="D341" i="27"/>
  <c r="C341" i="27"/>
  <c r="D340" i="27"/>
  <c r="C340" i="27"/>
  <c r="D339" i="27"/>
  <c r="C339" i="27"/>
  <c r="D338" i="27"/>
  <c r="C338" i="27"/>
  <c r="D337" i="27"/>
  <c r="C337" i="27"/>
  <c r="D336" i="27"/>
  <c r="C336" i="27"/>
  <c r="D335" i="27"/>
  <c r="C335" i="27"/>
  <c r="D334" i="27"/>
  <c r="C334" i="27"/>
  <c r="D333" i="27"/>
  <c r="C333" i="27"/>
  <c r="D332" i="27"/>
  <c r="C332" i="27"/>
  <c r="D331" i="27"/>
  <c r="C331" i="27"/>
  <c r="D330" i="27"/>
  <c r="C330" i="27"/>
  <c r="D329" i="27"/>
  <c r="C329" i="27"/>
  <c r="D328" i="27"/>
  <c r="C328" i="27"/>
  <c r="D327" i="27"/>
  <c r="C327" i="27"/>
  <c r="D326" i="27"/>
  <c r="C326" i="27"/>
  <c r="D325" i="27"/>
  <c r="C325" i="27"/>
  <c r="D324" i="27"/>
  <c r="C324" i="27"/>
  <c r="D323" i="27"/>
  <c r="C323" i="27"/>
  <c r="D322" i="27"/>
  <c r="C322" i="27"/>
  <c r="D321" i="27"/>
  <c r="C321" i="27"/>
  <c r="D320" i="27"/>
  <c r="C320" i="27"/>
  <c r="D319" i="27"/>
  <c r="C319" i="27"/>
  <c r="D318" i="27"/>
  <c r="C318" i="27"/>
  <c r="D317" i="27"/>
  <c r="C317" i="27"/>
  <c r="D316" i="27"/>
  <c r="C316" i="27"/>
  <c r="D315" i="27"/>
  <c r="C315" i="27"/>
  <c r="D314" i="27"/>
  <c r="C314" i="27"/>
  <c r="D313" i="27"/>
  <c r="C313" i="27"/>
  <c r="D312" i="27"/>
  <c r="C312" i="27"/>
  <c r="D311" i="27"/>
  <c r="C311" i="27"/>
  <c r="D310" i="27"/>
  <c r="C310" i="27"/>
  <c r="D309" i="27"/>
  <c r="C309" i="27"/>
  <c r="D308" i="27"/>
  <c r="C308" i="27"/>
  <c r="D307" i="27"/>
  <c r="C307" i="27"/>
  <c r="D306" i="27"/>
  <c r="C306" i="27"/>
  <c r="D305" i="27"/>
  <c r="C305" i="27"/>
  <c r="D304" i="27"/>
  <c r="C304" i="27"/>
  <c r="D303" i="27"/>
  <c r="C303" i="27"/>
  <c r="D302" i="27"/>
  <c r="C302" i="27"/>
  <c r="D301" i="27"/>
  <c r="C301" i="27"/>
  <c r="D300" i="27"/>
  <c r="C300" i="27"/>
  <c r="D299" i="27"/>
  <c r="C299" i="27"/>
  <c r="D298" i="27"/>
  <c r="C298" i="27"/>
  <c r="D297" i="27"/>
  <c r="C297" i="27"/>
  <c r="D296" i="27"/>
  <c r="C296" i="27"/>
  <c r="D295" i="27"/>
  <c r="C295" i="27"/>
  <c r="D294" i="27"/>
  <c r="C294" i="27"/>
  <c r="D293" i="27"/>
  <c r="C293" i="27"/>
  <c r="D292" i="27"/>
  <c r="C292" i="27"/>
  <c r="D291" i="27"/>
  <c r="C291" i="27"/>
  <c r="D290" i="27"/>
  <c r="C290" i="27"/>
  <c r="D289" i="27"/>
  <c r="C289" i="27"/>
  <c r="D288" i="27"/>
  <c r="C288" i="27"/>
  <c r="D287" i="27"/>
  <c r="C287" i="27"/>
  <c r="D286" i="27"/>
  <c r="C286" i="27"/>
  <c r="D285" i="27"/>
  <c r="C285" i="27"/>
  <c r="D284" i="27"/>
  <c r="C284" i="27"/>
  <c r="D283" i="27"/>
  <c r="C283" i="27"/>
  <c r="D282" i="27"/>
  <c r="C282" i="27"/>
  <c r="D281" i="27"/>
  <c r="C281" i="27"/>
  <c r="D280" i="27"/>
  <c r="C280" i="27"/>
  <c r="D279" i="27"/>
  <c r="C279" i="27"/>
  <c r="D278" i="27"/>
  <c r="C278" i="27"/>
  <c r="D277" i="27"/>
  <c r="C277" i="27"/>
  <c r="D276" i="27"/>
  <c r="C276" i="27"/>
  <c r="D275" i="27"/>
  <c r="C275" i="27"/>
  <c r="D274" i="27"/>
  <c r="C274" i="27"/>
  <c r="D273" i="27"/>
  <c r="C273" i="27"/>
  <c r="D272" i="27"/>
  <c r="C272" i="27"/>
  <c r="D271" i="27"/>
  <c r="C271" i="27"/>
  <c r="D270" i="27"/>
  <c r="C270" i="27"/>
  <c r="D269" i="27"/>
  <c r="C269" i="27"/>
  <c r="D268" i="27"/>
  <c r="C268" i="27"/>
  <c r="D267" i="27"/>
  <c r="C267" i="27"/>
  <c r="D266" i="27"/>
  <c r="C266" i="27"/>
  <c r="D265" i="27"/>
  <c r="C265" i="27"/>
  <c r="D264" i="27"/>
  <c r="C264" i="27"/>
  <c r="D263" i="27"/>
  <c r="C263" i="27"/>
  <c r="D262" i="27"/>
  <c r="C262" i="27"/>
  <c r="D261" i="27"/>
  <c r="C261" i="27"/>
  <c r="D260" i="27"/>
  <c r="C260" i="27"/>
  <c r="D259" i="27"/>
  <c r="C259" i="27"/>
  <c r="D258" i="27"/>
  <c r="C258" i="27"/>
  <c r="D257" i="27"/>
  <c r="C257" i="27"/>
  <c r="D256" i="27"/>
  <c r="C256" i="27"/>
  <c r="D255" i="27"/>
  <c r="C255" i="27"/>
  <c r="D254" i="27"/>
  <c r="C254" i="27"/>
  <c r="D253" i="27"/>
  <c r="C253" i="27"/>
  <c r="D252" i="27"/>
  <c r="C252" i="27"/>
  <c r="D251" i="27"/>
  <c r="C251" i="27"/>
  <c r="D250" i="27"/>
  <c r="C250" i="27"/>
  <c r="D249" i="27"/>
  <c r="C249" i="27"/>
  <c r="D248" i="27"/>
  <c r="C248" i="27"/>
  <c r="D247" i="27"/>
  <c r="C247" i="27"/>
  <c r="D246" i="27"/>
  <c r="C246" i="27"/>
  <c r="D245" i="27"/>
  <c r="C245" i="27"/>
  <c r="D244" i="27"/>
  <c r="C244" i="27"/>
  <c r="D243" i="27"/>
  <c r="C243" i="27"/>
  <c r="D242" i="27"/>
  <c r="C242" i="27"/>
  <c r="D241" i="27"/>
  <c r="C241" i="27"/>
  <c r="D240" i="27"/>
  <c r="C240" i="27"/>
  <c r="D239" i="27"/>
  <c r="C239" i="27"/>
  <c r="D238" i="27"/>
  <c r="C238" i="27"/>
  <c r="D237" i="27"/>
  <c r="C237" i="27"/>
  <c r="D236" i="27"/>
  <c r="C236" i="27"/>
  <c r="D235" i="27"/>
  <c r="C235" i="27"/>
  <c r="D234" i="27"/>
  <c r="C234" i="27"/>
  <c r="D233" i="27"/>
  <c r="C233" i="27"/>
  <c r="D232" i="27"/>
  <c r="C232" i="27"/>
  <c r="D231" i="27"/>
  <c r="C231" i="27"/>
  <c r="D230" i="27"/>
  <c r="C230" i="27"/>
  <c r="D229" i="27"/>
  <c r="C229" i="27"/>
  <c r="D228" i="27"/>
  <c r="C228" i="27"/>
  <c r="D227" i="27"/>
  <c r="C227" i="27"/>
  <c r="D226" i="27"/>
  <c r="C226" i="27"/>
  <c r="D225" i="27"/>
  <c r="C225" i="27"/>
  <c r="D224" i="27"/>
  <c r="C224" i="27"/>
  <c r="D223" i="27"/>
  <c r="C223" i="27"/>
  <c r="D222" i="27"/>
  <c r="C222" i="27"/>
  <c r="D221" i="27"/>
  <c r="C221" i="27"/>
  <c r="D220" i="27"/>
  <c r="C220" i="27"/>
  <c r="D219" i="27"/>
  <c r="C219" i="27"/>
  <c r="D218" i="27"/>
  <c r="C218" i="27"/>
  <c r="D217" i="27"/>
  <c r="C217" i="27"/>
  <c r="D216" i="27"/>
  <c r="C216" i="27"/>
  <c r="D215" i="27"/>
  <c r="C215" i="27"/>
  <c r="D214" i="27"/>
  <c r="C214" i="27"/>
  <c r="D213" i="27"/>
  <c r="C213" i="27"/>
  <c r="D212" i="27"/>
  <c r="C212" i="27"/>
  <c r="D211" i="27"/>
  <c r="C211" i="27"/>
  <c r="D210" i="27"/>
  <c r="C210" i="27"/>
  <c r="D209" i="27"/>
  <c r="C209" i="27"/>
  <c r="D208" i="27"/>
  <c r="C208" i="27"/>
  <c r="D207" i="27"/>
  <c r="C207" i="27"/>
  <c r="D206" i="27"/>
  <c r="C206" i="27"/>
  <c r="D205" i="27"/>
  <c r="C205" i="27"/>
  <c r="D204" i="27"/>
  <c r="C204" i="27"/>
  <c r="D203" i="27"/>
  <c r="C203" i="27"/>
  <c r="D202" i="27"/>
  <c r="C202" i="27"/>
  <c r="D201" i="27"/>
  <c r="C201" i="27"/>
  <c r="D200" i="27"/>
  <c r="C200" i="27"/>
  <c r="D199" i="27"/>
  <c r="C199" i="27"/>
  <c r="D198" i="27"/>
  <c r="C198" i="27"/>
  <c r="D197" i="27"/>
  <c r="C197" i="27"/>
  <c r="D196" i="27"/>
  <c r="C196" i="27"/>
  <c r="D195" i="27"/>
  <c r="C195" i="27"/>
  <c r="D194" i="27"/>
  <c r="C194" i="27"/>
  <c r="D193" i="27"/>
  <c r="C193" i="27"/>
  <c r="D192" i="27"/>
  <c r="C192" i="27"/>
  <c r="D191" i="27"/>
  <c r="C191" i="27"/>
  <c r="D190" i="27"/>
  <c r="C190" i="27"/>
  <c r="D189" i="27"/>
  <c r="C189" i="27"/>
  <c r="D188" i="27"/>
  <c r="C188" i="27"/>
  <c r="D187" i="27"/>
  <c r="C187" i="27"/>
  <c r="D186" i="27"/>
  <c r="C186" i="27"/>
  <c r="D185" i="27"/>
  <c r="C185" i="27"/>
  <c r="D184" i="27"/>
  <c r="C184" i="27"/>
  <c r="D183" i="27"/>
  <c r="C183" i="27"/>
  <c r="D182" i="27"/>
  <c r="C182" i="27"/>
  <c r="D181" i="27"/>
  <c r="C181" i="27"/>
  <c r="D180" i="27"/>
  <c r="C180" i="27"/>
  <c r="D179" i="27"/>
  <c r="C179" i="27"/>
  <c r="D178" i="27"/>
  <c r="C178" i="27"/>
  <c r="D177" i="27"/>
  <c r="C177" i="27"/>
  <c r="D176" i="27"/>
  <c r="C176" i="27"/>
  <c r="D175" i="27"/>
  <c r="C175" i="27"/>
  <c r="D174" i="27"/>
  <c r="C174" i="27"/>
  <c r="D173" i="27"/>
  <c r="C173" i="27"/>
  <c r="D172" i="27"/>
  <c r="C172" i="27"/>
  <c r="D171" i="27"/>
  <c r="C171" i="27"/>
  <c r="D170" i="27"/>
  <c r="C170" i="27"/>
  <c r="D169" i="27"/>
  <c r="C169" i="27"/>
  <c r="D168" i="27"/>
  <c r="C168" i="27"/>
  <c r="D167" i="27"/>
  <c r="C167" i="27"/>
  <c r="D166" i="27"/>
  <c r="C166" i="27"/>
  <c r="D165" i="27"/>
  <c r="C165" i="27"/>
  <c r="D164" i="27"/>
  <c r="C164" i="27"/>
  <c r="D163" i="27"/>
  <c r="C163" i="27"/>
  <c r="D162" i="27"/>
  <c r="C162" i="27"/>
  <c r="D161" i="27"/>
  <c r="C161" i="27"/>
  <c r="D160" i="27"/>
  <c r="C160" i="27"/>
  <c r="D159" i="27"/>
  <c r="C159" i="27"/>
  <c r="D158" i="27"/>
  <c r="C158" i="27"/>
  <c r="D157" i="27"/>
  <c r="C157" i="27"/>
  <c r="D156" i="27"/>
  <c r="C156" i="27"/>
  <c r="D155" i="27"/>
  <c r="C155" i="27"/>
  <c r="D154" i="27"/>
  <c r="C154" i="27"/>
  <c r="D153" i="27"/>
  <c r="C153" i="27"/>
  <c r="D152" i="27"/>
  <c r="C152" i="27"/>
  <c r="D151" i="27"/>
  <c r="C151" i="27"/>
  <c r="D150" i="27"/>
  <c r="C150" i="27"/>
  <c r="D149" i="27"/>
  <c r="C149" i="27"/>
  <c r="D148" i="27"/>
  <c r="C148" i="27"/>
  <c r="D147" i="27"/>
  <c r="C147" i="27"/>
  <c r="D146" i="27"/>
  <c r="C146" i="27"/>
  <c r="D145" i="27"/>
  <c r="C145" i="27"/>
  <c r="D144" i="27"/>
  <c r="C144" i="27"/>
  <c r="D143" i="27"/>
  <c r="C143" i="27"/>
  <c r="D142" i="27"/>
  <c r="C142" i="27"/>
  <c r="D141" i="27"/>
  <c r="C141" i="27"/>
  <c r="D140" i="27"/>
  <c r="C140" i="27"/>
  <c r="D139" i="27"/>
  <c r="C139" i="27"/>
  <c r="D138" i="27"/>
  <c r="C138" i="27"/>
  <c r="D137" i="27"/>
  <c r="C137" i="27"/>
  <c r="D136" i="27"/>
  <c r="C136" i="27"/>
  <c r="D135" i="27"/>
  <c r="C135" i="27"/>
  <c r="D134" i="27"/>
  <c r="C134" i="27"/>
  <c r="D133" i="27"/>
  <c r="C133" i="27"/>
  <c r="D132" i="27"/>
  <c r="C132" i="27"/>
  <c r="D131" i="27"/>
  <c r="C131" i="27"/>
  <c r="D130" i="27"/>
  <c r="C130" i="27"/>
  <c r="D129" i="27"/>
  <c r="C129" i="27"/>
  <c r="D128" i="27"/>
  <c r="C128" i="27"/>
  <c r="D127" i="27"/>
  <c r="C127" i="27"/>
  <c r="D126" i="27"/>
  <c r="C126" i="27"/>
  <c r="D125" i="27"/>
  <c r="C125" i="27"/>
  <c r="D124" i="27"/>
  <c r="C124" i="27"/>
  <c r="D123" i="27"/>
  <c r="C123" i="27"/>
  <c r="D122" i="27"/>
  <c r="C122" i="27"/>
  <c r="D121" i="27"/>
  <c r="C121" i="27"/>
  <c r="D120" i="27"/>
  <c r="C120" i="27"/>
  <c r="D119" i="27"/>
  <c r="C119" i="27"/>
  <c r="D118" i="27"/>
  <c r="C118" i="27"/>
  <c r="D117" i="27"/>
  <c r="C117" i="27"/>
  <c r="D116" i="27"/>
  <c r="C116" i="27"/>
  <c r="D115" i="27"/>
  <c r="C115" i="27"/>
  <c r="D114" i="27"/>
  <c r="C114" i="27"/>
  <c r="D113" i="27"/>
  <c r="C113" i="27"/>
  <c r="D112" i="27"/>
  <c r="C112" i="27"/>
  <c r="D111" i="27"/>
  <c r="C111" i="27"/>
  <c r="D110" i="27"/>
  <c r="C110" i="27"/>
  <c r="D109" i="27"/>
  <c r="C109" i="27"/>
  <c r="D108" i="27"/>
  <c r="C108" i="27"/>
  <c r="D107" i="27"/>
  <c r="C107" i="27"/>
  <c r="D106" i="27"/>
  <c r="C106" i="27"/>
  <c r="D105" i="27"/>
  <c r="C105" i="27"/>
  <c r="D104" i="27"/>
  <c r="C104" i="27"/>
  <c r="D103" i="27"/>
  <c r="C103" i="27"/>
  <c r="D102" i="27"/>
  <c r="C102" i="27"/>
  <c r="D101" i="27"/>
  <c r="C101" i="27"/>
  <c r="D100" i="27"/>
  <c r="C100" i="27"/>
  <c r="D99" i="27"/>
  <c r="C99" i="27"/>
  <c r="D98" i="27"/>
  <c r="C98" i="27"/>
  <c r="D97" i="27"/>
  <c r="C97" i="27"/>
  <c r="D96" i="27"/>
  <c r="C96" i="27"/>
  <c r="D95" i="27"/>
  <c r="C95" i="27"/>
  <c r="D94" i="27"/>
  <c r="C94" i="27"/>
  <c r="D93" i="27"/>
  <c r="C93" i="27"/>
  <c r="D92" i="27"/>
  <c r="C92" i="27"/>
  <c r="D91" i="27"/>
  <c r="C91" i="27"/>
  <c r="D90" i="27"/>
  <c r="C90" i="27"/>
  <c r="D89" i="27"/>
  <c r="C89" i="27"/>
  <c r="D88" i="27"/>
  <c r="C88" i="27"/>
  <c r="D87" i="27"/>
  <c r="C87" i="27"/>
  <c r="D86" i="27"/>
  <c r="C86" i="27"/>
  <c r="D85" i="27"/>
  <c r="C85" i="27"/>
  <c r="D84" i="27"/>
  <c r="C84" i="27"/>
  <c r="D83" i="27"/>
  <c r="C83" i="27"/>
  <c r="D82" i="27"/>
  <c r="C82" i="27"/>
  <c r="D81" i="27"/>
  <c r="C81" i="27"/>
  <c r="D80" i="27"/>
  <c r="C80" i="27"/>
  <c r="D79" i="27"/>
  <c r="C79" i="27"/>
  <c r="D78" i="27"/>
  <c r="C78" i="27"/>
  <c r="D77" i="27"/>
  <c r="C77" i="27"/>
  <c r="D76" i="27"/>
  <c r="C76" i="27"/>
  <c r="D75" i="27"/>
  <c r="C75" i="27"/>
  <c r="D74" i="27"/>
  <c r="C74" i="27"/>
  <c r="D73" i="27"/>
  <c r="C73" i="27"/>
  <c r="D72" i="27"/>
  <c r="C72" i="27"/>
  <c r="D71" i="27"/>
  <c r="C71" i="27"/>
  <c r="D70" i="27"/>
  <c r="C70" i="27"/>
  <c r="D69" i="27"/>
  <c r="C69" i="27"/>
  <c r="D68" i="27"/>
  <c r="C68" i="27"/>
  <c r="D67" i="27"/>
  <c r="C67" i="27"/>
  <c r="D66" i="27"/>
  <c r="C66" i="27"/>
  <c r="D65" i="27"/>
  <c r="C65" i="27"/>
  <c r="D64" i="27"/>
  <c r="C64" i="27"/>
  <c r="D63" i="27"/>
  <c r="C63" i="27"/>
  <c r="D62" i="27"/>
  <c r="C62" i="27"/>
  <c r="D61" i="27"/>
  <c r="C61" i="27"/>
  <c r="D60" i="27"/>
  <c r="C60" i="27"/>
  <c r="D59" i="27"/>
  <c r="C59" i="27"/>
  <c r="D58" i="27"/>
  <c r="C58" i="27"/>
  <c r="D57" i="27"/>
  <c r="C57" i="27"/>
  <c r="D56" i="27"/>
  <c r="C56" i="27"/>
  <c r="D55" i="27"/>
  <c r="C55" i="27"/>
  <c r="D54" i="27"/>
  <c r="C54" i="27"/>
  <c r="D53" i="27"/>
  <c r="C53" i="27"/>
  <c r="D52" i="27"/>
  <c r="C52" i="27"/>
  <c r="D51" i="27"/>
  <c r="C51" i="27"/>
  <c r="D50" i="27"/>
  <c r="C50" i="27"/>
  <c r="D49" i="27"/>
  <c r="C49" i="27"/>
  <c r="D48" i="27"/>
  <c r="C48" i="27"/>
  <c r="D47" i="27"/>
  <c r="C47" i="27"/>
  <c r="D46" i="27"/>
  <c r="C46" i="27"/>
  <c r="D45" i="27"/>
  <c r="C45" i="27"/>
  <c r="D44" i="27"/>
  <c r="C44" i="27"/>
  <c r="D43" i="27"/>
  <c r="C43" i="27"/>
  <c r="D42" i="27"/>
  <c r="C42" i="27"/>
  <c r="D41" i="27"/>
  <c r="C41" i="27"/>
  <c r="D40" i="27"/>
  <c r="C40" i="27"/>
  <c r="D39" i="27"/>
  <c r="C39" i="27"/>
  <c r="D38" i="27"/>
  <c r="C38" i="27"/>
  <c r="D37" i="27"/>
  <c r="C37" i="27"/>
  <c r="D36" i="27"/>
  <c r="C36" i="27"/>
  <c r="D35" i="27"/>
  <c r="C35" i="27"/>
  <c r="D34" i="27"/>
  <c r="C34" i="27"/>
  <c r="D33" i="27"/>
  <c r="C33" i="27"/>
  <c r="D32" i="27"/>
  <c r="C32" i="27"/>
  <c r="D31" i="27"/>
  <c r="C31" i="27"/>
  <c r="D30" i="27"/>
  <c r="C30" i="27"/>
  <c r="D29" i="27"/>
  <c r="C29" i="27"/>
  <c r="D28" i="27"/>
  <c r="C28" i="27"/>
  <c r="D27" i="27"/>
  <c r="C27" i="27"/>
  <c r="D26" i="27"/>
  <c r="C26" i="27"/>
  <c r="D25" i="27"/>
  <c r="C25" i="27"/>
  <c r="D24" i="27"/>
  <c r="C24" i="27"/>
  <c r="D23" i="27"/>
  <c r="C23" i="27"/>
  <c r="D22" i="27"/>
  <c r="C22" i="27"/>
  <c r="D21" i="27"/>
  <c r="C21" i="27"/>
  <c r="D20" i="27"/>
  <c r="C20" i="27"/>
  <c r="D19" i="27"/>
  <c r="C19" i="27"/>
  <c r="D18" i="27"/>
  <c r="C18" i="27"/>
  <c r="D17" i="27"/>
  <c r="C17" i="27"/>
  <c r="D16" i="27"/>
  <c r="C16" i="27"/>
  <c r="D15" i="27"/>
  <c r="C15" i="27"/>
  <c r="D14" i="27"/>
  <c r="C14" i="27"/>
  <c r="D13" i="27"/>
  <c r="C13" i="27"/>
  <c r="D12" i="27"/>
  <c r="C12" i="27"/>
  <c r="D11" i="27"/>
  <c r="C11" i="27"/>
  <c r="D10" i="27"/>
  <c r="C10" i="27"/>
  <c r="D9" i="27"/>
  <c r="C9" i="27"/>
  <c r="D8" i="27"/>
  <c r="C8" i="27"/>
  <c r="D7" i="27"/>
  <c r="C7" i="27"/>
  <c r="D6" i="27"/>
  <c r="C6" i="27"/>
  <c r="D5" i="27"/>
  <c r="G12" i="30" l="1"/>
  <c r="G24" i="30"/>
  <c r="G36" i="30"/>
  <c r="G48" i="30"/>
  <c r="G60" i="30"/>
  <c r="G72" i="30"/>
  <c r="G16" i="30"/>
  <c r="G76" i="30"/>
  <c r="G13" i="30"/>
  <c r="G25" i="30"/>
  <c r="G37" i="30"/>
  <c r="G49" i="30"/>
  <c r="G61" i="30"/>
  <c r="G73" i="30"/>
  <c r="G15" i="30"/>
  <c r="G27" i="30"/>
  <c r="G39" i="30"/>
  <c r="G51" i="30"/>
  <c r="G63" i="30"/>
  <c r="G75" i="30"/>
  <c r="G52" i="30"/>
  <c r="G5" i="30"/>
  <c r="G17" i="30"/>
  <c r="G29" i="30"/>
  <c r="G41" i="30"/>
  <c r="G53" i="30"/>
  <c r="G65" i="30"/>
  <c r="G77" i="30"/>
  <c r="G40" i="30"/>
  <c r="G6" i="30"/>
  <c r="G18" i="30"/>
  <c r="G30" i="30"/>
  <c r="G42" i="30"/>
  <c r="G54" i="30"/>
  <c r="G66" i="30"/>
  <c r="G78" i="30"/>
  <c r="G7" i="30"/>
  <c r="G19" i="30"/>
  <c r="G31" i="30"/>
  <c r="G43" i="30"/>
  <c r="G55" i="30"/>
  <c r="G67" i="30"/>
  <c r="G79" i="30"/>
  <c r="G8" i="30"/>
  <c r="G20" i="30"/>
  <c r="G32" i="30"/>
  <c r="G44" i="30"/>
  <c r="G56" i="30"/>
  <c r="G68" i="30"/>
  <c r="G9" i="30"/>
  <c r="G21" i="30"/>
  <c r="G33" i="30"/>
  <c r="G45" i="30"/>
  <c r="G57" i="30"/>
  <c r="G69" i="30"/>
  <c r="G10" i="30"/>
  <c r="G22" i="30"/>
  <c r="G34" i="30"/>
  <c r="G46" i="30"/>
  <c r="G58" i="30"/>
  <c r="G70" i="30"/>
  <c r="G28" i="30"/>
  <c r="G11" i="30"/>
  <c r="G23" i="30"/>
  <c r="G35" i="30"/>
  <c r="G47" i="30"/>
  <c r="G59" i="30"/>
  <c r="U77" i="15"/>
  <c r="U76" i="15"/>
  <c r="U75" i="15"/>
  <c r="U74" i="15"/>
  <c r="U73" i="15"/>
  <c r="U72" i="15"/>
  <c r="U71" i="15"/>
  <c r="U70" i="15"/>
  <c r="U69" i="15"/>
  <c r="U68" i="15"/>
  <c r="U67" i="15"/>
  <c r="U66" i="15"/>
  <c r="U65" i="15"/>
  <c r="U64" i="15"/>
  <c r="U63" i="15"/>
  <c r="U62" i="15"/>
  <c r="U61" i="15"/>
  <c r="U60" i="15"/>
  <c r="U59" i="15"/>
  <c r="U58" i="15"/>
  <c r="U57" i="15"/>
  <c r="U56" i="15"/>
  <c r="U55" i="15"/>
  <c r="U54" i="15"/>
  <c r="U53" i="15"/>
  <c r="U52" i="15"/>
  <c r="U51" i="15"/>
  <c r="U50" i="15"/>
  <c r="U49" i="15"/>
  <c r="U48" i="15"/>
  <c r="U47" i="15"/>
  <c r="U46" i="15"/>
  <c r="U45" i="15"/>
  <c r="U44" i="15"/>
  <c r="U43" i="15"/>
  <c r="U42" i="15"/>
  <c r="U41" i="15"/>
  <c r="U40" i="15"/>
  <c r="U39" i="15"/>
  <c r="U38" i="15"/>
  <c r="U37" i="15"/>
  <c r="U36" i="15"/>
  <c r="U35" i="15"/>
  <c r="U34" i="15"/>
  <c r="U33" i="15"/>
  <c r="U32" i="15"/>
  <c r="U31" i="15"/>
  <c r="U30" i="15"/>
  <c r="U29" i="15"/>
  <c r="U28" i="15"/>
  <c r="U27" i="15"/>
  <c r="U26" i="15"/>
  <c r="U25" i="15"/>
  <c r="U24" i="15"/>
  <c r="U23" i="15"/>
  <c r="U22" i="15"/>
  <c r="U21" i="15"/>
  <c r="U20" i="15"/>
  <c r="U19" i="15"/>
  <c r="U18" i="15"/>
  <c r="U17" i="15"/>
  <c r="T77" i="15"/>
  <c r="T76" i="15"/>
  <c r="T75" i="15"/>
  <c r="T74"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47" i="15"/>
  <c r="T46" i="15"/>
  <c r="T45" i="15"/>
  <c r="T44" i="15"/>
  <c r="T43" i="15"/>
  <c r="T42" i="15"/>
  <c r="T41" i="15"/>
  <c r="T40" i="15"/>
  <c r="T39" i="15"/>
  <c r="T38" i="15"/>
  <c r="T37" i="15"/>
  <c r="T36" i="15"/>
  <c r="T35" i="15"/>
  <c r="T34" i="15"/>
  <c r="T33" i="15"/>
  <c r="T32" i="15"/>
  <c r="T31" i="15"/>
  <c r="T30" i="15"/>
  <c r="T29" i="15"/>
  <c r="T28" i="15"/>
  <c r="T27" i="15"/>
  <c r="T26" i="15"/>
  <c r="T25" i="15"/>
  <c r="T24" i="15"/>
  <c r="T23" i="15"/>
  <c r="T22" i="15"/>
  <c r="T21" i="15"/>
  <c r="T20" i="15"/>
  <c r="T19" i="15"/>
  <c r="T18" i="15"/>
  <c r="T17" i="15"/>
  <c r="D2" i="22"/>
  <c r="D3"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D9" i="22"/>
  <c r="D8" i="22"/>
  <c r="D7" i="22"/>
  <c r="D6" i="22"/>
  <c r="D5" i="22"/>
  <c r="D4" i="22"/>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B9" i="19"/>
  <c r="B8" i="19"/>
  <c r="B7" i="19"/>
  <c r="B6" i="19"/>
  <c r="B5" i="19"/>
  <c r="B4" i="19"/>
  <c r="B3" i="19"/>
  <c r="B2" i="19"/>
  <c r="D451" i="20" l="1"/>
  <c r="D450" i="20"/>
  <c r="D449" i="20"/>
  <c r="D448" i="20"/>
  <c r="D447" i="20"/>
  <c r="D446" i="20"/>
  <c r="D445" i="20"/>
  <c r="D444" i="20"/>
  <c r="D443" i="20"/>
  <c r="D442" i="20"/>
  <c r="D441" i="20"/>
  <c r="D440" i="20"/>
  <c r="D439" i="20"/>
  <c r="D438" i="20"/>
  <c r="D437" i="20"/>
  <c r="D436" i="20"/>
  <c r="D435" i="20"/>
  <c r="D434" i="20"/>
  <c r="D433" i="20"/>
  <c r="D432" i="20"/>
  <c r="D431" i="20"/>
  <c r="D430" i="20"/>
  <c r="D429" i="20"/>
  <c r="D428" i="20"/>
  <c r="D427" i="20"/>
  <c r="D426" i="20"/>
  <c r="D425" i="20"/>
  <c r="D424" i="20"/>
  <c r="D423" i="20"/>
  <c r="D422" i="20"/>
  <c r="D421" i="20"/>
  <c r="D420" i="20"/>
  <c r="D419" i="20"/>
  <c r="D418" i="20"/>
  <c r="D417" i="20"/>
  <c r="D416" i="20"/>
  <c r="D415" i="20"/>
  <c r="D414" i="20"/>
  <c r="D413" i="20"/>
  <c r="D412" i="20"/>
  <c r="D411" i="20"/>
  <c r="D410" i="20"/>
  <c r="D409" i="20"/>
  <c r="D408" i="20"/>
  <c r="D407" i="20"/>
  <c r="D406" i="20"/>
  <c r="D405" i="20"/>
  <c r="D404" i="20"/>
  <c r="D403" i="20"/>
  <c r="D402" i="20"/>
  <c r="D401" i="20"/>
  <c r="D400" i="20"/>
  <c r="D399" i="20"/>
  <c r="D398" i="20"/>
  <c r="D397" i="20"/>
  <c r="D396" i="20"/>
  <c r="D395" i="20"/>
  <c r="D394" i="20"/>
  <c r="D393" i="20"/>
  <c r="D392" i="20"/>
  <c r="D391" i="20"/>
  <c r="D390" i="20"/>
  <c r="D389" i="20"/>
  <c r="D388" i="20"/>
  <c r="D387" i="20"/>
  <c r="D386" i="20"/>
  <c r="D385" i="20"/>
  <c r="D384" i="20"/>
  <c r="D383" i="20"/>
  <c r="D382" i="20"/>
  <c r="D381" i="20"/>
  <c r="D380" i="20"/>
  <c r="D379" i="20"/>
  <c r="D378" i="20"/>
  <c r="D377" i="20"/>
  <c r="D376" i="20"/>
  <c r="D375" i="20"/>
  <c r="D374" i="20"/>
  <c r="D373" i="20"/>
  <c r="D372" i="20"/>
  <c r="D371" i="20"/>
  <c r="D370" i="20"/>
  <c r="D369" i="20"/>
  <c r="D368" i="20"/>
  <c r="D367" i="20"/>
  <c r="D366" i="20"/>
  <c r="D365" i="20"/>
  <c r="D364" i="20"/>
  <c r="D363" i="20"/>
  <c r="D362" i="20"/>
  <c r="D361" i="20"/>
  <c r="D360" i="20"/>
  <c r="D359" i="20"/>
  <c r="D358" i="20"/>
  <c r="D357" i="20"/>
  <c r="D356" i="20"/>
  <c r="D355" i="20"/>
  <c r="D354" i="20"/>
  <c r="D353" i="20"/>
  <c r="D352" i="20"/>
  <c r="D351" i="20"/>
  <c r="D350" i="20"/>
  <c r="D349" i="20"/>
  <c r="D348" i="20"/>
  <c r="D347" i="20"/>
  <c r="D346" i="20"/>
  <c r="D345" i="20"/>
  <c r="D344" i="20"/>
  <c r="D343" i="20"/>
  <c r="D342" i="20"/>
  <c r="D341" i="20"/>
  <c r="D340" i="20"/>
  <c r="D339" i="20"/>
  <c r="D338" i="20"/>
  <c r="D337" i="20"/>
  <c r="D336" i="20"/>
  <c r="D335" i="20"/>
  <c r="D334" i="20"/>
  <c r="D333" i="20"/>
  <c r="D332" i="20"/>
  <c r="D331" i="20"/>
  <c r="D330" i="20"/>
  <c r="D329" i="20"/>
  <c r="D328" i="20"/>
  <c r="D327" i="20"/>
  <c r="D326" i="20"/>
  <c r="D325" i="20"/>
  <c r="D324" i="20"/>
  <c r="D323" i="20"/>
  <c r="D322" i="20"/>
  <c r="D321" i="20"/>
  <c r="D320" i="20"/>
  <c r="D319" i="20"/>
  <c r="D318" i="20"/>
  <c r="D317" i="20"/>
  <c r="D316" i="20"/>
  <c r="D315" i="20"/>
  <c r="D314" i="20"/>
  <c r="D313" i="20"/>
  <c r="D312" i="20"/>
  <c r="D311" i="20"/>
  <c r="D310" i="20"/>
  <c r="D309" i="20"/>
  <c r="D308" i="20"/>
  <c r="D307" i="20"/>
  <c r="D306" i="20"/>
  <c r="D305" i="20"/>
  <c r="D304" i="20"/>
  <c r="D303" i="20"/>
  <c r="D302" i="20"/>
  <c r="D301" i="20"/>
  <c r="D300" i="20"/>
  <c r="D299" i="20"/>
  <c r="D298" i="20"/>
  <c r="D297" i="20"/>
  <c r="D296" i="20"/>
  <c r="D295" i="20"/>
  <c r="D294" i="20"/>
  <c r="D293" i="20"/>
  <c r="D292" i="20"/>
  <c r="D291" i="20"/>
  <c r="D290" i="20"/>
  <c r="D289" i="20"/>
  <c r="D288" i="20"/>
  <c r="D287" i="20"/>
  <c r="D286" i="20"/>
  <c r="D285" i="20"/>
  <c r="D284" i="20"/>
  <c r="D283" i="20"/>
  <c r="D282" i="20"/>
  <c r="D281" i="20"/>
  <c r="D280" i="20"/>
  <c r="D279" i="20"/>
  <c r="D278" i="20"/>
  <c r="D277" i="20"/>
  <c r="D276" i="20"/>
  <c r="D275" i="20"/>
  <c r="D274" i="20"/>
  <c r="D273" i="20"/>
  <c r="D272" i="20"/>
  <c r="D271" i="20"/>
  <c r="D270" i="20"/>
  <c r="D269" i="20"/>
  <c r="D268" i="20"/>
  <c r="D267" i="20"/>
  <c r="D266" i="20"/>
  <c r="D265" i="20"/>
  <c r="D264" i="20"/>
  <c r="D263" i="20"/>
  <c r="D262" i="20"/>
  <c r="D261" i="20"/>
  <c r="D260" i="20"/>
  <c r="D259" i="20"/>
  <c r="D258" i="20"/>
  <c r="D257" i="20"/>
  <c r="D256" i="20"/>
  <c r="D255" i="20"/>
  <c r="D254" i="20"/>
  <c r="D253" i="20"/>
  <c r="D252" i="20"/>
  <c r="D251" i="20"/>
  <c r="D250" i="20"/>
  <c r="D249" i="20"/>
  <c r="D248" i="20"/>
  <c r="D247" i="20"/>
  <c r="D246" i="20"/>
  <c r="D245" i="20"/>
  <c r="D244" i="20"/>
  <c r="D243" i="20"/>
  <c r="D242" i="20"/>
  <c r="D241" i="20"/>
  <c r="D240" i="20"/>
  <c r="D239" i="20"/>
  <c r="D238" i="20"/>
  <c r="D237" i="20"/>
  <c r="D236" i="20"/>
  <c r="D235" i="20"/>
  <c r="D234" i="20"/>
  <c r="D233" i="20"/>
  <c r="D232" i="20"/>
  <c r="D231" i="20"/>
  <c r="D230" i="20"/>
  <c r="D229" i="20"/>
  <c r="D228" i="20"/>
  <c r="D227" i="20"/>
  <c r="D226" i="20"/>
  <c r="D225" i="20"/>
  <c r="D224" i="20"/>
  <c r="D223" i="20"/>
  <c r="D222" i="20"/>
  <c r="D221" i="20"/>
  <c r="D220" i="20"/>
  <c r="D219" i="20"/>
  <c r="D218" i="20"/>
  <c r="D217" i="20"/>
  <c r="D216" i="20"/>
  <c r="D215" i="20"/>
  <c r="D214" i="20"/>
  <c r="D213" i="20"/>
  <c r="D212" i="20"/>
  <c r="D211" i="20"/>
  <c r="D210" i="20"/>
  <c r="D209" i="20"/>
  <c r="D208" i="20"/>
  <c r="D207" i="20"/>
  <c r="D206" i="20"/>
  <c r="D205" i="20"/>
  <c r="D204" i="20"/>
  <c r="D203" i="20"/>
  <c r="D202" i="20"/>
  <c r="D201" i="20"/>
  <c r="D200" i="20"/>
  <c r="D199" i="20"/>
  <c r="D198" i="20"/>
  <c r="D197" i="20"/>
  <c r="D196" i="20"/>
  <c r="D195" i="20"/>
  <c r="D194" i="20"/>
  <c r="D193" i="20"/>
  <c r="D192" i="20"/>
  <c r="D191" i="20"/>
  <c r="D190" i="20"/>
  <c r="D189" i="20"/>
  <c r="D188" i="20"/>
  <c r="D187" i="20"/>
  <c r="D186" i="20"/>
  <c r="D185" i="20"/>
  <c r="D184" i="20"/>
  <c r="D183" i="20"/>
  <c r="D182" i="20"/>
  <c r="D181" i="20"/>
  <c r="D180" i="20"/>
  <c r="D179" i="20"/>
  <c r="D178" i="20"/>
  <c r="D177" i="20"/>
  <c r="D176" i="20"/>
  <c r="D175" i="20"/>
  <c r="D174" i="20"/>
  <c r="D173" i="20"/>
  <c r="D172" i="20"/>
  <c r="D171" i="20"/>
  <c r="D170" i="20"/>
  <c r="D169" i="20"/>
  <c r="D168" i="20"/>
  <c r="D167" i="20"/>
  <c r="D166" i="20"/>
  <c r="D165" i="20"/>
  <c r="D164" i="20"/>
  <c r="D163" i="20"/>
  <c r="D162" i="20"/>
  <c r="D161" i="20"/>
  <c r="D160" i="20"/>
  <c r="D159" i="20"/>
  <c r="D158" i="20"/>
  <c r="D157" i="20"/>
  <c r="D156" i="20"/>
  <c r="D155" i="20"/>
  <c r="D154" i="20"/>
  <c r="D153" i="20"/>
  <c r="D152" i="20"/>
  <c r="D151" i="20"/>
  <c r="D150" i="20"/>
  <c r="D149" i="20"/>
  <c r="D148" i="20"/>
  <c r="D147" i="20"/>
  <c r="D146" i="20"/>
  <c r="D145" i="20"/>
  <c r="D144" i="20"/>
  <c r="D143" i="20"/>
  <c r="D142" i="20"/>
  <c r="D141" i="20"/>
  <c r="D140" i="20"/>
  <c r="D139" i="20"/>
  <c r="D138" i="20"/>
  <c r="D137" i="20"/>
  <c r="D136" i="20"/>
  <c r="D135" i="20"/>
  <c r="D134" i="20"/>
  <c r="D133" i="20"/>
  <c r="D132" i="20"/>
  <c r="D131" i="20"/>
  <c r="D130" i="20"/>
  <c r="D129" i="20"/>
  <c r="D128" i="20"/>
  <c r="D127" i="20"/>
  <c r="D126" i="20"/>
  <c r="D125" i="20"/>
  <c r="D124" i="20"/>
  <c r="D123" i="20"/>
  <c r="D122" i="20"/>
  <c r="D121" i="20"/>
  <c r="D120" i="20"/>
  <c r="D119" i="20"/>
  <c r="D118" i="20"/>
  <c r="D117" i="20"/>
  <c r="D116" i="20"/>
  <c r="D115" i="20"/>
  <c r="D114" i="20"/>
  <c r="D113" i="20"/>
  <c r="D112" i="20"/>
  <c r="D111" i="20"/>
  <c r="D110" i="20"/>
  <c r="D109" i="20"/>
  <c r="D108" i="20"/>
  <c r="D107" i="20"/>
  <c r="D106" i="20"/>
  <c r="D105" i="20"/>
  <c r="D104" i="20"/>
  <c r="D103" i="20"/>
  <c r="D102" i="20"/>
  <c r="D101" i="20"/>
  <c r="D100" i="20"/>
  <c r="D99" i="20"/>
  <c r="D98" i="20"/>
  <c r="D97" i="20"/>
  <c r="D96" i="20"/>
  <c r="D95" i="20"/>
  <c r="D94" i="20"/>
  <c r="D93" i="20"/>
  <c r="D92" i="20"/>
  <c r="D91" i="20"/>
  <c r="D90" i="20"/>
  <c r="D89" i="20"/>
  <c r="D88" i="20"/>
  <c r="D87" i="20"/>
  <c r="D86" i="20"/>
  <c r="D85" i="20"/>
  <c r="D84" i="20"/>
  <c r="D83" i="20"/>
  <c r="D82" i="20"/>
  <c r="D81" i="20"/>
  <c r="D80" i="20"/>
  <c r="D79" i="20"/>
  <c r="D78" i="20"/>
  <c r="D77" i="20"/>
  <c r="D76" i="20"/>
  <c r="D75" i="20"/>
  <c r="D74" i="20"/>
  <c r="D73" i="20"/>
  <c r="D72" i="20"/>
  <c r="D71" i="20"/>
  <c r="D70" i="20"/>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17" i="20"/>
  <c r="D16" i="20"/>
  <c r="D15" i="20"/>
  <c r="D14" i="20"/>
  <c r="D13" i="20"/>
  <c r="D12" i="20"/>
  <c r="D11" i="20"/>
  <c r="D10" i="20"/>
  <c r="D9" i="20"/>
  <c r="D8" i="20"/>
  <c r="D7" i="20"/>
  <c r="D6" i="20"/>
  <c r="D5" i="20"/>
  <c r="K2" i="2"/>
  <c r="I79" i="11"/>
  <c r="I78" i="11"/>
  <c r="I77" i="11"/>
  <c r="I76" i="11"/>
  <c r="I75" i="11"/>
  <c r="I74" i="11"/>
  <c r="I73" i="11"/>
  <c r="I72" i="11"/>
  <c r="I71" i="11"/>
  <c r="I70" i="11"/>
  <c r="I69" i="11"/>
  <c r="I68" i="11"/>
  <c r="I67" i="11"/>
  <c r="I66" i="11"/>
  <c r="I5" i="11"/>
  <c r="I65" i="11"/>
  <c r="I64" i="11"/>
  <c r="I63" i="11"/>
  <c r="I62" i="11"/>
  <c r="I61" i="11"/>
  <c r="I60" i="11"/>
  <c r="I59" i="11"/>
  <c r="I58" i="11"/>
  <c r="I57" i="11"/>
  <c r="I56" i="11"/>
  <c r="I55" i="11"/>
  <c r="I54" i="11"/>
  <c r="I53" i="11"/>
  <c r="I52" i="11"/>
  <c r="I51" i="11"/>
  <c r="I50" i="11"/>
  <c r="I49" i="11"/>
  <c r="I48" i="11"/>
  <c r="I47" i="11"/>
  <c r="I46" i="11"/>
  <c r="I45" i="11"/>
  <c r="I44" i="11"/>
  <c r="I43" i="11"/>
  <c r="I42" i="11"/>
  <c r="I41" i="11"/>
  <c r="I40" i="11"/>
  <c r="I39" i="11"/>
  <c r="I38" i="11"/>
  <c r="I37" i="11"/>
  <c r="I36" i="11"/>
  <c r="I35" i="11"/>
  <c r="I34" i="11"/>
  <c r="I33" i="11"/>
  <c r="I32" i="11"/>
  <c r="I31" i="11"/>
  <c r="I30" i="11"/>
  <c r="I29" i="11"/>
  <c r="I28" i="11"/>
  <c r="I27" i="11"/>
  <c r="I26" i="11"/>
  <c r="I25" i="11"/>
  <c r="I24" i="11"/>
  <c r="I23" i="11"/>
  <c r="I22" i="11"/>
  <c r="I21" i="11"/>
  <c r="I20" i="11"/>
  <c r="I19" i="11"/>
  <c r="I18" i="11"/>
  <c r="I17" i="11"/>
  <c r="I16" i="11"/>
  <c r="I15" i="11"/>
  <c r="I14" i="11"/>
  <c r="I13" i="11"/>
  <c r="I12" i="11"/>
  <c r="I11" i="11"/>
  <c r="I10" i="11"/>
  <c r="I9" i="11"/>
  <c r="I8" i="11"/>
  <c r="I7" i="11"/>
  <c r="I6" i="11"/>
  <c r="D5" i="11"/>
  <c r="D5" i="9"/>
  <c r="N54" i="17"/>
  <c r="N53" i="17"/>
  <c r="N52" i="17"/>
  <c r="N51" i="17"/>
  <c r="N50" i="17"/>
  <c r="N49" i="17"/>
  <c r="N48" i="17"/>
  <c r="N47" i="17"/>
  <c r="N46" i="17"/>
  <c r="N45" i="17"/>
  <c r="N44" i="17"/>
  <c r="N43" i="17"/>
  <c r="N42" i="17"/>
  <c r="N41" i="17"/>
  <c r="N40" i="17"/>
  <c r="N39" i="17"/>
  <c r="N38" i="17"/>
  <c r="N37" i="17"/>
  <c r="N36" i="17"/>
  <c r="N35" i="17"/>
  <c r="N34" i="17"/>
  <c r="N33" i="17"/>
  <c r="N32" i="17"/>
  <c r="N31" i="17"/>
  <c r="N30" i="17"/>
  <c r="N29" i="17"/>
  <c r="N28" i="17"/>
  <c r="N27" i="17"/>
  <c r="N26" i="17"/>
  <c r="N25" i="17"/>
  <c r="N24" i="17"/>
  <c r="N23" i="17"/>
  <c r="N22" i="17"/>
  <c r="N21" i="17"/>
  <c r="N20" i="17"/>
  <c r="N19" i="17"/>
  <c r="N18" i="17"/>
  <c r="N17" i="17"/>
  <c r="N16" i="17"/>
  <c r="N15" i="17"/>
  <c r="N14" i="17"/>
  <c r="N13" i="17"/>
  <c r="N12" i="17"/>
  <c r="N11" i="17"/>
  <c r="N10" i="17"/>
  <c r="N9" i="17"/>
  <c r="N8" i="17"/>
  <c r="N7" i="17"/>
  <c r="N6" i="17"/>
  <c r="N5" i="17"/>
  <c r="F5" i="17"/>
  <c r="H5" i="17" s="1"/>
  <c r="E5" i="17"/>
  <c r="C5" i="17"/>
  <c r="J5" i="17" s="1"/>
  <c r="J6" i="17"/>
  <c r="F6" i="17"/>
  <c r="H6" i="17" s="1"/>
  <c r="E6" i="17"/>
  <c r="C6" i="17"/>
  <c r="F7" i="17"/>
  <c r="H7" i="17" s="1"/>
  <c r="E7" i="17"/>
  <c r="C7" i="17"/>
  <c r="J7" i="17" s="1"/>
  <c r="F8" i="17"/>
  <c r="H8" i="17" s="1"/>
  <c r="E8" i="17"/>
  <c r="C8" i="17"/>
  <c r="J8" i="17" s="1"/>
  <c r="J76" i="3"/>
  <c r="J75" i="3"/>
  <c r="J74" i="3"/>
  <c r="J73" i="3"/>
  <c r="Q5" i="5"/>
  <c r="S3568" i="5"/>
  <c r="S3567" i="5"/>
  <c r="S3566" i="5"/>
  <c r="S3565" i="5"/>
  <c r="S3564" i="5"/>
  <c r="S3563" i="5"/>
  <c r="S3562" i="5"/>
  <c r="S3561" i="5"/>
  <c r="S3560" i="5"/>
  <c r="S3559" i="5"/>
  <c r="S3558" i="5"/>
  <c r="S3557" i="5"/>
  <c r="S3556" i="5"/>
  <c r="S3555" i="5"/>
  <c r="S3554" i="5"/>
  <c r="S3553" i="5"/>
  <c r="S3552" i="5"/>
  <c r="S3551" i="5"/>
  <c r="S3550" i="5"/>
  <c r="S3549" i="5"/>
  <c r="S3548" i="5"/>
  <c r="S3547" i="5"/>
  <c r="S3546" i="5"/>
  <c r="S3545" i="5"/>
  <c r="S3544" i="5"/>
  <c r="S3543" i="5"/>
  <c r="S3542" i="5"/>
  <c r="S3541" i="5"/>
  <c r="S3540" i="5"/>
  <c r="S3539" i="5"/>
  <c r="S3538" i="5"/>
  <c r="S3537" i="5"/>
  <c r="S3536" i="5"/>
  <c r="S3535" i="5"/>
  <c r="S3534" i="5"/>
  <c r="S3533" i="5"/>
  <c r="S3532" i="5"/>
  <c r="S3531" i="5"/>
  <c r="S3530" i="5"/>
  <c r="S3529" i="5"/>
  <c r="S3528" i="5"/>
  <c r="S3527" i="5"/>
  <c r="S3526" i="5"/>
  <c r="S3525" i="5"/>
  <c r="S3524" i="5"/>
  <c r="S3523" i="5"/>
  <c r="S3522" i="5"/>
  <c r="S3521" i="5"/>
  <c r="S3520" i="5"/>
  <c r="S3519" i="5"/>
  <c r="S3518" i="5"/>
  <c r="S3517" i="5"/>
  <c r="S3516" i="5"/>
  <c r="S3515" i="5"/>
  <c r="S3514" i="5"/>
  <c r="S3513" i="5"/>
  <c r="S3512" i="5"/>
  <c r="S3511" i="5"/>
  <c r="S3510" i="5"/>
  <c r="S3509" i="5"/>
  <c r="S3508" i="5"/>
  <c r="S3507" i="5"/>
  <c r="S3506" i="5"/>
  <c r="S3505" i="5"/>
  <c r="S3504" i="5"/>
  <c r="S3503" i="5"/>
  <c r="S3502" i="5"/>
  <c r="S3501" i="5"/>
  <c r="S3500" i="5"/>
  <c r="S3499" i="5"/>
  <c r="S3498" i="5"/>
  <c r="S3497" i="5"/>
  <c r="S3496" i="5"/>
  <c r="S3495" i="5"/>
  <c r="S3494" i="5"/>
  <c r="S3493" i="5"/>
  <c r="S3492" i="5"/>
  <c r="S3491" i="5"/>
  <c r="S3490" i="5"/>
  <c r="S3489" i="5"/>
  <c r="S3488" i="5"/>
  <c r="S3487" i="5"/>
  <c r="S3486" i="5"/>
  <c r="S3485" i="5"/>
  <c r="S3484" i="5"/>
  <c r="S3483" i="5"/>
  <c r="S3482" i="5"/>
  <c r="S3481" i="5"/>
  <c r="S3480" i="5"/>
  <c r="S3479" i="5"/>
  <c r="S3478" i="5"/>
  <c r="S3477" i="5"/>
  <c r="S3476" i="5"/>
  <c r="S3475" i="5"/>
  <c r="S3474" i="5"/>
  <c r="S3473" i="5"/>
  <c r="S3472" i="5"/>
  <c r="S3471" i="5"/>
  <c r="S3470" i="5"/>
  <c r="S3469" i="5"/>
  <c r="S3468" i="5"/>
  <c r="S3467" i="5"/>
  <c r="S3466" i="5"/>
  <c r="S3465" i="5"/>
  <c r="S3464" i="5"/>
  <c r="S3463" i="5"/>
  <c r="S3462" i="5"/>
  <c r="S3461" i="5"/>
  <c r="S3460" i="5"/>
  <c r="S3459" i="5"/>
  <c r="S3458" i="5"/>
  <c r="S3457" i="5"/>
  <c r="S3456" i="5"/>
  <c r="S3455" i="5"/>
  <c r="S3454" i="5"/>
  <c r="S3453" i="5"/>
  <c r="S3452" i="5"/>
  <c r="S3451" i="5"/>
  <c r="S3450" i="5"/>
  <c r="S3449" i="5"/>
  <c r="S3448" i="5"/>
  <c r="S3447" i="5"/>
  <c r="S3446" i="5"/>
  <c r="S3445" i="5"/>
  <c r="S3444" i="5"/>
  <c r="S3443" i="5"/>
  <c r="S3442" i="5"/>
  <c r="S3441" i="5"/>
  <c r="S3440" i="5"/>
  <c r="S3439" i="5"/>
  <c r="S3438" i="5"/>
  <c r="S3437" i="5"/>
  <c r="S3436" i="5"/>
  <c r="S3435" i="5"/>
  <c r="S3434" i="5"/>
  <c r="S3433" i="5"/>
  <c r="S3432" i="5"/>
  <c r="S3431" i="5"/>
  <c r="S3430" i="5"/>
  <c r="S3429" i="5"/>
  <c r="S3428" i="5"/>
  <c r="S3427" i="5"/>
  <c r="S3426" i="5"/>
  <c r="S3425" i="5"/>
  <c r="S3424" i="5"/>
  <c r="S3423" i="5"/>
  <c r="S3422" i="5"/>
  <c r="S3421" i="5"/>
  <c r="S3420" i="5"/>
  <c r="S3419" i="5"/>
  <c r="S3418" i="5"/>
  <c r="S3417" i="5"/>
  <c r="S3416" i="5"/>
  <c r="S3415" i="5"/>
  <c r="S3414" i="5"/>
  <c r="S3413" i="5"/>
  <c r="S3412" i="5"/>
  <c r="S3411" i="5"/>
  <c r="S3410" i="5"/>
  <c r="S3409" i="5"/>
  <c r="S3408" i="5"/>
  <c r="S3407" i="5"/>
  <c r="S3406" i="5"/>
  <c r="S3405" i="5"/>
  <c r="S3404" i="5"/>
  <c r="S3403" i="5"/>
  <c r="S3402" i="5"/>
  <c r="S3401" i="5"/>
  <c r="S3400" i="5"/>
  <c r="S3399" i="5"/>
  <c r="S3398" i="5"/>
  <c r="S3397" i="5"/>
  <c r="S3396" i="5"/>
  <c r="S3395" i="5"/>
  <c r="S3394" i="5"/>
  <c r="S3393" i="5"/>
  <c r="S3392" i="5"/>
  <c r="S3391" i="5"/>
  <c r="S3390" i="5"/>
  <c r="S3389" i="5"/>
  <c r="S3388" i="5"/>
  <c r="S3387" i="5"/>
  <c r="S3386" i="5"/>
  <c r="S3385" i="5"/>
  <c r="S3384" i="5"/>
  <c r="S3383" i="5"/>
  <c r="S3382" i="5"/>
  <c r="S3381" i="5"/>
  <c r="S3380" i="5"/>
  <c r="S3379" i="5"/>
  <c r="S3378" i="5"/>
  <c r="S3377" i="5"/>
  <c r="S3376" i="5"/>
  <c r="S3375" i="5"/>
  <c r="S3374" i="5"/>
  <c r="S3373" i="5"/>
  <c r="S3372" i="5"/>
  <c r="S3371" i="5"/>
  <c r="S3370" i="5"/>
  <c r="S3369" i="5"/>
  <c r="S3368" i="5"/>
  <c r="S3367" i="5"/>
  <c r="S3366" i="5"/>
  <c r="S3365" i="5"/>
  <c r="S3364" i="5"/>
  <c r="S3363" i="5"/>
  <c r="S3362" i="5"/>
  <c r="S3361" i="5"/>
  <c r="S3360" i="5"/>
  <c r="S3359" i="5"/>
  <c r="S3358" i="5"/>
  <c r="S3357" i="5"/>
  <c r="S3356" i="5"/>
  <c r="S3355" i="5"/>
  <c r="S3354" i="5"/>
  <c r="S3353" i="5"/>
  <c r="S3352" i="5"/>
  <c r="S3351" i="5"/>
  <c r="S3350" i="5"/>
  <c r="S3349" i="5"/>
  <c r="S3348" i="5"/>
  <c r="S3347" i="5"/>
  <c r="S3346" i="5"/>
  <c r="S3345" i="5"/>
  <c r="S3344" i="5"/>
  <c r="S3343" i="5"/>
  <c r="S3342" i="5"/>
  <c r="S3341" i="5"/>
  <c r="S3340" i="5"/>
  <c r="S3339" i="5"/>
  <c r="S3338" i="5"/>
  <c r="S3337" i="5"/>
  <c r="S3336" i="5"/>
  <c r="S3335" i="5"/>
  <c r="S3334" i="5"/>
  <c r="S3333" i="5"/>
  <c r="S3332" i="5"/>
  <c r="S3331" i="5"/>
  <c r="S3330" i="5"/>
  <c r="S3329" i="5"/>
  <c r="S3328" i="5"/>
  <c r="S3327" i="5"/>
  <c r="S3326" i="5"/>
  <c r="S3325" i="5"/>
  <c r="S3324" i="5"/>
  <c r="S3323" i="5"/>
  <c r="S3322" i="5"/>
  <c r="S3321" i="5"/>
  <c r="S3320" i="5"/>
  <c r="S3319" i="5"/>
  <c r="S3318" i="5"/>
  <c r="S3317" i="5"/>
  <c r="S3316" i="5"/>
  <c r="S3315" i="5"/>
  <c r="S3314" i="5"/>
  <c r="S3313" i="5"/>
  <c r="S3312" i="5"/>
  <c r="S3311" i="5"/>
  <c r="S3310" i="5"/>
  <c r="S3309" i="5"/>
  <c r="S3308" i="5"/>
  <c r="S3307" i="5"/>
  <c r="S3306" i="5"/>
  <c r="S3305" i="5"/>
  <c r="S3304" i="5"/>
  <c r="S3303" i="5"/>
  <c r="S3302" i="5"/>
  <c r="S3301" i="5"/>
  <c r="S3300" i="5"/>
  <c r="S3299" i="5"/>
  <c r="S3298" i="5"/>
  <c r="S3297" i="5"/>
  <c r="S3296" i="5"/>
  <c r="S3295" i="5"/>
  <c r="S3294" i="5"/>
  <c r="S3293" i="5"/>
  <c r="S3292" i="5"/>
  <c r="S3291" i="5"/>
  <c r="S3290" i="5"/>
  <c r="S3289" i="5"/>
  <c r="S3288" i="5"/>
  <c r="S3287" i="5"/>
  <c r="S3286" i="5"/>
  <c r="S3285" i="5"/>
  <c r="S3284" i="5"/>
  <c r="S3283" i="5"/>
  <c r="S3282" i="5"/>
  <c r="S3281" i="5"/>
  <c r="S3280" i="5"/>
  <c r="S3279" i="5"/>
  <c r="S3278" i="5"/>
  <c r="S3277" i="5"/>
  <c r="S3276" i="5"/>
  <c r="S3275" i="5"/>
  <c r="S3274" i="5"/>
  <c r="S3273" i="5"/>
  <c r="S3272" i="5"/>
  <c r="S3271" i="5"/>
  <c r="S3270" i="5"/>
  <c r="S3269" i="5"/>
  <c r="S3268" i="5"/>
  <c r="S3267" i="5"/>
  <c r="S3266" i="5"/>
  <c r="S3265" i="5"/>
  <c r="S3264" i="5"/>
  <c r="S3263" i="5"/>
  <c r="S3262" i="5"/>
  <c r="S3261" i="5"/>
  <c r="S3260" i="5"/>
  <c r="S3259" i="5"/>
  <c r="S3258" i="5"/>
  <c r="S3257" i="5"/>
  <c r="S3256" i="5"/>
  <c r="S3255" i="5"/>
  <c r="S3254" i="5"/>
  <c r="S3253" i="5"/>
  <c r="S3252" i="5"/>
  <c r="S3251" i="5"/>
  <c r="S3250" i="5"/>
  <c r="S3249" i="5"/>
  <c r="S3248" i="5"/>
  <c r="S3247" i="5"/>
  <c r="S3246" i="5"/>
  <c r="S3245" i="5"/>
  <c r="S3244" i="5"/>
  <c r="S3243" i="5"/>
  <c r="S3242" i="5"/>
  <c r="S3241" i="5"/>
  <c r="S3240" i="5"/>
  <c r="S3239" i="5"/>
  <c r="S3238" i="5"/>
  <c r="S3237" i="5"/>
  <c r="S3236" i="5"/>
  <c r="S3235" i="5"/>
  <c r="S3234" i="5"/>
  <c r="S3233" i="5"/>
  <c r="S3232" i="5"/>
  <c r="S3231" i="5"/>
  <c r="S3230" i="5"/>
  <c r="S3229" i="5"/>
  <c r="S3228" i="5"/>
  <c r="S3227" i="5"/>
  <c r="S3226" i="5"/>
  <c r="S3225" i="5"/>
  <c r="S3224" i="5"/>
  <c r="S3223" i="5"/>
  <c r="S3222" i="5"/>
  <c r="S3221" i="5"/>
  <c r="S3220" i="5"/>
  <c r="S3219" i="5"/>
  <c r="S3218" i="5"/>
  <c r="S3217" i="5"/>
  <c r="S3216" i="5"/>
  <c r="S3215" i="5"/>
  <c r="S3214" i="5"/>
  <c r="S3213" i="5"/>
  <c r="S3212" i="5"/>
  <c r="S3211" i="5"/>
  <c r="S3210" i="5"/>
  <c r="S3209" i="5"/>
  <c r="S3208" i="5"/>
  <c r="S3207" i="5"/>
  <c r="S3206" i="5"/>
  <c r="S3205" i="5"/>
  <c r="S3204" i="5"/>
  <c r="S3203" i="5"/>
  <c r="S3202" i="5"/>
  <c r="S3201" i="5"/>
  <c r="S3200" i="5"/>
  <c r="S3199" i="5"/>
  <c r="S3198" i="5"/>
  <c r="S3197" i="5"/>
  <c r="S3196" i="5"/>
  <c r="S3195" i="5"/>
  <c r="S3194" i="5"/>
  <c r="S3193" i="5"/>
  <c r="S3192" i="5"/>
  <c r="S3191" i="5"/>
  <c r="S3190" i="5"/>
  <c r="S3189" i="5"/>
  <c r="S3188" i="5"/>
  <c r="S3187" i="5"/>
  <c r="S3186" i="5"/>
  <c r="S3185" i="5"/>
  <c r="S3184" i="5"/>
  <c r="S3183" i="5"/>
  <c r="S3182" i="5"/>
  <c r="S3181" i="5"/>
  <c r="S3180" i="5"/>
  <c r="S3179" i="5"/>
  <c r="S3178" i="5"/>
  <c r="S3177" i="5"/>
  <c r="S3176" i="5"/>
  <c r="S3175" i="5"/>
  <c r="S3174" i="5"/>
  <c r="S3173" i="5"/>
  <c r="S3172" i="5"/>
  <c r="S3171" i="5"/>
  <c r="S3170" i="5"/>
  <c r="S3169" i="5"/>
  <c r="S3168" i="5"/>
  <c r="S3167" i="5"/>
  <c r="S3166" i="5"/>
  <c r="S3165" i="5"/>
  <c r="S3164" i="5"/>
  <c r="S3163" i="5"/>
  <c r="S3162" i="5"/>
  <c r="S3161" i="5"/>
  <c r="S3160" i="5"/>
  <c r="S3159" i="5"/>
  <c r="S3158" i="5"/>
  <c r="S3157" i="5"/>
  <c r="S3156" i="5"/>
  <c r="S3155" i="5"/>
  <c r="S3154" i="5"/>
  <c r="S3153" i="5"/>
  <c r="S3152" i="5"/>
  <c r="S3151" i="5"/>
  <c r="S3150" i="5"/>
  <c r="S3149" i="5"/>
  <c r="S3148" i="5"/>
  <c r="S3147" i="5"/>
  <c r="S3146" i="5"/>
  <c r="S3145" i="5"/>
  <c r="S3144" i="5"/>
  <c r="S3143" i="5"/>
  <c r="S3142" i="5"/>
  <c r="S3141" i="5"/>
  <c r="S3140" i="5"/>
  <c r="S3139" i="5"/>
  <c r="S3138" i="5"/>
  <c r="S3137" i="5"/>
  <c r="S3136" i="5"/>
  <c r="S3135" i="5"/>
  <c r="S3134" i="5"/>
  <c r="S3133" i="5"/>
  <c r="S3132" i="5"/>
  <c r="S3131" i="5"/>
  <c r="S3130" i="5"/>
  <c r="S3129" i="5"/>
  <c r="S3128" i="5"/>
  <c r="S3127" i="5"/>
  <c r="S3126" i="5"/>
  <c r="S3125" i="5"/>
  <c r="S3124" i="5"/>
  <c r="S3123" i="5"/>
  <c r="S3122" i="5"/>
  <c r="S3121" i="5"/>
  <c r="S3120" i="5"/>
  <c r="S3119" i="5"/>
  <c r="S3118" i="5"/>
  <c r="S3117" i="5"/>
  <c r="S3116" i="5"/>
  <c r="S3115" i="5"/>
  <c r="S3114" i="5"/>
  <c r="S3113" i="5"/>
  <c r="S3112" i="5"/>
  <c r="S3111" i="5"/>
  <c r="S3110" i="5"/>
  <c r="S3109" i="5"/>
  <c r="S3108" i="5"/>
  <c r="S3107" i="5"/>
  <c r="S3106" i="5"/>
  <c r="S3105" i="5"/>
  <c r="S3104" i="5"/>
  <c r="S3103" i="5"/>
  <c r="S3102" i="5"/>
  <c r="S3101" i="5"/>
  <c r="S3100" i="5"/>
  <c r="S3099" i="5"/>
  <c r="S3098" i="5"/>
  <c r="S3097" i="5"/>
  <c r="S3096" i="5"/>
  <c r="S3095" i="5"/>
  <c r="S3094" i="5"/>
  <c r="S3093" i="5"/>
  <c r="S3092" i="5"/>
  <c r="S3091" i="5"/>
  <c r="S3090" i="5"/>
  <c r="S3089" i="5"/>
  <c r="S3088" i="5"/>
  <c r="S3087" i="5"/>
  <c r="S3086" i="5"/>
  <c r="S3085" i="5"/>
  <c r="S3084" i="5"/>
  <c r="S3083" i="5"/>
  <c r="S3082" i="5"/>
  <c r="S3081" i="5"/>
  <c r="S3080" i="5"/>
  <c r="S3079" i="5"/>
  <c r="S3078" i="5"/>
  <c r="S3077" i="5"/>
  <c r="S3076" i="5"/>
  <c r="S3075" i="5"/>
  <c r="S3074" i="5"/>
  <c r="S3073" i="5"/>
  <c r="S3072" i="5"/>
  <c r="S3071" i="5"/>
  <c r="S3070" i="5"/>
  <c r="S3069" i="5"/>
  <c r="S3068" i="5"/>
  <c r="S3067" i="5"/>
  <c r="S3066" i="5"/>
  <c r="S3065" i="5"/>
  <c r="S3064" i="5"/>
  <c r="S3063" i="5"/>
  <c r="S3062" i="5"/>
  <c r="S3061" i="5"/>
  <c r="S3060" i="5"/>
  <c r="S3059" i="5"/>
  <c r="S3058" i="5"/>
  <c r="S3057" i="5"/>
  <c r="S3056" i="5"/>
  <c r="S3055" i="5"/>
  <c r="S3054" i="5"/>
  <c r="S3053" i="5"/>
  <c r="S3052" i="5"/>
  <c r="S3051" i="5"/>
  <c r="S3050" i="5"/>
  <c r="S3049" i="5"/>
  <c r="S3048" i="5"/>
  <c r="S3047" i="5"/>
  <c r="S3046" i="5"/>
  <c r="S3045" i="5"/>
  <c r="S3044" i="5"/>
  <c r="S3043" i="5"/>
  <c r="S3042" i="5"/>
  <c r="S3041" i="5"/>
  <c r="S3040" i="5"/>
  <c r="S3039" i="5"/>
  <c r="S3038" i="5"/>
  <c r="S3037" i="5"/>
  <c r="S3036" i="5"/>
  <c r="S3035" i="5"/>
  <c r="S3034" i="5"/>
  <c r="S3033" i="5"/>
  <c r="S3032" i="5"/>
  <c r="S3031" i="5"/>
  <c r="S3030" i="5"/>
  <c r="S3029" i="5"/>
  <c r="S3028" i="5"/>
  <c r="S3027" i="5"/>
  <c r="S3026" i="5"/>
  <c r="S3025" i="5"/>
  <c r="S3024" i="5"/>
  <c r="S3023" i="5"/>
  <c r="S3022" i="5"/>
  <c r="S3021" i="5"/>
  <c r="S3020" i="5"/>
  <c r="S3019" i="5"/>
  <c r="S3018" i="5"/>
  <c r="S3017" i="5"/>
  <c r="S3016" i="5"/>
  <c r="S3015" i="5"/>
  <c r="S3014" i="5"/>
  <c r="S3013" i="5"/>
  <c r="S3012" i="5"/>
  <c r="S3011" i="5"/>
  <c r="S3010" i="5"/>
  <c r="S3009" i="5"/>
  <c r="S3008" i="5"/>
  <c r="S3007" i="5"/>
  <c r="S3006" i="5"/>
  <c r="S3005" i="5"/>
  <c r="S3004" i="5"/>
  <c r="S3003" i="5"/>
  <c r="S3002" i="5"/>
  <c r="S3001" i="5"/>
  <c r="S3000" i="5"/>
  <c r="S2999" i="5"/>
  <c r="S2998" i="5"/>
  <c r="S2997" i="5"/>
  <c r="S2996" i="5"/>
  <c r="S2995" i="5"/>
  <c r="S2994" i="5"/>
  <c r="S2993" i="5"/>
  <c r="S2992" i="5"/>
  <c r="S2991" i="5"/>
  <c r="S2990" i="5"/>
  <c r="S2989" i="5"/>
  <c r="S2988" i="5"/>
  <c r="S2987" i="5"/>
  <c r="S2986" i="5"/>
  <c r="S2985" i="5"/>
  <c r="S2984" i="5"/>
  <c r="S2983" i="5"/>
  <c r="S2982" i="5"/>
  <c r="S2981" i="5"/>
  <c r="S2980" i="5"/>
  <c r="S2979" i="5"/>
  <c r="S2978" i="5"/>
  <c r="S2977" i="5"/>
  <c r="S2976" i="5"/>
  <c r="S2975" i="5"/>
  <c r="S2974" i="5"/>
  <c r="S2973" i="5"/>
  <c r="S2972" i="5"/>
  <c r="S2971" i="5"/>
  <c r="S2970" i="5"/>
  <c r="S2969" i="5"/>
  <c r="S2968" i="5"/>
  <c r="S2967" i="5"/>
  <c r="S2966" i="5"/>
  <c r="S2965" i="5"/>
  <c r="S2964" i="5"/>
  <c r="S2963" i="5"/>
  <c r="S2962" i="5"/>
  <c r="S2961" i="5"/>
  <c r="S2960" i="5"/>
  <c r="S2959" i="5"/>
  <c r="S2958" i="5"/>
  <c r="S2957" i="5"/>
  <c r="S2956" i="5"/>
  <c r="S2955" i="5"/>
  <c r="S2954" i="5"/>
  <c r="S2953" i="5"/>
  <c r="S2952" i="5"/>
  <c r="S2951" i="5"/>
  <c r="S2950" i="5"/>
  <c r="S2949" i="5"/>
  <c r="S2948" i="5"/>
  <c r="S2947" i="5"/>
  <c r="S2946" i="5"/>
  <c r="S2945" i="5"/>
  <c r="S2944" i="5"/>
  <c r="S2943" i="5"/>
  <c r="S2942" i="5"/>
  <c r="S2941" i="5"/>
  <c r="S2940" i="5"/>
  <c r="S2939" i="5"/>
  <c r="S2938" i="5"/>
  <c r="S2937" i="5"/>
  <c r="S2936" i="5"/>
  <c r="S2935" i="5"/>
  <c r="S2934" i="5"/>
  <c r="S2933" i="5"/>
  <c r="S2932" i="5"/>
  <c r="S2931" i="5"/>
  <c r="S2930" i="5"/>
  <c r="S2929" i="5"/>
  <c r="S2928" i="5"/>
  <c r="S2927" i="5"/>
  <c r="S2926" i="5"/>
  <c r="S2925" i="5"/>
  <c r="S2924" i="5"/>
  <c r="S2923" i="5"/>
  <c r="S2922" i="5"/>
  <c r="S2921" i="5"/>
  <c r="S2920" i="5"/>
  <c r="S2919" i="5"/>
  <c r="S2918" i="5"/>
  <c r="S2917" i="5"/>
  <c r="S2916" i="5"/>
  <c r="S2915" i="5"/>
  <c r="S2914" i="5"/>
  <c r="S2913" i="5"/>
  <c r="S2912" i="5"/>
  <c r="S2911" i="5"/>
  <c r="S2910" i="5"/>
  <c r="S2909" i="5"/>
  <c r="S2908" i="5"/>
  <c r="S2907" i="5"/>
  <c r="S2906" i="5"/>
  <c r="S2905" i="5"/>
  <c r="S2904" i="5"/>
  <c r="S2903" i="5"/>
  <c r="S2902" i="5"/>
  <c r="S2901" i="5"/>
  <c r="S2900" i="5"/>
  <c r="S2899" i="5"/>
  <c r="S2898" i="5"/>
  <c r="S2897" i="5"/>
  <c r="S2896" i="5"/>
  <c r="S2895" i="5"/>
  <c r="S2894" i="5"/>
  <c r="S2893" i="5"/>
  <c r="S2892" i="5"/>
  <c r="S2891" i="5"/>
  <c r="S2890" i="5"/>
  <c r="S2889" i="5"/>
  <c r="S2888" i="5"/>
  <c r="S2887" i="5"/>
  <c r="S2886" i="5"/>
  <c r="S2885" i="5"/>
  <c r="S2884" i="5"/>
  <c r="S2883" i="5"/>
  <c r="S2882" i="5"/>
  <c r="S2881" i="5"/>
  <c r="S2880" i="5"/>
  <c r="S2879" i="5"/>
  <c r="S2878" i="5"/>
  <c r="S2877" i="5"/>
  <c r="S2876" i="5"/>
  <c r="S2875" i="5"/>
  <c r="S2874" i="5"/>
  <c r="S2873" i="5"/>
  <c r="S2872" i="5"/>
  <c r="S2871" i="5"/>
  <c r="S2870" i="5"/>
  <c r="S2869" i="5"/>
  <c r="S2868" i="5"/>
  <c r="S2867" i="5"/>
  <c r="S2866" i="5"/>
  <c r="S2865" i="5"/>
  <c r="S2864" i="5"/>
  <c r="S2863" i="5"/>
  <c r="S2862" i="5"/>
  <c r="S2861" i="5"/>
  <c r="S2860" i="5"/>
  <c r="S2859" i="5"/>
  <c r="S2858" i="5"/>
  <c r="S2857" i="5"/>
  <c r="S2856" i="5"/>
  <c r="S2855" i="5"/>
  <c r="S2854" i="5"/>
  <c r="S2853" i="5"/>
  <c r="S2852" i="5"/>
  <c r="S2851" i="5"/>
  <c r="S2850" i="5"/>
  <c r="S2849" i="5"/>
  <c r="S2848" i="5"/>
  <c r="S2847" i="5"/>
  <c r="S2846" i="5"/>
  <c r="S2845" i="5"/>
  <c r="S2844" i="5"/>
  <c r="S2843" i="5"/>
  <c r="S2842" i="5"/>
  <c r="S2841" i="5"/>
  <c r="S2840" i="5"/>
  <c r="S2839" i="5"/>
  <c r="S2838" i="5"/>
  <c r="S2837" i="5"/>
  <c r="S2836" i="5"/>
  <c r="S2835" i="5"/>
  <c r="S2834" i="5"/>
  <c r="S2833" i="5"/>
  <c r="S2832" i="5"/>
  <c r="S2831" i="5"/>
  <c r="S2830" i="5"/>
  <c r="S2829" i="5"/>
  <c r="S2828" i="5"/>
  <c r="S2827" i="5"/>
  <c r="S2826" i="5"/>
  <c r="S2825" i="5"/>
  <c r="S2824" i="5"/>
  <c r="S2823" i="5"/>
  <c r="S2822" i="5"/>
  <c r="S2821" i="5"/>
  <c r="S2820" i="5"/>
  <c r="S2819" i="5"/>
  <c r="S2818" i="5"/>
  <c r="S2817" i="5"/>
  <c r="S2816" i="5"/>
  <c r="S2815" i="5"/>
  <c r="S2814" i="5"/>
  <c r="S2813" i="5"/>
  <c r="S2812" i="5"/>
  <c r="S2811" i="5"/>
  <c r="S2810" i="5"/>
  <c r="S2809" i="5"/>
  <c r="S2808" i="5"/>
  <c r="S2807" i="5"/>
  <c r="S2806" i="5"/>
  <c r="S2805" i="5"/>
  <c r="S2804" i="5"/>
  <c r="S2803" i="5"/>
  <c r="S2802" i="5"/>
  <c r="S2801" i="5"/>
  <c r="S2800" i="5"/>
  <c r="S2799" i="5"/>
  <c r="S2798" i="5"/>
  <c r="S2797" i="5"/>
  <c r="S2796" i="5"/>
  <c r="S2795" i="5"/>
  <c r="S2794" i="5"/>
  <c r="S2793" i="5"/>
  <c r="S2792" i="5"/>
  <c r="S2791" i="5"/>
  <c r="S2790" i="5"/>
  <c r="S2789" i="5"/>
  <c r="S2788" i="5"/>
  <c r="S2787" i="5"/>
  <c r="S2786" i="5"/>
  <c r="S2785" i="5"/>
  <c r="S2784" i="5"/>
  <c r="S2783" i="5"/>
  <c r="S2782" i="5"/>
  <c r="S2781" i="5"/>
  <c r="S2780" i="5"/>
  <c r="S2779" i="5"/>
  <c r="S2778" i="5"/>
  <c r="S2777" i="5"/>
  <c r="S2776" i="5"/>
  <c r="S2775" i="5"/>
  <c r="S2774" i="5"/>
  <c r="S2773" i="5"/>
  <c r="S2772" i="5"/>
  <c r="S2771" i="5"/>
  <c r="S2770" i="5"/>
  <c r="S2769" i="5"/>
  <c r="S2768" i="5"/>
  <c r="S2767" i="5"/>
  <c r="S2766" i="5"/>
  <c r="S2765" i="5"/>
  <c r="S2764" i="5"/>
  <c r="S2763" i="5"/>
  <c r="S2762" i="5"/>
  <c r="S2761" i="5"/>
  <c r="S2760" i="5"/>
  <c r="S2759" i="5"/>
  <c r="S2758" i="5"/>
  <c r="S2757" i="5"/>
  <c r="S2756" i="5"/>
  <c r="S2755" i="5"/>
  <c r="S2754" i="5"/>
  <c r="S2753" i="5"/>
  <c r="S2752" i="5"/>
  <c r="S2751" i="5"/>
  <c r="S2750" i="5"/>
  <c r="S2749" i="5"/>
  <c r="S2748" i="5"/>
  <c r="S2747" i="5"/>
  <c r="S2746" i="5"/>
  <c r="S2745" i="5"/>
  <c r="S2744" i="5"/>
  <c r="S2743" i="5"/>
  <c r="S2742" i="5"/>
  <c r="S2741" i="5"/>
  <c r="S2740" i="5"/>
  <c r="S2739" i="5"/>
  <c r="S2738" i="5"/>
  <c r="S2737" i="5"/>
  <c r="S2736" i="5"/>
  <c r="S2735" i="5"/>
  <c r="S2734" i="5"/>
  <c r="S2733" i="5"/>
  <c r="S2732" i="5"/>
  <c r="S2731" i="5"/>
  <c r="S2730" i="5"/>
  <c r="S2729" i="5"/>
  <c r="S2728" i="5"/>
  <c r="S2727" i="5"/>
  <c r="S2726" i="5"/>
  <c r="S2725" i="5"/>
  <c r="S2724" i="5"/>
  <c r="S2723" i="5"/>
  <c r="S2722" i="5"/>
  <c r="S2721" i="5"/>
  <c r="S2720" i="5"/>
  <c r="S2719" i="5"/>
  <c r="S2718" i="5"/>
  <c r="S2717" i="5"/>
  <c r="S2716" i="5"/>
  <c r="S2715" i="5"/>
  <c r="S2714" i="5"/>
  <c r="S2713" i="5"/>
  <c r="S2712" i="5"/>
  <c r="S2711" i="5"/>
  <c r="S2710" i="5"/>
  <c r="S2709" i="5"/>
  <c r="S2708" i="5"/>
  <c r="S2707" i="5"/>
  <c r="S2706" i="5"/>
  <c r="S2705" i="5"/>
  <c r="S2704" i="5"/>
  <c r="S2703" i="5"/>
  <c r="S2702" i="5"/>
  <c r="S2701" i="5"/>
  <c r="S2700" i="5"/>
  <c r="S2699" i="5"/>
  <c r="S2698" i="5"/>
  <c r="S2697" i="5"/>
  <c r="S2696" i="5"/>
  <c r="S2695" i="5"/>
  <c r="S2694" i="5"/>
  <c r="S2693" i="5"/>
  <c r="S2692" i="5"/>
  <c r="S2691" i="5"/>
  <c r="S2690" i="5"/>
  <c r="S2689" i="5"/>
  <c r="S2688" i="5"/>
  <c r="S2687" i="5"/>
  <c r="S2686" i="5"/>
  <c r="S2685" i="5"/>
  <c r="S2684" i="5"/>
  <c r="S2683" i="5"/>
  <c r="S2682" i="5"/>
  <c r="S2681" i="5"/>
  <c r="S2680" i="5"/>
  <c r="S2679" i="5"/>
  <c r="S2678" i="5"/>
  <c r="S2677" i="5"/>
  <c r="S2676" i="5"/>
  <c r="S2675" i="5"/>
  <c r="S2674" i="5"/>
  <c r="S2673" i="5"/>
  <c r="S2672" i="5"/>
  <c r="S2671" i="5"/>
  <c r="S2670" i="5"/>
  <c r="S2669" i="5"/>
  <c r="S2668" i="5"/>
  <c r="S2667" i="5"/>
  <c r="S2666" i="5"/>
  <c r="S2665" i="5"/>
  <c r="S2664" i="5"/>
  <c r="S2663" i="5"/>
  <c r="S2662" i="5"/>
  <c r="S2661" i="5"/>
  <c r="S2660" i="5"/>
  <c r="S2659" i="5"/>
  <c r="S2658" i="5"/>
  <c r="S2657" i="5"/>
  <c r="S2656" i="5"/>
  <c r="S2655" i="5"/>
  <c r="S2654" i="5"/>
  <c r="S2653" i="5"/>
  <c r="S2652" i="5"/>
  <c r="S2651" i="5"/>
  <c r="S2650" i="5"/>
  <c r="S2649" i="5"/>
  <c r="S2648" i="5"/>
  <c r="S2647" i="5"/>
  <c r="S2646" i="5"/>
  <c r="S2645" i="5"/>
  <c r="S2644" i="5"/>
  <c r="S2643" i="5"/>
  <c r="S2642" i="5"/>
  <c r="S2641" i="5"/>
  <c r="S2640" i="5"/>
  <c r="S2639" i="5"/>
  <c r="S2638" i="5"/>
  <c r="S2637" i="5"/>
  <c r="S2636" i="5"/>
  <c r="S2635" i="5"/>
  <c r="S2634" i="5"/>
  <c r="S2633" i="5"/>
  <c r="S2632" i="5"/>
  <c r="S2631" i="5"/>
  <c r="S2630" i="5"/>
  <c r="S2629" i="5"/>
  <c r="S2628" i="5"/>
  <c r="S2627" i="5"/>
  <c r="S2626" i="5"/>
  <c r="S2625" i="5"/>
  <c r="S2624" i="5"/>
  <c r="S2623" i="5"/>
  <c r="S2622" i="5"/>
  <c r="S2621" i="5"/>
  <c r="S2620" i="5"/>
  <c r="S2619" i="5"/>
  <c r="S2618" i="5"/>
  <c r="S2617" i="5"/>
  <c r="S2616" i="5"/>
  <c r="S2615" i="5"/>
  <c r="S2614" i="5"/>
  <c r="S2613" i="5"/>
  <c r="S2612" i="5"/>
  <c r="S2611" i="5"/>
  <c r="S2610" i="5"/>
  <c r="S2609" i="5"/>
  <c r="S2608" i="5"/>
  <c r="S2607" i="5"/>
  <c r="S2606" i="5"/>
  <c r="S2605" i="5"/>
  <c r="S2604" i="5"/>
  <c r="S2603" i="5"/>
  <c r="S2602" i="5"/>
  <c r="S2601" i="5"/>
  <c r="S2600" i="5"/>
  <c r="S2599" i="5"/>
  <c r="S2598" i="5"/>
  <c r="S2597" i="5"/>
  <c r="S2596" i="5"/>
  <c r="S2595" i="5"/>
  <c r="S2594" i="5"/>
  <c r="S2593" i="5"/>
  <c r="S2592" i="5"/>
  <c r="S2591" i="5"/>
  <c r="S2590" i="5"/>
  <c r="S2589" i="5"/>
  <c r="S2588" i="5"/>
  <c r="S2587" i="5"/>
  <c r="S2586" i="5"/>
  <c r="S2585" i="5"/>
  <c r="S2584" i="5"/>
  <c r="S2583" i="5"/>
  <c r="S2582" i="5"/>
  <c r="S2581" i="5"/>
  <c r="S2580" i="5"/>
  <c r="S2579" i="5"/>
  <c r="S2578" i="5"/>
  <c r="S2577" i="5"/>
  <c r="S2576" i="5"/>
  <c r="S2575" i="5"/>
  <c r="S2574" i="5"/>
  <c r="S2573" i="5"/>
  <c r="S2572" i="5"/>
  <c r="S2571" i="5"/>
  <c r="S2570" i="5"/>
  <c r="S2569" i="5"/>
  <c r="S2568" i="5"/>
  <c r="S2567" i="5"/>
  <c r="S2566" i="5"/>
  <c r="S2565" i="5"/>
  <c r="S2564" i="5"/>
  <c r="S2563" i="5"/>
  <c r="S2562" i="5"/>
  <c r="S2561" i="5"/>
  <c r="S2560" i="5"/>
  <c r="S2559" i="5"/>
  <c r="S2558" i="5"/>
  <c r="S2557" i="5"/>
  <c r="S2556" i="5"/>
  <c r="S2555" i="5"/>
  <c r="S2554" i="5"/>
  <c r="S2553" i="5"/>
  <c r="S2552" i="5"/>
  <c r="S2551" i="5"/>
  <c r="S2550" i="5"/>
  <c r="S2549" i="5"/>
  <c r="S2548" i="5"/>
  <c r="S2547" i="5"/>
  <c r="S2546" i="5"/>
  <c r="S2545" i="5"/>
  <c r="S2544" i="5"/>
  <c r="S2543" i="5"/>
  <c r="S2542" i="5"/>
  <c r="S2541" i="5"/>
  <c r="S2540" i="5"/>
  <c r="S2539" i="5"/>
  <c r="S2538" i="5"/>
  <c r="S2537" i="5"/>
  <c r="S2536" i="5"/>
  <c r="S2535" i="5"/>
  <c r="S2534" i="5"/>
  <c r="S2533" i="5"/>
  <c r="S2532" i="5"/>
  <c r="S2531" i="5"/>
  <c r="S2530" i="5"/>
  <c r="S2529" i="5"/>
  <c r="S2528" i="5"/>
  <c r="S2527" i="5"/>
  <c r="S2526" i="5"/>
  <c r="S2525" i="5"/>
  <c r="S2524" i="5"/>
  <c r="S2523" i="5"/>
  <c r="S2522" i="5"/>
  <c r="S2521" i="5"/>
  <c r="S2520" i="5"/>
  <c r="S2519" i="5"/>
  <c r="S2518" i="5"/>
  <c r="S2517" i="5"/>
  <c r="S2516" i="5"/>
  <c r="S2515" i="5"/>
  <c r="S2514" i="5"/>
  <c r="S2513" i="5"/>
  <c r="S2512" i="5"/>
  <c r="S2511" i="5"/>
  <c r="S2510" i="5"/>
  <c r="S2509" i="5"/>
  <c r="S2508" i="5"/>
  <c r="S2507" i="5"/>
  <c r="S2506" i="5"/>
  <c r="S2505" i="5"/>
  <c r="S2504" i="5"/>
  <c r="S2503" i="5"/>
  <c r="S2502" i="5"/>
  <c r="S2501" i="5"/>
  <c r="S2500" i="5"/>
  <c r="S2499" i="5"/>
  <c r="S2498" i="5"/>
  <c r="S2497" i="5"/>
  <c r="S2496" i="5"/>
  <c r="S2495" i="5"/>
  <c r="S2494" i="5"/>
  <c r="S2493" i="5"/>
  <c r="S2492" i="5"/>
  <c r="S2491" i="5"/>
  <c r="S2490" i="5"/>
  <c r="S2489" i="5"/>
  <c r="S2488" i="5"/>
  <c r="S2487" i="5"/>
  <c r="S2486" i="5"/>
  <c r="S2485" i="5"/>
  <c r="S2484" i="5"/>
  <c r="S2483" i="5"/>
  <c r="S2482" i="5"/>
  <c r="S2481" i="5"/>
  <c r="S2480" i="5"/>
  <c r="S2479" i="5"/>
  <c r="S2478" i="5"/>
  <c r="S2477" i="5"/>
  <c r="S2476" i="5"/>
  <c r="S2475" i="5"/>
  <c r="S2474" i="5"/>
  <c r="S2473" i="5"/>
  <c r="S2472" i="5"/>
  <c r="S2471" i="5"/>
  <c r="S2470" i="5"/>
  <c r="S2469" i="5"/>
  <c r="S2468" i="5"/>
  <c r="S2467" i="5"/>
  <c r="S2466" i="5"/>
  <c r="S2465" i="5"/>
  <c r="S2464" i="5"/>
  <c r="S2463" i="5"/>
  <c r="S2462" i="5"/>
  <c r="S2461" i="5"/>
  <c r="S2460" i="5"/>
  <c r="S2459" i="5"/>
  <c r="S2458" i="5"/>
  <c r="S2457" i="5"/>
  <c r="S2456" i="5"/>
  <c r="S2455" i="5"/>
  <c r="S2454" i="5"/>
  <c r="S2453" i="5"/>
  <c r="S2452" i="5"/>
  <c r="S2451" i="5"/>
  <c r="S2450" i="5"/>
  <c r="S2449" i="5"/>
  <c r="S2448" i="5"/>
  <c r="S2447" i="5"/>
  <c r="S2446" i="5"/>
  <c r="S2445" i="5"/>
  <c r="S2444" i="5"/>
  <c r="S2443" i="5"/>
  <c r="S2442" i="5"/>
  <c r="S2441" i="5"/>
  <c r="S2440" i="5"/>
  <c r="S2439" i="5"/>
  <c r="S2438" i="5"/>
  <c r="S2437" i="5"/>
  <c r="S2436" i="5"/>
  <c r="S2435" i="5"/>
  <c r="S2434" i="5"/>
  <c r="S2433" i="5"/>
  <c r="S2432" i="5"/>
  <c r="S2431" i="5"/>
  <c r="S2430" i="5"/>
  <c r="S2429" i="5"/>
  <c r="S2428" i="5"/>
  <c r="S2427" i="5"/>
  <c r="S2426" i="5"/>
  <c r="S2425" i="5"/>
  <c r="S2424" i="5"/>
  <c r="S2423" i="5"/>
  <c r="S2422" i="5"/>
  <c r="S2421" i="5"/>
  <c r="S2420" i="5"/>
  <c r="S2419" i="5"/>
  <c r="S2418" i="5"/>
  <c r="S2417" i="5"/>
  <c r="S2416" i="5"/>
  <c r="S2415" i="5"/>
  <c r="S2414" i="5"/>
  <c r="S2413" i="5"/>
  <c r="S2412" i="5"/>
  <c r="S2411" i="5"/>
  <c r="S2410" i="5"/>
  <c r="S2409" i="5"/>
  <c r="S2408" i="5"/>
  <c r="S2407" i="5"/>
  <c r="S2406" i="5"/>
  <c r="S2405" i="5"/>
  <c r="S2404" i="5"/>
  <c r="S2403" i="5"/>
  <c r="S2402" i="5"/>
  <c r="S2401" i="5"/>
  <c r="S2400" i="5"/>
  <c r="S2399" i="5"/>
  <c r="S2398" i="5"/>
  <c r="S2397" i="5"/>
  <c r="S2396" i="5"/>
  <c r="S2395" i="5"/>
  <c r="S2394" i="5"/>
  <c r="S2393" i="5"/>
  <c r="S2392" i="5"/>
  <c r="S2391" i="5"/>
  <c r="S2390" i="5"/>
  <c r="S2389" i="5"/>
  <c r="S2388" i="5"/>
  <c r="S2387" i="5"/>
  <c r="S2386" i="5"/>
  <c r="S2385" i="5"/>
  <c r="S2384" i="5"/>
  <c r="S2383" i="5"/>
  <c r="S2382" i="5"/>
  <c r="S2381" i="5"/>
  <c r="S2380" i="5"/>
  <c r="S2379" i="5"/>
  <c r="S2378" i="5"/>
  <c r="S2377" i="5"/>
  <c r="S2376" i="5"/>
  <c r="S2375" i="5"/>
  <c r="S2374" i="5"/>
  <c r="S2373" i="5"/>
  <c r="S2372" i="5"/>
  <c r="S2371" i="5"/>
  <c r="S2370" i="5"/>
  <c r="S2369" i="5"/>
  <c r="S2368" i="5"/>
  <c r="S2367" i="5"/>
  <c r="S2366" i="5"/>
  <c r="S2365" i="5"/>
  <c r="S2364" i="5"/>
  <c r="S2363" i="5"/>
  <c r="S2362" i="5"/>
  <c r="S2361" i="5"/>
  <c r="S2360" i="5"/>
  <c r="S2359" i="5"/>
  <c r="S2358" i="5"/>
  <c r="S2357" i="5"/>
  <c r="S2356" i="5"/>
  <c r="S2355" i="5"/>
  <c r="S2354" i="5"/>
  <c r="S2353" i="5"/>
  <c r="S2352" i="5"/>
  <c r="S2351" i="5"/>
  <c r="S2350" i="5"/>
  <c r="S2349" i="5"/>
  <c r="S2348" i="5"/>
  <c r="S2347" i="5"/>
  <c r="S2346" i="5"/>
  <c r="S2345" i="5"/>
  <c r="S2344" i="5"/>
  <c r="S2343" i="5"/>
  <c r="S2342" i="5"/>
  <c r="S2341" i="5"/>
  <c r="S2340" i="5"/>
  <c r="S2339" i="5"/>
  <c r="S2338" i="5"/>
  <c r="S2337" i="5"/>
  <c r="S2336" i="5"/>
  <c r="S2335" i="5"/>
  <c r="S2334" i="5"/>
  <c r="S2333" i="5"/>
  <c r="S2332" i="5"/>
  <c r="S2331" i="5"/>
  <c r="S2330" i="5"/>
  <c r="S2329" i="5"/>
  <c r="S2328" i="5"/>
  <c r="S2327" i="5"/>
  <c r="S2326" i="5"/>
  <c r="S2325" i="5"/>
  <c r="S2324" i="5"/>
  <c r="S2323" i="5"/>
  <c r="S2322" i="5"/>
  <c r="S2321" i="5"/>
  <c r="S2320" i="5"/>
  <c r="S2319" i="5"/>
  <c r="S2318" i="5"/>
  <c r="S2317" i="5"/>
  <c r="S2316" i="5"/>
  <c r="S2315" i="5"/>
  <c r="S2314" i="5"/>
  <c r="S2313" i="5"/>
  <c r="S2312" i="5"/>
  <c r="S2311" i="5"/>
  <c r="S2310" i="5"/>
  <c r="S2309" i="5"/>
  <c r="S2308" i="5"/>
  <c r="S2307" i="5"/>
  <c r="S2306" i="5"/>
  <c r="S2305" i="5"/>
  <c r="S2304" i="5"/>
  <c r="S2303" i="5"/>
  <c r="S2302" i="5"/>
  <c r="S2301" i="5"/>
  <c r="S2300" i="5"/>
  <c r="S2299" i="5"/>
  <c r="S2298" i="5"/>
  <c r="S2297" i="5"/>
  <c r="S2296" i="5"/>
  <c r="S2295" i="5"/>
  <c r="S2294" i="5"/>
  <c r="S2293" i="5"/>
  <c r="S2292" i="5"/>
  <c r="S2291" i="5"/>
  <c r="S2290" i="5"/>
  <c r="S2289" i="5"/>
  <c r="S2288" i="5"/>
  <c r="S2287" i="5"/>
  <c r="S2286" i="5"/>
  <c r="S2285" i="5"/>
  <c r="S2284" i="5"/>
  <c r="S2283" i="5"/>
  <c r="S2282" i="5"/>
  <c r="S2281" i="5"/>
  <c r="S2280" i="5"/>
  <c r="S2279" i="5"/>
  <c r="S2278" i="5"/>
  <c r="S2277" i="5"/>
  <c r="S2276" i="5"/>
  <c r="S2275" i="5"/>
  <c r="S2274" i="5"/>
  <c r="S2273" i="5"/>
  <c r="S2272" i="5"/>
  <c r="S2271" i="5"/>
  <c r="S2270" i="5"/>
  <c r="S2269" i="5"/>
  <c r="S2268" i="5"/>
  <c r="S2267" i="5"/>
  <c r="S2266" i="5"/>
  <c r="S2265" i="5"/>
  <c r="S2264" i="5"/>
  <c r="S2263" i="5"/>
  <c r="S2262" i="5"/>
  <c r="S2261" i="5"/>
  <c r="S2260" i="5"/>
  <c r="S2259" i="5"/>
  <c r="S2258" i="5"/>
  <c r="S2257" i="5"/>
  <c r="S2256" i="5"/>
  <c r="S2255" i="5"/>
  <c r="S2254" i="5"/>
  <c r="S2253" i="5"/>
  <c r="S2252" i="5"/>
  <c r="S2251" i="5"/>
  <c r="S2250" i="5"/>
  <c r="S2249" i="5"/>
  <c r="S2248" i="5"/>
  <c r="S2247" i="5"/>
  <c r="S2246" i="5"/>
  <c r="S2245" i="5"/>
  <c r="S2244" i="5"/>
  <c r="S2243" i="5"/>
  <c r="S2242" i="5"/>
  <c r="S2241" i="5"/>
  <c r="S2240" i="5"/>
  <c r="S2239" i="5"/>
  <c r="S2238" i="5"/>
  <c r="S2237" i="5"/>
  <c r="S2236" i="5"/>
  <c r="S2235" i="5"/>
  <c r="S2234" i="5"/>
  <c r="S2233" i="5"/>
  <c r="S2232" i="5"/>
  <c r="S2231" i="5"/>
  <c r="S2230" i="5"/>
  <c r="S2229" i="5"/>
  <c r="S2228" i="5"/>
  <c r="S2227" i="5"/>
  <c r="S2226" i="5"/>
  <c r="S2225" i="5"/>
  <c r="S2224" i="5"/>
  <c r="S2223" i="5"/>
  <c r="S2222" i="5"/>
  <c r="S2221" i="5"/>
  <c r="S2220" i="5"/>
  <c r="S2219" i="5"/>
  <c r="S2218" i="5"/>
  <c r="S2217" i="5"/>
  <c r="S2216" i="5"/>
  <c r="S2215" i="5"/>
  <c r="S2214" i="5"/>
  <c r="S2213" i="5"/>
  <c r="S2212" i="5"/>
  <c r="S2211" i="5"/>
  <c r="S2210" i="5"/>
  <c r="S2209" i="5"/>
  <c r="S2208" i="5"/>
  <c r="S2207" i="5"/>
  <c r="S2206" i="5"/>
  <c r="S2205" i="5"/>
  <c r="S2204" i="5"/>
  <c r="S2203" i="5"/>
  <c r="S2202" i="5"/>
  <c r="S2201" i="5"/>
  <c r="S2200" i="5"/>
  <c r="S2199" i="5"/>
  <c r="S2198" i="5"/>
  <c r="S2197" i="5"/>
  <c r="S2196" i="5"/>
  <c r="S2195" i="5"/>
  <c r="S2194" i="5"/>
  <c r="S2193" i="5"/>
  <c r="S2192" i="5"/>
  <c r="S2191" i="5"/>
  <c r="S2190" i="5"/>
  <c r="S2189" i="5"/>
  <c r="S2188" i="5"/>
  <c r="S2187" i="5"/>
  <c r="S2186" i="5"/>
  <c r="S2185" i="5"/>
  <c r="S2184" i="5"/>
  <c r="S2183" i="5"/>
  <c r="S2182" i="5"/>
  <c r="S2181" i="5"/>
  <c r="S2180" i="5"/>
  <c r="S2179" i="5"/>
  <c r="S2178" i="5"/>
  <c r="S2177" i="5"/>
  <c r="S2176" i="5"/>
  <c r="S2175" i="5"/>
  <c r="S2174" i="5"/>
  <c r="S2173" i="5"/>
  <c r="S2172" i="5"/>
  <c r="S2171" i="5"/>
  <c r="S2170" i="5"/>
  <c r="S2169" i="5"/>
  <c r="S2168" i="5"/>
  <c r="S2167" i="5"/>
  <c r="S2166" i="5"/>
  <c r="S2165" i="5"/>
  <c r="S2164" i="5"/>
  <c r="S2163" i="5"/>
  <c r="S2162" i="5"/>
  <c r="S2161" i="5"/>
  <c r="S2160" i="5"/>
  <c r="S2159" i="5"/>
  <c r="S2158" i="5"/>
  <c r="S2157" i="5"/>
  <c r="S2156" i="5"/>
  <c r="S2155" i="5"/>
  <c r="S2154" i="5"/>
  <c r="S2153" i="5"/>
  <c r="S2152" i="5"/>
  <c r="S2151" i="5"/>
  <c r="S2150" i="5"/>
  <c r="S2149" i="5"/>
  <c r="S2148" i="5"/>
  <c r="S2147" i="5"/>
  <c r="S2146" i="5"/>
  <c r="S2145" i="5"/>
  <c r="S2144" i="5"/>
  <c r="S2143" i="5"/>
  <c r="S2142" i="5"/>
  <c r="S2141" i="5"/>
  <c r="S2140" i="5"/>
  <c r="S2139" i="5"/>
  <c r="S2138" i="5"/>
  <c r="S2137" i="5"/>
  <c r="S2136" i="5"/>
  <c r="S2135" i="5"/>
  <c r="S2134" i="5"/>
  <c r="S2133" i="5"/>
  <c r="S2132" i="5"/>
  <c r="S2131" i="5"/>
  <c r="S2130" i="5"/>
  <c r="S2129" i="5"/>
  <c r="S2128" i="5"/>
  <c r="S2127" i="5"/>
  <c r="S2126" i="5"/>
  <c r="S2125" i="5"/>
  <c r="S2124" i="5"/>
  <c r="S2123" i="5"/>
  <c r="S2122" i="5"/>
  <c r="S2121" i="5"/>
  <c r="S2120" i="5"/>
  <c r="S2119" i="5"/>
  <c r="S2118" i="5"/>
  <c r="S2117" i="5"/>
  <c r="S2116" i="5"/>
  <c r="S2115" i="5"/>
  <c r="S2114" i="5"/>
  <c r="S2113" i="5"/>
  <c r="S2112" i="5"/>
  <c r="S2111" i="5"/>
  <c r="S2110" i="5"/>
  <c r="S2109" i="5"/>
  <c r="S2108" i="5"/>
  <c r="S2107" i="5"/>
  <c r="S2106" i="5"/>
  <c r="S2105" i="5"/>
  <c r="S2104" i="5"/>
  <c r="S2103" i="5"/>
  <c r="S2102" i="5"/>
  <c r="S2101" i="5"/>
  <c r="S2100" i="5"/>
  <c r="S2099" i="5"/>
  <c r="S2098" i="5"/>
  <c r="S2097" i="5"/>
  <c r="S2096" i="5"/>
  <c r="S2095" i="5"/>
  <c r="S2094" i="5"/>
  <c r="S2093" i="5"/>
  <c r="S2092" i="5"/>
  <c r="S2091" i="5"/>
  <c r="S2090" i="5"/>
  <c r="S2089" i="5"/>
  <c r="S2088" i="5"/>
  <c r="S2087" i="5"/>
  <c r="S2086" i="5"/>
  <c r="S2085" i="5"/>
  <c r="S2084" i="5"/>
  <c r="S2083" i="5"/>
  <c r="S2082" i="5"/>
  <c r="S2081" i="5"/>
  <c r="S2080" i="5"/>
  <c r="S2079" i="5"/>
  <c r="S2078" i="5"/>
  <c r="S2077" i="5"/>
  <c r="S2076" i="5"/>
  <c r="S2075" i="5"/>
  <c r="S2074" i="5"/>
  <c r="S2073" i="5"/>
  <c r="S2072" i="5"/>
  <c r="S2071" i="5"/>
  <c r="S2070" i="5"/>
  <c r="S2069" i="5"/>
  <c r="S2068" i="5"/>
  <c r="S2067" i="5"/>
  <c r="S2066" i="5"/>
  <c r="S2065" i="5"/>
  <c r="S2064" i="5"/>
  <c r="S2063" i="5"/>
  <c r="S2062" i="5"/>
  <c r="S2061" i="5"/>
  <c r="S2060" i="5"/>
  <c r="S2059" i="5"/>
  <c r="S2058" i="5"/>
  <c r="S2057" i="5"/>
  <c r="S2056" i="5"/>
  <c r="S2055" i="5"/>
  <c r="S2054" i="5"/>
  <c r="S2053" i="5"/>
  <c r="S2052" i="5"/>
  <c r="S2051" i="5"/>
  <c r="S2050" i="5"/>
  <c r="S2049" i="5"/>
  <c r="S2048" i="5"/>
  <c r="S2047" i="5"/>
  <c r="S2046" i="5"/>
  <c r="S2045" i="5"/>
  <c r="S2044" i="5"/>
  <c r="S2043" i="5"/>
  <c r="S2042" i="5"/>
  <c r="S2041" i="5"/>
  <c r="S2040" i="5"/>
  <c r="S2039" i="5"/>
  <c r="S2038" i="5"/>
  <c r="S2037" i="5"/>
  <c r="S2036" i="5"/>
  <c r="S2035" i="5"/>
  <c r="S2034" i="5"/>
  <c r="S2033" i="5"/>
  <c r="S2032" i="5"/>
  <c r="S2031" i="5"/>
  <c r="S2030" i="5"/>
  <c r="S2029" i="5"/>
  <c r="S2028" i="5"/>
  <c r="S2027" i="5"/>
  <c r="S2026" i="5"/>
  <c r="S2025" i="5"/>
  <c r="S2024" i="5"/>
  <c r="S2023" i="5"/>
  <c r="S2022" i="5"/>
  <c r="S2021" i="5"/>
  <c r="S2020" i="5"/>
  <c r="S2019" i="5"/>
  <c r="S2018" i="5"/>
  <c r="S2017" i="5"/>
  <c r="S2016" i="5"/>
  <c r="S2015" i="5"/>
  <c r="S2014" i="5"/>
  <c r="S2013" i="5"/>
  <c r="S2012" i="5"/>
  <c r="S2011" i="5"/>
  <c r="S2010" i="5"/>
  <c r="S2009" i="5"/>
  <c r="S2008" i="5"/>
  <c r="S2007" i="5"/>
  <c r="S2006" i="5"/>
  <c r="S2005" i="5"/>
  <c r="S2004" i="5"/>
  <c r="S2003" i="5"/>
  <c r="S2002" i="5"/>
  <c r="S2001" i="5"/>
  <c r="S2000" i="5"/>
  <c r="S1999" i="5"/>
  <c r="S1998" i="5"/>
  <c r="S1997" i="5"/>
  <c r="S1996" i="5"/>
  <c r="S1995" i="5"/>
  <c r="S1994" i="5"/>
  <c r="S1993" i="5"/>
  <c r="S1992" i="5"/>
  <c r="S1991" i="5"/>
  <c r="S1990" i="5"/>
  <c r="S1989" i="5"/>
  <c r="S1988" i="5"/>
  <c r="S1987" i="5"/>
  <c r="S1986" i="5"/>
  <c r="S1985" i="5"/>
  <c r="S1984" i="5"/>
  <c r="S1983" i="5"/>
  <c r="S1982" i="5"/>
  <c r="S1981" i="5"/>
  <c r="S1980" i="5"/>
  <c r="S1979" i="5"/>
  <c r="S1978" i="5"/>
  <c r="S1977" i="5"/>
  <c r="S1976" i="5"/>
  <c r="S1975" i="5"/>
  <c r="S1974" i="5"/>
  <c r="S1973" i="5"/>
  <c r="S1972" i="5"/>
  <c r="S1971" i="5"/>
  <c r="S1970" i="5"/>
  <c r="S1969" i="5"/>
  <c r="S1968" i="5"/>
  <c r="S1967" i="5"/>
  <c r="S1966" i="5"/>
  <c r="S1965" i="5"/>
  <c r="S1964" i="5"/>
  <c r="S1963" i="5"/>
  <c r="S1962" i="5"/>
  <c r="S1961" i="5"/>
  <c r="S1960" i="5"/>
  <c r="S1959" i="5"/>
  <c r="S1958" i="5"/>
  <c r="S1957" i="5"/>
  <c r="S1956" i="5"/>
  <c r="S1955" i="5"/>
  <c r="S1954" i="5"/>
  <c r="S1953" i="5"/>
  <c r="S1952" i="5"/>
  <c r="S1951" i="5"/>
  <c r="S1950" i="5"/>
  <c r="S1949" i="5"/>
  <c r="S1948" i="5"/>
  <c r="S1947" i="5"/>
  <c r="S1946" i="5"/>
  <c r="S1945" i="5"/>
  <c r="S1944" i="5"/>
  <c r="S1943" i="5"/>
  <c r="S1942" i="5"/>
  <c r="S1941" i="5"/>
  <c r="S1940" i="5"/>
  <c r="S1939" i="5"/>
  <c r="S1938" i="5"/>
  <c r="S1937" i="5"/>
  <c r="S1936" i="5"/>
  <c r="S1935" i="5"/>
  <c r="S1934" i="5"/>
  <c r="S1933" i="5"/>
  <c r="S1932" i="5"/>
  <c r="S1931" i="5"/>
  <c r="S1930" i="5"/>
  <c r="S1929" i="5"/>
  <c r="S1928" i="5"/>
  <c r="S1927" i="5"/>
  <c r="S1926" i="5"/>
  <c r="S1925" i="5"/>
  <c r="S1924" i="5"/>
  <c r="S1923" i="5"/>
  <c r="S1922" i="5"/>
  <c r="S1921" i="5"/>
  <c r="S1920" i="5"/>
  <c r="S1919" i="5"/>
  <c r="S1918" i="5"/>
  <c r="S1917" i="5"/>
  <c r="S1916" i="5"/>
  <c r="S1915" i="5"/>
  <c r="S1914" i="5"/>
  <c r="S1913" i="5"/>
  <c r="S1912" i="5"/>
  <c r="S1911" i="5"/>
  <c r="S1910" i="5"/>
  <c r="S1909" i="5"/>
  <c r="S1908" i="5"/>
  <c r="S1907" i="5"/>
  <c r="S1906" i="5"/>
  <c r="S1905" i="5"/>
  <c r="S1904" i="5"/>
  <c r="S1903" i="5"/>
  <c r="S1902" i="5"/>
  <c r="S1901" i="5"/>
  <c r="S1900" i="5"/>
  <c r="S1899" i="5"/>
  <c r="S1898" i="5"/>
  <c r="S1897" i="5"/>
  <c r="S1896" i="5"/>
  <c r="S1895" i="5"/>
  <c r="S1894" i="5"/>
  <c r="S1893" i="5"/>
  <c r="S1892" i="5"/>
  <c r="S1891" i="5"/>
  <c r="S1890" i="5"/>
  <c r="S1889" i="5"/>
  <c r="S1888" i="5"/>
  <c r="S1887" i="5"/>
  <c r="S1886" i="5"/>
  <c r="S1885" i="5"/>
  <c r="S1884" i="5"/>
  <c r="S1883" i="5"/>
  <c r="S1882" i="5"/>
  <c r="S1881" i="5"/>
  <c r="S1880" i="5"/>
  <c r="S1879" i="5"/>
  <c r="S1878" i="5"/>
  <c r="S1877" i="5"/>
  <c r="S1876" i="5"/>
  <c r="S1875" i="5"/>
  <c r="S1874" i="5"/>
  <c r="S1873" i="5"/>
  <c r="S1872" i="5"/>
  <c r="S1871" i="5"/>
  <c r="S1870" i="5"/>
  <c r="S1869" i="5"/>
  <c r="S1868" i="5"/>
  <c r="S1867" i="5"/>
  <c r="S1866" i="5"/>
  <c r="S1865" i="5"/>
  <c r="S1864" i="5"/>
  <c r="S1863" i="5"/>
  <c r="S1862" i="5"/>
  <c r="S1861" i="5"/>
  <c r="S1860" i="5"/>
  <c r="S1859" i="5"/>
  <c r="S1858" i="5"/>
  <c r="S1857" i="5"/>
  <c r="S1856" i="5"/>
  <c r="S1855" i="5"/>
  <c r="S1854" i="5"/>
  <c r="S1853" i="5"/>
  <c r="S1852" i="5"/>
  <c r="S1851" i="5"/>
  <c r="S1850" i="5"/>
  <c r="S1849" i="5"/>
  <c r="S1848" i="5"/>
  <c r="S1847" i="5"/>
  <c r="S1846" i="5"/>
  <c r="S1845" i="5"/>
  <c r="S1844" i="5"/>
  <c r="S1843" i="5"/>
  <c r="S1842" i="5"/>
  <c r="S1841" i="5"/>
  <c r="S1840" i="5"/>
  <c r="S1839" i="5"/>
  <c r="S1838" i="5"/>
  <c r="S1837" i="5"/>
  <c r="S1836" i="5"/>
  <c r="S1835" i="5"/>
  <c r="S1834" i="5"/>
  <c r="S1833" i="5"/>
  <c r="S1832" i="5"/>
  <c r="S1831" i="5"/>
  <c r="S1830" i="5"/>
  <c r="S1829" i="5"/>
  <c r="S1828" i="5"/>
  <c r="S1827" i="5"/>
  <c r="S1826" i="5"/>
  <c r="S1825" i="5"/>
  <c r="S1824" i="5"/>
  <c r="S1823" i="5"/>
  <c r="S1822" i="5"/>
  <c r="S1821" i="5"/>
  <c r="S1820" i="5"/>
  <c r="S1819" i="5"/>
  <c r="S1818" i="5"/>
  <c r="S1817" i="5"/>
  <c r="S1816" i="5"/>
  <c r="S1815" i="5"/>
  <c r="S1814" i="5"/>
  <c r="S1813" i="5"/>
  <c r="S1812" i="5"/>
  <c r="S1811" i="5"/>
  <c r="S1810" i="5"/>
  <c r="S1809" i="5"/>
  <c r="S1808" i="5"/>
  <c r="S1807" i="5"/>
  <c r="S1806" i="5"/>
  <c r="S1805" i="5"/>
  <c r="S1804" i="5"/>
  <c r="S1803" i="5"/>
  <c r="S1802" i="5"/>
  <c r="S1801" i="5"/>
  <c r="S1800" i="5"/>
  <c r="S1799" i="5"/>
  <c r="S1798" i="5"/>
  <c r="S1797" i="5"/>
  <c r="S1796" i="5"/>
  <c r="S1795" i="5"/>
  <c r="S1794" i="5"/>
  <c r="S1793" i="5"/>
  <c r="S1792" i="5"/>
  <c r="S1791" i="5"/>
  <c r="S1790" i="5"/>
  <c r="S1789" i="5"/>
  <c r="S1788" i="5"/>
  <c r="S1787" i="5"/>
  <c r="S1786" i="5"/>
  <c r="S1785" i="5"/>
  <c r="S1784" i="5"/>
  <c r="S1783" i="5"/>
  <c r="S1782" i="5"/>
  <c r="S1781" i="5"/>
  <c r="S1780" i="5"/>
  <c r="S1779" i="5"/>
  <c r="S1778" i="5"/>
  <c r="S1777" i="5"/>
  <c r="S1776" i="5"/>
  <c r="S1775" i="5"/>
  <c r="S1774" i="5"/>
  <c r="S1773" i="5"/>
  <c r="S1772" i="5"/>
  <c r="S1771" i="5"/>
  <c r="S1770" i="5"/>
  <c r="S1769" i="5"/>
  <c r="S1768" i="5"/>
  <c r="S1767" i="5"/>
  <c r="S1766" i="5"/>
  <c r="S1765" i="5"/>
  <c r="S1764" i="5"/>
  <c r="S1763" i="5"/>
  <c r="S1762" i="5"/>
  <c r="S1761" i="5"/>
  <c r="S1760" i="5"/>
  <c r="S1759" i="5"/>
  <c r="S1758" i="5"/>
  <c r="S1757" i="5"/>
  <c r="S1756" i="5"/>
  <c r="S1755" i="5"/>
  <c r="S1754" i="5"/>
  <c r="S1753" i="5"/>
  <c r="S1752" i="5"/>
  <c r="S1751" i="5"/>
  <c r="S1750" i="5"/>
  <c r="S1749" i="5"/>
  <c r="S1748" i="5"/>
  <c r="S1747" i="5"/>
  <c r="S1746" i="5"/>
  <c r="S1745" i="5"/>
  <c r="S1744" i="5"/>
  <c r="S1743" i="5"/>
  <c r="S1742" i="5"/>
  <c r="S1741" i="5"/>
  <c r="S1740" i="5"/>
  <c r="S1739" i="5"/>
  <c r="S1738" i="5"/>
  <c r="S1737" i="5"/>
  <c r="S1736" i="5"/>
  <c r="S1735" i="5"/>
  <c r="S1734" i="5"/>
  <c r="S1733" i="5"/>
  <c r="S1732" i="5"/>
  <c r="S1731" i="5"/>
  <c r="S1730" i="5"/>
  <c r="S1729" i="5"/>
  <c r="S1728" i="5"/>
  <c r="S1727" i="5"/>
  <c r="S1726" i="5"/>
  <c r="S1725" i="5"/>
  <c r="S1724" i="5"/>
  <c r="S1723" i="5"/>
  <c r="S1722" i="5"/>
  <c r="S1721" i="5"/>
  <c r="S1720" i="5"/>
  <c r="S1719" i="5"/>
  <c r="S1718" i="5"/>
  <c r="S1717" i="5"/>
  <c r="S1716" i="5"/>
  <c r="S1715" i="5"/>
  <c r="S1714" i="5"/>
  <c r="S1713" i="5"/>
  <c r="S1712" i="5"/>
  <c r="S1711" i="5"/>
  <c r="S1710" i="5"/>
  <c r="S1709" i="5"/>
  <c r="S1708" i="5"/>
  <c r="S1707" i="5"/>
  <c r="S1706" i="5"/>
  <c r="S1705" i="5"/>
  <c r="S1704" i="5"/>
  <c r="S1703" i="5"/>
  <c r="S1702" i="5"/>
  <c r="S1701" i="5"/>
  <c r="S1700" i="5"/>
  <c r="S1699" i="5"/>
  <c r="S1698" i="5"/>
  <c r="S1697" i="5"/>
  <c r="S1696" i="5"/>
  <c r="S1695" i="5"/>
  <c r="S1694" i="5"/>
  <c r="S1693" i="5"/>
  <c r="S1692" i="5"/>
  <c r="S1691" i="5"/>
  <c r="S1690" i="5"/>
  <c r="S1689" i="5"/>
  <c r="S1688" i="5"/>
  <c r="S1687" i="5"/>
  <c r="S1686" i="5"/>
  <c r="S1685" i="5"/>
  <c r="S1684" i="5"/>
  <c r="S1683" i="5"/>
  <c r="S1682" i="5"/>
  <c r="S1681" i="5"/>
  <c r="S1680" i="5"/>
  <c r="S1679" i="5"/>
  <c r="S1678" i="5"/>
  <c r="S1677" i="5"/>
  <c r="S1676" i="5"/>
  <c r="S1675" i="5"/>
  <c r="S1674" i="5"/>
  <c r="S1673" i="5"/>
  <c r="S1672" i="5"/>
  <c r="S1671" i="5"/>
  <c r="S1670" i="5"/>
  <c r="S1669" i="5"/>
  <c r="S1668" i="5"/>
  <c r="S1667" i="5"/>
  <c r="S1666" i="5"/>
  <c r="S1665" i="5"/>
  <c r="S1664" i="5"/>
  <c r="S1663" i="5"/>
  <c r="S1662" i="5"/>
  <c r="S1661" i="5"/>
  <c r="S1660" i="5"/>
  <c r="S1659" i="5"/>
  <c r="S1658" i="5"/>
  <c r="S1657" i="5"/>
  <c r="S1656" i="5"/>
  <c r="S1655" i="5"/>
  <c r="S1654" i="5"/>
  <c r="S1653" i="5"/>
  <c r="S1652" i="5"/>
  <c r="S1651" i="5"/>
  <c r="S1650" i="5"/>
  <c r="S1649" i="5"/>
  <c r="S1648" i="5"/>
  <c r="S1647" i="5"/>
  <c r="S1646" i="5"/>
  <c r="S1645" i="5"/>
  <c r="S1644" i="5"/>
  <c r="S1643" i="5"/>
  <c r="S1642" i="5"/>
  <c r="S1641" i="5"/>
  <c r="S1640" i="5"/>
  <c r="S1639" i="5"/>
  <c r="S1638" i="5"/>
  <c r="S1637" i="5"/>
  <c r="S1636" i="5"/>
  <c r="S1635" i="5"/>
  <c r="S1634" i="5"/>
  <c r="S1633" i="5"/>
  <c r="S1632" i="5"/>
  <c r="S1631" i="5"/>
  <c r="S1630" i="5"/>
  <c r="S1629" i="5"/>
  <c r="S1628" i="5"/>
  <c r="S1627" i="5"/>
  <c r="S1626" i="5"/>
  <c r="S1625" i="5"/>
  <c r="S1624" i="5"/>
  <c r="S1623" i="5"/>
  <c r="S1622" i="5"/>
  <c r="S1621" i="5"/>
  <c r="S1620" i="5"/>
  <c r="S1619" i="5"/>
  <c r="S1618" i="5"/>
  <c r="S1617" i="5"/>
  <c r="S1616" i="5"/>
  <c r="S1615" i="5"/>
  <c r="S1614" i="5"/>
  <c r="S1613" i="5"/>
  <c r="S1612" i="5"/>
  <c r="S1611" i="5"/>
  <c r="S1610" i="5"/>
  <c r="S1609" i="5"/>
  <c r="S1608" i="5"/>
  <c r="S1607" i="5"/>
  <c r="S1606" i="5"/>
  <c r="S1605" i="5"/>
  <c r="S1604" i="5"/>
  <c r="S1603" i="5"/>
  <c r="S1602" i="5"/>
  <c r="S1601" i="5"/>
  <c r="S1600" i="5"/>
  <c r="S1599" i="5"/>
  <c r="S1598" i="5"/>
  <c r="S1597" i="5"/>
  <c r="S1596" i="5"/>
  <c r="S1595" i="5"/>
  <c r="S1594" i="5"/>
  <c r="S1593" i="5"/>
  <c r="S1592" i="5"/>
  <c r="S1591" i="5"/>
  <c r="S1590" i="5"/>
  <c r="S1589" i="5"/>
  <c r="S1588" i="5"/>
  <c r="S1587" i="5"/>
  <c r="S1586" i="5"/>
  <c r="S1585" i="5"/>
  <c r="S1584" i="5"/>
  <c r="S1583" i="5"/>
  <c r="S1582" i="5"/>
  <c r="S1581" i="5"/>
  <c r="S1580" i="5"/>
  <c r="S1579" i="5"/>
  <c r="S1578" i="5"/>
  <c r="S1577" i="5"/>
  <c r="S1576" i="5"/>
  <c r="S1575" i="5"/>
  <c r="S1574" i="5"/>
  <c r="S1573" i="5"/>
  <c r="S1572" i="5"/>
  <c r="S1571" i="5"/>
  <c r="S1570" i="5"/>
  <c r="S1569" i="5"/>
  <c r="S1568" i="5"/>
  <c r="S1567" i="5"/>
  <c r="S1566" i="5"/>
  <c r="S1565" i="5"/>
  <c r="S1564" i="5"/>
  <c r="S1563" i="5"/>
  <c r="S1562" i="5"/>
  <c r="S1561" i="5"/>
  <c r="S1560" i="5"/>
  <c r="S1559" i="5"/>
  <c r="S1558" i="5"/>
  <c r="S1557" i="5"/>
  <c r="S1556" i="5"/>
  <c r="S1555" i="5"/>
  <c r="S1554" i="5"/>
  <c r="S1553" i="5"/>
  <c r="S1552" i="5"/>
  <c r="S1551" i="5"/>
  <c r="S1550" i="5"/>
  <c r="S1549" i="5"/>
  <c r="S1548" i="5"/>
  <c r="S1547" i="5"/>
  <c r="S1546" i="5"/>
  <c r="S1545" i="5"/>
  <c r="S1544" i="5"/>
  <c r="S1543" i="5"/>
  <c r="S1542" i="5"/>
  <c r="S1541" i="5"/>
  <c r="S1540" i="5"/>
  <c r="S1539" i="5"/>
  <c r="S1538" i="5"/>
  <c r="S1537" i="5"/>
  <c r="S1536" i="5"/>
  <c r="S1535" i="5"/>
  <c r="S1534" i="5"/>
  <c r="S1533" i="5"/>
  <c r="S1532" i="5"/>
  <c r="S1531" i="5"/>
  <c r="S1530" i="5"/>
  <c r="S1529" i="5"/>
  <c r="S1528" i="5"/>
  <c r="S1527" i="5"/>
  <c r="S1526" i="5"/>
  <c r="S1525" i="5"/>
  <c r="S1524" i="5"/>
  <c r="S1523" i="5"/>
  <c r="S1522" i="5"/>
  <c r="S1521" i="5"/>
  <c r="S1520" i="5"/>
  <c r="S1519" i="5"/>
  <c r="S1518" i="5"/>
  <c r="S1517" i="5"/>
  <c r="S1516" i="5"/>
  <c r="S1515" i="5"/>
  <c r="S1514" i="5"/>
  <c r="S1513" i="5"/>
  <c r="S1512" i="5"/>
  <c r="S1511" i="5"/>
  <c r="S1510" i="5"/>
  <c r="S1509" i="5"/>
  <c r="S1508" i="5"/>
  <c r="S1507" i="5"/>
  <c r="S1506" i="5"/>
  <c r="S1505" i="5"/>
  <c r="S1504" i="5"/>
  <c r="S1503" i="5"/>
  <c r="S1502" i="5"/>
  <c r="S1501" i="5"/>
  <c r="S1500" i="5"/>
  <c r="S1499" i="5"/>
  <c r="S1498" i="5"/>
  <c r="S1497" i="5"/>
  <c r="S1496" i="5"/>
  <c r="S1495" i="5"/>
  <c r="S1494" i="5"/>
  <c r="S1493" i="5"/>
  <c r="S1492" i="5"/>
  <c r="S1491" i="5"/>
  <c r="S1490" i="5"/>
  <c r="S1489" i="5"/>
  <c r="S1488" i="5"/>
  <c r="S1487" i="5"/>
  <c r="S1486" i="5"/>
  <c r="S1485" i="5"/>
  <c r="S1484" i="5"/>
  <c r="S1483" i="5"/>
  <c r="S1482" i="5"/>
  <c r="S1481" i="5"/>
  <c r="S1480" i="5"/>
  <c r="S1479" i="5"/>
  <c r="S1478" i="5"/>
  <c r="S1477" i="5"/>
  <c r="S1476" i="5"/>
  <c r="S1475" i="5"/>
  <c r="S1474" i="5"/>
  <c r="S1473" i="5"/>
  <c r="S1472" i="5"/>
  <c r="S1471" i="5"/>
  <c r="S1470" i="5"/>
  <c r="S1469" i="5"/>
  <c r="S1468" i="5"/>
  <c r="S1467" i="5"/>
  <c r="S1466" i="5"/>
  <c r="S1465" i="5"/>
  <c r="S1464" i="5"/>
  <c r="S1463" i="5"/>
  <c r="S1462" i="5"/>
  <c r="S1461" i="5"/>
  <c r="S1460" i="5"/>
  <c r="S1459" i="5"/>
  <c r="S1458" i="5"/>
  <c r="S1457" i="5"/>
  <c r="S1456" i="5"/>
  <c r="S1455" i="5"/>
  <c r="S1454" i="5"/>
  <c r="S1453" i="5"/>
  <c r="S1452" i="5"/>
  <c r="S1451" i="5"/>
  <c r="S1450" i="5"/>
  <c r="S1449" i="5"/>
  <c r="S1448" i="5"/>
  <c r="S1447" i="5"/>
  <c r="S1446" i="5"/>
  <c r="S1445" i="5"/>
  <c r="S1444" i="5"/>
  <c r="S1443" i="5"/>
  <c r="S1442" i="5"/>
  <c r="S1441" i="5"/>
  <c r="S1440" i="5"/>
  <c r="S1439" i="5"/>
  <c r="S1438" i="5"/>
  <c r="S1437" i="5"/>
  <c r="S1436" i="5"/>
  <c r="S1435" i="5"/>
  <c r="S1434" i="5"/>
  <c r="S1433" i="5"/>
  <c r="S1432" i="5"/>
  <c r="S1431" i="5"/>
  <c r="S1430" i="5"/>
  <c r="S1429" i="5"/>
  <c r="S1428" i="5"/>
  <c r="S1427" i="5"/>
  <c r="S1426" i="5"/>
  <c r="S1425" i="5"/>
  <c r="S1424" i="5"/>
  <c r="S1423" i="5"/>
  <c r="S1422" i="5"/>
  <c r="S1421" i="5"/>
  <c r="S1420" i="5"/>
  <c r="S1419" i="5"/>
  <c r="S1418" i="5"/>
  <c r="S1417" i="5"/>
  <c r="S1416" i="5"/>
  <c r="S1415" i="5"/>
  <c r="S1414" i="5"/>
  <c r="S1413" i="5"/>
  <c r="S1412" i="5"/>
  <c r="S1411" i="5"/>
  <c r="S1410" i="5"/>
  <c r="S1409" i="5"/>
  <c r="S1408" i="5"/>
  <c r="S1407" i="5"/>
  <c r="S1406" i="5"/>
  <c r="S1405" i="5"/>
  <c r="S1404" i="5"/>
  <c r="S1403" i="5"/>
  <c r="S1402" i="5"/>
  <c r="S1401" i="5"/>
  <c r="S1400" i="5"/>
  <c r="S1399" i="5"/>
  <c r="S1398" i="5"/>
  <c r="S1397" i="5"/>
  <c r="S1396" i="5"/>
  <c r="S1395" i="5"/>
  <c r="S1394" i="5"/>
  <c r="S1393" i="5"/>
  <c r="S1392" i="5"/>
  <c r="S1391" i="5"/>
  <c r="S1390" i="5"/>
  <c r="S1389" i="5"/>
  <c r="S1388" i="5"/>
  <c r="S1387" i="5"/>
  <c r="S1386" i="5"/>
  <c r="S1385" i="5"/>
  <c r="S1384" i="5"/>
  <c r="S1383" i="5"/>
  <c r="S1382" i="5"/>
  <c r="S1381" i="5"/>
  <c r="S1380" i="5"/>
  <c r="S1379" i="5"/>
  <c r="S1378" i="5"/>
  <c r="S1377" i="5"/>
  <c r="S1376" i="5"/>
  <c r="S1375" i="5"/>
  <c r="S1374" i="5"/>
  <c r="S1373" i="5"/>
  <c r="S1372" i="5"/>
  <c r="S1371" i="5"/>
  <c r="S1370" i="5"/>
  <c r="S1369" i="5"/>
  <c r="S1368" i="5"/>
  <c r="S1367" i="5"/>
  <c r="S1366" i="5"/>
  <c r="S1365" i="5"/>
  <c r="S1364" i="5"/>
  <c r="S1363" i="5"/>
  <c r="S1362" i="5"/>
  <c r="S1361" i="5"/>
  <c r="S1360" i="5"/>
  <c r="S1359" i="5"/>
  <c r="S1358" i="5"/>
  <c r="S1357" i="5"/>
  <c r="S1356" i="5"/>
  <c r="S1355" i="5"/>
  <c r="S1354" i="5"/>
  <c r="S1353" i="5"/>
  <c r="S1352" i="5"/>
  <c r="S1351" i="5"/>
  <c r="S1350" i="5"/>
  <c r="S1349" i="5"/>
  <c r="S1348" i="5"/>
  <c r="S1347" i="5"/>
  <c r="S1346" i="5"/>
  <c r="S1345" i="5"/>
  <c r="S1344" i="5"/>
  <c r="S1343" i="5"/>
  <c r="S1342" i="5"/>
  <c r="S1341" i="5"/>
  <c r="S1340" i="5"/>
  <c r="S1339" i="5"/>
  <c r="S1338" i="5"/>
  <c r="S1337" i="5"/>
  <c r="S1336" i="5"/>
  <c r="S1335" i="5"/>
  <c r="S1334" i="5"/>
  <c r="S1333" i="5"/>
  <c r="S1332" i="5"/>
  <c r="S1331" i="5"/>
  <c r="S1330" i="5"/>
  <c r="S1329" i="5"/>
  <c r="S1328" i="5"/>
  <c r="S1327" i="5"/>
  <c r="S1326" i="5"/>
  <c r="S1325" i="5"/>
  <c r="S1324" i="5"/>
  <c r="S1323" i="5"/>
  <c r="S1322" i="5"/>
  <c r="S1321" i="5"/>
  <c r="S1320" i="5"/>
  <c r="S1319" i="5"/>
  <c r="S1318" i="5"/>
  <c r="S1317" i="5"/>
  <c r="S1316" i="5"/>
  <c r="S1315" i="5"/>
  <c r="S1314" i="5"/>
  <c r="S1313" i="5"/>
  <c r="S1312" i="5"/>
  <c r="S1311" i="5"/>
  <c r="S1310" i="5"/>
  <c r="S1309" i="5"/>
  <c r="S1308" i="5"/>
  <c r="S1307" i="5"/>
  <c r="S1306" i="5"/>
  <c r="S1305" i="5"/>
  <c r="S1304" i="5"/>
  <c r="S1303" i="5"/>
  <c r="S1302" i="5"/>
  <c r="S1301" i="5"/>
  <c r="S1300" i="5"/>
  <c r="S1299" i="5"/>
  <c r="S1298" i="5"/>
  <c r="S1297" i="5"/>
  <c r="S1296" i="5"/>
  <c r="S1295" i="5"/>
  <c r="S1294" i="5"/>
  <c r="S1293" i="5"/>
  <c r="S1292" i="5"/>
  <c r="S1291" i="5"/>
  <c r="S1290" i="5"/>
  <c r="S1289" i="5"/>
  <c r="S1288" i="5"/>
  <c r="S1287" i="5"/>
  <c r="S1286" i="5"/>
  <c r="S1285" i="5"/>
  <c r="S1284" i="5"/>
  <c r="S1283" i="5"/>
  <c r="S1282" i="5"/>
  <c r="S1281" i="5"/>
  <c r="S1280" i="5"/>
  <c r="S1279" i="5"/>
  <c r="S1278" i="5"/>
  <c r="S1277" i="5"/>
  <c r="S1276" i="5"/>
  <c r="S1275" i="5"/>
  <c r="S1274" i="5"/>
  <c r="S1273" i="5"/>
  <c r="S1272" i="5"/>
  <c r="S1271" i="5"/>
  <c r="S1270" i="5"/>
  <c r="S1269" i="5"/>
  <c r="S1268" i="5"/>
  <c r="S1267" i="5"/>
  <c r="S1266" i="5"/>
  <c r="S1265" i="5"/>
  <c r="S1264" i="5"/>
  <c r="S1263" i="5"/>
  <c r="S1262" i="5"/>
  <c r="S1261" i="5"/>
  <c r="S1260" i="5"/>
  <c r="S1259" i="5"/>
  <c r="S1258" i="5"/>
  <c r="S1257" i="5"/>
  <c r="S1256" i="5"/>
  <c r="S1255" i="5"/>
  <c r="S1254" i="5"/>
  <c r="S1253" i="5"/>
  <c r="S1252" i="5"/>
  <c r="S1251" i="5"/>
  <c r="S1250" i="5"/>
  <c r="S1249" i="5"/>
  <c r="S1248" i="5"/>
  <c r="S1247" i="5"/>
  <c r="S1246" i="5"/>
  <c r="S1245" i="5"/>
  <c r="S1244" i="5"/>
  <c r="S1243" i="5"/>
  <c r="S1242" i="5"/>
  <c r="S1241" i="5"/>
  <c r="S1240" i="5"/>
  <c r="S1239" i="5"/>
  <c r="S1238" i="5"/>
  <c r="S1237" i="5"/>
  <c r="S1236" i="5"/>
  <c r="S1235" i="5"/>
  <c r="S1234" i="5"/>
  <c r="S1233" i="5"/>
  <c r="S1232" i="5"/>
  <c r="S1231" i="5"/>
  <c r="S1230" i="5"/>
  <c r="S1229" i="5"/>
  <c r="S1228" i="5"/>
  <c r="S1227" i="5"/>
  <c r="S1226" i="5"/>
  <c r="S1225" i="5"/>
  <c r="S1224" i="5"/>
  <c r="S1223" i="5"/>
  <c r="S1222" i="5"/>
  <c r="S1221" i="5"/>
  <c r="S1220" i="5"/>
  <c r="S1219" i="5"/>
  <c r="S1218" i="5"/>
  <c r="S1217" i="5"/>
  <c r="S1216" i="5"/>
  <c r="S1215" i="5"/>
  <c r="S1214" i="5"/>
  <c r="S1213" i="5"/>
  <c r="S1212" i="5"/>
  <c r="S1211" i="5"/>
  <c r="S1210" i="5"/>
  <c r="S1209" i="5"/>
  <c r="S1208" i="5"/>
  <c r="S1207" i="5"/>
  <c r="S1206" i="5"/>
  <c r="S1205" i="5"/>
  <c r="S1204" i="5"/>
  <c r="S1203" i="5"/>
  <c r="S1202" i="5"/>
  <c r="S1201" i="5"/>
  <c r="S1200" i="5"/>
  <c r="S1199" i="5"/>
  <c r="S1198" i="5"/>
  <c r="S1197" i="5"/>
  <c r="S1196" i="5"/>
  <c r="S1195" i="5"/>
  <c r="S1194" i="5"/>
  <c r="S1193" i="5"/>
  <c r="S1192" i="5"/>
  <c r="S1191" i="5"/>
  <c r="S1190" i="5"/>
  <c r="S1189" i="5"/>
  <c r="S1188" i="5"/>
  <c r="S1187" i="5"/>
  <c r="S1186" i="5"/>
  <c r="S1185" i="5"/>
  <c r="S1184" i="5"/>
  <c r="S1183" i="5"/>
  <c r="S1182" i="5"/>
  <c r="S1181" i="5"/>
  <c r="S1180" i="5"/>
  <c r="S1179" i="5"/>
  <c r="S1178" i="5"/>
  <c r="S1177" i="5"/>
  <c r="S1176" i="5"/>
  <c r="S1175" i="5"/>
  <c r="S1174" i="5"/>
  <c r="S1173" i="5"/>
  <c r="S1172" i="5"/>
  <c r="S1171" i="5"/>
  <c r="S1170" i="5"/>
  <c r="S1169" i="5"/>
  <c r="S1168" i="5"/>
  <c r="S1167" i="5"/>
  <c r="S1166" i="5"/>
  <c r="S1165" i="5"/>
  <c r="S1164" i="5"/>
  <c r="S1163" i="5"/>
  <c r="S1162" i="5"/>
  <c r="S1161" i="5"/>
  <c r="S1160" i="5"/>
  <c r="S1159" i="5"/>
  <c r="S1158" i="5"/>
  <c r="S1157" i="5"/>
  <c r="S1156" i="5"/>
  <c r="S1155" i="5"/>
  <c r="S1154" i="5"/>
  <c r="S1153" i="5"/>
  <c r="S1152" i="5"/>
  <c r="S1151" i="5"/>
  <c r="S1150" i="5"/>
  <c r="S1149" i="5"/>
  <c r="S1148" i="5"/>
  <c r="S1147" i="5"/>
  <c r="S1146" i="5"/>
  <c r="S1145" i="5"/>
  <c r="S1144" i="5"/>
  <c r="S1143" i="5"/>
  <c r="S1142" i="5"/>
  <c r="S1141" i="5"/>
  <c r="S1140" i="5"/>
  <c r="S1139" i="5"/>
  <c r="S1138" i="5"/>
  <c r="S1137" i="5"/>
  <c r="S1136" i="5"/>
  <c r="S1135" i="5"/>
  <c r="S1134" i="5"/>
  <c r="S1133" i="5"/>
  <c r="S1132" i="5"/>
  <c r="S1131" i="5"/>
  <c r="S1130" i="5"/>
  <c r="S1129" i="5"/>
  <c r="S1128" i="5"/>
  <c r="S1127" i="5"/>
  <c r="S1126" i="5"/>
  <c r="S1125" i="5"/>
  <c r="S1124" i="5"/>
  <c r="S1123" i="5"/>
  <c r="S1122" i="5"/>
  <c r="S1121" i="5"/>
  <c r="S1120" i="5"/>
  <c r="S1119" i="5"/>
  <c r="S1118" i="5"/>
  <c r="S1117" i="5"/>
  <c r="S1116" i="5"/>
  <c r="S1115" i="5"/>
  <c r="S1114" i="5"/>
  <c r="S1113" i="5"/>
  <c r="S1112" i="5"/>
  <c r="S1111" i="5"/>
  <c r="S1110" i="5"/>
  <c r="S1109" i="5"/>
  <c r="S1108" i="5"/>
  <c r="S1107" i="5"/>
  <c r="S1106" i="5"/>
  <c r="S1105" i="5"/>
  <c r="S1104" i="5"/>
  <c r="S1103" i="5"/>
  <c r="S1102" i="5"/>
  <c r="S1101" i="5"/>
  <c r="S1100" i="5"/>
  <c r="S1099" i="5"/>
  <c r="S1098" i="5"/>
  <c r="S1097" i="5"/>
  <c r="S1096" i="5"/>
  <c r="S1095" i="5"/>
  <c r="S1094" i="5"/>
  <c r="S1093" i="5"/>
  <c r="S1092" i="5"/>
  <c r="S1091" i="5"/>
  <c r="S1090" i="5"/>
  <c r="S1089" i="5"/>
  <c r="S1088" i="5"/>
  <c r="S1087" i="5"/>
  <c r="S1086" i="5"/>
  <c r="S1085" i="5"/>
  <c r="S1084" i="5"/>
  <c r="S1083" i="5"/>
  <c r="S1082" i="5"/>
  <c r="S1081" i="5"/>
  <c r="S1080" i="5"/>
  <c r="S1079" i="5"/>
  <c r="S1078" i="5"/>
  <c r="S1077" i="5"/>
  <c r="S1076" i="5"/>
  <c r="S1075" i="5"/>
  <c r="S1074" i="5"/>
  <c r="S1073" i="5"/>
  <c r="S1072" i="5"/>
  <c r="S1071" i="5"/>
  <c r="S1070" i="5"/>
  <c r="S1069" i="5"/>
  <c r="S1068" i="5"/>
  <c r="S1067" i="5"/>
  <c r="S1066" i="5"/>
  <c r="S1065" i="5"/>
  <c r="S1064" i="5"/>
  <c r="S1063" i="5"/>
  <c r="S1062" i="5"/>
  <c r="S1061" i="5"/>
  <c r="S1060" i="5"/>
  <c r="S1059" i="5"/>
  <c r="S1058" i="5"/>
  <c r="S1057" i="5"/>
  <c r="S1056" i="5"/>
  <c r="S1055" i="5"/>
  <c r="S1054" i="5"/>
  <c r="S1053" i="5"/>
  <c r="S1052" i="5"/>
  <c r="S1051" i="5"/>
  <c r="S1050" i="5"/>
  <c r="S1049" i="5"/>
  <c r="S1048" i="5"/>
  <c r="S1047" i="5"/>
  <c r="S1046" i="5"/>
  <c r="S1045" i="5"/>
  <c r="S1044" i="5"/>
  <c r="S1043" i="5"/>
  <c r="S1042" i="5"/>
  <c r="S1041" i="5"/>
  <c r="S1040" i="5"/>
  <c r="S1039" i="5"/>
  <c r="S1038" i="5"/>
  <c r="S1037" i="5"/>
  <c r="S1036" i="5"/>
  <c r="S1035" i="5"/>
  <c r="S1034" i="5"/>
  <c r="S1033" i="5"/>
  <c r="S1032" i="5"/>
  <c r="S1031" i="5"/>
  <c r="S1030" i="5"/>
  <c r="S1029" i="5"/>
  <c r="S1028" i="5"/>
  <c r="S1027" i="5"/>
  <c r="S1026" i="5"/>
  <c r="S1025" i="5"/>
  <c r="S1024" i="5"/>
  <c r="S1023" i="5"/>
  <c r="S1022" i="5"/>
  <c r="S1021" i="5"/>
  <c r="S1020" i="5"/>
  <c r="S1019" i="5"/>
  <c r="S1018" i="5"/>
  <c r="S1017" i="5"/>
  <c r="S1016" i="5"/>
  <c r="S1015" i="5"/>
  <c r="S1014" i="5"/>
  <c r="S1013" i="5"/>
  <c r="S1012" i="5"/>
  <c r="S1011" i="5"/>
  <c r="S1010" i="5"/>
  <c r="S1009" i="5"/>
  <c r="S1008" i="5"/>
  <c r="S1007" i="5"/>
  <c r="S1006" i="5"/>
  <c r="S1005" i="5"/>
  <c r="S1004" i="5"/>
  <c r="S1003" i="5"/>
  <c r="S1002" i="5"/>
  <c r="S1001" i="5"/>
  <c r="S1000" i="5"/>
  <c r="S999" i="5"/>
  <c r="S998" i="5"/>
  <c r="S997" i="5"/>
  <c r="S996" i="5"/>
  <c r="S995" i="5"/>
  <c r="S994" i="5"/>
  <c r="S993" i="5"/>
  <c r="S992" i="5"/>
  <c r="S991" i="5"/>
  <c r="S990" i="5"/>
  <c r="S989" i="5"/>
  <c r="S988" i="5"/>
  <c r="S987" i="5"/>
  <c r="S986" i="5"/>
  <c r="S985" i="5"/>
  <c r="S984" i="5"/>
  <c r="S983" i="5"/>
  <c r="S982" i="5"/>
  <c r="S981" i="5"/>
  <c r="S980" i="5"/>
  <c r="S979" i="5"/>
  <c r="S978" i="5"/>
  <c r="S977" i="5"/>
  <c r="S976" i="5"/>
  <c r="S975" i="5"/>
  <c r="S974" i="5"/>
  <c r="S973" i="5"/>
  <c r="S972" i="5"/>
  <c r="S971" i="5"/>
  <c r="S970" i="5"/>
  <c r="S969" i="5"/>
  <c r="S968" i="5"/>
  <c r="S967" i="5"/>
  <c r="S966" i="5"/>
  <c r="S965" i="5"/>
  <c r="S964" i="5"/>
  <c r="S963" i="5"/>
  <c r="S962" i="5"/>
  <c r="S961" i="5"/>
  <c r="S960" i="5"/>
  <c r="S959" i="5"/>
  <c r="S958" i="5"/>
  <c r="S957" i="5"/>
  <c r="S956" i="5"/>
  <c r="S955" i="5"/>
  <c r="S954" i="5"/>
  <c r="S953" i="5"/>
  <c r="S952" i="5"/>
  <c r="S951" i="5"/>
  <c r="S950" i="5"/>
  <c r="S949" i="5"/>
  <c r="S948" i="5"/>
  <c r="S947" i="5"/>
  <c r="S946" i="5"/>
  <c r="S945" i="5"/>
  <c r="S944" i="5"/>
  <c r="S943" i="5"/>
  <c r="S942" i="5"/>
  <c r="S941" i="5"/>
  <c r="S940" i="5"/>
  <c r="S939" i="5"/>
  <c r="S938" i="5"/>
  <c r="S937" i="5"/>
  <c r="S936" i="5"/>
  <c r="S935" i="5"/>
  <c r="S934" i="5"/>
  <c r="S933" i="5"/>
  <c r="S932" i="5"/>
  <c r="S931" i="5"/>
  <c r="S930" i="5"/>
  <c r="S929" i="5"/>
  <c r="S928" i="5"/>
  <c r="S927" i="5"/>
  <c r="S926" i="5"/>
  <c r="S925" i="5"/>
  <c r="S924" i="5"/>
  <c r="S923" i="5"/>
  <c r="S922" i="5"/>
  <c r="S921" i="5"/>
  <c r="S920" i="5"/>
  <c r="S919" i="5"/>
  <c r="S918" i="5"/>
  <c r="S917" i="5"/>
  <c r="S916" i="5"/>
  <c r="S915" i="5"/>
  <c r="S914" i="5"/>
  <c r="S913" i="5"/>
  <c r="S912" i="5"/>
  <c r="S911" i="5"/>
  <c r="S910" i="5"/>
  <c r="S909" i="5"/>
  <c r="S908" i="5"/>
  <c r="S907" i="5"/>
  <c r="S906" i="5"/>
  <c r="S905" i="5"/>
  <c r="S904" i="5"/>
  <c r="S903" i="5"/>
  <c r="S902" i="5"/>
  <c r="S901" i="5"/>
  <c r="S900" i="5"/>
  <c r="S899" i="5"/>
  <c r="S898" i="5"/>
  <c r="S897" i="5"/>
  <c r="S896" i="5"/>
  <c r="S895" i="5"/>
  <c r="S894" i="5"/>
  <c r="S893" i="5"/>
  <c r="S892" i="5"/>
  <c r="S891" i="5"/>
  <c r="S890" i="5"/>
  <c r="S889" i="5"/>
  <c r="S888" i="5"/>
  <c r="S887" i="5"/>
  <c r="S886" i="5"/>
  <c r="S885" i="5"/>
  <c r="S884" i="5"/>
  <c r="S883" i="5"/>
  <c r="S882" i="5"/>
  <c r="S881" i="5"/>
  <c r="S880" i="5"/>
  <c r="S879" i="5"/>
  <c r="S878" i="5"/>
  <c r="S877" i="5"/>
  <c r="S876" i="5"/>
  <c r="S875" i="5"/>
  <c r="S874" i="5"/>
  <c r="S873" i="5"/>
  <c r="S872" i="5"/>
  <c r="S871" i="5"/>
  <c r="S870" i="5"/>
  <c r="S869" i="5"/>
  <c r="S868" i="5"/>
  <c r="S867" i="5"/>
  <c r="S866" i="5"/>
  <c r="S865" i="5"/>
  <c r="S864" i="5"/>
  <c r="S863" i="5"/>
  <c r="S862" i="5"/>
  <c r="S861" i="5"/>
  <c r="S860" i="5"/>
  <c r="S859" i="5"/>
  <c r="S858" i="5"/>
  <c r="S857" i="5"/>
  <c r="S856" i="5"/>
  <c r="S855" i="5"/>
  <c r="S854" i="5"/>
  <c r="S853" i="5"/>
  <c r="S852" i="5"/>
  <c r="S851" i="5"/>
  <c r="S850" i="5"/>
  <c r="S849" i="5"/>
  <c r="S848" i="5"/>
  <c r="S847" i="5"/>
  <c r="S846" i="5"/>
  <c r="S845" i="5"/>
  <c r="S844" i="5"/>
  <c r="S843" i="5"/>
  <c r="S842" i="5"/>
  <c r="S841" i="5"/>
  <c r="S840" i="5"/>
  <c r="S839" i="5"/>
  <c r="S838" i="5"/>
  <c r="S837" i="5"/>
  <c r="S836" i="5"/>
  <c r="S835" i="5"/>
  <c r="S834" i="5"/>
  <c r="S833" i="5"/>
  <c r="S832" i="5"/>
  <c r="S831" i="5"/>
  <c r="S830" i="5"/>
  <c r="S829" i="5"/>
  <c r="S828" i="5"/>
  <c r="S827" i="5"/>
  <c r="S826" i="5"/>
  <c r="S825" i="5"/>
  <c r="S824" i="5"/>
  <c r="S823" i="5"/>
  <c r="S822" i="5"/>
  <c r="S821" i="5"/>
  <c r="S820" i="5"/>
  <c r="S819" i="5"/>
  <c r="S818" i="5"/>
  <c r="S817" i="5"/>
  <c r="S816" i="5"/>
  <c r="S815" i="5"/>
  <c r="S814" i="5"/>
  <c r="S813" i="5"/>
  <c r="S812" i="5"/>
  <c r="S811" i="5"/>
  <c r="S810" i="5"/>
  <c r="S809" i="5"/>
  <c r="S808" i="5"/>
  <c r="S807" i="5"/>
  <c r="S806" i="5"/>
  <c r="S805" i="5"/>
  <c r="S804" i="5"/>
  <c r="S803" i="5"/>
  <c r="S802" i="5"/>
  <c r="S801" i="5"/>
  <c r="S800" i="5"/>
  <c r="S799" i="5"/>
  <c r="S798" i="5"/>
  <c r="S797" i="5"/>
  <c r="S796" i="5"/>
  <c r="S795" i="5"/>
  <c r="S794" i="5"/>
  <c r="S793" i="5"/>
  <c r="S792" i="5"/>
  <c r="S791" i="5"/>
  <c r="S790" i="5"/>
  <c r="S789" i="5"/>
  <c r="S788" i="5"/>
  <c r="S787" i="5"/>
  <c r="S786" i="5"/>
  <c r="S785" i="5"/>
  <c r="S784" i="5"/>
  <c r="S783" i="5"/>
  <c r="S782" i="5"/>
  <c r="S781" i="5"/>
  <c r="S780" i="5"/>
  <c r="S779" i="5"/>
  <c r="S778" i="5"/>
  <c r="S777" i="5"/>
  <c r="S776" i="5"/>
  <c r="S775" i="5"/>
  <c r="S774" i="5"/>
  <c r="S773" i="5"/>
  <c r="S772" i="5"/>
  <c r="S771" i="5"/>
  <c r="S770" i="5"/>
  <c r="S769" i="5"/>
  <c r="S768" i="5"/>
  <c r="S767" i="5"/>
  <c r="S766" i="5"/>
  <c r="S765" i="5"/>
  <c r="S764" i="5"/>
  <c r="S763" i="5"/>
  <c r="S762" i="5"/>
  <c r="S761" i="5"/>
  <c r="S760" i="5"/>
  <c r="S759" i="5"/>
  <c r="S758" i="5"/>
  <c r="S757" i="5"/>
  <c r="S756" i="5"/>
  <c r="S755" i="5"/>
  <c r="S754" i="5"/>
  <c r="S753" i="5"/>
  <c r="S752" i="5"/>
  <c r="S751" i="5"/>
  <c r="S750" i="5"/>
  <c r="S749" i="5"/>
  <c r="S748" i="5"/>
  <c r="S747" i="5"/>
  <c r="S746" i="5"/>
  <c r="S745" i="5"/>
  <c r="S744" i="5"/>
  <c r="S743" i="5"/>
  <c r="S742" i="5"/>
  <c r="S741" i="5"/>
  <c r="S740" i="5"/>
  <c r="S739" i="5"/>
  <c r="S738" i="5"/>
  <c r="S737" i="5"/>
  <c r="S736" i="5"/>
  <c r="S735" i="5"/>
  <c r="S734" i="5"/>
  <c r="S733" i="5"/>
  <c r="S732" i="5"/>
  <c r="S731" i="5"/>
  <c r="S730" i="5"/>
  <c r="S729" i="5"/>
  <c r="S728" i="5"/>
  <c r="S727" i="5"/>
  <c r="S726" i="5"/>
  <c r="S725" i="5"/>
  <c r="S724" i="5"/>
  <c r="S723" i="5"/>
  <c r="S722" i="5"/>
  <c r="S721" i="5"/>
  <c r="S720" i="5"/>
  <c r="S719" i="5"/>
  <c r="S718" i="5"/>
  <c r="S717" i="5"/>
  <c r="S716" i="5"/>
  <c r="S715" i="5"/>
  <c r="S714" i="5"/>
  <c r="S713" i="5"/>
  <c r="S712" i="5"/>
  <c r="S711" i="5"/>
  <c r="S710" i="5"/>
  <c r="S709" i="5"/>
  <c r="S708" i="5"/>
  <c r="S707" i="5"/>
  <c r="S706" i="5"/>
  <c r="S705" i="5"/>
  <c r="S704" i="5"/>
  <c r="S703" i="5"/>
  <c r="S702" i="5"/>
  <c r="S701" i="5"/>
  <c r="S700" i="5"/>
  <c r="S699" i="5"/>
  <c r="S698" i="5"/>
  <c r="S697" i="5"/>
  <c r="S696" i="5"/>
  <c r="S695" i="5"/>
  <c r="S694" i="5"/>
  <c r="S693" i="5"/>
  <c r="S692" i="5"/>
  <c r="S691" i="5"/>
  <c r="S690" i="5"/>
  <c r="S689" i="5"/>
  <c r="S688" i="5"/>
  <c r="S687" i="5"/>
  <c r="S686" i="5"/>
  <c r="S685" i="5"/>
  <c r="S684" i="5"/>
  <c r="S683" i="5"/>
  <c r="S682" i="5"/>
  <c r="S681" i="5"/>
  <c r="S680" i="5"/>
  <c r="S679" i="5"/>
  <c r="S678" i="5"/>
  <c r="S677" i="5"/>
  <c r="S676" i="5"/>
  <c r="S675" i="5"/>
  <c r="S674" i="5"/>
  <c r="S673" i="5"/>
  <c r="S672" i="5"/>
  <c r="S671" i="5"/>
  <c r="S670" i="5"/>
  <c r="S669" i="5"/>
  <c r="S668" i="5"/>
  <c r="S667" i="5"/>
  <c r="S666" i="5"/>
  <c r="S665" i="5"/>
  <c r="S664" i="5"/>
  <c r="S663" i="5"/>
  <c r="S662" i="5"/>
  <c r="S661" i="5"/>
  <c r="S660" i="5"/>
  <c r="S659" i="5"/>
  <c r="S658" i="5"/>
  <c r="S657" i="5"/>
  <c r="S656" i="5"/>
  <c r="S655" i="5"/>
  <c r="S654" i="5"/>
  <c r="S653" i="5"/>
  <c r="S652" i="5"/>
  <c r="S651" i="5"/>
  <c r="S650" i="5"/>
  <c r="S649" i="5"/>
  <c r="S648" i="5"/>
  <c r="S647" i="5"/>
  <c r="S646" i="5"/>
  <c r="S645" i="5"/>
  <c r="S644" i="5"/>
  <c r="S643" i="5"/>
  <c r="S642" i="5"/>
  <c r="S641" i="5"/>
  <c r="S640" i="5"/>
  <c r="S639" i="5"/>
  <c r="S638" i="5"/>
  <c r="S637" i="5"/>
  <c r="S636" i="5"/>
  <c r="S635" i="5"/>
  <c r="S634" i="5"/>
  <c r="S633" i="5"/>
  <c r="S632" i="5"/>
  <c r="S631" i="5"/>
  <c r="S630" i="5"/>
  <c r="S629" i="5"/>
  <c r="S628" i="5"/>
  <c r="S627" i="5"/>
  <c r="S626" i="5"/>
  <c r="S625" i="5"/>
  <c r="S624" i="5"/>
  <c r="S623" i="5"/>
  <c r="S622" i="5"/>
  <c r="S621" i="5"/>
  <c r="S620" i="5"/>
  <c r="S619" i="5"/>
  <c r="S618" i="5"/>
  <c r="S617" i="5"/>
  <c r="S616" i="5"/>
  <c r="S615" i="5"/>
  <c r="S614" i="5"/>
  <c r="S613" i="5"/>
  <c r="S612" i="5"/>
  <c r="S611" i="5"/>
  <c r="S610" i="5"/>
  <c r="S609" i="5"/>
  <c r="S608" i="5"/>
  <c r="S607" i="5"/>
  <c r="S606" i="5"/>
  <c r="S605" i="5"/>
  <c r="S604" i="5"/>
  <c r="S603" i="5"/>
  <c r="S602" i="5"/>
  <c r="S601" i="5"/>
  <c r="S600" i="5"/>
  <c r="S599" i="5"/>
  <c r="S598" i="5"/>
  <c r="S597" i="5"/>
  <c r="S596" i="5"/>
  <c r="S595" i="5"/>
  <c r="S594" i="5"/>
  <c r="S593" i="5"/>
  <c r="S592" i="5"/>
  <c r="S591" i="5"/>
  <c r="S590" i="5"/>
  <c r="S589" i="5"/>
  <c r="S588" i="5"/>
  <c r="S587" i="5"/>
  <c r="S586" i="5"/>
  <c r="S585" i="5"/>
  <c r="S584" i="5"/>
  <c r="S583" i="5"/>
  <c r="S582" i="5"/>
  <c r="S581" i="5"/>
  <c r="S580" i="5"/>
  <c r="S579" i="5"/>
  <c r="S578" i="5"/>
  <c r="S577" i="5"/>
  <c r="S576" i="5"/>
  <c r="S575" i="5"/>
  <c r="S574" i="5"/>
  <c r="S573" i="5"/>
  <c r="S572" i="5"/>
  <c r="S571" i="5"/>
  <c r="S570" i="5"/>
  <c r="S569" i="5"/>
  <c r="S568" i="5"/>
  <c r="S567" i="5"/>
  <c r="S566" i="5"/>
  <c r="S565" i="5"/>
  <c r="S564" i="5"/>
  <c r="S563" i="5"/>
  <c r="S562" i="5"/>
  <c r="S561" i="5"/>
  <c r="S560" i="5"/>
  <c r="S559" i="5"/>
  <c r="S558" i="5"/>
  <c r="S557" i="5"/>
  <c r="S556" i="5"/>
  <c r="S555" i="5"/>
  <c r="S554" i="5"/>
  <c r="S553" i="5"/>
  <c r="S552" i="5"/>
  <c r="S551" i="5"/>
  <c r="S550" i="5"/>
  <c r="S549" i="5"/>
  <c r="S548" i="5"/>
  <c r="S547" i="5"/>
  <c r="S546" i="5"/>
  <c r="S545" i="5"/>
  <c r="S544" i="5"/>
  <c r="S543" i="5"/>
  <c r="S542" i="5"/>
  <c r="S541" i="5"/>
  <c r="S540" i="5"/>
  <c r="S539" i="5"/>
  <c r="S538" i="5"/>
  <c r="S537" i="5"/>
  <c r="S536" i="5"/>
  <c r="S535" i="5"/>
  <c r="S534" i="5"/>
  <c r="S533" i="5"/>
  <c r="S532" i="5"/>
  <c r="S531" i="5"/>
  <c r="S530" i="5"/>
  <c r="S529" i="5"/>
  <c r="S528" i="5"/>
  <c r="S527" i="5"/>
  <c r="S526" i="5"/>
  <c r="S525" i="5"/>
  <c r="S524" i="5"/>
  <c r="S523" i="5"/>
  <c r="S522" i="5"/>
  <c r="S521" i="5"/>
  <c r="S520" i="5"/>
  <c r="S519" i="5"/>
  <c r="S518" i="5"/>
  <c r="S517" i="5"/>
  <c r="S516" i="5"/>
  <c r="S515" i="5"/>
  <c r="S514" i="5"/>
  <c r="S513" i="5"/>
  <c r="S512" i="5"/>
  <c r="S511" i="5"/>
  <c r="S510" i="5"/>
  <c r="S509" i="5"/>
  <c r="S508" i="5"/>
  <c r="S507" i="5"/>
  <c r="S506" i="5"/>
  <c r="S505" i="5"/>
  <c r="S504" i="5"/>
  <c r="S503" i="5"/>
  <c r="S502" i="5"/>
  <c r="S501" i="5"/>
  <c r="S500" i="5"/>
  <c r="S499" i="5"/>
  <c r="S498" i="5"/>
  <c r="S497" i="5"/>
  <c r="S496" i="5"/>
  <c r="S495" i="5"/>
  <c r="S494" i="5"/>
  <c r="S493" i="5"/>
  <c r="S492" i="5"/>
  <c r="S491" i="5"/>
  <c r="S490" i="5"/>
  <c r="S489" i="5"/>
  <c r="S488" i="5"/>
  <c r="S487" i="5"/>
  <c r="S486" i="5"/>
  <c r="S485" i="5"/>
  <c r="S484" i="5"/>
  <c r="S483" i="5"/>
  <c r="S482" i="5"/>
  <c r="S481" i="5"/>
  <c r="S480" i="5"/>
  <c r="S479" i="5"/>
  <c r="S478" i="5"/>
  <c r="S477" i="5"/>
  <c r="S476" i="5"/>
  <c r="S475" i="5"/>
  <c r="S474" i="5"/>
  <c r="S473" i="5"/>
  <c r="S472" i="5"/>
  <c r="S471" i="5"/>
  <c r="S470" i="5"/>
  <c r="S469" i="5"/>
  <c r="S468" i="5"/>
  <c r="S467" i="5"/>
  <c r="S466" i="5"/>
  <c r="S465" i="5"/>
  <c r="S464" i="5"/>
  <c r="S463" i="5"/>
  <c r="S462" i="5"/>
  <c r="S461" i="5"/>
  <c r="S460" i="5"/>
  <c r="S459" i="5"/>
  <c r="S458" i="5"/>
  <c r="S457" i="5"/>
  <c r="S456" i="5"/>
  <c r="S455" i="5"/>
  <c r="S454" i="5"/>
  <c r="S453" i="5"/>
  <c r="S452" i="5"/>
  <c r="S451" i="5"/>
  <c r="S450" i="5"/>
  <c r="S449" i="5"/>
  <c r="S448" i="5"/>
  <c r="S447" i="5"/>
  <c r="S446" i="5"/>
  <c r="S445" i="5"/>
  <c r="S444" i="5"/>
  <c r="S443" i="5"/>
  <c r="S442" i="5"/>
  <c r="S441" i="5"/>
  <c r="S440" i="5"/>
  <c r="S439" i="5"/>
  <c r="S438" i="5"/>
  <c r="S437" i="5"/>
  <c r="S436" i="5"/>
  <c r="S435" i="5"/>
  <c r="S434" i="5"/>
  <c r="S433" i="5"/>
  <c r="S432" i="5"/>
  <c r="S431" i="5"/>
  <c r="S430" i="5"/>
  <c r="S429" i="5"/>
  <c r="S428" i="5"/>
  <c r="S427" i="5"/>
  <c r="S426" i="5"/>
  <c r="S425" i="5"/>
  <c r="S424" i="5"/>
  <c r="S423" i="5"/>
  <c r="S422" i="5"/>
  <c r="S421" i="5"/>
  <c r="S420" i="5"/>
  <c r="S419" i="5"/>
  <c r="S418" i="5"/>
  <c r="S417" i="5"/>
  <c r="S416" i="5"/>
  <c r="S415" i="5"/>
  <c r="S414" i="5"/>
  <c r="S413" i="5"/>
  <c r="S412" i="5"/>
  <c r="S411" i="5"/>
  <c r="S410" i="5"/>
  <c r="S409" i="5"/>
  <c r="S408" i="5"/>
  <c r="S407" i="5"/>
  <c r="S406" i="5"/>
  <c r="S405" i="5"/>
  <c r="S404" i="5"/>
  <c r="S403" i="5"/>
  <c r="S402" i="5"/>
  <c r="S401" i="5"/>
  <c r="S400" i="5"/>
  <c r="S399" i="5"/>
  <c r="S398" i="5"/>
  <c r="S397" i="5"/>
  <c r="S396" i="5"/>
  <c r="S395" i="5"/>
  <c r="S394" i="5"/>
  <c r="S393" i="5"/>
  <c r="S392" i="5"/>
  <c r="S391" i="5"/>
  <c r="S390" i="5"/>
  <c r="S389" i="5"/>
  <c r="S388" i="5"/>
  <c r="S387" i="5"/>
  <c r="S386" i="5"/>
  <c r="S385" i="5"/>
  <c r="S384" i="5"/>
  <c r="S383" i="5"/>
  <c r="S382" i="5"/>
  <c r="S381" i="5"/>
  <c r="S380" i="5"/>
  <c r="S379" i="5"/>
  <c r="S378" i="5"/>
  <c r="S377" i="5"/>
  <c r="S376" i="5"/>
  <c r="S375" i="5"/>
  <c r="S374" i="5"/>
  <c r="S373" i="5"/>
  <c r="S372" i="5"/>
  <c r="S371" i="5"/>
  <c r="S370" i="5"/>
  <c r="S369" i="5"/>
  <c r="S368" i="5"/>
  <c r="S367" i="5"/>
  <c r="S366" i="5"/>
  <c r="S365" i="5"/>
  <c r="S364" i="5"/>
  <c r="S363" i="5"/>
  <c r="S362" i="5"/>
  <c r="S361" i="5"/>
  <c r="S360" i="5"/>
  <c r="S359" i="5"/>
  <c r="S358" i="5"/>
  <c r="S357" i="5"/>
  <c r="S356" i="5"/>
  <c r="S355" i="5"/>
  <c r="S354" i="5"/>
  <c r="S353" i="5"/>
  <c r="S352" i="5"/>
  <c r="S351" i="5"/>
  <c r="S350" i="5"/>
  <c r="S349" i="5"/>
  <c r="S348" i="5"/>
  <c r="S347" i="5"/>
  <c r="S346" i="5"/>
  <c r="S345" i="5"/>
  <c r="S344" i="5"/>
  <c r="S343" i="5"/>
  <c r="S342" i="5"/>
  <c r="S341" i="5"/>
  <c r="S340" i="5"/>
  <c r="S339" i="5"/>
  <c r="S338" i="5"/>
  <c r="S337" i="5"/>
  <c r="S336" i="5"/>
  <c r="S335" i="5"/>
  <c r="S334" i="5"/>
  <c r="S333" i="5"/>
  <c r="S332" i="5"/>
  <c r="S331" i="5"/>
  <c r="S330" i="5"/>
  <c r="S329" i="5"/>
  <c r="S328" i="5"/>
  <c r="S327" i="5"/>
  <c r="S326" i="5"/>
  <c r="S325" i="5"/>
  <c r="S324" i="5"/>
  <c r="S323" i="5"/>
  <c r="S322" i="5"/>
  <c r="S321" i="5"/>
  <c r="S320" i="5"/>
  <c r="S319" i="5"/>
  <c r="S318" i="5"/>
  <c r="S317" i="5"/>
  <c r="S316" i="5"/>
  <c r="S315" i="5"/>
  <c r="S314" i="5"/>
  <c r="S313" i="5"/>
  <c r="S312" i="5"/>
  <c r="S311" i="5"/>
  <c r="S310" i="5"/>
  <c r="S309" i="5"/>
  <c r="S308" i="5"/>
  <c r="S307" i="5"/>
  <c r="S306" i="5"/>
  <c r="S305" i="5"/>
  <c r="S304" i="5"/>
  <c r="S303" i="5"/>
  <c r="S302" i="5"/>
  <c r="S301" i="5"/>
  <c r="S300" i="5"/>
  <c r="S299" i="5"/>
  <c r="S298" i="5"/>
  <c r="S297" i="5"/>
  <c r="S296" i="5"/>
  <c r="S295" i="5"/>
  <c r="S294" i="5"/>
  <c r="S293" i="5"/>
  <c r="S292" i="5"/>
  <c r="S291" i="5"/>
  <c r="S290" i="5"/>
  <c r="S289" i="5"/>
  <c r="S288" i="5"/>
  <c r="S287" i="5"/>
  <c r="S286" i="5"/>
  <c r="S285" i="5"/>
  <c r="S284" i="5"/>
  <c r="S283" i="5"/>
  <c r="S282" i="5"/>
  <c r="S281" i="5"/>
  <c r="S280" i="5"/>
  <c r="S279" i="5"/>
  <c r="S278" i="5"/>
  <c r="S277" i="5"/>
  <c r="S276" i="5"/>
  <c r="S275" i="5"/>
  <c r="S274" i="5"/>
  <c r="S273" i="5"/>
  <c r="S272" i="5"/>
  <c r="S271" i="5"/>
  <c r="S270" i="5"/>
  <c r="S269" i="5"/>
  <c r="S268" i="5"/>
  <c r="S267" i="5"/>
  <c r="S266" i="5"/>
  <c r="S265" i="5"/>
  <c r="S264" i="5"/>
  <c r="S263" i="5"/>
  <c r="S262" i="5"/>
  <c r="S261" i="5"/>
  <c r="S260" i="5"/>
  <c r="S259" i="5"/>
  <c r="S258" i="5"/>
  <c r="S257" i="5"/>
  <c r="S256" i="5"/>
  <c r="S255" i="5"/>
  <c r="S254" i="5"/>
  <c r="S253" i="5"/>
  <c r="S252" i="5"/>
  <c r="S251" i="5"/>
  <c r="S250" i="5"/>
  <c r="S249" i="5"/>
  <c r="S248" i="5"/>
  <c r="S247" i="5"/>
  <c r="S246" i="5"/>
  <c r="S245" i="5"/>
  <c r="S244" i="5"/>
  <c r="S243" i="5"/>
  <c r="S242" i="5"/>
  <c r="S241" i="5"/>
  <c r="S240" i="5"/>
  <c r="S239" i="5"/>
  <c r="S238" i="5"/>
  <c r="S237" i="5"/>
  <c r="S236" i="5"/>
  <c r="S235" i="5"/>
  <c r="S234" i="5"/>
  <c r="S233" i="5"/>
  <c r="S232" i="5"/>
  <c r="S231" i="5"/>
  <c r="S230" i="5"/>
  <c r="S229" i="5"/>
  <c r="S228" i="5"/>
  <c r="S227" i="5"/>
  <c r="S226" i="5"/>
  <c r="S225" i="5"/>
  <c r="S224" i="5"/>
  <c r="S223" i="5"/>
  <c r="S222" i="5"/>
  <c r="S221" i="5"/>
  <c r="S220" i="5"/>
  <c r="S219" i="5"/>
  <c r="S218" i="5"/>
  <c r="S217" i="5"/>
  <c r="S216" i="5"/>
  <c r="S215" i="5"/>
  <c r="S214" i="5"/>
  <c r="S213" i="5"/>
  <c r="S212" i="5"/>
  <c r="S211" i="5"/>
  <c r="S210" i="5"/>
  <c r="S209" i="5"/>
  <c r="S208" i="5"/>
  <c r="S207" i="5"/>
  <c r="S206" i="5"/>
  <c r="S205" i="5"/>
  <c r="S204" i="5"/>
  <c r="S203" i="5"/>
  <c r="S202" i="5"/>
  <c r="S201" i="5"/>
  <c r="S200" i="5"/>
  <c r="S199" i="5"/>
  <c r="S198" i="5"/>
  <c r="S197" i="5"/>
  <c r="S196" i="5"/>
  <c r="S195" i="5"/>
  <c r="S194" i="5"/>
  <c r="S193" i="5"/>
  <c r="S192" i="5"/>
  <c r="S191" i="5"/>
  <c r="S190" i="5"/>
  <c r="S189" i="5"/>
  <c r="S188" i="5"/>
  <c r="S187" i="5"/>
  <c r="S186" i="5"/>
  <c r="S185" i="5"/>
  <c r="S184" i="5"/>
  <c r="S183" i="5"/>
  <c r="S182" i="5"/>
  <c r="S181" i="5"/>
  <c r="S180" i="5"/>
  <c r="S179" i="5"/>
  <c r="S178" i="5"/>
  <c r="S177" i="5"/>
  <c r="S176" i="5"/>
  <c r="S175" i="5"/>
  <c r="S174" i="5"/>
  <c r="S173" i="5"/>
  <c r="S172" i="5"/>
  <c r="S171" i="5"/>
  <c r="S170" i="5"/>
  <c r="S169" i="5"/>
  <c r="S168" i="5"/>
  <c r="S167" i="5"/>
  <c r="S166" i="5"/>
  <c r="S165" i="5"/>
  <c r="S164" i="5"/>
  <c r="S163" i="5"/>
  <c r="S162" i="5"/>
  <c r="S161" i="5"/>
  <c r="S160" i="5"/>
  <c r="S159" i="5"/>
  <c r="S158" i="5"/>
  <c r="S157" i="5"/>
  <c r="S156" i="5"/>
  <c r="S155" i="5"/>
  <c r="S154" i="5"/>
  <c r="S153" i="5"/>
  <c r="S152" i="5"/>
  <c r="S151" i="5"/>
  <c r="S150" i="5"/>
  <c r="S149" i="5"/>
  <c r="S148" i="5"/>
  <c r="S147" i="5"/>
  <c r="S146" i="5"/>
  <c r="S145" i="5"/>
  <c r="S144" i="5"/>
  <c r="S143" i="5"/>
  <c r="S142" i="5"/>
  <c r="S141" i="5"/>
  <c r="S140" i="5"/>
  <c r="S139" i="5"/>
  <c r="S138" i="5"/>
  <c r="S137" i="5"/>
  <c r="S136" i="5"/>
  <c r="S135" i="5"/>
  <c r="S134" i="5"/>
  <c r="S133" i="5"/>
  <c r="S132" i="5"/>
  <c r="S131" i="5"/>
  <c r="S130" i="5"/>
  <c r="S129" i="5"/>
  <c r="S128" i="5"/>
  <c r="S127" i="5"/>
  <c r="S126" i="5"/>
  <c r="S125" i="5"/>
  <c r="S124" i="5"/>
  <c r="S123" i="5"/>
  <c r="S122" i="5"/>
  <c r="S121" i="5"/>
  <c r="S120" i="5"/>
  <c r="S119" i="5"/>
  <c r="S118" i="5"/>
  <c r="S117" i="5"/>
  <c r="S116" i="5"/>
  <c r="S115" i="5"/>
  <c r="S114" i="5"/>
  <c r="S113" i="5"/>
  <c r="S112" i="5"/>
  <c r="S111" i="5"/>
  <c r="S110" i="5"/>
  <c r="S109" i="5"/>
  <c r="S108" i="5"/>
  <c r="S107" i="5"/>
  <c r="S106" i="5"/>
  <c r="S105" i="5"/>
  <c r="S104" i="5"/>
  <c r="S103" i="5"/>
  <c r="S102" i="5"/>
  <c r="S101" i="5"/>
  <c r="S100" i="5"/>
  <c r="S99" i="5"/>
  <c r="S98" i="5"/>
  <c r="S97" i="5"/>
  <c r="S96" i="5"/>
  <c r="S95" i="5"/>
  <c r="S94" i="5"/>
  <c r="S93" i="5"/>
  <c r="S92" i="5"/>
  <c r="S91" i="5"/>
  <c r="S90" i="5"/>
  <c r="S89" i="5"/>
  <c r="S88" i="5"/>
  <c r="S87" i="5"/>
  <c r="S86" i="5"/>
  <c r="S85" i="5"/>
  <c r="S84" i="5"/>
  <c r="S83" i="5"/>
  <c r="S82" i="5"/>
  <c r="S81" i="5"/>
  <c r="S80" i="5"/>
  <c r="S79" i="5"/>
  <c r="S78" i="5"/>
  <c r="S77" i="5"/>
  <c r="S76" i="5"/>
  <c r="S75" i="5"/>
  <c r="S74" i="5"/>
  <c r="S73" i="5"/>
  <c r="S72" i="5"/>
  <c r="S71" i="5"/>
  <c r="S70" i="5"/>
  <c r="S69" i="5"/>
  <c r="S68" i="5"/>
  <c r="S67" i="5"/>
  <c r="S66" i="5"/>
  <c r="S65" i="5"/>
  <c r="S64" i="5"/>
  <c r="S63" i="5"/>
  <c r="S62" i="5"/>
  <c r="S61" i="5"/>
  <c r="S60" i="5"/>
  <c r="S59" i="5"/>
  <c r="S58" i="5"/>
  <c r="S57" i="5"/>
  <c r="S56" i="5"/>
  <c r="S55" i="5"/>
  <c r="S54" i="5"/>
  <c r="S53" i="5"/>
  <c r="S52" i="5"/>
  <c r="S51" i="5"/>
  <c r="S50" i="5"/>
  <c r="S49" i="5"/>
  <c r="S48" i="5"/>
  <c r="S47" i="5"/>
  <c r="S46" i="5"/>
  <c r="S45" i="5"/>
  <c r="S44" i="5"/>
  <c r="S43" i="5"/>
  <c r="S42" i="5"/>
  <c r="S41" i="5"/>
  <c r="S40" i="5"/>
  <c r="S39" i="5"/>
  <c r="S38" i="5"/>
  <c r="S37" i="5"/>
  <c r="S36" i="5"/>
  <c r="S35" i="5"/>
  <c r="S34" i="5"/>
  <c r="S33" i="5"/>
  <c r="S32" i="5"/>
  <c r="S31" i="5"/>
  <c r="S30" i="5"/>
  <c r="S29" i="5"/>
  <c r="S28" i="5"/>
  <c r="S27" i="5"/>
  <c r="S26" i="5"/>
  <c r="S25" i="5"/>
  <c r="S24" i="5"/>
  <c r="S23" i="5"/>
  <c r="S22" i="5"/>
  <c r="S21" i="5"/>
  <c r="S20" i="5"/>
  <c r="S19" i="5"/>
  <c r="S18" i="5"/>
  <c r="S17" i="5"/>
  <c r="S16" i="5"/>
  <c r="S15" i="5"/>
  <c r="S14" i="5"/>
  <c r="S13" i="5"/>
  <c r="S12" i="5"/>
  <c r="S11" i="5"/>
  <c r="S10" i="5"/>
  <c r="S9" i="5"/>
  <c r="S8" i="5"/>
  <c r="S7" i="5"/>
  <c r="S6" i="5"/>
  <c r="F3577" i="5"/>
  <c r="F3576" i="5"/>
  <c r="F3575" i="5"/>
  <c r="F3574" i="5"/>
  <c r="F3573" i="5"/>
  <c r="F3572" i="5"/>
  <c r="F3571" i="5"/>
  <c r="F3570" i="5"/>
  <c r="F3569" i="5"/>
  <c r="D3577" i="5"/>
  <c r="D3576" i="5"/>
  <c r="D3575" i="5"/>
  <c r="D3574" i="5"/>
  <c r="D3573" i="5"/>
  <c r="D3572" i="5"/>
  <c r="D3571" i="5"/>
  <c r="D3570" i="5"/>
  <c r="D3569" i="5"/>
  <c r="D3568" i="5"/>
  <c r="D3567" i="5"/>
  <c r="D3566" i="5"/>
  <c r="D3565" i="5"/>
  <c r="D3564" i="5"/>
  <c r="D3563" i="5"/>
  <c r="D3562" i="5"/>
  <c r="D3561" i="5"/>
  <c r="D3560" i="5"/>
  <c r="D3559" i="5"/>
  <c r="D3558" i="5"/>
  <c r="D3557" i="5"/>
  <c r="D3556" i="5"/>
  <c r="D3555" i="5"/>
  <c r="D3554" i="5"/>
  <c r="D3553" i="5"/>
  <c r="D3552" i="5"/>
  <c r="D3551" i="5"/>
  <c r="D3550" i="5"/>
  <c r="D3549" i="5"/>
  <c r="D3548" i="5"/>
  <c r="D3547" i="5"/>
  <c r="D3546" i="5"/>
  <c r="D3545" i="5"/>
  <c r="D3544" i="5"/>
  <c r="D3543" i="5"/>
  <c r="D3542" i="5"/>
  <c r="D3541" i="5"/>
  <c r="D3540" i="5"/>
  <c r="D3539" i="5"/>
  <c r="D3538" i="5"/>
  <c r="D3537" i="5"/>
  <c r="D3536" i="5"/>
  <c r="D3535" i="5"/>
  <c r="D3534" i="5"/>
  <c r="D3533" i="5"/>
  <c r="D3532" i="5"/>
  <c r="D3531" i="5"/>
  <c r="D3530" i="5"/>
  <c r="D3529" i="5"/>
  <c r="D3528" i="5"/>
  <c r="D3527" i="5"/>
  <c r="D3526" i="5"/>
  <c r="D3525" i="5"/>
  <c r="D3524" i="5"/>
  <c r="D3523" i="5"/>
  <c r="D3522" i="5"/>
  <c r="D3521" i="5"/>
  <c r="D3520" i="5"/>
  <c r="D3519" i="5"/>
  <c r="D3518" i="5"/>
  <c r="D3517" i="5"/>
  <c r="D3516" i="5"/>
  <c r="D3515" i="5"/>
  <c r="D3514" i="5"/>
  <c r="D3513" i="5"/>
  <c r="D3512" i="5"/>
  <c r="D3511" i="5"/>
  <c r="D3510" i="5"/>
  <c r="D3509" i="5"/>
  <c r="D3508" i="5"/>
  <c r="D3507" i="5"/>
  <c r="D3506" i="5"/>
  <c r="D3505" i="5"/>
  <c r="D3504" i="5"/>
  <c r="D3503" i="5"/>
  <c r="D3502" i="5"/>
  <c r="D3501" i="5"/>
  <c r="D3500" i="5"/>
  <c r="D3499" i="5"/>
  <c r="D3498" i="5"/>
  <c r="D3497" i="5"/>
  <c r="D3496" i="5"/>
  <c r="D3495" i="5"/>
  <c r="D3494" i="5"/>
  <c r="D3493" i="5"/>
  <c r="D3492" i="5"/>
  <c r="D3491" i="5"/>
  <c r="D3490" i="5"/>
  <c r="D3489" i="5"/>
  <c r="D3488" i="5"/>
  <c r="D3487" i="5"/>
  <c r="D3486" i="5"/>
  <c r="D3485" i="5"/>
  <c r="D3484" i="5"/>
  <c r="D3483" i="5"/>
  <c r="D3482" i="5"/>
  <c r="D3481" i="5"/>
  <c r="D3480" i="5"/>
  <c r="D3479" i="5"/>
  <c r="D3478" i="5"/>
  <c r="D3477" i="5"/>
  <c r="D3476" i="5"/>
  <c r="D3475" i="5"/>
  <c r="D3474" i="5"/>
  <c r="D3473" i="5"/>
  <c r="D3472" i="5"/>
  <c r="D3471" i="5"/>
  <c r="D3470" i="5"/>
  <c r="D3469" i="5"/>
  <c r="D3468" i="5"/>
  <c r="D3467" i="5"/>
  <c r="D3466" i="5"/>
  <c r="D3465" i="5"/>
  <c r="D3464" i="5"/>
  <c r="D3463" i="5"/>
  <c r="D3462" i="5"/>
  <c r="D3461" i="5"/>
  <c r="D3460" i="5"/>
  <c r="D3459" i="5"/>
  <c r="D3458" i="5"/>
  <c r="D3457" i="5"/>
  <c r="D3456" i="5"/>
  <c r="D3455" i="5"/>
  <c r="D3454" i="5"/>
  <c r="D3453" i="5"/>
  <c r="D3452" i="5"/>
  <c r="D3451" i="5"/>
  <c r="D3450" i="5"/>
  <c r="D3449" i="5"/>
  <c r="D3448" i="5"/>
  <c r="D3447" i="5"/>
  <c r="D3446" i="5"/>
  <c r="D3445" i="5"/>
  <c r="D3444" i="5"/>
  <c r="D3443" i="5"/>
  <c r="D3442" i="5"/>
  <c r="D3441" i="5"/>
  <c r="D3440" i="5"/>
  <c r="D3439" i="5"/>
  <c r="D3438" i="5"/>
  <c r="D3437" i="5"/>
  <c r="D3436" i="5"/>
  <c r="D3435" i="5"/>
  <c r="D3434" i="5"/>
  <c r="D3433" i="5"/>
  <c r="D3432" i="5"/>
  <c r="D3431" i="5"/>
  <c r="D3430" i="5"/>
  <c r="D3429" i="5"/>
  <c r="D3428" i="5"/>
  <c r="D3427" i="5"/>
  <c r="D3426" i="5"/>
  <c r="D3425" i="5"/>
  <c r="D3424" i="5"/>
  <c r="D3423" i="5"/>
  <c r="D3422" i="5"/>
  <c r="D3421" i="5"/>
  <c r="D3420" i="5"/>
  <c r="D3419" i="5"/>
  <c r="D3418" i="5"/>
  <c r="D3417" i="5"/>
  <c r="D3416" i="5"/>
  <c r="D3415" i="5"/>
  <c r="D3414" i="5"/>
  <c r="D3413" i="5"/>
  <c r="D3412" i="5"/>
  <c r="D3411" i="5"/>
  <c r="D3410" i="5"/>
  <c r="D3409" i="5"/>
  <c r="D3408" i="5"/>
  <c r="D3407" i="5"/>
  <c r="D3406" i="5"/>
  <c r="D3405" i="5"/>
  <c r="D3404" i="5"/>
  <c r="D3403" i="5"/>
  <c r="D3402" i="5"/>
  <c r="D3401" i="5"/>
  <c r="D3400" i="5"/>
  <c r="D3399" i="5"/>
  <c r="D3398" i="5"/>
  <c r="D3397" i="5"/>
  <c r="D3396" i="5"/>
  <c r="D3395" i="5"/>
  <c r="D3394" i="5"/>
  <c r="D3393" i="5"/>
  <c r="D3392" i="5"/>
  <c r="D3391" i="5"/>
  <c r="D3390" i="5"/>
  <c r="D3389" i="5"/>
  <c r="D3388" i="5"/>
  <c r="D3387" i="5"/>
  <c r="D3386" i="5"/>
  <c r="D3385" i="5"/>
  <c r="D3384" i="5"/>
  <c r="D3383" i="5"/>
  <c r="D3382" i="5"/>
  <c r="D3381" i="5"/>
  <c r="D3380" i="5"/>
  <c r="D3379" i="5"/>
  <c r="D3378" i="5"/>
  <c r="D3377" i="5"/>
  <c r="D3376" i="5"/>
  <c r="D3375" i="5"/>
  <c r="D3374" i="5"/>
  <c r="D3373" i="5"/>
  <c r="D3372" i="5"/>
  <c r="D3371" i="5"/>
  <c r="D3370" i="5"/>
  <c r="D3369" i="5"/>
  <c r="D3368" i="5"/>
  <c r="D3367" i="5"/>
  <c r="D3366" i="5"/>
  <c r="D3365" i="5"/>
  <c r="D3364" i="5"/>
  <c r="D3363" i="5"/>
  <c r="D3362" i="5"/>
  <c r="D3361" i="5"/>
  <c r="D3360" i="5"/>
  <c r="D3359" i="5"/>
  <c r="D3358" i="5"/>
  <c r="D3357" i="5"/>
  <c r="D3356" i="5"/>
  <c r="D3355" i="5"/>
  <c r="D3354" i="5"/>
  <c r="D3353" i="5"/>
  <c r="D3352" i="5"/>
  <c r="D3351" i="5"/>
  <c r="D3350" i="5"/>
  <c r="D3349" i="5"/>
  <c r="D3348" i="5"/>
  <c r="D3347" i="5"/>
  <c r="D3346" i="5"/>
  <c r="D3345" i="5"/>
  <c r="D3344" i="5"/>
  <c r="D3343" i="5"/>
  <c r="D3342" i="5"/>
  <c r="D3341" i="5"/>
  <c r="D3340" i="5"/>
  <c r="D3339" i="5"/>
  <c r="D3338" i="5"/>
  <c r="D3337" i="5"/>
  <c r="D3336" i="5"/>
  <c r="D3335" i="5"/>
  <c r="D3334" i="5"/>
  <c r="D3333" i="5"/>
  <c r="D3332" i="5"/>
  <c r="D3331" i="5"/>
  <c r="D3330" i="5"/>
  <c r="D3329" i="5"/>
  <c r="D3328" i="5"/>
  <c r="D3327" i="5"/>
  <c r="D3326" i="5"/>
  <c r="D3325" i="5"/>
  <c r="D3324" i="5"/>
  <c r="D3323" i="5"/>
  <c r="D3322" i="5"/>
  <c r="D3321" i="5"/>
  <c r="D3320" i="5"/>
  <c r="D3319" i="5"/>
  <c r="D3318" i="5"/>
  <c r="D3317" i="5"/>
  <c r="D3316" i="5"/>
  <c r="D3315" i="5"/>
  <c r="D3314" i="5"/>
  <c r="D3313" i="5"/>
  <c r="D3312" i="5"/>
  <c r="D3311" i="5"/>
  <c r="D3310" i="5"/>
  <c r="D3309" i="5"/>
  <c r="D3308" i="5"/>
  <c r="D3307" i="5"/>
  <c r="D3306" i="5"/>
  <c r="D3305" i="5"/>
  <c r="D3304" i="5"/>
  <c r="D3303" i="5"/>
  <c r="D3302" i="5"/>
  <c r="D3301" i="5"/>
  <c r="D3300" i="5"/>
  <c r="D3299" i="5"/>
  <c r="D3298" i="5"/>
  <c r="D3297" i="5"/>
  <c r="D3296" i="5"/>
  <c r="D3295" i="5"/>
  <c r="D3294" i="5"/>
  <c r="D3293" i="5"/>
  <c r="D3292" i="5"/>
  <c r="D3291" i="5"/>
  <c r="D3290" i="5"/>
  <c r="D3289" i="5"/>
  <c r="D3288" i="5"/>
  <c r="D3287" i="5"/>
  <c r="D3286" i="5"/>
  <c r="D3285" i="5"/>
  <c r="D3284" i="5"/>
  <c r="D3283" i="5"/>
  <c r="D3282" i="5"/>
  <c r="D3281" i="5"/>
  <c r="D3280" i="5"/>
  <c r="D3279" i="5"/>
  <c r="D3278" i="5"/>
  <c r="D3277" i="5"/>
  <c r="D3276" i="5"/>
  <c r="D3275" i="5"/>
  <c r="D3274" i="5"/>
  <c r="D3273" i="5"/>
  <c r="D3272" i="5"/>
  <c r="D3271" i="5"/>
  <c r="D3270" i="5"/>
  <c r="D3269" i="5"/>
  <c r="D3268" i="5"/>
  <c r="D3267" i="5"/>
  <c r="D3266" i="5"/>
  <c r="D3265" i="5"/>
  <c r="D3264" i="5"/>
  <c r="D3263" i="5"/>
  <c r="D3262" i="5"/>
  <c r="D3261" i="5"/>
  <c r="D3260" i="5"/>
  <c r="D3259" i="5"/>
  <c r="D3258" i="5"/>
  <c r="D3257" i="5"/>
  <c r="D3256" i="5"/>
  <c r="D3255" i="5"/>
  <c r="D3254" i="5"/>
  <c r="D3253" i="5"/>
  <c r="D3252" i="5"/>
  <c r="D3251" i="5"/>
  <c r="D3250" i="5"/>
  <c r="D3249" i="5"/>
  <c r="D3248" i="5"/>
  <c r="D3247" i="5"/>
  <c r="D3246" i="5"/>
  <c r="D3245" i="5"/>
  <c r="D3244" i="5"/>
  <c r="D3243" i="5"/>
  <c r="D3242" i="5"/>
  <c r="D3241" i="5"/>
  <c r="D3240" i="5"/>
  <c r="D3239" i="5"/>
  <c r="D3238" i="5"/>
  <c r="D3237" i="5"/>
  <c r="D3236" i="5"/>
  <c r="D3235" i="5"/>
  <c r="D3234" i="5"/>
  <c r="D3233" i="5"/>
  <c r="D3232" i="5"/>
  <c r="D3231" i="5"/>
  <c r="D3230" i="5"/>
  <c r="D3229" i="5"/>
  <c r="D3228" i="5"/>
  <c r="D3227" i="5"/>
  <c r="D3226" i="5"/>
  <c r="D3225" i="5"/>
  <c r="D3224" i="5"/>
  <c r="D3223" i="5"/>
  <c r="D3222" i="5"/>
  <c r="D3221" i="5"/>
  <c r="D3220" i="5"/>
  <c r="D3219" i="5"/>
  <c r="D3218" i="5"/>
  <c r="D3217" i="5"/>
  <c r="D3216" i="5"/>
  <c r="D3215" i="5"/>
  <c r="D3214" i="5"/>
  <c r="D3213" i="5"/>
  <c r="D3212" i="5"/>
  <c r="D3211" i="5"/>
  <c r="D3210" i="5"/>
  <c r="D3209" i="5"/>
  <c r="D3208" i="5"/>
  <c r="D3207" i="5"/>
  <c r="D3206" i="5"/>
  <c r="D3205" i="5"/>
  <c r="D3204" i="5"/>
  <c r="D3203" i="5"/>
  <c r="D3202" i="5"/>
  <c r="D3201" i="5"/>
  <c r="D3200" i="5"/>
  <c r="D3199" i="5"/>
  <c r="D3198" i="5"/>
  <c r="D3197" i="5"/>
  <c r="D3196" i="5"/>
  <c r="D3195" i="5"/>
  <c r="D3194" i="5"/>
  <c r="D3193" i="5"/>
  <c r="D3192" i="5"/>
  <c r="D3191" i="5"/>
  <c r="D3190" i="5"/>
  <c r="D3189" i="5"/>
  <c r="D3188" i="5"/>
  <c r="D3187" i="5"/>
  <c r="D3186" i="5"/>
  <c r="D3185" i="5"/>
  <c r="D3184" i="5"/>
  <c r="D3183" i="5"/>
  <c r="D3182" i="5"/>
  <c r="D3181" i="5"/>
  <c r="D3180" i="5"/>
  <c r="D3179" i="5"/>
  <c r="D3178" i="5"/>
  <c r="D3177" i="5"/>
  <c r="D3176" i="5"/>
  <c r="D3175" i="5"/>
  <c r="D3174" i="5"/>
  <c r="D3173" i="5"/>
  <c r="D3172" i="5"/>
  <c r="D3171" i="5"/>
  <c r="D3170" i="5"/>
  <c r="D3169" i="5"/>
  <c r="D3168" i="5"/>
  <c r="D3167" i="5"/>
  <c r="D3166" i="5"/>
  <c r="D3165" i="5"/>
  <c r="D3164" i="5"/>
  <c r="D3163" i="5"/>
  <c r="D3162" i="5"/>
  <c r="D3161" i="5"/>
  <c r="D3160" i="5"/>
  <c r="D3159" i="5"/>
  <c r="D3158" i="5"/>
  <c r="D3157" i="5"/>
  <c r="D3156" i="5"/>
  <c r="D3155" i="5"/>
  <c r="D3154" i="5"/>
  <c r="D3153" i="5"/>
  <c r="D3152" i="5"/>
  <c r="D3151" i="5"/>
  <c r="D3150" i="5"/>
  <c r="D3149" i="5"/>
  <c r="D3148" i="5"/>
  <c r="D3147" i="5"/>
  <c r="D3146" i="5"/>
  <c r="D3145" i="5"/>
  <c r="D3144" i="5"/>
  <c r="D3143" i="5"/>
  <c r="D3142" i="5"/>
  <c r="D3141" i="5"/>
  <c r="D3140" i="5"/>
  <c r="D3139" i="5"/>
  <c r="D3138" i="5"/>
  <c r="D3137" i="5"/>
  <c r="D3136" i="5"/>
  <c r="D3135" i="5"/>
  <c r="D3134" i="5"/>
  <c r="D3133" i="5"/>
  <c r="D3132" i="5"/>
  <c r="D3131" i="5"/>
  <c r="D3130" i="5"/>
  <c r="D3129" i="5"/>
  <c r="D3128" i="5"/>
  <c r="D3127" i="5"/>
  <c r="D3126" i="5"/>
  <c r="D3125" i="5"/>
  <c r="D3124" i="5"/>
  <c r="D3123" i="5"/>
  <c r="D3122" i="5"/>
  <c r="D3121" i="5"/>
  <c r="D3120" i="5"/>
  <c r="D3119" i="5"/>
  <c r="D3118" i="5"/>
  <c r="D3117" i="5"/>
  <c r="D3116" i="5"/>
  <c r="D3115" i="5"/>
  <c r="D3114" i="5"/>
  <c r="D3113" i="5"/>
  <c r="D3112" i="5"/>
  <c r="D3111" i="5"/>
  <c r="D3110" i="5"/>
  <c r="D3109" i="5"/>
  <c r="D3108" i="5"/>
  <c r="D3107" i="5"/>
  <c r="D3106" i="5"/>
  <c r="D3105" i="5"/>
  <c r="D3104" i="5"/>
  <c r="D3103" i="5"/>
  <c r="D3102" i="5"/>
  <c r="D3101" i="5"/>
  <c r="D3100" i="5"/>
  <c r="D3099" i="5"/>
  <c r="D3098" i="5"/>
  <c r="D3097" i="5"/>
  <c r="D3096" i="5"/>
  <c r="D3095" i="5"/>
  <c r="D3094" i="5"/>
  <c r="D3093" i="5"/>
  <c r="D3092" i="5"/>
  <c r="D3091" i="5"/>
  <c r="D3090" i="5"/>
  <c r="D3089" i="5"/>
  <c r="D3088" i="5"/>
  <c r="D3087" i="5"/>
  <c r="D3086" i="5"/>
  <c r="D3085" i="5"/>
  <c r="D3084" i="5"/>
  <c r="D3083" i="5"/>
  <c r="D3082" i="5"/>
  <c r="D3081" i="5"/>
  <c r="D3080" i="5"/>
  <c r="D3079" i="5"/>
  <c r="D3078" i="5"/>
  <c r="D3077" i="5"/>
  <c r="D3076" i="5"/>
  <c r="D3075" i="5"/>
  <c r="D3074" i="5"/>
  <c r="D3073" i="5"/>
  <c r="D3072" i="5"/>
  <c r="D3071" i="5"/>
  <c r="D3070" i="5"/>
  <c r="D3069" i="5"/>
  <c r="D3068" i="5"/>
  <c r="D3067" i="5"/>
  <c r="D3066" i="5"/>
  <c r="D3065" i="5"/>
  <c r="D3064" i="5"/>
  <c r="D3063" i="5"/>
  <c r="D3062" i="5"/>
  <c r="D3061" i="5"/>
  <c r="D3060" i="5"/>
  <c r="D3059" i="5"/>
  <c r="D3058" i="5"/>
  <c r="D3057" i="5"/>
  <c r="D3056" i="5"/>
  <c r="D3055" i="5"/>
  <c r="D3054" i="5"/>
  <c r="D3053" i="5"/>
  <c r="D3052" i="5"/>
  <c r="D3051" i="5"/>
  <c r="D3050" i="5"/>
  <c r="D3049" i="5"/>
  <c r="D3048" i="5"/>
  <c r="D3047" i="5"/>
  <c r="D3046" i="5"/>
  <c r="D3045" i="5"/>
  <c r="D3044" i="5"/>
  <c r="D3043" i="5"/>
  <c r="D3042" i="5"/>
  <c r="D3041" i="5"/>
  <c r="D3040" i="5"/>
  <c r="D3039" i="5"/>
  <c r="D3038" i="5"/>
  <c r="D3037" i="5"/>
  <c r="D3036" i="5"/>
  <c r="D3035" i="5"/>
  <c r="D3034" i="5"/>
  <c r="D3033" i="5"/>
  <c r="D3032" i="5"/>
  <c r="D3031" i="5"/>
  <c r="D3030" i="5"/>
  <c r="D3029" i="5"/>
  <c r="D3028" i="5"/>
  <c r="D3027" i="5"/>
  <c r="D3026" i="5"/>
  <c r="D3025" i="5"/>
  <c r="D3024" i="5"/>
  <c r="D3023" i="5"/>
  <c r="D3022" i="5"/>
  <c r="D3021" i="5"/>
  <c r="D3020" i="5"/>
  <c r="D3019" i="5"/>
  <c r="D3018" i="5"/>
  <c r="D3017" i="5"/>
  <c r="D3016" i="5"/>
  <c r="D3015" i="5"/>
  <c r="D3014" i="5"/>
  <c r="D3013" i="5"/>
  <c r="D3012" i="5"/>
  <c r="D3011" i="5"/>
  <c r="D3010" i="5"/>
  <c r="D3009" i="5"/>
  <c r="D3008" i="5"/>
  <c r="D3007" i="5"/>
  <c r="D3006" i="5"/>
  <c r="D3005" i="5"/>
  <c r="D3004" i="5"/>
  <c r="D3003" i="5"/>
  <c r="D3002" i="5"/>
  <c r="D3001" i="5"/>
  <c r="D3000" i="5"/>
  <c r="D2999" i="5"/>
  <c r="D2998" i="5"/>
  <c r="D2997" i="5"/>
  <c r="D2996" i="5"/>
  <c r="D2995" i="5"/>
  <c r="D2994" i="5"/>
  <c r="D2993" i="5"/>
  <c r="D2992" i="5"/>
  <c r="D2991" i="5"/>
  <c r="D2990" i="5"/>
  <c r="D2989" i="5"/>
  <c r="D2988" i="5"/>
  <c r="D2987" i="5"/>
  <c r="D2986" i="5"/>
  <c r="D2985" i="5"/>
  <c r="D2984" i="5"/>
  <c r="D2983" i="5"/>
  <c r="D2982" i="5"/>
  <c r="D2981" i="5"/>
  <c r="D2980" i="5"/>
  <c r="D2979" i="5"/>
  <c r="D2978" i="5"/>
  <c r="D2977" i="5"/>
  <c r="D2976" i="5"/>
  <c r="D2975" i="5"/>
  <c r="D2974" i="5"/>
  <c r="D2973" i="5"/>
  <c r="D2972" i="5"/>
  <c r="D2971" i="5"/>
  <c r="D2970" i="5"/>
  <c r="D2969" i="5"/>
  <c r="D2968" i="5"/>
  <c r="D2967" i="5"/>
  <c r="D2966" i="5"/>
  <c r="D2965" i="5"/>
  <c r="D2964" i="5"/>
  <c r="D2963" i="5"/>
  <c r="D2962" i="5"/>
  <c r="D2961" i="5"/>
  <c r="D2960" i="5"/>
  <c r="D2959" i="5"/>
  <c r="D2958" i="5"/>
  <c r="D2957" i="5"/>
  <c r="D2956" i="5"/>
  <c r="D2955" i="5"/>
  <c r="D2954" i="5"/>
  <c r="D2953" i="5"/>
  <c r="D2952" i="5"/>
  <c r="D2951" i="5"/>
  <c r="D2950" i="5"/>
  <c r="D2949" i="5"/>
  <c r="D2948" i="5"/>
  <c r="D2947" i="5"/>
  <c r="D2946" i="5"/>
  <c r="D2945" i="5"/>
  <c r="D2944" i="5"/>
  <c r="D2943" i="5"/>
  <c r="D2942" i="5"/>
  <c r="D2941" i="5"/>
  <c r="D2940" i="5"/>
  <c r="D2939" i="5"/>
  <c r="D2938" i="5"/>
  <c r="D2937" i="5"/>
  <c r="D2936" i="5"/>
  <c r="D2935" i="5"/>
  <c r="D2934" i="5"/>
  <c r="D2933" i="5"/>
  <c r="D2932" i="5"/>
  <c r="D2931" i="5"/>
  <c r="D2930" i="5"/>
  <c r="D2929" i="5"/>
  <c r="D2928" i="5"/>
  <c r="D2927" i="5"/>
  <c r="D2926" i="5"/>
  <c r="D2925" i="5"/>
  <c r="D2924" i="5"/>
  <c r="D2923" i="5"/>
  <c r="D2922" i="5"/>
  <c r="D2921" i="5"/>
  <c r="D2920" i="5"/>
  <c r="D2919" i="5"/>
  <c r="D2918" i="5"/>
  <c r="D2917" i="5"/>
  <c r="D2916" i="5"/>
  <c r="D2915" i="5"/>
  <c r="D2914" i="5"/>
  <c r="D2913" i="5"/>
  <c r="D2912" i="5"/>
  <c r="D2911" i="5"/>
  <c r="D2910" i="5"/>
  <c r="D2909" i="5"/>
  <c r="D2908" i="5"/>
  <c r="D2907" i="5"/>
  <c r="D2906" i="5"/>
  <c r="D2905" i="5"/>
  <c r="D2904" i="5"/>
  <c r="D2903" i="5"/>
  <c r="D2902" i="5"/>
  <c r="D2901" i="5"/>
  <c r="D2900" i="5"/>
  <c r="D2899" i="5"/>
  <c r="D2898" i="5"/>
  <c r="D2897" i="5"/>
  <c r="D2896" i="5"/>
  <c r="D2895" i="5"/>
  <c r="D2894" i="5"/>
  <c r="D2893" i="5"/>
  <c r="D2892" i="5"/>
  <c r="D2891" i="5"/>
  <c r="D2890" i="5"/>
  <c r="D2889" i="5"/>
  <c r="D2888" i="5"/>
  <c r="D2887" i="5"/>
  <c r="D2886" i="5"/>
  <c r="D2885" i="5"/>
  <c r="D2884" i="5"/>
  <c r="D2883" i="5"/>
  <c r="D2882" i="5"/>
  <c r="D2881" i="5"/>
  <c r="D2880" i="5"/>
  <c r="D2879" i="5"/>
  <c r="D2878" i="5"/>
  <c r="D2877" i="5"/>
  <c r="D2876" i="5"/>
  <c r="D2875" i="5"/>
  <c r="D2874" i="5"/>
  <c r="D2873" i="5"/>
  <c r="D2872" i="5"/>
  <c r="D2871" i="5"/>
  <c r="D2870" i="5"/>
  <c r="D2869" i="5"/>
  <c r="D2868" i="5"/>
  <c r="D2867" i="5"/>
  <c r="D2866" i="5"/>
  <c r="D2865" i="5"/>
  <c r="D2864" i="5"/>
  <c r="D2863" i="5"/>
  <c r="D2862" i="5"/>
  <c r="D2861" i="5"/>
  <c r="D2860" i="5"/>
  <c r="D2859" i="5"/>
  <c r="D2858" i="5"/>
  <c r="D2857" i="5"/>
  <c r="D2856" i="5"/>
  <c r="D2855" i="5"/>
  <c r="D2854" i="5"/>
  <c r="D2853" i="5"/>
  <c r="D2852" i="5"/>
  <c r="D2851" i="5"/>
  <c r="D2850" i="5"/>
  <c r="D2849" i="5"/>
  <c r="D2848" i="5"/>
  <c r="D2847" i="5"/>
  <c r="D2846" i="5"/>
  <c r="D2845" i="5"/>
  <c r="D2844" i="5"/>
  <c r="D2843" i="5"/>
  <c r="D2842" i="5"/>
  <c r="D2841" i="5"/>
  <c r="D2840" i="5"/>
  <c r="D2839" i="5"/>
  <c r="D2838" i="5"/>
  <c r="D2837" i="5"/>
  <c r="D2836" i="5"/>
  <c r="D2835" i="5"/>
  <c r="D2834" i="5"/>
  <c r="D2833" i="5"/>
  <c r="D2832" i="5"/>
  <c r="D2831" i="5"/>
  <c r="D2830" i="5"/>
  <c r="D2829" i="5"/>
  <c r="D2828" i="5"/>
  <c r="D2827" i="5"/>
  <c r="D2826" i="5"/>
  <c r="D2825" i="5"/>
  <c r="D2824" i="5"/>
  <c r="D2823" i="5"/>
  <c r="D2822" i="5"/>
  <c r="D2821" i="5"/>
  <c r="D2820" i="5"/>
  <c r="D2819" i="5"/>
  <c r="D2818" i="5"/>
  <c r="D2817" i="5"/>
  <c r="D2816" i="5"/>
  <c r="D2815" i="5"/>
  <c r="D2814" i="5"/>
  <c r="D2813" i="5"/>
  <c r="D2812" i="5"/>
  <c r="D2811" i="5"/>
  <c r="D2810" i="5"/>
  <c r="D2809" i="5"/>
  <c r="D2808" i="5"/>
  <c r="D2807" i="5"/>
  <c r="D2806" i="5"/>
  <c r="D2805" i="5"/>
  <c r="D2804" i="5"/>
  <c r="D2803" i="5"/>
  <c r="D2802" i="5"/>
  <c r="D2801" i="5"/>
  <c r="D2800" i="5"/>
  <c r="D2799" i="5"/>
  <c r="D2798" i="5"/>
  <c r="D2797" i="5"/>
  <c r="D2796" i="5"/>
  <c r="D2795" i="5"/>
  <c r="D2794" i="5"/>
  <c r="D2793" i="5"/>
  <c r="D2792" i="5"/>
  <c r="D2791" i="5"/>
  <c r="D2790" i="5"/>
  <c r="D2789" i="5"/>
  <c r="D2788" i="5"/>
  <c r="D2787" i="5"/>
  <c r="D2786" i="5"/>
  <c r="D2785" i="5"/>
  <c r="D2784" i="5"/>
  <c r="D2783" i="5"/>
  <c r="D2782" i="5"/>
  <c r="D2781" i="5"/>
  <c r="D2780" i="5"/>
  <c r="D2779" i="5"/>
  <c r="D2778" i="5"/>
  <c r="D2777" i="5"/>
  <c r="D2776" i="5"/>
  <c r="D2775" i="5"/>
  <c r="D2774" i="5"/>
  <c r="D2773" i="5"/>
  <c r="D2772" i="5"/>
  <c r="D2771" i="5"/>
  <c r="D2770" i="5"/>
  <c r="D2769" i="5"/>
  <c r="D2768" i="5"/>
  <c r="D2767" i="5"/>
  <c r="D2766" i="5"/>
  <c r="D2765" i="5"/>
  <c r="D2764" i="5"/>
  <c r="D2763" i="5"/>
  <c r="D2762" i="5"/>
  <c r="D2761" i="5"/>
  <c r="D2760" i="5"/>
  <c r="D2759" i="5"/>
  <c r="D2758" i="5"/>
  <c r="D2757" i="5"/>
  <c r="D2756" i="5"/>
  <c r="D2755" i="5"/>
  <c r="D2754" i="5"/>
  <c r="D2753" i="5"/>
  <c r="D2752" i="5"/>
  <c r="D2751" i="5"/>
  <c r="D2750" i="5"/>
  <c r="D2749" i="5"/>
  <c r="D2748" i="5"/>
  <c r="D2747" i="5"/>
  <c r="D2746" i="5"/>
  <c r="D2745" i="5"/>
  <c r="D2744" i="5"/>
  <c r="D2743" i="5"/>
  <c r="D2742" i="5"/>
  <c r="D2741" i="5"/>
  <c r="D2740" i="5"/>
  <c r="D2739" i="5"/>
  <c r="D2738" i="5"/>
  <c r="D2737" i="5"/>
  <c r="D2736" i="5"/>
  <c r="D2735" i="5"/>
  <c r="D2734" i="5"/>
  <c r="D2733" i="5"/>
  <c r="D2732" i="5"/>
  <c r="D2731" i="5"/>
  <c r="D2730" i="5"/>
  <c r="D2729" i="5"/>
  <c r="D2728" i="5"/>
  <c r="D2727" i="5"/>
  <c r="D2726" i="5"/>
  <c r="D2725" i="5"/>
  <c r="D2724" i="5"/>
  <c r="D2723" i="5"/>
  <c r="D2722" i="5"/>
  <c r="D2721" i="5"/>
  <c r="D2720" i="5"/>
  <c r="D2719" i="5"/>
  <c r="D2718" i="5"/>
  <c r="D2717" i="5"/>
  <c r="D2716" i="5"/>
  <c r="D2715" i="5"/>
  <c r="D2714" i="5"/>
  <c r="D2713" i="5"/>
  <c r="D2712" i="5"/>
  <c r="D2711" i="5"/>
  <c r="D2710" i="5"/>
  <c r="D2709" i="5"/>
  <c r="D2708" i="5"/>
  <c r="D2707" i="5"/>
  <c r="D2706" i="5"/>
  <c r="D2705" i="5"/>
  <c r="D2704" i="5"/>
  <c r="D2703" i="5"/>
  <c r="D2702" i="5"/>
  <c r="D2701" i="5"/>
  <c r="D2700" i="5"/>
  <c r="D2699" i="5"/>
  <c r="D2698" i="5"/>
  <c r="D2697" i="5"/>
  <c r="D2696" i="5"/>
  <c r="D2695" i="5"/>
  <c r="D2694" i="5"/>
  <c r="D2693" i="5"/>
  <c r="D2692" i="5"/>
  <c r="D2691" i="5"/>
  <c r="D2690" i="5"/>
  <c r="D2689" i="5"/>
  <c r="D2688" i="5"/>
  <c r="D2687" i="5"/>
  <c r="D2686" i="5"/>
  <c r="D2685" i="5"/>
  <c r="D2684" i="5"/>
  <c r="D2683" i="5"/>
  <c r="D2682" i="5"/>
  <c r="D2681" i="5"/>
  <c r="D2680" i="5"/>
  <c r="D2679" i="5"/>
  <c r="D2678" i="5"/>
  <c r="D2677" i="5"/>
  <c r="D2676" i="5"/>
  <c r="D2675" i="5"/>
  <c r="D2674" i="5"/>
  <c r="D2673" i="5"/>
  <c r="D2672" i="5"/>
  <c r="D2671" i="5"/>
  <c r="D2670" i="5"/>
  <c r="D2669" i="5"/>
  <c r="D2668" i="5"/>
  <c r="D2667" i="5"/>
  <c r="D2666" i="5"/>
  <c r="D2665" i="5"/>
  <c r="D2664" i="5"/>
  <c r="D2663" i="5"/>
  <c r="D2662" i="5"/>
  <c r="D2661" i="5"/>
  <c r="D2660" i="5"/>
  <c r="D2659" i="5"/>
  <c r="D2658" i="5"/>
  <c r="D2657" i="5"/>
  <c r="D2656" i="5"/>
  <c r="D2655" i="5"/>
  <c r="D2654" i="5"/>
  <c r="D2653" i="5"/>
  <c r="D2652" i="5"/>
  <c r="D2651" i="5"/>
  <c r="D2650" i="5"/>
  <c r="D2649" i="5"/>
  <c r="D2648" i="5"/>
  <c r="D2647" i="5"/>
  <c r="D2646" i="5"/>
  <c r="D2645" i="5"/>
  <c r="D2644" i="5"/>
  <c r="D2643" i="5"/>
  <c r="D2642" i="5"/>
  <c r="D2641" i="5"/>
  <c r="D2640" i="5"/>
  <c r="D2639" i="5"/>
  <c r="D2638" i="5"/>
  <c r="D2637" i="5"/>
  <c r="D2636" i="5"/>
  <c r="D2635" i="5"/>
  <c r="D2634" i="5"/>
  <c r="D2633" i="5"/>
  <c r="D2632" i="5"/>
  <c r="D2631" i="5"/>
  <c r="D2630" i="5"/>
  <c r="D2629" i="5"/>
  <c r="D2628" i="5"/>
  <c r="D2627" i="5"/>
  <c r="D2626" i="5"/>
  <c r="D2625" i="5"/>
  <c r="D2624" i="5"/>
  <c r="D2623" i="5"/>
  <c r="D2622" i="5"/>
  <c r="D2621" i="5"/>
  <c r="D2620" i="5"/>
  <c r="D2619" i="5"/>
  <c r="D2618" i="5"/>
  <c r="D2617" i="5"/>
  <c r="D2616" i="5"/>
  <c r="D2615" i="5"/>
  <c r="D2614" i="5"/>
  <c r="D2613" i="5"/>
  <c r="D2612" i="5"/>
  <c r="D2611" i="5"/>
  <c r="D2610" i="5"/>
  <c r="D2609" i="5"/>
  <c r="D2608" i="5"/>
  <c r="D2607" i="5"/>
  <c r="D2606" i="5"/>
  <c r="D2605" i="5"/>
  <c r="D2604" i="5"/>
  <c r="D2603" i="5"/>
  <c r="D2602" i="5"/>
  <c r="D2601" i="5"/>
  <c r="D2600" i="5"/>
  <c r="D2599" i="5"/>
  <c r="D2598" i="5"/>
  <c r="D2597" i="5"/>
  <c r="D2596" i="5"/>
  <c r="D2595" i="5"/>
  <c r="D2594" i="5"/>
  <c r="D2593" i="5"/>
  <c r="D2592" i="5"/>
  <c r="D2591" i="5"/>
  <c r="D2590" i="5"/>
  <c r="D2589" i="5"/>
  <c r="D2588" i="5"/>
  <c r="D2587" i="5"/>
  <c r="D2586" i="5"/>
  <c r="D2585" i="5"/>
  <c r="D2584" i="5"/>
  <c r="D2583" i="5"/>
  <c r="D2582" i="5"/>
  <c r="D2581" i="5"/>
  <c r="D2580" i="5"/>
  <c r="D2579" i="5"/>
  <c r="D2578" i="5"/>
  <c r="D2577" i="5"/>
  <c r="D2576" i="5"/>
  <c r="D2575" i="5"/>
  <c r="D2574" i="5"/>
  <c r="D2573" i="5"/>
  <c r="D2572" i="5"/>
  <c r="D2571" i="5"/>
  <c r="D2570" i="5"/>
  <c r="D2569" i="5"/>
  <c r="D2568" i="5"/>
  <c r="D2567" i="5"/>
  <c r="D2566" i="5"/>
  <c r="D2565" i="5"/>
  <c r="D2564" i="5"/>
  <c r="D2563" i="5"/>
  <c r="D2562" i="5"/>
  <c r="D2561" i="5"/>
  <c r="D2560" i="5"/>
  <c r="D2559" i="5"/>
  <c r="D2558" i="5"/>
  <c r="D2557" i="5"/>
  <c r="D2556" i="5"/>
  <c r="D2555" i="5"/>
  <c r="D2554" i="5"/>
  <c r="D2553" i="5"/>
  <c r="D2552" i="5"/>
  <c r="D2551" i="5"/>
  <c r="D2550" i="5"/>
  <c r="D2549" i="5"/>
  <c r="D2548" i="5"/>
  <c r="D2547" i="5"/>
  <c r="D2546" i="5"/>
  <c r="D2545" i="5"/>
  <c r="D2544" i="5"/>
  <c r="D2543" i="5"/>
  <c r="D2542" i="5"/>
  <c r="D2541" i="5"/>
  <c r="D2540" i="5"/>
  <c r="D2539" i="5"/>
  <c r="D2538" i="5"/>
  <c r="D2537" i="5"/>
  <c r="D2536" i="5"/>
  <c r="D2535" i="5"/>
  <c r="D2534" i="5"/>
  <c r="D2533" i="5"/>
  <c r="D2532" i="5"/>
  <c r="D2531" i="5"/>
  <c r="D2530" i="5"/>
  <c r="D2529" i="5"/>
  <c r="D2528" i="5"/>
  <c r="D2527" i="5"/>
  <c r="D2526" i="5"/>
  <c r="D2525" i="5"/>
  <c r="D2524" i="5"/>
  <c r="D2523" i="5"/>
  <c r="D2522" i="5"/>
  <c r="D2521" i="5"/>
  <c r="D2520" i="5"/>
  <c r="D2519" i="5"/>
  <c r="D2518" i="5"/>
  <c r="D2517" i="5"/>
  <c r="D2516" i="5"/>
  <c r="D2515" i="5"/>
  <c r="D2514" i="5"/>
  <c r="D2513" i="5"/>
  <c r="D2512" i="5"/>
  <c r="D2511" i="5"/>
  <c r="D2510" i="5"/>
  <c r="D2509" i="5"/>
  <c r="D2508" i="5"/>
  <c r="D2507" i="5"/>
  <c r="D2506" i="5"/>
  <c r="D2505" i="5"/>
  <c r="D2504" i="5"/>
  <c r="D2503" i="5"/>
  <c r="D2502" i="5"/>
  <c r="D2501" i="5"/>
  <c r="D2500" i="5"/>
  <c r="D2499" i="5"/>
  <c r="D2498" i="5"/>
  <c r="D2497" i="5"/>
  <c r="D2496" i="5"/>
  <c r="D2495" i="5"/>
  <c r="D2494" i="5"/>
  <c r="D2493" i="5"/>
  <c r="D2492" i="5"/>
  <c r="D2491" i="5"/>
  <c r="D2490" i="5"/>
  <c r="D2489" i="5"/>
  <c r="D2488" i="5"/>
  <c r="D2487" i="5"/>
  <c r="D2486" i="5"/>
  <c r="D2485" i="5"/>
  <c r="D2484" i="5"/>
  <c r="D2483" i="5"/>
  <c r="D2482" i="5"/>
  <c r="D2481" i="5"/>
  <c r="D2480" i="5"/>
  <c r="D2479" i="5"/>
  <c r="D2478" i="5"/>
  <c r="D2477" i="5"/>
  <c r="D2476" i="5"/>
  <c r="D2475" i="5"/>
  <c r="D2474" i="5"/>
  <c r="D2473" i="5"/>
  <c r="D2472" i="5"/>
  <c r="D2471" i="5"/>
  <c r="D2470" i="5"/>
  <c r="D2469" i="5"/>
  <c r="D2468" i="5"/>
  <c r="D2467" i="5"/>
  <c r="D2466" i="5"/>
  <c r="D2465" i="5"/>
  <c r="D2464" i="5"/>
  <c r="D2463" i="5"/>
  <c r="D2462" i="5"/>
  <c r="D2461" i="5"/>
  <c r="D2460" i="5"/>
  <c r="D2459" i="5"/>
  <c r="D2458" i="5"/>
  <c r="D2457" i="5"/>
  <c r="D2456" i="5"/>
  <c r="D2455" i="5"/>
  <c r="D2454" i="5"/>
  <c r="D2453" i="5"/>
  <c r="D2452" i="5"/>
  <c r="D2451" i="5"/>
  <c r="D2450" i="5"/>
  <c r="D2449" i="5"/>
  <c r="D2448" i="5"/>
  <c r="D2447" i="5"/>
  <c r="D2446" i="5"/>
  <c r="D2445" i="5"/>
  <c r="D2444" i="5"/>
  <c r="D2443" i="5"/>
  <c r="D2442" i="5"/>
  <c r="D2441" i="5"/>
  <c r="D2440" i="5"/>
  <c r="D2439" i="5"/>
  <c r="D2438" i="5"/>
  <c r="D2437" i="5"/>
  <c r="D2436" i="5"/>
  <c r="D2435" i="5"/>
  <c r="D2434" i="5"/>
  <c r="D2433" i="5"/>
  <c r="D2432" i="5"/>
  <c r="D2431" i="5"/>
  <c r="D2430" i="5"/>
  <c r="D2429" i="5"/>
  <c r="D2428" i="5"/>
  <c r="D2427" i="5"/>
  <c r="D2426" i="5"/>
  <c r="D2425" i="5"/>
  <c r="D2424" i="5"/>
  <c r="D2423" i="5"/>
  <c r="D2422" i="5"/>
  <c r="D2421" i="5"/>
  <c r="D2420" i="5"/>
  <c r="D2419" i="5"/>
  <c r="D2418" i="5"/>
  <c r="D2417" i="5"/>
  <c r="D2416" i="5"/>
  <c r="D2415" i="5"/>
  <c r="D2414" i="5"/>
  <c r="D2413" i="5"/>
  <c r="D2412" i="5"/>
  <c r="D2411" i="5"/>
  <c r="D2410" i="5"/>
  <c r="D2409" i="5"/>
  <c r="D2408" i="5"/>
  <c r="D2407" i="5"/>
  <c r="D2406" i="5"/>
  <c r="D2405" i="5"/>
  <c r="D2404" i="5"/>
  <c r="D2403" i="5"/>
  <c r="D2402" i="5"/>
  <c r="D2401" i="5"/>
  <c r="D2400" i="5"/>
  <c r="D2399" i="5"/>
  <c r="D2398" i="5"/>
  <c r="D2397" i="5"/>
  <c r="D2396" i="5"/>
  <c r="D2395" i="5"/>
  <c r="D2394" i="5"/>
  <c r="D2393" i="5"/>
  <c r="D2392" i="5"/>
  <c r="D2391" i="5"/>
  <c r="D2390" i="5"/>
  <c r="D2389" i="5"/>
  <c r="D2388" i="5"/>
  <c r="D2387" i="5"/>
  <c r="D2386" i="5"/>
  <c r="D2385" i="5"/>
  <c r="D2384" i="5"/>
  <c r="D2383" i="5"/>
  <c r="D2382" i="5"/>
  <c r="D2381" i="5"/>
  <c r="D2380" i="5"/>
  <c r="D2379" i="5"/>
  <c r="D2378" i="5"/>
  <c r="D2377" i="5"/>
  <c r="D2376" i="5"/>
  <c r="D2375" i="5"/>
  <c r="D2374" i="5"/>
  <c r="D2373" i="5"/>
  <c r="D2372" i="5"/>
  <c r="D2371" i="5"/>
  <c r="D2370" i="5"/>
  <c r="D2369" i="5"/>
  <c r="D2368" i="5"/>
  <c r="D2367" i="5"/>
  <c r="D2366" i="5"/>
  <c r="D2365" i="5"/>
  <c r="D2364" i="5"/>
  <c r="D2363" i="5"/>
  <c r="D2362" i="5"/>
  <c r="D2361" i="5"/>
  <c r="D2360" i="5"/>
  <c r="D2359" i="5"/>
  <c r="D2358" i="5"/>
  <c r="D2357" i="5"/>
  <c r="D2356" i="5"/>
  <c r="D2355" i="5"/>
  <c r="D2354" i="5"/>
  <c r="D2353" i="5"/>
  <c r="D2352" i="5"/>
  <c r="D2351" i="5"/>
  <c r="D2350" i="5"/>
  <c r="D2349" i="5"/>
  <c r="D2348" i="5"/>
  <c r="D2347" i="5"/>
  <c r="D2346" i="5"/>
  <c r="D2345" i="5"/>
  <c r="D2344" i="5"/>
  <c r="D2343" i="5"/>
  <c r="D2342" i="5"/>
  <c r="D2341" i="5"/>
  <c r="D2340" i="5"/>
  <c r="D2339" i="5"/>
  <c r="D2338" i="5"/>
  <c r="D2337" i="5"/>
  <c r="D2336" i="5"/>
  <c r="D2335" i="5"/>
  <c r="D2334" i="5"/>
  <c r="D2333" i="5"/>
  <c r="D2332" i="5"/>
  <c r="D2331" i="5"/>
  <c r="D2330" i="5"/>
  <c r="D2329" i="5"/>
  <c r="D2328" i="5"/>
  <c r="D2327" i="5"/>
  <c r="D2326" i="5"/>
  <c r="D2325" i="5"/>
  <c r="D2324" i="5"/>
  <c r="D2323" i="5"/>
  <c r="D2322" i="5"/>
  <c r="D2321" i="5"/>
  <c r="D2320" i="5"/>
  <c r="D2319" i="5"/>
  <c r="D2318" i="5"/>
  <c r="D2317" i="5"/>
  <c r="D2316" i="5"/>
  <c r="D2315" i="5"/>
  <c r="D2314" i="5"/>
  <c r="D2313" i="5"/>
  <c r="D2312" i="5"/>
  <c r="D2311" i="5"/>
  <c r="D2310" i="5"/>
  <c r="D2309" i="5"/>
  <c r="D2308" i="5"/>
  <c r="D2307" i="5"/>
  <c r="D2306" i="5"/>
  <c r="D2305" i="5"/>
  <c r="D2304" i="5"/>
  <c r="D2303" i="5"/>
  <c r="D2302" i="5"/>
  <c r="D2301" i="5"/>
  <c r="D2300" i="5"/>
  <c r="D2299" i="5"/>
  <c r="D2298" i="5"/>
  <c r="D2297" i="5"/>
  <c r="D2296" i="5"/>
  <c r="D2295" i="5"/>
  <c r="D2294" i="5"/>
  <c r="D2293" i="5"/>
  <c r="D2292" i="5"/>
  <c r="D2291" i="5"/>
  <c r="D2290" i="5"/>
  <c r="D2289" i="5"/>
  <c r="D2288" i="5"/>
  <c r="D2287" i="5"/>
  <c r="D2286" i="5"/>
  <c r="D2285" i="5"/>
  <c r="D2284" i="5"/>
  <c r="D2283" i="5"/>
  <c r="D2282" i="5"/>
  <c r="D2281" i="5"/>
  <c r="D2280" i="5"/>
  <c r="D2279" i="5"/>
  <c r="D2278" i="5"/>
  <c r="D2277" i="5"/>
  <c r="D2276" i="5"/>
  <c r="D2275" i="5"/>
  <c r="D2274" i="5"/>
  <c r="D2273" i="5"/>
  <c r="D2272" i="5"/>
  <c r="D2271" i="5"/>
  <c r="D2270" i="5"/>
  <c r="D2269" i="5"/>
  <c r="D2268" i="5"/>
  <c r="D2267" i="5"/>
  <c r="D2266" i="5"/>
  <c r="D2265" i="5"/>
  <c r="D2264" i="5"/>
  <c r="D2263" i="5"/>
  <c r="D2262" i="5"/>
  <c r="D2261" i="5"/>
  <c r="D2260" i="5"/>
  <c r="D2259" i="5"/>
  <c r="D2258" i="5"/>
  <c r="D2257" i="5"/>
  <c r="D2256" i="5"/>
  <c r="D2255" i="5"/>
  <c r="D2254" i="5"/>
  <c r="D2253" i="5"/>
  <c r="D2252" i="5"/>
  <c r="D2251" i="5"/>
  <c r="D2250" i="5"/>
  <c r="D2249" i="5"/>
  <c r="D2248" i="5"/>
  <c r="D2247" i="5"/>
  <c r="D2246" i="5"/>
  <c r="D2245" i="5"/>
  <c r="D2244" i="5"/>
  <c r="D2243" i="5"/>
  <c r="D2242" i="5"/>
  <c r="D2241" i="5"/>
  <c r="D2240" i="5"/>
  <c r="D2239" i="5"/>
  <c r="D2238" i="5"/>
  <c r="D2237" i="5"/>
  <c r="D2236" i="5"/>
  <c r="D2235" i="5"/>
  <c r="D2234" i="5"/>
  <c r="D2233" i="5"/>
  <c r="D2232" i="5"/>
  <c r="D2231" i="5"/>
  <c r="D2230" i="5"/>
  <c r="D2229" i="5"/>
  <c r="D2228" i="5"/>
  <c r="D2227" i="5"/>
  <c r="D2226" i="5"/>
  <c r="D2225" i="5"/>
  <c r="D2224" i="5"/>
  <c r="D2223" i="5"/>
  <c r="D2222" i="5"/>
  <c r="D2221" i="5"/>
  <c r="D2220" i="5"/>
  <c r="D2219" i="5"/>
  <c r="D2218" i="5"/>
  <c r="D2217" i="5"/>
  <c r="D2216" i="5"/>
  <c r="D2215" i="5"/>
  <c r="D2214" i="5"/>
  <c r="D2213" i="5"/>
  <c r="D2212" i="5"/>
  <c r="D2211" i="5"/>
  <c r="D2210" i="5"/>
  <c r="D2209" i="5"/>
  <c r="D2208" i="5"/>
  <c r="D2207" i="5"/>
  <c r="D2206" i="5"/>
  <c r="D2205" i="5"/>
  <c r="D2204" i="5"/>
  <c r="D2203" i="5"/>
  <c r="D2202" i="5"/>
  <c r="D2201" i="5"/>
  <c r="D2200" i="5"/>
  <c r="D2199" i="5"/>
  <c r="D2198" i="5"/>
  <c r="D2197" i="5"/>
  <c r="D2196" i="5"/>
  <c r="D2195" i="5"/>
  <c r="D2194" i="5"/>
  <c r="D2193" i="5"/>
  <c r="D2192" i="5"/>
  <c r="D2191" i="5"/>
  <c r="D2190" i="5"/>
  <c r="D2189" i="5"/>
  <c r="D2188" i="5"/>
  <c r="D2187" i="5"/>
  <c r="D2186" i="5"/>
  <c r="D2185" i="5"/>
  <c r="D2184" i="5"/>
  <c r="D2183" i="5"/>
  <c r="D2182" i="5"/>
  <c r="D2181" i="5"/>
  <c r="D2180" i="5"/>
  <c r="D2179" i="5"/>
  <c r="D2178" i="5"/>
  <c r="D2177" i="5"/>
  <c r="D2176" i="5"/>
  <c r="D2175" i="5"/>
  <c r="D2174" i="5"/>
  <c r="D2173" i="5"/>
  <c r="D2172" i="5"/>
  <c r="D2171" i="5"/>
  <c r="D2170" i="5"/>
  <c r="D2169" i="5"/>
  <c r="D2168" i="5"/>
  <c r="D2167" i="5"/>
  <c r="D2166" i="5"/>
  <c r="D2165" i="5"/>
  <c r="D2164" i="5"/>
  <c r="D2163" i="5"/>
  <c r="D2162" i="5"/>
  <c r="D2161" i="5"/>
  <c r="D2160" i="5"/>
  <c r="D2159" i="5"/>
  <c r="D2158" i="5"/>
  <c r="D2157" i="5"/>
  <c r="D2156" i="5"/>
  <c r="D2155" i="5"/>
  <c r="D2154" i="5"/>
  <c r="D2153" i="5"/>
  <c r="D2152" i="5"/>
  <c r="D2151" i="5"/>
  <c r="D2150" i="5"/>
  <c r="D2149" i="5"/>
  <c r="D2148" i="5"/>
  <c r="D2147" i="5"/>
  <c r="D2146" i="5"/>
  <c r="D2145" i="5"/>
  <c r="D2144" i="5"/>
  <c r="D2143" i="5"/>
  <c r="D2142" i="5"/>
  <c r="D2141" i="5"/>
  <c r="D2140" i="5"/>
  <c r="D2139" i="5"/>
  <c r="D2138" i="5"/>
  <c r="D2137" i="5"/>
  <c r="D2136" i="5"/>
  <c r="D2135" i="5"/>
  <c r="D2134" i="5"/>
  <c r="D2133" i="5"/>
  <c r="D2132" i="5"/>
  <c r="D2131" i="5"/>
  <c r="D2130" i="5"/>
  <c r="D2129" i="5"/>
  <c r="D2128" i="5"/>
  <c r="D2127" i="5"/>
  <c r="D2126" i="5"/>
  <c r="D2125" i="5"/>
  <c r="D2124" i="5"/>
  <c r="D2123" i="5"/>
  <c r="D2122" i="5"/>
  <c r="D2121" i="5"/>
  <c r="D2120" i="5"/>
  <c r="D2119" i="5"/>
  <c r="D2118" i="5"/>
  <c r="D2117" i="5"/>
  <c r="D2116" i="5"/>
  <c r="D2115" i="5"/>
  <c r="D2114" i="5"/>
  <c r="D2113" i="5"/>
  <c r="D2112" i="5"/>
  <c r="D2111" i="5"/>
  <c r="D2110" i="5"/>
  <c r="D2109" i="5"/>
  <c r="D2108" i="5"/>
  <c r="D2107" i="5"/>
  <c r="D2106" i="5"/>
  <c r="D2105" i="5"/>
  <c r="D2104" i="5"/>
  <c r="D2103" i="5"/>
  <c r="D2102" i="5"/>
  <c r="D2101" i="5"/>
  <c r="D2100" i="5"/>
  <c r="D2099" i="5"/>
  <c r="D2098" i="5"/>
  <c r="D2097" i="5"/>
  <c r="D2096" i="5"/>
  <c r="D2095" i="5"/>
  <c r="D2094" i="5"/>
  <c r="D2093" i="5"/>
  <c r="D2092" i="5"/>
  <c r="D2091" i="5"/>
  <c r="D2090" i="5"/>
  <c r="D2089" i="5"/>
  <c r="D2088" i="5"/>
  <c r="D2087" i="5"/>
  <c r="D2086" i="5"/>
  <c r="D2085" i="5"/>
  <c r="D2084" i="5"/>
  <c r="D2083" i="5"/>
  <c r="D2082" i="5"/>
  <c r="D2081" i="5"/>
  <c r="D2080" i="5"/>
  <c r="D2079" i="5"/>
  <c r="D2078" i="5"/>
  <c r="D2077" i="5"/>
  <c r="D2076" i="5"/>
  <c r="D2075" i="5"/>
  <c r="D2074" i="5"/>
  <c r="D2073" i="5"/>
  <c r="D2072" i="5"/>
  <c r="D2071" i="5"/>
  <c r="D2070" i="5"/>
  <c r="D2069" i="5"/>
  <c r="D2068" i="5"/>
  <c r="D2067" i="5"/>
  <c r="D2066" i="5"/>
  <c r="D2065" i="5"/>
  <c r="D2064" i="5"/>
  <c r="D2063" i="5"/>
  <c r="D2062" i="5"/>
  <c r="D2061" i="5"/>
  <c r="D2060" i="5"/>
  <c r="D2059" i="5"/>
  <c r="D2058" i="5"/>
  <c r="D2057" i="5"/>
  <c r="D2056" i="5"/>
  <c r="D2055" i="5"/>
  <c r="D2054" i="5"/>
  <c r="D2053" i="5"/>
  <c r="D2052" i="5"/>
  <c r="D2051" i="5"/>
  <c r="D2050" i="5"/>
  <c r="D2049" i="5"/>
  <c r="D2048" i="5"/>
  <c r="D2047" i="5"/>
  <c r="D2046" i="5"/>
  <c r="D2045" i="5"/>
  <c r="D2044" i="5"/>
  <c r="D2043" i="5"/>
  <c r="D2042" i="5"/>
  <c r="D2041" i="5"/>
  <c r="D2040" i="5"/>
  <c r="D2039" i="5"/>
  <c r="D2038" i="5"/>
  <c r="D2037" i="5"/>
  <c r="D2036" i="5"/>
  <c r="D2035" i="5"/>
  <c r="D2034" i="5"/>
  <c r="D2033" i="5"/>
  <c r="D2032" i="5"/>
  <c r="D2031" i="5"/>
  <c r="D2030" i="5"/>
  <c r="D2029" i="5"/>
  <c r="D2028" i="5"/>
  <c r="D2027" i="5"/>
  <c r="D2026" i="5"/>
  <c r="D2025" i="5"/>
  <c r="D2024" i="5"/>
  <c r="D2023" i="5"/>
  <c r="D2022" i="5"/>
  <c r="D2021" i="5"/>
  <c r="D2020" i="5"/>
  <c r="D2019" i="5"/>
  <c r="D2018" i="5"/>
  <c r="D2017" i="5"/>
  <c r="D2016" i="5"/>
  <c r="D2015" i="5"/>
  <c r="D2014" i="5"/>
  <c r="D2013" i="5"/>
  <c r="D2012" i="5"/>
  <c r="D2011" i="5"/>
  <c r="D2010" i="5"/>
  <c r="D2009" i="5"/>
  <c r="D2008" i="5"/>
  <c r="D2007" i="5"/>
  <c r="D2006" i="5"/>
  <c r="D2005" i="5"/>
  <c r="D2004" i="5"/>
  <c r="D2003" i="5"/>
  <c r="D2002" i="5"/>
  <c r="D2001" i="5"/>
  <c r="D2000" i="5"/>
  <c r="D1999" i="5"/>
  <c r="D1998" i="5"/>
  <c r="D1997" i="5"/>
  <c r="D1996" i="5"/>
  <c r="D1995" i="5"/>
  <c r="D1994" i="5"/>
  <c r="D1993" i="5"/>
  <c r="D1992" i="5"/>
  <c r="D1991" i="5"/>
  <c r="D1990" i="5"/>
  <c r="D1989" i="5"/>
  <c r="D1988" i="5"/>
  <c r="D1987" i="5"/>
  <c r="D1986" i="5"/>
  <c r="D1985" i="5"/>
  <c r="D1984" i="5"/>
  <c r="D1983" i="5"/>
  <c r="D1982" i="5"/>
  <c r="D1981" i="5"/>
  <c r="D1980" i="5"/>
  <c r="D1979" i="5"/>
  <c r="D1978" i="5"/>
  <c r="D1977" i="5"/>
  <c r="D1976" i="5"/>
  <c r="D1975" i="5"/>
  <c r="D1974" i="5"/>
  <c r="D1973" i="5"/>
  <c r="D1972" i="5"/>
  <c r="D1971" i="5"/>
  <c r="D1970" i="5"/>
  <c r="D1969" i="5"/>
  <c r="D1968" i="5"/>
  <c r="D1967" i="5"/>
  <c r="D1966" i="5"/>
  <c r="D1965" i="5"/>
  <c r="D1964" i="5"/>
  <c r="D1963" i="5"/>
  <c r="D1962" i="5"/>
  <c r="D1961" i="5"/>
  <c r="D1960" i="5"/>
  <c r="D1959" i="5"/>
  <c r="D1958" i="5"/>
  <c r="D1957" i="5"/>
  <c r="D1956" i="5"/>
  <c r="D1955" i="5"/>
  <c r="D1954" i="5"/>
  <c r="D1953" i="5"/>
  <c r="D1952" i="5"/>
  <c r="D1951" i="5"/>
  <c r="D1950" i="5"/>
  <c r="D1949" i="5"/>
  <c r="D1948" i="5"/>
  <c r="D1947" i="5"/>
  <c r="D1946" i="5"/>
  <c r="D1945" i="5"/>
  <c r="D1944" i="5"/>
  <c r="D1943" i="5"/>
  <c r="D1942" i="5"/>
  <c r="D1941" i="5"/>
  <c r="D1940" i="5"/>
  <c r="D1939" i="5"/>
  <c r="D1938" i="5"/>
  <c r="D1937" i="5"/>
  <c r="D1936" i="5"/>
  <c r="D1935" i="5"/>
  <c r="D1934" i="5"/>
  <c r="D1933" i="5"/>
  <c r="D1932" i="5"/>
  <c r="D1931" i="5"/>
  <c r="D1930" i="5"/>
  <c r="D1929" i="5"/>
  <c r="D1928" i="5"/>
  <c r="D1927" i="5"/>
  <c r="D1926" i="5"/>
  <c r="D1925" i="5"/>
  <c r="D1924" i="5"/>
  <c r="D1923" i="5"/>
  <c r="D1922" i="5"/>
  <c r="D1921" i="5"/>
  <c r="D1920" i="5"/>
  <c r="D1919" i="5"/>
  <c r="D1918" i="5"/>
  <c r="D1917" i="5"/>
  <c r="D1916" i="5"/>
  <c r="D1915" i="5"/>
  <c r="D1914" i="5"/>
  <c r="D1913" i="5"/>
  <c r="D1912" i="5"/>
  <c r="D1911" i="5"/>
  <c r="D1910" i="5"/>
  <c r="D1909" i="5"/>
  <c r="D1908" i="5"/>
  <c r="D1907" i="5"/>
  <c r="D1906" i="5"/>
  <c r="D1905" i="5"/>
  <c r="D1904" i="5"/>
  <c r="D1903" i="5"/>
  <c r="D1902" i="5"/>
  <c r="D1901" i="5"/>
  <c r="D1900" i="5"/>
  <c r="D1899" i="5"/>
  <c r="D1898" i="5"/>
  <c r="D1897" i="5"/>
  <c r="D1896" i="5"/>
  <c r="D1895" i="5"/>
  <c r="D1894" i="5"/>
  <c r="D1893" i="5"/>
  <c r="D1892" i="5"/>
  <c r="D1891" i="5"/>
  <c r="D1890" i="5"/>
  <c r="D1889" i="5"/>
  <c r="D1888" i="5"/>
  <c r="D1887" i="5"/>
  <c r="D1886" i="5"/>
  <c r="D1885" i="5"/>
  <c r="D1884" i="5"/>
  <c r="D1883" i="5"/>
  <c r="D1882" i="5"/>
  <c r="D1881" i="5"/>
  <c r="D1880" i="5"/>
  <c r="D1879" i="5"/>
  <c r="D1878" i="5"/>
  <c r="D1877" i="5"/>
  <c r="D1876" i="5"/>
  <c r="D1875" i="5"/>
  <c r="D1874" i="5"/>
  <c r="D1873" i="5"/>
  <c r="D1872" i="5"/>
  <c r="D1871" i="5"/>
  <c r="D1870" i="5"/>
  <c r="D1869" i="5"/>
  <c r="D1868" i="5"/>
  <c r="D1867" i="5"/>
  <c r="D1866" i="5"/>
  <c r="D1865" i="5"/>
  <c r="D1864" i="5"/>
  <c r="D1863" i="5"/>
  <c r="D1862" i="5"/>
  <c r="D1861" i="5"/>
  <c r="D1860" i="5"/>
  <c r="D1859" i="5"/>
  <c r="D1858" i="5"/>
  <c r="D1857" i="5"/>
  <c r="D1856" i="5"/>
  <c r="D1855" i="5"/>
  <c r="D1854" i="5"/>
  <c r="D1853" i="5"/>
  <c r="D1852" i="5"/>
  <c r="D1851" i="5"/>
  <c r="D1850" i="5"/>
  <c r="D1849" i="5"/>
  <c r="D1848" i="5"/>
  <c r="D1847" i="5"/>
  <c r="D1846" i="5"/>
  <c r="D1845" i="5"/>
  <c r="D1844" i="5"/>
  <c r="D1843" i="5"/>
  <c r="D1842" i="5"/>
  <c r="D1841" i="5"/>
  <c r="D1840" i="5"/>
  <c r="D1839" i="5"/>
  <c r="D1838" i="5"/>
  <c r="D1837" i="5"/>
  <c r="D1836" i="5"/>
  <c r="D1835" i="5"/>
  <c r="D1834" i="5"/>
  <c r="D1833" i="5"/>
  <c r="D1832" i="5"/>
  <c r="D1831" i="5"/>
  <c r="D1830" i="5"/>
  <c r="D1829" i="5"/>
  <c r="D1828" i="5"/>
  <c r="D1827" i="5"/>
  <c r="D1826" i="5"/>
  <c r="D1825" i="5"/>
  <c r="D1824" i="5"/>
  <c r="D1823" i="5"/>
  <c r="D1822" i="5"/>
  <c r="D1821" i="5"/>
  <c r="D1820" i="5"/>
  <c r="D1819" i="5"/>
  <c r="D1818" i="5"/>
  <c r="D1817" i="5"/>
  <c r="D1816" i="5"/>
  <c r="D1815" i="5"/>
  <c r="D1814" i="5"/>
  <c r="D1813" i="5"/>
  <c r="D1812" i="5"/>
  <c r="D1811" i="5"/>
  <c r="D1810" i="5"/>
  <c r="D1809" i="5"/>
  <c r="D1808" i="5"/>
  <c r="D1807" i="5"/>
  <c r="D1806" i="5"/>
  <c r="D1805" i="5"/>
  <c r="D1804" i="5"/>
  <c r="D1803" i="5"/>
  <c r="D1802" i="5"/>
  <c r="D1801" i="5"/>
  <c r="D1800" i="5"/>
  <c r="D1799" i="5"/>
  <c r="D1798" i="5"/>
  <c r="D1797" i="5"/>
  <c r="D1796" i="5"/>
  <c r="D1795" i="5"/>
  <c r="D1794" i="5"/>
  <c r="D1793" i="5"/>
  <c r="D1792" i="5"/>
  <c r="D1791" i="5"/>
  <c r="D1790" i="5"/>
  <c r="D1789" i="5"/>
  <c r="D1788" i="5"/>
  <c r="D1787" i="5"/>
  <c r="D1786" i="5"/>
  <c r="D1785" i="5"/>
  <c r="D1784" i="5"/>
  <c r="D1783" i="5"/>
  <c r="D1782" i="5"/>
  <c r="D1781" i="5"/>
  <c r="D1780" i="5"/>
  <c r="D1779" i="5"/>
  <c r="D1778" i="5"/>
  <c r="D1777" i="5"/>
  <c r="D1776" i="5"/>
  <c r="D1775" i="5"/>
  <c r="D1774" i="5"/>
  <c r="D1773" i="5"/>
  <c r="D1772" i="5"/>
  <c r="D1771" i="5"/>
  <c r="D1770" i="5"/>
  <c r="D1769" i="5"/>
  <c r="D1768" i="5"/>
  <c r="D1767" i="5"/>
  <c r="D1766" i="5"/>
  <c r="D1765" i="5"/>
  <c r="D1764" i="5"/>
  <c r="D1763" i="5"/>
  <c r="D1762" i="5"/>
  <c r="D1761" i="5"/>
  <c r="D1760" i="5"/>
  <c r="D1759" i="5"/>
  <c r="D1758" i="5"/>
  <c r="D1757" i="5"/>
  <c r="D1756" i="5"/>
  <c r="D1755" i="5"/>
  <c r="D1754" i="5"/>
  <c r="D1753" i="5"/>
  <c r="D1752" i="5"/>
  <c r="D1751" i="5"/>
  <c r="D1750" i="5"/>
  <c r="D1749" i="5"/>
  <c r="D1748" i="5"/>
  <c r="D1747" i="5"/>
  <c r="D1746" i="5"/>
  <c r="D1745" i="5"/>
  <c r="D1744" i="5"/>
  <c r="D1743" i="5"/>
  <c r="D1742" i="5"/>
  <c r="D1741" i="5"/>
  <c r="D1740" i="5"/>
  <c r="D1739" i="5"/>
  <c r="D1738" i="5"/>
  <c r="D1737" i="5"/>
  <c r="D1736" i="5"/>
  <c r="D1735" i="5"/>
  <c r="D1734" i="5"/>
  <c r="D1733" i="5"/>
  <c r="D1732" i="5"/>
  <c r="D1731" i="5"/>
  <c r="D1730" i="5"/>
  <c r="D1729" i="5"/>
  <c r="D1728" i="5"/>
  <c r="D1727" i="5"/>
  <c r="D1726" i="5"/>
  <c r="D1725" i="5"/>
  <c r="D1724" i="5"/>
  <c r="D1723" i="5"/>
  <c r="D1722" i="5"/>
  <c r="D1721" i="5"/>
  <c r="D1720" i="5"/>
  <c r="D1719" i="5"/>
  <c r="D1718" i="5"/>
  <c r="D1717" i="5"/>
  <c r="D1716" i="5"/>
  <c r="D1715" i="5"/>
  <c r="D1714" i="5"/>
  <c r="D1713" i="5"/>
  <c r="D1712" i="5"/>
  <c r="D1711" i="5"/>
  <c r="D1710" i="5"/>
  <c r="D1709" i="5"/>
  <c r="D1708" i="5"/>
  <c r="D1707" i="5"/>
  <c r="D1706" i="5"/>
  <c r="D1705" i="5"/>
  <c r="D1704" i="5"/>
  <c r="D1703" i="5"/>
  <c r="D1702" i="5"/>
  <c r="D1701" i="5"/>
  <c r="D1700" i="5"/>
  <c r="D1699" i="5"/>
  <c r="D1698" i="5"/>
  <c r="D1697" i="5"/>
  <c r="D1696" i="5"/>
  <c r="D1695" i="5"/>
  <c r="D1694" i="5"/>
  <c r="D1693" i="5"/>
  <c r="D1692" i="5"/>
  <c r="D1691" i="5"/>
  <c r="D1690" i="5"/>
  <c r="D1689" i="5"/>
  <c r="D1688" i="5"/>
  <c r="D1687" i="5"/>
  <c r="D1686" i="5"/>
  <c r="D1685" i="5"/>
  <c r="D1684" i="5"/>
  <c r="D1683" i="5"/>
  <c r="D1682" i="5"/>
  <c r="D1681" i="5"/>
  <c r="D1680" i="5"/>
  <c r="D1679" i="5"/>
  <c r="D1678" i="5"/>
  <c r="D1677" i="5"/>
  <c r="D1676" i="5"/>
  <c r="D1675" i="5"/>
  <c r="D1674" i="5"/>
  <c r="D1673" i="5"/>
  <c r="D1672" i="5"/>
  <c r="D1671" i="5"/>
  <c r="D1670" i="5"/>
  <c r="D1669" i="5"/>
  <c r="D1668" i="5"/>
  <c r="D1667" i="5"/>
  <c r="D1666" i="5"/>
  <c r="D1665" i="5"/>
  <c r="D1664" i="5"/>
  <c r="D1663" i="5"/>
  <c r="D1662" i="5"/>
  <c r="D1661" i="5"/>
  <c r="D1660" i="5"/>
  <c r="D1659" i="5"/>
  <c r="D1658" i="5"/>
  <c r="D1657" i="5"/>
  <c r="D1656" i="5"/>
  <c r="D1655" i="5"/>
  <c r="D1654" i="5"/>
  <c r="D1653" i="5"/>
  <c r="D1652" i="5"/>
  <c r="D1651" i="5"/>
  <c r="D1650" i="5"/>
  <c r="D1649" i="5"/>
  <c r="D1648" i="5"/>
  <c r="D1647" i="5"/>
  <c r="D1646" i="5"/>
  <c r="D1645" i="5"/>
  <c r="D1644" i="5"/>
  <c r="D1643" i="5"/>
  <c r="D1642" i="5"/>
  <c r="D1641" i="5"/>
  <c r="D1640" i="5"/>
  <c r="D1639" i="5"/>
  <c r="D1638" i="5"/>
  <c r="D1637" i="5"/>
  <c r="D1636" i="5"/>
  <c r="D1635" i="5"/>
  <c r="D1634" i="5"/>
  <c r="D1633" i="5"/>
  <c r="D1632" i="5"/>
  <c r="D1631" i="5"/>
  <c r="D1630" i="5"/>
  <c r="D1629" i="5"/>
  <c r="D1628" i="5"/>
  <c r="D1627" i="5"/>
  <c r="D1626" i="5"/>
  <c r="D1625" i="5"/>
  <c r="D1624" i="5"/>
  <c r="D1623" i="5"/>
  <c r="D1622" i="5"/>
  <c r="D1621" i="5"/>
  <c r="D1620" i="5"/>
  <c r="D1619" i="5"/>
  <c r="D1618" i="5"/>
  <c r="D1617" i="5"/>
  <c r="D1616" i="5"/>
  <c r="D1615" i="5"/>
  <c r="D1614" i="5"/>
  <c r="D1613" i="5"/>
  <c r="D1612" i="5"/>
  <c r="D1611" i="5"/>
  <c r="D1610" i="5"/>
  <c r="D1609" i="5"/>
  <c r="D1608" i="5"/>
  <c r="D1607" i="5"/>
  <c r="D1606" i="5"/>
  <c r="D1605" i="5"/>
  <c r="D1604" i="5"/>
  <c r="D1603" i="5"/>
  <c r="D1602" i="5"/>
  <c r="D1601" i="5"/>
  <c r="D1600" i="5"/>
  <c r="D1599" i="5"/>
  <c r="D1598" i="5"/>
  <c r="D1597" i="5"/>
  <c r="D1596" i="5"/>
  <c r="D1595" i="5"/>
  <c r="D1594" i="5"/>
  <c r="D1593" i="5"/>
  <c r="D1592" i="5"/>
  <c r="D1591" i="5"/>
  <c r="D1590" i="5"/>
  <c r="D1589" i="5"/>
  <c r="D1588" i="5"/>
  <c r="D1587" i="5"/>
  <c r="D1586" i="5"/>
  <c r="D1585" i="5"/>
  <c r="D1584" i="5"/>
  <c r="D1583" i="5"/>
  <c r="D1582" i="5"/>
  <c r="D1581" i="5"/>
  <c r="D1580" i="5"/>
  <c r="D1579" i="5"/>
  <c r="D1578" i="5"/>
  <c r="D1577" i="5"/>
  <c r="D1576" i="5"/>
  <c r="D1575" i="5"/>
  <c r="D1574" i="5"/>
  <c r="D1573" i="5"/>
  <c r="D1572" i="5"/>
  <c r="D1571" i="5"/>
  <c r="D1570" i="5"/>
  <c r="D1569" i="5"/>
  <c r="D1568" i="5"/>
  <c r="D1567" i="5"/>
  <c r="D1566" i="5"/>
  <c r="D1565" i="5"/>
  <c r="D1564" i="5"/>
  <c r="D1563" i="5"/>
  <c r="D1562" i="5"/>
  <c r="D1561" i="5"/>
  <c r="D1560" i="5"/>
  <c r="D1559" i="5"/>
  <c r="D1558" i="5"/>
  <c r="D1557" i="5"/>
  <c r="D1556" i="5"/>
  <c r="D1555" i="5"/>
  <c r="D1554" i="5"/>
  <c r="D1553" i="5"/>
  <c r="D1552" i="5"/>
  <c r="D1551" i="5"/>
  <c r="D1550" i="5"/>
  <c r="D1549" i="5"/>
  <c r="D1548" i="5"/>
  <c r="D1547" i="5"/>
  <c r="D1546" i="5"/>
  <c r="D1545" i="5"/>
  <c r="D1544" i="5"/>
  <c r="D1543" i="5"/>
  <c r="D1542" i="5"/>
  <c r="D1541" i="5"/>
  <c r="D1540" i="5"/>
  <c r="D1539" i="5"/>
  <c r="D1538" i="5"/>
  <c r="D1537" i="5"/>
  <c r="D1536" i="5"/>
  <c r="D1535" i="5"/>
  <c r="D1534" i="5"/>
  <c r="D1533" i="5"/>
  <c r="D1532" i="5"/>
  <c r="D1531" i="5"/>
  <c r="D1530" i="5"/>
  <c r="D1529" i="5"/>
  <c r="D1528" i="5"/>
  <c r="D1527" i="5"/>
  <c r="D1526" i="5"/>
  <c r="D1525" i="5"/>
  <c r="D1524" i="5"/>
  <c r="D1523" i="5"/>
  <c r="D1522" i="5"/>
  <c r="D1521" i="5"/>
  <c r="D1520" i="5"/>
  <c r="D1519" i="5"/>
  <c r="D1518" i="5"/>
  <c r="D1517" i="5"/>
  <c r="D1516" i="5"/>
  <c r="D1515" i="5"/>
  <c r="D1514" i="5"/>
  <c r="D1513" i="5"/>
  <c r="D1512" i="5"/>
  <c r="D1511" i="5"/>
  <c r="D1510" i="5"/>
  <c r="D1509" i="5"/>
  <c r="D1508" i="5"/>
  <c r="D1507" i="5"/>
  <c r="D1506" i="5"/>
  <c r="D1505" i="5"/>
  <c r="D1504" i="5"/>
  <c r="D1503" i="5"/>
  <c r="D1502" i="5"/>
  <c r="D1501" i="5"/>
  <c r="D1500" i="5"/>
  <c r="D1499" i="5"/>
  <c r="D1498" i="5"/>
  <c r="D1497" i="5"/>
  <c r="D1496" i="5"/>
  <c r="D1495" i="5"/>
  <c r="D1494" i="5"/>
  <c r="D1493" i="5"/>
  <c r="D1492" i="5"/>
  <c r="D1491" i="5"/>
  <c r="D1490" i="5"/>
  <c r="D1489" i="5"/>
  <c r="D1488" i="5"/>
  <c r="D1487" i="5"/>
  <c r="D1486" i="5"/>
  <c r="D1485" i="5"/>
  <c r="D1484" i="5"/>
  <c r="D1483" i="5"/>
  <c r="D1482" i="5"/>
  <c r="D1481" i="5"/>
  <c r="D1480" i="5"/>
  <c r="D1479" i="5"/>
  <c r="D1478" i="5"/>
  <c r="D1477" i="5"/>
  <c r="D1476" i="5"/>
  <c r="D1475" i="5"/>
  <c r="D1474" i="5"/>
  <c r="D1473" i="5"/>
  <c r="D1472" i="5"/>
  <c r="D1471" i="5"/>
  <c r="D1470" i="5"/>
  <c r="D1469" i="5"/>
  <c r="D1468" i="5"/>
  <c r="D1467" i="5"/>
  <c r="D1466" i="5"/>
  <c r="D1465" i="5"/>
  <c r="D1464" i="5"/>
  <c r="D1463" i="5"/>
  <c r="D1462" i="5"/>
  <c r="D1461" i="5"/>
  <c r="D1460" i="5"/>
  <c r="D1459" i="5"/>
  <c r="D1458" i="5"/>
  <c r="D1457" i="5"/>
  <c r="D1456" i="5"/>
  <c r="D1455" i="5"/>
  <c r="D1454" i="5"/>
  <c r="D1453" i="5"/>
  <c r="D1452" i="5"/>
  <c r="D1451" i="5"/>
  <c r="D1450" i="5"/>
  <c r="D1449" i="5"/>
  <c r="D1448" i="5"/>
  <c r="D1447" i="5"/>
  <c r="D1446" i="5"/>
  <c r="D1445" i="5"/>
  <c r="D1444" i="5"/>
  <c r="D1443" i="5"/>
  <c r="D1442" i="5"/>
  <c r="D1441" i="5"/>
  <c r="D1440" i="5"/>
  <c r="D1439" i="5"/>
  <c r="D1438" i="5"/>
  <c r="D1437" i="5"/>
  <c r="D1436" i="5"/>
  <c r="D1435" i="5"/>
  <c r="D1434" i="5"/>
  <c r="D1433" i="5"/>
  <c r="D1432" i="5"/>
  <c r="D1431" i="5"/>
  <c r="D1430" i="5"/>
  <c r="D1429" i="5"/>
  <c r="D1428" i="5"/>
  <c r="D1427" i="5"/>
  <c r="D1426" i="5"/>
  <c r="D1425" i="5"/>
  <c r="D1424" i="5"/>
  <c r="D1423" i="5"/>
  <c r="D1422" i="5"/>
  <c r="D1421" i="5"/>
  <c r="D1420" i="5"/>
  <c r="D1419" i="5"/>
  <c r="D1418" i="5"/>
  <c r="D1417" i="5"/>
  <c r="D1416" i="5"/>
  <c r="D1415" i="5"/>
  <c r="D1414" i="5"/>
  <c r="D1413" i="5"/>
  <c r="D1412" i="5"/>
  <c r="D1411" i="5"/>
  <c r="D1410" i="5"/>
  <c r="D1409" i="5"/>
  <c r="D1408" i="5"/>
  <c r="D1407" i="5"/>
  <c r="D1406" i="5"/>
  <c r="D1405" i="5"/>
  <c r="D1404" i="5"/>
  <c r="D1403" i="5"/>
  <c r="D1402" i="5"/>
  <c r="D1401" i="5"/>
  <c r="D1400" i="5"/>
  <c r="D1399" i="5"/>
  <c r="D1398" i="5"/>
  <c r="D1397" i="5"/>
  <c r="D1396" i="5"/>
  <c r="D1395" i="5"/>
  <c r="D1394" i="5"/>
  <c r="D1393" i="5"/>
  <c r="D1392" i="5"/>
  <c r="D1391" i="5"/>
  <c r="D1390" i="5"/>
  <c r="D1389" i="5"/>
  <c r="D1388" i="5"/>
  <c r="D1387" i="5"/>
  <c r="D1386" i="5"/>
  <c r="D1385" i="5"/>
  <c r="D1384" i="5"/>
  <c r="D1383" i="5"/>
  <c r="D1382" i="5"/>
  <c r="D1381" i="5"/>
  <c r="D1380" i="5"/>
  <c r="D1379" i="5"/>
  <c r="D1378" i="5"/>
  <c r="D1377" i="5"/>
  <c r="D1376" i="5"/>
  <c r="D1375" i="5"/>
  <c r="D1374" i="5"/>
  <c r="D1373" i="5"/>
  <c r="D1372" i="5"/>
  <c r="D1371" i="5"/>
  <c r="D1370" i="5"/>
  <c r="D1369" i="5"/>
  <c r="D1368" i="5"/>
  <c r="D1367" i="5"/>
  <c r="D1366" i="5"/>
  <c r="D1365" i="5"/>
  <c r="D1364" i="5"/>
  <c r="D1363" i="5"/>
  <c r="D1362" i="5"/>
  <c r="D1361" i="5"/>
  <c r="D1360" i="5"/>
  <c r="D1359" i="5"/>
  <c r="D1358" i="5"/>
  <c r="D1357" i="5"/>
  <c r="D1356" i="5"/>
  <c r="D1355" i="5"/>
  <c r="D1354" i="5"/>
  <c r="D1353" i="5"/>
  <c r="D1352" i="5"/>
  <c r="D1351" i="5"/>
  <c r="D1350" i="5"/>
  <c r="D1349" i="5"/>
  <c r="D1348" i="5"/>
  <c r="D1347" i="5"/>
  <c r="D1346" i="5"/>
  <c r="D1345" i="5"/>
  <c r="D1344" i="5"/>
  <c r="D1343" i="5"/>
  <c r="D1342" i="5"/>
  <c r="D1341" i="5"/>
  <c r="D1340" i="5"/>
  <c r="D1339" i="5"/>
  <c r="D1338" i="5"/>
  <c r="D1337" i="5"/>
  <c r="D1336" i="5"/>
  <c r="D1335" i="5"/>
  <c r="D1334" i="5"/>
  <c r="D1333" i="5"/>
  <c r="D1332" i="5"/>
  <c r="D1331" i="5"/>
  <c r="D1330" i="5"/>
  <c r="D1329" i="5"/>
  <c r="D1328" i="5"/>
  <c r="D1327" i="5"/>
  <c r="D1326" i="5"/>
  <c r="D1325" i="5"/>
  <c r="D1324" i="5"/>
  <c r="D1323" i="5"/>
  <c r="D1322" i="5"/>
  <c r="D1321" i="5"/>
  <c r="D1320" i="5"/>
  <c r="D1319" i="5"/>
  <c r="D1318" i="5"/>
  <c r="D1317" i="5"/>
  <c r="D1316" i="5"/>
  <c r="D1315" i="5"/>
  <c r="D1314" i="5"/>
  <c r="D1313" i="5"/>
  <c r="D1312" i="5"/>
  <c r="D1311" i="5"/>
  <c r="D1310" i="5"/>
  <c r="D1309" i="5"/>
  <c r="D1308" i="5"/>
  <c r="D1307" i="5"/>
  <c r="D1306" i="5"/>
  <c r="D1305" i="5"/>
  <c r="D1304" i="5"/>
  <c r="D1303" i="5"/>
  <c r="D1302" i="5"/>
  <c r="D1301" i="5"/>
  <c r="D1300" i="5"/>
  <c r="D1299" i="5"/>
  <c r="D1298" i="5"/>
  <c r="D1297" i="5"/>
  <c r="D1296" i="5"/>
  <c r="D1295" i="5"/>
  <c r="D1294" i="5"/>
  <c r="D1293" i="5"/>
  <c r="D1292" i="5"/>
  <c r="D1291" i="5"/>
  <c r="D1290" i="5"/>
  <c r="D1289" i="5"/>
  <c r="D1288" i="5"/>
  <c r="D1287" i="5"/>
  <c r="D1286" i="5"/>
  <c r="D1285" i="5"/>
  <c r="D1284" i="5"/>
  <c r="D1283" i="5"/>
  <c r="D1282" i="5"/>
  <c r="D1281" i="5"/>
  <c r="D1280" i="5"/>
  <c r="D1279" i="5"/>
  <c r="D1278" i="5"/>
  <c r="D1277" i="5"/>
  <c r="D1276" i="5"/>
  <c r="D1275" i="5"/>
  <c r="D1274" i="5"/>
  <c r="D1273" i="5"/>
  <c r="D1272" i="5"/>
  <c r="D1271" i="5"/>
  <c r="D1270" i="5"/>
  <c r="D1269" i="5"/>
  <c r="D1268" i="5"/>
  <c r="D1267" i="5"/>
  <c r="D1266" i="5"/>
  <c r="D1265" i="5"/>
  <c r="D1264" i="5"/>
  <c r="D1263" i="5"/>
  <c r="D1262" i="5"/>
  <c r="D1261" i="5"/>
  <c r="D1260" i="5"/>
  <c r="D1259" i="5"/>
  <c r="D1258" i="5"/>
  <c r="D1257" i="5"/>
  <c r="D1256" i="5"/>
  <c r="D1255" i="5"/>
  <c r="D1254" i="5"/>
  <c r="D1253" i="5"/>
  <c r="D1252" i="5"/>
  <c r="D1251" i="5"/>
  <c r="D1250" i="5"/>
  <c r="D1249" i="5"/>
  <c r="D1248" i="5"/>
  <c r="D1247" i="5"/>
  <c r="D1246" i="5"/>
  <c r="D1245" i="5"/>
  <c r="D1244" i="5"/>
  <c r="D1243" i="5"/>
  <c r="D1242" i="5"/>
  <c r="D1241" i="5"/>
  <c r="D1240" i="5"/>
  <c r="D1239" i="5"/>
  <c r="D1238" i="5"/>
  <c r="D1237" i="5"/>
  <c r="D1236" i="5"/>
  <c r="D1235" i="5"/>
  <c r="D1234" i="5"/>
  <c r="D1233" i="5"/>
  <c r="D1232" i="5"/>
  <c r="D1231" i="5"/>
  <c r="D1230" i="5"/>
  <c r="D1229" i="5"/>
  <c r="D1228" i="5"/>
  <c r="D1227" i="5"/>
  <c r="D1226" i="5"/>
  <c r="D1225" i="5"/>
  <c r="D1224" i="5"/>
  <c r="D1223" i="5"/>
  <c r="D1222" i="5"/>
  <c r="D1221" i="5"/>
  <c r="D1220" i="5"/>
  <c r="D1219" i="5"/>
  <c r="D1218" i="5"/>
  <c r="D1217" i="5"/>
  <c r="D1216" i="5"/>
  <c r="D1215" i="5"/>
  <c r="D1214" i="5"/>
  <c r="D1213" i="5"/>
  <c r="D1212" i="5"/>
  <c r="D1211" i="5"/>
  <c r="D1210" i="5"/>
  <c r="D1209" i="5"/>
  <c r="D1208" i="5"/>
  <c r="D1207" i="5"/>
  <c r="D1206" i="5"/>
  <c r="D1205" i="5"/>
  <c r="D1204" i="5"/>
  <c r="D1203" i="5"/>
  <c r="D1202" i="5"/>
  <c r="D1201" i="5"/>
  <c r="D1200" i="5"/>
  <c r="D1199" i="5"/>
  <c r="D1198" i="5"/>
  <c r="D1197" i="5"/>
  <c r="D1196" i="5"/>
  <c r="D1195" i="5"/>
  <c r="D1194" i="5"/>
  <c r="D1193" i="5"/>
  <c r="D1192" i="5"/>
  <c r="D1191" i="5"/>
  <c r="D1190" i="5"/>
  <c r="D1189" i="5"/>
  <c r="D1188" i="5"/>
  <c r="D1187" i="5"/>
  <c r="D1186" i="5"/>
  <c r="D1185" i="5"/>
  <c r="D1184" i="5"/>
  <c r="D1183" i="5"/>
  <c r="D1182" i="5"/>
  <c r="D1181" i="5"/>
  <c r="D1180" i="5"/>
  <c r="D1179" i="5"/>
  <c r="D1178" i="5"/>
  <c r="D1177" i="5"/>
  <c r="D1176" i="5"/>
  <c r="D1175" i="5"/>
  <c r="D1174" i="5"/>
  <c r="D1173" i="5"/>
  <c r="D1172" i="5"/>
  <c r="D1171" i="5"/>
  <c r="D1170" i="5"/>
  <c r="D1169" i="5"/>
  <c r="D1168" i="5"/>
  <c r="D1167" i="5"/>
  <c r="D1166" i="5"/>
  <c r="D1165" i="5"/>
  <c r="D1164" i="5"/>
  <c r="D1163" i="5"/>
  <c r="D1162" i="5"/>
  <c r="D1161" i="5"/>
  <c r="D1160" i="5"/>
  <c r="D1159" i="5"/>
  <c r="D1158" i="5"/>
  <c r="D1157" i="5"/>
  <c r="D1156" i="5"/>
  <c r="D1155" i="5"/>
  <c r="D1154" i="5"/>
  <c r="D1153" i="5"/>
  <c r="D1152" i="5"/>
  <c r="D1151" i="5"/>
  <c r="D1150" i="5"/>
  <c r="D1149" i="5"/>
  <c r="D1148" i="5"/>
  <c r="D1147" i="5"/>
  <c r="D1146" i="5"/>
  <c r="D1145" i="5"/>
  <c r="D1144" i="5"/>
  <c r="D1143" i="5"/>
  <c r="D1142" i="5"/>
  <c r="D1141" i="5"/>
  <c r="D1140" i="5"/>
  <c r="D1139" i="5"/>
  <c r="D1138" i="5"/>
  <c r="D1137" i="5"/>
  <c r="D1136" i="5"/>
  <c r="D1135" i="5"/>
  <c r="D1134" i="5"/>
  <c r="D1133" i="5"/>
  <c r="D1132" i="5"/>
  <c r="D1131" i="5"/>
  <c r="D1130" i="5"/>
  <c r="D1129" i="5"/>
  <c r="D1128" i="5"/>
  <c r="D1127" i="5"/>
  <c r="D1126" i="5"/>
  <c r="D1125" i="5"/>
  <c r="D1124" i="5"/>
  <c r="D1123" i="5"/>
  <c r="D1122" i="5"/>
  <c r="D1121" i="5"/>
  <c r="D1120" i="5"/>
  <c r="D1119" i="5"/>
  <c r="D1118" i="5"/>
  <c r="D1117" i="5"/>
  <c r="D1116" i="5"/>
  <c r="D1115" i="5"/>
  <c r="D1114" i="5"/>
  <c r="D1113" i="5"/>
  <c r="D1112" i="5"/>
  <c r="D1111" i="5"/>
  <c r="D1110" i="5"/>
  <c r="D1109" i="5"/>
  <c r="D1108" i="5"/>
  <c r="D1107" i="5"/>
  <c r="D1106" i="5"/>
  <c r="D1105" i="5"/>
  <c r="D1104" i="5"/>
  <c r="D1103" i="5"/>
  <c r="D1102" i="5"/>
  <c r="D1101" i="5"/>
  <c r="D1100" i="5"/>
  <c r="D1099" i="5"/>
  <c r="D1098" i="5"/>
  <c r="D1097" i="5"/>
  <c r="D1096" i="5"/>
  <c r="D1095" i="5"/>
  <c r="D1094" i="5"/>
  <c r="D1093" i="5"/>
  <c r="D1092" i="5"/>
  <c r="D1091" i="5"/>
  <c r="D1090" i="5"/>
  <c r="D1089" i="5"/>
  <c r="D1088" i="5"/>
  <c r="D1087" i="5"/>
  <c r="D1086" i="5"/>
  <c r="D1085" i="5"/>
  <c r="D1084" i="5"/>
  <c r="D1083" i="5"/>
  <c r="D1082" i="5"/>
  <c r="D1081" i="5"/>
  <c r="D1080" i="5"/>
  <c r="D1079" i="5"/>
  <c r="D1078" i="5"/>
  <c r="D1077" i="5"/>
  <c r="D1076" i="5"/>
  <c r="D1075" i="5"/>
  <c r="D1074" i="5"/>
  <c r="D1073" i="5"/>
  <c r="D1072" i="5"/>
  <c r="D1071" i="5"/>
  <c r="D1070" i="5"/>
  <c r="D1069" i="5"/>
  <c r="D1068" i="5"/>
  <c r="D1067" i="5"/>
  <c r="D1066" i="5"/>
  <c r="D1065" i="5"/>
  <c r="D1064" i="5"/>
  <c r="D1063" i="5"/>
  <c r="D1062" i="5"/>
  <c r="D1061" i="5"/>
  <c r="D1060" i="5"/>
  <c r="D1059" i="5"/>
  <c r="D1058" i="5"/>
  <c r="D1057" i="5"/>
  <c r="D1056" i="5"/>
  <c r="D1055" i="5"/>
  <c r="D1054" i="5"/>
  <c r="D1053" i="5"/>
  <c r="D1052" i="5"/>
  <c r="D1051" i="5"/>
  <c r="D1050" i="5"/>
  <c r="D1049" i="5"/>
  <c r="D1048" i="5"/>
  <c r="D1047" i="5"/>
  <c r="D1046" i="5"/>
  <c r="D1045" i="5"/>
  <c r="D1044" i="5"/>
  <c r="D1043" i="5"/>
  <c r="D1042" i="5"/>
  <c r="D1041" i="5"/>
  <c r="D1040" i="5"/>
  <c r="D1039" i="5"/>
  <c r="D1038" i="5"/>
  <c r="D1037" i="5"/>
  <c r="D1036" i="5"/>
  <c r="D1035" i="5"/>
  <c r="D1034" i="5"/>
  <c r="D1033" i="5"/>
  <c r="D1032" i="5"/>
  <c r="D1031" i="5"/>
  <c r="D1030" i="5"/>
  <c r="D1029" i="5"/>
  <c r="D1028" i="5"/>
  <c r="D1027" i="5"/>
  <c r="D1026" i="5"/>
  <c r="D1025" i="5"/>
  <c r="D1024" i="5"/>
  <c r="D1023" i="5"/>
  <c r="D1022" i="5"/>
  <c r="D1021" i="5"/>
  <c r="D1020" i="5"/>
  <c r="D1019" i="5"/>
  <c r="D1018" i="5"/>
  <c r="D1017" i="5"/>
  <c r="D1016" i="5"/>
  <c r="D1015" i="5"/>
  <c r="D1014" i="5"/>
  <c r="D1013" i="5"/>
  <c r="D1012" i="5"/>
  <c r="D1011" i="5"/>
  <c r="D1010" i="5"/>
  <c r="D1009" i="5"/>
  <c r="D1008" i="5"/>
  <c r="D1007" i="5"/>
  <c r="D1006" i="5"/>
  <c r="D1005" i="5"/>
  <c r="D1004" i="5"/>
  <c r="D1003" i="5"/>
  <c r="D1002" i="5"/>
  <c r="D1001" i="5"/>
  <c r="D1000" i="5"/>
  <c r="D999" i="5"/>
  <c r="D998" i="5"/>
  <c r="D997" i="5"/>
  <c r="D996" i="5"/>
  <c r="D995" i="5"/>
  <c r="D994" i="5"/>
  <c r="D993" i="5"/>
  <c r="D992" i="5"/>
  <c r="D991" i="5"/>
  <c r="D990" i="5"/>
  <c r="D989" i="5"/>
  <c r="D988" i="5"/>
  <c r="D987" i="5"/>
  <c r="D986" i="5"/>
  <c r="D985" i="5"/>
  <c r="D984" i="5"/>
  <c r="D983" i="5"/>
  <c r="D982" i="5"/>
  <c r="D981" i="5"/>
  <c r="D980" i="5"/>
  <c r="D979" i="5"/>
  <c r="D978" i="5"/>
  <c r="D977" i="5"/>
  <c r="D976" i="5"/>
  <c r="D975" i="5"/>
  <c r="D974" i="5"/>
  <c r="D973" i="5"/>
  <c r="D972" i="5"/>
  <c r="D971" i="5"/>
  <c r="D970" i="5"/>
  <c r="D969" i="5"/>
  <c r="D968" i="5"/>
  <c r="D967" i="5"/>
  <c r="D966" i="5"/>
  <c r="D965" i="5"/>
  <c r="D964" i="5"/>
  <c r="D963" i="5"/>
  <c r="D962" i="5"/>
  <c r="D961" i="5"/>
  <c r="D960" i="5"/>
  <c r="D959" i="5"/>
  <c r="D958" i="5"/>
  <c r="D957" i="5"/>
  <c r="D956" i="5"/>
  <c r="D955" i="5"/>
  <c r="D954" i="5"/>
  <c r="D953" i="5"/>
  <c r="D952" i="5"/>
  <c r="D951" i="5"/>
  <c r="D950" i="5"/>
  <c r="D949" i="5"/>
  <c r="D948" i="5"/>
  <c r="D947" i="5"/>
  <c r="D946" i="5"/>
  <c r="D945" i="5"/>
  <c r="D944" i="5"/>
  <c r="D943" i="5"/>
  <c r="D942" i="5"/>
  <c r="D941" i="5"/>
  <c r="D940" i="5"/>
  <c r="D939" i="5"/>
  <c r="D938" i="5"/>
  <c r="D937" i="5"/>
  <c r="D936" i="5"/>
  <c r="D935" i="5"/>
  <c r="D934" i="5"/>
  <c r="D933" i="5"/>
  <c r="D932" i="5"/>
  <c r="D931" i="5"/>
  <c r="D930" i="5"/>
  <c r="D929" i="5"/>
  <c r="D928" i="5"/>
  <c r="D927" i="5"/>
  <c r="D926" i="5"/>
  <c r="D925" i="5"/>
  <c r="D924" i="5"/>
  <c r="D923" i="5"/>
  <c r="D922" i="5"/>
  <c r="D921" i="5"/>
  <c r="D920" i="5"/>
  <c r="D919" i="5"/>
  <c r="D918" i="5"/>
  <c r="D917" i="5"/>
  <c r="D916" i="5"/>
  <c r="D915" i="5"/>
  <c r="D914" i="5"/>
  <c r="D913" i="5"/>
  <c r="D912" i="5"/>
  <c r="D911" i="5"/>
  <c r="D910" i="5"/>
  <c r="D909" i="5"/>
  <c r="D908" i="5"/>
  <c r="D907" i="5"/>
  <c r="D906" i="5"/>
  <c r="D905" i="5"/>
  <c r="D904" i="5"/>
  <c r="D903" i="5"/>
  <c r="D902" i="5"/>
  <c r="D901" i="5"/>
  <c r="D900" i="5"/>
  <c r="D899" i="5"/>
  <c r="D898" i="5"/>
  <c r="D897" i="5"/>
  <c r="D896" i="5"/>
  <c r="D895" i="5"/>
  <c r="D894" i="5"/>
  <c r="D893" i="5"/>
  <c r="D892" i="5"/>
  <c r="D891" i="5"/>
  <c r="D890" i="5"/>
  <c r="D889" i="5"/>
  <c r="D888" i="5"/>
  <c r="D887" i="5"/>
  <c r="D886" i="5"/>
  <c r="D885" i="5"/>
  <c r="D884" i="5"/>
  <c r="D883" i="5"/>
  <c r="D882" i="5"/>
  <c r="D881" i="5"/>
  <c r="D880" i="5"/>
  <c r="D879" i="5"/>
  <c r="D878" i="5"/>
  <c r="D877" i="5"/>
  <c r="D876" i="5"/>
  <c r="D875" i="5"/>
  <c r="D874" i="5"/>
  <c r="D873" i="5"/>
  <c r="D872" i="5"/>
  <c r="D871" i="5"/>
  <c r="D870" i="5"/>
  <c r="D869" i="5"/>
  <c r="D868" i="5"/>
  <c r="D867" i="5"/>
  <c r="D866" i="5"/>
  <c r="D865" i="5"/>
  <c r="D864" i="5"/>
  <c r="D863" i="5"/>
  <c r="D862" i="5"/>
  <c r="D861" i="5"/>
  <c r="D860" i="5"/>
  <c r="D859" i="5"/>
  <c r="D858" i="5"/>
  <c r="D857" i="5"/>
  <c r="D856" i="5"/>
  <c r="D855" i="5"/>
  <c r="D854" i="5"/>
  <c r="D853" i="5"/>
  <c r="D852" i="5"/>
  <c r="D851" i="5"/>
  <c r="D850" i="5"/>
  <c r="D849" i="5"/>
  <c r="D848" i="5"/>
  <c r="D847" i="5"/>
  <c r="D846" i="5"/>
  <c r="D845" i="5"/>
  <c r="D844" i="5"/>
  <c r="D843" i="5"/>
  <c r="D842" i="5"/>
  <c r="D841" i="5"/>
  <c r="D840" i="5"/>
  <c r="D839" i="5"/>
  <c r="D838" i="5"/>
  <c r="D837" i="5"/>
  <c r="D836" i="5"/>
  <c r="D835" i="5"/>
  <c r="D834" i="5"/>
  <c r="D833" i="5"/>
  <c r="D832" i="5"/>
  <c r="D831" i="5"/>
  <c r="D830" i="5"/>
  <c r="D829" i="5"/>
  <c r="D828" i="5"/>
  <c r="D827" i="5"/>
  <c r="D826" i="5"/>
  <c r="D825" i="5"/>
  <c r="D824" i="5"/>
  <c r="D823" i="5"/>
  <c r="D822" i="5"/>
  <c r="D821" i="5"/>
  <c r="D820" i="5"/>
  <c r="D819" i="5"/>
  <c r="D818" i="5"/>
  <c r="D817" i="5"/>
  <c r="D816" i="5"/>
  <c r="D815" i="5"/>
  <c r="D814" i="5"/>
  <c r="D813" i="5"/>
  <c r="D812" i="5"/>
  <c r="D811" i="5"/>
  <c r="D810" i="5"/>
  <c r="D809" i="5"/>
  <c r="D808" i="5"/>
  <c r="D807" i="5"/>
  <c r="D806" i="5"/>
  <c r="D805" i="5"/>
  <c r="D804" i="5"/>
  <c r="D803" i="5"/>
  <c r="D802" i="5"/>
  <c r="D801" i="5"/>
  <c r="D800" i="5"/>
  <c r="D799" i="5"/>
  <c r="D798" i="5"/>
  <c r="D797" i="5"/>
  <c r="D796" i="5"/>
  <c r="D795" i="5"/>
  <c r="D794" i="5"/>
  <c r="D793" i="5"/>
  <c r="D792" i="5"/>
  <c r="D791" i="5"/>
  <c r="D790" i="5"/>
  <c r="D789" i="5"/>
  <c r="D788" i="5"/>
  <c r="D787" i="5"/>
  <c r="D786" i="5"/>
  <c r="D785" i="5"/>
  <c r="D784" i="5"/>
  <c r="D783" i="5"/>
  <c r="D782" i="5"/>
  <c r="D781" i="5"/>
  <c r="D780" i="5"/>
  <c r="D779" i="5"/>
  <c r="D778" i="5"/>
  <c r="D777" i="5"/>
  <c r="D776" i="5"/>
  <c r="D775" i="5"/>
  <c r="D774" i="5"/>
  <c r="D773" i="5"/>
  <c r="D772" i="5"/>
  <c r="D771" i="5"/>
  <c r="D770" i="5"/>
  <c r="D769" i="5"/>
  <c r="D768" i="5"/>
  <c r="D767" i="5"/>
  <c r="D766" i="5"/>
  <c r="D765" i="5"/>
  <c r="D764" i="5"/>
  <c r="D763" i="5"/>
  <c r="D762" i="5"/>
  <c r="D761" i="5"/>
  <c r="D760" i="5"/>
  <c r="D759" i="5"/>
  <c r="D758" i="5"/>
  <c r="D757" i="5"/>
  <c r="D756" i="5"/>
  <c r="D755" i="5"/>
  <c r="D754" i="5"/>
  <c r="D753" i="5"/>
  <c r="D752" i="5"/>
  <c r="D751" i="5"/>
  <c r="D750" i="5"/>
  <c r="D749" i="5"/>
  <c r="D748" i="5"/>
  <c r="D747" i="5"/>
  <c r="D746" i="5"/>
  <c r="D745" i="5"/>
  <c r="D744" i="5"/>
  <c r="D743" i="5"/>
  <c r="D742" i="5"/>
  <c r="D741" i="5"/>
  <c r="D740" i="5"/>
  <c r="D739" i="5"/>
  <c r="D738" i="5"/>
  <c r="D737" i="5"/>
  <c r="D736" i="5"/>
  <c r="D735" i="5"/>
  <c r="D734" i="5"/>
  <c r="D733" i="5"/>
  <c r="D732" i="5"/>
  <c r="D731" i="5"/>
  <c r="D730" i="5"/>
  <c r="D729" i="5"/>
  <c r="D728" i="5"/>
  <c r="D727" i="5"/>
  <c r="D726" i="5"/>
  <c r="D725" i="5"/>
  <c r="D724" i="5"/>
  <c r="D723" i="5"/>
  <c r="D722" i="5"/>
  <c r="D721" i="5"/>
  <c r="D720" i="5"/>
  <c r="D719" i="5"/>
  <c r="D718" i="5"/>
  <c r="D717" i="5"/>
  <c r="D716" i="5"/>
  <c r="D715" i="5"/>
  <c r="D714" i="5"/>
  <c r="D713" i="5"/>
  <c r="D712" i="5"/>
  <c r="D711" i="5"/>
  <c r="D710" i="5"/>
  <c r="D709" i="5"/>
  <c r="D708" i="5"/>
  <c r="D707" i="5"/>
  <c r="D706" i="5"/>
  <c r="D705" i="5"/>
  <c r="D704" i="5"/>
  <c r="D703" i="5"/>
  <c r="D702" i="5"/>
  <c r="D701" i="5"/>
  <c r="D700" i="5"/>
  <c r="D699" i="5"/>
  <c r="D698" i="5"/>
  <c r="D697" i="5"/>
  <c r="D696" i="5"/>
  <c r="D695" i="5"/>
  <c r="D694" i="5"/>
  <c r="D693" i="5"/>
  <c r="D692" i="5"/>
  <c r="D691" i="5"/>
  <c r="D690" i="5"/>
  <c r="D689" i="5"/>
  <c r="D688" i="5"/>
  <c r="D687" i="5"/>
  <c r="D686" i="5"/>
  <c r="D685" i="5"/>
  <c r="D684" i="5"/>
  <c r="D683" i="5"/>
  <c r="D682" i="5"/>
  <c r="D681" i="5"/>
  <c r="D680" i="5"/>
  <c r="D679" i="5"/>
  <c r="D678" i="5"/>
  <c r="D677" i="5"/>
  <c r="D676" i="5"/>
  <c r="D675" i="5"/>
  <c r="D674" i="5"/>
  <c r="D673" i="5"/>
  <c r="D672" i="5"/>
  <c r="D671" i="5"/>
  <c r="D670" i="5"/>
  <c r="D669" i="5"/>
  <c r="D668" i="5"/>
  <c r="D667" i="5"/>
  <c r="D666" i="5"/>
  <c r="D665" i="5"/>
  <c r="D664" i="5"/>
  <c r="D663" i="5"/>
  <c r="D662" i="5"/>
  <c r="D661" i="5"/>
  <c r="D660" i="5"/>
  <c r="D659" i="5"/>
  <c r="D658" i="5"/>
  <c r="D657" i="5"/>
  <c r="D656" i="5"/>
  <c r="D655" i="5"/>
  <c r="D654" i="5"/>
  <c r="D653" i="5"/>
  <c r="D652" i="5"/>
  <c r="D651" i="5"/>
  <c r="D650" i="5"/>
  <c r="D649" i="5"/>
  <c r="D648" i="5"/>
  <c r="D647" i="5"/>
  <c r="D646" i="5"/>
  <c r="D645" i="5"/>
  <c r="D644" i="5"/>
  <c r="D643" i="5"/>
  <c r="D642" i="5"/>
  <c r="D641" i="5"/>
  <c r="D640" i="5"/>
  <c r="D639" i="5"/>
  <c r="D638" i="5"/>
  <c r="D637" i="5"/>
  <c r="D636" i="5"/>
  <c r="D635" i="5"/>
  <c r="D634" i="5"/>
  <c r="D633" i="5"/>
  <c r="D632" i="5"/>
  <c r="D631" i="5"/>
  <c r="D630" i="5"/>
  <c r="D629" i="5"/>
  <c r="D628" i="5"/>
  <c r="D627" i="5"/>
  <c r="D626" i="5"/>
  <c r="D625" i="5"/>
  <c r="D624" i="5"/>
  <c r="D623" i="5"/>
  <c r="D622" i="5"/>
  <c r="D621" i="5"/>
  <c r="D620" i="5"/>
  <c r="D619" i="5"/>
  <c r="D618" i="5"/>
  <c r="D617" i="5"/>
  <c r="D616" i="5"/>
  <c r="D615" i="5"/>
  <c r="D614" i="5"/>
  <c r="D613" i="5"/>
  <c r="D612" i="5"/>
  <c r="D611" i="5"/>
  <c r="D610" i="5"/>
  <c r="D609" i="5"/>
  <c r="D608" i="5"/>
  <c r="D607" i="5"/>
  <c r="D606" i="5"/>
  <c r="D605" i="5"/>
  <c r="D604" i="5"/>
  <c r="D603" i="5"/>
  <c r="D602" i="5"/>
  <c r="D601" i="5"/>
  <c r="D600" i="5"/>
  <c r="D599" i="5"/>
  <c r="D598" i="5"/>
  <c r="D597" i="5"/>
  <c r="D596" i="5"/>
  <c r="D595" i="5"/>
  <c r="D594" i="5"/>
  <c r="D593" i="5"/>
  <c r="D592" i="5"/>
  <c r="D591" i="5"/>
  <c r="D590" i="5"/>
  <c r="D589" i="5"/>
  <c r="D588" i="5"/>
  <c r="D587" i="5"/>
  <c r="D586" i="5"/>
  <c r="D585" i="5"/>
  <c r="D584" i="5"/>
  <c r="D583" i="5"/>
  <c r="D582" i="5"/>
  <c r="D581" i="5"/>
  <c r="D580" i="5"/>
  <c r="D579" i="5"/>
  <c r="D578" i="5"/>
  <c r="D577" i="5"/>
  <c r="D576" i="5"/>
  <c r="D575" i="5"/>
  <c r="D574" i="5"/>
  <c r="D573" i="5"/>
  <c r="D572" i="5"/>
  <c r="D571" i="5"/>
  <c r="D570" i="5"/>
  <c r="D569" i="5"/>
  <c r="D568" i="5"/>
  <c r="D567" i="5"/>
  <c r="D566" i="5"/>
  <c r="D565" i="5"/>
  <c r="D564" i="5"/>
  <c r="D563" i="5"/>
  <c r="D562" i="5"/>
  <c r="D561" i="5"/>
  <c r="D560" i="5"/>
  <c r="D559" i="5"/>
  <c r="D558" i="5"/>
  <c r="D557" i="5"/>
  <c r="D556" i="5"/>
  <c r="D555" i="5"/>
  <c r="D554" i="5"/>
  <c r="D553" i="5"/>
  <c r="D552" i="5"/>
  <c r="D551" i="5"/>
  <c r="D550" i="5"/>
  <c r="D549" i="5"/>
  <c r="D548" i="5"/>
  <c r="D547" i="5"/>
  <c r="D546" i="5"/>
  <c r="D545" i="5"/>
  <c r="D544" i="5"/>
  <c r="D543" i="5"/>
  <c r="D542" i="5"/>
  <c r="D541" i="5"/>
  <c r="D540" i="5"/>
  <c r="D539" i="5"/>
  <c r="D538" i="5"/>
  <c r="D537" i="5"/>
  <c r="D536" i="5"/>
  <c r="D535" i="5"/>
  <c r="D534" i="5"/>
  <c r="D533" i="5"/>
  <c r="D532" i="5"/>
  <c r="D531" i="5"/>
  <c r="D530" i="5"/>
  <c r="D529" i="5"/>
  <c r="D528" i="5"/>
  <c r="D527" i="5"/>
  <c r="D526" i="5"/>
  <c r="D525" i="5"/>
  <c r="D524" i="5"/>
  <c r="D523" i="5"/>
  <c r="D522" i="5"/>
  <c r="D521" i="5"/>
  <c r="D520" i="5"/>
  <c r="D519" i="5"/>
  <c r="D518" i="5"/>
  <c r="D517" i="5"/>
  <c r="D516" i="5"/>
  <c r="D515" i="5"/>
  <c r="D514" i="5"/>
  <c r="D513" i="5"/>
  <c r="D512" i="5"/>
  <c r="D511" i="5"/>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L1220" i="15"/>
  <c r="L1210" i="15"/>
  <c r="L1209" i="15"/>
  <c r="L1208" i="15"/>
  <c r="L1185" i="15"/>
  <c r="L1184" i="15"/>
  <c r="L1180" i="15"/>
  <c r="L1173" i="15"/>
  <c r="L1150" i="15"/>
  <c r="L1149" i="15"/>
  <c r="L1126" i="15"/>
  <c r="L1125" i="15"/>
  <c r="L1124" i="15"/>
  <c r="L1114" i="15"/>
  <c r="L1112" i="15"/>
  <c r="L1100" i="15"/>
  <c r="L1096" i="15"/>
  <c r="L1095" i="15"/>
  <c r="L1090" i="15"/>
  <c r="L1088" i="15"/>
  <c r="L1076" i="15"/>
  <c r="L1066" i="15"/>
  <c r="L1065" i="15"/>
  <c r="L1064" i="15"/>
  <c r="L1041" i="15"/>
  <c r="L1040" i="15"/>
  <c r="L1036" i="15"/>
  <c r="L1029" i="15"/>
  <c r="L1006" i="15"/>
  <c r="L1005" i="15"/>
  <c r="L982" i="15"/>
  <c r="L981" i="15"/>
  <c r="L980" i="15"/>
  <c r="L970" i="15"/>
  <c r="L968" i="15"/>
  <c r="L956" i="15"/>
  <c r="L952" i="15"/>
  <c r="L951" i="15"/>
  <c r="L946" i="15"/>
  <c r="L944" i="15"/>
  <c r="L932" i="15"/>
  <c r="L922" i="15"/>
  <c r="L921" i="15"/>
  <c r="L920" i="15"/>
  <c r="L897" i="15"/>
  <c r="L896" i="15"/>
  <c r="L892" i="15"/>
  <c r="L885" i="15"/>
  <c r="L862" i="15"/>
  <c r="L861" i="15"/>
  <c r="L838" i="15"/>
  <c r="L837" i="15"/>
  <c r="L836" i="15"/>
  <c r="L826" i="15"/>
  <c r="L812" i="15"/>
  <c r="L808" i="15"/>
  <c r="L807" i="15"/>
  <c r="L802" i="15"/>
  <c r="L800" i="15"/>
  <c r="L788" i="15"/>
  <c r="L778" i="15"/>
  <c r="L777" i="15"/>
  <c r="L776" i="15"/>
  <c r="L753" i="15"/>
  <c r="L752" i="15"/>
  <c r="L748" i="15"/>
  <c r="L741" i="15"/>
  <c r="L718" i="15"/>
  <c r="L717" i="15"/>
  <c r="L694" i="15"/>
  <c r="L693" i="15"/>
  <c r="L692" i="15"/>
  <c r="L682" i="15"/>
  <c r="L668" i="15"/>
  <c r="L664" i="15"/>
  <c r="L663" i="15"/>
  <c r="L658" i="15"/>
  <c r="L656" i="15"/>
  <c r="L634" i="15"/>
  <c r="L633" i="15"/>
  <c r="L632" i="15"/>
  <c r="L609" i="15"/>
  <c r="L608" i="15"/>
  <c r="L604" i="15"/>
  <c r="L597" i="15"/>
  <c r="L574" i="15"/>
  <c r="L573" i="15"/>
  <c r="L550" i="15"/>
  <c r="L549" i="15"/>
  <c r="L548" i="15"/>
  <c r="L538" i="15"/>
  <c r="L524" i="15"/>
  <c r="L520" i="15"/>
  <c r="L519" i="15"/>
  <c r="L514" i="15"/>
  <c r="L512" i="15"/>
  <c r="L490" i="15"/>
  <c r="L489" i="15"/>
  <c r="L488" i="15"/>
  <c r="L465" i="15"/>
  <c r="L464" i="15"/>
  <c r="L460" i="15"/>
  <c r="L453" i="15"/>
  <c r="L430" i="15"/>
  <c r="L406" i="15"/>
  <c r="L405" i="15"/>
  <c r="L404" i="15"/>
  <c r="L394" i="15"/>
  <c r="L380" i="15"/>
  <c r="L376" i="15"/>
  <c r="L375" i="15"/>
  <c r="L368" i="15"/>
  <c r="L346" i="15"/>
  <c r="L345" i="15"/>
  <c r="L344" i="15"/>
  <c r="L321" i="15"/>
  <c r="L320" i="15"/>
  <c r="L316" i="15"/>
  <c r="L309" i="15"/>
  <c r="L286" i="15"/>
  <c r="L262" i="15"/>
  <c r="L261" i="15"/>
  <c r="L260" i="15"/>
  <c r="L250" i="15"/>
  <c r="L236" i="15"/>
  <c r="L232" i="15"/>
  <c r="L231" i="15"/>
  <c r="L226" i="15"/>
  <c r="L215" i="15"/>
  <c r="L214" i="15"/>
  <c r="L211" i="15"/>
  <c r="L203" i="15"/>
  <c r="L202" i="15"/>
  <c r="L199" i="15"/>
  <c r="L191" i="15"/>
  <c r="L190" i="15"/>
  <c r="L187" i="15"/>
  <c r="L179" i="15"/>
  <c r="L178" i="15"/>
  <c r="L175" i="15"/>
  <c r="L167" i="15"/>
  <c r="L166" i="15"/>
  <c r="L163" i="15"/>
  <c r="L155" i="15"/>
  <c r="L154" i="15"/>
  <c r="L151" i="15"/>
  <c r="L143" i="15"/>
  <c r="L142" i="15"/>
  <c r="L139" i="15"/>
  <c r="L131" i="15"/>
  <c r="L130" i="15"/>
  <c r="L127" i="15"/>
  <c r="L119" i="15"/>
  <c r="L118" i="15"/>
  <c r="L115" i="15"/>
  <c r="L107" i="15"/>
  <c r="L106" i="15"/>
  <c r="L103" i="15"/>
  <c r="L95" i="15"/>
  <c r="L94" i="15"/>
  <c r="L91" i="15"/>
  <c r="L83" i="15"/>
  <c r="L82" i="15"/>
  <c r="L79" i="15"/>
  <c r="L71" i="15"/>
  <c r="L70" i="15"/>
  <c r="L67" i="15"/>
  <c r="L59" i="15"/>
  <c r="L58" i="15"/>
  <c r="L55" i="15"/>
  <c r="L47" i="15"/>
  <c r="L46" i="15"/>
  <c r="L43" i="15"/>
  <c r="L35" i="15"/>
  <c r="L34" i="15"/>
  <c r="L31" i="15"/>
  <c r="L23" i="15"/>
  <c r="L22" i="15"/>
  <c r="L19" i="15"/>
  <c r="L11" i="15"/>
  <c r="L10" i="15"/>
  <c r="L7" i="15"/>
  <c r="G1231" i="15"/>
  <c r="L1231" i="15" s="1"/>
  <c r="G1230" i="15"/>
  <c r="L1230" i="15" s="1"/>
  <c r="G1229" i="15"/>
  <c r="L1229" i="15" s="1"/>
  <c r="G1228" i="15"/>
  <c r="L1228" i="15" s="1"/>
  <c r="G1227" i="15"/>
  <c r="L1227" i="15" s="1"/>
  <c r="G1226" i="15"/>
  <c r="L1226" i="15" s="1"/>
  <c r="G1225" i="15"/>
  <c r="L1225" i="15" s="1"/>
  <c r="G1224" i="15"/>
  <c r="L1224" i="15" s="1"/>
  <c r="G1223" i="15"/>
  <c r="L1223" i="15" s="1"/>
  <c r="G1222" i="15"/>
  <c r="L1222" i="15" s="1"/>
  <c r="G1221" i="15"/>
  <c r="L1221" i="15" s="1"/>
  <c r="G1220" i="15"/>
  <c r="G1219" i="15"/>
  <c r="L1219" i="15" s="1"/>
  <c r="G1218" i="15"/>
  <c r="L1218" i="15" s="1"/>
  <c r="G1217" i="15"/>
  <c r="L1217" i="15" s="1"/>
  <c r="G1216" i="15"/>
  <c r="L1216" i="15" s="1"/>
  <c r="G1215" i="15"/>
  <c r="L1215" i="15" s="1"/>
  <c r="G1214" i="15"/>
  <c r="L1214" i="15" s="1"/>
  <c r="G1213" i="15"/>
  <c r="L1213" i="15" s="1"/>
  <c r="G1212" i="15"/>
  <c r="L1212" i="15" s="1"/>
  <c r="G1211" i="15"/>
  <c r="L1211" i="15" s="1"/>
  <c r="G1210" i="15"/>
  <c r="G1209" i="15"/>
  <c r="G1208" i="15"/>
  <c r="G1207" i="15"/>
  <c r="L1207" i="15" s="1"/>
  <c r="G1206" i="15"/>
  <c r="L1206" i="15" s="1"/>
  <c r="G1205" i="15"/>
  <c r="L1205" i="15" s="1"/>
  <c r="G1204" i="15"/>
  <c r="L1204" i="15" s="1"/>
  <c r="G1203" i="15"/>
  <c r="L1203" i="15" s="1"/>
  <c r="G1202" i="15"/>
  <c r="L1202" i="15" s="1"/>
  <c r="G1201" i="15"/>
  <c r="L1201" i="15" s="1"/>
  <c r="G1200" i="15"/>
  <c r="L1200" i="15" s="1"/>
  <c r="G1199" i="15"/>
  <c r="L1199" i="15" s="1"/>
  <c r="G1198" i="15"/>
  <c r="L1198" i="15" s="1"/>
  <c r="G1197" i="15"/>
  <c r="L1197" i="15" s="1"/>
  <c r="G1196" i="15"/>
  <c r="L1196" i="15" s="1"/>
  <c r="G1195" i="15"/>
  <c r="L1195" i="15" s="1"/>
  <c r="G1194" i="15"/>
  <c r="L1194" i="15" s="1"/>
  <c r="G1193" i="15"/>
  <c r="L1193" i="15" s="1"/>
  <c r="G1192" i="15"/>
  <c r="L1192" i="15" s="1"/>
  <c r="G1191" i="15"/>
  <c r="L1191" i="15" s="1"/>
  <c r="G1190" i="15"/>
  <c r="L1190" i="15" s="1"/>
  <c r="G1189" i="15"/>
  <c r="L1189" i="15" s="1"/>
  <c r="G1188" i="15"/>
  <c r="L1188" i="15" s="1"/>
  <c r="G1187" i="15"/>
  <c r="L1187" i="15" s="1"/>
  <c r="G1186" i="15"/>
  <c r="L1186" i="15" s="1"/>
  <c r="G1185" i="15"/>
  <c r="G1184" i="15"/>
  <c r="G1183" i="15"/>
  <c r="L1183" i="15" s="1"/>
  <c r="G1182" i="15"/>
  <c r="L1182" i="15" s="1"/>
  <c r="G1181" i="15"/>
  <c r="L1181" i="15" s="1"/>
  <c r="G1180" i="15"/>
  <c r="G1179" i="15"/>
  <c r="L1179" i="15" s="1"/>
  <c r="G1178" i="15"/>
  <c r="L1178" i="15" s="1"/>
  <c r="G1177" i="15"/>
  <c r="L1177" i="15" s="1"/>
  <c r="G1176" i="15"/>
  <c r="L1176" i="15" s="1"/>
  <c r="G1175" i="15"/>
  <c r="L1175" i="15" s="1"/>
  <c r="G1174" i="15"/>
  <c r="L1174" i="15" s="1"/>
  <c r="G1173" i="15"/>
  <c r="G1172" i="15"/>
  <c r="L1172" i="15" s="1"/>
  <c r="G1171" i="15"/>
  <c r="L1171" i="15" s="1"/>
  <c r="G1170" i="15"/>
  <c r="L1170" i="15" s="1"/>
  <c r="G1169" i="15"/>
  <c r="L1169" i="15" s="1"/>
  <c r="G1168" i="15"/>
  <c r="L1168" i="15" s="1"/>
  <c r="G1167" i="15"/>
  <c r="L1167" i="15" s="1"/>
  <c r="G1166" i="15"/>
  <c r="L1166" i="15" s="1"/>
  <c r="G1165" i="15"/>
  <c r="L1165" i="15" s="1"/>
  <c r="G1164" i="15"/>
  <c r="L1164" i="15" s="1"/>
  <c r="G1163" i="15"/>
  <c r="L1163" i="15" s="1"/>
  <c r="G1162" i="15"/>
  <c r="L1162" i="15" s="1"/>
  <c r="G1161" i="15"/>
  <c r="L1161" i="15" s="1"/>
  <c r="G1160" i="15"/>
  <c r="L1160" i="15" s="1"/>
  <c r="G1159" i="15"/>
  <c r="L1159" i="15" s="1"/>
  <c r="G1158" i="15"/>
  <c r="L1158" i="15" s="1"/>
  <c r="G1157" i="15"/>
  <c r="L1157" i="15" s="1"/>
  <c r="G1156" i="15"/>
  <c r="L1156" i="15" s="1"/>
  <c r="G1155" i="15"/>
  <c r="L1155" i="15" s="1"/>
  <c r="G1154" i="15"/>
  <c r="L1154" i="15" s="1"/>
  <c r="G1153" i="15"/>
  <c r="L1153" i="15" s="1"/>
  <c r="G1152" i="15"/>
  <c r="L1152" i="15" s="1"/>
  <c r="G1151" i="15"/>
  <c r="L1151" i="15" s="1"/>
  <c r="G1150" i="15"/>
  <c r="G1149" i="15"/>
  <c r="G1148" i="15"/>
  <c r="L1148" i="15" s="1"/>
  <c r="G1147" i="15"/>
  <c r="L1147" i="15" s="1"/>
  <c r="G1146" i="15"/>
  <c r="L1146" i="15" s="1"/>
  <c r="G1145" i="15"/>
  <c r="L1145" i="15" s="1"/>
  <c r="G1144" i="15"/>
  <c r="L1144" i="15" s="1"/>
  <c r="G1143" i="15"/>
  <c r="L1143" i="15" s="1"/>
  <c r="G1142" i="15"/>
  <c r="L1142" i="15" s="1"/>
  <c r="G1141" i="15"/>
  <c r="L1141" i="15" s="1"/>
  <c r="G1140" i="15"/>
  <c r="L1140" i="15" s="1"/>
  <c r="G1139" i="15"/>
  <c r="L1139" i="15" s="1"/>
  <c r="G1138" i="15"/>
  <c r="L1138" i="15" s="1"/>
  <c r="G1137" i="15"/>
  <c r="L1137" i="15" s="1"/>
  <c r="G1136" i="15"/>
  <c r="L1136" i="15" s="1"/>
  <c r="G1135" i="15"/>
  <c r="L1135" i="15" s="1"/>
  <c r="G1134" i="15"/>
  <c r="L1134" i="15" s="1"/>
  <c r="G1133" i="15"/>
  <c r="L1133" i="15" s="1"/>
  <c r="G1132" i="15"/>
  <c r="L1132" i="15" s="1"/>
  <c r="G1131" i="15"/>
  <c r="L1131" i="15" s="1"/>
  <c r="G1130" i="15"/>
  <c r="L1130" i="15" s="1"/>
  <c r="G1129" i="15"/>
  <c r="L1129" i="15" s="1"/>
  <c r="G1128" i="15"/>
  <c r="L1128" i="15" s="1"/>
  <c r="G1127" i="15"/>
  <c r="L1127" i="15" s="1"/>
  <c r="G1126" i="15"/>
  <c r="G1125" i="15"/>
  <c r="G1124" i="15"/>
  <c r="G1123" i="15"/>
  <c r="L1123" i="15" s="1"/>
  <c r="G1122" i="15"/>
  <c r="L1122" i="15" s="1"/>
  <c r="G1121" i="15"/>
  <c r="L1121" i="15" s="1"/>
  <c r="G1120" i="15"/>
  <c r="L1120" i="15" s="1"/>
  <c r="G1119" i="15"/>
  <c r="L1119" i="15" s="1"/>
  <c r="G1118" i="15"/>
  <c r="L1118" i="15" s="1"/>
  <c r="G1117" i="15"/>
  <c r="L1117" i="15" s="1"/>
  <c r="G1116" i="15"/>
  <c r="L1116" i="15" s="1"/>
  <c r="G1115" i="15"/>
  <c r="L1115" i="15" s="1"/>
  <c r="G1114" i="15"/>
  <c r="G1113" i="15"/>
  <c r="L1113" i="15" s="1"/>
  <c r="G1112" i="15"/>
  <c r="G1111" i="15"/>
  <c r="L1111" i="15" s="1"/>
  <c r="G1110" i="15"/>
  <c r="L1110" i="15" s="1"/>
  <c r="G1109" i="15"/>
  <c r="L1109" i="15" s="1"/>
  <c r="G1108" i="15"/>
  <c r="L1108" i="15" s="1"/>
  <c r="G1107" i="15"/>
  <c r="L1107" i="15" s="1"/>
  <c r="G1106" i="15"/>
  <c r="L1106" i="15" s="1"/>
  <c r="G1105" i="15"/>
  <c r="L1105" i="15" s="1"/>
  <c r="G1104" i="15"/>
  <c r="L1104" i="15" s="1"/>
  <c r="G1103" i="15"/>
  <c r="L1103" i="15" s="1"/>
  <c r="G1102" i="15"/>
  <c r="L1102" i="15" s="1"/>
  <c r="G1101" i="15"/>
  <c r="L1101" i="15" s="1"/>
  <c r="G1100" i="15"/>
  <c r="G1099" i="15"/>
  <c r="L1099" i="15" s="1"/>
  <c r="G1098" i="15"/>
  <c r="L1098" i="15" s="1"/>
  <c r="G1097" i="15"/>
  <c r="L1097" i="15" s="1"/>
  <c r="G1096" i="15"/>
  <c r="G1095" i="15"/>
  <c r="G1094" i="15"/>
  <c r="L1094" i="15" s="1"/>
  <c r="G1093" i="15"/>
  <c r="L1093" i="15" s="1"/>
  <c r="G1092" i="15"/>
  <c r="L1092" i="15" s="1"/>
  <c r="G1091" i="15"/>
  <c r="L1091" i="15" s="1"/>
  <c r="G1090" i="15"/>
  <c r="G1089" i="15"/>
  <c r="L1089" i="15" s="1"/>
  <c r="G1088" i="15"/>
  <c r="G1087" i="15"/>
  <c r="L1087" i="15" s="1"/>
  <c r="G1086" i="15"/>
  <c r="L1086" i="15" s="1"/>
  <c r="G1085" i="15"/>
  <c r="L1085" i="15" s="1"/>
  <c r="G1084" i="15"/>
  <c r="L1084" i="15" s="1"/>
  <c r="G1083" i="15"/>
  <c r="L1083" i="15" s="1"/>
  <c r="G1082" i="15"/>
  <c r="L1082" i="15" s="1"/>
  <c r="G1081" i="15"/>
  <c r="L1081" i="15" s="1"/>
  <c r="G1080" i="15"/>
  <c r="L1080" i="15" s="1"/>
  <c r="G1079" i="15"/>
  <c r="L1079" i="15" s="1"/>
  <c r="G1078" i="15"/>
  <c r="L1078" i="15" s="1"/>
  <c r="G1077" i="15"/>
  <c r="L1077" i="15" s="1"/>
  <c r="G1076" i="15"/>
  <c r="G1075" i="15"/>
  <c r="L1075" i="15" s="1"/>
  <c r="G1074" i="15"/>
  <c r="L1074" i="15" s="1"/>
  <c r="G1073" i="15"/>
  <c r="L1073" i="15" s="1"/>
  <c r="G1072" i="15"/>
  <c r="L1072" i="15" s="1"/>
  <c r="G1071" i="15"/>
  <c r="L1071" i="15" s="1"/>
  <c r="G1070" i="15"/>
  <c r="L1070" i="15" s="1"/>
  <c r="G1069" i="15"/>
  <c r="L1069" i="15" s="1"/>
  <c r="G1068" i="15"/>
  <c r="L1068" i="15" s="1"/>
  <c r="G1067" i="15"/>
  <c r="L1067" i="15" s="1"/>
  <c r="G1066" i="15"/>
  <c r="G1065" i="15"/>
  <c r="G1064" i="15"/>
  <c r="G1063" i="15"/>
  <c r="L1063" i="15" s="1"/>
  <c r="G1062" i="15"/>
  <c r="L1062" i="15" s="1"/>
  <c r="G1061" i="15"/>
  <c r="L1061" i="15" s="1"/>
  <c r="G1060" i="15"/>
  <c r="L1060" i="15" s="1"/>
  <c r="G1059" i="15"/>
  <c r="L1059" i="15" s="1"/>
  <c r="G1058" i="15"/>
  <c r="L1058" i="15" s="1"/>
  <c r="G1057" i="15"/>
  <c r="L1057" i="15" s="1"/>
  <c r="G1056" i="15"/>
  <c r="L1056" i="15" s="1"/>
  <c r="G1055" i="15"/>
  <c r="L1055" i="15" s="1"/>
  <c r="G1054" i="15"/>
  <c r="L1054" i="15" s="1"/>
  <c r="G1053" i="15"/>
  <c r="L1053" i="15" s="1"/>
  <c r="G1052" i="15"/>
  <c r="L1052" i="15" s="1"/>
  <c r="G1051" i="15"/>
  <c r="L1051" i="15" s="1"/>
  <c r="G1050" i="15"/>
  <c r="L1050" i="15" s="1"/>
  <c r="G1049" i="15"/>
  <c r="L1049" i="15" s="1"/>
  <c r="G1048" i="15"/>
  <c r="L1048" i="15" s="1"/>
  <c r="G1047" i="15"/>
  <c r="L1047" i="15" s="1"/>
  <c r="G1046" i="15"/>
  <c r="L1046" i="15" s="1"/>
  <c r="G1045" i="15"/>
  <c r="L1045" i="15" s="1"/>
  <c r="G1044" i="15"/>
  <c r="L1044" i="15" s="1"/>
  <c r="G1043" i="15"/>
  <c r="L1043" i="15" s="1"/>
  <c r="G1042" i="15"/>
  <c r="L1042" i="15" s="1"/>
  <c r="G1041" i="15"/>
  <c r="G1040" i="15"/>
  <c r="G1039" i="15"/>
  <c r="L1039" i="15" s="1"/>
  <c r="G1038" i="15"/>
  <c r="L1038" i="15" s="1"/>
  <c r="G1037" i="15"/>
  <c r="L1037" i="15" s="1"/>
  <c r="G1036" i="15"/>
  <c r="G1035" i="15"/>
  <c r="L1035" i="15" s="1"/>
  <c r="G1034" i="15"/>
  <c r="L1034" i="15" s="1"/>
  <c r="G1033" i="15"/>
  <c r="L1033" i="15" s="1"/>
  <c r="G1032" i="15"/>
  <c r="L1032" i="15" s="1"/>
  <c r="G1031" i="15"/>
  <c r="L1031" i="15" s="1"/>
  <c r="G1030" i="15"/>
  <c r="L1030" i="15" s="1"/>
  <c r="G1029" i="15"/>
  <c r="G1028" i="15"/>
  <c r="L1028" i="15" s="1"/>
  <c r="G1027" i="15"/>
  <c r="L1027" i="15" s="1"/>
  <c r="G1026" i="15"/>
  <c r="L1026" i="15" s="1"/>
  <c r="G1025" i="15"/>
  <c r="L1025" i="15" s="1"/>
  <c r="G1024" i="15"/>
  <c r="L1024" i="15" s="1"/>
  <c r="G1023" i="15"/>
  <c r="L1023" i="15" s="1"/>
  <c r="G1022" i="15"/>
  <c r="L1022" i="15" s="1"/>
  <c r="G1021" i="15"/>
  <c r="L1021" i="15" s="1"/>
  <c r="G1020" i="15"/>
  <c r="L1020" i="15" s="1"/>
  <c r="G1019" i="15"/>
  <c r="L1019" i="15" s="1"/>
  <c r="G1018" i="15"/>
  <c r="L1018" i="15" s="1"/>
  <c r="G1017" i="15"/>
  <c r="L1017" i="15" s="1"/>
  <c r="G1016" i="15"/>
  <c r="L1016" i="15" s="1"/>
  <c r="G1015" i="15"/>
  <c r="L1015" i="15" s="1"/>
  <c r="G1014" i="15"/>
  <c r="L1014" i="15" s="1"/>
  <c r="G1013" i="15"/>
  <c r="L1013" i="15" s="1"/>
  <c r="G1012" i="15"/>
  <c r="L1012" i="15" s="1"/>
  <c r="G1011" i="15"/>
  <c r="L1011" i="15" s="1"/>
  <c r="G1010" i="15"/>
  <c r="L1010" i="15" s="1"/>
  <c r="G1009" i="15"/>
  <c r="L1009" i="15" s="1"/>
  <c r="G1008" i="15"/>
  <c r="L1008" i="15" s="1"/>
  <c r="G1007" i="15"/>
  <c r="L1007" i="15" s="1"/>
  <c r="G1006" i="15"/>
  <c r="G1005" i="15"/>
  <c r="G1004" i="15"/>
  <c r="L1004" i="15" s="1"/>
  <c r="G1003" i="15"/>
  <c r="L1003" i="15" s="1"/>
  <c r="G1002" i="15"/>
  <c r="L1002" i="15" s="1"/>
  <c r="G1001" i="15"/>
  <c r="L1001" i="15" s="1"/>
  <c r="G1000" i="15"/>
  <c r="L1000" i="15" s="1"/>
  <c r="G999" i="15"/>
  <c r="L999" i="15" s="1"/>
  <c r="G998" i="15"/>
  <c r="L998" i="15" s="1"/>
  <c r="G997" i="15"/>
  <c r="L997" i="15" s="1"/>
  <c r="G996" i="15"/>
  <c r="L996" i="15" s="1"/>
  <c r="G995" i="15"/>
  <c r="L995" i="15" s="1"/>
  <c r="G994" i="15"/>
  <c r="L994" i="15" s="1"/>
  <c r="G993" i="15"/>
  <c r="L993" i="15" s="1"/>
  <c r="G992" i="15"/>
  <c r="L992" i="15" s="1"/>
  <c r="G991" i="15"/>
  <c r="L991" i="15" s="1"/>
  <c r="G990" i="15"/>
  <c r="L990" i="15" s="1"/>
  <c r="G989" i="15"/>
  <c r="L989" i="15" s="1"/>
  <c r="G988" i="15"/>
  <c r="L988" i="15" s="1"/>
  <c r="G987" i="15"/>
  <c r="L987" i="15" s="1"/>
  <c r="G986" i="15"/>
  <c r="L986" i="15" s="1"/>
  <c r="G985" i="15"/>
  <c r="L985" i="15" s="1"/>
  <c r="G984" i="15"/>
  <c r="L984" i="15" s="1"/>
  <c r="G983" i="15"/>
  <c r="L983" i="15" s="1"/>
  <c r="G982" i="15"/>
  <c r="G981" i="15"/>
  <c r="G980" i="15"/>
  <c r="G979" i="15"/>
  <c r="L979" i="15" s="1"/>
  <c r="G978" i="15"/>
  <c r="L978" i="15" s="1"/>
  <c r="G977" i="15"/>
  <c r="L977" i="15" s="1"/>
  <c r="G976" i="15"/>
  <c r="L976" i="15" s="1"/>
  <c r="G975" i="15"/>
  <c r="L975" i="15" s="1"/>
  <c r="G974" i="15"/>
  <c r="L974" i="15" s="1"/>
  <c r="G973" i="15"/>
  <c r="L973" i="15" s="1"/>
  <c r="G972" i="15"/>
  <c r="L972" i="15" s="1"/>
  <c r="G971" i="15"/>
  <c r="L971" i="15" s="1"/>
  <c r="G970" i="15"/>
  <c r="G969" i="15"/>
  <c r="L969" i="15" s="1"/>
  <c r="G968" i="15"/>
  <c r="G967" i="15"/>
  <c r="L967" i="15" s="1"/>
  <c r="G966" i="15"/>
  <c r="L966" i="15" s="1"/>
  <c r="G965" i="15"/>
  <c r="L965" i="15" s="1"/>
  <c r="G964" i="15"/>
  <c r="L964" i="15" s="1"/>
  <c r="G963" i="15"/>
  <c r="L963" i="15" s="1"/>
  <c r="G962" i="15"/>
  <c r="L962" i="15" s="1"/>
  <c r="G961" i="15"/>
  <c r="L961" i="15" s="1"/>
  <c r="G960" i="15"/>
  <c r="L960" i="15" s="1"/>
  <c r="G959" i="15"/>
  <c r="L959" i="15" s="1"/>
  <c r="G958" i="15"/>
  <c r="L958" i="15" s="1"/>
  <c r="G957" i="15"/>
  <c r="L957" i="15" s="1"/>
  <c r="G956" i="15"/>
  <c r="G955" i="15"/>
  <c r="L955" i="15" s="1"/>
  <c r="G954" i="15"/>
  <c r="L954" i="15" s="1"/>
  <c r="G953" i="15"/>
  <c r="L953" i="15" s="1"/>
  <c r="G952" i="15"/>
  <c r="G951" i="15"/>
  <c r="G950" i="15"/>
  <c r="L950" i="15" s="1"/>
  <c r="G949" i="15"/>
  <c r="L949" i="15" s="1"/>
  <c r="G948" i="15"/>
  <c r="L948" i="15" s="1"/>
  <c r="G947" i="15"/>
  <c r="L947" i="15" s="1"/>
  <c r="G946" i="15"/>
  <c r="G945" i="15"/>
  <c r="L945" i="15" s="1"/>
  <c r="G944" i="15"/>
  <c r="G943" i="15"/>
  <c r="L943" i="15" s="1"/>
  <c r="G942" i="15"/>
  <c r="L942" i="15" s="1"/>
  <c r="G941" i="15"/>
  <c r="L941" i="15" s="1"/>
  <c r="G940" i="15"/>
  <c r="L940" i="15" s="1"/>
  <c r="G939" i="15"/>
  <c r="L939" i="15" s="1"/>
  <c r="G938" i="15"/>
  <c r="L938" i="15" s="1"/>
  <c r="G937" i="15"/>
  <c r="L937" i="15" s="1"/>
  <c r="G936" i="15"/>
  <c r="L936" i="15" s="1"/>
  <c r="G935" i="15"/>
  <c r="L935" i="15" s="1"/>
  <c r="G934" i="15"/>
  <c r="L934" i="15" s="1"/>
  <c r="G933" i="15"/>
  <c r="L933" i="15" s="1"/>
  <c r="G932" i="15"/>
  <c r="G931" i="15"/>
  <c r="L931" i="15" s="1"/>
  <c r="G930" i="15"/>
  <c r="L930" i="15" s="1"/>
  <c r="G929" i="15"/>
  <c r="L929" i="15" s="1"/>
  <c r="G928" i="15"/>
  <c r="L928" i="15" s="1"/>
  <c r="G927" i="15"/>
  <c r="L927" i="15" s="1"/>
  <c r="G926" i="15"/>
  <c r="L926" i="15" s="1"/>
  <c r="G925" i="15"/>
  <c r="L925" i="15" s="1"/>
  <c r="G924" i="15"/>
  <c r="L924" i="15" s="1"/>
  <c r="G923" i="15"/>
  <c r="L923" i="15" s="1"/>
  <c r="G922" i="15"/>
  <c r="G921" i="15"/>
  <c r="G920" i="15"/>
  <c r="G919" i="15"/>
  <c r="L919" i="15" s="1"/>
  <c r="G918" i="15"/>
  <c r="L918" i="15" s="1"/>
  <c r="G917" i="15"/>
  <c r="L917" i="15" s="1"/>
  <c r="G916" i="15"/>
  <c r="L916" i="15" s="1"/>
  <c r="G915" i="15"/>
  <c r="L915" i="15" s="1"/>
  <c r="G914" i="15"/>
  <c r="L914" i="15" s="1"/>
  <c r="G913" i="15"/>
  <c r="L913" i="15" s="1"/>
  <c r="G912" i="15"/>
  <c r="L912" i="15" s="1"/>
  <c r="G911" i="15"/>
  <c r="L911" i="15" s="1"/>
  <c r="G910" i="15"/>
  <c r="L910" i="15" s="1"/>
  <c r="G909" i="15"/>
  <c r="L909" i="15" s="1"/>
  <c r="G908" i="15"/>
  <c r="L908" i="15" s="1"/>
  <c r="G907" i="15"/>
  <c r="L907" i="15" s="1"/>
  <c r="G906" i="15"/>
  <c r="L906" i="15" s="1"/>
  <c r="G905" i="15"/>
  <c r="L905" i="15" s="1"/>
  <c r="G904" i="15"/>
  <c r="L904" i="15" s="1"/>
  <c r="G903" i="15"/>
  <c r="L903" i="15" s="1"/>
  <c r="G902" i="15"/>
  <c r="L902" i="15" s="1"/>
  <c r="G901" i="15"/>
  <c r="L901" i="15" s="1"/>
  <c r="G900" i="15"/>
  <c r="L900" i="15" s="1"/>
  <c r="G899" i="15"/>
  <c r="L899" i="15" s="1"/>
  <c r="G898" i="15"/>
  <c r="L898" i="15" s="1"/>
  <c r="G897" i="15"/>
  <c r="G896" i="15"/>
  <c r="G895" i="15"/>
  <c r="L895" i="15" s="1"/>
  <c r="G894" i="15"/>
  <c r="L894" i="15" s="1"/>
  <c r="G893" i="15"/>
  <c r="L893" i="15" s="1"/>
  <c r="G892" i="15"/>
  <c r="G891" i="15"/>
  <c r="L891" i="15" s="1"/>
  <c r="G890" i="15"/>
  <c r="L890" i="15" s="1"/>
  <c r="G889" i="15"/>
  <c r="L889" i="15" s="1"/>
  <c r="G888" i="15"/>
  <c r="L888" i="15" s="1"/>
  <c r="G887" i="15"/>
  <c r="L887" i="15" s="1"/>
  <c r="G886" i="15"/>
  <c r="L886" i="15" s="1"/>
  <c r="G885" i="15"/>
  <c r="G884" i="15"/>
  <c r="L884" i="15" s="1"/>
  <c r="G883" i="15"/>
  <c r="L883" i="15" s="1"/>
  <c r="G882" i="15"/>
  <c r="L882" i="15" s="1"/>
  <c r="G881" i="15"/>
  <c r="L881" i="15" s="1"/>
  <c r="G880" i="15"/>
  <c r="L880" i="15" s="1"/>
  <c r="G879" i="15"/>
  <c r="L879" i="15" s="1"/>
  <c r="G878" i="15"/>
  <c r="L878" i="15" s="1"/>
  <c r="G877" i="15"/>
  <c r="L877" i="15" s="1"/>
  <c r="G876" i="15"/>
  <c r="L876" i="15" s="1"/>
  <c r="G875" i="15"/>
  <c r="L875" i="15" s="1"/>
  <c r="G874" i="15"/>
  <c r="L874" i="15" s="1"/>
  <c r="G873" i="15"/>
  <c r="L873" i="15" s="1"/>
  <c r="G872" i="15"/>
  <c r="L872" i="15" s="1"/>
  <c r="G871" i="15"/>
  <c r="L871" i="15" s="1"/>
  <c r="G870" i="15"/>
  <c r="L870" i="15" s="1"/>
  <c r="G869" i="15"/>
  <c r="L869" i="15" s="1"/>
  <c r="G868" i="15"/>
  <c r="L868" i="15" s="1"/>
  <c r="G867" i="15"/>
  <c r="L867" i="15" s="1"/>
  <c r="G866" i="15"/>
  <c r="L866" i="15" s="1"/>
  <c r="G865" i="15"/>
  <c r="L865" i="15" s="1"/>
  <c r="G864" i="15"/>
  <c r="L864" i="15" s="1"/>
  <c r="G863" i="15"/>
  <c r="L863" i="15" s="1"/>
  <c r="G862" i="15"/>
  <c r="G861" i="15"/>
  <c r="G860" i="15"/>
  <c r="L860" i="15" s="1"/>
  <c r="G859" i="15"/>
  <c r="L859" i="15" s="1"/>
  <c r="G858" i="15"/>
  <c r="L858" i="15" s="1"/>
  <c r="G857" i="15"/>
  <c r="L857" i="15" s="1"/>
  <c r="G856" i="15"/>
  <c r="L856" i="15" s="1"/>
  <c r="G855" i="15"/>
  <c r="L855" i="15" s="1"/>
  <c r="G854" i="15"/>
  <c r="L854" i="15" s="1"/>
  <c r="G853" i="15"/>
  <c r="L853" i="15" s="1"/>
  <c r="G852" i="15"/>
  <c r="L852" i="15" s="1"/>
  <c r="G851" i="15"/>
  <c r="L851" i="15" s="1"/>
  <c r="G850" i="15"/>
  <c r="L850" i="15" s="1"/>
  <c r="G849" i="15"/>
  <c r="L849" i="15" s="1"/>
  <c r="G848" i="15"/>
  <c r="L848" i="15" s="1"/>
  <c r="G847" i="15"/>
  <c r="L847" i="15" s="1"/>
  <c r="G846" i="15"/>
  <c r="L846" i="15" s="1"/>
  <c r="G845" i="15"/>
  <c r="L845" i="15" s="1"/>
  <c r="G844" i="15"/>
  <c r="L844" i="15" s="1"/>
  <c r="G843" i="15"/>
  <c r="L843" i="15" s="1"/>
  <c r="G842" i="15"/>
  <c r="L842" i="15" s="1"/>
  <c r="G841" i="15"/>
  <c r="L841" i="15" s="1"/>
  <c r="G840" i="15"/>
  <c r="L840" i="15" s="1"/>
  <c r="G839" i="15"/>
  <c r="L839" i="15" s="1"/>
  <c r="G838" i="15"/>
  <c r="G837" i="15"/>
  <c r="G836" i="15"/>
  <c r="G835" i="15"/>
  <c r="L835" i="15" s="1"/>
  <c r="G834" i="15"/>
  <c r="L834" i="15" s="1"/>
  <c r="G833" i="15"/>
  <c r="L833" i="15" s="1"/>
  <c r="G832" i="15"/>
  <c r="L832" i="15" s="1"/>
  <c r="G831" i="15"/>
  <c r="L831" i="15" s="1"/>
  <c r="G830" i="15"/>
  <c r="L830" i="15" s="1"/>
  <c r="G829" i="15"/>
  <c r="L829" i="15" s="1"/>
  <c r="G828" i="15"/>
  <c r="L828" i="15" s="1"/>
  <c r="G827" i="15"/>
  <c r="L827" i="15" s="1"/>
  <c r="G826" i="15"/>
  <c r="G825" i="15"/>
  <c r="L825" i="15" s="1"/>
  <c r="G824" i="15"/>
  <c r="L824" i="15" s="1"/>
  <c r="G823" i="15"/>
  <c r="L823" i="15" s="1"/>
  <c r="G822" i="15"/>
  <c r="L822" i="15" s="1"/>
  <c r="G821" i="15"/>
  <c r="L821" i="15" s="1"/>
  <c r="G820" i="15"/>
  <c r="L820" i="15" s="1"/>
  <c r="G819" i="15"/>
  <c r="L819" i="15" s="1"/>
  <c r="G818" i="15"/>
  <c r="L818" i="15" s="1"/>
  <c r="G817" i="15"/>
  <c r="L817" i="15" s="1"/>
  <c r="G816" i="15"/>
  <c r="L816" i="15" s="1"/>
  <c r="G815" i="15"/>
  <c r="L815" i="15" s="1"/>
  <c r="G814" i="15"/>
  <c r="L814" i="15" s="1"/>
  <c r="G813" i="15"/>
  <c r="L813" i="15" s="1"/>
  <c r="G812" i="15"/>
  <c r="G811" i="15"/>
  <c r="L811" i="15" s="1"/>
  <c r="G810" i="15"/>
  <c r="L810" i="15" s="1"/>
  <c r="G809" i="15"/>
  <c r="L809" i="15" s="1"/>
  <c r="G808" i="15"/>
  <c r="G807" i="15"/>
  <c r="G806" i="15"/>
  <c r="L806" i="15" s="1"/>
  <c r="G805" i="15"/>
  <c r="L805" i="15" s="1"/>
  <c r="G804" i="15"/>
  <c r="L804" i="15" s="1"/>
  <c r="G803" i="15"/>
  <c r="L803" i="15" s="1"/>
  <c r="G802" i="15"/>
  <c r="G801" i="15"/>
  <c r="L801" i="15" s="1"/>
  <c r="G800" i="15"/>
  <c r="G799" i="15"/>
  <c r="L799" i="15" s="1"/>
  <c r="G798" i="15"/>
  <c r="L798" i="15" s="1"/>
  <c r="G797" i="15"/>
  <c r="L797" i="15" s="1"/>
  <c r="G796" i="15"/>
  <c r="L796" i="15" s="1"/>
  <c r="G795" i="15"/>
  <c r="L795" i="15" s="1"/>
  <c r="G794" i="15"/>
  <c r="L794" i="15" s="1"/>
  <c r="G793" i="15"/>
  <c r="L793" i="15" s="1"/>
  <c r="G792" i="15"/>
  <c r="L792" i="15" s="1"/>
  <c r="G791" i="15"/>
  <c r="L791" i="15" s="1"/>
  <c r="G790" i="15"/>
  <c r="L790" i="15" s="1"/>
  <c r="G789" i="15"/>
  <c r="L789" i="15" s="1"/>
  <c r="G788" i="15"/>
  <c r="G787" i="15"/>
  <c r="L787" i="15" s="1"/>
  <c r="G786" i="15"/>
  <c r="L786" i="15" s="1"/>
  <c r="G785" i="15"/>
  <c r="L785" i="15" s="1"/>
  <c r="G784" i="15"/>
  <c r="L784" i="15" s="1"/>
  <c r="G783" i="15"/>
  <c r="L783" i="15" s="1"/>
  <c r="G782" i="15"/>
  <c r="L782" i="15" s="1"/>
  <c r="G781" i="15"/>
  <c r="L781" i="15" s="1"/>
  <c r="G780" i="15"/>
  <c r="L780" i="15" s="1"/>
  <c r="G779" i="15"/>
  <c r="L779" i="15" s="1"/>
  <c r="G778" i="15"/>
  <c r="G777" i="15"/>
  <c r="G776" i="15"/>
  <c r="G775" i="15"/>
  <c r="L775" i="15" s="1"/>
  <c r="G774" i="15"/>
  <c r="L774" i="15" s="1"/>
  <c r="G773" i="15"/>
  <c r="L773" i="15" s="1"/>
  <c r="G772" i="15"/>
  <c r="L772" i="15" s="1"/>
  <c r="G771" i="15"/>
  <c r="L771" i="15" s="1"/>
  <c r="G770" i="15"/>
  <c r="L770" i="15" s="1"/>
  <c r="G769" i="15"/>
  <c r="L769" i="15" s="1"/>
  <c r="G768" i="15"/>
  <c r="L768" i="15" s="1"/>
  <c r="G767" i="15"/>
  <c r="L767" i="15" s="1"/>
  <c r="G766" i="15"/>
  <c r="L766" i="15" s="1"/>
  <c r="G765" i="15"/>
  <c r="L765" i="15" s="1"/>
  <c r="G764" i="15"/>
  <c r="L764" i="15" s="1"/>
  <c r="G763" i="15"/>
  <c r="L763" i="15" s="1"/>
  <c r="G762" i="15"/>
  <c r="L762" i="15" s="1"/>
  <c r="G761" i="15"/>
  <c r="L761" i="15" s="1"/>
  <c r="G760" i="15"/>
  <c r="L760" i="15" s="1"/>
  <c r="G759" i="15"/>
  <c r="L759" i="15" s="1"/>
  <c r="G758" i="15"/>
  <c r="L758" i="15" s="1"/>
  <c r="G757" i="15"/>
  <c r="L757" i="15" s="1"/>
  <c r="G756" i="15"/>
  <c r="L756" i="15" s="1"/>
  <c r="G755" i="15"/>
  <c r="L755" i="15" s="1"/>
  <c r="G754" i="15"/>
  <c r="L754" i="15" s="1"/>
  <c r="G753" i="15"/>
  <c r="G752" i="15"/>
  <c r="G751" i="15"/>
  <c r="L751" i="15" s="1"/>
  <c r="G750" i="15"/>
  <c r="L750" i="15" s="1"/>
  <c r="G749" i="15"/>
  <c r="L749" i="15" s="1"/>
  <c r="G748" i="15"/>
  <c r="G747" i="15"/>
  <c r="L747" i="15" s="1"/>
  <c r="G746" i="15"/>
  <c r="L746" i="15" s="1"/>
  <c r="G745" i="15"/>
  <c r="L745" i="15" s="1"/>
  <c r="G744" i="15"/>
  <c r="L744" i="15" s="1"/>
  <c r="G743" i="15"/>
  <c r="L743" i="15" s="1"/>
  <c r="G742" i="15"/>
  <c r="L742" i="15" s="1"/>
  <c r="G741" i="15"/>
  <c r="G740" i="15"/>
  <c r="L740" i="15" s="1"/>
  <c r="G739" i="15"/>
  <c r="L739" i="15" s="1"/>
  <c r="G738" i="15"/>
  <c r="L738" i="15" s="1"/>
  <c r="G737" i="15"/>
  <c r="L737" i="15" s="1"/>
  <c r="G736" i="15"/>
  <c r="L736" i="15" s="1"/>
  <c r="G735" i="15"/>
  <c r="L735" i="15" s="1"/>
  <c r="G734" i="15"/>
  <c r="L734" i="15" s="1"/>
  <c r="G733" i="15"/>
  <c r="L733" i="15" s="1"/>
  <c r="G732" i="15"/>
  <c r="L732" i="15" s="1"/>
  <c r="G731" i="15"/>
  <c r="L731" i="15" s="1"/>
  <c r="G730" i="15"/>
  <c r="L730" i="15" s="1"/>
  <c r="G729" i="15"/>
  <c r="L729" i="15" s="1"/>
  <c r="G728" i="15"/>
  <c r="L728" i="15" s="1"/>
  <c r="G727" i="15"/>
  <c r="L727" i="15" s="1"/>
  <c r="G726" i="15"/>
  <c r="L726" i="15" s="1"/>
  <c r="G725" i="15"/>
  <c r="L725" i="15" s="1"/>
  <c r="G724" i="15"/>
  <c r="L724" i="15" s="1"/>
  <c r="G723" i="15"/>
  <c r="L723" i="15" s="1"/>
  <c r="G722" i="15"/>
  <c r="L722" i="15" s="1"/>
  <c r="G721" i="15"/>
  <c r="L721" i="15" s="1"/>
  <c r="G720" i="15"/>
  <c r="L720" i="15" s="1"/>
  <c r="G719" i="15"/>
  <c r="L719" i="15" s="1"/>
  <c r="G718" i="15"/>
  <c r="G717" i="15"/>
  <c r="G716" i="15"/>
  <c r="L716" i="15" s="1"/>
  <c r="G715" i="15"/>
  <c r="L715" i="15" s="1"/>
  <c r="G714" i="15"/>
  <c r="L714" i="15" s="1"/>
  <c r="G713" i="15"/>
  <c r="L713" i="15" s="1"/>
  <c r="G712" i="15"/>
  <c r="L712" i="15" s="1"/>
  <c r="G711" i="15"/>
  <c r="L711" i="15" s="1"/>
  <c r="G710" i="15"/>
  <c r="L710" i="15" s="1"/>
  <c r="G709" i="15"/>
  <c r="L709" i="15" s="1"/>
  <c r="G708" i="15"/>
  <c r="L708" i="15" s="1"/>
  <c r="G707" i="15"/>
  <c r="L707" i="15" s="1"/>
  <c r="G706" i="15"/>
  <c r="L706" i="15" s="1"/>
  <c r="G705" i="15"/>
  <c r="L705" i="15" s="1"/>
  <c r="G704" i="15"/>
  <c r="L704" i="15" s="1"/>
  <c r="G703" i="15"/>
  <c r="L703" i="15" s="1"/>
  <c r="G702" i="15"/>
  <c r="L702" i="15" s="1"/>
  <c r="G701" i="15"/>
  <c r="L701" i="15" s="1"/>
  <c r="G700" i="15"/>
  <c r="L700" i="15" s="1"/>
  <c r="G699" i="15"/>
  <c r="L699" i="15" s="1"/>
  <c r="G698" i="15"/>
  <c r="L698" i="15" s="1"/>
  <c r="G697" i="15"/>
  <c r="L697" i="15" s="1"/>
  <c r="G696" i="15"/>
  <c r="L696" i="15" s="1"/>
  <c r="G695" i="15"/>
  <c r="L695" i="15" s="1"/>
  <c r="G694" i="15"/>
  <c r="G693" i="15"/>
  <c r="G692" i="15"/>
  <c r="G691" i="15"/>
  <c r="L691" i="15" s="1"/>
  <c r="G690" i="15"/>
  <c r="L690" i="15" s="1"/>
  <c r="G689" i="15"/>
  <c r="L689" i="15" s="1"/>
  <c r="G688" i="15"/>
  <c r="L688" i="15" s="1"/>
  <c r="G687" i="15"/>
  <c r="L687" i="15" s="1"/>
  <c r="G686" i="15"/>
  <c r="L686" i="15" s="1"/>
  <c r="G685" i="15"/>
  <c r="L685" i="15" s="1"/>
  <c r="G684" i="15"/>
  <c r="L684" i="15" s="1"/>
  <c r="G683" i="15"/>
  <c r="L683" i="15" s="1"/>
  <c r="G682" i="15"/>
  <c r="G681" i="15"/>
  <c r="L681" i="15" s="1"/>
  <c r="G680" i="15"/>
  <c r="L680" i="15" s="1"/>
  <c r="G679" i="15"/>
  <c r="L679" i="15" s="1"/>
  <c r="G678" i="15"/>
  <c r="L678" i="15" s="1"/>
  <c r="G677" i="15"/>
  <c r="L677" i="15" s="1"/>
  <c r="G676" i="15"/>
  <c r="L676" i="15" s="1"/>
  <c r="G675" i="15"/>
  <c r="L675" i="15" s="1"/>
  <c r="G674" i="15"/>
  <c r="L674" i="15" s="1"/>
  <c r="G673" i="15"/>
  <c r="L673" i="15" s="1"/>
  <c r="G672" i="15"/>
  <c r="L672" i="15" s="1"/>
  <c r="G671" i="15"/>
  <c r="L671" i="15" s="1"/>
  <c r="G670" i="15"/>
  <c r="L670" i="15" s="1"/>
  <c r="G669" i="15"/>
  <c r="L669" i="15" s="1"/>
  <c r="G668" i="15"/>
  <c r="G667" i="15"/>
  <c r="L667" i="15" s="1"/>
  <c r="G666" i="15"/>
  <c r="L666" i="15" s="1"/>
  <c r="G665" i="15"/>
  <c r="L665" i="15" s="1"/>
  <c r="G664" i="15"/>
  <c r="G663" i="15"/>
  <c r="G662" i="15"/>
  <c r="L662" i="15" s="1"/>
  <c r="G661" i="15"/>
  <c r="L661" i="15" s="1"/>
  <c r="G660" i="15"/>
  <c r="L660" i="15" s="1"/>
  <c r="G659" i="15"/>
  <c r="L659" i="15" s="1"/>
  <c r="G658" i="15"/>
  <c r="G657" i="15"/>
  <c r="L657" i="15" s="1"/>
  <c r="G656" i="15"/>
  <c r="G655" i="15"/>
  <c r="L655" i="15" s="1"/>
  <c r="G654" i="15"/>
  <c r="L654" i="15" s="1"/>
  <c r="G653" i="15"/>
  <c r="L653" i="15" s="1"/>
  <c r="G652" i="15"/>
  <c r="L652" i="15" s="1"/>
  <c r="G651" i="15"/>
  <c r="L651" i="15" s="1"/>
  <c r="G650" i="15"/>
  <c r="L650" i="15" s="1"/>
  <c r="G649" i="15"/>
  <c r="L649" i="15" s="1"/>
  <c r="G648" i="15"/>
  <c r="L648" i="15" s="1"/>
  <c r="G647" i="15"/>
  <c r="L647" i="15" s="1"/>
  <c r="G646" i="15"/>
  <c r="L646" i="15" s="1"/>
  <c r="G645" i="15"/>
  <c r="L645" i="15" s="1"/>
  <c r="G644" i="15"/>
  <c r="L644" i="15" s="1"/>
  <c r="G643" i="15"/>
  <c r="L643" i="15" s="1"/>
  <c r="G642" i="15"/>
  <c r="L642" i="15" s="1"/>
  <c r="G641" i="15"/>
  <c r="L641" i="15" s="1"/>
  <c r="G640" i="15"/>
  <c r="L640" i="15" s="1"/>
  <c r="G639" i="15"/>
  <c r="L639" i="15" s="1"/>
  <c r="G638" i="15"/>
  <c r="L638" i="15" s="1"/>
  <c r="G637" i="15"/>
  <c r="L637" i="15" s="1"/>
  <c r="G636" i="15"/>
  <c r="L636" i="15" s="1"/>
  <c r="G635" i="15"/>
  <c r="L635" i="15" s="1"/>
  <c r="G634" i="15"/>
  <c r="G633" i="15"/>
  <c r="G632" i="15"/>
  <c r="G631" i="15"/>
  <c r="L631" i="15" s="1"/>
  <c r="G630" i="15"/>
  <c r="L630" i="15" s="1"/>
  <c r="G629" i="15"/>
  <c r="L629" i="15" s="1"/>
  <c r="G628" i="15"/>
  <c r="L628" i="15" s="1"/>
  <c r="G627" i="15"/>
  <c r="L627" i="15" s="1"/>
  <c r="G626" i="15"/>
  <c r="L626" i="15" s="1"/>
  <c r="G625" i="15"/>
  <c r="L625" i="15" s="1"/>
  <c r="G624" i="15"/>
  <c r="L624" i="15" s="1"/>
  <c r="G623" i="15"/>
  <c r="L623" i="15" s="1"/>
  <c r="G622" i="15"/>
  <c r="L622" i="15" s="1"/>
  <c r="G621" i="15"/>
  <c r="L621" i="15" s="1"/>
  <c r="G620" i="15"/>
  <c r="L620" i="15" s="1"/>
  <c r="G619" i="15"/>
  <c r="L619" i="15" s="1"/>
  <c r="G618" i="15"/>
  <c r="L618" i="15" s="1"/>
  <c r="G617" i="15"/>
  <c r="L617" i="15" s="1"/>
  <c r="G616" i="15"/>
  <c r="L616" i="15" s="1"/>
  <c r="G615" i="15"/>
  <c r="L615" i="15" s="1"/>
  <c r="G614" i="15"/>
  <c r="L614" i="15" s="1"/>
  <c r="G613" i="15"/>
  <c r="L613" i="15" s="1"/>
  <c r="G612" i="15"/>
  <c r="L612" i="15" s="1"/>
  <c r="G611" i="15"/>
  <c r="L611" i="15" s="1"/>
  <c r="G610" i="15"/>
  <c r="L610" i="15" s="1"/>
  <c r="G609" i="15"/>
  <c r="G608" i="15"/>
  <c r="G607" i="15"/>
  <c r="L607" i="15" s="1"/>
  <c r="G606" i="15"/>
  <c r="L606" i="15" s="1"/>
  <c r="G605" i="15"/>
  <c r="L605" i="15" s="1"/>
  <c r="G604" i="15"/>
  <c r="G603" i="15"/>
  <c r="L603" i="15" s="1"/>
  <c r="G602" i="15"/>
  <c r="L602" i="15" s="1"/>
  <c r="G601" i="15"/>
  <c r="L601" i="15" s="1"/>
  <c r="G600" i="15"/>
  <c r="L600" i="15" s="1"/>
  <c r="G599" i="15"/>
  <c r="L599" i="15" s="1"/>
  <c r="G598" i="15"/>
  <c r="L598" i="15" s="1"/>
  <c r="G597" i="15"/>
  <c r="G596" i="15"/>
  <c r="L596" i="15" s="1"/>
  <c r="G595" i="15"/>
  <c r="L595" i="15" s="1"/>
  <c r="G594" i="15"/>
  <c r="L594" i="15" s="1"/>
  <c r="G593" i="15"/>
  <c r="L593" i="15" s="1"/>
  <c r="G592" i="15"/>
  <c r="L592" i="15" s="1"/>
  <c r="G591" i="15"/>
  <c r="L591" i="15" s="1"/>
  <c r="G590" i="15"/>
  <c r="L590" i="15" s="1"/>
  <c r="G589" i="15"/>
  <c r="L589" i="15" s="1"/>
  <c r="G588" i="15"/>
  <c r="L588" i="15" s="1"/>
  <c r="G587" i="15"/>
  <c r="L587" i="15" s="1"/>
  <c r="G586" i="15"/>
  <c r="L586" i="15" s="1"/>
  <c r="G585" i="15"/>
  <c r="L585" i="15" s="1"/>
  <c r="G584" i="15"/>
  <c r="L584" i="15" s="1"/>
  <c r="G583" i="15"/>
  <c r="L583" i="15" s="1"/>
  <c r="G582" i="15"/>
  <c r="L582" i="15" s="1"/>
  <c r="G581" i="15"/>
  <c r="L581" i="15" s="1"/>
  <c r="G580" i="15"/>
  <c r="L580" i="15" s="1"/>
  <c r="G579" i="15"/>
  <c r="L579" i="15" s="1"/>
  <c r="G578" i="15"/>
  <c r="L578" i="15" s="1"/>
  <c r="G577" i="15"/>
  <c r="L577" i="15" s="1"/>
  <c r="G576" i="15"/>
  <c r="L576" i="15" s="1"/>
  <c r="G575" i="15"/>
  <c r="L575" i="15" s="1"/>
  <c r="G574" i="15"/>
  <c r="G573" i="15"/>
  <c r="G572" i="15"/>
  <c r="L572" i="15" s="1"/>
  <c r="G571" i="15"/>
  <c r="L571" i="15" s="1"/>
  <c r="G570" i="15"/>
  <c r="L570" i="15" s="1"/>
  <c r="G569" i="15"/>
  <c r="L569" i="15" s="1"/>
  <c r="G568" i="15"/>
  <c r="L568" i="15" s="1"/>
  <c r="G567" i="15"/>
  <c r="L567" i="15" s="1"/>
  <c r="G566" i="15"/>
  <c r="L566" i="15" s="1"/>
  <c r="G565" i="15"/>
  <c r="L565" i="15" s="1"/>
  <c r="G564" i="15"/>
  <c r="L564" i="15" s="1"/>
  <c r="G563" i="15"/>
  <c r="L563" i="15" s="1"/>
  <c r="G562" i="15"/>
  <c r="L562" i="15" s="1"/>
  <c r="G561" i="15"/>
  <c r="L561" i="15" s="1"/>
  <c r="G560" i="15"/>
  <c r="L560" i="15" s="1"/>
  <c r="G559" i="15"/>
  <c r="L559" i="15" s="1"/>
  <c r="G558" i="15"/>
  <c r="L558" i="15" s="1"/>
  <c r="G557" i="15"/>
  <c r="L557" i="15" s="1"/>
  <c r="G556" i="15"/>
  <c r="L556" i="15" s="1"/>
  <c r="G555" i="15"/>
  <c r="L555" i="15" s="1"/>
  <c r="G554" i="15"/>
  <c r="L554" i="15" s="1"/>
  <c r="G553" i="15"/>
  <c r="L553" i="15" s="1"/>
  <c r="G552" i="15"/>
  <c r="L552" i="15" s="1"/>
  <c r="G551" i="15"/>
  <c r="L551" i="15" s="1"/>
  <c r="G550" i="15"/>
  <c r="G549" i="15"/>
  <c r="G548" i="15"/>
  <c r="G547" i="15"/>
  <c r="L547" i="15" s="1"/>
  <c r="G546" i="15"/>
  <c r="L546" i="15" s="1"/>
  <c r="G545" i="15"/>
  <c r="L545" i="15" s="1"/>
  <c r="G544" i="15"/>
  <c r="L544" i="15" s="1"/>
  <c r="G543" i="15"/>
  <c r="L543" i="15" s="1"/>
  <c r="G542" i="15"/>
  <c r="L542" i="15" s="1"/>
  <c r="G541" i="15"/>
  <c r="L541" i="15" s="1"/>
  <c r="G540" i="15"/>
  <c r="L540" i="15" s="1"/>
  <c r="G539" i="15"/>
  <c r="L539" i="15" s="1"/>
  <c r="G538" i="15"/>
  <c r="G537" i="15"/>
  <c r="L537" i="15" s="1"/>
  <c r="G536" i="15"/>
  <c r="L536" i="15" s="1"/>
  <c r="G535" i="15"/>
  <c r="L535" i="15" s="1"/>
  <c r="G534" i="15"/>
  <c r="L534" i="15" s="1"/>
  <c r="G533" i="15"/>
  <c r="L533" i="15" s="1"/>
  <c r="G532" i="15"/>
  <c r="L532" i="15" s="1"/>
  <c r="G531" i="15"/>
  <c r="L531" i="15" s="1"/>
  <c r="G530" i="15"/>
  <c r="L530" i="15" s="1"/>
  <c r="G529" i="15"/>
  <c r="L529" i="15" s="1"/>
  <c r="G528" i="15"/>
  <c r="L528" i="15" s="1"/>
  <c r="G527" i="15"/>
  <c r="L527" i="15" s="1"/>
  <c r="G526" i="15"/>
  <c r="L526" i="15" s="1"/>
  <c r="G525" i="15"/>
  <c r="L525" i="15" s="1"/>
  <c r="G524" i="15"/>
  <c r="G523" i="15"/>
  <c r="L523" i="15" s="1"/>
  <c r="G522" i="15"/>
  <c r="L522" i="15" s="1"/>
  <c r="G521" i="15"/>
  <c r="L521" i="15" s="1"/>
  <c r="G520" i="15"/>
  <c r="G519" i="15"/>
  <c r="G518" i="15"/>
  <c r="L518" i="15" s="1"/>
  <c r="G517" i="15"/>
  <c r="L517" i="15" s="1"/>
  <c r="G516" i="15"/>
  <c r="L516" i="15" s="1"/>
  <c r="G515" i="15"/>
  <c r="L515" i="15" s="1"/>
  <c r="G514" i="15"/>
  <c r="G513" i="15"/>
  <c r="L513" i="15" s="1"/>
  <c r="G512" i="15"/>
  <c r="G511" i="15"/>
  <c r="L511" i="15" s="1"/>
  <c r="G510" i="15"/>
  <c r="L510" i="15" s="1"/>
  <c r="G509" i="15"/>
  <c r="L509" i="15" s="1"/>
  <c r="G508" i="15"/>
  <c r="L508" i="15" s="1"/>
  <c r="G507" i="15"/>
  <c r="L507" i="15" s="1"/>
  <c r="G506" i="15"/>
  <c r="L506" i="15" s="1"/>
  <c r="G505" i="15"/>
  <c r="L505" i="15" s="1"/>
  <c r="G504" i="15"/>
  <c r="L504" i="15" s="1"/>
  <c r="G503" i="15"/>
  <c r="L503" i="15" s="1"/>
  <c r="G502" i="15"/>
  <c r="L502" i="15" s="1"/>
  <c r="G501" i="15"/>
  <c r="L501" i="15" s="1"/>
  <c r="G500" i="15"/>
  <c r="L500" i="15" s="1"/>
  <c r="G499" i="15"/>
  <c r="L499" i="15" s="1"/>
  <c r="G498" i="15"/>
  <c r="L498" i="15" s="1"/>
  <c r="G497" i="15"/>
  <c r="L497" i="15" s="1"/>
  <c r="G496" i="15"/>
  <c r="L496" i="15" s="1"/>
  <c r="G495" i="15"/>
  <c r="L495" i="15" s="1"/>
  <c r="G494" i="15"/>
  <c r="L494" i="15" s="1"/>
  <c r="G493" i="15"/>
  <c r="L493" i="15" s="1"/>
  <c r="G492" i="15"/>
  <c r="L492" i="15" s="1"/>
  <c r="G491" i="15"/>
  <c r="L491" i="15" s="1"/>
  <c r="G490" i="15"/>
  <c r="G489" i="15"/>
  <c r="G488" i="15"/>
  <c r="G487" i="15"/>
  <c r="L487" i="15" s="1"/>
  <c r="G486" i="15"/>
  <c r="L486" i="15" s="1"/>
  <c r="G485" i="15"/>
  <c r="L485" i="15" s="1"/>
  <c r="G484" i="15"/>
  <c r="L484" i="15" s="1"/>
  <c r="G483" i="15"/>
  <c r="L483" i="15" s="1"/>
  <c r="G482" i="15"/>
  <c r="L482" i="15" s="1"/>
  <c r="G481" i="15"/>
  <c r="L481" i="15" s="1"/>
  <c r="G480" i="15"/>
  <c r="L480" i="15" s="1"/>
  <c r="G479" i="15"/>
  <c r="L479" i="15" s="1"/>
  <c r="G478" i="15"/>
  <c r="L478" i="15" s="1"/>
  <c r="G477" i="15"/>
  <c r="L477" i="15" s="1"/>
  <c r="G476" i="15"/>
  <c r="L476" i="15" s="1"/>
  <c r="G475" i="15"/>
  <c r="L475" i="15" s="1"/>
  <c r="G474" i="15"/>
  <c r="L474" i="15" s="1"/>
  <c r="G473" i="15"/>
  <c r="L473" i="15" s="1"/>
  <c r="G472" i="15"/>
  <c r="L472" i="15" s="1"/>
  <c r="G471" i="15"/>
  <c r="L471" i="15" s="1"/>
  <c r="G470" i="15"/>
  <c r="L470" i="15" s="1"/>
  <c r="G469" i="15"/>
  <c r="L469" i="15" s="1"/>
  <c r="G468" i="15"/>
  <c r="L468" i="15" s="1"/>
  <c r="G467" i="15"/>
  <c r="L467" i="15" s="1"/>
  <c r="G466" i="15"/>
  <c r="L466" i="15" s="1"/>
  <c r="G465" i="15"/>
  <c r="G464" i="15"/>
  <c r="G463" i="15"/>
  <c r="L463" i="15" s="1"/>
  <c r="G462" i="15"/>
  <c r="L462" i="15" s="1"/>
  <c r="G461" i="15"/>
  <c r="L461" i="15" s="1"/>
  <c r="G460" i="15"/>
  <c r="G459" i="15"/>
  <c r="L459" i="15" s="1"/>
  <c r="G458" i="15"/>
  <c r="L458" i="15" s="1"/>
  <c r="G457" i="15"/>
  <c r="L457" i="15" s="1"/>
  <c r="G456" i="15"/>
  <c r="L456" i="15" s="1"/>
  <c r="G455" i="15"/>
  <c r="L455" i="15" s="1"/>
  <c r="G454" i="15"/>
  <c r="L454" i="15" s="1"/>
  <c r="G453" i="15"/>
  <c r="G452" i="15"/>
  <c r="L452" i="15" s="1"/>
  <c r="G451" i="15"/>
  <c r="L451" i="15" s="1"/>
  <c r="G450" i="15"/>
  <c r="L450" i="15" s="1"/>
  <c r="G449" i="15"/>
  <c r="L449" i="15" s="1"/>
  <c r="G448" i="15"/>
  <c r="L448" i="15" s="1"/>
  <c r="G447" i="15"/>
  <c r="L447" i="15" s="1"/>
  <c r="G446" i="15"/>
  <c r="L446" i="15" s="1"/>
  <c r="G445" i="15"/>
  <c r="L445" i="15" s="1"/>
  <c r="G444" i="15"/>
  <c r="L444" i="15" s="1"/>
  <c r="G443" i="15"/>
  <c r="L443" i="15" s="1"/>
  <c r="G442" i="15"/>
  <c r="L442" i="15" s="1"/>
  <c r="G441" i="15"/>
  <c r="L441" i="15" s="1"/>
  <c r="G440" i="15"/>
  <c r="L440" i="15" s="1"/>
  <c r="G439" i="15"/>
  <c r="L439" i="15" s="1"/>
  <c r="G438" i="15"/>
  <c r="L438" i="15" s="1"/>
  <c r="G437" i="15"/>
  <c r="L437" i="15" s="1"/>
  <c r="G436" i="15"/>
  <c r="L436" i="15" s="1"/>
  <c r="G435" i="15"/>
  <c r="L435" i="15" s="1"/>
  <c r="G434" i="15"/>
  <c r="L434" i="15" s="1"/>
  <c r="G433" i="15"/>
  <c r="L433" i="15" s="1"/>
  <c r="G432" i="15"/>
  <c r="L432" i="15" s="1"/>
  <c r="G431" i="15"/>
  <c r="L431" i="15" s="1"/>
  <c r="G430" i="15"/>
  <c r="G429" i="15"/>
  <c r="L429" i="15" s="1"/>
  <c r="G428" i="15"/>
  <c r="L428" i="15" s="1"/>
  <c r="G427" i="15"/>
  <c r="L427" i="15" s="1"/>
  <c r="G426" i="15"/>
  <c r="L426" i="15" s="1"/>
  <c r="G425" i="15"/>
  <c r="L425" i="15" s="1"/>
  <c r="G424" i="15"/>
  <c r="L424" i="15" s="1"/>
  <c r="G423" i="15"/>
  <c r="L423" i="15" s="1"/>
  <c r="G422" i="15"/>
  <c r="L422" i="15" s="1"/>
  <c r="G421" i="15"/>
  <c r="L421" i="15" s="1"/>
  <c r="G420" i="15"/>
  <c r="L420" i="15" s="1"/>
  <c r="G419" i="15"/>
  <c r="L419" i="15" s="1"/>
  <c r="G418" i="15"/>
  <c r="L418" i="15" s="1"/>
  <c r="G417" i="15"/>
  <c r="L417" i="15" s="1"/>
  <c r="G416" i="15"/>
  <c r="L416" i="15" s="1"/>
  <c r="G415" i="15"/>
  <c r="L415" i="15" s="1"/>
  <c r="G414" i="15"/>
  <c r="L414" i="15" s="1"/>
  <c r="G413" i="15"/>
  <c r="L413" i="15" s="1"/>
  <c r="G412" i="15"/>
  <c r="L412" i="15" s="1"/>
  <c r="G411" i="15"/>
  <c r="L411" i="15" s="1"/>
  <c r="G410" i="15"/>
  <c r="L410" i="15" s="1"/>
  <c r="G409" i="15"/>
  <c r="L409" i="15" s="1"/>
  <c r="G408" i="15"/>
  <c r="L408" i="15" s="1"/>
  <c r="G407" i="15"/>
  <c r="L407" i="15" s="1"/>
  <c r="G406" i="15"/>
  <c r="G405" i="15"/>
  <c r="G404" i="15"/>
  <c r="G403" i="15"/>
  <c r="L403" i="15" s="1"/>
  <c r="G402" i="15"/>
  <c r="L402" i="15" s="1"/>
  <c r="G401" i="15"/>
  <c r="L401" i="15" s="1"/>
  <c r="G400" i="15"/>
  <c r="L400" i="15" s="1"/>
  <c r="G399" i="15"/>
  <c r="L399" i="15" s="1"/>
  <c r="G398" i="15"/>
  <c r="L398" i="15" s="1"/>
  <c r="G397" i="15"/>
  <c r="L397" i="15" s="1"/>
  <c r="G396" i="15"/>
  <c r="L396" i="15" s="1"/>
  <c r="G395" i="15"/>
  <c r="L395" i="15" s="1"/>
  <c r="G394" i="15"/>
  <c r="G393" i="15"/>
  <c r="L393" i="15" s="1"/>
  <c r="G392" i="15"/>
  <c r="L392" i="15" s="1"/>
  <c r="G391" i="15"/>
  <c r="L391" i="15" s="1"/>
  <c r="G390" i="15"/>
  <c r="L390" i="15" s="1"/>
  <c r="G389" i="15"/>
  <c r="L389" i="15" s="1"/>
  <c r="G388" i="15"/>
  <c r="L388" i="15" s="1"/>
  <c r="G387" i="15"/>
  <c r="L387" i="15" s="1"/>
  <c r="G386" i="15"/>
  <c r="L386" i="15" s="1"/>
  <c r="G385" i="15"/>
  <c r="L385" i="15" s="1"/>
  <c r="G384" i="15"/>
  <c r="L384" i="15" s="1"/>
  <c r="G383" i="15"/>
  <c r="L383" i="15" s="1"/>
  <c r="G382" i="15"/>
  <c r="L382" i="15" s="1"/>
  <c r="G381" i="15"/>
  <c r="L381" i="15" s="1"/>
  <c r="G380" i="15"/>
  <c r="G379" i="15"/>
  <c r="L379" i="15" s="1"/>
  <c r="G378" i="15"/>
  <c r="L378" i="15" s="1"/>
  <c r="G377" i="15"/>
  <c r="L377" i="15" s="1"/>
  <c r="G376" i="15"/>
  <c r="G375" i="15"/>
  <c r="G374" i="15"/>
  <c r="L374" i="15" s="1"/>
  <c r="G373" i="15"/>
  <c r="L373" i="15" s="1"/>
  <c r="G372" i="15"/>
  <c r="L372" i="15" s="1"/>
  <c r="G371" i="15"/>
  <c r="L371" i="15" s="1"/>
  <c r="G370" i="15"/>
  <c r="L370" i="15" s="1"/>
  <c r="G369" i="15"/>
  <c r="L369" i="15" s="1"/>
  <c r="G368" i="15"/>
  <c r="G367" i="15"/>
  <c r="L367" i="15" s="1"/>
  <c r="G366" i="15"/>
  <c r="L366" i="15" s="1"/>
  <c r="G365" i="15"/>
  <c r="L365" i="15" s="1"/>
  <c r="G364" i="15"/>
  <c r="L364" i="15" s="1"/>
  <c r="G363" i="15"/>
  <c r="L363" i="15" s="1"/>
  <c r="G362" i="15"/>
  <c r="L362" i="15" s="1"/>
  <c r="G361" i="15"/>
  <c r="L361" i="15" s="1"/>
  <c r="G360" i="15"/>
  <c r="L360" i="15" s="1"/>
  <c r="G359" i="15"/>
  <c r="L359" i="15" s="1"/>
  <c r="G358" i="15"/>
  <c r="L358" i="15" s="1"/>
  <c r="G357" i="15"/>
  <c r="L357" i="15" s="1"/>
  <c r="G356" i="15"/>
  <c r="L356" i="15" s="1"/>
  <c r="G355" i="15"/>
  <c r="L355" i="15" s="1"/>
  <c r="G354" i="15"/>
  <c r="L354" i="15" s="1"/>
  <c r="G353" i="15"/>
  <c r="L353" i="15" s="1"/>
  <c r="G352" i="15"/>
  <c r="L352" i="15" s="1"/>
  <c r="G351" i="15"/>
  <c r="L351" i="15" s="1"/>
  <c r="G350" i="15"/>
  <c r="L350" i="15" s="1"/>
  <c r="G349" i="15"/>
  <c r="L349" i="15" s="1"/>
  <c r="G348" i="15"/>
  <c r="L348" i="15" s="1"/>
  <c r="G347" i="15"/>
  <c r="L347" i="15" s="1"/>
  <c r="G346" i="15"/>
  <c r="G345" i="15"/>
  <c r="G344" i="15"/>
  <c r="G343" i="15"/>
  <c r="L343" i="15" s="1"/>
  <c r="G342" i="15"/>
  <c r="L342" i="15" s="1"/>
  <c r="G341" i="15"/>
  <c r="L341" i="15" s="1"/>
  <c r="G340" i="15"/>
  <c r="L340" i="15" s="1"/>
  <c r="G339" i="15"/>
  <c r="L339" i="15" s="1"/>
  <c r="G338" i="15"/>
  <c r="L338" i="15" s="1"/>
  <c r="G337" i="15"/>
  <c r="L337" i="15" s="1"/>
  <c r="G336" i="15"/>
  <c r="L336" i="15" s="1"/>
  <c r="G335" i="15"/>
  <c r="L335" i="15" s="1"/>
  <c r="G334" i="15"/>
  <c r="L334" i="15" s="1"/>
  <c r="G333" i="15"/>
  <c r="L333" i="15" s="1"/>
  <c r="G332" i="15"/>
  <c r="L332" i="15" s="1"/>
  <c r="G331" i="15"/>
  <c r="L331" i="15" s="1"/>
  <c r="G330" i="15"/>
  <c r="L330" i="15" s="1"/>
  <c r="G329" i="15"/>
  <c r="L329" i="15" s="1"/>
  <c r="G328" i="15"/>
  <c r="L328" i="15" s="1"/>
  <c r="G327" i="15"/>
  <c r="L327" i="15" s="1"/>
  <c r="G326" i="15"/>
  <c r="L326" i="15" s="1"/>
  <c r="G325" i="15"/>
  <c r="L325" i="15" s="1"/>
  <c r="G324" i="15"/>
  <c r="L324" i="15" s="1"/>
  <c r="G323" i="15"/>
  <c r="L323" i="15" s="1"/>
  <c r="G322" i="15"/>
  <c r="L322" i="15" s="1"/>
  <c r="G321" i="15"/>
  <c r="G320" i="15"/>
  <c r="G319" i="15"/>
  <c r="L319" i="15" s="1"/>
  <c r="G318" i="15"/>
  <c r="L318" i="15" s="1"/>
  <c r="G317" i="15"/>
  <c r="L317" i="15" s="1"/>
  <c r="G316" i="15"/>
  <c r="G315" i="15"/>
  <c r="L315" i="15" s="1"/>
  <c r="G314" i="15"/>
  <c r="L314" i="15" s="1"/>
  <c r="G313" i="15"/>
  <c r="L313" i="15" s="1"/>
  <c r="G312" i="15"/>
  <c r="L312" i="15" s="1"/>
  <c r="G311" i="15"/>
  <c r="L311" i="15" s="1"/>
  <c r="G310" i="15"/>
  <c r="L310" i="15" s="1"/>
  <c r="G309" i="15"/>
  <c r="G308" i="15"/>
  <c r="L308" i="15" s="1"/>
  <c r="G307" i="15"/>
  <c r="L307" i="15" s="1"/>
  <c r="G306" i="15"/>
  <c r="L306" i="15" s="1"/>
  <c r="G305" i="15"/>
  <c r="L305" i="15" s="1"/>
  <c r="G304" i="15"/>
  <c r="L304" i="15" s="1"/>
  <c r="G303" i="15"/>
  <c r="L303" i="15" s="1"/>
  <c r="G302" i="15"/>
  <c r="L302" i="15" s="1"/>
  <c r="G301" i="15"/>
  <c r="L301" i="15" s="1"/>
  <c r="G300" i="15"/>
  <c r="L300" i="15" s="1"/>
  <c r="G299" i="15"/>
  <c r="L299" i="15" s="1"/>
  <c r="G298" i="15"/>
  <c r="L298" i="15" s="1"/>
  <c r="G297" i="15"/>
  <c r="L297" i="15" s="1"/>
  <c r="G296" i="15"/>
  <c r="L296" i="15" s="1"/>
  <c r="G295" i="15"/>
  <c r="L295" i="15" s="1"/>
  <c r="G294" i="15"/>
  <c r="L294" i="15" s="1"/>
  <c r="G293" i="15"/>
  <c r="L293" i="15" s="1"/>
  <c r="G292" i="15"/>
  <c r="L292" i="15" s="1"/>
  <c r="G291" i="15"/>
  <c r="L291" i="15" s="1"/>
  <c r="G290" i="15"/>
  <c r="L290" i="15" s="1"/>
  <c r="G289" i="15"/>
  <c r="L289" i="15" s="1"/>
  <c r="G288" i="15"/>
  <c r="L288" i="15" s="1"/>
  <c r="G287" i="15"/>
  <c r="L287" i="15" s="1"/>
  <c r="G286" i="15"/>
  <c r="G285" i="15"/>
  <c r="L285" i="15" s="1"/>
  <c r="G284" i="15"/>
  <c r="L284" i="15" s="1"/>
  <c r="G283" i="15"/>
  <c r="L283" i="15" s="1"/>
  <c r="G282" i="15"/>
  <c r="L282" i="15" s="1"/>
  <c r="G281" i="15"/>
  <c r="L281" i="15" s="1"/>
  <c r="G280" i="15"/>
  <c r="L280" i="15" s="1"/>
  <c r="G279" i="15"/>
  <c r="L279" i="15" s="1"/>
  <c r="G278" i="15"/>
  <c r="L278" i="15" s="1"/>
  <c r="G277" i="15"/>
  <c r="L277" i="15" s="1"/>
  <c r="G276" i="15"/>
  <c r="L276" i="15" s="1"/>
  <c r="G275" i="15"/>
  <c r="L275" i="15" s="1"/>
  <c r="G274" i="15"/>
  <c r="L274" i="15" s="1"/>
  <c r="G273" i="15"/>
  <c r="L273" i="15" s="1"/>
  <c r="G272" i="15"/>
  <c r="L272" i="15" s="1"/>
  <c r="G271" i="15"/>
  <c r="L271" i="15" s="1"/>
  <c r="G270" i="15"/>
  <c r="L270" i="15" s="1"/>
  <c r="G269" i="15"/>
  <c r="L269" i="15" s="1"/>
  <c r="G268" i="15"/>
  <c r="L268" i="15" s="1"/>
  <c r="G267" i="15"/>
  <c r="L267" i="15" s="1"/>
  <c r="G266" i="15"/>
  <c r="L266" i="15" s="1"/>
  <c r="G265" i="15"/>
  <c r="L265" i="15" s="1"/>
  <c r="G264" i="15"/>
  <c r="L264" i="15" s="1"/>
  <c r="G263" i="15"/>
  <c r="L263" i="15" s="1"/>
  <c r="G262" i="15"/>
  <c r="G261" i="15"/>
  <c r="G260" i="15"/>
  <c r="G259" i="15"/>
  <c r="L259" i="15" s="1"/>
  <c r="G258" i="15"/>
  <c r="L258" i="15" s="1"/>
  <c r="G257" i="15"/>
  <c r="L257" i="15" s="1"/>
  <c r="G256" i="15"/>
  <c r="L256" i="15" s="1"/>
  <c r="G255" i="15"/>
  <c r="L255" i="15" s="1"/>
  <c r="G254" i="15"/>
  <c r="L254" i="15" s="1"/>
  <c r="G253" i="15"/>
  <c r="L253" i="15" s="1"/>
  <c r="G252" i="15"/>
  <c r="L252" i="15" s="1"/>
  <c r="G251" i="15"/>
  <c r="L251" i="15" s="1"/>
  <c r="G250" i="15"/>
  <c r="G249" i="15"/>
  <c r="L249" i="15" s="1"/>
  <c r="G248" i="15"/>
  <c r="L248" i="15" s="1"/>
  <c r="G247" i="15"/>
  <c r="L247" i="15" s="1"/>
  <c r="G246" i="15"/>
  <c r="L246" i="15" s="1"/>
  <c r="G245" i="15"/>
  <c r="L245" i="15" s="1"/>
  <c r="G244" i="15"/>
  <c r="L244" i="15" s="1"/>
  <c r="G243" i="15"/>
  <c r="L243" i="15" s="1"/>
  <c r="G242" i="15"/>
  <c r="L242" i="15" s="1"/>
  <c r="G241" i="15"/>
  <c r="L241" i="15" s="1"/>
  <c r="G240" i="15"/>
  <c r="L240" i="15" s="1"/>
  <c r="G239" i="15"/>
  <c r="L239" i="15" s="1"/>
  <c r="G238" i="15"/>
  <c r="L238" i="15" s="1"/>
  <c r="G237" i="15"/>
  <c r="L237" i="15" s="1"/>
  <c r="G236" i="15"/>
  <c r="G235" i="15"/>
  <c r="L235" i="15" s="1"/>
  <c r="G234" i="15"/>
  <c r="L234" i="15" s="1"/>
  <c r="G233" i="15"/>
  <c r="L233" i="15" s="1"/>
  <c r="G232" i="15"/>
  <c r="G231" i="15"/>
  <c r="G230" i="15"/>
  <c r="L230" i="15" s="1"/>
  <c r="G229" i="15"/>
  <c r="L229" i="15" s="1"/>
  <c r="G228" i="15"/>
  <c r="L228" i="15" s="1"/>
  <c r="G227" i="15"/>
  <c r="L227" i="15" s="1"/>
  <c r="G226" i="15"/>
  <c r="G225" i="15"/>
  <c r="L225" i="15" s="1"/>
  <c r="G224" i="15"/>
  <c r="L224" i="15" s="1"/>
  <c r="G223" i="15"/>
  <c r="L223" i="15" s="1"/>
  <c r="G222" i="15"/>
  <c r="L222" i="15" s="1"/>
  <c r="G221" i="15"/>
  <c r="L221" i="15" s="1"/>
  <c r="G220" i="15"/>
  <c r="L220" i="15" s="1"/>
  <c r="G219" i="15"/>
  <c r="L219" i="15" s="1"/>
  <c r="G218" i="15"/>
  <c r="L218" i="15" s="1"/>
  <c r="G217" i="15"/>
  <c r="L217" i="15" s="1"/>
  <c r="G216" i="15"/>
  <c r="L216" i="15" s="1"/>
  <c r="G215" i="15"/>
  <c r="G214" i="15"/>
  <c r="G213" i="15"/>
  <c r="L213" i="15" s="1"/>
  <c r="G212" i="15"/>
  <c r="L212" i="15" s="1"/>
  <c r="G211" i="15"/>
  <c r="G210" i="15"/>
  <c r="L210" i="15" s="1"/>
  <c r="G209" i="15"/>
  <c r="L209" i="15" s="1"/>
  <c r="G208" i="15"/>
  <c r="L208" i="15" s="1"/>
  <c r="G207" i="15"/>
  <c r="L207" i="15" s="1"/>
  <c r="G206" i="15"/>
  <c r="L206" i="15" s="1"/>
  <c r="G205" i="15"/>
  <c r="L205" i="15" s="1"/>
  <c r="G204" i="15"/>
  <c r="L204" i="15" s="1"/>
  <c r="G203" i="15"/>
  <c r="G202" i="15"/>
  <c r="G201" i="15"/>
  <c r="L201" i="15" s="1"/>
  <c r="G200" i="15"/>
  <c r="L200" i="15" s="1"/>
  <c r="G199" i="15"/>
  <c r="G198" i="15"/>
  <c r="L198" i="15" s="1"/>
  <c r="G197" i="15"/>
  <c r="L197" i="15" s="1"/>
  <c r="G196" i="15"/>
  <c r="L196" i="15" s="1"/>
  <c r="G195" i="15"/>
  <c r="L195" i="15" s="1"/>
  <c r="G194" i="15"/>
  <c r="L194" i="15" s="1"/>
  <c r="G193" i="15"/>
  <c r="L193" i="15" s="1"/>
  <c r="G192" i="15"/>
  <c r="L192" i="15" s="1"/>
  <c r="G191" i="15"/>
  <c r="G190" i="15"/>
  <c r="G189" i="15"/>
  <c r="L189" i="15" s="1"/>
  <c r="G188" i="15"/>
  <c r="L188" i="15" s="1"/>
  <c r="G187" i="15"/>
  <c r="G186" i="15"/>
  <c r="L186" i="15" s="1"/>
  <c r="G185" i="15"/>
  <c r="L185" i="15" s="1"/>
  <c r="G184" i="15"/>
  <c r="L184" i="15" s="1"/>
  <c r="G183" i="15"/>
  <c r="L183" i="15" s="1"/>
  <c r="G182" i="15"/>
  <c r="L182" i="15" s="1"/>
  <c r="G181" i="15"/>
  <c r="L181" i="15" s="1"/>
  <c r="G180" i="15"/>
  <c r="L180" i="15" s="1"/>
  <c r="G179" i="15"/>
  <c r="G178" i="15"/>
  <c r="G177" i="15"/>
  <c r="L177" i="15" s="1"/>
  <c r="G176" i="15"/>
  <c r="L176" i="15" s="1"/>
  <c r="G175" i="15"/>
  <c r="G174" i="15"/>
  <c r="L174" i="15" s="1"/>
  <c r="G173" i="15"/>
  <c r="L173" i="15" s="1"/>
  <c r="G172" i="15"/>
  <c r="L172" i="15" s="1"/>
  <c r="G171" i="15"/>
  <c r="L171" i="15" s="1"/>
  <c r="G170" i="15"/>
  <c r="L170" i="15" s="1"/>
  <c r="G169" i="15"/>
  <c r="L169" i="15" s="1"/>
  <c r="G168" i="15"/>
  <c r="L168" i="15" s="1"/>
  <c r="G167" i="15"/>
  <c r="G166" i="15"/>
  <c r="G165" i="15"/>
  <c r="L165" i="15" s="1"/>
  <c r="G164" i="15"/>
  <c r="L164" i="15" s="1"/>
  <c r="G163" i="15"/>
  <c r="G162" i="15"/>
  <c r="L162" i="15" s="1"/>
  <c r="G161" i="15"/>
  <c r="L161" i="15" s="1"/>
  <c r="G160" i="15"/>
  <c r="L160" i="15" s="1"/>
  <c r="G159" i="15"/>
  <c r="L159" i="15" s="1"/>
  <c r="G158" i="15"/>
  <c r="L158" i="15" s="1"/>
  <c r="G157" i="15"/>
  <c r="L157" i="15" s="1"/>
  <c r="G156" i="15"/>
  <c r="L156" i="15" s="1"/>
  <c r="G155" i="15"/>
  <c r="G154" i="15"/>
  <c r="G153" i="15"/>
  <c r="L153" i="15" s="1"/>
  <c r="G152" i="15"/>
  <c r="L152" i="15" s="1"/>
  <c r="G151" i="15"/>
  <c r="G150" i="15"/>
  <c r="L150" i="15" s="1"/>
  <c r="G149" i="15"/>
  <c r="L149" i="15" s="1"/>
  <c r="G148" i="15"/>
  <c r="L148" i="15" s="1"/>
  <c r="G147" i="15"/>
  <c r="L147" i="15" s="1"/>
  <c r="G146" i="15"/>
  <c r="L146" i="15" s="1"/>
  <c r="G145" i="15"/>
  <c r="L145" i="15" s="1"/>
  <c r="G144" i="15"/>
  <c r="L144" i="15" s="1"/>
  <c r="G143" i="15"/>
  <c r="G142" i="15"/>
  <c r="G141" i="15"/>
  <c r="L141" i="15" s="1"/>
  <c r="G140" i="15"/>
  <c r="L140" i="15" s="1"/>
  <c r="G139" i="15"/>
  <c r="G138" i="15"/>
  <c r="L138" i="15" s="1"/>
  <c r="G137" i="15"/>
  <c r="L137" i="15" s="1"/>
  <c r="G136" i="15"/>
  <c r="L136" i="15" s="1"/>
  <c r="G135" i="15"/>
  <c r="L135" i="15" s="1"/>
  <c r="G134" i="15"/>
  <c r="L134" i="15" s="1"/>
  <c r="G133" i="15"/>
  <c r="L133" i="15" s="1"/>
  <c r="G132" i="15"/>
  <c r="L132" i="15" s="1"/>
  <c r="G131" i="15"/>
  <c r="G130" i="15"/>
  <c r="G129" i="15"/>
  <c r="L129" i="15" s="1"/>
  <c r="G128" i="15"/>
  <c r="L128" i="15" s="1"/>
  <c r="G127" i="15"/>
  <c r="G126" i="15"/>
  <c r="L126" i="15" s="1"/>
  <c r="G125" i="15"/>
  <c r="L125" i="15" s="1"/>
  <c r="G124" i="15"/>
  <c r="L124" i="15" s="1"/>
  <c r="G123" i="15"/>
  <c r="L123" i="15" s="1"/>
  <c r="G122" i="15"/>
  <c r="L122" i="15" s="1"/>
  <c r="G121" i="15"/>
  <c r="L121" i="15" s="1"/>
  <c r="G120" i="15"/>
  <c r="L120" i="15" s="1"/>
  <c r="G119" i="15"/>
  <c r="G118" i="15"/>
  <c r="G117" i="15"/>
  <c r="L117" i="15" s="1"/>
  <c r="G116" i="15"/>
  <c r="L116" i="15" s="1"/>
  <c r="G115" i="15"/>
  <c r="G114" i="15"/>
  <c r="L114" i="15" s="1"/>
  <c r="G113" i="15"/>
  <c r="L113" i="15" s="1"/>
  <c r="G112" i="15"/>
  <c r="L112" i="15" s="1"/>
  <c r="G111" i="15"/>
  <c r="L111" i="15" s="1"/>
  <c r="G110" i="15"/>
  <c r="L110" i="15" s="1"/>
  <c r="G109" i="15"/>
  <c r="L109" i="15" s="1"/>
  <c r="G108" i="15"/>
  <c r="L108" i="15" s="1"/>
  <c r="G107" i="15"/>
  <c r="G106" i="15"/>
  <c r="G105" i="15"/>
  <c r="L105" i="15" s="1"/>
  <c r="G104" i="15"/>
  <c r="L104" i="15" s="1"/>
  <c r="G103" i="15"/>
  <c r="G102" i="15"/>
  <c r="L102" i="15" s="1"/>
  <c r="G101" i="15"/>
  <c r="L101" i="15" s="1"/>
  <c r="G100" i="15"/>
  <c r="L100" i="15" s="1"/>
  <c r="G99" i="15"/>
  <c r="L99" i="15" s="1"/>
  <c r="G98" i="15"/>
  <c r="L98" i="15" s="1"/>
  <c r="G97" i="15"/>
  <c r="L97" i="15" s="1"/>
  <c r="G96" i="15"/>
  <c r="L96" i="15" s="1"/>
  <c r="G95" i="15"/>
  <c r="G94" i="15"/>
  <c r="G93" i="15"/>
  <c r="L93" i="15" s="1"/>
  <c r="G92" i="15"/>
  <c r="L92" i="15" s="1"/>
  <c r="G91" i="15"/>
  <c r="G90" i="15"/>
  <c r="L90" i="15" s="1"/>
  <c r="G89" i="15"/>
  <c r="L89" i="15" s="1"/>
  <c r="G88" i="15"/>
  <c r="L88" i="15" s="1"/>
  <c r="G87" i="15"/>
  <c r="L87" i="15" s="1"/>
  <c r="G86" i="15"/>
  <c r="L86" i="15" s="1"/>
  <c r="G85" i="15"/>
  <c r="L85" i="15" s="1"/>
  <c r="G84" i="15"/>
  <c r="L84" i="15" s="1"/>
  <c r="G83" i="15"/>
  <c r="G82" i="15"/>
  <c r="G81" i="15"/>
  <c r="L81" i="15" s="1"/>
  <c r="G80" i="15"/>
  <c r="L80" i="15" s="1"/>
  <c r="G79" i="15"/>
  <c r="G78" i="15"/>
  <c r="L78" i="15" s="1"/>
  <c r="G77" i="15"/>
  <c r="L77" i="15" s="1"/>
  <c r="G76" i="15"/>
  <c r="L76" i="15" s="1"/>
  <c r="G75" i="15"/>
  <c r="L75" i="15" s="1"/>
  <c r="G74" i="15"/>
  <c r="L74" i="15" s="1"/>
  <c r="G73" i="15"/>
  <c r="L73" i="15" s="1"/>
  <c r="G72" i="15"/>
  <c r="L72" i="15" s="1"/>
  <c r="G71" i="15"/>
  <c r="G70" i="15"/>
  <c r="G69" i="15"/>
  <c r="L69" i="15" s="1"/>
  <c r="G68" i="15"/>
  <c r="L68" i="15" s="1"/>
  <c r="G67" i="15"/>
  <c r="G66" i="15"/>
  <c r="L66" i="15" s="1"/>
  <c r="G65" i="15"/>
  <c r="L65" i="15" s="1"/>
  <c r="G64" i="15"/>
  <c r="L64" i="15" s="1"/>
  <c r="G63" i="15"/>
  <c r="L63" i="15" s="1"/>
  <c r="G62" i="15"/>
  <c r="L62" i="15" s="1"/>
  <c r="G61" i="15"/>
  <c r="L61" i="15" s="1"/>
  <c r="G60" i="15"/>
  <c r="L60" i="15" s="1"/>
  <c r="G59" i="15"/>
  <c r="G58" i="15"/>
  <c r="G57" i="15"/>
  <c r="L57" i="15" s="1"/>
  <c r="G56" i="15"/>
  <c r="L56" i="15" s="1"/>
  <c r="G55" i="15"/>
  <c r="G54" i="15"/>
  <c r="L54" i="15" s="1"/>
  <c r="G53" i="15"/>
  <c r="L53" i="15" s="1"/>
  <c r="G52" i="15"/>
  <c r="L52" i="15" s="1"/>
  <c r="G51" i="15"/>
  <c r="L51" i="15" s="1"/>
  <c r="G50" i="15"/>
  <c r="L50" i="15" s="1"/>
  <c r="G49" i="15"/>
  <c r="L49" i="15" s="1"/>
  <c r="G48" i="15"/>
  <c r="L48" i="15" s="1"/>
  <c r="G47" i="15"/>
  <c r="G46" i="15"/>
  <c r="G45" i="15"/>
  <c r="L45" i="15" s="1"/>
  <c r="G44" i="15"/>
  <c r="L44" i="15" s="1"/>
  <c r="G43" i="15"/>
  <c r="G42" i="15"/>
  <c r="L42" i="15" s="1"/>
  <c r="G41" i="15"/>
  <c r="L41" i="15" s="1"/>
  <c r="G40" i="15"/>
  <c r="L40" i="15" s="1"/>
  <c r="G39" i="15"/>
  <c r="L39" i="15" s="1"/>
  <c r="G38" i="15"/>
  <c r="L38" i="15" s="1"/>
  <c r="G37" i="15"/>
  <c r="L37" i="15" s="1"/>
  <c r="G36" i="15"/>
  <c r="L36" i="15" s="1"/>
  <c r="G35" i="15"/>
  <c r="G34" i="15"/>
  <c r="G33" i="15"/>
  <c r="L33" i="15" s="1"/>
  <c r="G32" i="15"/>
  <c r="L32" i="15" s="1"/>
  <c r="G31" i="15"/>
  <c r="G30" i="15"/>
  <c r="L30" i="15" s="1"/>
  <c r="G29" i="15"/>
  <c r="L29" i="15" s="1"/>
  <c r="G28" i="15"/>
  <c r="L28" i="15" s="1"/>
  <c r="G27" i="15"/>
  <c r="L27" i="15" s="1"/>
  <c r="G26" i="15"/>
  <c r="L26" i="15" s="1"/>
  <c r="G25" i="15"/>
  <c r="L25" i="15" s="1"/>
  <c r="G24" i="15"/>
  <c r="L24" i="15" s="1"/>
  <c r="G23" i="15"/>
  <c r="G22" i="15"/>
  <c r="G21" i="15"/>
  <c r="L21" i="15" s="1"/>
  <c r="G20" i="15"/>
  <c r="L20" i="15" s="1"/>
  <c r="G19" i="15"/>
  <c r="G18" i="15"/>
  <c r="L18" i="15" s="1"/>
  <c r="G17" i="15"/>
  <c r="L17" i="15" s="1"/>
  <c r="G16" i="15"/>
  <c r="L16" i="15" s="1"/>
  <c r="G15" i="15"/>
  <c r="L15" i="15" s="1"/>
  <c r="G14" i="15"/>
  <c r="L14" i="15" s="1"/>
  <c r="G13" i="15"/>
  <c r="L13" i="15" s="1"/>
  <c r="G12" i="15"/>
  <c r="L12" i="15" s="1"/>
  <c r="G11" i="15"/>
  <c r="G10" i="15"/>
  <c r="G9" i="15"/>
  <c r="L9" i="15" s="1"/>
  <c r="G8" i="15"/>
  <c r="L8" i="15" s="1"/>
  <c r="G7" i="15"/>
  <c r="G6" i="15"/>
  <c r="L6" i="15" s="1"/>
  <c r="G5" i="15"/>
  <c r="L5" i="15" s="1"/>
  <c r="G4" i="15"/>
  <c r="L4" i="15" s="1"/>
  <c r="H76" i="3" l="1"/>
  <c r="G76" i="3"/>
  <c r="F76" i="3"/>
  <c r="H75" i="3"/>
  <c r="G75" i="3"/>
  <c r="F75" i="3"/>
  <c r="E76" i="3"/>
  <c r="E75" i="3"/>
  <c r="C76" i="3"/>
  <c r="G5" i="8"/>
  <c r="F5" i="8"/>
  <c r="I5" i="8" s="1"/>
  <c r="D5" i="8"/>
  <c r="O5" i="8" s="1"/>
  <c r="D76" i="3"/>
  <c r="O12" i="8"/>
  <c r="G13" i="8"/>
  <c r="F13" i="8"/>
  <c r="D13" i="8"/>
  <c r="O13" i="8" s="1"/>
  <c r="G12" i="8"/>
  <c r="I12" i="8" s="1"/>
  <c r="F12" i="8"/>
  <c r="D12" i="8"/>
  <c r="G11" i="8"/>
  <c r="F11" i="8"/>
  <c r="D11" i="8"/>
  <c r="O11" i="8" s="1"/>
  <c r="G10" i="8"/>
  <c r="F10" i="8"/>
  <c r="D10" i="8"/>
  <c r="O10" i="8" s="1"/>
  <c r="G9" i="8"/>
  <c r="F9" i="8"/>
  <c r="D9" i="8"/>
  <c r="O9" i="8" s="1"/>
  <c r="G8" i="8"/>
  <c r="I8" i="8" s="1"/>
  <c r="F8" i="8"/>
  <c r="D8" i="8"/>
  <c r="O8" i="8" s="1"/>
  <c r="G7" i="8"/>
  <c r="F7" i="8"/>
  <c r="D7" i="8"/>
  <c r="O7" i="8" s="1"/>
  <c r="G6" i="8"/>
  <c r="F6" i="8"/>
  <c r="D6" i="8"/>
  <c r="O6" i="8" s="1"/>
  <c r="D6" i="9"/>
  <c r="B75" i="3" s="1"/>
  <c r="D24" i="2"/>
  <c r="D23" i="2"/>
  <c r="D22" i="2"/>
  <c r="D21" i="2"/>
  <c r="D20" i="2"/>
  <c r="D19" i="2"/>
  <c r="D18" i="2"/>
  <c r="D17" i="2"/>
  <c r="D16" i="2"/>
  <c r="D15" i="2"/>
  <c r="D14" i="2"/>
  <c r="D13" i="2"/>
  <c r="D12" i="2"/>
  <c r="D11" i="2"/>
  <c r="D10" i="2"/>
  <c r="D9" i="2"/>
  <c r="D8" i="2"/>
  <c r="D7" i="2"/>
  <c r="D6" i="2"/>
  <c r="D5" i="2"/>
  <c r="F1287" i="17"/>
  <c r="E1287" i="17"/>
  <c r="C1287" i="17"/>
  <c r="J1287" i="17" s="1"/>
  <c r="F1286" i="17"/>
  <c r="E1286" i="17"/>
  <c r="C1286" i="17"/>
  <c r="J1286" i="17" s="1"/>
  <c r="F1285" i="17"/>
  <c r="E1285" i="17"/>
  <c r="C1285" i="17"/>
  <c r="J1285" i="17" s="1"/>
  <c r="F1284" i="17"/>
  <c r="E1284" i="17"/>
  <c r="C1284" i="17"/>
  <c r="J1284" i="17" s="1"/>
  <c r="F1283" i="17"/>
  <c r="E1283" i="17"/>
  <c r="C1283" i="17"/>
  <c r="J1283" i="17" s="1"/>
  <c r="F1282" i="17"/>
  <c r="E1282" i="17"/>
  <c r="C1282" i="17"/>
  <c r="J1282" i="17" s="1"/>
  <c r="F1281" i="17"/>
  <c r="E1281" i="17"/>
  <c r="C1281" i="17"/>
  <c r="J1281" i="17" s="1"/>
  <c r="F1280" i="17"/>
  <c r="E1280" i="17"/>
  <c r="C1280" i="17"/>
  <c r="J1280" i="17" s="1"/>
  <c r="F1279" i="17"/>
  <c r="E1279" i="17"/>
  <c r="C1279" i="17"/>
  <c r="J1279" i="17" s="1"/>
  <c r="F1278" i="17"/>
  <c r="E1278" i="17"/>
  <c r="C1278" i="17"/>
  <c r="J1278" i="17" s="1"/>
  <c r="F1277" i="17"/>
  <c r="E1277" i="17"/>
  <c r="C1277" i="17"/>
  <c r="J1277" i="17" s="1"/>
  <c r="F1276" i="17"/>
  <c r="E1276" i="17"/>
  <c r="C1276" i="17"/>
  <c r="J1276" i="17" s="1"/>
  <c r="F1275" i="17"/>
  <c r="E1275" i="17"/>
  <c r="C1275" i="17"/>
  <c r="J1275" i="17" s="1"/>
  <c r="F1274" i="17"/>
  <c r="E1274" i="17"/>
  <c r="C1274" i="17"/>
  <c r="J1274" i="17" s="1"/>
  <c r="F1273" i="17"/>
  <c r="E1273" i="17"/>
  <c r="C1273" i="17"/>
  <c r="J1273" i="17" s="1"/>
  <c r="F1272" i="17"/>
  <c r="E1272" i="17"/>
  <c r="C1272" i="17"/>
  <c r="J1272" i="17" s="1"/>
  <c r="F1271" i="17"/>
  <c r="E1271" i="17"/>
  <c r="C1271" i="17"/>
  <c r="J1271" i="17" s="1"/>
  <c r="F1270" i="17"/>
  <c r="E1270" i="17"/>
  <c r="C1270" i="17"/>
  <c r="J1270" i="17" s="1"/>
  <c r="F1269" i="17"/>
  <c r="H1269" i="17" s="1"/>
  <c r="E1269" i="17"/>
  <c r="C1269" i="17"/>
  <c r="J1269" i="17" s="1"/>
  <c r="F1268" i="17"/>
  <c r="E1268" i="17"/>
  <c r="C1268" i="17"/>
  <c r="J1268" i="17" s="1"/>
  <c r="F1267" i="17"/>
  <c r="E1267" i="17"/>
  <c r="C1267" i="17"/>
  <c r="J1267" i="17" s="1"/>
  <c r="F1266" i="17"/>
  <c r="E1266" i="17"/>
  <c r="C1266" i="17"/>
  <c r="J1266" i="17" s="1"/>
  <c r="F1265" i="17"/>
  <c r="E1265" i="17"/>
  <c r="C1265" i="17"/>
  <c r="J1265" i="17" s="1"/>
  <c r="F1264" i="17"/>
  <c r="E1264" i="17"/>
  <c r="C1264" i="17"/>
  <c r="J1264" i="17" s="1"/>
  <c r="F1263" i="17"/>
  <c r="E1263" i="17"/>
  <c r="C1263" i="17"/>
  <c r="J1263" i="17" s="1"/>
  <c r="F1262" i="17"/>
  <c r="E1262" i="17"/>
  <c r="C1262" i="17"/>
  <c r="J1262" i="17" s="1"/>
  <c r="F1261" i="17"/>
  <c r="E1261" i="17"/>
  <c r="C1261" i="17"/>
  <c r="J1261" i="17" s="1"/>
  <c r="F1260" i="17"/>
  <c r="E1260" i="17"/>
  <c r="C1260" i="17"/>
  <c r="J1260" i="17" s="1"/>
  <c r="F1259" i="17"/>
  <c r="E1259" i="17"/>
  <c r="C1259" i="17"/>
  <c r="J1259" i="17" s="1"/>
  <c r="F1258" i="17"/>
  <c r="E1258" i="17"/>
  <c r="C1258" i="17"/>
  <c r="J1258" i="17" s="1"/>
  <c r="F1257" i="17"/>
  <c r="H1257" i="17" s="1"/>
  <c r="E1257" i="17"/>
  <c r="C1257" i="17"/>
  <c r="J1257" i="17" s="1"/>
  <c r="F1256" i="17"/>
  <c r="E1256" i="17"/>
  <c r="C1256" i="17"/>
  <c r="J1256" i="17" s="1"/>
  <c r="F1255" i="17"/>
  <c r="E1255" i="17"/>
  <c r="C1255" i="17"/>
  <c r="J1255" i="17" s="1"/>
  <c r="F1254" i="17"/>
  <c r="E1254" i="17"/>
  <c r="C1254" i="17"/>
  <c r="J1254" i="17" s="1"/>
  <c r="F1253" i="17"/>
  <c r="E1253" i="17"/>
  <c r="C1253" i="17"/>
  <c r="J1253" i="17" s="1"/>
  <c r="F1252" i="17"/>
  <c r="E1252" i="17"/>
  <c r="C1252" i="17"/>
  <c r="J1252" i="17" s="1"/>
  <c r="F1251" i="17"/>
  <c r="E1251" i="17"/>
  <c r="C1251" i="17"/>
  <c r="J1251" i="17" s="1"/>
  <c r="F1250" i="17"/>
  <c r="E1250" i="17"/>
  <c r="C1250" i="17"/>
  <c r="J1250" i="17" s="1"/>
  <c r="F1249" i="17"/>
  <c r="H1249" i="17" s="1"/>
  <c r="E1249" i="17"/>
  <c r="C1249" i="17"/>
  <c r="J1249" i="17" s="1"/>
  <c r="F1248" i="17"/>
  <c r="E1248" i="17"/>
  <c r="C1248" i="17"/>
  <c r="J1248" i="17" s="1"/>
  <c r="F1247" i="17"/>
  <c r="E1247" i="17"/>
  <c r="C1247" i="17"/>
  <c r="J1247" i="17" s="1"/>
  <c r="F1246" i="17"/>
  <c r="E1246" i="17"/>
  <c r="C1246" i="17"/>
  <c r="J1246" i="17" s="1"/>
  <c r="F1245" i="17"/>
  <c r="H1245" i="17" s="1"/>
  <c r="E1245" i="17"/>
  <c r="C1245" i="17"/>
  <c r="J1245" i="17" s="1"/>
  <c r="F1244" i="17"/>
  <c r="E1244" i="17"/>
  <c r="C1244" i="17"/>
  <c r="J1244" i="17" s="1"/>
  <c r="F1243" i="17"/>
  <c r="H1243" i="17" s="1"/>
  <c r="E1243" i="17"/>
  <c r="C1243" i="17"/>
  <c r="J1243" i="17" s="1"/>
  <c r="F1242" i="17"/>
  <c r="E1242" i="17"/>
  <c r="C1242" i="17"/>
  <c r="J1242" i="17" s="1"/>
  <c r="F1241" i="17"/>
  <c r="E1241" i="17"/>
  <c r="C1241" i="17"/>
  <c r="J1241" i="17" s="1"/>
  <c r="F1240" i="17"/>
  <c r="E1240" i="17"/>
  <c r="C1240" i="17"/>
  <c r="J1240" i="17" s="1"/>
  <c r="F1239" i="17"/>
  <c r="E1239" i="17"/>
  <c r="C1239" i="17"/>
  <c r="J1239" i="17" s="1"/>
  <c r="F1238" i="17"/>
  <c r="E1238" i="17"/>
  <c r="C1238" i="17"/>
  <c r="J1238" i="17" s="1"/>
  <c r="F1237" i="17"/>
  <c r="E1237" i="17"/>
  <c r="C1237" i="17"/>
  <c r="J1237" i="17" s="1"/>
  <c r="F1236" i="17"/>
  <c r="E1236" i="17"/>
  <c r="C1236" i="17"/>
  <c r="J1236" i="17" s="1"/>
  <c r="F1235" i="17"/>
  <c r="E1235" i="17"/>
  <c r="C1235" i="17"/>
  <c r="J1235" i="17" s="1"/>
  <c r="F1234" i="17"/>
  <c r="E1234" i="17"/>
  <c r="C1234" i="17"/>
  <c r="J1234" i="17" s="1"/>
  <c r="F1233" i="17"/>
  <c r="E1233" i="17"/>
  <c r="C1233" i="17"/>
  <c r="J1233" i="17" s="1"/>
  <c r="F1232" i="17"/>
  <c r="H1232" i="17" s="1"/>
  <c r="E1232" i="17"/>
  <c r="C1232" i="17"/>
  <c r="J1232" i="17" s="1"/>
  <c r="J1231" i="17"/>
  <c r="F1231" i="17"/>
  <c r="E1231" i="17"/>
  <c r="C1231" i="17"/>
  <c r="F1230" i="17"/>
  <c r="E1230" i="17"/>
  <c r="C1230" i="17"/>
  <c r="J1230" i="17" s="1"/>
  <c r="F1229" i="17"/>
  <c r="E1229" i="17"/>
  <c r="C1229" i="17"/>
  <c r="J1229" i="17" s="1"/>
  <c r="F1228" i="17"/>
  <c r="E1228" i="17"/>
  <c r="C1228" i="17"/>
  <c r="J1228" i="17" s="1"/>
  <c r="F1227" i="17"/>
  <c r="E1227" i="17"/>
  <c r="C1227" i="17"/>
  <c r="J1227" i="17" s="1"/>
  <c r="F1226" i="17"/>
  <c r="E1226" i="17"/>
  <c r="C1226" i="17"/>
  <c r="J1226" i="17" s="1"/>
  <c r="F1225" i="17"/>
  <c r="E1225" i="17"/>
  <c r="C1225" i="17"/>
  <c r="J1225" i="17" s="1"/>
  <c r="F1224" i="17"/>
  <c r="E1224" i="17"/>
  <c r="C1224" i="17"/>
  <c r="J1224" i="17" s="1"/>
  <c r="F1223" i="17"/>
  <c r="E1223" i="17"/>
  <c r="C1223" i="17"/>
  <c r="J1223" i="17" s="1"/>
  <c r="F1222" i="17"/>
  <c r="E1222" i="17"/>
  <c r="C1222" i="17"/>
  <c r="J1222" i="17" s="1"/>
  <c r="F1221" i="17"/>
  <c r="E1221" i="17"/>
  <c r="C1221" i="17"/>
  <c r="J1221" i="17" s="1"/>
  <c r="F1220" i="17"/>
  <c r="E1220" i="17"/>
  <c r="C1220" i="17"/>
  <c r="J1220" i="17" s="1"/>
  <c r="F1219" i="17"/>
  <c r="E1219" i="17"/>
  <c r="C1219" i="17"/>
  <c r="J1219" i="17" s="1"/>
  <c r="F1218" i="17"/>
  <c r="E1218" i="17"/>
  <c r="C1218" i="17"/>
  <c r="J1218" i="17" s="1"/>
  <c r="F1217" i="17"/>
  <c r="E1217" i="17"/>
  <c r="C1217" i="17"/>
  <c r="J1217" i="17" s="1"/>
  <c r="F1216" i="17"/>
  <c r="E1216" i="17"/>
  <c r="C1216" i="17"/>
  <c r="J1216" i="17" s="1"/>
  <c r="F1215" i="17"/>
  <c r="E1215" i="17"/>
  <c r="C1215" i="17"/>
  <c r="J1215" i="17" s="1"/>
  <c r="F1214" i="17"/>
  <c r="E1214" i="17"/>
  <c r="C1214" i="17"/>
  <c r="J1214" i="17" s="1"/>
  <c r="F1213" i="17"/>
  <c r="E1213" i="17"/>
  <c r="C1213" i="17"/>
  <c r="J1213" i="17" s="1"/>
  <c r="F1212" i="17"/>
  <c r="E1212" i="17"/>
  <c r="C1212" i="17"/>
  <c r="J1212" i="17" s="1"/>
  <c r="F1211" i="17"/>
  <c r="E1211" i="17"/>
  <c r="C1211" i="17"/>
  <c r="J1211" i="17" s="1"/>
  <c r="F1210" i="17"/>
  <c r="E1210" i="17"/>
  <c r="C1210" i="17"/>
  <c r="J1210" i="17" s="1"/>
  <c r="F1209" i="17"/>
  <c r="E1209" i="17"/>
  <c r="C1209" i="17"/>
  <c r="J1209" i="17" s="1"/>
  <c r="J1208" i="17"/>
  <c r="F1208" i="17"/>
  <c r="E1208" i="17"/>
  <c r="C1208" i="17"/>
  <c r="F1207" i="17"/>
  <c r="E1207" i="17"/>
  <c r="C1207" i="17"/>
  <c r="J1207" i="17" s="1"/>
  <c r="F1206" i="17"/>
  <c r="E1206" i="17"/>
  <c r="C1206" i="17"/>
  <c r="J1206" i="17" s="1"/>
  <c r="F1205" i="17"/>
  <c r="E1205" i="17"/>
  <c r="C1205" i="17"/>
  <c r="J1205" i="17" s="1"/>
  <c r="F1204" i="17"/>
  <c r="E1204" i="17"/>
  <c r="C1204" i="17"/>
  <c r="J1204" i="17" s="1"/>
  <c r="F1203" i="17"/>
  <c r="E1203" i="17"/>
  <c r="C1203" i="17"/>
  <c r="J1203" i="17" s="1"/>
  <c r="F1202" i="17"/>
  <c r="E1202" i="17"/>
  <c r="C1202" i="17"/>
  <c r="J1202" i="17" s="1"/>
  <c r="F1201" i="17"/>
  <c r="E1201" i="17"/>
  <c r="C1201" i="17"/>
  <c r="J1201" i="17" s="1"/>
  <c r="F1200" i="17"/>
  <c r="E1200" i="17"/>
  <c r="C1200" i="17"/>
  <c r="J1200" i="17" s="1"/>
  <c r="F1199" i="17"/>
  <c r="E1199" i="17"/>
  <c r="C1199" i="17"/>
  <c r="J1199" i="17" s="1"/>
  <c r="F1198" i="17"/>
  <c r="E1198" i="17"/>
  <c r="C1198" i="17"/>
  <c r="J1198" i="17" s="1"/>
  <c r="F1197" i="17"/>
  <c r="E1197" i="17"/>
  <c r="C1197" i="17"/>
  <c r="J1197" i="17" s="1"/>
  <c r="F1196" i="17"/>
  <c r="E1196" i="17"/>
  <c r="C1196" i="17"/>
  <c r="J1196" i="17" s="1"/>
  <c r="F1195" i="17"/>
  <c r="E1195" i="17"/>
  <c r="C1195" i="17"/>
  <c r="J1195" i="17" s="1"/>
  <c r="F1194" i="17"/>
  <c r="E1194" i="17"/>
  <c r="C1194" i="17"/>
  <c r="J1194" i="17" s="1"/>
  <c r="F1193" i="17"/>
  <c r="E1193" i="17"/>
  <c r="C1193" i="17"/>
  <c r="J1193" i="17" s="1"/>
  <c r="F1192" i="17"/>
  <c r="E1192" i="17"/>
  <c r="C1192" i="17"/>
  <c r="J1192" i="17" s="1"/>
  <c r="F1191" i="17"/>
  <c r="E1191" i="17"/>
  <c r="C1191" i="17"/>
  <c r="J1191" i="17" s="1"/>
  <c r="J1190" i="17"/>
  <c r="F1190" i="17"/>
  <c r="E1190" i="17"/>
  <c r="C1190" i="17"/>
  <c r="F1189" i="17"/>
  <c r="E1189" i="17"/>
  <c r="C1189" i="17"/>
  <c r="J1189" i="17" s="1"/>
  <c r="F1188" i="17"/>
  <c r="E1188" i="17"/>
  <c r="C1188" i="17"/>
  <c r="J1188" i="17" s="1"/>
  <c r="F1187" i="17"/>
  <c r="E1187" i="17"/>
  <c r="C1187" i="17"/>
  <c r="J1187" i="17" s="1"/>
  <c r="F1186" i="17"/>
  <c r="E1186" i="17"/>
  <c r="C1186" i="17"/>
  <c r="J1186" i="17" s="1"/>
  <c r="F1185" i="17"/>
  <c r="E1185" i="17"/>
  <c r="C1185" i="17"/>
  <c r="J1185" i="17" s="1"/>
  <c r="F1184" i="17"/>
  <c r="E1184" i="17"/>
  <c r="C1184" i="17"/>
  <c r="J1184" i="17" s="1"/>
  <c r="F1183" i="17"/>
  <c r="E1183" i="17"/>
  <c r="C1183" i="17"/>
  <c r="J1183" i="17" s="1"/>
  <c r="F1182" i="17"/>
  <c r="E1182" i="17"/>
  <c r="C1182" i="17"/>
  <c r="J1182" i="17" s="1"/>
  <c r="F1181" i="17"/>
  <c r="E1181" i="17"/>
  <c r="C1181" i="17"/>
  <c r="J1181" i="17" s="1"/>
  <c r="F1180" i="17"/>
  <c r="E1180" i="17"/>
  <c r="C1180" i="17"/>
  <c r="J1180" i="17" s="1"/>
  <c r="F1179" i="17"/>
  <c r="E1179" i="17"/>
  <c r="C1179" i="17"/>
  <c r="J1179" i="17" s="1"/>
  <c r="F1178" i="17"/>
  <c r="E1178" i="17"/>
  <c r="C1178" i="17"/>
  <c r="J1178" i="17" s="1"/>
  <c r="F1177" i="17"/>
  <c r="H1177" i="17" s="1"/>
  <c r="E1177" i="17"/>
  <c r="C1177" i="17"/>
  <c r="J1177" i="17" s="1"/>
  <c r="F1176" i="17"/>
  <c r="E1176" i="17"/>
  <c r="C1176" i="17"/>
  <c r="J1176" i="17" s="1"/>
  <c r="F1175" i="17"/>
  <c r="E1175" i="17"/>
  <c r="C1175" i="17"/>
  <c r="J1175" i="17" s="1"/>
  <c r="F1174" i="17"/>
  <c r="E1174" i="17"/>
  <c r="C1174" i="17"/>
  <c r="J1174" i="17" s="1"/>
  <c r="F1173" i="17"/>
  <c r="H1173" i="17" s="1"/>
  <c r="E1173" i="17"/>
  <c r="C1173" i="17"/>
  <c r="J1173" i="17" s="1"/>
  <c r="F1172" i="17"/>
  <c r="E1172" i="17"/>
  <c r="C1172" i="17"/>
  <c r="J1172" i="17" s="1"/>
  <c r="F1171" i="17"/>
  <c r="E1171" i="17"/>
  <c r="C1171" i="17"/>
  <c r="J1171" i="17" s="1"/>
  <c r="F1170" i="17"/>
  <c r="E1170" i="17"/>
  <c r="C1170" i="17"/>
  <c r="J1170" i="17" s="1"/>
  <c r="F1169" i="17"/>
  <c r="E1169" i="17"/>
  <c r="C1169" i="17"/>
  <c r="J1169" i="17" s="1"/>
  <c r="F1168" i="17"/>
  <c r="E1168" i="17"/>
  <c r="C1168" i="17"/>
  <c r="J1168" i="17" s="1"/>
  <c r="F1167" i="17"/>
  <c r="E1167" i="17"/>
  <c r="C1167" i="17"/>
  <c r="J1167" i="17" s="1"/>
  <c r="F1166" i="17"/>
  <c r="E1166" i="17"/>
  <c r="C1166" i="17"/>
  <c r="J1166" i="17" s="1"/>
  <c r="F1165" i="17"/>
  <c r="E1165" i="17"/>
  <c r="C1165" i="17"/>
  <c r="J1165" i="17" s="1"/>
  <c r="F1164" i="17"/>
  <c r="E1164" i="17"/>
  <c r="C1164" i="17"/>
  <c r="J1164" i="17" s="1"/>
  <c r="F1163" i="17"/>
  <c r="E1163" i="17"/>
  <c r="C1163" i="17"/>
  <c r="J1163" i="17" s="1"/>
  <c r="F1162" i="17"/>
  <c r="E1162" i="17"/>
  <c r="C1162" i="17"/>
  <c r="J1162" i="17" s="1"/>
  <c r="F1161" i="17"/>
  <c r="H1161" i="17" s="1"/>
  <c r="E1161" i="17"/>
  <c r="C1161" i="17"/>
  <c r="J1161" i="17" s="1"/>
  <c r="F1160" i="17"/>
  <c r="E1160" i="17"/>
  <c r="C1160" i="17"/>
  <c r="J1160" i="17" s="1"/>
  <c r="F1159" i="17"/>
  <c r="E1159" i="17"/>
  <c r="C1159" i="17"/>
  <c r="J1159" i="17" s="1"/>
  <c r="F1158" i="17"/>
  <c r="E1158" i="17"/>
  <c r="C1158" i="17"/>
  <c r="J1158" i="17" s="1"/>
  <c r="F1157" i="17"/>
  <c r="E1157" i="17"/>
  <c r="C1157" i="17"/>
  <c r="J1157" i="17" s="1"/>
  <c r="F1156" i="17"/>
  <c r="E1156" i="17"/>
  <c r="C1156" i="17"/>
  <c r="J1156" i="17" s="1"/>
  <c r="F1155" i="17"/>
  <c r="E1155" i="17"/>
  <c r="C1155" i="17"/>
  <c r="J1155" i="17" s="1"/>
  <c r="F1154" i="17"/>
  <c r="E1154" i="17"/>
  <c r="C1154" i="17"/>
  <c r="J1154" i="17" s="1"/>
  <c r="F1153" i="17"/>
  <c r="E1153" i="17"/>
  <c r="C1153" i="17"/>
  <c r="J1153" i="17" s="1"/>
  <c r="F1152" i="17"/>
  <c r="E1152" i="17"/>
  <c r="C1152" i="17"/>
  <c r="J1152" i="17" s="1"/>
  <c r="F1151" i="17"/>
  <c r="E1151" i="17"/>
  <c r="C1151" i="17"/>
  <c r="J1151" i="17" s="1"/>
  <c r="F1150" i="17"/>
  <c r="E1150" i="17"/>
  <c r="C1150" i="17"/>
  <c r="J1150" i="17" s="1"/>
  <c r="F1149" i="17"/>
  <c r="E1149" i="17"/>
  <c r="C1149" i="17"/>
  <c r="J1149" i="17" s="1"/>
  <c r="F1148" i="17"/>
  <c r="E1148" i="17"/>
  <c r="C1148" i="17"/>
  <c r="J1148" i="17" s="1"/>
  <c r="F1147" i="17"/>
  <c r="E1147" i="17"/>
  <c r="C1147" i="17"/>
  <c r="J1147" i="17" s="1"/>
  <c r="F1146" i="17"/>
  <c r="E1146" i="17"/>
  <c r="C1146" i="17"/>
  <c r="J1146" i="17" s="1"/>
  <c r="F1145" i="17"/>
  <c r="E1145" i="17"/>
  <c r="C1145" i="17"/>
  <c r="J1145" i="17" s="1"/>
  <c r="F1144" i="17"/>
  <c r="E1144" i="17"/>
  <c r="C1144" i="17"/>
  <c r="J1144" i="17" s="1"/>
  <c r="F1143" i="17"/>
  <c r="E1143" i="17"/>
  <c r="C1143" i="17"/>
  <c r="J1143" i="17" s="1"/>
  <c r="F1142" i="17"/>
  <c r="E1142" i="17"/>
  <c r="C1142" i="17"/>
  <c r="J1142" i="17" s="1"/>
  <c r="F1141" i="17"/>
  <c r="E1141" i="17"/>
  <c r="C1141" i="17"/>
  <c r="J1141" i="17" s="1"/>
  <c r="F1140" i="17"/>
  <c r="E1140" i="17"/>
  <c r="C1140" i="17"/>
  <c r="J1140" i="17" s="1"/>
  <c r="F1139" i="17"/>
  <c r="E1139" i="17"/>
  <c r="C1139" i="17"/>
  <c r="J1139" i="17" s="1"/>
  <c r="F1138" i="17"/>
  <c r="E1138" i="17"/>
  <c r="C1138" i="17"/>
  <c r="J1138" i="17" s="1"/>
  <c r="F1137" i="17"/>
  <c r="E1137" i="17"/>
  <c r="C1137" i="17"/>
  <c r="J1137" i="17" s="1"/>
  <c r="F1136" i="17"/>
  <c r="E1136" i="17"/>
  <c r="C1136" i="17"/>
  <c r="J1136" i="17" s="1"/>
  <c r="F1135" i="17"/>
  <c r="E1135" i="17"/>
  <c r="C1135" i="17"/>
  <c r="J1135" i="17" s="1"/>
  <c r="F1134" i="17"/>
  <c r="E1134" i="17"/>
  <c r="C1134" i="17"/>
  <c r="J1134" i="17" s="1"/>
  <c r="F1133" i="17"/>
  <c r="E1133" i="17"/>
  <c r="C1133" i="17"/>
  <c r="J1133" i="17" s="1"/>
  <c r="F1132" i="17"/>
  <c r="E1132" i="17"/>
  <c r="C1132" i="17"/>
  <c r="J1132" i="17" s="1"/>
  <c r="F1131" i="17"/>
  <c r="E1131" i="17"/>
  <c r="C1131" i="17"/>
  <c r="J1131" i="17" s="1"/>
  <c r="J1130" i="17"/>
  <c r="F1130" i="17"/>
  <c r="E1130" i="17"/>
  <c r="C1130" i="17"/>
  <c r="F1129" i="17"/>
  <c r="E1129" i="17"/>
  <c r="C1129" i="17"/>
  <c r="J1129" i="17" s="1"/>
  <c r="F1128" i="17"/>
  <c r="E1128" i="17"/>
  <c r="C1128" i="17"/>
  <c r="J1128" i="17" s="1"/>
  <c r="F1127" i="17"/>
  <c r="E1127" i="17"/>
  <c r="C1127" i="17"/>
  <c r="J1127" i="17" s="1"/>
  <c r="F1126" i="17"/>
  <c r="E1126" i="17"/>
  <c r="C1126" i="17"/>
  <c r="J1126" i="17" s="1"/>
  <c r="F1125" i="17"/>
  <c r="E1125" i="17"/>
  <c r="C1125" i="17"/>
  <c r="J1125" i="17" s="1"/>
  <c r="F1124" i="17"/>
  <c r="E1124" i="17"/>
  <c r="C1124" i="17"/>
  <c r="J1124" i="17" s="1"/>
  <c r="F1123" i="17"/>
  <c r="E1123" i="17"/>
  <c r="C1123" i="17"/>
  <c r="J1123" i="17" s="1"/>
  <c r="F1122" i="17"/>
  <c r="E1122" i="17"/>
  <c r="C1122" i="17"/>
  <c r="J1122" i="17" s="1"/>
  <c r="F1121" i="17"/>
  <c r="E1121" i="17"/>
  <c r="C1121" i="17"/>
  <c r="J1121" i="17" s="1"/>
  <c r="F1120" i="17"/>
  <c r="E1120" i="17"/>
  <c r="C1120" i="17"/>
  <c r="J1120" i="17" s="1"/>
  <c r="F1119" i="17"/>
  <c r="E1119" i="17"/>
  <c r="C1119" i="17"/>
  <c r="J1119" i="17" s="1"/>
  <c r="F1118" i="17"/>
  <c r="E1118" i="17"/>
  <c r="C1118" i="17"/>
  <c r="J1118" i="17" s="1"/>
  <c r="F1117" i="17"/>
  <c r="E1117" i="17"/>
  <c r="C1117" i="17"/>
  <c r="J1117" i="17" s="1"/>
  <c r="F1116" i="17"/>
  <c r="E1116" i="17"/>
  <c r="C1116" i="17"/>
  <c r="J1116" i="17" s="1"/>
  <c r="F1115" i="17"/>
  <c r="E1115" i="17"/>
  <c r="C1115" i="17"/>
  <c r="J1115" i="17" s="1"/>
  <c r="F1114" i="17"/>
  <c r="E1114" i="17"/>
  <c r="C1114" i="17"/>
  <c r="J1114" i="17" s="1"/>
  <c r="F1113" i="17"/>
  <c r="E1113" i="17"/>
  <c r="C1113" i="17"/>
  <c r="J1113" i="17" s="1"/>
  <c r="F1112" i="17"/>
  <c r="E1112" i="17"/>
  <c r="C1112" i="17"/>
  <c r="J1112" i="17" s="1"/>
  <c r="F1111" i="17"/>
  <c r="E1111" i="17"/>
  <c r="C1111" i="17"/>
  <c r="J1111" i="17" s="1"/>
  <c r="F1110" i="17"/>
  <c r="E1110" i="17"/>
  <c r="C1110" i="17"/>
  <c r="J1110" i="17" s="1"/>
  <c r="F1109" i="17"/>
  <c r="E1109" i="17"/>
  <c r="C1109" i="17"/>
  <c r="J1109" i="17" s="1"/>
  <c r="F1108" i="17"/>
  <c r="E1108" i="17"/>
  <c r="C1108" i="17"/>
  <c r="J1108" i="17" s="1"/>
  <c r="F1107" i="17"/>
  <c r="E1107" i="17"/>
  <c r="C1107" i="17"/>
  <c r="J1107" i="17" s="1"/>
  <c r="F1106" i="17"/>
  <c r="E1106" i="17"/>
  <c r="C1106" i="17"/>
  <c r="J1106" i="17" s="1"/>
  <c r="F1105" i="17"/>
  <c r="E1105" i="17"/>
  <c r="C1105" i="17"/>
  <c r="J1105" i="17" s="1"/>
  <c r="F1104" i="17"/>
  <c r="E1104" i="17"/>
  <c r="H1104" i="17" s="1"/>
  <c r="C1104" i="17"/>
  <c r="J1104" i="17" s="1"/>
  <c r="F1103" i="17"/>
  <c r="E1103" i="17"/>
  <c r="C1103" i="17"/>
  <c r="J1103" i="17" s="1"/>
  <c r="F1102" i="17"/>
  <c r="E1102" i="17"/>
  <c r="C1102" i="17"/>
  <c r="J1102" i="17" s="1"/>
  <c r="F1101" i="17"/>
  <c r="E1101" i="17"/>
  <c r="C1101" i="17"/>
  <c r="J1101" i="17" s="1"/>
  <c r="F1100" i="17"/>
  <c r="E1100" i="17"/>
  <c r="C1100" i="17"/>
  <c r="J1100" i="17" s="1"/>
  <c r="F1099" i="17"/>
  <c r="E1099" i="17"/>
  <c r="C1099" i="17"/>
  <c r="J1099" i="17" s="1"/>
  <c r="F1098" i="17"/>
  <c r="E1098" i="17"/>
  <c r="H1098" i="17" s="1"/>
  <c r="C1098" i="17"/>
  <c r="J1098" i="17" s="1"/>
  <c r="F1097" i="17"/>
  <c r="E1097" i="17"/>
  <c r="C1097" i="17"/>
  <c r="J1097" i="17" s="1"/>
  <c r="F1096" i="17"/>
  <c r="E1096" i="17"/>
  <c r="C1096" i="17"/>
  <c r="J1096" i="17" s="1"/>
  <c r="F1095" i="17"/>
  <c r="E1095" i="17"/>
  <c r="C1095" i="17"/>
  <c r="J1095" i="17" s="1"/>
  <c r="F1094" i="17"/>
  <c r="E1094" i="17"/>
  <c r="C1094" i="17"/>
  <c r="J1094" i="17" s="1"/>
  <c r="F1093" i="17"/>
  <c r="E1093" i="17"/>
  <c r="C1093" i="17"/>
  <c r="J1093" i="17" s="1"/>
  <c r="F1092" i="17"/>
  <c r="E1092" i="17"/>
  <c r="C1092" i="17"/>
  <c r="J1092" i="17" s="1"/>
  <c r="F1091" i="17"/>
  <c r="E1091" i="17"/>
  <c r="C1091" i="17"/>
  <c r="J1091" i="17" s="1"/>
  <c r="F1090" i="17"/>
  <c r="E1090" i="17"/>
  <c r="C1090" i="17"/>
  <c r="J1090" i="17" s="1"/>
  <c r="F1089" i="17"/>
  <c r="E1089" i="17"/>
  <c r="C1089" i="17"/>
  <c r="J1089" i="17" s="1"/>
  <c r="F1088" i="17"/>
  <c r="E1088" i="17"/>
  <c r="C1088" i="17"/>
  <c r="J1088" i="17" s="1"/>
  <c r="F1087" i="17"/>
  <c r="E1087" i="17"/>
  <c r="C1087" i="17"/>
  <c r="J1087" i="17" s="1"/>
  <c r="F1086" i="17"/>
  <c r="E1086" i="17"/>
  <c r="C1086" i="17"/>
  <c r="J1086" i="17" s="1"/>
  <c r="F1085" i="17"/>
  <c r="E1085" i="17"/>
  <c r="C1085" i="17"/>
  <c r="J1085" i="17" s="1"/>
  <c r="F1084" i="17"/>
  <c r="E1084" i="17"/>
  <c r="C1084" i="17"/>
  <c r="J1084" i="17" s="1"/>
  <c r="F1083" i="17"/>
  <c r="E1083" i="17"/>
  <c r="C1083" i="17"/>
  <c r="J1083" i="17" s="1"/>
  <c r="F1082" i="17"/>
  <c r="H1082" i="17" s="1"/>
  <c r="E1082" i="17"/>
  <c r="C1082" i="17"/>
  <c r="J1082" i="17" s="1"/>
  <c r="F1081" i="17"/>
  <c r="E1081" i="17"/>
  <c r="C1081" i="17"/>
  <c r="J1081" i="17" s="1"/>
  <c r="F1080" i="17"/>
  <c r="E1080" i="17"/>
  <c r="C1080" i="17"/>
  <c r="J1080" i="17" s="1"/>
  <c r="F1079" i="17"/>
  <c r="E1079" i="17"/>
  <c r="C1079" i="17"/>
  <c r="J1079" i="17" s="1"/>
  <c r="F1078" i="17"/>
  <c r="E1078" i="17"/>
  <c r="C1078" i="17"/>
  <c r="J1078" i="17" s="1"/>
  <c r="F1077" i="17"/>
  <c r="E1077" i="17"/>
  <c r="H1077" i="17" s="1"/>
  <c r="C1077" i="17"/>
  <c r="J1077" i="17" s="1"/>
  <c r="F1076" i="17"/>
  <c r="E1076" i="17"/>
  <c r="C1076" i="17"/>
  <c r="J1076" i="17" s="1"/>
  <c r="F1075" i="17"/>
  <c r="E1075" i="17"/>
  <c r="C1075" i="17"/>
  <c r="J1075" i="17" s="1"/>
  <c r="F1074" i="17"/>
  <c r="E1074" i="17"/>
  <c r="C1074" i="17"/>
  <c r="J1074" i="17" s="1"/>
  <c r="F1073" i="17"/>
  <c r="E1073" i="17"/>
  <c r="C1073" i="17"/>
  <c r="J1073" i="17" s="1"/>
  <c r="F1072" i="17"/>
  <c r="E1072" i="17"/>
  <c r="C1072" i="17"/>
  <c r="J1072" i="17" s="1"/>
  <c r="F1071" i="17"/>
  <c r="E1071" i="17"/>
  <c r="C1071" i="17"/>
  <c r="J1071" i="17" s="1"/>
  <c r="F1070" i="17"/>
  <c r="E1070" i="17"/>
  <c r="C1070" i="17"/>
  <c r="J1070" i="17" s="1"/>
  <c r="F1069" i="17"/>
  <c r="E1069" i="17"/>
  <c r="H1069" i="17" s="1"/>
  <c r="C1069" i="17"/>
  <c r="J1069" i="17" s="1"/>
  <c r="F1068" i="17"/>
  <c r="E1068" i="17"/>
  <c r="C1068" i="17"/>
  <c r="J1068" i="17" s="1"/>
  <c r="F1067" i="17"/>
  <c r="E1067" i="17"/>
  <c r="C1067" i="17"/>
  <c r="J1067" i="17" s="1"/>
  <c r="F1066" i="17"/>
  <c r="E1066" i="17"/>
  <c r="C1066" i="17"/>
  <c r="J1066" i="17" s="1"/>
  <c r="H1065" i="17"/>
  <c r="F1065" i="17"/>
  <c r="E1065" i="17"/>
  <c r="C1065" i="17"/>
  <c r="J1065" i="17" s="1"/>
  <c r="F1064" i="17"/>
  <c r="E1064" i="17"/>
  <c r="C1064" i="17"/>
  <c r="J1064" i="17" s="1"/>
  <c r="F1063" i="17"/>
  <c r="E1063" i="17"/>
  <c r="C1063" i="17"/>
  <c r="J1063" i="17" s="1"/>
  <c r="F1062" i="17"/>
  <c r="E1062" i="17"/>
  <c r="C1062" i="17"/>
  <c r="J1062" i="17" s="1"/>
  <c r="F1061" i="17"/>
  <c r="E1061" i="17"/>
  <c r="C1061" i="17"/>
  <c r="J1061" i="17" s="1"/>
  <c r="F1060" i="17"/>
  <c r="E1060" i="17"/>
  <c r="C1060" i="17"/>
  <c r="J1060" i="17" s="1"/>
  <c r="F1059" i="17"/>
  <c r="E1059" i="17"/>
  <c r="C1059" i="17"/>
  <c r="J1059" i="17" s="1"/>
  <c r="F1058" i="17"/>
  <c r="E1058" i="17"/>
  <c r="C1058" i="17"/>
  <c r="J1058" i="17" s="1"/>
  <c r="F1057" i="17"/>
  <c r="E1057" i="17"/>
  <c r="H1057" i="17" s="1"/>
  <c r="C1057" i="17"/>
  <c r="J1057" i="17" s="1"/>
  <c r="F1056" i="17"/>
  <c r="E1056" i="17"/>
  <c r="C1056" i="17"/>
  <c r="J1056" i="17" s="1"/>
  <c r="F1055" i="17"/>
  <c r="E1055" i="17"/>
  <c r="C1055" i="17"/>
  <c r="J1055" i="17" s="1"/>
  <c r="F1054" i="17"/>
  <c r="E1054" i="17"/>
  <c r="C1054" i="17"/>
  <c r="J1054" i="17" s="1"/>
  <c r="F1053" i="17"/>
  <c r="E1053" i="17"/>
  <c r="H1053" i="17" s="1"/>
  <c r="C1053" i="17"/>
  <c r="J1053" i="17" s="1"/>
  <c r="F1052" i="17"/>
  <c r="E1052" i="17"/>
  <c r="C1052" i="17"/>
  <c r="J1052" i="17" s="1"/>
  <c r="F1051" i="17"/>
  <c r="E1051" i="17"/>
  <c r="C1051" i="17"/>
  <c r="J1051" i="17" s="1"/>
  <c r="F1050" i="17"/>
  <c r="E1050" i="17"/>
  <c r="C1050" i="17"/>
  <c r="J1050" i="17" s="1"/>
  <c r="F1049" i="17"/>
  <c r="E1049" i="17"/>
  <c r="C1049" i="17"/>
  <c r="J1049" i="17" s="1"/>
  <c r="F1048" i="17"/>
  <c r="E1048" i="17"/>
  <c r="C1048" i="17"/>
  <c r="J1048" i="17" s="1"/>
  <c r="F1047" i="17"/>
  <c r="E1047" i="17"/>
  <c r="C1047" i="17"/>
  <c r="J1047" i="17" s="1"/>
  <c r="F1046" i="17"/>
  <c r="E1046" i="17"/>
  <c r="C1046" i="17"/>
  <c r="J1046" i="17" s="1"/>
  <c r="F1045" i="17"/>
  <c r="E1045" i="17"/>
  <c r="C1045" i="17"/>
  <c r="J1045" i="17" s="1"/>
  <c r="F1044" i="17"/>
  <c r="E1044" i="17"/>
  <c r="C1044" i="17"/>
  <c r="J1044" i="17" s="1"/>
  <c r="F1043" i="17"/>
  <c r="E1043" i="17"/>
  <c r="C1043" i="17"/>
  <c r="J1043" i="17" s="1"/>
  <c r="F1042" i="17"/>
  <c r="E1042" i="17"/>
  <c r="C1042" i="17"/>
  <c r="J1042" i="17" s="1"/>
  <c r="F1041" i="17"/>
  <c r="E1041" i="17"/>
  <c r="C1041" i="17"/>
  <c r="J1041" i="17" s="1"/>
  <c r="F1040" i="17"/>
  <c r="E1040" i="17"/>
  <c r="C1040" i="17"/>
  <c r="J1040" i="17" s="1"/>
  <c r="F1039" i="17"/>
  <c r="E1039" i="17"/>
  <c r="C1039" i="17"/>
  <c r="J1039" i="17" s="1"/>
  <c r="F1038" i="17"/>
  <c r="E1038" i="17"/>
  <c r="C1038" i="17"/>
  <c r="J1038" i="17" s="1"/>
  <c r="F1037" i="17"/>
  <c r="E1037" i="17"/>
  <c r="C1037" i="17"/>
  <c r="J1037" i="17" s="1"/>
  <c r="F1036" i="17"/>
  <c r="E1036" i="17"/>
  <c r="C1036" i="17"/>
  <c r="J1036" i="17" s="1"/>
  <c r="F1035" i="17"/>
  <c r="E1035" i="17"/>
  <c r="C1035" i="17"/>
  <c r="J1035" i="17" s="1"/>
  <c r="F1034" i="17"/>
  <c r="E1034" i="17"/>
  <c r="C1034" i="17"/>
  <c r="J1034" i="17" s="1"/>
  <c r="F1033" i="17"/>
  <c r="E1033" i="17"/>
  <c r="C1033" i="17"/>
  <c r="J1033" i="17" s="1"/>
  <c r="F1032" i="17"/>
  <c r="E1032" i="17"/>
  <c r="C1032" i="17"/>
  <c r="J1032" i="17" s="1"/>
  <c r="F1031" i="17"/>
  <c r="E1031" i="17"/>
  <c r="C1031" i="17"/>
  <c r="J1031" i="17" s="1"/>
  <c r="F1030" i="17"/>
  <c r="E1030" i="17"/>
  <c r="C1030" i="17"/>
  <c r="J1030" i="17" s="1"/>
  <c r="F1029" i="17"/>
  <c r="E1029" i="17"/>
  <c r="C1029" i="17"/>
  <c r="J1029" i="17" s="1"/>
  <c r="F1028" i="17"/>
  <c r="E1028" i="17"/>
  <c r="C1028" i="17"/>
  <c r="J1028" i="17" s="1"/>
  <c r="F1027" i="17"/>
  <c r="E1027" i="17"/>
  <c r="C1027" i="17"/>
  <c r="J1027" i="17" s="1"/>
  <c r="F1026" i="17"/>
  <c r="E1026" i="17"/>
  <c r="C1026" i="17"/>
  <c r="J1026" i="17" s="1"/>
  <c r="F1025" i="17"/>
  <c r="E1025" i="17"/>
  <c r="C1025" i="17"/>
  <c r="J1025" i="17" s="1"/>
  <c r="F1024" i="17"/>
  <c r="E1024" i="17"/>
  <c r="C1024" i="17"/>
  <c r="J1024" i="17" s="1"/>
  <c r="F1023" i="17"/>
  <c r="E1023" i="17"/>
  <c r="C1023" i="17"/>
  <c r="J1023" i="17" s="1"/>
  <c r="F1022" i="17"/>
  <c r="E1022" i="17"/>
  <c r="C1022" i="17"/>
  <c r="J1022" i="17" s="1"/>
  <c r="F1021" i="17"/>
  <c r="E1021" i="17"/>
  <c r="C1021" i="17"/>
  <c r="J1021" i="17" s="1"/>
  <c r="F1020" i="17"/>
  <c r="E1020" i="17"/>
  <c r="C1020" i="17"/>
  <c r="J1020" i="17" s="1"/>
  <c r="F1019" i="17"/>
  <c r="E1019" i="17"/>
  <c r="C1019" i="17"/>
  <c r="J1019" i="17" s="1"/>
  <c r="F1018" i="17"/>
  <c r="E1018" i="17"/>
  <c r="C1018" i="17"/>
  <c r="J1018" i="17" s="1"/>
  <c r="F1017" i="17"/>
  <c r="E1017" i="17"/>
  <c r="C1017" i="17"/>
  <c r="J1017" i="17" s="1"/>
  <c r="F1016" i="17"/>
  <c r="E1016" i="17"/>
  <c r="C1016" i="17"/>
  <c r="J1016" i="17" s="1"/>
  <c r="F1015" i="17"/>
  <c r="E1015" i="17"/>
  <c r="C1015" i="17"/>
  <c r="J1015" i="17" s="1"/>
  <c r="F1014" i="17"/>
  <c r="H1014" i="17" s="1"/>
  <c r="E1014" i="17"/>
  <c r="C1014" i="17"/>
  <c r="J1014" i="17" s="1"/>
  <c r="F1013" i="17"/>
  <c r="E1013" i="17"/>
  <c r="C1013" i="17"/>
  <c r="J1013" i="17" s="1"/>
  <c r="F1012" i="17"/>
  <c r="E1012" i="17"/>
  <c r="C1012" i="17"/>
  <c r="J1012" i="17" s="1"/>
  <c r="F1011" i="17"/>
  <c r="E1011" i="17"/>
  <c r="C1011" i="17"/>
  <c r="J1011" i="17" s="1"/>
  <c r="F1010" i="17"/>
  <c r="E1010" i="17"/>
  <c r="C1010" i="17"/>
  <c r="J1010" i="17" s="1"/>
  <c r="F1009" i="17"/>
  <c r="E1009" i="17"/>
  <c r="C1009" i="17"/>
  <c r="J1009" i="17" s="1"/>
  <c r="F1008" i="17"/>
  <c r="E1008" i="17"/>
  <c r="C1008" i="17"/>
  <c r="J1008" i="17" s="1"/>
  <c r="F1007" i="17"/>
  <c r="E1007" i="17"/>
  <c r="C1007" i="17"/>
  <c r="J1007" i="17" s="1"/>
  <c r="F1006" i="17"/>
  <c r="E1006" i="17"/>
  <c r="C1006" i="17"/>
  <c r="J1006" i="17" s="1"/>
  <c r="F1005" i="17"/>
  <c r="E1005" i="17"/>
  <c r="C1005" i="17"/>
  <c r="J1005" i="17" s="1"/>
  <c r="F1004" i="17"/>
  <c r="E1004" i="17"/>
  <c r="H1004" i="17" s="1"/>
  <c r="C1004" i="17"/>
  <c r="J1004" i="17" s="1"/>
  <c r="F1003" i="17"/>
  <c r="E1003" i="17"/>
  <c r="C1003" i="17"/>
  <c r="J1003" i="17" s="1"/>
  <c r="F1002" i="17"/>
  <c r="E1002" i="17"/>
  <c r="C1002" i="17"/>
  <c r="J1002" i="17" s="1"/>
  <c r="F1001" i="17"/>
  <c r="E1001" i="17"/>
  <c r="C1001" i="17"/>
  <c r="J1001" i="17" s="1"/>
  <c r="F1000" i="17"/>
  <c r="E1000" i="17"/>
  <c r="C1000" i="17"/>
  <c r="J1000" i="17" s="1"/>
  <c r="F999" i="17"/>
  <c r="E999" i="17"/>
  <c r="C999" i="17"/>
  <c r="J999" i="17" s="1"/>
  <c r="F998" i="17"/>
  <c r="E998" i="17"/>
  <c r="C998" i="17"/>
  <c r="J998" i="17" s="1"/>
  <c r="F997" i="17"/>
  <c r="E997" i="17"/>
  <c r="C997" i="17"/>
  <c r="J997" i="17" s="1"/>
  <c r="F996" i="17"/>
  <c r="E996" i="17"/>
  <c r="H996" i="17" s="1"/>
  <c r="C996" i="17"/>
  <c r="J996" i="17" s="1"/>
  <c r="F995" i="17"/>
  <c r="E995" i="17"/>
  <c r="C995" i="17"/>
  <c r="J995" i="17" s="1"/>
  <c r="F994" i="17"/>
  <c r="E994" i="17"/>
  <c r="C994" i="17"/>
  <c r="J994" i="17" s="1"/>
  <c r="F993" i="17"/>
  <c r="E993" i="17"/>
  <c r="C993" i="17"/>
  <c r="J993" i="17" s="1"/>
  <c r="F992" i="17"/>
  <c r="E992" i="17"/>
  <c r="C992" i="17"/>
  <c r="J992" i="17" s="1"/>
  <c r="F991" i="17"/>
  <c r="E991" i="17"/>
  <c r="C991" i="17"/>
  <c r="J991" i="17" s="1"/>
  <c r="F990" i="17"/>
  <c r="E990" i="17"/>
  <c r="C990" i="17"/>
  <c r="J990" i="17" s="1"/>
  <c r="F989" i="17"/>
  <c r="E989" i="17"/>
  <c r="C989" i="17"/>
  <c r="J989" i="17" s="1"/>
  <c r="F988" i="17"/>
  <c r="E988" i="17"/>
  <c r="C988" i="17"/>
  <c r="J988" i="17" s="1"/>
  <c r="F987" i="17"/>
  <c r="E987" i="17"/>
  <c r="C987" i="17"/>
  <c r="J987" i="17" s="1"/>
  <c r="F986" i="17"/>
  <c r="E986" i="17"/>
  <c r="C986" i="17"/>
  <c r="J986" i="17" s="1"/>
  <c r="F985" i="17"/>
  <c r="E985" i="17"/>
  <c r="C985" i="17"/>
  <c r="J985" i="17" s="1"/>
  <c r="F984" i="17"/>
  <c r="E984" i="17"/>
  <c r="C984" i="17"/>
  <c r="J984" i="17" s="1"/>
  <c r="F983" i="17"/>
  <c r="E983" i="17"/>
  <c r="C983" i="17"/>
  <c r="J983" i="17" s="1"/>
  <c r="F982" i="17"/>
  <c r="E982" i="17"/>
  <c r="H982" i="17" s="1"/>
  <c r="C982" i="17"/>
  <c r="J982" i="17" s="1"/>
  <c r="F981" i="17"/>
  <c r="E981" i="17"/>
  <c r="C981" i="17"/>
  <c r="J981" i="17" s="1"/>
  <c r="F980" i="17"/>
  <c r="E980" i="17"/>
  <c r="C980" i="17"/>
  <c r="J980" i="17" s="1"/>
  <c r="F979" i="17"/>
  <c r="H979" i="17" s="1"/>
  <c r="E979" i="17"/>
  <c r="C979" i="17"/>
  <c r="J979" i="17" s="1"/>
  <c r="F978" i="17"/>
  <c r="E978" i="17"/>
  <c r="C978" i="17"/>
  <c r="J978" i="17" s="1"/>
  <c r="F977" i="17"/>
  <c r="E977" i="17"/>
  <c r="C977" i="17"/>
  <c r="J977" i="17" s="1"/>
  <c r="F976" i="17"/>
  <c r="E976" i="17"/>
  <c r="C976" i="17"/>
  <c r="J976" i="17" s="1"/>
  <c r="F975" i="17"/>
  <c r="E975" i="17"/>
  <c r="C975" i="17"/>
  <c r="J975" i="17" s="1"/>
  <c r="F974" i="17"/>
  <c r="E974" i="17"/>
  <c r="C974" i="17"/>
  <c r="J974" i="17" s="1"/>
  <c r="F973" i="17"/>
  <c r="E973" i="17"/>
  <c r="C973" i="17"/>
  <c r="J973" i="17" s="1"/>
  <c r="F972" i="17"/>
  <c r="E972" i="17"/>
  <c r="C972" i="17"/>
  <c r="J972" i="17" s="1"/>
  <c r="F971" i="17"/>
  <c r="E971" i="17"/>
  <c r="C971" i="17"/>
  <c r="J971" i="17" s="1"/>
  <c r="F970" i="17"/>
  <c r="E970" i="17"/>
  <c r="C970" i="17"/>
  <c r="J970" i="17" s="1"/>
  <c r="F969" i="17"/>
  <c r="E969" i="17"/>
  <c r="C969" i="17"/>
  <c r="J969" i="17" s="1"/>
  <c r="F968" i="17"/>
  <c r="E968" i="17"/>
  <c r="C968" i="17"/>
  <c r="J968" i="17" s="1"/>
  <c r="F967" i="17"/>
  <c r="E967" i="17"/>
  <c r="C967" i="17"/>
  <c r="J967" i="17" s="1"/>
  <c r="F966" i="17"/>
  <c r="E966" i="17"/>
  <c r="C966" i="17"/>
  <c r="J966" i="17" s="1"/>
  <c r="F965" i="17"/>
  <c r="E965" i="17"/>
  <c r="H965" i="17" s="1"/>
  <c r="C965" i="17"/>
  <c r="J965" i="17" s="1"/>
  <c r="F964" i="17"/>
  <c r="E964" i="17"/>
  <c r="C964" i="17"/>
  <c r="J964" i="17" s="1"/>
  <c r="F963" i="17"/>
  <c r="E963" i="17"/>
  <c r="C963" i="17"/>
  <c r="J963" i="17" s="1"/>
  <c r="F962" i="17"/>
  <c r="E962" i="17"/>
  <c r="C962" i="17"/>
  <c r="J962" i="17" s="1"/>
  <c r="F961" i="17"/>
  <c r="E961" i="17"/>
  <c r="C961" i="17"/>
  <c r="J961" i="17" s="1"/>
  <c r="F960" i="17"/>
  <c r="E960" i="17"/>
  <c r="C960" i="17"/>
  <c r="J960" i="17" s="1"/>
  <c r="F959" i="17"/>
  <c r="E959" i="17"/>
  <c r="C959" i="17"/>
  <c r="J959" i="17" s="1"/>
  <c r="F958" i="17"/>
  <c r="E958" i="17"/>
  <c r="C958" i="17"/>
  <c r="J958" i="17" s="1"/>
  <c r="F957" i="17"/>
  <c r="E957" i="17"/>
  <c r="C957" i="17"/>
  <c r="J957" i="17" s="1"/>
  <c r="F956" i="17"/>
  <c r="E956" i="17"/>
  <c r="C956" i="17"/>
  <c r="J956" i="17" s="1"/>
  <c r="F955" i="17"/>
  <c r="E955" i="17"/>
  <c r="C955" i="17"/>
  <c r="J955" i="17" s="1"/>
  <c r="F954" i="17"/>
  <c r="H954" i="17" s="1"/>
  <c r="E954" i="17"/>
  <c r="C954" i="17"/>
  <c r="J954" i="17" s="1"/>
  <c r="F953" i="17"/>
  <c r="E953" i="17"/>
  <c r="C953" i="17"/>
  <c r="J953" i="17" s="1"/>
  <c r="F952" i="17"/>
  <c r="E952" i="17"/>
  <c r="C952" i="17"/>
  <c r="J952" i="17" s="1"/>
  <c r="F951" i="17"/>
  <c r="E951" i="17"/>
  <c r="C951" i="17"/>
  <c r="J951" i="17" s="1"/>
  <c r="F950" i="17"/>
  <c r="E950" i="17"/>
  <c r="C950" i="17"/>
  <c r="J950" i="17" s="1"/>
  <c r="F949" i="17"/>
  <c r="E949" i="17"/>
  <c r="C949" i="17"/>
  <c r="J949" i="17" s="1"/>
  <c r="F948" i="17"/>
  <c r="E948" i="17"/>
  <c r="C948" i="17"/>
  <c r="J948" i="17" s="1"/>
  <c r="F947" i="17"/>
  <c r="E947" i="17"/>
  <c r="C947" i="17"/>
  <c r="J947" i="17" s="1"/>
  <c r="F946" i="17"/>
  <c r="E946" i="17"/>
  <c r="C946" i="17"/>
  <c r="J946" i="17" s="1"/>
  <c r="F945" i="17"/>
  <c r="E945" i="17"/>
  <c r="C945" i="17"/>
  <c r="J945" i="17" s="1"/>
  <c r="F944" i="17"/>
  <c r="E944" i="17"/>
  <c r="C944" i="17"/>
  <c r="J944" i="17" s="1"/>
  <c r="J943" i="17"/>
  <c r="F943" i="17"/>
  <c r="E943" i="17"/>
  <c r="C943" i="17"/>
  <c r="F942" i="17"/>
  <c r="E942" i="17"/>
  <c r="C942" i="17"/>
  <c r="J942" i="17" s="1"/>
  <c r="F941" i="17"/>
  <c r="E941" i="17"/>
  <c r="C941" i="17"/>
  <c r="J941" i="17" s="1"/>
  <c r="F940" i="17"/>
  <c r="E940" i="17"/>
  <c r="C940" i="17"/>
  <c r="J940" i="17" s="1"/>
  <c r="F939" i="17"/>
  <c r="E939" i="17"/>
  <c r="C939" i="17"/>
  <c r="J939" i="17" s="1"/>
  <c r="F938" i="17"/>
  <c r="E938" i="17"/>
  <c r="C938" i="17"/>
  <c r="J938" i="17" s="1"/>
  <c r="F937" i="17"/>
  <c r="E937" i="17"/>
  <c r="C937" i="17"/>
  <c r="J937" i="17" s="1"/>
  <c r="F936" i="17"/>
  <c r="E936" i="17"/>
  <c r="C936" i="17"/>
  <c r="J936" i="17" s="1"/>
  <c r="F935" i="17"/>
  <c r="E935" i="17"/>
  <c r="C935" i="17"/>
  <c r="J935" i="17" s="1"/>
  <c r="F934" i="17"/>
  <c r="E934" i="17"/>
  <c r="C934" i="17"/>
  <c r="J934" i="17" s="1"/>
  <c r="F933" i="17"/>
  <c r="E933" i="17"/>
  <c r="C933" i="17"/>
  <c r="J933" i="17" s="1"/>
  <c r="F932" i="17"/>
  <c r="E932" i="17"/>
  <c r="C932" i="17"/>
  <c r="J932" i="17" s="1"/>
  <c r="F931" i="17"/>
  <c r="E931" i="17"/>
  <c r="C931" i="17"/>
  <c r="J931" i="17" s="1"/>
  <c r="F930" i="17"/>
  <c r="E930" i="17"/>
  <c r="C930" i="17"/>
  <c r="J930" i="17" s="1"/>
  <c r="F929" i="17"/>
  <c r="E929" i="17"/>
  <c r="C929" i="17"/>
  <c r="J929" i="17" s="1"/>
  <c r="F928" i="17"/>
  <c r="E928" i="17"/>
  <c r="C928" i="17"/>
  <c r="J928" i="17" s="1"/>
  <c r="F927" i="17"/>
  <c r="E927" i="17"/>
  <c r="C927" i="17"/>
  <c r="J927" i="17" s="1"/>
  <c r="F926" i="17"/>
  <c r="E926" i="17"/>
  <c r="C926" i="17"/>
  <c r="J926" i="17" s="1"/>
  <c r="F925" i="17"/>
  <c r="E925" i="17"/>
  <c r="C925" i="17"/>
  <c r="J925" i="17" s="1"/>
  <c r="F924" i="17"/>
  <c r="E924" i="17"/>
  <c r="C924" i="17"/>
  <c r="J924" i="17" s="1"/>
  <c r="F923" i="17"/>
  <c r="E923" i="17"/>
  <c r="C923" i="17"/>
  <c r="J923" i="17" s="1"/>
  <c r="F922" i="17"/>
  <c r="E922" i="17"/>
  <c r="C922" i="17"/>
  <c r="J922" i="17" s="1"/>
  <c r="F921" i="17"/>
  <c r="E921" i="17"/>
  <c r="C921" i="17"/>
  <c r="J921" i="17" s="1"/>
  <c r="F920" i="17"/>
  <c r="E920" i="17"/>
  <c r="C920" i="17"/>
  <c r="J920" i="17" s="1"/>
  <c r="F919" i="17"/>
  <c r="E919" i="17"/>
  <c r="C919" i="17"/>
  <c r="J919" i="17" s="1"/>
  <c r="F918" i="17"/>
  <c r="E918" i="17"/>
  <c r="C918" i="17"/>
  <c r="J918" i="17" s="1"/>
  <c r="F917" i="17"/>
  <c r="E917" i="17"/>
  <c r="C917" i="17"/>
  <c r="J917" i="17" s="1"/>
  <c r="F916" i="17"/>
  <c r="E916" i="17"/>
  <c r="C916" i="17"/>
  <c r="J916" i="17" s="1"/>
  <c r="F915" i="17"/>
  <c r="E915" i="17"/>
  <c r="C915" i="17"/>
  <c r="J915" i="17" s="1"/>
  <c r="F914" i="17"/>
  <c r="E914" i="17"/>
  <c r="C914" i="17"/>
  <c r="J914" i="17" s="1"/>
  <c r="F913" i="17"/>
  <c r="E913" i="17"/>
  <c r="C913" i="17"/>
  <c r="J913" i="17" s="1"/>
  <c r="F912" i="17"/>
  <c r="E912" i="17"/>
  <c r="C912" i="17"/>
  <c r="J912" i="17" s="1"/>
  <c r="F911" i="17"/>
  <c r="E911" i="17"/>
  <c r="C911" i="17"/>
  <c r="J911" i="17" s="1"/>
  <c r="F910" i="17"/>
  <c r="E910" i="17"/>
  <c r="C910" i="17"/>
  <c r="J910" i="17" s="1"/>
  <c r="F909" i="17"/>
  <c r="E909" i="17"/>
  <c r="C909" i="17"/>
  <c r="J909" i="17" s="1"/>
  <c r="F908" i="17"/>
  <c r="E908" i="17"/>
  <c r="C908" i="17"/>
  <c r="J908" i="17" s="1"/>
  <c r="F907" i="17"/>
  <c r="E907" i="17"/>
  <c r="C907" i="17"/>
  <c r="J907" i="17" s="1"/>
  <c r="F906" i="17"/>
  <c r="E906" i="17"/>
  <c r="C906" i="17"/>
  <c r="J906" i="17" s="1"/>
  <c r="J905" i="17"/>
  <c r="F905" i="17"/>
  <c r="H905" i="17" s="1"/>
  <c r="E905" i="17"/>
  <c r="C905" i="17"/>
  <c r="F904" i="17"/>
  <c r="E904" i="17"/>
  <c r="C904" i="17"/>
  <c r="J904" i="17" s="1"/>
  <c r="F903" i="17"/>
  <c r="E903" i="17"/>
  <c r="C903" i="17"/>
  <c r="J903" i="17" s="1"/>
  <c r="F902" i="17"/>
  <c r="E902" i="17"/>
  <c r="C902" i="17"/>
  <c r="J902" i="17" s="1"/>
  <c r="F901" i="17"/>
  <c r="E901" i="17"/>
  <c r="C901" i="17"/>
  <c r="J901" i="17" s="1"/>
  <c r="F900" i="17"/>
  <c r="E900" i="17"/>
  <c r="C900" i="17"/>
  <c r="J900" i="17" s="1"/>
  <c r="F899" i="17"/>
  <c r="E899" i="17"/>
  <c r="C899" i="17"/>
  <c r="J899" i="17" s="1"/>
  <c r="F898" i="17"/>
  <c r="E898" i="17"/>
  <c r="C898" i="17"/>
  <c r="J898" i="17" s="1"/>
  <c r="F897" i="17"/>
  <c r="E897" i="17"/>
  <c r="C897" i="17"/>
  <c r="J897" i="17" s="1"/>
  <c r="F896" i="17"/>
  <c r="E896" i="17"/>
  <c r="C896" i="17"/>
  <c r="J896" i="17" s="1"/>
  <c r="F895" i="17"/>
  <c r="E895" i="17"/>
  <c r="C895" i="17"/>
  <c r="J895" i="17" s="1"/>
  <c r="F894" i="17"/>
  <c r="E894" i="17"/>
  <c r="C894" i="17"/>
  <c r="J894" i="17" s="1"/>
  <c r="F893" i="17"/>
  <c r="E893" i="17"/>
  <c r="C893" i="17"/>
  <c r="J893" i="17" s="1"/>
  <c r="F892" i="17"/>
  <c r="E892" i="17"/>
  <c r="C892" i="17"/>
  <c r="J892" i="17" s="1"/>
  <c r="F891" i="17"/>
  <c r="E891" i="17"/>
  <c r="C891" i="17"/>
  <c r="J891" i="17" s="1"/>
  <c r="F890" i="17"/>
  <c r="E890" i="17"/>
  <c r="C890" i="17"/>
  <c r="J890" i="17" s="1"/>
  <c r="F889" i="17"/>
  <c r="H889" i="17" s="1"/>
  <c r="E889" i="17"/>
  <c r="C889" i="17"/>
  <c r="J889" i="17" s="1"/>
  <c r="F888" i="17"/>
  <c r="E888" i="17"/>
  <c r="C888" i="17"/>
  <c r="J888" i="17" s="1"/>
  <c r="F887" i="17"/>
  <c r="E887" i="17"/>
  <c r="C887" i="17"/>
  <c r="J887" i="17" s="1"/>
  <c r="F886" i="17"/>
  <c r="E886" i="17"/>
  <c r="C886" i="17"/>
  <c r="J886" i="17" s="1"/>
  <c r="F885" i="17"/>
  <c r="E885" i="17"/>
  <c r="C885" i="17"/>
  <c r="J885" i="17" s="1"/>
  <c r="F884" i="17"/>
  <c r="E884" i="17"/>
  <c r="C884" i="17"/>
  <c r="J884" i="17" s="1"/>
  <c r="F883" i="17"/>
  <c r="E883" i="17"/>
  <c r="C883" i="17"/>
  <c r="J883" i="17" s="1"/>
  <c r="F882" i="17"/>
  <c r="E882" i="17"/>
  <c r="C882" i="17"/>
  <c r="J882" i="17" s="1"/>
  <c r="F881" i="17"/>
  <c r="E881" i="17"/>
  <c r="C881" i="17"/>
  <c r="J881" i="17" s="1"/>
  <c r="F880" i="17"/>
  <c r="E880" i="17"/>
  <c r="C880" i="17"/>
  <c r="J880" i="17" s="1"/>
  <c r="F879" i="17"/>
  <c r="E879" i="17"/>
  <c r="C879" i="17"/>
  <c r="J879" i="17" s="1"/>
  <c r="F878" i="17"/>
  <c r="E878" i="17"/>
  <c r="C878" i="17"/>
  <c r="J878" i="17" s="1"/>
  <c r="F877" i="17"/>
  <c r="E877" i="17"/>
  <c r="C877" i="17"/>
  <c r="J877" i="17" s="1"/>
  <c r="F876" i="17"/>
  <c r="E876" i="17"/>
  <c r="C876" i="17"/>
  <c r="J876" i="17" s="1"/>
  <c r="F875" i="17"/>
  <c r="E875" i="17"/>
  <c r="C875" i="17"/>
  <c r="J875" i="17" s="1"/>
  <c r="F874" i="17"/>
  <c r="E874" i="17"/>
  <c r="C874" i="17"/>
  <c r="J874" i="17" s="1"/>
  <c r="F873" i="17"/>
  <c r="E873" i="17"/>
  <c r="C873" i="17"/>
  <c r="J873" i="17" s="1"/>
  <c r="F872" i="17"/>
  <c r="E872" i="17"/>
  <c r="C872" i="17"/>
  <c r="J872" i="17" s="1"/>
  <c r="F871" i="17"/>
  <c r="E871" i="17"/>
  <c r="C871" i="17"/>
  <c r="J871" i="17" s="1"/>
  <c r="F870" i="17"/>
  <c r="E870" i="17"/>
  <c r="C870" i="17"/>
  <c r="J870" i="17" s="1"/>
  <c r="F869" i="17"/>
  <c r="E869" i="17"/>
  <c r="C869" i="17"/>
  <c r="J869" i="17" s="1"/>
  <c r="F868" i="17"/>
  <c r="E868" i="17"/>
  <c r="C868" i="17"/>
  <c r="J868" i="17" s="1"/>
  <c r="F867" i="17"/>
  <c r="E867" i="17"/>
  <c r="C867" i="17"/>
  <c r="J867" i="17" s="1"/>
  <c r="F866" i="17"/>
  <c r="E866" i="17"/>
  <c r="C866" i="17"/>
  <c r="J866" i="17" s="1"/>
  <c r="F865" i="17"/>
  <c r="E865" i="17"/>
  <c r="C865" i="17"/>
  <c r="J865" i="17" s="1"/>
  <c r="F864" i="17"/>
  <c r="E864" i="17"/>
  <c r="C864" i="17"/>
  <c r="J864" i="17" s="1"/>
  <c r="F863" i="17"/>
  <c r="E863" i="17"/>
  <c r="C863" i="17"/>
  <c r="J863" i="17" s="1"/>
  <c r="F862" i="17"/>
  <c r="E862" i="17"/>
  <c r="C862" i="17"/>
  <c r="J862" i="17" s="1"/>
  <c r="F861" i="17"/>
  <c r="E861" i="17"/>
  <c r="C861" i="17"/>
  <c r="J861" i="17" s="1"/>
  <c r="F860" i="17"/>
  <c r="E860" i="17"/>
  <c r="C860" i="17"/>
  <c r="J860" i="17" s="1"/>
  <c r="F859" i="17"/>
  <c r="E859" i="17"/>
  <c r="C859" i="17"/>
  <c r="J859" i="17" s="1"/>
  <c r="F858" i="17"/>
  <c r="E858" i="17"/>
  <c r="C858" i="17"/>
  <c r="J858" i="17" s="1"/>
  <c r="F857" i="17"/>
  <c r="E857" i="17"/>
  <c r="C857" i="17"/>
  <c r="J857" i="17" s="1"/>
  <c r="F856" i="17"/>
  <c r="E856" i="17"/>
  <c r="C856" i="17"/>
  <c r="J856" i="17" s="1"/>
  <c r="F855" i="17"/>
  <c r="E855" i="17"/>
  <c r="C855" i="17"/>
  <c r="J855" i="17" s="1"/>
  <c r="F854" i="17"/>
  <c r="H854" i="17" s="1"/>
  <c r="E854" i="17"/>
  <c r="C854" i="17"/>
  <c r="J854" i="17" s="1"/>
  <c r="F853" i="17"/>
  <c r="E853" i="17"/>
  <c r="C853" i="17"/>
  <c r="J853" i="17" s="1"/>
  <c r="F852" i="17"/>
  <c r="E852" i="17"/>
  <c r="C852" i="17"/>
  <c r="J852" i="17" s="1"/>
  <c r="F851" i="17"/>
  <c r="E851" i="17"/>
  <c r="C851" i="17"/>
  <c r="J851" i="17" s="1"/>
  <c r="F850" i="17"/>
  <c r="E850" i="17"/>
  <c r="C850" i="17"/>
  <c r="J850" i="17" s="1"/>
  <c r="F849" i="17"/>
  <c r="H849" i="17" s="1"/>
  <c r="E849" i="17"/>
  <c r="C849" i="17"/>
  <c r="J849" i="17" s="1"/>
  <c r="F848" i="17"/>
  <c r="E848" i="17"/>
  <c r="C848" i="17"/>
  <c r="J848" i="17" s="1"/>
  <c r="F847" i="17"/>
  <c r="E847" i="17"/>
  <c r="C847" i="17"/>
  <c r="J847" i="17" s="1"/>
  <c r="F846" i="17"/>
  <c r="E846" i="17"/>
  <c r="C846" i="17"/>
  <c r="J846" i="17" s="1"/>
  <c r="F845" i="17"/>
  <c r="H845" i="17" s="1"/>
  <c r="E845" i="17"/>
  <c r="C845" i="17"/>
  <c r="J845" i="17" s="1"/>
  <c r="F844" i="17"/>
  <c r="E844" i="17"/>
  <c r="C844" i="17"/>
  <c r="J844" i="17" s="1"/>
  <c r="F843" i="17"/>
  <c r="H843" i="17" s="1"/>
  <c r="E843" i="17"/>
  <c r="C843" i="17"/>
  <c r="J843" i="17" s="1"/>
  <c r="F842" i="17"/>
  <c r="E842" i="17"/>
  <c r="C842" i="17"/>
  <c r="J842" i="17" s="1"/>
  <c r="F841" i="17"/>
  <c r="H841" i="17" s="1"/>
  <c r="E841" i="17"/>
  <c r="C841" i="17"/>
  <c r="J841" i="17" s="1"/>
  <c r="F840" i="17"/>
  <c r="E840" i="17"/>
  <c r="C840" i="17"/>
  <c r="J840" i="17" s="1"/>
  <c r="F839" i="17"/>
  <c r="E839" i="17"/>
  <c r="C839" i="17"/>
  <c r="J839" i="17" s="1"/>
  <c r="F838" i="17"/>
  <c r="E838" i="17"/>
  <c r="C838" i="17"/>
  <c r="J838" i="17" s="1"/>
  <c r="F837" i="17"/>
  <c r="E837" i="17"/>
  <c r="C837" i="17"/>
  <c r="J837" i="17" s="1"/>
  <c r="F836" i="17"/>
  <c r="E836" i="17"/>
  <c r="C836" i="17"/>
  <c r="J836" i="17" s="1"/>
  <c r="F835" i="17"/>
  <c r="H835" i="17" s="1"/>
  <c r="E835" i="17"/>
  <c r="C835" i="17"/>
  <c r="J835" i="17" s="1"/>
  <c r="F834" i="17"/>
  <c r="E834" i="17"/>
  <c r="C834" i="17"/>
  <c r="J834" i="17" s="1"/>
  <c r="F833" i="17"/>
  <c r="E833" i="17"/>
  <c r="C833" i="17"/>
  <c r="J833" i="17" s="1"/>
  <c r="F832" i="17"/>
  <c r="E832" i="17"/>
  <c r="C832" i="17"/>
  <c r="J832" i="17" s="1"/>
  <c r="F831" i="17"/>
  <c r="E831" i="17"/>
  <c r="C831" i="17"/>
  <c r="J831" i="17" s="1"/>
  <c r="F830" i="17"/>
  <c r="E830" i="17"/>
  <c r="C830" i="17"/>
  <c r="J830" i="17" s="1"/>
  <c r="F829" i="17"/>
  <c r="E829" i="17"/>
  <c r="C829" i="17"/>
  <c r="J829" i="17" s="1"/>
  <c r="F828" i="17"/>
  <c r="E828" i="17"/>
  <c r="C828" i="17"/>
  <c r="J828" i="17" s="1"/>
  <c r="F827" i="17"/>
  <c r="E827" i="17"/>
  <c r="C827" i="17"/>
  <c r="J827" i="17" s="1"/>
  <c r="F826" i="17"/>
  <c r="E826" i="17"/>
  <c r="C826" i="17"/>
  <c r="J826" i="17" s="1"/>
  <c r="F825" i="17"/>
  <c r="E825" i="17"/>
  <c r="C825" i="17"/>
  <c r="J825" i="17" s="1"/>
  <c r="F824" i="17"/>
  <c r="H824" i="17" s="1"/>
  <c r="E824" i="17"/>
  <c r="C824" i="17"/>
  <c r="J824" i="17" s="1"/>
  <c r="F823" i="17"/>
  <c r="E823" i="17"/>
  <c r="C823" i="17"/>
  <c r="J823" i="17" s="1"/>
  <c r="F822" i="17"/>
  <c r="E822" i="17"/>
  <c r="C822" i="17"/>
  <c r="J822" i="17" s="1"/>
  <c r="F821" i="17"/>
  <c r="E821" i="17"/>
  <c r="C821" i="17"/>
  <c r="J821" i="17" s="1"/>
  <c r="F820" i="17"/>
  <c r="E820" i="17"/>
  <c r="C820" i="17"/>
  <c r="J820" i="17" s="1"/>
  <c r="F819" i="17"/>
  <c r="E819" i="17"/>
  <c r="C819" i="17"/>
  <c r="J819" i="17" s="1"/>
  <c r="F818" i="17"/>
  <c r="H818" i="17" s="1"/>
  <c r="E818" i="17"/>
  <c r="C818" i="17"/>
  <c r="J818" i="17" s="1"/>
  <c r="F817" i="17"/>
  <c r="E817" i="17"/>
  <c r="C817" i="17"/>
  <c r="J817" i="17" s="1"/>
  <c r="F816" i="17"/>
  <c r="E816" i="17"/>
  <c r="C816" i="17"/>
  <c r="J816" i="17" s="1"/>
  <c r="F815" i="17"/>
  <c r="E815" i="17"/>
  <c r="C815" i="17"/>
  <c r="J815" i="17" s="1"/>
  <c r="F814" i="17"/>
  <c r="E814" i="17"/>
  <c r="C814" i="17"/>
  <c r="J814" i="17" s="1"/>
  <c r="F813" i="17"/>
  <c r="E813" i="17"/>
  <c r="H813" i="17" s="1"/>
  <c r="C813" i="17"/>
  <c r="J813" i="17" s="1"/>
  <c r="F812" i="17"/>
  <c r="E812" i="17"/>
  <c r="C812" i="17"/>
  <c r="J812" i="17" s="1"/>
  <c r="F811" i="17"/>
  <c r="E811" i="17"/>
  <c r="C811" i="17"/>
  <c r="J811" i="17" s="1"/>
  <c r="F810" i="17"/>
  <c r="E810" i="17"/>
  <c r="C810" i="17"/>
  <c r="J810" i="17" s="1"/>
  <c r="F809" i="17"/>
  <c r="E809" i="17"/>
  <c r="C809" i="17"/>
  <c r="J809" i="17" s="1"/>
  <c r="F808" i="17"/>
  <c r="E808" i="17"/>
  <c r="C808" i="17"/>
  <c r="J808" i="17" s="1"/>
  <c r="F807" i="17"/>
  <c r="E807" i="17"/>
  <c r="C807" i="17"/>
  <c r="J807" i="17" s="1"/>
  <c r="F806" i="17"/>
  <c r="E806" i="17"/>
  <c r="C806" i="17"/>
  <c r="J806" i="17" s="1"/>
  <c r="F805" i="17"/>
  <c r="E805" i="17"/>
  <c r="C805" i="17"/>
  <c r="J805" i="17" s="1"/>
  <c r="F804" i="17"/>
  <c r="E804" i="17"/>
  <c r="C804" i="17"/>
  <c r="J804" i="17" s="1"/>
  <c r="F803" i="17"/>
  <c r="E803" i="17"/>
  <c r="C803" i="17"/>
  <c r="J803" i="17" s="1"/>
  <c r="F802" i="17"/>
  <c r="E802" i="17"/>
  <c r="C802" i="17"/>
  <c r="J802" i="17" s="1"/>
  <c r="F801" i="17"/>
  <c r="E801" i="17"/>
  <c r="C801" i="17"/>
  <c r="J801" i="17" s="1"/>
  <c r="F800" i="17"/>
  <c r="E800" i="17"/>
  <c r="C800" i="17"/>
  <c r="J800" i="17" s="1"/>
  <c r="F799" i="17"/>
  <c r="E799" i="17"/>
  <c r="C799" i="17"/>
  <c r="J799" i="17" s="1"/>
  <c r="F798" i="17"/>
  <c r="E798" i="17"/>
  <c r="C798" i="17"/>
  <c r="J798" i="17" s="1"/>
  <c r="F797" i="17"/>
  <c r="E797" i="17"/>
  <c r="C797" i="17"/>
  <c r="J797" i="17" s="1"/>
  <c r="F796" i="17"/>
  <c r="E796" i="17"/>
  <c r="C796" i="17"/>
  <c r="J796" i="17" s="1"/>
  <c r="F795" i="17"/>
  <c r="E795" i="17"/>
  <c r="C795" i="17"/>
  <c r="J795" i="17" s="1"/>
  <c r="F794" i="17"/>
  <c r="E794" i="17"/>
  <c r="C794" i="17"/>
  <c r="J794" i="17" s="1"/>
  <c r="F793" i="17"/>
  <c r="E793" i="17"/>
  <c r="C793" i="17"/>
  <c r="J793" i="17" s="1"/>
  <c r="F792" i="17"/>
  <c r="E792" i="17"/>
  <c r="C792" i="17"/>
  <c r="J792" i="17" s="1"/>
  <c r="F791" i="17"/>
  <c r="E791" i="17"/>
  <c r="C791" i="17"/>
  <c r="J791" i="17" s="1"/>
  <c r="F790" i="17"/>
  <c r="E790" i="17"/>
  <c r="C790" i="17"/>
  <c r="J790" i="17" s="1"/>
  <c r="J789" i="17"/>
  <c r="F789" i="17"/>
  <c r="E789" i="17"/>
  <c r="C789" i="17"/>
  <c r="F788" i="17"/>
  <c r="E788" i="17"/>
  <c r="C788" i="17"/>
  <c r="J788" i="17" s="1"/>
  <c r="F787" i="17"/>
  <c r="E787" i="17"/>
  <c r="C787" i="17"/>
  <c r="J787" i="17" s="1"/>
  <c r="F786" i="17"/>
  <c r="E786" i="17"/>
  <c r="C786" i="17"/>
  <c r="J786" i="17" s="1"/>
  <c r="F785" i="17"/>
  <c r="E785" i="17"/>
  <c r="C785" i="17"/>
  <c r="J785" i="17" s="1"/>
  <c r="F784" i="17"/>
  <c r="E784" i="17"/>
  <c r="C784" i="17"/>
  <c r="J784" i="17" s="1"/>
  <c r="F783" i="17"/>
  <c r="E783" i="17"/>
  <c r="C783" i="17"/>
  <c r="J783" i="17" s="1"/>
  <c r="F782" i="17"/>
  <c r="E782" i="17"/>
  <c r="C782" i="17"/>
  <c r="J782" i="17" s="1"/>
  <c r="F781" i="17"/>
  <c r="E781" i="17"/>
  <c r="C781" i="17"/>
  <c r="J781" i="17" s="1"/>
  <c r="F780" i="17"/>
  <c r="E780" i="17"/>
  <c r="C780" i="17"/>
  <c r="J780" i="17" s="1"/>
  <c r="F779" i="17"/>
  <c r="E779" i="17"/>
  <c r="C779" i="17"/>
  <c r="J779" i="17" s="1"/>
  <c r="F778" i="17"/>
  <c r="E778" i="17"/>
  <c r="C778" i="17"/>
  <c r="J778" i="17" s="1"/>
  <c r="F777" i="17"/>
  <c r="E777" i="17"/>
  <c r="C777" i="17"/>
  <c r="J777" i="17" s="1"/>
  <c r="F776" i="17"/>
  <c r="E776" i="17"/>
  <c r="C776" i="17"/>
  <c r="J776" i="17" s="1"/>
  <c r="F775" i="17"/>
  <c r="E775" i="17"/>
  <c r="C775" i="17"/>
  <c r="J775" i="17" s="1"/>
  <c r="F774" i="17"/>
  <c r="E774" i="17"/>
  <c r="C774" i="17"/>
  <c r="J774" i="17" s="1"/>
  <c r="F773" i="17"/>
  <c r="E773" i="17"/>
  <c r="C773" i="17"/>
  <c r="J773" i="17" s="1"/>
  <c r="F772" i="17"/>
  <c r="E772" i="17"/>
  <c r="C772" i="17"/>
  <c r="J772" i="17" s="1"/>
  <c r="F771" i="17"/>
  <c r="E771" i="17"/>
  <c r="C771" i="17"/>
  <c r="J771" i="17" s="1"/>
  <c r="F770" i="17"/>
  <c r="E770" i="17"/>
  <c r="C770" i="17"/>
  <c r="J770" i="17" s="1"/>
  <c r="F769" i="17"/>
  <c r="E769" i="17"/>
  <c r="C769" i="17"/>
  <c r="J769" i="17" s="1"/>
  <c r="F768" i="17"/>
  <c r="E768" i="17"/>
  <c r="C768" i="17"/>
  <c r="J768" i="17" s="1"/>
  <c r="F767" i="17"/>
  <c r="E767" i="17"/>
  <c r="C767" i="17"/>
  <c r="J767" i="17" s="1"/>
  <c r="F766" i="17"/>
  <c r="E766" i="17"/>
  <c r="C766" i="17"/>
  <c r="J766" i="17" s="1"/>
  <c r="F765" i="17"/>
  <c r="E765" i="17"/>
  <c r="C765" i="17"/>
  <c r="J765" i="17" s="1"/>
  <c r="F764" i="17"/>
  <c r="E764" i="17"/>
  <c r="C764" i="17"/>
  <c r="J764" i="17" s="1"/>
  <c r="F763" i="17"/>
  <c r="E763" i="17"/>
  <c r="C763" i="17"/>
  <c r="J763" i="17" s="1"/>
  <c r="F762" i="17"/>
  <c r="H762" i="17" s="1"/>
  <c r="E762" i="17"/>
  <c r="C762" i="17"/>
  <c r="J762" i="17" s="1"/>
  <c r="F761" i="17"/>
  <c r="E761" i="17"/>
  <c r="C761" i="17"/>
  <c r="J761" i="17" s="1"/>
  <c r="F760" i="17"/>
  <c r="E760" i="17"/>
  <c r="C760" i="17"/>
  <c r="J760" i="17" s="1"/>
  <c r="F759" i="17"/>
  <c r="E759" i="17"/>
  <c r="H759" i="17" s="1"/>
  <c r="C759" i="17"/>
  <c r="J759" i="17" s="1"/>
  <c r="F758" i="17"/>
  <c r="E758" i="17"/>
  <c r="C758" i="17"/>
  <c r="J758" i="17" s="1"/>
  <c r="F757" i="17"/>
  <c r="E757" i="17"/>
  <c r="C757" i="17"/>
  <c r="J757" i="17" s="1"/>
  <c r="F756" i="17"/>
  <c r="E756" i="17"/>
  <c r="C756" i="17"/>
  <c r="J756" i="17" s="1"/>
  <c r="F755" i="17"/>
  <c r="E755" i="17"/>
  <c r="C755" i="17"/>
  <c r="J755" i="17" s="1"/>
  <c r="F754" i="17"/>
  <c r="E754" i="17"/>
  <c r="C754" i="17"/>
  <c r="J754" i="17" s="1"/>
  <c r="F753" i="17"/>
  <c r="E753" i="17"/>
  <c r="C753" i="17"/>
  <c r="J753" i="17" s="1"/>
  <c r="F752" i="17"/>
  <c r="E752" i="17"/>
  <c r="C752" i="17"/>
  <c r="J752" i="17" s="1"/>
  <c r="F751" i="17"/>
  <c r="E751" i="17"/>
  <c r="C751" i="17"/>
  <c r="J751" i="17" s="1"/>
  <c r="F750" i="17"/>
  <c r="H750" i="17" s="1"/>
  <c r="E750" i="17"/>
  <c r="C750" i="17"/>
  <c r="J750" i="17" s="1"/>
  <c r="F749" i="17"/>
  <c r="E749" i="17"/>
  <c r="C749" i="17"/>
  <c r="J749" i="17" s="1"/>
  <c r="F748" i="17"/>
  <c r="E748" i="17"/>
  <c r="C748" i="17"/>
  <c r="J748" i="17" s="1"/>
  <c r="F747" i="17"/>
  <c r="E747" i="17"/>
  <c r="C747" i="17"/>
  <c r="J747" i="17" s="1"/>
  <c r="F746" i="17"/>
  <c r="E746" i="17"/>
  <c r="C746" i="17"/>
  <c r="J746" i="17" s="1"/>
  <c r="F745" i="17"/>
  <c r="E745" i="17"/>
  <c r="C745" i="17"/>
  <c r="J745" i="17" s="1"/>
  <c r="F744" i="17"/>
  <c r="E744" i="17"/>
  <c r="C744" i="17"/>
  <c r="J744" i="17" s="1"/>
  <c r="F743" i="17"/>
  <c r="E743" i="17"/>
  <c r="C743" i="17"/>
  <c r="J743" i="17" s="1"/>
  <c r="F742" i="17"/>
  <c r="E742" i="17"/>
  <c r="C742" i="17"/>
  <c r="J742" i="17" s="1"/>
  <c r="F741" i="17"/>
  <c r="E741" i="17"/>
  <c r="C741" i="17"/>
  <c r="J741" i="17" s="1"/>
  <c r="F740" i="17"/>
  <c r="E740" i="17"/>
  <c r="C740" i="17"/>
  <c r="J740" i="17" s="1"/>
  <c r="F739" i="17"/>
  <c r="E739" i="17"/>
  <c r="C739" i="17"/>
  <c r="J739" i="17" s="1"/>
  <c r="F738" i="17"/>
  <c r="E738" i="17"/>
  <c r="C738" i="17"/>
  <c r="J738" i="17" s="1"/>
  <c r="F737" i="17"/>
  <c r="E737" i="17"/>
  <c r="C737" i="17"/>
  <c r="J737" i="17" s="1"/>
  <c r="F736" i="17"/>
  <c r="E736" i="17"/>
  <c r="C736" i="17"/>
  <c r="J736" i="17" s="1"/>
  <c r="F735" i="17"/>
  <c r="E735" i="17"/>
  <c r="C735" i="17"/>
  <c r="J735" i="17" s="1"/>
  <c r="F734" i="17"/>
  <c r="E734" i="17"/>
  <c r="C734" i="17"/>
  <c r="J734" i="17" s="1"/>
  <c r="F733" i="17"/>
  <c r="E733" i="17"/>
  <c r="C733" i="17"/>
  <c r="J733" i="17" s="1"/>
  <c r="F732" i="17"/>
  <c r="E732" i="17"/>
  <c r="C732" i="17"/>
  <c r="J732" i="17" s="1"/>
  <c r="F731" i="17"/>
  <c r="E731" i="17"/>
  <c r="C731" i="17"/>
  <c r="J731" i="17" s="1"/>
  <c r="F730" i="17"/>
  <c r="E730" i="17"/>
  <c r="C730" i="17"/>
  <c r="J730" i="17" s="1"/>
  <c r="F729" i="17"/>
  <c r="E729" i="17"/>
  <c r="C729" i="17"/>
  <c r="J729" i="17" s="1"/>
  <c r="F728" i="17"/>
  <c r="E728" i="17"/>
  <c r="C728" i="17"/>
  <c r="J728" i="17" s="1"/>
  <c r="F727" i="17"/>
  <c r="E727" i="17"/>
  <c r="C727" i="17"/>
  <c r="J727" i="17" s="1"/>
  <c r="F726" i="17"/>
  <c r="E726" i="17"/>
  <c r="C726" i="17"/>
  <c r="J726" i="17" s="1"/>
  <c r="F725" i="17"/>
  <c r="E725" i="17"/>
  <c r="C725" i="17"/>
  <c r="J725" i="17" s="1"/>
  <c r="F724" i="17"/>
  <c r="E724" i="17"/>
  <c r="C724" i="17"/>
  <c r="J724" i="17" s="1"/>
  <c r="F723" i="17"/>
  <c r="E723" i="17"/>
  <c r="C723" i="17"/>
  <c r="J723" i="17" s="1"/>
  <c r="F722" i="17"/>
  <c r="E722" i="17"/>
  <c r="C722" i="17"/>
  <c r="J722" i="17" s="1"/>
  <c r="F721" i="17"/>
  <c r="E721" i="17"/>
  <c r="C721" i="17"/>
  <c r="J721" i="17" s="1"/>
  <c r="F720" i="17"/>
  <c r="E720" i="17"/>
  <c r="C720" i="17"/>
  <c r="J720" i="17" s="1"/>
  <c r="F719" i="17"/>
  <c r="E719" i="17"/>
  <c r="C719" i="17"/>
  <c r="J719" i="17" s="1"/>
  <c r="F718" i="17"/>
  <c r="E718" i="17"/>
  <c r="C718" i="17"/>
  <c r="J718" i="17" s="1"/>
  <c r="F717" i="17"/>
  <c r="E717" i="17"/>
  <c r="C717" i="17"/>
  <c r="J717" i="17" s="1"/>
  <c r="F716" i="17"/>
  <c r="E716" i="17"/>
  <c r="C716" i="17"/>
  <c r="J716" i="17" s="1"/>
  <c r="F715" i="17"/>
  <c r="E715" i="17"/>
  <c r="H715" i="17" s="1"/>
  <c r="C715" i="17"/>
  <c r="J715" i="17" s="1"/>
  <c r="F714" i="17"/>
  <c r="E714" i="17"/>
  <c r="C714" i="17"/>
  <c r="J714" i="17" s="1"/>
  <c r="F713" i="17"/>
  <c r="E713" i="17"/>
  <c r="C713" i="17"/>
  <c r="J713" i="17" s="1"/>
  <c r="F712" i="17"/>
  <c r="E712" i="17"/>
  <c r="C712" i="17"/>
  <c r="J712" i="17" s="1"/>
  <c r="F711" i="17"/>
  <c r="E711" i="17"/>
  <c r="H711" i="17" s="1"/>
  <c r="C711" i="17"/>
  <c r="J711" i="17" s="1"/>
  <c r="F710" i="17"/>
  <c r="H710" i="17" s="1"/>
  <c r="E710" i="17"/>
  <c r="C710" i="17"/>
  <c r="J710" i="17" s="1"/>
  <c r="F709" i="17"/>
  <c r="E709" i="17"/>
  <c r="C709" i="17"/>
  <c r="J709" i="17" s="1"/>
  <c r="F708" i="17"/>
  <c r="E708" i="17"/>
  <c r="C708" i="17"/>
  <c r="J708" i="17" s="1"/>
  <c r="F707" i="17"/>
  <c r="E707" i="17"/>
  <c r="C707" i="17"/>
  <c r="J707" i="17" s="1"/>
  <c r="F706" i="17"/>
  <c r="E706" i="17"/>
  <c r="C706" i="17"/>
  <c r="J706" i="17" s="1"/>
  <c r="F705" i="17"/>
  <c r="E705" i="17"/>
  <c r="C705" i="17"/>
  <c r="J705" i="17" s="1"/>
  <c r="F704" i="17"/>
  <c r="E704" i="17"/>
  <c r="C704" i="17"/>
  <c r="J704" i="17" s="1"/>
  <c r="F703" i="17"/>
  <c r="E703" i="17"/>
  <c r="C703" i="17"/>
  <c r="J703" i="17" s="1"/>
  <c r="F702" i="17"/>
  <c r="E702" i="17"/>
  <c r="C702" i="17"/>
  <c r="J702" i="17" s="1"/>
  <c r="F701" i="17"/>
  <c r="E701" i="17"/>
  <c r="C701" i="17"/>
  <c r="J701" i="17" s="1"/>
  <c r="F700" i="17"/>
  <c r="H700" i="17" s="1"/>
  <c r="E700" i="17"/>
  <c r="C700" i="17"/>
  <c r="J700" i="17" s="1"/>
  <c r="F699" i="17"/>
  <c r="E699" i="17"/>
  <c r="C699" i="17"/>
  <c r="J699" i="17" s="1"/>
  <c r="F698" i="17"/>
  <c r="E698" i="17"/>
  <c r="C698" i="17"/>
  <c r="J698" i="17" s="1"/>
  <c r="F697" i="17"/>
  <c r="E697" i="17"/>
  <c r="C697" i="17"/>
  <c r="J697" i="17" s="1"/>
  <c r="F696" i="17"/>
  <c r="E696" i="17"/>
  <c r="C696" i="17"/>
  <c r="J696" i="17" s="1"/>
  <c r="F695" i="17"/>
  <c r="E695" i="17"/>
  <c r="C695" i="17"/>
  <c r="J695" i="17" s="1"/>
  <c r="F694" i="17"/>
  <c r="E694" i="17"/>
  <c r="C694" i="17"/>
  <c r="J694" i="17" s="1"/>
  <c r="F693" i="17"/>
  <c r="E693" i="17"/>
  <c r="C693" i="17"/>
  <c r="J693" i="17" s="1"/>
  <c r="F692" i="17"/>
  <c r="H692" i="17" s="1"/>
  <c r="E692" i="17"/>
  <c r="C692" i="17"/>
  <c r="J692" i="17" s="1"/>
  <c r="F691" i="17"/>
  <c r="E691" i="17"/>
  <c r="C691" i="17"/>
  <c r="J691" i="17" s="1"/>
  <c r="F690" i="17"/>
  <c r="E690" i="17"/>
  <c r="C690" i="17"/>
  <c r="J690" i="17" s="1"/>
  <c r="F689" i="17"/>
  <c r="E689" i="17"/>
  <c r="C689" i="17"/>
  <c r="J689" i="17" s="1"/>
  <c r="F688" i="17"/>
  <c r="E688" i="17"/>
  <c r="C688" i="17"/>
  <c r="J688" i="17" s="1"/>
  <c r="F687" i="17"/>
  <c r="E687" i="17"/>
  <c r="C687" i="17"/>
  <c r="J687" i="17" s="1"/>
  <c r="F686" i="17"/>
  <c r="E686" i="17"/>
  <c r="C686" i="17"/>
  <c r="J686" i="17" s="1"/>
  <c r="F685" i="17"/>
  <c r="H685" i="17" s="1"/>
  <c r="E685" i="17"/>
  <c r="C685" i="17"/>
  <c r="J685" i="17" s="1"/>
  <c r="F684" i="17"/>
  <c r="E684" i="17"/>
  <c r="C684" i="17"/>
  <c r="J684" i="17" s="1"/>
  <c r="F683" i="17"/>
  <c r="E683" i="17"/>
  <c r="C683" i="17"/>
  <c r="J683" i="17" s="1"/>
  <c r="F682" i="17"/>
  <c r="E682" i="17"/>
  <c r="C682" i="17"/>
  <c r="J682" i="17" s="1"/>
  <c r="F681" i="17"/>
  <c r="E681" i="17"/>
  <c r="C681" i="17"/>
  <c r="J681" i="17" s="1"/>
  <c r="F680" i="17"/>
  <c r="E680" i="17"/>
  <c r="C680" i="17"/>
  <c r="J680" i="17" s="1"/>
  <c r="F679" i="17"/>
  <c r="E679" i="17"/>
  <c r="C679" i="17"/>
  <c r="J679" i="17" s="1"/>
  <c r="F678" i="17"/>
  <c r="E678" i="17"/>
  <c r="C678" i="17"/>
  <c r="J678" i="17" s="1"/>
  <c r="F677" i="17"/>
  <c r="E677" i="17"/>
  <c r="C677" i="17"/>
  <c r="J677" i="17" s="1"/>
  <c r="F676" i="17"/>
  <c r="E676" i="17"/>
  <c r="C676" i="17"/>
  <c r="J676" i="17" s="1"/>
  <c r="F675" i="17"/>
  <c r="H675" i="17" s="1"/>
  <c r="E675" i="17"/>
  <c r="C675" i="17"/>
  <c r="J675" i="17" s="1"/>
  <c r="F674" i="17"/>
  <c r="E674" i="17"/>
  <c r="C674" i="17"/>
  <c r="J674" i="17" s="1"/>
  <c r="F673" i="17"/>
  <c r="E673" i="17"/>
  <c r="C673" i="17"/>
  <c r="J673" i="17" s="1"/>
  <c r="F672" i="17"/>
  <c r="E672" i="17"/>
  <c r="C672" i="17"/>
  <c r="J672" i="17" s="1"/>
  <c r="F671" i="17"/>
  <c r="E671" i="17"/>
  <c r="C671" i="17"/>
  <c r="J671" i="17" s="1"/>
  <c r="F670" i="17"/>
  <c r="E670" i="17"/>
  <c r="C670" i="17"/>
  <c r="J670" i="17" s="1"/>
  <c r="F669" i="17"/>
  <c r="E669" i="17"/>
  <c r="C669" i="17"/>
  <c r="J669" i="17" s="1"/>
  <c r="F668" i="17"/>
  <c r="E668" i="17"/>
  <c r="C668" i="17"/>
  <c r="J668" i="17" s="1"/>
  <c r="F667" i="17"/>
  <c r="E667" i="17"/>
  <c r="C667" i="17"/>
  <c r="J667" i="17" s="1"/>
  <c r="F666" i="17"/>
  <c r="E666" i="17"/>
  <c r="C666" i="17"/>
  <c r="J666" i="17" s="1"/>
  <c r="F665" i="17"/>
  <c r="E665" i="17"/>
  <c r="C665" i="17"/>
  <c r="J665" i="17" s="1"/>
  <c r="F664" i="17"/>
  <c r="E664" i="17"/>
  <c r="C664" i="17"/>
  <c r="J664" i="17" s="1"/>
  <c r="F663" i="17"/>
  <c r="E663" i="17"/>
  <c r="C663" i="17"/>
  <c r="J663" i="17" s="1"/>
  <c r="F662" i="17"/>
  <c r="E662" i="17"/>
  <c r="C662" i="17"/>
  <c r="J662" i="17" s="1"/>
  <c r="F661" i="17"/>
  <c r="E661" i="17"/>
  <c r="C661" i="17"/>
  <c r="J661" i="17" s="1"/>
  <c r="F660" i="17"/>
  <c r="E660" i="17"/>
  <c r="C660" i="17"/>
  <c r="J660" i="17" s="1"/>
  <c r="F659" i="17"/>
  <c r="E659" i="17"/>
  <c r="C659" i="17"/>
  <c r="J659" i="17" s="1"/>
  <c r="F658" i="17"/>
  <c r="E658" i="17"/>
  <c r="C658" i="17"/>
  <c r="J658" i="17" s="1"/>
  <c r="F657" i="17"/>
  <c r="E657" i="17"/>
  <c r="C657" i="17"/>
  <c r="J657" i="17" s="1"/>
  <c r="F656" i="17"/>
  <c r="E656" i="17"/>
  <c r="C656" i="17"/>
  <c r="J656" i="17" s="1"/>
  <c r="F655" i="17"/>
  <c r="E655" i="17"/>
  <c r="C655" i="17"/>
  <c r="J655" i="17" s="1"/>
  <c r="F654" i="17"/>
  <c r="E654" i="17"/>
  <c r="C654" i="17"/>
  <c r="J654" i="17" s="1"/>
  <c r="F653" i="17"/>
  <c r="E653" i="17"/>
  <c r="C653" i="17"/>
  <c r="J653" i="17" s="1"/>
  <c r="F652" i="17"/>
  <c r="E652" i="17"/>
  <c r="C652" i="17"/>
  <c r="J652" i="17" s="1"/>
  <c r="F651" i="17"/>
  <c r="E651" i="17"/>
  <c r="C651" i="17"/>
  <c r="J651" i="17" s="1"/>
  <c r="F650" i="17"/>
  <c r="E650" i="17"/>
  <c r="C650" i="17"/>
  <c r="J650" i="17" s="1"/>
  <c r="F649" i="17"/>
  <c r="E649" i="17"/>
  <c r="C649" i="17"/>
  <c r="J649" i="17" s="1"/>
  <c r="F648" i="17"/>
  <c r="E648" i="17"/>
  <c r="C648" i="17"/>
  <c r="J648" i="17" s="1"/>
  <c r="J647" i="17"/>
  <c r="F647" i="17"/>
  <c r="E647" i="17"/>
  <c r="C647" i="17"/>
  <c r="F646" i="17"/>
  <c r="E646" i="17"/>
  <c r="C646" i="17"/>
  <c r="J646" i="17" s="1"/>
  <c r="F645" i="17"/>
  <c r="E645" i="17"/>
  <c r="C645" i="17"/>
  <c r="J645" i="17" s="1"/>
  <c r="F644" i="17"/>
  <c r="E644" i="17"/>
  <c r="C644" i="17"/>
  <c r="J644" i="17" s="1"/>
  <c r="F643" i="17"/>
  <c r="E643" i="17"/>
  <c r="C643" i="17"/>
  <c r="J643" i="17" s="1"/>
  <c r="F642" i="17"/>
  <c r="E642" i="17"/>
  <c r="C642" i="17"/>
  <c r="J642" i="17" s="1"/>
  <c r="F641" i="17"/>
  <c r="E641" i="17"/>
  <c r="C641" i="17"/>
  <c r="J641" i="17" s="1"/>
  <c r="F640" i="17"/>
  <c r="E640" i="17"/>
  <c r="C640" i="17"/>
  <c r="J640" i="17" s="1"/>
  <c r="F639" i="17"/>
  <c r="E639" i="17"/>
  <c r="C639" i="17"/>
  <c r="J639" i="17" s="1"/>
  <c r="F638" i="17"/>
  <c r="E638" i="17"/>
  <c r="C638" i="17"/>
  <c r="J638" i="17" s="1"/>
  <c r="F637" i="17"/>
  <c r="E637" i="17"/>
  <c r="C637" i="17"/>
  <c r="J637" i="17" s="1"/>
  <c r="F636" i="17"/>
  <c r="E636" i="17"/>
  <c r="C636" i="17"/>
  <c r="J636" i="17" s="1"/>
  <c r="F635" i="17"/>
  <c r="E635" i="17"/>
  <c r="C635" i="17"/>
  <c r="J635" i="17" s="1"/>
  <c r="F634" i="17"/>
  <c r="E634" i="17"/>
  <c r="C634" i="17"/>
  <c r="J634" i="17" s="1"/>
  <c r="F633" i="17"/>
  <c r="E633" i="17"/>
  <c r="C633" i="17"/>
  <c r="J633" i="17" s="1"/>
  <c r="F632" i="17"/>
  <c r="E632" i="17"/>
  <c r="C632" i="17"/>
  <c r="J632" i="17" s="1"/>
  <c r="F631" i="17"/>
  <c r="E631" i="17"/>
  <c r="C631" i="17"/>
  <c r="J631" i="17" s="1"/>
  <c r="F630" i="17"/>
  <c r="E630" i="17"/>
  <c r="C630" i="17"/>
  <c r="J630" i="17" s="1"/>
  <c r="F629" i="17"/>
  <c r="E629" i="17"/>
  <c r="C629" i="17"/>
  <c r="J629" i="17" s="1"/>
  <c r="F628" i="17"/>
  <c r="E628" i="17"/>
  <c r="C628" i="17"/>
  <c r="J628" i="17" s="1"/>
  <c r="F627" i="17"/>
  <c r="E627" i="17"/>
  <c r="H627" i="17" s="1"/>
  <c r="C627" i="17"/>
  <c r="J627" i="17" s="1"/>
  <c r="F626" i="17"/>
  <c r="E626" i="17"/>
  <c r="C626" i="17"/>
  <c r="J626" i="17" s="1"/>
  <c r="F625" i="17"/>
  <c r="E625" i="17"/>
  <c r="C625" i="17"/>
  <c r="J625" i="17" s="1"/>
  <c r="F624" i="17"/>
  <c r="E624" i="17"/>
  <c r="C624" i="17"/>
  <c r="J624" i="17" s="1"/>
  <c r="F623" i="17"/>
  <c r="E623" i="17"/>
  <c r="C623" i="17"/>
  <c r="J623" i="17" s="1"/>
  <c r="F622" i="17"/>
  <c r="E622" i="17"/>
  <c r="C622" i="17"/>
  <c r="J622" i="17" s="1"/>
  <c r="F621" i="17"/>
  <c r="E621" i="17"/>
  <c r="C621" i="17"/>
  <c r="J621" i="17" s="1"/>
  <c r="F620" i="17"/>
  <c r="E620" i="17"/>
  <c r="C620" i="17"/>
  <c r="J620" i="17" s="1"/>
  <c r="F619" i="17"/>
  <c r="E619" i="17"/>
  <c r="C619" i="17"/>
  <c r="J619" i="17" s="1"/>
  <c r="F618" i="17"/>
  <c r="E618" i="17"/>
  <c r="C618" i="17"/>
  <c r="J618" i="17" s="1"/>
  <c r="F617" i="17"/>
  <c r="E617" i="17"/>
  <c r="C617" i="17"/>
  <c r="J617" i="17" s="1"/>
  <c r="F616" i="17"/>
  <c r="E616" i="17"/>
  <c r="C616" i="17"/>
  <c r="J616" i="17" s="1"/>
  <c r="F615" i="17"/>
  <c r="E615" i="17"/>
  <c r="C615" i="17"/>
  <c r="J615" i="17" s="1"/>
  <c r="F614" i="17"/>
  <c r="E614" i="17"/>
  <c r="C614" i="17"/>
  <c r="J614" i="17" s="1"/>
  <c r="F613" i="17"/>
  <c r="E613" i="17"/>
  <c r="C613" i="17"/>
  <c r="J613" i="17" s="1"/>
  <c r="F612" i="17"/>
  <c r="E612" i="17"/>
  <c r="C612" i="17"/>
  <c r="J612" i="17" s="1"/>
  <c r="F611" i="17"/>
  <c r="E611" i="17"/>
  <c r="C611" i="17"/>
  <c r="J611" i="17" s="1"/>
  <c r="F610" i="17"/>
  <c r="E610" i="17"/>
  <c r="C610" i="17"/>
  <c r="J610" i="17" s="1"/>
  <c r="F609" i="17"/>
  <c r="E609" i="17"/>
  <c r="C609" i="17"/>
  <c r="J609" i="17" s="1"/>
  <c r="F608" i="17"/>
  <c r="E608" i="17"/>
  <c r="C608" i="17"/>
  <c r="J608" i="17" s="1"/>
  <c r="F607" i="17"/>
  <c r="E607" i="17"/>
  <c r="C607" i="17"/>
  <c r="J607" i="17" s="1"/>
  <c r="F606" i="17"/>
  <c r="E606" i="17"/>
  <c r="C606" i="17"/>
  <c r="J606" i="17" s="1"/>
  <c r="F605" i="17"/>
  <c r="E605" i="17"/>
  <c r="C605" i="17"/>
  <c r="J605" i="17" s="1"/>
  <c r="F604" i="17"/>
  <c r="E604" i="17"/>
  <c r="C604" i="17"/>
  <c r="J604" i="17" s="1"/>
  <c r="F603" i="17"/>
  <c r="E603" i="17"/>
  <c r="C603" i="17"/>
  <c r="J603" i="17" s="1"/>
  <c r="F602" i="17"/>
  <c r="E602" i="17"/>
  <c r="C602" i="17"/>
  <c r="J602" i="17" s="1"/>
  <c r="F601" i="17"/>
  <c r="E601" i="17"/>
  <c r="C601" i="17"/>
  <c r="J601" i="17" s="1"/>
  <c r="F600" i="17"/>
  <c r="E600" i="17"/>
  <c r="C600" i="17"/>
  <c r="J600" i="17" s="1"/>
  <c r="F599" i="17"/>
  <c r="E599" i="17"/>
  <c r="C599" i="17"/>
  <c r="J599" i="17" s="1"/>
  <c r="F598" i="17"/>
  <c r="E598" i="17"/>
  <c r="C598" i="17"/>
  <c r="J598" i="17" s="1"/>
  <c r="F597" i="17"/>
  <c r="H597" i="17" s="1"/>
  <c r="E597" i="17"/>
  <c r="C597" i="17"/>
  <c r="J597" i="17" s="1"/>
  <c r="F596" i="17"/>
  <c r="E596" i="17"/>
  <c r="C596" i="17"/>
  <c r="J596" i="17" s="1"/>
  <c r="F595" i="17"/>
  <c r="E595" i="17"/>
  <c r="C595" i="17"/>
  <c r="J595" i="17" s="1"/>
  <c r="F594" i="17"/>
  <c r="E594" i="17"/>
  <c r="C594" i="17"/>
  <c r="J594" i="17" s="1"/>
  <c r="F593" i="17"/>
  <c r="E593" i="17"/>
  <c r="C593" i="17"/>
  <c r="J593" i="17" s="1"/>
  <c r="F592" i="17"/>
  <c r="E592" i="17"/>
  <c r="C592" i="17"/>
  <c r="J592" i="17" s="1"/>
  <c r="F591" i="17"/>
  <c r="E591" i="17"/>
  <c r="C591" i="17"/>
  <c r="J591" i="17" s="1"/>
  <c r="F590" i="17"/>
  <c r="E590" i="17"/>
  <c r="C590" i="17"/>
  <c r="J590" i="17" s="1"/>
  <c r="F589" i="17"/>
  <c r="E589" i="17"/>
  <c r="C589" i="17"/>
  <c r="J589" i="17" s="1"/>
  <c r="F588" i="17"/>
  <c r="E588" i="17"/>
  <c r="C588" i="17"/>
  <c r="J588" i="17" s="1"/>
  <c r="J587" i="17"/>
  <c r="F587" i="17"/>
  <c r="E587" i="17"/>
  <c r="C587" i="17"/>
  <c r="F586" i="17"/>
  <c r="E586" i="17"/>
  <c r="C586" i="17"/>
  <c r="J586" i="17" s="1"/>
  <c r="F585" i="17"/>
  <c r="E585" i="17"/>
  <c r="C585" i="17"/>
  <c r="J585" i="17" s="1"/>
  <c r="F584" i="17"/>
  <c r="E584" i="17"/>
  <c r="C584" i="17"/>
  <c r="J584" i="17" s="1"/>
  <c r="F583" i="17"/>
  <c r="E583" i="17"/>
  <c r="C583" i="17"/>
  <c r="J583" i="17" s="1"/>
  <c r="F582" i="17"/>
  <c r="E582" i="17"/>
  <c r="C582" i="17"/>
  <c r="J582" i="17" s="1"/>
  <c r="F581" i="17"/>
  <c r="H581" i="17" s="1"/>
  <c r="E581" i="17"/>
  <c r="C581" i="17"/>
  <c r="J581" i="17" s="1"/>
  <c r="F580" i="17"/>
  <c r="E580" i="17"/>
  <c r="C580" i="17"/>
  <c r="J580" i="17" s="1"/>
  <c r="F579" i="17"/>
  <c r="E579" i="17"/>
  <c r="C579" i="17"/>
  <c r="J579" i="17" s="1"/>
  <c r="F578" i="17"/>
  <c r="E578" i="17"/>
  <c r="C578" i="17"/>
  <c r="J578" i="17" s="1"/>
  <c r="F577" i="17"/>
  <c r="E577" i="17"/>
  <c r="C577" i="17"/>
  <c r="J577" i="17" s="1"/>
  <c r="F576" i="17"/>
  <c r="E576" i="17"/>
  <c r="C576" i="17"/>
  <c r="J576" i="17" s="1"/>
  <c r="F575" i="17"/>
  <c r="E575" i="17"/>
  <c r="C575" i="17"/>
  <c r="J575" i="17" s="1"/>
  <c r="F574" i="17"/>
  <c r="E574" i="17"/>
  <c r="C574" i="17"/>
  <c r="J574" i="17" s="1"/>
  <c r="F573" i="17"/>
  <c r="E573" i="17"/>
  <c r="C573" i="17"/>
  <c r="J573" i="17" s="1"/>
  <c r="F572" i="17"/>
  <c r="E572" i="17"/>
  <c r="C572" i="17"/>
  <c r="J572" i="17" s="1"/>
  <c r="F571" i="17"/>
  <c r="E571" i="17"/>
  <c r="C571" i="17"/>
  <c r="J571" i="17" s="1"/>
  <c r="F570" i="17"/>
  <c r="E570" i="17"/>
  <c r="C570" i="17"/>
  <c r="J570" i="17" s="1"/>
  <c r="F569" i="17"/>
  <c r="E569" i="17"/>
  <c r="C569" i="17"/>
  <c r="J569" i="17" s="1"/>
  <c r="F568" i="17"/>
  <c r="E568" i="17"/>
  <c r="C568" i="17"/>
  <c r="J568" i="17" s="1"/>
  <c r="F567" i="17"/>
  <c r="E567" i="17"/>
  <c r="C567" i="17"/>
  <c r="J567" i="17" s="1"/>
  <c r="F566" i="17"/>
  <c r="E566" i="17"/>
  <c r="C566" i="17"/>
  <c r="J566" i="17" s="1"/>
  <c r="F565" i="17"/>
  <c r="E565" i="17"/>
  <c r="C565" i="17"/>
  <c r="J565" i="17" s="1"/>
  <c r="F564" i="17"/>
  <c r="E564" i="17"/>
  <c r="C564" i="17"/>
  <c r="J564" i="17" s="1"/>
  <c r="F563" i="17"/>
  <c r="E563" i="17"/>
  <c r="C563" i="17"/>
  <c r="J563" i="17" s="1"/>
  <c r="F562" i="17"/>
  <c r="E562" i="17"/>
  <c r="C562" i="17"/>
  <c r="J562" i="17" s="1"/>
  <c r="F561" i="17"/>
  <c r="E561" i="17"/>
  <c r="C561" i="17"/>
  <c r="J561" i="17" s="1"/>
  <c r="F560" i="17"/>
  <c r="E560" i="17"/>
  <c r="C560" i="17"/>
  <c r="J560" i="17" s="1"/>
  <c r="F559" i="17"/>
  <c r="E559" i="17"/>
  <c r="C559" i="17"/>
  <c r="J559" i="17" s="1"/>
  <c r="F558" i="17"/>
  <c r="E558" i="17"/>
  <c r="C558" i="17"/>
  <c r="J558" i="17" s="1"/>
  <c r="F557" i="17"/>
  <c r="E557" i="17"/>
  <c r="C557" i="17"/>
  <c r="J557" i="17" s="1"/>
  <c r="J556" i="17"/>
  <c r="F556" i="17"/>
  <c r="E556" i="17"/>
  <c r="C556" i="17"/>
  <c r="F555" i="17"/>
  <c r="E555" i="17"/>
  <c r="C555" i="17"/>
  <c r="J555" i="17" s="1"/>
  <c r="F554" i="17"/>
  <c r="E554" i="17"/>
  <c r="C554" i="17"/>
  <c r="J554" i="17" s="1"/>
  <c r="F553" i="17"/>
  <c r="E553" i="17"/>
  <c r="C553" i="17"/>
  <c r="J553" i="17" s="1"/>
  <c r="F552" i="17"/>
  <c r="E552" i="17"/>
  <c r="C552" i="17"/>
  <c r="J552" i="17" s="1"/>
  <c r="F551" i="17"/>
  <c r="E551" i="17"/>
  <c r="C551" i="17"/>
  <c r="J551" i="17" s="1"/>
  <c r="F550" i="17"/>
  <c r="E550" i="17"/>
  <c r="C550" i="17"/>
  <c r="J550" i="17" s="1"/>
  <c r="F549" i="17"/>
  <c r="E549" i="17"/>
  <c r="C549" i="17"/>
  <c r="J549" i="17" s="1"/>
  <c r="F548" i="17"/>
  <c r="E548" i="17"/>
  <c r="C548" i="17"/>
  <c r="J548" i="17" s="1"/>
  <c r="F547" i="17"/>
  <c r="E547" i="17"/>
  <c r="C547" i="17"/>
  <c r="J547" i="17" s="1"/>
  <c r="F546" i="17"/>
  <c r="E546" i="17"/>
  <c r="C546" i="17"/>
  <c r="J546" i="17" s="1"/>
  <c r="F545" i="17"/>
  <c r="E545" i="17"/>
  <c r="C545" i="17"/>
  <c r="J545" i="17" s="1"/>
  <c r="F544" i="17"/>
  <c r="E544" i="17"/>
  <c r="C544" i="17"/>
  <c r="J544" i="17" s="1"/>
  <c r="F543" i="17"/>
  <c r="E543" i="17"/>
  <c r="C543" i="17"/>
  <c r="J543" i="17" s="1"/>
  <c r="F542" i="17"/>
  <c r="E542" i="17"/>
  <c r="C542" i="17"/>
  <c r="J542" i="17" s="1"/>
  <c r="F541" i="17"/>
  <c r="E541" i="17"/>
  <c r="C541" i="17"/>
  <c r="J541" i="17" s="1"/>
  <c r="F540" i="17"/>
  <c r="E540" i="17"/>
  <c r="C540" i="17"/>
  <c r="J540" i="17" s="1"/>
  <c r="F539" i="17"/>
  <c r="E539" i="17"/>
  <c r="C539" i="17"/>
  <c r="J539" i="17" s="1"/>
  <c r="F538" i="17"/>
  <c r="E538" i="17"/>
  <c r="C538" i="17"/>
  <c r="J538" i="17" s="1"/>
  <c r="F537" i="17"/>
  <c r="E537" i="17"/>
  <c r="C537" i="17"/>
  <c r="J537" i="17" s="1"/>
  <c r="H536" i="17"/>
  <c r="F536" i="17"/>
  <c r="E536" i="17"/>
  <c r="C536" i="17"/>
  <c r="J536" i="17" s="1"/>
  <c r="F535" i="17"/>
  <c r="E535" i="17"/>
  <c r="C535" i="17"/>
  <c r="J535" i="17" s="1"/>
  <c r="F534" i="17"/>
  <c r="E534" i="17"/>
  <c r="C534" i="17"/>
  <c r="J534" i="17" s="1"/>
  <c r="F533" i="17"/>
  <c r="E533" i="17"/>
  <c r="C533" i="17"/>
  <c r="J533" i="17" s="1"/>
  <c r="F532" i="17"/>
  <c r="E532" i="17"/>
  <c r="C532" i="17"/>
  <c r="J532" i="17" s="1"/>
  <c r="F531" i="17"/>
  <c r="E531" i="17"/>
  <c r="C531" i="17"/>
  <c r="J531" i="17" s="1"/>
  <c r="F530" i="17"/>
  <c r="E530" i="17"/>
  <c r="C530" i="17"/>
  <c r="J530" i="17" s="1"/>
  <c r="F529" i="17"/>
  <c r="E529" i="17"/>
  <c r="C529" i="17"/>
  <c r="J529" i="17" s="1"/>
  <c r="F528" i="17"/>
  <c r="E528" i="17"/>
  <c r="C528" i="17"/>
  <c r="J528" i="17" s="1"/>
  <c r="F527" i="17"/>
  <c r="E527" i="17"/>
  <c r="C527" i="17"/>
  <c r="J527" i="17" s="1"/>
  <c r="F526" i="17"/>
  <c r="H526" i="17" s="1"/>
  <c r="E526" i="17"/>
  <c r="C526" i="17"/>
  <c r="J526" i="17" s="1"/>
  <c r="F525" i="17"/>
  <c r="E525" i="17"/>
  <c r="C525" i="17"/>
  <c r="J525" i="17" s="1"/>
  <c r="F524" i="17"/>
  <c r="E524" i="17"/>
  <c r="C524" i="17"/>
  <c r="J524" i="17" s="1"/>
  <c r="F523" i="17"/>
  <c r="E523" i="17"/>
  <c r="C523" i="17"/>
  <c r="J523" i="17" s="1"/>
  <c r="F522" i="17"/>
  <c r="E522" i="17"/>
  <c r="C522" i="17"/>
  <c r="J522" i="17" s="1"/>
  <c r="F521" i="17"/>
  <c r="E521" i="17"/>
  <c r="C521" i="17"/>
  <c r="J521" i="17" s="1"/>
  <c r="F520" i="17"/>
  <c r="E520" i="17"/>
  <c r="C520" i="17"/>
  <c r="J520" i="17" s="1"/>
  <c r="F519" i="17"/>
  <c r="E519" i="17"/>
  <c r="C519" i="17"/>
  <c r="J519" i="17" s="1"/>
  <c r="F518" i="17"/>
  <c r="E518" i="17"/>
  <c r="C518" i="17"/>
  <c r="J518" i="17" s="1"/>
  <c r="F517" i="17"/>
  <c r="E517" i="17"/>
  <c r="C517" i="17"/>
  <c r="J517" i="17" s="1"/>
  <c r="F516" i="17"/>
  <c r="E516" i="17"/>
  <c r="C516" i="17"/>
  <c r="J516" i="17" s="1"/>
  <c r="F515" i="17"/>
  <c r="E515" i="17"/>
  <c r="C515" i="17"/>
  <c r="J515" i="17" s="1"/>
  <c r="F514" i="17"/>
  <c r="E514" i="17"/>
  <c r="C514" i="17"/>
  <c r="J514" i="17" s="1"/>
  <c r="F513" i="17"/>
  <c r="E513" i="17"/>
  <c r="C513" i="17"/>
  <c r="J513" i="17" s="1"/>
  <c r="F512" i="17"/>
  <c r="E512" i="17"/>
  <c r="C512" i="17"/>
  <c r="J512" i="17" s="1"/>
  <c r="F511" i="17"/>
  <c r="E511" i="17"/>
  <c r="C511" i="17"/>
  <c r="J511" i="17" s="1"/>
  <c r="F510" i="17"/>
  <c r="E510" i="17"/>
  <c r="C510" i="17"/>
  <c r="J510" i="17" s="1"/>
  <c r="F509" i="17"/>
  <c r="E509" i="17"/>
  <c r="C509" i="17"/>
  <c r="J509" i="17" s="1"/>
  <c r="F508" i="17"/>
  <c r="E508" i="17"/>
  <c r="C508" i="17"/>
  <c r="J508" i="17" s="1"/>
  <c r="F507" i="17"/>
  <c r="E507" i="17"/>
  <c r="C507" i="17"/>
  <c r="J507" i="17" s="1"/>
  <c r="F506" i="17"/>
  <c r="E506" i="17"/>
  <c r="C506" i="17"/>
  <c r="J506" i="17" s="1"/>
  <c r="F505" i="17"/>
  <c r="E505" i="17"/>
  <c r="C505" i="17"/>
  <c r="J505" i="17" s="1"/>
  <c r="F504" i="17"/>
  <c r="H504" i="17" s="1"/>
  <c r="E504" i="17"/>
  <c r="C504" i="17"/>
  <c r="J504" i="17" s="1"/>
  <c r="F503" i="17"/>
  <c r="E503" i="17"/>
  <c r="C503" i="17"/>
  <c r="J503" i="17" s="1"/>
  <c r="F502" i="17"/>
  <c r="E502" i="17"/>
  <c r="C502" i="17"/>
  <c r="J502" i="17" s="1"/>
  <c r="F501" i="17"/>
  <c r="E501" i="17"/>
  <c r="C501" i="17"/>
  <c r="J501" i="17" s="1"/>
  <c r="F500" i="17"/>
  <c r="E500" i="17"/>
  <c r="C500" i="17"/>
  <c r="J500" i="17" s="1"/>
  <c r="F499" i="17"/>
  <c r="E499" i="17"/>
  <c r="C499" i="17"/>
  <c r="J499" i="17" s="1"/>
  <c r="F498" i="17"/>
  <c r="E498" i="17"/>
  <c r="C498" i="17"/>
  <c r="J498" i="17" s="1"/>
  <c r="F497" i="17"/>
  <c r="E497" i="17"/>
  <c r="C497" i="17"/>
  <c r="J497" i="17" s="1"/>
  <c r="F496" i="17"/>
  <c r="E496" i="17"/>
  <c r="C496" i="17"/>
  <c r="J496" i="17" s="1"/>
  <c r="F495" i="17"/>
  <c r="E495" i="17"/>
  <c r="C495" i="17"/>
  <c r="J495" i="17" s="1"/>
  <c r="F494" i="17"/>
  <c r="E494" i="17"/>
  <c r="C494" i="17"/>
  <c r="J494" i="17" s="1"/>
  <c r="F493" i="17"/>
  <c r="E493" i="17"/>
  <c r="C493" i="17"/>
  <c r="J493" i="17" s="1"/>
  <c r="F492" i="17"/>
  <c r="E492" i="17"/>
  <c r="C492" i="17"/>
  <c r="J492" i="17" s="1"/>
  <c r="F491" i="17"/>
  <c r="E491" i="17"/>
  <c r="C491" i="17"/>
  <c r="J491" i="17" s="1"/>
  <c r="F490" i="17"/>
  <c r="E490" i="17"/>
  <c r="C490" i="17"/>
  <c r="J490" i="17" s="1"/>
  <c r="F489" i="17"/>
  <c r="E489" i="17"/>
  <c r="C489" i="17"/>
  <c r="J489" i="17" s="1"/>
  <c r="F488" i="17"/>
  <c r="E488" i="17"/>
  <c r="C488" i="17"/>
  <c r="J488" i="17" s="1"/>
  <c r="F487" i="17"/>
  <c r="E487" i="17"/>
  <c r="C487" i="17"/>
  <c r="J487" i="17" s="1"/>
  <c r="F486" i="17"/>
  <c r="E486" i="17"/>
  <c r="C486" i="17"/>
  <c r="J486" i="17" s="1"/>
  <c r="F485" i="17"/>
  <c r="E485" i="17"/>
  <c r="C485" i="17"/>
  <c r="J485" i="17" s="1"/>
  <c r="F484" i="17"/>
  <c r="E484" i="17"/>
  <c r="C484" i="17"/>
  <c r="J484" i="17" s="1"/>
  <c r="F483" i="17"/>
  <c r="E483" i="17"/>
  <c r="C483" i="17"/>
  <c r="J483" i="17" s="1"/>
  <c r="F482" i="17"/>
  <c r="E482" i="17"/>
  <c r="C482" i="17"/>
  <c r="J482" i="17" s="1"/>
  <c r="F481" i="17"/>
  <c r="E481" i="17"/>
  <c r="C481" i="17"/>
  <c r="J481" i="17" s="1"/>
  <c r="F480" i="17"/>
  <c r="E480" i="17"/>
  <c r="C480" i="17"/>
  <c r="J480" i="17" s="1"/>
  <c r="F479" i="17"/>
  <c r="E479" i="17"/>
  <c r="C479" i="17"/>
  <c r="J479" i="17" s="1"/>
  <c r="F478" i="17"/>
  <c r="E478" i="17"/>
  <c r="C478" i="17"/>
  <c r="J478" i="17" s="1"/>
  <c r="F477" i="17"/>
  <c r="E477" i="17"/>
  <c r="C477" i="17"/>
  <c r="J477" i="17" s="1"/>
  <c r="F476" i="17"/>
  <c r="E476" i="17"/>
  <c r="C476" i="17"/>
  <c r="J476" i="17" s="1"/>
  <c r="F475" i="17"/>
  <c r="E475" i="17"/>
  <c r="C475" i="17"/>
  <c r="J475" i="17" s="1"/>
  <c r="F474" i="17"/>
  <c r="E474" i="17"/>
  <c r="C474" i="17"/>
  <c r="J474" i="17" s="1"/>
  <c r="F473" i="17"/>
  <c r="E473" i="17"/>
  <c r="C473" i="17"/>
  <c r="J473" i="17" s="1"/>
  <c r="F472" i="17"/>
  <c r="E472" i="17"/>
  <c r="C472" i="17"/>
  <c r="J472" i="17" s="1"/>
  <c r="F471" i="17"/>
  <c r="E471" i="17"/>
  <c r="C471" i="17"/>
  <c r="J471" i="17" s="1"/>
  <c r="F470" i="17"/>
  <c r="E470" i="17"/>
  <c r="C470" i="17"/>
  <c r="J470" i="17" s="1"/>
  <c r="F469" i="17"/>
  <c r="E469" i="17"/>
  <c r="C469" i="17"/>
  <c r="J469" i="17" s="1"/>
  <c r="F468" i="17"/>
  <c r="E468" i="17"/>
  <c r="C468" i="17"/>
  <c r="J468" i="17" s="1"/>
  <c r="F467" i="17"/>
  <c r="E467" i="17"/>
  <c r="C467" i="17"/>
  <c r="J467" i="17" s="1"/>
  <c r="F466" i="17"/>
  <c r="E466" i="17"/>
  <c r="C466" i="17"/>
  <c r="J466" i="17" s="1"/>
  <c r="F465" i="17"/>
  <c r="E465" i="17"/>
  <c r="C465" i="17"/>
  <c r="J465" i="17" s="1"/>
  <c r="F464" i="17"/>
  <c r="E464" i="17"/>
  <c r="C464" i="17"/>
  <c r="J464" i="17" s="1"/>
  <c r="F463" i="17"/>
  <c r="E463" i="17"/>
  <c r="C463" i="17"/>
  <c r="J463" i="17" s="1"/>
  <c r="F462" i="17"/>
  <c r="E462" i="17"/>
  <c r="C462" i="17"/>
  <c r="J462" i="17" s="1"/>
  <c r="F461" i="17"/>
  <c r="E461" i="17"/>
  <c r="C461" i="17"/>
  <c r="J461" i="17" s="1"/>
  <c r="F460" i="17"/>
  <c r="E460" i="17"/>
  <c r="C460" i="17"/>
  <c r="J460" i="17" s="1"/>
  <c r="F459" i="17"/>
  <c r="E459" i="17"/>
  <c r="C459" i="17"/>
  <c r="J459" i="17" s="1"/>
  <c r="F458" i="17"/>
  <c r="E458" i="17"/>
  <c r="C458" i="17"/>
  <c r="J458" i="17" s="1"/>
  <c r="F457" i="17"/>
  <c r="E457" i="17"/>
  <c r="C457" i="17"/>
  <c r="J457" i="17" s="1"/>
  <c r="F456" i="17"/>
  <c r="E456" i="17"/>
  <c r="C456" i="17"/>
  <c r="J456" i="17" s="1"/>
  <c r="J455" i="17"/>
  <c r="F455" i="17"/>
  <c r="E455" i="17"/>
  <c r="C455" i="17"/>
  <c r="F454" i="17"/>
  <c r="E454" i="17"/>
  <c r="C454" i="17"/>
  <c r="J454" i="17" s="1"/>
  <c r="F453" i="17"/>
  <c r="E453" i="17"/>
  <c r="C453" i="17"/>
  <c r="J453" i="17" s="1"/>
  <c r="F452" i="17"/>
  <c r="E452" i="17"/>
  <c r="C452" i="17"/>
  <c r="J452" i="17" s="1"/>
  <c r="F451" i="17"/>
  <c r="E451" i="17"/>
  <c r="C451" i="17"/>
  <c r="J451" i="17" s="1"/>
  <c r="F450" i="17"/>
  <c r="E450" i="17"/>
  <c r="C450" i="17"/>
  <c r="J450" i="17" s="1"/>
  <c r="F449" i="17"/>
  <c r="E449" i="17"/>
  <c r="C449" i="17"/>
  <c r="J449" i="17" s="1"/>
  <c r="F448" i="17"/>
  <c r="E448" i="17"/>
  <c r="C448" i="17"/>
  <c r="J448" i="17" s="1"/>
  <c r="F447" i="17"/>
  <c r="E447" i="17"/>
  <c r="C447" i="17"/>
  <c r="J447" i="17" s="1"/>
  <c r="F446" i="17"/>
  <c r="E446" i="17"/>
  <c r="C446" i="17"/>
  <c r="J446" i="17" s="1"/>
  <c r="F445" i="17"/>
  <c r="E445" i="17"/>
  <c r="C445" i="17"/>
  <c r="J445" i="17" s="1"/>
  <c r="F444" i="17"/>
  <c r="E444" i="17"/>
  <c r="C444" i="17"/>
  <c r="J444" i="17" s="1"/>
  <c r="F443" i="17"/>
  <c r="E443" i="17"/>
  <c r="C443" i="17"/>
  <c r="J443" i="17" s="1"/>
  <c r="F442" i="17"/>
  <c r="E442" i="17"/>
  <c r="C442" i="17"/>
  <c r="J442" i="17" s="1"/>
  <c r="F441" i="17"/>
  <c r="E441" i="17"/>
  <c r="C441" i="17"/>
  <c r="J441" i="17" s="1"/>
  <c r="F440" i="17"/>
  <c r="E440" i="17"/>
  <c r="C440" i="17"/>
  <c r="J440" i="17" s="1"/>
  <c r="F439" i="17"/>
  <c r="E439" i="17"/>
  <c r="C439" i="17"/>
  <c r="J439" i="17" s="1"/>
  <c r="F438" i="17"/>
  <c r="E438" i="17"/>
  <c r="C438" i="17"/>
  <c r="J438" i="17" s="1"/>
  <c r="F437" i="17"/>
  <c r="E437" i="17"/>
  <c r="C437" i="17"/>
  <c r="J437" i="17" s="1"/>
  <c r="F436" i="17"/>
  <c r="E436" i="17"/>
  <c r="C436" i="17"/>
  <c r="J436" i="17" s="1"/>
  <c r="F435" i="17"/>
  <c r="E435" i="17"/>
  <c r="C435" i="17"/>
  <c r="J435" i="17" s="1"/>
  <c r="F434" i="17"/>
  <c r="E434" i="17"/>
  <c r="C434" i="17"/>
  <c r="J434" i="17" s="1"/>
  <c r="F433" i="17"/>
  <c r="H433" i="17" s="1"/>
  <c r="E433" i="17"/>
  <c r="C433" i="17"/>
  <c r="J433" i="17" s="1"/>
  <c r="F432" i="17"/>
  <c r="E432" i="17"/>
  <c r="C432" i="17"/>
  <c r="J432" i="17" s="1"/>
  <c r="F431" i="17"/>
  <c r="E431" i="17"/>
  <c r="C431" i="17"/>
  <c r="J431" i="17" s="1"/>
  <c r="F430" i="17"/>
  <c r="E430" i="17"/>
  <c r="C430" i="17"/>
  <c r="J430" i="17" s="1"/>
  <c r="F429" i="17"/>
  <c r="E429" i="17"/>
  <c r="C429" i="17"/>
  <c r="J429" i="17" s="1"/>
  <c r="F428" i="17"/>
  <c r="E428" i="17"/>
  <c r="C428" i="17"/>
  <c r="J428" i="17" s="1"/>
  <c r="F427" i="17"/>
  <c r="E427" i="17"/>
  <c r="C427" i="17"/>
  <c r="J427" i="17" s="1"/>
  <c r="F426" i="17"/>
  <c r="E426" i="17"/>
  <c r="C426" i="17"/>
  <c r="J426" i="17" s="1"/>
  <c r="F425" i="17"/>
  <c r="E425" i="17"/>
  <c r="C425" i="17"/>
  <c r="J425" i="17" s="1"/>
  <c r="F424" i="17"/>
  <c r="E424" i="17"/>
  <c r="C424" i="17"/>
  <c r="J424" i="17" s="1"/>
  <c r="F423" i="17"/>
  <c r="E423" i="17"/>
  <c r="C423" i="17"/>
  <c r="J423" i="17" s="1"/>
  <c r="F422" i="17"/>
  <c r="E422" i="17"/>
  <c r="C422" i="17"/>
  <c r="J422" i="17" s="1"/>
  <c r="F421" i="17"/>
  <c r="E421" i="17"/>
  <c r="C421" i="17"/>
  <c r="J421" i="17" s="1"/>
  <c r="F420" i="17"/>
  <c r="E420" i="17"/>
  <c r="C420" i="17"/>
  <c r="J420" i="17" s="1"/>
  <c r="F419" i="17"/>
  <c r="E419" i="17"/>
  <c r="C419" i="17"/>
  <c r="J419" i="17" s="1"/>
  <c r="F418" i="17"/>
  <c r="E418" i="17"/>
  <c r="C418" i="17"/>
  <c r="J418" i="17" s="1"/>
  <c r="F417" i="17"/>
  <c r="E417" i="17"/>
  <c r="C417" i="17"/>
  <c r="J417" i="17" s="1"/>
  <c r="F416" i="17"/>
  <c r="H416" i="17" s="1"/>
  <c r="E416" i="17"/>
  <c r="C416" i="17"/>
  <c r="J416" i="17" s="1"/>
  <c r="F415" i="17"/>
  <c r="E415" i="17"/>
  <c r="C415" i="17"/>
  <c r="J415" i="17" s="1"/>
  <c r="F414" i="17"/>
  <c r="E414" i="17"/>
  <c r="C414" i="17"/>
  <c r="J414" i="17" s="1"/>
  <c r="F413" i="17"/>
  <c r="E413" i="17"/>
  <c r="C413" i="17"/>
  <c r="J413" i="17" s="1"/>
  <c r="F412" i="17"/>
  <c r="H412" i="17" s="1"/>
  <c r="E412" i="17"/>
  <c r="C412" i="17"/>
  <c r="J412" i="17" s="1"/>
  <c r="F411" i="17"/>
  <c r="H411" i="17" s="1"/>
  <c r="E411" i="17"/>
  <c r="C411" i="17"/>
  <c r="J411" i="17" s="1"/>
  <c r="F410" i="17"/>
  <c r="E410" i="17"/>
  <c r="C410" i="17"/>
  <c r="J410" i="17" s="1"/>
  <c r="F409" i="17"/>
  <c r="E409" i="17"/>
  <c r="C409" i="17"/>
  <c r="J409" i="17" s="1"/>
  <c r="F408" i="17"/>
  <c r="E408" i="17"/>
  <c r="C408" i="17"/>
  <c r="J408" i="17" s="1"/>
  <c r="F407" i="17"/>
  <c r="E407" i="17"/>
  <c r="C407" i="17"/>
  <c r="J407" i="17" s="1"/>
  <c r="F406" i="17"/>
  <c r="E406" i="17"/>
  <c r="C406" i="17"/>
  <c r="J406" i="17" s="1"/>
  <c r="F405" i="17"/>
  <c r="E405" i="17"/>
  <c r="C405" i="17"/>
  <c r="J405" i="17" s="1"/>
  <c r="F404" i="17"/>
  <c r="E404" i="17"/>
  <c r="C404" i="17"/>
  <c r="J404" i="17" s="1"/>
  <c r="F403" i="17"/>
  <c r="E403" i="17"/>
  <c r="C403" i="17"/>
  <c r="J403" i="17" s="1"/>
  <c r="F402" i="17"/>
  <c r="E402" i="17"/>
  <c r="C402" i="17"/>
  <c r="J402" i="17" s="1"/>
  <c r="F401" i="17"/>
  <c r="E401" i="17"/>
  <c r="C401" i="17"/>
  <c r="J401" i="17" s="1"/>
  <c r="F400" i="17"/>
  <c r="E400" i="17"/>
  <c r="C400" i="17"/>
  <c r="J400" i="17" s="1"/>
  <c r="F399" i="17"/>
  <c r="E399" i="17"/>
  <c r="C399" i="17"/>
  <c r="J399" i="17" s="1"/>
  <c r="F398" i="17"/>
  <c r="E398" i="17"/>
  <c r="C398" i="17"/>
  <c r="J398" i="17" s="1"/>
  <c r="F397" i="17"/>
  <c r="E397" i="17"/>
  <c r="C397" i="17"/>
  <c r="J397" i="17" s="1"/>
  <c r="F396" i="17"/>
  <c r="E396" i="17"/>
  <c r="C396" i="17"/>
  <c r="J396" i="17" s="1"/>
  <c r="F395" i="17"/>
  <c r="E395" i="17"/>
  <c r="C395" i="17"/>
  <c r="J395" i="17" s="1"/>
  <c r="F394" i="17"/>
  <c r="E394" i="17"/>
  <c r="C394" i="17"/>
  <c r="J394" i="17" s="1"/>
  <c r="F393" i="17"/>
  <c r="E393" i="17"/>
  <c r="C393" i="17"/>
  <c r="J393" i="17" s="1"/>
  <c r="F392" i="17"/>
  <c r="H392" i="17" s="1"/>
  <c r="E392" i="17"/>
  <c r="C392" i="17"/>
  <c r="J392" i="17" s="1"/>
  <c r="F391" i="17"/>
  <c r="E391" i="17"/>
  <c r="C391" i="17"/>
  <c r="J391" i="17" s="1"/>
  <c r="F390" i="17"/>
  <c r="E390" i="17"/>
  <c r="C390" i="17"/>
  <c r="J390" i="17" s="1"/>
  <c r="F389" i="17"/>
  <c r="E389" i="17"/>
  <c r="C389" i="17"/>
  <c r="J389" i="17" s="1"/>
  <c r="F388" i="17"/>
  <c r="E388" i="17"/>
  <c r="C388" i="17"/>
  <c r="J388" i="17" s="1"/>
  <c r="F387" i="17"/>
  <c r="E387" i="17"/>
  <c r="C387" i="17"/>
  <c r="J387" i="17" s="1"/>
  <c r="F386" i="17"/>
  <c r="E386" i="17"/>
  <c r="C386" i="17"/>
  <c r="J386" i="17" s="1"/>
  <c r="F385" i="17"/>
  <c r="E385" i="17"/>
  <c r="C385" i="17"/>
  <c r="J385" i="17" s="1"/>
  <c r="F384" i="17"/>
  <c r="E384" i="17"/>
  <c r="C384" i="17"/>
  <c r="J384" i="17" s="1"/>
  <c r="F383" i="17"/>
  <c r="E383" i="17"/>
  <c r="C383" i="17"/>
  <c r="J383" i="17" s="1"/>
  <c r="F382" i="17"/>
  <c r="E382" i="17"/>
  <c r="C382" i="17"/>
  <c r="J382" i="17" s="1"/>
  <c r="F381" i="17"/>
  <c r="E381" i="17"/>
  <c r="C381" i="17"/>
  <c r="J381" i="17" s="1"/>
  <c r="F380" i="17"/>
  <c r="E380" i="17"/>
  <c r="C380" i="17"/>
  <c r="J380" i="17" s="1"/>
  <c r="F379" i="17"/>
  <c r="E379" i="17"/>
  <c r="C379" i="17"/>
  <c r="J379" i="17" s="1"/>
  <c r="F378" i="17"/>
  <c r="E378" i="17"/>
  <c r="C378" i="17"/>
  <c r="J378" i="17" s="1"/>
  <c r="F377" i="17"/>
  <c r="E377" i="17"/>
  <c r="C377" i="17"/>
  <c r="J377" i="17" s="1"/>
  <c r="F376" i="17"/>
  <c r="E376" i="17"/>
  <c r="C376" i="17"/>
  <c r="J376" i="17" s="1"/>
  <c r="F375" i="17"/>
  <c r="E375" i="17"/>
  <c r="C375" i="17"/>
  <c r="J375" i="17" s="1"/>
  <c r="F374" i="17"/>
  <c r="E374" i="17"/>
  <c r="C374" i="17"/>
  <c r="J374" i="17" s="1"/>
  <c r="F373" i="17"/>
  <c r="E373" i="17"/>
  <c r="C373" i="17"/>
  <c r="J373" i="17" s="1"/>
  <c r="F372" i="17"/>
  <c r="E372" i="17"/>
  <c r="C372" i="17"/>
  <c r="J372" i="17" s="1"/>
  <c r="F371" i="17"/>
  <c r="E371" i="17"/>
  <c r="C371" i="17"/>
  <c r="J371" i="17" s="1"/>
  <c r="F370" i="17"/>
  <c r="E370" i="17"/>
  <c r="C370" i="17"/>
  <c r="J370" i="17" s="1"/>
  <c r="F369" i="17"/>
  <c r="E369" i="17"/>
  <c r="C369" i="17"/>
  <c r="J369" i="17" s="1"/>
  <c r="F368" i="17"/>
  <c r="E368" i="17"/>
  <c r="C368" i="17"/>
  <c r="J368" i="17" s="1"/>
  <c r="F367" i="17"/>
  <c r="E367" i="17"/>
  <c r="C367" i="17"/>
  <c r="J367" i="17" s="1"/>
  <c r="F366" i="17"/>
  <c r="E366" i="17"/>
  <c r="C366" i="17"/>
  <c r="J366" i="17" s="1"/>
  <c r="F365" i="17"/>
  <c r="E365" i="17"/>
  <c r="C365" i="17"/>
  <c r="J365" i="17" s="1"/>
  <c r="F364" i="17"/>
  <c r="E364" i="17"/>
  <c r="C364" i="17"/>
  <c r="J364" i="17" s="1"/>
  <c r="F363" i="17"/>
  <c r="E363" i="17"/>
  <c r="C363" i="17"/>
  <c r="J363" i="17" s="1"/>
  <c r="F362" i="17"/>
  <c r="E362" i="17"/>
  <c r="C362" i="17"/>
  <c r="J362" i="17" s="1"/>
  <c r="F361" i="17"/>
  <c r="E361" i="17"/>
  <c r="C361" i="17"/>
  <c r="J361" i="17" s="1"/>
  <c r="F360" i="17"/>
  <c r="E360" i="17"/>
  <c r="C360" i="17"/>
  <c r="J360" i="17" s="1"/>
  <c r="F359" i="17"/>
  <c r="E359" i="17"/>
  <c r="C359" i="17"/>
  <c r="J359" i="17" s="1"/>
  <c r="F358" i="17"/>
  <c r="E358" i="17"/>
  <c r="C358" i="17"/>
  <c r="J358" i="17" s="1"/>
  <c r="F357" i="17"/>
  <c r="E357" i="17"/>
  <c r="C357" i="17"/>
  <c r="J357" i="17" s="1"/>
  <c r="F356" i="17"/>
  <c r="E356" i="17"/>
  <c r="C356" i="17"/>
  <c r="J356" i="17" s="1"/>
  <c r="F355" i="17"/>
  <c r="E355" i="17"/>
  <c r="C355" i="17"/>
  <c r="J355" i="17" s="1"/>
  <c r="F354" i="17"/>
  <c r="E354" i="17"/>
  <c r="C354" i="17"/>
  <c r="J354" i="17" s="1"/>
  <c r="F353" i="17"/>
  <c r="E353" i="17"/>
  <c r="C353" i="17"/>
  <c r="J353" i="17" s="1"/>
  <c r="F352" i="17"/>
  <c r="E352" i="17"/>
  <c r="C352" i="17"/>
  <c r="J352" i="17" s="1"/>
  <c r="F351" i="17"/>
  <c r="E351" i="17"/>
  <c r="C351" i="17"/>
  <c r="J351" i="17" s="1"/>
  <c r="F350" i="17"/>
  <c r="E350" i="17"/>
  <c r="C350" i="17"/>
  <c r="J350" i="17" s="1"/>
  <c r="F349" i="17"/>
  <c r="E349" i="17"/>
  <c r="C349" i="17"/>
  <c r="J349" i="17" s="1"/>
  <c r="F348" i="17"/>
  <c r="E348" i="17"/>
  <c r="C348" i="17"/>
  <c r="J348" i="17" s="1"/>
  <c r="F347" i="17"/>
  <c r="E347" i="17"/>
  <c r="C347" i="17"/>
  <c r="J347" i="17" s="1"/>
  <c r="F346" i="17"/>
  <c r="E346" i="17"/>
  <c r="C346" i="17"/>
  <c r="J346" i="17" s="1"/>
  <c r="F345" i="17"/>
  <c r="E345" i="17"/>
  <c r="H345" i="17" s="1"/>
  <c r="C345" i="17"/>
  <c r="J345" i="17" s="1"/>
  <c r="F344" i="17"/>
  <c r="E344" i="17"/>
  <c r="C344" i="17"/>
  <c r="J344" i="17" s="1"/>
  <c r="F343" i="17"/>
  <c r="E343" i="17"/>
  <c r="C343" i="17"/>
  <c r="J343" i="17" s="1"/>
  <c r="F342" i="17"/>
  <c r="E342" i="17"/>
  <c r="C342" i="17"/>
  <c r="J342" i="17" s="1"/>
  <c r="F341" i="17"/>
  <c r="E341" i="17"/>
  <c r="C341" i="17"/>
  <c r="J341" i="17" s="1"/>
  <c r="J340" i="17"/>
  <c r="F340" i="17"/>
  <c r="E340" i="17"/>
  <c r="C340" i="17"/>
  <c r="F339" i="17"/>
  <c r="E339" i="17"/>
  <c r="C339" i="17"/>
  <c r="J339" i="17" s="1"/>
  <c r="F338" i="17"/>
  <c r="E338" i="17"/>
  <c r="C338" i="17"/>
  <c r="J338" i="17" s="1"/>
  <c r="F337" i="17"/>
  <c r="E337" i="17"/>
  <c r="C337" i="17"/>
  <c r="J337" i="17" s="1"/>
  <c r="F336" i="17"/>
  <c r="E336" i="17"/>
  <c r="C336" i="17"/>
  <c r="J336" i="17" s="1"/>
  <c r="F335" i="17"/>
  <c r="E335" i="17"/>
  <c r="C335" i="17"/>
  <c r="J335" i="17" s="1"/>
  <c r="F334" i="17"/>
  <c r="E334" i="17"/>
  <c r="C334" i="17"/>
  <c r="J334" i="17" s="1"/>
  <c r="F333" i="17"/>
  <c r="E333" i="17"/>
  <c r="C333" i="17"/>
  <c r="J333" i="17" s="1"/>
  <c r="F332" i="17"/>
  <c r="E332" i="17"/>
  <c r="C332" i="17"/>
  <c r="J332" i="17" s="1"/>
  <c r="F331" i="17"/>
  <c r="E331" i="17"/>
  <c r="C331" i="17"/>
  <c r="J331" i="17" s="1"/>
  <c r="F330" i="17"/>
  <c r="E330" i="17"/>
  <c r="C330" i="17"/>
  <c r="J330" i="17" s="1"/>
  <c r="F329" i="17"/>
  <c r="E329" i="17"/>
  <c r="C329" i="17"/>
  <c r="J329" i="17" s="1"/>
  <c r="F328" i="17"/>
  <c r="E328" i="17"/>
  <c r="C328" i="17"/>
  <c r="J328" i="17" s="1"/>
  <c r="F327" i="17"/>
  <c r="E327" i="17"/>
  <c r="C327" i="17"/>
  <c r="J327" i="17" s="1"/>
  <c r="F326" i="17"/>
  <c r="E326" i="17"/>
  <c r="C326" i="17"/>
  <c r="J326" i="17" s="1"/>
  <c r="J325" i="17"/>
  <c r="F325" i="17"/>
  <c r="H325" i="17" s="1"/>
  <c r="E325" i="17"/>
  <c r="C325" i="17"/>
  <c r="F324" i="17"/>
  <c r="E324" i="17"/>
  <c r="C324" i="17"/>
  <c r="J324" i="17" s="1"/>
  <c r="F323" i="17"/>
  <c r="E323" i="17"/>
  <c r="C323" i="17"/>
  <c r="J323" i="17" s="1"/>
  <c r="F322" i="17"/>
  <c r="E322" i="17"/>
  <c r="H322" i="17" s="1"/>
  <c r="C322" i="17"/>
  <c r="J322" i="17" s="1"/>
  <c r="F321" i="17"/>
  <c r="H321" i="17" s="1"/>
  <c r="E321" i="17"/>
  <c r="C321" i="17"/>
  <c r="J321" i="17" s="1"/>
  <c r="F320" i="17"/>
  <c r="E320" i="17"/>
  <c r="C320" i="17"/>
  <c r="J320" i="17" s="1"/>
  <c r="F319" i="17"/>
  <c r="E319" i="17"/>
  <c r="C319" i="17"/>
  <c r="J319" i="17" s="1"/>
  <c r="F318" i="17"/>
  <c r="E318" i="17"/>
  <c r="C318" i="17"/>
  <c r="J318" i="17" s="1"/>
  <c r="F317" i="17"/>
  <c r="H317" i="17" s="1"/>
  <c r="E317" i="17"/>
  <c r="C317" i="17"/>
  <c r="J317" i="17" s="1"/>
  <c r="F316" i="17"/>
  <c r="E316" i="17"/>
  <c r="C316" i="17"/>
  <c r="J316" i="17" s="1"/>
  <c r="F315" i="17"/>
  <c r="E315" i="17"/>
  <c r="C315" i="17"/>
  <c r="J315" i="17" s="1"/>
  <c r="F314" i="17"/>
  <c r="E314" i="17"/>
  <c r="C314" i="17"/>
  <c r="J314" i="17" s="1"/>
  <c r="F313" i="17"/>
  <c r="E313" i="17"/>
  <c r="C313" i="17"/>
  <c r="J313" i="17" s="1"/>
  <c r="F312" i="17"/>
  <c r="E312" i="17"/>
  <c r="C312" i="17"/>
  <c r="J312" i="17" s="1"/>
  <c r="F311" i="17"/>
  <c r="E311" i="17"/>
  <c r="C311" i="17"/>
  <c r="J311" i="17" s="1"/>
  <c r="F310" i="17"/>
  <c r="E310" i="17"/>
  <c r="C310" i="17"/>
  <c r="J310" i="17" s="1"/>
  <c r="F309" i="17"/>
  <c r="E309" i="17"/>
  <c r="C309" i="17"/>
  <c r="J309" i="17" s="1"/>
  <c r="F308" i="17"/>
  <c r="E308" i="17"/>
  <c r="C308" i="17"/>
  <c r="J308" i="17" s="1"/>
  <c r="F307" i="17"/>
  <c r="E307" i="17"/>
  <c r="C307" i="17"/>
  <c r="J307" i="17" s="1"/>
  <c r="F306" i="17"/>
  <c r="E306" i="17"/>
  <c r="C306" i="17"/>
  <c r="J306" i="17" s="1"/>
  <c r="F305" i="17"/>
  <c r="E305" i="17"/>
  <c r="C305" i="17"/>
  <c r="J305" i="17" s="1"/>
  <c r="F304" i="17"/>
  <c r="E304" i="17"/>
  <c r="C304" i="17"/>
  <c r="J304" i="17" s="1"/>
  <c r="F303" i="17"/>
  <c r="E303" i="17"/>
  <c r="C303" i="17"/>
  <c r="J303" i="17" s="1"/>
  <c r="F302" i="17"/>
  <c r="E302" i="17"/>
  <c r="C302" i="17"/>
  <c r="J302" i="17" s="1"/>
  <c r="F301" i="17"/>
  <c r="E301" i="17"/>
  <c r="C301" i="17"/>
  <c r="J301" i="17" s="1"/>
  <c r="F300" i="17"/>
  <c r="E300" i="17"/>
  <c r="C300" i="17"/>
  <c r="J300" i="17" s="1"/>
  <c r="F299" i="17"/>
  <c r="E299" i="17"/>
  <c r="C299" i="17"/>
  <c r="J299" i="17" s="1"/>
  <c r="F298" i="17"/>
  <c r="E298" i="17"/>
  <c r="C298" i="17"/>
  <c r="J298" i="17" s="1"/>
  <c r="F297" i="17"/>
  <c r="H297" i="17" s="1"/>
  <c r="E297" i="17"/>
  <c r="C297" i="17"/>
  <c r="J297" i="17" s="1"/>
  <c r="F296" i="17"/>
  <c r="E296" i="17"/>
  <c r="C296" i="17"/>
  <c r="J296" i="17" s="1"/>
  <c r="F295" i="17"/>
  <c r="E295" i="17"/>
  <c r="C295" i="17"/>
  <c r="J295" i="17" s="1"/>
  <c r="F294" i="17"/>
  <c r="E294" i="17"/>
  <c r="C294" i="17"/>
  <c r="J294" i="17" s="1"/>
  <c r="H293" i="17"/>
  <c r="F293" i="17"/>
  <c r="E293" i="17"/>
  <c r="C293" i="17"/>
  <c r="J293" i="17" s="1"/>
  <c r="F292" i="17"/>
  <c r="E292" i="17"/>
  <c r="C292" i="17"/>
  <c r="J292" i="17" s="1"/>
  <c r="F291" i="17"/>
  <c r="E291" i="17"/>
  <c r="C291" i="17"/>
  <c r="J291" i="17" s="1"/>
  <c r="F290" i="17"/>
  <c r="E290" i="17"/>
  <c r="C290" i="17"/>
  <c r="J290" i="17" s="1"/>
  <c r="F289" i="17"/>
  <c r="E289" i="17"/>
  <c r="C289" i="17"/>
  <c r="J289" i="17" s="1"/>
  <c r="F288" i="17"/>
  <c r="E288" i="17"/>
  <c r="H288" i="17" s="1"/>
  <c r="C288" i="17"/>
  <c r="J288" i="17" s="1"/>
  <c r="J287" i="17"/>
  <c r="F287" i="17"/>
  <c r="E287" i="17"/>
  <c r="C287" i="17"/>
  <c r="F286" i="17"/>
  <c r="E286" i="17"/>
  <c r="C286" i="17"/>
  <c r="J286" i="17" s="1"/>
  <c r="F285" i="17"/>
  <c r="E285" i="17"/>
  <c r="C285" i="17"/>
  <c r="J285" i="17" s="1"/>
  <c r="F284" i="17"/>
  <c r="E284" i="17"/>
  <c r="C284" i="17"/>
  <c r="J284" i="17" s="1"/>
  <c r="F283" i="17"/>
  <c r="E283" i="17"/>
  <c r="C283" i="17"/>
  <c r="J283" i="17" s="1"/>
  <c r="J282" i="17"/>
  <c r="F282" i="17"/>
  <c r="E282" i="17"/>
  <c r="C282" i="17"/>
  <c r="F281" i="17"/>
  <c r="E281" i="17"/>
  <c r="C281" i="17"/>
  <c r="J281" i="17" s="1"/>
  <c r="F280" i="17"/>
  <c r="E280" i="17"/>
  <c r="C280" i="17"/>
  <c r="J280" i="17" s="1"/>
  <c r="F279" i="17"/>
  <c r="E279" i="17"/>
  <c r="C279" i="17"/>
  <c r="J279" i="17" s="1"/>
  <c r="F278" i="17"/>
  <c r="E278" i="17"/>
  <c r="C278" i="17"/>
  <c r="J278" i="17" s="1"/>
  <c r="F277" i="17"/>
  <c r="E277" i="17"/>
  <c r="C277" i="17"/>
  <c r="J277" i="17" s="1"/>
  <c r="F276" i="17"/>
  <c r="H276" i="17" s="1"/>
  <c r="E276" i="17"/>
  <c r="C276" i="17"/>
  <c r="J276" i="17" s="1"/>
  <c r="F275" i="17"/>
  <c r="E275" i="17"/>
  <c r="C275" i="17"/>
  <c r="J275" i="17" s="1"/>
  <c r="F274" i="17"/>
  <c r="E274" i="17"/>
  <c r="C274" i="17"/>
  <c r="J274" i="17" s="1"/>
  <c r="F273" i="17"/>
  <c r="E273" i="17"/>
  <c r="C273" i="17"/>
  <c r="J273" i="17" s="1"/>
  <c r="F272" i="17"/>
  <c r="E272" i="17"/>
  <c r="C272" i="17"/>
  <c r="J272" i="17" s="1"/>
  <c r="F271" i="17"/>
  <c r="E271" i="17"/>
  <c r="C271" i="17"/>
  <c r="J271" i="17" s="1"/>
  <c r="F270" i="17"/>
  <c r="E270" i="17"/>
  <c r="C270" i="17"/>
  <c r="J270" i="17" s="1"/>
  <c r="F269" i="17"/>
  <c r="E269" i="17"/>
  <c r="C269" i="17"/>
  <c r="J269" i="17" s="1"/>
  <c r="F268" i="17"/>
  <c r="E268" i="17"/>
  <c r="C268" i="17"/>
  <c r="J268" i="17" s="1"/>
  <c r="F267" i="17"/>
  <c r="E267" i="17"/>
  <c r="C267" i="17"/>
  <c r="J267" i="17" s="1"/>
  <c r="F266" i="17"/>
  <c r="E266" i="17"/>
  <c r="C266" i="17"/>
  <c r="J266" i="17" s="1"/>
  <c r="F265" i="17"/>
  <c r="E265" i="17"/>
  <c r="C265" i="17"/>
  <c r="J265" i="17" s="1"/>
  <c r="F264" i="17"/>
  <c r="E264" i="17"/>
  <c r="C264" i="17"/>
  <c r="J264" i="17" s="1"/>
  <c r="F263" i="17"/>
  <c r="E263" i="17"/>
  <c r="C263" i="17"/>
  <c r="J263" i="17" s="1"/>
  <c r="F262" i="17"/>
  <c r="E262" i="17"/>
  <c r="C262" i="17"/>
  <c r="J262" i="17" s="1"/>
  <c r="F261" i="17"/>
  <c r="E261" i="17"/>
  <c r="C261" i="17"/>
  <c r="J261" i="17" s="1"/>
  <c r="F260" i="17"/>
  <c r="E260" i="17"/>
  <c r="C260" i="17"/>
  <c r="J260" i="17" s="1"/>
  <c r="F259" i="17"/>
  <c r="E259" i="17"/>
  <c r="C259" i="17"/>
  <c r="J259" i="17" s="1"/>
  <c r="J258" i="17"/>
  <c r="F258" i="17"/>
  <c r="E258" i="17"/>
  <c r="C258" i="17"/>
  <c r="F257" i="17"/>
  <c r="E257" i="17"/>
  <c r="C257" i="17"/>
  <c r="J257" i="17" s="1"/>
  <c r="F256" i="17"/>
  <c r="E256" i="17"/>
  <c r="C256" i="17"/>
  <c r="J256" i="17" s="1"/>
  <c r="F255" i="17"/>
  <c r="E255" i="17"/>
  <c r="C255" i="17"/>
  <c r="J255" i="17" s="1"/>
  <c r="F254" i="17"/>
  <c r="E254" i="17"/>
  <c r="C254" i="17"/>
  <c r="J254" i="17" s="1"/>
  <c r="F253" i="17"/>
  <c r="E253" i="17"/>
  <c r="C253" i="17"/>
  <c r="J253" i="17" s="1"/>
  <c r="F252" i="17"/>
  <c r="E252" i="17"/>
  <c r="C252" i="17"/>
  <c r="J252" i="17" s="1"/>
  <c r="F251" i="17"/>
  <c r="E251" i="17"/>
  <c r="C251" i="17"/>
  <c r="J251" i="17" s="1"/>
  <c r="F250" i="17"/>
  <c r="E250" i="17"/>
  <c r="C250" i="17"/>
  <c r="J250" i="17" s="1"/>
  <c r="F249" i="17"/>
  <c r="E249" i="17"/>
  <c r="C249" i="17"/>
  <c r="J249" i="17" s="1"/>
  <c r="F248" i="17"/>
  <c r="E248" i="17"/>
  <c r="C248" i="17"/>
  <c r="J248" i="17" s="1"/>
  <c r="F247" i="17"/>
  <c r="E247" i="17"/>
  <c r="C247" i="17"/>
  <c r="J247" i="17" s="1"/>
  <c r="F246" i="17"/>
  <c r="E246" i="17"/>
  <c r="C246" i="17"/>
  <c r="J246" i="17" s="1"/>
  <c r="F245" i="17"/>
  <c r="E245" i="17"/>
  <c r="C245" i="17"/>
  <c r="J245" i="17" s="1"/>
  <c r="F244" i="17"/>
  <c r="E244" i="17"/>
  <c r="C244" i="17"/>
  <c r="J244" i="17" s="1"/>
  <c r="F243" i="17"/>
  <c r="E243" i="17"/>
  <c r="C243" i="17"/>
  <c r="J243" i="17" s="1"/>
  <c r="F242" i="17"/>
  <c r="E242" i="17"/>
  <c r="C242" i="17"/>
  <c r="J242" i="17" s="1"/>
  <c r="F241" i="17"/>
  <c r="E241" i="17"/>
  <c r="C241" i="17"/>
  <c r="J241" i="17" s="1"/>
  <c r="F240" i="17"/>
  <c r="E240" i="17"/>
  <c r="C240" i="17"/>
  <c r="J240" i="17" s="1"/>
  <c r="F239" i="17"/>
  <c r="E239" i="17"/>
  <c r="C239" i="17"/>
  <c r="J239" i="17" s="1"/>
  <c r="F238" i="17"/>
  <c r="E238" i="17"/>
  <c r="C238" i="17"/>
  <c r="J238" i="17" s="1"/>
  <c r="F237" i="17"/>
  <c r="E237" i="17"/>
  <c r="C237" i="17"/>
  <c r="J237" i="17" s="1"/>
  <c r="F236" i="17"/>
  <c r="E236" i="17"/>
  <c r="C236" i="17"/>
  <c r="J236" i="17" s="1"/>
  <c r="F235" i="17"/>
  <c r="E235" i="17"/>
  <c r="C235" i="17"/>
  <c r="J235" i="17" s="1"/>
  <c r="F234" i="17"/>
  <c r="E234" i="17"/>
  <c r="C234" i="17"/>
  <c r="J234" i="17" s="1"/>
  <c r="F233" i="17"/>
  <c r="E233" i="17"/>
  <c r="C233" i="17"/>
  <c r="J233" i="17" s="1"/>
  <c r="F232" i="17"/>
  <c r="E232" i="17"/>
  <c r="C232" i="17"/>
  <c r="J232" i="17" s="1"/>
  <c r="F231" i="17"/>
  <c r="E231" i="17"/>
  <c r="C231" i="17"/>
  <c r="J231" i="17" s="1"/>
  <c r="F230" i="17"/>
  <c r="E230" i="17"/>
  <c r="C230" i="17"/>
  <c r="J230" i="17" s="1"/>
  <c r="F229" i="17"/>
  <c r="E229" i="17"/>
  <c r="C229" i="17"/>
  <c r="J229" i="17" s="1"/>
  <c r="F228" i="17"/>
  <c r="E228" i="17"/>
  <c r="C228" i="17"/>
  <c r="J228" i="17" s="1"/>
  <c r="F227" i="17"/>
  <c r="E227" i="17"/>
  <c r="C227" i="17"/>
  <c r="J227" i="17" s="1"/>
  <c r="F226" i="17"/>
  <c r="E226" i="17"/>
  <c r="C226" i="17"/>
  <c r="J226" i="17" s="1"/>
  <c r="F225" i="17"/>
  <c r="E225" i="17"/>
  <c r="C225" i="17"/>
  <c r="J225" i="17" s="1"/>
  <c r="F224" i="17"/>
  <c r="E224" i="17"/>
  <c r="C224" i="17"/>
  <c r="J224" i="17" s="1"/>
  <c r="F223" i="17"/>
  <c r="E223" i="17"/>
  <c r="C223" i="17"/>
  <c r="J223" i="17" s="1"/>
  <c r="F222" i="17"/>
  <c r="E222" i="17"/>
  <c r="C222" i="17"/>
  <c r="J222" i="17" s="1"/>
  <c r="F221" i="17"/>
  <c r="E221" i="17"/>
  <c r="C221" i="17"/>
  <c r="J221" i="17" s="1"/>
  <c r="F220" i="17"/>
  <c r="E220" i="17"/>
  <c r="C220" i="17"/>
  <c r="J220" i="17" s="1"/>
  <c r="F219" i="17"/>
  <c r="E219" i="17"/>
  <c r="C219" i="17"/>
  <c r="J219" i="17" s="1"/>
  <c r="F218" i="17"/>
  <c r="E218" i="17"/>
  <c r="C218" i="17"/>
  <c r="J218" i="17" s="1"/>
  <c r="F217" i="17"/>
  <c r="E217" i="17"/>
  <c r="C217" i="17"/>
  <c r="J217" i="17" s="1"/>
  <c r="F216" i="17"/>
  <c r="E216" i="17"/>
  <c r="C216" i="17"/>
  <c r="J216" i="17" s="1"/>
  <c r="F215" i="17"/>
  <c r="E215" i="17"/>
  <c r="C215" i="17"/>
  <c r="J215" i="17" s="1"/>
  <c r="F214" i="17"/>
  <c r="E214" i="17"/>
  <c r="C214" i="17"/>
  <c r="J214" i="17" s="1"/>
  <c r="F213" i="17"/>
  <c r="E213" i="17"/>
  <c r="H213" i="17" s="1"/>
  <c r="C213" i="17"/>
  <c r="J213" i="17" s="1"/>
  <c r="F212" i="17"/>
  <c r="E212" i="17"/>
  <c r="C212" i="17"/>
  <c r="J212" i="17" s="1"/>
  <c r="F211" i="17"/>
  <c r="E211" i="17"/>
  <c r="C211" i="17"/>
  <c r="J211" i="17" s="1"/>
  <c r="F210" i="17"/>
  <c r="E210" i="17"/>
  <c r="C210" i="17"/>
  <c r="J210" i="17" s="1"/>
  <c r="F209" i="17"/>
  <c r="E209" i="17"/>
  <c r="C209" i="17"/>
  <c r="J209" i="17" s="1"/>
  <c r="F208" i="17"/>
  <c r="E208" i="17"/>
  <c r="C208" i="17"/>
  <c r="J208" i="17" s="1"/>
  <c r="F207" i="17"/>
  <c r="E207" i="17"/>
  <c r="C207" i="17"/>
  <c r="J207" i="17" s="1"/>
  <c r="F206" i="17"/>
  <c r="E206" i="17"/>
  <c r="C206" i="17"/>
  <c r="J206" i="17" s="1"/>
  <c r="F205" i="17"/>
  <c r="E205" i="17"/>
  <c r="C205" i="17"/>
  <c r="J205" i="17" s="1"/>
  <c r="F204" i="17"/>
  <c r="E204" i="17"/>
  <c r="C204" i="17"/>
  <c r="J204" i="17" s="1"/>
  <c r="F203" i="17"/>
  <c r="E203" i="17"/>
  <c r="C203" i="17"/>
  <c r="J203" i="17" s="1"/>
  <c r="F202" i="17"/>
  <c r="E202" i="17"/>
  <c r="C202" i="17"/>
  <c r="J202" i="17" s="1"/>
  <c r="F201" i="17"/>
  <c r="E201" i="17"/>
  <c r="C201" i="17"/>
  <c r="J201" i="17" s="1"/>
  <c r="F200" i="17"/>
  <c r="E200" i="17"/>
  <c r="C200" i="17"/>
  <c r="J200" i="17" s="1"/>
  <c r="F199" i="17"/>
  <c r="E199" i="17"/>
  <c r="C199" i="17"/>
  <c r="J199" i="17" s="1"/>
  <c r="F198" i="17"/>
  <c r="E198" i="17"/>
  <c r="C198" i="17"/>
  <c r="J198" i="17" s="1"/>
  <c r="F197" i="17"/>
  <c r="E197" i="17"/>
  <c r="C197" i="17"/>
  <c r="J197" i="17" s="1"/>
  <c r="F196" i="17"/>
  <c r="E196" i="17"/>
  <c r="C196" i="17"/>
  <c r="J196" i="17" s="1"/>
  <c r="F195" i="17"/>
  <c r="E195" i="17"/>
  <c r="C195" i="17"/>
  <c r="J195" i="17" s="1"/>
  <c r="F194" i="17"/>
  <c r="E194" i="17"/>
  <c r="C194" i="17"/>
  <c r="J194" i="17" s="1"/>
  <c r="F193" i="17"/>
  <c r="E193" i="17"/>
  <c r="C193" i="17"/>
  <c r="J193" i="17" s="1"/>
  <c r="F192" i="17"/>
  <c r="E192" i="17"/>
  <c r="C192" i="17"/>
  <c r="J192" i="17" s="1"/>
  <c r="F191" i="17"/>
  <c r="E191" i="17"/>
  <c r="C191" i="17"/>
  <c r="J191" i="17" s="1"/>
  <c r="F190" i="17"/>
  <c r="E190" i="17"/>
  <c r="C190" i="17"/>
  <c r="J190" i="17" s="1"/>
  <c r="F189" i="17"/>
  <c r="E189" i="17"/>
  <c r="H189" i="17" s="1"/>
  <c r="C189" i="17"/>
  <c r="J189" i="17" s="1"/>
  <c r="F188" i="17"/>
  <c r="E188" i="17"/>
  <c r="C188" i="17"/>
  <c r="J188" i="17" s="1"/>
  <c r="F187" i="17"/>
  <c r="E187" i="17"/>
  <c r="C187" i="17"/>
  <c r="J187" i="17" s="1"/>
  <c r="F186" i="17"/>
  <c r="E186" i="17"/>
  <c r="C186" i="17"/>
  <c r="J186" i="17" s="1"/>
  <c r="F185" i="17"/>
  <c r="E185" i="17"/>
  <c r="C185" i="17"/>
  <c r="J185" i="17" s="1"/>
  <c r="F184" i="17"/>
  <c r="E184" i="17"/>
  <c r="C184" i="17"/>
  <c r="J184" i="17" s="1"/>
  <c r="F183" i="17"/>
  <c r="E183" i="17"/>
  <c r="C183" i="17"/>
  <c r="J183" i="17" s="1"/>
  <c r="F182" i="17"/>
  <c r="E182" i="17"/>
  <c r="C182" i="17"/>
  <c r="J182" i="17" s="1"/>
  <c r="F181" i="17"/>
  <c r="E181" i="17"/>
  <c r="C181" i="17"/>
  <c r="J181" i="17" s="1"/>
  <c r="F180" i="17"/>
  <c r="E180" i="17"/>
  <c r="C180" i="17"/>
  <c r="J180" i="17" s="1"/>
  <c r="F179" i="17"/>
  <c r="E179" i="17"/>
  <c r="C179" i="17"/>
  <c r="J179" i="17" s="1"/>
  <c r="F178" i="17"/>
  <c r="E178" i="17"/>
  <c r="C178" i="17"/>
  <c r="J178" i="17" s="1"/>
  <c r="F177" i="17"/>
  <c r="E177" i="17"/>
  <c r="C177" i="17"/>
  <c r="J177" i="17" s="1"/>
  <c r="F176" i="17"/>
  <c r="E176" i="17"/>
  <c r="C176" i="17"/>
  <c r="J176" i="17" s="1"/>
  <c r="F175" i="17"/>
  <c r="E175" i="17"/>
  <c r="C175" i="17"/>
  <c r="J175" i="17" s="1"/>
  <c r="F174" i="17"/>
  <c r="E174" i="17"/>
  <c r="C174" i="17"/>
  <c r="J174" i="17" s="1"/>
  <c r="F173" i="17"/>
  <c r="E173" i="17"/>
  <c r="C173" i="17"/>
  <c r="J173" i="17" s="1"/>
  <c r="F172" i="17"/>
  <c r="E172" i="17"/>
  <c r="C172" i="17"/>
  <c r="J172" i="17" s="1"/>
  <c r="F171" i="17"/>
  <c r="E171" i="17"/>
  <c r="C171" i="17"/>
  <c r="J171" i="17" s="1"/>
  <c r="F170" i="17"/>
  <c r="E170" i="17"/>
  <c r="C170" i="17"/>
  <c r="J170" i="17" s="1"/>
  <c r="F169" i="17"/>
  <c r="E169" i="17"/>
  <c r="C169" i="17"/>
  <c r="J169" i="17" s="1"/>
  <c r="F168" i="17"/>
  <c r="E168" i="17"/>
  <c r="C168" i="17"/>
  <c r="J168" i="17" s="1"/>
  <c r="F167" i="17"/>
  <c r="E167" i="17"/>
  <c r="C167" i="17"/>
  <c r="J167" i="17" s="1"/>
  <c r="F166" i="17"/>
  <c r="E166" i="17"/>
  <c r="C166" i="17"/>
  <c r="J166" i="17" s="1"/>
  <c r="F165" i="17"/>
  <c r="E165" i="17"/>
  <c r="C165" i="17"/>
  <c r="J165" i="17" s="1"/>
  <c r="F164" i="17"/>
  <c r="E164" i="17"/>
  <c r="C164" i="17"/>
  <c r="J164" i="17" s="1"/>
  <c r="F163" i="17"/>
  <c r="E163" i="17"/>
  <c r="C163" i="17"/>
  <c r="J163" i="17" s="1"/>
  <c r="F162" i="17"/>
  <c r="E162" i="17"/>
  <c r="C162" i="17"/>
  <c r="J162" i="17" s="1"/>
  <c r="F161" i="17"/>
  <c r="E161" i="17"/>
  <c r="C161" i="17"/>
  <c r="J161" i="17" s="1"/>
  <c r="J160" i="17"/>
  <c r="F160" i="17"/>
  <c r="E160" i="17"/>
  <c r="C160" i="17"/>
  <c r="F159" i="17"/>
  <c r="E159" i="17"/>
  <c r="C159" i="17"/>
  <c r="J159" i="17" s="1"/>
  <c r="F158" i="17"/>
  <c r="E158" i="17"/>
  <c r="C158" i="17"/>
  <c r="J158" i="17" s="1"/>
  <c r="F157" i="17"/>
  <c r="E157" i="17"/>
  <c r="C157" i="17"/>
  <c r="J157" i="17" s="1"/>
  <c r="F156" i="17"/>
  <c r="E156" i="17"/>
  <c r="C156" i="17"/>
  <c r="J156" i="17" s="1"/>
  <c r="F155" i="17"/>
  <c r="E155" i="17"/>
  <c r="C155" i="17"/>
  <c r="J155" i="17" s="1"/>
  <c r="F154" i="17"/>
  <c r="E154" i="17"/>
  <c r="C154" i="17"/>
  <c r="J154" i="17" s="1"/>
  <c r="F153" i="17"/>
  <c r="E153" i="17"/>
  <c r="C153" i="17"/>
  <c r="J153" i="17" s="1"/>
  <c r="F152" i="17"/>
  <c r="E152" i="17"/>
  <c r="C152" i="17"/>
  <c r="J152" i="17" s="1"/>
  <c r="F151" i="17"/>
  <c r="E151" i="17"/>
  <c r="C151" i="17"/>
  <c r="J151" i="17" s="1"/>
  <c r="F150" i="17"/>
  <c r="E150" i="17"/>
  <c r="C150" i="17"/>
  <c r="J150" i="17" s="1"/>
  <c r="F149" i="17"/>
  <c r="E149" i="17"/>
  <c r="C149" i="17"/>
  <c r="J149" i="17" s="1"/>
  <c r="F148" i="17"/>
  <c r="E148" i="17"/>
  <c r="C148" i="17"/>
  <c r="J148" i="17" s="1"/>
  <c r="F147" i="17"/>
  <c r="E147" i="17"/>
  <c r="C147" i="17"/>
  <c r="J147" i="17" s="1"/>
  <c r="F146" i="17"/>
  <c r="E146" i="17"/>
  <c r="C146" i="17"/>
  <c r="J146" i="17" s="1"/>
  <c r="F145" i="17"/>
  <c r="E145" i="17"/>
  <c r="C145" i="17"/>
  <c r="J145" i="17" s="1"/>
  <c r="F144" i="17"/>
  <c r="E144" i="17"/>
  <c r="C144" i="17"/>
  <c r="J144" i="17" s="1"/>
  <c r="F143" i="17"/>
  <c r="E143" i="17"/>
  <c r="C143" i="17"/>
  <c r="J143" i="17" s="1"/>
  <c r="F142" i="17"/>
  <c r="E142" i="17"/>
  <c r="C142" i="17"/>
  <c r="J142" i="17" s="1"/>
  <c r="F141" i="17"/>
  <c r="E141" i="17"/>
  <c r="C141" i="17"/>
  <c r="J141" i="17" s="1"/>
  <c r="F140" i="17"/>
  <c r="E140" i="17"/>
  <c r="C140" i="17"/>
  <c r="J140" i="17" s="1"/>
  <c r="F139" i="17"/>
  <c r="E139" i="17"/>
  <c r="C139" i="17"/>
  <c r="J139" i="17" s="1"/>
  <c r="F138" i="17"/>
  <c r="E138" i="17"/>
  <c r="C138" i="17"/>
  <c r="J138" i="17" s="1"/>
  <c r="F137" i="17"/>
  <c r="E137" i="17"/>
  <c r="C137" i="17"/>
  <c r="J137" i="17" s="1"/>
  <c r="F136" i="17"/>
  <c r="E136" i="17"/>
  <c r="C136" i="17"/>
  <c r="J136" i="17" s="1"/>
  <c r="F135" i="17"/>
  <c r="E135" i="17"/>
  <c r="C135" i="17"/>
  <c r="J135" i="17" s="1"/>
  <c r="F134" i="17"/>
  <c r="H134" i="17" s="1"/>
  <c r="E134" i="17"/>
  <c r="C134" i="17"/>
  <c r="J134" i="17" s="1"/>
  <c r="J133" i="17"/>
  <c r="F133" i="17"/>
  <c r="E133" i="17"/>
  <c r="C133" i="17"/>
  <c r="F132" i="17"/>
  <c r="E132" i="17"/>
  <c r="C132" i="17"/>
  <c r="J132" i="17" s="1"/>
  <c r="F131" i="17"/>
  <c r="E131" i="17"/>
  <c r="C131" i="17"/>
  <c r="J131" i="17" s="1"/>
  <c r="F130" i="17"/>
  <c r="E130" i="17"/>
  <c r="C130" i="17"/>
  <c r="J130" i="17" s="1"/>
  <c r="F129" i="17"/>
  <c r="E129" i="17"/>
  <c r="C129" i="17"/>
  <c r="J129" i="17" s="1"/>
  <c r="F128" i="17"/>
  <c r="E128" i="17"/>
  <c r="C128" i="17"/>
  <c r="J128" i="17" s="1"/>
  <c r="F127" i="17"/>
  <c r="E127" i="17"/>
  <c r="C127" i="17"/>
  <c r="J127" i="17" s="1"/>
  <c r="F126" i="17"/>
  <c r="E126" i="17"/>
  <c r="C126" i="17"/>
  <c r="J126" i="17" s="1"/>
  <c r="F125" i="17"/>
  <c r="E125" i="17"/>
  <c r="C125" i="17"/>
  <c r="J125" i="17" s="1"/>
  <c r="F124" i="17"/>
  <c r="E124" i="17"/>
  <c r="C124" i="17"/>
  <c r="J124" i="17" s="1"/>
  <c r="F123" i="17"/>
  <c r="E123" i="17"/>
  <c r="C123" i="17"/>
  <c r="J123" i="17" s="1"/>
  <c r="F122" i="17"/>
  <c r="E122" i="17"/>
  <c r="C122" i="17"/>
  <c r="J122" i="17" s="1"/>
  <c r="F121" i="17"/>
  <c r="E121" i="17"/>
  <c r="C121" i="17"/>
  <c r="J121" i="17" s="1"/>
  <c r="F120" i="17"/>
  <c r="E120" i="17"/>
  <c r="C120" i="17"/>
  <c r="J120" i="17" s="1"/>
  <c r="F119" i="17"/>
  <c r="E119" i="17"/>
  <c r="C119" i="17"/>
  <c r="J119" i="17" s="1"/>
  <c r="F118" i="17"/>
  <c r="E118" i="17"/>
  <c r="C118" i="17"/>
  <c r="J118" i="17" s="1"/>
  <c r="F117" i="17"/>
  <c r="E117" i="17"/>
  <c r="C117" i="17"/>
  <c r="J117" i="17" s="1"/>
  <c r="F116" i="17"/>
  <c r="E116" i="17"/>
  <c r="C116" i="17"/>
  <c r="J116" i="17" s="1"/>
  <c r="F115" i="17"/>
  <c r="E115" i="17"/>
  <c r="C115" i="17"/>
  <c r="J115" i="17" s="1"/>
  <c r="F114" i="17"/>
  <c r="E114" i="17"/>
  <c r="C114" i="17"/>
  <c r="J114" i="17" s="1"/>
  <c r="F113" i="17"/>
  <c r="E113" i="17"/>
  <c r="C113" i="17"/>
  <c r="J113" i="17" s="1"/>
  <c r="F112" i="17"/>
  <c r="E112" i="17"/>
  <c r="C112" i="17"/>
  <c r="J112" i="17" s="1"/>
  <c r="F111" i="17"/>
  <c r="E111" i="17"/>
  <c r="C111" i="17"/>
  <c r="J111" i="17" s="1"/>
  <c r="F110" i="17"/>
  <c r="E110" i="17"/>
  <c r="C110" i="17"/>
  <c r="J110" i="17" s="1"/>
  <c r="F109" i="17"/>
  <c r="E109" i="17"/>
  <c r="C109" i="17"/>
  <c r="J109" i="17" s="1"/>
  <c r="F108" i="17"/>
  <c r="E108" i="17"/>
  <c r="C108" i="17"/>
  <c r="J108" i="17" s="1"/>
  <c r="F107" i="17"/>
  <c r="E107" i="17"/>
  <c r="C107" i="17"/>
  <c r="J107" i="17" s="1"/>
  <c r="F106" i="17"/>
  <c r="E106" i="17"/>
  <c r="C106" i="17"/>
  <c r="J106" i="17" s="1"/>
  <c r="F105" i="17"/>
  <c r="E105" i="17"/>
  <c r="C105" i="17"/>
  <c r="J105" i="17" s="1"/>
  <c r="F104" i="17"/>
  <c r="E104" i="17"/>
  <c r="C104" i="17"/>
  <c r="J104" i="17" s="1"/>
  <c r="F103" i="17"/>
  <c r="E103" i="17"/>
  <c r="C103" i="17"/>
  <c r="J103" i="17" s="1"/>
  <c r="F102" i="17"/>
  <c r="E102" i="17"/>
  <c r="C102" i="17"/>
  <c r="J102" i="17" s="1"/>
  <c r="F101" i="17"/>
  <c r="E101" i="17"/>
  <c r="C101" i="17"/>
  <c r="J101" i="17" s="1"/>
  <c r="F100" i="17"/>
  <c r="E100" i="17"/>
  <c r="C100" i="17"/>
  <c r="J100" i="17" s="1"/>
  <c r="F99" i="17"/>
  <c r="E99" i="17"/>
  <c r="C99" i="17"/>
  <c r="J99" i="17" s="1"/>
  <c r="F98" i="17"/>
  <c r="E98" i="17"/>
  <c r="C98" i="17"/>
  <c r="J98" i="17" s="1"/>
  <c r="F97" i="17"/>
  <c r="E97" i="17"/>
  <c r="C97" i="17"/>
  <c r="J97" i="17" s="1"/>
  <c r="F96" i="17"/>
  <c r="E96" i="17"/>
  <c r="H96" i="17" s="1"/>
  <c r="C96" i="17"/>
  <c r="J96" i="17" s="1"/>
  <c r="F95" i="17"/>
  <c r="E95" i="17"/>
  <c r="C95" i="17"/>
  <c r="J95" i="17" s="1"/>
  <c r="F94" i="17"/>
  <c r="E94" i="17"/>
  <c r="C94" i="17"/>
  <c r="J94" i="17" s="1"/>
  <c r="F93" i="17"/>
  <c r="E93" i="17"/>
  <c r="C93" i="17"/>
  <c r="J93" i="17" s="1"/>
  <c r="F92" i="17"/>
  <c r="E92" i="17"/>
  <c r="C92" i="17"/>
  <c r="J92" i="17" s="1"/>
  <c r="F91" i="17"/>
  <c r="E91" i="17"/>
  <c r="C91" i="17"/>
  <c r="J91" i="17" s="1"/>
  <c r="F90" i="17"/>
  <c r="E90" i="17"/>
  <c r="C90" i="17"/>
  <c r="J90" i="17" s="1"/>
  <c r="F89" i="17"/>
  <c r="E89" i="17"/>
  <c r="C89" i="17"/>
  <c r="J89" i="17" s="1"/>
  <c r="F88" i="17"/>
  <c r="E88" i="17"/>
  <c r="C88" i="17"/>
  <c r="J88" i="17" s="1"/>
  <c r="F87" i="17"/>
  <c r="E87" i="17"/>
  <c r="C87" i="17"/>
  <c r="J87" i="17" s="1"/>
  <c r="F86" i="17"/>
  <c r="E86" i="17"/>
  <c r="H86" i="17" s="1"/>
  <c r="C86" i="17"/>
  <c r="J86" i="17" s="1"/>
  <c r="F85" i="17"/>
  <c r="E85" i="17"/>
  <c r="C85" i="17"/>
  <c r="J85" i="17" s="1"/>
  <c r="F84" i="17"/>
  <c r="E84" i="17"/>
  <c r="C84" i="17"/>
  <c r="J84" i="17" s="1"/>
  <c r="F83" i="17"/>
  <c r="E83" i="17"/>
  <c r="C83" i="17"/>
  <c r="J83" i="17" s="1"/>
  <c r="F82" i="17"/>
  <c r="E82" i="17"/>
  <c r="C82" i="17"/>
  <c r="J82" i="17" s="1"/>
  <c r="F81" i="17"/>
  <c r="E81" i="17"/>
  <c r="C81" i="17"/>
  <c r="J81" i="17" s="1"/>
  <c r="F80" i="17"/>
  <c r="E80" i="17"/>
  <c r="C80" i="17"/>
  <c r="J80" i="17" s="1"/>
  <c r="F79" i="17"/>
  <c r="E79" i="17"/>
  <c r="C79" i="17"/>
  <c r="J79" i="17" s="1"/>
  <c r="F78" i="17"/>
  <c r="E78" i="17"/>
  <c r="C78" i="17"/>
  <c r="J78" i="17" s="1"/>
  <c r="F77" i="17"/>
  <c r="E77" i="17"/>
  <c r="C77" i="17"/>
  <c r="J77" i="17" s="1"/>
  <c r="F76" i="17"/>
  <c r="E76" i="17"/>
  <c r="H76" i="17" s="1"/>
  <c r="C76" i="17"/>
  <c r="J76" i="17" s="1"/>
  <c r="F75" i="17"/>
  <c r="E75" i="17"/>
  <c r="C75" i="17"/>
  <c r="J75" i="17" s="1"/>
  <c r="F74" i="17"/>
  <c r="E74" i="17"/>
  <c r="C74" i="17"/>
  <c r="J74" i="17" s="1"/>
  <c r="F73" i="17"/>
  <c r="E73" i="17"/>
  <c r="C73" i="17"/>
  <c r="J73" i="17" s="1"/>
  <c r="F72" i="17"/>
  <c r="E72" i="17"/>
  <c r="H72" i="17" s="1"/>
  <c r="C72" i="17"/>
  <c r="J72" i="17" s="1"/>
  <c r="F71" i="17"/>
  <c r="E71" i="17"/>
  <c r="C71" i="17"/>
  <c r="J71" i="17" s="1"/>
  <c r="F70" i="17"/>
  <c r="E70" i="17"/>
  <c r="C70" i="17"/>
  <c r="J70" i="17" s="1"/>
  <c r="F69" i="17"/>
  <c r="E69" i="17"/>
  <c r="C69" i="17"/>
  <c r="J69" i="17" s="1"/>
  <c r="F68" i="17"/>
  <c r="E68" i="17"/>
  <c r="C68" i="17"/>
  <c r="J68" i="17" s="1"/>
  <c r="F67" i="17"/>
  <c r="E67" i="17"/>
  <c r="C67" i="17"/>
  <c r="J67" i="17" s="1"/>
  <c r="F66" i="17"/>
  <c r="E66" i="17"/>
  <c r="H66" i="17" s="1"/>
  <c r="C66" i="17"/>
  <c r="J66" i="17" s="1"/>
  <c r="J65" i="17"/>
  <c r="H65" i="17"/>
  <c r="F65" i="17"/>
  <c r="E65" i="17"/>
  <c r="C65" i="17"/>
  <c r="F64" i="17"/>
  <c r="E64" i="17"/>
  <c r="C64" i="17"/>
  <c r="J64" i="17" s="1"/>
  <c r="F63" i="17"/>
  <c r="E63" i="17"/>
  <c r="C63" i="17"/>
  <c r="J63" i="17" s="1"/>
  <c r="F62" i="17"/>
  <c r="E62" i="17"/>
  <c r="C62" i="17"/>
  <c r="J62" i="17" s="1"/>
  <c r="F61" i="17"/>
  <c r="E61" i="17"/>
  <c r="C61" i="17"/>
  <c r="J61" i="17" s="1"/>
  <c r="F60" i="17"/>
  <c r="E60" i="17"/>
  <c r="C60" i="17"/>
  <c r="J60" i="17" s="1"/>
  <c r="F59" i="17"/>
  <c r="E59" i="17"/>
  <c r="C59" i="17"/>
  <c r="J59" i="17" s="1"/>
  <c r="F58" i="17"/>
  <c r="E58" i="17"/>
  <c r="C58" i="17"/>
  <c r="J58" i="17" s="1"/>
  <c r="F57" i="17"/>
  <c r="E57" i="17"/>
  <c r="C57" i="17"/>
  <c r="J57" i="17" s="1"/>
  <c r="F56" i="17"/>
  <c r="E56" i="17"/>
  <c r="C56" i="17"/>
  <c r="J56" i="17" s="1"/>
  <c r="F55" i="17"/>
  <c r="E55" i="17"/>
  <c r="C55" i="17"/>
  <c r="J55" i="17" s="1"/>
  <c r="F54" i="17"/>
  <c r="E54" i="17"/>
  <c r="C54" i="17"/>
  <c r="J54" i="17" s="1"/>
  <c r="F53" i="17"/>
  <c r="E53" i="17"/>
  <c r="C53" i="17"/>
  <c r="J53" i="17" s="1"/>
  <c r="F52" i="17"/>
  <c r="E52" i="17"/>
  <c r="C52" i="17"/>
  <c r="J52" i="17" s="1"/>
  <c r="F51" i="17"/>
  <c r="E51" i="17"/>
  <c r="C51" i="17"/>
  <c r="J51" i="17" s="1"/>
  <c r="F50" i="17"/>
  <c r="E50" i="17"/>
  <c r="C50" i="17"/>
  <c r="J50" i="17" s="1"/>
  <c r="F49" i="17"/>
  <c r="E49" i="17"/>
  <c r="C49" i="17"/>
  <c r="J49" i="17" s="1"/>
  <c r="F48" i="17"/>
  <c r="E48" i="17"/>
  <c r="C48" i="17"/>
  <c r="J48" i="17" s="1"/>
  <c r="F47" i="17"/>
  <c r="E47" i="17"/>
  <c r="C47" i="17"/>
  <c r="J47" i="17" s="1"/>
  <c r="F46" i="17"/>
  <c r="E46" i="17"/>
  <c r="C46" i="17"/>
  <c r="J46" i="17" s="1"/>
  <c r="F45" i="17"/>
  <c r="E45" i="17"/>
  <c r="C45" i="17"/>
  <c r="J45" i="17" s="1"/>
  <c r="F44" i="17"/>
  <c r="E44" i="17"/>
  <c r="C44" i="17"/>
  <c r="J44" i="17" s="1"/>
  <c r="F43" i="17"/>
  <c r="E43" i="17"/>
  <c r="C43" i="17"/>
  <c r="J43" i="17" s="1"/>
  <c r="J42" i="17"/>
  <c r="F42" i="17"/>
  <c r="E42" i="17"/>
  <c r="C42" i="17"/>
  <c r="F41" i="17"/>
  <c r="E41" i="17"/>
  <c r="C41" i="17"/>
  <c r="J41" i="17" s="1"/>
  <c r="F40" i="17"/>
  <c r="E40" i="17"/>
  <c r="C40" i="17"/>
  <c r="J40" i="17" s="1"/>
  <c r="F39" i="17"/>
  <c r="E39" i="17"/>
  <c r="C39" i="17"/>
  <c r="J39" i="17" s="1"/>
  <c r="F38" i="17"/>
  <c r="E38" i="17"/>
  <c r="C38" i="17"/>
  <c r="J38" i="17" s="1"/>
  <c r="F37" i="17"/>
  <c r="E37" i="17"/>
  <c r="C37" i="17"/>
  <c r="J37" i="17" s="1"/>
  <c r="F36" i="17"/>
  <c r="E36" i="17"/>
  <c r="C36" i="17"/>
  <c r="J36" i="17" s="1"/>
  <c r="F35" i="17"/>
  <c r="E35" i="17"/>
  <c r="C35" i="17"/>
  <c r="J35" i="17" s="1"/>
  <c r="F34" i="17"/>
  <c r="E34" i="17"/>
  <c r="C34" i="17"/>
  <c r="J34" i="17" s="1"/>
  <c r="F33" i="17"/>
  <c r="E33" i="17"/>
  <c r="C33" i="17"/>
  <c r="J33" i="17" s="1"/>
  <c r="F32" i="17"/>
  <c r="E32" i="17"/>
  <c r="C32" i="17"/>
  <c r="J32" i="17" s="1"/>
  <c r="F31" i="17"/>
  <c r="E31" i="17"/>
  <c r="C31" i="17"/>
  <c r="J31" i="17" s="1"/>
  <c r="F30" i="17"/>
  <c r="E30" i="17"/>
  <c r="C30" i="17"/>
  <c r="J30" i="17" s="1"/>
  <c r="F29" i="17"/>
  <c r="E29" i="17"/>
  <c r="C29" i="17"/>
  <c r="J29" i="17" s="1"/>
  <c r="F28" i="17"/>
  <c r="E28" i="17"/>
  <c r="C28" i="17"/>
  <c r="J28" i="17" s="1"/>
  <c r="F27" i="17"/>
  <c r="E27" i="17"/>
  <c r="H27" i="17" s="1"/>
  <c r="C27" i="17"/>
  <c r="J27" i="17" s="1"/>
  <c r="F26" i="17"/>
  <c r="E26" i="17"/>
  <c r="C26" i="17"/>
  <c r="J26" i="17" s="1"/>
  <c r="F25" i="17"/>
  <c r="E25" i="17"/>
  <c r="C25" i="17"/>
  <c r="J25" i="17" s="1"/>
  <c r="F24" i="17"/>
  <c r="E24" i="17"/>
  <c r="C24" i="17"/>
  <c r="J24" i="17" s="1"/>
  <c r="F23" i="17"/>
  <c r="E23" i="17"/>
  <c r="C23" i="17"/>
  <c r="J23" i="17" s="1"/>
  <c r="F22" i="17"/>
  <c r="E22" i="17"/>
  <c r="C22" i="17"/>
  <c r="J22" i="17" s="1"/>
  <c r="F21" i="17"/>
  <c r="E21" i="17"/>
  <c r="C21" i="17"/>
  <c r="J21" i="17" s="1"/>
  <c r="F20" i="17"/>
  <c r="E20" i="17"/>
  <c r="C20" i="17"/>
  <c r="J20" i="17" s="1"/>
  <c r="F19" i="17"/>
  <c r="E19" i="17"/>
  <c r="C19" i="17"/>
  <c r="J19" i="17" s="1"/>
  <c r="F18" i="17"/>
  <c r="E18" i="17"/>
  <c r="C18" i="17"/>
  <c r="J18" i="17" s="1"/>
  <c r="F17" i="17"/>
  <c r="E17" i="17"/>
  <c r="H17" i="17" s="1"/>
  <c r="C17" i="17"/>
  <c r="J17" i="17" s="1"/>
  <c r="F16" i="17"/>
  <c r="E16" i="17"/>
  <c r="C16" i="17"/>
  <c r="J16" i="17" s="1"/>
  <c r="F15" i="17"/>
  <c r="E15" i="17"/>
  <c r="C15" i="17"/>
  <c r="J15" i="17" s="1"/>
  <c r="F14" i="17"/>
  <c r="E14" i="17"/>
  <c r="C14" i="17"/>
  <c r="J14" i="17" s="1"/>
  <c r="F13" i="17"/>
  <c r="E13" i="17"/>
  <c r="C13" i="17"/>
  <c r="J13" i="17" s="1"/>
  <c r="F12" i="17"/>
  <c r="E12" i="17"/>
  <c r="C12" i="17"/>
  <c r="J12" i="17" s="1"/>
  <c r="F11" i="17"/>
  <c r="E11" i="17"/>
  <c r="C11" i="17"/>
  <c r="J11" i="17" s="1"/>
  <c r="F10" i="17"/>
  <c r="E10" i="17"/>
  <c r="C10" i="17"/>
  <c r="J10" i="17" s="1"/>
  <c r="F9" i="17"/>
  <c r="E9" i="17"/>
  <c r="C9" i="17"/>
  <c r="J9" i="17" s="1"/>
  <c r="E5" i="2" l="1"/>
  <c r="H122" i="17"/>
  <c r="H300" i="17"/>
  <c r="H324" i="17"/>
  <c r="H383" i="17"/>
  <c r="H498" i="17"/>
  <c r="H561" i="17"/>
  <c r="H565" i="17"/>
  <c r="H573" i="17"/>
  <c r="H942" i="17"/>
  <c r="H1008" i="17"/>
  <c r="H788" i="17"/>
  <c r="H1131" i="17"/>
  <c r="H1135" i="17"/>
  <c r="H1266" i="17"/>
  <c r="H1274" i="17"/>
  <c r="H1282" i="17"/>
  <c r="H181" i="17"/>
  <c r="H210" i="17"/>
  <c r="H1203" i="17"/>
  <c r="H214" i="17"/>
  <c r="H60" i="17"/>
  <c r="H242" i="17"/>
  <c r="H1029" i="17"/>
  <c r="H432" i="17"/>
  <c r="H594" i="17"/>
  <c r="H705" i="17"/>
  <c r="H729" i="17"/>
  <c r="H940" i="17"/>
  <c r="H606" i="17"/>
  <c r="H626" i="17"/>
  <c r="H1105" i="17"/>
  <c r="H1109" i="17"/>
  <c r="H204" i="17"/>
  <c r="H228" i="17"/>
  <c r="H925" i="17"/>
  <c r="H14" i="17"/>
  <c r="H34" i="17"/>
  <c r="H42" i="17"/>
  <c r="H109" i="17"/>
  <c r="H113" i="17"/>
  <c r="H117" i="17"/>
  <c r="H133" i="17"/>
  <c r="H145" i="17"/>
  <c r="H240" i="17"/>
  <c r="H244" i="17"/>
  <c r="H291" i="17"/>
  <c r="H418" i="17"/>
  <c r="H580" i="17"/>
  <c r="H584" i="17"/>
  <c r="H902" i="17"/>
  <c r="H960" i="17"/>
  <c r="H976" i="17"/>
  <c r="H1023" i="17"/>
  <c r="H1178" i="17"/>
  <c r="H374" i="17"/>
  <c r="H422" i="17"/>
  <c r="H576" i="17"/>
  <c r="H1003" i="17"/>
  <c r="H127" i="17"/>
  <c r="H166" i="17"/>
  <c r="H800" i="17"/>
  <c r="H812" i="17"/>
  <c r="H1136" i="17"/>
  <c r="H1218" i="17"/>
  <c r="H1226" i="17"/>
  <c r="H103" i="17"/>
  <c r="H115" i="17"/>
  <c r="H366" i="17"/>
  <c r="H572" i="17"/>
  <c r="H1155" i="17"/>
  <c r="H174" i="17"/>
  <c r="H269" i="17"/>
  <c r="H273" i="17"/>
  <c r="H721" i="17"/>
  <c r="H872" i="17"/>
  <c r="H1140" i="17"/>
  <c r="H107" i="17"/>
  <c r="H406" i="17"/>
  <c r="H501" i="17"/>
  <c r="H736" i="17"/>
  <c r="H752" i="17"/>
  <c r="H780" i="17"/>
  <c r="H1042" i="17"/>
  <c r="H1167" i="17"/>
  <c r="H49" i="17"/>
  <c r="H68" i="17"/>
  <c r="H124" i="17"/>
  <c r="H312" i="17"/>
  <c r="H458" i="17"/>
  <c r="H470" i="17"/>
  <c r="H797" i="17"/>
  <c r="H1074" i="17"/>
  <c r="H1093" i="17"/>
  <c r="H274" i="17"/>
  <c r="H600" i="17"/>
  <c r="H857" i="17"/>
  <c r="H1028" i="17"/>
  <c r="H1192" i="17"/>
  <c r="H1267" i="17"/>
  <c r="H140" i="17"/>
  <c r="H144" i="17"/>
  <c r="H148" i="17"/>
  <c r="H282" i="17"/>
  <c r="H348" i="17"/>
  <c r="H424" i="17"/>
  <c r="H655" i="17"/>
  <c r="H786" i="17"/>
  <c r="H920" i="17"/>
  <c r="H993" i="17"/>
  <c r="H1040" i="17"/>
  <c r="H54" i="17"/>
  <c r="H507" i="17"/>
  <c r="H511" i="17"/>
  <c r="H951" i="17"/>
  <c r="H1064" i="17"/>
  <c r="H1106" i="17"/>
  <c r="H1185" i="17"/>
  <c r="H1264" i="17"/>
  <c r="H1276" i="17"/>
  <c r="H275" i="17"/>
  <c r="H652" i="17"/>
  <c r="H858" i="17"/>
  <c r="H866" i="17"/>
  <c r="H874" i="17"/>
  <c r="H878" i="17"/>
  <c r="H909" i="17"/>
  <c r="H51" i="17"/>
  <c r="H59" i="17"/>
  <c r="H63" i="17"/>
  <c r="H98" i="17"/>
  <c r="H114" i="17"/>
  <c r="H130" i="17"/>
  <c r="H306" i="17"/>
  <c r="H310" i="17"/>
  <c r="H405" i="17"/>
  <c r="H460" i="17"/>
  <c r="H464" i="17"/>
  <c r="H496" i="17"/>
  <c r="H559" i="17"/>
  <c r="H637" i="17"/>
  <c r="H656" i="17"/>
  <c r="H660" i="17"/>
  <c r="H680" i="17"/>
  <c r="H719" i="17"/>
  <c r="H731" i="17"/>
  <c r="H735" i="17"/>
  <c r="H755" i="17"/>
  <c r="H933" i="17"/>
  <c r="H1197" i="17"/>
  <c r="H177" i="17"/>
  <c r="H941" i="17"/>
  <c r="H1209" i="17"/>
  <c r="H1221" i="17"/>
  <c r="H56" i="17"/>
  <c r="H37" i="17"/>
  <c r="H41" i="17"/>
  <c r="H129" i="17"/>
  <c r="H221" i="17"/>
  <c r="H225" i="17"/>
  <c r="H264" i="17"/>
  <c r="H268" i="17"/>
  <c r="H358" i="17"/>
  <c r="H362" i="17"/>
  <c r="H388" i="17"/>
  <c r="H407" i="17"/>
  <c r="H523" i="17"/>
  <c r="H527" i="17"/>
  <c r="H531" i="17"/>
  <c r="H607" i="17"/>
  <c r="H623" i="17"/>
  <c r="H634" i="17"/>
  <c r="H642" i="17"/>
  <c r="H664" i="17"/>
  <c r="H668" i="17"/>
  <c r="H672" i="17"/>
  <c r="H749" i="17"/>
  <c r="H811" i="17"/>
  <c r="H842" i="17"/>
  <c r="H853" i="17"/>
  <c r="H865" i="17"/>
  <c r="H873" i="17"/>
  <c r="H877" i="17"/>
  <c r="H931" i="17"/>
  <c r="H938" i="17"/>
  <c r="H972" i="17"/>
  <c r="H1018" i="17"/>
  <c r="H1071" i="17"/>
  <c r="H1075" i="17"/>
  <c r="H1094" i="17"/>
  <c r="H1143" i="17"/>
  <c r="H1181" i="17"/>
  <c r="H305" i="17"/>
  <c r="H309" i="17"/>
  <c r="H328" i="17"/>
  <c r="H415" i="17"/>
  <c r="H419" i="17"/>
  <c r="H446" i="17"/>
  <c r="H796" i="17"/>
  <c r="H1238" i="17"/>
  <c r="H1242" i="17"/>
  <c r="H1254" i="17"/>
  <c r="H25" i="17"/>
  <c r="H22" i="17"/>
  <c r="H26" i="17"/>
  <c r="H30" i="17"/>
  <c r="H53" i="17"/>
  <c r="H61" i="17"/>
  <c r="H91" i="17"/>
  <c r="H245" i="17"/>
  <c r="H253" i="17"/>
  <c r="H265" i="17"/>
  <c r="H302" i="17"/>
  <c r="H336" i="17"/>
  <c r="H347" i="17"/>
  <c r="H612" i="17"/>
  <c r="H646" i="17"/>
  <c r="H661" i="17"/>
  <c r="H723" i="17"/>
  <c r="H746" i="17"/>
  <c r="H808" i="17"/>
  <c r="H862" i="17"/>
  <c r="H897" i="17"/>
  <c r="H992" i="17"/>
  <c r="H1015" i="17"/>
  <c r="H1038" i="17"/>
  <c r="H1117" i="17"/>
  <c r="H1125" i="17"/>
  <c r="H1208" i="17"/>
  <c r="H1212" i="17"/>
  <c r="H15" i="17"/>
  <c r="H88" i="17"/>
  <c r="H474" i="17"/>
  <c r="H544" i="17"/>
  <c r="H548" i="17"/>
  <c r="H575" i="17"/>
  <c r="H693" i="17"/>
  <c r="H758" i="17"/>
  <c r="H832" i="17"/>
  <c r="H943" i="17"/>
  <c r="H1080" i="17"/>
  <c r="H1182" i="17"/>
  <c r="H62" i="17"/>
  <c r="H69" i="17"/>
  <c r="H73" i="17"/>
  <c r="H149" i="17"/>
  <c r="H246" i="17"/>
  <c r="H254" i="17"/>
  <c r="H295" i="17"/>
  <c r="H299" i="17"/>
  <c r="H318" i="17"/>
  <c r="H482" i="17"/>
  <c r="H494" i="17"/>
  <c r="H609" i="17"/>
  <c r="H613" i="17"/>
  <c r="H643" i="17"/>
  <c r="H732" i="17"/>
  <c r="H739" i="17"/>
  <c r="H743" i="17"/>
  <c r="H766" i="17"/>
  <c r="H770" i="17"/>
  <c r="H778" i="17"/>
  <c r="H782" i="17"/>
  <c r="H801" i="17"/>
  <c r="H890" i="17"/>
  <c r="H894" i="17"/>
  <c r="H921" i="17"/>
  <c r="H932" i="17"/>
  <c r="H962" i="17"/>
  <c r="H966" i="17"/>
  <c r="H1001" i="17"/>
  <c r="H1099" i="17"/>
  <c r="H1118" i="17"/>
  <c r="H1122" i="17"/>
  <c r="H1130" i="17"/>
  <c r="H1141" i="17"/>
  <c r="H1156" i="17"/>
  <c r="H1160" i="17"/>
  <c r="H1168" i="17"/>
  <c r="H1275" i="17"/>
  <c r="H112" i="17"/>
  <c r="H165" i="17"/>
  <c r="H203" i="17"/>
  <c r="H211" i="17"/>
  <c r="H215" i="17"/>
  <c r="H372" i="17"/>
  <c r="H537" i="17"/>
  <c r="H549" i="17"/>
  <c r="H568" i="17"/>
  <c r="H651" i="17"/>
  <c r="H844" i="17"/>
  <c r="H1145" i="17"/>
  <c r="H281" i="17"/>
  <c r="H311" i="17"/>
  <c r="H330" i="17"/>
  <c r="H394" i="17"/>
  <c r="H479" i="17"/>
  <c r="H763" i="17"/>
  <c r="H790" i="17"/>
  <c r="H906" i="17"/>
  <c r="H914" i="17"/>
  <c r="H1073" i="17"/>
  <c r="H1172" i="17"/>
  <c r="H1244" i="17"/>
  <c r="H55" i="17"/>
  <c r="H146" i="17"/>
  <c r="H319" i="17"/>
  <c r="H323" i="17"/>
  <c r="H349" i="17"/>
  <c r="H353" i="17"/>
  <c r="H376" i="17"/>
  <c r="H398" i="17"/>
  <c r="H436" i="17"/>
  <c r="H440" i="17"/>
  <c r="H448" i="17"/>
  <c r="H456" i="17"/>
  <c r="H506" i="17"/>
  <c r="H514" i="17"/>
  <c r="H644" i="17"/>
  <c r="H740" i="17"/>
  <c r="H771" i="17"/>
  <c r="H798" i="17"/>
  <c r="H806" i="17"/>
  <c r="H883" i="17"/>
  <c r="H948" i="17"/>
  <c r="H986" i="17"/>
  <c r="H1006" i="17"/>
  <c r="H1048" i="17"/>
  <c r="H1052" i="17"/>
  <c r="H1085" i="17"/>
  <c r="H1089" i="17"/>
  <c r="H1115" i="17"/>
  <c r="H1127" i="17"/>
  <c r="H1280" i="17"/>
  <c r="H120" i="17"/>
  <c r="H150" i="17"/>
  <c r="H158" i="17"/>
  <c r="H216" i="17"/>
  <c r="H263" i="17"/>
  <c r="H267" i="17"/>
  <c r="H577" i="17"/>
  <c r="H252" i="17"/>
  <c r="H286" i="17"/>
  <c r="H335" i="17"/>
  <c r="H338" i="17"/>
  <c r="H365" i="17"/>
  <c r="H369" i="17"/>
  <c r="H687" i="17"/>
  <c r="H718" i="17"/>
  <c r="H745" i="17"/>
  <c r="H768" i="17"/>
  <c r="H892" i="17"/>
  <c r="H896" i="17"/>
  <c r="H900" i="17"/>
  <c r="H907" i="17"/>
  <c r="H911" i="17"/>
  <c r="H930" i="17"/>
  <c r="H945" i="17"/>
  <c r="H1060" i="17"/>
  <c r="H1128" i="17"/>
  <c r="H359" i="17"/>
  <c r="H434" i="17"/>
  <c r="H64" i="17"/>
  <c r="H85" i="17"/>
  <c r="H194" i="17"/>
  <c r="H760" i="17"/>
  <c r="H36" i="17"/>
  <c r="H92" i="17"/>
  <c r="H141" i="17"/>
  <c r="H187" i="17"/>
  <c r="H218" i="17"/>
  <c r="H236" i="17"/>
  <c r="H389" i="17"/>
  <c r="H393" i="17"/>
  <c r="H465" i="17"/>
  <c r="H472" i="17"/>
  <c r="H712" i="17"/>
  <c r="H18" i="17"/>
  <c r="H28" i="17"/>
  <c r="H169" i="17"/>
  <c r="H255" i="17"/>
  <c r="H270" i="17"/>
  <c r="H46" i="17"/>
  <c r="H67" i="17"/>
  <c r="H81" i="17"/>
  <c r="H137" i="17"/>
  <c r="H162" i="17"/>
  <c r="H12" i="17"/>
  <c r="H23" i="17"/>
  <c r="H29" i="17"/>
  <c r="H58" i="17"/>
  <c r="H71" i="17"/>
  <c r="H78" i="17"/>
  <c r="H89" i="17"/>
  <c r="H100" i="17"/>
  <c r="H128" i="17"/>
  <c r="H131" i="17"/>
  <c r="H138" i="17"/>
  <c r="H167" i="17"/>
  <c r="H222" i="17"/>
  <c r="H233" i="17"/>
  <c r="H313" i="17"/>
  <c r="H379" i="17"/>
  <c r="H386" i="17"/>
  <c r="H556" i="17"/>
  <c r="H615" i="17"/>
  <c r="H1017" i="17"/>
  <c r="H430" i="17"/>
  <c r="H491" i="17"/>
  <c r="H704" i="17"/>
  <c r="H50" i="17"/>
  <c r="H70" i="17"/>
  <c r="H173" i="17"/>
  <c r="H198" i="17"/>
  <c r="H589" i="17"/>
  <c r="H93" i="17"/>
  <c r="H97" i="17"/>
  <c r="H121" i="17"/>
  <c r="H142" i="17"/>
  <c r="H342" i="17"/>
  <c r="H364" i="17"/>
  <c r="H368" i="17"/>
  <c r="H409" i="17"/>
  <c r="H413" i="17"/>
  <c r="H439" i="17"/>
  <c r="H443" i="17"/>
  <c r="H709" i="17"/>
  <c r="H1010" i="17"/>
  <c r="H1142" i="17"/>
  <c r="H13" i="17"/>
  <c r="H178" i="17"/>
  <c r="H223" i="17"/>
  <c r="H230" i="17"/>
  <c r="H234" i="17"/>
  <c r="H591" i="17"/>
  <c r="H695" i="17"/>
  <c r="H90" i="17"/>
  <c r="H164" i="17"/>
  <c r="H185" i="17"/>
  <c r="H24" i="17"/>
  <c r="H52" i="17"/>
  <c r="H157" i="17"/>
  <c r="H168" i="17"/>
  <c r="H208" i="17"/>
  <c r="H227" i="17"/>
  <c r="H238" i="17"/>
  <c r="H329" i="17"/>
  <c r="H346" i="17"/>
  <c r="H350" i="17"/>
  <c r="H391" i="17"/>
  <c r="H654" i="17"/>
  <c r="H684" i="17"/>
  <c r="H79" i="17"/>
  <c r="H10" i="17"/>
  <c r="H21" i="17"/>
  <c r="H31" i="17"/>
  <c r="H35" i="17"/>
  <c r="H38" i="17"/>
  <c r="H45" i="17"/>
  <c r="H126" i="17"/>
  <c r="H161" i="17"/>
  <c r="H172" i="17"/>
  <c r="H179" i="17"/>
  <c r="H182" i="17"/>
  <c r="H186" i="17"/>
  <c r="H193" i="17"/>
  <c r="H197" i="17"/>
  <c r="H201" i="17"/>
  <c r="H280" i="17"/>
  <c r="H287" i="17"/>
  <c r="H370" i="17"/>
  <c r="H384" i="17"/>
  <c r="H437" i="17"/>
  <c r="H441" i="17"/>
  <c r="H733" i="17"/>
  <c r="H864" i="17"/>
  <c r="H871" i="17"/>
  <c r="H950" i="17"/>
  <c r="H957" i="17"/>
  <c r="H983" i="17"/>
  <c r="H987" i="17"/>
  <c r="H1019" i="17"/>
  <c r="H1026" i="17"/>
  <c r="H1051" i="17"/>
  <c r="H1076" i="17"/>
  <c r="H1112" i="17"/>
  <c r="H1123" i="17"/>
  <c r="H1162" i="17"/>
  <c r="H1166" i="17"/>
  <c r="H1183" i="17"/>
  <c r="H1194" i="17"/>
  <c r="H1263" i="17"/>
  <c r="H106" i="17"/>
  <c r="H154" i="17"/>
  <c r="H196" i="17"/>
  <c r="H200" i="17"/>
  <c r="H237" i="17"/>
  <c r="H277" i="17"/>
  <c r="H294" i="17"/>
  <c r="H298" i="17"/>
  <c r="H308" i="17"/>
  <c r="H400" i="17"/>
  <c r="H444" i="17"/>
  <c r="H455" i="17"/>
  <c r="H480" i="17"/>
  <c r="H508" i="17"/>
  <c r="H512" i="17"/>
  <c r="H551" i="17"/>
  <c r="H566" i="17"/>
  <c r="H588" i="17"/>
  <c r="H620" i="17"/>
  <c r="H638" i="17"/>
  <c r="H669" i="17"/>
  <c r="H699" i="17"/>
  <c r="H716" i="17"/>
  <c r="H792" i="17"/>
  <c r="H803" i="17"/>
  <c r="H807" i="17"/>
  <c r="H821" i="17"/>
  <c r="H825" i="17"/>
  <c r="H839" i="17"/>
  <c r="H861" i="17"/>
  <c r="H886" i="17"/>
  <c r="H898" i="17"/>
  <c r="H908" i="17"/>
  <c r="H926" i="17"/>
  <c r="H961" i="17"/>
  <c r="H969" i="17"/>
  <c r="H980" i="17"/>
  <c r="H991" i="17"/>
  <c r="H1002" i="17"/>
  <c r="H1044" i="17"/>
  <c r="H1116" i="17"/>
  <c r="H1137" i="17"/>
  <c r="H1151" i="17"/>
  <c r="H1202" i="17"/>
  <c r="H1216" i="17"/>
  <c r="H1241" i="17"/>
  <c r="H1256" i="17"/>
  <c r="H1286" i="17"/>
  <c r="H452" i="17"/>
  <c r="H466" i="17"/>
  <c r="H477" i="17"/>
  <c r="H484" i="17"/>
  <c r="H488" i="17"/>
  <c r="H509" i="17"/>
  <c r="H520" i="17"/>
  <c r="H545" i="17"/>
  <c r="H592" i="17"/>
  <c r="H639" i="17"/>
  <c r="H666" i="17"/>
  <c r="H724" i="17"/>
  <c r="H727" i="17"/>
  <c r="H734" i="17"/>
  <c r="H789" i="17"/>
  <c r="H822" i="17"/>
  <c r="H836" i="17"/>
  <c r="H876" i="17"/>
  <c r="H879" i="17"/>
  <c r="H1013" i="17"/>
  <c r="H1041" i="17"/>
  <c r="H1063" i="17"/>
  <c r="H1066" i="17"/>
  <c r="H1070" i="17"/>
  <c r="H1081" i="17"/>
  <c r="H1095" i="17"/>
  <c r="H1124" i="17"/>
  <c r="H1138" i="17"/>
  <c r="H1148" i="17"/>
  <c r="H1152" i="17"/>
  <c r="H1159" i="17"/>
  <c r="H1170" i="17"/>
  <c r="H1184" i="17"/>
  <c r="H1195" i="17"/>
  <c r="H1199" i="17"/>
  <c r="H1213" i="17"/>
  <c r="H1217" i="17"/>
  <c r="H1220" i="17"/>
  <c r="H1231" i="17"/>
  <c r="H503" i="17"/>
  <c r="H538" i="17"/>
  <c r="H567" i="17"/>
  <c r="H578" i="17"/>
  <c r="H582" i="17"/>
  <c r="H596" i="17"/>
  <c r="H632" i="17"/>
  <c r="H707" i="17"/>
  <c r="H764" i="17"/>
  <c r="H815" i="17"/>
  <c r="H826" i="17"/>
  <c r="H887" i="17"/>
  <c r="H899" i="17"/>
  <c r="H955" i="17"/>
  <c r="H974" i="17"/>
  <c r="H981" i="17"/>
  <c r="H1110" i="17"/>
  <c r="H1174" i="17"/>
  <c r="H1224" i="17"/>
  <c r="H1250" i="17"/>
  <c r="H381" i="17"/>
  <c r="H478" i="17"/>
  <c r="H485" i="17"/>
  <c r="H489" i="17"/>
  <c r="H500" i="17"/>
  <c r="H510" i="17"/>
  <c r="H518" i="17"/>
  <c r="H521" i="17"/>
  <c r="H535" i="17"/>
  <c r="H560" i="17"/>
  <c r="H603" i="17"/>
  <c r="H621" i="17"/>
  <c r="H625" i="17"/>
  <c r="H663" i="17"/>
  <c r="H667" i="17"/>
  <c r="H714" i="17"/>
  <c r="H728" i="17"/>
  <c r="H751" i="17"/>
  <c r="H775" i="17"/>
  <c r="H819" i="17"/>
  <c r="H830" i="17"/>
  <c r="H848" i="17"/>
  <c r="H855" i="17"/>
  <c r="H880" i="17"/>
  <c r="H934" i="17"/>
  <c r="H985" i="17"/>
  <c r="H1078" i="17"/>
  <c r="H1096" i="17"/>
  <c r="H1114" i="17"/>
  <c r="H1132" i="17"/>
  <c r="H1149" i="17"/>
  <c r="H1196" i="17"/>
  <c r="H1239" i="17"/>
  <c r="H1273" i="17"/>
  <c r="H132" i="17"/>
  <c r="H156" i="17"/>
  <c r="H160" i="17"/>
  <c r="H170" i="17"/>
  <c r="H184" i="17"/>
  <c r="H205" i="17"/>
  <c r="H209" i="17"/>
  <c r="H217" i="17"/>
  <c r="H239" i="17"/>
  <c r="H258" i="17"/>
  <c r="H360" i="17"/>
  <c r="H367" i="17"/>
  <c r="H371" i="17"/>
  <c r="H395" i="17"/>
  <c r="H410" i="17"/>
  <c r="H414" i="17"/>
  <c r="H442" i="17"/>
  <c r="H486" i="17"/>
  <c r="H522" i="17"/>
  <c r="H532" i="17"/>
  <c r="H543" i="17"/>
  <c r="H550" i="17"/>
  <c r="H579" i="17"/>
  <c r="H618" i="17"/>
  <c r="H671" i="17"/>
  <c r="H679" i="17"/>
  <c r="H694" i="17"/>
  <c r="H698" i="17"/>
  <c r="H708" i="17"/>
  <c r="H722" i="17"/>
  <c r="H748" i="17"/>
  <c r="H776" i="17"/>
  <c r="H794" i="17"/>
  <c r="H884" i="17"/>
  <c r="H903" i="17"/>
  <c r="H910" i="17"/>
  <c r="H956" i="17"/>
  <c r="H997" i="17"/>
  <c r="H1032" i="17"/>
  <c r="H1036" i="17"/>
  <c r="H1039" i="17"/>
  <c r="H1046" i="17"/>
  <c r="H1086" i="17"/>
  <c r="H1090" i="17"/>
  <c r="H1100" i="17"/>
  <c r="H1111" i="17"/>
  <c r="H1146" i="17"/>
  <c r="H1157" i="17"/>
  <c r="H1193" i="17"/>
  <c r="H1204" i="17"/>
  <c r="H1225" i="17"/>
  <c r="H1262" i="17"/>
  <c r="H382" i="17"/>
  <c r="H428" i="17"/>
  <c r="H461" i="17"/>
  <c r="H587" i="17"/>
  <c r="H608" i="17"/>
  <c r="H647" i="17"/>
  <c r="H702" i="17"/>
  <c r="H881" i="17"/>
  <c r="H953" i="17"/>
  <c r="H964" i="17"/>
  <c r="H968" i="17"/>
  <c r="H1022" i="17"/>
  <c r="H1072" i="17"/>
  <c r="H1097" i="17"/>
  <c r="H1133" i="17"/>
  <c r="H1186" i="17"/>
  <c r="H1190" i="17"/>
  <c r="H1233" i="17"/>
  <c r="H810" i="17"/>
  <c r="H817" i="17"/>
  <c r="H885" i="17"/>
  <c r="H893" i="17"/>
  <c r="H904" i="17"/>
  <c r="H929" i="17"/>
  <c r="H1033" i="17"/>
  <c r="H1087" i="17"/>
  <c r="H1101" i="17"/>
  <c r="H1154" i="17"/>
  <c r="H1176" i="17"/>
  <c r="H1248" i="17"/>
  <c r="H1270" i="17"/>
  <c r="I9" i="8"/>
  <c r="I13" i="8"/>
  <c r="I6" i="8"/>
  <c r="I10" i="8"/>
  <c r="I7" i="8"/>
  <c r="I11" i="8"/>
  <c r="H206" i="17"/>
  <c r="H241" i="17"/>
  <c r="H290" i="17"/>
  <c r="H356" i="17"/>
  <c r="H378" i="17"/>
  <c r="H403" i="17"/>
  <c r="H431" i="17"/>
  <c r="H447" i="17"/>
  <c r="H475" i="17"/>
  <c r="H481" i="17"/>
  <c r="H487" i="17"/>
  <c r="H490" i="17"/>
  <c r="H530" i="17"/>
  <c r="H617" i="17"/>
  <c r="H662" i="17"/>
  <c r="H686" i="17"/>
  <c r="H747" i="17"/>
  <c r="H19" i="17"/>
  <c r="H44" i="17"/>
  <c r="H84" i="17"/>
  <c r="H105" i="17"/>
  <c r="H147" i="17"/>
  <c r="H235" i="17"/>
  <c r="H266" i="17"/>
  <c r="H278" i="17"/>
  <c r="H334" i="17"/>
  <c r="H375" i="17"/>
  <c r="H454" i="17"/>
  <c r="H463" i="17"/>
  <c r="H513" i="17"/>
  <c r="H601" i="17"/>
  <c r="H604" i="17"/>
  <c r="H659" i="17"/>
  <c r="H725" i="17"/>
  <c r="H744" i="17"/>
  <c r="H774" i="17"/>
  <c r="H1058" i="17"/>
  <c r="H32" i="17"/>
  <c r="H48" i="17"/>
  <c r="H57" i="17"/>
  <c r="H99" i="17"/>
  <c r="H153" i="17"/>
  <c r="H159" i="17"/>
  <c r="H226" i="17"/>
  <c r="H229" i="17"/>
  <c r="H251" i="17"/>
  <c r="H257" i="17"/>
  <c r="H303" i="17"/>
  <c r="H337" i="17"/>
  <c r="H344" i="17"/>
  <c r="H385" i="17"/>
  <c r="H569" i="17"/>
  <c r="H585" i="17"/>
  <c r="H595" i="17"/>
  <c r="H611" i="17"/>
  <c r="H614" i="17"/>
  <c r="H653" i="17"/>
  <c r="H673" i="17"/>
  <c r="H713" i="17"/>
  <c r="H781" i="17"/>
  <c r="H799" i="17"/>
  <c r="H1005" i="17"/>
  <c r="H1281" i="17"/>
  <c r="H16" i="17"/>
  <c r="H75" i="17"/>
  <c r="H102" i="17"/>
  <c r="H135" i="17"/>
  <c r="H191" i="17"/>
  <c r="H11" i="17"/>
  <c r="H20" i="17"/>
  <c r="H118" i="17"/>
  <c r="H136" i="17"/>
  <c r="H192" i="17"/>
  <c r="H220" i="17"/>
  <c r="H248" i="17"/>
  <c r="H285" i="17"/>
  <c r="H331" i="17"/>
  <c r="H341" i="17"/>
  <c r="H357" i="17"/>
  <c r="H404" i="17"/>
  <c r="H429" i="17"/>
  <c r="H438" i="17"/>
  <c r="H476" i="17"/>
  <c r="H534" i="17"/>
  <c r="H540" i="17"/>
  <c r="H628" i="17"/>
  <c r="H39" i="17"/>
  <c r="H180" i="17"/>
  <c r="H261" i="17"/>
  <c r="H426" i="17"/>
  <c r="H547" i="17"/>
  <c r="H563" i="17"/>
  <c r="H570" i="17"/>
  <c r="H691" i="17"/>
  <c r="H33" i="17"/>
  <c r="H82" i="17"/>
  <c r="H94" i="17"/>
  <c r="H110" i="17"/>
  <c r="H116" i="17"/>
  <c r="H119" i="17"/>
  <c r="H183" i="17"/>
  <c r="H202" i="17"/>
  <c r="H224" i="17"/>
  <c r="H249" i="17"/>
  <c r="H292" i="17"/>
  <c r="H301" i="17"/>
  <c r="H307" i="17"/>
  <c r="H332" i="17"/>
  <c r="H380" i="17"/>
  <c r="H417" i="17"/>
  <c r="H420" i="17"/>
  <c r="H423" i="17"/>
  <c r="H467" i="17"/>
  <c r="H492" i="17"/>
  <c r="H495" i="17"/>
  <c r="H525" i="17"/>
  <c r="H528" i="17"/>
  <c r="H583" i="17"/>
  <c r="H619" i="17"/>
  <c r="H622" i="17"/>
  <c r="H657" i="17"/>
  <c r="H678" i="17"/>
  <c r="H681" i="17"/>
  <c r="H1113" i="17"/>
  <c r="H636" i="17"/>
  <c r="H645" i="17"/>
  <c r="H77" i="17"/>
  <c r="H101" i="17"/>
  <c r="H125" i="17"/>
  <c r="H143" i="17"/>
  <c r="H289" i="17"/>
  <c r="H339" i="17"/>
  <c r="H408" i="17"/>
  <c r="H427" i="17"/>
  <c r="H449" i="17"/>
  <c r="H483" i="17"/>
  <c r="H502" i="17"/>
  <c r="H515" i="17"/>
  <c r="H564" i="17"/>
  <c r="H9" i="17"/>
  <c r="H40" i="17"/>
  <c r="H43" i="17"/>
  <c r="H74" i="17"/>
  <c r="H80" i="17"/>
  <c r="H83" i="17"/>
  <c r="H95" i="17"/>
  <c r="H111" i="17"/>
  <c r="H155" i="17"/>
  <c r="H175" i="17"/>
  <c r="H190" i="17"/>
  <c r="H262" i="17"/>
  <c r="H314" i="17"/>
  <c r="H326" i="17"/>
  <c r="H333" i="17"/>
  <c r="H355" i="17"/>
  <c r="H377" i="17"/>
  <c r="H396" i="17"/>
  <c r="H399" i="17"/>
  <c r="H453" i="17"/>
  <c r="H462" i="17"/>
  <c r="H468" i="17"/>
  <c r="H471" i="17"/>
  <c r="H519" i="17"/>
  <c r="H529" i="17"/>
  <c r="H616" i="17"/>
  <c r="H630" i="17"/>
  <c r="H837" i="17"/>
  <c r="H1021" i="17"/>
  <c r="H1214" i="17"/>
  <c r="H47" i="17"/>
  <c r="H108" i="17"/>
  <c r="H250" i="17"/>
  <c r="H296" i="17"/>
  <c r="H450" i="17"/>
  <c r="H516" i="17"/>
  <c r="H809" i="17"/>
  <c r="H834" i="17"/>
  <c r="H847" i="17"/>
  <c r="H901" i="17"/>
  <c r="H935" i="17"/>
  <c r="H1011" i="17"/>
  <c r="H1129" i="17"/>
  <c r="H1163" i="17"/>
  <c r="H1179" i="17"/>
  <c r="H1198" i="17"/>
  <c r="H1236" i="17"/>
  <c r="H1252" i="17"/>
  <c r="H1265" i="17"/>
  <c r="H1278" i="17"/>
  <c r="H524" i="17"/>
  <c r="H533" i="17"/>
  <c r="H539" i="17"/>
  <c r="H555" i="17"/>
  <c r="H558" i="17"/>
  <c r="H571" i="17"/>
  <c r="H602" i="17"/>
  <c r="H605" i="17"/>
  <c r="H649" i="17"/>
  <c r="H670" i="17"/>
  <c r="H683" i="17"/>
  <c r="H753" i="17"/>
  <c r="H769" i="17"/>
  <c r="H816" i="17"/>
  <c r="H828" i="17"/>
  <c r="H860" i="17"/>
  <c r="H863" i="17"/>
  <c r="H882" i="17"/>
  <c r="H895" i="17"/>
  <c r="H967" i="17"/>
  <c r="H970" i="17"/>
  <c r="H973" i="17"/>
  <c r="H999" i="17"/>
  <c r="H1027" i="17"/>
  <c r="H1049" i="17"/>
  <c r="H1055" i="17"/>
  <c r="H1068" i="17"/>
  <c r="H1092" i="17"/>
  <c r="H1107" i="17"/>
  <c r="H1126" i="17"/>
  <c r="H1189" i="17"/>
  <c r="H1230" i="17"/>
  <c r="H1285" i="17"/>
  <c r="H546" i="17"/>
  <c r="H552" i="17"/>
  <c r="H590" i="17"/>
  <c r="H599" i="17"/>
  <c r="H631" i="17"/>
  <c r="H677" i="17"/>
  <c r="H697" i="17"/>
  <c r="H703" i="17"/>
  <c r="H706" i="17"/>
  <c r="H757" i="17"/>
  <c r="H772" i="17"/>
  <c r="H785" i="17"/>
  <c r="H870" i="17"/>
  <c r="H924" i="17"/>
  <c r="H936" i="17"/>
  <c r="H939" i="17"/>
  <c r="H949" i="17"/>
  <c r="H952" i="17"/>
  <c r="H958" i="17"/>
  <c r="H977" i="17"/>
  <c r="H990" i="17"/>
  <c r="H1009" i="17"/>
  <c r="H1037" i="17"/>
  <c r="H1164" i="17"/>
  <c r="H1180" i="17"/>
  <c r="H1227" i="17"/>
  <c r="H1237" i="17"/>
  <c r="H1253" i="17"/>
  <c r="H1279" i="17"/>
  <c r="H804" i="17"/>
  <c r="H820" i="17"/>
  <c r="H823" i="17"/>
  <c r="H829" i="17"/>
  <c r="H867" i="17"/>
  <c r="H927" i="17"/>
  <c r="H1034" i="17"/>
  <c r="H1050" i="17"/>
  <c r="H1059" i="17"/>
  <c r="H1084" i="17"/>
  <c r="H1158" i="17"/>
  <c r="H1171" i="17"/>
  <c r="H1215" i="17"/>
  <c r="H1234" i="17"/>
  <c r="H1260" i="17"/>
  <c r="H761" i="17"/>
  <c r="H767" i="17"/>
  <c r="H795" i="17"/>
  <c r="H814" i="17"/>
  <c r="H852" i="17"/>
  <c r="H868" i="17"/>
  <c r="H912" i="17"/>
  <c r="H915" i="17"/>
  <c r="H928" i="17"/>
  <c r="H937" i="17"/>
  <c r="H959" i="17"/>
  <c r="H978" i="17"/>
  <c r="H994" i="17"/>
  <c r="H1016" i="17"/>
  <c r="H1047" i="17"/>
  <c r="H1121" i="17"/>
  <c r="H1206" i="17"/>
  <c r="H1219" i="17"/>
  <c r="H1222" i="17"/>
  <c r="H1283" i="17"/>
  <c r="H783" i="17"/>
  <c r="H846" i="17"/>
  <c r="H919" i="17"/>
  <c r="H947" i="17"/>
  <c r="H998" i="17"/>
  <c r="H1020" i="17"/>
  <c r="H1035" i="17"/>
  <c r="H1054" i="17"/>
  <c r="H1103" i="17"/>
  <c r="H1188" i="17"/>
  <c r="H1229" i="17"/>
  <c r="H1235" i="17"/>
  <c r="H1251" i="17"/>
  <c r="H1261" i="17"/>
  <c r="H1287" i="17"/>
  <c r="H676" i="17"/>
  <c r="H717" i="17"/>
  <c r="H720" i="17"/>
  <c r="H726" i="17"/>
  <c r="H777" i="17"/>
  <c r="H787" i="17"/>
  <c r="H793" i="17"/>
  <c r="H802" i="17"/>
  <c r="H827" i="17"/>
  <c r="H856" i="17"/>
  <c r="H859" i="17"/>
  <c r="H869" i="17"/>
  <c r="H875" i="17"/>
  <c r="H888" i="17"/>
  <c r="H891" i="17"/>
  <c r="H913" i="17"/>
  <c r="H916" i="17"/>
  <c r="H944" i="17"/>
  <c r="H963" i="17"/>
  <c r="H995" i="17"/>
  <c r="H1045" i="17"/>
  <c r="H1079" i="17"/>
  <c r="H1088" i="17"/>
  <c r="H1091" i="17"/>
  <c r="H1144" i="17"/>
  <c r="H1147" i="17"/>
  <c r="H1150" i="17"/>
  <c r="H1153" i="17"/>
  <c r="H1191" i="17"/>
  <c r="H1201" i="17"/>
  <c r="H1207" i="17"/>
  <c r="H1255" i="17"/>
  <c r="H1258" i="17"/>
  <c r="H1268" i="17"/>
  <c r="H1271" i="17"/>
  <c r="H1284" i="17"/>
  <c r="H87" i="17"/>
  <c r="H123" i="17"/>
  <c r="H139" i="17"/>
  <c r="H188" i="17"/>
  <c r="H207" i="17"/>
  <c r="H232" i="17"/>
  <c r="H243" i="17"/>
  <c r="H279" i="17"/>
  <c r="H390" i="17"/>
  <c r="H402" i="17"/>
  <c r="H435" i="17"/>
  <c r="H473" i="17"/>
  <c r="H554" i="17"/>
  <c r="H199" i="17"/>
  <c r="H260" i="17"/>
  <c r="H271" i="17"/>
  <c r="H316" i="17"/>
  <c r="H327" i="17"/>
  <c r="H361" i="17"/>
  <c r="H459" i="17"/>
  <c r="H497" i="17"/>
  <c r="H542" i="17"/>
  <c r="H624" i="17"/>
  <c r="H633" i="17"/>
  <c r="H151" i="17"/>
  <c r="H219" i="17"/>
  <c r="H247" i="17"/>
  <c r="H272" i="17"/>
  <c r="H283" i="17"/>
  <c r="H451" i="17"/>
  <c r="H457" i="17"/>
  <c r="H838" i="17"/>
  <c r="H104" i="17"/>
  <c r="H176" i="17"/>
  <c r="H195" i="17"/>
  <c r="H256" i="17"/>
  <c r="H320" i="17"/>
  <c r="H340" i="17"/>
  <c r="H351" i="17"/>
  <c r="H499" i="17"/>
  <c r="H505" i="17"/>
  <c r="H635" i="17"/>
  <c r="H650" i="17"/>
  <c r="H152" i="17"/>
  <c r="H171" i="17"/>
  <c r="H231" i="17"/>
  <c r="H259" i="17"/>
  <c r="H284" i="17"/>
  <c r="H304" i="17"/>
  <c r="H343" i="17"/>
  <c r="H363" i="17"/>
  <c r="H401" i="17"/>
  <c r="H696" i="17"/>
  <c r="H805" i="17"/>
  <c r="H163" i="17"/>
  <c r="H212" i="17"/>
  <c r="H315" i="17"/>
  <c r="H352" i="17"/>
  <c r="H387" i="17"/>
  <c r="H425" i="17"/>
  <c r="H541" i="17"/>
  <c r="H598" i="17"/>
  <c r="H674" i="17"/>
  <c r="H574" i="17"/>
  <c r="H648" i="17"/>
  <c r="H756" i="17"/>
  <c r="H1067" i="17"/>
  <c r="H946" i="17"/>
  <c r="H1061" i="17"/>
  <c r="H354" i="17"/>
  <c r="H557" i="17"/>
  <c r="H640" i="17"/>
  <c r="H688" i="17"/>
  <c r="H742" i="17"/>
  <c r="H922" i="17"/>
  <c r="H754" i="17"/>
  <c r="H989" i="17"/>
  <c r="H1025" i="17"/>
  <c r="H1031" i="17"/>
  <c r="H1062" i="17"/>
  <c r="H1083" i="17"/>
  <c r="H373" i="17"/>
  <c r="H397" i="17"/>
  <c r="H421" i="17"/>
  <c r="H445" i="17"/>
  <c r="H469" i="17"/>
  <c r="H493" i="17"/>
  <c r="H517" i="17"/>
  <c r="H629" i="17"/>
  <c r="H689" i="17"/>
  <c r="H701" i="17"/>
  <c r="H850" i="17"/>
  <c r="H1056" i="17"/>
  <c r="H1108" i="17"/>
  <c r="H553" i="17"/>
  <c r="H658" i="17"/>
  <c r="H690" i="17"/>
  <c r="H738" i="17"/>
  <c r="H833" i="17"/>
  <c r="H851" i="17"/>
  <c r="H773" i="17"/>
  <c r="H918" i="17"/>
  <c r="H586" i="17"/>
  <c r="H641" i="17"/>
  <c r="H730" i="17"/>
  <c r="H765" i="17"/>
  <c r="H779" i="17"/>
  <c r="H831" i="17"/>
  <c r="H840" i="17"/>
  <c r="H1139" i="17"/>
  <c r="H1169" i="17"/>
  <c r="H1210" i="17"/>
  <c r="H610" i="17"/>
  <c r="H665" i="17"/>
  <c r="H741" i="17"/>
  <c r="H1000" i="17"/>
  <c r="H1272" i="17"/>
  <c r="H1119" i="17"/>
  <c r="H1134" i="17"/>
  <c r="H1246" i="17"/>
  <c r="H1205" i="17"/>
  <c r="H1102" i="17"/>
  <c r="H1165" i="17"/>
  <c r="H562" i="17"/>
  <c r="H593" i="17"/>
  <c r="H682" i="17"/>
  <c r="H737" i="17"/>
  <c r="H784" i="17"/>
  <c r="H917" i="17"/>
  <c r="H923" i="17"/>
  <c r="H975" i="17"/>
  <c r="H984" i="17"/>
  <c r="H1030" i="17"/>
  <c r="H1200" i="17"/>
  <c r="H1277" i="17"/>
  <c r="H1012" i="17"/>
  <c r="H1120" i="17"/>
  <c r="H1228" i="17"/>
  <c r="H791" i="17"/>
  <c r="H971" i="17"/>
  <c r="H1007" i="17"/>
  <c r="H1043" i="17"/>
  <c r="H1187" i="17"/>
  <c r="H1223" i="17"/>
  <c r="H1259" i="17"/>
  <c r="H1175" i="17"/>
  <c r="H1211" i="17"/>
  <c r="H1247" i="17"/>
  <c r="H988" i="17"/>
  <c r="H1024" i="17"/>
  <c r="H1240" i="17"/>
  <c r="L3568" i="5"/>
  <c r="N3568" i="5" s="1"/>
  <c r="K3568" i="5"/>
  <c r="I3568" i="5"/>
  <c r="L3567" i="5"/>
  <c r="K3567" i="5"/>
  <c r="I3567" i="5"/>
  <c r="L3566" i="5"/>
  <c r="N3566" i="5" s="1"/>
  <c r="K3566" i="5"/>
  <c r="I3566" i="5"/>
  <c r="L3565" i="5"/>
  <c r="K3565" i="5"/>
  <c r="I3565" i="5"/>
  <c r="L3564" i="5"/>
  <c r="N3564" i="5" s="1"/>
  <c r="K3564" i="5"/>
  <c r="I3564" i="5"/>
  <c r="L3563" i="5"/>
  <c r="K3563" i="5"/>
  <c r="I3563" i="5"/>
  <c r="L3562" i="5"/>
  <c r="N3562" i="5" s="1"/>
  <c r="K3562" i="5"/>
  <c r="I3562" i="5"/>
  <c r="L3561" i="5"/>
  <c r="K3561" i="5"/>
  <c r="I3561" i="5"/>
  <c r="L3560" i="5"/>
  <c r="N3560" i="5" s="1"/>
  <c r="K3560" i="5"/>
  <c r="I3560" i="5"/>
  <c r="L3559" i="5"/>
  <c r="K3559" i="5"/>
  <c r="I3559" i="5"/>
  <c r="L3558" i="5"/>
  <c r="N3558" i="5" s="1"/>
  <c r="K3558" i="5"/>
  <c r="I3558" i="5"/>
  <c r="L3557" i="5"/>
  <c r="K3557" i="5"/>
  <c r="I3557" i="5"/>
  <c r="L3556" i="5"/>
  <c r="N3556" i="5" s="1"/>
  <c r="K3556" i="5"/>
  <c r="I3556" i="5"/>
  <c r="L3555" i="5"/>
  <c r="K3555" i="5"/>
  <c r="I3555" i="5"/>
  <c r="L3554" i="5"/>
  <c r="N3554" i="5" s="1"/>
  <c r="K3554" i="5"/>
  <c r="I3554" i="5"/>
  <c r="L3553" i="5"/>
  <c r="K3553" i="5"/>
  <c r="I3553" i="5"/>
  <c r="L3552" i="5"/>
  <c r="N3552" i="5" s="1"/>
  <c r="K3552" i="5"/>
  <c r="I3552" i="5"/>
  <c r="L3551" i="5"/>
  <c r="K3551" i="5"/>
  <c r="I3551" i="5"/>
  <c r="L3550" i="5"/>
  <c r="N3550" i="5" s="1"/>
  <c r="K3550" i="5"/>
  <c r="I3550" i="5"/>
  <c r="L3549" i="5"/>
  <c r="K3549" i="5"/>
  <c r="I3549" i="5"/>
  <c r="L3548" i="5"/>
  <c r="N3548" i="5" s="1"/>
  <c r="K3548" i="5"/>
  <c r="I3548" i="5"/>
  <c r="L3547" i="5"/>
  <c r="K3547" i="5"/>
  <c r="I3547" i="5"/>
  <c r="L3546" i="5"/>
  <c r="N3546" i="5" s="1"/>
  <c r="K3546" i="5"/>
  <c r="I3546" i="5"/>
  <c r="L3545" i="5"/>
  <c r="K3545" i="5"/>
  <c r="I3545" i="5"/>
  <c r="L3544" i="5"/>
  <c r="N3544" i="5" s="1"/>
  <c r="K3544" i="5"/>
  <c r="I3544" i="5"/>
  <c r="L3543" i="5"/>
  <c r="K3543" i="5"/>
  <c r="I3543" i="5"/>
  <c r="L3542" i="5"/>
  <c r="N3542" i="5" s="1"/>
  <c r="K3542" i="5"/>
  <c r="I3542" i="5"/>
  <c r="L3541" i="5"/>
  <c r="K3541" i="5"/>
  <c r="I3541" i="5"/>
  <c r="L3540" i="5"/>
  <c r="N3540" i="5" s="1"/>
  <c r="K3540" i="5"/>
  <c r="I3540" i="5"/>
  <c r="L3539" i="5"/>
  <c r="K3539" i="5"/>
  <c r="I3539" i="5"/>
  <c r="L3538" i="5"/>
  <c r="N3538" i="5" s="1"/>
  <c r="K3538" i="5"/>
  <c r="I3538" i="5"/>
  <c r="L3537" i="5"/>
  <c r="K3537" i="5"/>
  <c r="I3537" i="5"/>
  <c r="L3536" i="5"/>
  <c r="N3536" i="5" s="1"/>
  <c r="K3536" i="5"/>
  <c r="I3536" i="5"/>
  <c r="L3535" i="5"/>
  <c r="K3535" i="5"/>
  <c r="I3535" i="5"/>
  <c r="L3534" i="5"/>
  <c r="N3534" i="5" s="1"/>
  <c r="K3534" i="5"/>
  <c r="I3534" i="5"/>
  <c r="L3533" i="5"/>
  <c r="K3533" i="5"/>
  <c r="I3533" i="5"/>
  <c r="L3532" i="5"/>
  <c r="N3532" i="5" s="1"/>
  <c r="K3532" i="5"/>
  <c r="I3532" i="5"/>
  <c r="L3531" i="5"/>
  <c r="K3531" i="5"/>
  <c r="I3531" i="5"/>
  <c r="L3530" i="5"/>
  <c r="N3530" i="5" s="1"/>
  <c r="K3530" i="5"/>
  <c r="I3530" i="5"/>
  <c r="L3529" i="5"/>
  <c r="K3529" i="5"/>
  <c r="I3529" i="5"/>
  <c r="L3528" i="5"/>
  <c r="K3528" i="5"/>
  <c r="I3528" i="5"/>
  <c r="L3527" i="5"/>
  <c r="K3527" i="5"/>
  <c r="I3527" i="5"/>
  <c r="L3526" i="5"/>
  <c r="N3526" i="5" s="1"/>
  <c r="K3526" i="5"/>
  <c r="I3526" i="5"/>
  <c r="L3525" i="5"/>
  <c r="K3525" i="5"/>
  <c r="I3525" i="5"/>
  <c r="L3524" i="5"/>
  <c r="K3524" i="5"/>
  <c r="I3524" i="5"/>
  <c r="L3523" i="5"/>
  <c r="K3523" i="5"/>
  <c r="I3523" i="5"/>
  <c r="L3522" i="5"/>
  <c r="N3522" i="5" s="1"/>
  <c r="K3522" i="5"/>
  <c r="I3522" i="5"/>
  <c r="L3521" i="5"/>
  <c r="K3521" i="5"/>
  <c r="I3521" i="5"/>
  <c r="F3568" i="5"/>
  <c r="F3567" i="5"/>
  <c r="F3566" i="5"/>
  <c r="F3565" i="5"/>
  <c r="F3564" i="5"/>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N3521" i="5" l="1"/>
  <c r="N3525" i="5"/>
  <c r="N3529" i="5"/>
  <c r="N3533" i="5"/>
  <c r="N3537" i="5"/>
  <c r="N3541" i="5"/>
  <c r="N3545" i="5"/>
  <c r="N3549" i="5"/>
  <c r="N3553" i="5"/>
  <c r="N3557" i="5"/>
  <c r="N3561" i="5"/>
  <c r="N3565" i="5"/>
  <c r="N3523" i="5"/>
  <c r="N3527" i="5"/>
  <c r="N3531" i="5"/>
  <c r="N3535" i="5"/>
  <c r="N3539" i="5"/>
  <c r="N3543" i="5"/>
  <c r="N3547" i="5"/>
  <c r="N3524" i="5"/>
  <c r="N3528" i="5"/>
  <c r="N3551" i="5"/>
  <c r="N3555" i="5"/>
  <c r="N3559" i="5"/>
  <c r="N3563" i="5"/>
  <c r="N3567" i="5"/>
  <c r="D75" i="3"/>
  <c r="J1231" i="15"/>
  <c r="I1231" i="15"/>
  <c r="J1230" i="15"/>
  <c r="I1230" i="15"/>
  <c r="J1229" i="15"/>
  <c r="I1229" i="15"/>
  <c r="J1228" i="15"/>
  <c r="I1228" i="15"/>
  <c r="J1227" i="15"/>
  <c r="I1227" i="15"/>
  <c r="J1226" i="15"/>
  <c r="I1226" i="15"/>
  <c r="J1225" i="15"/>
  <c r="K1225" i="15" s="1"/>
  <c r="I1225" i="15"/>
  <c r="J1224" i="15"/>
  <c r="I1224" i="15"/>
  <c r="J1223" i="15"/>
  <c r="K1223" i="15" s="1"/>
  <c r="I1223" i="15"/>
  <c r="J1222" i="15"/>
  <c r="K1222" i="15" s="1"/>
  <c r="I1222" i="15"/>
  <c r="J1221" i="15"/>
  <c r="I1221" i="15"/>
  <c r="J1220" i="15"/>
  <c r="I1220" i="15"/>
  <c r="J1219" i="15"/>
  <c r="K1219" i="15" s="1"/>
  <c r="I1219" i="15"/>
  <c r="J1218" i="15"/>
  <c r="I1218" i="15"/>
  <c r="J1217" i="15"/>
  <c r="K1217" i="15" s="1"/>
  <c r="I1217" i="15"/>
  <c r="J1216" i="15"/>
  <c r="K1216" i="15" s="1"/>
  <c r="I1216" i="15"/>
  <c r="J1215" i="15"/>
  <c r="I1215" i="15"/>
  <c r="J1214" i="15"/>
  <c r="I1214" i="15"/>
  <c r="J1213" i="15"/>
  <c r="I1213" i="15"/>
  <c r="J1212" i="15"/>
  <c r="I1212" i="15"/>
  <c r="J1211" i="15"/>
  <c r="I1211" i="15"/>
  <c r="J1210" i="15"/>
  <c r="I1210" i="15"/>
  <c r="J1209" i="15"/>
  <c r="I1209" i="15"/>
  <c r="J1208" i="15"/>
  <c r="I1208" i="15"/>
  <c r="J1207" i="15"/>
  <c r="K1207" i="15" s="1"/>
  <c r="I1207" i="15"/>
  <c r="J1206" i="15"/>
  <c r="I1206" i="15"/>
  <c r="J1205" i="15"/>
  <c r="I1205" i="15"/>
  <c r="J1204" i="15"/>
  <c r="K1204" i="15" s="1"/>
  <c r="I1204" i="15"/>
  <c r="J1203" i="15"/>
  <c r="I1203" i="15"/>
  <c r="J1202" i="15"/>
  <c r="I1202" i="15"/>
  <c r="J1201" i="15"/>
  <c r="I1201" i="15"/>
  <c r="J1200" i="15"/>
  <c r="I1200" i="15"/>
  <c r="J1199" i="15"/>
  <c r="I1199" i="15"/>
  <c r="K1199" i="15" s="1"/>
  <c r="J1198" i="15"/>
  <c r="K1198" i="15" s="1"/>
  <c r="I1198" i="15"/>
  <c r="J1197" i="15"/>
  <c r="I1197" i="15"/>
  <c r="J1196" i="15"/>
  <c r="I1196" i="15"/>
  <c r="J1195" i="15"/>
  <c r="I1195" i="15"/>
  <c r="K1195" i="15" s="1"/>
  <c r="J1194" i="15"/>
  <c r="I1194" i="15"/>
  <c r="J1193" i="15"/>
  <c r="I1193" i="15"/>
  <c r="K1192" i="15"/>
  <c r="J1192" i="15"/>
  <c r="I1192" i="15"/>
  <c r="J1191" i="15"/>
  <c r="I1191" i="15"/>
  <c r="J1190" i="15"/>
  <c r="I1190" i="15"/>
  <c r="K1190" i="15" s="1"/>
  <c r="J1189" i="15"/>
  <c r="K1189" i="15" s="1"/>
  <c r="I1189" i="15"/>
  <c r="J1188" i="15"/>
  <c r="I1188" i="15"/>
  <c r="J1187" i="15"/>
  <c r="K1187" i="15" s="1"/>
  <c r="I1187" i="15"/>
  <c r="J1186" i="15"/>
  <c r="I1186" i="15"/>
  <c r="J1185" i="15"/>
  <c r="I1185" i="15"/>
  <c r="J1184" i="15"/>
  <c r="I1184" i="15"/>
  <c r="K1183" i="15"/>
  <c r="J1183" i="15"/>
  <c r="I1183" i="15"/>
  <c r="J1182" i="15"/>
  <c r="I1182" i="15"/>
  <c r="J1181" i="15"/>
  <c r="K1181" i="15" s="1"/>
  <c r="I1181" i="15"/>
  <c r="J1180" i="15"/>
  <c r="K1180" i="15" s="1"/>
  <c r="I1180" i="15"/>
  <c r="J1179" i="15"/>
  <c r="I1179" i="15"/>
  <c r="J1178" i="15"/>
  <c r="I1178" i="15"/>
  <c r="J1177" i="15"/>
  <c r="I1177" i="15"/>
  <c r="J1176" i="15"/>
  <c r="I1176" i="15"/>
  <c r="J1175" i="15"/>
  <c r="K1175" i="15" s="1"/>
  <c r="I1175" i="15"/>
  <c r="J1174" i="15"/>
  <c r="K1174" i="15" s="1"/>
  <c r="I1174" i="15"/>
  <c r="J1173" i="15"/>
  <c r="I1173" i="15"/>
  <c r="J1172" i="15"/>
  <c r="I1172" i="15"/>
  <c r="J1171" i="15"/>
  <c r="K1171" i="15" s="1"/>
  <c r="I1171" i="15"/>
  <c r="J1170" i="15"/>
  <c r="I1170" i="15"/>
  <c r="J1169" i="15"/>
  <c r="I1169" i="15"/>
  <c r="K1168" i="15"/>
  <c r="J1168" i="15"/>
  <c r="I1168" i="15"/>
  <c r="J1167" i="15"/>
  <c r="I1167" i="15"/>
  <c r="J1166" i="15"/>
  <c r="I1166" i="15"/>
  <c r="K1166" i="15" s="1"/>
  <c r="J1165" i="15"/>
  <c r="K1165" i="15" s="1"/>
  <c r="I1165" i="15"/>
  <c r="J1164" i="15"/>
  <c r="I1164" i="15"/>
  <c r="J1163" i="15"/>
  <c r="K1163" i="15" s="1"/>
  <c r="I1163" i="15"/>
  <c r="J1162" i="15"/>
  <c r="K1162" i="15" s="1"/>
  <c r="I1162" i="15"/>
  <c r="J1161" i="15"/>
  <c r="I1161" i="15"/>
  <c r="J1160" i="15"/>
  <c r="I1160" i="15"/>
  <c r="K1160" i="15" s="1"/>
  <c r="J1159" i="15"/>
  <c r="K1159" i="15" s="1"/>
  <c r="I1159" i="15"/>
  <c r="J1158" i="15"/>
  <c r="I1158" i="15"/>
  <c r="J1157" i="15"/>
  <c r="K1157" i="15" s="1"/>
  <c r="I1157" i="15"/>
  <c r="J1156" i="15"/>
  <c r="K1156" i="15" s="1"/>
  <c r="I1156" i="15"/>
  <c r="J1155" i="15"/>
  <c r="I1155" i="15"/>
  <c r="J1154" i="15"/>
  <c r="I1154" i="15"/>
  <c r="J1153" i="15"/>
  <c r="K1153" i="15" s="1"/>
  <c r="I1153" i="15"/>
  <c r="J1152" i="15"/>
  <c r="I1152" i="15"/>
  <c r="J1151" i="15"/>
  <c r="I1151" i="15"/>
  <c r="J1150" i="15"/>
  <c r="K1150" i="15" s="1"/>
  <c r="I1150" i="15"/>
  <c r="J1149" i="15"/>
  <c r="I1149" i="15"/>
  <c r="J1148" i="15"/>
  <c r="I1148" i="15"/>
  <c r="J1147" i="15"/>
  <c r="K1147" i="15" s="1"/>
  <c r="I1147" i="15"/>
  <c r="J1146" i="15"/>
  <c r="I1146" i="15"/>
  <c r="J1145" i="15"/>
  <c r="I1145" i="15"/>
  <c r="K1144" i="15"/>
  <c r="J1144" i="15"/>
  <c r="I1144" i="15"/>
  <c r="J1143" i="15"/>
  <c r="I1143" i="15"/>
  <c r="J1142" i="15"/>
  <c r="I1142" i="15"/>
  <c r="J1141" i="15"/>
  <c r="I1141" i="15"/>
  <c r="J1140" i="15"/>
  <c r="K1140" i="15" s="1"/>
  <c r="I1140" i="15"/>
  <c r="J1139" i="15"/>
  <c r="I1139" i="15"/>
  <c r="J1138" i="15"/>
  <c r="K1138" i="15" s="1"/>
  <c r="I1138" i="15"/>
  <c r="J1137" i="15"/>
  <c r="I1137" i="15"/>
  <c r="J1136" i="15"/>
  <c r="I1136" i="15"/>
  <c r="J1135" i="15"/>
  <c r="K1135" i="15" s="1"/>
  <c r="I1135" i="15"/>
  <c r="J1134" i="15"/>
  <c r="I1134" i="15"/>
  <c r="J1133" i="15"/>
  <c r="K1133" i="15" s="1"/>
  <c r="I1133" i="15"/>
  <c r="J1132" i="15"/>
  <c r="I1132" i="15"/>
  <c r="K1132" i="15" s="1"/>
  <c r="J1131" i="15"/>
  <c r="I1131" i="15"/>
  <c r="J1130" i="15"/>
  <c r="I1130" i="15"/>
  <c r="J1129" i="15"/>
  <c r="K1129" i="15" s="1"/>
  <c r="I1129" i="15"/>
  <c r="J1128" i="15"/>
  <c r="I1128" i="15"/>
  <c r="J1127" i="15"/>
  <c r="K1127" i="15" s="1"/>
  <c r="I1127" i="15"/>
  <c r="J1126" i="15"/>
  <c r="I1126" i="15"/>
  <c r="J1125" i="15"/>
  <c r="K1125" i="15" s="1"/>
  <c r="I1125" i="15"/>
  <c r="J1124" i="15"/>
  <c r="I1124" i="15"/>
  <c r="K1123" i="15"/>
  <c r="J1123" i="15"/>
  <c r="I1123" i="15"/>
  <c r="J1122" i="15"/>
  <c r="I1122" i="15"/>
  <c r="J1121" i="15"/>
  <c r="I1121" i="15"/>
  <c r="J1120" i="15"/>
  <c r="I1120" i="15"/>
  <c r="K1120" i="15" s="1"/>
  <c r="J1119" i="15"/>
  <c r="K1119" i="15" s="1"/>
  <c r="I1119" i="15"/>
  <c r="J1118" i="15"/>
  <c r="I1118" i="15"/>
  <c r="K1118" i="15" s="1"/>
  <c r="J1117" i="15"/>
  <c r="K1117" i="15" s="1"/>
  <c r="I1117" i="15"/>
  <c r="J1116" i="15"/>
  <c r="I1116" i="15"/>
  <c r="J1115" i="15"/>
  <c r="I1115" i="15"/>
  <c r="J1114" i="15"/>
  <c r="I1114" i="15"/>
  <c r="J1113" i="15"/>
  <c r="I1113" i="15"/>
  <c r="J1112" i="15"/>
  <c r="I1112" i="15"/>
  <c r="J1111" i="15"/>
  <c r="K1111" i="15" s="1"/>
  <c r="I1111" i="15"/>
  <c r="J1110" i="15"/>
  <c r="I1110" i="15"/>
  <c r="J1109" i="15"/>
  <c r="I1109" i="15"/>
  <c r="K1109" i="15" s="1"/>
  <c r="J1108" i="15"/>
  <c r="I1108" i="15"/>
  <c r="K1108" i="15" s="1"/>
  <c r="J1107" i="15"/>
  <c r="I1107" i="15"/>
  <c r="J1106" i="15"/>
  <c r="I1106" i="15"/>
  <c r="K1106" i="15" s="1"/>
  <c r="J1105" i="15"/>
  <c r="K1105" i="15" s="1"/>
  <c r="I1105" i="15"/>
  <c r="J1104" i="15"/>
  <c r="I1104" i="15"/>
  <c r="J1103" i="15"/>
  <c r="I1103" i="15"/>
  <c r="K1103" i="15" s="1"/>
  <c r="J1102" i="15"/>
  <c r="I1102" i="15"/>
  <c r="K1102" i="15" s="1"/>
  <c r="J1101" i="15"/>
  <c r="K1101" i="15" s="1"/>
  <c r="I1101" i="15"/>
  <c r="J1100" i="15"/>
  <c r="I1100" i="15"/>
  <c r="K1100" i="15" s="1"/>
  <c r="K1099" i="15"/>
  <c r="J1099" i="15"/>
  <c r="I1099" i="15"/>
  <c r="J1098" i="15"/>
  <c r="K1098" i="15" s="1"/>
  <c r="I1098" i="15"/>
  <c r="J1097" i="15"/>
  <c r="I1097" i="15"/>
  <c r="J1096" i="15"/>
  <c r="I1096" i="15"/>
  <c r="J1095" i="15"/>
  <c r="I1095" i="15"/>
  <c r="J1094" i="15"/>
  <c r="I1094" i="15"/>
  <c r="J1093" i="15"/>
  <c r="I1093" i="15"/>
  <c r="J1092" i="15"/>
  <c r="I1092" i="15"/>
  <c r="J1091" i="15"/>
  <c r="K1091" i="15" s="1"/>
  <c r="I1091" i="15"/>
  <c r="J1090" i="15"/>
  <c r="I1090" i="15"/>
  <c r="J1089" i="15"/>
  <c r="I1089" i="15"/>
  <c r="J1088" i="15"/>
  <c r="I1088" i="15"/>
  <c r="J1087" i="15"/>
  <c r="K1087" i="15" s="1"/>
  <c r="I1087" i="15"/>
  <c r="J1086" i="15"/>
  <c r="I1086" i="15"/>
  <c r="K1086" i="15" s="1"/>
  <c r="J1085" i="15"/>
  <c r="K1085" i="15" s="1"/>
  <c r="I1085" i="15"/>
  <c r="J1084" i="15"/>
  <c r="I1084" i="15"/>
  <c r="J1083" i="15"/>
  <c r="I1083" i="15"/>
  <c r="J1082" i="15"/>
  <c r="I1082" i="15"/>
  <c r="K1082" i="15" s="1"/>
  <c r="J1081" i="15"/>
  <c r="I1081" i="15"/>
  <c r="J1080" i="15"/>
  <c r="I1080" i="15"/>
  <c r="J1079" i="15"/>
  <c r="I1079" i="15"/>
  <c r="J1078" i="15"/>
  <c r="K1078" i="15" s="1"/>
  <c r="I1078" i="15"/>
  <c r="J1077" i="15"/>
  <c r="K1077" i="15" s="1"/>
  <c r="I1077" i="15"/>
  <c r="J1076" i="15"/>
  <c r="I1076" i="15"/>
  <c r="J1075" i="15"/>
  <c r="I1075" i="15"/>
  <c r="K1075" i="15" s="1"/>
  <c r="J1074" i="15"/>
  <c r="I1074" i="15"/>
  <c r="K1073" i="15"/>
  <c r="J1073" i="15"/>
  <c r="I1073" i="15"/>
  <c r="J1072" i="15"/>
  <c r="K1072" i="15" s="1"/>
  <c r="I1072" i="15"/>
  <c r="J1071" i="15"/>
  <c r="I1071" i="15"/>
  <c r="J1070" i="15"/>
  <c r="I1070" i="15"/>
  <c r="J1069" i="15"/>
  <c r="I1069" i="15"/>
  <c r="J1068" i="15"/>
  <c r="I1068" i="15"/>
  <c r="J1067" i="15"/>
  <c r="I1067" i="15"/>
  <c r="K1067" i="15" s="1"/>
  <c r="J1066" i="15"/>
  <c r="I1066" i="15"/>
  <c r="J1065" i="15"/>
  <c r="I1065" i="15"/>
  <c r="J1064" i="15"/>
  <c r="I1064" i="15"/>
  <c r="J1063" i="15"/>
  <c r="I1063" i="15"/>
  <c r="K1063" i="15" s="1"/>
  <c r="J1062" i="15"/>
  <c r="I1062" i="15"/>
  <c r="J1061" i="15"/>
  <c r="K1061" i="15" s="1"/>
  <c r="I1061" i="15"/>
  <c r="J1060" i="15"/>
  <c r="K1060" i="15" s="1"/>
  <c r="I1060" i="15"/>
  <c r="J1059" i="15"/>
  <c r="I1059" i="15"/>
  <c r="J1058" i="15"/>
  <c r="I1058" i="15"/>
  <c r="J1057" i="15"/>
  <c r="K1057" i="15" s="1"/>
  <c r="I1057" i="15"/>
  <c r="J1056" i="15"/>
  <c r="I1056" i="15"/>
  <c r="K1055" i="15"/>
  <c r="J1055" i="15"/>
  <c r="I1055" i="15"/>
  <c r="J1054" i="15"/>
  <c r="I1054" i="15"/>
  <c r="K1054" i="15" s="1"/>
  <c r="J1053" i="15"/>
  <c r="I1053" i="15"/>
  <c r="J1052" i="15"/>
  <c r="I1052" i="15"/>
  <c r="J1051" i="15"/>
  <c r="I1051" i="15"/>
  <c r="J1050" i="15"/>
  <c r="I1050" i="15"/>
  <c r="J1049" i="15"/>
  <c r="I1049" i="15"/>
  <c r="J1048" i="15"/>
  <c r="K1048" i="15" s="1"/>
  <c r="I1048" i="15"/>
  <c r="J1047" i="15"/>
  <c r="I1047" i="15"/>
  <c r="J1046" i="15"/>
  <c r="K1046" i="15" s="1"/>
  <c r="I1046" i="15"/>
  <c r="J1045" i="15"/>
  <c r="K1045" i="15" s="1"/>
  <c r="I1045" i="15"/>
  <c r="J1044" i="15"/>
  <c r="I1044" i="15"/>
  <c r="J1043" i="15"/>
  <c r="I1043" i="15"/>
  <c r="K1043" i="15" s="1"/>
  <c r="J1042" i="15"/>
  <c r="I1042" i="15"/>
  <c r="J1041" i="15"/>
  <c r="I1041" i="15"/>
  <c r="J1040" i="15"/>
  <c r="I1040" i="15"/>
  <c r="K1040" i="15" s="1"/>
  <c r="J1039" i="15"/>
  <c r="K1039" i="15" s="1"/>
  <c r="I1039" i="15"/>
  <c r="J1038" i="15"/>
  <c r="I1038" i="15"/>
  <c r="J1037" i="15"/>
  <c r="K1037" i="15" s="1"/>
  <c r="I1037" i="15"/>
  <c r="J1036" i="15"/>
  <c r="K1036" i="15" s="1"/>
  <c r="I1036" i="15"/>
  <c r="J1035" i="15"/>
  <c r="I1035" i="15"/>
  <c r="J1034" i="15"/>
  <c r="K1034" i="15" s="1"/>
  <c r="I1034" i="15"/>
  <c r="J1033" i="15"/>
  <c r="I1033" i="15"/>
  <c r="J1032" i="15"/>
  <c r="I1032" i="15"/>
  <c r="J1031" i="15"/>
  <c r="I1031" i="15"/>
  <c r="J1030" i="15"/>
  <c r="I1030" i="15"/>
  <c r="J1029" i="15"/>
  <c r="I1029" i="15"/>
  <c r="J1028" i="15"/>
  <c r="I1028" i="15"/>
  <c r="J1027" i="15"/>
  <c r="I1027" i="15"/>
  <c r="J1026" i="15"/>
  <c r="I1026" i="15"/>
  <c r="J1025" i="15"/>
  <c r="I1025" i="15"/>
  <c r="J1024" i="15"/>
  <c r="I1024" i="15"/>
  <c r="J1023" i="15"/>
  <c r="I1023" i="15"/>
  <c r="J1022" i="15"/>
  <c r="K1022" i="15" s="1"/>
  <c r="I1022" i="15"/>
  <c r="J1021" i="15"/>
  <c r="I1021" i="15"/>
  <c r="J1020" i="15"/>
  <c r="K1020" i="15" s="1"/>
  <c r="I1020" i="15"/>
  <c r="J1019" i="15"/>
  <c r="K1019" i="15" s="1"/>
  <c r="I1019" i="15"/>
  <c r="J1018" i="15"/>
  <c r="I1018" i="15"/>
  <c r="J1017" i="15"/>
  <c r="I1017" i="15"/>
  <c r="J1016" i="15"/>
  <c r="I1016" i="15"/>
  <c r="J1015" i="15"/>
  <c r="K1015" i="15" s="1"/>
  <c r="I1015" i="15"/>
  <c r="J1014" i="15"/>
  <c r="I1014" i="15"/>
  <c r="K1013" i="15"/>
  <c r="J1013" i="15"/>
  <c r="I1013" i="15"/>
  <c r="J1012" i="15"/>
  <c r="I1012" i="15"/>
  <c r="J1011" i="15"/>
  <c r="I1011" i="15"/>
  <c r="J1010" i="15"/>
  <c r="I1010" i="15"/>
  <c r="J1009" i="15"/>
  <c r="I1009" i="15"/>
  <c r="J1008" i="15"/>
  <c r="I1008" i="15"/>
  <c r="K1007" i="15"/>
  <c r="J1007" i="15"/>
  <c r="I1007" i="15"/>
  <c r="J1006" i="15"/>
  <c r="K1006" i="15" s="1"/>
  <c r="I1006" i="15"/>
  <c r="J1005" i="15"/>
  <c r="I1005" i="15"/>
  <c r="J1004" i="15"/>
  <c r="I1004" i="15"/>
  <c r="J1003" i="15"/>
  <c r="I1003" i="15"/>
  <c r="K1003" i="15" s="1"/>
  <c r="J1002" i="15"/>
  <c r="I1002" i="15"/>
  <c r="J1001" i="15"/>
  <c r="I1001" i="15"/>
  <c r="K1001" i="15" s="1"/>
  <c r="K1000" i="15"/>
  <c r="J1000" i="15"/>
  <c r="I1000" i="15"/>
  <c r="J999" i="15"/>
  <c r="I999" i="15"/>
  <c r="J998" i="15"/>
  <c r="I998" i="15"/>
  <c r="J997" i="15"/>
  <c r="I997" i="15"/>
  <c r="J996" i="15"/>
  <c r="I996" i="15"/>
  <c r="J995" i="15"/>
  <c r="K995" i="15" s="1"/>
  <c r="I995" i="15"/>
  <c r="J994" i="15"/>
  <c r="K994" i="15" s="1"/>
  <c r="I994" i="15"/>
  <c r="J993" i="15"/>
  <c r="K993" i="15" s="1"/>
  <c r="I993" i="15"/>
  <c r="J992" i="15"/>
  <c r="I992" i="15"/>
  <c r="J991" i="15"/>
  <c r="K991" i="15" s="1"/>
  <c r="I991" i="15"/>
  <c r="J990" i="15"/>
  <c r="I990" i="15"/>
  <c r="J989" i="15"/>
  <c r="I989" i="15"/>
  <c r="J988" i="15"/>
  <c r="I988" i="15"/>
  <c r="J987" i="15"/>
  <c r="I987" i="15"/>
  <c r="J986" i="15"/>
  <c r="I986" i="15"/>
  <c r="J985" i="15"/>
  <c r="K985" i="15" s="1"/>
  <c r="I985" i="15"/>
  <c r="J984" i="15"/>
  <c r="K984" i="15" s="1"/>
  <c r="I984" i="15"/>
  <c r="J983" i="15"/>
  <c r="I983" i="15"/>
  <c r="J982" i="15"/>
  <c r="I982" i="15"/>
  <c r="J981" i="15"/>
  <c r="K981" i="15" s="1"/>
  <c r="I981" i="15"/>
  <c r="J980" i="15"/>
  <c r="I980" i="15"/>
  <c r="K979" i="15"/>
  <c r="J979" i="15"/>
  <c r="I979" i="15"/>
  <c r="J978" i="15"/>
  <c r="I978" i="15"/>
  <c r="J977" i="15"/>
  <c r="I977" i="15"/>
  <c r="J976" i="15"/>
  <c r="I976" i="15"/>
  <c r="J975" i="15"/>
  <c r="I975" i="15"/>
  <c r="J974" i="15"/>
  <c r="I974" i="15"/>
  <c r="J973" i="15"/>
  <c r="K973" i="15" s="1"/>
  <c r="I973" i="15"/>
  <c r="J972" i="15"/>
  <c r="I972" i="15"/>
  <c r="J971" i="15"/>
  <c r="I971" i="15"/>
  <c r="J970" i="15"/>
  <c r="I970" i="15"/>
  <c r="J969" i="15"/>
  <c r="I969" i="15"/>
  <c r="J968" i="15"/>
  <c r="I968" i="15"/>
  <c r="J967" i="15"/>
  <c r="K967" i="15" s="1"/>
  <c r="I967" i="15"/>
  <c r="J966" i="15"/>
  <c r="I966" i="15"/>
  <c r="K965" i="15"/>
  <c r="J965" i="15"/>
  <c r="I965" i="15"/>
  <c r="J964" i="15"/>
  <c r="I964" i="15"/>
  <c r="K964" i="15" s="1"/>
  <c r="J963" i="15"/>
  <c r="I963" i="15"/>
  <c r="J962" i="15"/>
  <c r="K962" i="15" s="1"/>
  <c r="I962" i="15"/>
  <c r="J961" i="15"/>
  <c r="I961" i="15"/>
  <c r="J960" i="15"/>
  <c r="K960" i="15" s="1"/>
  <c r="I960" i="15"/>
  <c r="J959" i="15"/>
  <c r="I959" i="15"/>
  <c r="J958" i="15"/>
  <c r="I958" i="15"/>
  <c r="J957" i="15"/>
  <c r="I957" i="15"/>
  <c r="J956" i="15"/>
  <c r="I956" i="15"/>
  <c r="J955" i="15"/>
  <c r="I955" i="15"/>
  <c r="J954" i="15"/>
  <c r="I954" i="15"/>
  <c r="J953" i="15"/>
  <c r="I953" i="15"/>
  <c r="J952" i="15"/>
  <c r="I952" i="15"/>
  <c r="J951" i="15"/>
  <c r="I951" i="15"/>
  <c r="J950" i="15"/>
  <c r="K950" i="15" s="1"/>
  <c r="I950" i="15"/>
  <c r="J949" i="15"/>
  <c r="I949" i="15"/>
  <c r="J948" i="15"/>
  <c r="I948" i="15"/>
  <c r="J947" i="15"/>
  <c r="I947" i="15"/>
  <c r="J946" i="15"/>
  <c r="I946" i="15"/>
  <c r="J945" i="15"/>
  <c r="I945" i="15"/>
  <c r="J944" i="15"/>
  <c r="I944" i="15"/>
  <c r="J943" i="15"/>
  <c r="K943" i="15" s="1"/>
  <c r="I943" i="15"/>
  <c r="J942" i="15"/>
  <c r="I942" i="15"/>
  <c r="J941" i="15"/>
  <c r="I941" i="15"/>
  <c r="J940" i="15"/>
  <c r="I940" i="15"/>
  <c r="K940" i="15" s="1"/>
  <c r="J939" i="15"/>
  <c r="K939" i="15" s="1"/>
  <c r="I939" i="15"/>
  <c r="J938" i="15"/>
  <c r="I938" i="15"/>
  <c r="J937" i="15"/>
  <c r="K937" i="15" s="1"/>
  <c r="I937" i="15"/>
  <c r="J936" i="15"/>
  <c r="I936" i="15"/>
  <c r="J935" i="15"/>
  <c r="K935" i="15" s="1"/>
  <c r="I935" i="15"/>
  <c r="J934" i="15"/>
  <c r="K934" i="15" s="1"/>
  <c r="I934" i="15"/>
  <c r="J933" i="15"/>
  <c r="I933" i="15"/>
  <c r="J932" i="15"/>
  <c r="I932" i="15"/>
  <c r="K932" i="15" s="1"/>
  <c r="J931" i="15"/>
  <c r="K931" i="15" s="1"/>
  <c r="I931" i="15"/>
  <c r="J930" i="15"/>
  <c r="I930" i="15"/>
  <c r="J929" i="15"/>
  <c r="I929" i="15"/>
  <c r="K929" i="15" s="1"/>
  <c r="J928" i="15"/>
  <c r="I928" i="15"/>
  <c r="J927" i="15"/>
  <c r="I927" i="15"/>
  <c r="J926" i="15"/>
  <c r="I926" i="15"/>
  <c r="J925" i="15"/>
  <c r="K925" i="15" s="1"/>
  <c r="I925" i="15"/>
  <c r="J924" i="15"/>
  <c r="I924" i="15"/>
  <c r="J923" i="15"/>
  <c r="I923" i="15"/>
  <c r="J922" i="15"/>
  <c r="I922" i="15"/>
  <c r="J921" i="15"/>
  <c r="K921" i="15" s="1"/>
  <c r="I921" i="15"/>
  <c r="J920" i="15"/>
  <c r="I920" i="15"/>
  <c r="K920" i="15" s="1"/>
  <c r="J919" i="15"/>
  <c r="I919" i="15"/>
  <c r="J918" i="15"/>
  <c r="I918" i="15"/>
  <c r="J917" i="15"/>
  <c r="I917" i="15"/>
  <c r="J916" i="15"/>
  <c r="K916" i="15" s="1"/>
  <c r="I916" i="15"/>
  <c r="J915" i="15"/>
  <c r="I915" i="15"/>
  <c r="J914" i="15"/>
  <c r="I914" i="15"/>
  <c r="J913" i="15"/>
  <c r="K913" i="15" s="1"/>
  <c r="I913" i="15"/>
  <c r="J912" i="15"/>
  <c r="K912" i="15" s="1"/>
  <c r="I912" i="15"/>
  <c r="J911" i="15"/>
  <c r="I911" i="15"/>
  <c r="K910" i="15"/>
  <c r="J910" i="15"/>
  <c r="I910" i="15"/>
  <c r="J909" i="15"/>
  <c r="I909" i="15"/>
  <c r="J908" i="15"/>
  <c r="I908" i="15"/>
  <c r="J907" i="15"/>
  <c r="I907" i="15"/>
  <c r="J906" i="15"/>
  <c r="I906" i="15"/>
  <c r="J905" i="15"/>
  <c r="I905" i="15"/>
  <c r="K905" i="15" s="1"/>
  <c r="J904" i="15"/>
  <c r="K904" i="15" s="1"/>
  <c r="I904" i="15"/>
  <c r="J903" i="15"/>
  <c r="I903" i="15"/>
  <c r="J902" i="15"/>
  <c r="I902" i="15"/>
  <c r="J901" i="15"/>
  <c r="I901" i="15"/>
  <c r="J900" i="15"/>
  <c r="I900" i="15"/>
  <c r="J899" i="15"/>
  <c r="I899" i="15"/>
  <c r="J898" i="15"/>
  <c r="K898" i="15" s="1"/>
  <c r="I898" i="15"/>
  <c r="J897" i="15"/>
  <c r="I897" i="15"/>
  <c r="J896" i="15"/>
  <c r="I896" i="15"/>
  <c r="J895" i="15"/>
  <c r="I895" i="15"/>
  <c r="J894" i="15"/>
  <c r="I894" i="15"/>
  <c r="J893" i="15"/>
  <c r="I893" i="15"/>
  <c r="K893" i="15" s="1"/>
  <c r="J892" i="15"/>
  <c r="K892" i="15" s="1"/>
  <c r="I892" i="15"/>
  <c r="J891" i="15"/>
  <c r="I891" i="15"/>
  <c r="J890" i="15"/>
  <c r="K890" i="15" s="1"/>
  <c r="I890" i="15"/>
  <c r="J889" i="15"/>
  <c r="I889" i="15"/>
  <c r="J888" i="15"/>
  <c r="I888" i="15"/>
  <c r="J887" i="15"/>
  <c r="K887" i="15" s="1"/>
  <c r="I887" i="15"/>
  <c r="J886" i="15"/>
  <c r="K886" i="15" s="1"/>
  <c r="I886" i="15"/>
  <c r="J885" i="15"/>
  <c r="I885" i="15"/>
  <c r="J884" i="15"/>
  <c r="K884" i="15" s="1"/>
  <c r="I884" i="15"/>
  <c r="J883" i="15"/>
  <c r="I883" i="15"/>
  <c r="J882" i="15"/>
  <c r="I882" i="15"/>
  <c r="J881" i="15"/>
  <c r="K881" i="15" s="1"/>
  <c r="I881" i="15"/>
  <c r="J880" i="15"/>
  <c r="K880" i="15" s="1"/>
  <c r="I880" i="15"/>
  <c r="J879" i="15"/>
  <c r="I879" i="15"/>
  <c r="J878" i="15"/>
  <c r="K878" i="15" s="1"/>
  <c r="I878" i="15"/>
  <c r="J877" i="15"/>
  <c r="I877" i="15"/>
  <c r="J876" i="15"/>
  <c r="I876" i="15"/>
  <c r="J875" i="15"/>
  <c r="K875" i="15" s="1"/>
  <c r="I875" i="15"/>
  <c r="J874" i="15"/>
  <c r="K874" i="15" s="1"/>
  <c r="I874" i="15"/>
  <c r="J873" i="15"/>
  <c r="K873" i="15" s="1"/>
  <c r="I873" i="15"/>
  <c r="J872" i="15"/>
  <c r="I872" i="15"/>
  <c r="K872" i="15" s="1"/>
  <c r="J871" i="15"/>
  <c r="I871" i="15"/>
  <c r="J870" i="15"/>
  <c r="I870" i="15"/>
  <c r="J869" i="15"/>
  <c r="I869" i="15"/>
  <c r="J868" i="15"/>
  <c r="I868" i="15"/>
  <c r="J867" i="15"/>
  <c r="I867" i="15"/>
  <c r="J866" i="15"/>
  <c r="I866" i="15"/>
  <c r="J865" i="15"/>
  <c r="I865" i="15"/>
  <c r="J864" i="15"/>
  <c r="I864" i="15"/>
  <c r="K863" i="15"/>
  <c r="J863" i="15"/>
  <c r="I863" i="15"/>
  <c r="J862" i="15"/>
  <c r="I862" i="15"/>
  <c r="J861" i="15"/>
  <c r="I861" i="15"/>
  <c r="J860" i="15"/>
  <c r="I860" i="15"/>
  <c r="J859" i="15"/>
  <c r="I859" i="15"/>
  <c r="J858" i="15"/>
  <c r="K858" i="15" s="1"/>
  <c r="I858" i="15"/>
  <c r="J857" i="15"/>
  <c r="I857" i="15"/>
  <c r="J856" i="15"/>
  <c r="I856" i="15"/>
  <c r="J855" i="15"/>
  <c r="K855" i="15" s="1"/>
  <c r="I855" i="15"/>
  <c r="J854" i="15"/>
  <c r="I854" i="15"/>
  <c r="J853" i="15"/>
  <c r="I853" i="15"/>
  <c r="J852" i="15"/>
  <c r="K852" i="15" s="1"/>
  <c r="I852" i="15"/>
  <c r="J851" i="15"/>
  <c r="I851" i="15"/>
  <c r="J850" i="15"/>
  <c r="K850" i="15" s="1"/>
  <c r="I850" i="15"/>
  <c r="J849" i="15"/>
  <c r="I849" i="15"/>
  <c r="J848" i="15"/>
  <c r="I848" i="15"/>
  <c r="J847" i="15"/>
  <c r="I847" i="15"/>
  <c r="J846" i="15"/>
  <c r="I846" i="15"/>
  <c r="J845" i="15"/>
  <c r="I845" i="15"/>
  <c r="J844" i="15"/>
  <c r="K844" i="15" s="1"/>
  <c r="I844" i="15"/>
  <c r="J843" i="15"/>
  <c r="I843" i="15"/>
  <c r="J842" i="15"/>
  <c r="I842" i="15"/>
  <c r="J841" i="15"/>
  <c r="I841" i="15"/>
  <c r="J840" i="15"/>
  <c r="I840" i="15"/>
  <c r="J839" i="15"/>
  <c r="I839" i="15"/>
  <c r="J838" i="15"/>
  <c r="K838" i="15" s="1"/>
  <c r="I838" i="15"/>
  <c r="J837" i="15"/>
  <c r="K837" i="15" s="1"/>
  <c r="I837" i="15"/>
  <c r="J836" i="15"/>
  <c r="I836" i="15"/>
  <c r="K836" i="15" s="1"/>
  <c r="J835" i="15"/>
  <c r="K835" i="15" s="1"/>
  <c r="I835" i="15"/>
  <c r="J834" i="15"/>
  <c r="I834" i="15"/>
  <c r="J833" i="15"/>
  <c r="K833" i="15" s="1"/>
  <c r="I833" i="15"/>
  <c r="J832" i="15"/>
  <c r="K832" i="15" s="1"/>
  <c r="I832" i="15"/>
  <c r="J831" i="15"/>
  <c r="K831" i="15" s="1"/>
  <c r="I831" i="15"/>
  <c r="J830" i="15"/>
  <c r="I830" i="15"/>
  <c r="J829" i="15"/>
  <c r="I829" i="15"/>
  <c r="J828" i="15"/>
  <c r="I828" i="15"/>
  <c r="K827" i="15"/>
  <c r="J827" i="15"/>
  <c r="I827" i="15"/>
  <c r="J826" i="15"/>
  <c r="I826" i="15"/>
  <c r="J825" i="15"/>
  <c r="I825" i="15"/>
  <c r="J824" i="15"/>
  <c r="K824" i="15" s="1"/>
  <c r="I824" i="15"/>
  <c r="J823" i="15"/>
  <c r="I823" i="15"/>
  <c r="J822" i="15"/>
  <c r="I822" i="15"/>
  <c r="J821" i="15"/>
  <c r="I821" i="15"/>
  <c r="J820" i="15"/>
  <c r="I820" i="15"/>
  <c r="J819" i="15"/>
  <c r="I819" i="15"/>
  <c r="J818" i="15"/>
  <c r="I818" i="15"/>
  <c r="J817" i="15"/>
  <c r="I817" i="15"/>
  <c r="J816" i="15"/>
  <c r="K816" i="15" s="1"/>
  <c r="I816" i="15"/>
  <c r="J815" i="15"/>
  <c r="K815" i="15" s="1"/>
  <c r="I815" i="15"/>
  <c r="J814" i="15"/>
  <c r="I814" i="15"/>
  <c r="J813" i="15"/>
  <c r="I813" i="15"/>
  <c r="K812" i="15"/>
  <c r="J812" i="15"/>
  <c r="I812" i="15"/>
  <c r="J811" i="15"/>
  <c r="I811" i="15"/>
  <c r="J810" i="15"/>
  <c r="K810" i="15" s="1"/>
  <c r="I810" i="15"/>
  <c r="J809" i="15"/>
  <c r="I809" i="15"/>
  <c r="J808" i="15"/>
  <c r="I808" i="15"/>
  <c r="J807" i="15"/>
  <c r="I807" i="15"/>
  <c r="J806" i="15"/>
  <c r="I806" i="15"/>
  <c r="J805" i="15"/>
  <c r="I805" i="15"/>
  <c r="J804" i="15"/>
  <c r="I804" i="15"/>
  <c r="J803" i="15"/>
  <c r="K803" i="15" s="1"/>
  <c r="I803" i="15"/>
  <c r="J802" i="15"/>
  <c r="I802" i="15"/>
  <c r="J801" i="15"/>
  <c r="K801" i="15" s="1"/>
  <c r="I801" i="15"/>
  <c r="J800" i="15"/>
  <c r="I800" i="15"/>
  <c r="K800" i="15" s="1"/>
  <c r="J799" i="15"/>
  <c r="I799" i="15"/>
  <c r="J798" i="15"/>
  <c r="I798" i="15"/>
  <c r="J797" i="15"/>
  <c r="I797" i="15"/>
  <c r="J796" i="15"/>
  <c r="I796" i="15"/>
  <c r="J795" i="15"/>
  <c r="I795" i="15"/>
  <c r="J794" i="15"/>
  <c r="I794" i="15"/>
  <c r="J793" i="15"/>
  <c r="I793" i="15"/>
  <c r="J792" i="15"/>
  <c r="I792" i="15"/>
  <c r="K792" i="15" s="1"/>
  <c r="J791" i="15"/>
  <c r="K791" i="15" s="1"/>
  <c r="I791" i="15"/>
  <c r="J790" i="15"/>
  <c r="I790" i="15"/>
  <c r="J789" i="15"/>
  <c r="I789" i="15"/>
  <c r="J788" i="15"/>
  <c r="K788" i="15" s="1"/>
  <c r="I788" i="15"/>
  <c r="J787" i="15"/>
  <c r="I787" i="15"/>
  <c r="J786" i="15"/>
  <c r="I786" i="15"/>
  <c r="J785" i="15"/>
  <c r="K785" i="15" s="1"/>
  <c r="I785" i="15"/>
  <c r="J784" i="15"/>
  <c r="I784" i="15"/>
  <c r="J783" i="15"/>
  <c r="I783" i="15"/>
  <c r="J782" i="15"/>
  <c r="K782" i="15" s="1"/>
  <c r="I782" i="15"/>
  <c r="J781" i="15"/>
  <c r="I781" i="15"/>
  <c r="J780" i="15"/>
  <c r="K780" i="15" s="1"/>
  <c r="I780" i="15"/>
  <c r="J779" i="15"/>
  <c r="K779" i="15" s="1"/>
  <c r="I779" i="15"/>
  <c r="J778" i="15"/>
  <c r="I778" i="15"/>
  <c r="J777" i="15"/>
  <c r="I777" i="15"/>
  <c r="J776" i="15"/>
  <c r="K776" i="15" s="1"/>
  <c r="I776" i="15"/>
  <c r="J775" i="15"/>
  <c r="I775" i="15"/>
  <c r="J774" i="15"/>
  <c r="I774" i="15"/>
  <c r="J773" i="15"/>
  <c r="I773" i="15"/>
  <c r="J772" i="15"/>
  <c r="I772" i="15"/>
  <c r="J771" i="15"/>
  <c r="K771" i="15" s="1"/>
  <c r="I771" i="15"/>
  <c r="J770" i="15"/>
  <c r="I770" i="15"/>
  <c r="J769" i="15"/>
  <c r="K769" i="15" s="1"/>
  <c r="I769" i="15"/>
  <c r="J768" i="15"/>
  <c r="K768" i="15" s="1"/>
  <c r="I768" i="15"/>
  <c r="J767" i="15"/>
  <c r="K767" i="15" s="1"/>
  <c r="I767" i="15"/>
  <c r="J766" i="15"/>
  <c r="I766" i="15"/>
  <c r="J765" i="15"/>
  <c r="K765" i="15" s="1"/>
  <c r="I765" i="15"/>
  <c r="J764" i="15"/>
  <c r="I764" i="15"/>
  <c r="K764" i="15" s="1"/>
  <c r="J763" i="15"/>
  <c r="I763" i="15"/>
  <c r="J762" i="15"/>
  <c r="I762" i="15"/>
  <c r="J761" i="15"/>
  <c r="K761" i="15" s="1"/>
  <c r="I761" i="15"/>
  <c r="J760" i="15"/>
  <c r="I760" i="15"/>
  <c r="J759" i="15"/>
  <c r="K759" i="15" s="1"/>
  <c r="I759" i="15"/>
  <c r="J758" i="15"/>
  <c r="I758" i="15"/>
  <c r="J757" i="15"/>
  <c r="I757" i="15"/>
  <c r="J756" i="15"/>
  <c r="I756" i="15"/>
  <c r="J755" i="15"/>
  <c r="I755" i="15"/>
  <c r="J754" i="15"/>
  <c r="I754" i="15"/>
  <c r="J753" i="15"/>
  <c r="K753" i="15" s="1"/>
  <c r="I753" i="15"/>
  <c r="J752" i="15"/>
  <c r="I752" i="15"/>
  <c r="K752" i="15" s="1"/>
  <c r="J751" i="15"/>
  <c r="I751" i="15"/>
  <c r="J750" i="15"/>
  <c r="I750" i="15"/>
  <c r="J749" i="15"/>
  <c r="K749" i="15" s="1"/>
  <c r="I749" i="15"/>
  <c r="J748" i="15"/>
  <c r="I748" i="15"/>
  <c r="J747" i="15"/>
  <c r="K747" i="15" s="1"/>
  <c r="I747" i="15"/>
  <c r="J746" i="15"/>
  <c r="I746" i="15"/>
  <c r="J745" i="15"/>
  <c r="I745" i="15"/>
  <c r="J744" i="15"/>
  <c r="I744" i="15"/>
  <c r="J743" i="15"/>
  <c r="I743" i="15"/>
  <c r="J742" i="15"/>
  <c r="I742" i="15"/>
  <c r="J741" i="15"/>
  <c r="I741" i="15"/>
  <c r="J740" i="15"/>
  <c r="K740" i="15" s="1"/>
  <c r="I740" i="15"/>
  <c r="J739" i="15"/>
  <c r="I739" i="15"/>
  <c r="K739" i="15" s="1"/>
  <c r="J738" i="15"/>
  <c r="K738" i="15" s="1"/>
  <c r="I738" i="15"/>
  <c r="J737" i="15"/>
  <c r="I737" i="15"/>
  <c r="J736" i="15"/>
  <c r="I736" i="15"/>
  <c r="J735" i="15"/>
  <c r="I735" i="15"/>
  <c r="J734" i="15"/>
  <c r="K734" i="15" s="1"/>
  <c r="I734" i="15"/>
  <c r="J733" i="15"/>
  <c r="I733" i="15"/>
  <c r="J732" i="15"/>
  <c r="I732" i="15"/>
  <c r="J731" i="15"/>
  <c r="K731" i="15" s="1"/>
  <c r="I731" i="15"/>
  <c r="J730" i="15"/>
  <c r="I730" i="15"/>
  <c r="J729" i="15"/>
  <c r="I729" i="15"/>
  <c r="J728" i="15"/>
  <c r="K728" i="15" s="1"/>
  <c r="I728" i="15"/>
  <c r="J727" i="15"/>
  <c r="K727" i="15" s="1"/>
  <c r="I727" i="15"/>
  <c r="J726" i="15"/>
  <c r="I726" i="15"/>
  <c r="J725" i="15"/>
  <c r="K725" i="15" s="1"/>
  <c r="I725" i="15"/>
  <c r="J724" i="15"/>
  <c r="I724" i="15"/>
  <c r="J723" i="15"/>
  <c r="K723" i="15" s="1"/>
  <c r="I723" i="15"/>
  <c r="J722" i="15"/>
  <c r="I722" i="15"/>
  <c r="J721" i="15"/>
  <c r="I721" i="15"/>
  <c r="J720" i="15"/>
  <c r="I720" i="15"/>
  <c r="J719" i="15"/>
  <c r="I719" i="15"/>
  <c r="J718" i="15"/>
  <c r="I718" i="15"/>
  <c r="K718" i="15" s="1"/>
  <c r="J717" i="15"/>
  <c r="I717" i="15"/>
  <c r="J716" i="15"/>
  <c r="I716" i="15"/>
  <c r="J715" i="15"/>
  <c r="K715" i="15" s="1"/>
  <c r="I715" i="15"/>
  <c r="J714" i="15"/>
  <c r="I714" i="15"/>
  <c r="J713" i="15"/>
  <c r="I713" i="15"/>
  <c r="J712" i="15"/>
  <c r="I712" i="15"/>
  <c r="K712" i="15" s="1"/>
  <c r="J711" i="15"/>
  <c r="I711" i="15"/>
  <c r="J710" i="15"/>
  <c r="I710" i="15"/>
  <c r="J709" i="15"/>
  <c r="K709" i="15" s="1"/>
  <c r="I709" i="15"/>
  <c r="J708" i="15"/>
  <c r="I708" i="15"/>
  <c r="J707" i="15"/>
  <c r="K707" i="15" s="1"/>
  <c r="I707" i="15"/>
  <c r="J706" i="15"/>
  <c r="I706" i="15"/>
  <c r="J705" i="15"/>
  <c r="I705" i="15"/>
  <c r="J704" i="15"/>
  <c r="I704" i="15"/>
  <c r="J703" i="15"/>
  <c r="I703" i="15"/>
  <c r="J702" i="15"/>
  <c r="I702" i="15"/>
  <c r="K702" i="15" s="1"/>
  <c r="J701" i="15"/>
  <c r="I701" i="15"/>
  <c r="J700" i="15"/>
  <c r="I700" i="15"/>
  <c r="J699" i="15"/>
  <c r="I699" i="15"/>
  <c r="K699" i="15" s="1"/>
  <c r="J698" i="15"/>
  <c r="I698" i="15"/>
  <c r="K698" i="15" s="1"/>
  <c r="J697" i="15"/>
  <c r="I697" i="15"/>
  <c r="J696" i="15"/>
  <c r="I696" i="15"/>
  <c r="J695" i="15"/>
  <c r="I695" i="15"/>
  <c r="J694" i="15"/>
  <c r="K694" i="15" s="1"/>
  <c r="I694" i="15"/>
  <c r="J693" i="15"/>
  <c r="I693" i="15"/>
  <c r="J692" i="15"/>
  <c r="I692" i="15"/>
  <c r="J691" i="15"/>
  <c r="I691" i="15"/>
  <c r="J690" i="15"/>
  <c r="K690" i="15" s="1"/>
  <c r="I690" i="15"/>
  <c r="J689" i="15"/>
  <c r="I689" i="15"/>
  <c r="J688" i="15"/>
  <c r="K688" i="15" s="1"/>
  <c r="I688" i="15"/>
  <c r="J687" i="15"/>
  <c r="I687" i="15"/>
  <c r="J686" i="15"/>
  <c r="I686" i="15"/>
  <c r="J685" i="15"/>
  <c r="K685" i="15" s="1"/>
  <c r="I685" i="15"/>
  <c r="J684" i="15"/>
  <c r="I684" i="15"/>
  <c r="J683" i="15"/>
  <c r="K683" i="15" s="1"/>
  <c r="I683" i="15"/>
  <c r="J682" i="15"/>
  <c r="K682" i="15" s="1"/>
  <c r="I682" i="15"/>
  <c r="J681" i="15"/>
  <c r="I681" i="15"/>
  <c r="J680" i="15"/>
  <c r="K680" i="15" s="1"/>
  <c r="I680" i="15"/>
  <c r="J679" i="15"/>
  <c r="I679" i="15"/>
  <c r="K678" i="15"/>
  <c r="J678" i="15"/>
  <c r="I678" i="15"/>
  <c r="J677" i="15"/>
  <c r="I677" i="15"/>
  <c r="J676" i="15"/>
  <c r="I676" i="15"/>
  <c r="J675" i="15"/>
  <c r="K675" i="15" s="1"/>
  <c r="I675" i="15"/>
  <c r="J674" i="15"/>
  <c r="I674" i="15"/>
  <c r="J673" i="15"/>
  <c r="K673" i="15" s="1"/>
  <c r="I673" i="15"/>
  <c r="J672" i="15"/>
  <c r="K672" i="15" s="1"/>
  <c r="I672" i="15"/>
  <c r="J671" i="15"/>
  <c r="K671" i="15" s="1"/>
  <c r="I671" i="15"/>
  <c r="J670" i="15"/>
  <c r="K670" i="15" s="1"/>
  <c r="I670" i="15"/>
  <c r="J669" i="15"/>
  <c r="I669" i="15"/>
  <c r="J668" i="15"/>
  <c r="I668" i="15"/>
  <c r="J667" i="15"/>
  <c r="K667" i="15" s="1"/>
  <c r="I667" i="15"/>
  <c r="J666" i="15"/>
  <c r="I666" i="15"/>
  <c r="J665" i="15"/>
  <c r="I665" i="15"/>
  <c r="J664" i="15"/>
  <c r="I664" i="15"/>
  <c r="K664" i="15" s="1"/>
  <c r="K663" i="15"/>
  <c r="J663" i="15"/>
  <c r="I663" i="15"/>
  <c r="J662" i="15"/>
  <c r="K662" i="15" s="1"/>
  <c r="I662" i="15"/>
  <c r="J661" i="15"/>
  <c r="I661" i="15"/>
  <c r="J660" i="15"/>
  <c r="I660" i="15"/>
  <c r="J659" i="15"/>
  <c r="I659" i="15"/>
  <c r="J658" i="15"/>
  <c r="K658" i="15" s="1"/>
  <c r="I658" i="15"/>
  <c r="J657" i="15"/>
  <c r="K657" i="15" s="1"/>
  <c r="I657" i="15"/>
  <c r="J656" i="15"/>
  <c r="K656" i="15" s="1"/>
  <c r="I656" i="15"/>
  <c r="J655" i="15"/>
  <c r="K655" i="15" s="1"/>
  <c r="I655" i="15"/>
  <c r="J654" i="15"/>
  <c r="I654" i="15"/>
  <c r="J653" i="15"/>
  <c r="I653" i="15"/>
  <c r="J652" i="15"/>
  <c r="I652" i="15"/>
  <c r="J651" i="15"/>
  <c r="K651" i="15" s="1"/>
  <c r="I651" i="15"/>
  <c r="J650" i="15"/>
  <c r="I650" i="15"/>
  <c r="J649" i="15"/>
  <c r="I649" i="15"/>
  <c r="J648" i="15"/>
  <c r="I648" i="15"/>
  <c r="J647" i="15"/>
  <c r="I647" i="15"/>
  <c r="J646" i="15"/>
  <c r="K646" i="15" s="1"/>
  <c r="I646" i="15"/>
  <c r="J645" i="15"/>
  <c r="I645" i="15"/>
  <c r="J644" i="15"/>
  <c r="I644" i="15"/>
  <c r="J643" i="15"/>
  <c r="K643" i="15" s="1"/>
  <c r="I643" i="15"/>
  <c r="J642" i="15"/>
  <c r="K642" i="15" s="1"/>
  <c r="I642" i="15"/>
  <c r="J641" i="15"/>
  <c r="I641" i="15"/>
  <c r="J640" i="15"/>
  <c r="I640" i="15"/>
  <c r="J639" i="15"/>
  <c r="I639" i="15"/>
  <c r="J638" i="15"/>
  <c r="K638" i="15" s="1"/>
  <c r="I638" i="15"/>
  <c r="J637" i="15"/>
  <c r="I637" i="15"/>
  <c r="J636" i="15"/>
  <c r="I636" i="15"/>
  <c r="J635" i="15"/>
  <c r="I635" i="15"/>
  <c r="J634" i="15"/>
  <c r="I634" i="15"/>
  <c r="J633" i="15"/>
  <c r="K633" i="15" s="1"/>
  <c r="I633" i="15"/>
  <c r="J632" i="15"/>
  <c r="K632" i="15" s="1"/>
  <c r="I632" i="15"/>
  <c r="J631" i="15"/>
  <c r="I631" i="15"/>
  <c r="J630" i="15"/>
  <c r="I630" i="15"/>
  <c r="J629" i="15"/>
  <c r="I629" i="15"/>
  <c r="J628" i="15"/>
  <c r="K628" i="15" s="1"/>
  <c r="I628" i="15"/>
  <c r="J627" i="15"/>
  <c r="K627" i="15" s="1"/>
  <c r="I627" i="15"/>
  <c r="J626" i="15"/>
  <c r="I626" i="15"/>
  <c r="J625" i="15"/>
  <c r="I625" i="15"/>
  <c r="J624" i="15"/>
  <c r="I624" i="15"/>
  <c r="J623" i="15"/>
  <c r="I623" i="15"/>
  <c r="J622" i="15"/>
  <c r="K622" i="15" s="1"/>
  <c r="I622" i="15"/>
  <c r="J621" i="15"/>
  <c r="K621" i="15" s="1"/>
  <c r="I621" i="15"/>
  <c r="J620" i="15"/>
  <c r="I620" i="15"/>
  <c r="J619" i="15"/>
  <c r="I619" i="15"/>
  <c r="J618" i="15"/>
  <c r="I618" i="15"/>
  <c r="J617" i="15"/>
  <c r="I617" i="15"/>
  <c r="J616" i="15"/>
  <c r="I616" i="15"/>
  <c r="J615" i="15"/>
  <c r="I615" i="15"/>
  <c r="K614" i="15"/>
  <c r="J614" i="15"/>
  <c r="I614" i="15"/>
  <c r="J613" i="15"/>
  <c r="I613" i="15"/>
  <c r="J612" i="15"/>
  <c r="I612" i="15"/>
  <c r="J611" i="15"/>
  <c r="I611" i="15"/>
  <c r="J610" i="15"/>
  <c r="K610" i="15" s="1"/>
  <c r="I610" i="15"/>
  <c r="J609" i="15"/>
  <c r="I609" i="15"/>
  <c r="J608" i="15"/>
  <c r="I608" i="15"/>
  <c r="J607" i="15"/>
  <c r="I607" i="15"/>
  <c r="J606" i="15"/>
  <c r="I606" i="15"/>
  <c r="K606" i="15" s="1"/>
  <c r="J605" i="15"/>
  <c r="I605" i="15"/>
  <c r="J604" i="15"/>
  <c r="K604" i="15" s="1"/>
  <c r="I604" i="15"/>
  <c r="J603" i="15"/>
  <c r="I603" i="15"/>
  <c r="J602" i="15"/>
  <c r="I602" i="15"/>
  <c r="J601" i="15"/>
  <c r="I601" i="15"/>
  <c r="K601" i="15" s="1"/>
  <c r="J600" i="15"/>
  <c r="I600" i="15"/>
  <c r="J599" i="15"/>
  <c r="I599" i="15"/>
  <c r="J598" i="15"/>
  <c r="K598" i="15" s="1"/>
  <c r="I598" i="15"/>
  <c r="J597" i="15"/>
  <c r="I597" i="15"/>
  <c r="K596" i="15"/>
  <c r="J596" i="15"/>
  <c r="I596" i="15"/>
  <c r="J595" i="15"/>
  <c r="K595" i="15" s="1"/>
  <c r="I595" i="15"/>
  <c r="J594" i="15"/>
  <c r="I594" i="15"/>
  <c r="J593" i="15"/>
  <c r="K593" i="15" s="1"/>
  <c r="I593" i="15"/>
  <c r="J592" i="15"/>
  <c r="I592" i="15"/>
  <c r="J591" i="15"/>
  <c r="K591" i="15" s="1"/>
  <c r="I591" i="15"/>
  <c r="J590" i="15"/>
  <c r="I590" i="15"/>
  <c r="K590" i="15" s="1"/>
  <c r="J589" i="15"/>
  <c r="K589" i="15" s="1"/>
  <c r="I589" i="15"/>
  <c r="J588" i="15"/>
  <c r="I588" i="15"/>
  <c r="J587" i="15"/>
  <c r="I587" i="15"/>
  <c r="K586" i="15"/>
  <c r="J586" i="15"/>
  <c r="I586" i="15"/>
  <c r="J585" i="15"/>
  <c r="I585" i="15"/>
  <c r="J584" i="15"/>
  <c r="I584" i="15"/>
  <c r="J583" i="15"/>
  <c r="I583" i="15"/>
  <c r="K582" i="15"/>
  <c r="J582" i="15"/>
  <c r="I582" i="15"/>
  <c r="J581" i="15"/>
  <c r="I581" i="15"/>
  <c r="J580" i="15"/>
  <c r="I580" i="15"/>
  <c r="J579" i="15"/>
  <c r="K579" i="15" s="1"/>
  <c r="I579" i="15"/>
  <c r="J578" i="15"/>
  <c r="K578" i="15" s="1"/>
  <c r="I578" i="15"/>
  <c r="J577" i="15"/>
  <c r="I577" i="15"/>
  <c r="J576" i="15"/>
  <c r="I576" i="15"/>
  <c r="J575" i="15"/>
  <c r="I575" i="15"/>
  <c r="J574" i="15"/>
  <c r="I574" i="15"/>
  <c r="K574" i="15" s="1"/>
  <c r="J573" i="15"/>
  <c r="I573" i="15"/>
  <c r="J572" i="15"/>
  <c r="I572" i="15"/>
  <c r="J571" i="15"/>
  <c r="K571" i="15" s="1"/>
  <c r="I571" i="15"/>
  <c r="J570" i="15"/>
  <c r="I570" i="15"/>
  <c r="J569" i="15"/>
  <c r="I569" i="15"/>
  <c r="J568" i="15"/>
  <c r="I568" i="15"/>
  <c r="J567" i="15"/>
  <c r="I567" i="15"/>
  <c r="J566" i="15"/>
  <c r="I566" i="15"/>
  <c r="J565" i="15"/>
  <c r="I565" i="15"/>
  <c r="J564" i="15"/>
  <c r="I564" i="15"/>
  <c r="J563" i="15"/>
  <c r="I563" i="15"/>
  <c r="J562" i="15"/>
  <c r="I562" i="15"/>
  <c r="J561" i="15"/>
  <c r="I561" i="15"/>
  <c r="J560" i="15"/>
  <c r="I560" i="15"/>
  <c r="K560" i="15" s="1"/>
  <c r="J559" i="15"/>
  <c r="K559" i="15" s="1"/>
  <c r="I559" i="15"/>
  <c r="J558" i="15"/>
  <c r="I558" i="15"/>
  <c r="J557" i="15"/>
  <c r="K557" i="15" s="1"/>
  <c r="I557" i="15"/>
  <c r="J556" i="15"/>
  <c r="I556" i="15"/>
  <c r="J555" i="15"/>
  <c r="I555" i="15"/>
  <c r="J554" i="15"/>
  <c r="I554" i="15"/>
  <c r="K554" i="15" s="1"/>
  <c r="J553" i="15"/>
  <c r="K553" i="15" s="1"/>
  <c r="I553" i="15"/>
  <c r="J552" i="15"/>
  <c r="I552" i="15"/>
  <c r="J551" i="15"/>
  <c r="K551" i="15" s="1"/>
  <c r="I551" i="15"/>
  <c r="J550" i="15"/>
  <c r="I550" i="15"/>
  <c r="J549" i="15"/>
  <c r="I549" i="15"/>
  <c r="J548" i="15"/>
  <c r="I548" i="15"/>
  <c r="J547" i="15"/>
  <c r="K547" i="15" s="1"/>
  <c r="I547" i="15"/>
  <c r="J546" i="15"/>
  <c r="I546" i="15"/>
  <c r="J545" i="15"/>
  <c r="I545" i="15"/>
  <c r="J544" i="15"/>
  <c r="K544" i="15" s="1"/>
  <c r="I544" i="15"/>
  <c r="J543" i="15"/>
  <c r="I543" i="15"/>
  <c r="K543" i="15" s="1"/>
  <c r="J542" i="15"/>
  <c r="I542" i="15"/>
  <c r="J541" i="15"/>
  <c r="I541" i="15"/>
  <c r="J540" i="15"/>
  <c r="I540" i="15"/>
  <c r="J539" i="15"/>
  <c r="K539" i="15" s="1"/>
  <c r="I539" i="15"/>
  <c r="J538" i="15"/>
  <c r="K538" i="15" s="1"/>
  <c r="I538" i="15"/>
  <c r="J537" i="15"/>
  <c r="I537" i="15"/>
  <c r="J536" i="15"/>
  <c r="I536" i="15"/>
  <c r="J535" i="15"/>
  <c r="K535" i="15" s="1"/>
  <c r="I535" i="15"/>
  <c r="J534" i="15"/>
  <c r="I534" i="15"/>
  <c r="J533" i="15"/>
  <c r="K533" i="15" s="1"/>
  <c r="I533" i="15"/>
  <c r="J532" i="15"/>
  <c r="K532" i="15" s="1"/>
  <c r="I532" i="15"/>
  <c r="J531" i="15"/>
  <c r="I531" i="15"/>
  <c r="J530" i="15"/>
  <c r="I530" i="15"/>
  <c r="J529" i="15"/>
  <c r="K529" i="15" s="1"/>
  <c r="I529" i="15"/>
  <c r="J528" i="15"/>
  <c r="I528" i="15"/>
  <c r="J527" i="15"/>
  <c r="I527" i="15"/>
  <c r="J526" i="15"/>
  <c r="I526" i="15"/>
  <c r="J525" i="15"/>
  <c r="I525" i="15"/>
  <c r="J524" i="15"/>
  <c r="K524" i="15" s="1"/>
  <c r="I524" i="15"/>
  <c r="J523" i="15"/>
  <c r="I523" i="15"/>
  <c r="J522" i="15"/>
  <c r="I522" i="15"/>
  <c r="J521" i="15"/>
  <c r="I521" i="15"/>
  <c r="J520" i="15"/>
  <c r="K520" i="15" s="1"/>
  <c r="I520" i="15"/>
  <c r="J519" i="15"/>
  <c r="K519" i="15" s="1"/>
  <c r="I519" i="15"/>
  <c r="J518" i="15"/>
  <c r="I518" i="15"/>
  <c r="J517" i="15"/>
  <c r="I517" i="15"/>
  <c r="K517" i="15" s="1"/>
  <c r="J516" i="15"/>
  <c r="I516" i="15"/>
  <c r="J515" i="15"/>
  <c r="I515" i="15"/>
  <c r="J514" i="15"/>
  <c r="K514" i="15" s="1"/>
  <c r="I514" i="15"/>
  <c r="J513" i="15"/>
  <c r="I513" i="15"/>
  <c r="J512" i="15"/>
  <c r="I512" i="15"/>
  <c r="K511" i="15"/>
  <c r="J511" i="15"/>
  <c r="I511" i="15"/>
  <c r="J510" i="15"/>
  <c r="I510" i="15"/>
  <c r="J509" i="15"/>
  <c r="I509" i="15"/>
  <c r="J508" i="15"/>
  <c r="K508" i="15" s="1"/>
  <c r="I508" i="15"/>
  <c r="J507" i="15"/>
  <c r="I507" i="15"/>
  <c r="J506" i="15"/>
  <c r="I506" i="15"/>
  <c r="J505" i="15"/>
  <c r="I505" i="15"/>
  <c r="J504" i="15"/>
  <c r="K504" i="15" s="1"/>
  <c r="I504" i="15"/>
  <c r="J503" i="15"/>
  <c r="I503" i="15"/>
  <c r="J502" i="15"/>
  <c r="K502" i="15" s="1"/>
  <c r="I502" i="15"/>
  <c r="J501" i="15"/>
  <c r="K501" i="15" s="1"/>
  <c r="I501" i="15"/>
  <c r="J500" i="15"/>
  <c r="I500" i="15"/>
  <c r="J499" i="15"/>
  <c r="I499" i="15"/>
  <c r="J498" i="15"/>
  <c r="I498" i="15"/>
  <c r="J497" i="15"/>
  <c r="I497" i="15"/>
  <c r="K496" i="15"/>
  <c r="J496" i="15"/>
  <c r="I496" i="15"/>
  <c r="J495" i="15"/>
  <c r="I495" i="15"/>
  <c r="J494" i="15"/>
  <c r="I494" i="15"/>
  <c r="J493" i="15"/>
  <c r="I493" i="15"/>
  <c r="K493" i="15" s="1"/>
  <c r="J492" i="15"/>
  <c r="I492" i="15"/>
  <c r="J491" i="15"/>
  <c r="I491" i="15"/>
  <c r="J490" i="15"/>
  <c r="K490" i="15" s="1"/>
  <c r="I490" i="15"/>
  <c r="J489" i="15"/>
  <c r="I489" i="15"/>
  <c r="K488" i="15"/>
  <c r="J488" i="15"/>
  <c r="I488" i="15"/>
  <c r="J487" i="15"/>
  <c r="I487" i="15"/>
  <c r="K487" i="15" s="1"/>
  <c r="J486" i="15"/>
  <c r="I486" i="15"/>
  <c r="K486" i="15" s="1"/>
  <c r="J485" i="15"/>
  <c r="I485" i="15"/>
  <c r="J484" i="15"/>
  <c r="K484" i="15" s="1"/>
  <c r="I484" i="15"/>
  <c r="J483" i="15"/>
  <c r="I483" i="15"/>
  <c r="J482" i="15"/>
  <c r="I482" i="15"/>
  <c r="J481" i="15"/>
  <c r="I481" i="15"/>
  <c r="J480" i="15"/>
  <c r="K480" i="15" s="1"/>
  <c r="I480" i="15"/>
  <c r="J479" i="15"/>
  <c r="K479" i="15" s="1"/>
  <c r="I479" i="15"/>
  <c r="J478" i="15"/>
  <c r="K478" i="15" s="1"/>
  <c r="I478" i="15"/>
  <c r="J477" i="15"/>
  <c r="I477" i="15"/>
  <c r="J476" i="15"/>
  <c r="I476" i="15"/>
  <c r="J475" i="15"/>
  <c r="I475" i="15"/>
  <c r="J474" i="15"/>
  <c r="K474" i="15" s="1"/>
  <c r="I474" i="15"/>
  <c r="J473" i="15"/>
  <c r="I473" i="15"/>
  <c r="K472" i="15"/>
  <c r="J472" i="15"/>
  <c r="I472" i="15"/>
  <c r="J471" i="15"/>
  <c r="K471" i="15" s="1"/>
  <c r="I471" i="15"/>
  <c r="J470" i="15"/>
  <c r="I470" i="15"/>
  <c r="K470" i="15" s="1"/>
  <c r="J469" i="15"/>
  <c r="I469" i="15"/>
  <c r="J468" i="15"/>
  <c r="I468" i="15"/>
  <c r="J467" i="15"/>
  <c r="I467" i="15"/>
  <c r="J466" i="15"/>
  <c r="I466" i="15"/>
  <c r="K466" i="15" s="1"/>
  <c r="J465" i="15"/>
  <c r="I465" i="15"/>
  <c r="J464" i="15"/>
  <c r="I464" i="15"/>
  <c r="J463" i="15"/>
  <c r="K463" i="15" s="1"/>
  <c r="I463" i="15"/>
  <c r="J462" i="15"/>
  <c r="I462" i="15"/>
  <c r="K462" i="15" s="1"/>
  <c r="J461" i="15"/>
  <c r="K461" i="15" s="1"/>
  <c r="I461" i="15"/>
  <c r="J460" i="15"/>
  <c r="I460" i="15"/>
  <c r="J459" i="15"/>
  <c r="I459" i="15"/>
  <c r="J458" i="15"/>
  <c r="I458" i="15"/>
  <c r="K458" i="15" s="1"/>
  <c r="J457" i="15"/>
  <c r="K457" i="15" s="1"/>
  <c r="I457" i="15"/>
  <c r="J456" i="15"/>
  <c r="I456" i="15"/>
  <c r="K455" i="15"/>
  <c r="J455" i="15"/>
  <c r="I455" i="15"/>
  <c r="J454" i="15"/>
  <c r="I454" i="15"/>
  <c r="J453" i="15"/>
  <c r="I453" i="15"/>
  <c r="J452" i="15"/>
  <c r="K452" i="15" s="1"/>
  <c r="I452" i="15"/>
  <c r="J451" i="15"/>
  <c r="I451" i="15"/>
  <c r="J450" i="15"/>
  <c r="K450" i="15" s="1"/>
  <c r="I450" i="15"/>
  <c r="J449" i="15"/>
  <c r="I449" i="15"/>
  <c r="J448" i="15"/>
  <c r="I448" i="15"/>
  <c r="K448" i="15" s="1"/>
  <c r="J447" i="15"/>
  <c r="K447" i="15" s="1"/>
  <c r="I447" i="15"/>
  <c r="J446" i="15"/>
  <c r="I446" i="15"/>
  <c r="J445" i="15"/>
  <c r="I445" i="15"/>
  <c r="J444" i="15"/>
  <c r="I444" i="15"/>
  <c r="J443" i="15"/>
  <c r="K443" i="15" s="1"/>
  <c r="I443" i="15"/>
  <c r="J442" i="15"/>
  <c r="K442" i="15" s="1"/>
  <c r="I442" i="15"/>
  <c r="J441" i="15"/>
  <c r="I441" i="15"/>
  <c r="J440" i="15"/>
  <c r="I440" i="15"/>
  <c r="K440" i="15" s="1"/>
  <c r="K439" i="15"/>
  <c r="J439" i="15"/>
  <c r="I439" i="15"/>
  <c r="J438" i="15"/>
  <c r="I438" i="15"/>
  <c r="J437" i="15"/>
  <c r="I437" i="15"/>
  <c r="J436" i="15"/>
  <c r="K436" i="15" s="1"/>
  <c r="I436" i="15"/>
  <c r="J435" i="15"/>
  <c r="I435" i="15"/>
  <c r="J434" i="15"/>
  <c r="I434" i="15"/>
  <c r="J433" i="15"/>
  <c r="I433" i="15"/>
  <c r="J432" i="15"/>
  <c r="I432" i="15"/>
  <c r="J431" i="15"/>
  <c r="I431" i="15"/>
  <c r="J430" i="15"/>
  <c r="K430" i="15" s="1"/>
  <c r="I430" i="15"/>
  <c r="J429" i="15"/>
  <c r="I429" i="15"/>
  <c r="J428" i="15"/>
  <c r="K428" i="15" s="1"/>
  <c r="I428" i="15"/>
  <c r="J427" i="15"/>
  <c r="K427" i="15" s="1"/>
  <c r="I427" i="15"/>
  <c r="J426" i="15"/>
  <c r="K426" i="15" s="1"/>
  <c r="I426" i="15"/>
  <c r="J425" i="15"/>
  <c r="I425" i="15"/>
  <c r="J424" i="15"/>
  <c r="I424" i="15"/>
  <c r="J423" i="15"/>
  <c r="K423" i="15" s="1"/>
  <c r="I423" i="15"/>
  <c r="J422" i="15"/>
  <c r="I422" i="15"/>
  <c r="J421" i="15"/>
  <c r="I421" i="15"/>
  <c r="J420" i="15"/>
  <c r="I420" i="15"/>
  <c r="J419" i="15"/>
  <c r="I419" i="15"/>
  <c r="K419" i="15" s="1"/>
  <c r="J418" i="15"/>
  <c r="I418" i="15"/>
  <c r="J417" i="15"/>
  <c r="I417" i="15"/>
  <c r="J416" i="15"/>
  <c r="I416" i="15"/>
  <c r="J415" i="15"/>
  <c r="I415" i="15"/>
  <c r="J414" i="15"/>
  <c r="I414" i="15"/>
  <c r="J413" i="15"/>
  <c r="I413" i="15"/>
  <c r="J412" i="15"/>
  <c r="K412" i="15" s="1"/>
  <c r="I412" i="15"/>
  <c r="J411" i="15"/>
  <c r="I411" i="15"/>
  <c r="J410" i="15"/>
  <c r="I410" i="15"/>
  <c r="J409" i="15"/>
  <c r="I409" i="15"/>
  <c r="J408" i="15"/>
  <c r="I408" i="15"/>
  <c r="K408" i="15" s="1"/>
  <c r="J407" i="15"/>
  <c r="I407" i="15"/>
  <c r="J406" i="15"/>
  <c r="I406" i="15"/>
  <c r="J405" i="15"/>
  <c r="I405" i="15"/>
  <c r="J404" i="15"/>
  <c r="I404" i="15"/>
  <c r="J403" i="15"/>
  <c r="K403" i="15" s="1"/>
  <c r="I403" i="15"/>
  <c r="J402" i="15"/>
  <c r="I402" i="15"/>
  <c r="J401" i="15"/>
  <c r="I401" i="15"/>
  <c r="J400" i="15"/>
  <c r="K400" i="15" s="1"/>
  <c r="I400" i="15"/>
  <c r="J399" i="15"/>
  <c r="I399" i="15"/>
  <c r="J398" i="15"/>
  <c r="I398" i="15"/>
  <c r="J397" i="15"/>
  <c r="I397" i="15"/>
  <c r="J396" i="15"/>
  <c r="I396" i="15"/>
  <c r="J395" i="15"/>
  <c r="I395" i="15"/>
  <c r="J394" i="15"/>
  <c r="K394" i="15" s="1"/>
  <c r="I394" i="15"/>
  <c r="J393" i="15"/>
  <c r="I393" i="15"/>
  <c r="J392" i="15"/>
  <c r="K392" i="15" s="1"/>
  <c r="I392" i="15"/>
  <c r="J391" i="15"/>
  <c r="K391" i="15" s="1"/>
  <c r="I391" i="15"/>
  <c r="J390" i="15"/>
  <c r="I390" i="15"/>
  <c r="J389" i="15"/>
  <c r="I389" i="15"/>
  <c r="J388" i="15"/>
  <c r="I388" i="15"/>
  <c r="J387" i="15"/>
  <c r="I387" i="15"/>
  <c r="K387" i="15" s="1"/>
  <c r="J386" i="15"/>
  <c r="K386" i="15" s="1"/>
  <c r="I386" i="15"/>
  <c r="J385" i="15"/>
  <c r="I385" i="15"/>
  <c r="K385" i="15" s="1"/>
  <c r="J384" i="15"/>
  <c r="I384" i="15"/>
  <c r="J383" i="15"/>
  <c r="I383" i="15"/>
  <c r="K383" i="15" s="1"/>
  <c r="J382" i="15"/>
  <c r="I382" i="15"/>
  <c r="J381" i="15"/>
  <c r="I381" i="15"/>
  <c r="J380" i="15"/>
  <c r="I380" i="15"/>
  <c r="J379" i="15"/>
  <c r="I379" i="15"/>
  <c r="J378" i="15"/>
  <c r="I378" i="15"/>
  <c r="K378" i="15" s="1"/>
  <c r="J377" i="15"/>
  <c r="I377" i="15"/>
  <c r="J376" i="15"/>
  <c r="K376" i="15" s="1"/>
  <c r="I376" i="15"/>
  <c r="J375" i="15"/>
  <c r="I375" i="15"/>
  <c r="J374" i="15"/>
  <c r="I374" i="15"/>
  <c r="J373" i="15"/>
  <c r="I373" i="15"/>
  <c r="J372" i="15"/>
  <c r="K372" i="15" s="1"/>
  <c r="I372" i="15"/>
  <c r="K371" i="15"/>
  <c r="J371" i="15"/>
  <c r="I371" i="15"/>
  <c r="J370" i="15"/>
  <c r="I370" i="15"/>
  <c r="J369" i="15"/>
  <c r="K369" i="15" s="1"/>
  <c r="I369" i="15"/>
  <c r="J368" i="15"/>
  <c r="I368" i="15"/>
  <c r="J367" i="15"/>
  <c r="I367" i="15"/>
  <c r="J366" i="15"/>
  <c r="I366" i="15"/>
  <c r="J365" i="15"/>
  <c r="I365" i="15"/>
  <c r="J364" i="15"/>
  <c r="I364" i="15"/>
  <c r="K363" i="15"/>
  <c r="J363" i="15"/>
  <c r="I363" i="15"/>
  <c r="J362" i="15"/>
  <c r="I362" i="15"/>
  <c r="K362" i="15" s="1"/>
  <c r="J361" i="15"/>
  <c r="I361" i="15"/>
  <c r="J360" i="15"/>
  <c r="K360" i="15" s="1"/>
  <c r="I360" i="15"/>
  <c r="J359" i="15"/>
  <c r="I359" i="15"/>
  <c r="J358" i="15"/>
  <c r="K358" i="15" s="1"/>
  <c r="I358" i="15"/>
  <c r="J357" i="15"/>
  <c r="K357" i="15" s="1"/>
  <c r="I357" i="15"/>
  <c r="J356" i="15"/>
  <c r="I356" i="15"/>
  <c r="J355" i="15"/>
  <c r="I355" i="15"/>
  <c r="J354" i="15"/>
  <c r="I354" i="15"/>
  <c r="J353" i="15"/>
  <c r="I353" i="15"/>
  <c r="J352" i="15"/>
  <c r="K352" i="15" s="1"/>
  <c r="I352" i="15"/>
  <c r="J351" i="15"/>
  <c r="I351" i="15"/>
  <c r="J350" i="15"/>
  <c r="I350" i="15"/>
  <c r="J349" i="15"/>
  <c r="I349" i="15"/>
  <c r="K349" i="15" s="1"/>
  <c r="K348" i="15"/>
  <c r="J348" i="15"/>
  <c r="I348" i="15"/>
  <c r="J347" i="15"/>
  <c r="K347" i="15" s="1"/>
  <c r="I347" i="15"/>
  <c r="J346" i="15"/>
  <c r="I346" i="15"/>
  <c r="J345" i="15"/>
  <c r="I345" i="15"/>
  <c r="J344" i="15"/>
  <c r="I344" i="15"/>
  <c r="J343" i="15"/>
  <c r="K343" i="15" s="1"/>
  <c r="I343" i="15"/>
  <c r="J342" i="15"/>
  <c r="K342" i="15" s="1"/>
  <c r="I342" i="15"/>
  <c r="J341" i="15"/>
  <c r="I341" i="15"/>
  <c r="J340" i="15"/>
  <c r="I340" i="15"/>
  <c r="J339" i="15"/>
  <c r="I339" i="15"/>
  <c r="J338" i="15"/>
  <c r="I338" i="15"/>
  <c r="K338" i="15" s="1"/>
  <c r="J337" i="15"/>
  <c r="I337" i="15"/>
  <c r="J336" i="15"/>
  <c r="K336" i="15" s="1"/>
  <c r="I336" i="15"/>
  <c r="J335" i="15"/>
  <c r="I335" i="15"/>
  <c r="J334" i="15"/>
  <c r="I334" i="15"/>
  <c r="J333" i="15"/>
  <c r="I333" i="15"/>
  <c r="J332" i="15"/>
  <c r="I332" i="15"/>
  <c r="J331" i="15"/>
  <c r="K331" i="15" s="1"/>
  <c r="I331" i="15"/>
  <c r="J330" i="15"/>
  <c r="I330" i="15"/>
  <c r="J329" i="15"/>
  <c r="I329" i="15"/>
  <c r="J328" i="15"/>
  <c r="I328" i="15"/>
  <c r="K328" i="15" s="1"/>
  <c r="J327" i="15"/>
  <c r="I327" i="15"/>
  <c r="J326" i="15"/>
  <c r="K326" i="15" s="1"/>
  <c r="I326" i="15"/>
  <c r="J325" i="15"/>
  <c r="I325" i="15"/>
  <c r="J324" i="15"/>
  <c r="K324" i="15" s="1"/>
  <c r="I324" i="15"/>
  <c r="J323" i="15"/>
  <c r="I323" i="15"/>
  <c r="K323" i="15" s="1"/>
  <c r="J322" i="15"/>
  <c r="I322" i="15"/>
  <c r="J321" i="15"/>
  <c r="I321" i="15"/>
  <c r="K321" i="15" s="1"/>
  <c r="J320" i="15"/>
  <c r="I320" i="15"/>
  <c r="J319" i="15"/>
  <c r="I319" i="15"/>
  <c r="J318" i="15"/>
  <c r="K318" i="15" s="1"/>
  <c r="I318" i="15"/>
  <c r="J317" i="15"/>
  <c r="I317" i="15"/>
  <c r="J316" i="15"/>
  <c r="I316" i="15"/>
  <c r="J315" i="15"/>
  <c r="I315" i="15"/>
  <c r="J314" i="15"/>
  <c r="K314" i="15" s="1"/>
  <c r="I314" i="15"/>
  <c r="J313" i="15"/>
  <c r="I313" i="15"/>
  <c r="K313" i="15" s="1"/>
  <c r="J312" i="15"/>
  <c r="I312" i="15"/>
  <c r="J311" i="15"/>
  <c r="I311" i="15"/>
  <c r="K311" i="15" s="1"/>
  <c r="J310" i="15"/>
  <c r="I310" i="15"/>
  <c r="J309" i="15"/>
  <c r="I309" i="15"/>
  <c r="J308" i="15"/>
  <c r="K308" i="15" s="1"/>
  <c r="I308" i="15"/>
  <c r="J307" i="15"/>
  <c r="I307" i="15"/>
  <c r="J306" i="15"/>
  <c r="I306" i="15"/>
  <c r="J305" i="15"/>
  <c r="I305" i="15"/>
  <c r="J304" i="15"/>
  <c r="I304" i="15"/>
  <c r="J303" i="15"/>
  <c r="I303" i="15"/>
  <c r="K303" i="15" s="1"/>
  <c r="J302" i="15"/>
  <c r="I302" i="15"/>
  <c r="J301" i="15"/>
  <c r="I301" i="15"/>
  <c r="K301" i="15" s="1"/>
  <c r="J300" i="15"/>
  <c r="I300" i="15"/>
  <c r="J299" i="15"/>
  <c r="I299" i="15"/>
  <c r="J298" i="15"/>
  <c r="I298" i="15"/>
  <c r="K298" i="15" s="1"/>
  <c r="J297" i="15"/>
  <c r="I297" i="15"/>
  <c r="J296" i="15"/>
  <c r="I296" i="15"/>
  <c r="J295" i="15"/>
  <c r="I295" i="15"/>
  <c r="K295" i="15" s="1"/>
  <c r="J294" i="15"/>
  <c r="K294" i="15" s="1"/>
  <c r="I294" i="15"/>
  <c r="J293" i="15"/>
  <c r="I293" i="15"/>
  <c r="K293" i="15" s="1"/>
  <c r="J292" i="15"/>
  <c r="I292" i="15"/>
  <c r="J291" i="15"/>
  <c r="I291" i="15"/>
  <c r="K291" i="15" s="1"/>
  <c r="J290" i="15"/>
  <c r="K290" i="15" s="1"/>
  <c r="I290" i="15"/>
  <c r="J289" i="15"/>
  <c r="I289" i="15"/>
  <c r="J288" i="15"/>
  <c r="I288" i="15"/>
  <c r="J287" i="15"/>
  <c r="I287" i="15"/>
  <c r="J286" i="15"/>
  <c r="I286" i="15"/>
  <c r="J285" i="15"/>
  <c r="I285" i="15"/>
  <c r="J284" i="15"/>
  <c r="K284" i="15" s="1"/>
  <c r="I284" i="15"/>
  <c r="J283" i="15"/>
  <c r="I283" i="15"/>
  <c r="K283" i="15" s="1"/>
  <c r="J282" i="15"/>
  <c r="K282" i="15" s="1"/>
  <c r="I282" i="15"/>
  <c r="J281" i="15"/>
  <c r="I281" i="15"/>
  <c r="J280" i="15"/>
  <c r="I280" i="15"/>
  <c r="J279" i="15"/>
  <c r="I279" i="15"/>
  <c r="J278" i="15"/>
  <c r="K278" i="15" s="1"/>
  <c r="I278" i="15"/>
  <c r="J277" i="15"/>
  <c r="I277" i="15"/>
  <c r="K277" i="15" s="1"/>
  <c r="J276" i="15"/>
  <c r="I276" i="15"/>
  <c r="J275" i="15"/>
  <c r="I275" i="15"/>
  <c r="J274" i="15"/>
  <c r="I274" i="15"/>
  <c r="J273" i="15"/>
  <c r="I273" i="15"/>
  <c r="J272" i="15"/>
  <c r="I272" i="15"/>
  <c r="J271" i="15"/>
  <c r="I271" i="15"/>
  <c r="J270" i="15"/>
  <c r="I270" i="15"/>
  <c r="J269" i="15"/>
  <c r="K269" i="15" s="1"/>
  <c r="I269" i="15"/>
  <c r="J268" i="15"/>
  <c r="K268" i="15" s="1"/>
  <c r="I268" i="15"/>
  <c r="J267" i="15"/>
  <c r="I267" i="15"/>
  <c r="J266" i="15"/>
  <c r="K266" i="15" s="1"/>
  <c r="I266" i="15"/>
  <c r="J265" i="15"/>
  <c r="I265" i="15"/>
  <c r="J264" i="15"/>
  <c r="I264" i="15"/>
  <c r="J263" i="15"/>
  <c r="K263" i="15" s="1"/>
  <c r="I263" i="15"/>
  <c r="J262" i="15"/>
  <c r="I262" i="15"/>
  <c r="J261" i="15"/>
  <c r="I261" i="15"/>
  <c r="J260" i="15"/>
  <c r="I260" i="15"/>
  <c r="J259" i="15"/>
  <c r="I259" i="15"/>
  <c r="K259" i="15" s="1"/>
  <c r="J258" i="15"/>
  <c r="I258" i="15"/>
  <c r="J257" i="15"/>
  <c r="I257" i="15"/>
  <c r="J256" i="15"/>
  <c r="K256" i="15" s="1"/>
  <c r="I256" i="15"/>
  <c r="J255" i="15"/>
  <c r="I255" i="15"/>
  <c r="K255" i="15" s="1"/>
  <c r="J254" i="15"/>
  <c r="K254" i="15" s="1"/>
  <c r="I254" i="15"/>
  <c r="J253" i="15"/>
  <c r="I253" i="15"/>
  <c r="K253" i="15" s="1"/>
  <c r="J252" i="15"/>
  <c r="I252" i="15"/>
  <c r="J251" i="15"/>
  <c r="I251" i="15"/>
  <c r="J250" i="15"/>
  <c r="K250" i="15" s="1"/>
  <c r="I250" i="15"/>
  <c r="J249" i="15"/>
  <c r="I249" i="15"/>
  <c r="J248" i="15"/>
  <c r="I248" i="15"/>
  <c r="J247" i="15"/>
  <c r="I247" i="15"/>
  <c r="J246" i="15"/>
  <c r="I246" i="15"/>
  <c r="J245" i="15"/>
  <c r="I245" i="15"/>
  <c r="J244" i="15"/>
  <c r="I244" i="15"/>
  <c r="J243" i="15"/>
  <c r="I243" i="15"/>
  <c r="J242" i="15"/>
  <c r="K242" i="15" s="1"/>
  <c r="I242" i="15"/>
  <c r="J241" i="15"/>
  <c r="I241" i="15"/>
  <c r="K241" i="15" s="1"/>
  <c r="J240" i="15"/>
  <c r="I240" i="15"/>
  <c r="J239" i="15"/>
  <c r="I239" i="15"/>
  <c r="J238" i="15"/>
  <c r="I238" i="15"/>
  <c r="J237" i="15"/>
  <c r="I237" i="15"/>
  <c r="J236" i="15"/>
  <c r="K236" i="15" s="1"/>
  <c r="I236" i="15"/>
  <c r="J235" i="15"/>
  <c r="I235" i="15"/>
  <c r="K235" i="15" s="1"/>
  <c r="J234" i="15"/>
  <c r="I234" i="15"/>
  <c r="J233" i="15"/>
  <c r="K233" i="15" s="1"/>
  <c r="I233" i="15"/>
  <c r="J232" i="15"/>
  <c r="K232" i="15" s="1"/>
  <c r="I232" i="15"/>
  <c r="J231" i="15"/>
  <c r="I231" i="15"/>
  <c r="J230" i="15"/>
  <c r="I230" i="15"/>
  <c r="J229" i="15"/>
  <c r="I229" i="15"/>
  <c r="K229" i="15" s="1"/>
  <c r="J228" i="15"/>
  <c r="I228" i="15"/>
  <c r="J227" i="15"/>
  <c r="K227" i="15" s="1"/>
  <c r="I227" i="15"/>
  <c r="J226" i="15"/>
  <c r="K226" i="15" s="1"/>
  <c r="I226" i="15"/>
  <c r="J225" i="15"/>
  <c r="K225" i="15" s="1"/>
  <c r="I225" i="15"/>
  <c r="J224" i="15"/>
  <c r="I224" i="15"/>
  <c r="J223" i="15"/>
  <c r="I223" i="15"/>
  <c r="J222" i="15"/>
  <c r="I222" i="15"/>
  <c r="J221" i="15"/>
  <c r="K221" i="15" s="1"/>
  <c r="I221" i="15"/>
  <c r="J220" i="15"/>
  <c r="I220" i="15"/>
  <c r="J219" i="15"/>
  <c r="I219" i="15"/>
  <c r="J218" i="15"/>
  <c r="K218" i="15" s="1"/>
  <c r="I218" i="15"/>
  <c r="J217" i="15"/>
  <c r="I217" i="15"/>
  <c r="J216" i="15"/>
  <c r="I216" i="15"/>
  <c r="J215" i="15"/>
  <c r="K215" i="15" s="1"/>
  <c r="I215" i="15"/>
  <c r="J214" i="15"/>
  <c r="K214" i="15" s="1"/>
  <c r="I214" i="15"/>
  <c r="J213" i="15"/>
  <c r="I213" i="15"/>
  <c r="J212" i="15"/>
  <c r="K212" i="15" s="1"/>
  <c r="I212" i="15"/>
  <c r="J211" i="15"/>
  <c r="I211" i="15"/>
  <c r="K211" i="15" s="1"/>
  <c r="J210" i="15"/>
  <c r="I210" i="15"/>
  <c r="J209" i="15"/>
  <c r="K209" i="15" s="1"/>
  <c r="I209" i="15"/>
  <c r="J208" i="15"/>
  <c r="K208" i="15" s="1"/>
  <c r="I208" i="15"/>
  <c r="J207" i="15"/>
  <c r="I207" i="15"/>
  <c r="J206" i="15"/>
  <c r="K206" i="15" s="1"/>
  <c r="I206" i="15"/>
  <c r="J205" i="15"/>
  <c r="I205" i="15"/>
  <c r="K205" i="15" s="1"/>
  <c r="J204" i="15"/>
  <c r="I204" i="15"/>
  <c r="J203" i="15"/>
  <c r="K203" i="15" s="1"/>
  <c r="I203" i="15"/>
  <c r="J202" i="15"/>
  <c r="K202" i="15" s="1"/>
  <c r="I202" i="15"/>
  <c r="J201" i="15"/>
  <c r="I201" i="15"/>
  <c r="J200" i="15"/>
  <c r="I200" i="15"/>
  <c r="J199" i="15"/>
  <c r="I199" i="15"/>
  <c r="J198" i="15"/>
  <c r="I198" i="15"/>
  <c r="K197" i="15"/>
  <c r="J197" i="15"/>
  <c r="I197" i="15"/>
  <c r="J196" i="15"/>
  <c r="K196" i="15" s="1"/>
  <c r="I196" i="15"/>
  <c r="J195" i="15"/>
  <c r="I195" i="15"/>
  <c r="J194" i="15"/>
  <c r="K194" i="15" s="1"/>
  <c r="I194" i="15"/>
  <c r="J193" i="15"/>
  <c r="I193" i="15"/>
  <c r="K193" i="15" s="1"/>
  <c r="J192" i="15"/>
  <c r="I192" i="15"/>
  <c r="J191" i="15"/>
  <c r="K191" i="15" s="1"/>
  <c r="I191" i="15"/>
  <c r="J190" i="15"/>
  <c r="I190" i="15"/>
  <c r="J189" i="15"/>
  <c r="I189" i="15"/>
  <c r="J188" i="15"/>
  <c r="I188" i="15"/>
  <c r="J187" i="15"/>
  <c r="I187" i="15"/>
  <c r="J186" i="15"/>
  <c r="K186" i="15" s="1"/>
  <c r="I186" i="15"/>
  <c r="J185" i="15"/>
  <c r="K185" i="15" s="1"/>
  <c r="I185" i="15"/>
  <c r="J184" i="15"/>
  <c r="K184" i="15" s="1"/>
  <c r="I184" i="15"/>
  <c r="J183" i="15"/>
  <c r="I183" i="15"/>
  <c r="K183" i="15" s="1"/>
  <c r="J182" i="15"/>
  <c r="I182" i="15"/>
  <c r="J181" i="15"/>
  <c r="I181" i="15"/>
  <c r="J180" i="15"/>
  <c r="I180" i="15"/>
  <c r="J179" i="15"/>
  <c r="K179" i="15" s="1"/>
  <c r="I179" i="15"/>
  <c r="J178" i="15"/>
  <c r="K178" i="15" s="1"/>
  <c r="I178" i="15"/>
  <c r="J177" i="15"/>
  <c r="I177" i="15"/>
  <c r="J176" i="15"/>
  <c r="I176" i="15"/>
  <c r="J175" i="15"/>
  <c r="I175" i="15"/>
  <c r="J174" i="15"/>
  <c r="K174" i="15" s="1"/>
  <c r="I174" i="15"/>
  <c r="J173" i="15"/>
  <c r="K173" i="15" s="1"/>
  <c r="I173" i="15"/>
  <c r="J172" i="15"/>
  <c r="I172" i="15"/>
  <c r="J171" i="15"/>
  <c r="I171" i="15"/>
  <c r="J170" i="15"/>
  <c r="I170" i="15"/>
  <c r="J169" i="15"/>
  <c r="I169" i="15"/>
  <c r="J168" i="15"/>
  <c r="K168" i="15" s="1"/>
  <c r="I168" i="15"/>
  <c r="J167" i="15"/>
  <c r="K167" i="15" s="1"/>
  <c r="I167" i="15"/>
  <c r="J166" i="15"/>
  <c r="I166" i="15"/>
  <c r="J165" i="15"/>
  <c r="I165" i="15"/>
  <c r="J164" i="15"/>
  <c r="I164" i="15"/>
  <c r="J163" i="15"/>
  <c r="I163" i="15"/>
  <c r="J162" i="15"/>
  <c r="K162" i="15" s="1"/>
  <c r="I162" i="15"/>
  <c r="K161" i="15"/>
  <c r="J161" i="15"/>
  <c r="I161" i="15"/>
  <c r="J160" i="15"/>
  <c r="I160" i="15"/>
  <c r="J159" i="15"/>
  <c r="I159" i="15"/>
  <c r="K159" i="15" s="1"/>
  <c r="J158" i="15"/>
  <c r="I158" i="15"/>
  <c r="J157" i="15"/>
  <c r="I157" i="15"/>
  <c r="J156" i="15"/>
  <c r="I156" i="15"/>
  <c r="J155" i="15"/>
  <c r="K155" i="15" s="1"/>
  <c r="I155" i="15"/>
  <c r="J154" i="15"/>
  <c r="I154" i="15"/>
  <c r="J153" i="15"/>
  <c r="I153" i="15"/>
  <c r="J152" i="15"/>
  <c r="I152" i="15"/>
  <c r="J151" i="15"/>
  <c r="I151" i="15"/>
  <c r="J150" i="15"/>
  <c r="I150" i="15"/>
  <c r="J149" i="15"/>
  <c r="K149" i="15" s="1"/>
  <c r="I149" i="15"/>
  <c r="J148" i="15"/>
  <c r="I148" i="15"/>
  <c r="K148" i="15" s="1"/>
  <c r="J147" i="15"/>
  <c r="I147" i="15"/>
  <c r="J146" i="15"/>
  <c r="I146" i="15"/>
  <c r="J145" i="15"/>
  <c r="I145" i="15"/>
  <c r="J144" i="15"/>
  <c r="I144" i="15"/>
  <c r="J143" i="15"/>
  <c r="K143" i="15" s="1"/>
  <c r="I143" i="15"/>
  <c r="J142" i="15"/>
  <c r="I142" i="15"/>
  <c r="J141" i="15"/>
  <c r="I141" i="15"/>
  <c r="J140" i="15"/>
  <c r="I140" i="15"/>
  <c r="J139" i="15"/>
  <c r="I139" i="15"/>
  <c r="J138" i="15"/>
  <c r="I138" i="15"/>
  <c r="K137" i="15"/>
  <c r="J137" i="15"/>
  <c r="I137" i="15"/>
  <c r="J136" i="15"/>
  <c r="I136" i="15"/>
  <c r="J135" i="15"/>
  <c r="I135" i="15"/>
  <c r="J134" i="15"/>
  <c r="I134" i="15"/>
  <c r="J133" i="15"/>
  <c r="I133" i="15"/>
  <c r="J132" i="15"/>
  <c r="I132" i="15"/>
  <c r="J131" i="15"/>
  <c r="I131" i="15"/>
  <c r="K131" i="15" s="1"/>
  <c r="J130" i="15"/>
  <c r="K130" i="15" s="1"/>
  <c r="I130" i="15"/>
  <c r="J129" i="15"/>
  <c r="I129" i="15"/>
  <c r="J128" i="15"/>
  <c r="I128" i="15"/>
  <c r="J127" i="15"/>
  <c r="I127" i="15"/>
  <c r="J126" i="15"/>
  <c r="K126" i="15" s="1"/>
  <c r="I126" i="15"/>
  <c r="J125" i="15"/>
  <c r="I125" i="15"/>
  <c r="K125" i="15" s="1"/>
  <c r="J124" i="15"/>
  <c r="I124" i="15"/>
  <c r="J123" i="15"/>
  <c r="I123" i="15"/>
  <c r="J122" i="15"/>
  <c r="I122" i="15"/>
  <c r="J121" i="15"/>
  <c r="I121" i="15"/>
  <c r="J120" i="15"/>
  <c r="K120" i="15" s="1"/>
  <c r="I120" i="15"/>
  <c r="J119" i="15"/>
  <c r="I119" i="15"/>
  <c r="K119" i="15" s="1"/>
  <c r="J118" i="15"/>
  <c r="I118" i="15"/>
  <c r="J117" i="15"/>
  <c r="K117" i="15" s="1"/>
  <c r="I117" i="15"/>
  <c r="J116" i="15"/>
  <c r="I116" i="15"/>
  <c r="J115" i="15"/>
  <c r="I115" i="15"/>
  <c r="J114" i="15"/>
  <c r="K114" i="15" s="1"/>
  <c r="I114" i="15"/>
  <c r="J113" i="15"/>
  <c r="I113" i="15"/>
  <c r="J112" i="15"/>
  <c r="I112" i="15"/>
  <c r="J111" i="15"/>
  <c r="I111" i="15"/>
  <c r="J110" i="15"/>
  <c r="K110" i="15" s="1"/>
  <c r="I110" i="15"/>
  <c r="J109" i="15"/>
  <c r="I109" i="15"/>
  <c r="J108" i="15"/>
  <c r="I108" i="15"/>
  <c r="J107" i="15"/>
  <c r="I107" i="15"/>
  <c r="J106" i="15"/>
  <c r="I106" i="15"/>
  <c r="J105" i="15"/>
  <c r="K105" i="15" s="1"/>
  <c r="I105" i="15"/>
  <c r="J104" i="15"/>
  <c r="I104" i="15"/>
  <c r="J103" i="15"/>
  <c r="I103" i="15"/>
  <c r="J102" i="15"/>
  <c r="I102" i="15"/>
  <c r="J101" i="15"/>
  <c r="I101" i="15"/>
  <c r="J100" i="15"/>
  <c r="I100" i="15"/>
  <c r="K100" i="15" s="1"/>
  <c r="J99" i="15"/>
  <c r="K99" i="15" s="1"/>
  <c r="I99" i="15"/>
  <c r="J98" i="15"/>
  <c r="I98" i="15"/>
  <c r="J97" i="15"/>
  <c r="I97" i="15"/>
  <c r="J96" i="15"/>
  <c r="I96" i="15"/>
  <c r="J95" i="15"/>
  <c r="I95" i="15"/>
  <c r="K95" i="15" s="1"/>
  <c r="J94" i="15"/>
  <c r="I94" i="15"/>
  <c r="J93" i="15"/>
  <c r="I93" i="15"/>
  <c r="J92" i="15"/>
  <c r="I92" i="15"/>
  <c r="K91" i="15"/>
  <c r="J91" i="15"/>
  <c r="I91" i="15"/>
  <c r="J90" i="15"/>
  <c r="I90" i="15"/>
  <c r="J89" i="15"/>
  <c r="I89" i="15"/>
  <c r="J88" i="15"/>
  <c r="K88" i="15" s="1"/>
  <c r="I88" i="15"/>
  <c r="J87" i="15"/>
  <c r="I87" i="15"/>
  <c r="J86" i="15"/>
  <c r="I86" i="15"/>
  <c r="J85" i="15"/>
  <c r="I85" i="15"/>
  <c r="J84" i="15"/>
  <c r="I84" i="15"/>
  <c r="J83" i="15"/>
  <c r="I83" i="15"/>
  <c r="J82" i="15"/>
  <c r="K82" i="15" s="1"/>
  <c r="I82" i="15"/>
  <c r="J81" i="15"/>
  <c r="K81" i="15" s="1"/>
  <c r="I81" i="15"/>
  <c r="J80" i="15"/>
  <c r="I80" i="15"/>
  <c r="J79" i="15"/>
  <c r="I79" i="15"/>
  <c r="J78" i="15"/>
  <c r="I78" i="15"/>
  <c r="J77" i="15"/>
  <c r="I77" i="15"/>
  <c r="K76" i="15"/>
  <c r="J76" i="15"/>
  <c r="I76" i="15"/>
  <c r="J75" i="15"/>
  <c r="I75" i="15"/>
  <c r="J74" i="15"/>
  <c r="I74" i="15"/>
  <c r="J73" i="15"/>
  <c r="I73" i="15"/>
  <c r="J72" i="15"/>
  <c r="I72" i="15"/>
  <c r="J71" i="15"/>
  <c r="I71" i="15"/>
  <c r="J70" i="15"/>
  <c r="K70" i="15" s="1"/>
  <c r="I70" i="15"/>
  <c r="J69" i="15"/>
  <c r="I69" i="15"/>
  <c r="J68" i="15"/>
  <c r="I68" i="15"/>
  <c r="J67" i="15"/>
  <c r="I67" i="15"/>
  <c r="J66" i="15"/>
  <c r="I66" i="15"/>
  <c r="J65" i="15"/>
  <c r="I65" i="15"/>
  <c r="J64" i="15"/>
  <c r="I64" i="15"/>
  <c r="J63" i="15"/>
  <c r="I63" i="15"/>
  <c r="J62" i="15"/>
  <c r="I62" i="15"/>
  <c r="J61" i="15"/>
  <c r="I61" i="15"/>
  <c r="J60" i="15"/>
  <c r="I60" i="15"/>
  <c r="J59" i="15"/>
  <c r="I59" i="15"/>
  <c r="K59" i="15" s="1"/>
  <c r="J58" i="15"/>
  <c r="I58" i="15"/>
  <c r="J57" i="15"/>
  <c r="I57" i="15"/>
  <c r="J56" i="15"/>
  <c r="I56" i="15"/>
  <c r="J55" i="15"/>
  <c r="I55" i="15"/>
  <c r="J54" i="15"/>
  <c r="I54" i="15"/>
  <c r="J53" i="15"/>
  <c r="I53" i="15"/>
  <c r="J52" i="15"/>
  <c r="K52" i="15" s="1"/>
  <c r="I52" i="15"/>
  <c r="J51" i="15"/>
  <c r="I51" i="15"/>
  <c r="J50" i="15"/>
  <c r="I50" i="15"/>
  <c r="J49" i="15"/>
  <c r="I49" i="15"/>
  <c r="J48" i="15"/>
  <c r="I48" i="15"/>
  <c r="J47" i="15"/>
  <c r="K47" i="15" s="1"/>
  <c r="I47" i="15"/>
  <c r="J46" i="15"/>
  <c r="I46" i="15"/>
  <c r="J45" i="15"/>
  <c r="I45" i="15"/>
  <c r="J44" i="15"/>
  <c r="I44" i="15"/>
  <c r="J43" i="15"/>
  <c r="I43" i="15"/>
  <c r="K43" i="15" s="1"/>
  <c r="J42" i="15"/>
  <c r="I42" i="15"/>
  <c r="J41" i="15"/>
  <c r="K41" i="15" s="1"/>
  <c r="I41" i="15"/>
  <c r="J40" i="15"/>
  <c r="K40" i="15" s="1"/>
  <c r="I40" i="15"/>
  <c r="J39" i="15"/>
  <c r="I39" i="15"/>
  <c r="J38" i="15"/>
  <c r="I38" i="15"/>
  <c r="J37" i="15"/>
  <c r="I37" i="15"/>
  <c r="J36" i="15"/>
  <c r="I36" i="15"/>
  <c r="K35" i="15"/>
  <c r="J35" i="15"/>
  <c r="I35" i="15"/>
  <c r="J34" i="15"/>
  <c r="I34" i="15"/>
  <c r="J33" i="15"/>
  <c r="I33" i="15"/>
  <c r="J32" i="15"/>
  <c r="I32" i="15"/>
  <c r="K32" i="15" s="1"/>
  <c r="J31" i="15"/>
  <c r="K31" i="15" s="1"/>
  <c r="I31" i="15"/>
  <c r="J30" i="15"/>
  <c r="I30" i="15"/>
  <c r="J29" i="15"/>
  <c r="K29" i="15" s="1"/>
  <c r="I29" i="15"/>
  <c r="J28" i="15"/>
  <c r="I28" i="15"/>
  <c r="K28" i="15" s="1"/>
  <c r="J27" i="15"/>
  <c r="I27" i="15"/>
  <c r="J26" i="15"/>
  <c r="I26" i="15"/>
  <c r="J25" i="15"/>
  <c r="I25" i="15"/>
  <c r="J24" i="15"/>
  <c r="I24" i="15"/>
  <c r="J23" i="15"/>
  <c r="K23" i="15" s="1"/>
  <c r="I23" i="15"/>
  <c r="J22" i="15"/>
  <c r="I22" i="15"/>
  <c r="J21" i="15"/>
  <c r="I21" i="15"/>
  <c r="J20" i="15"/>
  <c r="I20" i="15"/>
  <c r="K20" i="15" s="1"/>
  <c r="J19" i="15"/>
  <c r="K19" i="15" s="1"/>
  <c r="I19" i="15"/>
  <c r="J18" i="15"/>
  <c r="I18" i="15"/>
  <c r="J17" i="15"/>
  <c r="I17" i="15"/>
  <c r="K16" i="15"/>
  <c r="J16" i="15"/>
  <c r="I16" i="15"/>
  <c r="J15" i="15"/>
  <c r="I15" i="15"/>
  <c r="J14" i="15"/>
  <c r="I14" i="15"/>
  <c r="K14" i="15" s="1"/>
  <c r="J13" i="15"/>
  <c r="I13" i="15"/>
  <c r="J12" i="15"/>
  <c r="I12" i="15"/>
  <c r="J11" i="15"/>
  <c r="I11" i="15"/>
  <c r="J10" i="15"/>
  <c r="K10" i="15" s="1"/>
  <c r="I10" i="15"/>
  <c r="J9" i="15"/>
  <c r="I9" i="15"/>
  <c r="J8" i="15"/>
  <c r="I8" i="15"/>
  <c r="K8" i="15" s="1"/>
  <c r="J7" i="15"/>
  <c r="K7" i="15" s="1"/>
  <c r="I7" i="15"/>
  <c r="J6" i="15"/>
  <c r="I6" i="15"/>
  <c r="J5" i="15"/>
  <c r="I5" i="15"/>
  <c r="J4" i="15"/>
  <c r="I4" i="15"/>
  <c r="K928" i="15" l="1"/>
  <c r="K106" i="15"/>
  <c r="K182" i="15"/>
  <c r="K210" i="15"/>
  <c r="K355" i="15"/>
  <c r="K395" i="15"/>
  <c r="K431" i="15"/>
  <c r="K453" i="15"/>
  <c r="K475" i="15"/>
  <c r="K481" i="15"/>
  <c r="K503" i="15"/>
  <c r="K531" i="15"/>
  <c r="K623" i="15"/>
  <c r="K629" i="15"/>
  <c r="K647" i="15"/>
  <c r="K653" i="15"/>
  <c r="K681" i="15"/>
  <c r="K687" i="15"/>
  <c r="K813" i="15"/>
  <c r="K819" i="15"/>
  <c r="K841" i="15"/>
  <c r="K847" i="15"/>
  <c r="K859" i="15"/>
  <c r="K882" i="15"/>
  <c r="K911" i="15"/>
  <c r="K986" i="15"/>
  <c r="K1025" i="15"/>
  <c r="K1031" i="15"/>
  <c r="K1080" i="15"/>
  <c r="K1097" i="15"/>
  <c r="K1126" i="15"/>
  <c r="K1177" i="15"/>
  <c r="K1211" i="15"/>
  <c r="K1228" i="15"/>
  <c r="K65" i="15"/>
  <c r="K245" i="15"/>
  <c r="K945" i="15"/>
  <c r="K234" i="15"/>
  <c r="K240" i="15"/>
  <c r="K274" i="15"/>
  <c r="K280" i="15"/>
  <c r="K286" i="15"/>
  <c r="K292" i="15"/>
  <c r="K310" i="15"/>
  <c r="K367" i="15"/>
  <c r="K454" i="15"/>
  <c r="K459" i="15"/>
  <c r="K482" i="15"/>
  <c r="K509" i="15"/>
  <c r="K526" i="15"/>
  <c r="K549" i="15"/>
  <c r="K555" i="15"/>
  <c r="K573" i="15"/>
  <c r="K600" i="15"/>
  <c r="K612" i="15"/>
  <c r="K654" i="15"/>
  <c r="K676" i="15"/>
  <c r="K711" i="15"/>
  <c r="K717" i="15"/>
  <c r="K757" i="15"/>
  <c r="K763" i="15"/>
  <c r="K797" i="15"/>
  <c r="K808" i="15"/>
  <c r="K825" i="15"/>
  <c r="K842" i="15"/>
  <c r="K848" i="15"/>
  <c r="K860" i="15"/>
  <c r="K871" i="15"/>
  <c r="K906" i="15"/>
  <c r="K917" i="15"/>
  <c r="K923" i="15"/>
  <c r="K941" i="15"/>
  <c r="K952" i="15"/>
  <c r="K958" i="15"/>
  <c r="K969" i="15"/>
  <c r="K975" i="15"/>
  <c r="K1115" i="15"/>
  <c r="K1121" i="15"/>
  <c r="K1161" i="15"/>
  <c r="K1206" i="15"/>
  <c r="K377" i="15"/>
  <c r="K83" i="15"/>
  <c r="K118" i="15"/>
  <c r="K246" i="15"/>
  <c r="K1229" i="15"/>
  <c r="K146" i="15"/>
  <c r="K251" i="15"/>
  <c r="K366" i="15"/>
  <c r="K605" i="15"/>
  <c r="K1114" i="15"/>
  <c r="K77" i="15"/>
  <c r="K112" i="15"/>
  <c r="K164" i="15"/>
  <c r="K258" i="15"/>
  <c r="K9" i="15"/>
  <c r="K107" i="15"/>
  <c r="K165" i="15"/>
  <c r="K177" i="15"/>
  <c r="K339" i="15"/>
  <c r="K390" i="15"/>
  <c r="K44" i="15"/>
  <c r="K55" i="15"/>
  <c r="K67" i="15"/>
  <c r="K79" i="15"/>
  <c r="K154" i="15"/>
  <c r="K160" i="15"/>
  <c r="K172" i="15"/>
  <c r="K265" i="15"/>
  <c r="K275" i="15"/>
  <c r="K281" i="15"/>
  <c r="K287" i="15"/>
  <c r="K299" i="15"/>
  <c r="K334" i="15"/>
  <c r="K340" i="15"/>
  <c r="K415" i="15"/>
  <c r="K421" i="15"/>
  <c r="K460" i="15"/>
  <c r="K527" i="15"/>
  <c r="K550" i="15"/>
  <c r="K556" i="15"/>
  <c r="K562" i="15"/>
  <c r="K568" i="15"/>
  <c r="K580" i="15"/>
  <c r="K585" i="15"/>
  <c r="K607" i="15"/>
  <c r="K666" i="15"/>
  <c r="K677" i="15"/>
  <c r="K700" i="15"/>
  <c r="K706" i="15"/>
  <c r="K729" i="15"/>
  <c r="K770" i="15"/>
  <c r="K809" i="15"/>
  <c r="K849" i="15"/>
  <c r="K866" i="15"/>
  <c r="K895" i="15"/>
  <c r="K907" i="15"/>
  <c r="K918" i="15"/>
  <c r="K924" i="15"/>
  <c r="K947" i="15"/>
  <c r="K953" i="15"/>
  <c r="K959" i="15"/>
  <c r="K970" i="15"/>
  <c r="K976" i="15"/>
  <c r="K988" i="15"/>
  <c r="K1038" i="15"/>
  <c r="K1049" i="15"/>
  <c r="K1104" i="15"/>
  <c r="K1110" i="15"/>
  <c r="K1139" i="15"/>
  <c r="K1218" i="15"/>
  <c r="K71" i="15"/>
  <c r="K140" i="15"/>
  <c r="K239" i="15"/>
  <c r="K315" i="15"/>
  <c r="K548" i="15"/>
  <c r="K572" i="15"/>
  <c r="K744" i="15"/>
  <c r="K807" i="15"/>
  <c r="K899" i="15"/>
  <c r="K957" i="15"/>
  <c r="K1042" i="15"/>
  <c r="K1193" i="15"/>
  <c r="K1205" i="15"/>
  <c r="K94" i="15"/>
  <c r="K124" i="15"/>
  <c r="K170" i="15"/>
  <c r="K89" i="15"/>
  <c r="K153" i="15"/>
  <c r="K113" i="15"/>
  <c r="K56" i="15"/>
  <c r="K62" i="15"/>
  <c r="K68" i="15"/>
  <c r="K74" i="15"/>
  <c r="K374" i="15"/>
  <c r="K804" i="15"/>
  <c r="K896" i="15"/>
  <c r="K908" i="15"/>
  <c r="K954" i="15"/>
  <c r="K977" i="15"/>
  <c r="K1021" i="15"/>
  <c r="K1027" i="15"/>
  <c r="K1088" i="15"/>
  <c r="K1128" i="15"/>
  <c r="K1145" i="15"/>
  <c r="K1151" i="15"/>
  <c r="K1202" i="15"/>
  <c r="K1224" i="15"/>
  <c r="K922" i="15"/>
  <c r="K80" i="15"/>
  <c r="K103" i="15"/>
  <c r="K109" i="15"/>
  <c r="K127" i="15"/>
  <c r="K231" i="15"/>
  <c r="K335" i="15"/>
  <c r="K398" i="15"/>
  <c r="K404" i="15"/>
  <c r="K422" i="15"/>
  <c r="K434" i="15"/>
  <c r="K506" i="15"/>
  <c r="K534" i="15"/>
  <c r="K650" i="15"/>
  <c r="K777" i="15"/>
  <c r="K989" i="15"/>
  <c r="K1094" i="15"/>
  <c r="K1208" i="15"/>
  <c r="K257" i="15"/>
  <c r="K11" i="15"/>
  <c r="K1185" i="15"/>
  <c r="K1191" i="15"/>
  <c r="K1231" i="15"/>
  <c r="K22" i="15"/>
  <c r="K17" i="15"/>
  <c r="K34" i="15"/>
  <c r="K57" i="15"/>
  <c r="K69" i="15"/>
  <c r="K92" i="15"/>
  <c r="K98" i="15"/>
  <c r="K122" i="15"/>
  <c r="K220" i="15"/>
  <c r="K237" i="15"/>
  <c r="K249" i="15"/>
  <c r="K325" i="15"/>
  <c r="K359" i="15"/>
  <c r="K364" i="15"/>
  <c r="K370" i="15"/>
  <c r="K375" i="15"/>
  <c r="K399" i="15"/>
  <c r="K435" i="15"/>
  <c r="K446" i="15"/>
  <c r="K495" i="15"/>
  <c r="K512" i="15"/>
  <c r="K541" i="15"/>
  <c r="K552" i="15"/>
  <c r="K570" i="15"/>
  <c r="K576" i="15"/>
  <c r="K592" i="15"/>
  <c r="K603" i="15"/>
  <c r="K615" i="15"/>
  <c r="K639" i="15"/>
  <c r="K696" i="15"/>
  <c r="K714" i="15"/>
  <c r="K737" i="15"/>
  <c r="K742" i="15"/>
  <c r="K748" i="15"/>
  <c r="K754" i="15"/>
  <c r="K811" i="15"/>
  <c r="K828" i="15"/>
  <c r="K868" i="15"/>
  <c r="K891" i="15"/>
  <c r="K909" i="15"/>
  <c r="K926" i="15"/>
  <c r="K955" i="15"/>
  <c r="K966" i="15"/>
  <c r="K1012" i="15"/>
  <c r="K1089" i="15"/>
  <c r="K1124" i="15"/>
  <c r="K1130" i="15"/>
  <c r="K1136" i="15"/>
  <c r="K1141" i="15"/>
  <c r="K1169" i="15"/>
  <c r="K1197" i="15"/>
  <c r="K53" i="15"/>
  <c r="K309" i="15"/>
  <c r="K5" i="15"/>
  <c r="K64" i="15"/>
  <c r="K139" i="15"/>
  <c r="K157" i="15"/>
  <c r="K244" i="15"/>
  <c r="K382" i="15"/>
  <c r="K518" i="15"/>
  <c r="K691" i="15"/>
  <c r="K743" i="15"/>
  <c r="K755" i="15"/>
  <c r="K944" i="15"/>
  <c r="K956" i="15"/>
  <c r="K1018" i="15"/>
  <c r="K1142" i="15"/>
  <c r="K1170" i="15"/>
  <c r="K1186" i="15"/>
  <c r="K111" i="15"/>
  <c r="K123" i="15"/>
  <c r="K163" i="15"/>
  <c r="K169" i="15"/>
  <c r="K181" i="15"/>
  <c r="K187" i="15"/>
  <c r="K388" i="15"/>
  <c r="K418" i="15"/>
  <c r="K424" i="15"/>
  <c r="K530" i="15"/>
  <c r="K536" i="15"/>
  <c r="K542" i="15"/>
  <c r="K634" i="15"/>
  <c r="K652" i="15"/>
  <c r="K686" i="15"/>
  <c r="K818" i="15"/>
  <c r="K840" i="15"/>
  <c r="K1024" i="15"/>
  <c r="K1079" i="15"/>
  <c r="K1148" i="15"/>
  <c r="K45" i="15"/>
  <c r="K61" i="15"/>
  <c r="K15" i="15"/>
  <c r="K21" i="15"/>
  <c r="K93" i="15"/>
  <c r="K30" i="15"/>
  <c r="K49" i="15"/>
  <c r="K129" i="15"/>
  <c r="K46" i="15"/>
  <c r="K158" i="15"/>
  <c r="K201" i="15"/>
  <c r="K6" i="15"/>
  <c r="K25" i="15"/>
  <c r="K38" i="15"/>
  <c r="K63" i="15"/>
  <c r="K72" i="15"/>
  <c r="K78" i="15"/>
  <c r="K97" i="15"/>
  <c r="K133" i="15"/>
  <c r="K166" i="15"/>
  <c r="K189" i="15"/>
  <c r="K192" i="15"/>
  <c r="K198" i="15"/>
  <c r="K238" i="15"/>
  <c r="K261" i="15"/>
  <c r="K264" i="15"/>
  <c r="K270" i="15"/>
  <c r="K297" i="15"/>
  <c r="K300" i="15"/>
  <c r="K316" i="15"/>
  <c r="K329" i="15"/>
  <c r="K361" i="15"/>
  <c r="K384" i="15"/>
  <c r="K393" i="15"/>
  <c r="K396" i="15"/>
  <c r="K416" i="15"/>
  <c r="K429" i="15"/>
  <c r="K432" i="15"/>
  <c r="K445" i="15"/>
  <c r="K469" i="15"/>
  <c r="K630" i="15"/>
  <c r="K689" i="15"/>
  <c r="K710" i="15"/>
  <c r="K713" i="15"/>
  <c r="K39" i="15"/>
  <c r="K27" i="15"/>
  <c r="K13" i="15"/>
  <c r="K26" i="15"/>
  <c r="K51" i="15"/>
  <c r="K60" i="15"/>
  <c r="K66" i="15"/>
  <c r="K85" i="15"/>
  <c r="K101" i="15"/>
  <c r="K121" i="15"/>
  <c r="K147" i="15"/>
  <c r="K156" i="15"/>
  <c r="K199" i="15"/>
  <c r="K219" i="15"/>
  <c r="K228" i="15"/>
  <c r="K271" i="15"/>
  <c r="K304" i="15"/>
  <c r="K346" i="15"/>
  <c r="K368" i="15"/>
  <c r="K381" i="15"/>
  <c r="K397" i="15"/>
  <c r="K406" i="15"/>
  <c r="K409" i="15"/>
  <c r="K413" i="15"/>
  <c r="K420" i="15"/>
  <c r="K433" i="15"/>
  <c r="K528" i="15"/>
  <c r="K640" i="15"/>
  <c r="K674" i="15"/>
  <c r="K741" i="15"/>
  <c r="K48" i="15"/>
  <c r="K54" i="15"/>
  <c r="K73" i="15"/>
  <c r="K86" i="15"/>
  <c r="K108" i="15"/>
  <c r="K115" i="15"/>
  <c r="K134" i="15"/>
  <c r="K141" i="15"/>
  <c r="K144" i="15"/>
  <c r="K150" i="15"/>
  <c r="K190" i="15"/>
  <c r="K213" i="15"/>
  <c r="K216" i="15"/>
  <c r="K222" i="15"/>
  <c r="K262" i="15"/>
  <c r="K285" i="15"/>
  <c r="K288" i="15"/>
  <c r="K317" i="15"/>
  <c r="K327" i="15"/>
  <c r="K330" i="15"/>
  <c r="K365" i="15"/>
  <c r="K410" i="15"/>
  <c r="K414" i="15"/>
  <c r="K417" i="15"/>
  <c r="K525" i="15"/>
  <c r="K583" i="15"/>
  <c r="K631" i="15"/>
  <c r="K661" i="15"/>
  <c r="K668" i="15"/>
  <c r="K704" i="15"/>
  <c r="K787" i="15"/>
  <c r="K102" i="15"/>
  <c r="K135" i="15"/>
  <c r="K138" i="15"/>
  <c r="K151" i="15"/>
  <c r="K171" i="15"/>
  <c r="K180" i="15"/>
  <c r="K223" i="15"/>
  <c r="K243" i="15"/>
  <c r="K252" i="15"/>
  <c r="K302" i="15"/>
  <c r="K305" i="15"/>
  <c r="K337" i="15"/>
  <c r="K350" i="15"/>
  <c r="K353" i="15"/>
  <c r="K379" i="15"/>
  <c r="K407" i="15"/>
  <c r="K464" i="15"/>
  <c r="K491" i="15"/>
  <c r="K505" i="15"/>
  <c r="K515" i="15"/>
  <c r="K522" i="15"/>
  <c r="K566" i="15"/>
  <c r="K577" i="15"/>
  <c r="K617" i="15"/>
  <c r="K624" i="15"/>
  <c r="K722" i="15"/>
  <c r="K735" i="15"/>
  <c r="K756" i="15"/>
  <c r="K58" i="15"/>
  <c r="K145" i="15"/>
  <c r="K207" i="15"/>
  <c r="K217" i="15"/>
  <c r="K279" i="15"/>
  <c r="K289" i="15"/>
  <c r="K322" i="15"/>
  <c r="K701" i="15"/>
  <c r="K36" i="15"/>
  <c r="K719" i="15"/>
  <c r="K732" i="15"/>
  <c r="K33" i="15"/>
  <c r="K230" i="15"/>
  <c r="K260" i="15"/>
  <c r="K273" i="15"/>
  <c r="K306" i="15"/>
  <c r="K341" i="15"/>
  <c r="K389" i="15"/>
  <c r="K402" i="15"/>
  <c r="K438" i="15"/>
  <c r="K485" i="15"/>
  <c r="K563" i="15"/>
  <c r="K597" i="15"/>
  <c r="K611" i="15"/>
  <c r="K618" i="15"/>
  <c r="K692" i="15"/>
  <c r="K695" i="15"/>
  <c r="K716" i="15"/>
  <c r="K42" i="15"/>
  <c r="K24" i="15"/>
  <c r="K87" i="15"/>
  <c r="K116" i="15"/>
  <c r="K142" i="15"/>
  <c r="K96" i="15"/>
  <c r="K132" i="15"/>
  <c r="K188" i="15"/>
  <c r="K12" i="15"/>
  <c r="K18" i="15"/>
  <c r="K37" i="15"/>
  <c r="K50" i="15"/>
  <c r="K75" i="15"/>
  <c r="K84" i="15"/>
  <c r="K90" i="15"/>
  <c r="K136" i="15"/>
  <c r="K175" i="15"/>
  <c r="K195" i="15"/>
  <c r="K204" i="15"/>
  <c r="K247" i="15"/>
  <c r="K267" i="15"/>
  <c r="K276" i="15"/>
  <c r="K312" i="15"/>
  <c r="K351" i="15"/>
  <c r="K354" i="15"/>
  <c r="K373" i="15"/>
  <c r="K380" i="15"/>
  <c r="K425" i="15"/>
  <c r="K451" i="15"/>
  <c r="K499" i="15"/>
  <c r="K567" i="15"/>
  <c r="K594" i="15"/>
  <c r="K608" i="15"/>
  <c r="K679" i="15"/>
  <c r="K897" i="15"/>
  <c r="K500" i="15"/>
  <c r="K507" i="15"/>
  <c r="K523" i="15"/>
  <c r="K587" i="15"/>
  <c r="K609" i="15"/>
  <c r="K619" i="15"/>
  <c r="K626" i="15"/>
  <c r="K635" i="15"/>
  <c r="K641" i="15"/>
  <c r="K669" i="15"/>
  <c r="K684" i="15"/>
  <c r="K721" i="15"/>
  <c r="K724" i="15"/>
  <c r="K730" i="15"/>
  <c r="K733" i="15"/>
  <c r="K745" i="15"/>
  <c r="K794" i="15"/>
  <c r="K806" i="15"/>
  <c r="K821" i="15"/>
  <c r="K862" i="15"/>
  <c r="K869" i="15"/>
  <c r="K990" i="15"/>
  <c r="K1026" i="15"/>
  <c r="K1066" i="15"/>
  <c r="K1069" i="15"/>
  <c r="K1134" i="15"/>
  <c r="K1137" i="15"/>
  <c r="K1143" i="15"/>
  <c r="K1149" i="15"/>
  <c r="K1152" i="15"/>
  <c r="K1158" i="15"/>
  <c r="K1164" i="15"/>
  <c r="K1196" i="15"/>
  <c r="K1220" i="15"/>
  <c r="K467" i="15"/>
  <c r="K477" i="15"/>
  <c r="K494" i="15"/>
  <c r="K558" i="15"/>
  <c r="K565" i="15"/>
  <c r="K575" i="15"/>
  <c r="K613" i="15"/>
  <c r="K616" i="15"/>
  <c r="K645" i="15"/>
  <c r="K660" i="15"/>
  <c r="K697" i="15"/>
  <c r="K703" i="15"/>
  <c r="K746" i="15"/>
  <c r="K758" i="15"/>
  <c r="K773" i="15"/>
  <c r="K834" i="15"/>
  <c r="K843" i="15"/>
  <c r="K856" i="15"/>
  <c r="K894" i="15"/>
  <c r="K972" i="15"/>
  <c r="K978" i="15"/>
  <c r="K997" i="15"/>
  <c r="K1009" i="15"/>
  <c r="K1030" i="15"/>
  <c r="K1033" i="15"/>
  <c r="K1051" i="15"/>
  <c r="K1070" i="15"/>
  <c r="K1113" i="15"/>
  <c r="K1116" i="15"/>
  <c r="K1122" i="15"/>
  <c r="K1146" i="15"/>
  <c r="K1178" i="15"/>
  <c r="K786" i="15"/>
  <c r="K822" i="15"/>
  <c r="K1058" i="15"/>
  <c r="K1076" i="15"/>
  <c r="K1184" i="15"/>
  <c r="K1214" i="15"/>
  <c r="K1052" i="15"/>
  <c r="K1064" i="15"/>
  <c r="K762" i="15"/>
  <c r="K783" i="15"/>
  <c r="K789" i="15"/>
  <c r="K795" i="15"/>
  <c r="K853" i="15"/>
  <c r="K857" i="15"/>
  <c r="K870" i="15"/>
  <c r="K885" i="15"/>
  <c r="K888" i="15"/>
  <c r="K901" i="15"/>
  <c r="K919" i="15"/>
  <c r="K948" i="15"/>
  <c r="K982" i="15"/>
  <c r="K998" i="15"/>
  <c r="K1092" i="15"/>
  <c r="K942" i="15"/>
  <c r="K1016" i="15"/>
  <c r="K1028" i="15"/>
  <c r="K1083" i="15"/>
  <c r="K1154" i="15"/>
  <c r="K1172" i="15"/>
  <c r="K1188" i="15"/>
  <c r="K784" i="15"/>
  <c r="K799" i="15"/>
  <c r="K814" i="15"/>
  <c r="K820" i="15"/>
  <c r="K823" i="15"/>
  <c r="K854" i="15"/>
  <c r="K902" i="15"/>
  <c r="K933" i="15"/>
  <c r="K936" i="15"/>
  <c r="K961" i="15"/>
  <c r="K983" i="15"/>
  <c r="K999" i="15"/>
  <c r="K1053" i="15"/>
  <c r="K1065" i="15"/>
  <c r="K1068" i="15"/>
  <c r="K1074" i="15"/>
  <c r="K1096" i="15"/>
  <c r="K705" i="15"/>
  <c r="K720" i="15"/>
  <c r="K760" i="15"/>
  <c r="K775" i="15"/>
  <c r="K790" i="15"/>
  <c r="K796" i="15"/>
  <c r="K802" i="15"/>
  <c r="K805" i="15"/>
  <c r="K817" i="15"/>
  <c r="K826" i="15"/>
  <c r="K829" i="15"/>
  <c r="K851" i="15"/>
  <c r="K927" i="15"/>
  <c r="K930" i="15"/>
  <c r="K949" i="15"/>
  <c r="K974" i="15"/>
  <c r="K1005" i="15"/>
  <c r="K1041" i="15"/>
  <c r="K1044" i="15"/>
  <c r="K1056" i="15"/>
  <c r="K1062" i="15"/>
  <c r="K1176" i="15"/>
  <c r="K1226" i="15"/>
  <c r="K411" i="15"/>
  <c r="K456" i="15"/>
  <c r="K476" i="15"/>
  <c r="K483" i="15"/>
  <c r="K510" i="15"/>
  <c r="K584" i="15"/>
  <c r="K602" i="15"/>
  <c r="K625" i="15"/>
  <c r="K644" i="15"/>
  <c r="K659" i="15"/>
  <c r="K665" i="15"/>
  <c r="K693" i="15"/>
  <c r="K708" i="15"/>
  <c r="K736" i="15"/>
  <c r="K751" i="15"/>
  <c r="K766" i="15"/>
  <c r="K772" i="15"/>
  <c r="K778" i="15"/>
  <c r="K781" i="15"/>
  <c r="K793" i="15"/>
  <c r="K839" i="15"/>
  <c r="K865" i="15"/>
  <c r="K877" i="15"/>
  <c r="K883" i="15"/>
  <c r="K946" i="15"/>
  <c r="K971" i="15"/>
  <c r="K996" i="15"/>
  <c r="K1002" i="15"/>
  <c r="K1008" i="15"/>
  <c r="K1014" i="15"/>
  <c r="K1017" i="15"/>
  <c r="K1023" i="15"/>
  <c r="K1029" i="15"/>
  <c r="K1032" i="15"/>
  <c r="K1050" i="15"/>
  <c r="K1084" i="15"/>
  <c r="K1112" i="15"/>
  <c r="K1167" i="15"/>
  <c r="K1173" i="15"/>
  <c r="K1201" i="15"/>
  <c r="K1210" i="15"/>
  <c r="K1213" i="15"/>
  <c r="K830" i="15"/>
  <c r="K845" i="15"/>
  <c r="K861" i="15"/>
  <c r="K889" i="15"/>
  <c r="K968" i="15"/>
  <c r="K980" i="15"/>
  <c r="K992" i="15"/>
  <c r="K1004" i="15"/>
  <c r="K1010" i="15"/>
  <c r="K1081" i="15"/>
  <c r="K1090" i="15"/>
  <c r="K1093" i="15"/>
  <c r="K1182" i="15"/>
  <c r="K1194" i="15"/>
  <c r="K1200" i="15"/>
  <c r="K1209" i="15"/>
  <c r="K1212" i="15"/>
  <c r="K1221" i="15"/>
  <c r="K1227" i="15"/>
  <c r="K1230" i="15"/>
  <c r="K104" i="15"/>
  <c r="K128" i="15"/>
  <c r="K152" i="15"/>
  <c r="K176" i="15"/>
  <c r="K200" i="15"/>
  <c r="K224" i="15"/>
  <c r="K248" i="15"/>
  <c r="K272" i="15"/>
  <c r="K296" i="15"/>
  <c r="K319" i="15"/>
  <c r="K546" i="15"/>
  <c r="K320" i="15"/>
  <c r="K356" i="15"/>
  <c r="K332" i="15"/>
  <c r="K344" i="15"/>
  <c r="K498" i="15"/>
  <c r="K333" i="15"/>
  <c r="K345" i="15"/>
  <c r="K620" i="15"/>
  <c r="K307" i="15"/>
  <c r="K401" i="15"/>
  <c r="K437" i="15"/>
  <c r="K581" i="15"/>
  <c r="K588" i="15"/>
  <c r="K599" i="15"/>
  <c r="K636" i="15"/>
  <c r="K648" i="15"/>
  <c r="K405" i="15"/>
  <c r="K441" i="15"/>
  <c r="K449" i="15"/>
  <c r="K465" i="15"/>
  <c r="K473" i="15"/>
  <c r="K489" i="15"/>
  <c r="K497" i="15"/>
  <c r="K513" i="15"/>
  <c r="K521" i="15"/>
  <c r="K537" i="15"/>
  <c r="K545" i="15"/>
  <c r="K561" i="15"/>
  <c r="K569" i="15"/>
  <c r="K444" i="15"/>
  <c r="K468" i="15"/>
  <c r="K492" i="15"/>
  <c r="K516" i="15"/>
  <c r="K540" i="15"/>
  <c r="K564" i="15"/>
  <c r="K637" i="15"/>
  <c r="K649" i="15"/>
  <c r="K914" i="15"/>
  <c r="K1011" i="15"/>
  <c r="K1155" i="15"/>
  <c r="K900" i="15"/>
  <c r="K903" i="15"/>
  <c r="K938" i="15"/>
  <c r="K1035" i="15"/>
  <c r="K1179" i="15"/>
  <c r="K864" i="15"/>
  <c r="K867" i="15"/>
  <c r="K1047" i="15"/>
  <c r="K915" i="15"/>
  <c r="K1059" i="15"/>
  <c r="K1203" i="15"/>
  <c r="K1071" i="15"/>
  <c r="K1215" i="15"/>
  <c r="K726" i="15"/>
  <c r="K750" i="15"/>
  <c r="K774" i="15"/>
  <c r="K798" i="15"/>
  <c r="K846" i="15"/>
  <c r="K876" i="15"/>
  <c r="K879" i="15"/>
  <c r="K951" i="15"/>
  <c r="K1095" i="15"/>
  <c r="K963" i="15"/>
  <c r="K1107" i="15"/>
  <c r="K987" i="15"/>
  <c r="K1131" i="15"/>
  <c r="K4" i="15"/>
  <c r="P77" i="15" l="1"/>
  <c r="O77" i="15"/>
  <c r="R77" i="15"/>
  <c r="R69" i="15"/>
  <c r="R57" i="15"/>
  <c r="R45" i="15"/>
  <c r="R33" i="15"/>
  <c r="R21" i="15"/>
  <c r="R9" i="15"/>
  <c r="P74" i="15"/>
  <c r="P62" i="15"/>
  <c r="P50" i="15"/>
  <c r="P38" i="15"/>
  <c r="P26" i="15"/>
  <c r="P12" i="15"/>
  <c r="O73" i="15"/>
  <c r="O61" i="15"/>
  <c r="O49" i="15"/>
  <c r="O37" i="15"/>
  <c r="O25" i="15"/>
  <c r="O11" i="15"/>
  <c r="R68" i="15"/>
  <c r="R56" i="15"/>
  <c r="R44" i="15"/>
  <c r="R32" i="15"/>
  <c r="R20" i="15"/>
  <c r="R8" i="15"/>
  <c r="P73" i="15"/>
  <c r="P61" i="15"/>
  <c r="Q61" i="15" s="1"/>
  <c r="P49" i="15"/>
  <c r="Q49" i="15" s="1"/>
  <c r="P37" i="15"/>
  <c r="P25" i="15"/>
  <c r="Q25" i="15" s="1"/>
  <c r="P11" i="15"/>
  <c r="O72" i="15"/>
  <c r="O60" i="15"/>
  <c r="O48" i="15"/>
  <c r="O36" i="15"/>
  <c r="O24" i="15"/>
  <c r="O10" i="15"/>
  <c r="R67" i="15"/>
  <c r="R55" i="15"/>
  <c r="R43" i="15"/>
  <c r="R31" i="15"/>
  <c r="R19" i="15"/>
  <c r="R7" i="15"/>
  <c r="P72" i="15"/>
  <c r="Q72" i="15" s="1"/>
  <c r="P60" i="15"/>
  <c r="Q60" i="15" s="1"/>
  <c r="P48" i="15"/>
  <c r="Q48" i="15" s="1"/>
  <c r="P36" i="15"/>
  <c r="Q36" i="15" s="1"/>
  <c r="P24" i="15"/>
  <c r="Q24" i="15" s="1"/>
  <c r="P10" i="15"/>
  <c r="O71" i="15"/>
  <c r="O59" i="15"/>
  <c r="O47" i="15"/>
  <c r="O35" i="15"/>
  <c r="O23" i="15"/>
  <c r="O9" i="15"/>
  <c r="R66" i="15"/>
  <c r="R54" i="15"/>
  <c r="R42" i="15"/>
  <c r="R30" i="15"/>
  <c r="R18" i="15"/>
  <c r="R6" i="15"/>
  <c r="P71" i="15"/>
  <c r="P59" i="15"/>
  <c r="Q59" i="15" s="1"/>
  <c r="P47" i="15"/>
  <c r="Q47" i="15" s="1"/>
  <c r="P35" i="15"/>
  <c r="Q35" i="15" s="1"/>
  <c r="P23" i="15"/>
  <c r="Q23" i="15" s="1"/>
  <c r="P9" i="15"/>
  <c r="O70" i="15"/>
  <c r="O58" i="15"/>
  <c r="O46" i="15"/>
  <c r="O34" i="15"/>
  <c r="O22" i="15"/>
  <c r="R65" i="15"/>
  <c r="R53" i="15"/>
  <c r="R41" i="15"/>
  <c r="R29" i="15"/>
  <c r="R17" i="15"/>
  <c r="R5" i="15"/>
  <c r="P70" i="15"/>
  <c r="P58" i="15"/>
  <c r="P46" i="15"/>
  <c r="P34" i="15"/>
  <c r="Q34" i="15" s="1"/>
  <c r="P22" i="15"/>
  <c r="P8" i="15"/>
  <c r="O69" i="15"/>
  <c r="O57" i="15"/>
  <c r="O45" i="15"/>
  <c r="O33" i="15"/>
  <c r="O21" i="15"/>
  <c r="O7" i="15"/>
  <c r="R76" i="15"/>
  <c r="R64" i="15"/>
  <c r="R52" i="15"/>
  <c r="R40" i="15"/>
  <c r="R28" i="15"/>
  <c r="R16" i="15"/>
  <c r="R4" i="15"/>
  <c r="P69" i="15"/>
  <c r="P57" i="15"/>
  <c r="P45" i="15"/>
  <c r="P33" i="15"/>
  <c r="P21" i="15"/>
  <c r="P7" i="15"/>
  <c r="O68" i="15"/>
  <c r="O56" i="15"/>
  <c r="R75" i="15"/>
  <c r="R63" i="15"/>
  <c r="R51" i="15"/>
  <c r="R39" i="15"/>
  <c r="R27" i="15"/>
  <c r="R15" i="15"/>
  <c r="P15" i="15"/>
  <c r="P68" i="15"/>
  <c r="P56" i="15"/>
  <c r="P44" i="15"/>
  <c r="P32" i="15"/>
  <c r="P20" i="15"/>
  <c r="P6" i="15"/>
  <c r="O67" i="15"/>
  <c r="O55" i="15"/>
  <c r="O43" i="15"/>
  <c r="O31" i="15"/>
  <c r="O19" i="15"/>
  <c r="O5" i="15"/>
  <c r="R74" i="15"/>
  <c r="R62" i="15"/>
  <c r="R50" i="15"/>
  <c r="R38" i="15"/>
  <c r="R26" i="15"/>
  <c r="R14" i="15"/>
  <c r="O15" i="15"/>
  <c r="P67" i="15"/>
  <c r="P55" i="15"/>
  <c r="P43" i="15"/>
  <c r="P31" i="15"/>
  <c r="P19" i="15"/>
  <c r="Q19" i="15" s="1"/>
  <c r="P5" i="15"/>
  <c r="O66" i="15"/>
  <c r="O54" i="15"/>
  <c r="O42" i="15"/>
  <c r="O30" i="15"/>
  <c r="O18" i="15"/>
  <c r="O4" i="15"/>
  <c r="R73" i="15"/>
  <c r="R61" i="15"/>
  <c r="S61" i="15" s="1"/>
  <c r="R49" i="15"/>
  <c r="R37" i="15"/>
  <c r="R25" i="15"/>
  <c r="S25" i="15" s="1"/>
  <c r="R13" i="15"/>
  <c r="P16" i="15"/>
  <c r="P66" i="15"/>
  <c r="Q66" i="15" s="1"/>
  <c r="P54" i="15"/>
  <c r="Q54" i="15" s="1"/>
  <c r="P42" i="15"/>
  <c r="P30" i="15"/>
  <c r="Q30" i="15" s="1"/>
  <c r="P18" i="15"/>
  <c r="P4" i="15"/>
  <c r="O65" i="15"/>
  <c r="O53" i="15"/>
  <c r="O41" i="15"/>
  <c r="O29" i="15"/>
  <c r="O17" i="15"/>
  <c r="R72" i="15"/>
  <c r="R60" i="15"/>
  <c r="R48" i="15"/>
  <c r="R36" i="15"/>
  <c r="S36" i="15" s="1"/>
  <c r="R24" i="15"/>
  <c r="R12" i="15"/>
  <c r="O16" i="15"/>
  <c r="P65" i="15"/>
  <c r="Q65" i="15" s="1"/>
  <c r="P53" i="15"/>
  <c r="Q53" i="15" s="1"/>
  <c r="P41" i="15"/>
  <c r="Q41" i="15" s="1"/>
  <c r="P29" i="15"/>
  <c r="Q29" i="15" s="1"/>
  <c r="P17" i="15"/>
  <c r="O76" i="15"/>
  <c r="O64" i="15"/>
  <c r="O52" i="15"/>
  <c r="O40" i="15"/>
  <c r="O28" i="15"/>
  <c r="O14" i="15"/>
  <c r="R71" i="15"/>
  <c r="R59" i="15"/>
  <c r="S59" i="15" s="1"/>
  <c r="R47" i="15"/>
  <c r="R35" i="15"/>
  <c r="R23" i="15"/>
  <c r="S23" i="15" s="1"/>
  <c r="R11" i="15"/>
  <c r="P76" i="15"/>
  <c r="Q76" i="15" s="1"/>
  <c r="I75" i="3" s="1"/>
  <c r="P64" i="15"/>
  <c r="Q64" i="15" s="1"/>
  <c r="P52" i="15"/>
  <c r="Q52" i="15" s="1"/>
  <c r="P40" i="15"/>
  <c r="Q40" i="15" s="1"/>
  <c r="P28" i="15"/>
  <c r="Q28" i="15" s="1"/>
  <c r="P14" i="15"/>
  <c r="O75" i="15"/>
  <c r="O63" i="15"/>
  <c r="O51" i="15"/>
  <c r="O39" i="15"/>
  <c r="O27" i="15"/>
  <c r="O13" i="15"/>
  <c r="R70" i="15"/>
  <c r="S70" i="15" s="1"/>
  <c r="R58" i="15"/>
  <c r="R46" i="15"/>
  <c r="R34" i="15"/>
  <c r="S34" i="15" s="1"/>
  <c r="R22" i="15"/>
  <c r="R10" i="15"/>
  <c r="P75" i="15"/>
  <c r="Q75" i="15" s="1"/>
  <c r="I74" i="3" s="1"/>
  <c r="P63" i="15"/>
  <c r="Q63" i="15" s="1"/>
  <c r="P51" i="15"/>
  <c r="Q51" i="15" s="1"/>
  <c r="P39" i="15"/>
  <c r="Q39" i="15" s="1"/>
  <c r="P27" i="15"/>
  <c r="P13" i="15"/>
  <c r="O74" i="15"/>
  <c r="O62" i="15"/>
  <c r="O50" i="15"/>
  <c r="O38" i="15"/>
  <c r="O26" i="15"/>
  <c r="O12" i="15"/>
  <c r="O44" i="15"/>
  <c r="O32" i="15"/>
  <c r="O20" i="15"/>
  <c r="O8" i="15"/>
  <c r="O6" i="15"/>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 i="7"/>
  <c r="S48" i="15" l="1"/>
  <c r="S58" i="15"/>
  <c r="S60" i="15"/>
  <c r="S72" i="15"/>
  <c r="Q58" i="15"/>
  <c r="Q68" i="15"/>
  <c r="S77" i="15"/>
  <c r="S46" i="15"/>
  <c r="Q77" i="15"/>
  <c r="I76" i="3" s="1"/>
  <c r="Q18" i="15"/>
  <c r="Q73" i="15"/>
  <c r="Q45" i="15"/>
  <c r="Q55" i="15"/>
  <c r="Q42" i="15"/>
  <c r="Q46" i="15"/>
  <c r="Q37" i="15"/>
  <c r="S35" i="15"/>
  <c r="S37" i="15"/>
  <c r="Q17" i="15"/>
  <c r="Q22" i="15"/>
  <c r="S22" i="15"/>
  <c r="S24" i="15"/>
  <c r="Q27" i="15"/>
  <c r="Q70" i="15"/>
  <c r="Q56" i="15"/>
  <c r="Q21" i="15"/>
  <c r="S47" i="15"/>
  <c r="S49" i="15"/>
  <c r="Q43" i="15"/>
  <c r="Q69" i="15"/>
  <c r="S67" i="15"/>
  <c r="S69" i="15"/>
  <c r="S27" i="15"/>
  <c r="S39" i="15"/>
  <c r="S65" i="15"/>
  <c r="S71" i="15"/>
  <c r="S73" i="15"/>
  <c r="Q67" i="15"/>
  <c r="S51" i="15"/>
  <c r="S18" i="15"/>
  <c r="S20" i="15"/>
  <c r="Q26" i="15"/>
  <c r="S63" i="15"/>
  <c r="S28" i="15"/>
  <c r="S30" i="15"/>
  <c r="S32" i="15"/>
  <c r="Q38" i="15"/>
  <c r="S75" i="15"/>
  <c r="S40" i="15"/>
  <c r="S42" i="15"/>
  <c r="S44" i="15"/>
  <c r="Q50" i="15"/>
  <c r="Q71" i="15"/>
  <c r="S26" i="15"/>
  <c r="Q20" i="15"/>
  <c r="S52" i="15"/>
  <c r="S54" i="15"/>
  <c r="S56" i="15"/>
  <c r="Q62" i="15"/>
  <c r="S38" i="15"/>
  <c r="Q32" i="15"/>
  <c r="S64" i="15"/>
  <c r="S66" i="15"/>
  <c r="S68" i="15"/>
  <c r="Q74" i="15"/>
  <c r="I73" i="3" s="1"/>
  <c r="S50" i="15"/>
  <c r="Q44" i="15"/>
  <c r="S76" i="15"/>
  <c r="S53" i="15"/>
  <c r="S62" i="15"/>
  <c r="S19" i="15"/>
  <c r="S21" i="15"/>
  <c r="S74" i="15"/>
  <c r="Q33" i="15"/>
  <c r="S17" i="15"/>
  <c r="S31" i="15"/>
  <c r="S33" i="15"/>
  <c r="S29" i="15"/>
  <c r="S43" i="15"/>
  <c r="S45" i="15"/>
  <c r="Q31" i="15"/>
  <c r="Q57" i="15"/>
  <c r="S41" i="15"/>
  <c r="S55" i="15"/>
  <c r="S57" i="15"/>
  <c r="I586" i="8"/>
  <c r="I580" i="8"/>
  <c r="I504" i="8"/>
  <c r="G928" i="8"/>
  <c r="F928" i="8"/>
  <c r="I928" i="8" s="1"/>
  <c r="D928" i="8"/>
  <c r="O928" i="8" s="1"/>
  <c r="G927" i="8"/>
  <c r="F927" i="8"/>
  <c r="D927" i="8"/>
  <c r="O927" i="8" s="1"/>
  <c r="G926" i="8"/>
  <c r="F926" i="8"/>
  <c r="D926" i="8"/>
  <c r="O926" i="8" s="1"/>
  <c r="G925" i="8"/>
  <c r="F925" i="8"/>
  <c r="D925" i="8"/>
  <c r="O925" i="8" s="1"/>
  <c r="G924" i="8"/>
  <c r="F924" i="8"/>
  <c r="I924" i="8" s="1"/>
  <c r="D924" i="8"/>
  <c r="O924" i="8" s="1"/>
  <c r="G923" i="8"/>
  <c r="F923" i="8"/>
  <c r="D923" i="8"/>
  <c r="O923" i="8" s="1"/>
  <c r="G922" i="8"/>
  <c r="I922" i="8" s="1"/>
  <c r="F922" i="8"/>
  <c r="D922" i="8"/>
  <c r="O922" i="8" s="1"/>
  <c r="G921" i="8"/>
  <c r="F921" i="8"/>
  <c r="D921" i="8"/>
  <c r="O921" i="8" s="1"/>
  <c r="G920" i="8"/>
  <c r="F920" i="8"/>
  <c r="I920" i="8" s="1"/>
  <c r="D920" i="8"/>
  <c r="O920" i="8" s="1"/>
  <c r="G919" i="8"/>
  <c r="F919" i="8"/>
  <c r="D919" i="8"/>
  <c r="O919" i="8" s="1"/>
  <c r="G918" i="8"/>
  <c r="F918" i="8"/>
  <c r="D918" i="8"/>
  <c r="O918" i="8" s="1"/>
  <c r="G917" i="8"/>
  <c r="F917" i="8"/>
  <c r="D917" i="8"/>
  <c r="O917" i="8" s="1"/>
  <c r="G916" i="8"/>
  <c r="F916" i="8"/>
  <c r="I916" i="8" s="1"/>
  <c r="D916" i="8"/>
  <c r="O916" i="8" s="1"/>
  <c r="G915" i="8"/>
  <c r="F915" i="8"/>
  <c r="D915" i="8"/>
  <c r="O915" i="8" s="1"/>
  <c r="G914" i="8"/>
  <c r="F914" i="8"/>
  <c r="D914" i="8"/>
  <c r="O914" i="8" s="1"/>
  <c r="G913" i="8"/>
  <c r="F913" i="8"/>
  <c r="D913" i="8"/>
  <c r="O913" i="8" s="1"/>
  <c r="G912" i="8"/>
  <c r="F912" i="8"/>
  <c r="I912" i="8" s="1"/>
  <c r="D912" i="8"/>
  <c r="O912" i="8" s="1"/>
  <c r="G911" i="8"/>
  <c r="F911" i="8"/>
  <c r="D911" i="8"/>
  <c r="O911" i="8" s="1"/>
  <c r="G910" i="8"/>
  <c r="F910" i="8"/>
  <c r="D910" i="8"/>
  <c r="O910" i="8" s="1"/>
  <c r="G909" i="8"/>
  <c r="F909" i="8"/>
  <c r="D909" i="8"/>
  <c r="O909" i="8" s="1"/>
  <c r="G908" i="8"/>
  <c r="F908" i="8"/>
  <c r="I908" i="8" s="1"/>
  <c r="D908" i="8"/>
  <c r="O908" i="8" s="1"/>
  <c r="G907" i="8"/>
  <c r="I907" i="8" s="1"/>
  <c r="F907" i="8"/>
  <c r="D907" i="8"/>
  <c r="O907" i="8" s="1"/>
  <c r="G906" i="8"/>
  <c r="F906" i="8"/>
  <c r="I906" i="8" s="1"/>
  <c r="D906" i="8"/>
  <c r="O906" i="8" s="1"/>
  <c r="G905" i="8"/>
  <c r="F905" i="8"/>
  <c r="D905" i="8"/>
  <c r="O905" i="8" s="1"/>
  <c r="G904" i="8"/>
  <c r="F904" i="8"/>
  <c r="D904" i="8"/>
  <c r="O904" i="8" s="1"/>
  <c r="G903" i="8"/>
  <c r="F903" i="8"/>
  <c r="D903" i="8"/>
  <c r="O903" i="8" s="1"/>
  <c r="G902" i="8"/>
  <c r="F902" i="8"/>
  <c r="D902" i="8"/>
  <c r="O902" i="8" s="1"/>
  <c r="G901" i="8"/>
  <c r="F901" i="8"/>
  <c r="D901" i="8"/>
  <c r="O901" i="8" s="1"/>
  <c r="G900" i="8"/>
  <c r="F900" i="8"/>
  <c r="I900" i="8" s="1"/>
  <c r="D900" i="8"/>
  <c r="O900" i="8" s="1"/>
  <c r="G899" i="8"/>
  <c r="F899" i="8"/>
  <c r="I899" i="8" s="1"/>
  <c r="D899" i="8"/>
  <c r="O899" i="8" s="1"/>
  <c r="G898" i="8"/>
  <c r="F898" i="8"/>
  <c r="I898" i="8" s="1"/>
  <c r="D898" i="8"/>
  <c r="O898" i="8" s="1"/>
  <c r="G897" i="8"/>
  <c r="F897" i="8"/>
  <c r="D897" i="8"/>
  <c r="O897" i="8" s="1"/>
  <c r="G896" i="8"/>
  <c r="F896" i="8"/>
  <c r="I896" i="8" s="1"/>
  <c r="D896" i="8"/>
  <c r="O896" i="8" s="1"/>
  <c r="G895" i="8"/>
  <c r="F895" i="8"/>
  <c r="D895" i="8"/>
  <c r="O895" i="8" s="1"/>
  <c r="G894" i="8"/>
  <c r="F894" i="8"/>
  <c r="D894" i="8"/>
  <c r="O894" i="8" s="1"/>
  <c r="G893" i="8"/>
  <c r="F893" i="8"/>
  <c r="D893" i="8"/>
  <c r="O893" i="8" s="1"/>
  <c r="G892" i="8"/>
  <c r="F892" i="8"/>
  <c r="I892" i="8" s="1"/>
  <c r="D892" i="8"/>
  <c r="O892" i="8" s="1"/>
  <c r="G891" i="8"/>
  <c r="F891" i="8"/>
  <c r="D891" i="8"/>
  <c r="O891" i="8" s="1"/>
  <c r="G890" i="8"/>
  <c r="F890" i="8"/>
  <c r="D890" i="8"/>
  <c r="O890" i="8" s="1"/>
  <c r="G889" i="8"/>
  <c r="F889" i="8"/>
  <c r="D889" i="8"/>
  <c r="O889" i="8" s="1"/>
  <c r="G888" i="8"/>
  <c r="F888" i="8"/>
  <c r="I888" i="8" s="1"/>
  <c r="D888" i="8"/>
  <c r="O888" i="8" s="1"/>
  <c r="G887" i="8"/>
  <c r="I887" i="8" s="1"/>
  <c r="F887" i="8"/>
  <c r="D887" i="8"/>
  <c r="O887" i="8" s="1"/>
  <c r="G886" i="8"/>
  <c r="F886" i="8"/>
  <c r="D886" i="8"/>
  <c r="O886" i="8" s="1"/>
  <c r="G885" i="8"/>
  <c r="F885" i="8"/>
  <c r="D885" i="8"/>
  <c r="O885" i="8" s="1"/>
  <c r="G884" i="8"/>
  <c r="F884" i="8"/>
  <c r="I884" i="8" s="1"/>
  <c r="D884" i="8"/>
  <c r="O884" i="8" s="1"/>
  <c r="G883" i="8"/>
  <c r="F883" i="8"/>
  <c r="D883" i="8"/>
  <c r="O883" i="8" s="1"/>
  <c r="G882" i="8"/>
  <c r="F882" i="8"/>
  <c r="I882" i="8" s="1"/>
  <c r="D882" i="8"/>
  <c r="O882" i="8" s="1"/>
  <c r="G881" i="8"/>
  <c r="F881" i="8"/>
  <c r="D881" i="8"/>
  <c r="O881" i="8" s="1"/>
  <c r="G880" i="8"/>
  <c r="F880" i="8"/>
  <c r="I880" i="8" s="1"/>
  <c r="D880" i="8"/>
  <c r="O880" i="8" s="1"/>
  <c r="G879" i="8"/>
  <c r="F879" i="8"/>
  <c r="D879" i="8"/>
  <c r="O879" i="8" s="1"/>
  <c r="G878" i="8"/>
  <c r="F878" i="8"/>
  <c r="D878" i="8"/>
  <c r="O878" i="8" s="1"/>
  <c r="G877" i="8"/>
  <c r="F877" i="8"/>
  <c r="D877" i="8"/>
  <c r="O877" i="8" s="1"/>
  <c r="G876" i="8"/>
  <c r="F876" i="8"/>
  <c r="I876" i="8" s="1"/>
  <c r="D876" i="8"/>
  <c r="O876" i="8" s="1"/>
  <c r="G875" i="8"/>
  <c r="F875" i="8"/>
  <c r="I875" i="8" s="1"/>
  <c r="D875" i="8"/>
  <c r="O875" i="8" s="1"/>
  <c r="G874" i="8"/>
  <c r="F874" i="8"/>
  <c r="D874" i="8"/>
  <c r="O874" i="8" s="1"/>
  <c r="G873" i="8"/>
  <c r="F873" i="8"/>
  <c r="D873" i="8"/>
  <c r="O873" i="8" s="1"/>
  <c r="G872" i="8"/>
  <c r="F872" i="8"/>
  <c r="I872" i="8" s="1"/>
  <c r="D872" i="8"/>
  <c r="O872" i="8" s="1"/>
  <c r="G871" i="8"/>
  <c r="F871" i="8"/>
  <c r="D871" i="8"/>
  <c r="O871" i="8" s="1"/>
  <c r="G870" i="8"/>
  <c r="F870" i="8"/>
  <c r="I870" i="8" s="1"/>
  <c r="D870" i="8"/>
  <c r="O870" i="8" s="1"/>
  <c r="G869" i="8"/>
  <c r="F869" i="8"/>
  <c r="D869" i="8"/>
  <c r="O869" i="8" s="1"/>
  <c r="G868" i="8"/>
  <c r="F868" i="8"/>
  <c r="I868" i="8" s="1"/>
  <c r="D868" i="8"/>
  <c r="O868" i="8" s="1"/>
  <c r="G867" i="8"/>
  <c r="F867" i="8"/>
  <c r="D867" i="8"/>
  <c r="O867" i="8" s="1"/>
  <c r="G866" i="8"/>
  <c r="F866" i="8"/>
  <c r="D866" i="8"/>
  <c r="O866" i="8" s="1"/>
  <c r="G865" i="8"/>
  <c r="F865" i="8"/>
  <c r="D865" i="8"/>
  <c r="O865" i="8" s="1"/>
  <c r="G864" i="8"/>
  <c r="F864" i="8"/>
  <c r="I864" i="8" s="1"/>
  <c r="D864" i="8"/>
  <c r="O864" i="8" s="1"/>
  <c r="G863" i="8"/>
  <c r="F863" i="8"/>
  <c r="D863" i="8"/>
  <c r="O863" i="8" s="1"/>
  <c r="G862" i="8"/>
  <c r="F862" i="8"/>
  <c r="I862" i="8" s="1"/>
  <c r="D862" i="8"/>
  <c r="O862" i="8" s="1"/>
  <c r="G861" i="8"/>
  <c r="F861" i="8"/>
  <c r="D861" i="8"/>
  <c r="O861" i="8" s="1"/>
  <c r="G860" i="8"/>
  <c r="F860" i="8"/>
  <c r="I860" i="8" s="1"/>
  <c r="D860" i="8"/>
  <c r="O860" i="8" s="1"/>
  <c r="G859" i="8"/>
  <c r="F859" i="8"/>
  <c r="D859" i="8"/>
  <c r="O859" i="8" s="1"/>
  <c r="G858" i="8"/>
  <c r="F858" i="8"/>
  <c r="D858" i="8"/>
  <c r="O858" i="8" s="1"/>
  <c r="G857" i="8"/>
  <c r="F857" i="8"/>
  <c r="D857" i="8"/>
  <c r="O857" i="8" s="1"/>
  <c r="G856" i="8"/>
  <c r="F856" i="8"/>
  <c r="I856" i="8" s="1"/>
  <c r="D856" i="8"/>
  <c r="O856" i="8" s="1"/>
  <c r="G855" i="8"/>
  <c r="F855" i="8"/>
  <c r="D855" i="8"/>
  <c r="O855" i="8" s="1"/>
  <c r="G854" i="8"/>
  <c r="F854" i="8"/>
  <c r="D854" i="8"/>
  <c r="O854" i="8" s="1"/>
  <c r="G853" i="8"/>
  <c r="F853" i="8"/>
  <c r="D853" i="8"/>
  <c r="O853" i="8" s="1"/>
  <c r="G852" i="8"/>
  <c r="F852" i="8"/>
  <c r="I852" i="8" s="1"/>
  <c r="D852" i="8"/>
  <c r="O852" i="8" s="1"/>
  <c r="G851" i="8"/>
  <c r="F851" i="8"/>
  <c r="D851" i="8"/>
  <c r="O851" i="8" s="1"/>
  <c r="G850" i="8"/>
  <c r="F850" i="8"/>
  <c r="D850" i="8"/>
  <c r="O850" i="8" s="1"/>
  <c r="G849" i="8"/>
  <c r="F849" i="8"/>
  <c r="D849" i="8"/>
  <c r="O849" i="8" s="1"/>
  <c r="G848" i="8"/>
  <c r="F848" i="8"/>
  <c r="I848" i="8" s="1"/>
  <c r="D848" i="8"/>
  <c r="O848" i="8" s="1"/>
  <c r="G847" i="8"/>
  <c r="F847" i="8"/>
  <c r="D847" i="8"/>
  <c r="O847" i="8" s="1"/>
  <c r="G846" i="8"/>
  <c r="I846" i="8" s="1"/>
  <c r="F846" i="8"/>
  <c r="D846" i="8"/>
  <c r="O846" i="8" s="1"/>
  <c r="G845" i="8"/>
  <c r="F845" i="8"/>
  <c r="D845" i="8"/>
  <c r="O845" i="8" s="1"/>
  <c r="G844" i="8"/>
  <c r="F844" i="8"/>
  <c r="I844" i="8" s="1"/>
  <c r="D844" i="8"/>
  <c r="O844" i="8" s="1"/>
  <c r="G843" i="8"/>
  <c r="F843" i="8"/>
  <c r="D843" i="8"/>
  <c r="O843" i="8" s="1"/>
  <c r="G842" i="8"/>
  <c r="F842" i="8"/>
  <c r="I842" i="8" s="1"/>
  <c r="D842" i="8"/>
  <c r="O842" i="8" s="1"/>
  <c r="G841" i="8"/>
  <c r="F841" i="8"/>
  <c r="D841" i="8"/>
  <c r="O841" i="8" s="1"/>
  <c r="G840" i="8"/>
  <c r="F840" i="8"/>
  <c r="I840" i="8" s="1"/>
  <c r="D840" i="8"/>
  <c r="O840" i="8" s="1"/>
  <c r="G839" i="8"/>
  <c r="F839" i="8"/>
  <c r="D839" i="8"/>
  <c r="O839" i="8" s="1"/>
  <c r="G838" i="8"/>
  <c r="F838" i="8"/>
  <c r="D838" i="8"/>
  <c r="O838" i="8" s="1"/>
  <c r="G837" i="8"/>
  <c r="I837" i="8" s="1"/>
  <c r="F837" i="8"/>
  <c r="D837" i="8"/>
  <c r="O837" i="8" s="1"/>
  <c r="G836" i="8"/>
  <c r="F836" i="8"/>
  <c r="I836" i="8" s="1"/>
  <c r="D836" i="8"/>
  <c r="O836" i="8" s="1"/>
  <c r="G835" i="8"/>
  <c r="F835" i="8"/>
  <c r="D835" i="8"/>
  <c r="O835" i="8" s="1"/>
  <c r="G834" i="8"/>
  <c r="F834" i="8"/>
  <c r="D834" i="8"/>
  <c r="O834" i="8" s="1"/>
  <c r="G833" i="8"/>
  <c r="F833" i="8"/>
  <c r="D833" i="8"/>
  <c r="O833" i="8" s="1"/>
  <c r="G832" i="8"/>
  <c r="F832" i="8"/>
  <c r="I832" i="8" s="1"/>
  <c r="D832" i="8"/>
  <c r="O832" i="8" s="1"/>
  <c r="G831" i="8"/>
  <c r="F831" i="8"/>
  <c r="D831" i="8"/>
  <c r="O831" i="8" s="1"/>
  <c r="G830" i="8"/>
  <c r="F830" i="8"/>
  <c r="D830" i="8"/>
  <c r="O830" i="8" s="1"/>
  <c r="G829" i="8"/>
  <c r="F829" i="8"/>
  <c r="D829" i="8"/>
  <c r="O829" i="8" s="1"/>
  <c r="G828" i="8"/>
  <c r="F828" i="8"/>
  <c r="I828" i="8" s="1"/>
  <c r="D828" i="8"/>
  <c r="O828" i="8" s="1"/>
  <c r="G827" i="8"/>
  <c r="F827" i="8"/>
  <c r="D827" i="8"/>
  <c r="O827" i="8" s="1"/>
  <c r="G826" i="8"/>
  <c r="F826" i="8"/>
  <c r="D826" i="8"/>
  <c r="O826" i="8" s="1"/>
  <c r="G825" i="8"/>
  <c r="F825" i="8"/>
  <c r="D825" i="8"/>
  <c r="O825" i="8" s="1"/>
  <c r="G824" i="8"/>
  <c r="F824" i="8"/>
  <c r="I824" i="8" s="1"/>
  <c r="D824" i="8"/>
  <c r="O824" i="8" s="1"/>
  <c r="G823" i="8"/>
  <c r="F823" i="8"/>
  <c r="D823" i="8"/>
  <c r="O823" i="8" s="1"/>
  <c r="G822" i="8"/>
  <c r="F822" i="8"/>
  <c r="D822" i="8"/>
  <c r="O822" i="8" s="1"/>
  <c r="G821" i="8"/>
  <c r="F821" i="8"/>
  <c r="D821" i="8"/>
  <c r="O821" i="8" s="1"/>
  <c r="G820" i="8"/>
  <c r="F820" i="8"/>
  <c r="I820" i="8" s="1"/>
  <c r="D820" i="8"/>
  <c r="O820" i="8" s="1"/>
  <c r="G819" i="8"/>
  <c r="F819" i="8"/>
  <c r="D819" i="8"/>
  <c r="O819" i="8" s="1"/>
  <c r="G818" i="8"/>
  <c r="F818" i="8"/>
  <c r="D818" i="8"/>
  <c r="O818" i="8" s="1"/>
  <c r="G817" i="8"/>
  <c r="F817" i="8"/>
  <c r="D817" i="8"/>
  <c r="O817" i="8" s="1"/>
  <c r="G816" i="8"/>
  <c r="F816" i="8"/>
  <c r="I816" i="8" s="1"/>
  <c r="D816" i="8"/>
  <c r="O816" i="8" s="1"/>
  <c r="G815" i="8"/>
  <c r="F815" i="8"/>
  <c r="D815" i="8"/>
  <c r="O815" i="8" s="1"/>
  <c r="G814" i="8"/>
  <c r="I814" i="8" s="1"/>
  <c r="F814" i="8"/>
  <c r="D814" i="8"/>
  <c r="O814" i="8" s="1"/>
  <c r="G813" i="8"/>
  <c r="F813" i="8"/>
  <c r="D813" i="8"/>
  <c r="O813" i="8" s="1"/>
  <c r="G812" i="8"/>
  <c r="F812" i="8"/>
  <c r="I812" i="8" s="1"/>
  <c r="D812" i="8"/>
  <c r="O812" i="8" s="1"/>
  <c r="G811" i="8"/>
  <c r="F811" i="8"/>
  <c r="D811" i="8"/>
  <c r="O811" i="8" s="1"/>
  <c r="G810" i="8"/>
  <c r="F810" i="8"/>
  <c r="D810" i="8"/>
  <c r="O810" i="8" s="1"/>
  <c r="G809" i="8"/>
  <c r="F809" i="8"/>
  <c r="D809" i="8"/>
  <c r="O809" i="8" s="1"/>
  <c r="G808" i="8"/>
  <c r="F808" i="8"/>
  <c r="I808" i="8" s="1"/>
  <c r="D808" i="8"/>
  <c r="O808" i="8" s="1"/>
  <c r="G807" i="8"/>
  <c r="F807" i="8"/>
  <c r="D807" i="8"/>
  <c r="O807" i="8" s="1"/>
  <c r="G806" i="8"/>
  <c r="F806" i="8"/>
  <c r="D806" i="8"/>
  <c r="O806" i="8" s="1"/>
  <c r="G805" i="8"/>
  <c r="F805" i="8"/>
  <c r="D805" i="8"/>
  <c r="O805" i="8" s="1"/>
  <c r="G804" i="8"/>
  <c r="F804" i="8"/>
  <c r="I804" i="8" s="1"/>
  <c r="D804" i="8"/>
  <c r="O804" i="8" s="1"/>
  <c r="G803" i="8"/>
  <c r="F803" i="8"/>
  <c r="D803" i="8"/>
  <c r="O803" i="8" s="1"/>
  <c r="G802" i="8"/>
  <c r="F802" i="8"/>
  <c r="D802" i="8"/>
  <c r="O802" i="8" s="1"/>
  <c r="G801" i="8"/>
  <c r="F801" i="8"/>
  <c r="D801" i="8"/>
  <c r="O801" i="8" s="1"/>
  <c r="G800" i="8"/>
  <c r="F800" i="8"/>
  <c r="I800" i="8" s="1"/>
  <c r="D800" i="8"/>
  <c r="O800" i="8" s="1"/>
  <c r="G799" i="8"/>
  <c r="F799" i="8"/>
  <c r="D799" i="8"/>
  <c r="O799" i="8" s="1"/>
  <c r="G798" i="8"/>
  <c r="F798" i="8"/>
  <c r="I798" i="8" s="1"/>
  <c r="D798" i="8"/>
  <c r="O798" i="8" s="1"/>
  <c r="G797" i="8"/>
  <c r="F797" i="8"/>
  <c r="D797" i="8"/>
  <c r="O797" i="8" s="1"/>
  <c r="G796" i="8"/>
  <c r="F796" i="8"/>
  <c r="I796" i="8" s="1"/>
  <c r="D796" i="8"/>
  <c r="O796" i="8" s="1"/>
  <c r="G795" i="8"/>
  <c r="F795" i="8"/>
  <c r="D795" i="8"/>
  <c r="O795" i="8" s="1"/>
  <c r="G794" i="8"/>
  <c r="F794" i="8"/>
  <c r="I794" i="8" s="1"/>
  <c r="D794" i="8"/>
  <c r="O794" i="8" s="1"/>
  <c r="G793" i="8"/>
  <c r="F793" i="8"/>
  <c r="D793" i="8"/>
  <c r="O793" i="8" s="1"/>
  <c r="G792" i="8"/>
  <c r="F792" i="8"/>
  <c r="I792" i="8" s="1"/>
  <c r="D792" i="8"/>
  <c r="O792" i="8" s="1"/>
  <c r="G791" i="8"/>
  <c r="F791" i="8"/>
  <c r="D791" i="8"/>
  <c r="O791" i="8" s="1"/>
  <c r="G790" i="8"/>
  <c r="F790" i="8"/>
  <c r="I790" i="8" s="1"/>
  <c r="D790" i="8"/>
  <c r="O790" i="8" s="1"/>
  <c r="G789" i="8"/>
  <c r="I789" i="8" s="1"/>
  <c r="F789" i="8"/>
  <c r="D789" i="8"/>
  <c r="O789" i="8" s="1"/>
  <c r="G788" i="8"/>
  <c r="F788" i="8"/>
  <c r="I788" i="8" s="1"/>
  <c r="D788" i="8"/>
  <c r="O788" i="8" s="1"/>
  <c r="G787" i="8"/>
  <c r="F787" i="8"/>
  <c r="D787" i="8"/>
  <c r="O787" i="8" s="1"/>
  <c r="G786" i="8"/>
  <c r="F786" i="8"/>
  <c r="D786" i="8"/>
  <c r="O786" i="8" s="1"/>
  <c r="G785" i="8"/>
  <c r="F785" i="8"/>
  <c r="D785" i="8"/>
  <c r="O785" i="8" s="1"/>
  <c r="G784" i="8"/>
  <c r="F784" i="8"/>
  <c r="I784" i="8" s="1"/>
  <c r="D784" i="8"/>
  <c r="O784" i="8" s="1"/>
  <c r="G783" i="8"/>
  <c r="F783" i="8"/>
  <c r="D783" i="8"/>
  <c r="O783" i="8" s="1"/>
  <c r="G782" i="8"/>
  <c r="F782" i="8"/>
  <c r="D782" i="8"/>
  <c r="O782" i="8" s="1"/>
  <c r="G781" i="8"/>
  <c r="F781" i="8"/>
  <c r="D781" i="8"/>
  <c r="O781" i="8" s="1"/>
  <c r="G780" i="8"/>
  <c r="F780" i="8"/>
  <c r="I780" i="8" s="1"/>
  <c r="D780" i="8"/>
  <c r="O780" i="8" s="1"/>
  <c r="G779" i="8"/>
  <c r="F779" i="8"/>
  <c r="D779" i="8"/>
  <c r="O779" i="8" s="1"/>
  <c r="G778" i="8"/>
  <c r="F778" i="8"/>
  <c r="I778" i="8" s="1"/>
  <c r="D778" i="8"/>
  <c r="O778" i="8" s="1"/>
  <c r="G777" i="8"/>
  <c r="F777" i="8"/>
  <c r="D777" i="8"/>
  <c r="O777" i="8" s="1"/>
  <c r="G776" i="8"/>
  <c r="F776" i="8"/>
  <c r="I776" i="8" s="1"/>
  <c r="D776" i="8"/>
  <c r="O776" i="8" s="1"/>
  <c r="G775" i="8"/>
  <c r="F775" i="8"/>
  <c r="D775" i="8"/>
  <c r="O775" i="8" s="1"/>
  <c r="G774" i="8"/>
  <c r="F774" i="8"/>
  <c r="D774" i="8"/>
  <c r="O774" i="8" s="1"/>
  <c r="G773" i="8"/>
  <c r="F773" i="8"/>
  <c r="D773" i="8"/>
  <c r="O773" i="8" s="1"/>
  <c r="G772" i="8"/>
  <c r="F772" i="8"/>
  <c r="I772" i="8" s="1"/>
  <c r="D772" i="8"/>
  <c r="O772" i="8" s="1"/>
  <c r="G771" i="8"/>
  <c r="F771" i="8"/>
  <c r="D771" i="8"/>
  <c r="O771" i="8" s="1"/>
  <c r="G770" i="8"/>
  <c r="F770" i="8"/>
  <c r="D770" i="8"/>
  <c r="O770" i="8" s="1"/>
  <c r="G769" i="8"/>
  <c r="F769" i="8"/>
  <c r="D769" i="8"/>
  <c r="O769" i="8" s="1"/>
  <c r="G768" i="8"/>
  <c r="F768" i="8"/>
  <c r="I768" i="8" s="1"/>
  <c r="D768" i="8"/>
  <c r="O768" i="8" s="1"/>
  <c r="G767" i="8"/>
  <c r="F767" i="8"/>
  <c r="D767" i="8"/>
  <c r="O767" i="8" s="1"/>
  <c r="G766" i="8"/>
  <c r="F766" i="8"/>
  <c r="D766" i="8"/>
  <c r="O766" i="8" s="1"/>
  <c r="G765" i="8"/>
  <c r="F765" i="8"/>
  <c r="D765" i="8"/>
  <c r="O765" i="8" s="1"/>
  <c r="G764" i="8"/>
  <c r="F764" i="8"/>
  <c r="I764" i="8" s="1"/>
  <c r="D764" i="8"/>
  <c r="O764" i="8" s="1"/>
  <c r="G763" i="8"/>
  <c r="I763" i="8" s="1"/>
  <c r="F763" i="8"/>
  <c r="D763" i="8"/>
  <c r="O763" i="8" s="1"/>
  <c r="G762" i="8"/>
  <c r="I762" i="8" s="1"/>
  <c r="F762" i="8"/>
  <c r="D762" i="8"/>
  <c r="O762" i="8" s="1"/>
  <c r="G761" i="8"/>
  <c r="F761" i="8"/>
  <c r="D761" i="8"/>
  <c r="O761" i="8" s="1"/>
  <c r="G760" i="8"/>
  <c r="F760" i="8"/>
  <c r="I760" i="8" s="1"/>
  <c r="D760" i="8"/>
  <c r="O760" i="8" s="1"/>
  <c r="G759" i="8"/>
  <c r="F759" i="8"/>
  <c r="D759" i="8"/>
  <c r="O759" i="8" s="1"/>
  <c r="G758" i="8"/>
  <c r="I758" i="8" s="1"/>
  <c r="F758" i="8"/>
  <c r="D758" i="8"/>
  <c r="O758" i="8" s="1"/>
  <c r="G757" i="8"/>
  <c r="F757" i="8"/>
  <c r="D757" i="8"/>
  <c r="O757" i="8" s="1"/>
  <c r="G756" i="8"/>
  <c r="F756" i="8"/>
  <c r="I756" i="8" s="1"/>
  <c r="D756" i="8"/>
  <c r="O756" i="8" s="1"/>
  <c r="G755" i="8"/>
  <c r="F755" i="8"/>
  <c r="D755" i="8"/>
  <c r="O755" i="8" s="1"/>
  <c r="G754" i="8"/>
  <c r="F754" i="8"/>
  <c r="D754" i="8"/>
  <c r="O754" i="8" s="1"/>
  <c r="G753" i="8"/>
  <c r="F753" i="8"/>
  <c r="D753" i="8"/>
  <c r="O753" i="8" s="1"/>
  <c r="G752" i="8"/>
  <c r="F752" i="8"/>
  <c r="I752" i="8" s="1"/>
  <c r="D752" i="8"/>
  <c r="O752" i="8" s="1"/>
  <c r="G751" i="8"/>
  <c r="F751" i="8"/>
  <c r="D751" i="8"/>
  <c r="O751" i="8" s="1"/>
  <c r="G750" i="8"/>
  <c r="F750" i="8"/>
  <c r="D750" i="8"/>
  <c r="O750" i="8" s="1"/>
  <c r="G749" i="8"/>
  <c r="F749" i="8"/>
  <c r="D749" i="8"/>
  <c r="O749" i="8" s="1"/>
  <c r="G748" i="8"/>
  <c r="F748" i="8"/>
  <c r="I748" i="8" s="1"/>
  <c r="D748" i="8"/>
  <c r="O748" i="8" s="1"/>
  <c r="G747" i="8"/>
  <c r="F747" i="8"/>
  <c r="D747" i="8"/>
  <c r="O747" i="8" s="1"/>
  <c r="G746" i="8"/>
  <c r="F746" i="8"/>
  <c r="D746" i="8"/>
  <c r="O746" i="8" s="1"/>
  <c r="G745" i="8"/>
  <c r="F745" i="8"/>
  <c r="D745" i="8"/>
  <c r="O745" i="8" s="1"/>
  <c r="G744" i="8"/>
  <c r="F744" i="8"/>
  <c r="I744" i="8" s="1"/>
  <c r="D744" i="8"/>
  <c r="O744" i="8" s="1"/>
  <c r="G743" i="8"/>
  <c r="F743" i="8"/>
  <c r="D743" i="8"/>
  <c r="O743" i="8" s="1"/>
  <c r="G742" i="8"/>
  <c r="F742" i="8"/>
  <c r="D742" i="8"/>
  <c r="O742" i="8" s="1"/>
  <c r="G741" i="8"/>
  <c r="F741" i="8"/>
  <c r="D741" i="8"/>
  <c r="O741" i="8" s="1"/>
  <c r="G740" i="8"/>
  <c r="F740" i="8"/>
  <c r="I740" i="8" s="1"/>
  <c r="D740" i="8"/>
  <c r="O740" i="8" s="1"/>
  <c r="G739" i="8"/>
  <c r="F739" i="8"/>
  <c r="D739" i="8"/>
  <c r="O739" i="8" s="1"/>
  <c r="G738" i="8"/>
  <c r="I738" i="8" s="1"/>
  <c r="F738" i="8"/>
  <c r="D738" i="8"/>
  <c r="O738" i="8" s="1"/>
  <c r="G737" i="8"/>
  <c r="F737" i="8"/>
  <c r="D737" i="8"/>
  <c r="O737" i="8" s="1"/>
  <c r="G736" i="8"/>
  <c r="F736" i="8"/>
  <c r="I736" i="8" s="1"/>
  <c r="D736" i="8"/>
  <c r="O736" i="8" s="1"/>
  <c r="G735" i="8"/>
  <c r="F735" i="8"/>
  <c r="D735" i="8"/>
  <c r="O735" i="8" s="1"/>
  <c r="G734" i="8"/>
  <c r="F734" i="8"/>
  <c r="D734" i="8"/>
  <c r="O734" i="8" s="1"/>
  <c r="G733" i="8"/>
  <c r="F733" i="8"/>
  <c r="D733" i="8"/>
  <c r="O733" i="8" s="1"/>
  <c r="G732" i="8"/>
  <c r="F732" i="8"/>
  <c r="I732" i="8" s="1"/>
  <c r="D732" i="8"/>
  <c r="O732" i="8" s="1"/>
  <c r="G731" i="8"/>
  <c r="F731" i="8"/>
  <c r="D731" i="8"/>
  <c r="O731" i="8" s="1"/>
  <c r="G730" i="8"/>
  <c r="F730" i="8"/>
  <c r="D730" i="8"/>
  <c r="O730" i="8" s="1"/>
  <c r="G729" i="8"/>
  <c r="F729" i="8"/>
  <c r="D729" i="8"/>
  <c r="O729" i="8" s="1"/>
  <c r="G728" i="8"/>
  <c r="F728" i="8"/>
  <c r="I728" i="8" s="1"/>
  <c r="D728" i="8"/>
  <c r="O728" i="8" s="1"/>
  <c r="G727" i="8"/>
  <c r="F727" i="8"/>
  <c r="D727" i="8"/>
  <c r="O727" i="8" s="1"/>
  <c r="G726" i="8"/>
  <c r="F726" i="8"/>
  <c r="D726" i="8"/>
  <c r="O726" i="8" s="1"/>
  <c r="G725" i="8"/>
  <c r="F725" i="8"/>
  <c r="D725" i="8"/>
  <c r="O725" i="8" s="1"/>
  <c r="G724" i="8"/>
  <c r="F724" i="8"/>
  <c r="I724" i="8" s="1"/>
  <c r="D724" i="8"/>
  <c r="O724" i="8" s="1"/>
  <c r="G723" i="8"/>
  <c r="F723" i="8"/>
  <c r="D723" i="8"/>
  <c r="O723" i="8" s="1"/>
  <c r="G722" i="8"/>
  <c r="F722" i="8"/>
  <c r="D722" i="8"/>
  <c r="O722" i="8" s="1"/>
  <c r="G721" i="8"/>
  <c r="F721" i="8"/>
  <c r="D721" i="8"/>
  <c r="O721" i="8" s="1"/>
  <c r="G720" i="8"/>
  <c r="F720" i="8"/>
  <c r="I720" i="8" s="1"/>
  <c r="D720" i="8"/>
  <c r="O720" i="8" s="1"/>
  <c r="G719" i="8"/>
  <c r="F719" i="8"/>
  <c r="D719" i="8"/>
  <c r="O719" i="8" s="1"/>
  <c r="G718" i="8"/>
  <c r="F718" i="8"/>
  <c r="I718" i="8" s="1"/>
  <c r="D718" i="8"/>
  <c r="O718" i="8" s="1"/>
  <c r="G717" i="8"/>
  <c r="F717" i="8"/>
  <c r="D717" i="8"/>
  <c r="O717" i="8" s="1"/>
  <c r="G716" i="8"/>
  <c r="F716" i="8"/>
  <c r="I716" i="8" s="1"/>
  <c r="D716" i="8"/>
  <c r="O716" i="8" s="1"/>
  <c r="G715" i="8"/>
  <c r="I715" i="8" s="1"/>
  <c r="F715" i="8"/>
  <c r="D715" i="8"/>
  <c r="O715" i="8" s="1"/>
  <c r="G714" i="8"/>
  <c r="F714" i="8"/>
  <c r="D714" i="8"/>
  <c r="O714" i="8" s="1"/>
  <c r="G713" i="8"/>
  <c r="F713" i="8"/>
  <c r="D713" i="8"/>
  <c r="O713" i="8" s="1"/>
  <c r="G712" i="8"/>
  <c r="F712" i="8"/>
  <c r="I712" i="8" s="1"/>
  <c r="D712" i="8"/>
  <c r="O712" i="8" s="1"/>
  <c r="G711" i="8"/>
  <c r="F711" i="8"/>
  <c r="D711" i="8"/>
  <c r="O711" i="8" s="1"/>
  <c r="G710" i="8"/>
  <c r="F710" i="8"/>
  <c r="D710" i="8"/>
  <c r="O710" i="8" s="1"/>
  <c r="G709" i="8"/>
  <c r="F709" i="8"/>
  <c r="D709" i="8"/>
  <c r="O709" i="8" s="1"/>
  <c r="G708" i="8"/>
  <c r="F708" i="8"/>
  <c r="I708" i="8" s="1"/>
  <c r="D708" i="8"/>
  <c r="O708" i="8" s="1"/>
  <c r="G707" i="8"/>
  <c r="F707" i="8"/>
  <c r="D707" i="8"/>
  <c r="O707" i="8" s="1"/>
  <c r="G706" i="8"/>
  <c r="F706" i="8"/>
  <c r="D706" i="8"/>
  <c r="O706" i="8" s="1"/>
  <c r="G705" i="8"/>
  <c r="F705" i="8"/>
  <c r="D705" i="8"/>
  <c r="O705" i="8" s="1"/>
  <c r="G704" i="8"/>
  <c r="F704" i="8"/>
  <c r="I704" i="8" s="1"/>
  <c r="D704" i="8"/>
  <c r="O704" i="8" s="1"/>
  <c r="G703" i="8"/>
  <c r="F703" i="8"/>
  <c r="D703" i="8"/>
  <c r="O703" i="8" s="1"/>
  <c r="G702" i="8"/>
  <c r="F702" i="8"/>
  <c r="I702" i="8" s="1"/>
  <c r="D702" i="8"/>
  <c r="O702" i="8" s="1"/>
  <c r="G701" i="8"/>
  <c r="F701" i="8"/>
  <c r="D701" i="8"/>
  <c r="O701" i="8" s="1"/>
  <c r="G700" i="8"/>
  <c r="F700" i="8"/>
  <c r="I700" i="8" s="1"/>
  <c r="D700" i="8"/>
  <c r="O700" i="8" s="1"/>
  <c r="G699" i="8"/>
  <c r="F699" i="8"/>
  <c r="D699" i="8"/>
  <c r="O699" i="8" s="1"/>
  <c r="G698" i="8"/>
  <c r="I698" i="8" s="1"/>
  <c r="F698" i="8"/>
  <c r="D698" i="8"/>
  <c r="O698" i="8" s="1"/>
  <c r="G697" i="8"/>
  <c r="F697" i="8"/>
  <c r="D697" i="8"/>
  <c r="O697" i="8" s="1"/>
  <c r="G696" i="8"/>
  <c r="F696" i="8"/>
  <c r="I696" i="8" s="1"/>
  <c r="D696" i="8"/>
  <c r="O696" i="8" s="1"/>
  <c r="G695" i="8"/>
  <c r="F695" i="8"/>
  <c r="D695" i="8"/>
  <c r="O695" i="8" s="1"/>
  <c r="G694" i="8"/>
  <c r="F694" i="8"/>
  <c r="D694" i="8"/>
  <c r="O694" i="8" s="1"/>
  <c r="G693" i="8"/>
  <c r="F693" i="8"/>
  <c r="D693" i="8"/>
  <c r="O693" i="8" s="1"/>
  <c r="G692" i="8"/>
  <c r="F692" i="8"/>
  <c r="I692" i="8" s="1"/>
  <c r="D692" i="8"/>
  <c r="O692" i="8" s="1"/>
  <c r="G691" i="8"/>
  <c r="F691" i="8"/>
  <c r="D691" i="8"/>
  <c r="O691" i="8" s="1"/>
  <c r="G690" i="8"/>
  <c r="F690" i="8"/>
  <c r="D690" i="8"/>
  <c r="O690" i="8" s="1"/>
  <c r="G689" i="8"/>
  <c r="F689" i="8"/>
  <c r="D689" i="8"/>
  <c r="O689" i="8" s="1"/>
  <c r="G688" i="8"/>
  <c r="F688" i="8"/>
  <c r="I688" i="8" s="1"/>
  <c r="D688" i="8"/>
  <c r="O688" i="8" s="1"/>
  <c r="G687" i="8"/>
  <c r="F687" i="8"/>
  <c r="D687" i="8"/>
  <c r="O687" i="8" s="1"/>
  <c r="G686" i="8"/>
  <c r="I686" i="8" s="1"/>
  <c r="F686" i="8"/>
  <c r="D686" i="8"/>
  <c r="O686" i="8" s="1"/>
  <c r="G685" i="8"/>
  <c r="F685" i="8"/>
  <c r="D685" i="8"/>
  <c r="O685" i="8" s="1"/>
  <c r="G684" i="8"/>
  <c r="F684" i="8"/>
  <c r="I684" i="8" s="1"/>
  <c r="D684" i="8"/>
  <c r="O684" i="8" s="1"/>
  <c r="G683" i="8"/>
  <c r="F683" i="8"/>
  <c r="D683" i="8"/>
  <c r="O683" i="8" s="1"/>
  <c r="G682" i="8"/>
  <c r="F682" i="8"/>
  <c r="D682" i="8"/>
  <c r="O682" i="8" s="1"/>
  <c r="G681" i="8"/>
  <c r="F681" i="8"/>
  <c r="D681" i="8"/>
  <c r="O681" i="8" s="1"/>
  <c r="G680" i="8"/>
  <c r="F680" i="8"/>
  <c r="I680" i="8" s="1"/>
  <c r="D680" i="8"/>
  <c r="O680" i="8" s="1"/>
  <c r="G679" i="8"/>
  <c r="F679" i="8"/>
  <c r="D679" i="8"/>
  <c r="O679" i="8" s="1"/>
  <c r="G678" i="8"/>
  <c r="F678" i="8"/>
  <c r="D678" i="8"/>
  <c r="O678" i="8" s="1"/>
  <c r="G677" i="8"/>
  <c r="F677" i="8"/>
  <c r="D677" i="8"/>
  <c r="O677" i="8" s="1"/>
  <c r="G676" i="8"/>
  <c r="F676" i="8"/>
  <c r="I676" i="8" s="1"/>
  <c r="D676" i="8"/>
  <c r="O676" i="8" s="1"/>
  <c r="G675" i="8"/>
  <c r="F675" i="8"/>
  <c r="D675" i="8"/>
  <c r="O675" i="8" s="1"/>
  <c r="G674" i="8"/>
  <c r="F674" i="8"/>
  <c r="D674" i="8"/>
  <c r="O674" i="8" s="1"/>
  <c r="G673" i="8"/>
  <c r="F673" i="8"/>
  <c r="D673" i="8"/>
  <c r="O673" i="8" s="1"/>
  <c r="G672" i="8"/>
  <c r="F672" i="8"/>
  <c r="I672" i="8" s="1"/>
  <c r="D672" i="8"/>
  <c r="O672" i="8" s="1"/>
  <c r="G671" i="8"/>
  <c r="F671" i="8"/>
  <c r="D671" i="8"/>
  <c r="O671" i="8" s="1"/>
  <c r="G670" i="8"/>
  <c r="F670" i="8"/>
  <c r="I670" i="8" s="1"/>
  <c r="D670" i="8"/>
  <c r="O670" i="8" s="1"/>
  <c r="G669" i="8"/>
  <c r="F669" i="8"/>
  <c r="D669" i="8"/>
  <c r="O669" i="8" s="1"/>
  <c r="G668" i="8"/>
  <c r="F668" i="8"/>
  <c r="I668" i="8" s="1"/>
  <c r="D668" i="8"/>
  <c r="O668" i="8" s="1"/>
  <c r="G667" i="8"/>
  <c r="F667" i="8"/>
  <c r="D667" i="8"/>
  <c r="O667" i="8" s="1"/>
  <c r="G666" i="8"/>
  <c r="F666" i="8"/>
  <c r="D666" i="8"/>
  <c r="O666" i="8" s="1"/>
  <c r="G665" i="8"/>
  <c r="F665" i="8"/>
  <c r="D665" i="8"/>
  <c r="O665" i="8" s="1"/>
  <c r="G664" i="8"/>
  <c r="F664" i="8"/>
  <c r="I664" i="8" s="1"/>
  <c r="D664" i="8"/>
  <c r="O664" i="8" s="1"/>
  <c r="G663" i="8"/>
  <c r="F663" i="8"/>
  <c r="D663" i="8"/>
  <c r="O663" i="8" s="1"/>
  <c r="G662" i="8"/>
  <c r="F662" i="8"/>
  <c r="D662" i="8"/>
  <c r="O662" i="8" s="1"/>
  <c r="G661" i="8"/>
  <c r="F661" i="8"/>
  <c r="D661" i="8"/>
  <c r="O661" i="8" s="1"/>
  <c r="G660" i="8"/>
  <c r="F660" i="8"/>
  <c r="I660" i="8" s="1"/>
  <c r="D660" i="8"/>
  <c r="O660" i="8" s="1"/>
  <c r="G659" i="8"/>
  <c r="F659" i="8"/>
  <c r="D659" i="8"/>
  <c r="O659" i="8" s="1"/>
  <c r="G658" i="8"/>
  <c r="I658" i="8" s="1"/>
  <c r="F658" i="8"/>
  <c r="D658" i="8"/>
  <c r="O658" i="8" s="1"/>
  <c r="G657" i="8"/>
  <c r="F657" i="8"/>
  <c r="D657" i="8"/>
  <c r="O657" i="8" s="1"/>
  <c r="G656" i="8"/>
  <c r="F656" i="8"/>
  <c r="I656" i="8" s="1"/>
  <c r="D656" i="8"/>
  <c r="O656" i="8" s="1"/>
  <c r="G655" i="8"/>
  <c r="F655" i="8"/>
  <c r="D655" i="8"/>
  <c r="O655" i="8" s="1"/>
  <c r="G654" i="8"/>
  <c r="F654" i="8"/>
  <c r="D654" i="8"/>
  <c r="O654" i="8" s="1"/>
  <c r="G653" i="8"/>
  <c r="F653" i="8"/>
  <c r="D653" i="8"/>
  <c r="O653" i="8" s="1"/>
  <c r="G652" i="8"/>
  <c r="F652" i="8"/>
  <c r="I652" i="8" s="1"/>
  <c r="D652" i="8"/>
  <c r="O652" i="8" s="1"/>
  <c r="G651" i="8"/>
  <c r="F651" i="8"/>
  <c r="D651" i="8"/>
  <c r="O651" i="8" s="1"/>
  <c r="G650" i="8"/>
  <c r="F650" i="8"/>
  <c r="D650" i="8"/>
  <c r="O650" i="8" s="1"/>
  <c r="G649" i="8"/>
  <c r="F649" i="8"/>
  <c r="D649" i="8"/>
  <c r="O649" i="8" s="1"/>
  <c r="G648" i="8"/>
  <c r="F648" i="8"/>
  <c r="I648" i="8" s="1"/>
  <c r="D648" i="8"/>
  <c r="O648" i="8" s="1"/>
  <c r="G647" i="8"/>
  <c r="F647" i="8"/>
  <c r="D647" i="8"/>
  <c r="O647" i="8" s="1"/>
  <c r="G646" i="8"/>
  <c r="F646" i="8"/>
  <c r="I646" i="8" s="1"/>
  <c r="D646" i="8"/>
  <c r="O646" i="8" s="1"/>
  <c r="G645" i="8"/>
  <c r="F645" i="8"/>
  <c r="D645" i="8"/>
  <c r="O645" i="8" s="1"/>
  <c r="G644" i="8"/>
  <c r="F644" i="8"/>
  <c r="I644" i="8" s="1"/>
  <c r="D644" i="8"/>
  <c r="O644" i="8" s="1"/>
  <c r="G643" i="8"/>
  <c r="F643" i="8"/>
  <c r="D643" i="8"/>
  <c r="O643" i="8" s="1"/>
  <c r="G642" i="8"/>
  <c r="F642" i="8"/>
  <c r="D642" i="8"/>
  <c r="O642" i="8" s="1"/>
  <c r="G641" i="8"/>
  <c r="F641" i="8"/>
  <c r="D641" i="8"/>
  <c r="O641" i="8" s="1"/>
  <c r="G640" i="8"/>
  <c r="F640" i="8"/>
  <c r="I640" i="8" s="1"/>
  <c r="D640" i="8"/>
  <c r="O640" i="8" s="1"/>
  <c r="G639" i="8"/>
  <c r="F639" i="8"/>
  <c r="D639" i="8"/>
  <c r="O639" i="8" s="1"/>
  <c r="G638" i="8"/>
  <c r="F638" i="8"/>
  <c r="I638" i="8" s="1"/>
  <c r="D638" i="8"/>
  <c r="O638" i="8" s="1"/>
  <c r="G637" i="8"/>
  <c r="F637" i="8"/>
  <c r="D637" i="8"/>
  <c r="O637" i="8" s="1"/>
  <c r="G636" i="8"/>
  <c r="F636" i="8"/>
  <c r="I636" i="8" s="1"/>
  <c r="D636" i="8"/>
  <c r="O636" i="8" s="1"/>
  <c r="G635" i="8"/>
  <c r="F635" i="8"/>
  <c r="D635" i="8"/>
  <c r="O635" i="8" s="1"/>
  <c r="G634" i="8"/>
  <c r="F634" i="8"/>
  <c r="D634" i="8"/>
  <c r="O634" i="8" s="1"/>
  <c r="G633" i="8"/>
  <c r="F633" i="8"/>
  <c r="D633" i="8"/>
  <c r="O633" i="8" s="1"/>
  <c r="G632" i="8"/>
  <c r="F632" i="8"/>
  <c r="I632" i="8" s="1"/>
  <c r="D632" i="8"/>
  <c r="O632" i="8" s="1"/>
  <c r="G631" i="8"/>
  <c r="F631" i="8"/>
  <c r="D631" i="8"/>
  <c r="O631" i="8" s="1"/>
  <c r="G630" i="8"/>
  <c r="F630" i="8"/>
  <c r="D630" i="8"/>
  <c r="O630" i="8" s="1"/>
  <c r="G629" i="8"/>
  <c r="F629" i="8"/>
  <c r="D629" i="8"/>
  <c r="O629" i="8" s="1"/>
  <c r="G628" i="8"/>
  <c r="F628" i="8"/>
  <c r="I628" i="8" s="1"/>
  <c r="D628" i="8"/>
  <c r="O628" i="8" s="1"/>
  <c r="G627" i="8"/>
  <c r="F627" i="8"/>
  <c r="D627" i="8"/>
  <c r="O627" i="8" s="1"/>
  <c r="G626" i="8"/>
  <c r="F626" i="8"/>
  <c r="D626" i="8"/>
  <c r="O626" i="8" s="1"/>
  <c r="G625" i="8"/>
  <c r="F625" i="8"/>
  <c r="D625" i="8"/>
  <c r="O625" i="8" s="1"/>
  <c r="G624" i="8"/>
  <c r="F624" i="8"/>
  <c r="I624" i="8" s="1"/>
  <c r="D624" i="8"/>
  <c r="O624" i="8" s="1"/>
  <c r="G623" i="8"/>
  <c r="F623" i="8"/>
  <c r="D623" i="8"/>
  <c r="O623" i="8" s="1"/>
  <c r="G622" i="8"/>
  <c r="F622" i="8"/>
  <c r="I622" i="8" s="1"/>
  <c r="D622" i="8"/>
  <c r="O622" i="8" s="1"/>
  <c r="G621" i="8"/>
  <c r="F621" i="8"/>
  <c r="D621" i="8"/>
  <c r="O621" i="8" s="1"/>
  <c r="G620" i="8"/>
  <c r="F620" i="8"/>
  <c r="I620" i="8" s="1"/>
  <c r="D620" i="8"/>
  <c r="O620" i="8" s="1"/>
  <c r="G619" i="8"/>
  <c r="F619" i="8"/>
  <c r="D619" i="8"/>
  <c r="O619" i="8" s="1"/>
  <c r="G618" i="8"/>
  <c r="F618" i="8"/>
  <c r="D618" i="8"/>
  <c r="O618" i="8" s="1"/>
  <c r="G617" i="8"/>
  <c r="F617" i="8"/>
  <c r="D617" i="8"/>
  <c r="O617" i="8" s="1"/>
  <c r="G616" i="8"/>
  <c r="F616" i="8"/>
  <c r="I616" i="8" s="1"/>
  <c r="D616" i="8"/>
  <c r="O616" i="8" s="1"/>
  <c r="G615" i="8"/>
  <c r="F615" i="8"/>
  <c r="D615" i="8"/>
  <c r="O615" i="8" s="1"/>
  <c r="G614" i="8"/>
  <c r="F614" i="8"/>
  <c r="I614" i="8" s="1"/>
  <c r="D614" i="8"/>
  <c r="O614" i="8" s="1"/>
  <c r="G613" i="8"/>
  <c r="F613" i="8"/>
  <c r="D613" i="8"/>
  <c r="O613" i="8" s="1"/>
  <c r="G612" i="8"/>
  <c r="F612" i="8"/>
  <c r="I612" i="8" s="1"/>
  <c r="D612" i="8"/>
  <c r="O612" i="8" s="1"/>
  <c r="G611" i="8"/>
  <c r="F611" i="8"/>
  <c r="D611" i="8"/>
  <c r="O611" i="8" s="1"/>
  <c r="G610" i="8"/>
  <c r="F610" i="8"/>
  <c r="D610" i="8"/>
  <c r="O610" i="8" s="1"/>
  <c r="G609" i="8"/>
  <c r="F609" i="8"/>
  <c r="D609" i="8"/>
  <c r="O609" i="8" s="1"/>
  <c r="G608" i="8"/>
  <c r="F608" i="8"/>
  <c r="I608" i="8" s="1"/>
  <c r="D608" i="8"/>
  <c r="O608" i="8" s="1"/>
  <c r="G607" i="8"/>
  <c r="F607" i="8"/>
  <c r="D607" i="8"/>
  <c r="O607" i="8" s="1"/>
  <c r="G606" i="8"/>
  <c r="F606" i="8"/>
  <c r="D606" i="8"/>
  <c r="O606" i="8" s="1"/>
  <c r="G605" i="8"/>
  <c r="F605" i="8"/>
  <c r="D605" i="8"/>
  <c r="O605" i="8" s="1"/>
  <c r="G604" i="8"/>
  <c r="F604" i="8"/>
  <c r="I604" i="8" s="1"/>
  <c r="D604" i="8"/>
  <c r="O604" i="8" s="1"/>
  <c r="G603" i="8"/>
  <c r="F603" i="8"/>
  <c r="D603" i="8"/>
  <c r="O603" i="8" s="1"/>
  <c r="G602" i="8"/>
  <c r="F602" i="8"/>
  <c r="I602" i="8" s="1"/>
  <c r="D602" i="8"/>
  <c r="O602" i="8" s="1"/>
  <c r="G601" i="8"/>
  <c r="F601" i="8"/>
  <c r="D601" i="8"/>
  <c r="O601" i="8" s="1"/>
  <c r="G600" i="8"/>
  <c r="F600" i="8"/>
  <c r="I600" i="8" s="1"/>
  <c r="D600" i="8"/>
  <c r="O600" i="8" s="1"/>
  <c r="G599" i="8"/>
  <c r="F599" i="8"/>
  <c r="D599" i="8"/>
  <c r="O599" i="8" s="1"/>
  <c r="G598" i="8"/>
  <c r="F598" i="8"/>
  <c r="I598" i="8" s="1"/>
  <c r="D598" i="8"/>
  <c r="O598" i="8" s="1"/>
  <c r="G597" i="8"/>
  <c r="F597" i="8"/>
  <c r="D597" i="8"/>
  <c r="O597" i="8" s="1"/>
  <c r="G596" i="8"/>
  <c r="F596" i="8"/>
  <c r="I596" i="8" s="1"/>
  <c r="D596" i="8"/>
  <c r="O596" i="8" s="1"/>
  <c r="G595" i="8"/>
  <c r="F595" i="8"/>
  <c r="D595" i="8"/>
  <c r="O595" i="8" s="1"/>
  <c r="G594" i="8"/>
  <c r="F594" i="8"/>
  <c r="D594" i="8"/>
  <c r="O594" i="8" s="1"/>
  <c r="G593" i="8"/>
  <c r="F593" i="8"/>
  <c r="D593" i="8"/>
  <c r="O593" i="8" s="1"/>
  <c r="G592" i="8"/>
  <c r="F592" i="8"/>
  <c r="I592" i="8" s="1"/>
  <c r="D592" i="8"/>
  <c r="O592" i="8" s="1"/>
  <c r="G591" i="8"/>
  <c r="F591" i="8"/>
  <c r="D591" i="8"/>
  <c r="O591" i="8" s="1"/>
  <c r="G590" i="8"/>
  <c r="F590" i="8"/>
  <c r="D590" i="8"/>
  <c r="O590" i="8" s="1"/>
  <c r="G589" i="8"/>
  <c r="F589" i="8"/>
  <c r="D589" i="8"/>
  <c r="O589" i="8" s="1"/>
  <c r="G588" i="8"/>
  <c r="F588" i="8"/>
  <c r="I588" i="8" s="1"/>
  <c r="D588" i="8"/>
  <c r="O588" i="8" s="1"/>
  <c r="G587" i="8"/>
  <c r="F587" i="8"/>
  <c r="D587" i="8"/>
  <c r="O587" i="8" s="1"/>
  <c r="G586" i="8"/>
  <c r="F586" i="8"/>
  <c r="D586" i="8"/>
  <c r="O586" i="8" s="1"/>
  <c r="G585" i="8"/>
  <c r="F585" i="8"/>
  <c r="D585" i="8"/>
  <c r="O585" i="8" s="1"/>
  <c r="G584" i="8"/>
  <c r="F584" i="8"/>
  <c r="I584" i="8" s="1"/>
  <c r="D584" i="8"/>
  <c r="O584" i="8" s="1"/>
  <c r="G583" i="8"/>
  <c r="F583" i="8"/>
  <c r="D583" i="8"/>
  <c r="O583" i="8" s="1"/>
  <c r="G582" i="8"/>
  <c r="F582" i="8"/>
  <c r="D582" i="8"/>
  <c r="O582" i="8" s="1"/>
  <c r="G581" i="8"/>
  <c r="F581" i="8"/>
  <c r="D581" i="8"/>
  <c r="O581" i="8" s="1"/>
  <c r="G580" i="8"/>
  <c r="F580" i="8"/>
  <c r="D580" i="8"/>
  <c r="O580" i="8" s="1"/>
  <c r="G579" i="8"/>
  <c r="F579" i="8"/>
  <c r="D579" i="8"/>
  <c r="O579" i="8" s="1"/>
  <c r="G578" i="8"/>
  <c r="F578" i="8"/>
  <c r="D578" i="8"/>
  <c r="O578" i="8" s="1"/>
  <c r="G577" i="8"/>
  <c r="F577" i="8"/>
  <c r="D577" i="8"/>
  <c r="O577" i="8" s="1"/>
  <c r="G576" i="8"/>
  <c r="F576" i="8"/>
  <c r="I576" i="8" s="1"/>
  <c r="D576" i="8"/>
  <c r="O576" i="8" s="1"/>
  <c r="G575" i="8"/>
  <c r="F575" i="8"/>
  <c r="D575" i="8"/>
  <c r="O575" i="8" s="1"/>
  <c r="G574" i="8"/>
  <c r="F574" i="8"/>
  <c r="D574" i="8"/>
  <c r="O574" i="8" s="1"/>
  <c r="G573" i="8"/>
  <c r="F573" i="8"/>
  <c r="D573" i="8"/>
  <c r="O573" i="8" s="1"/>
  <c r="G572" i="8"/>
  <c r="F572" i="8"/>
  <c r="I572" i="8" s="1"/>
  <c r="D572" i="8"/>
  <c r="O572" i="8" s="1"/>
  <c r="G571" i="8"/>
  <c r="F571" i="8"/>
  <c r="D571" i="8"/>
  <c r="O571" i="8" s="1"/>
  <c r="G570" i="8"/>
  <c r="I570" i="8" s="1"/>
  <c r="F570" i="8"/>
  <c r="D570" i="8"/>
  <c r="O570" i="8" s="1"/>
  <c r="G569" i="8"/>
  <c r="F569" i="8"/>
  <c r="D569" i="8"/>
  <c r="O569" i="8" s="1"/>
  <c r="G568" i="8"/>
  <c r="F568" i="8"/>
  <c r="I568" i="8" s="1"/>
  <c r="D568" i="8"/>
  <c r="O568" i="8" s="1"/>
  <c r="G567" i="8"/>
  <c r="F567" i="8"/>
  <c r="D567" i="8"/>
  <c r="O567" i="8" s="1"/>
  <c r="G566" i="8"/>
  <c r="I566" i="8" s="1"/>
  <c r="F566" i="8"/>
  <c r="D566" i="8"/>
  <c r="O566" i="8" s="1"/>
  <c r="G565" i="8"/>
  <c r="F565" i="8"/>
  <c r="D565" i="8"/>
  <c r="O565" i="8" s="1"/>
  <c r="G564" i="8"/>
  <c r="F564" i="8"/>
  <c r="I564" i="8" s="1"/>
  <c r="D564" i="8"/>
  <c r="O564" i="8" s="1"/>
  <c r="G563" i="8"/>
  <c r="F563" i="8"/>
  <c r="D563" i="8"/>
  <c r="O563" i="8" s="1"/>
  <c r="G562" i="8"/>
  <c r="F562" i="8"/>
  <c r="D562" i="8"/>
  <c r="O562" i="8" s="1"/>
  <c r="G561" i="8"/>
  <c r="F561" i="8"/>
  <c r="D561" i="8"/>
  <c r="O561" i="8" s="1"/>
  <c r="G560" i="8"/>
  <c r="F560" i="8"/>
  <c r="I560" i="8" s="1"/>
  <c r="D560" i="8"/>
  <c r="O560" i="8" s="1"/>
  <c r="G559" i="8"/>
  <c r="F559" i="8"/>
  <c r="D559" i="8"/>
  <c r="O559" i="8" s="1"/>
  <c r="G558" i="8"/>
  <c r="F558" i="8"/>
  <c r="D558" i="8"/>
  <c r="O558" i="8" s="1"/>
  <c r="G557" i="8"/>
  <c r="F557" i="8"/>
  <c r="D557" i="8"/>
  <c r="O557" i="8" s="1"/>
  <c r="G556" i="8"/>
  <c r="F556" i="8"/>
  <c r="I556" i="8" s="1"/>
  <c r="D556" i="8"/>
  <c r="O556" i="8" s="1"/>
  <c r="G555" i="8"/>
  <c r="F555" i="8"/>
  <c r="D555" i="8"/>
  <c r="O555" i="8" s="1"/>
  <c r="G554" i="8"/>
  <c r="F554" i="8"/>
  <c r="D554" i="8"/>
  <c r="O554" i="8" s="1"/>
  <c r="G553" i="8"/>
  <c r="F553" i="8"/>
  <c r="D553" i="8"/>
  <c r="O553" i="8" s="1"/>
  <c r="G552" i="8"/>
  <c r="F552" i="8"/>
  <c r="I552" i="8" s="1"/>
  <c r="D552" i="8"/>
  <c r="O552" i="8" s="1"/>
  <c r="G551" i="8"/>
  <c r="F551" i="8"/>
  <c r="D551" i="8"/>
  <c r="O551" i="8" s="1"/>
  <c r="G550" i="8"/>
  <c r="F550" i="8"/>
  <c r="D550" i="8"/>
  <c r="O550" i="8" s="1"/>
  <c r="G549" i="8"/>
  <c r="F549" i="8"/>
  <c r="D549" i="8"/>
  <c r="O549" i="8" s="1"/>
  <c r="G548" i="8"/>
  <c r="F548" i="8"/>
  <c r="I548" i="8" s="1"/>
  <c r="D548" i="8"/>
  <c r="O548" i="8" s="1"/>
  <c r="G547" i="8"/>
  <c r="F547" i="8"/>
  <c r="D547" i="8"/>
  <c r="O547" i="8" s="1"/>
  <c r="G546" i="8"/>
  <c r="F546" i="8"/>
  <c r="D546" i="8"/>
  <c r="O546" i="8" s="1"/>
  <c r="G545" i="8"/>
  <c r="F545" i="8"/>
  <c r="D545" i="8"/>
  <c r="O545" i="8" s="1"/>
  <c r="G544" i="8"/>
  <c r="F544" i="8"/>
  <c r="I544" i="8" s="1"/>
  <c r="D544" i="8"/>
  <c r="O544" i="8" s="1"/>
  <c r="G543" i="8"/>
  <c r="F543" i="8"/>
  <c r="D543" i="8"/>
  <c r="O543" i="8" s="1"/>
  <c r="G542" i="8"/>
  <c r="I542" i="8" s="1"/>
  <c r="F542" i="8"/>
  <c r="D542" i="8"/>
  <c r="O542" i="8" s="1"/>
  <c r="G541" i="8"/>
  <c r="F541" i="8"/>
  <c r="D541" i="8"/>
  <c r="O541" i="8" s="1"/>
  <c r="G540" i="8"/>
  <c r="F540" i="8"/>
  <c r="I540" i="8" s="1"/>
  <c r="D540" i="8"/>
  <c r="O540" i="8" s="1"/>
  <c r="G539" i="8"/>
  <c r="F539" i="8"/>
  <c r="D539" i="8"/>
  <c r="O539" i="8" s="1"/>
  <c r="G538" i="8"/>
  <c r="F538" i="8"/>
  <c r="D538" i="8"/>
  <c r="O538" i="8" s="1"/>
  <c r="G537" i="8"/>
  <c r="F537" i="8"/>
  <c r="D537" i="8"/>
  <c r="O537" i="8" s="1"/>
  <c r="G536" i="8"/>
  <c r="F536" i="8"/>
  <c r="I536" i="8" s="1"/>
  <c r="D536" i="8"/>
  <c r="O536" i="8" s="1"/>
  <c r="G535" i="8"/>
  <c r="F535" i="8"/>
  <c r="D535" i="8"/>
  <c r="O535" i="8" s="1"/>
  <c r="G534" i="8"/>
  <c r="I534" i="8" s="1"/>
  <c r="F534" i="8"/>
  <c r="D534" i="8"/>
  <c r="O534" i="8" s="1"/>
  <c r="G533" i="8"/>
  <c r="F533" i="8"/>
  <c r="D533" i="8"/>
  <c r="O533" i="8" s="1"/>
  <c r="G532" i="8"/>
  <c r="F532" i="8"/>
  <c r="I532" i="8" s="1"/>
  <c r="D532" i="8"/>
  <c r="O532" i="8" s="1"/>
  <c r="G531" i="8"/>
  <c r="F531" i="8"/>
  <c r="D531" i="8"/>
  <c r="O531" i="8" s="1"/>
  <c r="G530" i="8"/>
  <c r="I530" i="8" s="1"/>
  <c r="F530" i="8"/>
  <c r="D530" i="8"/>
  <c r="O530" i="8" s="1"/>
  <c r="G529" i="8"/>
  <c r="F529" i="8"/>
  <c r="D529" i="8"/>
  <c r="O529" i="8" s="1"/>
  <c r="G528" i="8"/>
  <c r="F528" i="8"/>
  <c r="I528" i="8" s="1"/>
  <c r="D528" i="8"/>
  <c r="O528" i="8" s="1"/>
  <c r="G527" i="8"/>
  <c r="F527" i="8"/>
  <c r="D527" i="8"/>
  <c r="O527" i="8" s="1"/>
  <c r="G526" i="8"/>
  <c r="F526" i="8"/>
  <c r="I526" i="8" s="1"/>
  <c r="D526" i="8"/>
  <c r="O526" i="8" s="1"/>
  <c r="G525" i="8"/>
  <c r="F525" i="8"/>
  <c r="D525" i="8"/>
  <c r="O525" i="8" s="1"/>
  <c r="G524" i="8"/>
  <c r="F524" i="8"/>
  <c r="I524" i="8" s="1"/>
  <c r="D524" i="8"/>
  <c r="O524" i="8" s="1"/>
  <c r="G523" i="8"/>
  <c r="F523" i="8"/>
  <c r="D523" i="8"/>
  <c r="O523" i="8" s="1"/>
  <c r="G522" i="8"/>
  <c r="F522" i="8"/>
  <c r="D522" i="8"/>
  <c r="O522" i="8" s="1"/>
  <c r="G521" i="8"/>
  <c r="F521" i="8"/>
  <c r="D521" i="8"/>
  <c r="O521" i="8" s="1"/>
  <c r="G520" i="8"/>
  <c r="F520" i="8"/>
  <c r="I520" i="8" s="1"/>
  <c r="D520" i="8"/>
  <c r="O520" i="8" s="1"/>
  <c r="G519" i="8"/>
  <c r="F519" i="8"/>
  <c r="D519" i="8"/>
  <c r="O519" i="8" s="1"/>
  <c r="G518" i="8"/>
  <c r="F518" i="8"/>
  <c r="D518" i="8"/>
  <c r="O518" i="8" s="1"/>
  <c r="G517" i="8"/>
  <c r="F517" i="8"/>
  <c r="D517" i="8"/>
  <c r="O517" i="8" s="1"/>
  <c r="G516" i="8"/>
  <c r="F516" i="8"/>
  <c r="I516" i="8" s="1"/>
  <c r="D516" i="8"/>
  <c r="O516" i="8" s="1"/>
  <c r="G515" i="8"/>
  <c r="F515" i="8"/>
  <c r="D515" i="8"/>
  <c r="O515" i="8" s="1"/>
  <c r="G514" i="8"/>
  <c r="F514" i="8"/>
  <c r="I514" i="8" s="1"/>
  <c r="D514" i="8"/>
  <c r="O514" i="8" s="1"/>
  <c r="G513" i="8"/>
  <c r="F513" i="8"/>
  <c r="D513" i="8"/>
  <c r="O513" i="8" s="1"/>
  <c r="G512" i="8"/>
  <c r="F512" i="8"/>
  <c r="I512" i="8" s="1"/>
  <c r="D512" i="8"/>
  <c r="O512" i="8" s="1"/>
  <c r="G511" i="8"/>
  <c r="F511" i="8"/>
  <c r="D511" i="8"/>
  <c r="O511" i="8" s="1"/>
  <c r="G510" i="8"/>
  <c r="F510" i="8"/>
  <c r="D510" i="8"/>
  <c r="O510" i="8" s="1"/>
  <c r="G509" i="8"/>
  <c r="F509" i="8"/>
  <c r="D509" i="8"/>
  <c r="O509" i="8" s="1"/>
  <c r="G508" i="8"/>
  <c r="F508" i="8"/>
  <c r="I508" i="8" s="1"/>
  <c r="D508" i="8"/>
  <c r="O508" i="8" s="1"/>
  <c r="G507" i="8"/>
  <c r="F507" i="8"/>
  <c r="D507" i="8"/>
  <c r="O507" i="8" s="1"/>
  <c r="G506" i="8"/>
  <c r="F506" i="8"/>
  <c r="D506" i="8"/>
  <c r="O506" i="8" s="1"/>
  <c r="G505" i="8"/>
  <c r="F505" i="8"/>
  <c r="D505" i="8"/>
  <c r="O505" i="8" s="1"/>
  <c r="G504" i="8"/>
  <c r="F504" i="8"/>
  <c r="D504" i="8"/>
  <c r="O504" i="8" s="1"/>
  <c r="G503" i="8"/>
  <c r="F503" i="8"/>
  <c r="D503" i="8"/>
  <c r="O503" i="8" s="1"/>
  <c r="G502" i="8"/>
  <c r="F502" i="8"/>
  <c r="D502" i="8"/>
  <c r="O502" i="8" s="1"/>
  <c r="G501" i="8"/>
  <c r="F501" i="8"/>
  <c r="D501" i="8"/>
  <c r="O501" i="8" s="1"/>
  <c r="G500" i="8"/>
  <c r="F500" i="8"/>
  <c r="I500" i="8" s="1"/>
  <c r="D500" i="8"/>
  <c r="O500" i="8" s="1"/>
  <c r="G499" i="8"/>
  <c r="F499" i="8"/>
  <c r="D499" i="8"/>
  <c r="O499" i="8" s="1"/>
  <c r="G498" i="8"/>
  <c r="F498" i="8"/>
  <c r="D498" i="8"/>
  <c r="O498" i="8" s="1"/>
  <c r="G497" i="8"/>
  <c r="F497" i="8"/>
  <c r="D497" i="8"/>
  <c r="O497" i="8" s="1"/>
  <c r="G496" i="8"/>
  <c r="F496" i="8"/>
  <c r="I496" i="8" s="1"/>
  <c r="D496" i="8"/>
  <c r="O496" i="8" s="1"/>
  <c r="G495" i="8"/>
  <c r="F495" i="8"/>
  <c r="D495" i="8"/>
  <c r="O495" i="8" s="1"/>
  <c r="G494" i="8"/>
  <c r="F494" i="8"/>
  <c r="D494" i="8"/>
  <c r="O494" i="8" s="1"/>
  <c r="G493" i="8"/>
  <c r="F493" i="8"/>
  <c r="D493" i="8"/>
  <c r="O493" i="8" s="1"/>
  <c r="G492" i="8"/>
  <c r="F492" i="8"/>
  <c r="I492" i="8" s="1"/>
  <c r="D492" i="8"/>
  <c r="O492" i="8" s="1"/>
  <c r="G491" i="8"/>
  <c r="F491" i="8"/>
  <c r="D491" i="8"/>
  <c r="O491" i="8" s="1"/>
  <c r="G490" i="8"/>
  <c r="F490" i="8"/>
  <c r="D490" i="8"/>
  <c r="O490" i="8" s="1"/>
  <c r="G489" i="8"/>
  <c r="F489" i="8"/>
  <c r="D489" i="8"/>
  <c r="O489" i="8" s="1"/>
  <c r="G488" i="8"/>
  <c r="F488" i="8"/>
  <c r="I488" i="8" s="1"/>
  <c r="D488" i="8"/>
  <c r="O488" i="8" s="1"/>
  <c r="G487" i="8"/>
  <c r="F487" i="8"/>
  <c r="D487" i="8"/>
  <c r="O487" i="8" s="1"/>
  <c r="G486" i="8"/>
  <c r="F486" i="8"/>
  <c r="I486" i="8" s="1"/>
  <c r="D486" i="8"/>
  <c r="O486" i="8" s="1"/>
  <c r="G485" i="8"/>
  <c r="F485" i="8"/>
  <c r="D485" i="8"/>
  <c r="O485" i="8" s="1"/>
  <c r="G484" i="8"/>
  <c r="F484" i="8"/>
  <c r="I484" i="8" s="1"/>
  <c r="D484" i="8"/>
  <c r="O484" i="8" s="1"/>
  <c r="G483" i="8"/>
  <c r="F483" i="8"/>
  <c r="D483" i="8"/>
  <c r="O483" i="8" s="1"/>
  <c r="G482" i="8"/>
  <c r="F482" i="8"/>
  <c r="D482" i="8"/>
  <c r="O482" i="8" s="1"/>
  <c r="G481" i="8"/>
  <c r="F481" i="8"/>
  <c r="D481" i="8"/>
  <c r="O481" i="8" s="1"/>
  <c r="G480" i="8"/>
  <c r="F480" i="8"/>
  <c r="I480" i="8" s="1"/>
  <c r="D480" i="8"/>
  <c r="O480" i="8" s="1"/>
  <c r="G479" i="8"/>
  <c r="F479" i="8"/>
  <c r="D479" i="8"/>
  <c r="O479" i="8" s="1"/>
  <c r="G478" i="8"/>
  <c r="F478" i="8"/>
  <c r="D478" i="8"/>
  <c r="O478" i="8" s="1"/>
  <c r="G477" i="8"/>
  <c r="F477" i="8"/>
  <c r="D477" i="8"/>
  <c r="O477" i="8" s="1"/>
  <c r="G476" i="8"/>
  <c r="F476" i="8"/>
  <c r="I476" i="8" s="1"/>
  <c r="D476" i="8"/>
  <c r="O476" i="8" s="1"/>
  <c r="G475" i="8"/>
  <c r="F475" i="8"/>
  <c r="D475" i="8"/>
  <c r="O475" i="8" s="1"/>
  <c r="G474" i="8"/>
  <c r="F474" i="8"/>
  <c r="D474" i="8"/>
  <c r="O474" i="8" s="1"/>
  <c r="G473" i="8"/>
  <c r="F473" i="8"/>
  <c r="D473" i="8"/>
  <c r="O473" i="8" s="1"/>
  <c r="G472" i="8"/>
  <c r="F472" i="8"/>
  <c r="I472" i="8" s="1"/>
  <c r="D472" i="8"/>
  <c r="O472" i="8" s="1"/>
  <c r="G471" i="8"/>
  <c r="F471" i="8"/>
  <c r="D471" i="8"/>
  <c r="O471" i="8" s="1"/>
  <c r="G470" i="8"/>
  <c r="F470" i="8"/>
  <c r="D470" i="8"/>
  <c r="O470" i="8" s="1"/>
  <c r="G469" i="8"/>
  <c r="F469" i="8"/>
  <c r="D469" i="8"/>
  <c r="O469" i="8" s="1"/>
  <c r="G468" i="8"/>
  <c r="F468" i="8"/>
  <c r="I468" i="8" s="1"/>
  <c r="D468" i="8"/>
  <c r="O468" i="8" s="1"/>
  <c r="G467" i="8"/>
  <c r="F467" i="8"/>
  <c r="D467" i="8"/>
  <c r="O467" i="8" s="1"/>
  <c r="G466" i="8"/>
  <c r="F466" i="8"/>
  <c r="D466" i="8"/>
  <c r="O466" i="8" s="1"/>
  <c r="G465" i="8"/>
  <c r="F465" i="8"/>
  <c r="D465" i="8"/>
  <c r="O465" i="8" s="1"/>
  <c r="G464" i="8"/>
  <c r="F464" i="8"/>
  <c r="I464" i="8" s="1"/>
  <c r="D464" i="8"/>
  <c r="O464" i="8" s="1"/>
  <c r="G463" i="8"/>
  <c r="F463" i="8"/>
  <c r="D463" i="8"/>
  <c r="O463" i="8" s="1"/>
  <c r="G462" i="8"/>
  <c r="I462" i="8" s="1"/>
  <c r="F462" i="8"/>
  <c r="D462" i="8"/>
  <c r="O462" i="8" s="1"/>
  <c r="G461" i="8"/>
  <c r="F461" i="8"/>
  <c r="D461" i="8"/>
  <c r="O461" i="8" s="1"/>
  <c r="G460" i="8"/>
  <c r="F460" i="8"/>
  <c r="I460" i="8" s="1"/>
  <c r="D460" i="8"/>
  <c r="O460" i="8" s="1"/>
  <c r="G459" i="8"/>
  <c r="F459" i="8"/>
  <c r="D459" i="8"/>
  <c r="O459" i="8" s="1"/>
  <c r="G458" i="8"/>
  <c r="I458" i="8" s="1"/>
  <c r="F458" i="8"/>
  <c r="D458" i="8"/>
  <c r="O458" i="8" s="1"/>
  <c r="G457" i="8"/>
  <c r="F457" i="8"/>
  <c r="D457" i="8"/>
  <c r="O457" i="8" s="1"/>
  <c r="G456" i="8"/>
  <c r="F456" i="8"/>
  <c r="I456" i="8" s="1"/>
  <c r="D456" i="8"/>
  <c r="O456" i="8" s="1"/>
  <c r="G455" i="8"/>
  <c r="F455" i="8"/>
  <c r="I455" i="8" s="1"/>
  <c r="D455" i="8"/>
  <c r="O455" i="8" s="1"/>
  <c r="G454" i="8"/>
  <c r="F454" i="8"/>
  <c r="D454" i="8"/>
  <c r="O454" i="8" s="1"/>
  <c r="G453" i="8"/>
  <c r="F453" i="8"/>
  <c r="I453" i="8" s="1"/>
  <c r="D453" i="8"/>
  <c r="O453" i="8" s="1"/>
  <c r="G452" i="8"/>
  <c r="F452" i="8"/>
  <c r="D452" i="8"/>
  <c r="O452" i="8" s="1"/>
  <c r="G451" i="8"/>
  <c r="F451" i="8"/>
  <c r="I451" i="8" s="1"/>
  <c r="D451" i="8"/>
  <c r="O451" i="8" s="1"/>
  <c r="G450" i="8"/>
  <c r="F450" i="8"/>
  <c r="D450" i="8"/>
  <c r="O450" i="8" s="1"/>
  <c r="G449" i="8"/>
  <c r="F449" i="8"/>
  <c r="I449" i="8" s="1"/>
  <c r="D449" i="8"/>
  <c r="O449" i="8" s="1"/>
  <c r="G448" i="8"/>
  <c r="F448" i="8"/>
  <c r="D448" i="8"/>
  <c r="O448" i="8" s="1"/>
  <c r="G447" i="8"/>
  <c r="F447" i="8"/>
  <c r="I447" i="8" s="1"/>
  <c r="D447" i="8"/>
  <c r="O447" i="8" s="1"/>
  <c r="G446" i="8"/>
  <c r="F446" i="8"/>
  <c r="I446" i="8" s="1"/>
  <c r="D446" i="8"/>
  <c r="O446" i="8" s="1"/>
  <c r="G445" i="8"/>
  <c r="F445" i="8"/>
  <c r="D445" i="8"/>
  <c r="O445" i="8" s="1"/>
  <c r="G444" i="8"/>
  <c r="F444" i="8"/>
  <c r="D444" i="8"/>
  <c r="O444" i="8" s="1"/>
  <c r="G443" i="8"/>
  <c r="F443" i="8"/>
  <c r="D443" i="8"/>
  <c r="O443" i="8" s="1"/>
  <c r="G442" i="8"/>
  <c r="F442" i="8"/>
  <c r="D442" i="8"/>
  <c r="O442" i="8" s="1"/>
  <c r="G441" i="8"/>
  <c r="F441" i="8"/>
  <c r="I441" i="8" s="1"/>
  <c r="D441" i="8"/>
  <c r="O441" i="8" s="1"/>
  <c r="G440" i="8"/>
  <c r="F440" i="8"/>
  <c r="D440" i="8"/>
  <c r="O440" i="8" s="1"/>
  <c r="G439" i="8"/>
  <c r="F439" i="8"/>
  <c r="D439" i="8"/>
  <c r="O439" i="8" s="1"/>
  <c r="G438" i="8"/>
  <c r="F438" i="8"/>
  <c r="I438" i="8" s="1"/>
  <c r="D438" i="8"/>
  <c r="O438" i="8" s="1"/>
  <c r="G437" i="8"/>
  <c r="F437" i="8"/>
  <c r="D437" i="8"/>
  <c r="O437" i="8" s="1"/>
  <c r="G436" i="8"/>
  <c r="F436" i="8"/>
  <c r="I436" i="8" s="1"/>
  <c r="D436" i="8"/>
  <c r="O436" i="8" s="1"/>
  <c r="G435" i="8"/>
  <c r="F435" i="8"/>
  <c r="D435" i="8"/>
  <c r="O435" i="8" s="1"/>
  <c r="G434" i="8"/>
  <c r="F434" i="8"/>
  <c r="I434" i="8" s="1"/>
  <c r="D434" i="8"/>
  <c r="O434" i="8" s="1"/>
  <c r="G433" i="8"/>
  <c r="F433" i="8"/>
  <c r="D433" i="8"/>
  <c r="O433" i="8" s="1"/>
  <c r="G432" i="8"/>
  <c r="F432" i="8"/>
  <c r="I432" i="8" s="1"/>
  <c r="D432" i="8"/>
  <c r="O432" i="8" s="1"/>
  <c r="G431" i="8"/>
  <c r="I431" i="8" s="1"/>
  <c r="F431" i="8"/>
  <c r="D431" i="8"/>
  <c r="O431" i="8" s="1"/>
  <c r="G430" i="8"/>
  <c r="F430" i="8"/>
  <c r="D430" i="8"/>
  <c r="O430" i="8" s="1"/>
  <c r="G429" i="8"/>
  <c r="F429" i="8"/>
  <c r="I429" i="8" s="1"/>
  <c r="D429" i="8"/>
  <c r="O429" i="8" s="1"/>
  <c r="G428" i="8"/>
  <c r="F428" i="8"/>
  <c r="I428" i="8" s="1"/>
  <c r="D428" i="8"/>
  <c r="O428" i="8" s="1"/>
  <c r="G427" i="8"/>
  <c r="F427" i="8"/>
  <c r="D427" i="8"/>
  <c r="O427" i="8" s="1"/>
  <c r="G426" i="8"/>
  <c r="F426" i="8"/>
  <c r="D426" i="8"/>
  <c r="O426" i="8" s="1"/>
  <c r="G425" i="8"/>
  <c r="F425" i="8"/>
  <c r="D425" i="8"/>
  <c r="O425" i="8" s="1"/>
  <c r="G424" i="8"/>
  <c r="F424" i="8"/>
  <c r="D424" i="8"/>
  <c r="O424" i="8" s="1"/>
  <c r="G423" i="8"/>
  <c r="F423" i="8"/>
  <c r="D423" i="8"/>
  <c r="O423" i="8" s="1"/>
  <c r="G422" i="8"/>
  <c r="F422" i="8"/>
  <c r="D422" i="8"/>
  <c r="O422" i="8" s="1"/>
  <c r="G421" i="8"/>
  <c r="F421" i="8"/>
  <c r="D421" i="8"/>
  <c r="O421" i="8" s="1"/>
  <c r="G420" i="8"/>
  <c r="F420" i="8"/>
  <c r="I420" i="8" s="1"/>
  <c r="D420" i="8"/>
  <c r="O420" i="8" s="1"/>
  <c r="G419" i="8"/>
  <c r="I419" i="8" s="1"/>
  <c r="F419" i="8"/>
  <c r="D419" i="8"/>
  <c r="O419" i="8" s="1"/>
  <c r="G418" i="8"/>
  <c r="F418" i="8"/>
  <c r="D418" i="8"/>
  <c r="O418" i="8" s="1"/>
  <c r="G417" i="8"/>
  <c r="F417" i="8"/>
  <c r="I417" i="8" s="1"/>
  <c r="D417" i="8"/>
  <c r="O417" i="8" s="1"/>
  <c r="G416" i="8"/>
  <c r="F416" i="8"/>
  <c r="D416" i="8"/>
  <c r="O416" i="8" s="1"/>
  <c r="G415" i="8"/>
  <c r="F415" i="8"/>
  <c r="D415" i="8"/>
  <c r="O415" i="8" s="1"/>
  <c r="G414" i="8"/>
  <c r="F414" i="8"/>
  <c r="D414" i="8"/>
  <c r="O414" i="8" s="1"/>
  <c r="G413" i="8"/>
  <c r="F413" i="8"/>
  <c r="I413" i="8" s="1"/>
  <c r="D413" i="8"/>
  <c r="O413" i="8" s="1"/>
  <c r="G412" i="8"/>
  <c r="F412" i="8"/>
  <c r="D412" i="8"/>
  <c r="O412" i="8" s="1"/>
  <c r="G411" i="8"/>
  <c r="F411" i="8"/>
  <c r="D411" i="8"/>
  <c r="O411" i="8" s="1"/>
  <c r="G410" i="8"/>
  <c r="F410" i="8"/>
  <c r="D410" i="8"/>
  <c r="O410" i="8" s="1"/>
  <c r="G409" i="8"/>
  <c r="F409" i="8"/>
  <c r="D409" i="8"/>
  <c r="O409" i="8" s="1"/>
  <c r="G408" i="8"/>
  <c r="F408" i="8"/>
  <c r="D408" i="8"/>
  <c r="O408" i="8" s="1"/>
  <c r="G407" i="8"/>
  <c r="I407" i="8" s="1"/>
  <c r="F407" i="8"/>
  <c r="D407" i="8"/>
  <c r="O407" i="8" s="1"/>
  <c r="G406" i="8"/>
  <c r="F406" i="8"/>
  <c r="D406" i="8"/>
  <c r="O406" i="8" s="1"/>
  <c r="G405" i="8"/>
  <c r="F405" i="8"/>
  <c r="D405" i="8"/>
  <c r="O405" i="8" s="1"/>
  <c r="G404" i="8"/>
  <c r="F404" i="8"/>
  <c r="D404" i="8"/>
  <c r="O404" i="8" s="1"/>
  <c r="G403" i="8"/>
  <c r="F403" i="8"/>
  <c r="D403" i="8"/>
  <c r="O403" i="8" s="1"/>
  <c r="G402" i="8"/>
  <c r="F402" i="8"/>
  <c r="I402" i="8" s="1"/>
  <c r="D402" i="8"/>
  <c r="O402" i="8" s="1"/>
  <c r="G401" i="8"/>
  <c r="F401" i="8"/>
  <c r="I401" i="8" s="1"/>
  <c r="D401" i="8"/>
  <c r="O401" i="8" s="1"/>
  <c r="G400" i="8"/>
  <c r="F400" i="8"/>
  <c r="D400" i="8"/>
  <c r="O400" i="8" s="1"/>
  <c r="G399" i="8"/>
  <c r="F399" i="8"/>
  <c r="D399" i="8"/>
  <c r="O399" i="8" s="1"/>
  <c r="G398" i="8"/>
  <c r="F398" i="8"/>
  <c r="I398" i="8" s="1"/>
  <c r="D398" i="8"/>
  <c r="O398" i="8" s="1"/>
  <c r="G397" i="8"/>
  <c r="F397" i="8"/>
  <c r="D397" i="8"/>
  <c r="O397" i="8" s="1"/>
  <c r="G396" i="8"/>
  <c r="F396" i="8"/>
  <c r="D396" i="8"/>
  <c r="O396" i="8" s="1"/>
  <c r="G395" i="8"/>
  <c r="F395" i="8"/>
  <c r="D395" i="8"/>
  <c r="O395" i="8" s="1"/>
  <c r="G394" i="8"/>
  <c r="F394" i="8"/>
  <c r="D394" i="8"/>
  <c r="O394" i="8" s="1"/>
  <c r="G393" i="8"/>
  <c r="F393" i="8"/>
  <c r="D393" i="8"/>
  <c r="O393" i="8" s="1"/>
  <c r="G392" i="8"/>
  <c r="F392" i="8"/>
  <c r="D392" i="8"/>
  <c r="O392" i="8" s="1"/>
  <c r="G391" i="8"/>
  <c r="F391" i="8"/>
  <c r="D391" i="8"/>
  <c r="O391" i="8" s="1"/>
  <c r="G390" i="8"/>
  <c r="F390" i="8"/>
  <c r="D390" i="8"/>
  <c r="O390" i="8" s="1"/>
  <c r="G389" i="8"/>
  <c r="F389" i="8"/>
  <c r="D389" i="8"/>
  <c r="O389" i="8" s="1"/>
  <c r="G388" i="8"/>
  <c r="F388" i="8"/>
  <c r="D388" i="8"/>
  <c r="O388" i="8" s="1"/>
  <c r="G387" i="8"/>
  <c r="F387" i="8"/>
  <c r="D387" i="8"/>
  <c r="O387" i="8" s="1"/>
  <c r="G386" i="8"/>
  <c r="F386" i="8"/>
  <c r="D386" i="8"/>
  <c r="O386" i="8" s="1"/>
  <c r="G385" i="8"/>
  <c r="F385" i="8"/>
  <c r="D385" i="8"/>
  <c r="O385" i="8" s="1"/>
  <c r="G384" i="8"/>
  <c r="F384" i="8"/>
  <c r="D384" i="8"/>
  <c r="O384" i="8" s="1"/>
  <c r="G383" i="8"/>
  <c r="F383" i="8"/>
  <c r="D383" i="8"/>
  <c r="O383" i="8" s="1"/>
  <c r="G382" i="8"/>
  <c r="F382" i="8"/>
  <c r="D382" i="8"/>
  <c r="O382" i="8" s="1"/>
  <c r="G381" i="8"/>
  <c r="F381" i="8"/>
  <c r="D381" i="8"/>
  <c r="O381" i="8" s="1"/>
  <c r="G380" i="8"/>
  <c r="F380" i="8"/>
  <c r="D380" i="8"/>
  <c r="O380" i="8" s="1"/>
  <c r="G379" i="8"/>
  <c r="F379" i="8"/>
  <c r="D379" i="8"/>
  <c r="O379" i="8" s="1"/>
  <c r="G378" i="8"/>
  <c r="F378" i="8"/>
  <c r="D378" i="8"/>
  <c r="O378" i="8" s="1"/>
  <c r="G377" i="8"/>
  <c r="F377" i="8"/>
  <c r="I377" i="8" s="1"/>
  <c r="D377" i="8"/>
  <c r="O377" i="8" s="1"/>
  <c r="G376" i="8"/>
  <c r="F376" i="8"/>
  <c r="D376" i="8"/>
  <c r="O376" i="8" s="1"/>
  <c r="G375" i="8"/>
  <c r="F375" i="8"/>
  <c r="D375" i="8"/>
  <c r="O375" i="8" s="1"/>
  <c r="G374" i="8"/>
  <c r="F374" i="8"/>
  <c r="D374" i="8"/>
  <c r="O374" i="8" s="1"/>
  <c r="G373" i="8"/>
  <c r="F373" i="8"/>
  <c r="D373" i="8"/>
  <c r="O373" i="8" s="1"/>
  <c r="G372" i="8"/>
  <c r="F372" i="8"/>
  <c r="D372" i="8"/>
  <c r="O372" i="8" s="1"/>
  <c r="G371" i="8"/>
  <c r="F371" i="8"/>
  <c r="D371" i="8"/>
  <c r="O371" i="8" s="1"/>
  <c r="G370" i="8"/>
  <c r="I370" i="8" s="1"/>
  <c r="F370" i="8"/>
  <c r="D370" i="8"/>
  <c r="O370" i="8" s="1"/>
  <c r="I369" i="8"/>
  <c r="G369" i="8"/>
  <c r="F369" i="8"/>
  <c r="D369" i="8"/>
  <c r="O369" i="8" s="1"/>
  <c r="G368" i="8"/>
  <c r="F368" i="8"/>
  <c r="D368" i="8"/>
  <c r="O368" i="8" s="1"/>
  <c r="G367" i="8"/>
  <c r="F367" i="8"/>
  <c r="D367" i="8"/>
  <c r="O367" i="8" s="1"/>
  <c r="G366" i="8"/>
  <c r="F366" i="8"/>
  <c r="D366" i="8"/>
  <c r="O366" i="8" s="1"/>
  <c r="G365" i="8"/>
  <c r="F365" i="8"/>
  <c r="D365" i="8"/>
  <c r="O365" i="8" s="1"/>
  <c r="G364" i="8"/>
  <c r="F364" i="8"/>
  <c r="I364" i="8" s="1"/>
  <c r="D364" i="8"/>
  <c r="O364" i="8" s="1"/>
  <c r="G363" i="8"/>
  <c r="F363" i="8"/>
  <c r="D363" i="8"/>
  <c r="O363" i="8" s="1"/>
  <c r="G362" i="8"/>
  <c r="F362" i="8"/>
  <c r="D362" i="8"/>
  <c r="O362" i="8" s="1"/>
  <c r="G361" i="8"/>
  <c r="F361" i="8"/>
  <c r="I361" i="8" s="1"/>
  <c r="D361" i="8"/>
  <c r="O361" i="8" s="1"/>
  <c r="G360" i="8"/>
  <c r="F360" i="8"/>
  <c r="I360" i="8" s="1"/>
  <c r="D360" i="8"/>
  <c r="O360" i="8" s="1"/>
  <c r="G359" i="8"/>
  <c r="F359" i="8"/>
  <c r="D359" i="8"/>
  <c r="O359" i="8" s="1"/>
  <c r="G358" i="8"/>
  <c r="F358" i="8"/>
  <c r="D358" i="8"/>
  <c r="O358" i="8" s="1"/>
  <c r="G357" i="8"/>
  <c r="F357" i="8"/>
  <c r="D357" i="8"/>
  <c r="O357" i="8" s="1"/>
  <c r="G356" i="8"/>
  <c r="F356" i="8"/>
  <c r="D356" i="8"/>
  <c r="O356" i="8" s="1"/>
  <c r="G355" i="8"/>
  <c r="F355" i="8"/>
  <c r="D355" i="8"/>
  <c r="O355" i="8" s="1"/>
  <c r="G354" i="8"/>
  <c r="I354" i="8" s="1"/>
  <c r="F354" i="8"/>
  <c r="D354" i="8"/>
  <c r="O354" i="8" s="1"/>
  <c r="G353" i="8"/>
  <c r="F353" i="8"/>
  <c r="D353" i="8"/>
  <c r="O353" i="8" s="1"/>
  <c r="G352" i="8"/>
  <c r="I352" i="8" s="1"/>
  <c r="F352" i="8"/>
  <c r="D352" i="8"/>
  <c r="O352" i="8" s="1"/>
  <c r="G351" i="8"/>
  <c r="F351" i="8"/>
  <c r="D351" i="8"/>
  <c r="O351" i="8" s="1"/>
  <c r="G350" i="8"/>
  <c r="F350" i="8"/>
  <c r="D350" i="8"/>
  <c r="O350" i="8" s="1"/>
  <c r="G349" i="8"/>
  <c r="F349" i="8"/>
  <c r="I349" i="8" s="1"/>
  <c r="D349" i="8"/>
  <c r="O349" i="8" s="1"/>
  <c r="G348" i="8"/>
  <c r="F348" i="8"/>
  <c r="D348" i="8"/>
  <c r="O348" i="8" s="1"/>
  <c r="G347" i="8"/>
  <c r="F347" i="8"/>
  <c r="D347" i="8"/>
  <c r="O347" i="8" s="1"/>
  <c r="G346" i="8"/>
  <c r="F346" i="8"/>
  <c r="D346" i="8"/>
  <c r="O346" i="8" s="1"/>
  <c r="G345" i="8"/>
  <c r="F345" i="8"/>
  <c r="D345" i="8"/>
  <c r="O345" i="8" s="1"/>
  <c r="G344" i="8"/>
  <c r="F344" i="8"/>
  <c r="D344" i="8"/>
  <c r="O344" i="8" s="1"/>
  <c r="G343" i="8"/>
  <c r="F343" i="8"/>
  <c r="D343" i="8"/>
  <c r="O343" i="8" s="1"/>
  <c r="G342" i="8"/>
  <c r="F342" i="8"/>
  <c r="D342" i="8"/>
  <c r="O342" i="8" s="1"/>
  <c r="G341" i="8"/>
  <c r="F341" i="8"/>
  <c r="D341" i="8"/>
  <c r="O341" i="8" s="1"/>
  <c r="G340" i="8"/>
  <c r="I340" i="8" s="1"/>
  <c r="F340" i="8"/>
  <c r="D340" i="8"/>
  <c r="O340" i="8" s="1"/>
  <c r="G339" i="8"/>
  <c r="F339" i="8"/>
  <c r="I339" i="8" s="1"/>
  <c r="D339" i="8"/>
  <c r="O339" i="8" s="1"/>
  <c r="G338" i="8"/>
  <c r="F338" i="8"/>
  <c r="D338" i="8"/>
  <c r="O338" i="8" s="1"/>
  <c r="G337" i="8"/>
  <c r="F337" i="8"/>
  <c r="D337" i="8"/>
  <c r="O337" i="8" s="1"/>
  <c r="G336" i="8"/>
  <c r="I336" i="8" s="1"/>
  <c r="F336" i="8"/>
  <c r="D336" i="8"/>
  <c r="O336" i="8" s="1"/>
  <c r="G335" i="8"/>
  <c r="F335" i="8"/>
  <c r="D335" i="8"/>
  <c r="O335" i="8" s="1"/>
  <c r="G334" i="8"/>
  <c r="F334" i="8"/>
  <c r="I334" i="8" s="1"/>
  <c r="D334" i="8"/>
  <c r="O334" i="8" s="1"/>
  <c r="G333" i="8"/>
  <c r="F333" i="8"/>
  <c r="D333" i="8"/>
  <c r="O333" i="8" s="1"/>
  <c r="G332" i="8"/>
  <c r="F332" i="8"/>
  <c r="D332" i="8"/>
  <c r="O332" i="8" s="1"/>
  <c r="G331" i="8"/>
  <c r="F331" i="8"/>
  <c r="D331" i="8"/>
  <c r="O331" i="8" s="1"/>
  <c r="G330" i="8"/>
  <c r="F330" i="8"/>
  <c r="D330" i="8"/>
  <c r="O330" i="8" s="1"/>
  <c r="G329" i="8"/>
  <c r="F329" i="8"/>
  <c r="D329" i="8"/>
  <c r="O329" i="8" s="1"/>
  <c r="G328" i="8"/>
  <c r="F328" i="8"/>
  <c r="D328" i="8"/>
  <c r="O328" i="8" s="1"/>
  <c r="G327" i="8"/>
  <c r="F327" i="8"/>
  <c r="I327" i="8" s="1"/>
  <c r="D327" i="8"/>
  <c r="O327" i="8" s="1"/>
  <c r="G326" i="8"/>
  <c r="F326" i="8"/>
  <c r="D326" i="8"/>
  <c r="O326" i="8" s="1"/>
  <c r="G325" i="8"/>
  <c r="F325" i="8"/>
  <c r="D325" i="8"/>
  <c r="O325" i="8" s="1"/>
  <c r="G324" i="8"/>
  <c r="F324" i="8"/>
  <c r="D324" i="8"/>
  <c r="O324" i="8" s="1"/>
  <c r="G323" i="8"/>
  <c r="F323" i="8"/>
  <c r="D323" i="8"/>
  <c r="O323" i="8" s="1"/>
  <c r="G322" i="8"/>
  <c r="F322" i="8"/>
  <c r="D322" i="8"/>
  <c r="O322" i="8" s="1"/>
  <c r="G321" i="8"/>
  <c r="F321" i="8"/>
  <c r="D321" i="8"/>
  <c r="O321" i="8" s="1"/>
  <c r="G320" i="8"/>
  <c r="F320" i="8"/>
  <c r="D320" i="8"/>
  <c r="O320" i="8" s="1"/>
  <c r="G319" i="8"/>
  <c r="I319" i="8" s="1"/>
  <c r="F319" i="8"/>
  <c r="D319" i="8"/>
  <c r="O319" i="8" s="1"/>
  <c r="I318" i="8"/>
  <c r="G318" i="8"/>
  <c r="F318" i="8"/>
  <c r="D318" i="8"/>
  <c r="O318" i="8" s="1"/>
  <c r="G317" i="8"/>
  <c r="F317" i="8"/>
  <c r="D317" i="8"/>
  <c r="O317" i="8" s="1"/>
  <c r="G316" i="8"/>
  <c r="F316" i="8"/>
  <c r="D316" i="8"/>
  <c r="O316" i="8" s="1"/>
  <c r="G315" i="8"/>
  <c r="F315" i="8"/>
  <c r="D315" i="8"/>
  <c r="O315" i="8" s="1"/>
  <c r="G314" i="8"/>
  <c r="F314" i="8"/>
  <c r="D314" i="8"/>
  <c r="O314" i="8" s="1"/>
  <c r="G313" i="8"/>
  <c r="F313" i="8"/>
  <c r="I313" i="8" s="1"/>
  <c r="D313" i="8"/>
  <c r="O313" i="8" s="1"/>
  <c r="G312" i="8"/>
  <c r="F312" i="8"/>
  <c r="D312" i="8"/>
  <c r="O312" i="8" s="1"/>
  <c r="G311" i="8"/>
  <c r="F311" i="8"/>
  <c r="D311" i="8"/>
  <c r="O311" i="8" s="1"/>
  <c r="G310" i="8"/>
  <c r="F310" i="8"/>
  <c r="D310" i="8"/>
  <c r="O310" i="8" s="1"/>
  <c r="G309" i="8"/>
  <c r="F309" i="8"/>
  <c r="D309" i="8"/>
  <c r="O309" i="8" s="1"/>
  <c r="G308" i="8"/>
  <c r="F308" i="8"/>
  <c r="D308" i="8"/>
  <c r="O308" i="8" s="1"/>
  <c r="G307" i="8"/>
  <c r="F307" i="8"/>
  <c r="D307" i="8"/>
  <c r="O307" i="8" s="1"/>
  <c r="G306" i="8"/>
  <c r="F306" i="8"/>
  <c r="D306" i="8"/>
  <c r="O306" i="8" s="1"/>
  <c r="G305" i="8"/>
  <c r="F305" i="8"/>
  <c r="D305" i="8"/>
  <c r="O305" i="8" s="1"/>
  <c r="G304" i="8"/>
  <c r="F304" i="8"/>
  <c r="D304" i="8"/>
  <c r="O304" i="8" s="1"/>
  <c r="G303" i="8"/>
  <c r="F303" i="8"/>
  <c r="D303" i="8"/>
  <c r="O303" i="8" s="1"/>
  <c r="G302" i="8"/>
  <c r="F302" i="8"/>
  <c r="D302" i="8"/>
  <c r="O302" i="8" s="1"/>
  <c r="G301" i="8"/>
  <c r="F301" i="8"/>
  <c r="D301" i="8"/>
  <c r="O301" i="8" s="1"/>
  <c r="G300" i="8"/>
  <c r="F300" i="8"/>
  <c r="D300" i="8"/>
  <c r="O300" i="8" s="1"/>
  <c r="G299" i="8"/>
  <c r="F299" i="8"/>
  <c r="D299" i="8"/>
  <c r="O299" i="8" s="1"/>
  <c r="G298" i="8"/>
  <c r="F298" i="8"/>
  <c r="D298" i="8"/>
  <c r="O298" i="8" s="1"/>
  <c r="G297" i="8"/>
  <c r="F297" i="8"/>
  <c r="D297" i="8"/>
  <c r="O297" i="8" s="1"/>
  <c r="G296" i="8"/>
  <c r="F296" i="8"/>
  <c r="D296" i="8"/>
  <c r="O296" i="8" s="1"/>
  <c r="G295" i="8"/>
  <c r="F295" i="8"/>
  <c r="I295" i="8" s="1"/>
  <c r="D295" i="8"/>
  <c r="O295" i="8" s="1"/>
  <c r="G294" i="8"/>
  <c r="F294" i="8"/>
  <c r="D294" i="8"/>
  <c r="O294" i="8" s="1"/>
  <c r="G293" i="8"/>
  <c r="F293" i="8"/>
  <c r="D293" i="8"/>
  <c r="O293" i="8" s="1"/>
  <c r="G292" i="8"/>
  <c r="I292" i="8" s="1"/>
  <c r="F292" i="8"/>
  <c r="D292" i="8"/>
  <c r="O292" i="8" s="1"/>
  <c r="G291" i="8"/>
  <c r="F291" i="8"/>
  <c r="D291" i="8"/>
  <c r="O291" i="8" s="1"/>
  <c r="G290" i="8"/>
  <c r="F290" i="8"/>
  <c r="D290" i="8"/>
  <c r="O290" i="8" s="1"/>
  <c r="G289" i="8"/>
  <c r="F289" i="8"/>
  <c r="D289" i="8"/>
  <c r="O289" i="8" s="1"/>
  <c r="G288" i="8"/>
  <c r="F288" i="8"/>
  <c r="D288" i="8"/>
  <c r="O288" i="8" s="1"/>
  <c r="G287" i="8"/>
  <c r="F287" i="8"/>
  <c r="D287" i="8"/>
  <c r="O287" i="8" s="1"/>
  <c r="G286" i="8"/>
  <c r="F286" i="8"/>
  <c r="D286" i="8"/>
  <c r="O286" i="8" s="1"/>
  <c r="G285" i="8"/>
  <c r="F285" i="8"/>
  <c r="D285" i="8"/>
  <c r="O285" i="8" s="1"/>
  <c r="G284" i="8"/>
  <c r="F284" i="8"/>
  <c r="D284" i="8"/>
  <c r="O284" i="8" s="1"/>
  <c r="G283" i="8"/>
  <c r="F283" i="8"/>
  <c r="D283" i="8"/>
  <c r="O283" i="8" s="1"/>
  <c r="G282" i="8"/>
  <c r="F282" i="8"/>
  <c r="D282" i="8"/>
  <c r="O282" i="8" s="1"/>
  <c r="G281" i="8"/>
  <c r="F281" i="8"/>
  <c r="D281" i="8"/>
  <c r="O281" i="8" s="1"/>
  <c r="G280" i="8"/>
  <c r="F280" i="8"/>
  <c r="D280" i="8"/>
  <c r="O280" i="8" s="1"/>
  <c r="G279" i="8"/>
  <c r="F279" i="8"/>
  <c r="D279" i="8"/>
  <c r="O279" i="8" s="1"/>
  <c r="G278" i="8"/>
  <c r="F278" i="8"/>
  <c r="D278" i="8"/>
  <c r="O278" i="8" s="1"/>
  <c r="G277" i="8"/>
  <c r="I277" i="8" s="1"/>
  <c r="F277" i="8"/>
  <c r="D277" i="8"/>
  <c r="O277" i="8" s="1"/>
  <c r="G276" i="8"/>
  <c r="F276" i="8"/>
  <c r="I276" i="8" s="1"/>
  <c r="D276" i="8"/>
  <c r="O276" i="8" s="1"/>
  <c r="G275" i="8"/>
  <c r="F275" i="8"/>
  <c r="D275" i="8"/>
  <c r="O275" i="8" s="1"/>
  <c r="G274" i="8"/>
  <c r="F274" i="8"/>
  <c r="D274" i="8"/>
  <c r="O274" i="8" s="1"/>
  <c r="G273" i="8"/>
  <c r="I273" i="8" s="1"/>
  <c r="F273" i="8"/>
  <c r="D273" i="8"/>
  <c r="O273" i="8" s="1"/>
  <c r="G272" i="8"/>
  <c r="F272" i="8"/>
  <c r="D272" i="8"/>
  <c r="O272" i="8" s="1"/>
  <c r="G271" i="8"/>
  <c r="F271" i="8"/>
  <c r="D271" i="8"/>
  <c r="O271" i="8" s="1"/>
  <c r="G270" i="8"/>
  <c r="F270" i="8"/>
  <c r="D270" i="8"/>
  <c r="O270" i="8" s="1"/>
  <c r="G269" i="8"/>
  <c r="F269" i="8"/>
  <c r="D269" i="8"/>
  <c r="O269" i="8" s="1"/>
  <c r="G268" i="8"/>
  <c r="F268" i="8"/>
  <c r="D268" i="8"/>
  <c r="O268" i="8" s="1"/>
  <c r="G267" i="8"/>
  <c r="F267" i="8"/>
  <c r="D267" i="8"/>
  <c r="O267" i="8" s="1"/>
  <c r="G266" i="8"/>
  <c r="F266" i="8"/>
  <c r="D266" i="8"/>
  <c r="O266" i="8" s="1"/>
  <c r="G265" i="8"/>
  <c r="I265" i="8" s="1"/>
  <c r="F265" i="8"/>
  <c r="D265" i="8"/>
  <c r="O265" i="8" s="1"/>
  <c r="G264" i="8"/>
  <c r="F264" i="8"/>
  <c r="D264" i="8"/>
  <c r="O264" i="8" s="1"/>
  <c r="G263" i="8"/>
  <c r="F263" i="8"/>
  <c r="D263" i="8"/>
  <c r="O263" i="8" s="1"/>
  <c r="G262" i="8"/>
  <c r="F262" i="8"/>
  <c r="D262" i="8"/>
  <c r="O262" i="8" s="1"/>
  <c r="G261" i="8"/>
  <c r="F261" i="8"/>
  <c r="D261" i="8"/>
  <c r="O261" i="8" s="1"/>
  <c r="G260" i="8"/>
  <c r="F260" i="8"/>
  <c r="D260" i="8"/>
  <c r="O260" i="8" s="1"/>
  <c r="G259" i="8"/>
  <c r="F259" i="8"/>
  <c r="D259" i="8"/>
  <c r="O259" i="8" s="1"/>
  <c r="G258" i="8"/>
  <c r="F258" i="8"/>
  <c r="D258" i="8"/>
  <c r="O258" i="8" s="1"/>
  <c r="G257" i="8"/>
  <c r="F257" i="8"/>
  <c r="D257" i="8"/>
  <c r="O257" i="8" s="1"/>
  <c r="G256" i="8"/>
  <c r="F256" i="8"/>
  <c r="D256" i="8"/>
  <c r="O256" i="8" s="1"/>
  <c r="G255" i="8"/>
  <c r="F255" i="8"/>
  <c r="I255" i="8" s="1"/>
  <c r="D255" i="8"/>
  <c r="O255" i="8" s="1"/>
  <c r="G254" i="8"/>
  <c r="F254" i="8"/>
  <c r="D254" i="8"/>
  <c r="O254" i="8" s="1"/>
  <c r="G253" i="8"/>
  <c r="F253" i="8"/>
  <c r="D253" i="8"/>
  <c r="O253" i="8" s="1"/>
  <c r="G252" i="8"/>
  <c r="F252" i="8"/>
  <c r="D252" i="8"/>
  <c r="O252" i="8" s="1"/>
  <c r="G251" i="8"/>
  <c r="F251" i="8"/>
  <c r="D251" i="8"/>
  <c r="O251" i="8" s="1"/>
  <c r="G250" i="8"/>
  <c r="F250" i="8"/>
  <c r="D250" i="8"/>
  <c r="O250" i="8" s="1"/>
  <c r="G249" i="8"/>
  <c r="F249" i="8"/>
  <c r="D249" i="8"/>
  <c r="O249" i="8" s="1"/>
  <c r="G248" i="8"/>
  <c r="F248" i="8"/>
  <c r="D248" i="8"/>
  <c r="O248" i="8" s="1"/>
  <c r="G247" i="8"/>
  <c r="F247" i="8"/>
  <c r="D247" i="8"/>
  <c r="O247" i="8" s="1"/>
  <c r="G246" i="8"/>
  <c r="F246" i="8"/>
  <c r="D246" i="8"/>
  <c r="O246" i="8" s="1"/>
  <c r="G245" i="8"/>
  <c r="F245" i="8"/>
  <c r="D245" i="8"/>
  <c r="O245" i="8" s="1"/>
  <c r="G244" i="8"/>
  <c r="F244" i="8"/>
  <c r="D244" i="8"/>
  <c r="O244" i="8" s="1"/>
  <c r="G243" i="8"/>
  <c r="I243" i="8" s="1"/>
  <c r="F243" i="8"/>
  <c r="D243" i="8"/>
  <c r="O243" i="8" s="1"/>
  <c r="G242" i="8"/>
  <c r="F242" i="8"/>
  <c r="D242" i="8"/>
  <c r="O242" i="8" s="1"/>
  <c r="G241" i="8"/>
  <c r="I241" i="8" s="1"/>
  <c r="F241" i="8"/>
  <c r="D241" i="8"/>
  <c r="O241" i="8" s="1"/>
  <c r="G240" i="8"/>
  <c r="F240" i="8"/>
  <c r="D240" i="8"/>
  <c r="O240" i="8" s="1"/>
  <c r="G239" i="8"/>
  <c r="F239" i="8"/>
  <c r="D239" i="8"/>
  <c r="O239" i="8" s="1"/>
  <c r="G238" i="8"/>
  <c r="I238" i="8" s="1"/>
  <c r="F238" i="8"/>
  <c r="D238" i="8"/>
  <c r="O238" i="8" s="1"/>
  <c r="G237" i="8"/>
  <c r="F237" i="8"/>
  <c r="D237" i="8"/>
  <c r="O237" i="8" s="1"/>
  <c r="G236" i="8"/>
  <c r="F236" i="8"/>
  <c r="D236" i="8"/>
  <c r="O236" i="8" s="1"/>
  <c r="G235" i="8"/>
  <c r="F235" i="8"/>
  <c r="D235" i="8"/>
  <c r="O235" i="8" s="1"/>
  <c r="G234" i="8"/>
  <c r="I234" i="8" s="1"/>
  <c r="F234" i="8"/>
  <c r="D234" i="8"/>
  <c r="O234" i="8" s="1"/>
  <c r="G233" i="8"/>
  <c r="F233" i="8"/>
  <c r="D233" i="8"/>
  <c r="O233" i="8" s="1"/>
  <c r="G232" i="8"/>
  <c r="F232" i="8"/>
  <c r="D232" i="8"/>
  <c r="O232" i="8" s="1"/>
  <c r="G231" i="8"/>
  <c r="I231" i="8" s="1"/>
  <c r="F231" i="8"/>
  <c r="D231" i="8"/>
  <c r="O231" i="8" s="1"/>
  <c r="G230" i="8"/>
  <c r="F230" i="8"/>
  <c r="D230" i="8"/>
  <c r="O230" i="8" s="1"/>
  <c r="G229" i="8"/>
  <c r="I229" i="8" s="1"/>
  <c r="F229" i="8"/>
  <c r="D229" i="8"/>
  <c r="O229" i="8" s="1"/>
  <c r="G228" i="8"/>
  <c r="F228" i="8"/>
  <c r="D228" i="8"/>
  <c r="O228" i="8" s="1"/>
  <c r="G227" i="8"/>
  <c r="F227" i="8"/>
  <c r="D227" i="8"/>
  <c r="O227" i="8" s="1"/>
  <c r="G226" i="8"/>
  <c r="I226" i="8" s="1"/>
  <c r="F226" i="8"/>
  <c r="D226" i="8"/>
  <c r="O226" i="8" s="1"/>
  <c r="G225" i="8"/>
  <c r="F225" i="8"/>
  <c r="D225" i="8"/>
  <c r="O225" i="8" s="1"/>
  <c r="G224" i="8"/>
  <c r="F224" i="8"/>
  <c r="D224" i="8"/>
  <c r="O224" i="8" s="1"/>
  <c r="G223" i="8"/>
  <c r="I223" i="8" s="1"/>
  <c r="F223" i="8"/>
  <c r="D223" i="8"/>
  <c r="O223" i="8" s="1"/>
  <c r="G222" i="8"/>
  <c r="F222" i="8"/>
  <c r="D222" i="8"/>
  <c r="O222" i="8" s="1"/>
  <c r="G221" i="8"/>
  <c r="I221" i="8" s="1"/>
  <c r="F221" i="8"/>
  <c r="D221" i="8"/>
  <c r="O221" i="8" s="1"/>
  <c r="G220" i="8"/>
  <c r="F220" i="8"/>
  <c r="D220" i="8"/>
  <c r="O220" i="8" s="1"/>
  <c r="G219" i="8"/>
  <c r="F219" i="8"/>
  <c r="D219" i="8"/>
  <c r="O219" i="8" s="1"/>
  <c r="G218" i="8"/>
  <c r="F218" i="8"/>
  <c r="D218" i="8"/>
  <c r="O218" i="8" s="1"/>
  <c r="I217" i="8"/>
  <c r="G217" i="8"/>
  <c r="F217" i="8"/>
  <c r="D217" i="8"/>
  <c r="O217" i="8" s="1"/>
  <c r="G216" i="8"/>
  <c r="F216" i="8"/>
  <c r="I216" i="8" s="1"/>
  <c r="D216" i="8"/>
  <c r="O216" i="8" s="1"/>
  <c r="G215" i="8"/>
  <c r="F215" i="8"/>
  <c r="D215" i="8"/>
  <c r="O215" i="8" s="1"/>
  <c r="G214" i="8"/>
  <c r="F214" i="8"/>
  <c r="D214" i="8"/>
  <c r="O214" i="8" s="1"/>
  <c r="G213" i="8"/>
  <c r="I213" i="8" s="1"/>
  <c r="F213" i="8"/>
  <c r="D213" i="8"/>
  <c r="O213" i="8" s="1"/>
  <c r="G212" i="8"/>
  <c r="F212" i="8"/>
  <c r="D212" i="8"/>
  <c r="O212" i="8" s="1"/>
  <c r="G211" i="8"/>
  <c r="F211" i="8"/>
  <c r="D211" i="8"/>
  <c r="O211" i="8" s="1"/>
  <c r="G210" i="8"/>
  <c r="F210" i="8"/>
  <c r="D210" i="8"/>
  <c r="O210" i="8" s="1"/>
  <c r="G209" i="8"/>
  <c r="F209" i="8"/>
  <c r="D209" i="8"/>
  <c r="O209" i="8" s="1"/>
  <c r="G208" i="8"/>
  <c r="F208" i="8"/>
  <c r="D208" i="8"/>
  <c r="O208" i="8" s="1"/>
  <c r="G207" i="8"/>
  <c r="F207" i="8"/>
  <c r="D207" i="8"/>
  <c r="O207" i="8" s="1"/>
  <c r="G206" i="8"/>
  <c r="F206" i="8"/>
  <c r="D206" i="8"/>
  <c r="O206" i="8" s="1"/>
  <c r="G205" i="8"/>
  <c r="F205" i="8"/>
  <c r="D205" i="8"/>
  <c r="O205" i="8" s="1"/>
  <c r="G204" i="8"/>
  <c r="F204" i="8"/>
  <c r="I204" i="8" s="1"/>
  <c r="D204" i="8"/>
  <c r="O204" i="8" s="1"/>
  <c r="G203" i="8"/>
  <c r="F203" i="8"/>
  <c r="D203" i="8"/>
  <c r="O203" i="8" s="1"/>
  <c r="G202" i="8"/>
  <c r="F202" i="8"/>
  <c r="D202" i="8"/>
  <c r="O202" i="8" s="1"/>
  <c r="G201" i="8"/>
  <c r="F201" i="8"/>
  <c r="D201" i="8"/>
  <c r="O201" i="8" s="1"/>
  <c r="G200" i="8"/>
  <c r="F200" i="8"/>
  <c r="D200" i="8"/>
  <c r="O200" i="8" s="1"/>
  <c r="G199" i="8"/>
  <c r="F199" i="8"/>
  <c r="D199" i="8"/>
  <c r="O199" i="8" s="1"/>
  <c r="G198" i="8"/>
  <c r="F198" i="8"/>
  <c r="I198" i="8" s="1"/>
  <c r="D198" i="8"/>
  <c r="O198" i="8" s="1"/>
  <c r="G197" i="8"/>
  <c r="F197" i="8"/>
  <c r="D197" i="8"/>
  <c r="O197" i="8" s="1"/>
  <c r="G196" i="8"/>
  <c r="F196" i="8"/>
  <c r="D196" i="8"/>
  <c r="O196" i="8" s="1"/>
  <c r="G195" i="8"/>
  <c r="F195" i="8"/>
  <c r="D195" i="8"/>
  <c r="O195" i="8" s="1"/>
  <c r="G194" i="8"/>
  <c r="F194" i="8"/>
  <c r="D194" i="8"/>
  <c r="O194" i="8" s="1"/>
  <c r="G193" i="8"/>
  <c r="I193" i="8" s="1"/>
  <c r="F193" i="8"/>
  <c r="D193" i="8"/>
  <c r="O193" i="8" s="1"/>
  <c r="G192" i="8"/>
  <c r="F192" i="8"/>
  <c r="I192" i="8" s="1"/>
  <c r="D192" i="8"/>
  <c r="O192" i="8" s="1"/>
  <c r="G191" i="8"/>
  <c r="F191" i="8"/>
  <c r="D191" i="8"/>
  <c r="O191" i="8" s="1"/>
  <c r="G190" i="8"/>
  <c r="F190" i="8"/>
  <c r="D190" i="8"/>
  <c r="O190" i="8" s="1"/>
  <c r="G189" i="8"/>
  <c r="F189" i="8"/>
  <c r="D189" i="8"/>
  <c r="O189" i="8" s="1"/>
  <c r="G188" i="8"/>
  <c r="F188" i="8"/>
  <c r="D188" i="8"/>
  <c r="O188" i="8" s="1"/>
  <c r="G187" i="8"/>
  <c r="F187" i="8"/>
  <c r="D187" i="8"/>
  <c r="O187" i="8" s="1"/>
  <c r="G186" i="8"/>
  <c r="F186" i="8"/>
  <c r="D186" i="8"/>
  <c r="O186" i="8" s="1"/>
  <c r="G185" i="8"/>
  <c r="F185" i="8"/>
  <c r="D185" i="8"/>
  <c r="O185" i="8" s="1"/>
  <c r="G184" i="8"/>
  <c r="I184" i="8" s="1"/>
  <c r="F184" i="8"/>
  <c r="D184" i="8"/>
  <c r="O184" i="8" s="1"/>
  <c r="G183" i="8"/>
  <c r="F183" i="8"/>
  <c r="I183" i="8" s="1"/>
  <c r="D183" i="8"/>
  <c r="O183" i="8" s="1"/>
  <c r="G182" i="8"/>
  <c r="F182" i="8"/>
  <c r="D182" i="8"/>
  <c r="O182" i="8" s="1"/>
  <c r="G181" i="8"/>
  <c r="F181" i="8"/>
  <c r="D181" i="8"/>
  <c r="O181" i="8" s="1"/>
  <c r="G180" i="8"/>
  <c r="F180" i="8"/>
  <c r="D180" i="8"/>
  <c r="O180" i="8" s="1"/>
  <c r="G179" i="8"/>
  <c r="F179" i="8"/>
  <c r="D179" i="8"/>
  <c r="O179" i="8" s="1"/>
  <c r="G178" i="8"/>
  <c r="F178" i="8"/>
  <c r="D178" i="8"/>
  <c r="O178" i="8" s="1"/>
  <c r="G177" i="8"/>
  <c r="F177" i="8"/>
  <c r="D177" i="8"/>
  <c r="O177" i="8" s="1"/>
  <c r="G176" i="8"/>
  <c r="F176" i="8"/>
  <c r="D176" i="8"/>
  <c r="O176" i="8" s="1"/>
  <c r="G175" i="8"/>
  <c r="F175" i="8"/>
  <c r="D175" i="8"/>
  <c r="O175" i="8" s="1"/>
  <c r="I174" i="8"/>
  <c r="G174" i="8"/>
  <c r="F174" i="8"/>
  <c r="D174" i="8"/>
  <c r="O174" i="8" s="1"/>
  <c r="G173" i="8"/>
  <c r="F173" i="8"/>
  <c r="D173" i="8"/>
  <c r="O173" i="8" s="1"/>
  <c r="G172" i="8"/>
  <c r="F172" i="8"/>
  <c r="D172" i="8"/>
  <c r="O172" i="8" s="1"/>
  <c r="G171" i="8"/>
  <c r="I171" i="8" s="1"/>
  <c r="F171" i="8"/>
  <c r="D171" i="8"/>
  <c r="O171" i="8" s="1"/>
  <c r="G170" i="8"/>
  <c r="F170" i="8"/>
  <c r="D170" i="8"/>
  <c r="O170" i="8" s="1"/>
  <c r="G169" i="8"/>
  <c r="F169" i="8"/>
  <c r="D169" i="8"/>
  <c r="O169" i="8" s="1"/>
  <c r="G168" i="8"/>
  <c r="I168" i="8" s="1"/>
  <c r="F168" i="8"/>
  <c r="D168" i="8"/>
  <c r="O168" i="8" s="1"/>
  <c r="G167" i="8"/>
  <c r="F167" i="8"/>
  <c r="D167" i="8"/>
  <c r="O167" i="8" s="1"/>
  <c r="G166" i="8"/>
  <c r="I166" i="8" s="1"/>
  <c r="F166" i="8"/>
  <c r="D166" i="8"/>
  <c r="O166" i="8" s="1"/>
  <c r="G165" i="8"/>
  <c r="F165" i="8"/>
  <c r="D165" i="8"/>
  <c r="O165" i="8" s="1"/>
  <c r="G164" i="8"/>
  <c r="F164" i="8"/>
  <c r="D164" i="8"/>
  <c r="O164" i="8" s="1"/>
  <c r="G163" i="8"/>
  <c r="F163" i="8"/>
  <c r="D163" i="8"/>
  <c r="O163" i="8" s="1"/>
  <c r="G162" i="8"/>
  <c r="F162" i="8"/>
  <c r="D162" i="8"/>
  <c r="O162" i="8" s="1"/>
  <c r="G161" i="8"/>
  <c r="F161" i="8"/>
  <c r="D161" i="8"/>
  <c r="O161" i="8" s="1"/>
  <c r="G160" i="8"/>
  <c r="I160" i="8" s="1"/>
  <c r="F160" i="8"/>
  <c r="D160" i="8"/>
  <c r="O160" i="8" s="1"/>
  <c r="G159" i="8"/>
  <c r="I159" i="8" s="1"/>
  <c r="F159" i="8"/>
  <c r="D159" i="8"/>
  <c r="O159" i="8" s="1"/>
  <c r="G158" i="8"/>
  <c r="F158" i="8"/>
  <c r="D158" i="8"/>
  <c r="O158" i="8" s="1"/>
  <c r="G157" i="8"/>
  <c r="F157" i="8"/>
  <c r="D157" i="8"/>
  <c r="O157" i="8" s="1"/>
  <c r="G156" i="8"/>
  <c r="F156" i="8"/>
  <c r="D156" i="8"/>
  <c r="O156" i="8" s="1"/>
  <c r="G155" i="8"/>
  <c r="I155" i="8" s="1"/>
  <c r="F155" i="8"/>
  <c r="D155" i="8"/>
  <c r="O155" i="8" s="1"/>
  <c r="G154" i="8"/>
  <c r="I154" i="8" s="1"/>
  <c r="F154" i="8"/>
  <c r="D154" i="8"/>
  <c r="O154" i="8" s="1"/>
  <c r="G153" i="8"/>
  <c r="F153" i="8"/>
  <c r="I153" i="8" s="1"/>
  <c r="D153" i="8"/>
  <c r="O153" i="8" s="1"/>
  <c r="G152" i="8"/>
  <c r="I152" i="8" s="1"/>
  <c r="F152" i="8"/>
  <c r="D152" i="8"/>
  <c r="O152" i="8" s="1"/>
  <c r="G151" i="8"/>
  <c r="F151" i="8"/>
  <c r="D151" i="8"/>
  <c r="O151" i="8" s="1"/>
  <c r="G150" i="8"/>
  <c r="F150" i="8"/>
  <c r="D150" i="8"/>
  <c r="O150" i="8" s="1"/>
  <c r="G149" i="8"/>
  <c r="F149" i="8"/>
  <c r="D149" i="8"/>
  <c r="O149" i="8" s="1"/>
  <c r="I148" i="8"/>
  <c r="G148" i="8"/>
  <c r="F148" i="8"/>
  <c r="D148" i="8"/>
  <c r="O148" i="8" s="1"/>
  <c r="G147" i="8"/>
  <c r="I147" i="8" s="1"/>
  <c r="F147" i="8"/>
  <c r="D147" i="8"/>
  <c r="O147" i="8" s="1"/>
  <c r="G146" i="8"/>
  <c r="F146" i="8"/>
  <c r="D146" i="8"/>
  <c r="O146" i="8" s="1"/>
  <c r="G145" i="8"/>
  <c r="F145" i="8"/>
  <c r="D145" i="8"/>
  <c r="O145" i="8" s="1"/>
  <c r="G144" i="8"/>
  <c r="F144" i="8"/>
  <c r="D144" i="8"/>
  <c r="O144" i="8" s="1"/>
  <c r="G143" i="8"/>
  <c r="I143" i="8" s="1"/>
  <c r="F143" i="8"/>
  <c r="D143" i="8"/>
  <c r="O143" i="8" s="1"/>
  <c r="G142" i="8"/>
  <c r="F142" i="8"/>
  <c r="D142" i="8"/>
  <c r="O142" i="8" s="1"/>
  <c r="G141" i="8"/>
  <c r="F141" i="8"/>
  <c r="D141" i="8"/>
  <c r="O141" i="8" s="1"/>
  <c r="G140" i="8"/>
  <c r="F140" i="8"/>
  <c r="D140" i="8"/>
  <c r="O140" i="8" s="1"/>
  <c r="G139" i="8"/>
  <c r="I139" i="8" s="1"/>
  <c r="F139" i="8"/>
  <c r="D139" i="8"/>
  <c r="O139" i="8" s="1"/>
  <c r="G138" i="8"/>
  <c r="F138" i="8"/>
  <c r="D138" i="8"/>
  <c r="O138" i="8" s="1"/>
  <c r="G137" i="8"/>
  <c r="F137" i="8"/>
  <c r="D137" i="8"/>
  <c r="O137" i="8" s="1"/>
  <c r="G136" i="8"/>
  <c r="F136" i="8"/>
  <c r="D136" i="8"/>
  <c r="O136" i="8" s="1"/>
  <c r="G135" i="8"/>
  <c r="F135" i="8"/>
  <c r="D135" i="8"/>
  <c r="O135" i="8" s="1"/>
  <c r="G134" i="8"/>
  <c r="F134" i="8"/>
  <c r="D134" i="8"/>
  <c r="O134" i="8" s="1"/>
  <c r="G133" i="8"/>
  <c r="F133" i="8"/>
  <c r="D133" i="8"/>
  <c r="O133" i="8" s="1"/>
  <c r="G132" i="8"/>
  <c r="F132" i="8"/>
  <c r="D132" i="8"/>
  <c r="O132" i="8" s="1"/>
  <c r="G131" i="8"/>
  <c r="I131" i="8" s="1"/>
  <c r="F131" i="8"/>
  <c r="D131" i="8"/>
  <c r="O131" i="8" s="1"/>
  <c r="G130" i="8"/>
  <c r="F130" i="8"/>
  <c r="D130" i="8"/>
  <c r="O130" i="8" s="1"/>
  <c r="G129" i="8"/>
  <c r="F129" i="8"/>
  <c r="D129" i="8"/>
  <c r="O129" i="8" s="1"/>
  <c r="G128" i="8"/>
  <c r="F128" i="8"/>
  <c r="D128" i="8"/>
  <c r="O128" i="8" s="1"/>
  <c r="G127" i="8"/>
  <c r="F127" i="8"/>
  <c r="D127" i="8"/>
  <c r="O127" i="8" s="1"/>
  <c r="G126" i="8"/>
  <c r="F126" i="8"/>
  <c r="D126" i="8"/>
  <c r="O126" i="8" s="1"/>
  <c r="G125" i="8"/>
  <c r="F125" i="8"/>
  <c r="D125" i="8"/>
  <c r="O125" i="8" s="1"/>
  <c r="G124" i="8"/>
  <c r="F124" i="8"/>
  <c r="I124" i="8" s="1"/>
  <c r="D124" i="8"/>
  <c r="O124" i="8" s="1"/>
  <c r="G123" i="8"/>
  <c r="F123" i="8"/>
  <c r="D123" i="8"/>
  <c r="O123" i="8" s="1"/>
  <c r="G122" i="8"/>
  <c r="F122" i="8"/>
  <c r="D122" i="8"/>
  <c r="O122" i="8" s="1"/>
  <c r="G121" i="8"/>
  <c r="I121" i="8" s="1"/>
  <c r="F121" i="8"/>
  <c r="D121" i="8"/>
  <c r="O121" i="8" s="1"/>
  <c r="G120" i="8"/>
  <c r="F120" i="8"/>
  <c r="D120" i="8"/>
  <c r="O120" i="8" s="1"/>
  <c r="G119" i="8"/>
  <c r="I119" i="8" s="1"/>
  <c r="F119" i="8"/>
  <c r="D119" i="8"/>
  <c r="O119" i="8" s="1"/>
  <c r="G118" i="8"/>
  <c r="F118" i="8"/>
  <c r="D118" i="8"/>
  <c r="O118" i="8" s="1"/>
  <c r="G117" i="8"/>
  <c r="I117" i="8" s="1"/>
  <c r="F117" i="8"/>
  <c r="D117" i="8"/>
  <c r="O117" i="8" s="1"/>
  <c r="G116" i="8"/>
  <c r="F116" i="8"/>
  <c r="D116" i="8"/>
  <c r="O116" i="8" s="1"/>
  <c r="G115" i="8"/>
  <c r="F115" i="8"/>
  <c r="D115" i="8"/>
  <c r="O115" i="8" s="1"/>
  <c r="G114" i="8"/>
  <c r="F114" i="8"/>
  <c r="D114" i="8"/>
  <c r="O114" i="8" s="1"/>
  <c r="G113" i="8"/>
  <c r="I113" i="8" s="1"/>
  <c r="F113" i="8"/>
  <c r="D113" i="8"/>
  <c r="O113" i="8" s="1"/>
  <c r="G112" i="8"/>
  <c r="I112" i="8" s="1"/>
  <c r="F112" i="8"/>
  <c r="D112" i="8"/>
  <c r="O112" i="8" s="1"/>
  <c r="G111" i="8"/>
  <c r="I111" i="8" s="1"/>
  <c r="F111" i="8"/>
  <c r="D111" i="8"/>
  <c r="O111" i="8" s="1"/>
  <c r="G110" i="8"/>
  <c r="F110" i="8"/>
  <c r="D110" i="8"/>
  <c r="O110" i="8" s="1"/>
  <c r="G109" i="8"/>
  <c r="F109" i="8"/>
  <c r="D109" i="8"/>
  <c r="O109" i="8" s="1"/>
  <c r="G108" i="8"/>
  <c r="I108" i="8" s="1"/>
  <c r="F108" i="8"/>
  <c r="D108" i="8"/>
  <c r="O108" i="8" s="1"/>
  <c r="G107" i="8"/>
  <c r="F107" i="8"/>
  <c r="D107" i="8"/>
  <c r="O107" i="8" s="1"/>
  <c r="G106" i="8"/>
  <c r="F106" i="8"/>
  <c r="D106" i="8"/>
  <c r="O106" i="8" s="1"/>
  <c r="G105" i="8"/>
  <c r="I105" i="8" s="1"/>
  <c r="F105" i="8"/>
  <c r="D105" i="8"/>
  <c r="O105" i="8" s="1"/>
  <c r="G104" i="8"/>
  <c r="F104" i="8"/>
  <c r="D104" i="8"/>
  <c r="O104" i="8" s="1"/>
  <c r="I103" i="8"/>
  <c r="G103" i="8"/>
  <c r="F103" i="8"/>
  <c r="D103" i="8"/>
  <c r="O103" i="8" s="1"/>
  <c r="G102" i="8"/>
  <c r="F102" i="8"/>
  <c r="D102" i="8"/>
  <c r="O102" i="8" s="1"/>
  <c r="G101" i="8"/>
  <c r="F101" i="8"/>
  <c r="D101" i="8"/>
  <c r="O101" i="8" s="1"/>
  <c r="G100" i="8"/>
  <c r="F100" i="8"/>
  <c r="I100" i="8" s="1"/>
  <c r="D100" i="8"/>
  <c r="O100" i="8" s="1"/>
  <c r="G99" i="8"/>
  <c r="F99" i="8"/>
  <c r="D99" i="8"/>
  <c r="O99" i="8" s="1"/>
  <c r="G98" i="8"/>
  <c r="F98" i="8"/>
  <c r="D98" i="8"/>
  <c r="O98" i="8" s="1"/>
  <c r="G97" i="8"/>
  <c r="I97" i="8" s="1"/>
  <c r="F97" i="8"/>
  <c r="D97" i="8"/>
  <c r="O97" i="8" s="1"/>
  <c r="G96" i="8"/>
  <c r="I96" i="8" s="1"/>
  <c r="F96" i="8"/>
  <c r="D96" i="8"/>
  <c r="O96" i="8" s="1"/>
  <c r="G95" i="8"/>
  <c r="F95" i="8"/>
  <c r="D95" i="8"/>
  <c r="O95" i="8" s="1"/>
  <c r="G94" i="8"/>
  <c r="F94" i="8"/>
  <c r="D94" i="8"/>
  <c r="O94" i="8" s="1"/>
  <c r="G93" i="8"/>
  <c r="F93" i="8"/>
  <c r="D93" i="8"/>
  <c r="O93" i="8" s="1"/>
  <c r="G92" i="8"/>
  <c r="I92" i="8" s="1"/>
  <c r="F92" i="8"/>
  <c r="D92" i="8"/>
  <c r="O92" i="8" s="1"/>
  <c r="G91" i="8"/>
  <c r="F91" i="8"/>
  <c r="D91" i="8"/>
  <c r="O91" i="8" s="1"/>
  <c r="G90" i="8"/>
  <c r="F90" i="8"/>
  <c r="I90" i="8" s="1"/>
  <c r="D90" i="8"/>
  <c r="O90" i="8" s="1"/>
  <c r="G89" i="8"/>
  <c r="F89" i="8"/>
  <c r="D89" i="8"/>
  <c r="O89" i="8" s="1"/>
  <c r="I88" i="8"/>
  <c r="G88" i="8"/>
  <c r="F88" i="8"/>
  <c r="D88" i="8"/>
  <c r="O88" i="8" s="1"/>
  <c r="G87" i="8"/>
  <c r="F87" i="8"/>
  <c r="D87" i="8"/>
  <c r="O87" i="8" s="1"/>
  <c r="G86" i="8"/>
  <c r="F86" i="8"/>
  <c r="D86" i="8"/>
  <c r="O86" i="8" s="1"/>
  <c r="G85" i="8"/>
  <c r="I85" i="8" s="1"/>
  <c r="F85" i="8"/>
  <c r="D85" i="8"/>
  <c r="O85" i="8" s="1"/>
  <c r="G84" i="8"/>
  <c r="F84" i="8"/>
  <c r="D84" i="8"/>
  <c r="O84" i="8" s="1"/>
  <c r="G83" i="8"/>
  <c r="F83" i="8"/>
  <c r="D83" i="8"/>
  <c r="O83" i="8" s="1"/>
  <c r="G82" i="8"/>
  <c r="I82" i="8" s="1"/>
  <c r="F82" i="8"/>
  <c r="D82" i="8"/>
  <c r="O82" i="8" s="1"/>
  <c r="G81" i="8"/>
  <c r="I81" i="8" s="1"/>
  <c r="F81" i="8"/>
  <c r="D81" i="8"/>
  <c r="O81" i="8" s="1"/>
  <c r="G80" i="8"/>
  <c r="I80" i="8" s="1"/>
  <c r="F80" i="8"/>
  <c r="D80" i="8"/>
  <c r="O80" i="8" s="1"/>
  <c r="G79" i="8"/>
  <c r="F79" i="8"/>
  <c r="D79" i="8"/>
  <c r="O79" i="8" s="1"/>
  <c r="G78" i="8"/>
  <c r="I78" i="8" s="1"/>
  <c r="F78" i="8"/>
  <c r="D78" i="8"/>
  <c r="O78" i="8" s="1"/>
  <c r="G77" i="8"/>
  <c r="F77" i="8"/>
  <c r="D77" i="8"/>
  <c r="O77" i="8" s="1"/>
  <c r="G76" i="8"/>
  <c r="I76" i="8" s="1"/>
  <c r="F76" i="8"/>
  <c r="D76" i="8"/>
  <c r="O76" i="8" s="1"/>
  <c r="G75" i="8"/>
  <c r="F75" i="8"/>
  <c r="D75" i="8"/>
  <c r="O75" i="8" s="1"/>
  <c r="G74" i="8"/>
  <c r="I74" i="8" s="1"/>
  <c r="F74" i="8"/>
  <c r="D74" i="8"/>
  <c r="O74" i="8" s="1"/>
  <c r="G73" i="8"/>
  <c r="I73" i="8" s="1"/>
  <c r="F73" i="8"/>
  <c r="D73" i="8"/>
  <c r="O73" i="8" s="1"/>
  <c r="G72" i="8"/>
  <c r="F72" i="8"/>
  <c r="D72" i="8"/>
  <c r="O72" i="8" s="1"/>
  <c r="G71" i="8"/>
  <c r="F71" i="8"/>
  <c r="D71" i="8"/>
  <c r="O71" i="8" s="1"/>
  <c r="G70" i="8"/>
  <c r="I70" i="8" s="1"/>
  <c r="F70" i="8"/>
  <c r="D70" i="8"/>
  <c r="O70" i="8" s="1"/>
  <c r="G69" i="8"/>
  <c r="F69" i="8"/>
  <c r="D69" i="8"/>
  <c r="O69" i="8" s="1"/>
  <c r="G68" i="8"/>
  <c r="F68" i="8"/>
  <c r="D68" i="8"/>
  <c r="O68" i="8" s="1"/>
  <c r="G67" i="8"/>
  <c r="F67" i="8"/>
  <c r="D67" i="8"/>
  <c r="O67" i="8" s="1"/>
  <c r="G66" i="8"/>
  <c r="F66" i="8"/>
  <c r="D66" i="8"/>
  <c r="O66" i="8" s="1"/>
  <c r="G65" i="8"/>
  <c r="F65" i="8"/>
  <c r="D65" i="8"/>
  <c r="O65" i="8" s="1"/>
  <c r="G64" i="8"/>
  <c r="F64" i="8"/>
  <c r="D64" i="8"/>
  <c r="O64" i="8" s="1"/>
  <c r="G63" i="8"/>
  <c r="F63" i="8"/>
  <c r="D63" i="8"/>
  <c r="O63" i="8" s="1"/>
  <c r="G62" i="8"/>
  <c r="F62" i="8"/>
  <c r="D62" i="8"/>
  <c r="O62" i="8" s="1"/>
  <c r="G61" i="8"/>
  <c r="I61" i="8" s="1"/>
  <c r="F61" i="8"/>
  <c r="D61" i="8"/>
  <c r="O61" i="8" s="1"/>
  <c r="G60" i="8"/>
  <c r="F60" i="8"/>
  <c r="D60" i="8"/>
  <c r="O60" i="8" s="1"/>
  <c r="G59" i="8"/>
  <c r="F59" i="8"/>
  <c r="D59" i="8"/>
  <c r="O59" i="8" s="1"/>
  <c r="G58" i="8"/>
  <c r="F58" i="8"/>
  <c r="D58" i="8"/>
  <c r="O58" i="8" s="1"/>
  <c r="G57" i="8"/>
  <c r="I57" i="8" s="1"/>
  <c r="F57" i="8"/>
  <c r="D57" i="8"/>
  <c r="O57" i="8" s="1"/>
  <c r="G56" i="8"/>
  <c r="F56" i="8"/>
  <c r="D56" i="8"/>
  <c r="O56" i="8" s="1"/>
  <c r="G55" i="8"/>
  <c r="I55" i="8" s="1"/>
  <c r="F55" i="8"/>
  <c r="D55" i="8"/>
  <c r="O55" i="8" s="1"/>
  <c r="G54" i="8"/>
  <c r="F54" i="8"/>
  <c r="D54" i="8"/>
  <c r="O54" i="8" s="1"/>
  <c r="G53" i="8"/>
  <c r="F53" i="8"/>
  <c r="D53" i="8"/>
  <c r="O53" i="8" s="1"/>
  <c r="G52" i="8"/>
  <c r="F52" i="8"/>
  <c r="D52" i="8"/>
  <c r="O52" i="8" s="1"/>
  <c r="G51" i="8"/>
  <c r="F51" i="8"/>
  <c r="D51" i="8"/>
  <c r="O51" i="8" s="1"/>
  <c r="G50" i="8"/>
  <c r="F50" i="8"/>
  <c r="D50" i="8"/>
  <c r="O50" i="8" s="1"/>
  <c r="G49" i="8"/>
  <c r="F49" i="8"/>
  <c r="D49" i="8"/>
  <c r="O49" i="8" s="1"/>
  <c r="G48" i="8"/>
  <c r="F48" i="8"/>
  <c r="D48" i="8"/>
  <c r="O48" i="8" s="1"/>
  <c r="G47" i="8"/>
  <c r="F47" i="8"/>
  <c r="D47" i="8"/>
  <c r="O47" i="8" s="1"/>
  <c r="G46" i="8"/>
  <c r="F46" i="8"/>
  <c r="D46" i="8"/>
  <c r="O46" i="8" s="1"/>
  <c r="G45" i="8"/>
  <c r="F45" i="8"/>
  <c r="D45" i="8"/>
  <c r="O45" i="8" s="1"/>
  <c r="G44" i="8"/>
  <c r="F44" i="8"/>
  <c r="D44" i="8"/>
  <c r="O44" i="8" s="1"/>
  <c r="G43" i="8"/>
  <c r="F43" i="8"/>
  <c r="D43" i="8"/>
  <c r="O43" i="8" s="1"/>
  <c r="G42" i="8"/>
  <c r="F42" i="8"/>
  <c r="D42" i="8"/>
  <c r="O42" i="8" s="1"/>
  <c r="G41" i="8"/>
  <c r="F41" i="8"/>
  <c r="D41" i="8"/>
  <c r="O41" i="8" s="1"/>
  <c r="G40" i="8"/>
  <c r="I40" i="8" s="1"/>
  <c r="F40" i="8"/>
  <c r="D40" i="8"/>
  <c r="O40" i="8" s="1"/>
  <c r="G39" i="8"/>
  <c r="F39" i="8"/>
  <c r="D39" i="8"/>
  <c r="O39" i="8" s="1"/>
  <c r="G38" i="8"/>
  <c r="F38" i="8"/>
  <c r="D38" i="8"/>
  <c r="O38" i="8" s="1"/>
  <c r="G37" i="8"/>
  <c r="F37" i="8"/>
  <c r="D37" i="8"/>
  <c r="O37" i="8" s="1"/>
  <c r="G36" i="8"/>
  <c r="I36" i="8" s="1"/>
  <c r="F36" i="8"/>
  <c r="D36" i="8"/>
  <c r="O36" i="8" s="1"/>
  <c r="G35" i="8"/>
  <c r="F35" i="8"/>
  <c r="D35" i="8"/>
  <c r="O35" i="8" s="1"/>
  <c r="G34" i="8"/>
  <c r="F34" i="8"/>
  <c r="D34" i="8"/>
  <c r="O34" i="8" s="1"/>
  <c r="G33" i="8"/>
  <c r="F33" i="8"/>
  <c r="D33" i="8"/>
  <c r="O33" i="8" s="1"/>
  <c r="G32" i="8"/>
  <c r="I32" i="8" s="1"/>
  <c r="F32" i="8"/>
  <c r="D32" i="8"/>
  <c r="O32" i="8" s="1"/>
  <c r="G31" i="8"/>
  <c r="F31" i="8"/>
  <c r="D31" i="8"/>
  <c r="O31" i="8" s="1"/>
  <c r="G30" i="8"/>
  <c r="F30" i="8"/>
  <c r="D30" i="8"/>
  <c r="O30" i="8" s="1"/>
  <c r="G29" i="8"/>
  <c r="F29" i="8"/>
  <c r="D29" i="8"/>
  <c r="O29" i="8" s="1"/>
  <c r="G28" i="8"/>
  <c r="F28" i="8"/>
  <c r="D28" i="8"/>
  <c r="O28" i="8" s="1"/>
  <c r="G27" i="8"/>
  <c r="F27" i="8"/>
  <c r="D27" i="8"/>
  <c r="O27" i="8" s="1"/>
  <c r="G26" i="8"/>
  <c r="F26" i="8"/>
  <c r="D26" i="8"/>
  <c r="O26" i="8" s="1"/>
  <c r="G25" i="8"/>
  <c r="F25" i="8"/>
  <c r="I25" i="8" s="1"/>
  <c r="D25" i="8"/>
  <c r="O25" i="8" s="1"/>
  <c r="G24" i="8"/>
  <c r="I24" i="8" s="1"/>
  <c r="F24" i="8"/>
  <c r="D24" i="8"/>
  <c r="O24" i="8" s="1"/>
  <c r="G23" i="8"/>
  <c r="F23" i="8"/>
  <c r="D23" i="8"/>
  <c r="O23" i="8" s="1"/>
  <c r="G22" i="8"/>
  <c r="F22" i="8"/>
  <c r="D22" i="8"/>
  <c r="O22" i="8" s="1"/>
  <c r="G21" i="8"/>
  <c r="F21" i="8"/>
  <c r="D21" i="8"/>
  <c r="O21" i="8" s="1"/>
  <c r="G20" i="8"/>
  <c r="I20" i="8" s="1"/>
  <c r="F20" i="8"/>
  <c r="D20" i="8"/>
  <c r="O20" i="8" s="1"/>
  <c r="G19" i="8"/>
  <c r="I19" i="8" s="1"/>
  <c r="F19" i="8"/>
  <c r="D19" i="8"/>
  <c r="O19" i="8" s="1"/>
  <c r="G18" i="8"/>
  <c r="F18" i="8"/>
  <c r="D18" i="8"/>
  <c r="O18" i="8" s="1"/>
  <c r="G17" i="8"/>
  <c r="F17" i="8"/>
  <c r="D17" i="8"/>
  <c r="O17" i="8" s="1"/>
  <c r="G16" i="8"/>
  <c r="F16" i="8"/>
  <c r="I16" i="8" s="1"/>
  <c r="D16" i="8"/>
  <c r="O16" i="8" s="1"/>
  <c r="G15" i="8"/>
  <c r="F15" i="8"/>
  <c r="D15" i="8"/>
  <c r="O15" i="8" s="1"/>
  <c r="D7" i="9"/>
  <c r="B74" i="3" s="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L3520" i="5"/>
  <c r="K3520" i="5"/>
  <c r="I3520" i="5"/>
  <c r="L3519" i="5"/>
  <c r="K3519" i="5"/>
  <c r="I3519" i="5"/>
  <c r="L3518" i="5"/>
  <c r="K3518" i="5"/>
  <c r="I3518" i="5"/>
  <c r="L3517" i="5"/>
  <c r="K3517" i="5"/>
  <c r="I3517" i="5"/>
  <c r="L3516" i="5"/>
  <c r="K3516" i="5"/>
  <c r="I3516" i="5"/>
  <c r="L3515" i="5"/>
  <c r="K3515" i="5"/>
  <c r="I3515" i="5"/>
  <c r="L3514" i="5"/>
  <c r="K3514" i="5"/>
  <c r="I3514" i="5"/>
  <c r="L3513" i="5"/>
  <c r="K3513" i="5"/>
  <c r="N3513" i="5" s="1"/>
  <c r="I3513" i="5"/>
  <c r="L3512" i="5"/>
  <c r="K3512" i="5"/>
  <c r="I3512" i="5"/>
  <c r="L3511" i="5"/>
  <c r="K3511" i="5"/>
  <c r="I3511" i="5"/>
  <c r="L3510" i="5"/>
  <c r="K3510" i="5"/>
  <c r="I3510" i="5"/>
  <c r="L3509" i="5"/>
  <c r="K3509" i="5"/>
  <c r="I3509" i="5"/>
  <c r="L3508" i="5"/>
  <c r="K3508" i="5"/>
  <c r="I3508" i="5"/>
  <c r="L3507" i="5"/>
  <c r="K3507" i="5"/>
  <c r="I3507" i="5"/>
  <c r="L3506" i="5"/>
  <c r="K3506" i="5"/>
  <c r="I3506" i="5"/>
  <c r="L3505" i="5"/>
  <c r="K3505" i="5"/>
  <c r="I3505" i="5"/>
  <c r="L3504" i="5"/>
  <c r="K3504" i="5"/>
  <c r="I3504" i="5"/>
  <c r="L3503" i="5"/>
  <c r="K3503" i="5"/>
  <c r="I3503" i="5"/>
  <c r="L3502" i="5"/>
  <c r="K3502" i="5"/>
  <c r="I3502" i="5"/>
  <c r="L3501" i="5"/>
  <c r="K3501" i="5"/>
  <c r="I3501" i="5"/>
  <c r="L3500" i="5"/>
  <c r="K3500" i="5"/>
  <c r="I3500" i="5"/>
  <c r="L3499" i="5"/>
  <c r="K3499" i="5"/>
  <c r="I3499" i="5"/>
  <c r="L3498" i="5"/>
  <c r="K3498" i="5"/>
  <c r="N3498" i="5" s="1"/>
  <c r="I3498" i="5"/>
  <c r="L3497" i="5"/>
  <c r="K3497" i="5"/>
  <c r="I3497" i="5"/>
  <c r="L3496" i="5"/>
  <c r="K3496" i="5"/>
  <c r="I3496" i="5"/>
  <c r="L3495" i="5"/>
  <c r="K3495" i="5"/>
  <c r="I3495" i="5"/>
  <c r="L3494" i="5"/>
  <c r="K3494" i="5"/>
  <c r="I3494" i="5"/>
  <c r="L3493" i="5"/>
  <c r="K3493" i="5"/>
  <c r="N3493" i="5" s="1"/>
  <c r="I3493" i="5"/>
  <c r="L3492" i="5"/>
  <c r="K3492" i="5"/>
  <c r="I3492" i="5"/>
  <c r="L3491" i="5"/>
  <c r="K3491" i="5"/>
  <c r="I3491" i="5"/>
  <c r="L3490" i="5"/>
  <c r="K3490" i="5"/>
  <c r="I3490" i="5"/>
  <c r="L3489" i="5"/>
  <c r="K3489" i="5"/>
  <c r="I3489" i="5"/>
  <c r="L3488" i="5"/>
  <c r="K3488" i="5"/>
  <c r="I3488" i="5"/>
  <c r="L3487" i="5"/>
  <c r="K3487" i="5"/>
  <c r="I3487" i="5"/>
  <c r="L3486" i="5"/>
  <c r="K3486" i="5"/>
  <c r="I3486" i="5"/>
  <c r="L3485" i="5"/>
  <c r="K3485" i="5"/>
  <c r="I3485" i="5"/>
  <c r="L3484" i="5"/>
  <c r="K3484" i="5"/>
  <c r="I3484" i="5"/>
  <c r="L3483" i="5"/>
  <c r="K3483" i="5"/>
  <c r="I3483" i="5"/>
  <c r="L3482" i="5"/>
  <c r="K3482" i="5"/>
  <c r="I3482" i="5"/>
  <c r="L3481" i="5"/>
  <c r="K3481" i="5"/>
  <c r="I3481" i="5"/>
  <c r="L3480" i="5"/>
  <c r="K3480" i="5"/>
  <c r="I3480" i="5"/>
  <c r="L3479" i="5"/>
  <c r="K3479" i="5"/>
  <c r="I3479" i="5"/>
  <c r="L3478" i="5"/>
  <c r="K3478" i="5"/>
  <c r="I3478" i="5"/>
  <c r="L3477" i="5"/>
  <c r="K3477" i="5"/>
  <c r="I3477" i="5"/>
  <c r="L3476" i="5"/>
  <c r="K3476" i="5"/>
  <c r="I3476" i="5"/>
  <c r="L3475" i="5"/>
  <c r="K3475" i="5"/>
  <c r="I3475" i="5"/>
  <c r="L3474" i="5"/>
  <c r="K3474" i="5"/>
  <c r="I3474" i="5"/>
  <c r="L3473" i="5"/>
  <c r="K3473" i="5"/>
  <c r="I3473" i="5"/>
  <c r="L3472" i="5"/>
  <c r="K3472" i="5"/>
  <c r="I3472" i="5"/>
  <c r="L3471" i="5"/>
  <c r="K3471" i="5"/>
  <c r="I3471" i="5"/>
  <c r="L3470" i="5"/>
  <c r="K3470" i="5"/>
  <c r="I3470" i="5"/>
  <c r="L3469" i="5"/>
  <c r="K3469" i="5"/>
  <c r="I3469" i="5"/>
  <c r="L3468" i="5"/>
  <c r="K3468" i="5"/>
  <c r="I3468" i="5"/>
  <c r="L3467" i="5"/>
  <c r="K3467" i="5"/>
  <c r="I3467" i="5"/>
  <c r="L3466" i="5"/>
  <c r="K3466" i="5"/>
  <c r="I3466" i="5"/>
  <c r="L3465" i="5"/>
  <c r="K3465" i="5"/>
  <c r="I3465" i="5"/>
  <c r="L3464" i="5"/>
  <c r="K3464" i="5"/>
  <c r="I3464" i="5"/>
  <c r="L3463" i="5"/>
  <c r="K3463" i="5"/>
  <c r="I3463" i="5"/>
  <c r="L3462" i="5"/>
  <c r="K3462" i="5"/>
  <c r="I3462" i="5"/>
  <c r="L3461" i="5"/>
  <c r="K3461" i="5"/>
  <c r="I3461" i="5"/>
  <c r="L3460" i="5"/>
  <c r="K3460" i="5"/>
  <c r="I3460" i="5"/>
  <c r="L3459" i="5"/>
  <c r="K3459" i="5"/>
  <c r="I3459" i="5"/>
  <c r="L3458" i="5"/>
  <c r="K3458" i="5"/>
  <c r="I3458" i="5"/>
  <c r="L3457" i="5"/>
  <c r="K3457" i="5"/>
  <c r="I3457" i="5"/>
  <c r="L3456" i="5"/>
  <c r="K3456" i="5"/>
  <c r="I3456" i="5"/>
  <c r="L3455" i="5"/>
  <c r="K3455" i="5"/>
  <c r="I3455" i="5"/>
  <c r="L3454" i="5"/>
  <c r="K3454" i="5"/>
  <c r="I3454" i="5"/>
  <c r="L3453" i="5"/>
  <c r="K3453" i="5"/>
  <c r="I3453" i="5"/>
  <c r="L3452" i="5"/>
  <c r="K3452" i="5"/>
  <c r="I3452" i="5"/>
  <c r="L3451" i="5"/>
  <c r="K3451" i="5"/>
  <c r="I3451" i="5"/>
  <c r="L3450" i="5"/>
  <c r="K3450" i="5"/>
  <c r="I3450" i="5"/>
  <c r="L3449" i="5"/>
  <c r="K3449" i="5"/>
  <c r="I3449" i="5"/>
  <c r="L3448" i="5"/>
  <c r="K3448" i="5"/>
  <c r="I3448" i="5"/>
  <c r="L3447" i="5"/>
  <c r="K3447" i="5"/>
  <c r="I3447" i="5"/>
  <c r="L3446" i="5"/>
  <c r="K3446" i="5"/>
  <c r="I3446" i="5"/>
  <c r="L3445" i="5"/>
  <c r="K3445" i="5"/>
  <c r="I3445" i="5"/>
  <c r="L3444" i="5"/>
  <c r="K3444" i="5"/>
  <c r="I3444" i="5"/>
  <c r="L3443" i="5"/>
  <c r="K3443" i="5"/>
  <c r="I3443" i="5"/>
  <c r="L3442" i="5"/>
  <c r="K3442" i="5"/>
  <c r="I3442" i="5"/>
  <c r="L3441" i="5"/>
  <c r="K3441" i="5"/>
  <c r="I3441" i="5"/>
  <c r="L3440" i="5"/>
  <c r="K3440" i="5"/>
  <c r="I3440" i="5"/>
  <c r="L3439" i="5"/>
  <c r="K3439" i="5"/>
  <c r="I3439" i="5"/>
  <c r="L3438" i="5"/>
  <c r="K3438" i="5"/>
  <c r="I3438" i="5"/>
  <c r="L3437" i="5"/>
  <c r="K3437" i="5"/>
  <c r="I3437" i="5"/>
  <c r="L3436" i="5"/>
  <c r="K3436" i="5"/>
  <c r="I3436" i="5"/>
  <c r="L3435" i="5"/>
  <c r="K3435" i="5"/>
  <c r="I3435" i="5"/>
  <c r="L3434" i="5"/>
  <c r="K3434" i="5"/>
  <c r="I3434" i="5"/>
  <c r="L3433" i="5"/>
  <c r="K3433" i="5"/>
  <c r="I3433" i="5"/>
  <c r="L3432" i="5"/>
  <c r="K3432" i="5"/>
  <c r="I3432" i="5"/>
  <c r="L3431" i="5"/>
  <c r="K3431" i="5"/>
  <c r="I3431" i="5"/>
  <c r="L3430" i="5"/>
  <c r="K3430" i="5"/>
  <c r="I3430" i="5"/>
  <c r="L3429" i="5"/>
  <c r="K3429" i="5"/>
  <c r="I3429" i="5"/>
  <c r="L3428" i="5"/>
  <c r="K3428" i="5"/>
  <c r="I3428" i="5"/>
  <c r="L3427" i="5"/>
  <c r="K3427" i="5"/>
  <c r="I3427" i="5"/>
  <c r="L3426" i="5"/>
  <c r="N3426" i="5" s="1"/>
  <c r="K3426" i="5"/>
  <c r="I3426" i="5"/>
  <c r="L3425" i="5"/>
  <c r="K3425" i="5"/>
  <c r="I3425" i="5"/>
  <c r="L3424" i="5"/>
  <c r="K3424" i="5"/>
  <c r="I3424" i="5"/>
  <c r="L3423" i="5"/>
  <c r="K3423" i="5"/>
  <c r="I3423" i="5"/>
  <c r="L3422" i="5"/>
  <c r="K3422" i="5"/>
  <c r="I3422" i="5"/>
  <c r="L3421" i="5"/>
  <c r="K3421" i="5"/>
  <c r="I3421" i="5"/>
  <c r="L3420" i="5"/>
  <c r="K3420" i="5"/>
  <c r="I3420" i="5"/>
  <c r="L3419" i="5"/>
  <c r="K3419" i="5"/>
  <c r="I3419" i="5"/>
  <c r="L3418" i="5"/>
  <c r="K3418" i="5"/>
  <c r="I3418" i="5"/>
  <c r="L3417" i="5"/>
  <c r="K3417" i="5"/>
  <c r="I3417" i="5"/>
  <c r="L3416" i="5"/>
  <c r="K3416" i="5"/>
  <c r="I3416" i="5"/>
  <c r="L3415" i="5"/>
  <c r="K3415" i="5"/>
  <c r="I3415" i="5"/>
  <c r="L3414" i="5"/>
  <c r="K3414" i="5"/>
  <c r="I3414" i="5"/>
  <c r="L3413" i="5"/>
  <c r="K3413" i="5"/>
  <c r="I3413" i="5"/>
  <c r="L3412" i="5"/>
  <c r="K3412" i="5"/>
  <c r="I3412" i="5"/>
  <c r="L3411" i="5"/>
  <c r="K3411" i="5"/>
  <c r="I3411" i="5"/>
  <c r="L3410" i="5"/>
  <c r="K3410" i="5"/>
  <c r="I3410" i="5"/>
  <c r="L3409" i="5"/>
  <c r="K3409" i="5"/>
  <c r="I3409" i="5"/>
  <c r="L3408" i="5"/>
  <c r="K3408" i="5"/>
  <c r="I3408" i="5"/>
  <c r="L3407" i="5"/>
  <c r="K3407" i="5"/>
  <c r="I3407" i="5"/>
  <c r="L3406" i="5"/>
  <c r="K3406" i="5"/>
  <c r="I3406" i="5"/>
  <c r="L3405" i="5"/>
  <c r="K3405" i="5"/>
  <c r="I3405" i="5"/>
  <c r="L3404" i="5"/>
  <c r="K3404" i="5"/>
  <c r="I3404" i="5"/>
  <c r="L3403" i="5"/>
  <c r="K3403" i="5"/>
  <c r="I3403" i="5"/>
  <c r="L3402" i="5"/>
  <c r="K3402" i="5"/>
  <c r="I3402" i="5"/>
  <c r="L3401" i="5"/>
  <c r="K3401" i="5"/>
  <c r="I3401" i="5"/>
  <c r="L3400" i="5"/>
  <c r="K3400" i="5"/>
  <c r="I3400" i="5"/>
  <c r="L3399" i="5"/>
  <c r="K3399" i="5"/>
  <c r="I3399" i="5"/>
  <c r="L3398" i="5"/>
  <c r="K3398" i="5"/>
  <c r="I3398" i="5"/>
  <c r="L3397" i="5"/>
  <c r="K3397" i="5"/>
  <c r="N3397" i="5" s="1"/>
  <c r="I3397" i="5"/>
  <c r="L3396" i="5"/>
  <c r="N3396" i="5" s="1"/>
  <c r="K3396" i="5"/>
  <c r="I3396" i="5"/>
  <c r="L3395" i="5"/>
  <c r="K3395" i="5"/>
  <c r="I3395" i="5"/>
  <c r="L3394" i="5"/>
  <c r="K3394" i="5"/>
  <c r="I3394" i="5"/>
  <c r="L3393" i="5"/>
  <c r="K3393" i="5"/>
  <c r="I3393" i="5"/>
  <c r="L3392" i="5"/>
  <c r="K3392" i="5"/>
  <c r="I3392" i="5"/>
  <c r="L3391" i="5"/>
  <c r="K3391" i="5"/>
  <c r="I3391" i="5"/>
  <c r="L3390" i="5"/>
  <c r="K3390" i="5"/>
  <c r="I3390" i="5"/>
  <c r="L3389" i="5"/>
  <c r="K3389" i="5"/>
  <c r="I3389" i="5"/>
  <c r="L3388" i="5"/>
  <c r="K3388" i="5"/>
  <c r="I3388" i="5"/>
  <c r="L3387" i="5"/>
  <c r="K3387" i="5"/>
  <c r="I3387" i="5"/>
  <c r="L3386" i="5"/>
  <c r="K3386" i="5"/>
  <c r="N3386" i="5" s="1"/>
  <c r="I3386" i="5"/>
  <c r="L3385" i="5"/>
  <c r="K3385" i="5"/>
  <c r="I3385" i="5"/>
  <c r="L3384" i="5"/>
  <c r="K3384" i="5"/>
  <c r="I3384" i="5"/>
  <c r="L3383" i="5"/>
  <c r="K3383" i="5"/>
  <c r="I3383" i="5"/>
  <c r="L3382" i="5"/>
  <c r="K3382" i="5"/>
  <c r="I3382" i="5"/>
  <c r="L3381" i="5"/>
  <c r="K3381" i="5"/>
  <c r="I3381" i="5"/>
  <c r="L3380" i="5"/>
  <c r="K3380" i="5"/>
  <c r="I3380" i="5"/>
  <c r="L3379" i="5"/>
  <c r="K3379" i="5"/>
  <c r="I3379" i="5"/>
  <c r="L3378" i="5"/>
  <c r="K3378" i="5"/>
  <c r="I3378" i="5"/>
  <c r="L3377" i="5"/>
  <c r="K3377" i="5"/>
  <c r="I3377" i="5"/>
  <c r="L3376" i="5"/>
  <c r="K3376" i="5"/>
  <c r="I3376" i="5"/>
  <c r="L3375" i="5"/>
  <c r="K3375" i="5"/>
  <c r="I3375" i="5"/>
  <c r="L3374" i="5"/>
  <c r="K3374" i="5"/>
  <c r="I3374" i="5"/>
  <c r="L3373" i="5"/>
  <c r="K3373" i="5"/>
  <c r="I3373" i="5"/>
  <c r="L3372" i="5"/>
  <c r="K3372" i="5"/>
  <c r="I3372" i="5"/>
  <c r="L3371" i="5"/>
  <c r="K3371" i="5"/>
  <c r="I3371" i="5"/>
  <c r="L3370" i="5"/>
  <c r="K3370" i="5"/>
  <c r="I3370" i="5"/>
  <c r="L3369" i="5"/>
  <c r="K3369" i="5"/>
  <c r="I3369" i="5"/>
  <c r="L3368" i="5"/>
  <c r="K3368" i="5"/>
  <c r="I3368" i="5"/>
  <c r="L3367" i="5"/>
  <c r="K3367" i="5"/>
  <c r="I3367" i="5"/>
  <c r="L3366" i="5"/>
  <c r="K3366" i="5"/>
  <c r="I3366" i="5"/>
  <c r="L3365" i="5"/>
  <c r="K3365" i="5"/>
  <c r="I3365" i="5"/>
  <c r="L3364" i="5"/>
  <c r="K3364" i="5"/>
  <c r="I3364" i="5"/>
  <c r="L3363" i="5"/>
  <c r="K3363" i="5"/>
  <c r="I3363" i="5"/>
  <c r="L3362" i="5"/>
  <c r="K3362" i="5"/>
  <c r="I3362" i="5"/>
  <c r="L3361" i="5"/>
  <c r="K3361" i="5"/>
  <c r="I3361" i="5"/>
  <c r="L3360" i="5"/>
  <c r="K3360" i="5"/>
  <c r="I3360" i="5"/>
  <c r="L3359" i="5"/>
  <c r="K3359" i="5"/>
  <c r="I3359" i="5"/>
  <c r="L3358" i="5"/>
  <c r="K3358" i="5"/>
  <c r="I3358" i="5"/>
  <c r="L3357" i="5"/>
  <c r="K3357" i="5"/>
  <c r="I3357" i="5"/>
  <c r="L3356" i="5"/>
  <c r="K3356" i="5"/>
  <c r="I3356" i="5"/>
  <c r="L3355" i="5"/>
  <c r="K3355" i="5"/>
  <c r="I3355" i="5"/>
  <c r="L3354" i="5"/>
  <c r="K3354" i="5"/>
  <c r="I3354" i="5"/>
  <c r="L3353" i="5"/>
  <c r="K3353" i="5"/>
  <c r="I3353" i="5"/>
  <c r="L3352" i="5"/>
  <c r="K3352" i="5"/>
  <c r="I3352" i="5"/>
  <c r="L3351" i="5"/>
  <c r="K3351" i="5"/>
  <c r="I3351" i="5"/>
  <c r="L3350" i="5"/>
  <c r="K3350" i="5"/>
  <c r="I3350" i="5"/>
  <c r="L3349" i="5"/>
  <c r="K3349" i="5"/>
  <c r="I3349" i="5"/>
  <c r="L3348" i="5"/>
  <c r="K3348" i="5"/>
  <c r="I3348" i="5"/>
  <c r="L3347" i="5"/>
  <c r="K3347" i="5"/>
  <c r="I3347" i="5"/>
  <c r="L3346" i="5"/>
  <c r="K3346" i="5"/>
  <c r="I3346" i="5"/>
  <c r="L3345" i="5"/>
  <c r="K3345" i="5"/>
  <c r="I3345" i="5"/>
  <c r="L3344" i="5"/>
  <c r="K3344" i="5"/>
  <c r="I3344" i="5"/>
  <c r="L3343" i="5"/>
  <c r="N3343" i="5" s="1"/>
  <c r="K3343" i="5"/>
  <c r="I3343" i="5"/>
  <c r="L3342" i="5"/>
  <c r="K3342" i="5"/>
  <c r="I3342" i="5"/>
  <c r="L3341" i="5"/>
  <c r="K3341" i="5"/>
  <c r="I3341" i="5"/>
  <c r="L3340" i="5"/>
  <c r="K3340" i="5"/>
  <c r="I3340" i="5"/>
  <c r="L3339" i="5"/>
  <c r="K3339" i="5"/>
  <c r="I3339" i="5"/>
  <c r="L3338" i="5"/>
  <c r="K3338" i="5"/>
  <c r="N3338" i="5" s="1"/>
  <c r="I3338" i="5"/>
  <c r="L3337" i="5"/>
  <c r="K3337" i="5"/>
  <c r="I3337" i="5"/>
  <c r="L3336" i="5"/>
  <c r="K3336" i="5"/>
  <c r="I3336" i="5"/>
  <c r="L3335" i="5"/>
  <c r="K3335" i="5"/>
  <c r="I3335" i="5"/>
  <c r="L3334" i="5"/>
  <c r="K3334" i="5"/>
  <c r="I3334" i="5"/>
  <c r="L3333" i="5"/>
  <c r="K3333" i="5"/>
  <c r="I3333" i="5"/>
  <c r="L3332" i="5"/>
  <c r="K3332" i="5"/>
  <c r="I3332" i="5"/>
  <c r="L3331" i="5"/>
  <c r="K3331" i="5"/>
  <c r="I3331" i="5"/>
  <c r="L3330" i="5"/>
  <c r="K3330" i="5"/>
  <c r="I3330" i="5"/>
  <c r="L3329" i="5"/>
  <c r="K3329" i="5"/>
  <c r="I3329" i="5"/>
  <c r="L3328" i="5"/>
  <c r="K3328" i="5"/>
  <c r="I3328" i="5"/>
  <c r="L3327" i="5"/>
  <c r="K3327" i="5"/>
  <c r="I3327" i="5"/>
  <c r="L3326" i="5"/>
  <c r="K3326" i="5"/>
  <c r="N3326" i="5" s="1"/>
  <c r="I3326" i="5"/>
  <c r="L3325" i="5"/>
  <c r="K3325" i="5"/>
  <c r="I3325" i="5"/>
  <c r="L3324" i="5"/>
  <c r="K3324" i="5"/>
  <c r="I3324" i="5"/>
  <c r="L3323" i="5"/>
  <c r="K3323" i="5"/>
  <c r="I3323" i="5"/>
  <c r="L3322" i="5"/>
  <c r="K3322" i="5"/>
  <c r="I3322" i="5"/>
  <c r="L3321" i="5"/>
  <c r="K3321" i="5"/>
  <c r="I3321" i="5"/>
  <c r="L3320" i="5"/>
  <c r="K3320" i="5"/>
  <c r="I3320" i="5"/>
  <c r="L3319" i="5"/>
  <c r="K3319" i="5"/>
  <c r="I3319" i="5"/>
  <c r="L3318" i="5"/>
  <c r="K3318" i="5"/>
  <c r="I3318" i="5"/>
  <c r="L3317" i="5"/>
  <c r="K3317" i="5"/>
  <c r="I3317" i="5"/>
  <c r="L3316" i="5"/>
  <c r="K3316" i="5"/>
  <c r="I3316" i="5"/>
  <c r="L3315" i="5"/>
  <c r="K3315" i="5"/>
  <c r="I3315" i="5"/>
  <c r="L3314" i="5"/>
  <c r="K3314" i="5"/>
  <c r="I3314" i="5"/>
  <c r="L3313" i="5"/>
  <c r="K3313" i="5"/>
  <c r="I3313" i="5"/>
  <c r="L3312" i="5"/>
  <c r="K3312" i="5"/>
  <c r="I3312" i="5"/>
  <c r="L3311" i="5"/>
  <c r="K3311" i="5"/>
  <c r="I3311" i="5"/>
  <c r="L3310" i="5"/>
  <c r="K3310" i="5"/>
  <c r="I3310" i="5"/>
  <c r="L3309" i="5"/>
  <c r="K3309" i="5"/>
  <c r="I3309" i="5"/>
  <c r="L3308" i="5"/>
  <c r="K3308" i="5"/>
  <c r="I3308" i="5"/>
  <c r="L3307" i="5"/>
  <c r="K3307" i="5"/>
  <c r="I3307" i="5"/>
  <c r="L3306" i="5"/>
  <c r="K3306" i="5"/>
  <c r="I3306" i="5"/>
  <c r="L3305" i="5"/>
  <c r="K3305" i="5"/>
  <c r="I3305" i="5"/>
  <c r="L3304" i="5"/>
  <c r="K3304" i="5"/>
  <c r="I3304" i="5"/>
  <c r="L3303" i="5"/>
  <c r="K3303" i="5"/>
  <c r="I3303" i="5"/>
  <c r="L3302" i="5"/>
  <c r="K3302" i="5"/>
  <c r="I3302" i="5"/>
  <c r="L3301" i="5"/>
  <c r="K3301" i="5"/>
  <c r="I3301" i="5"/>
  <c r="L3300" i="5"/>
  <c r="K3300" i="5"/>
  <c r="I3300" i="5"/>
  <c r="L3299" i="5"/>
  <c r="K3299" i="5"/>
  <c r="I3299" i="5"/>
  <c r="L3298" i="5"/>
  <c r="K3298" i="5"/>
  <c r="I3298" i="5"/>
  <c r="L3297" i="5"/>
  <c r="K3297" i="5"/>
  <c r="I3297" i="5"/>
  <c r="L3296" i="5"/>
  <c r="K3296" i="5"/>
  <c r="I3296" i="5"/>
  <c r="L3295" i="5"/>
  <c r="K3295" i="5"/>
  <c r="N3295" i="5" s="1"/>
  <c r="I3295" i="5"/>
  <c r="L3294" i="5"/>
  <c r="K3294" i="5"/>
  <c r="I3294" i="5"/>
  <c r="L3293" i="5"/>
  <c r="K3293" i="5"/>
  <c r="I3293" i="5"/>
  <c r="L3292" i="5"/>
  <c r="K3292" i="5"/>
  <c r="I3292" i="5"/>
  <c r="L3291" i="5"/>
  <c r="K3291" i="5"/>
  <c r="I3291" i="5"/>
  <c r="L3290" i="5"/>
  <c r="K3290" i="5"/>
  <c r="N3290" i="5" s="1"/>
  <c r="I3290" i="5"/>
  <c r="L3289" i="5"/>
  <c r="K3289" i="5"/>
  <c r="I3289" i="5"/>
  <c r="L3288" i="5"/>
  <c r="K3288" i="5"/>
  <c r="I3288" i="5"/>
  <c r="L3287" i="5"/>
  <c r="K3287" i="5"/>
  <c r="I3287" i="5"/>
  <c r="L3286" i="5"/>
  <c r="K3286" i="5"/>
  <c r="I3286" i="5"/>
  <c r="L3285" i="5"/>
  <c r="K3285" i="5"/>
  <c r="I3285" i="5"/>
  <c r="L3284" i="5"/>
  <c r="K3284" i="5"/>
  <c r="I3284" i="5"/>
  <c r="L3283" i="5"/>
  <c r="K3283" i="5"/>
  <c r="I3283" i="5"/>
  <c r="L3282" i="5"/>
  <c r="K3282" i="5"/>
  <c r="I3282" i="5"/>
  <c r="L3281" i="5"/>
  <c r="K3281" i="5"/>
  <c r="I3281" i="5"/>
  <c r="L3280" i="5"/>
  <c r="K3280" i="5"/>
  <c r="I3280" i="5"/>
  <c r="L3279" i="5"/>
  <c r="K3279" i="5"/>
  <c r="I3279" i="5"/>
  <c r="L3278" i="5"/>
  <c r="K3278" i="5"/>
  <c r="I3278" i="5"/>
  <c r="L3277" i="5"/>
  <c r="K3277" i="5"/>
  <c r="I3277" i="5"/>
  <c r="L3276" i="5"/>
  <c r="K3276" i="5"/>
  <c r="I3276" i="5"/>
  <c r="L3275" i="5"/>
  <c r="K3275" i="5"/>
  <c r="N3275" i="5" s="1"/>
  <c r="I3275" i="5"/>
  <c r="L3274" i="5"/>
  <c r="K3274" i="5"/>
  <c r="I3274" i="5"/>
  <c r="L3273" i="5"/>
  <c r="K3273" i="5"/>
  <c r="I3273" i="5"/>
  <c r="L3272" i="5"/>
  <c r="K3272" i="5"/>
  <c r="I3272" i="5"/>
  <c r="L3271" i="5"/>
  <c r="K3271" i="5"/>
  <c r="I3271" i="5"/>
  <c r="L3270" i="5"/>
  <c r="K3270" i="5"/>
  <c r="I3270" i="5"/>
  <c r="L3269" i="5"/>
  <c r="K3269" i="5"/>
  <c r="I3269" i="5"/>
  <c r="L3268" i="5"/>
  <c r="K3268" i="5"/>
  <c r="I3268" i="5"/>
  <c r="L3267" i="5"/>
  <c r="K3267" i="5"/>
  <c r="I3267" i="5"/>
  <c r="L3266" i="5"/>
  <c r="K3266" i="5"/>
  <c r="I3266" i="5"/>
  <c r="L3265" i="5"/>
  <c r="K3265" i="5"/>
  <c r="I3265" i="5"/>
  <c r="L3264" i="5"/>
  <c r="K3264" i="5"/>
  <c r="I3264" i="5"/>
  <c r="L3263" i="5"/>
  <c r="K3263" i="5"/>
  <c r="I3263" i="5"/>
  <c r="L3262" i="5"/>
  <c r="K3262" i="5"/>
  <c r="I3262" i="5"/>
  <c r="L3261" i="5"/>
  <c r="K3261" i="5"/>
  <c r="I3261" i="5"/>
  <c r="L3260" i="5"/>
  <c r="K3260" i="5"/>
  <c r="I3260" i="5"/>
  <c r="L3259" i="5"/>
  <c r="K3259" i="5"/>
  <c r="I3259" i="5"/>
  <c r="L3258" i="5"/>
  <c r="K3258" i="5"/>
  <c r="I3258" i="5"/>
  <c r="L3257" i="5"/>
  <c r="K3257" i="5"/>
  <c r="I3257" i="5"/>
  <c r="L3256" i="5"/>
  <c r="K3256" i="5"/>
  <c r="I3256" i="5"/>
  <c r="L3255" i="5"/>
  <c r="K3255" i="5"/>
  <c r="I3255" i="5"/>
  <c r="L3254" i="5"/>
  <c r="K3254" i="5"/>
  <c r="I3254" i="5"/>
  <c r="L3253" i="5"/>
  <c r="K3253" i="5"/>
  <c r="N3253" i="5" s="1"/>
  <c r="I3253" i="5"/>
  <c r="L3252" i="5"/>
  <c r="K3252" i="5"/>
  <c r="I3252" i="5"/>
  <c r="L3251" i="5"/>
  <c r="K3251" i="5"/>
  <c r="I3251" i="5"/>
  <c r="L3250" i="5"/>
  <c r="K3250" i="5"/>
  <c r="I3250" i="5"/>
  <c r="L3249" i="5"/>
  <c r="K3249" i="5"/>
  <c r="I3249" i="5"/>
  <c r="L3248" i="5"/>
  <c r="K3248" i="5"/>
  <c r="I3248" i="5"/>
  <c r="L3247" i="5"/>
  <c r="K3247" i="5"/>
  <c r="I3247" i="5"/>
  <c r="L3246" i="5"/>
  <c r="K3246" i="5"/>
  <c r="I3246" i="5"/>
  <c r="L3245" i="5"/>
  <c r="K3245" i="5"/>
  <c r="I3245" i="5"/>
  <c r="L3244" i="5"/>
  <c r="K3244" i="5"/>
  <c r="I3244" i="5"/>
  <c r="L3243" i="5"/>
  <c r="K3243" i="5"/>
  <c r="I3243" i="5"/>
  <c r="L3242" i="5"/>
  <c r="K3242" i="5"/>
  <c r="I3242" i="5"/>
  <c r="L3241" i="5"/>
  <c r="K3241" i="5"/>
  <c r="I3241" i="5"/>
  <c r="L3240" i="5"/>
  <c r="K3240" i="5"/>
  <c r="I3240" i="5"/>
  <c r="L3239" i="5"/>
  <c r="K3239" i="5"/>
  <c r="I3239" i="5"/>
  <c r="L3238" i="5"/>
  <c r="K3238" i="5"/>
  <c r="I3238" i="5"/>
  <c r="L3237" i="5"/>
  <c r="K3237" i="5"/>
  <c r="I3237" i="5"/>
  <c r="L3236" i="5"/>
  <c r="K3236" i="5"/>
  <c r="I3236" i="5"/>
  <c r="L3235" i="5"/>
  <c r="K3235" i="5"/>
  <c r="I3235" i="5"/>
  <c r="L3234" i="5"/>
  <c r="K3234" i="5"/>
  <c r="I3234" i="5"/>
  <c r="L3233" i="5"/>
  <c r="K3233" i="5"/>
  <c r="I3233" i="5"/>
  <c r="L3232" i="5"/>
  <c r="K3232" i="5"/>
  <c r="I3232" i="5"/>
  <c r="L3231" i="5"/>
  <c r="K3231" i="5"/>
  <c r="I3231" i="5"/>
  <c r="L3230" i="5"/>
  <c r="K3230" i="5"/>
  <c r="I3230" i="5"/>
  <c r="L3229" i="5"/>
  <c r="K3229" i="5"/>
  <c r="I3229" i="5"/>
  <c r="L3228" i="5"/>
  <c r="K3228" i="5"/>
  <c r="I3228" i="5"/>
  <c r="L3227" i="5"/>
  <c r="K3227" i="5"/>
  <c r="I3227" i="5"/>
  <c r="L3226" i="5"/>
  <c r="K3226" i="5"/>
  <c r="I3226" i="5"/>
  <c r="L3225" i="5"/>
  <c r="K3225" i="5"/>
  <c r="I3225" i="5"/>
  <c r="L3224" i="5"/>
  <c r="K3224" i="5"/>
  <c r="I3224" i="5"/>
  <c r="L3223" i="5"/>
  <c r="K3223" i="5"/>
  <c r="I3223" i="5"/>
  <c r="L3222" i="5"/>
  <c r="K3222" i="5"/>
  <c r="I3222" i="5"/>
  <c r="L3221" i="5"/>
  <c r="K3221" i="5"/>
  <c r="I3221" i="5"/>
  <c r="L3220" i="5"/>
  <c r="K3220" i="5"/>
  <c r="I3220" i="5"/>
  <c r="L3219" i="5"/>
  <c r="K3219" i="5"/>
  <c r="I3219" i="5"/>
  <c r="L3218" i="5"/>
  <c r="K3218" i="5"/>
  <c r="I3218" i="5"/>
  <c r="L3217" i="5"/>
  <c r="K3217" i="5"/>
  <c r="I3217" i="5"/>
  <c r="L3216" i="5"/>
  <c r="K3216" i="5"/>
  <c r="I3216" i="5"/>
  <c r="L3215" i="5"/>
  <c r="K3215" i="5"/>
  <c r="I3215" i="5"/>
  <c r="L3214" i="5"/>
  <c r="K3214" i="5"/>
  <c r="I3214" i="5"/>
  <c r="L3213" i="5"/>
  <c r="K3213" i="5"/>
  <c r="I3213" i="5"/>
  <c r="L3212" i="5"/>
  <c r="K3212" i="5"/>
  <c r="I3212" i="5"/>
  <c r="L3211" i="5"/>
  <c r="K3211" i="5"/>
  <c r="I3211" i="5"/>
  <c r="L3210" i="5"/>
  <c r="K3210" i="5"/>
  <c r="I3210" i="5"/>
  <c r="L3209" i="5"/>
  <c r="K3209" i="5"/>
  <c r="I3209" i="5"/>
  <c r="L3208" i="5"/>
  <c r="N3208" i="5" s="1"/>
  <c r="K3208" i="5"/>
  <c r="I3208" i="5"/>
  <c r="L3207" i="5"/>
  <c r="K3207" i="5"/>
  <c r="I3207" i="5"/>
  <c r="L3206" i="5"/>
  <c r="K3206" i="5"/>
  <c r="I3206" i="5"/>
  <c r="L3205" i="5"/>
  <c r="K3205" i="5"/>
  <c r="I3205" i="5"/>
  <c r="L3204" i="5"/>
  <c r="K3204" i="5"/>
  <c r="I3204" i="5"/>
  <c r="L3203" i="5"/>
  <c r="K3203" i="5"/>
  <c r="I3203" i="5"/>
  <c r="L3202" i="5"/>
  <c r="K3202" i="5"/>
  <c r="I3202" i="5"/>
  <c r="L3201" i="5"/>
  <c r="K3201" i="5"/>
  <c r="I3201" i="5"/>
  <c r="L3200" i="5"/>
  <c r="K3200" i="5"/>
  <c r="I3200" i="5"/>
  <c r="L3199" i="5"/>
  <c r="K3199" i="5"/>
  <c r="I3199" i="5"/>
  <c r="L3198" i="5"/>
  <c r="K3198" i="5"/>
  <c r="I3198" i="5"/>
  <c r="L3197" i="5"/>
  <c r="K3197" i="5"/>
  <c r="I3197" i="5"/>
  <c r="L3196" i="5"/>
  <c r="K3196" i="5"/>
  <c r="I3196" i="5"/>
  <c r="L3195" i="5"/>
  <c r="K3195" i="5"/>
  <c r="I3195" i="5"/>
  <c r="L3194" i="5"/>
  <c r="K3194" i="5"/>
  <c r="I3194" i="5"/>
  <c r="L3193" i="5"/>
  <c r="K3193" i="5"/>
  <c r="I3193" i="5"/>
  <c r="L3192" i="5"/>
  <c r="K3192" i="5"/>
  <c r="I3192" i="5"/>
  <c r="L3191" i="5"/>
  <c r="K3191" i="5"/>
  <c r="I3191" i="5"/>
  <c r="L3190" i="5"/>
  <c r="K3190" i="5"/>
  <c r="I3190" i="5"/>
  <c r="L3189" i="5"/>
  <c r="K3189" i="5"/>
  <c r="I3189" i="5"/>
  <c r="L3188" i="5"/>
  <c r="K3188" i="5"/>
  <c r="I3188" i="5"/>
  <c r="L3187" i="5"/>
  <c r="K3187" i="5"/>
  <c r="I3187" i="5"/>
  <c r="L3186" i="5"/>
  <c r="K3186" i="5"/>
  <c r="I3186" i="5"/>
  <c r="L3185" i="5"/>
  <c r="K3185" i="5"/>
  <c r="I3185" i="5"/>
  <c r="L3184" i="5"/>
  <c r="K3184" i="5"/>
  <c r="I3184" i="5"/>
  <c r="L3183" i="5"/>
  <c r="K3183" i="5"/>
  <c r="I3183" i="5"/>
  <c r="L3182" i="5"/>
  <c r="K3182" i="5"/>
  <c r="I3182" i="5"/>
  <c r="L3181" i="5"/>
  <c r="K3181" i="5"/>
  <c r="I3181" i="5"/>
  <c r="L3180" i="5"/>
  <c r="K3180" i="5"/>
  <c r="I3180" i="5"/>
  <c r="L3179" i="5"/>
  <c r="K3179" i="5"/>
  <c r="I3179" i="5"/>
  <c r="L3178" i="5"/>
  <c r="K3178" i="5"/>
  <c r="I3178" i="5"/>
  <c r="L3177" i="5"/>
  <c r="K3177" i="5"/>
  <c r="I3177" i="5"/>
  <c r="L3176" i="5"/>
  <c r="K3176" i="5"/>
  <c r="I3176" i="5"/>
  <c r="L3175" i="5"/>
  <c r="K3175" i="5"/>
  <c r="I3175" i="5"/>
  <c r="L3174" i="5"/>
  <c r="K3174" i="5"/>
  <c r="I3174" i="5"/>
  <c r="L3173" i="5"/>
  <c r="K3173" i="5"/>
  <c r="I3173" i="5"/>
  <c r="L3172" i="5"/>
  <c r="K3172" i="5"/>
  <c r="I3172" i="5"/>
  <c r="L3171" i="5"/>
  <c r="K3171" i="5"/>
  <c r="I3171" i="5"/>
  <c r="L3170" i="5"/>
  <c r="K3170" i="5"/>
  <c r="I3170" i="5"/>
  <c r="L3169" i="5"/>
  <c r="K3169" i="5"/>
  <c r="I3169" i="5"/>
  <c r="L3168" i="5"/>
  <c r="K3168" i="5"/>
  <c r="I3168" i="5"/>
  <c r="L3167" i="5"/>
  <c r="K3167" i="5"/>
  <c r="I3167" i="5"/>
  <c r="L3166" i="5"/>
  <c r="K3166" i="5"/>
  <c r="I3166" i="5"/>
  <c r="L3165" i="5"/>
  <c r="K3165" i="5"/>
  <c r="I3165" i="5"/>
  <c r="L3164" i="5"/>
  <c r="K3164" i="5"/>
  <c r="I3164" i="5"/>
  <c r="L3163" i="5"/>
  <c r="K3163" i="5"/>
  <c r="I3163" i="5"/>
  <c r="L3162" i="5"/>
  <c r="K3162" i="5"/>
  <c r="I3162" i="5"/>
  <c r="L3161" i="5"/>
  <c r="K3161" i="5"/>
  <c r="I3161" i="5"/>
  <c r="L3160" i="5"/>
  <c r="K3160" i="5"/>
  <c r="I3160" i="5"/>
  <c r="L3159" i="5"/>
  <c r="K3159" i="5"/>
  <c r="I3159" i="5"/>
  <c r="L3158" i="5"/>
  <c r="K3158" i="5"/>
  <c r="I3158" i="5"/>
  <c r="L3157" i="5"/>
  <c r="K3157" i="5"/>
  <c r="I3157" i="5"/>
  <c r="L3156" i="5"/>
  <c r="K3156" i="5"/>
  <c r="I3156" i="5"/>
  <c r="L3155" i="5"/>
  <c r="K3155" i="5"/>
  <c r="I3155" i="5"/>
  <c r="L3154" i="5"/>
  <c r="K3154" i="5"/>
  <c r="I3154" i="5"/>
  <c r="L3153" i="5"/>
  <c r="K3153" i="5"/>
  <c r="I3153" i="5"/>
  <c r="L3152" i="5"/>
  <c r="K3152" i="5"/>
  <c r="I3152" i="5"/>
  <c r="L3151" i="5"/>
  <c r="K3151" i="5"/>
  <c r="I3151" i="5"/>
  <c r="L3150" i="5"/>
  <c r="K3150" i="5"/>
  <c r="I3150" i="5"/>
  <c r="L3149" i="5"/>
  <c r="K3149" i="5"/>
  <c r="I3149" i="5"/>
  <c r="L3148" i="5"/>
  <c r="K3148" i="5"/>
  <c r="I3148" i="5"/>
  <c r="L3147" i="5"/>
  <c r="K3147" i="5"/>
  <c r="I3147" i="5"/>
  <c r="L3146" i="5"/>
  <c r="K3146" i="5"/>
  <c r="I3146" i="5"/>
  <c r="L3145" i="5"/>
  <c r="K3145" i="5"/>
  <c r="I3145" i="5"/>
  <c r="L3144" i="5"/>
  <c r="K3144" i="5"/>
  <c r="I3144" i="5"/>
  <c r="L3143" i="5"/>
  <c r="K3143" i="5"/>
  <c r="I3143" i="5"/>
  <c r="L3142" i="5"/>
  <c r="K3142" i="5"/>
  <c r="I3142" i="5"/>
  <c r="L3141" i="5"/>
  <c r="K3141" i="5"/>
  <c r="I3141" i="5"/>
  <c r="L3140" i="5"/>
  <c r="K3140" i="5"/>
  <c r="I3140" i="5"/>
  <c r="L3139" i="5"/>
  <c r="K3139" i="5"/>
  <c r="I3139" i="5"/>
  <c r="L3138" i="5"/>
  <c r="K3138" i="5"/>
  <c r="I3138" i="5"/>
  <c r="L3137" i="5"/>
  <c r="K3137" i="5"/>
  <c r="I3137" i="5"/>
  <c r="L3136" i="5"/>
  <c r="K3136" i="5"/>
  <c r="I3136" i="5"/>
  <c r="L3135" i="5"/>
  <c r="K3135" i="5"/>
  <c r="I3135" i="5"/>
  <c r="L3134" i="5"/>
  <c r="K3134" i="5"/>
  <c r="I3134" i="5"/>
  <c r="L3133" i="5"/>
  <c r="K3133" i="5"/>
  <c r="I3133" i="5"/>
  <c r="L3132" i="5"/>
  <c r="K3132" i="5"/>
  <c r="I3132" i="5"/>
  <c r="L3131" i="5"/>
  <c r="K3131" i="5"/>
  <c r="I3131" i="5"/>
  <c r="L3130" i="5"/>
  <c r="K3130" i="5"/>
  <c r="I3130" i="5"/>
  <c r="L3129" i="5"/>
  <c r="K3129" i="5"/>
  <c r="I3129" i="5"/>
  <c r="L3128" i="5"/>
  <c r="N3128" i="5" s="1"/>
  <c r="K3128" i="5"/>
  <c r="I3128" i="5"/>
  <c r="L3127" i="5"/>
  <c r="K3127" i="5"/>
  <c r="I3127" i="5"/>
  <c r="L3126" i="5"/>
  <c r="K3126" i="5"/>
  <c r="I3126" i="5"/>
  <c r="L3125" i="5"/>
  <c r="K3125" i="5"/>
  <c r="I3125" i="5"/>
  <c r="L3124" i="5"/>
  <c r="K3124" i="5"/>
  <c r="I3124" i="5"/>
  <c r="L3123" i="5"/>
  <c r="K3123" i="5"/>
  <c r="I3123" i="5"/>
  <c r="L3122" i="5"/>
  <c r="K3122" i="5"/>
  <c r="I3122" i="5"/>
  <c r="L3121" i="5"/>
  <c r="K3121" i="5"/>
  <c r="I3121" i="5"/>
  <c r="L3120" i="5"/>
  <c r="K3120" i="5"/>
  <c r="I3120" i="5"/>
  <c r="L3119" i="5"/>
  <c r="K3119" i="5"/>
  <c r="I3119" i="5"/>
  <c r="L3118" i="5"/>
  <c r="K3118" i="5"/>
  <c r="I3118" i="5"/>
  <c r="L3117" i="5"/>
  <c r="K3117" i="5"/>
  <c r="I3117" i="5"/>
  <c r="L3116" i="5"/>
  <c r="K3116" i="5"/>
  <c r="I3116" i="5"/>
  <c r="L3115" i="5"/>
  <c r="K3115" i="5"/>
  <c r="I3115" i="5"/>
  <c r="L3114" i="5"/>
  <c r="K3114" i="5"/>
  <c r="I3114" i="5"/>
  <c r="L3113" i="5"/>
  <c r="K3113" i="5"/>
  <c r="N3113" i="5" s="1"/>
  <c r="I3113" i="5"/>
  <c r="L3112" i="5"/>
  <c r="K3112" i="5"/>
  <c r="I3112" i="5"/>
  <c r="L3111" i="5"/>
  <c r="K3111" i="5"/>
  <c r="I3111" i="5"/>
  <c r="L3110" i="5"/>
  <c r="K3110" i="5"/>
  <c r="N3110" i="5" s="1"/>
  <c r="I3110" i="5"/>
  <c r="L3109" i="5"/>
  <c r="K3109" i="5"/>
  <c r="I3109" i="5"/>
  <c r="L3108" i="5"/>
  <c r="K3108" i="5"/>
  <c r="I3108" i="5"/>
  <c r="L3107" i="5"/>
  <c r="K3107" i="5"/>
  <c r="I3107" i="5"/>
  <c r="L3106" i="5"/>
  <c r="K3106" i="5"/>
  <c r="I3106" i="5"/>
  <c r="L3105" i="5"/>
  <c r="K3105" i="5"/>
  <c r="I3105" i="5"/>
  <c r="L3104" i="5"/>
  <c r="K3104" i="5"/>
  <c r="I3104" i="5"/>
  <c r="L3103" i="5"/>
  <c r="K3103" i="5"/>
  <c r="I3103" i="5"/>
  <c r="L3102" i="5"/>
  <c r="K3102" i="5"/>
  <c r="I3102" i="5"/>
  <c r="L3101" i="5"/>
  <c r="K3101" i="5"/>
  <c r="I3101" i="5"/>
  <c r="L3100" i="5"/>
  <c r="K3100" i="5"/>
  <c r="I3100" i="5"/>
  <c r="L3099" i="5"/>
  <c r="K3099" i="5"/>
  <c r="I3099" i="5"/>
  <c r="L3098" i="5"/>
  <c r="K3098" i="5"/>
  <c r="I3098" i="5"/>
  <c r="L3097" i="5"/>
  <c r="K3097" i="5"/>
  <c r="I3097" i="5"/>
  <c r="L3096" i="5"/>
  <c r="K3096" i="5"/>
  <c r="I3096" i="5"/>
  <c r="L3095" i="5"/>
  <c r="K3095" i="5"/>
  <c r="I3095" i="5"/>
  <c r="L3094" i="5"/>
  <c r="K3094" i="5"/>
  <c r="I3094" i="5"/>
  <c r="L3093" i="5"/>
  <c r="K3093" i="5"/>
  <c r="I3093" i="5"/>
  <c r="N3092" i="5"/>
  <c r="L3092" i="5"/>
  <c r="K3092" i="5"/>
  <c r="I3092" i="5"/>
  <c r="L3091" i="5"/>
  <c r="K3091" i="5"/>
  <c r="I3091" i="5"/>
  <c r="L3090" i="5"/>
  <c r="K3090" i="5"/>
  <c r="I3090" i="5"/>
  <c r="L3089" i="5"/>
  <c r="K3089" i="5"/>
  <c r="I3089" i="5"/>
  <c r="L3088" i="5"/>
  <c r="K3088" i="5"/>
  <c r="I3088" i="5"/>
  <c r="L3087" i="5"/>
  <c r="K3087" i="5"/>
  <c r="I3087" i="5"/>
  <c r="L3086" i="5"/>
  <c r="K3086" i="5"/>
  <c r="I3086" i="5"/>
  <c r="L3085" i="5"/>
  <c r="K3085" i="5"/>
  <c r="I3085" i="5"/>
  <c r="L3084" i="5"/>
  <c r="K3084" i="5"/>
  <c r="I3084" i="5"/>
  <c r="L3083" i="5"/>
  <c r="K3083" i="5"/>
  <c r="I3083" i="5"/>
  <c r="L3082" i="5"/>
  <c r="K3082" i="5"/>
  <c r="I3082" i="5"/>
  <c r="L3081" i="5"/>
  <c r="K3081" i="5"/>
  <c r="I3081" i="5"/>
  <c r="L3080" i="5"/>
  <c r="K3080" i="5"/>
  <c r="I3080" i="5"/>
  <c r="L3079" i="5"/>
  <c r="K3079" i="5"/>
  <c r="I3079" i="5"/>
  <c r="L3078" i="5"/>
  <c r="K3078" i="5"/>
  <c r="I3078" i="5"/>
  <c r="L3077" i="5"/>
  <c r="K3077" i="5"/>
  <c r="I3077" i="5"/>
  <c r="L3076" i="5"/>
  <c r="K3076" i="5"/>
  <c r="I3076" i="5"/>
  <c r="L3075" i="5"/>
  <c r="K3075" i="5"/>
  <c r="I3075" i="5"/>
  <c r="L3074" i="5"/>
  <c r="K3074" i="5"/>
  <c r="I3074" i="5"/>
  <c r="L3073" i="5"/>
  <c r="K3073" i="5"/>
  <c r="I3073" i="5"/>
  <c r="L3072" i="5"/>
  <c r="K3072" i="5"/>
  <c r="I3072" i="5"/>
  <c r="L3071" i="5"/>
  <c r="K3071" i="5"/>
  <c r="I3071" i="5"/>
  <c r="L3070" i="5"/>
  <c r="K3070" i="5"/>
  <c r="I3070" i="5"/>
  <c r="L3069" i="5"/>
  <c r="K3069" i="5"/>
  <c r="I3069" i="5"/>
  <c r="L3068" i="5"/>
  <c r="K3068" i="5"/>
  <c r="I3068" i="5"/>
  <c r="L3067" i="5"/>
  <c r="K3067" i="5"/>
  <c r="I3067" i="5"/>
  <c r="L3066" i="5"/>
  <c r="K3066" i="5"/>
  <c r="I3066" i="5"/>
  <c r="L3065" i="5"/>
  <c r="K3065" i="5"/>
  <c r="I3065" i="5"/>
  <c r="L3064" i="5"/>
  <c r="K3064" i="5"/>
  <c r="I3064" i="5"/>
  <c r="L3063" i="5"/>
  <c r="K3063" i="5"/>
  <c r="I3063" i="5"/>
  <c r="L3062" i="5"/>
  <c r="K3062" i="5"/>
  <c r="I3062" i="5"/>
  <c r="L3061" i="5"/>
  <c r="K3061" i="5"/>
  <c r="I3061" i="5"/>
  <c r="L3060" i="5"/>
  <c r="K3060" i="5"/>
  <c r="I3060" i="5"/>
  <c r="L3059" i="5"/>
  <c r="K3059" i="5"/>
  <c r="I3059" i="5"/>
  <c r="L3058" i="5"/>
  <c r="K3058" i="5"/>
  <c r="I3058" i="5"/>
  <c r="L3057" i="5"/>
  <c r="K3057" i="5"/>
  <c r="I3057" i="5"/>
  <c r="L3056" i="5"/>
  <c r="K3056" i="5"/>
  <c r="I3056" i="5"/>
  <c r="L3055" i="5"/>
  <c r="K3055" i="5"/>
  <c r="I3055" i="5"/>
  <c r="L3054" i="5"/>
  <c r="K3054" i="5"/>
  <c r="I3054" i="5"/>
  <c r="L3053" i="5"/>
  <c r="K3053" i="5"/>
  <c r="I3053" i="5"/>
  <c r="L3052" i="5"/>
  <c r="K3052" i="5"/>
  <c r="I3052" i="5"/>
  <c r="L3051" i="5"/>
  <c r="K3051" i="5"/>
  <c r="I3051" i="5"/>
  <c r="L3050" i="5"/>
  <c r="K3050" i="5"/>
  <c r="I3050" i="5"/>
  <c r="L3049" i="5"/>
  <c r="K3049" i="5"/>
  <c r="I3049" i="5"/>
  <c r="L3048" i="5"/>
  <c r="K3048" i="5"/>
  <c r="I3048" i="5"/>
  <c r="L3047" i="5"/>
  <c r="K3047" i="5"/>
  <c r="I3047" i="5"/>
  <c r="L3046" i="5"/>
  <c r="K3046" i="5"/>
  <c r="I3046" i="5"/>
  <c r="L3045" i="5"/>
  <c r="K3045" i="5"/>
  <c r="I3045" i="5"/>
  <c r="L3044" i="5"/>
  <c r="K3044" i="5"/>
  <c r="I3044" i="5"/>
  <c r="L3043" i="5"/>
  <c r="K3043" i="5"/>
  <c r="I3043" i="5"/>
  <c r="L3042" i="5"/>
  <c r="K3042" i="5"/>
  <c r="I3042" i="5"/>
  <c r="L3041" i="5"/>
  <c r="K3041" i="5"/>
  <c r="I3041" i="5"/>
  <c r="L3040" i="5"/>
  <c r="K3040" i="5"/>
  <c r="I3040" i="5"/>
  <c r="L3039" i="5"/>
  <c r="K3039" i="5"/>
  <c r="I3039" i="5"/>
  <c r="L3038" i="5"/>
  <c r="K3038" i="5"/>
  <c r="I3038" i="5"/>
  <c r="L3037" i="5"/>
  <c r="K3037" i="5"/>
  <c r="I3037" i="5"/>
  <c r="L3036" i="5"/>
  <c r="K3036" i="5"/>
  <c r="I3036" i="5"/>
  <c r="L3035" i="5"/>
  <c r="K3035" i="5"/>
  <c r="I3035" i="5"/>
  <c r="L3034" i="5"/>
  <c r="K3034" i="5"/>
  <c r="I3034" i="5"/>
  <c r="L3033" i="5"/>
  <c r="K3033" i="5"/>
  <c r="I3033" i="5"/>
  <c r="L3032" i="5"/>
  <c r="K3032" i="5"/>
  <c r="I3032" i="5"/>
  <c r="L3031" i="5"/>
  <c r="K3031" i="5"/>
  <c r="I3031" i="5"/>
  <c r="L3030" i="5"/>
  <c r="K3030" i="5"/>
  <c r="I3030" i="5"/>
  <c r="L3029" i="5"/>
  <c r="K3029" i="5"/>
  <c r="I3029" i="5"/>
  <c r="L3028" i="5"/>
  <c r="K3028" i="5"/>
  <c r="I3028" i="5"/>
  <c r="L3027" i="5"/>
  <c r="K3027" i="5"/>
  <c r="I3027" i="5"/>
  <c r="L3026" i="5"/>
  <c r="K3026" i="5"/>
  <c r="I3026" i="5"/>
  <c r="L3025" i="5"/>
  <c r="K3025" i="5"/>
  <c r="I3025" i="5"/>
  <c r="L3024" i="5"/>
  <c r="K3024" i="5"/>
  <c r="I3024" i="5"/>
  <c r="L3023" i="5"/>
  <c r="K3023" i="5"/>
  <c r="I3023" i="5"/>
  <c r="L3022" i="5"/>
  <c r="K3022" i="5"/>
  <c r="I3022" i="5"/>
  <c r="L3021" i="5"/>
  <c r="K3021" i="5"/>
  <c r="I3021" i="5"/>
  <c r="L3020" i="5"/>
  <c r="K3020" i="5"/>
  <c r="I3020" i="5"/>
  <c r="L3019" i="5"/>
  <c r="K3019" i="5"/>
  <c r="I3019" i="5"/>
  <c r="L3018" i="5"/>
  <c r="K3018" i="5"/>
  <c r="I3018" i="5"/>
  <c r="L3017" i="5"/>
  <c r="K3017" i="5"/>
  <c r="I3017" i="5"/>
  <c r="L3016" i="5"/>
  <c r="K3016" i="5"/>
  <c r="I3016" i="5"/>
  <c r="L3015" i="5"/>
  <c r="K3015" i="5"/>
  <c r="I3015" i="5"/>
  <c r="L3014" i="5"/>
  <c r="K3014" i="5"/>
  <c r="I3014" i="5"/>
  <c r="L3013" i="5"/>
  <c r="K3013" i="5"/>
  <c r="I3013" i="5"/>
  <c r="L3012" i="5"/>
  <c r="K3012" i="5"/>
  <c r="I3012" i="5"/>
  <c r="L3011" i="5"/>
  <c r="K3011" i="5"/>
  <c r="I3011" i="5"/>
  <c r="L3010" i="5"/>
  <c r="K3010" i="5"/>
  <c r="I3010" i="5"/>
  <c r="L3009" i="5"/>
  <c r="K3009" i="5"/>
  <c r="I3009" i="5"/>
  <c r="L3008" i="5"/>
  <c r="K3008" i="5"/>
  <c r="I3008" i="5"/>
  <c r="L3007" i="5"/>
  <c r="K3007" i="5"/>
  <c r="I3007" i="5"/>
  <c r="L3006" i="5"/>
  <c r="K3006" i="5"/>
  <c r="I3006" i="5"/>
  <c r="L3005" i="5"/>
  <c r="K3005" i="5"/>
  <c r="I3005" i="5"/>
  <c r="L3004" i="5"/>
  <c r="K3004" i="5"/>
  <c r="I3004" i="5"/>
  <c r="L3003" i="5"/>
  <c r="K3003" i="5"/>
  <c r="I3003" i="5"/>
  <c r="L3002" i="5"/>
  <c r="K3002" i="5"/>
  <c r="I3002" i="5"/>
  <c r="L3001" i="5"/>
  <c r="K3001" i="5"/>
  <c r="I3001" i="5"/>
  <c r="L3000" i="5"/>
  <c r="K3000" i="5"/>
  <c r="I3000" i="5"/>
  <c r="L2999" i="5"/>
  <c r="K2999" i="5"/>
  <c r="I2999" i="5"/>
  <c r="L2998" i="5"/>
  <c r="K2998" i="5"/>
  <c r="I2998" i="5"/>
  <c r="L2997" i="5"/>
  <c r="K2997" i="5"/>
  <c r="I2997" i="5"/>
  <c r="L2996" i="5"/>
  <c r="K2996" i="5"/>
  <c r="I2996" i="5"/>
  <c r="L2995" i="5"/>
  <c r="K2995" i="5"/>
  <c r="I2995" i="5"/>
  <c r="L2994" i="5"/>
  <c r="K2994" i="5"/>
  <c r="I2994" i="5"/>
  <c r="L2993" i="5"/>
  <c r="K2993" i="5"/>
  <c r="I2993" i="5"/>
  <c r="L2992" i="5"/>
  <c r="K2992" i="5"/>
  <c r="I2992" i="5"/>
  <c r="L2991" i="5"/>
  <c r="K2991" i="5"/>
  <c r="I2991" i="5"/>
  <c r="L2990" i="5"/>
  <c r="K2990" i="5"/>
  <c r="I2990" i="5"/>
  <c r="L2989" i="5"/>
  <c r="K2989" i="5"/>
  <c r="I2989" i="5"/>
  <c r="L2988" i="5"/>
  <c r="K2988" i="5"/>
  <c r="I2988" i="5"/>
  <c r="L2987" i="5"/>
  <c r="K2987" i="5"/>
  <c r="I2987" i="5"/>
  <c r="L2986" i="5"/>
  <c r="N2986" i="5" s="1"/>
  <c r="K2986" i="5"/>
  <c r="I2986" i="5"/>
  <c r="L2985" i="5"/>
  <c r="K2985" i="5"/>
  <c r="I2985" i="5"/>
  <c r="L2984" i="5"/>
  <c r="K2984" i="5"/>
  <c r="I2984" i="5"/>
  <c r="L2983" i="5"/>
  <c r="K2983" i="5"/>
  <c r="I2983" i="5"/>
  <c r="L2982" i="5"/>
  <c r="K2982" i="5"/>
  <c r="I2982" i="5"/>
  <c r="L2981" i="5"/>
  <c r="K2981" i="5"/>
  <c r="I2981" i="5"/>
  <c r="L2980" i="5"/>
  <c r="K2980" i="5"/>
  <c r="I2980" i="5"/>
  <c r="L2979" i="5"/>
  <c r="K2979" i="5"/>
  <c r="I2979" i="5"/>
  <c r="L2978" i="5"/>
  <c r="K2978" i="5"/>
  <c r="I2978" i="5"/>
  <c r="L2977" i="5"/>
  <c r="K2977" i="5"/>
  <c r="I2977" i="5"/>
  <c r="L2976" i="5"/>
  <c r="K2976" i="5"/>
  <c r="I2976" i="5"/>
  <c r="L2975" i="5"/>
  <c r="K2975" i="5"/>
  <c r="I2975" i="5"/>
  <c r="L2974" i="5"/>
  <c r="K2974" i="5"/>
  <c r="I2974" i="5"/>
  <c r="L2973" i="5"/>
  <c r="K2973" i="5"/>
  <c r="I2973" i="5"/>
  <c r="L2972" i="5"/>
  <c r="K2972" i="5"/>
  <c r="I2972" i="5"/>
  <c r="L2971" i="5"/>
  <c r="K2971" i="5"/>
  <c r="I2971" i="5"/>
  <c r="L2970" i="5"/>
  <c r="K2970" i="5"/>
  <c r="I2970" i="5"/>
  <c r="L2969" i="5"/>
  <c r="K2969" i="5"/>
  <c r="I2969" i="5"/>
  <c r="L2968" i="5"/>
  <c r="K2968" i="5"/>
  <c r="I2968" i="5"/>
  <c r="L2967" i="5"/>
  <c r="K2967" i="5"/>
  <c r="I2967" i="5"/>
  <c r="L2966" i="5"/>
  <c r="K2966" i="5"/>
  <c r="I2966" i="5"/>
  <c r="L2965" i="5"/>
  <c r="K2965" i="5"/>
  <c r="I2965" i="5"/>
  <c r="L2964" i="5"/>
  <c r="K2964" i="5"/>
  <c r="I2964" i="5"/>
  <c r="L2963" i="5"/>
  <c r="K2963" i="5"/>
  <c r="I2963" i="5"/>
  <c r="L2962" i="5"/>
  <c r="K2962" i="5"/>
  <c r="I2962" i="5"/>
  <c r="L2961" i="5"/>
  <c r="K2961" i="5"/>
  <c r="I2961" i="5"/>
  <c r="L2960" i="5"/>
  <c r="K2960" i="5"/>
  <c r="I2960" i="5"/>
  <c r="L2959" i="5"/>
  <c r="K2959" i="5"/>
  <c r="I2959" i="5"/>
  <c r="L2958" i="5"/>
  <c r="K2958" i="5"/>
  <c r="I2958" i="5"/>
  <c r="L2957" i="5"/>
  <c r="K2957" i="5"/>
  <c r="I2957" i="5"/>
  <c r="L2956" i="5"/>
  <c r="K2956" i="5"/>
  <c r="I2956" i="5"/>
  <c r="L2955" i="5"/>
  <c r="K2955" i="5"/>
  <c r="I2955" i="5"/>
  <c r="L2954" i="5"/>
  <c r="K2954" i="5"/>
  <c r="I2954" i="5"/>
  <c r="L2953" i="5"/>
  <c r="K2953" i="5"/>
  <c r="I2953" i="5"/>
  <c r="L2952" i="5"/>
  <c r="K2952" i="5"/>
  <c r="I2952" i="5"/>
  <c r="L2951" i="5"/>
  <c r="K2951" i="5"/>
  <c r="I2951" i="5"/>
  <c r="L2950" i="5"/>
  <c r="N2950" i="5" s="1"/>
  <c r="K2950" i="5"/>
  <c r="I2950" i="5"/>
  <c r="L2949" i="5"/>
  <c r="K2949" i="5"/>
  <c r="I2949" i="5"/>
  <c r="L2948" i="5"/>
  <c r="K2948" i="5"/>
  <c r="I2948" i="5"/>
  <c r="L2947" i="5"/>
  <c r="K2947" i="5"/>
  <c r="I2947" i="5"/>
  <c r="L2946" i="5"/>
  <c r="K2946" i="5"/>
  <c r="I2946" i="5"/>
  <c r="L2945" i="5"/>
  <c r="K2945" i="5"/>
  <c r="I2945" i="5"/>
  <c r="L2944" i="5"/>
  <c r="K2944" i="5"/>
  <c r="I2944" i="5"/>
  <c r="L2943" i="5"/>
  <c r="K2943" i="5"/>
  <c r="I2943" i="5"/>
  <c r="L2942" i="5"/>
  <c r="K2942" i="5"/>
  <c r="I2942" i="5"/>
  <c r="L2941" i="5"/>
  <c r="K2941" i="5"/>
  <c r="I2941" i="5"/>
  <c r="L2940" i="5"/>
  <c r="K2940" i="5"/>
  <c r="I2940" i="5"/>
  <c r="L2939" i="5"/>
  <c r="K2939" i="5"/>
  <c r="I2939" i="5"/>
  <c r="L2938" i="5"/>
  <c r="K2938" i="5"/>
  <c r="I2938" i="5"/>
  <c r="L2937" i="5"/>
  <c r="K2937" i="5"/>
  <c r="I2937" i="5"/>
  <c r="L2936" i="5"/>
  <c r="K2936" i="5"/>
  <c r="I2936" i="5"/>
  <c r="L2935" i="5"/>
  <c r="K2935" i="5"/>
  <c r="I2935" i="5"/>
  <c r="L2934" i="5"/>
  <c r="K2934" i="5"/>
  <c r="I2934" i="5"/>
  <c r="L2933" i="5"/>
  <c r="K2933" i="5"/>
  <c r="I2933" i="5"/>
  <c r="L2932" i="5"/>
  <c r="K2932" i="5"/>
  <c r="I2932" i="5"/>
  <c r="L2931" i="5"/>
  <c r="K2931" i="5"/>
  <c r="I2931" i="5"/>
  <c r="L2930" i="5"/>
  <c r="K2930" i="5"/>
  <c r="I2930" i="5"/>
  <c r="L2929" i="5"/>
  <c r="K2929" i="5"/>
  <c r="I2929" i="5"/>
  <c r="L2928" i="5"/>
  <c r="K2928" i="5"/>
  <c r="I2928" i="5"/>
  <c r="L2927" i="5"/>
  <c r="K2927" i="5"/>
  <c r="I2927" i="5"/>
  <c r="L2926" i="5"/>
  <c r="K2926" i="5"/>
  <c r="I2926" i="5"/>
  <c r="L2925" i="5"/>
  <c r="K2925" i="5"/>
  <c r="I2925" i="5"/>
  <c r="L2924" i="5"/>
  <c r="K2924" i="5"/>
  <c r="I2924" i="5"/>
  <c r="L2923" i="5"/>
  <c r="K2923" i="5"/>
  <c r="I2923" i="5"/>
  <c r="L2922" i="5"/>
  <c r="K2922" i="5"/>
  <c r="I2922" i="5"/>
  <c r="L2921" i="5"/>
  <c r="K2921" i="5"/>
  <c r="I2921" i="5"/>
  <c r="L2920" i="5"/>
  <c r="K2920" i="5"/>
  <c r="I2920" i="5"/>
  <c r="L2919" i="5"/>
  <c r="K2919" i="5"/>
  <c r="I2919" i="5"/>
  <c r="L2918" i="5"/>
  <c r="K2918" i="5"/>
  <c r="I2918" i="5"/>
  <c r="L2917" i="5"/>
  <c r="K2917" i="5"/>
  <c r="I2917" i="5"/>
  <c r="L2916" i="5"/>
  <c r="K2916" i="5"/>
  <c r="I2916" i="5"/>
  <c r="L2915" i="5"/>
  <c r="K2915" i="5"/>
  <c r="I2915" i="5"/>
  <c r="L2914" i="5"/>
  <c r="K2914" i="5"/>
  <c r="I2914" i="5"/>
  <c r="L2913" i="5"/>
  <c r="K2913" i="5"/>
  <c r="I2913" i="5"/>
  <c r="L2912" i="5"/>
  <c r="K2912" i="5"/>
  <c r="I2912" i="5"/>
  <c r="L2911" i="5"/>
  <c r="K2911" i="5"/>
  <c r="I2911" i="5"/>
  <c r="L2910" i="5"/>
  <c r="K2910" i="5"/>
  <c r="I2910" i="5"/>
  <c r="L2909" i="5"/>
  <c r="K2909" i="5"/>
  <c r="I2909" i="5"/>
  <c r="L2908" i="5"/>
  <c r="K2908" i="5"/>
  <c r="I2908" i="5"/>
  <c r="L2907" i="5"/>
  <c r="K2907" i="5"/>
  <c r="I2907" i="5"/>
  <c r="L2906" i="5"/>
  <c r="K2906" i="5"/>
  <c r="I2906" i="5"/>
  <c r="L2905" i="5"/>
  <c r="K2905" i="5"/>
  <c r="I2905" i="5"/>
  <c r="L2904" i="5"/>
  <c r="K2904" i="5"/>
  <c r="I2904" i="5"/>
  <c r="L2903" i="5"/>
  <c r="K2903" i="5"/>
  <c r="I2903" i="5"/>
  <c r="L2902" i="5"/>
  <c r="K2902" i="5"/>
  <c r="I2902" i="5"/>
  <c r="L2901" i="5"/>
  <c r="K2901" i="5"/>
  <c r="I2901" i="5"/>
  <c r="L2900" i="5"/>
  <c r="K2900" i="5"/>
  <c r="I2900" i="5"/>
  <c r="L2899" i="5"/>
  <c r="K2899" i="5"/>
  <c r="I2899" i="5"/>
  <c r="L2898" i="5"/>
  <c r="K2898" i="5"/>
  <c r="I2898" i="5"/>
  <c r="L2897" i="5"/>
  <c r="K2897" i="5"/>
  <c r="I2897" i="5"/>
  <c r="L2896" i="5"/>
  <c r="K2896" i="5"/>
  <c r="I2896" i="5"/>
  <c r="L2895" i="5"/>
  <c r="K2895" i="5"/>
  <c r="I2895" i="5"/>
  <c r="L2894" i="5"/>
  <c r="K2894" i="5"/>
  <c r="I2894" i="5"/>
  <c r="L2893" i="5"/>
  <c r="K2893" i="5"/>
  <c r="I2893" i="5"/>
  <c r="L2892" i="5"/>
  <c r="K2892" i="5"/>
  <c r="I2892" i="5"/>
  <c r="L2891" i="5"/>
  <c r="K2891" i="5"/>
  <c r="I2891" i="5"/>
  <c r="L2890" i="5"/>
  <c r="K2890" i="5"/>
  <c r="I2890" i="5"/>
  <c r="L2889" i="5"/>
  <c r="K2889" i="5"/>
  <c r="I2889" i="5"/>
  <c r="L2888" i="5"/>
  <c r="K2888" i="5"/>
  <c r="I2888" i="5"/>
  <c r="L2887" i="5"/>
  <c r="K2887" i="5"/>
  <c r="I2887" i="5"/>
  <c r="L2886" i="5"/>
  <c r="K2886" i="5"/>
  <c r="I2886" i="5"/>
  <c r="L2885" i="5"/>
  <c r="K2885" i="5"/>
  <c r="I2885" i="5"/>
  <c r="L2884" i="5"/>
  <c r="K2884" i="5"/>
  <c r="I2884" i="5"/>
  <c r="L2883" i="5"/>
  <c r="K2883" i="5"/>
  <c r="I2883" i="5"/>
  <c r="L2882" i="5"/>
  <c r="K2882" i="5"/>
  <c r="I2882" i="5"/>
  <c r="L2881" i="5"/>
  <c r="K2881" i="5"/>
  <c r="I2881" i="5"/>
  <c r="L2880" i="5"/>
  <c r="K2880" i="5"/>
  <c r="I2880" i="5"/>
  <c r="L2879" i="5"/>
  <c r="K2879" i="5"/>
  <c r="I2879" i="5"/>
  <c r="L2878" i="5"/>
  <c r="K2878" i="5"/>
  <c r="I2878" i="5"/>
  <c r="L2877" i="5"/>
  <c r="K2877" i="5"/>
  <c r="I2877" i="5"/>
  <c r="L2876" i="5"/>
  <c r="K2876" i="5"/>
  <c r="I2876" i="5"/>
  <c r="L2875" i="5"/>
  <c r="K2875" i="5"/>
  <c r="I2875" i="5"/>
  <c r="L2874" i="5"/>
  <c r="K2874" i="5"/>
  <c r="I2874" i="5"/>
  <c r="L2873" i="5"/>
  <c r="K2873" i="5"/>
  <c r="I2873" i="5"/>
  <c r="L2872" i="5"/>
  <c r="K2872" i="5"/>
  <c r="I2872" i="5"/>
  <c r="L2871" i="5"/>
  <c r="K2871" i="5"/>
  <c r="I2871" i="5"/>
  <c r="L2870" i="5"/>
  <c r="K2870" i="5"/>
  <c r="I2870" i="5"/>
  <c r="L2869" i="5"/>
  <c r="K2869" i="5"/>
  <c r="I2869" i="5"/>
  <c r="L2868" i="5"/>
  <c r="K2868" i="5"/>
  <c r="I2868" i="5"/>
  <c r="L2867" i="5"/>
  <c r="K2867" i="5"/>
  <c r="I2867" i="5"/>
  <c r="L2866" i="5"/>
  <c r="K2866" i="5"/>
  <c r="I2866" i="5"/>
  <c r="L2865" i="5"/>
  <c r="K2865" i="5"/>
  <c r="I2865" i="5"/>
  <c r="L2864" i="5"/>
  <c r="K2864" i="5"/>
  <c r="I2864" i="5"/>
  <c r="L2863" i="5"/>
  <c r="K2863" i="5"/>
  <c r="I2863" i="5"/>
  <c r="L2862" i="5"/>
  <c r="N2862" i="5" s="1"/>
  <c r="K2862" i="5"/>
  <c r="I2862" i="5"/>
  <c r="L2861" i="5"/>
  <c r="K2861" i="5"/>
  <c r="I2861" i="5"/>
  <c r="L2860" i="5"/>
  <c r="K2860" i="5"/>
  <c r="I2860" i="5"/>
  <c r="L2859" i="5"/>
  <c r="K2859" i="5"/>
  <c r="I2859" i="5"/>
  <c r="L2858" i="5"/>
  <c r="K2858" i="5"/>
  <c r="I2858" i="5"/>
  <c r="L2857" i="5"/>
  <c r="K2857" i="5"/>
  <c r="I2857" i="5"/>
  <c r="L2856" i="5"/>
  <c r="K2856" i="5"/>
  <c r="I2856" i="5"/>
  <c r="L2855" i="5"/>
  <c r="K2855" i="5"/>
  <c r="I2855" i="5"/>
  <c r="L2854" i="5"/>
  <c r="K2854" i="5"/>
  <c r="I2854" i="5"/>
  <c r="L2853" i="5"/>
  <c r="K2853" i="5"/>
  <c r="I2853" i="5"/>
  <c r="L2852" i="5"/>
  <c r="K2852" i="5"/>
  <c r="I2852" i="5"/>
  <c r="L2851" i="5"/>
  <c r="K2851" i="5"/>
  <c r="I2851" i="5"/>
  <c r="L2850" i="5"/>
  <c r="K2850" i="5"/>
  <c r="I2850" i="5"/>
  <c r="L2849" i="5"/>
  <c r="K2849" i="5"/>
  <c r="I2849" i="5"/>
  <c r="L2848" i="5"/>
  <c r="K2848" i="5"/>
  <c r="I2848" i="5"/>
  <c r="L2847" i="5"/>
  <c r="K2847" i="5"/>
  <c r="I2847" i="5"/>
  <c r="L2846" i="5"/>
  <c r="K2846" i="5"/>
  <c r="I2846" i="5"/>
  <c r="L2845" i="5"/>
  <c r="K2845" i="5"/>
  <c r="I2845" i="5"/>
  <c r="L2844" i="5"/>
  <c r="K2844" i="5"/>
  <c r="I2844" i="5"/>
  <c r="L2843" i="5"/>
  <c r="K2843" i="5"/>
  <c r="I2843" i="5"/>
  <c r="L2842" i="5"/>
  <c r="K2842" i="5"/>
  <c r="I2842" i="5"/>
  <c r="L2841" i="5"/>
  <c r="K2841" i="5"/>
  <c r="I2841" i="5"/>
  <c r="L2840" i="5"/>
  <c r="K2840" i="5"/>
  <c r="I2840" i="5"/>
  <c r="L2839" i="5"/>
  <c r="K2839" i="5"/>
  <c r="I2839" i="5"/>
  <c r="L2838" i="5"/>
  <c r="K2838" i="5"/>
  <c r="I2838" i="5"/>
  <c r="L2837" i="5"/>
  <c r="K2837" i="5"/>
  <c r="I2837" i="5"/>
  <c r="L2836" i="5"/>
  <c r="K2836" i="5"/>
  <c r="I2836" i="5"/>
  <c r="L2835" i="5"/>
  <c r="K2835" i="5"/>
  <c r="I2835" i="5"/>
  <c r="L2834" i="5"/>
  <c r="K2834" i="5"/>
  <c r="I2834" i="5"/>
  <c r="L2833" i="5"/>
  <c r="K2833" i="5"/>
  <c r="I2833" i="5"/>
  <c r="L2832" i="5"/>
  <c r="K2832" i="5"/>
  <c r="I2832" i="5"/>
  <c r="L2831" i="5"/>
  <c r="K2831" i="5"/>
  <c r="I2831" i="5"/>
  <c r="L2830" i="5"/>
  <c r="K2830" i="5"/>
  <c r="I2830" i="5"/>
  <c r="L2829" i="5"/>
  <c r="K2829" i="5"/>
  <c r="I2829" i="5"/>
  <c r="L2828" i="5"/>
  <c r="K2828" i="5"/>
  <c r="I2828" i="5"/>
  <c r="L2827" i="5"/>
  <c r="K2827" i="5"/>
  <c r="I2827" i="5"/>
  <c r="L2826" i="5"/>
  <c r="N2826" i="5" s="1"/>
  <c r="K2826" i="5"/>
  <c r="I2826" i="5"/>
  <c r="L2825" i="5"/>
  <c r="K2825" i="5"/>
  <c r="I2825" i="5"/>
  <c r="L2824" i="5"/>
  <c r="K2824" i="5"/>
  <c r="I2824" i="5"/>
  <c r="L2823" i="5"/>
  <c r="K2823" i="5"/>
  <c r="I2823" i="5"/>
  <c r="L2822" i="5"/>
  <c r="K2822" i="5"/>
  <c r="I2822" i="5"/>
  <c r="L2821" i="5"/>
  <c r="K2821" i="5"/>
  <c r="I2821" i="5"/>
  <c r="L2820" i="5"/>
  <c r="K2820" i="5"/>
  <c r="I2820" i="5"/>
  <c r="L2819" i="5"/>
  <c r="K2819" i="5"/>
  <c r="I2819" i="5"/>
  <c r="L2818" i="5"/>
  <c r="N2818" i="5" s="1"/>
  <c r="K2818" i="5"/>
  <c r="I2818" i="5"/>
  <c r="L2817" i="5"/>
  <c r="K2817" i="5"/>
  <c r="I2817" i="5"/>
  <c r="L2816" i="5"/>
  <c r="K2816" i="5"/>
  <c r="I2816" i="5"/>
  <c r="L2815" i="5"/>
  <c r="K2815" i="5"/>
  <c r="I2815" i="5"/>
  <c r="L2814" i="5"/>
  <c r="K2814" i="5"/>
  <c r="I2814" i="5"/>
  <c r="L2813" i="5"/>
  <c r="K2813" i="5"/>
  <c r="I2813" i="5"/>
  <c r="L2812" i="5"/>
  <c r="K2812" i="5"/>
  <c r="I2812" i="5"/>
  <c r="L2811" i="5"/>
  <c r="K2811" i="5"/>
  <c r="I2811" i="5"/>
  <c r="L2810" i="5"/>
  <c r="K2810" i="5"/>
  <c r="I2810" i="5"/>
  <c r="L2809" i="5"/>
  <c r="K2809" i="5"/>
  <c r="I2809" i="5"/>
  <c r="L2808" i="5"/>
  <c r="K2808" i="5"/>
  <c r="I2808" i="5"/>
  <c r="L2807" i="5"/>
  <c r="K2807" i="5"/>
  <c r="I2807" i="5"/>
  <c r="L2806" i="5"/>
  <c r="K2806" i="5"/>
  <c r="I2806" i="5"/>
  <c r="L2805" i="5"/>
  <c r="K2805" i="5"/>
  <c r="I2805" i="5"/>
  <c r="L2804" i="5"/>
  <c r="K2804" i="5"/>
  <c r="I2804" i="5"/>
  <c r="L2803" i="5"/>
  <c r="K2803" i="5"/>
  <c r="I2803" i="5"/>
  <c r="L2802" i="5"/>
  <c r="K2802" i="5"/>
  <c r="I2802" i="5"/>
  <c r="L2801" i="5"/>
  <c r="K2801" i="5"/>
  <c r="I2801" i="5"/>
  <c r="L2800" i="5"/>
  <c r="K2800" i="5"/>
  <c r="I2800" i="5"/>
  <c r="L2799" i="5"/>
  <c r="K2799" i="5"/>
  <c r="I2799" i="5"/>
  <c r="L2798" i="5"/>
  <c r="K2798" i="5"/>
  <c r="I2798" i="5"/>
  <c r="L2797" i="5"/>
  <c r="K2797" i="5"/>
  <c r="I2797" i="5"/>
  <c r="L2796" i="5"/>
  <c r="K2796" i="5"/>
  <c r="I2796" i="5"/>
  <c r="L2795" i="5"/>
  <c r="K2795" i="5"/>
  <c r="I2795" i="5"/>
  <c r="L2794" i="5"/>
  <c r="K2794" i="5"/>
  <c r="I2794" i="5"/>
  <c r="L2793" i="5"/>
  <c r="K2793" i="5"/>
  <c r="I2793" i="5"/>
  <c r="L2792" i="5"/>
  <c r="K2792" i="5"/>
  <c r="I2792" i="5"/>
  <c r="L2791" i="5"/>
  <c r="K2791" i="5"/>
  <c r="I2791" i="5"/>
  <c r="L2790" i="5"/>
  <c r="K2790" i="5"/>
  <c r="I2790" i="5"/>
  <c r="L2789" i="5"/>
  <c r="K2789" i="5"/>
  <c r="I2789" i="5"/>
  <c r="L2788" i="5"/>
  <c r="K2788" i="5"/>
  <c r="I2788" i="5"/>
  <c r="L2787" i="5"/>
  <c r="K2787" i="5"/>
  <c r="I2787" i="5"/>
  <c r="L2786" i="5"/>
  <c r="K2786" i="5"/>
  <c r="I2786" i="5"/>
  <c r="L2785" i="5"/>
  <c r="K2785" i="5"/>
  <c r="I2785" i="5"/>
  <c r="L2784" i="5"/>
  <c r="K2784" i="5"/>
  <c r="I2784" i="5"/>
  <c r="L2783" i="5"/>
  <c r="K2783" i="5"/>
  <c r="I2783" i="5"/>
  <c r="L2782" i="5"/>
  <c r="K2782" i="5"/>
  <c r="I2782" i="5"/>
  <c r="L2781" i="5"/>
  <c r="K2781" i="5"/>
  <c r="I2781" i="5"/>
  <c r="L2780" i="5"/>
  <c r="K2780" i="5"/>
  <c r="I2780" i="5"/>
  <c r="L2779" i="5"/>
  <c r="K2779" i="5"/>
  <c r="I2779" i="5"/>
  <c r="L2778" i="5"/>
  <c r="K2778" i="5"/>
  <c r="I2778" i="5"/>
  <c r="L2777" i="5"/>
  <c r="K2777" i="5"/>
  <c r="I2777" i="5"/>
  <c r="L2776" i="5"/>
  <c r="K2776" i="5"/>
  <c r="I2776" i="5"/>
  <c r="L2775" i="5"/>
  <c r="K2775" i="5"/>
  <c r="I2775" i="5"/>
  <c r="L2774" i="5"/>
  <c r="K2774" i="5"/>
  <c r="I2774" i="5"/>
  <c r="L2773" i="5"/>
  <c r="K2773" i="5"/>
  <c r="I2773" i="5"/>
  <c r="L2772" i="5"/>
  <c r="K2772" i="5"/>
  <c r="I2772" i="5"/>
  <c r="L2771" i="5"/>
  <c r="K2771" i="5"/>
  <c r="I2771" i="5"/>
  <c r="L2770" i="5"/>
  <c r="K2770" i="5"/>
  <c r="I2770" i="5"/>
  <c r="L2769" i="5"/>
  <c r="K2769" i="5"/>
  <c r="I2769" i="5"/>
  <c r="L2768" i="5"/>
  <c r="K2768" i="5"/>
  <c r="I2768" i="5"/>
  <c r="L2767" i="5"/>
  <c r="K2767" i="5"/>
  <c r="I2767" i="5"/>
  <c r="L2766" i="5"/>
  <c r="K2766" i="5"/>
  <c r="I2766" i="5"/>
  <c r="L2765" i="5"/>
  <c r="K2765" i="5"/>
  <c r="I2765" i="5"/>
  <c r="L2764" i="5"/>
  <c r="K2764" i="5"/>
  <c r="I2764" i="5"/>
  <c r="L2763" i="5"/>
  <c r="K2763" i="5"/>
  <c r="I2763" i="5"/>
  <c r="L2762" i="5"/>
  <c r="K2762" i="5"/>
  <c r="I2762" i="5"/>
  <c r="L2761" i="5"/>
  <c r="K2761" i="5"/>
  <c r="I2761" i="5"/>
  <c r="L2760" i="5"/>
  <c r="K2760" i="5"/>
  <c r="I2760" i="5"/>
  <c r="L2759" i="5"/>
  <c r="K2759" i="5"/>
  <c r="I2759" i="5"/>
  <c r="L2758" i="5"/>
  <c r="K2758" i="5"/>
  <c r="I2758" i="5"/>
  <c r="L2757" i="5"/>
  <c r="K2757" i="5"/>
  <c r="I2757" i="5"/>
  <c r="L2756" i="5"/>
  <c r="K2756" i="5"/>
  <c r="I2756" i="5"/>
  <c r="L2755" i="5"/>
  <c r="K2755" i="5"/>
  <c r="I2755" i="5"/>
  <c r="L2754" i="5"/>
  <c r="K2754" i="5"/>
  <c r="I2754" i="5"/>
  <c r="L2753" i="5"/>
  <c r="K2753" i="5"/>
  <c r="I2753" i="5"/>
  <c r="L2752" i="5"/>
  <c r="K2752" i="5"/>
  <c r="I2752" i="5"/>
  <c r="L2751" i="5"/>
  <c r="K2751" i="5"/>
  <c r="I2751" i="5"/>
  <c r="L2750" i="5"/>
  <c r="K2750" i="5"/>
  <c r="I2750" i="5"/>
  <c r="L2749" i="5"/>
  <c r="K2749" i="5"/>
  <c r="I2749" i="5"/>
  <c r="L2748" i="5"/>
  <c r="K2748" i="5"/>
  <c r="I2748" i="5"/>
  <c r="L2747" i="5"/>
  <c r="K2747" i="5"/>
  <c r="I2747" i="5"/>
  <c r="L2746" i="5"/>
  <c r="K2746" i="5"/>
  <c r="I2746" i="5"/>
  <c r="L2745" i="5"/>
  <c r="K2745" i="5"/>
  <c r="I2745" i="5"/>
  <c r="L2744" i="5"/>
  <c r="K2744" i="5"/>
  <c r="I2744" i="5"/>
  <c r="L2743" i="5"/>
  <c r="K2743" i="5"/>
  <c r="I2743" i="5"/>
  <c r="L2742" i="5"/>
  <c r="K2742" i="5"/>
  <c r="I2742" i="5"/>
  <c r="L2741" i="5"/>
  <c r="K2741" i="5"/>
  <c r="I2741" i="5"/>
  <c r="L2740" i="5"/>
  <c r="K2740" i="5"/>
  <c r="I2740" i="5"/>
  <c r="L2739" i="5"/>
  <c r="K2739" i="5"/>
  <c r="I2739" i="5"/>
  <c r="L2738" i="5"/>
  <c r="K2738" i="5"/>
  <c r="I2738" i="5"/>
  <c r="L2737" i="5"/>
  <c r="K2737" i="5"/>
  <c r="I2737" i="5"/>
  <c r="L2736" i="5"/>
  <c r="K2736" i="5"/>
  <c r="I2736" i="5"/>
  <c r="L2735" i="5"/>
  <c r="K2735" i="5"/>
  <c r="I2735" i="5"/>
  <c r="L2734" i="5"/>
  <c r="K2734" i="5"/>
  <c r="I2734" i="5"/>
  <c r="L2733" i="5"/>
  <c r="K2733" i="5"/>
  <c r="I2733" i="5"/>
  <c r="L2732" i="5"/>
  <c r="K2732" i="5"/>
  <c r="I2732" i="5"/>
  <c r="L2731" i="5"/>
  <c r="K2731" i="5"/>
  <c r="I2731" i="5"/>
  <c r="L2730" i="5"/>
  <c r="K2730" i="5"/>
  <c r="I2730" i="5"/>
  <c r="L2729" i="5"/>
  <c r="K2729" i="5"/>
  <c r="I2729" i="5"/>
  <c r="L2728" i="5"/>
  <c r="K2728" i="5"/>
  <c r="I2728" i="5"/>
  <c r="L2727" i="5"/>
  <c r="K2727" i="5"/>
  <c r="I2727" i="5"/>
  <c r="L2726" i="5"/>
  <c r="K2726" i="5"/>
  <c r="I2726" i="5"/>
  <c r="L2725" i="5"/>
  <c r="K2725" i="5"/>
  <c r="I2725" i="5"/>
  <c r="L2724" i="5"/>
  <c r="K2724" i="5"/>
  <c r="I2724" i="5"/>
  <c r="L2723" i="5"/>
  <c r="K2723" i="5"/>
  <c r="I2723" i="5"/>
  <c r="L2722" i="5"/>
  <c r="K2722" i="5"/>
  <c r="I2722" i="5"/>
  <c r="L2721" i="5"/>
  <c r="K2721" i="5"/>
  <c r="I2721" i="5"/>
  <c r="L2720" i="5"/>
  <c r="K2720" i="5"/>
  <c r="I2720" i="5"/>
  <c r="L2719" i="5"/>
  <c r="K2719" i="5"/>
  <c r="I2719" i="5"/>
  <c r="L2718" i="5"/>
  <c r="K2718" i="5"/>
  <c r="I2718" i="5"/>
  <c r="L2717" i="5"/>
  <c r="K2717" i="5"/>
  <c r="I2717" i="5"/>
  <c r="L2716" i="5"/>
  <c r="K2716" i="5"/>
  <c r="I2716" i="5"/>
  <c r="L2715" i="5"/>
  <c r="K2715" i="5"/>
  <c r="I2715" i="5"/>
  <c r="L2714" i="5"/>
  <c r="K2714" i="5"/>
  <c r="I2714" i="5"/>
  <c r="L2713" i="5"/>
  <c r="K2713" i="5"/>
  <c r="I2713" i="5"/>
  <c r="L2712" i="5"/>
  <c r="K2712" i="5"/>
  <c r="I2712" i="5"/>
  <c r="L2711" i="5"/>
  <c r="K2711" i="5"/>
  <c r="I2711" i="5"/>
  <c r="L2710" i="5"/>
  <c r="K2710" i="5"/>
  <c r="I2710" i="5"/>
  <c r="L2709" i="5"/>
  <c r="K2709" i="5"/>
  <c r="I2709" i="5"/>
  <c r="L2708" i="5"/>
  <c r="K2708" i="5"/>
  <c r="I2708" i="5"/>
  <c r="L2707" i="5"/>
  <c r="K2707" i="5"/>
  <c r="I2707" i="5"/>
  <c r="L2706" i="5"/>
  <c r="K2706" i="5"/>
  <c r="I2706" i="5"/>
  <c r="L2705" i="5"/>
  <c r="K2705" i="5"/>
  <c r="I2705" i="5"/>
  <c r="L2704" i="5"/>
  <c r="K2704" i="5"/>
  <c r="I2704" i="5"/>
  <c r="L2703" i="5"/>
  <c r="K2703" i="5"/>
  <c r="I2703" i="5"/>
  <c r="L2702" i="5"/>
  <c r="K2702" i="5"/>
  <c r="I2702" i="5"/>
  <c r="L2701" i="5"/>
  <c r="K2701" i="5"/>
  <c r="I2701" i="5"/>
  <c r="L2700" i="5"/>
  <c r="K2700" i="5"/>
  <c r="I2700" i="5"/>
  <c r="L2699" i="5"/>
  <c r="K2699" i="5"/>
  <c r="I2699" i="5"/>
  <c r="L2698" i="5"/>
  <c r="K2698" i="5"/>
  <c r="I2698" i="5"/>
  <c r="L2697" i="5"/>
  <c r="K2697" i="5"/>
  <c r="I2697" i="5"/>
  <c r="L2696" i="5"/>
  <c r="K2696" i="5"/>
  <c r="I2696" i="5"/>
  <c r="L2695" i="5"/>
  <c r="K2695" i="5"/>
  <c r="I2695" i="5"/>
  <c r="L2694" i="5"/>
  <c r="K2694" i="5"/>
  <c r="I2694" i="5"/>
  <c r="L2693" i="5"/>
  <c r="K2693" i="5"/>
  <c r="I2693" i="5"/>
  <c r="L2692" i="5"/>
  <c r="K2692" i="5"/>
  <c r="I2692" i="5"/>
  <c r="L2691" i="5"/>
  <c r="K2691" i="5"/>
  <c r="I2691" i="5"/>
  <c r="L2690" i="5"/>
  <c r="K2690" i="5"/>
  <c r="I2690" i="5"/>
  <c r="L2689" i="5"/>
  <c r="K2689" i="5"/>
  <c r="I2689" i="5"/>
  <c r="L2688" i="5"/>
  <c r="K2688" i="5"/>
  <c r="I2688" i="5"/>
  <c r="L2687" i="5"/>
  <c r="K2687" i="5"/>
  <c r="I2687" i="5"/>
  <c r="L2686" i="5"/>
  <c r="K2686" i="5"/>
  <c r="I2686" i="5"/>
  <c r="L2685" i="5"/>
  <c r="K2685" i="5"/>
  <c r="I2685" i="5"/>
  <c r="L2684" i="5"/>
  <c r="K2684" i="5"/>
  <c r="I2684" i="5"/>
  <c r="L2683" i="5"/>
  <c r="K2683" i="5"/>
  <c r="I2683" i="5"/>
  <c r="L2682" i="5"/>
  <c r="K2682" i="5"/>
  <c r="I2682" i="5"/>
  <c r="L2681" i="5"/>
  <c r="K2681" i="5"/>
  <c r="I2681" i="5"/>
  <c r="L2680" i="5"/>
  <c r="K2680" i="5"/>
  <c r="I2680" i="5"/>
  <c r="L2679" i="5"/>
  <c r="K2679" i="5"/>
  <c r="I2679" i="5"/>
  <c r="L2678" i="5"/>
  <c r="K2678" i="5"/>
  <c r="I2678" i="5"/>
  <c r="L2677" i="5"/>
  <c r="K2677" i="5"/>
  <c r="I2677" i="5"/>
  <c r="L2676" i="5"/>
  <c r="K2676" i="5"/>
  <c r="I2676" i="5"/>
  <c r="L2675" i="5"/>
  <c r="K2675" i="5"/>
  <c r="I2675" i="5"/>
  <c r="L2674" i="5"/>
  <c r="K2674" i="5"/>
  <c r="I2674" i="5"/>
  <c r="L2673" i="5"/>
  <c r="K2673" i="5"/>
  <c r="I2673" i="5"/>
  <c r="L2672" i="5"/>
  <c r="K2672" i="5"/>
  <c r="I2672" i="5"/>
  <c r="L2671" i="5"/>
  <c r="K2671" i="5"/>
  <c r="I2671" i="5"/>
  <c r="L2670" i="5"/>
  <c r="K2670" i="5"/>
  <c r="I2670" i="5"/>
  <c r="L2669" i="5"/>
  <c r="K2669" i="5"/>
  <c r="I2669" i="5"/>
  <c r="L2668" i="5"/>
  <c r="K2668" i="5"/>
  <c r="I2668" i="5"/>
  <c r="L2667" i="5"/>
  <c r="K2667" i="5"/>
  <c r="I2667" i="5"/>
  <c r="L2666" i="5"/>
  <c r="K2666" i="5"/>
  <c r="I2666" i="5"/>
  <c r="L2665" i="5"/>
  <c r="K2665" i="5"/>
  <c r="I2665" i="5"/>
  <c r="L2664" i="5"/>
  <c r="K2664" i="5"/>
  <c r="I2664" i="5"/>
  <c r="L2663" i="5"/>
  <c r="K2663" i="5"/>
  <c r="I2663" i="5"/>
  <c r="L2662" i="5"/>
  <c r="K2662" i="5"/>
  <c r="I2662" i="5"/>
  <c r="L2661" i="5"/>
  <c r="K2661" i="5"/>
  <c r="I2661" i="5"/>
  <c r="L2660" i="5"/>
  <c r="K2660" i="5"/>
  <c r="I2660" i="5"/>
  <c r="L2659" i="5"/>
  <c r="K2659" i="5"/>
  <c r="I2659" i="5"/>
  <c r="L2658" i="5"/>
  <c r="K2658" i="5"/>
  <c r="I2658" i="5"/>
  <c r="L2657" i="5"/>
  <c r="K2657" i="5"/>
  <c r="I2657" i="5"/>
  <c r="L2656" i="5"/>
  <c r="K2656" i="5"/>
  <c r="I2656" i="5"/>
  <c r="L2655" i="5"/>
  <c r="K2655" i="5"/>
  <c r="I2655" i="5"/>
  <c r="L2654" i="5"/>
  <c r="K2654" i="5"/>
  <c r="I2654" i="5"/>
  <c r="L2653" i="5"/>
  <c r="K2653" i="5"/>
  <c r="I2653" i="5"/>
  <c r="L2652" i="5"/>
  <c r="K2652" i="5"/>
  <c r="I2652" i="5"/>
  <c r="L2651" i="5"/>
  <c r="K2651" i="5"/>
  <c r="I2651" i="5"/>
  <c r="L2650" i="5"/>
  <c r="K2650" i="5"/>
  <c r="I2650" i="5"/>
  <c r="L2649" i="5"/>
  <c r="K2649" i="5"/>
  <c r="I2649" i="5"/>
  <c r="L2648" i="5"/>
  <c r="K2648" i="5"/>
  <c r="I2648" i="5"/>
  <c r="L2647" i="5"/>
  <c r="K2647" i="5"/>
  <c r="I2647" i="5"/>
  <c r="L2646" i="5"/>
  <c r="K2646" i="5"/>
  <c r="I2646" i="5"/>
  <c r="L2645" i="5"/>
  <c r="K2645" i="5"/>
  <c r="I2645" i="5"/>
  <c r="L2644" i="5"/>
  <c r="K2644" i="5"/>
  <c r="I2644" i="5"/>
  <c r="L2643" i="5"/>
  <c r="K2643" i="5"/>
  <c r="I2643" i="5"/>
  <c r="L2642" i="5"/>
  <c r="K2642" i="5"/>
  <c r="I2642" i="5"/>
  <c r="L2641" i="5"/>
  <c r="K2641" i="5"/>
  <c r="I2641" i="5"/>
  <c r="L2640" i="5"/>
  <c r="K2640" i="5"/>
  <c r="I2640" i="5"/>
  <c r="L2639" i="5"/>
  <c r="K2639" i="5"/>
  <c r="I2639" i="5"/>
  <c r="L2638" i="5"/>
  <c r="N2638" i="5" s="1"/>
  <c r="K2638" i="5"/>
  <c r="I2638" i="5"/>
  <c r="L2637" i="5"/>
  <c r="K2637" i="5"/>
  <c r="I2637" i="5"/>
  <c r="L2636" i="5"/>
  <c r="K2636" i="5"/>
  <c r="I2636" i="5"/>
  <c r="L2635" i="5"/>
  <c r="K2635" i="5"/>
  <c r="I2635" i="5"/>
  <c r="L2634" i="5"/>
  <c r="K2634" i="5"/>
  <c r="I2634" i="5"/>
  <c r="L2633" i="5"/>
  <c r="K2633" i="5"/>
  <c r="I2633" i="5"/>
  <c r="L2632" i="5"/>
  <c r="K2632" i="5"/>
  <c r="I2632" i="5"/>
  <c r="L2631" i="5"/>
  <c r="K2631" i="5"/>
  <c r="I2631" i="5"/>
  <c r="L2630" i="5"/>
  <c r="K2630" i="5"/>
  <c r="I2630" i="5"/>
  <c r="L2629" i="5"/>
  <c r="K2629" i="5"/>
  <c r="I2629" i="5"/>
  <c r="L2628" i="5"/>
  <c r="K2628" i="5"/>
  <c r="I2628" i="5"/>
  <c r="L2627" i="5"/>
  <c r="K2627" i="5"/>
  <c r="I2627" i="5"/>
  <c r="L2626" i="5"/>
  <c r="K2626" i="5"/>
  <c r="I2626" i="5"/>
  <c r="L2625" i="5"/>
  <c r="K2625" i="5"/>
  <c r="I2625" i="5"/>
  <c r="L2624" i="5"/>
  <c r="K2624" i="5"/>
  <c r="I2624" i="5"/>
  <c r="L2623" i="5"/>
  <c r="K2623" i="5"/>
  <c r="I2623" i="5"/>
  <c r="L2622" i="5"/>
  <c r="K2622" i="5"/>
  <c r="I2622" i="5"/>
  <c r="L2621" i="5"/>
  <c r="K2621" i="5"/>
  <c r="I2621" i="5"/>
  <c r="L2620" i="5"/>
  <c r="K2620" i="5"/>
  <c r="I2620" i="5"/>
  <c r="L2619" i="5"/>
  <c r="K2619" i="5"/>
  <c r="I2619" i="5"/>
  <c r="L2618" i="5"/>
  <c r="K2618" i="5"/>
  <c r="I2618" i="5"/>
  <c r="L2617" i="5"/>
  <c r="K2617" i="5"/>
  <c r="I2617" i="5"/>
  <c r="L2616" i="5"/>
  <c r="K2616" i="5"/>
  <c r="I2616" i="5"/>
  <c r="L2615" i="5"/>
  <c r="K2615" i="5"/>
  <c r="I2615" i="5"/>
  <c r="L2614" i="5"/>
  <c r="K2614" i="5"/>
  <c r="I2614" i="5"/>
  <c r="L2613" i="5"/>
  <c r="K2613" i="5"/>
  <c r="I2613" i="5"/>
  <c r="L2612" i="5"/>
  <c r="K2612" i="5"/>
  <c r="I2612" i="5"/>
  <c r="L2611" i="5"/>
  <c r="K2611" i="5"/>
  <c r="I2611" i="5"/>
  <c r="L2610" i="5"/>
  <c r="K2610" i="5"/>
  <c r="I2610" i="5"/>
  <c r="L2609" i="5"/>
  <c r="K2609" i="5"/>
  <c r="I2609" i="5"/>
  <c r="L2608" i="5"/>
  <c r="K2608" i="5"/>
  <c r="I2608" i="5"/>
  <c r="L2607" i="5"/>
  <c r="K2607" i="5"/>
  <c r="I2607" i="5"/>
  <c r="L2606" i="5"/>
  <c r="K2606" i="5"/>
  <c r="I2606" i="5"/>
  <c r="L2605" i="5"/>
  <c r="K2605" i="5"/>
  <c r="I2605" i="5"/>
  <c r="L2604" i="5"/>
  <c r="K2604" i="5"/>
  <c r="I2604" i="5"/>
  <c r="L2603" i="5"/>
  <c r="K2603" i="5"/>
  <c r="I2603" i="5"/>
  <c r="L2602" i="5"/>
  <c r="K2602" i="5"/>
  <c r="I2602" i="5"/>
  <c r="L2601" i="5"/>
  <c r="K2601" i="5"/>
  <c r="I2601" i="5"/>
  <c r="L2600" i="5"/>
  <c r="K2600" i="5"/>
  <c r="I2600" i="5"/>
  <c r="L2599" i="5"/>
  <c r="K2599" i="5"/>
  <c r="I2599" i="5"/>
  <c r="L2598" i="5"/>
  <c r="K2598" i="5"/>
  <c r="I2598" i="5"/>
  <c r="L2597" i="5"/>
  <c r="K2597" i="5"/>
  <c r="I2597" i="5"/>
  <c r="L2596" i="5"/>
  <c r="K2596" i="5"/>
  <c r="I2596" i="5"/>
  <c r="L2595" i="5"/>
  <c r="K2595" i="5"/>
  <c r="I2595" i="5"/>
  <c r="L2594" i="5"/>
  <c r="K2594" i="5"/>
  <c r="I2594" i="5"/>
  <c r="L2593" i="5"/>
  <c r="K2593" i="5"/>
  <c r="I2593" i="5"/>
  <c r="L2592" i="5"/>
  <c r="K2592" i="5"/>
  <c r="I2592" i="5"/>
  <c r="L2591" i="5"/>
  <c r="K2591" i="5"/>
  <c r="I2591" i="5"/>
  <c r="L2590" i="5"/>
  <c r="K2590" i="5"/>
  <c r="I2590" i="5"/>
  <c r="L2589" i="5"/>
  <c r="K2589" i="5"/>
  <c r="I2589" i="5"/>
  <c r="L2588" i="5"/>
  <c r="K2588" i="5"/>
  <c r="I2588" i="5"/>
  <c r="L2587" i="5"/>
  <c r="K2587" i="5"/>
  <c r="I2587" i="5"/>
  <c r="L2586" i="5"/>
  <c r="K2586" i="5"/>
  <c r="I2586" i="5"/>
  <c r="L2585" i="5"/>
  <c r="K2585" i="5"/>
  <c r="I2585" i="5"/>
  <c r="L2584" i="5"/>
  <c r="K2584" i="5"/>
  <c r="I2584" i="5"/>
  <c r="L2583" i="5"/>
  <c r="K2583" i="5"/>
  <c r="I2583" i="5"/>
  <c r="L2582" i="5"/>
  <c r="K2582" i="5"/>
  <c r="I2582" i="5"/>
  <c r="L2581" i="5"/>
  <c r="K2581" i="5"/>
  <c r="I2581" i="5"/>
  <c r="L2580" i="5"/>
  <c r="K2580" i="5"/>
  <c r="I2580" i="5"/>
  <c r="L2579" i="5"/>
  <c r="K2579" i="5"/>
  <c r="I2579" i="5"/>
  <c r="L2578" i="5"/>
  <c r="K2578" i="5"/>
  <c r="I2578" i="5"/>
  <c r="L2577" i="5"/>
  <c r="K2577" i="5"/>
  <c r="I2577" i="5"/>
  <c r="L2576" i="5"/>
  <c r="K2576" i="5"/>
  <c r="I2576" i="5"/>
  <c r="L2575" i="5"/>
  <c r="K2575" i="5"/>
  <c r="I2575" i="5"/>
  <c r="L2574" i="5"/>
  <c r="K2574" i="5"/>
  <c r="I2574" i="5"/>
  <c r="L2573" i="5"/>
  <c r="K2573" i="5"/>
  <c r="I2573" i="5"/>
  <c r="L2572" i="5"/>
  <c r="K2572" i="5"/>
  <c r="I2572" i="5"/>
  <c r="L2571" i="5"/>
  <c r="K2571" i="5"/>
  <c r="I2571" i="5"/>
  <c r="L2570" i="5"/>
  <c r="K2570" i="5"/>
  <c r="I2570" i="5"/>
  <c r="L2569" i="5"/>
  <c r="K2569" i="5"/>
  <c r="I2569" i="5"/>
  <c r="L2568" i="5"/>
  <c r="K2568" i="5"/>
  <c r="N2568" i="5" s="1"/>
  <c r="I2568" i="5"/>
  <c r="L2567" i="5"/>
  <c r="K2567" i="5"/>
  <c r="I2567" i="5"/>
  <c r="L2566" i="5"/>
  <c r="K2566" i="5"/>
  <c r="I2566" i="5"/>
  <c r="L2565" i="5"/>
  <c r="K2565" i="5"/>
  <c r="I2565" i="5"/>
  <c r="L2564" i="5"/>
  <c r="K2564" i="5"/>
  <c r="I2564" i="5"/>
  <c r="L2563" i="5"/>
  <c r="K2563" i="5"/>
  <c r="I2563" i="5"/>
  <c r="L2562" i="5"/>
  <c r="K2562" i="5"/>
  <c r="I2562" i="5"/>
  <c r="L2561" i="5"/>
  <c r="K2561" i="5"/>
  <c r="I2561" i="5"/>
  <c r="L2560" i="5"/>
  <c r="K2560" i="5"/>
  <c r="I2560" i="5"/>
  <c r="L2559" i="5"/>
  <c r="K2559" i="5"/>
  <c r="I2559" i="5"/>
  <c r="L2558" i="5"/>
  <c r="K2558" i="5"/>
  <c r="I2558" i="5"/>
  <c r="L2557" i="5"/>
  <c r="K2557" i="5"/>
  <c r="I2557" i="5"/>
  <c r="L2556" i="5"/>
  <c r="K2556" i="5"/>
  <c r="I2556" i="5"/>
  <c r="L2555" i="5"/>
  <c r="K2555" i="5"/>
  <c r="I2555" i="5"/>
  <c r="L2554" i="5"/>
  <c r="K2554" i="5"/>
  <c r="I2554" i="5"/>
  <c r="L2553" i="5"/>
  <c r="K2553" i="5"/>
  <c r="I2553" i="5"/>
  <c r="L2552" i="5"/>
  <c r="K2552" i="5"/>
  <c r="I2552" i="5"/>
  <c r="L2551" i="5"/>
  <c r="K2551" i="5"/>
  <c r="I2551" i="5"/>
  <c r="L2550" i="5"/>
  <c r="K2550" i="5"/>
  <c r="I2550" i="5"/>
  <c r="L2549" i="5"/>
  <c r="K2549" i="5"/>
  <c r="I2549" i="5"/>
  <c r="L2548" i="5"/>
  <c r="K2548" i="5"/>
  <c r="I2548" i="5"/>
  <c r="L2547" i="5"/>
  <c r="K2547" i="5"/>
  <c r="I2547" i="5"/>
  <c r="L2546" i="5"/>
  <c r="N2546" i="5" s="1"/>
  <c r="K2546" i="5"/>
  <c r="I2546" i="5"/>
  <c r="L2545" i="5"/>
  <c r="K2545" i="5"/>
  <c r="I2545" i="5"/>
  <c r="L2544" i="5"/>
  <c r="K2544" i="5"/>
  <c r="I2544" i="5"/>
  <c r="L2543" i="5"/>
  <c r="K2543" i="5"/>
  <c r="I2543" i="5"/>
  <c r="L2542" i="5"/>
  <c r="N2542" i="5" s="1"/>
  <c r="K2542" i="5"/>
  <c r="I2542" i="5"/>
  <c r="L2541" i="5"/>
  <c r="K2541" i="5"/>
  <c r="I2541" i="5"/>
  <c r="L2540" i="5"/>
  <c r="K2540" i="5"/>
  <c r="I2540" i="5"/>
  <c r="L2539" i="5"/>
  <c r="K2539" i="5"/>
  <c r="I2539" i="5"/>
  <c r="L2538" i="5"/>
  <c r="K2538" i="5"/>
  <c r="I2538" i="5"/>
  <c r="L2537" i="5"/>
  <c r="K2537" i="5"/>
  <c r="I2537" i="5"/>
  <c r="L2536" i="5"/>
  <c r="K2536" i="5"/>
  <c r="I2536" i="5"/>
  <c r="L2535" i="5"/>
  <c r="K2535" i="5"/>
  <c r="I2535" i="5"/>
  <c r="L2534" i="5"/>
  <c r="K2534" i="5"/>
  <c r="I2534" i="5"/>
  <c r="L2533" i="5"/>
  <c r="K2533" i="5"/>
  <c r="I2533" i="5"/>
  <c r="L2532" i="5"/>
  <c r="K2532" i="5"/>
  <c r="I2532" i="5"/>
  <c r="L2531" i="5"/>
  <c r="K2531" i="5"/>
  <c r="I2531" i="5"/>
  <c r="L2530" i="5"/>
  <c r="K2530" i="5"/>
  <c r="I2530" i="5"/>
  <c r="L2529" i="5"/>
  <c r="K2529" i="5"/>
  <c r="I2529" i="5"/>
  <c r="L2528" i="5"/>
  <c r="K2528" i="5"/>
  <c r="I2528" i="5"/>
  <c r="L2527" i="5"/>
  <c r="K2527" i="5"/>
  <c r="I2527" i="5"/>
  <c r="L2526" i="5"/>
  <c r="K2526" i="5"/>
  <c r="I2526" i="5"/>
  <c r="L2525" i="5"/>
  <c r="K2525" i="5"/>
  <c r="I2525" i="5"/>
  <c r="L2524" i="5"/>
  <c r="K2524" i="5"/>
  <c r="I2524" i="5"/>
  <c r="L2523" i="5"/>
  <c r="K2523" i="5"/>
  <c r="I2523" i="5"/>
  <c r="L2522" i="5"/>
  <c r="K2522" i="5"/>
  <c r="I2522" i="5"/>
  <c r="L2521" i="5"/>
  <c r="K2521" i="5"/>
  <c r="I2521" i="5"/>
  <c r="L2520" i="5"/>
  <c r="K2520" i="5"/>
  <c r="I2520" i="5"/>
  <c r="L2519" i="5"/>
  <c r="K2519" i="5"/>
  <c r="I2519" i="5"/>
  <c r="L2518" i="5"/>
  <c r="K2518" i="5"/>
  <c r="I2518" i="5"/>
  <c r="L2517" i="5"/>
  <c r="K2517" i="5"/>
  <c r="I2517" i="5"/>
  <c r="L2516" i="5"/>
  <c r="K2516" i="5"/>
  <c r="I2516" i="5"/>
  <c r="L2515" i="5"/>
  <c r="K2515" i="5"/>
  <c r="I2515" i="5"/>
  <c r="L2514" i="5"/>
  <c r="K2514" i="5"/>
  <c r="I2514" i="5"/>
  <c r="L2513" i="5"/>
  <c r="K2513" i="5"/>
  <c r="I2513" i="5"/>
  <c r="L2512" i="5"/>
  <c r="K2512" i="5"/>
  <c r="I2512" i="5"/>
  <c r="L2511" i="5"/>
  <c r="K2511" i="5"/>
  <c r="I2511" i="5"/>
  <c r="L2510" i="5"/>
  <c r="K2510" i="5"/>
  <c r="I2510" i="5"/>
  <c r="L2509" i="5"/>
  <c r="K2509" i="5"/>
  <c r="I2509" i="5"/>
  <c r="L2508" i="5"/>
  <c r="K2508" i="5"/>
  <c r="I2508" i="5"/>
  <c r="L2507" i="5"/>
  <c r="K2507" i="5"/>
  <c r="I2507" i="5"/>
  <c r="L2506" i="5"/>
  <c r="K2506" i="5"/>
  <c r="I2506" i="5"/>
  <c r="L2505" i="5"/>
  <c r="K2505" i="5"/>
  <c r="I2505" i="5"/>
  <c r="L2504" i="5"/>
  <c r="K2504" i="5"/>
  <c r="N2504" i="5" s="1"/>
  <c r="I2504" i="5"/>
  <c r="L2503" i="5"/>
  <c r="K2503" i="5"/>
  <c r="I2503" i="5"/>
  <c r="L2502" i="5"/>
  <c r="K2502" i="5"/>
  <c r="I2502" i="5"/>
  <c r="L2501" i="5"/>
  <c r="K2501" i="5"/>
  <c r="I2501" i="5"/>
  <c r="L2500" i="5"/>
  <c r="K2500" i="5"/>
  <c r="I2500" i="5"/>
  <c r="L2499" i="5"/>
  <c r="K2499" i="5"/>
  <c r="I2499" i="5"/>
  <c r="L2498" i="5"/>
  <c r="K2498" i="5"/>
  <c r="I2498" i="5"/>
  <c r="L2497" i="5"/>
  <c r="K2497" i="5"/>
  <c r="I2497" i="5"/>
  <c r="L2496" i="5"/>
  <c r="K2496" i="5"/>
  <c r="I2496" i="5"/>
  <c r="L2495" i="5"/>
  <c r="K2495" i="5"/>
  <c r="I2495" i="5"/>
  <c r="L2494" i="5"/>
  <c r="K2494" i="5"/>
  <c r="I2494" i="5"/>
  <c r="L2493" i="5"/>
  <c r="K2493" i="5"/>
  <c r="I2493" i="5"/>
  <c r="L2492" i="5"/>
  <c r="K2492" i="5"/>
  <c r="I2492" i="5"/>
  <c r="L2491" i="5"/>
  <c r="K2491" i="5"/>
  <c r="I2491" i="5"/>
  <c r="L2490" i="5"/>
  <c r="K2490" i="5"/>
  <c r="I2490" i="5"/>
  <c r="L2489" i="5"/>
  <c r="K2489" i="5"/>
  <c r="I2489" i="5"/>
  <c r="L2488" i="5"/>
  <c r="K2488" i="5"/>
  <c r="I2488" i="5"/>
  <c r="L2487" i="5"/>
  <c r="K2487" i="5"/>
  <c r="I2487" i="5"/>
  <c r="L2486" i="5"/>
  <c r="K2486" i="5"/>
  <c r="I2486" i="5"/>
  <c r="L2485" i="5"/>
  <c r="K2485" i="5"/>
  <c r="I2485" i="5"/>
  <c r="L2484" i="5"/>
  <c r="K2484" i="5"/>
  <c r="N2484" i="5" s="1"/>
  <c r="I2484" i="5"/>
  <c r="L2483" i="5"/>
  <c r="K2483" i="5"/>
  <c r="I2483" i="5"/>
  <c r="L2482" i="5"/>
  <c r="K2482" i="5"/>
  <c r="I2482" i="5"/>
  <c r="L2481" i="5"/>
  <c r="K2481" i="5"/>
  <c r="I2481" i="5"/>
  <c r="L2480" i="5"/>
  <c r="K2480" i="5"/>
  <c r="I2480" i="5"/>
  <c r="L2479" i="5"/>
  <c r="K2479" i="5"/>
  <c r="I2479" i="5"/>
  <c r="L2478" i="5"/>
  <c r="K2478" i="5"/>
  <c r="I2478" i="5"/>
  <c r="L2477" i="5"/>
  <c r="K2477" i="5"/>
  <c r="I2477" i="5"/>
  <c r="L2476" i="5"/>
  <c r="K2476" i="5"/>
  <c r="I2476" i="5"/>
  <c r="L2475" i="5"/>
  <c r="K2475" i="5"/>
  <c r="I2475" i="5"/>
  <c r="L2474" i="5"/>
  <c r="K2474" i="5"/>
  <c r="I2474" i="5"/>
  <c r="L2473" i="5"/>
  <c r="K2473" i="5"/>
  <c r="I2473" i="5"/>
  <c r="L2472" i="5"/>
  <c r="K2472" i="5"/>
  <c r="I2472" i="5"/>
  <c r="L2471" i="5"/>
  <c r="K2471" i="5"/>
  <c r="N2471" i="5" s="1"/>
  <c r="I2471" i="5"/>
  <c r="L2470" i="5"/>
  <c r="K2470" i="5"/>
  <c r="I2470" i="5"/>
  <c r="L2469" i="5"/>
  <c r="K2469" i="5"/>
  <c r="I2469" i="5"/>
  <c r="L2468" i="5"/>
  <c r="K2468" i="5"/>
  <c r="I2468" i="5"/>
  <c r="L2467" i="5"/>
  <c r="K2467" i="5"/>
  <c r="I2467" i="5"/>
  <c r="L2466" i="5"/>
  <c r="K2466" i="5"/>
  <c r="I2466" i="5"/>
  <c r="L2465" i="5"/>
  <c r="K2465" i="5"/>
  <c r="I2465" i="5"/>
  <c r="L2464" i="5"/>
  <c r="K2464" i="5"/>
  <c r="I2464" i="5"/>
  <c r="L2463" i="5"/>
  <c r="K2463" i="5"/>
  <c r="I2463" i="5"/>
  <c r="L2462" i="5"/>
  <c r="K2462" i="5"/>
  <c r="I2462" i="5"/>
  <c r="L2461" i="5"/>
  <c r="K2461" i="5"/>
  <c r="I2461" i="5"/>
  <c r="L2460" i="5"/>
  <c r="K2460" i="5"/>
  <c r="I2460" i="5"/>
  <c r="L2459" i="5"/>
  <c r="K2459" i="5"/>
  <c r="I2459" i="5"/>
  <c r="L2458" i="5"/>
  <c r="K2458" i="5"/>
  <c r="I2458" i="5"/>
  <c r="L2457" i="5"/>
  <c r="K2457" i="5"/>
  <c r="I2457" i="5"/>
  <c r="L2456" i="5"/>
  <c r="K2456" i="5"/>
  <c r="I2456" i="5"/>
  <c r="L2455" i="5"/>
  <c r="K2455" i="5"/>
  <c r="I2455" i="5"/>
  <c r="L2454" i="5"/>
  <c r="K2454" i="5"/>
  <c r="I2454" i="5"/>
  <c r="L2453" i="5"/>
  <c r="K2453" i="5"/>
  <c r="I2453" i="5"/>
  <c r="L2452" i="5"/>
  <c r="K2452" i="5"/>
  <c r="I2452" i="5"/>
  <c r="L2451" i="5"/>
  <c r="K2451" i="5"/>
  <c r="I2451" i="5"/>
  <c r="L2450" i="5"/>
  <c r="K2450" i="5"/>
  <c r="I2450" i="5"/>
  <c r="L2449" i="5"/>
  <c r="K2449" i="5"/>
  <c r="I2449" i="5"/>
  <c r="L2448" i="5"/>
  <c r="K2448" i="5"/>
  <c r="I2448" i="5"/>
  <c r="L2447" i="5"/>
  <c r="K2447" i="5"/>
  <c r="I2447" i="5"/>
  <c r="L2446" i="5"/>
  <c r="K2446" i="5"/>
  <c r="I2446" i="5"/>
  <c r="L2445" i="5"/>
  <c r="K2445" i="5"/>
  <c r="I2445" i="5"/>
  <c r="L2444" i="5"/>
  <c r="K2444" i="5"/>
  <c r="I2444" i="5"/>
  <c r="L2443" i="5"/>
  <c r="K2443" i="5"/>
  <c r="I2443" i="5"/>
  <c r="L2442" i="5"/>
  <c r="K2442" i="5"/>
  <c r="I2442" i="5"/>
  <c r="L2441" i="5"/>
  <c r="K2441" i="5"/>
  <c r="I2441" i="5"/>
  <c r="L2440" i="5"/>
  <c r="K2440" i="5"/>
  <c r="I2440" i="5"/>
  <c r="L2439" i="5"/>
  <c r="K2439" i="5"/>
  <c r="I2439" i="5"/>
  <c r="L2438" i="5"/>
  <c r="K2438" i="5"/>
  <c r="I2438" i="5"/>
  <c r="L2437" i="5"/>
  <c r="K2437" i="5"/>
  <c r="I2437" i="5"/>
  <c r="L2436" i="5"/>
  <c r="K2436" i="5"/>
  <c r="I2436" i="5"/>
  <c r="L2435" i="5"/>
  <c r="K2435" i="5"/>
  <c r="I2435" i="5"/>
  <c r="L2434" i="5"/>
  <c r="K2434" i="5"/>
  <c r="I2434" i="5"/>
  <c r="L2433" i="5"/>
  <c r="K2433" i="5"/>
  <c r="N2433" i="5" s="1"/>
  <c r="I2433" i="5"/>
  <c r="L2432" i="5"/>
  <c r="K2432" i="5"/>
  <c r="I2432" i="5"/>
  <c r="L2431" i="5"/>
  <c r="K2431" i="5"/>
  <c r="I2431" i="5"/>
  <c r="L2430" i="5"/>
  <c r="K2430" i="5"/>
  <c r="I2430" i="5"/>
  <c r="L2429" i="5"/>
  <c r="K2429" i="5"/>
  <c r="I2429" i="5"/>
  <c r="L2428" i="5"/>
  <c r="K2428" i="5"/>
  <c r="I2428" i="5"/>
  <c r="L2427" i="5"/>
  <c r="K2427" i="5"/>
  <c r="I2427" i="5"/>
  <c r="L2426" i="5"/>
  <c r="K2426" i="5"/>
  <c r="I2426" i="5"/>
  <c r="L2425" i="5"/>
  <c r="K2425" i="5"/>
  <c r="I2425" i="5"/>
  <c r="L2424" i="5"/>
  <c r="K2424" i="5"/>
  <c r="I2424" i="5"/>
  <c r="L2423" i="5"/>
  <c r="K2423" i="5"/>
  <c r="I2423" i="5"/>
  <c r="L2422" i="5"/>
  <c r="K2422" i="5"/>
  <c r="I2422" i="5"/>
  <c r="L2421" i="5"/>
  <c r="K2421" i="5"/>
  <c r="I2421" i="5"/>
  <c r="L2420" i="5"/>
  <c r="K2420" i="5"/>
  <c r="I2420" i="5"/>
  <c r="L2419" i="5"/>
  <c r="K2419" i="5"/>
  <c r="I2419" i="5"/>
  <c r="L2418" i="5"/>
  <c r="K2418" i="5"/>
  <c r="I2418" i="5"/>
  <c r="L2417" i="5"/>
  <c r="K2417" i="5"/>
  <c r="I2417" i="5"/>
  <c r="L2416" i="5"/>
  <c r="K2416" i="5"/>
  <c r="I2416" i="5"/>
  <c r="L2415" i="5"/>
  <c r="K2415" i="5"/>
  <c r="I2415" i="5"/>
  <c r="L2414" i="5"/>
  <c r="K2414" i="5"/>
  <c r="I2414" i="5"/>
  <c r="L2413" i="5"/>
  <c r="K2413" i="5"/>
  <c r="I2413" i="5"/>
  <c r="L2412" i="5"/>
  <c r="K2412" i="5"/>
  <c r="I2412" i="5"/>
  <c r="L2411" i="5"/>
  <c r="K2411" i="5"/>
  <c r="I2411" i="5"/>
  <c r="L2410" i="5"/>
  <c r="K2410" i="5"/>
  <c r="I2410" i="5"/>
  <c r="L2409" i="5"/>
  <c r="K2409" i="5"/>
  <c r="I2409" i="5"/>
  <c r="L2408" i="5"/>
  <c r="K2408" i="5"/>
  <c r="I2408" i="5"/>
  <c r="L2407" i="5"/>
  <c r="K2407" i="5"/>
  <c r="I2407" i="5"/>
  <c r="L2406" i="5"/>
  <c r="K2406" i="5"/>
  <c r="I2406" i="5"/>
  <c r="L2405" i="5"/>
  <c r="K2405" i="5"/>
  <c r="I2405" i="5"/>
  <c r="L2404" i="5"/>
  <c r="K2404" i="5"/>
  <c r="I2404" i="5"/>
  <c r="L2403" i="5"/>
  <c r="K2403" i="5"/>
  <c r="I2403" i="5"/>
  <c r="L2402" i="5"/>
  <c r="K2402" i="5"/>
  <c r="I2402" i="5"/>
  <c r="L2401" i="5"/>
  <c r="K2401" i="5"/>
  <c r="I2401" i="5"/>
  <c r="L2400" i="5"/>
  <c r="K2400" i="5"/>
  <c r="I2400" i="5"/>
  <c r="L2399" i="5"/>
  <c r="K2399" i="5"/>
  <c r="I2399" i="5"/>
  <c r="L2398" i="5"/>
  <c r="K2398" i="5"/>
  <c r="I2398" i="5"/>
  <c r="L2397" i="5"/>
  <c r="K2397" i="5"/>
  <c r="I2397" i="5"/>
  <c r="L2396" i="5"/>
  <c r="K2396" i="5"/>
  <c r="I2396" i="5"/>
  <c r="L2395" i="5"/>
  <c r="K2395" i="5"/>
  <c r="I2395" i="5"/>
  <c r="L2394" i="5"/>
  <c r="K2394" i="5"/>
  <c r="I2394" i="5"/>
  <c r="L2393" i="5"/>
  <c r="K2393" i="5"/>
  <c r="I2393" i="5"/>
  <c r="L2392" i="5"/>
  <c r="K2392" i="5"/>
  <c r="I2392" i="5"/>
  <c r="L2391" i="5"/>
  <c r="K2391" i="5"/>
  <c r="I2391" i="5"/>
  <c r="L2390" i="5"/>
  <c r="K2390" i="5"/>
  <c r="I2390" i="5"/>
  <c r="L2389" i="5"/>
  <c r="K2389" i="5"/>
  <c r="I2389" i="5"/>
  <c r="L2388" i="5"/>
  <c r="K2388" i="5"/>
  <c r="I2388" i="5"/>
  <c r="L2387" i="5"/>
  <c r="K2387" i="5"/>
  <c r="I2387" i="5"/>
  <c r="L2386" i="5"/>
  <c r="K2386" i="5"/>
  <c r="I2386" i="5"/>
  <c r="L2385" i="5"/>
  <c r="K2385" i="5"/>
  <c r="I2385" i="5"/>
  <c r="L2384" i="5"/>
  <c r="K2384" i="5"/>
  <c r="I2384" i="5"/>
  <c r="L2383" i="5"/>
  <c r="K2383" i="5"/>
  <c r="I2383" i="5"/>
  <c r="L2382" i="5"/>
  <c r="K2382" i="5"/>
  <c r="I2382" i="5"/>
  <c r="L2381" i="5"/>
  <c r="K2381" i="5"/>
  <c r="I2381" i="5"/>
  <c r="L2380" i="5"/>
  <c r="K2380" i="5"/>
  <c r="I2380" i="5"/>
  <c r="L2379" i="5"/>
  <c r="K2379" i="5"/>
  <c r="I2379" i="5"/>
  <c r="L2378" i="5"/>
  <c r="K2378" i="5"/>
  <c r="I2378" i="5"/>
  <c r="L2377" i="5"/>
  <c r="K2377" i="5"/>
  <c r="I2377" i="5"/>
  <c r="L2376" i="5"/>
  <c r="K2376" i="5"/>
  <c r="I2376" i="5"/>
  <c r="L2375" i="5"/>
  <c r="K2375" i="5"/>
  <c r="I2375" i="5"/>
  <c r="L2374" i="5"/>
  <c r="K2374" i="5"/>
  <c r="I2374" i="5"/>
  <c r="L2373" i="5"/>
  <c r="K2373" i="5"/>
  <c r="I2373" i="5"/>
  <c r="L2372" i="5"/>
  <c r="K2372" i="5"/>
  <c r="I2372" i="5"/>
  <c r="L2371" i="5"/>
  <c r="K2371" i="5"/>
  <c r="I2371" i="5"/>
  <c r="L2370" i="5"/>
  <c r="K2370" i="5"/>
  <c r="I2370" i="5"/>
  <c r="L2369" i="5"/>
  <c r="K2369" i="5"/>
  <c r="I2369" i="5"/>
  <c r="L2368" i="5"/>
  <c r="K2368" i="5"/>
  <c r="I2368" i="5"/>
  <c r="L2367" i="5"/>
  <c r="K2367" i="5"/>
  <c r="I2367" i="5"/>
  <c r="L2366" i="5"/>
  <c r="K2366" i="5"/>
  <c r="I2366" i="5"/>
  <c r="L2365" i="5"/>
  <c r="K2365" i="5"/>
  <c r="I2365" i="5"/>
  <c r="L2364" i="5"/>
  <c r="K2364" i="5"/>
  <c r="I2364" i="5"/>
  <c r="L2363" i="5"/>
  <c r="K2363" i="5"/>
  <c r="I2363" i="5"/>
  <c r="L2362" i="5"/>
  <c r="K2362" i="5"/>
  <c r="I2362" i="5"/>
  <c r="L2361" i="5"/>
  <c r="K2361" i="5"/>
  <c r="I2361" i="5"/>
  <c r="L2360" i="5"/>
  <c r="K2360" i="5"/>
  <c r="I2360" i="5"/>
  <c r="L2359" i="5"/>
  <c r="K2359" i="5"/>
  <c r="I2359" i="5"/>
  <c r="L2358" i="5"/>
  <c r="K2358" i="5"/>
  <c r="I2358" i="5"/>
  <c r="L2357" i="5"/>
  <c r="K2357" i="5"/>
  <c r="I2357" i="5"/>
  <c r="L2356" i="5"/>
  <c r="K2356" i="5"/>
  <c r="I2356" i="5"/>
  <c r="L2355" i="5"/>
  <c r="K2355" i="5"/>
  <c r="I2355" i="5"/>
  <c r="L2354" i="5"/>
  <c r="K2354" i="5"/>
  <c r="I2354" i="5"/>
  <c r="L2353" i="5"/>
  <c r="K2353" i="5"/>
  <c r="I2353" i="5"/>
  <c r="L2352" i="5"/>
  <c r="K2352" i="5"/>
  <c r="I2352" i="5"/>
  <c r="L2351" i="5"/>
  <c r="K2351" i="5"/>
  <c r="I2351" i="5"/>
  <c r="L2350" i="5"/>
  <c r="K2350" i="5"/>
  <c r="I2350" i="5"/>
  <c r="L2349" i="5"/>
  <c r="K2349" i="5"/>
  <c r="I2349" i="5"/>
  <c r="L2348" i="5"/>
  <c r="K2348" i="5"/>
  <c r="I2348" i="5"/>
  <c r="L2347" i="5"/>
  <c r="K2347" i="5"/>
  <c r="I2347" i="5"/>
  <c r="L2346" i="5"/>
  <c r="K2346" i="5"/>
  <c r="I2346" i="5"/>
  <c r="L2345" i="5"/>
  <c r="K2345" i="5"/>
  <c r="I2345" i="5"/>
  <c r="L2344" i="5"/>
  <c r="K2344" i="5"/>
  <c r="I2344" i="5"/>
  <c r="L2343" i="5"/>
  <c r="K2343" i="5"/>
  <c r="I2343" i="5"/>
  <c r="L2342" i="5"/>
  <c r="K2342" i="5"/>
  <c r="I2342" i="5"/>
  <c r="L2341" i="5"/>
  <c r="K2341" i="5"/>
  <c r="I2341" i="5"/>
  <c r="L2340" i="5"/>
  <c r="K2340" i="5"/>
  <c r="I2340" i="5"/>
  <c r="L2339" i="5"/>
  <c r="K2339" i="5"/>
  <c r="I2339" i="5"/>
  <c r="L2338" i="5"/>
  <c r="K2338" i="5"/>
  <c r="I2338" i="5"/>
  <c r="L2337" i="5"/>
  <c r="K2337" i="5"/>
  <c r="I2337" i="5"/>
  <c r="L2336" i="5"/>
  <c r="K2336" i="5"/>
  <c r="I2336" i="5"/>
  <c r="L2335" i="5"/>
  <c r="K2335" i="5"/>
  <c r="I2335" i="5"/>
  <c r="L2334" i="5"/>
  <c r="K2334" i="5"/>
  <c r="I2334" i="5"/>
  <c r="L2333" i="5"/>
  <c r="K2333" i="5"/>
  <c r="I2333" i="5"/>
  <c r="L2332" i="5"/>
  <c r="K2332" i="5"/>
  <c r="I2332" i="5"/>
  <c r="L2331" i="5"/>
  <c r="K2331" i="5"/>
  <c r="I2331" i="5"/>
  <c r="L2330" i="5"/>
  <c r="K2330" i="5"/>
  <c r="I2330" i="5"/>
  <c r="L2329" i="5"/>
  <c r="K2329" i="5"/>
  <c r="I2329" i="5"/>
  <c r="L2328" i="5"/>
  <c r="K2328" i="5"/>
  <c r="I2328" i="5"/>
  <c r="L2327" i="5"/>
  <c r="K2327" i="5"/>
  <c r="I2327" i="5"/>
  <c r="L2326" i="5"/>
  <c r="K2326" i="5"/>
  <c r="I2326" i="5"/>
  <c r="L2325" i="5"/>
  <c r="K2325" i="5"/>
  <c r="I2325" i="5"/>
  <c r="L2324" i="5"/>
  <c r="K2324" i="5"/>
  <c r="I2324" i="5"/>
  <c r="L2323" i="5"/>
  <c r="K2323" i="5"/>
  <c r="I2323" i="5"/>
  <c r="L2322" i="5"/>
  <c r="K2322" i="5"/>
  <c r="I2322" i="5"/>
  <c r="L2321" i="5"/>
  <c r="K2321" i="5"/>
  <c r="I2321" i="5"/>
  <c r="L2320" i="5"/>
  <c r="K2320" i="5"/>
  <c r="I2320" i="5"/>
  <c r="L2319" i="5"/>
  <c r="K2319" i="5"/>
  <c r="I2319" i="5"/>
  <c r="L2318" i="5"/>
  <c r="K2318" i="5"/>
  <c r="I2318" i="5"/>
  <c r="L2317" i="5"/>
  <c r="K2317" i="5"/>
  <c r="I2317" i="5"/>
  <c r="L2316" i="5"/>
  <c r="K2316" i="5"/>
  <c r="I2316" i="5"/>
  <c r="L2315" i="5"/>
  <c r="K2315" i="5"/>
  <c r="I2315" i="5"/>
  <c r="L2314" i="5"/>
  <c r="K2314" i="5"/>
  <c r="I2314" i="5"/>
  <c r="L2313" i="5"/>
  <c r="K2313" i="5"/>
  <c r="I2313" i="5"/>
  <c r="L2312" i="5"/>
  <c r="K2312" i="5"/>
  <c r="I2312" i="5"/>
  <c r="L2311" i="5"/>
  <c r="K2311" i="5"/>
  <c r="I2311" i="5"/>
  <c r="L2310" i="5"/>
  <c r="K2310" i="5"/>
  <c r="I2310" i="5"/>
  <c r="L2309" i="5"/>
  <c r="K2309" i="5"/>
  <c r="I2309" i="5"/>
  <c r="L2308" i="5"/>
  <c r="K2308" i="5"/>
  <c r="I2308" i="5"/>
  <c r="L2307" i="5"/>
  <c r="K2307" i="5"/>
  <c r="I2307" i="5"/>
  <c r="L2306" i="5"/>
  <c r="K2306" i="5"/>
  <c r="I2306" i="5"/>
  <c r="L2305" i="5"/>
  <c r="K2305" i="5"/>
  <c r="I2305" i="5"/>
  <c r="L2304" i="5"/>
  <c r="K2304" i="5"/>
  <c r="I2304" i="5"/>
  <c r="L2303" i="5"/>
  <c r="K2303" i="5"/>
  <c r="I2303" i="5"/>
  <c r="L2302" i="5"/>
  <c r="K2302" i="5"/>
  <c r="I2302" i="5"/>
  <c r="L2301" i="5"/>
  <c r="K2301" i="5"/>
  <c r="I2301" i="5"/>
  <c r="L2300" i="5"/>
  <c r="K2300" i="5"/>
  <c r="I2300" i="5"/>
  <c r="L2299" i="5"/>
  <c r="K2299" i="5"/>
  <c r="I2299" i="5"/>
  <c r="L2298" i="5"/>
  <c r="K2298" i="5"/>
  <c r="I2298" i="5"/>
  <c r="L2297" i="5"/>
  <c r="K2297" i="5"/>
  <c r="I2297" i="5"/>
  <c r="L2296" i="5"/>
  <c r="K2296" i="5"/>
  <c r="I2296" i="5"/>
  <c r="L2295" i="5"/>
  <c r="K2295" i="5"/>
  <c r="I2295" i="5"/>
  <c r="L2294" i="5"/>
  <c r="K2294" i="5"/>
  <c r="I2294" i="5"/>
  <c r="L2293" i="5"/>
  <c r="K2293" i="5"/>
  <c r="I2293" i="5"/>
  <c r="L2292" i="5"/>
  <c r="K2292" i="5"/>
  <c r="I2292" i="5"/>
  <c r="L2291" i="5"/>
  <c r="K2291" i="5"/>
  <c r="I2291" i="5"/>
  <c r="L2290" i="5"/>
  <c r="K2290" i="5"/>
  <c r="I2290" i="5"/>
  <c r="L2289" i="5"/>
  <c r="N2289" i="5" s="1"/>
  <c r="K2289" i="5"/>
  <c r="I2289" i="5"/>
  <c r="L2288" i="5"/>
  <c r="K2288" i="5"/>
  <c r="I2288" i="5"/>
  <c r="L2287" i="5"/>
  <c r="K2287" i="5"/>
  <c r="I2287" i="5"/>
  <c r="L2286" i="5"/>
  <c r="K2286" i="5"/>
  <c r="I2286" i="5"/>
  <c r="L2285" i="5"/>
  <c r="K2285" i="5"/>
  <c r="I2285" i="5"/>
  <c r="L2284" i="5"/>
  <c r="K2284" i="5"/>
  <c r="I2284" i="5"/>
  <c r="L2283" i="5"/>
  <c r="K2283" i="5"/>
  <c r="I2283" i="5"/>
  <c r="L2282" i="5"/>
  <c r="K2282" i="5"/>
  <c r="I2282" i="5"/>
  <c r="L2281" i="5"/>
  <c r="K2281" i="5"/>
  <c r="I2281" i="5"/>
  <c r="L2280" i="5"/>
  <c r="K2280" i="5"/>
  <c r="I2280" i="5"/>
  <c r="L2279" i="5"/>
  <c r="K2279" i="5"/>
  <c r="I2279" i="5"/>
  <c r="L2278" i="5"/>
  <c r="K2278" i="5"/>
  <c r="I2278" i="5"/>
  <c r="L2277" i="5"/>
  <c r="K2277" i="5"/>
  <c r="I2277" i="5"/>
  <c r="L2276" i="5"/>
  <c r="K2276" i="5"/>
  <c r="I2276" i="5"/>
  <c r="L2275" i="5"/>
  <c r="K2275" i="5"/>
  <c r="I2275" i="5"/>
  <c r="L2274" i="5"/>
  <c r="K2274" i="5"/>
  <c r="I2274" i="5"/>
  <c r="L2273" i="5"/>
  <c r="K2273" i="5"/>
  <c r="I2273" i="5"/>
  <c r="L2272" i="5"/>
  <c r="K2272" i="5"/>
  <c r="I2272" i="5"/>
  <c r="L2271" i="5"/>
  <c r="K2271" i="5"/>
  <c r="I2271" i="5"/>
  <c r="L2270" i="5"/>
  <c r="K2270" i="5"/>
  <c r="I2270" i="5"/>
  <c r="L2269" i="5"/>
  <c r="K2269" i="5"/>
  <c r="I2269" i="5"/>
  <c r="L2268" i="5"/>
  <c r="K2268" i="5"/>
  <c r="I2268" i="5"/>
  <c r="L2267" i="5"/>
  <c r="K2267" i="5"/>
  <c r="I2267" i="5"/>
  <c r="L2266" i="5"/>
  <c r="K2266" i="5"/>
  <c r="I2266" i="5"/>
  <c r="L2265" i="5"/>
  <c r="K2265" i="5"/>
  <c r="I2265" i="5"/>
  <c r="L2264" i="5"/>
  <c r="K2264" i="5"/>
  <c r="I2264" i="5"/>
  <c r="L2263" i="5"/>
  <c r="K2263" i="5"/>
  <c r="I2263" i="5"/>
  <c r="L2262" i="5"/>
  <c r="K2262" i="5"/>
  <c r="I2262" i="5"/>
  <c r="L2261" i="5"/>
  <c r="K2261" i="5"/>
  <c r="I2261" i="5"/>
  <c r="L2260" i="5"/>
  <c r="K2260" i="5"/>
  <c r="I2260" i="5"/>
  <c r="L2259" i="5"/>
  <c r="K2259" i="5"/>
  <c r="I2259" i="5"/>
  <c r="L2258" i="5"/>
  <c r="K2258" i="5"/>
  <c r="I2258" i="5"/>
  <c r="L2257" i="5"/>
  <c r="K2257" i="5"/>
  <c r="I2257" i="5"/>
  <c r="L2256" i="5"/>
  <c r="K2256" i="5"/>
  <c r="I2256" i="5"/>
  <c r="L2255" i="5"/>
  <c r="K2255" i="5"/>
  <c r="I2255" i="5"/>
  <c r="L2254" i="5"/>
  <c r="K2254" i="5"/>
  <c r="I2254" i="5"/>
  <c r="L2253" i="5"/>
  <c r="K2253" i="5"/>
  <c r="I2253" i="5"/>
  <c r="L2252" i="5"/>
  <c r="K2252" i="5"/>
  <c r="I2252" i="5"/>
  <c r="L2251" i="5"/>
  <c r="K2251" i="5"/>
  <c r="I2251" i="5"/>
  <c r="L2250" i="5"/>
  <c r="K2250" i="5"/>
  <c r="I2250" i="5"/>
  <c r="L2249" i="5"/>
  <c r="K2249" i="5"/>
  <c r="I2249" i="5"/>
  <c r="L2248" i="5"/>
  <c r="K2248" i="5"/>
  <c r="I2248" i="5"/>
  <c r="L2247" i="5"/>
  <c r="K2247" i="5"/>
  <c r="I2247" i="5"/>
  <c r="L2246" i="5"/>
  <c r="K2246" i="5"/>
  <c r="I2246" i="5"/>
  <c r="L2245" i="5"/>
  <c r="K2245" i="5"/>
  <c r="I2245" i="5"/>
  <c r="L2244" i="5"/>
  <c r="K2244" i="5"/>
  <c r="I2244" i="5"/>
  <c r="L2243" i="5"/>
  <c r="K2243" i="5"/>
  <c r="I2243" i="5"/>
  <c r="L2242" i="5"/>
  <c r="K2242" i="5"/>
  <c r="I2242" i="5"/>
  <c r="L2241" i="5"/>
  <c r="K2241" i="5"/>
  <c r="I2241" i="5"/>
  <c r="L2240" i="5"/>
  <c r="K2240" i="5"/>
  <c r="I2240" i="5"/>
  <c r="L2239" i="5"/>
  <c r="K2239" i="5"/>
  <c r="I2239" i="5"/>
  <c r="L2238" i="5"/>
  <c r="K2238" i="5"/>
  <c r="I2238" i="5"/>
  <c r="L2237" i="5"/>
  <c r="K2237" i="5"/>
  <c r="I2237" i="5"/>
  <c r="L2236" i="5"/>
  <c r="K2236" i="5"/>
  <c r="I2236" i="5"/>
  <c r="L2235" i="5"/>
  <c r="K2235" i="5"/>
  <c r="I2235" i="5"/>
  <c r="L2234" i="5"/>
  <c r="K2234" i="5"/>
  <c r="I2234" i="5"/>
  <c r="L2233" i="5"/>
  <c r="K2233" i="5"/>
  <c r="I2233" i="5"/>
  <c r="L2232" i="5"/>
  <c r="K2232" i="5"/>
  <c r="I2232" i="5"/>
  <c r="L2231" i="5"/>
  <c r="K2231" i="5"/>
  <c r="I2231" i="5"/>
  <c r="L2230" i="5"/>
  <c r="K2230" i="5"/>
  <c r="I2230" i="5"/>
  <c r="L2229" i="5"/>
  <c r="K2229" i="5"/>
  <c r="I2229" i="5"/>
  <c r="L2228" i="5"/>
  <c r="K2228" i="5"/>
  <c r="I2228" i="5"/>
  <c r="L2227" i="5"/>
  <c r="K2227" i="5"/>
  <c r="I2227" i="5"/>
  <c r="L2226" i="5"/>
  <c r="K2226" i="5"/>
  <c r="I2226" i="5"/>
  <c r="L2225" i="5"/>
  <c r="K2225" i="5"/>
  <c r="I2225" i="5"/>
  <c r="L2224" i="5"/>
  <c r="K2224" i="5"/>
  <c r="I2224" i="5"/>
  <c r="L2223" i="5"/>
  <c r="K2223" i="5"/>
  <c r="I2223" i="5"/>
  <c r="L2222" i="5"/>
  <c r="K2222" i="5"/>
  <c r="I2222" i="5"/>
  <c r="L2221" i="5"/>
  <c r="K2221" i="5"/>
  <c r="I2221" i="5"/>
  <c r="L2220" i="5"/>
  <c r="K2220" i="5"/>
  <c r="I2220" i="5"/>
  <c r="L2219" i="5"/>
  <c r="K2219" i="5"/>
  <c r="I2219" i="5"/>
  <c r="L2218" i="5"/>
  <c r="K2218" i="5"/>
  <c r="I2218" i="5"/>
  <c r="L2217" i="5"/>
  <c r="K2217" i="5"/>
  <c r="I2217" i="5"/>
  <c r="L2216" i="5"/>
  <c r="K2216" i="5"/>
  <c r="I2216" i="5"/>
  <c r="L2215" i="5"/>
  <c r="K2215" i="5"/>
  <c r="I2215" i="5"/>
  <c r="L2214" i="5"/>
  <c r="K2214" i="5"/>
  <c r="I2214" i="5"/>
  <c r="L2213" i="5"/>
  <c r="K2213" i="5"/>
  <c r="I2213" i="5"/>
  <c r="L2212" i="5"/>
  <c r="K2212" i="5"/>
  <c r="I2212" i="5"/>
  <c r="L2211" i="5"/>
  <c r="K2211" i="5"/>
  <c r="I2211" i="5"/>
  <c r="L2210" i="5"/>
  <c r="K2210" i="5"/>
  <c r="I2210" i="5"/>
  <c r="L2209" i="5"/>
  <c r="K2209" i="5"/>
  <c r="I2209" i="5"/>
  <c r="L2208" i="5"/>
  <c r="K2208" i="5"/>
  <c r="I2208" i="5"/>
  <c r="L2207" i="5"/>
  <c r="K2207" i="5"/>
  <c r="I2207" i="5"/>
  <c r="L2206" i="5"/>
  <c r="K2206" i="5"/>
  <c r="I2206" i="5"/>
  <c r="L2205" i="5"/>
  <c r="K2205" i="5"/>
  <c r="I2205" i="5"/>
  <c r="L2204" i="5"/>
  <c r="K2204" i="5"/>
  <c r="I2204" i="5"/>
  <c r="L2203" i="5"/>
  <c r="K2203" i="5"/>
  <c r="I2203" i="5"/>
  <c r="L2202" i="5"/>
  <c r="K2202" i="5"/>
  <c r="I2202" i="5"/>
  <c r="L2201" i="5"/>
  <c r="K2201" i="5"/>
  <c r="I2201" i="5"/>
  <c r="L2200" i="5"/>
  <c r="K2200" i="5"/>
  <c r="I2200" i="5"/>
  <c r="L2199" i="5"/>
  <c r="K2199" i="5"/>
  <c r="I2199" i="5"/>
  <c r="L2198" i="5"/>
  <c r="K2198" i="5"/>
  <c r="I2198" i="5"/>
  <c r="L2197" i="5"/>
  <c r="K2197" i="5"/>
  <c r="I2197" i="5"/>
  <c r="L2196" i="5"/>
  <c r="K2196" i="5"/>
  <c r="I2196" i="5"/>
  <c r="L2195" i="5"/>
  <c r="K2195" i="5"/>
  <c r="I2195" i="5"/>
  <c r="L2194" i="5"/>
  <c r="K2194" i="5"/>
  <c r="I2194" i="5"/>
  <c r="L2193" i="5"/>
  <c r="K2193" i="5"/>
  <c r="I2193" i="5"/>
  <c r="L2192" i="5"/>
  <c r="K2192" i="5"/>
  <c r="I2192" i="5"/>
  <c r="L2191" i="5"/>
  <c r="K2191" i="5"/>
  <c r="I2191" i="5"/>
  <c r="L2190" i="5"/>
  <c r="K2190" i="5"/>
  <c r="I2190" i="5"/>
  <c r="L2189" i="5"/>
  <c r="K2189" i="5"/>
  <c r="I2189" i="5"/>
  <c r="L2188" i="5"/>
  <c r="K2188" i="5"/>
  <c r="I2188" i="5"/>
  <c r="L2187" i="5"/>
  <c r="K2187" i="5"/>
  <c r="I2187" i="5"/>
  <c r="L2186" i="5"/>
  <c r="K2186" i="5"/>
  <c r="I2186" i="5"/>
  <c r="L2185" i="5"/>
  <c r="K2185" i="5"/>
  <c r="I2185" i="5"/>
  <c r="L2184" i="5"/>
  <c r="K2184" i="5"/>
  <c r="I2184" i="5"/>
  <c r="L2183" i="5"/>
  <c r="K2183" i="5"/>
  <c r="I2183" i="5"/>
  <c r="L2182" i="5"/>
  <c r="K2182" i="5"/>
  <c r="I2182" i="5"/>
  <c r="L2181" i="5"/>
  <c r="K2181" i="5"/>
  <c r="I2181" i="5"/>
  <c r="L2180" i="5"/>
  <c r="K2180" i="5"/>
  <c r="I2180" i="5"/>
  <c r="L2179" i="5"/>
  <c r="K2179" i="5"/>
  <c r="I2179" i="5"/>
  <c r="L2178" i="5"/>
  <c r="K2178" i="5"/>
  <c r="I2178" i="5"/>
  <c r="L2177" i="5"/>
  <c r="K2177" i="5"/>
  <c r="I2177" i="5"/>
  <c r="L2176" i="5"/>
  <c r="K2176" i="5"/>
  <c r="I2176" i="5"/>
  <c r="L2175" i="5"/>
  <c r="K2175" i="5"/>
  <c r="I2175" i="5"/>
  <c r="L2174" i="5"/>
  <c r="K2174" i="5"/>
  <c r="I2174" i="5"/>
  <c r="L2173" i="5"/>
  <c r="K2173" i="5"/>
  <c r="I2173" i="5"/>
  <c r="L2172" i="5"/>
  <c r="K2172" i="5"/>
  <c r="I2172" i="5"/>
  <c r="L2171" i="5"/>
  <c r="K2171" i="5"/>
  <c r="I2171" i="5"/>
  <c r="L2170" i="5"/>
  <c r="K2170" i="5"/>
  <c r="I2170" i="5"/>
  <c r="L2169" i="5"/>
  <c r="K2169" i="5"/>
  <c r="I2169" i="5"/>
  <c r="L2168" i="5"/>
  <c r="K2168" i="5"/>
  <c r="I2168" i="5"/>
  <c r="L2167" i="5"/>
  <c r="K2167" i="5"/>
  <c r="I2167" i="5"/>
  <c r="L2166" i="5"/>
  <c r="K2166" i="5"/>
  <c r="I2166" i="5"/>
  <c r="L2165" i="5"/>
  <c r="K2165" i="5"/>
  <c r="N2165" i="5" s="1"/>
  <c r="I2165" i="5"/>
  <c r="L2164" i="5"/>
  <c r="K2164" i="5"/>
  <c r="I2164" i="5"/>
  <c r="L2163" i="5"/>
  <c r="K2163" i="5"/>
  <c r="I2163" i="5"/>
  <c r="L2162" i="5"/>
  <c r="K2162" i="5"/>
  <c r="N2162" i="5" s="1"/>
  <c r="I2162" i="5"/>
  <c r="L2161" i="5"/>
  <c r="K2161" i="5"/>
  <c r="I2161" i="5"/>
  <c r="L2160" i="5"/>
  <c r="K2160" i="5"/>
  <c r="I2160" i="5"/>
  <c r="L2159" i="5"/>
  <c r="K2159" i="5"/>
  <c r="I2159" i="5"/>
  <c r="L2158" i="5"/>
  <c r="K2158" i="5"/>
  <c r="I2158" i="5"/>
  <c r="L2157" i="5"/>
  <c r="K2157" i="5"/>
  <c r="I2157" i="5"/>
  <c r="L2156" i="5"/>
  <c r="K2156" i="5"/>
  <c r="I2156" i="5"/>
  <c r="L2155" i="5"/>
  <c r="K2155" i="5"/>
  <c r="I2155" i="5"/>
  <c r="L2154" i="5"/>
  <c r="K2154" i="5"/>
  <c r="I2154" i="5"/>
  <c r="L2153" i="5"/>
  <c r="K2153" i="5"/>
  <c r="I2153" i="5"/>
  <c r="L2152" i="5"/>
  <c r="K2152" i="5"/>
  <c r="I2152" i="5"/>
  <c r="L2151" i="5"/>
  <c r="K2151" i="5"/>
  <c r="I2151" i="5"/>
  <c r="L2150" i="5"/>
  <c r="K2150" i="5"/>
  <c r="I2150" i="5"/>
  <c r="L2149" i="5"/>
  <c r="K2149" i="5"/>
  <c r="I2149" i="5"/>
  <c r="L2148" i="5"/>
  <c r="K2148" i="5"/>
  <c r="I2148" i="5"/>
  <c r="L2147" i="5"/>
  <c r="K2147" i="5"/>
  <c r="I2147" i="5"/>
  <c r="L2146" i="5"/>
  <c r="K2146" i="5"/>
  <c r="I2146" i="5"/>
  <c r="L2145" i="5"/>
  <c r="K2145" i="5"/>
  <c r="I2145" i="5"/>
  <c r="L2144" i="5"/>
  <c r="K2144" i="5"/>
  <c r="I2144" i="5"/>
  <c r="L2143" i="5"/>
  <c r="K2143" i="5"/>
  <c r="I2143" i="5"/>
  <c r="L2142" i="5"/>
  <c r="K2142" i="5"/>
  <c r="I2142" i="5"/>
  <c r="L2141" i="5"/>
  <c r="K2141" i="5"/>
  <c r="I2141" i="5"/>
  <c r="L2140" i="5"/>
  <c r="K2140" i="5"/>
  <c r="I2140" i="5"/>
  <c r="L2139" i="5"/>
  <c r="K2139" i="5"/>
  <c r="I2139" i="5"/>
  <c r="L2138" i="5"/>
  <c r="K2138" i="5"/>
  <c r="I2138" i="5"/>
  <c r="L2137" i="5"/>
  <c r="K2137" i="5"/>
  <c r="I2137" i="5"/>
  <c r="L2136" i="5"/>
  <c r="K2136" i="5"/>
  <c r="I2136" i="5"/>
  <c r="L2135" i="5"/>
  <c r="K2135" i="5"/>
  <c r="I2135" i="5"/>
  <c r="L2134" i="5"/>
  <c r="K2134" i="5"/>
  <c r="I2134" i="5"/>
  <c r="L2133" i="5"/>
  <c r="K2133" i="5"/>
  <c r="I2133" i="5"/>
  <c r="L2132" i="5"/>
  <c r="K2132" i="5"/>
  <c r="I2132" i="5"/>
  <c r="L2131" i="5"/>
  <c r="K2131" i="5"/>
  <c r="I2131" i="5"/>
  <c r="L2130" i="5"/>
  <c r="K2130" i="5"/>
  <c r="I2130" i="5"/>
  <c r="L2129" i="5"/>
  <c r="K2129" i="5"/>
  <c r="I2129" i="5"/>
  <c r="L2128" i="5"/>
  <c r="K2128" i="5"/>
  <c r="I2128" i="5"/>
  <c r="L2127" i="5"/>
  <c r="K2127" i="5"/>
  <c r="I2127" i="5"/>
  <c r="L2126" i="5"/>
  <c r="K2126" i="5"/>
  <c r="I2126" i="5"/>
  <c r="L2125" i="5"/>
  <c r="K2125" i="5"/>
  <c r="I2125" i="5"/>
  <c r="L2124" i="5"/>
  <c r="K2124" i="5"/>
  <c r="I2124" i="5"/>
  <c r="L2123" i="5"/>
  <c r="K2123" i="5"/>
  <c r="I2123" i="5"/>
  <c r="L2122" i="5"/>
  <c r="K2122" i="5"/>
  <c r="I2122" i="5"/>
  <c r="L2121" i="5"/>
  <c r="K2121" i="5"/>
  <c r="I2121" i="5"/>
  <c r="L2120" i="5"/>
  <c r="K2120" i="5"/>
  <c r="I2120" i="5"/>
  <c r="L2119" i="5"/>
  <c r="K2119" i="5"/>
  <c r="I2119" i="5"/>
  <c r="L2118" i="5"/>
  <c r="K2118" i="5"/>
  <c r="I2118" i="5"/>
  <c r="L2117" i="5"/>
  <c r="K2117" i="5"/>
  <c r="I2117" i="5"/>
  <c r="L2116" i="5"/>
  <c r="K2116" i="5"/>
  <c r="I2116" i="5"/>
  <c r="L2115" i="5"/>
  <c r="K2115" i="5"/>
  <c r="I2115" i="5"/>
  <c r="L2114" i="5"/>
  <c r="K2114" i="5"/>
  <c r="I2114" i="5"/>
  <c r="L2113" i="5"/>
  <c r="K2113" i="5"/>
  <c r="I2113" i="5"/>
  <c r="L2112" i="5"/>
  <c r="K2112" i="5"/>
  <c r="I2112" i="5"/>
  <c r="L2111" i="5"/>
  <c r="K2111" i="5"/>
  <c r="I2111" i="5"/>
  <c r="L2110" i="5"/>
  <c r="K2110" i="5"/>
  <c r="I2110" i="5"/>
  <c r="L2109" i="5"/>
  <c r="K2109" i="5"/>
  <c r="I2109" i="5"/>
  <c r="L2108" i="5"/>
  <c r="K2108" i="5"/>
  <c r="I2108" i="5"/>
  <c r="L2107" i="5"/>
  <c r="K2107" i="5"/>
  <c r="I2107" i="5"/>
  <c r="L2106" i="5"/>
  <c r="K2106" i="5"/>
  <c r="I2106" i="5"/>
  <c r="L2105" i="5"/>
  <c r="K2105" i="5"/>
  <c r="I2105" i="5"/>
  <c r="L2104" i="5"/>
  <c r="K2104" i="5"/>
  <c r="I2104" i="5"/>
  <c r="L2103" i="5"/>
  <c r="K2103" i="5"/>
  <c r="I2103" i="5"/>
  <c r="L2102" i="5"/>
  <c r="K2102" i="5"/>
  <c r="I2102" i="5"/>
  <c r="L2101" i="5"/>
  <c r="K2101" i="5"/>
  <c r="I2101" i="5"/>
  <c r="L2100" i="5"/>
  <c r="K2100" i="5"/>
  <c r="I2100" i="5"/>
  <c r="L2099" i="5"/>
  <c r="K2099" i="5"/>
  <c r="I2099" i="5"/>
  <c r="L2098" i="5"/>
  <c r="K2098" i="5"/>
  <c r="I2098" i="5"/>
  <c r="L2097" i="5"/>
  <c r="K2097" i="5"/>
  <c r="I2097" i="5"/>
  <c r="L2096" i="5"/>
  <c r="K2096" i="5"/>
  <c r="I2096" i="5"/>
  <c r="L2095" i="5"/>
  <c r="K2095" i="5"/>
  <c r="I2095" i="5"/>
  <c r="L2094" i="5"/>
  <c r="K2094" i="5"/>
  <c r="N2094" i="5" s="1"/>
  <c r="I2094" i="5"/>
  <c r="L2093" i="5"/>
  <c r="K2093" i="5"/>
  <c r="I2093" i="5"/>
  <c r="L2092" i="5"/>
  <c r="K2092" i="5"/>
  <c r="I2092" i="5"/>
  <c r="L2091" i="5"/>
  <c r="K2091" i="5"/>
  <c r="I2091" i="5"/>
  <c r="L2090" i="5"/>
  <c r="K2090" i="5"/>
  <c r="I2090" i="5"/>
  <c r="L2089" i="5"/>
  <c r="K2089" i="5"/>
  <c r="I2089" i="5"/>
  <c r="L2088" i="5"/>
  <c r="K2088" i="5"/>
  <c r="I2088" i="5"/>
  <c r="L2087" i="5"/>
  <c r="K2087" i="5"/>
  <c r="I2087" i="5"/>
  <c r="L2086" i="5"/>
  <c r="K2086" i="5"/>
  <c r="I2086" i="5"/>
  <c r="L2085" i="5"/>
  <c r="K2085" i="5"/>
  <c r="I2085" i="5"/>
  <c r="L2084" i="5"/>
  <c r="K2084" i="5"/>
  <c r="I2084" i="5"/>
  <c r="L2083" i="5"/>
  <c r="K2083" i="5"/>
  <c r="I2083" i="5"/>
  <c r="L2082" i="5"/>
  <c r="K2082" i="5"/>
  <c r="I2082" i="5"/>
  <c r="L2081" i="5"/>
  <c r="K2081" i="5"/>
  <c r="I2081" i="5"/>
  <c r="L2080" i="5"/>
  <c r="K2080" i="5"/>
  <c r="I2080" i="5"/>
  <c r="L2079" i="5"/>
  <c r="K2079" i="5"/>
  <c r="I2079" i="5"/>
  <c r="L2078" i="5"/>
  <c r="K2078" i="5"/>
  <c r="I2078" i="5"/>
  <c r="L2077" i="5"/>
  <c r="K2077" i="5"/>
  <c r="I2077" i="5"/>
  <c r="L2076" i="5"/>
  <c r="K2076" i="5"/>
  <c r="I2076" i="5"/>
  <c r="L2075" i="5"/>
  <c r="K2075" i="5"/>
  <c r="I2075" i="5"/>
  <c r="L2074" i="5"/>
  <c r="K2074" i="5"/>
  <c r="I2074" i="5"/>
  <c r="L2073" i="5"/>
  <c r="K2073" i="5"/>
  <c r="I2073" i="5"/>
  <c r="L2072" i="5"/>
  <c r="K2072" i="5"/>
  <c r="I2072" i="5"/>
  <c r="L2071" i="5"/>
  <c r="K2071" i="5"/>
  <c r="I2071" i="5"/>
  <c r="L2070" i="5"/>
  <c r="K2070" i="5"/>
  <c r="I2070" i="5"/>
  <c r="L2069" i="5"/>
  <c r="K2069" i="5"/>
  <c r="I2069" i="5"/>
  <c r="L2068" i="5"/>
  <c r="K2068" i="5"/>
  <c r="I2068" i="5"/>
  <c r="L2067" i="5"/>
  <c r="K2067" i="5"/>
  <c r="I2067" i="5"/>
  <c r="L2066" i="5"/>
  <c r="K2066" i="5"/>
  <c r="I2066" i="5"/>
  <c r="L2065" i="5"/>
  <c r="K2065" i="5"/>
  <c r="I2065" i="5"/>
  <c r="L2064" i="5"/>
  <c r="K2064" i="5"/>
  <c r="I2064" i="5"/>
  <c r="L2063" i="5"/>
  <c r="K2063" i="5"/>
  <c r="I2063" i="5"/>
  <c r="L2062" i="5"/>
  <c r="K2062" i="5"/>
  <c r="I2062" i="5"/>
  <c r="L2061" i="5"/>
  <c r="K2061" i="5"/>
  <c r="I2061" i="5"/>
  <c r="L2060" i="5"/>
  <c r="K2060" i="5"/>
  <c r="I2060" i="5"/>
  <c r="L2059" i="5"/>
  <c r="K2059" i="5"/>
  <c r="I2059" i="5"/>
  <c r="L2058" i="5"/>
  <c r="K2058" i="5"/>
  <c r="I2058" i="5"/>
  <c r="L2057" i="5"/>
  <c r="K2057" i="5"/>
  <c r="I2057" i="5"/>
  <c r="L2056" i="5"/>
  <c r="K2056" i="5"/>
  <c r="I2056" i="5"/>
  <c r="L2055" i="5"/>
  <c r="K2055" i="5"/>
  <c r="I2055" i="5"/>
  <c r="L2054" i="5"/>
  <c r="K2054" i="5"/>
  <c r="I2054" i="5"/>
  <c r="L2053" i="5"/>
  <c r="K2053" i="5"/>
  <c r="I2053" i="5"/>
  <c r="L2052" i="5"/>
  <c r="K2052" i="5"/>
  <c r="I2052" i="5"/>
  <c r="L2051" i="5"/>
  <c r="K2051" i="5"/>
  <c r="I2051" i="5"/>
  <c r="L2050" i="5"/>
  <c r="K2050" i="5"/>
  <c r="I2050" i="5"/>
  <c r="L2049" i="5"/>
  <c r="K2049" i="5"/>
  <c r="I2049" i="5"/>
  <c r="L2048" i="5"/>
  <c r="K2048" i="5"/>
  <c r="I2048" i="5"/>
  <c r="L2047" i="5"/>
  <c r="K2047" i="5"/>
  <c r="I2047" i="5"/>
  <c r="L2046" i="5"/>
  <c r="K2046" i="5"/>
  <c r="I2046" i="5"/>
  <c r="L2045" i="5"/>
  <c r="K2045" i="5"/>
  <c r="I2045" i="5"/>
  <c r="L2044" i="5"/>
  <c r="K2044" i="5"/>
  <c r="I2044" i="5"/>
  <c r="L2043" i="5"/>
  <c r="K2043" i="5"/>
  <c r="I2043" i="5"/>
  <c r="L2042" i="5"/>
  <c r="K2042" i="5"/>
  <c r="I2042" i="5"/>
  <c r="L2041" i="5"/>
  <c r="K2041" i="5"/>
  <c r="I2041" i="5"/>
  <c r="L2040" i="5"/>
  <c r="K2040" i="5"/>
  <c r="I2040" i="5"/>
  <c r="L2039" i="5"/>
  <c r="K2039" i="5"/>
  <c r="I2039" i="5"/>
  <c r="L2038" i="5"/>
  <c r="K2038" i="5"/>
  <c r="N2038" i="5" s="1"/>
  <c r="I2038" i="5"/>
  <c r="L2037" i="5"/>
  <c r="K2037" i="5"/>
  <c r="I2037" i="5"/>
  <c r="L2036" i="5"/>
  <c r="K2036" i="5"/>
  <c r="I2036" i="5"/>
  <c r="L2035" i="5"/>
  <c r="K2035" i="5"/>
  <c r="I2035" i="5"/>
  <c r="L2034" i="5"/>
  <c r="K2034" i="5"/>
  <c r="I2034" i="5"/>
  <c r="L2033" i="5"/>
  <c r="K2033" i="5"/>
  <c r="I2033" i="5"/>
  <c r="L2032" i="5"/>
  <c r="K2032" i="5"/>
  <c r="I2032" i="5"/>
  <c r="L2031" i="5"/>
  <c r="K2031" i="5"/>
  <c r="I2031" i="5"/>
  <c r="L2030" i="5"/>
  <c r="K2030" i="5"/>
  <c r="I2030" i="5"/>
  <c r="L2029" i="5"/>
  <c r="K2029" i="5"/>
  <c r="I2029" i="5"/>
  <c r="L2028" i="5"/>
  <c r="K2028" i="5"/>
  <c r="I2028" i="5"/>
  <c r="L2027" i="5"/>
  <c r="K2027" i="5"/>
  <c r="I2027" i="5"/>
  <c r="L2026" i="5"/>
  <c r="K2026" i="5"/>
  <c r="I2026" i="5"/>
  <c r="L2025" i="5"/>
  <c r="K2025" i="5"/>
  <c r="I2025" i="5"/>
  <c r="L2024" i="5"/>
  <c r="K2024" i="5"/>
  <c r="I2024" i="5"/>
  <c r="L2023" i="5"/>
  <c r="K2023" i="5"/>
  <c r="I2023" i="5"/>
  <c r="L2022" i="5"/>
  <c r="K2022" i="5"/>
  <c r="I2022" i="5"/>
  <c r="L2021" i="5"/>
  <c r="K2021" i="5"/>
  <c r="I2021" i="5"/>
  <c r="L2020" i="5"/>
  <c r="K2020" i="5"/>
  <c r="I2020" i="5"/>
  <c r="L2019" i="5"/>
  <c r="K2019" i="5"/>
  <c r="I2019" i="5"/>
  <c r="L2018" i="5"/>
  <c r="K2018" i="5"/>
  <c r="N2018" i="5" s="1"/>
  <c r="I2018" i="5"/>
  <c r="L2017" i="5"/>
  <c r="K2017" i="5"/>
  <c r="I2017" i="5"/>
  <c r="L2016" i="5"/>
  <c r="K2016" i="5"/>
  <c r="I2016" i="5"/>
  <c r="L2015" i="5"/>
  <c r="K2015" i="5"/>
  <c r="I2015" i="5"/>
  <c r="L2014" i="5"/>
  <c r="K2014" i="5"/>
  <c r="I2014" i="5"/>
  <c r="L2013" i="5"/>
  <c r="K2013" i="5"/>
  <c r="I2013" i="5"/>
  <c r="L2012" i="5"/>
  <c r="K2012" i="5"/>
  <c r="I2012" i="5"/>
  <c r="L2011" i="5"/>
  <c r="K2011" i="5"/>
  <c r="I2011" i="5"/>
  <c r="L2010" i="5"/>
  <c r="K2010" i="5"/>
  <c r="I2010" i="5"/>
  <c r="L2009" i="5"/>
  <c r="K2009" i="5"/>
  <c r="I2009" i="5"/>
  <c r="L2008" i="5"/>
  <c r="K2008" i="5"/>
  <c r="I2008" i="5"/>
  <c r="L2007" i="5"/>
  <c r="K2007" i="5"/>
  <c r="I2007" i="5"/>
  <c r="L2006" i="5"/>
  <c r="K2006" i="5"/>
  <c r="I2006" i="5"/>
  <c r="L2005" i="5"/>
  <c r="K2005" i="5"/>
  <c r="I2005" i="5"/>
  <c r="L2004" i="5"/>
  <c r="K2004" i="5"/>
  <c r="I2004" i="5"/>
  <c r="L2003" i="5"/>
  <c r="K2003" i="5"/>
  <c r="I2003" i="5"/>
  <c r="L2002" i="5"/>
  <c r="K2002" i="5"/>
  <c r="I2002" i="5"/>
  <c r="L2001" i="5"/>
  <c r="K2001" i="5"/>
  <c r="I2001" i="5"/>
  <c r="L2000" i="5"/>
  <c r="K2000" i="5"/>
  <c r="I2000" i="5"/>
  <c r="L1999" i="5"/>
  <c r="K1999" i="5"/>
  <c r="I1999" i="5"/>
  <c r="L1998" i="5"/>
  <c r="K1998" i="5"/>
  <c r="N1998" i="5" s="1"/>
  <c r="I1998" i="5"/>
  <c r="L1997" i="5"/>
  <c r="K1997" i="5"/>
  <c r="I1997" i="5"/>
  <c r="L1996" i="5"/>
  <c r="K1996" i="5"/>
  <c r="I1996" i="5"/>
  <c r="L1995" i="5"/>
  <c r="K1995" i="5"/>
  <c r="I1995" i="5"/>
  <c r="L1994" i="5"/>
  <c r="K1994" i="5"/>
  <c r="I1994" i="5"/>
  <c r="L1993" i="5"/>
  <c r="K1993" i="5"/>
  <c r="I1993" i="5"/>
  <c r="L1992" i="5"/>
  <c r="K1992" i="5"/>
  <c r="I1992" i="5"/>
  <c r="L1991" i="5"/>
  <c r="K1991" i="5"/>
  <c r="I1991" i="5"/>
  <c r="L1990" i="5"/>
  <c r="K1990" i="5"/>
  <c r="I1990" i="5"/>
  <c r="L1989" i="5"/>
  <c r="K1989" i="5"/>
  <c r="I1989" i="5"/>
  <c r="L1988" i="5"/>
  <c r="K1988" i="5"/>
  <c r="I1988" i="5"/>
  <c r="L1987" i="5"/>
  <c r="K1987" i="5"/>
  <c r="I1987" i="5"/>
  <c r="L1986" i="5"/>
  <c r="K1986" i="5"/>
  <c r="I1986" i="5"/>
  <c r="L1985" i="5"/>
  <c r="K1985" i="5"/>
  <c r="I1985" i="5"/>
  <c r="L1984" i="5"/>
  <c r="K1984" i="5"/>
  <c r="I1984" i="5"/>
  <c r="L1983" i="5"/>
  <c r="K1983" i="5"/>
  <c r="I1983" i="5"/>
  <c r="L1982" i="5"/>
  <c r="K1982" i="5"/>
  <c r="I1982" i="5"/>
  <c r="L1981" i="5"/>
  <c r="K1981" i="5"/>
  <c r="I1981" i="5"/>
  <c r="L1980" i="5"/>
  <c r="K1980" i="5"/>
  <c r="I1980" i="5"/>
  <c r="L1979" i="5"/>
  <c r="K1979" i="5"/>
  <c r="I1979" i="5"/>
  <c r="L1978" i="5"/>
  <c r="K1978" i="5"/>
  <c r="N1978" i="5" s="1"/>
  <c r="I1978" i="5"/>
  <c r="L1977" i="5"/>
  <c r="K1977" i="5"/>
  <c r="I1977" i="5"/>
  <c r="L1976" i="5"/>
  <c r="K1976" i="5"/>
  <c r="I1976" i="5"/>
  <c r="L1975" i="5"/>
  <c r="K1975" i="5"/>
  <c r="I1975" i="5"/>
  <c r="L1974" i="5"/>
  <c r="K1974" i="5"/>
  <c r="I1974" i="5"/>
  <c r="L1973" i="5"/>
  <c r="K1973" i="5"/>
  <c r="I1973" i="5"/>
  <c r="L1972" i="5"/>
  <c r="K1972" i="5"/>
  <c r="I1972" i="5"/>
  <c r="L1971" i="5"/>
  <c r="K1971" i="5"/>
  <c r="I1971" i="5"/>
  <c r="L1970" i="5"/>
  <c r="K1970" i="5"/>
  <c r="I1970" i="5"/>
  <c r="L1969" i="5"/>
  <c r="K1969" i="5"/>
  <c r="I1969" i="5"/>
  <c r="L1968" i="5"/>
  <c r="K1968" i="5"/>
  <c r="I1968" i="5"/>
  <c r="L1967" i="5"/>
  <c r="K1967" i="5"/>
  <c r="I1967" i="5"/>
  <c r="L1966" i="5"/>
  <c r="K1966" i="5"/>
  <c r="I1966" i="5"/>
  <c r="L1965" i="5"/>
  <c r="K1965" i="5"/>
  <c r="I1965" i="5"/>
  <c r="L1964" i="5"/>
  <c r="K1964" i="5"/>
  <c r="I1964" i="5"/>
  <c r="L1963" i="5"/>
  <c r="K1963" i="5"/>
  <c r="I1963" i="5"/>
  <c r="L1962" i="5"/>
  <c r="K1962" i="5"/>
  <c r="I1962" i="5"/>
  <c r="L1961" i="5"/>
  <c r="K1961" i="5"/>
  <c r="I1961" i="5"/>
  <c r="L1960" i="5"/>
  <c r="K1960" i="5"/>
  <c r="I1960" i="5"/>
  <c r="L1959" i="5"/>
  <c r="K1959" i="5"/>
  <c r="I1959" i="5"/>
  <c r="L1958" i="5"/>
  <c r="K1958" i="5"/>
  <c r="I1958" i="5"/>
  <c r="L1957" i="5"/>
  <c r="K1957" i="5"/>
  <c r="I1957" i="5"/>
  <c r="L1956" i="5"/>
  <c r="K1956" i="5"/>
  <c r="I1956" i="5"/>
  <c r="L1955" i="5"/>
  <c r="K1955" i="5"/>
  <c r="I1955" i="5"/>
  <c r="L1954" i="5"/>
  <c r="K1954" i="5"/>
  <c r="I1954" i="5"/>
  <c r="L1953" i="5"/>
  <c r="K1953" i="5"/>
  <c r="I1953" i="5"/>
  <c r="L1952" i="5"/>
  <c r="K1952" i="5"/>
  <c r="I1952" i="5"/>
  <c r="L1951" i="5"/>
  <c r="K1951" i="5"/>
  <c r="I1951" i="5"/>
  <c r="L1950" i="5"/>
  <c r="K1950" i="5"/>
  <c r="I1950" i="5"/>
  <c r="L1949" i="5"/>
  <c r="K1949" i="5"/>
  <c r="I1949" i="5"/>
  <c r="L1948" i="5"/>
  <c r="K1948" i="5"/>
  <c r="I1948" i="5"/>
  <c r="L1947" i="5"/>
  <c r="K1947" i="5"/>
  <c r="I1947" i="5"/>
  <c r="L1946" i="5"/>
  <c r="K1946" i="5"/>
  <c r="I1946" i="5"/>
  <c r="L1945" i="5"/>
  <c r="K1945" i="5"/>
  <c r="I1945" i="5"/>
  <c r="L1944" i="5"/>
  <c r="K1944" i="5"/>
  <c r="I1944" i="5"/>
  <c r="L1943" i="5"/>
  <c r="K1943" i="5"/>
  <c r="I1943" i="5"/>
  <c r="L1942" i="5"/>
  <c r="K1942" i="5"/>
  <c r="I1942" i="5"/>
  <c r="L1941" i="5"/>
  <c r="K1941" i="5"/>
  <c r="I1941" i="5"/>
  <c r="L1940" i="5"/>
  <c r="K1940" i="5"/>
  <c r="I1940" i="5"/>
  <c r="L1939" i="5"/>
  <c r="K1939" i="5"/>
  <c r="I1939" i="5"/>
  <c r="L1938" i="5"/>
  <c r="K1938" i="5"/>
  <c r="I1938" i="5"/>
  <c r="L1937" i="5"/>
  <c r="K1937" i="5"/>
  <c r="I1937" i="5"/>
  <c r="L1936" i="5"/>
  <c r="K1936" i="5"/>
  <c r="I1936" i="5"/>
  <c r="L1935" i="5"/>
  <c r="K1935" i="5"/>
  <c r="I1935" i="5"/>
  <c r="L1934" i="5"/>
  <c r="K1934" i="5"/>
  <c r="I1934" i="5"/>
  <c r="L1933" i="5"/>
  <c r="K1933" i="5"/>
  <c r="I1933" i="5"/>
  <c r="L1932" i="5"/>
  <c r="K1932" i="5"/>
  <c r="I1932" i="5"/>
  <c r="L1931" i="5"/>
  <c r="K1931" i="5"/>
  <c r="I1931" i="5"/>
  <c r="L1930" i="5"/>
  <c r="K1930" i="5"/>
  <c r="I1930" i="5"/>
  <c r="L1929" i="5"/>
  <c r="K1929" i="5"/>
  <c r="I1929" i="5"/>
  <c r="L1928" i="5"/>
  <c r="K1928" i="5"/>
  <c r="I1928" i="5"/>
  <c r="L1927" i="5"/>
  <c r="K1927" i="5"/>
  <c r="I1927" i="5"/>
  <c r="L1926" i="5"/>
  <c r="K1926" i="5"/>
  <c r="I1926" i="5"/>
  <c r="L1925" i="5"/>
  <c r="K1925" i="5"/>
  <c r="I1925" i="5"/>
  <c r="L1924" i="5"/>
  <c r="K1924" i="5"/>
  <c r="I1924" i="5"/>
  <c r="L1923" i="5"/>
  <c r="K1923" i="5"/>
  <c r="I1923" i="5"/>
  <c r="L1922" i="5"/>
  <c r="K1922" i="5"/>
  <c r="I1922" i="5"/>
  <c r="L1921" i="5"/>
  <c r="K1921" i="5"/>
  <c r="I1921" i="5"/>
  <c r="L1920" i="5"/>
  <c r="K1920" i="5"/>
  <c r="I1920" i="5"/>
  <c r="L1919" i="5"/>
  <c r="K1919" i="5"/>
  <c r="I1919" i="5"/>
  <c r="L1918" i="5"/>
  <c r="K1918" i="5"/>
  <c r="I1918" i="5"/>
  <c r="L1917" i="5"/>
  <c r="K1917" i="5"/>
  <c r="I1917" i="5"/>
  <c r="L1916" i="5"/>
  <c r="K1916" i="5"/>
  <c r="I1916" i="5"/>
  <c r="L1915" i="5"/>
  <c r="K1915" i="5"/>
  <c r="I1915" i="5"/>
  <c r="L1914" i="5"/>
  <c r="K1914" i="5"/>
  <c r="I1914" i="5"/>
  <c r="L1913" i="5"/>
  <c r="K1913" i="5"/>
  <c r="I1913" i="5"/>
  <c r="L1912" i="5"/>
  <c r="K1912" i="5"/>
  <c r="I1912" i="5"/>
  <c r="L1911" i="5"/>
  <c r="K1911" i="5"/>
  <c r="I1911" i="5"/>
  <c r="L1910" i="5"/>
  <c r="K1910" i="5"/>
  <c r="I1910" i="5"/>
  <c r="L1909" i="5"/>
  <c r="K1909" i="5"/>
  <c r="I1909" i="5"/>
  <c r="L1908" i="5"/>
  <c r="K1908" i="5"/>
  <c r="I1908" i="5"/>
  <c r="L1907" i="5"/>
  <c r="K1907" i="5"/>
  <c r="I1907" i="5"/>
  <c r="L1906" i="5"/>
  <c r="K1906" i="5"/>
  <c r="I1906" i="5"/>
  <c r="L1905" i="5"/>
  <c r="K1905" i="5"/>
  <c r="I1905" i="5"/>
  <c r="L1904" i="5"/>
  <c r="K1904" i="5"/>
  <c r="I1904" i="5"/>
  <c r="L1903" i="5"/>
  <c r="K1903" i="5"/>
  <c r="I1903" i="5"/>
  <c r="L1902" i="5"/>
  <c r="K1902" i="5"/>
  <c r="I1902" i="5"/>
  <c r="L1901" i="5"/>
  <c r="K1901" i="5"/>
  <c r="I1901" i="5"/>
  <c r="L1900" i="5"/>
  <c r="K1900" i="5"/>
  <c r="I1900" i="5"/>
  <c r="L1899" i="5"/>
  <c r="K1899" i="5"/>
  <c r="I1899" i="5"/>
  <c r="L1898" i="5"/>
  <c r="K1898" i="5"/>
  <c r="I1898" i="5"/>
  <c r="L1897" i="5"/>
  <c r="K1897" i="5"/>
  <c r="I1897" i="5"/>
  <c r="L1896" i="5"/>
  <c r="K1896" i="5"/>
  <c r="I1896" i="5"/>
  <c r="L1895" i="5"/>
  <c r="K1895" i="5"/>
  <c r="I1895" i="5"/>
  <c r="L1894" i="5"/>
  <c r="K1894" i="5"/>
  <c r="I1894" i="5"/>
  <c r="L1893" i="5"/>
  <c r="K1893" i="5"/>
  <c r="I1893" i="5"/>
  <c r="L1892" i="5"/>
  <c r="K1892" i="5"/>
  <c r="I1892" i="5"/>
  <c r="L1891" i="5"/>
  <c r="K1891" i="5"/>
  <c r="I1891" i="5"/>
  <c r="L1890" i="5"/>
  <c r="K1890" i="5"/>
  <c r="I1890" i="5"/>
  <c r="L1889" i="5"/>
  <c r="K1889" i="5"/>
  <c r="I1889" i="5"/>
  <c r="L1888" i="5"/>
  <c r="K1888" i="5"/>
  <c r="I1888" i="5"/>
  <c r="L1887" i="5"/>
  <c r="K1887" i="5"/>
  <c r="I1887" i="5"/>
  <c r="L1886" i="5"/>
  <c r="K1886" i="5"/>
  <c r="I1886" i="5"/>
  <c r="L1885" i="5"/>
  <c r="K1885" i="5"/>
  <c r="I1885" i="5"/>
  <c r="L1884" i="5"/>
  <c r="K1884" i="5"/>
  <c r="I1884" i="5"/>
  <c r="L1883" i="5"/>
  <c r="K1883" i="5"/>
  <c r="I1883" i="5"/>
  <c r="L1882" i="5"/>
  <c r="K1882" i="5"/>
  <c r="I1882" i="5"/>
  <c r="L1881" i="5"/>
  <c r="K1881" i="5"/>
  <c r="I1881" i="5"/>
  <c r="L1880" i="5"/>
  <c r="K1880" i="5"/>
  <c r="I1880" i="5"/>
  <c r="L1879" i="5"/>
  <c r="K1879" i="5"/>
  <c r="I1879" i="5"/>
  <c r="L1878" i="5"/>
  <c r="K1878" i="5"/>
  <c r="I1878" i="5"/>
  <c r="L1877" i="5"/>
  <c r="K1877" i="5"/>
  <c r="I1877" i="5"/>
  <c r="L1876" i="5"/>
  <c r="K1876" i="5"/>
  <c r="I1876" i="5"/>
  <c r="L1875" i="5"/>
  <c r="K1875" i="5"/>
  <c r="I1875" i="5"/>
  <c r="L1874" i="5"/>
  <c r="K1874" i="5"/>
  <c r="I1874" i="5"/>
  <c r="L1873" i="5"/>
  <c r="K1873" i="5"/>
  <c r="I1873" i="5"/>
  <c r="L1872" i="5"/>
  <c r="K1872" i="5"/>
  <c r="I1872" i="5"/>
  <c r="L1871" i="5"/>
  <c r="K1871" i="5"/>
  <c r="I1871" i="5"/>
  <c r="L1870" i="5"/>
  <c r="K1870" i="5"/>
  <c r="I1870" i="5"/>
  <c r="L1869" i="5"/>
  <c r="K1869" i="5"/>
  <c r="I1869" i="5"/>
  <c r="L1868" i="5"/>
  <c r="K1868" i="5"/>
  <c r="I1868" i="5"/>
  <c r="L1867" i="5"/>
  <c r="K1867" i="5"/>
  <c r="I1867" i="5"/>
  <c r="L1866" i="5"/>
  <c r="K1866" i="5"/>
  <c r="I1866" i="5"/>
  <c r="L1865" i="5"/>
  <c r="K1865" i="5"/>
  <c r="I1865" i="5"/>
  <c r="L1864" i="5"/>
  <c r="K1864" i="5"/>
  <c r="I1864" i="5"/>
  <c r="L1863" i="5"/>
  <c r="K1863" i="5"/>
  <c r="I1863" i="5"/>
  <c r="L1862" i="5"/>
  <c r="K1862" i="5"/>
  <c r="I1862" i="5"/>
  <c r="L1861" i="5"/>
  <c r="K1861" i="5"/>
  <c r="I1861" i="5"/>
  <c r="L1860" i="5"/>
  <c r="K1860" i="5"/>
  <c r="I1860" i="5"/>
  <c r="L1859" i="5"/>
  <c r="K1859" i="5"/>
  <c r="I1859" i="5"/>
  <c r="L1858" i="5"/>
  <c r="K1858" i="5"/>
  <c r="I1858" i="5"/>
  <c r="L1857" i="5"/>
  <c r="K1857" i="5"/>
  <c r="I1857" i="5"/>
  <c r="L1856" i="5"/>
  <c r="K1856" i="5"/>
  <c r="I1856" i="5"/>
  <c r="L1855" i="5"/>
  <c r="K1855" i="5"/>
  <c r="I1855" i="5"/>
  <c r="L1854" i="5"/>
  <c r="K1854" i="5"/>
  <c r="I1854" i="5"/>
  <c r="L1853" i="5"/>
  <c r="K1853" i="5"/>
  <c r="I1853" i="5"/>
  <c r="L1852" i="5"/>
  <c r="K1852" i="5"/>
  <c r="I1852" i="5"/>
  <c r="L1851" i="5"/>
  <c r="K1851" i="5"/>
  <c r="I1851" i="5"/>
  <c r="L1850" i="5"/>
  <c r="K1850" i="5"/>
  <c r="I1850" i="5"/>
  <c r="L1849" i="5"/>
  <c r="K1849" i="5"/>
  <c r="I1849" i="5"/>
  <c r="L1848" i="5"/>
  <c r="K1848" i="5"/>
  <c r="I1848" i="5"/>
  <c r="L1847" i="5"/>
  <c r="K1847" i="5"/>
  <c r="I1847" i="5"/>
  <c r="L1846" i="5"/>
  <c r="K1846" i="5"/>
  <c r="I1846" i="5"/>
  <c r="L1845" i="5"/>
  <c r="K1845" i="5"/>
  <c r="I1845" i="5"/>
  <c r="L1844" i="5"/>
  <c r="K1844" i="5"/>
  <c r="I1844" i="5"/>
  <c r="L1843" i="5"/>
  <c r="K1843" i="5"/>
  <c r="I1843" i="5"/>
  <c r="L1842" i="5"/>
  <c r="K1842" i="5"/>
  <c r="I1842" i="5"/>
  <c r="L1841" i="5"/>
  <c r="K1841" i="5"/>
  <c r="I1841" i="5"/>
  <c r="L1840" i="5"/>
  <c r="K1840" i="5"/>
  <c r="I1840" i="5"/>
  <c r="L1839" i="5"/>
  <c r="K1839" i="5"/>
  <c r="I1839" i="5"/>
  <c r="L1838" i="5"/>
  <c r="K1838" i="5"/>
  <c r="I1838" i="5"/>
  <c r="L1837" i="5"/>
  <c r="K1837" i="5"/>
  <c r="I1837" i="5"/>
  <c r="L1836" i="5"/>
  <c r="K1836" i="5"/>
  <c r="I1836" i="5"/>
  <c r="L1835" i="5"/>
  <c r="K1835" i="5"/>
  <c r="I1835" i="5"/>
  <c r="L1834" i="5"/>
  <c r="K1834" i="5"/>
  <c r="I1834" i="5"/>
  <c r="L1833" i="5"/>
  <c r="K1833" i="5"/>
  <c r="I1833" i="5"/>
  <c r="L1832" i="5"/>
  <c r="K1832" i="5"/>
  <c r="I1832" i="5"/>
  <c r="L1831" i="5"/>
  <c r="K1831" i="5"/>
  <c r="I1831" i="5"/>
  <c r="L1830" i="5"/>
  <c r="K1830" i="5"/>
  <c r="I1830" i="5"/>
  <c r="L1829" i="5"/>
  <c r="K1829" i="5"/>
  <c r="I1829" i="5"/>
  <c r="L1828" i="5"/>
  <c r="K1828" i="5"/>
  <c r="I1828" i="5"/>
  <c r="L1827" i="5"/>
  <c r="K1827" i="5"/>
  <c r="I1827" i="5"/>
  <c r="L1826" i="5"/>
  <c r="K1826" i="5"/>
  <c r="I1826" i="5"/>
  <c r="L1825" i="5"/>
  <c r="K1825" i="5"/>
  <c r="I1825" i="5"/>
  <c r="L1824" i="5"/>
  <c r="K1824" i="5"/>
  <c r="I1824" i="5"/>
  <c r="L1823" i="5"/>
  <c r="K1823" i="5"/>
  <c r="I1823" i="5"/>
  <c r="L1822" i="5"/>
  <c r="K1822" i="5"/>
  <c r="I1822" i="5"/>
  <c r="L1821" i="5"/>
  <c r="K1821" i="5"/>
  <c r="I1821" i="5"/>
  <c r="L1820" i="5"/>
  <c r="K1820" i="5"/>
  <c r="I1820" i="5"/>
  <c r="L1819" i="5"/>
  <c r="K1819" i="5"/>
  <c r="I1819" i="5"/>
  <c r="L1818" i="5"/>
  <c r="K1818" i="5"/>
  <c r="I1818" i="5"/>
  <c r="L1817" i="5"/>
  <c r="K1817" i="5"/>
  <c r="I1817" i="5"/>
  <c r="L1816" i="5"/>
  <c r="K1816" i="5"/>
  <c r="N1816" i="5" s="1"/>
  <c r="I1816" i="5"/>
  <c r="L1815" i="5"/>
  <c r="K1815" i="5"/>
  <c r="I1815" i="5"/>
  <c r="L1814" i="5"/>
  <c r="K1814" i="5"/>
  <c r="I1814" i="5"/>
  <c r="L1813" i="5"/>
  <c r="K1813" i="5"/>
  <c r="I1813" i="5"/>
  <c r="L1812" i="5"/>
  <c r="K1812" i="5"/>
  <c r="I1812" i="5"/>
  <c r="L1811" i="5"/>
  <c r="K1811" i="5"/>
  <c r="I1811" i="5"/>
  <c r="L1810" i="5"/>
  <c r="K1810" i="5"/>
  <c r="I1810" i="5"/>
  <c r="L1809" i="5"/>
  <c r="K1809" i="5"/>
  <c r="I1809" i="5"/>
  <c r="L1808" i="5"/>
  <c r="K1808" i="5"/>
  <c r="I1808" i="5"/>
  <c r="L1807" i="5"/>
  <c r="K1807" i="5"/>
  <c r="I1807" i="5"/>
  <c r="L1806" i="5"/>
  <c r="K1806" i="5"/>
  <c r="I1806" i="5"/>
  <c r="L1805" i="5"/>
  <c r="K1805" i="5"/>
  <c r="I1805" i="5"/>
  <c r="L1804" i="5"/>
  <c r="K1804" i="5"/>
  <c r="I1804" i="5"/>
  <c r="L1803" i="5"/>
  <c r="K1803" i="5"/>
  <c r="I1803" i="5"/>
  <c r="L1802" i="5"/>
  <c r="K1802" i="5"/>
  <c r="I1802" i="5"/>
  <c r="L1801" i="5"/>
  <c r="K1801" i="5"/>
  <c r="I1801" i="5"/>
  <c r="L1800" i="5"/>
  <c r="K1800" i="5"/>
  <c r="I1800" i="5"/>
  <c r="L1799" i="5"/>
  <c r="K1799" i="5"/>
  <c r="I1799" i="5"/>
  <c r="L1798" i="5"/>
  <c r="K1798" i="5"/>
  <c r="I1798" i="5"/>
  <c r="L1797" i="5"/>
  <c r="K1797" i="5"/>
  <c r="I1797" i="5"/>
  <c r="L1796" i="5"/>
  <c r="K1796" i="5"/>
  <c r="I1796" i="5"/>
  <c r="L1795" i="5"/>
  <c r="K1795" i="5"/>
  <c r="I1795" i="5"/>
  <c r="L1794" i="5"/>
  <c r="K1794" i="5"/>
  <c r="I1794" i="5"/>
  <c r="L1793" i="5"/>
  <c r="K1793" i="5"/>
  <c r="I1793" i="5"/>
  <c r="L1792" i="5"/>
  <c r="K1792" i="5"/>
  <c r="I1792" i="5"/>
  <c r="L1791" i="5"/>
  <c r="K1791" i="5"/>
  <c r="I1791" i="5"/>
  <c r="L1790" i="5"/>
  <c r="K1790" i="5"/>
  <c r="I1790" i="5"/>
  <c r="L1789" i="5"/>
  <c r="K1789" i="5"/>
  <c r="I1789" i="5"/>
  <c r="L1788" i="5"/>
  <c r="K1788" i="5"/>
  <c r="I1788" i="5"/>
  <c r="L1787" i="5"/>
  <c r="K1787" i="5"/>
  <c r="I1787" i="5"/>
  <c r="L1786" i="5"/>
  <c r="K1786" i="5"/>
  <c r="I1786" i="5"/>
  <c r="L1785" i="5"/>
  <c r="K1785" i="5"/>
  <c r="I1785" i="5"/>
  <c r="L1784" i="5"/>
  <c r="K1784" i="5"/>
  <c r="I1784" i="5"/>
  <c r="L1783" i="5"/>
  <c r="K1783" i="5"/>
  <c r="I1783" i="5"/>
  <c r="L1782" i="5"/>
  <c r="K1782" i="5"/>
  <c r="I1782" i="5"/>
  <c r="L1781" i="5"/>
  <c r="K1781" i="5"/>
  <c r="I1781" i="5"/>
  <c r="L1780" i="5"/>
  <c r="K1780" i="5"/>
  <c r="I1780" i="5"/>
  <c r="L1779" i="5"/>
  <c r="K1779" i="5"/>
  <c r="I1779" i="5"/>
  <c r="L1778" i="5"/>
  <c r="K1778" i="5"/>
  <c r="I1778" i="5"/>
  <c r="L1777" i="5"/>
  <c r="K1777" i="5"/>
  <c r="I1777" i="5"/>
  <c r="L1776" i="5"/>
  <c r="K1776" i="5"/>
  <c r="I1776" i="5"/>
  <c r="L1775" i="5"/>
  <c r="K1775" i="5"/>
  <c r="I1775" i="5"/>
  <c r="L1774" i="5"/>
  <c r="K1774" i="5"/>
  <c r="I1774" i="5"/>
  <c r="L1773" i="5"/>
  <c r="K1773" i="5"/>
  <c r="I1773" i="5"/>
  <c r="L1772" i="5"/>
  <c r="K1772" i="5"/>
  <c r="I1772" i="5"/>
  <c r="L1771" i="5"/>
  <c r="K1771" i="5"/>
  <c r="I1771" i="5"/>
  <c r="L1770" i="5"/>
  <c r="K1770" i="5"/>
  <c r="I1770" i="5"/>
  <c r="L1769" i="5"/>
  <c r="K1769" i="5"/>
  <c r="I1769" i="5"/>
  <c r="L1768" i="5"/>
  <c r="K1768" i="5"/>
  <c r="I1768" i="5"/>
  <c r="L1767" i="5"/>
  <c r="K1767" i="5"/>
  <c r="I1767" i="5"/>
  <c r="L1766" i="5"/>
  <c r="K1766" i="5"/>
  <c r="I1766" i="5"/>
  <c r="L1765" i="5"/>
  <c r="K1765" i="5"/>
  <c r="I1765" i="5"/>
  <c r="L1764" i="5"/>
  <c r="K1764" i="5"/>
  <c r="I1764" i="5"/>
  <c r="L1763" i="5"/>
  <c r="K1763" i="5"/>
  <c r="I1763" i="5"/>
  <c r="L1762" i="5"/>
  <c r="K1762" i="5"/>
  <c r="I1762" i="5"/>
  <c r="L1761" i="5"/>
  <c r="K1761" i="5"/>
  <c r="I1761" i="5"/>
  <c r="L1760" i="5"/>
  <c r="K1760" i="5"/>
  <c r="I1760" i="5"/>
  <c r="L1759" i="5"/>
  <c r="K1759" i="5"/>
  <c r="I1759" i="5"/>
  <c r="L1758" i="5"/>
  <c r="K1758" i="5"/>
  <c r="I1758" i="5"/>
  <c r="L1757" i="5"/>
  <c r="K1757" i="5"/>
  <c r="I1757" i="5"/>
  <c r="L1756" i="5"/>
  <c r="K1756" i="5"/>
  <c r="I1756" i="5"/>
  <c r="L1755" i="5"/>
  <c r="K1755" i="5"/>
  <c r="I1755" i="5"/>
  <c r="L1754" i="5"/>
  <c r="K1754" i="5"/>
  <c r="I1754" i="5"/>
  <c r="L1753" i="5"/>
  <c r="K1753" i="5"/>
  <c r="I1753" i="5"/>
  <c r="L1752" i="5"/>
  <c r="K1752" i="5"/>
  <c r="I1752" i="5"/>
  <c r="L1751" i="5"/>
  <c r="K1751" i="5"/>
  <c r="I1751" i="5"/>
  <c r="L1750" i="5"/>
  <c r="K1750" i="5"/>
  <c r="I1750" i="5"/>
  <c r="L1749" i="5"/>
  <c r="K1749" i="5"/>
  <c r="I1749" i="5"/>
  <c r="L1748" i="5"/>
  <c r="K1748" i="5"/>
  <c r="I1748" i="5"/>
  <c r="L1747" i="5"/>
  <c r="K1747" i="5"/>
  <c r="I1747" i="5"/>
  <c r="L1746" i="5"/>
  <c r="K1746" i="5"/>
  <c r="I1746" i="5"/>
  <c r="L1745" i="5"/>
  <c r="K1745" i="5"/>
  <c r="I1745" i="5"/>
  <c r="L1744" i="5"/>
  <c r="K1744" i="5"/>
  <c r="I1744" i="5"/>
  <c r="L1743" i="5"/>
  <c r="K1743" i="5"/>
  <c r="I1743" i="5"/>
  <c r="L1742" i="5"/>
  <c r="K1742" i="5"/>
  <c r="I1742" i="5"/>
  <c r="L1741" i="5"/>
  <c r="K1741" i="5"/>
  <c r="N1741" i="5" s="1"/>
  <c r="I1741" i="5"/>
  <c r="L1740" i="5"/>
  <c r="K1740" i="5"/>
  <c r="I1740" i="5"/>
  <c r="L1739" i="5"/>
  <c r="K1739" i="5"/>
  <c r="I1739" i="5"/>
  <c r="L1738" i="5"/>
  <c r="K1738" i="5"/>
  <c r="I1738" i="5"/>
  <c r="L1737" i="5"/>
  <c r="K1737" i="5"/>
  <c r="I1737" i="5"/>
  <c r="L1736" i="5"/>
  <c r="K1736" i="5"/>
  <c r="I1736" i="5"/>
  <c r="L1735" i="5"/>
  <c r="K1735" i="5"/>
  <c r="I1735" i="5"/>
  <c r="L1734" i="5"/>
  <c r="K1734" i="5"/>
  <c r="I1734" i="5"/>
  <c r="L1733" i="5"/>
  <c r="K1733" i="5"/>
  <c r="I1733" i="5"/>
  <c r="L1732" i="5"/>
  <c r="K1732" i="5"/>
  <c r="I1732" i="5"/>
  <c r="L1731" i="5"/>
  <c r="K1731" i="5"/>
  <c r="I1731" i="5"/>
  <c r="L1730" i="5"/>
  <c r="K1730" i="5"/>
  <c r="I1730" i="5"/>
  <c r="L1729" i="5"/>
  <c r="K1729" i="5"/>
  <c r="I1729" i="5"/>
  <c r="L1728" i="5"/>
  <c r="K1728" i="5"/>
  <c r="I1728" i="5"/>
  <c r="L1727" i="5"/>
  <c r="K1727" i="5"/>
  <c r="I1727" i="5"/>
  <c r="L1726" i="5"/>
  <c r="K1726" i="5"/>
  <c r="N1726" i="5" s="1"/>
  <c r="I1726" i="5"/>
  <c r="L1725" i="5"/>
  <c r="K1725" i="5"/>
  <c r="I1725" i="5"/>
  <c r="L1724" i="5"/>
  <c r="K1724" i="5"/>
  <c r="I1724" i="5"/>
  <c r="L1723" i="5"/>
  <c r="K1723" i="5"/>
  <c r="I1723" i="5"/>
  <c r="L1722" i="5"/>
  <c r="K1722" i="5"/>
  <c r="I1722" i="5"/>
  <c r="L1721" i="5"/>
  <c r="K1721" i="5"/>
  <c r="I1721" i="5"/>
  <c r="L1720" i="5"/>
  <c r="K1720" i="5"/>
  <c r="I1720" i="5"/>
  <c r="L1719" i="5"/>
  <c r="K1719" i="5"/>
  <c r="I1719" i="5"/>
  <c r="L1718" i="5"/>
  <c r="K1718" i="5"/>
  <c r="I1718" i="5"/>
  <c r="L1717" i="5"/>
  <c r="K1717" i="5"/>
  <c r="I1717" i="5"/>
  <c r="L1716" i="5"/>
  <c r="K1716" i="5"/>
  <c r="I1716" i="5"/>
  <c r="L1715" i="5"/>
  <c r="K1715" i="5"/>
  <c r="I1715" i="5"/>
  <c r="L1714" i="5"/>
  <c r="K1714" i="5"/>
  <c r="I1714" i="5"/>
  <c r="L1713" i="5"/>
  <c r="K1713" i="5"/>
  <c r="I1713" i="5"/>
  <c r="L1712" i="5"/>
  <c r="K1712" i="5"/>
  <c r="I1712" i="5"/>
  <c r="L1711" i="5"/>
  <c r="K1711" i="5"/>
  <c r="I1711" i="5"/>
  <c r="L1710" i="5"/>
  <c r="K1710" i="5"/>
  <c r="I1710" i="5"/>
  <c r="L1709" i="5"/>
  <c r="K1709" i="5"/>
  <c r="I1709" i="5"/>
  <c r="L1708" i="5"/>
  <c r="K1708" i="5"/>
  <c r="I1708" i="5"/>
  <c r="L1707" i="5"/>
  <c r="K1707" i="5"/>
  <c r="I1707" i="5"/>
  <c r="L1706" i="5"/>
  <c r="K1706" i="5"/>
  <c r="I1706" i="5"/>
  <c r="L1705" i="5"/>
  <c r="K1705" i="5"/>
  <c r="I1705" i="5"/>
  <c r="L1704" i="5"/>
  <c r="K1704" i="5"/>
  <c r="I1704" i="5"/>
  <c r="L1703" i="5"/>
  <c r="K1703" i="5"/>
  <c r="I1703" i="5"/>
  <c r="L1702" i="5"/>
  <c r="K1702" i="5"/>
  <c r="I1702" i="5"/>
  <c r="L1701" i="5"/>
  <c r="K1701" i="5"/>
  <c r="I1701" i="5"/>
  <c r="L1700" i="5"/>
  <c r="K1700" i="5"/>
  <c r="I1700" i="5"/>
  <c r="L1699" i="5"/>
  <c r="K1699" i="5"/>
  <c r="I1699" i="5"/>
  <c r="L1698" i="5"/>
  <c r="K1698" i="5"/>
  <c r="I1698" i="5"/>
  <c r="L1697" i="5"/>
  <c r="K1697" i="5"/>
  <c r="I1697" i="5"/>
  <c r="L1696" i="5"/>
  <c r="K1696" i="5"/>
  <c r="I1696" i="5"/>
  <c r="L1695" i="5"/>
  <c r="K1695" i="5"/>
  <c r="I1695" i="5"/>
  <c r="L1694" i="5"/>
  <c r="K1694" i="5"/>
  <c r="I1694" i="5"/>
  <c r="L1693" i="5"/>
  <c r="K1693" i="5"/>
  <c r="I1693" i="5"/>
  <c r="L1692" i="5"/>
  <c r="K1692" i="5"/>
  <c r="I1692" i="5"/>
  <c r="L1691" i="5"/>
  <c r="K1691" i="5"/>
  <c r="I1691" i="5"/>
  <c r="L1690" i="5"/>
  <c r="K1690" i="5"/>
  <c r="I1690" i="5"/>
  <c r="L1689" i="5"/>
  <c r="K1689" i="5"/>
  <c r="I1689" i="5"/>
  <c r="L1688" i="5"/>
  <c r="K1688" i="5"/>
  <c r="I1688" i="5"/>
  <c r="L1687" i="5"/>
  <c r="K1687" i="5"/>
  <c r="I1687" i="5"/>
  <c r="L1686" i="5"/>
  <c r="K1686" i="5"/>
  <c r="I1686" i="5"/>
  <c r="L1685" i="5"/>
  <c r="K1685" i="5"/>
  <c r="I1685" i="5"/>
  <c r="L1684" i="5"/>
  <c r="K1684" i="5"/>
  <c r="I1684" i="5"/>
  <c r="L1683" i="5"/>
  <c r="K1683" i="5"/>
  <c r="I1683" i="5"/>
  <c r="L1682" i="5"/>
  <c r="K1682" i="5"/>
  <c r="I1682" i="5"/>
  <c r="L1681" i="5"/>
  <c r="K1681" i="5"/>
  <c r="I1681" i="5"/>
  <c r="L1680" i="5"/>
  <c r="K1680" i="5"/>
  <c r="I1680" i="5"/>
  <c r="L1679" i="5"/>
  <c r="K1679" i="5"/>
  <c r="I1679" i="5"/>
  <c r="L1678" i="5"/>
  <c r="K1678" i="5"/>
  <c r="I1678" i="5"/>
  <c r="L1677" i="5"/>
  <c r="K1677" i="5"/>
  <c r="I1677" i="5"/>
  <c r="L1676" i="5"/>
  <c r="K1676" i="5"/>
  <c r="I1676" i="5"/>
  <c r="L1675" i="5"/>
  <c r="K1675" i="5"/>
  <c r="I1675" i="5"/>
  <c r="L1674" i="5"/>
  <c r="K1674" i="5"/>
  <c r="I1674" i="5"/>
  <c r="L1673" i="5"/>
  <c r="K1673" i="5"/>
  <c r="I1673" i="5"/>
  <c r="L1672" i="5"/>
  <c r="K1672" i="5"/>
  <c r="I1672" i="5"/>
  <c r="L1671" i="5"/>
  <c r="K1671" i="5"/>
  <c r="I1671" i="5"/>
  <c r="L1670" i="5"/>
  <c r="K1670" i="5"/>
  <c r="I1670" i="5"/>
  <c r="L1669" i="5"/>
  <c r="K1669" i="5"/>
  <c r="I1669" i="5"/>
  <c r="L1668" i="5"/>
  <c r="K1668" i="5"/>
  <c r="I1668" i="5"/>
  <c r="L1667" i="5"/>
  <c r="K1667" i="5"/>
  <c r="I1667" i="5"/>
  <c r="L1666" i="5"/>
  <c r="K1666" i="5"/>
  <c r="I1666" i="5"/>
  <c r="L1665" i="5"/>
  <c r="K1665" i="5"/>
  <c r="I1665" i="5"/>
  <c r="L1664" i="5"/>
  <c r="K1664" i="5"/>
  <c r="I1664" i="5"/>
  <c r="L1663" i="5"/>
  <c r="K1663" i="5"/>
  <c r="I1663" i="5"/>
  <c r="L1662" i="5"/>
  <c r="K1662" i="5"/>
  <c r="I1662" i="5"/>
  <c r="L1661" i="5"/>
  <c r="K1661" i="5"/>
  <c r="I1661" i="5"/>
  <c r="L1660" i="5"/>
  <c r="K1660" i="5"/>
  <c r="I1660" i="5"/>
  <c r="L1659" i="5"/>
  <c r="K1659" i="5"/>
  <c r="I1659" i="5"/>
  <c r="L1658" i="5"/>
  <c r="K1658" i="5"/>
  <c r="I1658" i="5"/>
  <c r="L1657" i="5"/>
  <c r="K1657" i="5"/>
  <c r="N1657" i="5" s="1"/>
  <c r="I1657" i="5"/>
  <c r="L1656" i="5"/>
  <c r="K1656" i="5"/>
  <c r="I1656" i="5"/>
  <c r="L1655" i="5"/>
  <c r="K1655" i="5"/>
  <c r="I1655" i="5"/>
  <c r="L1654" i="5"/>
  <c r="K1654" i="5"/>
  <c r="I1654" i="5"/>
  <c r="L1653" i="5"/>
  <c r="K1653" i="5"/>
  <c r="I1653" i="5"/>
  <c r="L1652" i="5"/>
  <c r="K1652" i="5"/>
  <c r="I1652" i="5"/>
  <c r="L1651" i="5"/>
  <c r="K1651" i="5"/>
  <c r="I1651" i="5"/>
  <c r="L1650" i="5"/>
  <c r="K1650" i="5"/>
  <c r="I1650" i="5"/>
  <c r="L1649" i="5"/>
  <c r="K1649" i="5"/>
  <c r="I1649" i="5"/>
  <c r="L1648" i="5"/>
  <c r="K1648" i="5"/>
  <c r="I1648" i="5"/>
  <c r="L1647" i="5"/>
  <c r="K1647" i="5"/>
  <c r="I1647" i="5"/>
  <c r="L1646" i="5"/>
  <c r="K1646" i="5"/>
  <c r="I1646" i="5"/>
  <c r="L1645" i="5"/>
  <c r="K1645" i="5"/>
  <c r="I1645" i="5"/>
  <c r="L1644" i="5"/>
  <c r="K1644" i="5"/>
  <c r="I1644" i="5"/>
  <c r="L1643" i="5"/>
  <c r="K1643" i="5"/>
  <c r="I1643" i="5"/>
  <c r="L1642" i="5"/>
  <c r="K1642" i="5"/>
  <c r="I1642" i="5"/>
  <c r="L1641" i="5"/>
  <c r="K1641" i="5"/>
  <c r="I1641" i="5"/>
  <c r="L1640" i="5"/>
  <c r="K1640" i="5"/>
  <c r="I1640" i="5"/>
  <c r="L1639" i="5"/>
  <c r="K1639" i="5"/>
  <c r="I1639" i="5"/>
  <c r="L1638" i="5"/>
  <c r="K1638" i="5"/>
  <c r="I1638" i="5"/>
  <c r="L1637" i="5"/>
  <c r="K1637" i="5"/>
  <c r="I1637" i="5"/>
  <c r="L1636" i="5"/>
  <c r="K1636" i="5"/>
  <c r="I1636" i="5"/>
  <c r="L1635" i="5"/>
  <c r="K1635" i="5"/>
  <c r="I1635" i="5"/>
  <c r="L1634" i="5"/>
  <c r="K1634" i="5"/>
  <c r="I1634" i="5"/>
  <c r="L1633" i="5"/>
  <c r="K1633" i="5"/>
  <c r="I1633" i="5"/>
  <c r="L1632" i="5"/>
  <c r="K1632" i="5"/>
  <c r="I1632" i="5"/>
  <c r="L1631" i="5"/>
  <c r="K1631" i="5"/>
  <c r="I1631" i="5"/>
  <c r="L1630" i="5"/>
  <c r="K1630" i="5"/>
  <c r="I1630" i="5"/>
  <c r="L1629" i="5"/>
  <c r="K1629" i="5"/>
  <c r="I1629" i="5"/>
  <c r="L1628" i="5"/>
  <c r="K1628" i="5"/>
  <c r="I1628" i="5"/>
  <c r="L1627" i="5"/>
  <c r="K1627" i="5"/>
  <c r="I1627" i="5"/>
  <c r="L1626" i="5"/>
  <c r="K1626" i="5"/>
  <c r="I1626" i="5"/>
  <c r="L1625" i="5"/>
  <c r="K1625" i="5"/>
  <c r="I1625" i="5"/>
  <c r="L1624" i="5"/>
  <c r="K1624" i="5"/>
  <c r="I1624" i="5"/>
  <c r="L1623" i="5"/>
  <c r="K1623" i="5"/>
  <c r="I1623" i="5"/>
  <c r="L1622" i="5"/>
  <c r="K1622" i="5"/>
  <c r="I1622" i="5"/>
  <c r="L1621" i="5"/>
  <c r="K1621" i="5"/>
  <c r="I1621" i="5"/>
  <c r="L1620" i="5"/>
  <c r="K1620" i="5"/>
  <c r="I1620" i="5"/>
  <c r="L1619" i="5"/>
  <c r="K1619" i="5"/>
  <c r="I1619" i="5"/>
  <c r="L1618" i="5"/>
  <c r="K1618" i="5"/>
  <c r="I1618" i="5"/>
  <c r="L1617" i="5"/>
  <c r="K1617" i="5"/>
  <c r="I1617" i="5"/>
  <c r="L1616" i="5"/>
  <c r="K1616" i="5"/>
  <c r="I1616" i="5"/>
  <c r="L1615" i="5"/>
  <c r="K1615" i="5"/>
  <c r="I1615" i="5"/>
  <c r="L1614" i="5"/>
  <c r="K1614" i="5"/>
  <c r="I1614" i="5"/>
  <c r="L1613" i="5"/>
  <c r="K1613" i="5"/>
  <c r="I1613" i="5"/>
  <c r="L1612" i="5"/>
  <c r="K1612" i="5"/>
  <c r="I1612" i="5"/>
  <c r="L1611" i="5"/>
  <c r="K1611" i="5"/>
  <c r="I1611" i="5"/>
  <c r="L1610" i="5"/>
  <c r="K1610" i="5"/>
  <c r="I1610" i="5"/>
  <c r="L1609" i="5"/>
  <c r="K1609" i="5"/>
  <c r="I1609" i="5"/>
  <c r="L1608" i="5"/>
  <c r="K1608" i="5"/>
  <c r="I1608" i="5"/>
  <c r="L1607" i="5"/>
  <c r="K1607" i="5"/>
  <c r="I1607" i="5"/>
  <c r="L1606" i="5"/>
  <c r="K1606" i="5"/>
  <c r="I1606" i="5"/>
  <c r="L1605" i="5"/>
  <c r="K1605" i="5"/>
  <c r="I1605" i="5"/>
  <c r="L1604" i="5"/>
  <c r="K1604" i="5"/>
  <c r="I1604" i="5"/>
  <c r="L1603" i="5"/>
  <c r="K1603" i="5"/>
  <c r="I1603" i="5"/>
  <c r="L1602" i="5"/>
  <c r="K1602" i="5"/>
  <c r="I1602" i="5"/>
  <c r="L1601" i="5"/>
  <c r="K1601" i="5"/>
  <c r="I1601" i="5"/>
  <c r="L1600" i="5"/>
  <c r="K1600" i="5"/>
  <c r="I1600" i="5"/>
  <c r="L1599" i="5"/>
  <c r="K1599" i="5"/>
  <c r="I1599" i="5"/>
  <c r="L1598" i="5"/>
  <c r="K1598" i="5"/>
  <c r="I1598" i="5"/>
  <c r="L1597" i="5"/>
  <c r="K1597" i="5"/>
  <c r="I1597" i="5"/>
  <c r="L1596" i="5"/>
  <c r="K1596" i="5"/>
  <c r="I1596" i="5"/>
  <c r="L1595" i="5"/>
  <c r="K1595" i="5"/>
  <c r="I1595" i="5"/>
  <c r="L1594" i="5"/>
  <c r="K1594" i="5"/>
  <c r="I1594" i="5"/>
  <c r="L1593" i="5"/>
  <c r="K1593" i="5"/>
  <c r="I1593" i="5"/>
  <c r="L1592" i="5"/>
  <c r="K1592" i="5"/>
  <c r="I1592" i="5"/>
  <c r="L1591" i="5"/>
  <c r="K1591" i="5"/>
  <c r="I1591" i="5"/>
  <c r="L1590" i="5"/>
  <c r="K1590" i="5"/>
  <c r="I1590" i="5"/>
  <c r="L1589" i="5"/>
  <c r="K1589" i="5"/>
  <c r="I1589" i="5"/>
  <c r="L1588" i="5"/>
  <c r="K1588" i="5"/>
  <c r="I1588" i="5"/>
  <c r="L1587" i="5"/>
  <c r="K1587" i="5"/>
  <c r="I1587" i="5"/>
  <c r="L1586" i="5"/>
  <c r="K1586" i="5"/>
  <c r="I1586" i="5"/>
  <c r="L1585" i="5"/>
  <c r="K1585" i="5"/>
  <c r="I1585" i="5"/>
  <c r="L1584" i="5"/>
  <c r="K1584" i="5"/>
  <c r="I1584" i="5"/>
  <c r="L1583" i="5"/>
  <c r="K1583" i="5"/>
  <c r="I1583" i="5"/>
  <c r="L1582" i="5"/>
  <c r="K1582" i="5"/>
  <c r="I1582" i="5"/>
  <c r="L1581" i="5"/>
  <c r="K1581" i="5"/>
  <c r="I1581" i="5"/>
  <c r="L1580" i="5"/>
  <c r="K1580" i="5"/>
  <c r="I1580" i="5"/>
  <c r="L1579" i="5"/>
  <c r="K1579" i="5"/>
  <c r="I1579" i="5"/>
  <c r="L1578" i="5"/>
  <c r="K1578" i="5"/>
  <c r="I1578" i="5"/>
  <c r="L1577" i="5"/>
  <c r="K1577" i="5"/>
  <c r="I1577" i="5"/>
  <c r="L1576" i="5"/>
  <c r="K1576" i="5"/>
  <c r="I1576" i="5"/>
  <c r="L1575" i="5"/>
  <c r="K1575" i="5"/>
  <c r="I1575" i="5"/>
  <c r="L1574" i="5"/>
  <c r="K1574" i="5"/>
  <c r="I1574" i="5"/>
  <c r="L1573" i="5"/>
  <c r="K1573" i="5"/>
  <c r="I1573" i="5"/>
  <c r="L1572" i="5"/>
  <c r="K1572" i="5"/>
  <c r="I1572" i="5"/>
  <c r="L1571" i="5"/>
  <c r="K1571" i="5"/>
  <c r="I1571" i="5"/>
  <c r="L1570" i="5"/>
  <c r="K1570" i="5"/>
  <c r="I1570" i="5"/>
  <c r="L1569" i="5"/>
  <c r="K1569" i="5"/>
  <c r="I1569" i="5"/>
  <c r="L1568" i="5"/>
  <c r="K1568" i="5"/>
  <c r="I1568" i="5"/>
  <c r="L1567" i="5"/>
  <c r="K1567" i="5"/>
  <c r="I1567" i="5"/>
  <c r="L1566" i="5"/>
  <c r="K1566" i="5"/>
  <c r="I1566" i="5"/>
  <c r="L1565" i="5"/>
  <c r="K1565" i="5"/>
  <c r="I1565" i="5"/>
  <c r="L1564" i="5"/>
  <c r="K1564" i="5"/>
  <c r="I1564" i="5"/>
  <c r="L1563" i="5"/>
  <c r="K1563" i="5"/>
  <c r="I1563" i="5"/>
  <c r="L1562" i="5"/>
  <c r="K1562" i="5"/>
  <c r="I1562" i="5"/>
  <c r="L1561" i="5"/>
  <c r="K1561" i="5"/>
  <c r="I1561" i="5"/>
  <c r="L1560" i="5"/>
  <c r="K1560" i="5"/>
  <c r="I1560" i="5"/>
  <c r="L1559" i="5"/>
  <c r="K1559" i="5"/>
  <c r="I1559" i="5"/>
  <c r="L1558" i="5"/>
  <c r="K1558" i="5"/>
  <c r="I1558" i="5"/>
  <c r="L1557" i="5"/>
  <c r="K1557" i="5"/>
  <c r="I1557" i="5"/>
  <c r="L1556" i="5"/>
  <c r="K1556" i="5"/>
  <c r="I1556" i="5"/>
  <c r="L1555" i="5"/>
  <c r="K1555" i="5"/>
  <c r="I1555" i="5"/>
  <c r="L1554" i="5"/>
  <c r="K1554" i="5"/>
  <c r="I1554" i="5"/>
  <c r="L1553" i="5"/>
  <c r="K1553" i="5"/>
  <c r="I1553" i="5"/>
  <c r="L1552" i="5"/>
  <c r="K1552" i="5"/>
  <c r="I1552" i="5"/>
  <c r="L1551" i="5"/>
  <c r="K1551" i="5"/>
  <c r="I1551" i="5"/>
  <c r="L1550" i="5"/>
  <c r="K1550" i="5"/>
  <c r="I1550" i="5"/>
  <c r="L1549" i="5"/>
  <c r="K1549" i="5"/>
  <c r="I1549" i="5"/>
  <c r="L1548" i="5"/>
  <c r="K1548" i="5"/>
  <c r="I1548" i="5"/>
  <c r="L1547" i="5"/>
  <c r="K1547" i="5"/>
  <c r="I1547" i="5"/>
  <c r="L1546" i="5"/>
  <c r="K1546" i="5"/>
  <c r="I1546" i="5"/>
  <c r="L1545" i="5"/>
  <c r="K1545" i="5"/>
  <c r="I1545" i="5"/>
  <c r="L1544" i="5"/>
  <c r="K1544" i="5"/>
  <c r="I1544" i="5"/>
  <c r="L1543" i="5"/>
  <c r="K1543" i="5"/>
  <c r="I1543" i="5"/>
  <c r="L1542" i="5"/>
  <c r="K1542" i="5"/>
  <c r="I1542" i="5"/>
  <c r="L1541" i="5"/>
  <c r="K1541" i="5"/>
  <c r="I1541" i="5"/>
  <c r="L1540" i="5"/>
  <c r="K1540" i="5"/>
  <c r="I1540" i="5"/>
  <c r="L1539" i="5"/>
  <c r="K1539" i="5"/>
  <c r="I1539" i="5"/>
  <c r="L1538" i="5"/>
  <c r="K1538" i="5"/>
  <c r="I1538" i="5"/>
  <c r="L1537" i="5"/>
  <c r="K1537" i="5"/>
  <c r="I1537" i="5"/>
  <c r="L1536" i="5"/>
  <c r="K1536" i="5"/>
  <c r="I1536" i="5"/>
  <c r="L1535" i="5"/>
  <c r="K1535" i="5"/>
  <c r="I1535" i="5"/>
  <c r="L1534" i="5"/>
  <c r="K1534" i="5"/>
  <c r="I1534" i="5"/>
  <c r="L1533" i="5"/>
  <c r="K1533" i="5"/>
  <c r="I1533" i="5"/>
  <c r="L1532" i="5"/>
  <c r="K1532" i="5"/>
  <c r="I1532" i="5"/>
  <c r="L1531" i="5"/>
  <c r="K1531" i="5"/>
  <c r="I1531" i="5"/>
  <c r="L1530" i="5"/>
  <c r="K1530" i="5"/>
  <c r="I1530" i="5"/>
  <c r="L1529" i="5"/>
  <c r="K1529" i="5"/>
  <c r="I1529" i="5"/>
  <c r="L1528" i="5"/>
  <c r="K1528" i="5"/>
  <c r="I1528" i="5"/>
  <c r="L1527" i="5"/>
  <c r="K1527" i="5"/>
  <c r="I1527" i="5"/>
  <c r="L1526" i="5"/>
  <c r="K1526" i="5"/>
  <c r="I1526" i="5"/>
  <c r="L1525" i="5"/>
  <c r="K1525" i="5"/>
  <c r="I1525" i="5"/>
  <c r="L1524" i="5"/>
  <c r="K1524" i="5"/>
  <c r="I1524" i="5"/>
  <c r="L1523" i="5"/>
  <c r="K1523" i="5"/>
  <c r="I1523" i="5"/>
  <c r="L1522" i="5"/>
  <c r="K1522" i="5"/>
  <c r="I1522" i="5"/>
  <c r="L1521" i="5"/>
  <c r="K1521" i="5"/>
  <c r="I1521" i="5"/>
  <c r="L1520" i="5"/>
  <c r="K1520" i="5"/>
  <c r="I1520" i="5"/>
  <c r="L1519" i="5"/>
  <c r="K1519" i="5"/>
  <c r="I1519" i="5"/>
  <c r="L1518" i="5"/>
  <c r="K1518" i="5"/>
  <c r="I1518" i="5"/>
  <c r="L1517" i="5"/>
  <c r="K1517" i="5"/>
  <c r="I1517" i="5"/>
  <c r="L1516" i="5"/>
  <c r="K1516" i="5"/>
  <c r="I1516" i="5"/>
  <c r="L1515" i="5"/>
  <c r="K1515" i="5"/>
  <c r="I1515" i="5"/>
  <c r="L1514" i="5"/>
  <c r="K1514" i="5"/>
  <c r="I1514" i="5"/>
  <c r="L1513" i="5"/>
  <c r="K1513" i="5"/>
  <c r="I1513" i="5"/>
  <c r="L1512" i="5"/>
  <c r="K1512" i="5"/>
  <c r="I1512" i="5"/>
  <c r="L1511" i="5"/>
  <c r="K1511" i="5"/>
  <c r="I1511" i="5"/>
  <c r="L1510" i="5"/>
  <c r="K1510" i="5"/>
  <c r="I1510" i="5"/>
  <c r="L1509" i="5"/>
  <c r="K1509" i="5"/>
  <c r="N1509" i="5" s="1"/>
  <c r="I1509" i="5"/>
  <c r="L1508" i="5"/>
  <c r="K1508" i="5"/>
  <c r="I1508" i="5"/>
  <c r="L1507" i="5"/>
  <c r="K1507" i="5"/>
  <c r="I1507" i="5"/>
  <c r="L1506" i="5"/>
  <c r="K1506" i="5"/>
  <c r="I1506" i="5"/>
  <c r="L1505" i="5"/>
  <c r="K1505" i="5"/>
  <c r="I1505" i="5"/>
  <c r="L1504" i="5"/>
  <c r="K1504" i="5"/>
  <c r="I1504" i="5"/>
  <c r="L1503" i="5"/>
  <c r="K1503" i="5"/>
  <c r="I1503" i="5"/>
  <c r="L1502" i="5"/>
  <c r="K1502" i="5"/>
  <c r="N1502" i="5" s="1"/>
  <c r="I1502" i="5"/>
  <c r="L1501" i="5"/>
  <c r="K1501" i="5"/>
  <c r="I1501" i="5"/>
  <c r="L1500" i="5"/>
  <c r="K1500" i="5"/>
  <c r="I1500" i="5"/>
  <c r="L1499" i="5"/>
  <c r="K1499" i="5"/>
  <c r="I1499" i="5"/>
  <c r="L1498" i="5"/>
  <c r="K1498" i="5"/>
  <c r="I1498" i="5"/>
  <c r="L1497" i="5"/>
  <c r="K1497" i="5"/>
  <c r="I1497" i="5"/>
  <c r="L1496" i="5"/>
  <c r="K1496" i="5"/>
  <c r="I1496" i="5"/>
  <c r="L1495" i="5"/>
  <c r="K1495" i="5"/>
  <c r="I1495" i="5"/>
  <c r="L1494" i="5"/>
  <c r="K1494" i="5"/>
  <c r="I1494" i="5"/>
  <c r="L1493" i="5"/>
  <c r="K1493" i="5"/>
  <c r="I1493" i="5"/>
  <c r="L1492" i="5"/>
  <c r="K1492" i="5"/>
  <c r="I1492" i="5"/>
  <c r="L1491" i="5"/>
  <c r="K1491" i="5"/>
  <c r="I1491" i="5"/>
  <c r="L1490" i="5"/>
  <c r="K1490" i="5"/>
  <c r="I1490" i="5"/>
  <c r="L1489" i="5"/>
  <c r="K1489" i="5"/>
  <c r="I1489" i="5"/>
  <c r="L1488" i="5"/>
  <c r="K1488" i="5"/>
  <c r="I1488" i="5"/>
  <c r="L1487" i="5"/>
  <c r="K1487" i="5"/>
  <c r="I1487" i="5"/>
  <c r="L1486" i="5"/>
  <c r="K1486" i="5"/>
  <c r="I1486" i="5"/>
  <c r="L1485" i="5"/>
  <c r="K1485" i="5"/>
  <c r="I1485" i="5"/>
  <c r="L1484" i="5"/>
  <c r="K1484" i="5"/>
  <c r="I1484" i="5"/>
  <c r="L1483" i="5"/>
  <c r="K1483" i="5"/>
  <c r="I1483" i="5"/>
  <c r="L1482" i="5"/>
  <c r="K1482" i="5"/>
  <c r="I1482" i="5"/>
  <c r="L1481" i="5"/>
  <c r="K1481" i="5"/>
  <c r="I1481" i="5"/>
  <c r="L1480" i="5"/>
  <c r="K1480" i="5"/>
  <c r="I1480" i="5"/>
  <c r="L1479" i="5"/>
  <c r="K1479" i="5"/>
  <c r="I1479" i="5"/>
  <c r="L1478" i="5"/>
  <c r="K1478" i="5"/>
  <c r="I1478" i="5"/>
  <c r="L1477" i="5"/>
  <c r="K1477" i="5"/>
  <c r="I1477" i="5"/>
  <c r="L1476" i="5"/>
  <c r="K1476" i="5"/>
  <c r="I1476" i="5"/>
  <c r="L1475" i="5"/>
  <c r="K1475" i="5"/>
  <c r="I1475" i="5"/>
  <c r="L1474" i="5"/>
  <c r="K1474" i="5"/>
  <c r="I1474" i="5"/>
  <c r="L1473" i="5"/>
  <c r="K1473" i="5"/>
  <c r="I1473" i="5"/>
  <c r="L1472" i="5"/>
  <c r="K1472" i="5"/>
  <c r="I1472" i="5"/>
  <c r="L1471" i="5"/>
  <c r="K1471" i="5"/>
  <c r="I1471" i="5"/>
  <c r="L1470" i="5"/>
  <c r="K1470" i="5"/>
  <c r="I1470" i="5"/>
  <c r="L1469" i="5"/>
  <c r="K1469" i="5"/>
  <c r="I1469" i="5"/>
  <c r="L1468" i="5"/>
  <c r="K1468" i="5"/>
  <c r="I1468" i="5"/>
  <c r="L1467" i="5"/>
  <c r="K1467" i="5"/>
  <c r="I1467" i="5"/>
  <c r="L1466" i="5"/>
  <c r="K1466" i="5"/>
  <c r="I1466" i="5"/>
  <c r="L1465" i="5"/>
  <c r="K1465" i="5"/>
  <c r="I1465" i="5"/>
  <c r="L1464" i="5"/>
  <c r="K1464" i="5"/>
  <c r="I1464" i="5"/>
  <c r="L1463" i="5"/>
  <c r="K1463" i="5"/>
  <c r="I1463" i="5"/>
  <c r="L1462" i="5"/>
  <c r="K1462" i="5"/>
  <c r="I1462" i="5"/>
  <c r="L1461" i="5"/>
  <c r="K1461" i="5"/>
  <c r="I1461" i="5"/>
  <c r="L1460" i="5"/>
  <c r="K1460" i="5"/>
  <c r="I1460" i="5"/>
  <c r="L1459" i="5"/>
  <c r="K1459" i="5"/>
  <c r="I1459" i="5"/>
  <c r="L1458" i="5"/>
  <c r="K1458" i="5"/>
  <c r="I1458" i="5"/>
  <c r="L1457" i="5"/>
  <c r="K1457" i="5"/>
  <c r="I1457" i="5"/>
  <c r="L1456" i="5"/>
  <c r="K1456" i="5"/>
  <c r="I1456" i="5"/>
  <c r="L1455" i="5"/>
  <c r="K1455" i="5"/>
  <c r="I1455" i="5"/>
  <c r="L1454" i="5"/>
  <c r="K1454" i="5"/>
  <c r="I1454" i="5"/>
  <c r="L1453" i="5"/>
  <c r="K1453" i="5"/>
  <c r="I1453" i="5"/>
  <c r="L1452" i="5"/>
  <c r="K1452" i="5"/>
  <c r="I1452" i="5"/>
  <c r="L1451" i="5"/>
  <c r="K1451" i="5"/>
  <c r="I1451" i="5"/>
  <c r="L1450" i="5"/>
  <c r="K1450" i="5"/>
  <c r="I1450" i="5"/>
  <c r="L1449" i="5"/>
  <c r="K1449" i="5"/>
  <c r="I1449" i="5"/>
  <c r="L1448" i="5"/>
  <c r="K1448" i="5"/>
  <c r="I1448" i="5"/>
  <c r="L1447" i="5"/>
  <c r="K1447" i="5"/>
  <c r="I1447" i="5"/>
  <c r="L1446" i="5"/>
  <c r="K1446" i="5"/>
  <c r="I1446" i="5"/>
  <c r="L1445" i="5"/>
  <c r="K1445" i="5"/>
  <c r="I1445" i="5"/>
  <c r="L1444" i="5"/>
  <c r="K1444" i="5"/>
  <c r="I1444" i="5"/>
  <c r="L1443" i="5"/>
  <c r="K1443" i="5"/>
  <c r="I1443" i="5"/>
  <c r="L1442" i="5"/>
  <c r="K1442" i="5"/>
  <c r="I1442" i="5"/>
  <c r="L1441" i="5"/>
  <c r="K1441" i="5"/>
  <c r="I1441" i="5"/>
  <c r="L1440" i="5"/>
  <c r="K1440" i="5"/>
  <c r="I1440" i="5"/>
  <c r="L1439" i="5"/>
  <c r="K1439" i="5"/>
  <c r="I1439" i="5"/>
  <c r="L1438" i="5"/>
  <c r="K1438" i="5"/>
  <c r="I1438" i="5"/>
  <c r="L1437" i="5"/>
  <c r="K1437" i="5"/>
  <c r="I1437" i="5"/>
  <c r="L1436" i="5"/>
  <c r="K1436" i="5"/>
  <c r="I1436" i="5"/>
  <c r="L1435" i="5"/>
  <c r="K1435" i="5"/>
  <c r="I1435" i="5"/>
  <c r="L1434" i="5"/>
  <c r="K1434" i="5"/>
  <c r="I1434" i="5"/>
  <c r="L1433" i="5"/>
  <c r="K1433" i="5"/>
  <c r="I1433" i="5"/>
  <c r="L1432" i="5"/>
  <c r="K1432" i="5"/>
  <c r="I1432" i="5"/>
  <c r="L1431" i="5"/>
  <c r="K1431" i="5"/>
  <c r="I1431" i="5"/>
  <c r="L1430" i="5"/>
  <c r="K1430" i="5"/>
  <c r="I1430" i="5"/>
  <c r="L1429" i="5"/>
  <c r="K1429" i="5"/>
  <c r="I1429" i="5"/>
  <c r="L1428" i="5"/>
  <c r="K1428" i="5"/>
  <c r="I1428" i="5"/>
  <c r="L1427" i="5"/>
  <c r="K1427" i="5"/>
  <c r="I1427" i="5"/>
  <c r="L1426" i="5"/>
  <c r="K1426" i="5"/>
  <c r="I1426" i="5"/>
  <c r="L1425" i="5"/>
  <c r="K1425" i="5"/>
  <c r="I1425" i="5"/>
  <c r="L1424" i="5"/>
  <c r="K1424" i="5"/>
  <c r="I1424" i="5"/>
  <c r="L1423" i="5"/>
  <c r="K1423" i="5"/>
  <c r="I1423" i="5"/>
  <c r="L1422" i="5"/>
  <c r="K1422" i="5"/>
  <c r="I1422" i="5"/>
  <c r="L1421" i="5"/>
  <c r="K1421" i="5"/>
  <c r="I1421" i="5"/>
  <c r="L1420" i="5"/>
  <c r="K1420" i="5"/>
  <c r="I1420" i="5"/>
  <c r="L1419" i="5"/>
  <c r="K1419" i="5"/>
  <c r="I1419" i="5"/>
  <c r="L1418" i="5"/>
  <c r="K1418" i="5"/>
  <c r="I1418" i="5"/>
  <c r="L1417" i="5"/>
  <c r="K1417" i="5"/>
  <c r="I1417" i="5"/>
  <c r="L1416" i="5"/>
  <c r="K1416" i="5"/>
  <c r="I1416" i="5"/>
  <c r="L1415" i="5"/>
  <c r="K1415" i="5"/>
  <c r="I1415" i="5"/>
  <c r="L1414" i="5"/>
  <c r="K1414" i="5"/>
  <c r="I1414" i="5"/>
  <c r="L1413" i="5"/>
  <c r="K1413" i="5"/>
  <c r="I1413" i="5"/>
  <c r="L1412" i="5"/>
  <c r="K1412" i="5"/>
  <c r="I1412" i="5"/>
  <c r="L1411" i="5"/>
  <c r="K1411" i="5"/>
  <c r="I1411" i="5"/>
  <c r="L1410" i="5"/>
  <c r="K1410" i="5"/>
  <c r="I1410" i="5"/>
  <c r="L1409" i="5"/>
  <c r="K1409" i="5"/>
  <c r="I1409" i="5"/>
  <c r="L1408" i="5"/>
  <c r="K1408" i="5"/>
  <c r="I1408" i="5"/>
  <c r="L1407" i="5"/>
  <c r="K1407" i="5"/>
  <c r="I1407" i="5"/>
  <c r="L1406" i="5"/>
  <c r="K1406" i="5"/>
  <c r="I1406" i="5"/>
  <c r="L1405" i="5"/>
  <c r="K1405" i="5"/>
  <c r="I1405" i="5"/>
  <c r="L1404" i="5"/>
  <c r="K1404" i="5"/>
  <c r="I1404" i="5"/>
  <c r="L1403" i="5"/>
  <c r="K1403" i="5"/>
  <c r="I1403" i="5"/>
  <c r="L1402" i="5"/>
  <c r="K1402" i="5"/>
  <c r="I1402" i="5"/>
  <c r="L1401" i="5"/>
  <c r="K1401" i="5"/>
  <c r="I1401" i="5"/>
  <c r="L1400" i="5"/>
  <c r="K1400" i="5"/>
  <c r="I1400" i="5"/>
  <c r="L1399" i="5"/>
  <c r="K1399" i="5"/>
  <c r="I1399" i="5"/>
  <c r="L1398" i="5"/>
  <c r="K1398" i="5"/>
  <c r="I1398" i="5"/>
  <c r="L1397" i="5"/>
  <c r="K1397" i="5"/>
  <c r="I1397" i="5"/>
  <c r="L1396" i="5"/>
  <c r="K1396" i="5"/>
  <c r="N1396" i="5" s="1"/>
  <c r="I1396" i="5"/>
  <c r="L1395" i="5"/>
  <c r="K1395" i="5"/>
  <c r="I1395" i="5"/>
  <c r="L1394" i="5"/>
  <c r="K1394" i="5"/>
  <c r="I1394" i="5"/>
  <c r="L1393" i="5"/>
  <c r="K1393" i="5"/>
  <c r="I1393" i="5"/>
  <c r="L1392" i="5"/>
  <c r="K1392" i="5"/>
  <c r="I1392" i="5"/>
  <c r="L1391" i="5"/>
  <c r="K1391" i="5"/>
  <c r="I1391" i="5"/>
  <c r="L1390" i="5"/>
  <c r="K1390" i="5"/>
  <c r="N1390" i="5" s="1"/>
  <c r="I1390" i="5"/>
  <c r="L1389" i="5"/>
  <c r="K1389" i="5"/>
  <c r="I1389" i="5"/>
  <c r="L1388" i="5"/>
  <c r="K1388" i="5"/>
  <c r="I1388" i="5"/>
  <c r="L1387" i="5"/>
  <c r="K1387" i="5"/>
  <c r="I1387" i="5"/>
  <c r="L1386" i="5"/>
  <c r="K1386" i="5"/>
  <c r="I1386" i="5"/>
  <c r="L1385" i="5"/>
  <c r="K1385" i="5"/>
  <c r="I1385" i="5"/>
  <c r="L1384" i="5"/>
  <c r="K1384" i="5"/>
  <c r="I1384" i="5"/>
  <c r="L1383" i="5"/>
  <c r="K1383" i="5"/>
  <c r="I1383" i="5"/>
  <c r="L1382" i="5"/>
  <c r="K1382" i="5"/>
  <c r="I1382" i="5"/>
  <c r="L1381" i="5"/>
  <c r="K1381" i="5"/>
  <c r="I1381" i="5"/>
  <c r="L1380" i="5"/>
  <c r="K1380" i="5"/>
  <c r="I1380" i="5"/>
  <c r="L1379" i="5"/>
  <c r="K1379" i="5"/>
  <c r="I1379" i="5"/>
  <c r="L1378" i="5"/>
  <c r="K1378" i="5"/>
  <c r="I1378" i="5"/>
  <c r="L1377" i="5"/>
  <c r="K1377" i="5"/>
  <c r="I1377" i="5"/>
  <c r="L1376" i="5"/>
  <c r="K1376" i="5"/>
  <c r="I1376" i="5"/>
  <c r="L1375" i="5"/>
  <c r="K1375" i="5"/>
  <c r="I1375" i="5"/>
  <c r="L1374" i="5"/>
  <c r="K1374" i="5"/>
  <c r="I1374" i="5"/>
  <c r="L1373" i="5"/>
  <c r="K1373" i="5"/>
  <c r="I1373" i="5"/>
  <c r="L1372" i="5"/>
  <c r="K1372" i="5"/>
  <c r="I1372" i="5"/>
  <c r="L1371" i="5"/>
  <c r="K1371" i="5"/>
  <c r="I1371" i="5"/>
  <c r="L1370" i="5"/>
  <c r="K1370" i="5"/>
  <c r="I1370" i="5"/>
  <c r="L1369" i="5"/>
  <c r="K1369" i="5"/>
  <c r="I1369" i="5"/>
  <c r="L1368" i="5"/>
  <c r="K1368" i="5"/>
  <c r="I1368" i="5"/>
  <c r="L1367" i="5"/>
  <c r="K1367" i="5"/>
  <c r="I1367" i="5"/>
  <c r="L1366" i="5"/>
  <c r="K1366" i="5"/>
  <c r="I1366" i="5"/>
  <c r="L1365" i="5"/>
  <c r="K1365" i="5"/>
  <c r="I1365" i="5"/>
  <c r="L1364" i="5"/>
  <c r="K1364" i="5"/>
  <c r="I1364" i="5"/>
  <c r="L1363" i="5"/>
  <c r="K1363" i="5"/>
  <c r="I1363" i="5"/>
  <c r="L1362" i="5"/>
  <c r="K1362" i="5"/>
  <c r="I1362" i="5"/>
  <c r="L1361" i="5"/>
  <c r="K1361" i="5"/>
  <c r="I1361" i="5"/>
  <c r="L1360" i="5"/>
  <c r="K1360" i="5"/>
  <c r="I1360" i="5"/>
  <c r="L1359" i="5"/>
  <c r="K1359" i="5"/>
  <c r="I1359" i="5"/>
  <c r="L1358" i="5"/>
  <c r="K1358" i="5"/>
  <c r="I1358" i="5"/>
  <c r="L1357" i="5"/>
  <c r="K1357" i="5"/>
  <c r="I1357" i="5"/>
  <c r="L1356" i="5"/>
  <c r="K1356" i="5"/>
  <c r="I1356" i="5"/>
  <c r="L1355" i="5"/>
  <c r="K1355" i="5"/>
  <c r="I1355" i="5"/>
  <c r="L1354" i="5"/>
  <c r="K1354" i="5"/>
  <c r="I1354" i="5"/>
  <c r="L1353" i="5"/>
  <c r="K1353" i="5"/>
  <c r="I1353" i="5"/>
  <c r="L1352" i="5"/>
  <c r="K1352" i="5"/>
  <c r="I1352" i="5"/>
  <c r="L1351" i="5"/>
  <c r="K1351" i="5"/>
  <c r="I1351" i="5"/>
  <c r="L1350" i="5"/>
  <c r="K1350" i="5"/>
  <c r="I1350" i="5"/>
  <c r="L1349" i="5"/>
  <c r="K1349" i="5"/>
  <c r="I1349" i="5"/>
  <c r="L1348" i="5"/>
  <c r="K1348" i="5"/>
  <c r="I1348" i="5"/>
  <c r="L1347" i="5"/>
  <c r="K1347" i="5"/>
  <c r="I1347" i="5"/>
  <c r="L1346" i="5"/>
  <c r="K1346" i="5"/>
  <c r="I1346" i="5"/>
  <c r="L1345" i="5"/>
  <c r="K1345" i="5"/>
  <c r="I1345" i="5"/>
  <c r="L1344" i="5"/>
  <c r="K1344" i="5"/>
  <c r="I1344" i="5"/>
  <c r="L1343" i="5"/>
  <c r="K1343" i="5"/>
  <c r="I1343" i="5"/>
  <c r="L1342" i="5"/>
  <c r="K1342" i="5"/>
  <c r="I1342" i="5"/>
  <c r="L1341" i="5"/>
  <c r="K1341" i="5"/>
  <c r="I1341" i="5"/>
  <c r="L1340" i="5"/>
  <c r="K1340" i="5"/>
  <c r="I1340" i="5"/>
  <c r="L1339" i="5"/>
  <c r="K1339" i="5"/>
  <c r="I1339" i="5"/>
  <c r="L1338" i="5"/>
  <c r="K1338" i="5"/>
  <c r="I1338" i="5"/>
  <c r="L1337" i="5"/>
  <c r="K1337" i="5"/>
  <c r="I1337" i="5"/>
  <c r="L1336" i="5"/>
  <c r="K1336" i="5"/>
  <c r="I1336" i="5"/>
  <c r="L1335" i="5"/>
  <c r="K1335" i="5"/>
  <c r="I1335" i="5"/>
  <c r="L1334" i="5"/>
  <c r="K1334" i="5"/>
  <c r="I1334" i="5"/>
  <c r="L1333" i="5"/>
  <c r="K1333" i="5"/>
  <c r="I1333" i="5"/>
  <c r="L1332" i="5"/>
  <c r="K1332" i="5"/>
  <c r="N1332" i="5" s="1"/>
  <c r="I1332" i="5"/>
  <c r="L1331" i="5"/>
  <c r="K1331" i="5"/>
  <c r="I1331" i="5"/>
  <c r="L1330" i="5"/>
  <c r="K1330" i="5"/>
  <c r="I1330" i="5"/>
  <c r="L1329" i="5"/>
  <c r="K1329" i="5"/>
  <c r="I1329" i="5"/>
  <c r="L1328" i="5"/>
  <c r="K1328" i="5"/>
  <c r="I1328" i="5"/>
  <c r="L1327" i="5"/>
  <c r="K1327" i="5"/>
  <c r="I1327" i="5"/>
  <c r="L1326" i="5"/>
  <c r="K1326" i="5"/>
  <c r="I1326" i="5"/>
  <c r="L1325" i="5"/>
  <c r="K1325" i="5"/>
  <c r="I1325" i="5"/>
  <c r="L1324" i="5"/>
  <c r="K1324" i="5"/>
  <c r="I1324" i="5"/>
  <c r="L1323" i="5"/>
  <c r="K1323" i="5"/>
  <c r="I1323" i="5"/>
  <c r="L1322" i="5"/>
  <c r="K1322" i="5"/>
  <c r="I1322" i="5"/>
  <c r="L1321" i="5"/>
  <c r="K1321" i="5"/>
  <c r="I1321" i="5"/>
  <c r="L1320" i="5"/>
  <c r="K1320" i="5"/>
  <c r="I1320" i="5"/>
  <c r="L1319" i="5"/>
  <c r="K1319" i="5"/>
  <c r="I1319" i="5"/>
  <c r="L1318" i="5"/>
  <c r="K1318" i="5"/>
  <c r="I1318" i="5"/>
  <c r="L1317" i="5"/>
  <c r="K1317" i="5"/>
  <c r="I1317" i="5"/>
  <c r="L1316" i="5"/>
  <c r="K1316" i="5"/>
  <c r="I1316" i="5"/>
  <c r="L1315" i="5"/>
  <c r="K1315" i="5"/>
  <c r="I1315" i="5"/>
  <c r="L1314" i="5"/>
  <c r="K1314" i="5"/>
  <c r="I1314" i="5"/>
  <c r="L1313" i="5"/>
  <c r="K1313" i="5"/>
  <c r="I1313" i="5"/>
  <c r="L1312" i="5"/>
  <c r="K1312" i="5"/>
  <c r="I1312" i="5"/>
  <c r="L1311" i="5"/>
  <c r="K1311" i="5"/>
  <c r="I1311" i="5"/>
  <c r="L1310" i="5"/>
  <c r="K1310" i="5"/>
  <c r="I1310" i="5"/>
  <c r="L1309" i="5"/>
  <c r="K1309" i="5"/>
  <c r="I1309" i="5"/>
  <c r="L1308" i="5"/>
  <c r="K1308" i="5"/>
  <c r="I1308" i="5"/>
  <c r="L1307" i="5"/>
  <c r="K1307" i="5"/>
  <c r="I1307" i="5"/>
  <c r="L1306" i="5"/>
  <c r="K1306" i="5"/>
  <c r="I1306" i="5"/>
  <c r="L1305" i="5"/>
  <c r="K1305" i="5"/>
  <c r="I1305" i="5"/>
  <c r="L1304" i="5"/>
  <c r="K1304" i="5"/>
  <c r="I1304" i="5"/>
  <c r="L1303" i="5"/>
  <c r="K1303" i="5"/>
  <c r="I1303" i="5"/>
  <c r="L1302" i="5"/>
  <c r="K1302" i="5"/>
  <c r="I1302" i="5"/>
  <c r="L1301" i="5"/>
  <c r="K1301" i="5"/>
  <c r="I1301" i="5"/>
  <c r="L1300" i="5"/>
  <c r="K1300" i="5"/>
  <c r="I1300" i="5"/>
  <c r="L1299" i="5"/>
  <c r="K1299" i="5"/>
  <c r="I1299" i="5"/>
  <c r="L1298" i="5"/>
  <c r="K1298" i="5"/>
  <c r="I1298" i="5"/>
  <c r="L1297" i="5"/>
  <c r="K1297" i="5"/>
  <c r="I1297" i="5"/>
  <c r="L1296" i="5"/>
  <c r="K1296" i="5"/>
  <c r="I1296" i="5"/>
  <c r="L1295" i="5"/>
  <c r="K1295" i="5"/>
  <c r="I1295" i="5"/>
  <c r="L1294" i="5"/>
  <c r="K1294" i="5"/>
  <c r="I1294" i="5"/>
  <c r="L1293" i="5"/>
  <c r="K1293" i="5"/>
  <c r="I1293" i="5"/>
  <c r="L1292" i="5"/>
  <c r="K1292" i="5"/>
  <c r="I1292" i="5"/>
  <c r="L1291" i="5"/>
  <c r="K1291" i="5"/>
  <c r="I1291" i="5"/>
  <c r="L1290" i="5"/>
  <c r="K1290" i="5"/>
  <c r="I1290" i="5"/>
  <c r="L1289" i="5"/>
  <c r="K1289" i="5"/>
  <c r="I1289" i="5"/>
  <c r="L1288" i="5"/>
  <c r="K1288" i="5"/>
  <c r="I1288" i="5"/>
  <c r="L1287" i="5"/>
  <c r="K1287" i="5"/>
  <c r="I1287" i="5"/>
  <c r="L1286" i="5"/>
  <c r="K1286" i="5"/>
  <c r="I1286" i="5"/>
  <c r="L1285" i="5"/>
  <c r="K1285" i="5"/>
  <c r="I1285" i="5"/>
  <c r="L1284" i="5"/>
  <c r="K1284" i="5"/>
  <c r="I1284" i="5"/>
  <c r="L1283" i="5"/>
  <c r="K1283" i="5"/>
  <c r="I1283" i="5"/>
  <c r="L1282" i="5"/>
  <c r="K1282" i="5"/>
  <c r="I1282" i="5"/>
  <c r="L1281" i="5"/>
  <c r="K1281" i="5"/>
  <c r="I1281" i="5"/>
  <c r="L1280" i="5"/>
  <c r="K1280" i="5"/>
  <c r="I1280" i="5"/>
  <c r="L1279" i="5"/>
  <c r="K1279" i="5"/>
  <c r="I1279" i="5"/>
  <c r="L1278" i="5"/>
  <c r="K1278" i="5"/>
  <c r="I1278" i="5"/>
  <c r="L1277" i="5"/>
  <c r="K1277" i="5"/>
  <c r="I1277" i="5"/>
  <c r="L1276" i="5"/>
  <c r="K1276" i="5"/>
  <c r="I1276" i="5"/>
  <c r="L1275" i="5"/>
  <c r="K1275" i="5"/>
  <c r="I1275" i="5"/>
  <c r="L1274" i="5"/>
  <c r="K1274" i="5"/>
  <c r="I1274" i="5"/>
  <c r="L1273" i="5"/>
  <c r="K1273" i="5"/>
  <c r="I1273" i="5"/>
  <c r="L1272" i="5"/>
  <c r="K1272" i="5"/>
  <c r="I1272" i="5"/>
  <c r="L1271" i="5"/>
  <c r="K1271" i="5"/>
  <c r="I1271" i="5"/>
  <c r="L1270" i="5"/>
  <c r="K1270" i="5"/>
  <c r="I1270" i="5"/>
  <c r="L1269" i="5"/>
  <c r="K1269" i="5"/>
  <c r="I1269" i="5"/>
  <c r="L1268" i="5"/>
  <c r="K1268" i="5"/>
  <c r="I1268" i="5"/>
  <c r="L1267" i="5"/>
  <c r="K1267" i="5"/>
  <c r="I1267" i="5"/>
  <c r="L1266" i="5"/>
  <c r="K1266" i="5"/>
  <c r="I1266" i="5"/>
  <c r="L1265" i="5"/>
  <c r="K1265" i="5"/>
  <c r="I1265" i="5"/>
  <c r="L1264" i="5"/>
  <c r="K1264" i="5"/>
  <c r="I1264" i="5"/>
  <c r="L1263" i="5"/>
  <c r="K1263" i="5"/>
  <c r="I1263" i="5"/>
  <c r="L1262" i="5"/>
  <c r="K1262" i="5"/>
  <c r="I1262" i="5"/>
  <c r="L1261" i="5"/>
  <c r="K1261" i="5"/>
  <c r="I1261" i="5"/>
  <c r="L1260" i="5"/>
  <c r="K1260" i="5"/>
  <c r="I1260" i="5"/>
  <c r="L1259" i="5"/>
  <c r="K1259" i="5"/>
  <c r="I1259" i="5"/>
  <c r="L1258" i="5"/>
  <c r="K1258" i="5"/>
  <c r="I1258" i="5"/>
  <c r="L1257" i="5"/>
  <c r="K1257" i="5"/>
  <c r="I1257" i="5"/>
  <c r="L1256" i="5"/>
  <c r="K1256" i="5"/>
  <c r="I1256" i="5"/>
  <c r="L1255" i="5"/>
  <c r="K1255" i="5"/>
  <c r="I1255" i="5"/>
  <c r="L1254" i="5"/>
  <c r="K1254" i="5"/>
  <c r="I1254" i="5"/>
  <c r="L1253" i="5"/>
  <c r="K1253" i="5"/>
  <c r="I1253" i="5"/>
  <c r="L1252" i="5"/>
  <c r="K1252" i="5"/>
  <c r="I1252" i="5"/>
  <c r="L1251" i="5"/>
  <c r="K1251" i="5"/>
  <c r="I1251" i="5"/>
  <c r="L1250" i="5"/>
  <c r="K1250" i="5"/>
  <c r="N1250" i="5" s="1"/>
  <c r="I1250" i="5"/>
  <c r="L1249" i="5"/>
  <c r="K1249" i="5"/>
  <c r="I1249" i="5"/>
  <c r="L1248" i="5"/>
  <c r="K1248" i="5"/>
  <c r="I1248" i="5"/>
  <c r="L1247" i="5"/>
  <c r="K1247" i="5"/>
  <c r="I1247" i="5"/>
  <c r="L1246" i="5"/>
  <c r="K1246" i="5"/>
  <c r="I1246" i="5"/>
  <c r="L1245" i="5"/>
  <c r="K1245" i="5"/>
  <c r="I1245" i="5"/>
  <c r="L1244" i="5"/>
  <c r="K1244" i="5"/>
  <c r="I1244" i="5"/>
  <c r="L1243" i="5"/>
  <c r="K1243" i="5"/>
  <c r="I1243" i="5"/>
  <c r="L1242" i="5"/>
  <c r="K1242" i="5"/>
  <c r="I1242" i="5"/>
  <c r="L1241" i="5"/>
  <c r="K1241" i="5"/>
  <c r="I1241" i="5"/>
  <c r="L1240" i="5"/>
  <c r="K1240" i="5"/>
  <c r="I1240" i="5"/>
  <c r="L1239" i="5"/>
  <c r="K1239" i="5"/>
  <c r="I1239" i="5"/>
  <c r="L1238" i="5"/>
  <c r="K1238" i="5"/>
  <c r="I1238" i="5"/>
  <c r="L1237" i="5"/>
  <c r="K1237" i="5"/>
  <c r="I1237" i="5"/>
  <c r="L1236" i="5"/>
  <c r="K1236" i="5"/>
  <c r="I1236" i="5"/>
  <c r="L1235" i="5"/>
  <c r="K1235" i="5"/>
  <c r="I1235" i="5"/>
  <c r="L1234" i="5"/>
  <c r="K1234" i="5"/>
  <c r="I1234" i="5"/>
  <c r="L1233" i="5"/>
  <c r="K1233" i="5"/>
  <c r="I1233" i="5"/>
  <c r="L1232" i="5"/>
  <c r="K1232" i="5"/>
  <c r="I1232" i="5"/>
  <c r="L1231" i="5"/>
  <c r="K1231" i="5"/>
  <c r="I1231" i="5"/>
  <c r="L1230" i="5"/>
  <c r="K1230" i="5"/>
  <c r="I1230" i="5"/>
  <c r="L1229" i="5"/>
  <c r="K1229" i="5"/>
  <c r="I1229" i="5"/>
  <c r="L1228" i="5"/>
  <c r="K1228" i="5"/>
  <c r="I1228" i="5"/>
  <c r="L1227" i="5"/>
  <c r="K1227" i="5"/>
  <c r="I1227" i="5"/>
  <c r="L1226" i="5"/>
  <c r="K1226" i="5"/>
  <c r="I1226" i="5"/>
  <c r="L1225" i="5"/>
  <c r="K1225" i="5"/>
  <c r="I1225" i="5"/>
  <c r="L1224" i="5"/>
  <c r="K1224" i="5"/>
  <c r="I1224" i="5"/>
  <c r="L1223" i="5"/>
  <c r="K1223" i="5"/>
  <c r="I1223" i="5"/>
  <c r="L1222" i="5"/>
  <c r="K1222" i="5"/>
  <c r="I1222" i="5"/>
  <c r="L1221" i="5"/>
  <c r="K1221" i="5"/>
  <c r="I1221" i="5"/>
  <c r="L1220" i="5"/>
  <c r="K1220" i="5"/>
  <c r="I1220" i="5"/>
  <c r="L1219" i="5"/>
  <c r="K1219" i="5"/>
  <c r="I1219" i="5"/>
  <c r="L1218" i="5"/>
  <c r="K1218" i="5"/>
  <c r="I1218" i="5"/>
  <c r="L1217" i="5"/>
  <c r="K1217" i="5"/>
  <c r="I1217" i="5"/>
  <c r="L1216" i="5"/>
  <c r="K1216" i="5"/>
  <c r="I1216" i="5"/>
  <c r="L1215" i="5"/>
  <c r="K1215" i="5"/>
  <c r="I1215" i="5"/>
  <c r="L1214" i="5"/>
  <c r="K1214" i="5"/>
  <c r="I1214" i="5"/>
  <c r="L1213" i="5"/>
  <c r="K1213" i="5"/>
  <c r="I1213" i="5"/>
  <c r="L1212" i="5"/>
  <c r="K1212" i="5"/>
  <c r="I1212" i="5"/>
  <c r="L1211" i="5"/>
  <c r="K1211" i="5"/>
  <c r="I1211" i="5"/>
  <c r="L1210" i="5"/>
  <c r="K1210" i="5"/>
  <c r="I1210" i="5"/>
  <c r="L1209" i="5"/>
  <c r="K1209" i="5"/>
  <c r="I1209" i="5"/>
  <c r="L1208" i="5"/>
  <c r="K1208" i="5"/>
  <c r="I1208" i="5"/>
  <c r="L1207" i="5"/>
  <c r="K1207" i="5"/>
  <c r="I1207" i="5"/>
  <c r="L1206" i="5"/>
  <c r="K1206" i="5"/>
  <c r="I1206" i="5"/>
  <c r="L1205" i="5"/>
  <c r="K1205" i="5"/>
  <c r="I1205" i="5"/>
  <c r="L1204" i="5"/>
  <c r="K1204" i="5"/>
  <c r="I1204" i="5"/>
  <c r="L1203" i="5"/>
  <c r="K1203" i="5"/>
  <c r="I1203" i="5"/>
  <c r="L1202" i="5"/>
  <c r="K1202" i="5"/>
  <c r="I1202" i="5"/>
  <c r="L1201" i="5"/>
  <c r="K1201" i="5"/>
  <c r="I1201" i="5"/>
  <c r="L1200" i="5"/>
  <c r="K1200" i="5"/>
  <c r="I1200" i="5"/>
  <c r="L1199" i="5"/>
  <c r="K1199" i="5"/>
  <c r="I1199" i="5"/>
  <c r="L1198" i="5"/>
  <c r="K1198" i="5"/>
  <c r="I1198" i="5"/>
  <c r="L1197" i="5"/>
  <c r="K1197" i="5"/>
  <c r="I1197" i="5"/>
  <c r="L1196" i="5"/>
  <c r="K1196" i="5"/>
  <c r="I1196" i="5"/>
  <c r="L1195" i="5"/>
  <c r="K1195" i="5"/>
  <c r="I1195" i="5"/>
  <c r="L1194" i="5"/>
  <c r="K1194" i="5"/>
  <c r="I1194" i="5"/>
  <c r="L1193" i="5"/>
  <c r="K1193" i="5"/>
  <c r="I1193" i="5"/>
  <c r="L1192" i="5"/>
  <c r="K1192" i="5"/>
  <c r="I1192" i="5"/>
  <c r="L1191" i="5"/>
  <c r="K1191" i="5"/>
  <c r="I1191" i="5"/>
  <c r="L1190" i="5"/>
  <c r="K1190" i="5"/>
  <c r="I1190" i="5"/>
  <c r="L1189" i="5"/>
  <c r="K1189" i="5"/>
  <c r="I1189" i="5"/>
  <c r="L1188" i="5"/>
  <c r="K1188" i="5"/>
  <c r="I1188" i="5"/>
  <c r="L1187" i="5"/>
  <c r="K1187" i="5"/>
  <c r="I1187" i="5"/>
  <c r="L1186" i="5"/>
  <c r="K1186" i="5"/>
  <c r="I1186" i="5"/>
  <c r="L1185" i="5"/>
  <c r="K1185" i="5"/>
  <c r="I1185" i="5"/>
  <c r="L1184" i="5"/>
  <c r="K1184" i="5"/>
  <c r="I1184" i="5"/>
  <c r="L1183" i="5"/>
  <c r="K1183" i="5"/>
  <c r="I1183" i="5"/>
  <c r="L1182" i="5"/>
  <c r="K1182" i="5"/>
  <c r="I1182" i="5"/>
  <c r="L1181" i="5"/>
  <c r="K1181" i="5"/>
  <c r="I1181" i="5"/>
  <c r="L1180" i="5"/>
  <c r="K1180" i="5"/>
  <c r="I1180" i="5"/>
  <c r="L1179" i="5"/>
  <c r="K1179" i="5"/>
  <c r="I1179" i="5"/>
  <c r="L1178" i="5"/>
  <c r="K1178" i="5"/>
  <c r="I1178" i="5"/>
  <c r="L1177" i="5"/>
  <c r="K1177" i="5"/>
  <c r="I1177" i="5"/>
  <c r="L1176" i="5"/>
  <c r="K1176" i="5"/>
  <c r="I1176" i="5"/>
  <c r="L1175" i="5"/>
  <c r="K1175" i="5"/>
  <c r="I1175" i="5"/>
  <c r="L1174" i="5"/>
  <c r="K1174" i="5"/>
  <c r="I1174" i="5"/>
  <c r="L1173" i="5"/>
  <c r="K1173" i="5"/>
  <c r="I1173" i="5"/>
  <c r="L1172" i="5"/>
  <c r="K1172" i="5"/>
  <c r="I1172" i="5"/>
  <c r="L1171" i="5"/>
  <c r="K1171" i="5"/>
  <c r="I1171" i="5"/>
  <c r="L1170" i="5"/>
  <c r="K1170" i="5"/>
  <c r="I1170" i="5"/>
  <c r="L1169" i="5"/>
  <c r="K1169" i="5"/>
  <c r="I1169" i="5"/>
  <c r="L1168" i="5"/>
  <c r="K1168" i="5"/>
  <c r="I1168" i="5"/>
  <c r="L1167" i="5"/>
  <c r="K1167" i="5"/>
  <c r="I1167" i="5"/>
  <c r="L1166" i="5"/>
  <c r="K1166" i="5"/>
  <c r="I1166" i="5"/>
  <c r="L1165" i="5"/>
  <c r="K1165" i="5"/>
  <c r="I1165" i="5"/>
  <c r="L1164" i="5"/>
  <c r="K1164" i="5"/>
  <c r="I1164" i="5"/>
  <c r="L1163" i="5"/>
  <c r="K1163" i="5"/>
  <c r="I1163" i="5"/>
  <c r="L1162" i="5"/>
  <c r="K1162" i="5"/>
  <c r="I1162" i="5"/>
  <c r="L1161" i="5"/>
  <c r="K1161" i="5"/>
  <c r="I1161" i="5"/>
  <c r="L1160" i="5"/>
  <c r="K1160" i="5"/>
  <c r="I1160" i="5"/>
  <c r="L1159" i="5"/>
  <c r="K1159" i="5"/>
  <c r="I1159" i="5"/>
  <c r="L1158" i="5"/>
  <c r="K1158" i="5"/>
  <c r="I1158" i="5"/>
  <c r="L1157" i="5"/>
  <c r="K1157" i="5"/>
  <c r="I1157" i="5"/>
  <c r="L1156" i="5"/>
  <c r="K1156" i="5"/>
  <c r="I1156" i="5"/>
  <c r="L1155" i="5"/>
  <c r="K1155" i="5"/>
  <c r="I1155" i="5"/>
  <c r="L1154" i="5"/>
  <c r="K1154" i="5"/>
  <c r="I1154" i="5"/>
  <c r="L1153" i="5"/>
  <c r="K1153" i="5"/>
  <c r="I1153" i="5"/>
  <c r="L1152" i="5"/>
  <c r="K1152" i="5"/>
  <c r="I1152" i="5"/>
  <c r="L1151" i="5"/>
  <c r="K1151" i="5"/>
  <c r="I1151" i="5"/>
  <c r="L1150" i="5"/>
  <c r="K1150" i="5"/>
  <c r="I1150" i="5"/>
  <c r="L1149" i="5"/>
  <c r="K1149" i="5"/>
  <c r="I1149" i="5"/>
  <c r="L1148" i="5"/>
  <c r="K1148" i="5"/>
  <c r="I1148" i="5"/>
  <c r="L1147" i="5"/>
  <c r="K1147" i="5"/>
  <c r="I1147" i="5"/>
  <c r="L1146" i="5"/>
  <c r="K1146" i="5"/>
  <c r="I1146" i="5"/>
  <c r="L1145" i="5"/>
  <c r="K1145" i="5"/>
  <c r="I1145" i="5"/>
  <c r="L1144" i="5"/>
  <c r="K1144" i="5"/>
  <c r="I1144" i="5"/>
  <c r="L1143" i="5"/>
  <c r="K1143" i="5"/>
  <c r="I1143" i="5"/>
  <c r="L1142" i="5"/>
  <c r="K1142" i="5"/>
  <c r="I1142" i="5"/>
  <c r="L1141" i="5"/>
  <c r="K1141" i="5"/>
  <c r="I1141" i="5"/>
  <c r="L1140" i="5"/>
  <c r="K1140" i="5"/>
  <c r="I1140" i="5"/>
  <c r="L1139" i="5"/>
  <c r="K1139" i="5"/>
  <c r="I1139" i="5"/>
  <c r="L1138" i="5"/>
  <c r="K1138" i="5"/>
  <c r="I1138" i="5"/>
  <c r="L1137" i="5"/>
  <c r="K1137" i="5"/>
  <c r="I1137" i="5"/>
  <c r="L1136" i="5"/>
  <c r="K1136" i="5"/>
  <c r="I1136" i="5"/>
  <c r="L1135" i="5"/>
  <c r="K1135" i="5"/>
  <c r="I1135" i="5"/>
  <c r="L1134" i="5"/>
  <c r="K1134" i="5"/>
  <c r="I1134" i="5"/>
  <c r="L1133" i="5"/>
  <c r="K1133" i="5"/>
  <c r="I1133" i="5"/>
  <c r="L1132" i="5"/>
  <c r="K1132" i="5"/>
  <c r="I1132" i="5"/>
  <c r="L1131" i="5"/>
  <c r="K1131" i="5"/>
  <c r="I1131" i="5"/>
  <c r="L1130" i="5"/>
  <c r="K1130" i="5"/>
  <c r="I1130" i="5"/>
  <c r="L1129" i="5"/>
  <c r="K1129" i="5"/>
  <c r="I1129" i="5"/>
  <c r="L1128" i="5"/>
  <c r="K1128" i="5"/>
  <c r="I1128" i="5"/>
  <c r="L1127" i="5"/>
  <c r="K1127" i="5"/>
  <c r="I1127" i="5"/>
  <c r="L1126" i="5"/>
  <c r="K1126" i="5"/>
  <c r="I1126" i="5"/>
  <c r="L1125" i="5"/>
  <c r="K1125" i="5"/>
  <c r="I1125" i="5"/>
  <c r="L1124" i="5"/>
  <c r="K1124" i="5"/>
  <c r="I1124" i="5"/>
  <c r="L1123" i="5"/>
  <c r="K1123" i="5"/>
  <c r="I1123" i="5"/>
  <c r="L1122" i="5"/>
  <c r="K1122" i="5"/>
  <c r="I1122" i="5"/>
  <c r="L1121" i="5"/>
  <c r="K1121" i="5"/>
  <c r="I1121" i="5"/>
  <c r="L1120" i="5"/>
  <c r="K1120" i="5"/>
  <c r="I1120" i="5"/>
  <c r="L1119" i="5"/>
  <c r="K1119" i="5"/>
  <c r="I1119" i="5"/>
  <c r="L1118" i="5"/>
  <c r="K1118" i="5"/>
  <c r="I1118" i="5"/>
  <c r="L1117" i="5"/>
  <c r="K1117" i="5"/>
  <c r="I1117" i="5"/>
  <c r="L1116" i="5"/>
  <c r="K1116" i="5"/>
  <c r="I1116" i="5"/>
  <c r="L1115" i="5"/>
  <c r="K1115" i="5"/>
  <c r="I1115" i="5"/>
  <c r="L1114" i="5"/>
  <c r="K1114" i="5"/>
  <c r="I1114" i="5"/>
  <c r="L1113" i="5"/>
  <c r="K1113" i="5"/>
  <c r="I1113" i="5"/>
  <c r="L1112" i="5"/>
  <c r="K1112" i="5"/>
  <c r="I1112" i="5"/>
  <c r="L1111" i="5"/>
  <c r="K1111" i="5"/>
  <c r="I1111" i="5"/>
  <c r="L1110" i="5"/>
  <c r="K1110" i="5"/>
  <c r="I1110" i="5"/>
  <c r="L1109" i="5"/>
  <c r="K1109" i="5"/>
  <c r="I1109" i="5"/>
  <c r="L1108" i="5"/>
  <c r="K1108" i="5"/>
  <c r="I1108" i="5"/>
  <c r="L1107" i="5"/>
  <c r="K1107" i="5"/>
  <c r="I1107" i="5"/>
  <c r="L1106" i="5"/>
  <c r="K1106" i="5"/>
  <c r="I1106" i="5"/>
  <c r="L1105" i="5"/>
  <c r="K1105" i="5"/>
  <c r="I1105" i="5"/>
  <c r="L1104" i="5"/>
  <c r="K1104" i="5"/>
  <c r="I1104" i="5"/>
  <c r="L1103" i="5"/>
  <c r="K1103" i="5"/>
  <c r="I1103" i="5"/>
  <c r="L1102" i="5"/>
  <c r="K1102" i="5"/>
  <c r="I1102" i="5"/>
  <c r="L1101" i="5"/>
  <c r="K1101" i="5"/>
  <c r="I1101" i="5"/>
  <c r="L1100" i="5"/>
  <c r="K1100" i="5"/>
  <c r="I1100" i="5"/>
  <c r="L1099" i="5"/>
  <c r="K1099" i="5"/>
  <c r="I1099" i="5"/>
  <c r="L1098" i="5"/>
  <c r="K1098" i="5"/>
  <c r="I1098" i="5"/>
  <c r="L1097" i="5"/>
  <c r="K1097" i="5"/>
  <c r="I1097" i="5"/>
  <c r="L1096" i="5"/>
  <c r="K1096" i="5"/>
  <c r="I1096" i="5"/>
  <c r="L1095" i="5"/>
  <c r="K1095" i="5"/>
  <c r="I1095" i="5"/>
  <c r="L1094" i="5"/>
  <c r="K1094" i="5"/>
  <c r="I1094" i="5"/>
  <c r="L1093" i="5"/>
  <c r="K1093" i="5"/>
  <c r="I1093" i="5"/>
  <c r="L1092" i="5"/>
  <c r="K1092" i="5"/>
  <c r="I1092" i="5"/>
  <c r="L1091" i="5"/>
  <c r="K1091" i="5"/>
  <c r="I1091" i="5"/>
  <c r="L1090" i="5"/>
  <c r="K1090" i="5"/>
  <c r="I1090" i="5"/>
  <c r="L1089" i="5"/>
  <c r="K1089" i="5"/>
  <c r="I1089" i="5"/>
  <c r="L1088" i="5"/>
  <c r="K1088" i="5"/>
  <c r="I1088" i="5"/>
  <c r="L1087" i="5"/>
  <c r="K1087" i="5"/>
  <c r="I1087" i="5"/>
  <c r="L1086" i="5"/>
  <c r="K1086" i="5"/>
  <c r="I1086" i="5"/>
  <c r="L1085" i="5"/>
  <c r="K1085" i="5"/>
  <c r="I1085" i="5"/>
  <c r="L1084" i="5"/>
  <c r="K1084" i="5"/>
  <c r="I1084" i="5"/>
  <c r="L1083" i="5"/>
  <c r="K1083" i="5"/>
  <c r="I1083" i="5"/>
  <c r="L1082" i="5"/>
  <c r="K1082" i="5"/>
  <c r="I1082" i="5"/>
  <c r="L1081" i="5"/>
  <c r="K1081" i="5"/>
  <c r="I1081" i="5"/>
  <c r="L1080" i="5"/>
  <c r="K1080" i="5"/>
  <c r="I1080" i="5"/>
  <c r="L1079" i="5"/>
  <c r="K1079" i="5"/>
  <c r="I1079" i="5"/>
  <c r="L1078" i="5"/>
  <c r="K1078" i="5"/>
  <c r="I1078" i="5"/>
  <c r="L1077" i="5"/>
  <c r="K1077" i="5"/>
  <c r="I1077" i="5"/>
  <c r="L1076" i="5"/>
  <c r="K1076" i="5"/>
  <c r="I1076" i="5"/>
  <c r="L1075" i="5"/>
  <c r="K1075" i="5"/>
  <c r="I1075" i="5"/>
  <c r="L1074" i="5"/>
  <c r="K1074" i="5"/>
  <c r="I1074" i="5"/>
  <c r="L1073" i="5"/>
  <c r="K1073" i="5"/>
  <c r="I1073" i="5"/>
  <c r="L1072" i="5"/>
  <c r="K1072" i="5"/>
  <c r="I1072" i="5"/>
  <c r="L1071" i="5"/>
  <c r="K1071" i="5"/>
  <c r="I1071" i="5"/>
  <c r="L1070" i="5"/>
  <c r="K1070" i="5"/>
  <c r="I1070" i="5"/>
  <c r="L1069" i="5"/>
  <c r="K1069" i="5"/>
  <c r="I1069" i="5"/>
  <c r="L1068" i="5"/>
  <c r="K1068" i="5"/>
  <c r="I1068" i="5"/>
  <c r="L1067" i="5"/>
  <c r="K1067" i="5"/>
  <c r="I1067" i="5"/>
  <c r="L1066" i="5"/>
  <c r="K1066" i="5"/>
  <c r="I1066" i="5"/>
  <c r="L1065" i="5"/>
  <c r="K1065" i="5"/>
  <c r="I1065" i="5"/>
  <c r="L1064" i="5"/>
  <c r="K1064" i="5"/>
  <c r="I1064" i="5"/>
  <c r="L1063" i="5"/>
  <c r="K1063" i="5"/>
  <c r="I1063" i="5"/>
  <c r="L1062" i="5"/>
  <c r="K1062" i="5"/>
  <c r="I1062" i="5"/>
  <c r="L1061" i="5"/>
  <c r="K1061" i="5"/>
  <c r="I1061" i="5"/>
  <c r="L1060" i="5"/>
  <c r="K1060" i="5"/>
  <c r="I1060" i="5"/>
  <c r="L1059" i="5"/>
  <c r="K1059" i="5"/>
  <c r="I1059" i="5"/>
  <c r="L1058" i="5"/>
  <c r="K1058" i="5"/>
  <c r="I1058" i="5"/>
  <c r="L1057" i="5"/>
  <c r="K1057" i="5"/>
  <c r="I1057" i="5"/>
  <c r="L1056" i="5"/>
  <c r="K1056" i="5"/>
  <c r="I1056" i="5"/>
  <c r="L1055" i="5"/>
  <c r="K1055" i="5"/>
  <c r="I1055" i="5"/>
  <c r="L1054" i="5"/>
  <c r="K1054" i="5"/>
  <c r="I1054" i="5"/>
  <c r="L1053" i="5"/>
  <c r="K1053" i="5"/>
  <c r="I1053" i="5"/>
  <c r="L1052" i="5"/>
  <c r="K1052" i="5"/>
  <c r="I1052" i="5"/>
  <c r="L1051" i="5"/>
  <c r="K1051" i="5"/>
  <c r="I1051" i="5"/>
  <c r="L1050" i="5"/>
  <c r="K1050" i="5"/>
  <c r="I1050" i="5"/>
  <c r="L1049" i="5"/>
  <c r="K1049" i="5"/>
  <c r="I1049" i="5"/>
  <c r="L1048" i="5"/>
  <c r="K1048" i="5"/>
  <c r="I1048" i="5"/>
  <c r="L1047" i="5"/>
  <c r="K1047" i="5"/>
  <c r="I1047" i="5"/>
  <c r="L1046" i="5"/>
  <c r="K1046" i="5"/>
  <c r="I1046" i="5"/>
  <c r="L1045" i="5"/>
  <c r="K1045" i="5"/>
  <c r="I1045" i="5"/>
  <c r="L1044" i="5"/>
  <c r="K1044" i="5"/>
  <c r="I1044" i="5"/>
  <c r="L1043" i="5"/>
  <c r="K1043" i="5"/>
  <c r="I1043" i="5"/>
  <c r="L1042" i="5"/>
  <c r="K1042" i="5"/>
  <c r="I1042" i="5"/>
  <c r="L1041" i="5"/>
  <c r="K1041" i="5"/>
  <c r="I1041" i="5"/>
  <c r="L1040" i="5"/>
  <c r="K1040" i="5"/>
  <c r="I1040" i="5"/>
  <c r="L1039" i="5"/>
  <c r="K1039" i="5"/>
  <c r="I1039" i="5"/>
  <c r="L1038" i="5"/>
  <c r="K1038" i="5"/>
  <c r="I1038" i="5"/>
  <c r="L1037" i="5"/>
  <c r="K1037" i="5"/>
  <c r="I1037" i="5"/>
  <c r="L1036" i="5"/>
  <c r="K1036" i="5"/>
  <c r="I1036" i="5"/>
  <c r="L1035" i="5"/>
  <c r="K1035" i="5"/>
  <c r="I1035" i="5"/>
  <c r="L1034" i="5"/>
  <c r="K1034" i="5"/>
  <c r="I1034" i="5"/>
  <c r="L1033" i="5"/>
  <c r="K1033" i="5"/>
  <c r="I1033" i="5"/>
  <c r="L1032" i="5"/>
  <c r="K1032" i="5"/>
  <c r="I1032" i="5"/>
  <c r="L1031" i="5"/>
  <c r="K1031" i="5"/>
  <c r="I1031" i="5"/>
  <c r="L1030" i="5"/>
  <c r="K1030" i="5"/>
  <c r="I1030" i="5"/>
  <c r="L1029" i="5"/>
  <c r="K1029" i="5"/>
  <c r="I1029" i="5"/>
  <c r="L1028" i="5"/>
  <c r="K1028" i="5"/>
  <c r="I1028" i="5"/>
  <c r="L1027" i="5"/>
  <c r="K1027" i="5"/>
  <c r="I1027" i="5"/>
  <c r="L1026" i="5"/>
  <c r="K1026" i="5"/>
  <c r="I1026" i="5"/>
  <c r="L1025" i="5"/>
  <c r="K1025" i="5"/>
  <c r="I1025" i="5"/>
  <c r="L1024" i="5"/>
  <c r="K1024" i="5"/>
  <c r="I1024" i="5"/>
  <c r="L1023" i="5"/>
  <c r="K1023" i="5"/>
  <c r="I1023" i="5"/>
  <c r="L1022" i="5"/>
  <c r="K1022" i="5"/>
  <c r="I1022" i="5"/>
  <c r="L1021" i="5"/>
  <c r="K1021" i="5"/>
  <c r="I1021" i="5"/>
  <c r="L1020" i="5"/>
  <c r="K1020" i="5"/>
  <c r="I1020" i="5"/>
  <c r="L1019" i="5"/>
  <c r="K1019" i="5"/>
  <c r="I1019" i="5"/>
  <c r="L1018" i="5"/>
  <c r="K1018" i="5"/>
  <c r="I1018" i="5"/>
  <c r="L1017" i="5"/>
  <c r="K1017" i="5"/>
  <c r="I1017" i="5"/>
  <c r="L1016" i="5"/>
  <c r="K1016" i="5"/>
  <c r="I1016" i="5"/>
  <c r="L1015" i="5"/>
  <c r="K1015" i="5"/>
  <c r="I1015" i="5"/>
  <c r="L1014" i="5"/>
  <c r="K1014" i="5"/>
  <c r="I1014" i="5"/>
  <c r="L1013" i="5"/>
  <c r="K1013" i="5"/>
  <c r="I1013" i="5"/>
  <c r="L1012" i="5"/>
  <c r="K1012" i="5"/>
  <c r="I1012" i="5"/>
  <c r="L1011" i="5"/>
  <c r="K1011" i="5"/>
  <c r="I1011" i="5"/>
  <c r="L1010" i="5"/>
  <c r="K1010" i="5"/>
  <c r="I1010" i="5"/>
  <c r="L1009" i="5"/>
  <c r="K1009" i="5"/>
  <c r="I1009" i="5"/>
  <c r="L1008" i="5"/>
  <c r="K1008" i="5"/>
  <c r="I1008" i="5"/>
  <c r="L1007" i="5"/>
  <c r="K1007" i="5"/>
  <c r="I1007" i="5"/>
  <c r="L1006" i="5"/>
  <c r="K1006" i="5"/>
  <c r="I1006" i="5"/>
  <c r="L1005" i="5"/>
  <c r="K1005" i="5"/>
  <c r="I1005" i="5"/>
  <c r="L1004" i="5"/>
  <c r="K1004" i="5"/>
  <c r="I1004" i="5"/>
  <c r="L1003" i="5"/>
  <c r="K1003" i="5"/>
  <c r="I1003" i="5"/>
  <c r="L1002" i="5"/>
  <c r="K1002" i="5"/>
  <c r="I1002" i="5"/>
  <c r="L1001" i="5"/>
  <c r="K1001" i="5"/>
  <c r="I1001" i="5"/>
  <c r="L1000" i="5"/>
  <c r="K1000" i="5"/>
  <c r="I1000" i="5"/>
  <c r="L999" i="5"/>
  <c r="K999" i="5"/>
  <c r="I999" i="5"/>
  <c r="L998" i="5"/>
  <c r="K998" i="5"/>
  <c r="I998" i="5"/>
  <c r="L997" i="5"/>
  <c r="K997" i="5"/>
  <c r="I997" i="5"/>
  <c r="L996" i="5"/>
  <c r="K996" i="5"/>
  <c r="I996" i="5"/>
  <c r="L995" i="5"/>
  <c r="K995" i="5"/>
  <c r="I995" i="5"/>
  <c r="L994" i="5"/>
  <c r="K994" i="5"/>
  <c r="I994" i="5"/>
  <c r="L993" i="5"/>
  <c r="K993" i="5"/>
  <c r="I993" i="5"/>
  <c r="L992" i="5"/>
  <c r="K992" i="5"/>
  <c r="I992" i="5"/>
  <c r="L991" i="5"/>
  <c r="K991" i="5"/>
  <c r="I991" i="5"/>
  <c r="L990" i="5"/>
  <c r="K990" i="5"/>
  <c r="I990" i="5"/>
  <c r="L989" i="5"/>
  <c r="K989" i="5"/>
  <c r="I989" i="5"/>
  <c r="L988" i="5"/>
  <c r="K988" i="5"/>
  <c r="I988" i="5"/>
  <c r="L987" i="5"/>
  <c r="K987" i="5"/>
  <c r="I987" i="5"/>
  <c r="L986" i="5"/>
  <c r="K986" i="5"/>
  <c r="I986" i="5"/>
  <c r="L985" i="5"/>
  <c r="K985" i="5"/>
  <c r="I985" i="5"/>
  <c r="L984" i="5"/>
  <c r="K984" i="5"/>
  <c r="I984" i="5"/>
  <c r="L983" i="5"/>
  <c r="K983" i="5"/>
  <c r="I983" i="5"/>
  <c r="L982" i="5"/>
  <c r="K982" i="5"/>
  <c r="I982" i="5"/>
  <c r="L981" i="5"/>
  <c r="K981" i="5"/>
  <c r="I981" i="5"/>
  <c r="L980" i="5"/>
  <c r="K980" i="5"/>
  <c r="I980" i="5"/>
  <c r="L979" i="5"/>
  <c r="K979" i="5"/>
  <c r="I979" i="5"/>
  <c r="L978" i="5"/>
  <c r="K978" i="5"/>
  <c r="I978" i="5"/>
  <c r="L977" i="5"/>
  <c r="K977" i="5"/>
  <c r="I977" i="5"/>
  <c r="L976" i="5"/>
  <c r="K976" i="5"/>
  <c r="I976" i="5"/>
  <c r="L975" i="5"/>
  <c r="K975" i="5"/>
  <c r="I975" i="5"/>
  <c r="L974" i="5"/>
  <c r="K974" i="5"/>
  <c r="I974" i="5"/>
  <c r="L973" i="5"/>
  <c r="K973" i="5"/>
  <c r="I973" i="5"/>
  <c r="L972" i="5"/>
  <c r="K972" i="5"/>
  <c r="I972" i="5"/>
  <c r="L971" i="5"/>
  <c r="K971" i="5"/>
  <c r="I971" i="5"/>
  <c r="L970" i="5"/>
  <c r="K970" i="5"/>
  <c r="I970" i="5"/>
  <c r="L969" i="5"/>
  <c r="K969" i="5"/>
  <c r="I969" i="5"/>
  <c r="L968" i="5"/>
  <c r="K968" i="5"/>
  <c r="I968" i="5"/>
  <c r="L967" i="5"/>
  <c r="K967" i="5"/>
  <c r="I967" i="5"/>
  <c r="L966" i="5"/>
  <c r="K966" i="5"/>
  <c r="I966" i="5"/>
  <c r="L965" i="5"/>
  <c r="K965" i="5"/>
  <c r="I965" i="5"/>
  <c r="L964" i="5"/>
  <c r="K964" i="5"/>
  <c r="I964" i="5"/>
  <c r="L963" i="5"/>
  <c r="K963" i="5"/>
  <c r="I963" i="5"/>
  <c r="L962" i="5"/>
  <c r="K962" i="5"/>
  <c r="I962" i="5"/>
  <c r="L961" i="5"/>
  <c r="K961" i="5"/>
  <c r="I961" i="5"/>
  <c r="L960" i="5"/>
  <c r="K960" i="5"/>
  <c r="I960" i="5"/>
  <c r="L959" i="5"/>
  <c r="K959" i="5"/>
  <c r="I959" i="5"/>
  <c r="L958" i="5"/>
  <c r="K958" i="5"/>
  <c r="I958" i="5"/>
  <c r="L957" i="5"/>
  <c r="K957" i="5"/>
  <c r="I957" i="5"/>
  <c r="L956" i="5"/>
  <c r="K956" i="5"/>
  <c r="I956" i="5"/>
  <c r="L955" i="5"/>
  <c r="K955" i="5"/>
  <c r="I955" i="5"/>
  <c r="L954" i="5"/>
  <c r="K954" i="5"/>
  <c r="I954" i="5"/>
  <c r="L953" i="5"/>
  <c r="K953" i="5"/>
  <c r="I953" i="5"/>
  <c r="L952" i="5"/>
  <c r="K952" i="5"/>
  <c r="I952" i="5"/>
  <c r="L951" i="5"/>
  <c r="K951" i="5"/>
  <c r="I951" i="5"/>
  <c r="L950" i="5"/>
  <c r="K950" i="5"/>
  <c r="I950" i="5"/>
  <c r="L949" i="5"/>
  <c r="K949" i="5"/>
  <c r="I949" i="5"/>
  <c r="L948" i="5"/>
  <c r="K948" i="5"/>
  <c r="I948" i="5"/>
  <c r="L947" i="5"/>
  <c r="K947" i="5"/>
  <c r="I947" i="5"/>
  <c r="L946" i="5"/>
  <c r="K946" i="5"/>
  <c r="I946" i="5"/>
  <c r="L945" i="5"/>
  <c r="K945" i="5"/>
  <c r="I945" i="5"/>
  <c r="L944" i="5"/>
  <c r="K944" i="5"/>
  <c r="I944" i="5"/>
  <c r="L943" i="5"/>
  <c r="K943" i="5"/>
  <c r="I943" i="5"/>
  <c r="L942" i="5"/>
  <c r="K942" i="5"/>
  <c r="I942" i="5"/>
  <c r="L941" i="5"/>
  <c r="K941" i="5"/>
  <c r="I941" i="5"/>
  <c r="L940" i="5"/>
  <c r="K940" i="5"/>
  <c r="I940" i="5"/>
  <c r="L939" i="5"/>
  <c r="K939" i="5"/>
  <c r="I939" i="5"/>
  <c r="L938" i="5"/>
  <c r="K938" i="5"/>
  <c r="I938" i="5"/>
  <c r="L937" i="5"/>
  <c r="K937" i="5"/>
  <c r="I937" i="5"/>
  <c r="L936" i="5"/>
  <c r="K936" i="5"/>
  <c r="I936" i="5"/>
  <c r="L935" i="5"/>
  <c r="K935" i="5"/>
  <c r="I935" i="5"/>
  <c r="L934" i="5"/>
  <c r="K934" i="5"/>
  <c r="I934" i="5"/>
  <c r="L933" i="5"/>
  <c r="K933" i="5"/>
  <c r="I933" i="5"/>
  <c r="L932" i="5"/>
  <c r="K932" i="5"/>
  <c r="I932" i="5"/>
  <c r="L931" i="5"/>
  <c r="K931" i="5"/>
  <c r="I931" i="5"/>
  <c r="L930" i="5"/>
  <c r="K930" i="5"/>
  <c r="I930" i="5"/>
  <c r="L929" i="5"/>
  <c r="K929" i="5"/>
  <c r="I929" i="5"/>
  <c r="L928" i="5"/>
  <c r="K928" i="5"/>
  <c r="I928" i="5"/>
  <c r="L927" i="5"/>
  <c r="K927" i="5"/>
  <c r="I927" i="5"/>
  <c r="L926" i="5"/>
  <c r="K926" i="5"/>
  <c r="I926" i="5"/>
  <c r="L925" i="5"/>
  <c r="K925" i="5"/>
  <c r="I925" i="5"/>
  <c r="L924" i="5"/>
  <c r="K924" i="5"/>
  <c r="I924" i="5"/>
  <c r="L923" i="5"/>
  <c r="K923" i="5"/>
  <c r="I923" i="5"/>
  <c r="L922" i="5"/>
  <c r="K922" i="5"/>
  <c r="I922" i="5"/>
  <c r="L921" i="5"/>
  <c r="K921" i="5"/>
  <c r="I921" i="5"/>
  <c r="L920" i="5"/>
  <c r="K920" i="5"/>
  <c r="I920" i="5"/>
  <c r="L919" i="5"/>
  <c r="K919" i="5"/>
  <c r="I919" i="5"/>
  <c r="L918" i="5"/>
  <c r="K918" i="5"/>
  <c r="I918" i="5"/>
  <c r="L917" i="5"/>
  <c r="K917" i="5"/>
  <c r="I917" i="5"/>
  <c r="L916" i="5"/>
  <c r="K916" i="5"/>
  <c r="I916" i="5"/>
  <c r="L915" i="5"/>
  <c r="K915" i="5"/>
  <c r="I915" i="5"/>
  <c r="L914" i="5"/>
  <c r="K914" i="5"/>
  <c r="I914" i="5"/>
  <c r="L913" i="5"/>
  <c r="K913" i="5"/>
  <c r="I913" i="5"/>
  <c r="L912" i="5"/>
  <c r="K912" i="5"/>
  <c r="I912" i="5"/>
  <c r="L911" i="5"/>
  <c r="K911" i="5"/>
  <c r="I911" i="5"/>
  <c r="L910" i="5"/>
  <c r="K910" i="5"/>
  <c r="I910" i="5"/>
  <c r="L909" i="5"/>
  <c r="K909" i="5"/>
  <c r="I909" i="5"/>
  <c r="L908" i="5"/>
  <c r="K908" i="5"/>
  <c r="I908" i="5"/>
  <c r="L907" i="5"/>
  <c r="K907" i="5"/>
  <c r="I907" i="5"/>
  <c r="L906" i="5"/>
  <c r="K906" i="5"/>
  <c r="I906" i="5"/>
  <c r="L905" i="5"/>
  <c r="K905" i="5"/>
  <c r="I905" i="5"/>
  <c r="L904" i="5"/>
  <c r="K904" i="5"/>
  <c r="I904" i="5"/>
  <c r="L903" i="5"/>
  <c r="K903" i="5"/>
  <c r="I903" i="5"/>
  <c r="L902" i="5"/>
  <c r="K902" i="5"/>
  <c r="I902" i="5"/>
  <c r="L901" i="5"/>
  <c r="K901" i="5"/>
  <c r="I901" i="5"/>
  <c r="L900" i="5"/>
  <c r="K900" i="5"/>
  <c r="I900" i="5"/>
  <c r="L899" i="5"/>
  <c r="K899" i="5"/>
  <c r="I899" i="5"/>
  <c r="L898" i="5"/>
  <c r="K898" i="5"/>
  <c r="I898" i="5"/>
  <c r="L897" i="5"/>
  <c r="K897" i="5"/>
  <c r="I897" i="5"/>
  <c r="L896" i="5"/>
  <c r="K896" i="5"/>
  <c r="I896" i="5"/>
  <c r="L895" i="5"/>
  <c r="K895" i="5"/>
  <c r="I895" i="5"/>
  <c r="L894" i="5"/>
  <c r="K894" i="5"/>
  <c r="I894" i="5"/>
  <c r="L893" i="5"/>
  <c r="K893" i="5"/>
  <c r="I893" i="5"/>
  <c r="L892" i="5"/>
  <c r="K892" i="5"/>
  <c r="I892" i="5"/>
  <c r="L891" i="5"/>
  <c r="K891" i="5"/>
  <c r="I891" i="5"/>
  <c r="L890" i="5"/>
  <c r="K890" i="5"/>
  <c r="I890" i="5"/>
  <c r="L889" i="5"/>
  <c r="K889" i="5"/>
  <c r="I889" i="5"/>
  <c r="L888" i="5"/>
  <c r="K888" i="5"/>
  <c r="I888" i="5"/>
  <c r="L887" i="5"/>
  <c r="K887" i="5"/>
  <c r="I887" i="5"/>
  <c r="L886" i="5"/>
  <c r="K886" i="5"/>
  <c r="I886" i="5"/>
  <c r="L885" i="5"/>
  <c r="K885" i="5"/>
  <c r="I885" i="5"/>
  <c r="L884" i="5"/>
  <c r="K884" i="5"/>
  <c r="I884" i="5"/>
  <c r="L883" i="5"/>
  <c r="K883" i="5"/>
  <c r="I883" i="5"/>
  <c r="L882" i="5"/>
  <c r="K882" i="5"/>
  <c r="I882" i="5"/>
  <c r="L881" i="5"/>
  <c r="K881" i="5"/>
  <c r="I881" i="5"/>
  <c r="L880" i="5"/>
  <c r="K880" i="5"/>
  <c r="I880" i="5"/>
  <c r="L879" i="5"/>
  <c r="K879" i="5"/>
  <c r="I879" i="5"/>
  <c r="L878" i="5"/>
  <c r="K878" i="5"/>
  <c r="I878" i="5"/>
  <c r="L877" i="5"/>
  <c r="K877" i="5"/>
  <c r="I877" i="5"/>
  <c r="L876" i="5"/>
  <c r="K876" i="5"/>
  <c r="I876" i="5"/>
  <c r="L875" i="5"/>
  <c r="K875" i="5"/>
  <c r="I875" i="5"/>
  <c r="L874" i="5"/>
  <c r="K874" i="5"/>
  <c r="I874" i="5"/>
  <c r="L873" i="5"/>
  <c r="K873" i="5"/>
  <c r="I873" i="5"/>
  <c r="L872" i="5"/>
  <c r="K872" i="5"/>
  <c r="I872" i="5"/>
  <c r="L871" i="5"/>
  <c r="K871" i="5"/>
  <c r="I871" i="5"/>
  <c r="L870" i="5"/>
  <c r="K870" i="5"/>
  <c r="I870" i="5"/>
  <c r="L869" i="5"/>
  <c r="K869" i="5"/>
  <c r="I869" i="5"/>
  <c r="L868" i="5"/>
  <c r="K868" i="5"/>
  <c r="I868" i="5"/>
  <c r="L867" i="5"/>
  <c r="K867" i="5"/>
  <c r="I867" i="5"/>
  <c r="L866" i="5"/>
  <c r="K866" i="5"/>
  <c r="I866" i="5"/>
  <c r="L865" i="5"/>
  <c r="K865" i="5"/>
  <c r="I865" i="5"/>
  <c r="L864" i="5"/>
  <c r="K864" i="5"/>
  <c r="I864" i="5"/>
  <c r="L863" i="5"/>
  <c r="K863" i="5"/>
  <c r="I863" i="5"/>
  <c r="L862" i="5"/>
  <c r="K862" i="5"/>
  <c r="I862" i="5"/>
  <c r="L861" i="5"/>
  <c r="K861" i="5"/>
  <c r="I861" i="5"/>
  <c r="L860" i="5"/>
  <c r="K860" i="5"/>
  <c r="I860" i="5"/>
  <c r="L859" i="5"/>
  <c r="K859" i="5"/>
  <c r="I859" i="5"/>
  <c r="L858" i="5"/>
  <c r="K858" i="5"/>
  <c r="I858" i="5"/>
  <c r="L857" i="5"/>
  <c r="K857" i="5"/>
  <c r="I857" i="5"/>
  <c r="L856" i="5"/>
  <c r="K856" i="5"/>
  <c r="I856" i="5"/>
  <c r="L855" i="5"/>
  <c r="K855" i="5"/>
  <c r="I855" i="5"/>
  <c r="L854" i="5"/>
  <c r="K854" i="5"/>
  <c r="I854" i="5"/>
  <c r="L853" i="5"/>
  <c r="K853" i="5"/>
  <c r="I853" i="5"/>
  <c r="L852" i="5"/>
  <c r="K852" i="5"/>
  <c r="I852" i="5"/>
  <c r="L851" i="5"/>
  <c r="K851" i="5"/>
  <c r="I851" i="5"/>
  <c r="L850" i="5"/>
  <c r="K850" i="5"/>
  <c r="I850" i="5"/>
  <c r="L849" i="5"/>
  <c r="K849" i="5"/>
  <c r="I849" i="5"/>
  <c r="L848" i="5"/>
  <c r="K848" i="5"/>
  <c r="I848" i="5"/>
  <c r="L847" i="5"/>
  <c r="K847" i="5"/>
  <c r="I847" i="5"/>
  <c r="L846" i="5"/>
  <c r="K846" i="5"/>
  <c r="I846" i="5"/>
  <c r="L845" i="5"/>
  <c r="K845" i="5"/>
  <c r="I845" i="5"/>
  <c r="L844" i="5"/>
  <c r="K844" i="5"/>
  <c r="I844" i="5"/>
  <c r="L843" i="5"/>
  <c r="K843" i="5"/>
  <c r="I843" i="5"/>
  <c r="L842" i="5"/>
  <c r="K842" i="5"/>
  <c r="I842" i="5"/>
  <c r="L841" i="5"/>
  <c r="K841" i="5"/>
  <c r="I841" i="5"/>
  <c r="L840" i="5"/>
  <c r="K840" i="5"/>
  <c r="I840" i="5"/>
  <c r="L839" i="5"/>
  <c r="K839" i="5"/>
  <c r="I839" i="5"/>
  <c r="L838" i="5"/>
  <c r="K838" i="5"/>
  <c r="I838" i="5"/>
  <c r="L837" i="5"/>
  <c r="K837" i="5"/>
  <c r="I837" i="5"/>
  <c r="L836" i="5"/>
  <c r="K836" i="5"/>
  <c r="I836" i="5"/>
  <c r="L835" i="5"/>
  <c r="K835" i="5"/>
  <c r="I835" i="5"/>
  <c r="L834" i="5"/>
  <c r="K834" i="5"/>
  <c r="I834" i="5"/>
  <c r="L833" i="5"/>
  <c r="K833" i="5"/>
  <c r="I833" i="5"/>
  <c r="L832" i="5"/>
  <c r="K832" i="5"/>
  <c r="I832" i="5"/>
  <c r="L831" i="5"/>
  <c r="K831" i="5"/>
  <c r="I831" i="5"/>
  <c r="L830" i="5"/>
  <c r="K830" i="5"/>
  <c r="I830" i="5"/>
  <c r="L829" i="5"/>
  <c r="K829" i="5"/>
  <c r="I829" i="5"/>
  <c r="L828" i="5"/>
  <c r="K828" i="5"/>
  <c r="I828" i="5"/>
  <c r="L827" i="5"/>
  <c r="K827" i="5"/>
  <c r="I827" i="5"/>
  <c r="L826" i="5"/>
  <c r="K826" i="5"/>
  <c r="I826" i="5"/>
  <c r="L825" i="5"/>
  <c r="K825" i="5"/>
  <c r="I825" i="5"/>
  <c r="L824" i="5"/>
  <c r="K824" i="5"/>
  <c r="I824" i="5"/>
  <c r="L823" i="5"/>
  <c r="K823" i="5"/>
  <c r="I823" i="5"/>
  <c r="L822" i="5"/>
  <c r="K822" i="5"/>
  <c r="I822" i="5"/>
  <c r="L821" i="5"/>
  <c r="K821" i="5"/>
  <c r="I821" i="5"/>
  <c r="L820" i="5"/>
  <c r="K820" i="5"/>
  <c r="I820" i="5"/>
  <c r="L819" i="5"/>
  <c r="K819" i="5"/>
  <c r="I819" i="5"/>
  <c r="L818" i="5"/>
  <c r="K818" i="5"/>
  <c r="I818" i="5"/>
  <c r="L817" i="5"/>
  <c r="K817" i="5"/>
  <c r="I817" i="5"/>
  <c r="L816" i="5"/>
  <c r="K816" i="5"/>
  <c r="I816" i="5"/>
  <c r="L815" i="5"/>
  <c r="K815" i="5"/>
  <c r="I815" i="5"/>
  <c r="L814" i="5"/>
  <c r="K814" i="5"/>
  <c r="I814" i="5"/>
  <c r="L813" i="5"/>
  <c r="K813" i="5"/>
  <c r="I813" i="5"/>
  <c r="L812" i="5"/>
  <c r="K812" i="5"/>
  <c r="I812" i="5"/>
  <c r="L811" i="5"/>
  <c r="K811" i="5"/>
  <c r="I811" i="5"/>
  <c r="L810" i="5"/>
  <c r="K810" i="5"/>
  <c r="I810" i="5"/>
  <c r="L809" i="5"/>
  <c r="K809" i="5"/>
  <c r="I809" i="5"/>
  <c r="L808" i="5"/>
  <c r="K808" i="5"/>
  <c r="I808" i="5"/>
  <c r="L807" i="5"/>
  <c r="K807" i="5"/>
  <c r="I807" i="5"/>
  <c r="L806" i="5"/>
  <c r="K806" i="5"/>
  <c r="I806" i="5"/>
  <c r="L805" i="5"/>
  <c r="K805" i="5"/>
  <c r="I805" i="5"/>
  <c r="L804" i="5"/>
  <c r="K804" i="5"/>
  <c r="I804" i="5"/>
  <c r="L803" i="5"/>
  <c r="K803" i="5"/>
  <c r="I803" i="5"/>
  <c r="L802" i="5"/>
  <c r="K802" i="5"/>
  <c r="I802" i="5"/>
  <c r="L801" i="5"/>
  <c r="K801" i="5"/>
  <c r="I801" i="5"/>
  <c r="L800" i="5"/>
  <c r="K800" i="5"/>
  <c r="I800" i="5"/>
  <c r="L799" i="5"/>
  <c r="K799" i="5"/>
  <c r="I799" i="5"/>
  <c r="L798" i="5"/>
  <c r="K798" i="5"/>
  <c r="I798" i="5"/>
  <c r="L797" i="5"/>
  <c r="K797" i="5"/>
  <c r="I797" i="5"/>
  <c r="L796" i="5"/>
  <c r="K796" i="5"/>
  <c r="I796" i="5"/>
  <c r="L795" i="5"/>
  <c r="K795" i="5"/>
  <c r="I795" i="5"/>
  <c r="L794" i="5"/>
  <c r="K794" i="5"/>
  <c r="I794" i="5"/>
  <c r="L793" i="5"/>
  <c r="K793" i="5"/>
  <c r="I793" i="5"/>
  <c r="L792" i="5"/>
  <c r="K792" i="5"/>
  <c r="I792" i="5"/>
  <c r="L791" i="5"/>
  <c r="K791" i="5"/>
  <c r="I791" i="5"/>
  <c r="L790" i="5"/>
  <c r="K790" i="5"/>
  <c r="I790" i="5"/>
  <c r="L789" i="5"/>
  <c r="K789" i="5"/>
  <c r="I789" i="5"/>
  <c r="L788" i="5"/>
  <c r="K788" i="5"/>
  <c r="I788" i="5"/>
  <c r="L787" i="5"/>
  <c r="K787" i="5"/>
  <c r="I787" i="5"/>
  <c r="L786" i="5"/>
  <c r="K786" i="5"/>
  <c r="I786" i="5"/>
  <c r="L785" i="5"/>
  <c r="K785" i="5"/>
  <c r="I785" i="5"/>
  <c r="L784" i="5"/>
  <c r="K784" i="5"/>
  <c r="I784" i="5"/>
  <c r="L783" i="5"/>
  <c r="K783" i="5"/>
  <c r="I783" i="5"/>
  <c r="L782" i="5"/>
  <c r="K782" i="5"/>
  <c r="I782" i="5"/>
  <c r="L781" i="5"/>
  <c r="K781" i="5"/>
  <c r="I781" i="5"/>
  <c r="L780" i="5"/>
  <c r="K780" i="5"/>
  <c r="I780" i="5"/>
  <c r="L779" i="5"/>
  <c r="K779" i="5"/>
  <c r="I779" i="5"/>
  <c r="L778" i="5"/>
  <c r="K778" i="5"/>
  <c r="I778" i="5"/>
  <c r="L777" i="5"/>
  <c r="K777" i="5"/>
  <c r="I777" i="5"/>
  <c r="L776" i="5"/>
  <c r="K776" i="5"/>
  <c r="I776" i="5"/>
  <c r="L775" i="5"/>
  <c r="K775" i="5"/>
  <c r="I775" i="5"/>
  <c r="L774" i="5"/>
  <c r="K774" i="5"/>
  <c r="I774" i="5"/>
  <c r="L773" i="5"/>
  <c r="K773" i="5"/>
  <c r="I773" i="5"/>
  <c r="L772" i="5"/>
  <c r="K772" i="5"/>
  <c r="I772" i="5"/>
  <c r="L771" i="5"/>
  <c r="K771" i="5"/>
  <c r="I771" i="5"/>
  <c r="L770" i="5"/>
  <c r="K770" i="5"/>
  <c r="I770" i="5"/>
  <c r="L769" i="5"/>
  <c r="K769" i="5"/>
  <c r="I769" i="5"/>
  <c r="L768" i="5"/>
  <c r="K768" i="5"/>
  <c r="I768" i="5"/>
  <c r="L767" i="5"/>
  <c r="K767" i="5"/>
  <c r="I767" i="5"/>
  <c r="L766" i="5"/>
  <c r="K766" i="5"/>
  <c r="I766" i="5"/>
  <c r="L765" i="5"/>
  <c r="K765" i="5"/>
  <c r="I765" i="5"/>
  <c r="L764" i="5"/>
  <c r="K764" i="5"/>
  <c r="I764" i="5"/>
  <c r="L763" i="5"/>
  <c r="K763" i="5"/>
  <c r="I763" i="5"/>
  <c r="L762" i="5"/>
  <c r="K762" i="5"/>
  <c r="I762" i="5"/>
  <c r="L761" i="5"/>
  <c r="K761" i="5"/>
  <c r="I761" i="5"/>
  <c r="L760" i="5"/>
  <c r="K760" i="5"/>
  <c r="I760" i="5"/>
  <c r="L759" i="5"/>
  <c r="K759" i="5"/>
  <c r="I759" i="5"/>
  <c r="L758" i="5"/>
  <c r="K758" i="5"/>
  <c r="I758" i="5"/>
  <c r="L757" i="5"/>
  <c r="K757" i="5"/>
  <c r="I757" i="5"/>
  <c r="L756" i="5"/>
  <c r="K756" i="5"/>
  <c r="I756" i="5"/>
  <c r="L755" i="5"/>
  <c r="K755" i="5"/>
  <c r="I755" i="5"/>
  <c r="L754" i="5"/>
  <c r="K754" i="5"/>
  <c r="I754" i="5"/>
  <c r="L753" i="5"/>
  <c r="K753" i="5"/>
  <c r="I753" i="5"/>
  <c r="L752" i="5"/>
  <c r="K752" i="5"/>
  <c r="I752" i="5"/>
  <c r="L751" i="5"/>
  <c r="K751" i="5"/>
  <c r="I751" i="5"/>
  <c r="L750" i="5"/>
  <c r="K750" i="5"/>
  <c r="I750" i="5"/>
  <c r="L749" i="5"/>
  <c r="K749" i="5"/>
  <c r="I749" i="5"/>
  <c r="L748" i="5"/>
  <c r="K748" i="5"/>
  <c r="I748" i="5"/>
  <c r="L747" i="5"/>
  <c r="K747" i="5"/>
  <c r="I747" i="5"/>
  <c r="L746" i="5"/>
  <c r="K746" i="5"/>
  <c r="I746" i="5"/>
  <c r="L745" i="5"/>
  <c r="K745" i="5"/>
  <c r="I745" i="5"/>
  <c r="L744" i="5"/>
  <c r="K744" i="5"/>
  <c r="I744" i="5"/>
  <c r="L743" i="5"/>
  <c r="K743" i="5"/>
  <c r="I743" i="5"/>
  <c r="L742" i="5"/>
  <c r="K742" i="5"/>
  <c r="I742" i="5"/>
  <c r="L741" i="5"/>
  <c r="K741" i="5"/>
  <c r="I741" i="5"/>
  <c r="L740" i="5"/>
  <c r="K740" i="5"/>
  <c r="I740" i="5"/>
  <c r="L739" i="5"/>
  <c r="K739" i="5"/>
  <c r="I739" i="5"/>
  <c r="L738" i="5"/>
  <c r="K738" i="5"/>
  <c r="I738" i="5"/>
  <c r="L737" i="5"/>
  <c r="K737" i="5"/>
  <c r="I737" i="5"/>
  <c r="L736" i="5"/>
  <c r="K736" i="5"/>
  <c r="I736" i="5"/>
  <c r="L735" i="5"/>
  <c r="K735" i="5"/>
  <c r="I735" i="5"/>
  <c r="L734" i="5"/>
  <c r="K734" i="5"/>
  <c r="I734" i="5"/>
  <c r="L733" i="5"/>
  <c r="K733" i="5"/>
  <c r="I733" i="5"/>
  <c r="L732" i="5"/>
  <c r="K732" i="5"/>
  <c r="I732" i="5"/>
  <c r="L731" i="5"/>
  <c r="K731" i="5"/>
  <c r="I731" i="5"/>
  <c r="L730" i="5"/>
  <c r="K730" i="5"/>
  <c r="I730" i="5"/>
  <c r="L729" i="5"/>
  <c r="K729" i="5"/>
  <c r="I729" i="5"/>
  <c r="L728" i="5"/>
  <c r="K728" i="5"/>
  <c r="I728" i="5"/>
  <c r="L727" i="5"/>
  <c r="K727" i="5"/>
  <c r="I727" i="5"/>
  <c r="L726" i="5"/>
  <c r="K726" i="5"/>
  <c r="I726" i="5"/>
  <c r="L725" i="5"/>
  <c r="K725" i="5"/>
  <c r="I725" i="5"/>
  <c r="L724" i="5"/>
  <c r="K724" i="5"/>
  <c r="I724" i="5"/>
  <c r="L723" i="5"/>
  <c r="K723" i="5"/>
  <c r="I723" i="5"/>
  <c r="L722" i="5"/>
  <c r="K722" i="5"/>
  <c r="I722" i="5"/>
  <c r="L721" i="5"/>
  <c r="K721" i="5"/>
  <c r="I721" i="5"/>
  <c r="L720" i="5"/>
  <c r="K720" i="5"/>
  <c r="I720" i="5"/>
  <c r="L719" i="5"/>
  <c r="K719" i="5"/>
  <c r="I719" i="5"/>
  <c r="L718" i="5"/>
  <c r="K718" i="5"/>
  <c r="I718" i="5"/>
  <c r="L717" i="5"/>
  <c r="K717" i="5"/>
  <c r="I717" i="5"/>
  <c r="L716" i="5"/>
  <c r="K716" i="5"/>
  <c r="I716" i="5"/>
  <c r="L715" i="5"/>
  <c r="K715" i="5"/>
  <c r="I715" i="5"/>
  <c r="L714" i="5"/>
  <c r="K714" i="5"/>
  <c r="I714" i="5"/>
  <c r="L713" i="5"/>
  <c r="K713" i="5"/>
  <c r="I713" i="5"/>
  <c r="L712" i="5"/>
  <c r="K712" i="5"/>
  <c r="I712" i="5"/>
  <c r="L711" i="5"/>
  <c r="K711" i="5"/>
  <c r="I711" i="5"/>
  <c r="L710" i="5"/>
  <c r="K710" i="5"/>
  <c r="I710" i="5"/>
  <c r="L709" i="5"/>
  <c r="K709" i="5"/>
  <c r="I709" i="5"/>
  <c r="L708" i="5"/>
  <c r="K708" i="5"/>
  <c r="I708" i="5"/>
  <c r="L707" i="5"/>
  <c r="K707" i="5"/>
  <c r="I707" i="5"/>
  <c r="L706" i="5"/>
  <c r="K706" i="5"/>
  <c r="I706" i="5"/>
  <c r="L705" i="5"/>
  <c r="K705" i="5"/>
  <c r="I705" i="5"/>
  <c r="L704" i="5"/>
  <c r="K704" i="5"/>
  <c r="I704" i="5"/>
  <c r="L703" i="5"/>
  <c r="K703" i="5"/>
  <c r="I703" i="5"/>
  <c r="L702" i="5"/>
  <c r="K702" i="5"/>
  <c r="I702" i="5"/>
  <c r="L701" i="5"/>
  <c r="K701" i="5"/>
  <c r="I701" i="5"/>
  <c r="L700" i="5"/>
  <c r="K700" i="5"/>
  <c r="I700" i="5"/>
  <c r="L699" i="5"/>
  <c r="K699" i="5"/>
  <c r="I699" i="5"/>
  <c r="L698" i="5"/>
  <c r="K698" i="5"/>
  <c r="I698" i="5"/>
  <c r="L697" i="5"/>
  <c r="K697" i="5"/>
  <c r="I697" i="5"/>
  <c r="L696" i="5"/>
  <c r="K696" i="5"/>
  <c r="I696" i="5"/>
  <c r="L695" i="5"/>
  <c r="K695" i="5"/>
  <c r="I695" i="5"/>
  <c r="L694" i="5"/>
  <c r="K694" i="5"/>
  <c r="I694" i="5"/>
  <c r="L693" i="5"/>
  <c r="K693" i="5"/>
  <c r="I693" i="5"/>
  <c r="L692" i="5"/>
  <c r="K692" i="5"/>
  <c r="I692" i="5"/>
  <c r="L691" i="5"/>
  <c r="K691" i="5"/>
  <c r="I691" i="5"/>
  <c r="L690" i="5"/>
  <c r="K690" i="5"/>
  <c r="I690" i="5"/>
  <c r="L689" i="5"/>
  <c r="K689" i="5"/>
  <c r="I689" i="5"/>
  <c r="L688" i="5"/>
  <c r="K688" i="5"/>
  <c r="I688" i="5"/>
  <c r="L687" i="5"/>
  <c r="K687" i="5"/>
  <c r="I687" i="5"/>
  <c r="L686" i="5"/>
  <c r="K686" i="5"/>
  <c r="I686" i="5"/>
  <c r="L685" i="5"/>
  <c r="K685" i="5"/>
  <c r="I685" i="5"/>
  <c r="L684" i="5"/>
  <c r="K684" i="5"/>
  <c r="I684" i="5"/>
  <c r="L683" i="5"/>
  <c r="K683" i="5"/>
  <c r="I683" i="5"/>
  <c r="L682" i="5"/>
  <c r="K682" i="5"/>
  <c r="I682" i="5"/>
  <c r="L681" i="5"/>
  <c r="K681" i="5"/>
  <c r="I681" i="5"/>
  <c r="L680" i="5"/>
  <c r="K680" i="5"/>
  <c r="I680" i="5"/>
  <c r="L679" i="5"/>
  <c r="K679" i="5"/>
  <c r="I679" i="5"/>
  <c r="L678" i="5"/>
  <c r="K678" i="5"/>
  <c r="I678" i="5"/>
  <c r="L677" i="5"/>
  <c r="K677" i="5"/>
  <c r="I677" i="5"/>
  <c r="L676" i="5"/>
  <c r="K676" i="5"/>
  <c r="I676" i="5"/>
  <c r="L675" i="5"/>
  <c r="K675" i="5"/>
  <c r="I675" i="5"/>
  <c r="L674" i="5"/>
  <c r="K674" i="5"/>
  <c r="I674" i="5"/>
  <c r="L673" i="5"/>
  <c r="K673" i="5"/>
  <c r="I673" i="5"/>
  <c r="L672" i="5"/>
  <c r="K672" i="5"/>
  <c r="I672" i="5"/>
  <c r="L671" i="5"/>
  <c r="K671" i="5"/>
  <c r="I671" i="5"/>
  <c r="L670" i="5"/>
  <c r="K670" i="5"/>
  <c r="I670" i="5"/>
  <c r="L669" i="5"/>
  <c r="K669" i="5"/>
  <c r="I669" i="5"/>
  <c r="L668" i="5"/>
  <c r="K668" i="5"/>
  <c r="I668" i="5"/>
  <c r="L667" i="5"/>
  <c r="K667" i="5"/>
  <c r="I667" i="5"/>
  <c r="L666" i="5"/>
  <c r="K666" i="5"/>
  <c r="I666" i="5"/>
  <c r="L665" i="5"/>
  <c r="K665" i="5"/>
  <c r="I665" i="5"/>
  <c r="L664" i="5"/>
  <c r="K664" i="5"/>
  <c r="I664" i="5"/>
  <c r="L663" i="5"/>
  <c r="K663" i="5"/>
  <c r="I663" i="5"/>
  <c r="L662" i="5"/>
  <c r="K662" i="5"/>
  <c r="I662" i="5"/>
  <c r="L661" i="5"/>
  <c r="K661" i="5"/>
  <c r="I661" i="5"/>
  <c r="L660" i="5"/>
  <c r="K660" i="5"/>
  <c r="I660" i="5"/>
  <c r="L659" i="5"/>
  <c r="K659" i="5"/>
  <c r="I659" i="5"/>
  <c r="L658" i="5"/>
  <c r="K658" i="5"/>
  <c r="I658" i="5"/>
  <c r="L657" i="5"/>
  <c r="K657" i="5"/>
  <c r="I657" i="5"/>
  <c r="L656" i="5"/>
  <c r="K656" i="5"/>
  <c r="I656" i="5"/>
  <c r="L655" i="5"/>
  <c r="K655" i="5"/>
  <c r="I655" i="5"/>
  <c r="L654" i="5"/>
  <c r="K654" i="5"/>
  <c r="I654" i="5"/>
  <c r="L653" i="5"/>
  <c r="K653" i="5"/>
  <c r="I653" i="5"/>
  <c r="L652" i="5"/>
  <c r="K652" i="5"/>
  <c r="I652" i="5"/>
  <c r="L651" i="5"/>
  <c r="K651" i="5"/>
  <c r="I651" i="5"/>
  <c r="L650" i="5"/>
  <c r="K650" i="5"/>
  <c r="I650" i="5"/>
  <c r="L649" i="5"/>
  <c r="K649" i="5"/>
  <c r="I649" i="5"/>
  <c r="L648" i="5"/>
  <c r="K648" i="5"/>
  <c r="I648" i="5"/>
  <c r="L647" i="5"/>
  <c r="K647" i="5"/>
  <c r="I647" i="5"/>
  <c r="L646" i="5"/>
  <c r="K646" i="5"/>
  <c r="I646" i="5"/>
  <c r="L645" i="5"/>
  <c r="K645" i="5"/>
  <c r="I645" i="5"/>
  <c r="L644" i="5"/>
  <c r="K644" i="5"/>
  <c r="I644" i="5"/>
  <c r="L643" i="5"/>
  <c r="K643" i="5"/>
  <c r="I643" i="5"/>
  <c r="L642" i="5"/>
  <c r="K642" i="5"/>
  <c r="I642" i="5"/>
  <c r="L641" i="5"/>
  <c r="K641" i="5"/>
  <c r="I641" i="5"/>
  <c r="L640" i="5"/>
  <c r="K640" i="5"/>
  <c r="I640" i="5"/>
  <c r="L639" i="5"/>
  <c r="K639" i="5"/>
  <c r="I639" i="5"/>
  <c r="L638" i="5"/>
  <c r="K638" i="5"/>
  <c r="I638" i="5"/>
  <c r="L637" i="5"/>
  <c r="K637" i="5"/>
  <c r="I637" i="5"/>
  <c r="L636" i="5"/>
  <c r="K636" i="5"/>
  <c r="I636" i="5"/>
  <c r="L635" i="5"/>
  <c r="K635" i="5"/>
  <c r="I635" i="5"/>
  <c r="L634" i="5"/>
  <c r="K634" i="5"/>
  <c r="I634" i="5"/>
  <c r="L633" i="5"/>
  <c r="K633" i="5"/>
  <c r="I633" i="5"/>
  <c r="L632" i="5"/>
  <c r="K632" i="5"/>
  <c r="I632" i="5"/>
  <c r="L631" i="5"/>
  <c r="K631" i="5"/>
  <c r="I631" i="5"/>
  <c r="L630" i="5"/>
  <c r="K630" i="5"/>
  <c r="I630" i="5"/>
  <c r="L629" i="5"/>
  <c r="K629" i="5"/>
  <c r="I629" i="5"/>
  <c r="L628" i="5"/>
  <c r="K628" i="5"/>
  <c r="I628" i="5"/>
  <c r="L627" i="5"/>
  <c r="K627" i="5"/>
  <c r="I627" i="5"/>
  <c r="L626" i="5"/>
  <c r="K626" i="5"/>
  <c r="I626" i="5"/>
  <c r="L625" i="5"/>
  <c r="K625" i="5"/>
  <c r="I625" i="5"/>
  <c r="L624" i="5"/>
  <c r="K624" i="5"/>
  <c r="I624" i="5"/>
  <c r="L623" i="5"/>
  <c r="K623" i="5"/>
  <c r="I623" i="5"/>
  <c r="L622" i="5"/>
  <c r="K622" i="5"/>
  <c r="I622" i="5"/>
  <c r="L621" i="5"/>
  <c r="K621" i="5"/>
  <c r="N621" i="5" s="1"/>
  <c r="I621" i="5"/>
  <c r="L620" i="5"/>
  <c r="K620" i="5"/>
  <c r="I620" i="5"/>
  <c r="L619" i="5"/>
  <c r="K619" i="5"/>
  <c r="I619" i="5"/>
  <c r="L618" i="5"/>
  <c r="K618" i="5"/>
  <c r="I618" i="5"/>
  <c r="L617" i="5"/>
  <c r="K617" i="5"/>
  <c r="I617" i="5"/>
  <c r="L616" i="5"/>
  <c r="K616" i="5"/>
  <c r="I616" i="5"/>
  <c r="L615" i="5"/>
  <c r="K615" i="5"/>
  <c r="I615" i="5"/>
  <c r="L614" i="5"/>
  <c r="K614" i="5"/>
  <c r="I614" i="5"/>
  <c r="L613" i="5"/>
  <c r="K613" i="5"/>
  <c r="I613" i="5"/>
  <c r="L612" i="5"/>
  <c r="K612" i="5"/>
  <c r="I612" i="5"/>
  <c r="L611" i="5"/>
  <c r="K611" i="5"/>
  <c r="I611" i="5"/>
  <c r="L610" i="5"/>
  <c r="K610" i="5"/>
  <c r="I610" i="5"/>
  <c r="L609" i="5"/>
  <c r="K609" i="5"/>
  <c r="I609" i="5"/>
  <c r="L608" i="5"/>
  <c r="K608" i="5"/>
  <c r="I608" i="5"/>
  <c r="L607" i="5"/>
  <c r="K607" i="5"/>
  <c r="I607" i="5"/>
  <c r="L606" i="5"/>
  <c r="K606" i="5"/>
  <c r="I606" i="5"/>
  <c r="L605" i="5"/>
  <c r="K605" i="5"/>
  <c r="I605" i="5"/>
  <c r="L604" i="5"/>
  <c r="K604" i="5"/>
  <c r="I604" i="5"/>
  <c r="L603" i="5"/>
  <c r="K603" i="5"/>
  <c r="I603" i="5"/>
  <c r="L602" i="5"/>
  <c r="K602" i="5"/>
  <c r="I602" i="5"/>
  <c r="L601" i="5"/>
  <c r="K601" i="5"/>
  <c r="I601" i="5"/>
  <c r="L600" i="5"/>
  <c r="K600" i="5"/>
  <c r="I600" i="5"/>
  <c r="L599" i="5"/>
  <c r="K599" i="5"/>
  <c r="I599" i="5"/>
  <c r="L598" i="5"/>
  <c r="K598" i="5"/>
  <c r="I598" i="5"/>
  <c r="L597" i="5"/>
  <c r="K597" i="5"/>
  <c r="I597" i="5"/>
  <c r="L596" i="5"/>
  <c r="K596" i="5"/>
  <c r="I596" i="5"/>
  <c r="L595" i="5"/>
  <c r="K595" i="5"/>
  <c r="I595" i="5"/>
  <c r="L594" i="5"/>
  <c r="K594" i="5"/>
  <c r="I594" i="5"/>
  <c r="L593" i="5"/>
  <c r="K593" i="5"/>
  <c r="I593" i="5"/>
  <c r="L592" i="5"/>
  <c r="K592" i="5"/>
  <c r="I592" i="5"/>
  <c r="L591" i="5"/>
  <c r="K591" i="5"/>
  <c r="I591" i="5"/>
  <c r="L590" i="5"/>
  <c r="K590" i="5"/>
  <c r="I590" i="5"/>
  <c r="L589" i="5"/>
  <c r="K589" i="5"/>
  <c r="I589" i="5"/>
  <c r="L588" i="5"/>
  <c r="K588" i="5"/>
  <c r="I588" i="5"/>
  <c r="L587" i="5"/>
  <c r="K587" i="5"/>
  <c r="I587" i="5"/>
  <c r="L586" i="5"/>
  <c r="K586" i="5"/>
  <c r="I586" i="5"/>
  <c r="L585" i="5"/>
  <c r="K585" i="5"/>
  <c r="I585" i="5"/>
  <c r="L584" i="5"/>
  <c r="K584" i="5"/>
  <c r="I584" i="5"/>
  <c r="L583" i="5"/>
  <c r="K583" i="5"/>
  <c r="I583" i="5"/>
  <c r="L582" i="5"/>
  <c r="K582" i="5"/>
  <c r="I582" i="5"/>
  <c r="L581" i="5"/>
  <c r="K581" i="5"/>
  <c r="I581" i="5"/>
  <c r="L580" i="5"/>
  <c r="K580" i="5"/>
  <c r="I580" i="5"/>
  <c r="L579" i="5"/>
  <c r="K579" i="5"/>
  <c r="I579" i="5"/>
  <c r="L578" i="5"/>
  <c r="K578" i="5"/>
  <c r="I578" i="5"/>
  <c r="L577" i="5"/>
  <c r="K577" i="5"/>
  <c r="I577" i="5"/>
  <c r="L576" i="5"/>
  <c r="K576" i="5"/>
  <c r="I576" i="5"/>
  <c r="L575" i="5"/>
  <c r="K575" i="5"/>
  <c r="I575" i="5"/>
  <c r="L574" i="5"/>
  <c r="K574" i="5"/>
  <c r="I574" i="5"/>
  <c r="L573" i="5"/>
  <c r="K573" i="5"/>
  <c r="I573" i="5"/>
  <c r="L572" i="5"/>
  <c r="K572" i="5"/>
  <c r="I572" i="5"/>
  <c r="L571" i="5"/>
  <c r="K571" i="5"/>
  <c r="I571" i="5"/>
  <c r="L570" i="5"/>
  <c r="K570" i="5"/>
  <c r="I570" i="5"/>
  <c r="L569" i="5"/>
  <c r="K569" i="5"/>
  <c r="I569" i="5"/>
  <c r="L568" i="5"/>
  <c r="K568" i="5"/>
  <c r="I568" i="5"/>
  <c r="L567" i="5"/>
  <c r="K567" i="5"/>
  <c r="N567" i="5" s="1"/>
  <c r="I567" i="5"/>
  <c r="L566" i="5"/>
  <c r="K566" i="5"/>
  <c r="I566" i="5"/>
  <c r="L565" i="5"/>
  <c r="K565" i="5"/>
  <c r="I565" i="5"/>
  <c r="L564" i="5"/>
  <c r="K564" i="5"/>
  <c r="I564" i="5"/>
  <c r="L563" i="5"/>
  <c r="K563" i="5"/>
  <c r="I563" i="5"/>
  <c r="L562" i="5"/>
  <c r="K562" i="5"/>
  <c r="I562" i="5"/>
  <c r="L561" i="5"/>
  <c r="K561" i="5"/>
  <c r="I561" i="5"/>
  <c r="L560" i="5"/>
  <c r="K560" i="5"/>
  <c r="I560" i="5"/>
  <c r="L559" i="5"/>
  <c r="K559" i="5"/>
  <c r="I559" i="5"/>
  <c r="L558" i="5"/>
  <c r="K558" i="5"/>
  <c r="I558" i="5"/>
  <c r="L557" i="5"/>
  <c r="K557" i="5"/>
  <c r="I557" i="5"/>
  <c r="L556" i="5"/>
  <c r="K556" i="5"/>
  <c r="I556" i="5"/>
  <c r="L555" i="5"/>
  <c r="K555" i="5"/>
  <c r="I555" i="5"/>
  <c r="L554" i="5"/>
  <c r="K554" i="5"/>
  <c r="I554" i="5"/>
  <c r="L553" i="5"/>
  <c r="K553" i="5"/>
  <c r="I553" i="5"/>
  <c r="L552" i="5"/>
  <c r="K552" i="5"/>
  <c r="I552" i="5"/>
  <c r="L551" i="5"/>
  <c r="K551" i="5"/>
  <c r="I551" i="5"/>
  <c r="L550" i="5"/>
  <c r="K550" i="5"/>
  <c r="I550" i="5"/>
  <c r="L549" i="5"/>
  <c r="K549" i="5"/>
  <c r="I549" i="5"/>
  <c r="L548" i="5"/>
  <c r="K548" i="5"/>
  <c r="I548" i="5"/>
  <c r="L547" i="5"/>
  <c r="K547" i="5"/>
  <c r="I547" i="5"/>
  <c r="L546" i="5"/>
  <c r="K546" i="5"/>
  <c r="I546" i="5"/>
  <c r="L545" i="5"/>
  <c r="K545" i="5"/>
  <c r="I545" i="5"/>
  <c r="L544" i="5"/>
  <c r="K544" i="5"/>
  <c r="I544" i="5"/>
  <c r="L543" i="5"/>
  <c r="K543" i="5"/>
  <c r="I543" i="5"/>
  <c r="L542" i="5"/>
  <c r="K542" i="5"/>
  <c r="I542" i="5"/>
  <c r="L541" i="5"/>
  <c r="K541" i="5"/>
  <c r="I541" i="5"/>
  <c r="L540" i="5"/>
  <c r="K540" i="5"/>
  <c r="I540" i="5"/>
  <c r="L539" i="5"/>
  <c r="K539" i="5"/>
  <c r="I539" i="5"/>
  <c r="L538" i="5"/>
  <c r="K538" i="5"/>
  <c r="I538" i="5"/>
  <c r="L537" i="5"/>
  <c r="K537" i="5"/>
  <c r="I537" i="5"/>
  <c r="L536" i="5"/>
  <c r="K536" i="5"/>
  <c r="I536" i="5"/>
  <c r="L535" i="5"/>
  <c r="K535" i="5"/>
  <c r="I535" i="5"/>
  <c r="L534" i="5"/>
  <c r="K534" i="5"/>
  <c r="I534" i="5"/>
  <c r="L533" i="5"/>
  <c r="K533" i="5"/>
  <c r="I533" i="5"/>
  <c r="L532" i="5"/>
  <c r="K532" i="5"/>
  <c r="I532" i="5"/>
  <c r="L531" i="5"/>
  <c r="K531" i="5"/>
  <c r="I531" i="5"/>
  <c r="L530" i="5"/>
  <c r="K530" i="5"/>
  <c r="I530" i="5"/>
  <c r="L529" i="5"/>
  <c r="K529" i="5"/>
  <c r="I529" i="5"/>
  <c r="L528" i="5"/>
  <c r="K528" i="5"/>
  <c r="I528" i="5"/>
  <c r="L527" i="5"/>
  <c r="K527" i="5"/>
  <c r="I527" i="5"/>
  <c r="L526" i="5"/>
  <c r="K526" i="5"/>
  <c r="I526" i="5"/>
  <c r="L525" i="5"/>
  <c r="K525" i="5"/>
  <c r="I525" i="5"/>
  <c r="L524" i="5"/>
  <c r="K524" i="5"/>
  <c r="I524" i="5"/>
  <c r="L523" i="5"/>
  <c r="K523" i="5"/>
  <c r="I523" i="5"/>
  <c r="L522" i="5"/>
  <c r="K522" i="5"/>
  <c r="I522" i="5"/>
  <c r="L521" i="5"/>
  <c r="K521" i="5"/>
  <c r="I521" i="5"/>
  <c r="L520" i="5"/>
  <c r="K520" i="5"/>
  <c r="I520" i="5"/>
  <c r="L519" i="5"/>
  <c r="K519" i="5"/>
  <c r="I519" i="5"/>
  <c r="L518" i="5"/>
  <c r="K518" i="5"/>
  <c r="I518" i="5"/>
  <c r="L517" i="5"/>
  <c r="K517" i="5"/>
  <c r="I517" i="5"/>
  <c r="L516" i="5"/>
  <c r="K516" i="5"/>
  <c r="I516" i="5"/>
  <c r="L515" i="5"/>
  <c r="K515" i="5"/>
  <c r="I515" i="5"/>
  <c r="L514" i="5"/>
  <c r="K514" i="5"/>
  <c r="I514" i="5"/>
  <c r="L513" i="5"/>
  <c r="K513" i="5"/>
  <c r="I513" i="5"/>
  <c r="L512" i="5"/>
  <c r="K512" i="5"/>
  <c r="I512" i="5"/>
  <c r="L511" i="5"/>
  <c r="K511" i="5"/>
  <c r="I511" i="5"/>
  <c r="L510" i="5"/>
  <c r="K510" i="5"/>
  <c r="I510" i="5"/>
  <c r="L509" i="5"/>
  <c r="K509" i="5"/>
  <c r="I509" i="5"/>
  <c r="L508" i="5"/>
  <c r="K508" i="5"/>
  <c r="I508" i="5"/>
  <c r="L507" i="5"/>
  <c r="K507" i="5"/>
  <c r="I507" i="5"/>
  <c r="L506" i="5"/>
  <c r="K506" i="5"/>
  <c r="I506" i="5"/>
  <c r="L505" i="5"/>
  <c r="K505" i="5"/>
  <c r="I505" i="5"/>
  <c r="L504" i="5"/>
  <c r="K504" i="5"/>
  <c r="I504" i="5"/>
  <c r="L503" i="5"/>
  <c r="K503" i="5"/>
  <c r="I503" i="5"/>
  <c r="L502" i="5"/>
  <c r="K502" i="5"/>
  <c r="I502" i="5"/>
  <c r="L501" i="5"/>
  <c r="K501" i="5"/>
  <c r="I501" i="5"/>
  <c r="L500" i="5"/>
  <c r="K500" i="5"/>
  <c r="I500" i="5"/>
  <c r="L499" i="5"/>
  <c r="K499" i="5"/>
  <c r="I499" i="5"/>
  <c r="L498" i="5"/>
  <c r="K498" i="5"/>
  <c r="I498" i="5"/>
  <c r="L497" i="5"/>
  <c r="K497" i="5"/>
  <c r="I497" i="5"/>
  <c r="L496" i="5"/>
  <c r="K496" i="5"/>
  <c r="I496" i="5"/>
  <c r="L495" i="5"/>
  <c r="K495" i="5"/>
  <c r="I495" i="5"/>
  <c r="L494" i="5"/>
  <c r="K494" i="5"/>
  <c r="I494" i="5"/>
  <c r="L493" i="5"/>
  <c r="K493" i="5"/>
  <c r="I493" i="5"/>
  <c r="L492" i="5"/>
  <c r="K492" i="5"/>
  <c r="I492" i="5"/>
  <c r="L491" i="5"/>
  <c r="K491" i="5"/>
  <c r="I491" i="5"/>
  <c r="L490" i="5"/>
  <c r="K490" i="5"/>
  <c r="I490" i="5"/>
  <c r="L489" i="5"/>
  <c r="K489" i="5"/>
  <c r="I489" i="5"/>
  <c r="L488" i="5"/>
  <c r="K488" i="5"/>
  <c r="I488" i="5"/>
  <c r="L487" i="5"/>
  <c r="K487" i="5"/>
  <c r="I487" i="5"/>
  <c r="L486" i="5"/>
  <c r="K486" i="5"/>
  <c r="I486" i="5"/>
  <c r="L485" i="5"/>
  <c r="K485" i="5"/>
  <c r="I485" i="5"/>
  <c r="L484" i="5"/>
  <c r="K484" i="5"/>
  <c r="I484" i="5"/>
  <c r="L483" i="5"/>
  <c r="K483" i="5"/>
  <c r="I483" i="5"/>
  <c r="L482" i="5"/>
  <c r="K482" i="5"/>
  <c r="I482" i="5"/>
  <c r="L481" i="5"/>
  <c r="K481" i="5"/>
  <c r="I481" i="5"/>
  <c r="L480" i="5"/>
  <c r="K480" i="5"/>
  <c r="I480" i="5"/>
  <c r="L479" i="5"/>
  <c r="K479" i="5"/>
  <c r="I479" i="5"/>
  <c r="L478" i="5"/>
  <c r="K478" i="5"/>
  <c r="I478" i="5"/>
  <c r="L477" i="5"/>
  <c r="K477" i="5"/>
  <c r="I477" i="5"/>
  <c r="L476" i="5"/>
  <c r="K476" i="5"/>
  <c r="I476" i="5"/>
  <c r="L475" i="5"/>
  <c r="K475" i="5"/>
  <c r="I475" i="5"/>
  <c r="L474" i="5"/>
  <c r="K474" i="5"/>
  <c r="I474" i="5"/>
  <c r="L473" i="5"/>
  <c r="K473" i="5"/>
  <c r="I473" i="5"/>
  <c r="L472" i="5"/>
  <c r="K472" i="5"/>
  <c r="I472" i="5"/>
  <c r="L471" i="5"/>
  <c r="K471" i="5"/>
  <c r="I471" i="5"/>
  <c r="L470" i="5"/>
  <c r="K470" i="5"/>
  <c r="I470" i="5"/>
  <c r="L469" i="5"/>
  <c r="K469" i="5"/>
  <c r="I469" i="5"/>
  <c r="L468" i="5"/>
  <c r="K468" i="5"/>
  <c r="I468" i="5"/>
  <c r="L467" i="5"/>
  <c r="K467" i="5"/>
  <c r="I467" i="5"/>
  <c r="L466" i="5"/>
  <c r="K466" i="5"/>
  <c r="I466" i="5"/>
  <c r="L465" i="5"/>
  <c r="K465" i="5"/>
  <c r="I465" i="5"/>
  <c r="L464" i="5"/>
  <c r="K464" i="5"/>
  <c r="I464" i="5"/>
  <c r="L463" i="5"/>
  <c r="K463" i="5"/>
  <c r="I463" i="5"/>
  <c r="L462" i="5"/>
  <c r="K462" i="5"/>
  <c r="I462" i="5"/>
  <c r="L461" i="5"/>
  <c r="K461" i="5"/>
  <c r="I461" i="5"/>
  <c r="L460" i="5"/>
  <c r="K460" i="5"/>
  <c r="I460" i="5"/>
  <c r="L459" i="5"/>
  <c r="K459" i="5"/>
  <c r="I459" i="5"/>
  <c r="L458" i="5"/>
  <c r="K458" i="5"/>
  <c r="I458" i="5"/>
  <c r="L457" i="5"/>
  <c r="K457" i="5"/>
  <c r="I457" i="5"/>
  <c r="L456" i="5"/>
  <c r="K456" i="5"/>
  <c r="I456" i="5"/>
  <c r="L455" i="5"/>
  <c r="K455" i="5"/>
  <c r="I455" i="5"/>
  <c r="L454" i="5"/>
  <c r="K454" i="5"/>
  <c r="I454" i="5"/>
  <c r="L453" i="5"/>
  <c r="K453" i="5"/>
  <c r="I453" i="5"/>
  <c r="L452" i="5"/>
  <c r="K452" i="5"/>
  <c r="I452" i="5"/>
  <c r="L451" i="5"/>
  <c r="K451" i="5"/>
  <c r="I451" i="5"/>
  <c r="L450" i="5"/>
  <c r="K450" i="5"/>
  <c r="I450" i="5"/>
  <c r="L449" i="5"/>
  <c r="K449" i="5"/>
  <c r="I449" i="5"/>
  <c r="L448" i="5"/>
  <c r="K448" i="5"/>
  <c r="I448" i="5"/>
  <c r="L447" i="5"/>
  <c r="K447" i="5"/>
  <c r="I447" i="5"/>
  <c r="L446" i="5"/>
  <c r="K446" i="5"/>
  <c r="I446" i="5"/>
  <c r="L445" i="5"/>
  <c r="K445" i="5"/>
  <c r="I445" i="5"/>
  <c r="L444" i="5"/>
  <c r="K444" i="5"/>
  <c r="I444" i="5"/>
  <c r="L443" i="5"/>
  <c r="K443" i="5"/>
  <c r="I443" i="5"/>
  <c r="L442" i="5"/>
  <c r="K442" i="5"/>
  <c r="I442" i="5"/>
  <c r="L441" i="5"/>
  <c r="K441" i="5"/>
  <c r="I441" i="5"/>
  <c r="L440" i="5"/>
  <c r="K440" i="5"/>
  <c r="I440" i="5"/>
  <c r="L439" i="5"/>
  <c r="K439" i="5"/>
  <c r="I439" i="5"/>
  <c r="L438" i="5"/>
  <c r="K438" i="5"/>
  <c r="I438" i="5"/>
  <c r="L437" i="5"/>
  <c r="K437" i="5"/>
  <c r="I437" i="5"/>
  <c r="L436" i="5"/>
  <c r="K436" i="5"/>
  <c r="I436" i="5"/>
  <c r="L435" i="5"/>
  <c r="K435" i="5"/>
  <c r="I435" i="5"/>
  <c r="L434" i="5"/>
  <c r="K434" i="5"/>
  <c r="I434" i="5"/>
  <c r="L433" i="5"/>
  <c r="K433" i="5"/>
  <c r="I433" i="5"/>
  <c r="L432" i="5"/>
  <c r="K432" i="5"/>
  <c r="I432" i="5"/>
  <c r="L431" i="5"/>
  <c r="K431" i="5"/>
  <c r="I431" i="5"/>
  <c r="L430" i="5"/>
  <c r="K430" i="5"/>
  <c r="I430" i="5"/>
  <c r="L429" i="5"/>
  <c r="K429" i="5"/>
  <c r="I429" i="5"/>
  <c r="L428" i="5"/>
  <c r="K428" i="5"/>
  <c r="I428" i="5"/>
  <c r="L427" i="5"/>
  <c r="K427" i="5"/>
  <c r="I427" i="5"/>
  <c r="L426" i="5"/>
  <c r="K426" i="5"/>
  <c r="I426" i="5"/>
  <c r="L425" i="5"/>
  <c r="K425" i="5"/>
  <c r="I425" i="5"/>
  <c r="L424" i="5"/>
  <c r="K424" i="5"/>
  <c r="I424" i="5"/>
  <c r="L423" i="5"/>
  <c r="K423" i="5"/>
  <c r="I423" i="5"/>
  <c r="L422" i="5"/>
  <c r="K422" i="5"/>
  <c r="I422" i="5"/>
  <c r="L421" i="5"/>
  <c r="K421" i="5"/>
  <c r="I421" i="5"/>
  <c r="L420" i="5"/>
  <c r="K420" i="5"/>
  <c r="I420" i="5"/>
  <c r="L419" i="5"/>
  <c r="K419" i="5"/>
  <c r="I419" i="5"/>
  <c r="L418" i="5"/>
  <c r="K418" i="5"/>
  <c r="I418" i="5"/>
  <c r="L417" i="5"/>
  <c r="K417" i="5"/>
  <c r="I417" i="5"/>
  <c r="L416" i="5"/>
  <c r="K416" i="5"/>
  <c r="I416" i="5"/>
  <c r="L415" i="5"/>
  <c r="K415" i="5"/>
  <c r="I415" i="5"/>
  <c r="L414" i="5"/>
  <c r="K414" i="5"/>
  <c r="I414" i="5"/>
  <c r="L413" i="5"/>
  <c r="K413" i="5"/>
  <c r="I413" i="5"/>
  <c r="L412" i="5"/>
  <c r="K412" i="5"/>
  <c r="I412" i="5"/>
  <c r="L411" i="5"/>
  <c r="K411" i="5"/>
  <c r="I411" i="5"/>
  <c r="L410" i="5"/>
  <c r="K410" i="5"/>
  <c r="I410" i="5"/>
  <c r="L409" i="5"/>
  <c r="K409" i="5"/>
  <c r="I409" i="5"/>
  <c r="L408" i="5"/>
  <c r="K408" i="5"/>
  <c r="I408" i="5"/>
  <c r="L407" i="5"/>
  <c r="K407" i="5"/>
  <c r="I407" i="5"/>
  <c r="L406" i="5"/>
  <c r="K406" i="5"/>
  <c r="I406" i="5"/>
  <c r="L405" i="5"/>
  <c r="K405" i="5"/>
  <c r="I405" i="5"/>
  <c r="L404" i="5"/>
  <c r="K404" i="5"/>
  <c r="I404" i="5"/>
  <c r="L403" i="5"/>
  <c r="K403" i="5"/>
  <c r="I403" i="5"/>
  <c r="L402" i="5"/>
  <c r="K402" i="5"/>
  <c r="I402" i="5"/>
  <c r="L401" i="5"/>
  <c r="K401" i="5"/>
  <c r="I401" i="5"/>
  <c r="L400" i="5"/>
  <c r="K400" i="5"/>
  <c r="I400" i="5"/>
  <c r="L399" i="5"/>
  <c r="K399" i="5"/>
  <c r="I399" i="5"/>
  <c r="L398" i="5"/>
  <c r="K398" i="5"/>
  <c r="I398" i="5"/>
  <c r="L397" i="5"/>
  <c r="K397" i="5"/>
  <c r="I397" i="5"/>
  <c r="L396" i="5"/>
  <c r="K396" i="5"/>
  <c r="I396" i="5"/>
  <c r="L395" i="5"/>
  <c r="K395" i="5"/>
  <c r="I395" i="5"/>
  <c r="L394" i="5"/>
  <c r="K394" i="5"/>
  <c r="I394" i="5"/>
  <c r="L393" i="5"/>
  <c r="K393" i="5"/>
  <c r="I393" i="5"/>
  <c r="L392" i="5"/>
  <c r="K392" i="5"/>
  <c r="I392" i="5"/>
  <c r="L391" i="5"/>
  <c r="K391" i="5"/>
  <c r="I391" i="5"/>
  <c r="L390" i="5"/>
  <c r="K390" i="5"/>
  <c r="I390" i="5"/>
  <c r="L389" i="5"/>
  <c r="K389" i="5"/>
  <c r="I389" i="5"/>
  <c r="L388" i="5"/>
  <c r="K388" i="5"/>
  <c r="I388" i="5"/>
  <c r="L387" i="5"/>
  <c r="K387" i="5"/>
  <c r="I387" i="5"/>
  <c r="L386" i="5"/>
  <c r="K386" i="5"/>
  <c r="I386" i="5"/>
  <c r="L385" i="5"/>
  <c r="K385" i="5"/>
  <c r="I385" i="5"/>
  <c r="L384" i="5"/>
  <c r="K384" i="5"/>
  <c r="I384" i="5"/>
  <c r="L383" i="5"/>
  <c r="K383" i="5"/>
  <c r="I383" i="5"/>
  <c r="L382" i="5"/>
  <c r="K382" i="5"/>
  <c r="I382" i="5"/>
  <c r="L381" i="5"/>
  <c r="K381" i="5"/>
  <c r="I381" i="5"/>
  <c r="L380" i="5"/>
  <c r="K380" i="5"/>
  <c r="I380" i="5"/>
  <c r="L379" i="5"/>
  <c r="K379" i="5"/>
  <c r="I379" i="5"/>
  <c r="L378" i="5"/>
  <c r="K378" i="5"/>
  <c r="I378" i="5"/>
  <c r="L377" i="5"/>
  <c r="K377" i="5"/>
  <c r="I377" i="5"/>
  <c r="L376" i="5"/>
  <c r="K376" i="5"/>
  <c r="I376" i="5"/>
  <c r="L375" i="5"/>
  <c r="K375" i="5"/>
  <c r="I375" i="5"/>
  <c r="L374" i="5"/>
  <c r="K374" i="5"/>
  <c r="I374" i="5"/>
  <c r="L373" i="5"/>
  <c r="K373" i="5"/>
  <c r="I373" i="5"/>
  <c r="L372" i="5"/>
  <c r="K372" i="5"/>
  <c r="I372" i="5"/>
  <c r="L371" i="5"/>
  <c r="K371" i="5"/>
  <c r="I371" i="5"/>
  <c r="L370" i="5"/>
  <c r="K370" i="5"/>
  <c r="I370" i="5"/>
  <c r="L369" i="5"/>
  <c r="K369" i="5"/>
  <c r="I369" i="5"/>
  <c r="L368" i="5"/>
  <c r="K368" i="5"/>
  <c r="I368" i="5"/>
  <c r="L367" i="5"/>
  <c r="K367" i="5"/>
  <c r="I367" i="5"/>
  <c r="L366" i="5"/>
  <c r="K366" i="5"/>
  <c r="I366" i="5"/>
  <c r="L365" i="5"/>
  <c r="K365" i="5"/>
  <c r="I365" i="5"/>
  <c r="L364" i="5"/>
  <c r="K364" i="5"/>
  <c r="I364" i="5"/>
  <c r="L363" i="5"/>
  <c r="K363" i="5"/>
  <c r="I363" i="5"/>
  <c r="L362" i="5"/>
  <c r="K362" i="5"/>
  <c r="I362" i="5"/>
  <c r="L361" i="5"/>
  <c r="K361" i="5"/>
  <c r="I361" i="5"/>
  <c r="L360" i="5"/>
  <c r="K360" i="5"/>
  <c r="I360" i="5"/>
  <c r="L359" i="5"/>
  <c r="K359" i="5"/>
  <c r="I359" i="5"/>
  <c r="L358" i="5"/>
  <c r="K358" i="5"/>
  <c r="I358" i="5"/>
  <c r="L357" i="5"/>
  <c r="K357" i="5"/>
  <c r="I357" i="5"/>
  <c r="L356" i="5"/>
  <c r="K356" i="5"/>
  <c r="I356" i="5"/>
  <c r="L355" i="5"/>
  <c r="K355" i="5"/>
  <c r="I355" i="5"/>
  <c r="L354" i="5"/>
  <c r="K354" i="5"/>
  <c r="I354" i="5"/>
  <c r="L353" i="5"/>
  <c r="K353" i="5"/>
  <c r="I353" i="5"/>
  <c r="L352" i="5"/>
  <c r="K352" i="5"/>
  <c r="I352" i="5"/>
  <c r="L351" i="5"/>
  <c r="K351" i="5"/>
  <c r="I351" i="5"/>
  <c r="L350" i="5"/>
  <c r="K350" i="5"/>
  <c r="I350" i="5"/>
  <c r="L349" i="5"/>
  <c r="K349" i="5"/>
  <c r="I349" i="5"/>
  <c r="L348" i="5"/>
  <c r="K348" i="5"/>
  <c r="I348" i="5"/>
  <c r="L347" i="5"/>
  <c r="K347" i="5"/>
  <c r="I347" i="5"/>
  <c r="L346" i="5"/>
  <c r="K346" i="5"/>
  <c r="I346" i="5"/>
  <c r="L345" i="5"/>
  <c r="K345" i="5"/>
  <c r="I345" i="5"/>
  <c r="L344" i="5"/>
  <c r="K344" i="5"/>
  <c r="I344" i="5"/>
  <c r="L343" i="5"/>
  <c r="K343" i="5"/>
  <c r="I343" i="5"/>
  <c r="L342" i="5"/>
  <c r="K342" i="5"/>
  <c r="I342" i="5"/>
  <c r="L341" i="5"/>
  <c r="K341" i="5"/>
  <c r="I341" i="5"/>
  <c r="L340" i="5"/>
  <c r="K340" i="5"/>
  <c r="I340" i="5"/>
  <c r="L339" i="5"/>
  <c r="K339" i="5"/>
  <c r="I339" i="5"/>
  <c r="L338" i="5"/>
  <c r="K338" i="5"/>
  <c r="I338" i="5"/>
  <c r="L337" i="5"/>
  <c r="K337" i="5"/>
  <c r="I337" i="5"/>
  <c r="L336" i="5"/>
  <c r="K336" i="5"/>
  <c r="I336" i="5"/>
  <c r="L335" i="5"/>
  <c r="K335" i="5"/>
  <c r="I335" i="5"/>
  <c r="L334" i="5"/>
  <c r="K334" i="5"/>
  <c r="I334" i="5"/>
  <c r="L333" i="5"/>
  <c r="K333" i="5"/>
  <c r="I333" i="5"/>
  <c r="L332" i="5"/>
  <c r="K332" i="5"/>
  <c r="I332" i="5"/>
  <c r="L331" i="5"/>
  <c r="K331" i="5"/>
  <c r="I331" i="5"/>
  <c r="L330" i="5"/>
  <c r="K330" i="5"/>
  <c r="I330" i="5"/>
  <c r="L329" i="5"/>
  <c r="K329" i="5"/>
  <c r="I329" i="5"/>
  <c r="L328" i="5"/>
  <c r="K328" i="5"/>
  <c r="I328" i="5"/>
  <c r="L327" i="5"/>
  <c r="K327" i="5"/>
  <c r="I327" i="5"/>
  <c r="L326" i="5"/>
  <c r="K326" i="5"/>
  <c r="N326" i="5" s="1"/>
  <c r="I326" i="5"/>
  <c r="L325" i="5"/>
  <c r="K325" i="5"/>
  <c r="I325" i="5"/>
  <c r="L324" i="5"/>
  <c r="K324" i="5"/>
  <c r="I324" i="5"/>
  <c r="L323" i="5"/>
  <c r="K323" i="5"/>
  <c r="I323" i="5"/>
  <c r="L322" i="5"/>
  <c r="K322" i="5"/>
  <c r="I322" i="5"/>
  <c r="L321" i="5"/>
  <c r="K321" i="5"/>
  <c r="I321" i="5"/>
  <c r="L320" i="5"/>
  <c r="K320" i="5"/>
  <c r="I320" i="5"/>
  <c r="L319" i="5"/>
  <c r="K319" i="5"/>
  <c r="I319" i="5"/>
  <c r="L318" i="5"/>
  <c r="K318" i="5"/>
  <c r="I318" i="5"/>
  <c r="L317" i="5"/>
  <c r="K317" i="5"/>
  <c r="I317" i="5"/>
  <c r="L316" i="5"/>
  <c r="K316" i="5"/>
  <c r="I316" i="5"/>
  <c r="L315" i="5"/>
  <c r="K315" i="5"/>
  <c r="I315" i="5"/>
  <c r="L314" i="5"/>
  <c r="K314" i="5"/>
  <c r="I314" i="5"/>
  <c r="L313" i="5"/>
  <c r="K313" i="5"/>
  <c r="I313" i="5"/>
  <c r="L312" i="5"/>
  <c r="K312" i="5"/>
  <c r="I312" i="5"/>
  <c r="L311" i="5"/>
  <c r="K311" i="5"/>
  <c r="I311" i="5"/>
  <c r="L310" i="5"/>
  <c r="K310" i="5"/>
  <c r="I310" i="5"/>
  <c r="L309" i="5"/>
  <c r="K309" i="5"/>
  <c r="I309" i="5"/>
  <c r="L308" i="5"/>
  <c r="K308" i="5"/>
  <c r="I308" i="5"/>
  <c r="L307" i="5"/>
  <c r="K307" i="5"/>
  <c r="I307" i="5"/>
  <c r="L306" i="5"/>
  <c r="K306" i="5"/>
  <c r="I306" i="5"/>
  <c r="L305" i="5"/>
  <c r="K305" i="5"/>
  <c r="I305" i="5"/>
  <c r="L304" i="5"/>
  <c r="K304" i="5"/>
  <c r="I304" i="5"/>
  <c r="L303" i="5"/>
  <c r="K303" i="5"/>
  <c r="I303" i="5"/>
  <c r="L302" i="5"/>
  <c r="K302" i="5"/>
  <c r="I302" i="5"/>
  <c r="L301" i="5"/>
  <c r="K301" i="5"/>
  <c r="I301" i="5"/>
  <c r="L300" i="5"/>
  <c r="K300" i="5"/>
  <c r="I300" i="5"/>
  <c r="L299" i="5"/>
  <c r="K299" i="5"/>
  <c r="I299" i="5"/>
  <c r="L298" i="5"/>
  <c r="K298" i="5"/>
  <c r="I298" i="5"/>
  <c r="L297" i="5"/>
  <c r="K297" i="5"/>
  <c r="I297" i="5"/>
  <c r="L296" i="5"/>
  <c r="K296" i="5"/>
  <c r="I296" i="5"/>
  <c r="L295" i="5"/>
  <c r="K295" i="5"/>
  <c r="I295" i="5"/>
  <c r="L294" i="5"/>
  <c r="K294" i="5"/>
  <c r="I294" i="5"/>
  <c r="L293" i="5"/>
  <c r="K293" i="5"/>
  <c r="I293" i="5"/>
  <c r="L292" i="5"/>
  <c r="K292" i="5"/>
  <c r="I292" i="5"/>
  <c r="L291" i="5"/>
  <c r="K291" i="5"/>
  <c r="I291" i="5"/>
  <c r="L290" i="5"/>
  <c r="K290" i="5"/>
  <c r="I290" i="5"/>
  <c r="L289" i="5"/>
  <c r="K289" i="5"/>
  <c r="I289" i="5"/>
  <c r="L288" i="5"/>
  <c r="K288" i="5"/>
  <c r="I288" i="5"/>
  <c r="L287" i="5"/>
  <c r="K287" i="5"/>
  <c r="I287" i="5"/>
  <c r="L286" i="5"/>
  <c r="K286" i="5"/>
  <c r="I286" i="5"/>
  <c r="L285" i="5"/>
  <c r="K285" i="5"/>
  <c r="I285" i="5"/>
  <c r="L284" i="5"/>
  <c r="K284" i="5"/>
  <c r="I284" i="5"/>
  <c r="L283" i="5"/>
  <c r="K283" i="5"/>
  <c r="I283" i="5"/>
  <c r="L282" i="5"/>
  <c r="K282" i="5"/>
  <c r="I282" i="5"/>
  <c r="L281" i="5"/>
  <c r="K281" i="5"/>
  <c r="I281" i="5"/>
  <c r="L280" i="5"/>
  <c r="K280" i="5"/>
  <c r="I280" i="5"/>
  <c r="L279" i="5"/>
  <c r="K279" i="5"/>
  <c r="I279" i="5"/>
  <c r="L278" i="5"/>
  <c r="K278" i="5"/>
  <c r="I278" i="5"/>
  <c r="L277" i="5"/>
  <c r="K277" i="5"/>
  <c r="I277" i="5"/>
  <c r="L276" i="5"/>
  <c r="K276" i="5"/>
  <c r="I276" i="5"/>
  <c r="L275" i="5"/>
  <c r="K275" i="5"/>
  <c r="I275" i="5"/>
  <c r="L274" i="5"/>
  <c r="K274" i="5"/>
  <c r="I274" i="5"/>
  <c r="L273" i="5"/>
  <c r="K273" i="5"/>
  <c r="I273" i="5"/>
  <c r="L272" i="5"/>
  <c r="K272" i="5"/>
  <c r="I272" i="5"/>
  <c r="L271" i="5"/>
  <c r="K271" i="5"/>
  <c r="I271" i="5"/>
  <c r="L270" i="5"/>
  <c r="K270" i="5"/>
  <c r="I270" i="5"/>
  <c r="L269" i="5"/>
  <c r="K269" i="5"/>
  <c r="I269" i="5"/>
  <c r="L268" i="5"/>
  <c r="K268" i="5"/>
  <c r="I268" i="5"/>
  <c r="L267" i="5"/>
  <c r="K267" i="5"/>
  <c r="I267" i="5"/>
  <c r="L266" i="5"/>
  <c r="K266" i="5"/>
  <c r="I266" i="5"/>
  <c r="L265" i="5"/>
  <c r="K265" i="5"/>
  <c r="I265" i="5"/>
  <c r="L264" i="5"/>
  <c r="K264" i="5"/>
  <c r="I264" i="5"/>
  <c r="L263" i="5"/>
  <c r="K263" i="5"/>
  <c r="I263" i="5"/>
  <c r="L262" i="5"/>
  <c r="K262" i="5"/>
  <c r="I262" i="5"/>
  <c r="L261" i="5"/>
  <c r="K261" i="5"/>
  <c r="I261" i="5"/>
  <c r="L260" i="5"/>
  <c r="K260" i="5"/>
  <c r="I260" i="5"/>
  <c r="L259" i="5"/>
  <c r="K259" i="5"/>
  <c r="I259" i="5"/>
  <c r="L258" i="5"/>
  <c r="K258" i="5"/>
  <c r="I258" i="5"/>
  <c r="L257" i="5"/>
  <c r="K257" i="5"/>
  <c r="I257" i="5"/>
  <c r="L256" i="5"/>
  <c r="K256" i="5"/>
  <c r="I256" i="5"/>
  <c r="L255" i="5"/>
  <c r="K255" i="5"/>
  <c r="I255" i="5"/>
  <c r="L254" i="5"/>
  <c r="K254" i="5"/>
  <c r="I254" i="5"/>
  <c r="L253" i="5"/>
  <c r="K253" i="5"/>
  <c r="I253" i="5"/>
  <c r="L252" i="5"/>
  <c r="K252" i="5"/>
  <c r="I252" i="5"/>
  <c r="L251" i="5"/>
  <c r="K251" i="5"/>
  <c r="I251" i="5"/>
  <c r="L250" i="5"/>
  <c r="K250" i="5"/>
  <c r="I250" i="5"/>
  <c r="L249" i="5"/>
  <c r="K249" i="5"/>
  <c r="I249" i="5"/>
  <c r="L248" i="5"/>
  <c r="K248" i="5"/>
  <c r="I248" i="5"/>
  <c r="L247" i="5"/>
  <c r="K247" i="5"/>
  <c r="I247" i="5"/>
  <c r="L246" i="5"/>
  <c r="K246" i="5"/>
  <c r="I246" i="5"/>
  <c r="L245" i="5"/>
  <c r="K245" i="5"/>
  <c r="I245" i="5"/>
  <c r="L244" i="5"/>
  <c r="K244" i="5"/>
  <c r="I244" i="5"/>
  <c r="L243" i="5"/>
  <c r="K243" i="5"/>
  <c r="I243" i="5"/>
  <c r="L242" i="5"/>
  <c r="K242" i="5"/>
  <c r="I242" i="5"/>
  <c r="L241" i="5"/>
  <c r="K241" i="5"/>
  <c r="I241" i="5"/>
  <c r="L240" i="5"/>
  <c r="K240" i="5"/>
  <c r="I240" i="5"/>
  <c r="L239" i="5"/>
  <c r="K239" i="5"/>
  <c r="I239" i="5"/>
  <c r="L238" i="5"/>
  <c r="K238" i="5"/>
  <c r="I238" i="5"/>
  <c r="L237" i="5"/>
  <c r="K237" i="5"/>
  <c r="I237" i="5"/>
  <c r="L236" i="5"/>
  <c r="K236" i="5"/>
  <c r="I236" i="5"/>
  <c r="L235" i="5"/>
  <c r="K235" i="5"/>
  <c r="I235" i="5"/>
  <c r="L234" i="5"/>
  <c r="K234" i="5"/>
  <c r="I234" i="5"/>
  <c r="L233" i="5"/>
  <c r="K233" i="5"/>
  <c r="I233" i="5"/>
  <c r="L232" i="5"/>
  <c r="K232" i="5"/>
  <c r="I232" i="5"/>
  <c r="L231" i="5"/>
  <c r="K231" i="5"/>
  <c r="I231" i="5"/>
  <c r="L230" i="5"/>
  <c r="K230" i="5"/>
  <c r="I230" i="5"/>
  <c r="L229" i="5"/>
  <c r="K229" i="5"/>
  <c r="I229" i="5"/>
  <c r="L228" i="5"/>
  <c r="K228" i="5"/>
  <c r="I228" i="5"/>
  <c r="L227" i="5"/>
  <c r="K227" i="5"/>
  <c r="I227" i="5"/>
  <c r="L226" i="5"/>
  <c r="K226" i="5"/>
  <c r="I226" i="5"/>
  <c r="L225" i="5"/>
  <c r="K225" i="5"/>
  <c r="I225" i="5"/>
  <c r="L224" i="5"/>
  <c r="K224" i="5"/>
  <c r="I224" i="5"/>
  <c r="L223" i="5"/>
  <c r="K223" i="5"/>
  <c r="I223" i="5"/>
  <c r="L222" i="5"/>
  <c r="K222" i="5"/>
  <c r="I222" i="5"/>
  <c r="L221" i="5"/>
  <c r="K221" i="5"/>
  <c r="I221" i="5"/>
  <c r="L220" i="5"/>
  <c r="K220" i="5"/>
  <c r="I220" i="5"/>
  <c r="L219" i="5"/>
  <c r="K219" i="5"/>
  <c r="I219" i="5"/>
  <c r="L218" i="5"/>
  <c r="K218" i="5"/>
  <c r="I218" i="5"/>
  <c r="L217" i="5"/>
  <c r="K217" i="5"/>
  <c r="I217" i="5"/>
  <c r="L216" i="5"/>
  <c r="K216" i="5"/>
  <c r="I216" i="5"/>
  <c r="L215" i="5"/>
  <c r="K215" i="5"/>
  <c r="I215" i="5"/>
  <c r="L214" i="5"/>
  <c r="K214" i="5"/>
  <c r="I214" i="5"/>
  <c r="L213" i="5"/>
  <c r="K213" i="5"/>
  <c r="I213" i="5"/>
  <c r="L212" i="5"/>
  <c r="K212" i="5"/>
  <c r="I212" i="5"/>
  <c r="L211" i="5"/>
  <c r="K211" i="5"/>
  <c r="I211" i="5"/>
  <c r="L210" i="5"/>
  <c r="K210" i="5"/>
  <c r="I210" i="5"/>
  <c r="L209" i="5"/>
  <c r="K209" i="5"/>
  <c r="I209" i="5"/>
  <c r="L208" i="5"/>
  <c r="K208" i="5"/>
  <c r="I208" i="5"/>
  <c r="L207" i="5"/>
  <c r="K207" i="5"/>
  <c r="I207" i="5"/>
  <c r="L206" i="5"/>
  <c r="K206" i="5"/>
  <c r="I206" i="5"/>
  <c r="L205" i="5"/>
  <c r="K205" i="5"/>
  <c r="I205" i="5"/>
  <c r="L204" i="5"/>
  <c r="K204" i="5"/>
  <c r="I204" i="5"/>
  <c r="L203" i="5"/>
  <c r="K203" i="5"/>
  <c r="I203" i="5"/>
  <c r="L202" i="5"/>
  <c r="K202" i="5"/>
  <c r="I202" i="5"/>
  <c r="L201" i="5"/>
  <c r="K201" i="5"/>
  <c r="I201" i="5"/>
  <c r="L200" i="5"/>
  <c r="K200" i="5"/>
  <c r="I200" i="5"/>
  <c r="L199" i="5"/>
  <c r="K199" i="5"/>
  <c r="I199" i="5"/>
  <c r="L198" i="5"/>
  <c r="K198" i="5"/>
  <c r="I198" i="5"/>
  <c r="L197" i="5"/>
  <c r="K197" i="5"/>
  <c r="I197" i="5"/>
  <c r="L196" i="5"/>
  <c r="K196" i="5"/>
  <c r="I196" i="5"/>
  <c r="L195" i="5"/>
  <c r="K195" i="5"/>
  <c r="I195" i="5"/>
  <c r="L194" i="5"/>
  <c r="K194" i="5"/>
  <c r="I194" i="5"/>
  <c r="L193" i="5"/>
  <c r="K193" i="5"/>
  <c r="I193" i="5"/>
  <c r="L192" i="5"/>
  <c r="K192" i="5"/>
  <c r="I192" i="5"/>
  <c r="L191" i="5"/>
  <c r="K191" i="5"/>
  <c r="I191" i="5"/>
  <c r="L190" i="5"/>
  <c r="K190" i="5"/>
  <c r="I190" i="5"/>
  <c r="L189" i="5"/>
  <c r="K189" i="5"/>
  <c r="I189" i="5"/>
  <c r="L188" i="5"/>
  <c r="K188" i="5"/>
  <c r="I188" i="5"/>
  <c r="L187" i="5"/>
  <c r="K187" i="5"/>
  <c r="I187" i="5"/>
  <c r="L186" i="5"/>
  <c r="K186" i="5"/>
  <c r="I186" i="5"/>
  <c r="L185" i="5"/>
  <c r="K185" i="5"/>
  <c r="I185" i="5"/>
  <c r="L184" i="5"/>
  <c r="K184" i="5"/>
  <c r="I184" i="5"/>
  <c r="L183" i="5"/>
  <c r="K183" i="5"/>
  <c r="I183" i="5"/>
  <c r="L182" i="5"/>
  <c r="K182" i="5"/>
  <c r="I182" i="5"/>
  <c r="L181" i="5"/>
  <c r="K181" i="5"/>
  <c r="I181" i="5"/>
  <c r="L180" i="5"/>
  <c r="K180" i="5"/>
  <c r="I180" i="5"/>
  <c r="L179" i="5"/>
  <c r="K179" i="5"/>
  <c r="I179" i="5"/>
  <c r="L178" i="5"/>
  <c r="K178" i="5"/>
  <c r="I178" i="5"/>
  <c r="L177" i="5"/>
  <c r="K177" i="5"/>
  <c r="I177" i="5"/>
  <c r="L176" i="5"/>
  <c r="K176" i="5"/>
  <c r="I176" i="5"/>
  <c r="L175" i="5"/>
  <c r="K175" i="5"/>
  <c r="I175" i="5"/>
  <c r="L174" i="5"/>
  <c r="K174" i="5"/>
  <c r="I174" i="5"/>
  <c r="L173" i="5"/>
  <c r="K173" i="5"/>
  <c r="I173" i="5"/>
  <c r="L172" i="5"/>
  <c r="K172" i="5"/>
  <c r="I172" i="5"/>
  <c r="L171" i="5"/>
  <c r="K171" i="5"/>
  <c r="I171" i="5"/>
  <c r="L170" i="5"/>
  <c r="K170" i="5"/>
  <c r="I170" i="5"/>
  <c r="L169" i="5"/>
  <c r="K169" i="5"/>
  <c r="I169" i="5"/>
  <c r="L168" i="5"/>
  <c r="K168" i="5"/>
  <c r="I168" i="5"/>
  <c r="L167" i="5"/>
  <c r="K167" i="5"/>
  <c r="I167" i="5"/>
  <c r="L166" i="5"/>
  <c r="K166" i="5"/>
  <c r="I166" i="5"/>
  <c r="L165" i="5"/>
  <c r="K165" i="5"/>
  <c r="I165" i="5"/>
  <c r="L164" i="5"/>
  <c r="K164" i="5"/>
  <c r="I164" i="5"/>
  <c r="L163" i="5"/>
  <c r="K163" i="5"/>
  <c r="I163" i="5"/>
  <c r="L162" i="5"/>
  <c r="K162" i="5"/>
  <c r="I162" i="5"/>
  <c r="L161" i="5"/>
  <c r="K161" i="5"/>
  <c r="I161" i="5"/>
  <c r="L160" i="5"/>
  <c r="K160" i="5"/>
  <c r="I160" i="5"/>
  <c r="L159" i="5"/>
  <c r="K159" i="5"/>
  <c r="I159" i="5"/>
  <c r="L158" i="5"/>
  <c r="K158" i="5"/>
  <c r="I158" i="5"/>
  <c r="L157" i="5"/>
  <c r="K157" i="5"/>
  <c r="I157" i="5"/>
  <c r="L156" i="5"/>
  <c r="K156" i="5"/>
  <c r="I156" i="5"/>
  <c r="L155" i="5"/>
  <c r="K155" i="5"/>
  <c r="I155" i="5"/>
  <c r="L154" i="5"/>
  <c r="K154" i="5"/>
  <c r="I154" i="5"/>
  <c r="L153" i="5"/>
  <c r="K153" i="5"/>
  <c r="I153" i="5"/>
  <c r="L152" i="5"/>
  <c r="K152" i="5"/>
  <c r="I152" i="5"/>
  <c r="L151" i="5"/>
  <c r="K151" i="5"/>
  <c r="I151" i="5"/>
  <c r="L150" i="5"/>
  <c r="K150" i="5"/>
  <c r="I150" i="5"/>
  <c r="L149" i="5"/>
  <c r="K149" i="5"/>
  <c r="I149" i="5"/>
  <c r="L148" i="5"/>
  <c r="K148" i="5"/>
  <c r="I148" i="5"/>
  <c r="L147" i="5"/>
  <c r="K147" i="5"/>
  <c r="I147" i="5"/>
  <c r="L146" i="5"/>
  <c r="K146" i="5"/>
  <c r="I146" i="5"/>
  <c r="L145" i="5"/>
  <c r="K145" i="5"/>
  <c r="I145" i="5"/>
  <c r="L144" i="5"/>
  <c r="K144" i="5"/>
  <c r="I144" i="5"/>
  <c r="L143" i="5"/>
  <c r="K143" i="5"/>
  <c r="I143" i="5"/>
  <c r="L142" i="5"/>
  <c r="K142" i="5"/>
  <c r="I142" i="5"/>
  <c r="L141" i="5"/>
  <c r="K141" i="5"/>
  <c r="I141" i="5"/>
  <c r="L140" i="5"/>
  <c r="K140" i="5"/>
  <c r="I140" i="5"/>
  <c r="L139" i="5"/>
  <c r="K139" i="5"/>
  <c r="I139" i="5"/>
  <c r="L138" i="5"/>
  <c r="K138" i="5"/>
  <c r="I138" i="5"/>
  <c r="L137" i="5"/>
  <c r="K137" i="5"/>
  <c r="I137" i="5"/>
  <c r="L136" i="5"/>
  <c r="K136" i="5"/>
  <c r="I136" i="5"/>
  <c r="L135" i="5"/>
  <c r="K135" i="5"/>
  <c r="I135" i="5"/>
  <c r="L134" i="5"/>
  <c r="K134" i="5"/>
  <c r="I134" i="5"/>
  <c r="L133" i="5"/>
  <c r="K133" i="5"/>
  <c r="I133" i="5"/>
  <c r="L132" i="5"/>
  <c r="K132" i="5"/>
  <c r="I132" i="5"/>
  <c r="L131" i="5"/>
  <c r="K131" i="5"/>
  <c r="I131" i="5"/>
  <c r="L130" i="5"/>
  <c r="K130" i="5"/>
  <c r="I130" i="5"/>
  <c r="L129" i="5"/>
  <c r="K129" i="5"/>
  <c r="I129" i="5"/>
  <c r="L128" i="5"/>
  <c r="K128" i="5"/>
  <c r="I128" i="5"/>
  <c r="L127" i="5"/>
  <c r="K127" i="5"/>
  <c r="I127" i="5"/>
  <c r="L126" i="5"/>
  <c r="K126" i="5"/>
  <c r="I126" i="5"/>
  <c r="L125" i="5"/>
  <c r="K125" i="5"/>
  <c r="I125" i="5"/>
  <c r="L124" i="5"/>
  <c r="K124" i="5"/>
  <c r="I124" i="5"/>
  <c r="L123" i="5"/>
  <c r="K123" i="5"/>
  <c r="I123" i="5"/>
  <c r="L122" i="5"/>
  <c r="K122" i="5"/>
  <c r="I122" i="5"/>
  <c r="L121" i="5"/>
  <c r="K121" i="5"/>
  <c r="I121" i="5"/>
  <c r="L120" i="5"/>
  <c r="K120" i="5"/>
  <c r="I120" i="5"/>
  <c r="L119" i="5"/>
  <c r="K119" i="5"/>
  <c r="I119" i="5"/>
  <c r="L118" i="5"/>
  <c r="K118" i="5"/>
  <c r="I118" i="5"/>
  <c r="L117" i="5"/>
  <c r="K117" i="5"/>
  <c r="I117" i="5"/>
  <c r="L116" i="5"/>
  <c r="K116" i="5"/>
  <c r="I116" i="5"/>
  <c r="L115" i="5"/>
  <c r="K115" i="5"/>
  <c r="I115" i="5"/>
  <c r="L114" i="5"/>
  <c r="K114" i="5"/>
  <c r="I114" i="5"/>
  <c r="L113" i="5"/>
  <c r="K113" i="5"/>
  <c r="I113" i="5"/>
  <c r="L112" i="5"/>
  <c r="K112" i="5"/>
  <c r="I112" i="5"/>
  <c r="L111" i="5"/>
  <c r="K111" i="5"/>
  <c r="I111" i="5"/>
  <c r="L110" i="5"/>
  <c r="K110" i="5"/>
  <c r="I110" i="5"/>
  <c r="L109" i="5"/>
  <c r="K109" i="5"/>
  <c r="I109" i="5"/>
  <c r="L108" i="5"/>
  <c r="K108" i="5"/>
  <c r="I108" i="5"/>
  <c r="L107" i="5"/>
  <c r="K107" i="5"/>
  <c r="I107" i="5"/>
  <c r="L106" i="5"/>
  <c r="K106" i="5"/>
  <c r="I106" i="5"/>
  <c r="L105" i="5"/>
  <c r="K105" i="5"/>
  <c r="I105" i="5"/>
  <c r="L104" i="5"/>
  <c r="K104" i="5"/>
  <c r="I104" i="5"/>
  <c r="L103" i="5"/>
  <c r="K103" i="5"/>
  <c r="I103" i="5"/>
  <c r="L102" i="5"/>
  <c r="K102" i="5"/>
  <c r="I102" i="5"/>
  <c r="L101" i="5"/>
  <c r="K101" i="5"/>
  <c r="I101" i="5"/>
  <c r="L100" i="5"/>
  <c r="K100" i="5"/>
  <c r="I100" i="5"/>
  <c r="L99" i="5"/>
  <c r="K99" i="5"/>
  <c r="N99" i="5" s="1"/>
  <c r="I99" i="5"/>
  <c r="L98" i="5"/>
  <c r="K98" i="5"/>
  <c r="I98" i="5"/>
  <c r="L97" i="5"/>
  <c r="K97" i="5"/>
  <c r="I97" i="5"/>
  <c r="L96" i="5"/>
  <c r="K96" i="5"/>
  <c r="I96" i="5"/>
  <c r="L95" i="5"/>
  <c r="K95" i="5"/>
  <c r="I95" i="5"/>
  <c r="L94" i="5"/>
  <c r="K94" i="5"/>
  <c r="I94" i="5"/>
  <c r="L93" i="5"/>
  <c r="K93" i="5"/>
  <c r="I93" i="5"/>
  <c r="L92" i="5"/>
  <c r="K92" i="5"/>
  <c r="I92" i="5"/>
  <c r="L91" i="5"/>
  <c r="K91" i="5"/>
  <c r="I91" i="5"/>
  <c r="L90" i="5"/>
  <c r="K90" i="5"/>
  <c r="I90" i="5"/>
  <c r="L89" i="5"/>
  <c r="K89" i="5"/>
  <c r="I89" i="5"/>
  <c r="L88" i="5"/>
  <c r="K88" i="5"/>
  <c r="I88" i="5"/>
  <c r="L87" i="5"/>
  <c r="K87" i="5"/>
  <c r="I87" i="5"/>
  <c r="L86" i="5"/>
  <c r="K86" i="5"/>
  <c r="I86" i="5"/>
  <c r="L85" i="5"/>
  <c r="K85" i="5"/>
  <c r="I85" i="5"/>
  <c r="L84" i="5"/>
  <c r="K84" i="5"/>
  <c r="I84" i="5"/>
  <c r="L83" i="5"/>
  <c r="K83" i="5"/>
  <c r="I83" i="5"/>
  <c r="L82" i="5"/>
  <c r="K82" i="5"/>
  <c r="I82" i="5"/>
  <c r="L81" i="5"/>
  <c r="K81" i="5"/>
  <c r="I81" i="5"/>
  <c r="L80" i="5"/>
  <c r="K80" i="5"/>
  <c r="I80" i="5"/>
  <c r="L79" i="5"/>
  <c r="K79" i="5"/>
  <c r="I79" i="5"/>
  <c r="L78" i="5"/>
  <c r="K78" i="5"/>
  <c r="I78" i="5"/>
  <c r="L77" i="5"/>
  <c r="K77" i="5"/>
  <c r="I77" i="5"/>
  <c r="L76" i="5"/>
  <c r="K76" i="5"/>
  <c r="I76" i="5"/>
  <c r="L75" i="5"/>
  <c r="K75" i="5"/>
  <c r="I75" i="5"/>
  <c r="L74" i="5"/>
  <c r="K74" i="5"/>
  <c r="I74" i="5"/>
  <c r="L73" i="5"/>
  <c r="K73" i="5"/>
  <c r="I73" i="5"/>
  <c r="L72" i="5"/>
  <c r="K72" i="5"/>
  <c r="I72" i="5"/>
  <c r="L71" i="5"/>
  <c r="K71" i="5"/>
  <c r="I71" i="5"/>
  <c r="L70" i="5"/>
  <c r="K70" i="5"/>
  <c r="I70" i="5"/>
  <c r="L69" i="5"/>
  <c r="K69" i="5"/>
  <c r="I69" i="5"/>
  <c r="L68" i="5"/>
  <c r="K68" i="5"/>
  <c r="I68" i="5"/>
  <c r="L67" i="5"/>
  <c r="K67" i="5"/>
  <c r="I67" i="5"/>
  <c r="L66" i="5"/>
  <c r="K66" i="5"/>
  <c r="I66" i="5"/>
  <c r="L65" i="5"/>
  <c r="K65" i="5"/>
  <c r="I65" i="5"/>
  <c r="L64" i="5"/>
  <c r="K64" i="5"/>
  <c r="I64" i="5"/>
  <c r="L63" i="5"/>
  <c r="K63" i="5"/>
  <c r="I63" i="5"/>
  <c r="L62" i="5"/>
  <c r="K62" i="5"/>
  <c r="N62" i="5" s="1"/>
  <c r="I62" i="5"/>
  <c r="L61" i="5"/>
  <c r="K61" i="5"/>
  <c r="I61" i="5"/>
  <c r="L60" i="5"/>
  <c r="K60" i="5"/>
  <c r="I60" i="5"/>
  <c r="L59" i="5"/>
  <c r="K59" i="5"/>
  <c r="N59" i="5" s="1"/>
  <c r="I59" i="5"/>
  <c r="L58" i="5"/>
  <c r="K58" i="5"/>
  <c r="I58" i="5"/>
  <c r="L57" i="5"/>
  <c r="K57" i="5"/>
  <c r="I57" i="5"/>
  <c r="L56" i="5"/>
  <c r="K56" i="5"/>
  <c r="I56" i="5"/>
  <c r="L55" i="5"/>
  <c r="K55" i="5"/>
  <c r="I55" i="5"/>
  <c r="L54" i="5"/>
  <c r="K54" i="5"/>
  <c r="I54" i="5"/>
  <c r="L53" i="5"/>
  <c r="K53" i="5"/>
  <c r="I53" i="5"/>
  <c r="L52" i="5"/>
  <c r="K52" i="5"/>
  <c r="I52" i="5"/>
  <c r="L51" i="5"/>
  <c r="K51" i="5"/>
  <c r="I51" i="5"/>
  <c r="L50" i="5"/>
  <c r="K50" i="5"/>
  <c r="I50" i="5"/>
  <c r="L49" i="5"/>
  <c r="K49" i="5"/>
  <c r="I49" i="5"/>
  <c r="L48" i="5"/>
  <c r="K48" i="5"/>
  <c r="I48" i="5"/>
  <c r="L47" i="5"/>
  <c r="K47" i="5"/>
  <c r="I47" i="5"/>
  <c r="L46" i="5"/>
  <c r="K46" i="5"/>
  <c r="I46" i="5"/>
  <c r="L45" i="5"/>
  <c r="K45" i="5"/>
  <c r="I45" i="5"/>
  <c r="L44" i="5"/>
  <c r="K44" i="5"/>
  <c r="I44" i="5"/>
  <c r="L43" i="5"/>
  <c r="K43" i="5"/>
  <c r="I43" i="5"/>
  <c r="L42" i="5"/>
  <c r="K42" i="5"/>
  <c r="I42" i="5"/>
  <c r="L41" i="5"/>
  <c r="K41" i="5"/>
  <c r="I41" i="5"/>
  <c r="L40" i="5"/>
  <c r="K40" i="5"/>
  <c r="I40" i="5"/>
  <c r="L39" i="5"/>
  <c r="K39" i="5"/>
  <c r="I39" i="5"/>
  <c r="L38" i="5"/>
  <c r="K38" i="5"/>
  <c r="N38" i="5" s="1"/>
  <c r="I38" i="5"/>
  <c r="L37" i="5"/>
  <c r="K37" i="5"/>
  <c r="I37" i="5"/>
  <c r="L36" i="5"/>
  <c r="K36" i="5"/>
  <c r="I36" i="5"/>
  <c r="L35" i="5"/>
  <c r="K35" i="5"/>
  <c r="N35" i="5" s="1"/>
  <c r="I35" i="5"/>
  <c r="L34" i="5"/>
  <c r="K34" i="5"/>
  <c r="I34" i="5"/>
  <c r="L33" i="5"/>
  <c r="K33" i="5"/>
  <c r="I33" i="5"/>
  <c r="L32" i="5"/>
  <c r="K32" i="5"/>
  <c r="I32" i="5"/>
  <c r="L31" i="5"/>
  <c r="K31" i="5"/>
  <c r="I31" i="5"/>
  <c r="L30" i="5"/>
  <c r="K30" i="5"/>
  <c r="I30" i="5"/>
  <c r="L29" i="5"/>
  <c r="K29" i="5"/>
  <c r="I29" i="5"/>
  <c r="L28" i="5"/>
  <c r="K28" i="5"/>
  <c r="I28" i="5"/>
  <c r="L27" i="5"/>
  <c r="K27" i="5"/>
  <c r="I27" i="5"/>
  <c r="L26" i="5"/>
  <c r="K26" i="5"/>
  <c r="I26" i="5"/>
  <c r="L25" i="5"/>
  <c r="K25" i="5"/>
  <c r="I25" i="5"/>
  <c r="L24" i="5"/>
  <c r="K24" i="5"/>
  <c r="I24" i="5"/>
  <c r="L23" i="5"/>
  <c r="K23" i="5"/>
  <c r="I23" i="5"/>
  <c r="L22" i="5"/>
  <c r="K22" i="5"/>
  <c r="I22" i="5"/>
  <c r="L21" i="5"/>
  <c r="K21" i="5"/>
  <c r="I21" i="5"/>
  <c r="L20" i="5"/>
  <c r="K20" i="5"/>
  <c r="I20" i="5"/>
  <c r="L19" i="5"/>
  <c r="K19" i="5"/>
  <c r="I19" i="5"/>
  <c r="L18" i="5"/>
  <c r="K18" i="5"/>
  <c r="I18" i="5"/>
  <c r="L17" i="5"/>
  <c r="K17" i="5"/>
  <c r="I17" i="5"/>
  <c r="L16" i="5"/>
  <c r="K16" i="5"/>
  <c r="I16" i="5"/>
  <c r="L15" i="5"/>
  <c r="K15" i="5"/>
  <c r="I15" i="5"/>
  <c r="L14" i="5"/>
  <c r="K14" i="5"/>
  <c r="I14" i="5"/>
  <c r="L13" i="5"/>
  <c r="K13" i="5"/>
  <c r="I13" i="5"/>
  <c r="L12" i="5"/>
  <c r="K12" i="5"/>
  <c r="I12" i="5"/>
  <c r="L11" i="5"/>
  <c r="K11" i="5"/>
  <c r="I11" i="5"/>
  <c r="L10" i="5"/>
  <c r="K10" i="5"/>
  <c r="I10" i="5"/>
  <c r="L9" i="5"/>
  <c r="K9" i="5"/>
  <c r="I9" i="5"/>
  <c r="L8" i="5"/>
  <c r="K8" i="5"/>
  <c r="I8" i="5"/>
  <c r="L7" i="5"/>
  <c r="K7" i="5"/>
  <c r="I7" i="5"/>
  <c r="L6" i="5"/>
  <c r="K6" i="5"/>
  <c r="I6" i="5"/>
  <c r="L5" i="5"/>
  <c r="K5" i="5"/>
  <c r="I5" i="5"/>
  <c r="S5" i="5" s="1"/>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J40" i="6"/>
  <c r="I40" i="6"/>
  <c r="H40" i="6"/>
  <c r="K39" i="6"/>
  <c r="J39" i="6"/>
  <c r="I39" i="6"/>
  <c r="H39" i="6"/>
  <c r="K38" i="6"/>
  <c r="J38" i="6"/>
  <c r="I38" i="6"/>
  <c r="H38" i="6"/>
  <c r="K37" i="6"/>
  <c r="J37" i="6"/>
  <c r="I37" i="6"/>
  <c r="H37" i="6"/>
  <c r="K36" i="6"/>
  <c r="J36" i="6"/>
  <c r="I36" i="6"/>
  <c r="H36" i="6"/>
  <c r="K35" i="6"/>
  <c r="J35" i="6"/>
  <c r="I35" i="6"/>
  <c r="H35" i="6"/>
  <c r="K34" i="6"/>
  <c r="J34" i="6"/>
  <c r="I34" i="6"/>
  <c r="H34" i="6"/>
  <c r="K33" i="6"/>
  <c r="J33" i="6"/>
  <c r="I33" i="6"/>
  <c r="H33" i="6"/>
  <c r="K32" i="6"/>
  <c r="J32" i="6"/>
  <c r="I32" i="6"/>
  <c r="H32" i="6"/>
  <c r="K31" i="6"/>
  <c r="J31" i="6"/>
  <c r="I31" i="6"/>
  <c r="H31" i="6"/>
  <c r="K30" i="6"/>
  <c r="J30" i="6"/>
  <c r="I30" i="6"/>
  <c r="H30" i="6"/>
  <c r="K29" i="6"/>
  <c r="J29" i="6"/>
  <c r="I29" i="6"/>
  <c r="H29" i="6"/>
  <c r="K28" i="6"/>
  <c r="J28" i="6"/>
  <c r="I28" i="6"/>
  <c r="H28" i="6"/>
  <c r="K27" i="6"/>
  <c r="J27" i="6"/>
  <c r="I27" i="6"/>
  <c r="H27" i="6"/>
  <c r="K26" i="6"/>
  <c r="J26" i="6"/>
  <c r="I26" i="6"/>
  <c r="H26" i="6"/>
  <c r="K25" i="6"/>
  <c r="J25" i="6"/>
  <c r="I25" i="6"/>
  <c r="H25" i="6"/>
  <c r="K24" i="6"/>
  <c r="J24" i="6"/>
  <c r="I24" i="6"/>
  <c r="H24" i="6"/>
  <c r="K23" i="6"/>
  <c r="J23" i="6"/>
  <c r="I23" i="6"/>
  <c r="H23" i="6"/>
  <c r="K22" i="6"/>
  <c r="J22" i="6"/>
  <c r="I22" i="6"/>
  <c r="H22" i="6"/>
  <c r="K21" i="6"/>
  <c r="J21" i="6"/>
  <c r="I21" i="6"/>
  <c r="H21" i="6"/>
  <c r="K20" i="6"/>
  <c r="J20" i="6"/>
  <c r="I20" i="6"/>
  <c r="H20" i="6"/>
  <c r="K19" i="6"/>
  <c r="J19" i="6"/>
  <c r="I19" i="6"/>
  <c r="H19" i="6"/>
  <c r="K18" i="6"/>
  <c r="J18" i="6"/>
  <c r="I18" i="6"/>
  <c r="H18" i="6"/>
  <c r="K17" i="6"/>
  <c r="J17" i="6"/>
  <c r="I17" i="6"/>
  <c r="H17" i="6"/>
  <c r="K16" i="6"/>
  <c r="J16" i="6"/>
  <c r="I16" i="6"/>
  <c r="H16" i="6"/>
  <c r="K15" i="6"/>
  <c r="J15" i="6"/>
  <c r="I15" i="6"/>
  <c r="H15" i="6"/>
  <c r="K14" i="6"/>
  <c r="J14" i="6"/>
  <c r="I14" i="6"/>
  <c r="H14" i="6"/>
  <c r="K13" i="6"/>
  <c r="J13" i="6"/>
  <c r="I13" i="6"/>
  <c r="H13" i="6"/>
  <c r="K12" i="6"/>
  <c r="J12" i="6"/>
  <c r="I12" i="6"/>
  <c r="H12" i="6"/>
  <c r="K11" i="6"/>
  <c r="J11" i="6"/>
  <c r="I11" i="6"/>
  <c r="H11" i="6"/>
  <c r="K10" i="6"/>
  <c r="J10" i="6"/>
  <c r="I10" i="6"/>
  <c r="H10" i="6"/>
  <c r="K9" i="6"/>
  <c r="J9" i="6"/>
  <c r="I9" i="6"/>
  <c r="H9" i="6"/>
  <c r="K8" i="6"/>
  <c r="J8" i="6"/>
  <c r="I8" i="6"/>
  <c r="H8" i="6"/>
  <c r="K7" i="6"/>
  <c r="J7" i="6"/>
  <c r="I7" i="6"/>
  <c r="H7" i="6"/>
  <c r="K6" i="6"/>
  <c r="J6" i="6"/>
  <c r="I6" i="6"/>
  <c r="H6" i="6"/>
  <c r="K5" i="6"/>
  <c r="J5" i="6"/>
  <c r="I5" i="6"/>
  <c r="H5" i="6"/>
  <c r="K4" i="6"/>
  <c r="J4" i="6"/>
  <c r="I4" i="6"/>
  <c r="H4" i="6"/>
  <c r="K3" i="6"/>
  <c r="J3" i="6"/>
  <c r="I3" i="6"/>
  <c r="H3" i="6"/>
  <c r="K2" i="6"/>
  <c r="J2" i="6"/>
  <c r="I2" i="6"/>
  <c r="H2" i="6"/>
  <c r="N1473" i="5" l="1"/>
  <c r="N1485" i="5"/>
  <c r="N1649" i="5"/>
  <c r="N1665" i="5"/>
  <c r="N1685" i="5"/>
  <c r="N1697" i="5"/>
  <c r="N1837" i="5"/>
  <c r="N1849" i="5"/>
  <c r="N2049" i="5"/>
  <c r="N2141" i="5"/>
  <c r="N2205" i="5"/>
  <c r="N2229" i="5"/>
  <c r="N2257" i="5"/>
  <c r="N2281" i="5"/>
  <c r="N2413" i="5"/>
  <c r="N2965" i="5"/>
  <c r="N3349" i="5"/>
  <c r="N3369" i="5"/>
  <c r="N3429" i="5"/>
  <c r="N1270" i="5"/>
  <c r="N1430" i="5"/>
  <c r="N1790" i="5"/>
  <c r="N1830" i="5"/>
  <c r="N1950" i="5"/>
  <c r="N2102" i="5"/>
  <c r="N2202" i="5"/>
  <c r="N2278" i="5"/>
  <c r="N2310" i="5"/>
  <c r="N2362" i="5"/>
  <c r="N2686" i="5"/>
  <c r="N2730" i="5"/>
  <c r="N2766" i="5"/>
  <c r="N3034" i="5"/>
  <c r="N1427" i="5"/>
  <c r="N1439" i="5"/>
  <c r="N1691" i="5"/>
  <c r="N1763" i="5"/>
  <c r="N1787" i="5"/>
  <c r="N1847" i="5"/>
  <c r="N2199" i="5"/>
  <c r="N2527" i="5"/>
  <c r="N2643" i="5"/>
  <c r="N2687" i="5"/>
  <c r="N2823" i="5"/>
  <c r="N1264" i="5"/>
  <c r="N1840" i="5"/>
  <c r="N1872" i="5"/>
  <c r="N1916" i="5"/>
  <c r="N1920" i="5"/>
  <c r="N2284" i="5"/>
  <c r="N2320" i="5"/>
  <c r="N2640" i="5"/>
  <c r="N2644" i="5"/>
  <c r="N2652" i="5"/>
  <c r="N2952" i="5"/>
  <c r="N3380" i="5"/>
  <c r="N242" i="5"/>
  <c r="N650" i="5"/>
  <c r="N236" i="5"/>
  <c r="N284" i="5"/>
  <c r="N292" i="5"/>
  <c r="N300" i="5"/>
  <c r="N468" i="5"/>
  <c r="N484" i="5"/>
  <c r="N656" i="5"/>
  <c r="N680" i="5"/>
  <c r="N756" i="5"/>
  <c r="N776" i="5"/>
  <c r="N928" i="5"/>
  <c r="N286" i="5"/>
  <c r="N994" i="5"/>
  <c r="N913" i="5"/>
  <c r="N291" i="5"/>
  <c r="N607" i="5"/>
  <c r="N631" i="5"/>
  <c r="N655" i="5"/>
  <c r="N129" i="5"/>
  <c r="N937" i="5"/>
  <c r="N255" i="5"/>
  <c r="N125" i="5"/>
  <c r="N649" i="5"/>
  <c r="N925" i="5"/>
  <c r="N27" i="5"/>
  <c r="N188" i="5"/>
  <c r="N1016" i="5"/>
  <c r="I921" i="8"/>
  <c r="I59" i="8"/>
  <c r="I157" i="8"/>
  <c r="I161" i="8"/>
  <c r="I165" i="8"/>
  <c r="I169" i="8"/>
  <c r="I224" i="8"/>
  <c r="I228" i="8"/>
  <c r="I141" i="8"/>
  <c r="I145" i="8"/>
  <c r="I180" i="8"/>
  <c r="I342" i="8"/>
  <c r="I31" i="8"/>
  <c r="I188" i="8"/>
  <c r="I196" i="8"/>
  <c r="I287" i="8"/>
  <c r="I437" i="8"/>
  <c r="I461" i="8"/>
  <c r="I469" i="8"/>
  <c r="I477" i="8"/>
  <c r="I485" i="8"/>
  <c r="I493" i="8"/>
  <c r="I501" i="8"/>
  <c r="I509" i="8"/>
  <c r="I517" i="8"/>
  <c r="I525" i="8"/>
  <c r="I533" i="8"/>
  <c r="I541" i="8"/>
  <c r="I549" i="8"/>
  <c r="I557" i="8"/>
  <c r="I565" i="8"/>
  <c r="I573" i="8"/>
  <c r="I581" i="8"/>
  <c r="I589" i="8"/>
  <c r="I597" i="8"/>
  <c r="I605" i="8"/>
  <c r="I613" i="8"/>
  <c r="I621" i="8"/>
  <c r="I629" i="8"/>
  <c r="I637" i="8"/>
  <c r="I645" i="8"/>
  <c r="I653" i="8"/>
  <c r="I665" i="8"/>
  <c r="I681" i="8"/>
  <c r="I705" i="8"/>
  <c r="I717" i="8"/>
  <c r="I741" i="8"/>
  <c r="I765" i="8"/>
  <c r="I797" i="8"/>
  <c r="I809" i="8"/>
  <c r="I825" i="8"/>
  <c r="I861" i="8"/>
  <c r="I877" i="8"/>
  <c r="I885" i="8"/>
  <c r="I893" i="8"/>
  <c r="I901" i="8"/>
  <c r="I106" i="8"/>
  <c r="I28" i="8"/>
  <c r="I52" i="8"/>
  <c r="I130" i="8"/>
  <c r="I134" i="8"/>
  <c r="I138" i="8"/>
  <c r="I201" i="8"/>
  <c r="I244" i="8"/>
  <c r="I248" i="8"/>
  <c r="I252" i="8"/>
  <c r="I256" i="8"/>
  <c r="I268" i="8"/>
  <c r="I288" i="8"/>
  <c r="I323" i="8"/>
  <c r="I331" i="8"/>
  <c r="I343" i="8"/>
  <c r="I347" i="8"/>
  <c r="I351" i="8"/>
  <c r="I374" i="8"/>
  <c r="I378" i="8"/>
  <c r="I382" i="8"/>
  <c r="I422" i="8"/>
  <c r="I454" i="8"/>
  <c r="I746" i="8"/>
  <c r="I810" i="8"/>
  <c r="I94" i="8"/>
  <c r="I133" i="8"/>
  <c r="I247" i="8"/>
  <c r="I271" i="8"/>
  <c r="I338" i="8"/>
  <c r="I346" i="8"/>
  <c r="I389" i="8"/>
  <c r="I425" i="8"/>
  <c r="I23" i="8"/>
  <c r="I43" i="8"/>
  <c r="I102" i="8"/>
  <c r="I200" i="8"/>
  <c r="I208" i="8"/>
  <c r="I291" i="8"/>
  <c r="I303" i="8"/>
  <c r="I465" i="8"/>
  <c r="I473" i="8"/>
  <c r="I481" i="8"/>
  <c r="I489" i="8"/>
  <c r="I497" i="8"/>
  <c r="I505" i="8"/>
  <c r="I513" i="8"/>
  <c r="I521" i="8"/>
  <c r="I529" i="8"/>
  <c r="I537" i="8"/>
  <c r="I545" i="8"/>
  <c r="I553" i="8"/>
  <c r="I561" i="8"/>
  <c r="I569" i="8"/>
  <c r="I577" i="8"/>
  <c r="I585" i="8"/>
  <c r="I593" i="8"/>
  <c r="I601" i="8"/>
  <c r="I609" i="8"/>
  <c r="I617" i="8"/>
  <c r="I625" i="8"/>
  <c r="I633" i="8"/>
  <c r="I641" i="8"/>
  <c r="I649" i="8"/>
  <c r="I657" i="8"/>
  <c r="I677" i="8"/>
  <c r="I701" i="8"/>
  <c r="I713" i="8"/>
  <c r="I729" i="8"/>
  <c r="I737" i="8"/>
  <c r="I749" i="8"/>
  <c r="I761" i="8"/>
  <c r="I777" i="8"/>
  <c r="I801" i="8"/>
  <c r="I821" i="8"/>
  <c r="I857" i="8"/>
  <c r="I905" i="8"/>
  <c r="I64" i="8"/>
  <c r="I84" i="8"/>
  <c r="I162" i="8"/>
  <c r="I225" i="8"/>
  <c r="I662" i="8"/>
  <c r="I766" i="8"/>
  <c r="I774" i="8"/>
  <c r="I826" i="8"/>
  <c r="I123" i="8"/>
  <c r="I253" i="8"/>
  <c r="I261" i="8"/>
  <c r="I324" i="8"/>
  <c r="I383" i="8"/>
  <c r="I395" i="8"/>
  <c r="I411" i="8"/>
  <c r="I415" i="8"/>
  <c r="I423" i="8"/>
  <c r="I919" i="8"/>
  <c r="I849" i="8"/>
  <c r="I45" i="8"/>
  <c r="I190" i="8"/>
  <c r="I194" i="8"/>
  <c r="I206" i="8"/>
  <c r="I210" i="8"/>
  <c r="I285" i="8"/>
  <c r="I289" i="8"/>
  <c r="I297" i="8"/>
  <c r="I301" i="8"/>
  <c r="I368" i="8"/>
  <c r="I459" i="8"/>
  <c r="I463" i="8"/>
  <c r="I467" i="8"/>
  <c r="I471" i="8"/>
  <c r="I475" i="8"/>
  <c r="I479" i="8"/>
  <c r="I483" i="8"/>
  <c r="I487" i="8"/>
  <c r="I491" i="8"/>
  <c r="I495" i="8"/>
  <c r="I499" i="8"/>
  <c r="I503" i="8"/>
  <c r="I507" i="8"/>
  <c r="I511" i="8"/>
  <c r="I515" i="8"/>
  <c r="I519" i="8"/>
  <c r="I523" i="8"/>
  <c r="I527" i="8"/>
  <c r="I531" i="8"/>
  <c r="I535" i="8"/>
  <c r="I539" i="8"/>
  <c r="I543" i="8"/>
  <c r="I547" i="8"/>
  <c r="I551" i="8"/>
  <c r="I555" i="8"/>
  <c r="I559" i="8"/>
  <c r="I563" i="8"/>
  <c r="I567" i="8"/>
  <c r="I571" i="8"/>
  <c r="I575" i="8"/>
  <c r="I579" i="8"/>
  <c r="I583" i="8"/>
  <c r="I587" i="8"/>
  <c r="I591" i="8"/>
  <c r="I595" i="8"/>
  <c r="I599" i="8"/>
  <c r="I603" i="8"/>
  <c r="I607" i="8"/>
  <c r="I611" i="8"/>
  <c r="I615" i="8"/>
  <c r="I619" i="8"/>
  <c r="I623" i="8"/>
  <c r="I627" i="8"/>
  <c r="I631" i="8"/>
  <c r="I635" i="8"/>
  <c r="I639" i="8"/>
  <c r="I643" i="8"/>
  <c r="I647" i="8"/>
  <c r="I651" i="8"/>
  <c r="I655" i="8"/>
  <c r="I659" i="8"/>
  <c r="I663" i="8"/>
  <c r="I667" i="8"/>
  <c r="I671" i="8"/>
  <c r="I675" i="8"/>
  <c r="I679" i="8"/>
  <c r="I683" i="8"/>
  <c r="I687" i="8"/>
  <c r="I691" i="8"/>
  <c r="I695" i="8"/>
  <c r="I699" i="8"/>
  <c r="I703" i="8"/>
  <c r="I711" i="8"/>
  <c r="I727" i="8"/>
  <c r="I735" i="8"/>
  <c r="I747" i="8"/>
  <c r="I751" i="8"/>
  <c r="I759" i="8"/>
  <c r="I775" i="8"/>
  <c r="I783" i="8"/>
  <c r="I795" i="8"/>
  <c r="I799" i="8"/>
  <c r="I807" i="8"/>
  <c r="I811" i="8"/>
  <c r="I831" i="8"/>
  <c r="I843" i="8"/>
  <c r="I863" i="8"/>
  <c r="I833" i="8"/>
  <c r="I128" i="8"/>
  <c r="I136" i="8"/>
  <c r="I246" i="8"/>
  <c r="I250" i="8"/>
  <c r="I258" i="8"/>
  <c r="I266" i="8"/>
  <c r="I321" i="8"/>
  <c r="I325" i="8"/>
  <c r="I329" i="8"/>
  <c r="I333" i="8"/>
  <c r="I372" i="8"/>
  <c r="I376" i="8"/>
  <c r="I388" i="8"/>
  <c r="I404" i="8"/>
  <c r="I34" i="8"/>
  <c r="I38" i="8"/>
  <c r="I42" i="8"/>
  <c r="I54" i="8"/>
  <c r="I191" i="8"/>
  <c r="I195" i="8"/>
  <c r="I203" i="8"/>
  <c r="I215" i="8"/>
  <c r="I278" i="8"/>
  <c r="I282" i="8"/>
  <c r="I286" i="8"/>
  <c r="I298" i="8"/>
  <c r="I306" i="8"/>
  <c r="I310" i="8"/>
  <c r="I314" i="8"/>
  <c r="I357" i="8"/>
  <c r="I440" i="8"/>
  <c r="I904" i="8"/>
  <c r="I21" i="8"/>
  <c r="I44" i="8"/>
  <c r="I48" i="8"/>
  <c r="I67" i="8"/>
  <c r="I79" i="8"/>
  <c r="I156" i="8"/>
  <c r="I163" i="8"/>
  <c r="I219" i="8"/>
  <c r="I230" i="8"/>
  <c r="I264" i="8"/>
  <c r="I283" i="8"/>
  <c r="I316" i="8"/>
  <c r="I341" i="8"/>
  <c r="I345" i="8"/>
  <c r="I367" i="8"/>
  <c r="I390" i="8"/>
  <c r="I405" i="8"/>
  <c r="I443" i="8"/>
  <c r="I823" i="8"/>
  <c r="I847" i="8"/>
  <c r="I859" i="8"/>
  <c r="I18" i="8"/>
  <c r="I37" i="8"/>
  <c r="I49" i="8"/>
  <c r="I72" i="8"/>
  <c r="I87" i="8"/>
  <c r="I98" i="8"/>
  <c r="I120" i="8"/>
  <c r="I142" i="8"/>
  <c r="I175" i="8"/>
  <c r="I242" i="8"/>
  <c r="I257" i="8"/>
  <c r="I305" i="8"/>
  <c r="I309" i="8"/>
  <c r="I387" i="8"/>
  <c r="I444" i="8"/>
  <c r="I452" i="8"/>
  <c r="I26" i="8"/>
  <c r="I95" i="8"/>
  <c r="I99" i="8"/>
  <c r="I135" i="8"/>
  <c r="I172" i="8"/>
  <c r="I205" i="8"/>
  <c r="I235" i="8"/>
  <c r="I328" i="8"/>
  <c r="I350" i="8"/>
  <c r="I380" i="8"/>
  <c r="I391" i="8"/>
  <c r="I410" i="8"/>
  <c r="I414" i="8"/>
  <c r="I433" i="8"/>
  <c r="I46" i="8"/>
  <c r="I69" i="8"/>
  <c r="I132" i="8"/>
  <c r="I202" i="8"/>
  <c r="I384" i="8"/>
  <c r="I399" i="8"/>
  <c r="I426" i="8"/>
  <c r="I232" i="8"/>
  <c r="I392" i="8"/>
  <c r="I669" i="8"/>
  <c r="I689" i="8"/>
  <c r="I693" i="8"/>
  <c r="I725" i="8"/>
  <c r="I753" i="8"/>
  <c r="I773" i="8"/>
  <c r="I785" i="8"/>
  <c r="I813" i="8"/>
  <c r="I845" i="8"/>
  <c r="I873" i="8"/>
  <c r="I913" i="8"/>
  <c r="I917" i="8"/>
  <c r="I39" i="8"/>
  <c r="I58" i="8"/>
  <c r="I62" i="8"/>
  <c r="I66" i="8"/>
  <c r="I107" i="8"/>
  <c r="I114" i="8"/>
  <c r="I118" i="8"/>
  <c r="I125" i="8"/>
  <c r="I129" i="8"/>
  <c r="I144" i="8"/>
  <c r="I151" i="8"/>
  <c r="I177" i="8"/>
  <c r="I181" i="8"/>
  <c r="I214" i="8"/>
  <c r="I240" i="8"/>
  <c r="I251" i="8"/>
  <c r="I259" i="8"/>
  <c r="I270" i="8"/>
  <c r="I274" i="8"/>
  <c r="I296" i="8"/>
  <c r="I307" i="8"/>
  <c r="I311" i="8"/>
  <c r="I322" i="8"/>
  <c r="I373" i="8"/>
  <c r="I263" i="8"/>
  <c r="I267" i="8"/>
  <c r="I315" i="8"/>
  <c r="I348" i="8"/>
  <c r="I359" i="8"/>
  <c r="I385" i="8"/>
  <c r="I393" i="8"/>
  <c r="I400" i="8"/>
  <c r="I562" i="8"/>
  <c r="I104" i="8"/>
  <c r="I115" i="8"/>
  <c r="I170" i="8"/>
  <c r="I178" i="8"/>
  <c r="I185" i="8"/>
  <c r="I189" i="8"/>
  <c r="I207" i="8"/>
  <c r="I211" i="8"/>
  <c r="I237" i="8"/>
  <c r="I304" i="8"/>
  <c r="I337" i="8"/>
  <c r="I363" i="8"/>
  <c r="I397" i="8"/>
  <c r="I408" i="8"/>
  <c r="I416" i="8"/>
  <c r="I435" i="8"/>
  <c r="I590" i="8"/>
  <c r="I594" i="8"/>
  <c r="I618" i="8"/>
  <c r="I630" i="8"/>
  <c r="I642" i="8"/>
  <c r="I666" i="8"/>
  <c r="I710" i="8"/>
  <c r="I722" i="8"/>
  <c r="I750" i="8"/>
  <c r="I22" i="8"/>
  <c r="I77" i="8"/>
  <c r="I187" i="8"/>
  <c r="I249" i="8"/>
  <c r="I260" i="8"/>
  <c r="I371" i="8"/>
  <c r="I386" i="8"/>
  <c r="I30" i="8"/>
  <c r="I41" i="8"/>
  <c r="I63" i="8"/>
  <c r="I91" i="8"/>
  <c r="I122" i="8"/>
  <c r="I167" i="8"/>
  <c r="I218" i="8"/>
  <c r="I222" i="8"/>
  <c r="I275" i="8"/>
  <c r="I27" i="8"/>
  <c r="I56" i="8"/>
  <c r="I60" i="8"/>
  <c r="I109" i="8"/>
  <c r="I126" i="8"/>
  <c r="I140" i="8"/>
  <c r="I150" i="8"/>
  <c r="I164" i="8"/>
  <c r="I212" i="8"/>
  <c r="I233" i="8"/>
  <c r="I272" i="8"/>
  <c r="I279" i="8"/>
  <c r="I293" i="8"/>
  <c r="I300" i="8"/>
  <c r="I358" i="8"/>
  <c r="I450" i="8"/>
  <c r="I68" i="8"/>
  <c r="I89" i="8"/>
  <c r="I110" i="8"/>
  <c r="I127" i="8"/>
  <c r="I182" i="8"/>
  <c r="I262" i="8"/>
  <c r="I280" i="8"/>
  <c r="I308" i="8"/>
  <c r="I312" i="8"/>
  <c r="I355" i="8"/>
  <c r="I50" i="8"/>
  <c r="I93" i="8"/>
  <c r="I158" i="8"/>
  <c r="I220" i="8"/>
  <c r="I396" i="8"/>
  <c r="I418" i="8"/>
  <c r="I470" i="8"/>
  <c r="I490" i="8"/>
  <c r="I498" i="8"/>
  <c r="I518" i="8"/>
  <c r="I335" i="8"/>
  <c r="I466" i="8"/>
  <c r="I474" i="8"/>
  <c r="I478" i="8"/>
  <c r="I482" i="8"/>
  <c r="I494" i="8"/>
  <c r="I502" i="8"/>
  <c r="I506" i="8"/>
  <c r="I510" i="8"/>
  <c r="I522" i="8"/>
  <c r="I538" i="8"/>
  <c r="I546" i="8"/>
  <c r="I550" i="8"/>
  <c r="I554" i="8"/>
  <c r="I558" i="8"/>
  <c r="I574" i="8"/>
  <c r="I578" i="8"/>
  <c r="I582" i="8"/>
  <c r="I606" i="8"/>
  <c r="I610" i="8"/>
  <c r="I626" i="8"/>
  <c r="I634" i="8"/>
  <c r="I650" i="8"/>
  <c r="I654" i="8"/>
  <c r="I674" i="8"/>
  <c r="I678" i="8"/>
  <c r="I682" i="8"/>
  <c r="I690" i="8"/>
  <c r="I694" i="8"/>
  <c r="I706" i="8"/>
  <c r="I714" i="8"/>
  <c r="I726" i="8"/>
  <c r="I730" i="8"/>
  <c r="I734" i="8"/>
  <c r="I742" i="8"/>
  <c r="I754" i="8"/>
  <c r="I770" i="8"/>
  <c r="I782" i="8"/>
  <c r="I786" i="8"/>
  <c r="I806" i="8"/>
  <c r="I818" i="8"/>
  <c r="I822" i="8"/>
  <c r="I830" i="8"/>
  <c r="I834" i="8"/>
  <c r="I838" i="8"/>
  <c r="I874" i="8"/>
  <c r="I894" i="8"/>
  <c r="I910" i="8"/>
  <c r="I918" i="8"/>
  <c r="I29" i="8"/>
  <c r="I47" i="8"/>
  <c r="I65" i="8"/>
  <c r="I86" i="8"/>
  <c r="I116" i="8"/>
  <c r="I149" i="8"/>
  <c r="I179" i="8"/>
  <c r="I199" i="8"/>
  <c r="I239" i="8"/>
  <c r="I302" i="8"/>
  <c r="I332" i="8"/>
  <c r="I365" i="8"/>
  <c r="I379" i="8"/>
  <c r="I15" i="8"/>
  <c r="I33" i="8"/>
  <c r="I51" i="8"/>
  <c r="I83" i="8"/>
  <c r="I146" i="8"/>
  <c r="I176" i="8"/>
  <c r="I186" i="8"/>
  <c r="I236" i="8"/>
  <c r="I269" i="8"/>
  <c r="I299" i="8"/>
  <c r="I362" i="8"/>
  <c r="I394" i="8"/>
  <c r="I412" i="8"/>
  <c r="I430" i="8"/>
  <c r="I448" i="8"/>
  <c r="I326" i="8"/>
  <c r="I356" i="8"/>
  <c r="I366" i="8"/>
  <c r="I197" i="8"/>
  <c r="I227" i="8"/>
  <c r="I290" i="8"/>
  <c r="I320" i="8"/>
  <c r="I330" i="8"/>
  <c r="I406" i="8"/>
  <c r="I254" i="8"/>
  <c r="I284" i="8"/>
  <c r="I294" i="8"/>
  <c r="I344" i="8"/>
  <c r="I381" i="8"/>
  <c r="I403" i="8"/>
  <c r="I421" i="8"/>
  <c r="I439" i="8"/>
  <c r="I457" i="8"/>
  <c r="I802" i="8"/>
  <c r="I850" i="8"/>
  <c r="I854" i="8"/>
  <c r="I858" i="8"/>
  <c r="I866" i="8"/>
  <c r="I878" i="8"/>
  <c r="I886" i="8"/>
  <c r="I890" i="8"/>
  <c r="I902" i="8"/>
  <c r="I914" i="8"/>
  <c r="I926" i="8"/>
  <c r="I707" i="8"/>
  <c r="I719" i="8"/>
  <c r="I723" i="8"/>
  <c r="I731" i="8"/>
  <c r="I739" i="8"/>
  <c r="I743" i="8"/>
  <c r="I755" i="8"/>
  <c r="I767" i="8"/>
  <c r="I771" i="8"/>
  <c r="I779" i="8"/>
  <c r="I787" i="8"/>
  <c r="I791" i="8"/>
  <c r="I803" i="8"/>
  <c r="I815" i="8"/>
  <c r="I819" i="8"/>
  <c r="I827" i="8"/>
  <c r="I835" i="8"/>
  <c r="I839" i="8"/>
  <c r="I851" i="8"/>
  <c r="I855" i="8"/>
  <c r="I871" i="8"/>
  <c r="I17" i="8"/>
  <c r="I35" i="8"/>
  <c r="I53" i="8"/>
  <c r="I71" i="8"/>
  <c r="I75" i="8"/>
  <c r="I101" i="8"/>
  <c r="I137" i="8"/>
  <c r="I173" i="8"/>
  <c r="I209" i="8"/>
  <c r="I245" i="8"/>
  <c r="I281" i="8"/>
  <c r="I317" i="8"/>
  <c r="I353" i="8"/>
  <c r="I409" i="8"/>
  <c r="I427" i="8"/>
  <c r="I445" i="8"/>
  <c r="I661" i="8"/>
  <c r="I673" i="8"/>
  <c r="I685" i="8"/>
  <c r="I697" i="8"/>
  <c r="I709" i="8"/>
  <c r="I721" i="8"/>
  <c r="I733" i="8"/>
  <c r="I745" i="8"/>
  <c r="I757" i="8"/>
  <c r="I769" i="8"/>
  <c r="I781" i="8"/>
  <c r="I793" i="8"/>
  <c r="I805" i="8"/>
  <c r="I817" i="8"/>
  <c r="I829" i="8"/>
  <c r="I841" i="8"/>
  <c r="I853" i="8"/>
  <c r="I865" i="8"/>
  <c r="I869" i="8"/>
  <c r="I881" i="8"/>
  <c r="I889" i="8"/>
  <c r="I897" i="8"/>
  <c r="I909" i="8"/>
  <c r="I925" i="8"/>
  <c r="I867" i="8"/>
  <c r="I879" i="8"/>
  <c r="I883" i="8"/>
  <c r="I891" i="8"/>
  <c r="I895" i="8"/>
  <c r="I903" i="8"/>
  <c r="I911" i="8"/>
  <c r="I915" i="8"/>
  <c r="I923" i="8"/>
  <c r="I927" i="8"/>
  <c r="I424" i="8"/>
  <c r="I442" i="8"/>
  <c r="N720" i="5"/>
  <c r="N1066" i="5"/>
  <c r="N1380" i="5"/>
  <c r="N1410" i="5"/>
  <c r="N1508" i="5"/>
  <c r="N1653" i="5"/>
  <c r="N1718" i="5"/>
  <c r="N2336" i="5"/>
  <c r="N2345" i="5"/>
  <c r="N2354" i="5"/>
  <c r="N2467" i="5"/>
  <c r="N2573" i="5"/>
  <c r="N2893" i="5"/>
  <c r="N2908" i="5"/>
  <c r="N2923" i="5"/>
  <c r="N2929" i="5"/>
  <c r="N3211" i="5"/>
  <c r="N3450" i="5"/>
  <c r="N759" i="5"/>
  <c r="N833" i="5"/>
  <c r="N839" i="5"/>
  <c r="N872" i="5"/>
  <c r="N890" i="5"/>
  <c r="N893" i="5"/>
  <c r="N896" i="5"/>
  <c r="N899" i="5"/>
  <c r="N1446" i="5"/>
  <c r="N1538" i="5"/>
  <c r="N1674" i="5"/>
  <c r="N1766" i="5"/>
  <c r="N1846" i="5"/>
  <c r="N2010" i="5"/>
  <c r="N2025" i="5"/>
  <c r="N2152" i="5"/>
  <c r="N2662" i="5"/>
  <c r="N2757" i="5"/>
  <c r="N2787" i="5"/>
  <c r="N2790" i="5"/>
  <c r="N2814" i="5"/>
  <c r="N2817" i="5"/>
  <c r="N2992" i="5"/>
  <c r="N3149" i="5"/>
  <c r="N3355" i="5"/>
  <c r="N3516" i="5"/>
  <c r="N253" i="5"/>
  <c r="N2485" i="5"/>
  <c r="N2488" i="5"/>
  <c r="N2526" i="5"/>
  <c r="N2704" i="5"/>
  <c r="N2847" i="5"/>
  <c r="N2850" i="5"/>
  <c r="N2853" i="5"/>
  <c r="N51" i="5"/>
  <c r="N170" i="5"/>
  <c r="N709" i="5"/>
  <c r="N712" i="5"/>
  <c r="N1342" i="5"/>
  <c r="N1354" i="5"/>
  <c r="N1357" i="5"/>
  <c r="N1497" i="5"/>
  <c r="N1533" i="5"/>
  <c r="N1568" i="5"/>
  <c r="N1722" i="5"/>
  <c r="N2364" i="5"/>
  <c r="N2939" i="5"/>
  <c r="N3212" i="5"/>
  <c r="N45" i="5"/>
  <c r="N828" i="5"/>
  <c r="N981" i="5"/>
  <c r="N987" i="5"/>
  <c r="N990" i="5"/>
  <c r="N1598" i="5"/>
  <c r="N1622" i="5"/>
  <c r="N1758" i="5"/>
  <c r="N1867" i="5"/>
  <c r="N1933" i="5"/>
  <c r="N1936" i="5"/>
  <c r="N1957" i="5"/>
  <c r="N2174" i="5"/>
  <c r="N2177" i="5"/>
  <c r="N2186" i="5"/>
  <c r="N2210" i="5"/>
  <c r="N2722" i="5"/>
  <c r="N2725" i="5"/>
  <c r="N2749" i="5"/>
  <c r="N2764" i="5"/>
  <c r="N2776" i="5"/>
  <c r="N2788" i="5"/>
  <c r="N2791" i="5"/>
  <c r="N2800" i="5"/>
  <c r="N48" i="5"/>
  <c r="N757" i="5"/>
  <c r="N1029" i="5"/>
  <c r="N1223" i="5"/>
  <c r="N1447" i="5"/>
  <c r="N1557" i="5"/>
  <c r="N1560" i="5"/>
  <c r="N1782" i="5"/>
  <c r="N1785" i="5"/>
  <c r="N1797" i="5"/>
  <c r="N2026" i="5"/>
  <c r="N2436" i="5"/>
  <c r="N2492" i="5"/>
  <c r="N2604" i="5"/>
  <c r="N3168" i="5"/>
  <c r="N3174" i="5"/>
  <c r="N42" i="5"/>
  <c r="N174" i="5"/>
  <c r="N365" i="5"/>
  <c r="N374" i="5"/>
  <c r="N686" i="5"/>
  <c r="N1080" i="5"/>
  <c r="N1083" i="5"/>
  <c r="N1086" i="5"/>
  <c r="N1101" i="5"/>
  <c r="N1104" i="5"/>
  <c r="N1122" i="5"/>
  <c r="N1337" i="5"/>
  <c r="N1358" i="5"/>
  <c r="N1361" i="5"/>
  <c r="N1388" i="5"/>
  <c r="N1397" i="5"/>
  <c r="N1406" i="5"/>
  <c r="N1504" i="5"/>
  <c r="N1516" i="5"/>
  <c r="N1537" i="5"/>
  <c r="N1744" i="5"/>
  <c r="N2329" i="5"/>
  <c r="N2332" i="5"/>
  <c r="N2516" i="5"/>
  <c r="N2708" i="5"/>
  <c r="N2717" i="5"/>
  <c r="N2726" i="5"/>
  <c r="N3032" i="5"/>
  <c r="N3216" i="5"/>
  <c r="N3222" i="5"/>
  <c r="N3237" i="5"/>
  <c r="N3276" i="5"/>
  <c r="N3279" i="5"/>
  <c r="N467" i="5"/>
  <c r="N1212" i="5"/>
  <c r="N1215" i="5"/>
  <c r="N1218" i="5"/>
  <c r="N1302" i="5"/>
  <c r="N1305" i="5"/>
  <c r="N1490" i="5"/>
  <c r="N1555" i="5"/>
  <c r="N2241" i="5"/>
  <c r="N2250" i="5"/>
  <c r="N2265" i="5"/>
  <c r="N2268" i="5"/>
  <c r="N2528" i="5"/>
  <c r="N3086" i="5"/>
  <c r="N3205" i="5"/>
  <c r="N3372" i="5"/>
  <c r="N3375" i="5"/>
  <c r="N394" i="5"/>
  <c r="N403" i="5"/>
  <c r="N406" i="5"/>
  <c r="N660" i="5"/>
  <c r="N663" i="5"/>
  <c r="N740" i="5"/>
  <c r="N743" i="5"/>
  <c r="N882" i="5"/>
  <c r="N912" i="5"/>
  <c r="N1159" i="5"/>
  <c r="N1171" i="5"/>
  <c r="N127" i="5"/>
  <c r="N287" i="5"/>
  <c r="N370" i="5"/>
  <c r="N734" i="5"/>
  <c r="N1117" i="5"/>
  <c r="N53" i="5"/>
  <c r="N98" i="5"/>
  <c r="N252" i="5"/>
  <c r="N314" i="5"/>
  <c r="N335" i="5"/>
  <c r="N433" i="5"/>
  <c r="N439" i="5"/>
  <c r="N796" i="5"/>
  <c r="N805" i="5"/>
  <c r="N948" i="5"/>
  <c r="N133" i="5"/>
  <c r="N373" i="5"/>
  <c r="N731" i="5"/>
  <c r="N15" i="5"/>
  <c r="N113" i="5"/>
  <c r="N258" i="5"/>
  <c r="N276" i="5"/>
  <c r="N380" i="5"/>
  <c r="N540" i="5"/>
  <c r="N1130" i="5"/>
  <c r="N63" i="5"/>
  <c r="N422" i="5"/>
  <c r="N889" i="5"/>
  <c r="N137" i="5"/>
  <c r="N140" i="5"/>
  <c r="N152" i="5"/>
  <c r="N315" i="5"/>
  <c r="N449" i="5"/>
  <c r="N520" i="5"/>
  <c r="N546" i="5"/>
  <c r="N590" i="5"/>
  <c r="N800" i="5"/>
  <c r="N1238" i="5"/>
  <c r="N232" i="5"/>
  <c r="N235" i="5"/>
  <c r="N301" i="5"/>
  <c r="N857" i="5"/>
  <c r="N1176" i="5"/>
  <c r="N138" i="5"/>
  <c r="N334" i="5"/>
  <c r="N343" i="5"/>
  <c r="N346" i="5"/>
  <c r="N349" i="5"/>
  <c r="N355" i="5"/>
  <c r="N429" i="5"/>
  <c r="N432" i="5"/>
  <c r="N435" i="5"/>
  <c r="N438" i="5"/>
  <c r="N527" i="5"/>
  <c r="N944" i="5"/>
  <c r="N974" i="5"/>
  <c r="N1054" i="5"/>
  <c r="N76" i="5"/>
  <c r="N458" i="5"/>
  <c r="N461" i="5"/>
  <c r="N473" i="5"/>
  <c r="N490" i="5"/>
  <c r="N548" i="5"/>
  <c r="N627" i="5"/>
  <c r="N733" i="5"/>
  <c r="N744" i="5"/>
  <c r="N793" i="5"/>
  <c r="N887" i="5"/>
  <c r="N1010" i="5"/>
  <c r="N1045" i="5"/>
  <c r="N1048" i="5"/>
  <c r="N1170" i="5"/>
  <c r="N1345" i="5"/>
  <c r="N1348" i="5"/>
  <c r="N1437" i="5"/>
  <c r="N1454" i="5"/>
  <c r="N1495" i="5"/>
  <c r="N1522" i="5"/>
  <c r="N1545" i="5"/>
  <c r="N1659" i="5"/>
  <c r="N1712" i="5"/>
  <c r="N1862" i="5"/>
  <c r="N1918" i="5"/>
  <c r="N1924" i="5"/>
  <c r="N2003" i="5"/>
  <c r="N2021" i="5"/>
  <c r="N2033" i="5"/>
  <c r="N2121" i="5"/>
  <c r="N2500" i="5"/>
  <c r="N2579" i="5"/>
  <c r="N2582" i="5"/>
  <c r="N2588" i="5"/>
  <c r="N2624" i="5"/>
  <c r="N2729" i="5"/>
  <c r="N2859" i="5"/>
  <c r="N2897" i="5"/>
  <c r="N2903" i="5"/>
  <c r="N2906" i="5"/>
  <c r="N2921" i="5"/>
  <c r="N3042" i="5"/>
  <c r="N3388" i="5"/>
  <c r="N3169" i="5"/>
  <c r="N3172" i="5"/>
  <c r="N3232" i="5"/>
  <c r="N3264" i="5"/>
  <c r="N3267" i="5"/>
  <c r="N3297" i="5"/>
  <c r="N3318" i="5"/>
  <c r="N3321" i="5"/>
  <c r="N3327" i="5"/>
  <c r="N3412" i="5"/>
  <c r="N3418" i="5"/>
  <c r="N118" i="5"/>
  <c r="N156" i="5"/>
  <c r="N191" i="5"/>
  <c r="N382" i="5"/>
  <c r="N704" i="5"/>
  <c r="N707" i="5"/>
  <c r="N713" i="5"/>
  <c r="N785" i="5"/>
  <c r="N826" i="5"/>
  <c r="N999" i="5"/>
  <c r="N1084" i="5"/>
  <c r="N1194" i="5"/>
  <c r="N1268" i="5"/>
  <c r="N1277" i="5"/>
  <c r="N1375" i="5"/>
  <c r="N1481" i="5"/>
  <c r="N1607" i="5"/>
  <c r="N1610" i="5"/>
  <c r="N1645" i="5"/>
  <c r="N1792" i="5"/>
  <c r="N1954" i="5"/>
  <c r="N1986" i="5"/>
  <c r="N1992" i="5"/>
  <c r="N2402" i="5"/>
  <c r="N2550" i="5"/>
  <c r="N2562" i="5"/>
  <c r="N2630" i="5"/>
  <c r="N2756" i="5"/>
  <c r="N2836" i="5"/>
  <c r="N2839" i="5"/>
  <c r="N2842" i="5"/>
  <c r="N2845" i="5"/>
  <c r="N2865" i="5"/>
  <c r="N2868" i="5"/>
  <c r="N2871" i="5"/>
  <c r="N1200" i="5"/>
  <c r="N1283" i="5"/>
  <c r="N1286" i="5"/>
  <c r="N1292" i="5"/>
  <c r="N1295" i="5"/>
  <c r="N1414" i="5"/>
  <c r="N1628" i="5"/>
  <c r="N1848" i="5"/>
  <c r="N1880" i="5"/>
  <c r="N2069" i="5"/>
  <c r="N2243" i="5"/>
  <c r="N2252" i="5"/>
  <c r="N2264" i="5"/>
  <c r="N2285" i="5"/>
  <c r="N2645" i="5"/>
  <c r="N2651" i="5"/>
  <c r="N2665" i="5"/>
  <c r="N2671" i="5"/>
  <c r="N2712" i="5"/>
  <c r="N2792" i="5"/>
  <c r="N2848" i="5"/>
  <c r="N2957" i="5"/>
  <c r="N2987" i="5"/>
  <c r="N3244" i="5"/>
  <c r="N3448" i="5"/>
  <c r="N68" i="5"/>
  <c r="N89" i="5"/>
  <c r="N197" i="5"/>
  <c r="N212" i="5"/>
  <c r="N262" i="5"/>
  <c r="N421" i="5"/>
  <c r="N456" i="5"/>
  <c r="N459" i="5"/>
  <c r="N581" i="5"/>
  <c r="N584" i="5"/>
  <c r="N613" i="5"/>
  <c r="N672" i="5"/>
  <c r="N725" i="5"/>
  <c r="N865" i="5"/>
  <c r="N885" i="5"/>
  <c r="N908" i="5"/>
  <c r="N920" i="5"/>
  <c r="N961" i="5"/>
  <c r="N1123" i="5"/>
  <c r="N1126" i="5"/>
  <c r="N1346" i="5"/>
  <c r="N1438" i="5"/>
  <c r="N1449" i="5"/>
  <c r="N1572" i="5"/>
  <c r="N1581" i="5"/>
  <c r="N1737" i="5"/>
  <c r="N1807" i="5"/>
  <c r="N1813" i="5"/>
  <c r="N1819" i="5"/>
  <c r="N1834" i="5"/>
  <c r="N1919" i="5"/>
  <c r="N1937" i="5"/>
  <c r="N2157" i="5"/>
  <c r="N2314" i="5"/>
  <c r="N2461" i="5"/>
  <c r="N2736" i="5"/>
  <c r="N2739" i="5"/>
  <c r="N2804" i="5"/>
  <c r="N2807" i="5"/>
  <c r="N2857" i="5"/>
  <c r="N2883" i="5"/>
  <c r="N2886" i="5"/>
  <c r="N2898" i="5"/>
  <c r="N2904" i="5"/>
  <c r="N3055" i="5"/>
  <c r="N3336" i="5"/>
  <c r="N3342" i="5"/>
  <c r="N3407" i="5"/>
  <c r="N3472" i="5"/>
  <c r="N427" i="5"/>
  <c r="N524" i="5"/>
  <c r="N530" i="5"/>
  <c r="N1796" i="5"/>
  <c r="N2769" i="5"/>
  <c r="N3014" i="5"/>
  <c r="N3132" i="5"/>
  <c r="N3164" i="5"/>
  <c r="N3200" i="5"/>
  <c r="N3277" i="5"/>
  <c r="N3280" i="5"/>
  <c r="N3286" i="5"/>
  <c r="N3313" i="5"/>
  <c r="N3425" i="5"/>
  <c r="N3517" i="5"/>
  <c r="N16" i="5"/>
  <c r="N245" i="5"/>
  <c r="N277" i="5"/>
  <c r="N605" i="5"/>
  <c r="N637" i="5"/>
  <c r="N900" i="5"/>
  <c r="N1494" i="5"/>
  <c r="N1570" i="5"/>
  <c r="N1890" i="5"/>
  <c r="N2262" i="5"/>
  <c r="N2631" i="5"/>
  <c r="N2802" i="5"/>
  <c r="N2961" i="5"/>
  <c r="N2994" i="5"/>
  <c r="N3239" i="5"/>
  <c r="N3251" i="5"/>
  <c r="N1418" i="5"/>
  <c r="N1820" i="5"/>
  <c r="N2014" i="5"/>
  <c r="N2734" i="5"/>
  <c r="N160" i="5"/>
  <c r="N263" i="5"/>
  <c r="N266" i="5"/>
  <c r="N454" i="5"/>
  <c r="N492" i="5"/>
  <c r="N495" i="5"/>
  <c r="N556" i="5"/>
  <c r="N562" i="5"/>
  <c r="N848" i="5"/>
  <c r="N860" i="5"/>
  <c r="N1009" i="5"/>
  <c r="N1326" i="5"/>
  <c r="N78" i="5"/>
  <c r="N84" i="5"/>
  <c r="N87" i="5"/>
  <c r="N96" i="5"/>
  <c r="N128" i="5"/>
  <c r="N228" i="5"/>
  <c r="N425" i="5"/>
  <c r="N475" i="5"/>
  <c r="N626" i="5"/>
  <c r="N691" i="5"/>
  <c r="N694" i="5"/>
  <c r="N697" i="5"/>
  <c r="N700" i="5"/>
  <c r="N726" i="5"/>
  <c r="N772" i="5"/>
  <c r="N992" i="5"/>
  <c r="N1062" i="5"/>
  <c r="N1071" i="5"/>
  <c r="N1074" i="5"/>
  <c r="N1098" i="5"/>
  <c r="N1148" i="5"/>
  <c r="N1160" i="5"/>
  <c r="N1344" i="5"/>
  <c r="N1350" i="5"/>
  <c r="N1353" i="5"/>
  <c r="N1362" i="5"/>
  <c r="N1368" i="5"/>
  <c r="N1603" i="5"/>
  <c r="N1720" i="5"/>
  <c r="N1764" i="5"/>
  <c r="N1779" i="5"/>
  <c r="N1826" i="5"/>
  <c r="N1838" i="5"/>
  <c r="N2365" i="5"/>
  <c r="N2392" i="5"/>
  <c r="N2525" i="5"/>
  <c r="N2608" i="5"/>
  <c r="N2623" i="5"/>
  <c r="N2705" i="5"/>
  <c r="N2870" i="5"/>
  <c r="N3065" i="5"/>
  <c r="N3074" i="5"/>
  <c r="N3162" i="5"/>
  <c r="N3198" i="5"/>
  <c r="N3266" i="5"/>
  <c r="N3272" i="5"/>
  <c r="N3311" i="5"/>
  <c r="N3361" i="5"/>
  <c r="N3414" i="5"/>
  <c r="N3482" i="5"/>
  <c r="N3485" i="5"/>
  <c r="N157" i="5"/>
  <c r="N25" i="5"/>
  <c r="N81" i="5"/>
  <c r="N134" i="5"/>
  <c r="N190" i="5"/>
  <c r="N193" i="5"/>
  <c r="N243" i="5"/>
  <c r="N246" i="5"/>
  <c r="N249" i="5"/>
  <c r="N281" i="5"/>
  <c r="N440" i="5"/>
  <c r="N603" i="5"/>
  <c r="N741" i="5"/>
  <c r="N2422" i="5"/>
  <c r="N2442" i="5"/>
  <c r="N2491" i="5"/>
  <c r="N2673" i="5"/>
  <c r="N2989" i="5"/>
  <c r="N3104" i="5"/>
  <c r="N3148" i="5"/>
  <c r="N130" i="5"/>
  <c r="N230" i="5"/>
  <c r="N383" i="5"/>
  <c r="N512" i="5"/>
  <c r="N825" i="5"/>
  <c r="N859" i="5"/>
  <c r="N534" i="5"/>
  <c r="N916" i="5"/>
  <c r="N954" i="5"/>
  <c r="N998" i="5"/>
  <c r="N173" i="5"/>
  <c r="N176" i="5"/>
  <c r="N204" i="5"/>
  <c r="N325" i="5"/>
  <c r="N418" i="5"/>
  <c r="N518" i="5"/>
  <c r="N639" i="5"/>
  <c r="N703" i="5"/>
  <c r="N905" i="5"/>
  <c r="N1018" i="5"/>
  <c r="N1041" i="5"/>
  <c r="N1138" i="5"/>
  <c r="N36" i="5"/>
  <c r="N33" i="5"/>
  <c r="N122" i="5"/>
  <c r="N5" i="5"/>
  <c r="N82" i="5"/>
  <c r="N136" i="5"/>
  <c r="N147" i="5"/>
  <c r="N150" i="5"/>
  <c r="N182" i="5"/>
  <c r="N311" i="5"/>
  <c r="N361" i="5"/>
  <c r="N367" i="5"/>
  <c r="N398" i="5"/>
  <c r="N453" i="5"/>
  <c r="N521" i="5"/>
  <c r="N532" i="5"/>
  <c r="N565" i="5"/>
  <c r="N576" i="5"/>
  <c r="N585" i="5"/>
  <c r="N766" i="5"/>
  <c r="N774" i="5"/>
  <c r="N791" i="5"/>
  <c r="N831" i="5"/>
  <c r="N837" i="5"/>
  <c r="N877" i="5"/>
  <c r="N894" i="5"/>
  <c r="N897" i="5"/>
  <c r="N946" i="5"/>
  <c r="N1024" i="5"/>
  <c r="N1245" i="5"/>
  <c r="N117" i="5"/>
  <c r="N168" i="5"/>
  <c r="N196" i="5"/>
  <c r="N237" i="5"/>
  <c r="N332" i="5"/>
  <c r="N379" i="5"/>
  <c r="N390" i="5"/>
  <c r="N505" i="5"/>
  <c r="N516" i="5"/>
  <c r="N535" i="5"/>
  <c r="N554" i="5"/>
  <c r="N557" i="5"/>
  <c r="N568" i="5"/>
  <c r="N620" i="5"/>
  <c r="N623" i="5"/>
  <c r="N721" i="5"/>
  <c r="N727" i="5"/>
  <c r="N783" i="5"/>
  <c r="N846" i="5"/>
  <c r="N1033" i="5"/>
  <c r="N1210" i="5"/>
  <c r="N20" i="5"/>
  <c r="N46" i="5"/>
  <c r="N86" i="5"/>
  <c r="N112" i="5"/>
  <c r="N154" i="5"/>
  <c r="N223" i="5"/>
  <c r="N226" i="5"/>
  <c r="N269" i="5"/>
  <c r="N309" i="5"/>
  <c r="N321" i="5"/>
  <c r="N445" i="5"/>
  <c r="N451" i="5"/>
  <c r="N460" i="5"/>
  <c r="N474" i="5"/>
  <c r="N514" i="5"/>
  <c r="N577" i="5"/>
  <c r="N589" i="5"/>
  <c r="N736" i="5"/>
  <c r="N764" i="5"/>
  <c r="N775" i="5"/>
  <c r="N818" i="5"/>
  <c r="N821" i="5"/>
  <c r="N861" i="5"/>
  <c r="N864" i="5"/>
  <c r="N867" i="5"/>
  <c r="N875" i="5"/>
  <c r="N947" i="5"/>
  <c r="N976" i="5"/>
  <c r="N1002" i="5"/>
  <c r="N1213" i="5"/>
  <c r="N1216" i="5"/>
  <c r="N324" i="5"/>
  <c r="N391" i="5"/>
  <c r="N411" i="5"/>
  <c r="N417" i="5"/>
  <c r="N500" i="5"/>
  <c r="N569" i="5"/>
  <c r="N572" i="5"/>
  <c r="N615" i="5"/>
  <c r="N618" i="5"/>
  <c r="N784" i="5"/>
  <c r="N787" i="5"/>
  <c r="N870" i="5"/>
  <c r="N901" i="5"/>
  <c r="N921" i="5"/>
  <c r="N930" i="5"/>
  <c r="N956" i="5"/>
  <c r="N997" i="5"/>
  <c r="N1119" i="5"/>
  <c r="N75" i="5"/>
  <c r="N101" i="5"/>
  <c r="N143" i="5"/>
  <c r="N163" i="5"/>
  <c r="N327" i="5"/>
  <c r="N330" i="5"/>
  <c r="N41" i="5"/>
  <c r="N58" i="5"/>
  <c r="N61" i="5"/>
  <c r="N124" i="5"/>
  <c r="N149" i="5"/>
  <c r="N192" i="5"/>
  <c r="N203" i="5"/>
  <c r="N206" i="5"/>
  <c r="N209" i="5"/>
  <c r="N339" i="5"/>
  <c r="N342" i="5"/>
  <c r="N345" i="5"/>
  <c r="N351" i="5"/>
  <c r="N354" i="5"/>
  <c r="N357" i="5"/>
  <c r="N431" i="5"/>
  <c r="N452" i="5"/>
  <c r="N486" i="5"/>
  <c r="N624" i="5"/>
  <c r="N641" i="5"/>
  <c r="N711" i="5"/>
  <c r="N748" i="5"/>
  <c r="N816" i="5"/>
  <c r="N827" i="5"/>
  <c r="N847" i="5"/>
  <c r="N853" i="5"/>
  <c r="N876" i="5"/>
  <c r="N879" i="5"/>
  <c r="N910" i="5"/>
  <c r="N942" i="5"/>
  <c r="N980" i="5"/>
  <c r="N1006" i="5"/>
  <c r="N1040" i="5"/>
  <c r="N1102" i="5"/>
  <c r="N1140" i="5"/>
  <c r="N1146" i="5"/>
  <c r="N1158" i="5"/>
  <c r="N1057" i="5"/>
  <c r="N1092" i="5"/>
  <c r="N1203" i="5"/>
  <c r="N1288" i="5"/>
  <c r="N1294" i="5"/>
  <c r="N1341" i="5"/>
  <c r="N1405" i="5"/>
  <c r="N1552" i="5"/>
  <c r="N1586" i="5"/>
  <c r="N1624" i="5"/>
  <c r="N1627" i="5"/>
  <c r="N1789" i="5"/>
  <c r="N1809" i="5"/>
  <c r="N1812" i="5"/>
  <c r="N1881" i="5"/>
  <c r="N1884" i="5"/>
  <c r="N1896" i="5"/>
  <c r="N1907" i="5"/>
  <c r="N1965" i="5"/>
  <c r="N1994" i="5"/>
  <c r="N2137" i="5"/>
  <c r="N2215" i="5"/>
  <c r="N2224" i="5"/>
  <c r="N2441" i="5"/>
  <c r="N2549" i="5"/>
  <c r="N2555" i="5"/>
  <c r="N2564" i="5"/>
  <c r="N2570" i="5"/>
  <c r="N2584" i="5"/>
  <c r="N2587" i="5"/>
  <c r="N2633" i="5"/>
  <c r="N2650" i="5"/>
  <c r="N2716" i="5"/>
  <c r="N2754" i="5"/>
  <c r="N2863" i="5"/>
  <c r="N2866" i="5"/>
  <c r="N2964" i="5"/>
  <c r="N2967" i="5"/>
  <c r="N2976" i="5"/>
  <c r="N3153" i="5"/>
  <c r="N3156" i="5"/>
  <c r="N3206" i="5"/>
  <c r="N3255" i="5"/>
  <c r="N3258" i="5"/>
  <c r="N3296" i="5"/>
  <c r="N3302" i="5"/>
  <c r="N3374" i="5"/>
  <c r="N3441" i="5"/>
  <c r="N3461" i="5"/>
  <c r="N1318" i="5"/>
  <c r="N1673" i="5"/>
  <c r="N1723" i="5"/>
  <c r="N1804" i="5"/>
  <c r="N1075" i="5"/>
  <c r="N1178" i="5"/>
  <c r="N1417" i="5"/>
  <c r="N1426" i="5"/>
  <c r="N1466" i="5"/>
  <c r="N1498" i="5"/>
  <c r="N1841" i="5"/>
  <c r="N1850" i="5"/>
  <c r="N1864" i="5"/>
  <c r="N1913" i="5"/>
  <c r="N1939" i="5"/>
  <c r="N2020" i="5"/>
  <c r="N2086" i="5"/>
  <c r="N2106" i="5"/>
  <c r="N2126" i="5"/>
  <c r="N2254" i="5"/>
  <c r="N2286" i="5"/>
  <c r="N2300" i="5"/>
  <c r="N2306" i="5"/>
  <c r="N2410" i="5"/>
  <c r="N2424" i="5"/>
  <c r="N2453" i="5"/>
  <c r="N2456" i="5"/>
  <c r="N2470" i="5"/>
  <c r="N2538" i="5"/>
  <c r="N2599" i="5"/>
  <c r="N2628" i="5"/>
  <c r="N2656" i="5"/>
  <c r="N2664" i="5"/>
  <c r="N2679" i="5"/>
  <c r="N2731" i="5"/>
  <c r="N2812" i="5"/>
  <c r="N2832" i="5"/>
  <c r="N2838" i="5"/>
  <c r="N2933" i="5"/>
  <c r="N3037" i="5"/>
  <c r="N3102" i="5"/>
  <c r="N3105" i="5"/>
  <c r="N3215" i="5"/>
  <c r="N3218" i="5"/>
  <c r="N3285" i="5"/>
  <c r="N3317" i="5"/>
  <c r="N3395" i="5"/>
  <c r="N3398" i="5"/>
  <c r="N3424" i="5"/>
  <c r="N3476" i="5"/>
  <c r="N3508" i="5"/>
  <c r="N3511" i="5"/>
  <c r="N3514" i="5"/>
  <c r="N1333" i="5"/>
  <c r="N1374" i="5"/>
  <c r="N1550" i="5"/>
  <c r="N1668" i="5"/>
  <c r="N1750" i="5"/>
  <c r="N1833" i="5"/>
  <c r="N2006" i="5"/>
  <c r="N2697" i="5"/>
  <c r="N2977" i="5"/>
  <c r="N3088" i="5"/>
  <c r="N3157" i="5"/>
  <c r="N3204" i="5"/>
  <c r="N3262" i="5"/>
  <c r="N3378" i="5"/>
  <c r="N3433" i="5"/>
  <c r="N1301" i="5"/>
  <c r="N1304" i="5"/>
  <c r="N1310" i="5"/>
  <c r="N1383" i="5"/>
  <c r="N1519" i="5"/>
  <c r="N1562" i="5"/>
  <c r="N1567" i="5"/>
  <c r="N1605" i="5"/>
  <c r="N1793" i="5"/>
  <c r="N1856" i="5"/>
  <c r="N1859" i="5"/>
  <c r="N1891" i="5"/>
  <c r="N1914" i="5"/>
  <c r="N2081" i="5"/>
  <c r="N2149" i="5"/>
  <c r="N2190" i="5"/>
  <c r="N2228" i="5"/>
  <c r="N2266" i="5"/>
  <c r="N2298" i="5"/>
  <c r="N2445" i="5"/>
  <c r="N2513" i="5"/>
  <c r="N2723" i="5"/>
  <c r="N2755" i="5"/>
  <c r="N2758" i="5"/>
  <c r="N2770" i="5"/>
  <c r="N2799" i="5"/>
  <c r="N2824" i="5"/>
  <c r="N2833" i="5"/>
  <c r="N2884" i="5"/>
  <c r="N2928" i="5"/>
  <c r="N2951" i="5"/>
  <c r="N3000" i="5"/>
  <c r="N3020" i="5"/>
  <c r="N3058" i="5"/>
  <c r="N3097" i="5"/>
  <c r="N3143" i="5"/>
  <c r="N3236" i="5"/>
  <c r="N3245" i="5"/>
  <c r="N3248" i="5"/>
  <c r="N3303" i="5"/>
  <c r="N3312" i="5"/>
  <c r="N3341" i="5"/>
  <c r="N3390" i="5"/>
  <c r="N3410" i="5"/>
  <c r="N3416" i="5"/>
  <c r="N3474" i="5"/>
  <c r="N3477" i="5"/>
  <c r="N3500" i="5"/>
  <c r="N3503" i="5"/>
  <c r="N3520" i="5"/>
  <c r="N1076" i="5"/>
  <c r="N1114" i="5"/>
  <c r="N1161" i="5"/>
  <c r="N1193" i="5"/>
  <c r="N1219" i="5"/>
  <c r="N1257" i="5"/>
  <c r="N1260" i="5"/>
  <c r="N1266" i="5"/>
  <c r="N1421" i="5"/>
  <c r="N1464" i="5"/>
  <c r="N1470" i="5"/>
  <c r="N1573" i="5"/>
  <c r="N1611" i="5"/>
  <c r="N1634" i="5"/>
  <c r="N1692" i="5"/>
  <c r="N1701" i="5"/>
  <c r="N1704" i="5"/>
  <c r="N1730" i="5"/>
  <c r="N1733" i="5"/>
  <c r="N1874" i="5"/>
  <c r="N1923" i="5"/>
  <c r="N2113" i="5"/>
  <c r="N2474" i="5"/>
  <c r="N2782" i="5"/>
  <c r="N3330" i="5"/>
  <c r="N1094" i="5"/>
  <c r="N1237" i="5"/>
  <c r="N1369" i="5"/>
  <c r="N1401" i="5"/>
  <c r="N1479" i="5"/>
  <c r="N1514" i="5"/>
  <c r="N1640" i="5"/>
  <c r="N1652" i="5"/>
  <c r="N1660" i="5"/>
  <c r="N1666" i="5"/>
  <c r="N1952" i="5"/>
  <c r="N2061" i="5"/>
  <c r="N2307" i="5"/>
  <c r="N2606" i="5"/>
  <c r="N2741" i="5"/>
  <c r="N2943" i="5"/>
  <c r="N3064" i="5"/>
  <c r="N3405" i="5"/>
  <c r="N3428" i="5"/>
  <c r="N3480" i="5"/>
  <c r="N3515" i="5"/>
  <c r="N1678" i="5"/>
  <c r="N1768" i="5"/>
  <c r="N1909" i="5"/>
  <c r="N1958" i="5"/>
  <c r="N1964" i="5"/>
  <c r="N2130" i="5"/>
  <c r="N2220" i="5"/>
  <c r="N2223" i="5"/>
  <c r="N2356" i="5"/>
  <c r="N2394" i="5"/>
  <c r="N2414" i="5"/>
  <c r="N2417" i="5"/>
  <c r="N2563" i="5"/>
  <c r="N2583" i="5"/>
  <c r="N2660" i="5"/>
  <c r="N2715" i="5"/>
  <c r="N2753" i="5"/>
  <c r="N2808" i="5"/>
  <c r="N2819" i="5"/>
  <c r="N2914" i="5"/>
  <c r="N2917" i="5"/>
  <c r="N2946" i="5"/>
  <c r="N2960" i="5"/>
  <c r="N2975" i="5"/>
  <c r="N2978" i="5"/>
  <c r="N3009" i="5"/>
  <c r="N3073" i="5"/>
  <c r="N3112" i="5"/>
  <c r="N3202" i="5"/>
  <c r="N3234" i="5"/>
  <c r="N3240" i="5"/>
  <c r="N3257" i="5"/>
  <c r="N3304" i="5"/>
  <c r="N3310" i="5"/>
  <c r="N3339" i="5"/>
  <c r="N3345" i="5"/>
  <c r="N3348" i="5"/>
  <c r="N3382" i="5"/>
  <c r="N3492" i="5"/>
  <c r="N1393" i="5"/>
  <c r="N1402" i="5"/>
  <c r="N1474" i="5"/>
  <c r="N1491" i="5"/>
  <c r="N1609" i="5"/>
  <c r="N1612" i="5"/>
  <c r="N1681" i="5"/>
  <c r="N1696" i="5"/>
  <c r="N1728" i="5"/>
  <c r="N1731" i="5"/>
  <c r="N1800" i="5"/>
  <c r="N1863" i="5"/>
  <c r="N1938" i="5"/>
  <c r="N2002" i="5"/>
  <c r="N2105" i="5"/>
  <c r="N2139" i="5"/>
  <c r="N2150" i="5"/>
  <c r="N2238" i="5"/>
  <c r="N2270" i="5"/>
  <c r="N2273" i="5"/>
  <c r="N2299" i="5"/>
  <c r="N2400" i="5"/>
  <c r="N2452" i="5"/>
  <c r="N2472" i="5"/>
  <c r="N2595" i="5"/>
  <c r="N2678" i="5"/>
  <c r="N2713" i="5"/>
  <c r="N2733" i="5"/>
  <c r="N2745" i="5"/>
  <c r="N2806" i="5"/>
  <c r="N2840" i="5"/>
  <c r="N2843" i="5"/>
  <c r="N2888" i="5"/>
  <c r="N2941" i="5"/>
  <c r="N3021" i="5"/>
  <c r="N3024" i="5"/>
  <c r="N3027" i="5"/>
  <c r="N3036" i="5"/>
  <c r="N3062" i="5"/>
  <c r="N3179" i="5"/>
  <c r="N3188" i="5"/>
  <c r="N3284" i="5"/>
  <c r="N3319" i="5"/>
  <c r="N3325" i="5"/>
  <c r="N23" i="5"/>
  <c r="N26" i="5"/>
  <c r="N146" i="5"/>
  <c r="N229" i="5"/>
  <c r="N404" i="5"/>
  <c r="N415" i="5"/>
  <c r="N423" i="5"/>
  <c r="N470" i="5"/>
  <c r="N528" i="5"/>
  <c r="N536" i="5"/>
  <c r="N560" i="5"/>
  <c r="N579" i="5"/>
  <c r="N653" i="5"/>
  <c r="N687" i="5"/>
  <c r="N735" i="5"/>
  <c r="N765" i="5"/>
  <c r="N902" i="5"/>
  <c r="N85" i="5"/>
  <c r="N107" i="5"/>
  <c r="N115" i="5"/>
  <c r="N123" i="5"/>
  <c r="N131" i="5"/>
  <c r="N172" i="5"/>
  <c r="N198" i="5"/>
  <c r="N218" i="5"/>
  <c r="N257" i="5"/>
  <c r="N268" i="5"/>
  <c r="N271" i="5"/>
  <c r="N274" i="5"/>
  <c r="N290" i="5"/>
  <c r="N388" i="5"/>
  <c r="N434" i="5"/>
  <c r="N437" i="5"/>
  <c r="N462" i="5"/>
  <c r="N494" i="5"/>
  <c r="N497" i="5"/>
  <c r="N513" i="5"/>
  <c r="N549" i="5"/>
  <c r="N599" i="5"/>
  <c r="N610" i="5"/>
  <c r="N640" i="5"/>
  <c r="N667" i="5"/>
  <c r="N696" i="5"/>
  <c r="N799" i="5"/>
  <c r="N807" i="5"/>
  <c r="N824" i="5"/>
  <c r="N854" i="5"/>
  <c r="N891" i="5"/>
  <c r="N933" i="5"/>
  <c r="N1038" i="5"/>
  <c r="N110" i="5"/>
  <c r="N155" i="5"/>
  <c r="N175" i="5"/>
  <c r="N183" i="5"/>
  <c r="N186" i="5"/>
  <c r="N221" i="5"/>
  <c r="N238" i="5"/>
  <c r="N241" i="5"/>
  <c r="N260" i="5"/>
  <c r="N293" i="5"/>
  <c r="N299" i="5"/>
  <c r="N304" i="5"/>
  <c r="N307" i="5"/>
  <c r="N352" i="5"/>
  <c r="N366" i="5"/>
  <c r="N443" i="5"/>
  <c r="N446" i="5"/>
  <c r="N457" i="5"/>
  <c r="N489" i="5"/>
  <c r="N531" i="5"/>
  <c r="N574" i="5"/>
  <c r="N602" i="5"/>
  <c r="N673" i="5"/>
  <c r="N702" i="5"/>
  <c r="N1050" i="5"/>
  <c r="N13" i="5"/>
  <c r="N227" i="5"/>
  <c r="N279" i="5"/>
  <c r="N282" i="5"/>
  <c r="N338" i="5"/>
  <c r="N399" i="5"/>
  <c r="N508" i="5"/>
  <c r="N526" i="5"/>
  <c r="N591" i="5"/>
  <c r="N594" i="5"/>
  <c r="N632" i="5"/>
  <c r="N635" i="5"/>
  <c r="N648" i="5"/>
  <c r="N651" i="5"/>
  <c r="N662" i="5"/>
  <c r="N679" i="5"/>
  <c r="N832" i="5"/>
  <c r="N911" i="5"/>
  <c r="N29" i="5"/>
  <c r="N88" i="5"/>
  <c r="N32" i="5"/>
  <c r="N77" i="5"/>
  <c r="N121" i="5"/>
  <c r="N158" i="5"/>
  <c r="N21" i="5"/>
  <c r="N24" i="5"/>
  <c r="N52" i="5"/>
  <c r="N69" i="5"/>
  <c r="N72" i="5"/>
  <c r="N91" i="5"/>
  <c r="N94" i="5"/>
  <c r="N108" i="5"/>
  <c r="N161" i="5"/>
  <c r="N164" i="5"/>
  <c r="N181" i="5"/>
  <c r="N194" i="5"/>
  <c r="N213" i="5"/>
  <c r="N216" i="5"/>
  <c r="N233" i="5"/>
  <c r="N244" i="5"/>
  <c r="N247" i="5"/>
  <c r="N378" i="5"/>
  <c r="N386" i="5"/>
  <c r="N476" i="5"/>
  <c r="N511" i="5"/>
  <c r="N583" i="5"/>
  <c r="N597" i="5"/>
  <c r="N600" i="5"/>
  <c r="N619" i="5"/>
  <c r="N643" i="5"/>
  <c r="N665" i="5"/>
  <c r="N883" i="5"/>
  <c r="N965" i="5"/>
  <c r="N1019" i="5"/>
  <c r="N40" i="5"/>
  <c r="N30" i="5"/>
  <c r="N47" i="5"/>
  <c r="N50" i="5"/>
  <c r="N64" i="5"/>
  <c r="N97" i="5"/>
  <c r="N111" i="5"/>
  <c r="N119" i="5"/>
  <c r="N132" i="5"/>
  <c r="N184" i="5"/>
  <c r="N205" i="5"/>
  <c r="N208" i="5"/>
  <c r="N222" i="5"/>
  <c r="N225" i="5"/>
  <c r="N261" i="5"/>
  <c r="N275" i="5"/>
  <c r="N294" i="5"/>
  <c r="N297" i="5"/>
  <c r="N308" i="5"/>
  <c r="N319" i="5"/>
  <c r="N364" i="5"/>
  <c r="N381" i="5"/>
  <c r="N397" i="5"/>
  <c r="N400" i="5"/>
  <c r="N441" i="5"/>
  <c r="N444" i="5"/>
  <c r="N455" i="5"/>
  <c r="N482" i="5"/>
  <c r="N501" i="5"/>
  <c r="N519" i="5"/>
  <c r="N545" i="5"/>
  <c r="N553" i="5"/>
  <c r="N592" i="5"/>
  <c r="N633" i="5"/>
  <c r="N646" i="5"/>
  <c r="N657" i="5"/>
  <c r="N671" i="5"/>
  <c r="N728" i="5"/>
  <c r="N769" i="5"/>
  <c r="N838" i="5"/>
  <c r="N878" i="5"/>
  <c r="N39" i="5"/>
  <c r="N376" i="5"/>
  <c r="N469" i="5"/>
  <c r="N517" i="5"/>
  <c r="N609" i="5"/>
  <c r="N989" i="5"/>
  <c r="N963" i="5"/>
  <c r="N966" i="5"/>
  <c r="N972" i="5"/>
  <c r="N6" i="5"/>
  <c r="N17" i="5"/>
  <c r="N28" i="5"/>
  <c r="N56" i="5"/>
  <c r="N65" i="5"/>
  <c r="N103" i="5"/>
  <c r="N106" i="5"/>
  <c r="N148" i="5"/>
  <c r="N171" i="5"/>
  <c r="N185" i="5"/>
  <c r="N195" i="5"/>
  <c r="N200" i="5"/>
  <c r="N217" i="5"/>
  <c r="N220" i="5"/>
  <c r="N251" i="5"/>
  <c r="N267" i="5"/>
  <c r="N273" i="5"/>
  <c r="N278" i="5"/>
  <c r="N289" i="5"/>
  <c r="N317" i="5"/>
  <c r="N442" i="5"/>
  <c r="N464" i="5"/>
  <c r="N499" i="5"/>
  <c r="N504" i="5"/>
  <c r="N543" i="5"/>
  <c r="N570" i="5"/>
  <c r="N601" i="5"/>
  <c r="N612" i="5"/>
  <c r="N692" i="5"/>
  <c r="N695" i="5"/>
  <c r="N751" i="5"/>
  <c r="N767" i="5"/>
  <c r="N795" i="5"/>
  <c r="N809" i="5"/>
  <c r="N856" i="5"/>
  <c r="N938" i="5"/>
  <c r="N941" i="5"/>
  <c r="N34" i="5"/>
  <c r="N120" i="5"/>
  <c r="N180" i="5"/>
  <c r="N368" i="5"/>
  <c r="N371" i="5"/>
  <c r="N488" i="5"/>
  <c r="N533" i="5"/>
  <c r="N593" i="5"/>
  <c r="N661" i="5"/>
  <c r="N834" i="5"/>
  <c r="N781" i="5"/>
  <c r="N808" i="5"/>
  <c r="N817" i="5"/>
  <c r="N822" i="5"/>
  <c r="N884" i="5"/>
  <c r="N892" i="5"/>
  <c r="N895" i="5"/>
  <c r="N922" i="5"/>
  <c r="N950" i="5"/>
  <c r="N964" i="5"/>
  <c r="N970" i="5"/>
  <c r="N1014" i="5"/>
  <c r="N1070" i="5"/>
  <c r="N1078" i="5"/>
  <c r="N1095" i="5"/>
  <c r="N1118" i="5"/>
  <c r="N1134" i="5"/>
  <c r="N1165" i="5"/>
  <c r="N1241" i="5"/>
  <c r="N1252" i="5"/>
  <c r="N1258" i="5"/>
  <c r="N1272" i="5"/>
  <c r="N1275" i="5"/>
  <c r="N1278" i="5"/>
  <c r="N1328" i="5"/>
  <c r="N1331" i="5"/>
  <c r="N1334" i="5"/>
  <c r="N1373" i="5"/>
  <c r="N1483" i="5"/>
  <c r="N1488" i="5"/>
  <c r="N1535" i="5"/>
  <c r="N1592" i="5"/>
  <c r="N1600" i="5"/>
  <c r="N1633" i="5"/>
  <c r="N1654" i="5"/>
  <c r="N1709" i="5"/>
  <c r="N1759" i="5"/>
  <c r="N1762" i="5"/>
  <c r="N1778" i="5"/>
  <c r="N1802" i="5"/>
  <c r="N1844" i="5"/>
  <c r="N1852" i="5"/>
  <c r="N1930" i="5"/>
  <c r="N1944" i="5"/>
  <c r="N2000" i="5"/>
  <c r="N2028" i="5"/>
  <c r="N2036" i="5"/>
  <c r="N2047" i="5"/>
  <c r="N2058" i="5"/>
  <c r="N2097" i="5"/>
  <c r="N868" i="5"/>
  <c r="N871" i="5"/>
  <c r="N898" i="5"/>
  <c r="N906" i="5"/>
  <c r="N909" i="5"/>
  <c r="N945" i="5"/>
  <c r="N973" i="5"/>
  <c r="N995" i="5"/>
  <c r="N1042" i="5"/>
  <c r="N1093" i="5"/>
  <c r="N1143" i="5"/>
  <c r="N1157" i="5"/>
  <c r="N1197" i="5"/>
  <c r="N1208" i="5"/>
  <c r="N1214" i="5"/>
  <c r="N1222" i="5"/>
  <c r="N1230" i="5"/>
  <c r="N1233" i="5"/>
  <c r="N1323" i="5"/>
  <c r="N1340" i="5"/>
  <c r="N1398" i="5"/>
  <c r="N1412" i="5"/>
  <c r="N1442" i="5"/>
  <c r="N1453" i="5"/>
  <c r="N1461" i="5"/>
  <c r="N1472" i="5"/>
  <c r="N1478" i="5"/>
  <c r="N1541" i="5"/>
  <c r="N1561" i="5"/>
  <c r="N1563" i="5"/>
  <c r="N1590" i="5"/>
  <c r="N1617" i="5"/>
  <c r="N1636" i="5"/>
  <c r="N1639" i="5"/>
  <c r="N1698" i="5"/>
  <c r="N1754" i="5"/>
  <c r="N1765" i="5"/>
  <c r="N1781" i="5"/>
  <c r="N1805" i="5"/>
  <c r="N1821" i="5"/>
  <c r="N1892" i="5"/>
  <c r="N1900" i="5"/>
  <c r="N1922" i="5"/>
  <c r="N1925" i="5"/>
  <c r="N1973" i="5"/>
  <c r="N1995" i="5"/>
  <c r="N2009" i="5"/>
  <c r="N2042" i="5"/>
  <c r="N2053" i="5"/>
  <c r="N2064" i="5"/>
  <c r="N2075" i="5"/>
  <c r="N2117" i="5"/>
  <c r="N1116" i="5"/>
  <c r="N1129" i="5"/>
  <c r="N1132" i="5"/>
  <c r="N1135" i="5"/>
  <c r="N1163" i="5"/>
  <c r="N1186" i="5"/>
  <c r="N1189" i="5"/>
  <c r="N1239" i="5"/>
  <c r="N1256" i="5"/>
  <c r="N1273" i="5"/>
  <c r="N1313" i="5"/>
  <c r="N1316" i="5"/>
  <c r="N1321" i="5"/>
  <c r="N1385" i="5"/>
  <c r="N1445" i="5"/>
  <c r="N1489" i="5"/>
  <c r="N1517" i="5"/>
  <c r="N1525" i="5"/>
  <c r="N1536" i="5"/>
  <c r="N1620" i="5"/>
  <c r="N1707" i="5"/>
  <c r="N1749" i="5"/>
  <c r="N1760" i="5"/>
  <c r="N1771" i="5"/>
  <c r="N1845" i="5"/>
  <c r="N1870" i="5"/>
  <c r="N1906" i="5"/>
  <c r="N1945" i="5"/>
  <c r="N1982" i="5"/>
  <c r="N1993" i="5"/>
  <c r="N2428" i="5"/>
  <c r="N685" i="5"/>
  <c r="N688" i="5"/>
  <c r="N705" i="5"/>
  <c r="N752" i="5"/>
  <c r="N768" i="5"/>
  <c r="N779" i="5"/>
  <c r="N804" i="5"/>
  <c r="N836" i="5"/>
  <c r="N849" i="5"/>
  <c r="N904" i="5"/>
  <c r="N940" i="5"/>
  <c r="N943" i="5"/>
  <c r="N982" i="5"/>
  <c r="N993" i="5"/>
  <c r="N1023" i="5"/>
  <c r="N1068" i="5"/>
  <c r="N1124" i="5"/>
  <c r="N1149" i="5"/>
  <c r="N1175" i="5"/>
  <c r="N1242" i="5"/>
  <c r="N1262" i="5"/>
  <c r="N1265" i="5"/>
  <c r="N1290" i="5"/>
  <c r="N1293" i="5"/>
  <c r="N1296" i="5"/>
  <c r="N1335" i="5"/>
  <c r="N1360" i="5"/>
  <c r="N1363" i="5"/>
  <c r="N1366" i="5"/>
  <c r="N1407" i="5"/>
  <c r="N1492" i="5"/>
  <c r="N1520" i="5"/>
  <c r="N1531" i="5"/>
  <c r="N1577" i="5"/>
  <c r="N1585" i="5"/>
  <c r="N1604" i="5"/>
  <c r="N1663" i="5"/>
  <c r="N1713" i="5"/>
  <c r="N717" i="5"/>
  <c r="N858" i="5"/>
  <c r="N869" i="5"/>
  <c r="N988" i="5"/>
  <c r="N1308" i="5"/>
  <c r="N1534" i="5"/>
  <c r="N1618" i="5"/>
  <c r="N1629" i="5"/>
  <c r="N1632" i="5"/>
  <c r="N1637" i="5"/>
  <c r="N1658" i="5"/>
  <c r="N1716" i="5"/>
  <c r="N1724" i="5"/>
  <c r="N1876" i="5"/>
  <c r="N1912" i="5"/>
  <c r="N1926" i="5"/>
  <c r="N1974" i="5"/>
  <c r="N2118" i="5"/>
  <c r="N1063" i="5"/>
  <c r="N1069" i="5"/>
  <c r="N1106" i="5"/>
  <c r="N1133" i="5"/>
  <c r="N1147" i="5"/>
  <c r="N1167" i="5"/>
  <c r="N1187" i="5"/>
  <c r="N1190" i="5"/>
  <c r="N1254" i="5"/>
  <c r="N1271" i="5"/>
  <c r="N1311" i="5"/>
  <c r="N1314" i="5"/>
  <c r="N1372" i="5"/>
  <c r="N1391" i="5"/>
  <c r="N1394" i="5"/>
  <c r="N1435" i="5"/>
  <c r="N1487" i="5"/>
  <c r="N1501" i="5"/>
  <c r="N1510" i="5"/>
  <c r="N1526" i="5"/>
  <c r="N1548" i="5"/>
  <c r="N1599" i="5"/>
  <c r="N1621" i="5"/>
  <c r="N1648" i="5"/>
  <c r="N1680" i="5"/>
  <c r="N1688" i="5"/>
  <c r="N1714" i="5"/>
  <c r="N1772" i="5"/>
  <c r="N1777" i="5"/>
  <c r="N1780" i="5"/>
  <c r="N1865" i="5"/>
  <c r="N1882" i="5"/>
  <c r="N1904" i="5"/>
  <c r="N1929" i="5"/>
  <c r="N1966" i="5"/>
  <c r="N2005" i="5"/>
  <c r="N2019" i="5"/>
  <c r="N2046" i="5"/>
  <c r="N2057" i="5"/>
  <c r="N2082" i="5"/>
  <c r="N2093" i="5"/>
  <c r="N2096" i="5"/>
  <c r="N2158" i="5"/>
  <c r="N2475" i="5"/>
  <c r="N1058" i="5"/>
  <c r="N1156" i="5"/>
  <c r="N1162" i="5"/>
  <c r="N1179" i="5"/>
  <c r="N1182" i="5"/>
  <c r="N1196" i="5"/>
  <c r="N1207" i="5"/>
  <c r="N1232" i="5"/>
  <c r="N1243" i="5"/>
  <c r="N1246" i="5"/>
  <c r="N1309" i="5"/>
  <c r="N1325" i="5"/>
  <c r="N1347" i="5"/>
  <c r="N1411" i="5"/>
  <c r="N1419" i="5"/>
  <c r="N1422" i="5"/>
  <c r="N1441" i="5"/>
  <c r="N1444" i="5"/>
  <c r="N1480" i="5"/>
  <c r="N1493" i="5"/>
  <c r="N1513" i="5"/>
  <c r="N1540" i="5"/>
  <c r="N1546" i="5"/>
  <c r="N1578" i="5"/>
  <c r="N1613" i="5"/>
  <c r="N1635" i="5"/>
  <c r="N1651" i="5"/>
  <c r="N1675" i="5"/>
  <c r="N1683" i="5"/>
  <c r="N1717" i="5"/>
  <c r="N1739" i="5"/>
  <c r="N1753" i="5"/>
  <c r="N1770" i="5"/>
  <c r="N1815" i="5"/>
  <c r="N1828" i="5"/>
  <c r="N1860" i="5"/>
  <c r="N1877" i="5"/>
  <c r="N1888" i="5"/>
  <c r="N1910" i="5"/>
  <c r="N1975" i="5"/>
  <c r="N1983" i="5"/>
  <c r="N1997" i="5"/>
  <c r="N2011" i="5"/>
  <c r="N2041" i="5"/>
  <c r="N2133" i="5"/>
  <c r="N2147" i="5"/>
  <c r="N2180" i="5"/>
  <c r="N2216" i="5"/>
  <c r="N2227" i="5"/>
  <c r="N2263" i="5"/>
  <c r="N2282" i="5"/>
  <c r="N2315" i="5"/>
  <c r="N2323" i="5"/>
  <c r="N2326" i="5"/>
  <c r="N2337" i="5"/>
  <c r="N2373" i="5"/>
  <c r="N2395" i="5"/>
  <c r="N2398" i="5"/>
  <c r="N2437" i="5"/>
  <c r="N2544" i="5"/>
  <c r="N2552" i="5"/>
  <c r="N2602" i="5"/>
  <c r="N2618" i="5"/>
  <c r="N2634" i="5"/>
  <c r="N2647" i="5"/>
  <c r="N2655" i="5"/>
  <c r="N2696" i="5"/>
  <c r="N2718" i="5"/>
  <c r="N2746" i="5"/>
  <c r="N2890" i="5"/>
  <c r="N3069" i="5"/>
  <c r="N3118" i="5"/>
  <c r="N3190" i="5"/>
  <c r="N3193" i="5"/>
  <c r="N3226" i="5"/>
  <c r="N3281" i="5"/>
  <c r="N3421" i="5"/>
  <c r="N3440" i="5"/>
  <c r="N3446" i="5"/>
  <c r="N3465" i="5"/>
  <c r="N3473" i="5"/>
  <c r="N2175" i="5"/>
  <c r="N2189" i="5"/>
  <c r="N2258" i="5"/>
  <c r="N2274" i="5"/>
  <c r="N2296" i="5"/>
  <c r="N2390" i="5"/>
  <c r="N2401" i="5"/>
  <c r="N2404" i="5"/>
  <c r="N2429" i="5"/>
  <c r="N2440" i="5"/>
  <c r="N2443" i="5"/>
  <c r="N2476" i="5"/>
  <c r="N2674" i="5"/>
  <c r="N2677" i="5"/>
  <c r="N2688" i="5"/>
  <c r="N2721" i="5"/>
  <c r="N2724" i="5"/>
  <c r="N2752" i="5"/>
  <c r="N2783" i="5"/>
  <c r="N2860" i="5"/>
  <c r="N3050" i="5"/>
  <c r="N3077" i="5"/>
  <c r="N3085" i="5"/>
  <c r="N3196" i="5"/>
  <c r="N3207" i="5"/>
  <c r="N3256" i="5"/>
  <c r="N3259" i="5"/>
  <c r="N3306" i="5"/>
  <c r="N3320" i="5"/>
  <c r="N3331" i="5"/>
  <c r="N3344" i="5"/>
  <c r="N3347" i="5"/>
  <c r="N3350" i="5"/>
  <c r="N3468" i="5"/>
  <c r="N3484" i="5"/>
  <c r="N3519" i="5"/>
  <c r="N2091" i="5"/>
  <c r="N2128" i="5"/>
  <c r="N2142" i="5"/>
  <c r="N2153" i="5"/>
  <c r="N2181" i="5"/>
  <c r="N2217" i="5"/>
  <c r="N2225" i="5"/>
  <c r="N2247" i="5"/>
  <c r="N2261" i="5"/>
  <c r="N2302" i="5"/>
  <c r="N2313" i="5"/>
  <c r="N2340" i="5"/>
  <c r="N2368" i="5"/>
  <c r="N2382" i="5"/>
  <c r="N2421" i="5"/>
  <c r="N2457" i="5"/>
  <c r="N2468" i="5"/>
  <c r="N2495" i="5"/>
  <c r="N2506" i="5"/>
  <c r="N2536" i="5"/>
  <c r="N2572" i="5"/>
  <c r="N2586" i="5"/>
  <c r="N2616" i="5"/>
  <c r="N2627" i="5"/>
  <c r="N2691" i="5"/>
  <c r="N2772" i="5"/>
  <c r="N2813" i="5"/>
  <c r="N2877" i="5"/>
  <c r="N2896" i="5"/>
  <c r="N2927" i="5"/>
  <c r="N2947" i="5"/>
  <c r="N3026" i="5"/>
  <c r="N3045" i="5"/>
  <c r="N3080" i="5"/>
  <c r="N3096" i="5"/>
  <c r="N3124" i="5"/>
  <c r="N3138" i="5"/>
  <c r="N3160" i="5"/>
  <c r="N3177" i="5"/>
  <c r="N3243" i="5"/>
  <c r="N3246" i="5"/>
  <c r="N3268" i="5"/>
  <c r="N3271" i="5"/>
  <c r="N3292" i="5"/>
  <c r="N3315" i="5"/>
  <c r="N3323" i="5"/>
  <c r="N3356" i="5"/>
  <c r="N3400" i="5"/>
  <c r="N3438" i="5"/>
  <c r="N3449" i="5"/>
  <c r="N3460" i="5"/>
  <c r="N3501" i="5"/>
  <c r="N2253" i="5"/>
  <c r="N2272" i="5"/>
  <c r="N2291" i="5"/>
  <c r="N2308" i="5"/>
  <c r="N2316" i="5"/>
  <c r="N2324" i="5"/>
  <c r="N2330" i="5"/>
  <c r="N2338" i="5"/>
  <c r="N2396" i="5"/>
  <c r="N2438" i="5"/>
  <c r="N2490" i="5"/>
  <c r="N2498" i="5"/>
  <c r="N2531" i="5"/>
  <c r="N2553" i="5"/>
  <c r="N2556" i="5"/>
  <c r="N2567" i="5"/>
  <c r="N2611" i="5"/>
  <c r="N2635" i="5"/>
  <c r="N2666" i="5"/>
  <c r="N2672" i="5"/>
  <c r="N2744" i="5"/>
  <c r="N2750" i="5"/>
  <c r="N2761" i="5"/>
  <c r="N2936" i="5"/>
  <c r="N2958" i="5"/>
  <c r="N3005" i="5"/>
  <c r="N3008" i="5"/>
  <c r="N3040" i="5"/>
  <c r="N3075" i="5"/>
  <c r="N3091" i="5"/>
  <c r="N3116" i="5"/>
  <c r="N3130" i="5"/>
  <c r="N3163" i="5"/>
  <c r="N3238" i="5"/>
  <c r="N3254" i="5"/>
  <c r="N3260" i="5"/>
  <c r="N3282" i="5"/>
  <c r="N3337" i="5"/>
  <c r="N3367" i="5"/>
  <c r="N3389" i="5"/>
  <c r="N3444" i="5"/>
  <c r="N3452" i="5"/>
  <c r="N3466" i="5"/>
  <c r="N2148" i="5"/>
  <c r="N2237" i="5"/>
  <c r="N2408" i="5"/>
  <c r="N2419" i="5"/>
  <c r="N2684" i="5"/>
  <c r="N2692" i="5"/>
  <c r="N2803" i="5"/>
  <c r="N2878" i="5"/>
  <c r="N2997" i="5"/>
  <c r="N3019" i="5"/>
  <c r="N3038" i="5"/>
  <c r="N3099" i="5"/>
  <c r="N3136" i="5"/>
  <c r="N3161" i="5"/>
  <c r="N3166" i="5"/>
  <c r="N3241" i="5"/>
  <c r="N3307" i="5"/>
  <c r="N3324" i="5"/>
  <c r="N3335" i="5"/>
  <c r="N3384" i="5"/>
  <c r="N3401" i="5"/>
  <c r="N1858" i="5"/>
  <c r="N1894" i="5"/>
  <c r="N1902" i="5"/>
  <c r="N1921" i="5"/>
  <c r="N2024" i="5"/>
  <c r="N2193" i="5"/>
  <c r="N2201" i="5"/>
  <c r="N2218" i="5"/>
  <c r="N2226" i="5"/>
  <c r="N2245" i="5"/>
  <c r="N2248" i="5"/>
  <c r="N2322" i="5"/>
  <c r="N2458" i="5"/>
  <c r="N2496" i="5"/>
  <c r="N2523" i="5"/>
  <c r="N2576" i="5"/>
  <c r="N2742" i="5"/>
  <c r="N2864" i="5"/>
  <c r="N3030" i="5"/>
  <c r="N3186" i="5"/>
  <c r="N3269" i="5"/>
  <c r="N3417" i="5"/>
  <c r="N3436" i="5"/>
  <c r="N2111" i="5"/>
  <c r="N2132" i="5"/>
  <c r="N2138" i="5"/>
  <c r="N2213" i="5"/>
  <c r="N2325" i="5"/>
  <c r="N2355" i="5"/>
  <c r="N2397" i="5"/>
  <c r="N2518" i="5"/>
  <c r="N2529" i="5"/>
  <c r="N2532" i="5"/>
  <c r="N2543" i="5"/>
  <c r="N2554" i="5"/>
  <c r="N2620" i="5"/>
  <c r="N2649" i="5"/>
  <c r="N2667" i="5"/>
  <c r="N2670" i="5"/>
  <c r="N2720" i="5"/>
  <c r="N2779" i="5"/>
  <c r="N2793" i="5"/>
  <c r="N2828" i="5"/>
  <c r="N2831" i="5"/>
  <c r="N2867" i="5"/>
  <c r="N2873" i="5"/>
  <c r="N2881" i="5"/>
  <c r="N2889" i="5"/>
  <c r="N2920" i="5"/>
  <c r="N3046" i="5"/>
  <c r="N3052" i="5"/>
  <c r="N3057" i="5"/>
  <c r="N3068" i="5"/>
  <c r="N3100" i="5"/>
  <c r="N3114" i="5"/>
  <c r="N3134" i="5"/>
  <c r="N3150" i="5"/>
  <c r="N3217" i="5"/>
  <c r="N3225" i="5"/>
  <c r="N3228" i="5"/>
  <c r="N3247" i="5"/>
  <c r="N3250" i="5"/>
  <c r="N3261" i="5"/>
  <c r="N3283" i="5"/>
  <c r="N3288" i="5"/>
  <c r="N3308" i="5"/>
  <c r="N3322" i="5"/>
  <c r="N3346" i="5"/>
  <c r="N3385" i="5"/>
  <c r="N3420" i="5"/>
  <c r="N3442" i="5"/>
  <c r="N3464" i="5"/>
  <c r="N3494" i="5"/>
  <c r="N3497" i="5"/>
  <c r="N3505" i="5"/>
  <c r="N2090" i="5"/>
  <c r="N2098" i="5"/>
  <c r="N2101" i="5"/>
  <c r="N2114" i="5"/>
  <c r="N2127" i="5"/>
  <c r="N2334" i="5"/>
  <c r="N2339" i="5"/>
  <c r="N2378" i="5"/>
  <c r="N2389" i="5"/>
  <c r="N2409" i="5"/>
  <c r="N2420" i="5"/>
  <c r="N2464" i="5"/>
  <c r="N2478" i="5"/>
  <c r="N2483" i="5"/>
  <c r="N2502" i="5"/>
  <c r="N2521" i="5"/>
  <c r="N2524" i="5"/>
  <c r="N2854" i="5"/>
  <c r="N2984" i="5"/>
  <c r="N3025" i="5"/>
  <c r="N3060" i="5"/>
  <c r="N3126" i="5"/>
  <c r="N3137" i="5"/>
  <c r="N3184" i="5"/>
  <c r="N3209" i="5"/>
  <c r="N3294" i="5"/>
  <c r="N3333" i="5"/>
  <c r="N3434" i="5"/>
  <c r="N3470" i="5"/>
  <c r="N3478" i="5"/>
  <c r="N2639" i="5"/>
  <c r="N2949" i="5"/>
  <c r="N3001" i="5"/>
  <c r="N3028" i="5"/>
  <c r="N3109" i="5"/>
  <c r="N3328" i="5"/>
  <c r="N3481" i="5"/>
  <c r="N8" i="5"/>
  <c r="N11" i="5"/>
  <c r="N14" i="5"/>
  <c r="N18" i="5"/>
  <c r="N49" i="5"/>
  <c r="N66" i="5"/>
  <c r="N104" i="5"/>
  <c r="N114" i="5"/>
  <c r="N215" i="5"/>
  <c r="N254" i="5"/>
  <c r="N340" i="5"/>
  <c r="N420" i="5"/>
  <c r="N447" i="5"/>
  <c r="N144" i="5"/>
  <c r="N302" i="5"/>
  <c r="N350" i="5"/>
  <c r="N92" i="5"/>
  <c r="N95" i="5"/>
  <c r="N139" i="5"/>
  <c r="N151" i="5"/>
  <c r="N166" i="5"/>
  <c r="N178" i="5"/>
  <c r="N187" i="5"/>
  <c r="N210" i="5"/>
  <c r="N250" i="5"/>
  <c r="N265" i="5"/>
  <c r="N295" i="5"/>
  <c r="N305" i="5"/>
  <c r="N323" i="5"/>
  <c r="N328" i="5"/>
  <c r="N561" i="5"/>
  <c r="N608" i="5"/>
  <c r="N54" i="5"/>
  <c r="N270" i="5"/>
  <c r="N285" i="5"/>
  <c r="N298" i="5"/>
  <c r="N310" i="5"/>
  <c r="N333" i="5"/>
  <c r="N358" i="5"/>
  <c r="N57" i="5"/>
  <c r="N80" i="5"/>
  <c r="N9" i="5"/>
  <c r="N12" i="5"/>
  <c r="N22" i="5"/>
  <c r="N70" i="5"/>
  <c r="N73" i="5"/>
  <c r="N83" i="5"/>
  <c r="N100" i="5"/>
  <c r="N105" i="5"/>
  <c r="N159" i="5"/>
  <c r="N169" i="5"/>
  <c r="N199" i="5"/>
  <c r="N280" i="5"/>
  <c r="N283" i="5"/>
  <c r="N288" i="5"/>
  <c r="N313" i="5"/>
  <c r="N318" i="5"/>
  <c r="N331" i="5"/>
  <c r="N353" i="5"/>
  <c r="N410" i="5"/>
  <c r="N37" i="5"/>
  <c r="N60" i="5"/>
  <c r="N44" i="5"/>
  <c r="N93" i="5"/>
  <c r="N135" i="5"/>
  <c r="N145" i="5"/>
  <c r="N167" i="5"/>
  <c r="N179" i="5"/>
  <c r="N211" i="5"/>
  <c r="N296" i="5"/>
  <c r="N303" i="5"/>
  <c r="N306" i="5"/>
  <c r="N316" i="5"/>
  <c r="N405" i="5"/>
  <c r="N625" i="5"/>
  <c r="N10" i="5"/>
  <c r="N71" i="5"/>
  <c r="N74" i="5"/>
  <c r="N116" i="5"/>
  <c r="N359" i="5"/>
  <c r="N109" i="5"/>
  <c r="N162" i="5"/>
  <c r="N177" i="5"/>
  <c r="N207" i="5"/>
  <c r="N219" i="5"/>
  <c r="N231" i="5"/>
  <c r="N234" i="5"/>
  <c r="N239" i="5"/>
  <c r="N256" i="5"/>
  <c r="N259" i="5"/>
  <c r="N264" i="5"/>
  <c r="N322" i="5"/>
  <c r="N337" i="5"/>
  <c r="N347" i="5"/>
  <c r="N362" i="5"/>
  <c r="N481" i="5"/>
  <c r="N573" i="5"/>
  <c r="N851" i="5"/>
  <c r="N329" i="5"/>
  <c r="N344" i="5"/>
  <c r="N356" i="5"/>
  <c r="N363" i="5"/>
  <c r="N375" i="5"/>
  <c r="N385" i="5"/>
  <c r="N395" i="5"/>
  <c r="N430" i="5"/>
  <c r="N450" i="5"/>
  <c r="N537" i="5"/>
  <c r="N551" i="5"/>
  <c r="N566" i="5"/>
  <c r="N578" i="5"/>
  <c r="N598" i="5"/>
  <c r="N647" i="5"/>
  <c r="N652" i="5"/>
  <c r="N708" i="5"/>
  <c r="N718" i="5"/>
  <c r="N723" i="5"/>
  <c r="N761" i="5"/>
  <c r="N789" i="5"/>
  <c r="N812" i="5"/>
  <c r="N820" i="5"/>
  <c r="N873" i="5"/>
  <c r="N888" i="5"/>
  <c r="N903" i="5"/>
  <c r="N923" i="5"/>
  <c r="N926" i="5"/>
  <c r="N931" i="5"/>
  <c r="N939" i="5"/>
  <c r="N949" i="5"/>
  <c r="N1037" i="5"/>
  <c r="N1112" i="5"/>
  <c r="N630" i="5"/>
  <c r="N645" i="5"/>
  <c r="N749" i="5"/>
  <c r="N815" i="5"/>
  <c r="N393" i="5"/>
  <c r="N408" i="5"/>
  <c r="N413" i="5"/>
  <c r="N472" i="5"/>
  <c r="N525" i="5"/>
  <c r="N542" i="5"/>
  <c r="N559" i="5"/>
  <c r="N564" i="5"/>
  <c r="N571" i="5"/>
  <c r="N596" i="5"/>
  <c r="N701" i="5"/>
  <c r="N797" i="5"/>
  <c r="N823" i="5"/>
  <c r="N835" i="5"/>
  <c r="N852" i="5"/>
  <c r="N886" i="5"/>
  <c r="N929" i="5"/>
  <c r="N1099" i="5"/>
  <c r="N416" i="5"/>
  <c r="N428" i="5"/>
  <c r="N668" i="5"/>
  <c r="N678" i="5"/>
  <c r="N1022" i="5"/>
  <c r="N477" i="5"/>
  <c r="N487" i="5"/>
  <c r="N552" i="5"/>
  <c r="N729" i="5"/>
  <c r="N739" i="5"/>
  <c r="N792" i="5"/>
  <c r="N813" i="5"/>
  <c r="N842" i="5"/>
  <c r="N932" i="5"/>
  <c r="N369" i="5"/>
  <c r="N604" i="5"/>
  <c r="N681" i="5"/>
  <c r="N719" i="5"/>
  <c r="N724" i="5"/>
  <c r="N732" i="5"/>
  <c r="N742" i="5"/>
  <c r="N780" i="5"/>
  <c r="N955" i="5"/>
  <c r="N968" i="5"/>
  <c r="N978" i="5"/>
  <c r="N389" i="5"/>
  <c r="N480" i="5"/>
  <c r="N485" i="5"/>
  <c r="N502" i="5"/>
  <c r="N550" i="5"/>
  <c r="N636" i="5"/>
  <c r="N845" i="5"/>
  <c r="N919" i="5"/>
  <c r="N927" i="5"/>
  <c r="N384" i="5"/>
  <c r="N409" i="5"/>
  <c r="N414" i="5"/>
  <c r="N424" i="5"/>
  <c r="N466" i="5"/>
  <c r="N614" i="5"/>
  <c r="N629" i="5"/>
  <c r="N669" i="5"/>
  <c r="N684" i="5"/>
  <c r="N689" i="5"/>
  <c r="N737" i="5"/>
  <c r="N773" i="5"/>
  <c r="N798" i="5"/>
  <c r="N803" i="5"/>
  <c r="N819" i="5"/>
  <c r="N850" i="5"/>
  <c r="N953" i="5"/>
  <c r="N958" i="5"/>
  <c r="N387" i="5"/>
  <c r="N392" i="5"/>
  <c r="N402" i="5"/>
  <c r="N407" i="5"/>
  <c r="N412" i="5"/>
  <c r="N471" i="5"/>
  <c r="N478" i="5"/>
  <c r="N483" i="5"/>
  <c r="N498" i="5"/>
  <c r="N529" i="5"/>
  <c r="N617" i="5"/>
  <c r="N622" i="5"/>
  <c r="N644" i="5"/>
  <c r="N654" i="5"/>
  <c r="N659" i="5"/>
  <c r="N664" i="5"/>
  <c r="N674" i="5"/>
  <c r="N677" i="5"/>
  <c r="N758" i="5"/>
  <c r="N763" i="5"/>
  <c r="N843" i="5"/>
  <c r="N863" i="5"/>
  <c r="N880" i="5"/>
  <c r="N917" i="5"/>
  <c r="N915" i="5"/>
  <c r="N918" i="5"/>
  <c r="N935" i="5"/>
  <c r="N952" i="5"/>
  <c r="N957" i="5"/>
  <c r="N986" i="5"/>
  <c r="N1005" i="5"/>
  <c r="N1013" i="5"/>
  <c r="N1035" i="5"/>
  <c r="N1055" i="5"/>
  <c r="N1065" i="5"/>
  <c r="N1108" i="5"/>
  <c r="N1128" i="5"/>
  <c r="N1136" i="5"/>
  <c r="N1183" i="5"/>
  <c r="N1191" i="5"/>
  <c r="N1204" i="5"/>
  <c r="N1269" i="5"/>
  <c r="N1274" i="5"/>
  <c r="N1279" i="5"/>
  <c r="N1282" i="5"/>
  <c r="N1287" i="5"/>
  <c r="N1300" i="5"/>
  <c r="N1320" i="5"/>
  <c r="N1330" i="5"/>
  <c r="N1349" i="5"/>
  <c r="N1364" i="5"/>
  <c r="N1431" i="5"/>
  <c r="N1434" i="5"/>
  <c r="N1457" i="5"/>
  <c r="N1476" i="5"/>
  <c r="N1505" i="5"/>
  <c r="N1521" i="5"/>
  <c r="N1564" i="5"/>
  <c r="N1580" i="5"/>
  <c r="N1606" i="5"/>
  <c r="N1616" i="5"/>
  <c r="N1647" i="5"/>
  <c r="N1786" i="5"/>
  <c r="N1791" i="5"/>
  <c r="N1817" i="5"/>
  <c r="N1822" i="5"/>
  <c r="N991" i="5"/>
  <c r="N1008" i="5"/>
  <c r="N1028" i="5"/>
  <c r="N1053" i="5"/>
  <c r="N1073" i="5"/>
  <c r="N1088" i="5"/>
  <c r="N1111" i="5"/>
  <c r="N1121" i="5"/>
  <c r="N1131" i="5"/>
  <c r="N1139" i="5"/>
  <c r="N1142" i="5"/>
  <c r="N1152" i="5"/>
  <c r="N1173" i="5"/>
  <c r="N1202" i="5"/>
  <c r="N1228" i="5"/>
  <c r="N1236" i="5"/>
  <c r="N1251" i="5"/>
  <c r="N1259" i="5"/>
  <c r="N1285" i="5"/>
  <c r="N1298" i="5"/>
  <c r="N1303" i="5"/>
  <c r="N1306" i="5"/>
  <c r="N1352" i="5"/>
  <c r="N1389" i="5"/>
  <c r="N1424" i="5"/>
  <c r="N1429" i="5"/>
  <c r="N1468" i="5"/>
  <c r="N1544" i="5"/>
  <c r="N1575" i="5"/>
  <c r="N1588" i="5"/>
  <c r="N1757" i="5"/>
  <c r="N1810" i="5"/>
  <c r="N1970" i="5"/>
  <c r="N1989" i="5"/>
  <c r="N977" i="5"/>
  <c r="N1011" i="5"/>
  <c r="N1021" i="5"/>
  <c r="N1026" i="5"/>
  <c r="N1036" i="5"/>
  <c r="N1043" i="5"/>
  <c r="N1046" i="5"/>
  <c r="N1056" i="5"/>
  <c r="N1061" i="5"/>
  <c r="N1081" i="5"/>
  <c r="N1091" i="5"/>
  <c r="N1109" i="5"/>
  <c r="N1137" i="5"/>
  <c r="N1145" i="5"/>
  <c r="N1150" i="5"/>
  <c r="N1155" i="5"/>
  <c r="N1184" i="5"/>
  <c r="N1192" i="5"/>
  <c r="N1205" i="5"/>
  <c r="N1221" i="5"/>
  <c r="N1226" i="5"/>
  <c r="N1231" i="5"/>
  <c r="N1234" i="5"/>
  <c r="N1244" i="5"/>
  <c r="N1249" i="5"/>
  <c r="N1267" i="5"/>
  <c r="N1280" i="5"/>
  <c r="N1338" i="5"/>
  <c r="N1365" i="5"/>
  <c r="N1404" i="5"/>
  <c r="N1432" i="5"/>
  <c r="N1450" i="5"/>
  <c r="N1455" i="5"/>
  <c r="N1458" i="5"/>
  <c r="N1463" i="5"/>
  <c r="N1471" i="5"/>
  <c r="N1503" i="5"/>
  <c r="N1506" i="5"/>
  <c r="N1511" i="5"/>
  <c r="N1591" i="5"/>
  <c r="N1596" i="5"/>
  <c r="N1638" i="5"/>
  <c r="N1694" i="5"/>
  <c r="N1702" i="5"/>
  <c r="N1734" i="5"/>
  <c r="N1742" i="5"/>
  <c r="N1776" i="5"/>
  <c r="N1784" i="5"/>
  <c r="N1853" i="5"/>
  <c r="N1917" i="5"/>
  <c r="N1928" i="5"/>
  <c r="N2022" i="5"/>
  <c r="N2030" i="5"/>
  <c r="N2092" i="5"/>
  <c r="N1166" i="5"/>
  <c r="N1174" i="5"/>
  <c r="N1542" i="5"/>
  <c r="N1558" i="5"/>
  <c r="N1774" i="5"/>
  <c r="N1004" i="5"/>
  <c r="N1017" i="5"/>
  <c r="N1034" i="5"/>
  <c r="N1039" i="5"/>
  <c r="N1059" i="5"/>
  <c r="N1064" i="5"/>
  <c r="N1082" i="5"/>
  <c r="N1089" i="5"/>
  <c r="N1097" i="5"/>
  <c r="N1107" i="5"/>
  <c r="N1153" i="5"/>
  <c r="N1169" i="5"/>
  <c r="N1177" i="5"/>
  <c r="N1195" i="5"/>
  <c r="N1198" i="5"/>
  <c r="N1206" i="5"/>
  <c r="N1211" i="5"/>
  <c r="N1224" i="5"/>
  <c r="N1229" i="5"/>
  <c r="N1247" i="5"/>
  <c r="N1291" i="5"/>
  <c r="N1378" i="5"/>
  <c r="N1420" i="5"/>
  <c r="N1425" i="5"/>
  <c r="N1469" i="5"/>
  <c r="N1553" i="5"/>
  <c r="N1589" i="5"/>
  <c r="N1602" i="5"/>
  <c r="N1671" i="5"/>
  <c r="N1676" i="5"/>
  <c r="N1686" i="5"/>
  <c r="N1689" i="5"/>
  <c r="N1729" i="5"/>
  <c r="N1732" i="5"/>
  <c r="N1761" i="5"/>
  <c r="N1769" i="5"/>
  <c r="N1798" i="5"/>
  <c r="N1803" i="5"/>
  <c r="N1831" i="5"/>
  <c r="N1836" i="5"/>
  <c r="N1843" i="5"/>
  <c r="N1915" i="5"/>
  <c r="N1947" i="5"/>
  <c r="N2171" i="5"/>
  <c r="N1110" i="5"/>
  <c r="N1115" i="5"/>
  <c r="N1125" i="5"/>
  <c r="N1164" i="5"/>
  <c r="N1180" i="5"/>
  <c r="N1185" i="5"/>
  <c r="N1217" i="5"/>
  <c r="N1240" i="5"/>
  <c r="N1255" i="5"/>
  <c r="N1263" i="5"/>
  <c r="N1281" i="5"/>
  <c r="N1289" i="5"/>
  <c r="N1317" i="5"/>
  <c r="N1329" i="5"/>
  <c r="N1351" i="5"/>
  <c r="N1356" i="5"/>
  <c r="N1395" i="5"/>
  <c r="N1400" i="5"/>
  <c r="N1556" i="5"/>
  <c r="N1574" i="5"/>
  <c r="N1597" i="5"/>
  <c r="N1623" i="5"/>
  <c r="N1711" i="5"/>
  <c r="N1743" i="5"/>
  <c r="N1748" i="5"/>
  <c r="N1875" i="5"/>
  <c r="N2066" i="5"/>
  <c r="N2074" i="5"/>
  <c r="N2163" i="5"/>
  <c r="N448" i="5"/>
  <c r="N465" i="5"/>
  <c r="N491" i="5"/>
  <c r="N496" i="5"/>
  <c r="N503" i="5"/>
  <c r="N510" i="5"/>
  <c r="N515" i="5"/>
  <c r="N522" i="5"/>
  <c r="N544" i="5"/>
  <c r="N558" i="5"/>
  <c r="N575" i="5"/>
  <c r="N628" i="5"/>
  <c r="N638" i="5"/>
  <c r="N670" i="5"/>
  <c r="N693" i="5"/>
  <c r="N710" i="5"/>
  <c r="N715" i="5"/>
  <c r="N745" i="5"/>
  <c r="N750" i="5"/>
  <c r="N755" i="5"/>
  <c r="N760" i="5"/>
  <c r="N790" i="5"/>
  <c r="N829" i="5"/>
  <c r="N841" i="5"/>
  <c r="N855" i="5"/>
  <c r="N971" i="5"/>
  <c r="N1000" i="5"/>
  <c r="N1015" i="5"/>
  <c r="N1030" i="5"/>
  <c r="N1047" i="5"/>
  <c r="N1052" i="5"/>
  <c r="N1085" i="5"/>
  <c r="N1087" i="5"/>
  <c r="N1090" i="5"/>
  <c r="N1100" i="5"/>
  <c r="N1105" i="5"/>
  <c r="N1141" i="5"/>
  <c r="N1151" i="5"/>
  <c r="N1154" i="5"/>
  <c r="N1172" i="5"/>
  <c r="N1188" i="5"/>
  <c r="N1201" i="5"/>
  <c r="N1209" i="5"/>
  <c r="N1227" i="5"/>
  <c r="N1235" i="5"/>
  <c r="N1297" i="5"/>
  <c r="N1322" i="5"/>
  <c r="N1327" i="5"/>
  <c r="N1376" i="5"/>
  <c r="N1381" i="5"/>
  <c r="N1386" i="5"/>
  <c r="N1413" i="5"/>
  <c r="N1428" i="5"/>
  <c r="N1451" i="5"/>
  <c r="N1459" i="5"/>
  <c r="N1462" i="5"/>
  <c r="N1467" i="5"/>
  <c r="N1486" i="5"/>
  <c r="N1518" i="5"/>
  <c r="N1543" i="5"/>
  <c r="N1582" i="5"/>
  <c r="N1587" i="5"/>
  <c r="N1608" i="5"/>
  <c r="N1626" i="5"/>
  <c r="N1661" i="5"/>
  <c r="N1664" i="5"/>
  <c r="N1669" i="5"/>
  <c r="N1706" i="5"/>
  <c r="N1719" i="5"/>
  <c r="N1814" i="5"/>
  <c r="N1824" i="5"/>
  <c r="N1829" i="5"/>
  <c r="N1897" i="5"/>
  <c r="N1905" i="5"/>
  <c r="N2034" i="5"/>
  <c r="N2054" i="5"/>
  <c r="N2077" i="5"/>
  <c r="N2103" i="5"/>
  <c r="N2108" i="5"/>
  <c r="N2134" i="5"/>
  <c r="N2242" i="5"/>
  <c r="N2290" i="5"/>
  <c r="N2309" i="5"/>
  <c r="N2534" i="5"/>
  <c r="N1452" i="5"/>
  <c r="N1460" i="5"/>
  <c r="N1465" i="5"/>
  <c r="N1496" i="5"/>
  <c r="N1524" i="5"/>
  <c r="N1529" i="5"/>
  <c r="N1551" i="5"/>
  <c r="N1565" i="5"/>
  <c r="N1614" i="5"/>
  <c r="N1631" i="5"/>
  <c r="N1650" i="5"/>
  <c r="N1679" i="5"/>
  <c r="N1705" i="5"/>
  <c r="N1710" i="5"/>
  <c r="N1715" i="5"/>
  <c r="N1747" i="5"/>
  <c r="N1752" i="5"/>
  <c r="N1767" i="5"/>
  <c r="N1794" i="5"/>
  <c r="N1801" i="5"/>
  <c r="N1808" i="5"/>
  <c r="N1827" i="5"/>
  <c r="N1878" i="5"/>
  <c r="N1893" i="5"/>
  <c r="N1898" i="5"/>
  <c r="N2031" i="5"/>
  <c r="N2271" i="5"/>
  <c r="N2301" i="5"/>
  <c r="N2304" i="5"/>
  <c r="N2349" i="5"/>
  <c r="N1527" i="5"/>
  <c r="N1549" i="5"/>
  <c r="N1554" i="5"/>
  <c r="N1583" i="5"/>
  <c r="N1593" i="5"/>
  <c r="N1641" i="5"/>
  <c r="N1655" i="5"/>
  <c r="N1662" i="5"/>
  <c r="N1667" i="5"/>
  <c r="N1672" i="5"/>
  <c r="N1682" i="5"/>
  <c r="N1725" i="5"/>
  <c r="N1735" i="5"/>
  <c r="N1755" i="5"/>
  <c r="N1818" i="5"/>
  <c r="N1825" i="5"/>
  <c r="N1832" i="5"/>
  <c r="N1839" i="5"/>
  <c r="N1851" i="5"/>
  <c r="N1868" i="5"/>
  <c r="N1873" i="5"/>
  <c r="N1990" i="5"/>
  <c r="N2016" i="5"/>
  <c r="N2052" i="5"/>
  <c r="N2062" i="5"/>
  <c r="N2088" i="5"/>
  <c r="N2221" i="5"/>
  <c r="N2232" i="5"/>
  <c r="N2331" i="5"/>
  <c r="N2344" i="5"/>
  <c r="N2426" i="5"/>
  <c r="N1484" i="5"/>
  <c r="N1507" i="5"/>
  <c r="N1512" i="5"/>
  <c r="N1532" i="5"/>
  <c r="N1539" i="5"/>
  <c r="N1559" i="5"/>
  <c r="N1566" i="5"/>
  <c r="N1576" i="5"/>
  <c r="N1646" i="5"/>
  <c r="N1670" i="5"/>
  <c r="N1687" i="5"/>
  <c r="N1690" i="5"/>
  <c r="N1695" i="5"/>
  <c r="N1700" i="5"/>
  <c r="N1708" i="5"/>
  <c r="N1738" i="5"/>
  <c r="N1745" i="5"/>
  <c r="N1806" i="5"/>
  <c r="N1854" i="5"/>
  <c r="N1861" i="5"/>
  <c r="N1866" i="5"/>
  <c r="N1883" i="5"/>
  <c r="N1901" i="5"/>
  <c r="N1911" i="5"/>
  <c r="N1946" i="5"/>
  <c r="N1977" i="5"/>
  <c r="N2039" i="5"/>
  <c r="N2070" i="5"/>
  <c r="N2078" i="5"/>
  <c r="N2083" i="5"/>
  <c r="N2146" i="5"/>
  <c r="N2154" i="5"/>
  <c r="N2280" i="5"/>
  <c r="N2377" i="5"/>
  <c r="N2385" i="5"/>
  <c r="N1788" i="5"/>
  <c r="N1795" i="5"/>
  <c r="N1899" i="5"/>
  <c r="N1941" i="5"/>
  <c r="N1959" i="5"/>
  <c r="N2001" i="5"/>
  <c r="N2037" i="5"/>
  <c r="N2050" i="5"/>
  <c r="N2073" i="5"/>
  <c r="N2206" i="5"/>
  <c r="N2361" i="5"/>
  <c r="N2566" i="5"/>
  <c r="N1168" i="5"/>
  <c r="N1181" i="5"/>
  <c r="N1199" i="5"/>
  <c r="N1220" i="5"/>
  <c r="N1225" i="5"/>
  <c r="N1248" i="5"/>
  <c r="N1253" i="5"/>
  <c r="N1261" i="5"/>
  <c r="N1276" i="5"/>
  <c r="N1284" i="5"/>
  <c r="N1299" i="5"/>
  <c r="N1307" i="5"/>
  <c r="N1312" i="5"/>
  <c r="N1324" i="5"/>
  <c r="N1336" i="5"/>
  <c r="N1370" i="5"/>
  <c r="N1377" i="5"/>
  <c r="N1382" i="5"/>
  <c r="N1387" i="5"/>
  <c r="N1436" i="5"/>
  <c r="N1443" i="5"/>
  <c r="N1448" i="5"/>
  <c r="N1456" i="5"/>
  <c r="N1477" i="5"/>
  <c r="N1482" i="5"/>
  <c r="N1500" i="5"/>
  <c r="N1515" i="5"/>
  <c r="N1528" i="5"/>
  <c r="N1530" i="5"/>
  <c r="N1569" i="5"/>
  <c r="N1579" i="5"/>
  <c r="N1584" i="5"/>
  <c r="N1594" i="5"/>
  <c r="N1601" i="5"/>
  <c r="N1615" i="5"/>
  <c r="N1625" i="5"/>
  <c r="N1630" i="5"/>
  <c r="N1642" i="5"/>
  <c r="N1644" i="5"/>
  <c r="N1656" i="5"/>
  <c r="N1693" i="5"/>
  <c r="N1721" i="5"/>
  <c r="N1736" i="5"/>
  <c r="N1746" i="5"/>
  <c r="N1756" i="5"/>
  <c r="N1773" i="5"/>
  <c r="N1783" i="5"/>
  <c r="N1842" i="5"/>
  <c r="N1857" i="5"/>
  <c r="N1869" i="5"/>
  <c r="N1879" i="5"/>
  <c r="N1889" i="5"/>
  <c r="N1980" i="5"/>
  <c r="N1988" i="5"/>
  <c r="N2110" i="5"/>
  <c r="N2198" i="5"/>
  <c r="N2342" i="5"/>
  <c r="N2386" i="5"/>
  <c r="N2391" i="5"/>
  <c r="N2416" i="5"/>
  <c r="N2786" i="5"/>
  <c r="N2805" i="5"/>
  <c r="N2072" i="5"/>
  <c r="N2125" i="5"/>
  <c r="N2145" i="5"/>
  <c r="N2260" i="5"/>
  <c r="N2275" i="5"/>
  <c r="N2288" i="5"/>
  <c r="N2303" i="5"/>
  <c r="N2318" i="5"/>
  <c r="N2341" i="5"/>
  <c r="N2357" i="5"/>
  <c r="N2403" i="5"/>
  <c r="N2411" i="5"/>
  <c r="N2439" i="5"/>
  <c r="N2450" i="5"/>
  <c r="N2473" i="5"/>
  <c r="N2569" i="5"/>
  <c r="N2648" i="5"/>
  <c r="N2701" i="5"/>
  <c r="N2797" i="5"/>
  <c r="N2900" i="5"/>
  <c r="N3013" i="5"/>
  <c r="N3403" i="5"/>
  <c r="N1886" i="5"/>
  <c r="N1908" i="5"/>
  <c r="N1927" i="5"/>
  <c r="N1961" i="5"/>
  <c r="N1969" i="5"/>
  <c r="N2029" i="5"/>
  <c r="N2056" i="5"/>
  <c r="N2085" i="5"/>
  <c r="N2100" i="5"/>
  <c r="N2155" i="5"/>
  <c r="N2160" i="5"/>
  <c r="N2230" i="5"/>
  <c r="N2235" i="5"/>
  <c r="N2240" i="5"/>
  <c r="N2255" i="5"/>
  <c r="N2283" i="5"/>
  <c r="N2293" i="5"/>
  <c r="N2380" i="5"/>
  <c r="N2388" i="5"/>
  <c r="N2393" i="5"/>
  <c r="N2406" i="5"/>
  <c r="N2434" i="5"/>
  <c r="N2486" i="5"/>
  <c r="N2537" i="5"/>
  <c r="N2561" i="5"/>
  <c r="N2781" i="5"/>
  <c r="N2887" i="5"/>
  <c r="N3140" i="5"/>
  <c r="N3316" i="5"/>
  <c r="N2432" i="5"/>
  <c r="N2448" i="5"/>
  <c r="N2596" i="5"/>
  <c r="N2607" i="5"/>
  <c r="N2680" i="5"/>
  <c r="N2737" i="5"/>
  <c r="N2816" i="5"/>
  <c r="N2830" i="5"/>
  <c r="N2940" i="5"/>
  <c r="N2973" i="5"/>
  <c r="N3003" i="5"/>
  <c r="N3229" i="5"/>
  <c r="N3278" i="5"/>
  <c r="N2161" i="5"/>
  <c r="N2166" i="5"/>
  <c r="N2211" i="5"/>
  <c r="N2236" i="5"/>
  <c r="N2246" i="5"/>
  <c r="N2276" i="5"/>
  <c r="N2312" i="5"/>
  <c r="N2319" i="5"/>
  <c r="N2353" i="5"/>
  <c r="N2358" i="5"/>
  <c r="N2363" i="5"/>
  <c r="N2381" i="5"/>
  <c r="N2412" i="5"/>
  <c r="N2427" i="5"/>
  <c r="N2446" i="5"/>
  <c r="N2511" i="5"/>
  <c r="N2519" i="5"/>
  <c r="N2559" i="5"/>
  <c r="N2591" i="5"/>
  <c r="N2710" i="5"/>
  <c r="N2768" i="5"/>
  <c r="N2822" i="5"/>
  <c r="N2858" i="5"/>
  <c r="N3270" i="5"/>
  <c r="N3458" i="5"/>
  <c r="N2169" i="5"/>
  <c r="N2182" i="5"/>
  <c r="N2187" i="5"/>
  <c r="N2231" i="5"/>
  <c r="N2251" i="5"/>
  <c r="N2269" i="5"/>
  <c r="N2279" i="5"/>
  <c r="N2348" i="5"/>
  <c r="N2376" i="5"/>
  <c r="N2384" i="5"/>
  <c r="N2454" i="5"/>
  <c r="N2459" i="5"/>
  <c r="N2514" i="5"/>
  <c r="N2613" i="5"/>
  <c r="N2719" i="5"/>
  <c r="N2760" i="5"/>
  <c r="N2825" i="5"/>
  <c r="N2856" i="5"/>
  <c r="N2990" i="5"/>
  <c r="N3122" i="5"/>
  <c r="N3453" i="5"/>
  <c r="N2045" i="5"/>
  <c r="N2055" i="5"/>
  <c r="N2067" i="5"/>
  <c r="N2089" i="5"/>
  <c r="N2109" i="5"/>
  <c r="N2124" i="5"/>
  <c r="N2129" i="5"/>
  <c r="N2259" i="5"/>
  <c r="N2292" i="5"/>
  <c r="N2297" i="5"/>
  <c r="N2333" i="5"/>
  <c r="N2343" i="5"/>
  <c r="N2366" i="5"/>
  <c r="N2371" i="5"/>
  <c r="N2387" i="5"/>
  <c r="N2449" i="5"/>
  <c r="N1885" i="5"/>
  <c r="N1895" i="5"/>
  <c r="N1953" i="5"/>
  <c r="N2013" i="5"/>
  <c r="N2060" i="5"/>
  <c r="N2065" i="5"/>
  <c r="N2119" i="5"/>
  <c r="N2122" i="5"/>
  <c r="N2172" i="5"/>
  <c r="N2185" i="5"/>
  <c r="N2195" i="5"/>
  <c r="N2214" i="5"/>
  <c r="N2219" i="5"/>
  <c r="N2244" i="5"/>
  <c r="N2249" i="5"/>
  <c r="N2267" i="5"/>
  <c r="N2277" i="5"/>
  <c r="N2346" i="5"/>
  <c r="N2374" i="5"/>
  <c r="N2379" i="5"/>
  <c r="N2444" i="5"/>
  <c r="N2462" i="5"/>
  <c r="N2493" i="5"/>
  <c r="N2501" i="5"/>
  <c r="N2539" i="5"/>
  <c r="N2571" i="5"/>
  <c r="N2642" i="5"/>
  <c r="N2706" i="5"/>
  <c r="N2711" i="5"/>
  <c r="N2714" i="5"/>
  <c r="N2846" i="5"/>
  <c r="N2985" i="5"/>
  <c r="N3018" i="5"/>
  <c r="N3117" i="5"/>
  <c r="N3145" i="5"/>
  <c r="N3334" i="5"/>
  <c r="N2295" i="5"/>
  <c r="N2317" i="5"/>
  <c r="N2350" i="5"/>
  <c r="N2370" i="5"/>
  <c r="N2418" i="5"/>
  <c r="N2480" i="5"/>
  <c r="N2508" i="5"/>
  <c r="N2558" i="5"/>
  <c r="N2578" i="5"/>
  <c r="N2937" i="5"/>
  <c r="N3049" i="5"/>
  <c r="N3173" i="5"/>
  <c r="N3197" i="5"/>
  <c r="N3210" i="5"/>
  <c r="N3489" i="5"/>
  <c r="N3176" i="5"/>
  <c r="N3189" i="5"/>
  <c r="N3192" i="5"/>
  <c r="N2909" i="5"/>
  <c r="N3066" i="5"/>
  <c r="N3089" i="5"/>
  <c r="N3094" i="5"/>
  <c r="N3120" i="5"/>
  <c r="N3182" i="5"/>
  <c r="N3265" i="5"/>
  <c r="N3413" i="5"/>
  <c r="N3512" i="5"/>
  <c r="N2466" i="5"/>
  <c r="N2509" i="5"/>
  <c r="N2535" i="5"/>
  <c r="N2540" i="5"/>
  <c r="N2547" i="5"/>
  <c r="N2574" i="5"/>
  <c r="N2594" i="5"/>
  <c r="N2621" i="5"/>
  <c r="N2626" i="5"/>
  <c r="N2636" i="5"/>
  <c r="N2646" i="5"/>
  <c r="N2653" i="5"/>
  <c r="N2663" i="5"/>
  <c r="N2681" i="5"/>
  <c r="N2732" i="5"/>
  <c r="N2774" i="5"/>
  <c r="N2810" i="5"/>
  <c r="N2841" i="5"/>
  <c r="N2872" i="5"/>
  <c r="N2880" i="5"/>
  <c r="N2912" i="5"/>
  <c r="N2938" i="5"/>
  <c r="N3079" i="5"/>
  <c r="N3133" i="5"/>
  <c r="N3201" i="5"/>
  <c r="N3214" i="5"/>
  <c r="N3219" i="5"/>
  <c r="N3224" i="5"/>
  <c r="N3301" i="5"/>
  <c r="N3309" i="5"/>
  <c r="N3358" i="5"/>
  <c r="N3437" i="5"/>
  <c r="N3507" i="5"/>
  <c r="N2479" i="5"/>
  <c r="N2494" i="5"/>
  <c r="N2499" i="5"/>
  <c r="N2507" i="5"/>
  <c r="N2512" i="5"/>
  <c r="N2517" i="5"/>
  <c r="N2520" i="5"/>
  <c r="N2530" i="5"/>
  <c r="N2545" i="5"/>
  <c r="N2557" i="5"/>
  <c r="N2592" i="5"/>
  <c r="N2659" i="5"/>
  <c r="N2777" i="5"/>
  <c r="N2968" i="5"/>
  <c r="N3031" i="5"/>
  <c r="N3048" i="5"/>
  <c r="N3056" i="5"/>
  <c r="N3061" i="5"/>
  <c r="N3072" i="5"/>
  <c r="N3082" i="5"/>
  <c r="N3141" i="5"/>
  <c r="N3146" i="5"/>
  <c r="N3154" i="5"/>
  <c r="N3159" i="5"/>
  <c r="N3180" i="5"/>
  <c r="N3291" i="5"/>
  <c r="N3314" i="5"/>
  <c r="N3353" i="5"/>
  <c r="N3366" i="5"/>
  <c r="N3404" i="5"/>
  <c r="N3422" i="5"/>
  <c r="N3454" i="5"/>
  <c r="N2533" i="5"/>
  <c r="N2560" i="5"/>
  <c r="N2575" i="5"/>
  <c r="N2597" i="5"/>
  <c r="N2632" i="5"/>
  <c r="N2637" i="5"/>
  <c r="N2689" i="5"/>
  <c r="N2759" i="5"/>
  <c r="N2780" i="5"/>
  <c r="N2785" i="5"/>
  <c r="N2821" i="5"/>
  <c r="N2910" i="5"/>
  <c r="N3007" i="5"/>
  <c r="N3090" i="5"/>
  <c r="N3121" i="5"/>
  <c r="N3191" i="5"/>
  <c r="N3194" i="5"/>
  <c r="N3233" i="5"/>
  <c r="N3383" i="5"/>
  <c r="N2305" i="5"/>
  <c r="N2327" i="5"/>
  <c r="N2347" i="5"/>
  <c r="N2360" i="5"/>
  <c r="N2367" i="5"/>
  <c r="N2372" i="5"/>
  <c r="N2405" i="5"/>
  <c r="N2415" i="5"/>
  <c r="N2425" i="5"/>
  <c r="N2430" i="5"/>
  <c r="N2435" i="5"/>
  <c r="N2460" i="5"/>
  <c r="N2482" i="5"/>
  <c r="N2497" i="5"/>
  <c r="N2505" i="5"/>
  <c r="N2580" i="5"/>
  <c r="N2585" i="5"/>
  <c r="N2600" i="5"/>
  <c r="N2612" i="5"/>
  <c r="N2617" i="5"/>
  <c r="N2682" i="5"/>
  <c r="N2700" i="5"/>
  <c r="N2751" i="5"/>
  <c r="N2775" i="5"/>
  <c r="N2801" i="5"/>
  <c r="N2811" i="5"/>
  <c r="N2855" i="5"/>
  <c r="N2876" i="5"/>
  <c r="N2902" i="5"/>
  <c r="N2905" i="5"/>
  <c r="N2913" i="5"/>
  <c r="N2942" i="5"/>
  <c r="N2966" i="5"/>
  <c r="N2974" i="5"/>
  <c r="N3129" i="5"/>
  <c r="N3144" i="5"/>
  <c r="N3181" i="5"/>
  <c r="N3220" i="5"/>
  <c r="N3362" i="5"/>
  <c r="N3402" i="5"/>
  <c r="N2778" i="5"/>
  <c r="N2798" i="5"/>
  <c r="N2916" i="5"/>
  <c r="N3010" i="5"/>
  <c r="N3054" i="5"/>
  <c r="N3106" i="5"/>
  <c r="N3142" i="5"/>
  <c r="N3165" i="5"/>
  <c r="N3170" i="5"/>
  <c r="N3221" i="5"/>
  <c r="N3273" i="5"/>
  <c r="N3287" i="5"/>
  <c r="N3332" i="5"/>
  <c r="N2654" i="5"/>
  <c r="N2669" i="5"/>
  <c r="N2702" i="5"/>
  <c r="N2762" i="5"/>
  <c r="N2767" i="5"/>
  <c r="N2784" i="5"/>
  <c r="N2794" i="5"/>
  <c r="N2809" i="5"/>
  <c r="N2829" i="5"/>
  <c r="N2849" i="5"/>
  <c r="N2874" i="5"/>
  <c r="N2891" i="5"/>
  <c r="N2894" i="5"/>
  <c r="N2899" i="5"/>
  <c r="N2922" i="5"/>
  <c r="N2925" i="5"/>
  <c r="N2930" i="5"/>
  <c r="N2935" i="5"/>
  <c r="N2948" i="5"/>
  <c r="N2953" i="5"/>
  <c r="N2971" i="5"/>
  <c r="N2981" i="5"/>
  <c r="N2988" i="5"/>
  <c r="N2993" i="5"/>
  <c r="N2998" i="5"/>
  <c r="N3006" i="5"/>
  <c r="N3023" i="5"/>
  <c r="N3199" i="5"/>
  <c r="N3242" i="5"/>
  <c r="N3274" i="5"/>
  <c r="N3340" i="5"/>
  <c r="N3408" i="5"/>
  <c r="N3488" i="5"/>
  <c r="N2609" i="5"/>
  <c r="N2614" i="5"/>
  <c r="N2619" i="5"/>
  <c r="N2658" i="5"/>
  <c r="N2668" i="5"/>
  <c r="N2685" i="5"/>
  <c r="N2695" i="5"/>
  <c r="N2698" i="5"/>
  <c r="N2728" i="5"/>
  <c r="N2735" i="5"/>
  <c r="N2743" i="5"/>
  <c r="N2763" i="5"/>
  <c r="N2773" i="5"/>
  <c r="N2795" i="5"/>
  <c r="N2815" i="5"/>
  <c r="N2835" i="5"/>
  <c r="N2895" i="5"/>
  <c r="N2918" i="5"/>
  <c r="N2926" i="5"/>
  <c r="N3012" i="5"/>
  <c r="N3029" i="5"/>
  <c r="N3051" i="5"/>
  <c r="N3076" i="5"/>
  <c r="N3081" i="5"/>
  <c r="N3098" i="5"/>
  <c r="N3103" i="5"/>
  <c r="N3108" i="5"/>
  <c r="N3125" i="5"/>
  <c r="N3127" i="5"/>
  <c r="N3152" i="5"/>
  <c r="N3223" i="5"/>
  <c r="N3289" i="5"/>
  <c r="N3299" i="5"/>
  <c r="N3329" i="5"/>
  <c r="N3373" i="5"/>
  <c r="N3469" i="5"/>
  <c r="N3391" i="5"/>
  <c r="N3432" i="5"/>
  <c r="N3490" i="5"/>
  <c r="N2837" i="5"/>
  <c r="N2852" i="5"/>
  <c r="N2869" i="5"/>
  <c r="N2879" i="5"/>
  <c r="N2901" i="5"/>
  <c r="N2934" i="5"/>
  <c r="N2944" i="5"/>
  <c r="N2954" i="5"/>
  <c r="N2959" i="5"/>
  <c r="N2972" i="5"/>
  <c r="N2982" i="5"/>
  <c r="N3004" i="5"/>
  <c r="N3044" i="5"/>
  <c r="N3093" i="5"/>
  <c r="N3158" i="5"/>
  <c r="N3178" i="5"/>
  <c r="N3185" i="5"/>
  <c r="N3213" i="5"/>
  <c r="N3230" i="5"/>
  <c r="N3235" i="5"/>
  <c r="N3249" i="5"/>
  <c r="N3300" i="5"/>
  <c r="N3305" i="5"/>
  <c r="N3371" i="5"/>
  <c r="N3430" i="5"/>
  <c r="N3456" i="5"/>
  <c r="N3293" i="5"/>
  <c r="N3298" i="5"/>
  <c r="N3379" i="5"/>
  <c r="N3392" i="5"/>
  <c r="N3409" i="5"/>
  <c r="N3445" i="5"/>
  <c r="N3457" i="5"/>
  <c r="N3462" i="5"/>
  <c r="N3486" i="5"/>
  <c r="N3496" i="5"/>
  <c r="N3506" i="5"/>
  <c r="N3352" i="5"/>
  <c r="N3360" i="5"/>
  <c r="N3365" i="5"/>
  <c r="N3377" i="5"/>
  <c r="N3504" i="5"/>
  <c r="N3509" i="5"/>
  <c r="N3518" i="5"/>
  <c r="I375" i="8"/>
  <c r="N55" i="5"/>
  <c r="N142" i="5"/>
  <c r="N214" i="5"/>
  <c r="N31" i="5"/>
  <c r="N79" i="5"/>
  <c r="N102" i="5"/>
  <c r="N165" i="5"/>
  <c r="N202" i="5"/>
  <c r="N240" i="5"/>
  <c r="N272" i="5"/>
  <c r="N336" i="5"/>
  <c r="N67" i="5"/>
  <c r="N7" i="5"/>
  <c r="N19" i="5"/>
  <c r="N43" i="5"/>
  <c r="N248" i="5"/>
  <c r="N312" i="5"/>
  <c r="N141" i="5"/>
  <c r="N189" i="5"/>
  <c r="N320" i="5"/>
  <c r="N201" i="5"/>
  <c r="N224" i="5"/>
  <c r="N341" i="5"/>
  <c r="N90" i="5"/>
  <c r="N126" i="5"/>
  <c r="N153" i="5"/>
  <c r="N377" i="5"/>
  <c r="N541" i="5"/>
  <c r="N348" i="5"/>
  <c r="N436" i="5"/>
  <c r="N538" i="5"/>
  <c r="N771" i="5"/>
  <c r="N360" i="5"/>
  <c r="N426" i="5"/>
  <c r="N509" i="5"/>
  <c r="N493" i="5"/>
  <c r="N372" i="5"/>
  <c r="N396" i="5"/>
  <c r="N401" i="5"/>
  <c r="N506" i="5"/>
  <c r="N595" i="5"/>
  <c r="N676" i="5"/>
  <c r="N716" i="5"/>
  <c r="N777" i="5"/>
  <c r="N547" i="5"/>
  <c r="N563" i="5"/>
  <c r="N580" i="5"/>
  <c r="N586" i="5"/>
  <c r="N606" i="5"/>
  <c r="N611" i="5"/>
  <c r="N616" i="5"/>
  <c r="N699" i="5"/>
  <c r="N419" i="5"/>
  <c r="N463" i="5"/>
  <c r="N479" i="5"/>
  <c r="N588" i="5"/>
  <c r="N801" i="5"/>
  <c r="N811" i="5"/>
  <c r="N582" i="5"/>
  <c r="N675" i="5"/>
  <c r="N747" i="5"/>
  <c r="N788" i="5"/>
  <c r="N507" i="5"/>
  <c r="N523" i="5"/>
  <c r="N539" i="5"/>
  <c r="N555" i="5"/>
  <c r="N753" i="5"/>
  <c r="N587" i="5"/>
  <c r="N683" i="5"/>
  <c r="N1012" i="5"/>
  <c r="N698" i="5"/>
  <c r="N722" i="5"/>
  <c r="N746" i="5"/>
  <c r="N770" i="5"/>
  <c r="N794" i="5"/>
  <c r="N914" i="5"/>
  <c r="N814" i="5"/>
  <c r="N840" i="5"/>
  <c r="N866" i="5"/>
  <c r="N642" i="5"/>
  <c r="N666" i="5"/>
  <c r="N690" i="5"/>
  <c r="N714" i="5"/>
  <c r="N738" i="5"/>
  <c r="N762" i="5"/>
  <c r="N786" i="5"/>
  <c r="N810" i="5"/>
  <c r="N782" i="5"/>
  <c r="N806" i="5"/>
  <c r="N985" i="5"/>
  <c r="N1032" i="5"/>
  <c r="N634" i="5"/>
  <c r="N658" i="5"/>
  <c r="N682" i="5"/>
  <c r="N706" i="5"/>
  <c r="N730" i="5"/>
  <c r="N754" i="5"/>
  <c r="N778" i="5"/>
  <c r="N802" i="5"/>
  <c r="N830" i="5"/>
  <c r="N844" i="5"/>
  <c r="N874" i="5"/>
  <c r="N862" i="5"/>
  <c r="N881" i="5"/>
  <c r="N967" i="5"/>
  <c r="N969" i="5"/>
  <c r="N934" i="5"/>
  <c r="N1060" i="5"/>
  <c r="N924" i="5"/>
  <c r="N936" i="5"/>
  <c r="N951" i="5"/>
  <c r="N960" i="5"/>
  <c r="N962" i="5"/>
  <c r="N1113" i="5"/>
  <c r="N979" i="5"/>
  <c r="N1120" i="5"/>
  <c r="N1003" i="5"/>
  <c r="N1020" i="5"/>
  <c r="N1049" i="5"/>
  <c r="N1072" i="5"/>
  <c r="N1077" i="5"/>
  <c r="N1127" i="5"/>
  <c r="N1067" i="5"/>
  <c r="N907" i="5"/>
  <c r="N959" i="5"/>
  <c r="N975" i="5"/>
  <c r="N984" i="5"/>
  <c r="N1031" i="5"/>
  <c r="N1079" i="5"/>
  <c r="N1096" i="5"/>
  <c r="N996" i="5"/>
  <c r="N1025" i="5"/>
  <c r="N1051" i="5"/>
  <c r="N1103" i="5"/>
  <c r="N983" i="5"/>
  <c r="N1007" i="5"/>
  <c r="N1144" i="5"/>
  <c r="N1001" i="5"/>
  <c r="N1027" i="5"/>
  <c r="N1044" i="5"/>
  <c r="N1359" i="5"/>
  <c r="N1371" i="5"/>
  <c r="N1384" i="5"/>
  <c r="N1392" i="5"/>
  <c r="N1408" i="5"/>
  <c r="N1416" i="5"/>
  <c r="N1319" i="5"/>
  <c r="N1343" i="5"/>
  <c r="N1355" i="5"/>
  <c r="N1423" i="5"/>
  <c r="N1315" i="5"/>
  <c r="N1339" i="5"/>
  <c r="N1367" i="5"/>
  <c r="N1399" i="5"/>
  <c r="N1415" i="5"/>
  <c r="N1409" i="5"/>
  <c r="N1433" i="5"/>
  <c r="N1440" i="5"/>
  <c r="N1379" i="5"/>
  <c r="N1403" i="5"/>
  <c r="N1684" i="5"/>
  <c r="N1740" i="5"/>
  <c r="N1475" i="5"/>
  <c r="N1499" i="5"/>
  <c r="N1523" i="5"/>
  <c r="N1547" i="5"/>
  <c r="N1571" i="5"/>
  <c r="N1595" i="5"/>
  <c r="N1619" i="5"/>
  <c r="N1643" i="5"/>
  <c r="N1677" i="5"/>
  <c r="N1699" i="5"/>
  <c r="N1962" i="5"/>
  <c r="N1934" i="5"/>
  <c r="N1984" i="5"/>
  <c r="N1703" i="5"/>
  <c r="N1727" i="5"/>
  <c r="N1751" i="5"/>
  <c r="N1775" i="5"/>
  <c r="N1799" i="5"/>
  <c r="N1823" i="5"/>
  <c r="N1943" i="5"/>
  <c r="N1948" i="5"/>
  <c r="N1940" i="5"/>
  <c r="N1942" i="5"/>
  <c r="N1981" i="5"/>
  <c r="N1985" i="5"/>
  <c r="N1855" i="5"/>
  <c r="N1871" i="5"/>
  <c r="N1887" i="5"/>
  <c r="N1903" i="5"/>
  <c r="N1935" i="5"/>
  <c r="N1949" i="5"/>
  <c r="N1956" i="5"/>
  <c r="N1811" i="5"/>
  <c r="N1835" i="5"/>
  <c r="N2017" i="5"/>
  <c r="N2178" i="5"/>
  <c r="N1932" i="5"/>
  <c r="N1951" i="5"/>
  <c r="N1967" i="5"/>
  <c r="N1971" i="5"/>
  <c r="N1976" i="5"/>
  <c r="N2007" i="5"/>
  <c r="N2012" i="5"/>
  <c r="N2043" i="5"/>
  <c r="N2048" i="5"/>
  <c r="N2079" i="5"/>
  <c r="N2084" i="5"/>
  <c r="N2115" i="5"/>
  <c r="N2120" i="5"/>
  <c r="N2151" i="5"/>
  <c r="N2156" i="5"/>
  <c r="N2173" i="5"/>
  <c r="N2192" i="5"/>
  <c r="N2194" i="5"/>
  <c r="N1931" i="5"/>
  <c r="N1955" i="5"/>
  <c r="N1963" i="5"/>
  <c r="N1968" i="5"/>
  <c r="N1991" i="5"/>
  <c r="N1999" i="5"/>
  <c r="N2004" i="5"/>
  <c r="N2027" i="5"/>
  <c r="N2035" i="5"/>
  <c r="N2040" i="5"/>
  <c r="N2063" i="5"/>
  <c r="N2071" i="5"/>
  <c r="N2076" i="5"/>
  <c r="N2099" i="5"/>
  <c r="N2107" i="5"/>
  <c r="N2112" i="5"/>
  <c r="N2135" i="5"/>
  <c r="N2143" i="5"/>
  <c r="N2209" i="5"/>
  <c r="N1960" i="5"/>
  <c r="N1996" i="5"/>
  <c r="N2032" i="5"/>
  <c r="N2068" i="5"/>
  <c r="N2104" i="5"/>
  <c r="N2140" i="5"/>
  <c r="N2168" i="5"/>
  <c r="N2170" i="5"/>
  <c r="N2184" i="5"/>
  <c r="N1972" i="5"/>
  <c r="N2008" i="5"/>
  <c r="N2044" i="5"/>
  <c r="N2080" i="5"/>
  <c r="N2116" i="5"/>
  <c r="N2197" i="5"/>
  <c r="N2144" i="5"/>
  <c r="N1979" i="5"/>
  <c r="N1987" i="5"/>
  <c r="N2015" i="5"/>
  <c r="N2023" i="5"/>
  <c r="N2051" i="5"/>
  <c r="N2059" i="5"/>
  <c r="N2087" i="5"/>
  <c r="N2095" i="5"/>
  <c r="N2123" i="5"/>
  <c r="N2131" i="5"/>
  <c r="N2136" i="5"/>
  <c r="N2159" i="5"/>
  <c r="N2183" i="5"/>
  <c r="N2164" i="5"/>
  <c r="N2167" i="5"/>
  <c r="N2176" i="5"/>
  <c r="N2179" i="5"/>
  <c r="N2188" i="5"/>
  <c r="N2191" i="5"/>
  <c r="N2200" i="5"/>
  <c r="N2203" i="5"/>
  <c r="N2212" i="5"/>
  <c r="N2222" i="5"/>
  <c r="N2196" i="5"/>
  <c r="N2208" i="5"/>
  <c r="N2204" i="5"/>
  <c r="N2207" i="5"/>
  <c r="N2234" i="5"/>
  <c r="N2239" i="5"/>
  <c r="N2233" i="5"/>
  <c r="N2294" i="5"/>
  <c r="N2352" i="5"/>
  <c r="N2369" i="5"/>
  <c r="N2328" i="5"/>
  <c r="N2321" i="5"/>
  <c r="N2256" i="5"/>
  <c r="N2287" i="5"/>
  <c r="N2311" i="5"/>
  <c r="N2335" i="5"/>
  <c r="N2359" i="5"/>
  <c r="N2383" i="5"/>
  <c r="N2407" i="5"/>
  <c r="N2431" i="5"/>
  <c r="N2455" i="5"/>
  <c r="N2465" i="5"/>
  <c r="N2481" i="5"/>
  <c r="N2487" i="5"/>
  <c r="N2503" i="5"/>
  <c r="N2451" i="5"/>
  <c r="N2510" i="5"/>
  <c r="N2515" i="5"/>
  <c r="N2551" i="5"/>
  <c r="N2590" i="5"/>
  <c r="N2351" i="5"/>
  <c r="N2375" i="5"/>
  <c r="N2399" i="5"/>
  <c r="N2423" i="5"/>
  <c r="N2447" i="5"/>
  <c r="N2477" i="5"/>
  <c r="N2489" i="5"/>
  <c r="N2522" i="5"/>
  <c r="N2548" i="5"/>
  <c r="N2463" i="5"/>
  <c r="N2469" i="5"/>
  <c r="N2593" i="5"/>
  <c r="N2622" i="5"/>
  <c r="N2541" i="5"/>
  <c r="N2565" i="5"/>
  <c r="N2577" i="5"/>
  <c r="N2603" i="5"/>
  <c r="N2615" i="5"/>
  <c r="N2598" i="5"/>
  <c r="N2610" i="5"/>
  <c r="N2605" i="5"/>
  <c r="N2589" i="5"/>
  <c r="N2581" i="5"/>
  <c r="N2694" i="5"/>
  <c r="N2738" i="5"/>
  <c r="N2629" i="5"/>
  <c r="N2676" i="5"/>
  <c r="N2707" i="5"/>
  <c r="N2601" i="5"/>
  <c r="N2625" i="5"/>
  <c r="N2661" i="5"/>
  <c r="N2693" i="5"/>
  <c r="N2641" i="5"/>
  <c r="N2657" i="5"/>
  <c r="N2690" i="5"/>
  <c r="N2683" i="5"/>
  <c r="N2703" i="5"/>
  <c r="N2709" i="5"/>
  <c r="N2727" i="5"/>
  <c r="N2771" i="5"/>
  <c r="N2748" i="5"/>
  <c r="N2892" i="5"/>
  <c r="N2740" i="5"/>
  <c r="N2765" i="5"/>
  <c r="N2675" i="5"/>
  <c r="N2699" i="5"/>
  <c r="N2820" i="5"/>
  <c r="N2844" i="5"/>
  <c r="N2861" i="5"/>
  <c r="N2885" i="5"/>
  <c r="N2789" i="5"/>
  <c r="N2931" i="5"/>
  <c r="N2747" i="5"/>
  <c r="N2796" i="5"/>
  <c r="N2834" i="5"/>
  <c r="N2882" i="5"/>
  <c r="N2980" i="5"/>
  <c r="N2827" i="5"/>
  <c r="N2851" i="5"/>
  <c r="N2875" i="5"/>
  <c r="N2996" i="5"/>
  <c r="N3033" i="5"/>
  <c r="N3053" i="5"/>
  <c r="N2911" i="5"/>
  <c r="N2955" i="5"/>
  <c r="N2969" i="5"/>
  <c r="N3002" i="5"/>
  <c r="N2945" i="5"/>
  <c r="N3016" i="5"/>
  <c r="N2907" i="5"/>
  <c r="N2919" i="5"/>
  <c r="N2932" i="5"/>
  <c r="N2924" i="5"/>
  <c r="N2956" i="5"/>
  <c r="N2963" i="5"/>
  <c r="N2970" i="5"/>
  <c r="N2915" i="5"/>
  <c r="N3022" i="5"/>
  <c r="N3017" i="5"/>
  <c r="N3067" i="5"/>
  <c r="N2999" i="5"/>
  <c r="N3047" i="5"/>
  <c r="N3084" i="5"/>
  <c r="N3101" i="5"/>
  <c r="N2983" i="5"/>
  <c r="N3041" i="5"/>
  <c r="N2962" i="5"/>
  <c r="N2979" i="5"/>
  <c r="N2995" i="5"/>
  <c r="N3043" i="5"/>
  <c r="N3070" i="5"/>
  <c r="N3078" i="5"/>
  <c r="N3175" i="5"/>
  <c r="N3187" i="5"/>
  <c r="N3227" i="5"/>
  <c r="N3368" i="5"/>
  <c r="N3111" i="5"/>
  <c r="N2991" i="5"/>
  <c r="N3015" i="5"/>
  <c r="N3039" i="5"/>
  <c r="N3063" i="5"/>
  <c r="N3087" i="5"/>
  <c r="N3011" i="5"/>
  <c r="N3035" i="5"/>
  <c r="N3059" i="5"/>
  <c r="N3083" i="5"/>
  <c r="N3107" i="5"/>
  <c r="N3123" i="5"/>
  <c r="N3139" i="5"/>
  <c r="N3155" i="5"/>
  <c r="N3171" i="5"/>
  <c r="N3183" i="5"/>
  <c r="N3195" i="5"/>
  <c r="N3263" i="5"/>
  <c r="N3203" i="5"/>
  <c r="N3119" i="5"/>
  <c r="N3135" i="5"/>
  <c r="N3151" i="5"/>
  <c r="N3167" i="5"/>
  <c r="N3231" i="5"/>
  <c r="N3252" i="5"/>
  <c r="N3354" i="5"/>
  <c r="N3071" i="5"/>
  <c r="N3095" i="5"/>
  <c r="N3115" i="5"/>
  <c r="N3131" i="5"/>
  <c r="N3147" i="5"/>
  <c r="N3357" i="5"/>
  <c r="N3351" i="5"/>
  <c r="N3376" i="5"/>
  <c r="N3359" i="5"/>
  <c r="N3364" i="5"/>
  <c r="N3370" i="5"/>
  <c r="N3381" i="5"/>
  <c r="N3394" i="5"/>
  <c r="N3406" i="5"/>
  <c r="N3393" i="5"/>
  <c r="N3399" i="5"/>
  <c r="N3419" i="5"/>
  <c r="N3435" i="5"/>
  <c r="N3451" i="5"/>
  <c r="N3467" i="5"/>
  <c r="N3483" i="5"/>
  <c r="N3495" i="5"/>
  <c r="N3415" i="5"/>
  <c r="N3431" i="5"/>
  <c r="N3447" i="5"/>
  <c r="N3463" i="5"/>
  <c r="N3479" i="5"/>
  <c r="N3491" i="5"/>
  <c r="N3363" i="5"/>
  <c r="N3387" i="5"/>
  <c r="N3411" i="5"/>
  <c r="N3427" i="5"/>
  <c r="N3443" i="5"/>
  <c r="N3459" i="5"/>
  <c r="N3475" i="5"/>
  <c r="N3502" i="5"/>
  <c r="N3510" i="5"/>
  <c r="N3423" i="5"/>
  <c r="N3439" i="5"/>
  <c r="N3455" i="5"/>
  <c r="N3471" i="5"/>
  <c r="N3487" i="5"/>
  <c r="N3499" i="5"/>
  <c r="E97" i="7"/>
  <c r="D97" i="7"/>
  <c r="E96" i="7"/>
  <c r="D96" i="7"/>
  <c r="E95" i="7"/>
  <c r="D95" i="7"/>
  <c r="E94" i="7"/>
  <c r="D94" i="7"/>
  <c r="E93" i="7"/>
  <c r="D93" i="7"/>
  <c r="E92" i="7"/>
  <c r="D92" i="7"/>
  <c r="E91" i="7"/>
  <c r="D91" i="7"/>
  <c r="E90" i="7"/>
  <c r="D90" i="7"/>
  <c r="E89" i="7"/>
  <c r="D89" i="7"/>
  <c r="E88" i="7"/>
  <c r="D88" i="7"/>
  <c r="E87" i="7"/>
  <c r="D87" i="7"/>
  <c r="E86" i="7"/>
  <c r="D86" i="7"/>
  <c r="E85" i="7"/>
  <c r="D85" i="7"/>
  <c r="E84" i="7"/>
  <c r="D84" i="7"/>
  <c r="E83" i="7"/>
  <c r="D83" i="7"/>
  <c r="E82" i="7"/>
  <c r="D82" i="7"/>
  <c r="E81" i="7"/>
  <c r="D81" i="7"/>
  <c r="E80" i="7"/>
  <c r="D80" i="7"/>
  <c r="E79" i="7"/>
  <c r="D79" i="7"/>
  <c r="E78" i="7"/>
  <c r="D78" i="7"/>
  <c r="E77" i="7"/>
  <c r="D77" i="7"/>
  <c r="E76" i="7"/>
  <c r="D76" i="7"/>
  <c r="E75" i="7"/>
  <c r="D75" i="7"/>
  <c r="E74" i="7"/>
  <c r="D74" i="7"/>
  <c r="E73" i="7"/>
  <c r="D73" i="7"/>
  <c r="E72" i="7"/>
  <c r="D72" i="7"/>
  <c r="E71" i="7"/>
  <c r="D71" i="7"/>
  <c r="E70" i="7"/>
  <c r="D70" i="7"/>
  <c r="E69" i="7"/>
  <c r="D69" i="7"/>
  <c r="E68" i="7"/>
  <c r="D68" i="7"/>
  <c r="E67" i="7"/>
  <c r="D67" i="7"/>
  <c r="E66" i="7"/>
  <c r="D66" i="7"/>
  <c r="E65" i="7"/>
  <c r="D65" i="7"/>
  <c r="E64" i="7"/>
  <c r="D64" i="7"/>
  <c r="E63" i="7"/>
  <c r="D63" i="7"/>
  <c r="E62" i="7"/>
  <c r="D62" i="7"/>
  <c r="E61" i="7"/>
  <c r="D61" i="7"/>
  <c r="E60" i="7"/>
  <c r="D60" i="7"/>
  <c r="E59" i="7"/>
  <c r="D59" i="7"/>
  <c r="E58" i="7"/>
  <c r="D58" i="7"/>
  <c r="E57" i="7"/>
  <c r="D57" i="7"/>
  <c r="E56" i="7"/>
  <c r="D56" i="7"/>
  <c r="E55" i="7"/>
  <c r="D55" i="7"/>
  <c r="E54" i="7"/>
  <c r="D54" i="7"/>
  <c r="E53" i="7"/>
  <c r="D53" i="7"/>
  <c r="E52" i="7"/>
  <c r="D52" i="7"/>
  <c r="E51" i="7"/>
  <c r="D51" i="7"/>
  <c r="E50" i="7"/>
  <c r="D50" i="7"/>
  <c r="E49" i="7"/>
  <c r="D49" i="7"/>
  <c r="E48" i="7"/>
  <c r="D48" i="7"/>
  <c r="E47" i="7"/>
  <c r="D47" i="7"/>
  <c r="E46" i="7"/>
  <c r="D46" i="7"/>
  <c r="E45" i="7"/>
  <c r="D45" i="7"/>
  <c r="E44" i="7"/>
  <c r="D44" i="7"/>
  <c r="E43" i="7"/>
  <c r="D43" i="7"/>
  <c r="E42" i="7"/>
  <c r="D42" i="7"/>
  <c r="E41" i="7"/>
  <c r="D41" i="7"/>
  <c r="E40" i="7"/>
  <c r="D40" i="7"/>
  <c r="E39" i="7"/>
  <c r="D39" i="7"/>
  <c r="E38" i="7"/>
  <c r="D38" i="7"/>
  <c r="E37" i="7"/>
  <c r="D37" i="7"/>
  <c r="E36" i="7"/>
  <c r="D36" i="7"/>
  <c r="E35" i="7"/>
  <c r="D35" i="7"/>
  <c r="E34" i="7"/>
  <c r="D34" i="7"/>
  <c r="E33" i="7"/>
  <c r="D33" i="7"/>
  <c r="E32" i="7"/>
  <c r="D32" i="7"/>
  <c r="E31" i="7"/>
  <c r="D31" i="7"/>
  <c r="E30" i="7"/>
  <c r="D30" i="7"/>
  <c r="E29" i="7"/>
  <c r="D29" i="7"/>
  <c r="E28" i="7"/>
  <c r="D28" i="7"/>
  <c r="E27" i="7"/>
  <c r="D27" i="7"/>
  <c r="E26" i="7"/>
  <c r="D26" i="7"/>
  <c r="E25" i="7"/>
  <c r="D25" i="7"/>
  <c r="E24" i="7"/>
  <c r="D24" i="7"/>
  <c r="E23" i="7"/>
  <c r="D23" i="7"/>
  <c r="E22" i="7"/>
  <c r="D22" i="7"/>
  <c r="E21" i="7"/>
  <c r="D21" i="7"/>
  <c r="E20" i="7"/>
  <c r="D20" i="7"/>
  <c r="E19" i="7"/>
  <c r="D19" i="7"/>
  <c r="E18" i="7"/>
  <c r="D18" i="7"/>
  <c r="E17" i="7"/>
  <c r="D17" i="7"/>
  <c r="E16" i="7"/>
  <c r="D16" i="7"/>
  <c r="E15" i="7"/>
  <c r="D15" i="7"/>
  <c r="E14" i="7"/>
  <c r="D14" i="7"/>
  <c r="E13" i="7"/>
  <c r="D13" i="7"/>
  <c r="E12" i="7"/>
  <c r="D12" i="7"/>
  <c r="E11" i="7"/>
  <c r="D11" i="7"/>
  <c r="E10" i="7"/>
  <c r="D10" i="7"/>
  <c r="E9" i="7"/>
  <c r="D9" i="7"/>
  <c r="E8" i="7"/>
  <c r="D8" i="7"/>
  <c r="E7" i="7"/>
  <c r="D7" i="7"/>
  <c r="E6" i="7"/>
  <c r="D6" i="7"/>
  <c r="E5" i="7"/>
  <c r="D5" i="7"/>
  <c r="E4" i="7"/>
  <c r="D4" i="7"/>
  <c r="E3" i="7"/>
  <c r="D3" i="7"/>
  <c r="E2" i="7"/>
  <c r="D2" i="7"/>
  <c r="Q443" i="5" l="1"/>
  <c r="Q431" i="5"/>
  <c r="Q419" i="5"/>
  <c r="Q407" i="5"/>
  <c r="Q395" i="5"/>
  <c r="Q383" i="5"/>
  <c r="Q371" i="5"/>
  <c r="Q359" i="5"/>
  <c r="Q347" i="5"/>
  <c r="Q335" i="5"/>
  <c r="Q323" i="5"/>
  <c r="Q311" i="5"/>
  <c r="Q299" i="5"/>
  <c r="Q287" i="5"/>
  <c r="Q275" i="5"/>
  <c r="Q263" i="5"/>
  <c r="Q251" i="5"/>
  <c r="Q239" i="5"/>
  <c r="Q227" i="5"/>
  <c r="Q215" i="5"/>
  <c r="Q203" i="5"/>
  <c r="Q191" i="5"/>
  <c r="Q179" i="5"/>
  <c r="Q167" i="5"/>
  <c r="Q155" i="5"/>
  <c r="Q143" i="5"/>
  <c r="Q131" i="5"/>
  <c r="Q119" i="5"/>
  <c r="Q107" i="5"/>
  <c r="Q95" i="5"/>
  <c r="Q83" i="5"/>
  <c r="Q71" i="5"/>
  <c r="Q442" i="5"/>
  <c r="Q430" i="5"/>
  <c r="Q418" i="5"/>
  <c r="Q406" i="5"/>
  <c r="Q394" i="5"/>
  <c r="Q382" i="5"/>
  <c r="Q370" i="5"/>
  <c r="Q358" i="5"/>
  <c r="Q346" i="5"/>
  <c r="Q334" i="5"/>
  <c r="Q322" i="5"/>
  <c r="Q310" i="5"/>
  <c r="Q298" i="5"/>
  <c r="Q286" i="5"/>
  <c r="Q274" i="5"/>
  <c r="Q262" i="5"/>
  <c r="Q250" i="5"/>
  <c r="Q238" i="5"/>
  <c r="Q226" i="5"/>
  <c r="Q214" i="5"/>
  <c r="Q202" i="5"/>
  <c r="Q190" i="5"/>
  <c r="Q178" i="5"/>
  <c r="Q166" i="5"/>
  <c r="Q154" i="5"/>
  <c r="Q142" i="5"/>
  <c r="Q130" i="5"/>
  <c r="Q118" i="5"/>
  <c r="Q106" i="5"/>
  <c r="Q94" i="5"/>
  <c r="Q82" i="5"/>
  <c r="Q70" i="5"/>
  <c r="Q58" i="5"/>
  <c r="Q46" i="5"/>
  <c r="Q34" i="5"/>
  <c r="Q22" i="5"/>
  <c r="Q10" i="5"/>
  <c r="Q441" i="5"/>
  <c r="Q429" i="5"/>
  <c r="Q417" i="5"/>
  <c r="Q405" i="5"/>
  <c r="Q393" i="5"/>
  <c r="Q381" i="5"/>
  <c r="Q369" i="5"/>
  <c r="Q357" i="5"/>
  <c r="Q345" i="5"/>
  <c r="Q333" i="5"/>
  <c r="Q321" i="5"/>
  <c r="Q309" i="5"/>
  <c r="Q297" i="5"/>
  <c r="Q285" i="5"/>
  <c r="Q273" i="5"/>
  <c r="Q261" i="5"/>
  <c r="Q249" i="5"/>
  <c r="Q237" i="5"/>
  <c r="Q225" i="5"/>
  <c r="Q213" i="5"/>
  <c r="Q201" i="5"/>
  <c r="Q189" i="5"/>
  <c r="Q177" i="5"/>
  <c r="Q165" i="5"/>
  <c r="Q153" i="5"/>
  <c r="Q141" i="5"/>
  <c r="Q129" i="5"/>
  <c r="Q117" i="5"/>
  <c r="Q105" i="5"/>
  <c r="Q93" i="5"/>
  <c r="Q81" i="5"/>
  <c r="Q69" i="5"/>
  <c r="Q57" i="5"/>
  <c r="Q45" i="5"/>
  <c r="Q33" i="5"/>
  <c r="Q21" i="5"/>
  <c r="Q9" i="5"/>
  <c r="Q440" i="5"/>
  <c r="Q428" i="5"/>
  <c r="Q416" i="5"/>
  <c r="Q404" i="5"/>
  <c r="Q392" i="5"/>
  <c r="Q380" i="5"/>
  <c r="Q368" i="5"/>
  <c r="Q356" i="5"/>
  <c r="Q344" i="5"/>
  <c r="Q332" i="5"/>
  <c r="Q320" i="5"/>
  <c r="Q308" i="5"/>
  <c r="Q296" i="5"/>
  <c r="Q284" i="5"/>
  <c r="Q272" i="5"/>
  <c r="Q260" i="5"/>
  <c r="Q248" i="5"/>
  <c r="Q236" i="5"/>
  <c r="Q224" i="5"/>
  <c r="Q212" i="5"/>
  <c r="Q200" i="5"/>
  <c r="Q188" i="5"/>
  <c r="Q176" i="5"/>
  <c r="Q164" i="5"/>
  <c r="Q152" i="5"/>
  <c r="Q140" i="5"/>
  <c r="Q128" i="5"/>
  <c r="Q116" i="5"/>
  <c r="Q104" i="5"/>
  <c r="Q92" i="5"/>
  <c r="Q80" i="5"/>
  <c r="Q68" i="5"/>
  <c r="Q56" i="5"/>
  <c r="Q44" i="5"/>
  <c r="Q32" i="5"/>
  <c r="Q20" i="5"/>
  <c r="Q8" i="5"/>
  <c r="Q439" i="5"/>
  <c r="Q427" i="5"/>
  <c r="Q415" i="5"/>
  <c r="Q403" i="5"/>
  <c r="Q391" i="5"/>
  <c r="Q379" i="5"/>
  <c r="Q367" i="5"/>
  <c r="Q355" i="5"/>
  <c r="Q343" i="5"/>
  <c r="Q331" i="5"/>
  <c r="Q319" i="5"/>
  <c r="Q307" i="5"/>
  <c r="Q295" i="5"/>
  <c r="Q283" i="5"/>
  <c r="Q271" i="5"/>
  <c r="Q259" i="5"/>
  <c r="Q247" i="5"/>
  <c r="Q235" i="5"/>
  <c r="Q223" i="5"/>
  <c r="Q211" i="5"/>
  <c r="Q199" i="5"/>
  <c r="Q187" i="5"/>
  <c r="Q175" i="5"/>
  <c r="Q163" i="5"/>
  <c r="Q151" i="5"/>
  <c r="Q139" i="5"/>
  <c r="Q127" i="5"/>
  <c r="Q115" i="5"/>
  <c r="Q103" i="5"/>
  <c r="Q91" i="5"/>
  <c r="Q79" i="5"/>
  <c r="Q67" i="5"/>
  <c r="Q55" i="5"/>
  <c r="Q43" i="5"/>
  <c r="Q31" i="5"/>
  <c r="Q19" i="5"/>
  <c r="Q450" i="5"/>
  <c r="Q438" i="5"/>
  <c r="Q426" i="5"/>
  <c r="Q414" i="5"/>
  <c r="Q402" i="5"/>
  <c r="Q390" i="5"/>
  <c r="Q378" i="5"/>
  <c r="Q366" i="5"/>
  <c r="Q354" i="5"/>
  <c r="Q342" i="5"/>
  <c r="Q330" i="5"/>
  <c r="Q318" i="5"/>
  <c r="Q306" i="5"/>
  <c r="Q294" i="5"/>
  <c r="Q282" i="5"/>
  <c r="Q270" i="5"/>
  <c r="Q258" i="5"/>
  <c r="Q246" i="5"/>
  <c r="Q234" i="5"/>
  <c r="Q222" i="5"/>
  <c r="Q210" i="5"/>
  <c r="Q198" i="5"/>
  <c r="Q186" i="5"/>
  <c r="Q174" i="5"/>
  <c r="Q162" i="5"/>
  <c r="Q150" i="5"/>
  <c r="Q138" i="5"/>
  <c r="Q126" i="5"/>
  <c r="Q114" i="5"/>
  <c r="Q102" i="5"/>
  <c r="Q90" i="5"/>
  <c r="Q78" i="5"/>
  <c r="Q66" i="5"/>
  <c r="Q54" i="5"/>
  <c r="Q42" i="5"/>
  <c r="Q30" i="5"/>
  <c r="Q448" i="5"/>
  <c r="Q436" i="5"/>
  <c r="Q424" i="5"/>
  <c r="Q412" i="5"/>
  <c r="Q400" i="5"/>
  <c r="Q388" i="5"/>
  <c r="Q376" i="5"/>
  <c r="Q364" i="5"/>
  <c r="Q352" i="5"/>
  <c r="Q340" i="5"/>
  <c r="Q328" i="5"/>
  <c r="Q316" i="5"/>
  <c r="Q304" i="5"/>
  <c r="Q292" i="5"/>
  <c r="Q280" i="5"/>
  <c r="Q268" i="5"/>
  <c r="Q256" i="5"/>
  <c r="Q244" i="5"/>
  <c r="Q232" i="5"/>
  <c r="Q220" i="5"/>
  <c r="Q208" i="5"/>
  <c r="Q196" i="5"/>
  <c r="Q184" i="5"/>
  <c r="Q172" i="5"/>
  <c r="Q160" i="5"/>
  <c r="Q148" i="5"/>
  <c r="Q136" i="5"/>
  <c r="Q124" i="5"/>
  <c r="Q112" i="5"/>
  <c r="Q100" i="5"/>
  <c r="Q88" i="5"/>
  <c r="Q76" i="5"/>
  <c r="Q64" i="5"/>
  <c r="Q52" i="5"/>
  <c r="Q40" i="5"/>
  <c r="Q28" i="5"/>
  <c r="Q447" i="5"/>
  <c r="Q435" i="5"/>
  <c r="Q423" i="5"/>
  <c r="Q411" i="5"/>
  <c r="Q399" i="5"/>
  <c r="Q387" i="5"/>
  <c r="Q375" i="5"/>
  <c r="Q363" i="5"/>
  <c r="Q351" i="5"/>
  <c r="Q339" i="5"/>
  <c r="Q327" i="5"/>
  <c r="Q315" i="5"/>
  <c r="Q303" i="5"/>
  <c r="Q291" i="5"/>
  <c r="Q279" i="5"/>
  <c r="Q267" i="5"/>
  <c r="Q255" i="5"/>
  <c r="Q243" i="5"/>
  <c r="Q231" i="5"/>
  <c r="Q219" i="5"/>
  <c r="Q207" i="5"/>
  <c r="Q195" i="5"/>
  <c r="Q183" i="5"/>
  <c r="Q171" i="5"/>
  <c r="Q159" i="5"/>
  <c r="Q147" i="5"/>
  <c r="Q135" i="5"/>
  <c r="Q123" i="5"/>
  <c r="Q111" i="5"/>
  <c r="Q99" i="5"/>
  <c r="Q446" i="5"/>
  <c r="Q434" i="5"/>
  <c r="Q422" i="5"/>
  <c r="Q410" i="5"/>
  <c r="Q398" i="5"/>
  <c r="Q386" i="5"/>
  <c r="Q374" i="5"/>
  <c r="Q362" i="5"/>
  <c r="Q350" i="5"/>
  <c r="Q338" i="5"/>
  <c r="Q326" i="5"/>
  <c r="Q314" i="5"/>
  <c r="Q302" i="5"/>
  <c r="Q290" i="5"/>
  <c r="Q278" i="5"/>
  <c r="Q266" i="5"/>
  <c r="Q254" i="5"/>
  <c r="Q242" i="5"/>
  <c r="Q230" i="5"/>
  <c r="Q218" i="5"/>
  <c r="Q206" i="5"/>
  <c r="Q194" i="5"/>
  <c r="Q182" i="5"/>
  <c r="Q170" i="5"/>
  <c r="Q445" i="5"/>
  <c r="Q433" i="5"/>
  <c r="Q421" i="5"/>
  <c r="Q409" i="5"/>
  <c r="Q397" i="5"/>
  <c r="Q385" i="5"/>
  <c r="Q373" i="5"/>
  <c r="Q361" i="5"/>
  <c r="Q349" i="5"/>
  <c r="Q337" i="5"/>
  <c r="Q325" i="5"/>
  <c r="Q313" i="5"/>
  <c r="Q301" i="5"/>
  <c r="Q289" i="5"/>
  <c r="Q277" i="5"/>
  <c r="Q265" i="5"/>
  <c r="Q253" i="5"/>
  <c r="Q241" i="5"/>
  <c r="Q229" i="5"/>
  <c r="Q389" i="5"/>
  <c r="Q317" i="5"/>
  <c r="Q245" i="5"/>
  <c r="Q192" i="5"/>
  <c r="Q146" i="5"/>
  <c r="Q110" i="5"/>
  <c r="Q77" i="5"/>
  <c r="Q51" i="5"/>
  <c r="Q27" i="5"/>
  <c r="Q11" i="5"/>
  <c r="Q384" i="5"/>
  <c r="Q312" i="5"/>
  <c r="Q240" i="5"/>
  <c r="Q185" i="5"/>
  <c r="Q145" i="5"/>
  <c r="Q109" i="5"/>
  <c r="Q75" i="5"/>
  <c r="Q50" i="5"/>
  <c r="Q26" i="5"/>
  <c r="Q7" i="5"/>
  <c r="Q449" i="5"/>
  <c r="Q377" i="5"/>
  <c r="Q305" i="5"/>
  <c r="Q233" i="5"/>
  <c r="Q181" i="5"/>
  <c r="Q144" i="5"/>
  <c r="Q108" i="5"/>
  <c r="Q74" i="5"/>
  <c r="Q49" i="5"/>
  <c r="Q25" i="5"/>
  <c r="Q6" i="5"/>
  <c r="Q444" i="5"/>
  <c r="Q372" i="5"/>
  <c r="Q300" i="5"/>
  <c r="Q228" i="5"/>
  <c r="Q180" i="5"/>
  <c r="Q137" i="5"/>
  <c r="Q101" i="5"/>
  <c r="Q73" i="5"/>
  <c r="Q48" i="5"/>
  <c r="Q24" i="5"/>
  <c r="Q437" i="5"/>
  <c r="Q365" i="5"/>
  <c r="Q293" i="5"/>
  <c r="Q221" i="5"/>
  <c r="Q173" i="5"/>
  <c r="Q134" i="5"/>
  <c r="Q98" i="5"/>
  <c r="Q72" i="5"/>
  <c r="Q47" i="5"/>
  <c r="Q23" i="5"/>
  <c r="Q432" i="5"/>
  <c r="Q360" i="5"/>
  <c r="Q288" i="5"/>
  <c r="Q217" i="5"/>
  <c r="Q169" i="5"/>
  <c r="Q133" i="5"/>
  <c r="Q97" i="5"/>
  <c r="Q65" i="5"/>
  <c r="Q41" i="5"/>
  <c r="Q18" i="5"/>
  <c r="Q420" i="5"/>
  <c r="Q348" i="5"/>
  <c r="Q276" i="5"/>
  <c r="Q209" i="5"/>
  <c r="Q161" i="5"/>
  <c r="Q125" i="5"/>
  <c r="Q89" i="5"/>
  <c r="Q62" i="5"/>
  <c r="Q38" i="5"/>
  <c r="Q16" i="5"/>
  <c r="Q413" i="5"/>
  <c r="Q341" i="5"/>
  <c r="Q269" i="5"/>
  <c r="Q205" i="5"/>
  <c r="Q158" i="5"/>
  <c r="Q122" i="5"/>
  <c r="Q87" i="5"/>
  <c r="Q61" i="5"/>
  <c r="Q37" i="5"/>
  <c r="Q15" i="5"/>
  <c r="Q408" i="5"/>
  <c r="Q336" i="5"/>
  <c r="Q264" i="5"/>
  <c r="Q204" i="5"/>
  <c r="Q157" i="5"/>
  <c r="Q121" i="5"/>
  <c r="Q86" i="5"/>
  <c r="Q60" i="5"/>
  <c r="Q197" i="5"/>
  <c r="Q59" i="5"/>
  <c r="Q193" i="5"/>
  <c r="Q53" i="5"/>
  <c r="Q425" i="5"/>
  <c r="Q168" i="5"/>
  <c r="Q39" i="5"/>
  <c r="Q401" i="5"/>
  <c r="Q156" i="5"/>
  <c r="Q36" i="5"/>
  <c r="Q396" i="5"/>
  <c r="Q149" i="5"/>
  <c r="Q35" i="5"/>
  <c r="Q353" i="5"/>
  <c r="Q132" i="5"/>
  <c r="Q29" i="5"/>
  <c r="Q329" i="5"/>
  <c r="Q120" i="5"/>
  <c r="Q17" i="5"/>
  <c r="Q324" i="5"/>
  <c r="Q113" i="5"/>
  <c r="Q14" i="5"/>
  <c r="Q281" i="5"/>
  <c r="Q96" i="5"/>
  <c r="Q13" i="5"/>
  <c r="Q257" i="5"/>
  <c r="Q252" i="5"/>
  <c r="Q216" i="5"/>
  <c r="Q85" i="5"/>
  <c r="Q84" i="5"/>
  <c r="Q63" i="5"/>
  <c r="Q12" i="5"/>
  <c r="G14" i="8"/>
  <c r="F14" i="8"/>
  <c r="D14" i="8"/>
  <c r="O14" i="8" s="1"/>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B73" i="3" s="1"/>
  <c r="I14" i="8" l="1"/>
  <c r="M5" i="8" l="1"/>
  <c r="M445" i="8"/>
  <c r="M301" i="8"/>
  <c r="M157" i="8"/>
  <c r="M382" i="8"/>
  <c r="M238" i="8"/>
  <c r="M94" i="8"/>
  <c r="M333" i="8"/>
  <c r="M189" i="8"/>
  <c r="M428" i="8"/>
  <c r="M284" i="8"/>
  <c r="M140" i="8"/>
  <c r="M343" i="8"/>
  <c r="M199" i="8"/>
  <c r="M55" i="8"/>
  <c r="M366" i="8"/>
  <c r="M222" i="8"/>
  <c r="M78" i="8"/>
  <c r="M389" i="8"/>
  <c r="M245" i="8"/>
  <c r="M101" i="8"/>
  <c r="M400" i="8"/>
  <c r="M256" i="8"/>
  <c r="M411" i="8"/>
  <c r="M267" i="8"/>
  <c r="M398" i="8"/>
  <c r="M254" i="8"/>
  <c r="M134" i="8"/>
  <c r="M227" i="8"/>
  <c r="M158" i="8"/>
  <c r="M156" i="8"/>
  <c r="M155" i="8"/>
  <c r="M347" i="8"/>
  <c r="L429" i="8"/>
  <c r="M44" i="8"/>
  <c r="M40" i="8"/>
  <c r="M74" i="8"/>
  <c r="L397" i="8"/>
  <c r="L253" i="8"/>
  <c r="L109" i="8"/>
  <c r="M73" i="8"/>
  <c r="L312" i="8"/>
  <c r="L168" i="8"/>
  <c r="L24" i="8"/>
  <c r="L359" i="8"/>
  <c r="L215" i="8"/>
  <c r="L71" i="8"/>
  <c r="L421" i="8"/>
  <c r="L274" i="8"/>
  <c r="L130" i="8"/>
  <c r="L416" i="8"/>
  <c r="L393" i="8"/>
  <c r="L249" i="8"/>
  <c r="L105" i="8"/>
  <c r="L391" i="8"/>
  <c r="L380" i="8"/>
  <c r="L236" i="8"/>
  <c r="L92" i="8"/>
  <c r="M38" i="8"/>
  <c r="L294" i="8"/>
  <c r="L150" i="8"/>
  <c r="L6" i="8"/>
  <c r="L341" i="8"/>
  <c r="L197" i="8"/>
  <c r="L53" i="8"/>
  <c r="L388" i="8"/>
  <c r="L244" i="8"/>
  <c r="L100" i="8"/>
  <c r="L163" i="8"/>
  <c r="L447" i="8"/>
  <c r="L411" i="8"/>
  <c r="L351" i="8"/>
  <c r="L266" i="8"/>
  <c r="L278" i="8"/>
  <c r="L39" i="8"/>
  <c r="L175" i="8"/>
  <c r="L374" i="8"/>
  <c r="M433" i="8"/>
  <c r="M289" i="8"/>
  <c r="M145" i="8"/>
  <c r="M370" i="8"/>
  <c r="M226" i="8"/>
  <c r="M82" i="8"/>
  <c r="M321" i="8"/>
  <c r="M177" i="8"/>
  <c r="M416" i="8"/>
  <c r="M272" i="8"/>
  <c r="M128" i="8"/>
  <c r="M331" i="8"/>
  <c r="M187" i="8"/>
  <c r="M43" i="8"/>
  <c r="M354" i="8"/>
  <c r="M210" i="8"/>
  <c r="M66" i="8"/>
  <c r="M377" i="8"/>
  <c r="M233" i="8"/>
  <c r="M89" i="8"/>
  <c r="M388" i="8"/>
  <c r="M244" i="8"/>
  <c r="M399" i="8"/>
  <c r="M255" i="8"/>
  <c r="M386" i="8"/>
  <c r="M242" i="8"/>
  <c r="M110" i="8"/>
  <c r="M159" i="8"/>
  <c r="M132" i="8"/>
  <c r="M131" i="8"/>
  <c r="M124" i="8"/>
  <c r="M275" i="8"/>
  <c r="L417" i="8"/>
  <c r="M26" i="8"/>
  <c r="M25" i="8"/>
  <c r="M57" i="8"/>
  <c r="L385" i="8"/>
  <c r="L241" i="8"/>
  <c r="L97" i="8"/>
  <c r="M8" i="8"/>
  <c r="L300" i="8"/>
  <c r="L156" i="8"/>
  <c r="L12" i="8"/>
  <c r="L347" i="8"/>
  <c r="L203" i="8"/>
  <c r="L59" i="8"/>
  <c r="L407" i="8"/>
  <c r="L262" i="8"/>
  <c r="L118" i="8"/>
  <c r="L379" i="8"/>
  <c r="L381" i="8"/>
  <c r="L237" i="8"/>
  <c r="L93" i="8"/>
  <c r="L319" i="8"/>
  <c r="L368" i="8"/>
  <c r="L224" i="8"/>
  <c r="L80" i="8"/>
  <c r="L433" i="8"/>
  <c r="L282" i="8"/>
  <c r="L138" i="8"/>
  <c r="M23" i="8"/>
  <c r="L329" i="8"/>
  <c r="L185" i="8"/>
  <c r="L41" i="8"/>
  <c r="L376" i="8"/>
  <c r="L232" i="8"/>
  <c r="L88" i="8"/>
  <c r="L115" i="8"/>
  <c r="L362" i="8"/>
  <c r="L338" i="8"/>
  <c r="L279" i="8"/>
  <c r="L91" i="8"/>
  <c r="L206" i="8"/>
  <c r="L398" i="8"/>
  <c r="L127" i="8"/>
  <c r="L377" i="8"/>
  <c r="M421" i="8"/>
  <c r="M277" i="8"/>
  <c r="L5" i="8"/>
  <c r="M358" i="8"/>
  <c r="M214" i="8"/>
  <c r="M70" i="8"/>
  <c r="M309" i="8"/>
  <c r="M165" i="8"/>
  <c r="M404" i="8"/>
  <c r="M260" i="8"/>
  <c r="M116" i="8"/>
  <c r="M319" i="8"/>
  <c r="M175" i="8"/>
  <c r="M31" i="8"/>
  <c r="M342" i="8"/>
  <c r="M198" i="8"/>
  <c r="M54" i="8"/>
  <c r="M365" i="8"/>
  <c r="M221" i="8"/>
  <c r="M77" i="8"/>
  <c r="M376" i="8"/>
  <c r="M232" i="8"/>
  <c r="M387" i="8"/>
  <c r="M243" i="8"/>
  <c r="M374" i="8"/>
  <c r="M230" i="8"/>
  <c r="M87" i="8"/>
  <c r="M133" i="8"/>
  <c r="M108" i="8"/>
  <c r="M107" i="8"/>
  <c r="M100" i="8"/>
  <c r="M203" i="8"/>
  <c r="L405" i="8"/>
  <c r="M11" i="8"/>
  <c r="M10" i="8"/>
  <c r="M39" i="8"/>
  <c r="L373" i="8"/>
  <c r="L229" i="8"/>
  <c r="L85" i="8"/>
  <c r="L443" i="8"/>
  <c r="L288" i="8"/>
  <c r="L144" i="8"/>
  <c r="L355" i="8"/>
  <c r="L335" i="8"/>
  <c r="L191" i="8"/>
  <c r="L47" i="8"/>
  <c r="L394" i="8"/>
  <c r="L250" i="8"/>
  <c r="L106" i="8"/>
  <c r="L331" i="8"/>
  <c r="L369" i="8"/>
  <c r="L225" i="8"/>
  <c r="L81" i="8"/>
  <c r="L307" i="8"/>
  <c r="L356" i="8"/>
  <c r="L212" i="8"/>
  <c r="L68" i="8"/>
  <c r="L415" i="8"/>
  <c r="L270" i="8"/>
  <c r="L126" i="8"/>
  <c r="M312" i="8"/>
  <c r="L317" i="8"/>
  <c r="L173" i="8"/>
  <c r="L29" i="8"/>
  <c r="L364" i="8"/>
  <c r="L220" i="8"/>
  <c r="L76" i="8"/>
  <c r="L67" i="8"/>
  <c r="L290" i="8"/>
  <c r="L194" i="8"/>
  <c r="L207" i="8"/>
  <c r="L43" i="8"/>
  <c r="L147" i="8"/>
  <c r="L326" i="8"/>
  <c r="L79" i="8"/>
  <c r="L330" i="8"/>
  <c r="M409" i="8"/>
  <c r="M265" i="8"/>
  <c r="M444" i="8"/>
  <c r="M346" i="8"/>
  <c r="M202" i="8"/>
  <c r="M441" i="8"/>
  <c r="M297" i="8"/>
  <c r="M153" i="8"/>
  <c r="M392" i="8"/>
  <c r="M248" i="8"/>
  <c r="M104" i="8"/>
  <c r="M307" i="8"/>
  <c r="M163" i="8"/>
  <c r="M19" i="8"/>
  <c r="M330" i="8"/>
  <c r="M186" i="8"/>
  <c r="M42" i="8"/>
  <c r="M353" i="8"/>
  <c r="M209" i="8"/>
  <c r="M65" i="8"/>
  <c r="M364" i="8"/>
  <c r="M220" i="8"/>
  <c r="M375" i="8"/>
  <c r="M231" i="8"/>
  <c r="M362" i="8"/>
  <c r="M218" i="8"/>
  <c r="M68" i="8"/>
  <c r="M109" i="8"/>
  <c r="M85" i="8"/>
  <c r="M84" i="8"/>
  <c r="M83" i="8"/>
  <c r="M148" i="8"/>
  <c r="M408" i="8"/>
  <c r="M407" i="8"/>
  <c r="L439" i="8"/>
  <c r="M24" i="8"/>
  <c r="L361" i="8"/>
  <c r="L217" i="8"/>
  <c r="L73" i="8"/>
  <c r="L424" i="8"/>
  <c r="L276" i="8"/>
  <c r="L132" i="8"/>
  <c r="L223" i="8"/>
  <c r="L323" i="8"/>
  <c r="L179" i="8"/>
  <c r="L35" i="8"/>
  <c r="L382" i="8"/>
  <c r="L238" i="8"/>
  <c r="L94" i="8"/>
  <c r="L295" i="8"/>
  <c r="L357" i="8"/>
  <c r="L213" i="8"/>
  <c r="L69" i="8"/>
  <c r="L235" i="8"/>
  <c r="L344" i="8"/>
  <c r="L200" i="8"/>
  <c r="L56" i="8"/>
  <c r="L402" i="8"/>
  <c r="L258" i="8"/>
  <c r="L114" i="8"/>
  <c r="M112" i="8"/>
  <c r="L305" i="8"/>
  <c r="L161" i="8"/>
  <c r="L17" i="8"/>
  <c r="L352" i="8"/>
  <c r="L208" i="8"/>
  <c r="L64" i="8"/>
  <c r="L19" i="8"/>
  <c r="L218" i="8"/>
  <c r="L139" i="8"/>
  <c r="L151" i="8"/>
  <c r="L242" i="8"/>
  <c r="L99" i="8"/>
  <c r="L254" i="8"/>
  <c r="L366" i="8"/>
  <c r="M111" i="8"/>
  <c r="L62" i="8"/>
  <c r="L86" i="8"/>
  <c r="L219" i="8"/>
  <c r="L122" i="8"/>
  <c r="L247" i="8"/>
  <c r="M92" i="8"/>
  <c r="M406" i="8"/>
  <c r="M118" i="8"/>
  <c r="M397" i="8"/>
  <c r="M253" i="8"/>
  <c r="M432" i="8"/>
  <c r="M334" i="8"/>
  <c r="M190" i="8"/>
  <c r="M429" i="8"/>
  <c r="M285" i="8"/>
  <c r="M141" i="8"/>
  <c r="M380" i="8"/>
  <c r="M236" i="8"/>
  <c r="M439" i="8"/>
  <c r="M295" i="8"/>
  <c r="M151" i="8"/>
  <c r="M7" i="8"/>
  <c r="M318" i="8"/>
  <c r="M174" i="8"/>
  <c r="M30" i="8"/>
  <c r="M341" i="8"/>
  <c r="M197" i="8"/>
  <c r="M53" i="8"/>
  <c r="M352" i="8"/>
  <c r="M208" i="8"/>
  <c r="M363" i="8"/>
  <c r="M219" i="8"/>
  <c r="M350" i="8"/>
  <c r="M206" i="8"/>
  <c r="M50" i="8"/>
  <c r="M86" i="8"/>
  <c r="M63" i="8"/>
  <c r="M62" i="8"/>
  <c r="M61" i="8"/>
  <c r="M123" i="8"/>
  <c r="M336" i="8"/>
  <c r="M335" i="8"/>
  <c r="L427" i="8"/>
  <c r="M9" i="8"/>
  <c r="L349" i="8"/>
  <c r="L205" i="8"/>
  <c r="L61" i="8"/>
  <c r="L409" i="8"/>
  <c r="L264" i="8"/>
  <c r="L120" i="8"/>
  <c r="M171" i="8"/>
  <c r="L311" i="8"/>
  <c r="L167" i="8"/>
  <c r="L23" i="8"/>
  <c r="L370" i="8"/>
  <c r="L226" i="8"/>
  <c r="L82" i="8"/>
  <c r="L259" i="8"/>
  <c r="L345" i="8"/>
  <c r="L201" i="8"/>
  <c r="L57" i="8"/>
  <c r="L199" i="8"/>
  <c r="L332" i="8"/>
  <c r="L188" i="8"/>
  <c r="L44" i="8"/>
  <c r="L390" i="8"/>
  <c r="L246" i="8"/>
  <c r="L102" i="8"/>
  <c r="M37" i="8"/>
  <c r="L293" i="8"/>
  <c r="L149" i="8"/>
  <c r="M95" i="8"/>
  <c r="L340" i="8"/>
  <c r="L196" i="8"/>
  <c r="L52" i="8"/>
  <c r="L448" i="8"/>
  <c r="L158" i="8"/>
  <c r="L314" i="8"/>
  <c r="L103" i="8"/>
  <c r="L171" i="8"/>
  <c r="L412" i="8"/>
  <c r="L182" i="8"/>
  <c r="L20" i="8"/>
  <c r="L316" i="8"/>
  <c r="L291" i="8"/>
  <c r="L303" i="8"/>
  <c r="L304" i="8"/>
  <c r="L38" i="8"/>
  <c r="L272" i="8"/>
  <c r="L136" i="8"/>
  <c r="L387" i="8"/>
  <c r="M262" i="8"/>
  <c r="M213" i="8"/>
  <c r="M385" i="8"/>
  <c r="M241" i="8"/>
  <c r="M443" i="8"/>
  <c r="M322" i="8"/>
  <c r="M178" i="8"/>
  <c r="M417" i="8"/>
  <c r="M273" i="8"/>
  <c r="M129" i="8"/>
  <c r="M368" i="8"/>
  <c r="M224" i="8"/>
  <c r="M427" i="8"/>
  <c r="M283" i="8"/>
  <c r="M139" i="8"/>
  <c r="M450" i="8"/>
  <c r="M306" i="8"/>
  <c r="M162" i="8"/>
  <c r="M18" i="8"/>
  <c r="M329" i="8"/>
  <c r="M185" i="8"/>
  <c r="M41" i="8"/>
  <c r="M340" i="8"/>
  <c r="M196" i="8"/>
  <c r="M351" i="8"/>
  <c r="M207" i="8"/>
  <c r="M338" i="8"/>
  <c r="M194" i="8"/>
  <c r="M35" i="8"/>
  <c r="M64" i="8"/>
  <c r="M48" i="8"/>
  <c r="M47" i="8"/>
  <c r="M46" i="8"/>
  <c r="M99" i="8"/>
  <c r="M264" i="8"/>
  <c r="M263" i="8"/>
  <c r="M396" i="8"/>
  <c r="L450" i="8"/>
  <c r="L337" i="8"/>
  <c r="L193" i="8"/>
  <c r="L49" i="8"/>
  <c r="L396" i="8"/>
  <c r="L252" i="8"/>
  <c r="L108" i="8"/>
  <c r="M72" i="8"/>
  <c r="L299" i="8"/>
  <c r="L155" i="8"/>
  <c r="L11" i="8"/>
  <c r="L358" i="8"/>
  <c r="L214" i="8"/>
  <c r="L70" i="8"/>
  <c r="L211" i="8"/>
  <c r="L333" i="8"/>
  <c r="L189" i="8"/>
  <c r="L45" i="8"/>
  <c r="M384" i="8"/>
  <c r="L320" i="8"/>
  <c r="L176" i="8"/>
  <c r="L32" i="8"/>
  <c r="L378" i="8"/>
  <c r="L234" i="8"/>
  <c r="L90" i="8"/>
  <c r="L432" i="8"/>
  <c r="L281" i="8"/>
  <c r="L137" i="8"/>
  <c r="M311" i="8"/>
  <c r="L328" i="8"/>
  <c r="L184" i="8"/>
  <c r="L40" i="8"/>
  <c r="L363" i="8"/>
  <c r="L110" i="8"/>
  <c r="L123" i="8"/>
  <c r="L55" i="8"/>
  <c r="L27" i="8"/>
  <c r="L386" i="8"/>
  <c r="L134" i="8"/>
  <c r="L222" i="8"/>
  <c r="L269" i="8"/>
  <c r="L172" i="8"/>
  <c r="L75" i="8"/>
  <c r="L399" i="8"/>
  <c r="L160" i="8"/>
  <c r="L339" i="8"/>
  <c r="L128" i="8"/>
  <c r="L170" i="8"/>
  <c r="M240" i="8"/>
  <c r="M325" i="8"/>
  <c r="M357" i="8"/>
  <c r="M373" i="8"/>
  <c r="M229" i="8"/>
  <c r="M431" i="8"/>
  <c r="M310" i="8"/>
  <c r="M166" i="8"/>
  <c r="M405" i="8"/>
  <c r="M261" i="8"/>
  <c r="M117" i="8"/>
  <c r="M356" i="8"/>
  <c r="M212" i="8"/>
  <c r="M415" i="8"/>
  <c r="M271" i="8"/>
  <c r="M127" i="8"/>
  <c r="M438" i="8"/>
  <c r="M294" i="8"/>
  <c r="M150" i="8"/>
  <c r="M6" i="8"/>
  <c r="M317" i="8"/>
  <c r="M173" i="8"/>
  <c r="M29" i="8"/>
  <c r="M328" i="8"/>
  <c r="M184" i="8"/>
  <c r="M339" i="8"/>
  <c r="M195" i="8"/>
  <c r="M326" i="8"/>
  <c r="M182" i="8"/>
  <c r="M20" i="8"/>
  <c r="M49" i="8"/>
  <c r="M33" i="8"/>
  <c r="M32" i="8"/>
  <c r="M28" i="8"/>
  <c r="M80" i="8"/>
  <c r="M192" i="8"/>
  <c r="M191" i="8"/>
  <c r="M324" i="8"/>
  <c r="M239" i="8"/>
  <c r="L325" i="8"/>
  <c r="L181" i="8"/>
  <c r="L37" i="8"/>
  <c r="L384" i="8"/>
  <c r="L240" i="8"/>
  <c r="L96" i="8"/>
  <c r="L440" i="8"/>
  <c r="L287" i="8"/>
  <c r="L143" i="8"/>
  <c r="L343" i="8"/>
  <c r="L346" i="8"/>
  <c r="L202" i="8"/>
  <c r="L58" i="8"/>
  <c r="M395" i="8"/>
  <c r="L321" i="8"/>
  <c r="L177" i="8"/>
  <c r="L33" i="8"/>
  <c r="M136" i="8"/>
  <c r="L308" i="8"/>
  <c r="L164" i="8"/>
  <c r="L78" i="8"/>
  <c r="L414" i="8"/>
  <c r="L125" i="8"/>
  <c r="L28" i="8"/>
  <c r="L7" i="8"/>
  <c r="L431" i="8"/>
  <c r="M361" i="8"/>
  <c r="M217" i="8"/>
  <c r="M442" i="8"/>
  <c r="M298" i="8"/>
  <c r="M154" i="8"/>
  <c r="M393" i="8"/>
  <c r="M249" i="8"/>
  <c r="M105" i="8"/>
  <c r="M344" i="8"/>
  <c r="M200" i="8"/>
  <c r="M403" i="8"/>
  <c r="M259" i="8"/>
  <c r="M115" i="8"/>
  <c r="M426" i="8"/>
  <c r="M282" i="8"/>
  <c r="M138" i="8"/>
  <c r="M449" i="8"/>
  <c r="M305" i="8"/>
  <c r="M161" i="8"/>
  <c r="M17" i="8"/>
  <c r="M316" i="8"/>
  <c r="M172" i="8"/>
  <c r="M327" i="8"/>
  <c r="M183" i="8"/>
  <c r="M314" i="8"/>
  <c r="M170" i="8"/>
  <c r="L446" i="8"/>
  <c r="M34" i="8"/>
  <c r="M15" i="8"/>
  <c r="M14" i="8"/>
  <c r="M13" i="8"/>
  <c r="M60" i="8"/>
  <c r="M147" i="8"/>
  <c r="M146" i="8"/>
  <c r="M252" i="8"/>
  <c r="M88" i="8"/>
  <c r="L313" i="8"/>
  <c r="L169" i="8"/>
  <c r="L25" i="8"/>
  <c r="L372" i="8"/>
  <c r="L228" i="8"/>
  <c r="L84" i="8"/>
  <c r="L423" i="8"/>
  <c r="L275" i="8"/>
  <c r="L131" i="8"/>
  <c r="L271" i="8"/>
  <c r="L334" i="8"/>
  <c r="L190" i="8"/>
  <c r="L46" i="8"/>
  <c r="M143" i="8"/>
  <c r="L309" i="8"/>
  <c r="L165" i="8"/>
  <c r="L21" i="8"/>
  <c r="M52" i="8"/>
  <c r="L296" i="8"/>
  <c r="L152" i="8"/>
  <c r="L8" i="8"/>
  <c r="L354" i="8"/>
  <c r="L210" i="8"/>
  <c r="L66" i="8"/>
  <c r="L401" i="8"/>
  <c r="L257" i="8"/>
  <c r="L113" i="8"/>
  <c r="M36" i="8"/>
  <c r="L16" i="8"/>
  <c r="L14" i="8"/>
  <c r="L375" i="8"/>
  <c r="L327" i="8"/>
  <c r="L42" i="8"/>
  <c r="M349" i="8"/>
  <c r="M205" i="8"/>
  <c r="M430" i="8"/>
  <c r="M286" i="8"/>
  <c r="M142" i="8"/>
  <c r="M381" i="8"/>
  <c r="M237" i="8"/>
  <c r="M93" i="8"/>
  <c r="M332" i="8"/>
  <c r="M188" i="8"/>
  <c r="M391" i="8"/>
  <c r="M247" i="8"/>
  <c r="M103" i="8"/>
  <c r="M414" i="8"/>
  <c r="M270" i="8"/>
  <c r="M126" i="8"/>
  <c r="M437" i="8"/>
  <c r="M293" i="8"/>
  <c r="M149" i="8"/>
  <c r="M448" i="8"/>
  <c r="M304" i="8"/>
  <c r="M160" i="8"/>
  <c r="M315" i="8"/>
  <c r="M446" i="8"/>
  <c r="M302" i="8"/>
  <c r="M372" i="8"/>
  <c r="L434" i="8"/>
  <c r="M16" i="8"/>
  <c r="L444" i="8"/>
  <c r="M420" i="8"/>
  <c r="L442" i="8"/>
  <c r="M45" i="8"/>
  <c r="M122" i="8"/>
  <c r="M121" i="8"/>
  <c r="M180" i="8"/>
  <c r="M21" i="8"/>
  <c r="L301" i="8"/>
  <c r="L157" i="8"/>
  <c r="L13" i="8"/>
  <c r="L360" i="8"/>
  <c r="L216" i="8"/>
  <c r="L72" i="8"/>
  <c r="L408" i="8"/>
  <c r="L263" i="8"/>
  <c r="L119" i="8"/>
  <c r="L187" i="8"/>
  <c r="L322" i="8"/>
  <c r="L178" i="8"/>
  <c r="L34" i="8"/>
  <c r="M56" i="8"/>
  <c r="L297" i="8"/>
  <c r="L153" i="8"/>
  <c r="L9" i="8"/>
  <c r="L436" i="8"/>
  <c r="L284" i="8"/>
  <c r="L140" i="8"/>
  <c r="M51" i="8"/>
  <c r="L342" i="8"/>
  <c r="L198" i="8"/>
  <c r="L54" i="8"/>
  <c r="L389" i="8"/>
  <c r="L245" i="8"/>
  <c r="L101" i="8"/>
  <c r="L449" i="8"/>
  <c r="L292" i="8"/>
  <c r="L148" i="8"/>
  <c r="M251" i="8"/>
  <c r="L159" i="8"/>
  <c r="L51" i="8"/>
  <c r="L231" i="8"/>
  <c r="L267" i="8"/>
  <c r="L74" i="8"/>
  <c r="L255" i="8"/>
  <c r="L31" i="8"/>
  <c r="L233" i="8"/>
  <c r="M337" i="8"/>
  <c r="M193" i="8"/>
  <c r="M418" i="8"/>
  <c r="M274" i="8"/>
  <c r="M130" i="8"/>
  <c r="M369" i="8"/>
  <c r="M225" i="8"/>
  <c r="M81" i="8"/>
  <c r="M320" i="8"/>
  <c r="M176" i="8"/>
  <c r="M379" i="8"/>
  <c r="M235" i="8"/>
  <c r="M91" i="8"/>
  <c r="M402" i="8"/>
  <c r="M258" i="8"/>
  <c r="M114" i="8"/>
  <c r="M425" i="8"/>
  <c r="M281" i="8"/>
  <c r="M137" i="8"/>
  <c r="M436" i="8"/>
  <c r="M292" i="8"/>
  <c r="M447" i="8"/>
  <c r="M303" i="8"/>
  <c r="M434" i="8"/>
  <c r="M290" i="8"/>
  <c r="M300" i="8"/>
  <c r="L422" i="8"/>
  <c r="M360" i="8"/>
  <c r="M359" i="8"/>
  <c r="M348" i="8"/>
  <c r="L430" i="8"/>
  <c r="M27" i="8"/>
  <c r="M98" i="8"/>
  <c r="M97" i="8"/>
  <c r="M144" i="8"/>
  <c r="L445" i="8"/>
  <c r="L289" i="8"/>
  <c r="L145" i="8"/>
  <c r="L367" i="8"/>
  <c r="L348" i="8"/>
  <c r="L204" i="8"/>
  <c r="L60" i="8"/>
  <c r="L395" i="8"/>
  <c r="L251" i="8"/>
  <c r="L107" i="8"/>
  <c r="M168" i="8"/>
  <c r="L310" i="8"/>
  <c r="L166" i="8"/>
  <c r="L22" i="8"/>
  <c r="L437" i="8"/>
  <c r="L285" i="8"/>
  <c r="L141" i="8"/>
  <c r="M383" i="8"/>
  <c r="L419" i="8"/>
  <c r="L186" i="8"/>
  <c r="L89" i="8"/>
  <c r="L280" i="8"/>
  <c r="L111" i="8"/>
  <c r="L146" i="8"/>
  <c r="L183" i="8"/>
  <c r="M181" i="8"/>
  <c r="M69" i="8"/>
  <c r="M313" i="8"/>
  <c r="M367" i="8"/>
  <c r="M413" i="8"/>
  <c r="M291" i="8"/>
  <c r="M287" i="8"/>
  <c r="M120" i="8"/>
  <c r="L192" i="8"/>
  <c r="L298" i="8"/>
  <c r="L435" i="8"/>
  <c r="L174" i="8"/>
  <c r="L268" i="8"/>
  <c r="L50" i="8"/>
  <c r="M58" i="8"/>
  <c r="M169" i="8"/>
  <c r="M355" i="8"/>
  <c r="M401" i="8"/>
  <c r="M279" i="8"/>
  <c r="M215" i="8"/>
  <c r="M96" i="8"/>
  <c r="L180" i="8"/>
  <c r="L286" i="8"/>
  <c r="L403" i="8"/>
  <c r="L162" i="8"/>
  <c r="L256" i="8"/>
  <c r="M22" i="8"/>
  <c r="L83" i="8"/>
  <c r="M216" i="8"/>
  <c r="M394" i="8"/>
  <c r="M223" i="8"/>
  <c r="M269" i="8"/>
  <c r="M422" i="8"/>
  <c r="M276" i="8"/>
  <c r="L425" i="8"/>
  <c r="L48" i="8"/>
  <c r="L154" i="8"/>
  <c r="L404" i="8"/>
  <c r="L30" i="8"/>
  <c r="L124" i="8"/>
  <c r="L426" i="8"/>
  <c r="M299" i="8"/>
  <c r="M250" i="8"/>
  <c r="M211" i="8"/>
  <c r="M257" i="8"/>
  <c r="M410" i="8"/>
  <c r="M204" i="8"/>
  <c r="L410" i="8"/>
  <c r="L36" i="8"/>
  <c r="L142" i="8"/>
  <c r="L392" i="8"/>
  <c r="L18" i="8"/>
  <c r="L112" i="8"/>
  <c r="L350" i="8"/>
  <c r="M268" i="8"/>
  <c r="M119" i="8"/>
  <c r="M435" i="8"/>
  <c r="L129" i="8"/>
  <c r="L318" i="8"/>
  <c r="M423" i="8"/>
  <c r="L438" i="8"/>
  <c r="M106" i="8"/>
  <c r="M79" i="8"/>
  <c r="M125" i="8"/>
  <c r="M278" i="8"/>
  <c r="L418" i="8"/>
  <c r="L277" i="8"/>
  <c r="L383" i="8"/>
  <c r="L10" i="8"/>
  <c r="L260" i="8"/>
  <c r="L365" i="8"/>
  <c r="L302" i="8"/>
  <c r="L135" i="8"/>
  <c r="M59" i="8"/>
  <c r="M345" i="8"/>
  <c r="M67" i="8"/>
  <c r="M113" i="8"/>
  <c r="M266" i="8"/>
  <c r="M419" i="8"/>
  <c r="L265" i="8"/>
  <c r="L371" i="8"/>
  <c r="M135" i="8"/>
  <c r="L248" i="8"/>
  <c r="L353" i="8"/>
  <c r="L230" i="8"/>
  <c r="L87" i="8"/>
  <c r="M234" i="8"/>
  <c r="L65" i="8"/>
  <c r="M164" i="8"/>
  <c r="M75" i="8"/>
  <c r="M71" i="8"/>
  <c r="L26" i="8"/>
  <c r="M152" i="8"/>
  <c r="L117" i="8"/>
  <c r="L400" i="8"/>
  <c r="M201" i="8"/>
  <c r="M390" i="8"/>
  <c r="M424" i="8"/>
  <c r="M228" i="8"/>
  <c r="M12" i="8"/>
  <c r="L133" i="8"/>
  <c r="L239" i="8"/>
  <c r="L420" i="8"/>
  <c r="L116" i="8"/>
  <c r="L221" i="8"/>
  <c r="L63" i="8"/>
  <c r="L315" i="8"/>
  <c r="L243" i="8"/>
  <c r="M296" i="8"/>
  <c r="L98" i="8"/>
  <c r="M102" i="8"/>
  <c r="M288" i="8"/>
  <c r="L336" i="8"/>
  <c r="L413" i="8"/>
  <c r="M90" i="8"/>
  <c r="L306" i="8"/>
  <c r="L428" i="8"/>
  <c r="M440" i="8"/>
  <c r="M378" i="8"/>
  <c r="M412" i="8"/>
  <c r="M167" i="8"/>
  <c r="L441" i="8"/>
  <c r="L121" i="8"/>
  <c r="L227" i="8"/>
  <c r="L406" i="8"/>
  <c r="L104" i="8"/>
  <c r="L209" i="8"/>
  <c r="L15" i="8"/>
  <c r="M179" i="8"/>
  <c r="M308" i="8"/>
  <c r="M246" i="8"/>
  <c r="M280" i="8"/>
  <c r="M371" i="8"/>
  <c r="M76" i="8"/>
  <c r="L283" i="8"/>
  <c r="L95" i="8"/>
  <c r="L273" i="8"/>
  <c r="M323" i="8"/>
  <c r="L77" i="8"/>
  <c r="L195" i="8"/>
  <c r="L261" i="8"/>
  <c r="L324" i="8"/>
  <c r="C73" i="3"/>
  <c r="C74" i="3"/>
  <c r="C75" i="3"/>
  <c r="L3" i="2" l="1"/>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E154" i="2" s="1"/>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E25" i="2" s="1"/>
  <c r="F5" i="2" s="1"/>
  <c r="M2" i="2" s="1"/>
  <c r="E362" i="2" l="1"/>
  <c r="N2" i="2"/>
  <c r="E176" i="2"/>
  <c r="F154" i="2" s="1"/>
  <c r="M9" i="2" s="1"/>
  <c r="N9" i="2" s="1"/>
  <c r="E47" i="2"/>
  <c r="E132" i="2"/>
  <c r="F132" i="2" s="1"/>
  <c r="M8" i="2" s="1"/>
  <c r="N8" i="2" s="1"/>
  <c r="E110" i="2"/>
  <c r="F110" i="2" s="1"/>
  <c r="M7" i="2" s="1"/>
  <c r="N7" i="2" s="1"/>
  <c r="E340" i="2"/>
  <c r="F340" i="2" s="1"/>
  <c r="M18" i="2" s="1"/>
  <c r="N18" i="2" s="1"/>
  <c r="E1008" i="2"/>
  <c r="E257" i="2"/>
  <c r="E592" i="2"/>
  <c r="E820" i="2"/>
  <c r="E905" i="2"/>
  <c r="F905" i="2" s="1"/>
  <c r="M45" i="2" s="1"/>
  <c r="N45" i="2" s="1"/>
  <c r="E779" i="2"/>
  <c r="E862" i="2"/>
  <c r="E87" i="2"/>
  <c r="E487" i="2"/>
  <c r="E529" i="2"/>
  <c r="E697" i="2"/>
  <c r="E446" i="2"/>
  <c r="E926" i="2"/>
  <c r="E44" i="2"/>
  <c r="F25" i="2" s="1"/>
  <c r="M3" i="2" s="1"/>
  <c r="E196" i="2"/>
  <c r="E947" i="2"/>
  <c r="E966" i="2"/>
  <c r="E506" i="2"/>
  <c r="E675" i="2"/>
  <c r="E717" i="2"/>
  <c r="E842" i="2"/>
  <c r="E1070" i="2"/>
  <c r="E69" i="2"/>
  <c r="E613" i="2"/>
  <c r="E319" i="2"/>
  <c r="F319" i="2" s="1"/>
  <c r="M17" i="2" s="1"/>
  <c r="N17" i="2" s="1"/>
  <c r="E569" i="2"/>
  <c r="E758" i="2"/>
  <c r="F758" i="2" s="1"/>
  <c r="M38" i="2" s="1"/>
  <c r="N38" i="2" s="1"/>
  <c r="E426" i="2"/>
  <c r="E1049" i="2"/>
  <c r="E405" i="2"/>
  <c r="E549" i="2"/>
  <c r="E88" i="2"/>
  <c r="E738" i="2"/>
  <c r="F717" i="2" s="1"/>
  <c r="M36" i="2" s="1"/>
  <c r="N36" i="2" s="1"/>
  <c r="E65" i="2"/>
  <c r="E216" i="2"/>
  <c r="E298" i="2"/>
  <c r="F298" i="2" s="1"/>
  <c r="M16" i="2" s="1"/>
  <c r="N16" i="2" s="1"/>
  <c r="E466" i="2"/>
  <c r="E633" i="2"/>
  <c r="E656" i="2"/>
  <c r="E884" i="2"/>
  <c r="E988" i="2"/>
  <c r="E238" i="2"/>
  <c r="E798" i="2"/>
  <c r="E277" i="2"/>
  <c r="F257" i="2" s="1"/>
  <c r="M14" i="2" s="1"/>
  <c r="N14" i="2" s="1"/>
  <c r="E382" i="2"/>
  <c r="F362" i="2" s="1"/>
  <c r="M19" i="2" s="1"/>
  <c r="N19" i="2" s="1"/>
  <c r="E1029" i="2"/>
  <c r="F1008" i="2" s="1"/>
  <c r="M50" i="2" s="1"/>
  <c r="N50" i="2" s="1"/>
  <c r="F1029" i="2"/>
  <c r="M51" i="2" s="1"/>
  <c r="N51" i="2" s="1"/>
  <c r="F48" i="2" l="1"/>
  <c r="F966" i="2"/>
  <c r="M48" i="2" s="1"/>
  <c r="N48" i="2" s="1"/>
  <c r="F466" i="2"/>
  <c r="M24" i="2" s="1"/>
  <c r="N24" i="2" s="1"/>
  <c r="F47" i="2"/>
  <c r="M4" i="2" s="1"/>
  <c r="N4" i="2" s="1"/>
  <c r="F238" i="2"/>
  <c r="M13" i="2" s="1"/>
  <c r="N13" i="2" s="1"/>
  <c r="F820" i="2"/>
  <c r="M41" i="2" s="1"/>
  <c r="N41" i="2" s="1"/>
  <c r="F697" i="2"/>
  <c r="M35" i="2" s="1"/>
  <c r="N35" i="2" s="1"/>
  <c r="F529" i="2"/>
  <c r="M27" i="2" s="1"/>
  <c r="N27" i="2" s="1"/>
  <c r="F88" i="2"/>
  <c r="M6" i="2" s="1"/>
  <c r="N6" i="2" s="1"/>
  <c r="F176" i="2"/>
  <c r="M10" i="2" s="1"/>
  <c r="N10" i="2" s="1"/>
  <c r="F569" i="2"/>
  <c r="M29" i="2" s="1"/>
  <c r="N29" i="2" s="1"/>
  <c r="F446" i="2"/>
  <c r="M23" i="2" s="1"/>
  <c r="N23" i="2" s="1"/>
  <c r="F798" i="2"/>
  <c r="M40" i="2" s="1"/>
  <c r="N40" i="2" s="1"/>
  <c r="F926" i="2"/>
  <c r="M46" i="2" s="1"/>
  <c r="N46" i="2" s="1"/>
  <c r="F592" i="2"/>
  <c r="M30" i="2" s="1"/>
  <c r="N30" i="2" s="1"/>
  <c r="F988" i="2"/>
  <c r="M49" i="2" s="1"/>
  <c r="N49" i="2" s="1"/>
  <c r="F884" i="2"/>
  <c r="M44" i="2" s="1"/>
  <c r="N44" i="2" s="1"/>
  <c r="F426" i="2"/>
  <c r="M22" i="2" s="1"/>
  <c r="N22" i="2" s="1"/>
  <c r="F675" i="2"/>
  <c r="M34" i="2" s="1"/>
  <c r="N34" i="2" s="1"/>
  <c r="F862" i="2"/>
  <c r="M43" i="2" s="1"/>
  <c r="N43" i="2" s="1"/>
  <c r="F506" i="2"/>
  <c r="M26" i="2" s="1"/>
  <c r="N26" i="2" s="1"/>
  <c r="F779" i="2"/>
  <c r="M39" i="2" s="1"/>
  <c r="N39" i="2" s="1"/>
  <c r="F382" i="2"/>
  <c r="M20" i="2" s="1"/>
  <c r="N20" i="2" s="1"/>
  <c r="F277" i="2"/>
  <c r="M15" i="2" s="1"/>
  <c r="N15" i="2" s="1"/>
  <c r="F216" i="2"/>
  <c r="M12" i="2" s="1"/>
  <c r="N12" i="2" s="1"/>
  <c r="F633" i="2"/>
  <c r="M32" i="2" s="1"/>
  <c r="N32" i="2" s="1"/>
  <c r="F842" i="2"/>
  <c r="M42" i="2" s="1"/>
  <c r="N42" i="2" s="1"/>
  <c r="F947" i="2"/>
  <c r="M47" i="2" s="1"/>
  <c r="N47" i="2" s="1"/>
  <c r="N3" i="2"/>
  <c r="F405" i="2"/>
  <c r="M21" i="2" s="1"/>
  <c r="N21" i="2" s="1"/>
  <c r="F196" i="2"/>
  <c r="M11" i="2" s="1"/>
  <c r="N11" i="2" s="1"/>
  <c r="F738" i="2"/>
  <c r="M37" i="2" s="1"/>
  <c r="N37" i="2" s="1"/>
  <c r="F613" i="2"/>
  <c r="M31" i="2" s="1"/>
  <c r="N31" i="2" s="1"/>
  <c r="F69" i="2"/>
  <c r="M5" i="2" s="1"/>
  <c r="N5" i="2" s="1"/>
  <c r="F549" i="2"/>
  <c r="M28" i="2" s="1"/>
  <c r="N28" i="2" s="1"/>
  <c r="F487" i="2"/>
  <c r="M25" i="2" s="1"/>
  <c r="N25" i="2" s="1"/>
  <c r="F656" i="2"/>
  <c r="M33" i="2" s="1"/>
  <c r="N33" i="2" s="1"/>
  <c r="F1049" i="2"/>
  <c r="M52" i="2" s="1"/>
  <c r="N52" i="2" s="1"/>
  <c r="O2" i="2" l="1"/>
  <c r="P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tc={9104624F-D5CB-4F7E-A045-B84371CD7300}</author>
  </authors>
  <commentList>
    <comment ref="E44" authorId="0" shapeId="0" xr:uid="{9104624F-D5CB-4F7E-A045-B84371CD7300}">
      <text>
        <t>[Threaded comment]
Your version of Excel allows you to read this threaded comment; however, any edits to it will get removed if the file is opened in a newer version of Excel. Learn more: https://go.microsoft.com/fwlink/?linkid=870924
Comment:
    Aramco announced OSP for January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Patricio Valdivieso</author>
  </authors>
  <commentList>
    <comment ref="T5" authorId="0" shapeId="0" xr:uid="{7E0FE775-72EC-43D9-AC74-F7E55922EEE3}">
      <text>
        <r>
          <rPr>
            <b/>
            <sz val="9"/>
            <color indexed="81"/>
            <rFont val="Tahoma"/>
            <family val="2"/>
          </rPr>
          <t>Patricio Valdivieso:</t>
        </r>
        <r>
          <rPr>
            <sz val="9"/>
            <color indexed="81"/>
            <rFont val="Tahoma"/>
            <family val="2"/>
          </rPr>
          <t xml:space="preserve">
Model Forecast - Actual -2.3</t>
        </r>
      </text>
    </comment>
  </commentList>
</comments>
</file>

<file path=xl/sharedStrings.xml><?xml version="1.0" encoding="utf-8"?>
<sst xmlns="http://schemas.openxmlformats.org/spreadsheetml/2006/main" count="417" uniqueCount="224">
  <si>
    <t>Dimension</t>
  </si>
  <si>
    <t>Arab Light model</t>
  </si>
  <si>
    <t>Arab Medium model</t>
  </si>
  <si>
    <t>Arab Extra Light model</t>
  </si>
  <si>
    <t>Target variable</t>
  </si>
  <si>
    <t>Δ Arab Light OSP</t>
  </si>
  <si>
    <t>Δ (Arab Medium – Arab Light OSP)</t>
  </si>
  <si>
    <t>Δ (Arab XLT – Arab Light OSP)</t>
  </si>
  <si>
    <t>Pricing logic</t>
  </si>
  <si>
    <t>Benchmark-driven</t>
  </si>
  <si>
    <t>Relative grade differential</t>
  </si>
  <si>
    <t>Model type</t>
  </si>
  <si>
    <t>Deterministic / rule-based</t>
  </si>
  <si>
    <t>Ridge regression</t>
  </si>
  <si>
    <t>Estimation frequency</t>
  </si>
  <si>
    <t>Monthly</t>
  </si>
  <si>
    <t>Estimation timing</t>
  </si>
  <si>
    <t>OSP release targeted</t>
  </si>
  <si>
    <t>OSP announced ~5th of month t</t>
  </si>
  <si>
    <t>Same OSP cycle</t>
  </si>
  <si>
    <t>Lookback window (data)</t>
  </si>
  <si>
    <t>Monthly (since Jan 2020)</t>
  </si>
  <si>
    <t>OOS horizon</t>
  </si>
  <si>
    <t>Real-time (1 month ahead)</t>
  </si>
  <si>
    <t>Core benchmark</t>
  </si>
  <si>
    <t>Dubai Mo01 &amp; Mo03</t>
  </si>
  <si>
    <t>Dubai/Oman-linked grades</t>
  </si>
  <si>
    <t>Murban/Dubai</t>
  </si>
  <si>
    <t>Key transformation</t>
  </si>
  <si>
    <t>Dubai cash premium (Mo01 – Mo03)</t>
  </si>
  <si>
    <t>Predicted level diff → Δ</t>
  </si>
  <si>
    <t>Run on 2nd of month t</t>
  </si>
  <si>
    <t>1. OSP modelling summary table</t>
  </si>
  <si>
    <t>Monthly (since Jan 2022)</t>
  </si>
  <si>
    <t>Input</t>
  </si>
  <si>
    <t>Frequency</t>
  </si>
  <si>
    <t>Dubai Mo01</t>
  </si>
  <si>
    <t>Daily</t>
  </si>
  <si>
    <t>Platts daily</t>
  </si>
  <si>
    <t>Dubai Mo03</t>
  </si>
  <si>
    <t>Dubai cash premium</t>
  </si>
  <si>
    <t>Derived</t>
  </si>
  <si>
    <t>Mo01 – Mo03</t>
  </si>
  <si>
    <t>Monthly average window</t>
  </si>
  <si>
    <t>Rule</t>
  </si>
  <si>
    <r>
      <t xml:space="preserve">Avg from </t>
    </r>
    <r>
      <rPr>
        <b/>
        <sz val="11"/>
        <color theme="1"/>
        <rFont val="Aptos Narrow"/>
        <family val="2"/>
        <scheme val="minor"/>
      </rPr>
      <t>5th (t−1)</t>
    </r>
    <r>
      <rPr>
        <sz val="11"/>
        <color theme="1"/>
        <rFont val="Aptos Narrow"/>
        <family val="2"/>
        <scheme val="minor"/>
      </rPr>
      <t xml:space="preserve"> to </t>
    </r>
    <r>
      <rPr>
        <b/>
        <sz val="11"/>
        <color theme="1"/>
        <rFont val="Aptos Narrow"/>
        <family val="2"/>
        <scheme val="minor"/>
      </rPr>
      <t>2nd (t)</t>
    </r>
  </si>
  <si>
    <t>Signal used</t>
  </si>
  <si>
    <t>Δ monthly avg cash premium</t>
  </si>
  <si>
    <t>Current vs previous window</t>
  </si>
  <si>
    <t>2.  Inputs by model (what must be updated monthly)</t>
  </si>
  <si>
    <t>Model</t>
  </si>
  <si>
    <t>Arab Light</t>
  </si>
  <si>
    <t>Lag</t>
  </si>
  <si>
    <t>Notes</t>
  </si>
  <si>
    <t>ArabMed–ArabLight (t−1)</t>
  </si>
  <si>
    <t>L0</t>
  </si>
  <si>
    <t>Level updated each run</t>
  </si>
  <si>
    <t>Qatar Marine FOB</t>
  </si>
  <si>
    <t>L1</t>
  </si>
  <si>
    <t>Medium-sour proxy</t>
  </si>
  <si>
    <t>Asia runs</t>
  </si>
  <si>
    <t>From agencies</t>
  </si>
  <si>
    <t>ASL/AL export ratio</t>
  </si>
  <si>
    <t>L2</t>
  </si>
  <si>
    <t>Structural</t>
  </si>
  <si>
    <t>AXL/AL export ratio</t>
  </si>
  <si>
    <t>AM/AL export ratio</t>
  </si>
  <si>
    <t>AH/AL export ratio</t>
  </si>
  <si>
    <t>Dubai–ALT Asia margins</t>
  </si>
  <si>
    <t>Monthly avg (1–4)</t>
  </si>
  <si>
    <t>Refining signal</t>
  </si>
  <si>
    <t>HCU–BVU–HSFO</t>
  </si>
  <si>
    <t>Resid upgrading economics</t>
  </si>
  <si>
    <t>Arab Med-light diff</t>
  </si>
  <si>
    <t>ArabXLT–ArabLight (t−1)</t>
  </si>
  <si>
    <t>Murban – Dubai diff</t>
  </si>
  <si>
    <t>Light-sour proxy</t>
  </si>
  <si>
    <t>Asia OSP Arab Light Δ</t>
  </si>
  <si>
    <t>Admin signal</t>
  </si>
  <si>
    <t>Naphtha SG crack</t>
  </si>
  <si>
    <t>Light-end economics</t>
  </si>
  <si>
    <t>XLT–ALT Asia margins</t>
  </si>
  <si>
    <t>Light crude margins</t>
  </si>
  <si>
    <t>Arab xlt-light diff</t>
  </si>
  <si>
    <t>Metric</t>
  </si>
  <si>
    <t>Arab Medium</t>
  </si>
  <si>
    <t>Arab Extra Light</t>
  </si>
  <si>
    <t>Historical correlation</t>
  </si>
  <si>
    <t>~80% (OOS)</t>
  </si>
  <si>
    <t>~74% (OOS)</t>
  </si>
  <si>
    <t>Sign hit rate</t>
  </si>
  <si>
    <t>Very high</t>
  </si>
  <si>
    <t>~63%</t>
  </si>
  <si>
    <t>~54%</t>
  </si>
  <si>
    <t>Model risk</t>
  </si>
  <si>
    <t>Very low</t>
  </si>
  <si>
    <t>Medium</t>
  </si>
  <si>
    <t>Medium–high</t>
  </si>
  <si>
    <t>Economic transparency</t>
  </si>
  <si>
    <t>High</t>
  </si>
  <si>
    <t>Sensitivity to admin decisions</t>
  </si>
  <si>
    <t>Low</t>
  </si>
  <si>
    <t>3. Performance Comparison</t>
  </si>
  <si>
    <t>Engine 1: deterministic</t>
  </si>
  <si>
    <t>Engine 2: ridge</t>
  </si>
  <si>
    <t>Engine</t>
  </si>
  <si>
    <t>Engine 3: ridge</t>
  </si>
  <si>
    <t>Description</t>
  </si>
  <si>
    <t>Dubai Mo01 (NextGen MOC)</t>
  </si>
  <si>
    <t xml:space="preserve"> Dubai cash premium</t>
  </si>
  <si>
    <t>Monthly average of Dubai cash premium</t>
  </si>
  <si>
    <t>Projected change in OSP</t>
  </si>
  <si>
    <t>Currency/UOM</t>
  </si>
  <si>
    <t>USD/bbl</t>
  </si>
  <si>
    <t>( Mo01-Mo03)</t>
  </si>
  <si>
    <t>(from previous announcement until last data point)</t>
  </si>
  <si>
    <t>(difference between current and previous monthly averages)</t>
  </si>
  <si>
    <t>Symbol Code</t>
  </si>
  <si>
    <t>PCAAT00</t>
  </si>
  <si>
    <t>PCAAV00</t>
  </si>
  <si>
    <t>Bate</t>
  </si>
  <si>
    <t>Close</t>
  </si>
  <si>
    <t>TimeStamp</t>
  </si>
  <si>
    <t>Value</t>
  </si>
  <si>
    <t>Change in OSP</t>
  </si>
  <si>
    <t>Predicted change in OSP (before announcement)</t>
  </si>
  <si>
    <t>Hit Rate</t>
  </si>
  <si>
    <t>Hit Flag</t>
  </si>
  <si>
    <t>Date</t>
  </si>
  <si>
    <t>Arabmed_lt_diff_L0</t>
  </si>
  <si>
    <t>Qatar Marine FOB Qatar_L1</t>
  </si>
  <si>
    <t>Asia Runs_L0</t>
  </si>
  <si>
    <t>ASL/AL_L2</t>
  </si>
  <si>
    <t>AXL/AL_L2</t>
  </si>
  <si>
    <t>AM/AL_L2</t>
  </si>
  <si>
    <t>AH/AL_L2</t>
  </si>
  <si>
    <t>Dubai-ALT asia margins L1</t>
  </si>
  <si>
    <t>HCU_BVU_HSFO_L1 (1-4)</t>
  </si>
  <si>
    <t>Arabxlt_lt_diff_L0</t>
  </si>
  <si>
    <t>Asia OSP Arab Light_Delta_L0</t>
  </si>
  <si>
    <t>Naphtha FOB Spore Cargo Dubai Crack Financial_L1</t>
  </si>
  <si>
    <t>XLT-ALT asia margins L1</t>
  </si>
  <si>
    <t>Arab Med Diff to (Oman+Dubai)/2</t>
  </si>
  <si>
    <t>Arab Lt Diff to (Oman+Dubai)/2</t>
  </si>
  <si>
    <t>AAIQX00</t>
  </si>
  <si>
    <t>AAIQW00</t>
  </si>
  <si>
    <t>Middle Price Index</t>
  </si>
  <si>
    <t>Med-Light Spread</t>
  </si>
  <si>
    <t>Qatar Marine FOB Qatar vs Dubai Mo01</t>
  </si>
  <si>
    <t>QAMDA00</t>
  </si>
  <si>
    <t>Monthly (1-4)</t>
  </si>
  <si>
    <t>Yes/No</t>
  </si>
  <si>
    <t>Asia-Pacific</t>
  </si>
  <si>
    <t>Year</t>
  </si>
  <si>
    <t>Month</t>
  </si>
  <si>
    <t>ASL</t>
  </si>
  <si>
    <t>AXL</t>
  </si>
  <si>
    <t>AL</t>
  </si>
  <si>
    <t>AM</t>
  </si>
  <si>
    <t>AH</t>
  </si>
  <si>
    <t>ASL/AL</t>
  </si>
  <si>
    <t>AXL/AL</t>
  </si>
  <si>
    <t>AM/AL</t>
  </si>
  <si>
    <t>AH/AL</t>
  </si>
  <si>
    <t>FO 380 CST 3.5%S FOB Spore Cargo</t>
  </si>
  <si>
    <t>USD/mt</t>
  </si>
  <si>
    <t>PPXDK00</t>
  </si>
  <si>
    <t>Only 1-4 of the month</t>
  </si>
  <si>
    <t>Diesel Crack</t>
  </si>
  <si>
    <t>HCU_BVU_HSFO</t>
  </si>
  <si>
    <t>Dubai</t>
  </si>
  <si>
    <t>Arab XLight</t>
  </si>
  <si>
    <t>VISB/FCC/HCU</t>
  </si>
  <si>
    <t>TOPPING</t>
  </si>
  <si>
    <t>Day</t>
  </si>
  <si>
    <t>Yes</t>
  </si>
  <si>
    <t>Dubai-ALT</t>
  </si>
  <si>
    <t>Arb Super Lt Diff (Oman+Dubai)/2</t>
  </si>
  <si>
    <t>AAIQU00</t>
  </si>
  <si>
    <t>Murban OSP Diff vs Dubai</t>
  </si>
  <si>
    <t>AOSPA00</t>
  </si>
  <si>
    <t>day</t>
  </si>
  <si>
    <t>This is updated data from Vortexa as we haven't received the ministry update yet.</t>
  </si>
  <si>
    <t>margins</t>
  </si>
  <si>
    <t>Xlt-ALT</t>
  </si>
  <si>
    <t>Gasoil .001%S (10ppm) FOB Spore vs Gasoil MOPS strip</t>
  </si>
  <si>
    <t>AAOVD00</t>
  </si>
  <si>
    <t>We will have most of this as of January 2nd (Before OSP announcement and we want to predict Y (we won't have the red number yet)</t>
  </si>
  <si>
    <t>Correlation</t>
  </si>
  <si>
    <t>Super-Light spread</t>
  </si>
  <si>
    <t>Naphtha FOB Spore Cargo Dubai Crack Financial Qr01</t>
  </si>
  <si>
    <t>AAHCV00</t>
  </si>
  <si>
    <t>Actual day</t>
  </si>
  <si>
    <t>Montly Av (1-4)</t>
  </si>
  <si>
    <t>Murban_diff_dubai_L1</t>
  </si>
  <si>
    <t>We will have most of this as of January 2nd (Before OSP announcement and we want to predict Y (we won't have the red number yet).</t>
  </si>
  <si>
    <t>Importantly, we have shifted to Muban diff dubai L1, not sure this was the case before. Also, we changed how we calculate Naphta crack Dubai, let's see the impact of this in our results.</t>
  </si>
  <si>
    <t>We select Y1_pred only.</t>
  </si>
  <si>
    <t>XLT</t>
  </si>
  <si>
    <t>MED</t>
  </si>
  <si>
    <t>Arab X Lt/Berri Diff to (O+D)/2</t>
  </si>
  <si>
    <t>AAIQV00</t>
  </si>
  <si>
    <t>Xlt-Light spread</t>
  </si>
  <si>
    <t>Arab Hvy Diff to (Oman+Dubai)/2</t>
  </si>
  <si>
    <t>AAIQY00</t>
  </si>
  <si>
    <t>Hvy-Light Spread</t>
  </si>
  <si>
    <t>Arabhvy_lt_diff_L0</t>
  </si>
  <si>
    <t>Arab Heavy X</t>
  </si>
  <si>
    <t>Total Medium Sour X</t>
  </si>
  <si>
    <t>Ratio Arabhvy/total</t>
  </si>
  <si>
    <t>Arabhvy_medsour_X_L2</t>
  </si>
  <si>
    <t>Vortexa</t>
  </si>
  <si>
    <t>Arab Heavy</t>
  </si>
  <si>
    <t>FCC/HCU/Coking</t>
  </si>
  <si>
    <t>Hvy-ALT</t>
  </si>
  <si>
    <t>HVY-ALT asia margins L1</t>
  </si>
  <si>
    <t>Basrah Medium vs OSP Mo01</t>
  </si>
  <si>
    <t>BSMBM01</t>
  </si>
  <si>
    <t>Basrah_medium_L1</t>
  </si>
  <si>
    <t>Urals (DAP India) vs Dubai</t>
  </si>
  <si>
    <t>AURLA00</t>
  </si>
  <si>
    <t>URALS_L0</t>
  </si>
  <si>
    <t>AXL/Lightsour_L2</t>
  </si>
  <si>
    <t>Das_Blend_diff_Dubai_L1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</si>
</sst>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3" formatCode="_(* #,##0.00_);_(* \(#,##0.00\);_(* &quot;-&quot;??_);_(@_)"/>
    <numFmt numFmtId="164" formatCode="0.000"/>
    <numFmt numFmtId="165" formatCode="0.0%"/>
    <numFmt numFmtId="166" formatCode="_(* #,##0_);_(* \(#,##0\);_(* &quot;-&quot;??_);_(@_)"/>
    <numFmt numFmtId="167" formatCode="yyyy\-mm\-dd;@"/>
    <numFmt numFmtId="168" formatCode="0.0"/>
    <numFmt numFmtId="169" formatCode="#,##0.0"/>
  </numFmts>
  <fonts count="21"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b/>
      <sz val="11"/>
      <name val="Aptos Narrow"/>
      <family val="2"/>
      <scheme val="minor"/>
    </font>
    <font>
      <b/>
      <sz val="11"/>
      <name val="Aptos Narrow"/>
      <family val="2"/>
    </font>
    <font>
      <sz val="11"/>
      <name val="Aptos Narrow"/>
      <family val="2"/>
    </font>
    <font>
      <sz val="11"/>
      <color rgb="FF000000"/>
      <name val="Calibri"/>
      <family val="2"/>
    </font>
    <font>
      <sz val="8"/>
      <color theme="1"/>
      <name val="Arial"/>
      <family val="2"/>
    </font>
    <font>
      <sz val="10"/>
      <color theme="1"/>
      <name val="Aptos Narrow"/>
      <family val="2"/>
      <scheme val="minor"/>
    </font>
    <font>
      <sz val="11"/>
      <color rgb="FFFF0000"/>
      <name val="Aptos Narrow"/>
      <family val="2"/>
      <scheme val="minor"/>
    </font>
    <font>
      <sz val="11"/>
      <color theme="0"/>
      <name val="Aptos Narrow"/>
      <family val="2"/>
      <scheme val="minor"/>
    </font>
    <font>
      <b/>
      <sz val="11"/>
      <color theme="0"/>
      <name val="Aptos Narrow"/>
      <family val="2"/>
    </font>
    <font>
      <b/>
      <i/>
      <sz val="11"/>
      <color rgb="FFFF0000"/>
      <name val="Aptos Narrow"/>
      <family val="2"/>
      <scheme val="minor"/>
    </font>
    <font>
      <b/>
      <sz val="11"/>
      <color rgb="FFFF0000"/>
      <name val="Aptos Narrow"/>
      <family val="2"/>
      <scheme val="minor"/>
    </font>
    <font>
      <sz val="11"/>
      <color theme="6"/>
      <name val="Aptos Narrow"/>
      <family val="2"/>
      <scheme val="minor"/>
    </font>
    <font>
      <sz val="9"/>
      <color indexed="81"/>
      <name val="Tahoma"/>
      <family val="2"/>
    </font>
    <font>
      <b/>
      <sz val="9"/>
      <color indexed="81"/>
      <name val="Tahoma"/>
      <family val="2"/>
    </font>
    <font>
      <sz val="11"/>
      <name val="Aptos Narrow"/>
      <family val="2"/>
      <scheme val="minor"/>
    </font>
    <font>
      <b/>
      <sz val="11"/>
      <color rgb="FFFF0000"/>
      <name val="Aptos Narrow"/>
      <family val="2"/>
    </font>
    <font>
      <b/>
      <i/>
      <u/>
      <sz val="11"/>
      <color rgb="FFFF0000"/>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bgColor indexed="64"/>
      </patternFill>
    </fill>
    <fill>
      <patternFill patternType="solid">
        <fgColor rgb="FFFFFF00"/>
        <bgColor indexed="64"/>
      </patternFill>
    </fill>
    <fill>
      <patternFill patternType="solid">
        <fgColor theme="6"/>
        <bgColor indexed="64"/>
      </patternFill>
    </fill>
    <fill>
      <patternFill patternType="solid">
        <fgColor theme="2"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6" tint="0.79998168889431442"/>
      </top>
      <bottom style="thin">
        <color theme="6" tint="0.79998168889431442"/>
      </bottom>
      <diagonal/>
    </border>
    <border>
      <left/>
      <right/>
      <top style="thin">
        <color theme="6" tint="0.79998168889431442"/>
      </top>
      <bottom style="thin">
        <color theme="6"/>
      </bottom>
      <diagonal/>
    </border>
    <border>
      <left/>
      <right/>
      <top style="thin">
        <color theme="6" tint="0.79998168889431442"/>
      </top>
      <bottom/>
      <diagonal/>
    </border>
    <border>
      <left/>
      <right/>
      <top style="thin">
        <color theme="6"/>
      </top>
      <bottom style="thin">
        <color theme="6" tint="0.7999816888943144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double">
        <color theme="4"/>
      </bottom>
      <diagonal/>
    </border>
    <border>
      <left/>
      <right/>
      <top style="medium">
        <color indexed="64"/>
      </top>
      <bottom style="double">
        <color theme="4"/>
      </bottom>
      <diagonal/>
    </border>
    <border>
      <left/>
      <right style="medium">
        <color indexed="64"/>
      </right>
      <top style="medium">
        <color indexed="64"/>
      </top>
      <bottom style="double">
        <color theme="4"/>
      </bottom>
      <diagonal/>
    </border>
    <border>
      <left style="medium">
        <color indexed="64"/>
      </left>
      <right/>
      <top/>
      <bottom/>
      <diagonal/>
    </border>
    <border>
      <left/>
      <right style="medium">
        <color indexed="64"/>
      </right>
      <top/>
      <bottom/>
      <diagonal/>
    </border>
    <border>
      <left style="medium">
        <color indexed="64"/>
      </left>
      <right style="medium">
        <color indexed="64"/>
      </right>
      <top style="thin">
        <color theme="6" tint="0.79998168889431442"/>
      </top>
      <bottom style="thin">
        <color theme="6" tint="0.79998168889431442"/>
      </bottom>
      <diagonal/>
    </border>
    <border>
      <left/>
      <right style="thin">
        <color indexed="64"/>
      </right>
      <top/>
      <bottom/>
      <diagonal/>
    </border>
    <border>
      <left style="thin">
        <color indexed="64"/>
      </left>
      <right style="thin">
        <color indexed="64"/>
      </right>
      <top/>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2" fillId="0" borderId="5" applyNumberFormat="0" applyFill="0" applyAlignment="0" applyProtection="0"/>
    <xf numFmtId="0" fontId="7" fillId="0" borderId="0" applyBorder="0"/>
  </cellStyleXfs>
  <cellXfs count="90">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xf numFmtId="0" fontId="0" fillId="0" borderId="0" xfId="0" applyAlignment="1">
      <alignment horizontal="center"/>
    </xf>
    <xf numFmtId="0" fontId="0" fillId="0" borderId="0" xfId="0" applyAlignment="1">
      <alignment horizontal="left"/>
    </xf>
    <xf numFmtId="0" fontId="0" fillId="2" borderId="0" xfId="0" applyFill="1" applyAlignment="1">
      <alignment vertical="center" wrapText="1"/>
    </xf>
    <xf numFmtId="0" fontId="0" fillId="3" borderId="0" xfId="0" applyFill="1" applyAlignment="1">
      <alignment vertical="center" wrapText="1"/>
    </xf>
    <xf numFmtId="10" fontId="2" fillId="0" borderId="0" xfId="0" applyNumberFormat="1" applyFont="1" applyAlignment="1">
      <alignment horizontal="left" vertical="center" wrapText="1"/>
    </xf>
    <xf numFmtId="9" fontId="2" fillId="0" borderId="0" xfId="0" applyNumberFormat="1" applyFont="1" applyAlignment="1">
      <alignment horizontal="left" vertical="center" wrapText="1"/>
    </xf>
    <xf numFmtId="0" fontId="3" fillId="3" borderId="0" xfId="0" applyFont="1" applyFill="1" applyAlignment="1">
      <alignment vertical="center" wrapText="1"/>
    </xf>
    <xf numFmtId="0" fontId="3" fillId="2" borderId="0" xfId="0" applyFont="1" applyFill="1" applyAlignment="1">
      <alignment vertical="center" wrapText="1"/>
    </xf>
    <xf numFmtId="0" fontId="6" fillId="0" borderId="0" xfId="0" applyFont="1" applyAlignment="1">
      <alignment horizontal="center"/>
    </xf>
    <xf numFmtId="2" fontId="6" fillId="0" borderId="0" xfId="0" applyNumberFormat="1" applyFont="1" applyAlignment="1">
      <alignment horizontal="center"/>
    </xf>
    <xf numFmtId="2" fontId="6" fillId="0" borderId="0" xfId="0" applyNumberFormat="1" applyFont="1" applyAlignment="1">
      <alignment horizontal="left"/>
    </xf>
    <xf numFmtId="0" fontId="6" fillId="0" borderId="0" xfId="0" applyFont="1"/>
    <xf numFmtId="14" fontId="0" fillId="0" borderId="0" xfId="0" applyNumberFormat="1"/>
    <xf numFmtId="4" fontId="0" fillId="0" borderId="0" xfId="0" applyNumberFormat="1"/>
    <xf numFmtId="2" fontId="0" fillId="0" borderId="0" xfId="0" applyNumberFormat="1"/>
    <xf numFmtId="164" fontId="0" fillId="0" borderId="0" xfId="0" applyNumberFormat="1"/>
    <xf numFmtId="14" fontId="0" fillId="2" borderId="0" xfId="0" applyNumberFormat="1" applyFill="1"/>
    <xf numFmtId="1" fontId="0" fillId="0" borderId="0" xfId="0" applyNumberFormat="1"/>
    <xf numFmtId="0" fontId="5" fillId="0" borderId="1" xfId="0" applyFont="1" applyBorder="1"/>
    <xf numFmtId="2" fontId="5" fillId="0" borderId="1" xfId="0" applyNumberFormat="1" applyFont="1" applyBorder="1" applyAlignment="1">
      <alignment horizontal="left"/>
    </xf>
    <xf numFmtId="14" fontId="0" fillId="0" borderId="1" xfId="0" applyNumberFormat="1" applyBorder="1"/>
    <xf numFmtId="2" fontId="0" fillId="0" borderId="1" xfId="0" applyNumberFormat="1" applyBorder="1"/>
    <xf numFmtId="0" fontId="0" fillId="0" borderId="1" xfId="0" applyBorder="1"/>
    <xf numFmtId="165" fontId="0" fillId="0" borderId="1" xfId="1" applyNumberFormat="1" applyFont="1" applyBorder="1"/>
    <xf numFmtId="2" fontId="6" fillId="0" borderId="1" xfId="0" applyNumberFormat="1" applyFont="1" applyBorder="1"/>
    <xf numFmtId="0" fontId="0" fillId="4" borderId="0" xfId="0" applyFill="1"/>
    <xf numFmtId="17" fontId="0" fillId="0" borderId="0" xfId="0" applyNumberFormat="1"/>
    <xf numFmtId="166" fontId="8" fillId="0" borderId="0" xfId="0" applyNumberFormat="1" applyFont="1"/>
    <xf numFmtId="0" fontId="2" fillId="0" borderId="5" xfId="3"/>
    <xf numFmtId="166" fontId="0" fillId="0" borderId="0" xfId="2" applyNumberFormat="1" applyFont="1"/>
    <xf numFmtId="0" fontId="4" fillId="0" borderId="6" xfId="0" applyFont="1" applyBorder="1" applyAlignment="1">
      <alignment horizontal="left" vertical="center" indent="2"/>
    </xf>
    <xf numFmtId="0" fontId="2" fillId="2" borderId="6" xfId="0" applyFont="1" applyFill="1" applyBorder="1"/>
    <xf numFmtId="0" fontId="2" fillId="2" borderId="7" xfId="0" applyFont="1" applyFill="1" applyBorder="1"/>
    <xf numFmtId="167" fontId="0" fillId="2" borderId="6" xfId="0" applyNumberFormat="1" applyFill="1" applyBorder="1"/>
    <xf numFmtId="8" fontId="9" fillId="2" borderId="6" xfId="0" applyNumberFormat="1" applyFont="1" applyFill="1" applyBorder="1" applyAlignment="1">
      <alignment wrapText="1"/>
    </xf>
    <xf numFmtId="167" fontId="0" fillId="2" borderId="8" xfId="0" applyNumberFormat="1" applyFill="1" applyBorder="1"/>
    <xf numFmtId="8" fontId="9" fillId="2" borderId="8" xfId="0" applyNumberFormat="1" applyFont="1" applyFill="1" applyBorder="1" applyAlignment="1">
      <alignment wrapText="1"/>
    </xf>
    <xf numFmtId="14" fontId="0" fillId="5" borderId="0" xfId="0" applyNumberFormat="1" applyFill="1"/>
    <xf numFmtId="0" fontId="0" fillId="5" borderId="0" xfId="0" applyFill="1"/>
    <xf numFmtId="0" fontId="11" fillId="6" borderId="1" xfId="0" applyFont="1" applyFill="1" applyBorder="1"/>
    <xf numFmtId="0" fontId="12" fillId="6" borderId="1" xfId="0" applyFont="1" applyFill="1" applyBorder="1"/>
    <xf numFmtId="0" fontId="12" fillId="6" borderId="1" xfId="0" applyFont="1" applyFill="1" applyBorder="1" applyAlignment="1">
      <alignment horizontal="center"/>
    </xf>
    <xf numFmtId="2" fontId="12" fillId="6" borderId="1" xfId="0" applyNumberFormat="1" applyFont="1" applyFill="1" applyBorder="1" applyAlignment="1">
      <alignment horizontal="left"/>
    </xf>
    <xf numFmtId="166" fontId="0" fillId="5" borderId="0" xfId="2" applyNumberFormat="1" applyFont="1" applyFill="1"/>
    <xf numFmtId="0" fontId="13" fillId="0" borderId="0" xfId="0" applyFont="1"/>
    <xf numFmtId="0" fontId="4" fillId="0" borderId="9" xfId="0" applyFont="1" applyBorder="1" applyAlignment="1">
      <alignment horizontal="left" vertical="center" indent="2"/>
    </xf>
    <xf numFmtId="0" fontId="2" fillId="2" borderId="9" xfId="0" applyFont="1" applyFill="1" applyBorder="1"/>
    <xf numFmtId="0" fontId="2" fillId="2" borderId="9" xfId="0" applyFont="1" applyFill="1" applyBorder="1" applyAlignment="1">
      <alignment wrapText="1"/>
    </xf>
    <xf numFmtId="0" fontId="10" fillId="0" borderId="0" xfId="0" applyFont="1"/>
    <xf numFmtId="0" fontId="0" fillId="0" borderId="10" xfId="0" applyBorder="1"/>
    <xf numFmtId="0" fontId="0" fillId="0" borderId="11" xfId="0" applyBorder="1"/>
    <xf numFmtId="0" fontId="10" fillId="0" borderId="11" xfId="0" applyFont="1" applyBorder="1"/>
    <xf numFmtId="0" fontId="2" fillId="0" borderId="12" xfId="3" applyBorder="1"/>
    <xf numFmtId="0" fontId="2" fillId="0" borderId="13" xfId="3" applyBorder="1"/>
    <xf numFmtId="0" fontId="2" fillId="0" borderId="14" xfId="3" applyBorder="1"/>
    <xf numFmtId="43" fontId="0" fillId="0" borderId="15" xfId="0" applyNumberFormat="1" applyBorder="1"/>
    <xf numFmtId="43" fontId="0" fillId="0" borderId="0" xfId="0" applyNumberFormat="1"/>
    <xf numFmtId="43" fontId="0" fillId="0" borderId="16" xfId="0" applyNumberFormat="1" applyBorder="1"/>
    <xf numFmtId="0" fontId="0" fillId="0" borderId="15" xfId="0" applyBorder="1"/>
    <xf numFmtId="0" fontId="0" fillId="0" borderId="16" xfId="0" applyBorder="1"/>
    <xf numFmtId="0" fontId="14" fillId="2" borderId="17" xfId="0" applyFont="1" applyFill="1" applyBorder="1"/>
    <xf numFmtId="2" fontId="0" fillId="0" borderId="11" xfId="0" applyNumberFormat="1" applyBorder="1"/>
    <xf numFmtId="2" fontId="15" fillId="5" borderId="0" xfId="0" applyNumberFormat="1" applyFont="1" applyFill="1"/>
    <xf numFmtId="9" fontId="0" fillId="0" borderId="1" xfId="1" applyFont="1" applyBorder="1"/>
    <xf numFmtId="168" fontId="0" fillId="0" borderId="11" xfId="0" applyNumberFormat="1" applyBorder="1"/>
    <xf numFmtId="168" fontId="0" fillId="0" borderId="0" xfId="0" applyNumberFormat="1"/>
    <xf numFmtId="2" fontId="0" fillId="7" borderId="0" xfId="0" applyNumberFormat="1" applyFill="1"/>
    <xf numFmtId="2" fontId="0" fillId="5" borderId="0" xfId="0" applyNumberFormat="1" applyFill="1"/>
    <xf numFmtId="4" fontId="0" fillId="0" borderId="1" xfId="0" applyNumberFormat="1" applyBorder="1"/>
    <xf numFmtId="169" fontId="10" fillId="0" borderId="1" xfId="0" applyNumberFormat="1" applyFont="1" applyBorder="1"/>
    <xf numFmtId="0" fontId="18" fillId="0" borderId="0" xfId="0" applyFont="1"/>
    <xf numFmtId="0" fontId="18" fillId="0" borderId="11" xfId="0" applyFont="1" applyBorder="1"/>
    <xf numFmtId="2" fontId="0" fillId="5" borderId="15" xfId="0" applyNumberFormat="1" applyFill="1" applyBorder="1"/>
    <xf numFmtId="2" fontId="0" fillId="5" borderId="16" xfId="0" applyNumberFormat="1" applyFill="1" applyBorder="1"/>
    <xf numFmtId="0" fontId="2" fillId="2" borderId="0" xfId="0" applyFont="1" applyFill="1" applyAlignment="1">
      <alignment horizontal="center"/>
    </xf>
    <xf numFmtId="2" fontId="19" fillId="6" borderId="1" xfId="0" applyNumberFormat="1" applyFont="1" applyFill="1" applyBorder="1" applyAlignment="1">
      <alignment horizontal="center"/>
    </xf>
    <xf numFmtId="0" fontId="20" fillId="5" borderId="0" xfId="0" applyFont="1" applyFill="1"/>
    <xf numFmtId="0" fontId="11" fillId="6" borderId="18" xfId="0" applyFont="1" applyFill="1" applyBorder="1"/>
    <xf numFmtId="168" fontId="0" fillId="5" borderId="0" xfId="0" applyNumberFormat="1" applyFill="1"/>
    <xf numFmtId="0" fontId="11" fillId="6" borderId="19" xfId="0" applyFont="1" applyFill="1" applyBorder="1"/>
    <xf numFmtId="0" fontId="10" fillId="5" borderId="0" xfId="0" applyFont="1" applyFill="1"/>
    <xf numFmtId="169" fontId="0" fillId="0" borderId="0" xfId="0" applyNumberFormat="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cellXfs>
  <cellStyles count="5">
    <cellStyle name="Comma" xfId="2" builtinId="3"/>
    <cellStyle name="Normal" xfId="0" builtinId="0"/>
    <cellStyle name="Normal 2" xfId="4" xr:uid="{A36C6028-FDCC-4356-B2E0-9F837F94AEEE}"/>
    <cellStyle name="Percent" xfId="1" builtinId="5"/>
    <cellStyle name="Total" xfId="3" builtinId="25"/>
  </cellStyles>
  <dxfs count="1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ill>
        <patternFill>
          <fgColor indexed="64"/>
          <bgColor theme="0"/>
        </patternFill>
      </fill>
      <alignment horizontal="general" vertical="center" textRotation="0" wrapText="1" indent="0" justifyLastLine="0" shrinkToFit="0" readingOrder="0"/>
    </dxf>
    <dxf>
      <fill>
        <patternFill>
          <fgColor indexed="64"/>
          <bgColor theme="0"/>
        </patternFill>
      </fill>
      <alignment horizontal="general" vertical="center" textRotation="0" wrapText="1" indent="0" justifyLastLine="0" shrinkToFit="0" readingOrder="0"/>
    </dxf>
    <dxf>
      <fill>
        <patternFill>
          <fgColor indexed="64"/>
          <bgColor theme="0"/>
        </patternFill>
      </fill>
      <alignment horizontal="general" vertical="center" textRotation="0" wrapText="1" indent="0" justifyLastLine="0" shrinkToFit="0" readingOrder="0"/>
    </dxf>
    <dxf>
      <fill>
        <patternFill>
          <fgColor indexed="64"/>
          <bgColor theme="0"/>
        </patternFill>
      </fill>
      <alignment horizontal="general" vertical="center" textRotation="0" wrapText="1" indent="0" justifyLastLine="0" shrinkToFit="0" readingOrder="0"/>
    </dxf>
    <dxf>
      <font>
        <b/>
        <i/>
      </font>
      <fill>
        <patternFill>
          <fgColor indexed="64"/>
          <bgColor theme="0"/>
        </patternFill>
      </fill>
      <alignment horizontal="general" vertical="center" textRotation="0" wrapText="1" indent="0" justifyLastLine="0" shrinkToFit="0" readingOrder="0"/>
    </dxf>
    <dxf>
      <fill>
        <patternFill>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Change</a:t>
            </a:r>
            <a:r>
              <a:rPr lang="en-US" baseline="0"/>
              <a:t> in Arab light OSP vs Predicted change in Arab light OSP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'Arablight OSP'!$L$1</c:f>
              <c:strCache>
                <c:ptCount val="1"/>
                <c:pt idx="0">
                  <c:v>Change in OSP</c:v>
                </c:pt>
              </c:strCache>
            </c:strRef>
          </c:tx>
          <c:spPr>
            <a:ln w="28575" cap="rnd">
              <a:solidFill>
                <a:schemeClr val="accent2"/>
              </a:solidFill>
              <a:round/>
            </a:ln>
            <a:effectLst/>
          </c:spPr>
          <c:marker>
            <c:symbol val="none"/>
          </c:marker>
          <c:cat>
            <c:numRef>
              <c:f>'Arablight OSP'!$J$3:$J$53</c:f>
              <c:numCache>
                <c:formatCode>m/d/yyyy</c:formatCode>
                <c:ptCount val="51"/>
                <c:pt idx="0">
                  <c:v>46054</c:v>
                </c:pt>
                <c:pt idx="1">
                  <c:v>46023</c:v>
                </c:pt>
                <c:pt idx="2">
                  <c:v>45992</c:v>
                </c:pt>
                <c:pt idx="3">
                  <c:v>45962</c:v>
                </c:pt>
                <c:pt idx="4">
                  <c:v>45931</c:v>
                </c:pt>
                <c:pt idx="5">
                  <c:v>45901</c:v>
                </c:pt>
                <c:pt idx="6">
                  <c:v>45870</c:v>
                </c:pt>
                <c:pt idx="7">
                  <c:v>45839</c:v>
                </c:pt>
                <c:pt idx="8">
                  <c:v>45809</c:v>
                </c:pt>
                <c:pt idx="9">
                  <c:v>45778</c:v>
                </c:pt>
                <c:pt idx="10">
                  <c:v>45748</c:v>
                </c:pt>
                <c:pt idx="11">
                  <c:v>45717</c:v>
                </c:pt>
                <c:pt idx="12">
                  <c:v>45689</c:v>
                </c:pt>
                <c:pt idx="13">
                  <c:v>45658</c:v>
                </c:pt>
                <c:pt idx="14">
                  <c:v>45627</c:v>
                </c:pt>
                <c:pt idx="15">
                  <c:v>45597</c:v>
                </c:pt>
                <c:pt idx="16">
                  <c:v>45566</c:v>
                </c:pt>
                <c:pt idx="17">
                  <c:v>45536</c:v>
                </c:pt>
                <c:pt idx="18">
                  <c:v>45505</c:v>
                </c:pt>
                <c:pt idx="19">
                  <c:v>45474</c:v>
                </c:pt>
                <c:pt idx="20">
                  <c:v>45444</c:v>
                </c:pt>
                <c:pt idx="21">
                  <c:v>45413</c:v>
                </c:pt>
                <c:pt idx="22">
                  <c:v>45383</c:v>
                </c:pt>
                <c:pt idx="23">
                  <c:v>45352</c:v>
                </c:pt>
                <c:pt idx="24">
                  <c:v>45323</c:v>
                </c:pt>
                <c:pt idx="25">
                  <c:v>45292</c:v>
                </c:pt>
                <c:pt idx="26">
                  <c:v>45261</c:v>
                </c:pt>
                <c:pt idx="27">
                  <c:v>45231</c:v>
                </c:pt>
                <c:pt idx="28">
                  <c:v>45200</c:v>
                </c:pt>
                <c:pt idx="29">
                  <c:v>45170</c:v>
                </c:pt>
                <c:pt idx="30">
                  <c:v>45139</c:v>
                </c:pt>
                <c:pt idx="31">
                  <c:v>45108</c:v>
                </c:pt>
                <c:pt idx="32">
                  <c:v>45078</c:v>
                </c:pt>
                <c:pt idx="33">
                  <c:v>45047</c:v>
                </c:pt>
                <c:pt idx="34">
                  <c:v>45017</c:v>
                </c:pt>
                <c:pt idx="35">
                  <c:v>44986</c:v>
                </c:pt>
                <c:pt idx="36">
                  <c:v>44958</c:v>
                </c:pt>
                <c:pt idx="37">
                  <c:v>44927</c:v>
                </c:pt>
                <c:pt idx="38">
                  <c:v>44896</c:v>
                </c:pt>
                <c:pt idx="39">
                  <c:v>44866</c:v>
                </c:pt>
                <c:pt idx="40">
                  <c:v>44835</c:v>
                </c:pt>
                <c:pt idx="41">
                  <c:v>44805</c:v>
                </c:pt>
                <c:pt idx="42">
                  <c:v>44774</c:v>
                </c:pt>
                <c:pt idx="43">
                  <c:v>44743</c:v>
                </c:pt>
                <c:pt idx="44">
                  <c:v>44713</c:v>
                </c:pt>
                <c:pt idx="45">
                  <c:v>44682</c:v>
                </c:pt>
                <c:pt idx="46">
                  <c:v>44652</c:v>
                </c:pt>
                <c:pt idx="47">
                  <c:v>44621</c:v>
                </c:pt>
                <c:pt idx="48">
                  <c:v>44593</c:v>
                </c:pt>
                <c:pt idx="49">
                  <c:v>44562</c:v>
                </c:pt>
                <c:pt idx="50">
                  <c:v>44531</c:v>
                </c:pt>
              </c:numCache>
            </c:numRef>
          </c:cat>
          <c:val>
            <c:numRef>
              <c:f>'Arablight OSP'!$L$3:$L$53</c:f>
              <c:numCache>
                <c:formatCode>0.00</c:formatCode>
                <c:ptCount val="51"/>
                <c:pt idx="0">
                  <c:v>-0.3</c:v>
                </c:pt>
                <c:pt idx="1">
                  <c:v>-0.4</c:v>
                </c:pt>
                <c:pt idx="2">
                  <c:v>-1.2000000000000002</c:v>
                </c:pt>
                <c:pt idx="3">
                  <c:v>0</c:v>
                </c:pt>
                <c:pt idx="4">
                  <c:v>-1</c:v>
                </c:pt>
                <c:pt idx="5">
                  <c:v>1</c:v>
                </c:pt>
                <c:pt idx="6">
                  <c:v>1.0000000000000002</c:v>
                </c:pt>
                <c:pt idx="7">
                  <c:v>-0.19999999999999996</c:v>
                </c:pt>
                <c:pt idx="8">
                  <c:v>0.19999999999999996</c:v>
                </c:pt>
                <c:pt idx="9">
                  <c:v>-2.2999999999999998</c:v>
                </c:pt>
                <c:pt idx="10">
                  <c:v>-0.39999999999999991</c:v>
                </c:pt>
                <c:pt idx="11">
                  <c:v>2.4</c:v>
                </c:pt>
                <c:pt idx="12">
                  <c:v>0.6</c:v>
                </c:pt>
                <c:pt idx="13">
                  <c:v>-0.79999999999999993</c:v>
                </c:pt>
                <c:pt idx="14">
                  <c:v>-0.50000000000000022</c:v>
                </c:pt>
                <c:pt idx="15">
                  <c:v>0.90000000000000013</c:v>
                </c:pt>
                <c:pt idx="16">
                  <c:v>-0.7</c:v>
                </c:pt>
                <c:pt idx="17">
                  <c:v>0.19999999999999996</c:v>
                </c:pt>
                <c:pt idx="18">
                  <c:v>-0.59999999999999987</c:v>
                </c:pt>
                <c:pt idx="19">
                  <c:v>-0.5</c:v>
                </c:pt>
                <c:pt idx="20">
                  <c:v>0.89999999999999991</c:v>
                </c:pt>
                <c:pt idx="21">
                  <c:v>0.30000000000000004</c:v>
                </c:pt>
                <c:pt idx="22">
                  <c:v>0.19999999999999996</c:v>
                </c:pt>
                <c:pt idx="23">
                  <c:v>0</c:v>
                </c:pt>
                <c:pt idx="24">
                  <c:v>-2</c:v>
                </c:pt>
                <c:pt idx="25">
                  <c:v>-0.5</c:v>
                </c:pt>
                <c:pt idx="26">
                  <c:v>0</c:v>
                </c:pt>
                <c:pt idx="27">
                  <c:v>0.39999999999999991</c:v>
                </c:pt>
                <c:pt idx="28">
                  <c:v>0.10000000000000009</c:v>
                </c:pt>
                <c:pt idx="29">
                  <c:v>0.29999999999999982</c:v>
                </c:pt>
                <c:pt idx="30">
                  <c:v>0.20000000000000018</c:v>
                </c:pt>
                <c:pt idx="31">
                  <c:v>0.45000000000000018</c:v>
                </c:pt>
                <c:pt idx="32">
                  <c:v>-0.25</c:v>
                </c:pt>
                <c:pt idx="33">
                  <c:v>0.29999999999999982</c:v>
                </c:pt>
                <c:pt idx="34">
                  <c:v>0.5</c:v>
                </c:pt>
                <c:pt idx="35">
                  <c:v>0.19999999999999996</c:v>
                </c:pt>
                <c:pt idx="36">
                  <c:v>-1.45</c:v>
                </c:pt>
                <c:pt idx="37">
                  <c:v>-2.2000000000000002</c:v>
                </c:pt>
                <c:pt idx="38">
                  <c:v>-0.39999999999999947</c:v>
                </c:pt>
                <c:pt idx="39">
                  <c:v>0</c:v>
                </c:pt>
                <c:pt idx="40">
                  <c:v>-3.9500000000000011</c:v>
                </c:pt>
                <c:pt idx="41">
                  <c:v>0.5</c:v>
                </c:pt>
                <c:pt idx="42">
                  <c:v>2.8000000000000007</c:v>
                </c:pt>
                <c:pt idx="43">
                  <c:v>2.0999999999999996</c:v>
                </c:pt>
                <c:pt idx="44">
                  <c:v>-4.9499999999999993</c:v>
                </c:pt>
                <c:pt idx="45">
                  <c:v>4.3999999999999995</c:v>
                </c:pt>
                <c:pt idx="46">
                  <c:v>2.1500000000000004</c:v>
                </c:pt>
                <c:pt idx="47">
                  <c:v>0.59999999999999964</c:v>
                </c:pt>
                <c:pt idx="48">
                  <c:v>-1.0999999999999996</c:v>
                </c:pt>
                <c:pt idx="49">
                  <c:v>0.59999999999999964</c:v>
                </c:pt>
              </c:numCache>
            </c:numRef>
          </c:val>
          <c:smooth val="0"/>
          <c:extLst>
            <c:ext xmlns:c16="http://schemas.microsoft.com/office/drawing/2014/chart" uri="{C3380CC4-5D6E-409C-BE32-E72D297353CC}">
              <c16:uniqueId val="{00000001-DC9C-4F2A-87B6-2E03DAE31DDE}"/>
            </c:ext>
          </c:extLst>
        </c:ser>
        <c:ser>
          <c:idx val="2"/>
          <c:order val="2"/>
          <c:tx>
            <c:strRef>
              <c:f>'Arablight OSP'!$M$1</c:f>
              <c:strCache>
                <c:ptCount val="1"/>
                <c:pt idx="0">
                  <c:v>Predicted change in OSP (before announcement)</c:v>
                </c:pt>
              </c:strCache>
            </c:strRef>
          </c:tx>
          <c:spPr>
            <a:ln w="22225" cap="rnd">
              <a:solidFill>
                <a:schemeClr val="accent3"/>
              </a:solidFill>
              <a:prstDash val="dash"/>
              <a:round/>
            </a:ln>
            <a:effectLst/>
          </c:spPr>
          <c:marker>
            <c:symbol val="none"/>
          </c:marker>
          <c:cat>
            <c:numRef>
              <c:f>'Arablight OSP'!$J$3:$J$53</c:f>
              <c:numCache>
                <c:formatCode>m/d/yyyy</c:formatCode>
                <c:ptCount val="51"/>
                <c:pt idx="0">
                  <c:v>46054</c:v>
                </c:pt>
                <c:pt idx="1">
                  <c:v>46023</c:v>
                </c:pt>
                <c:pt idx="2">
                  <c:v>45992</c:v>
                </c:pt>
                <c:pt idx="3">
                  <c:v>45962</c:v>
                </c:pt>
                <c:pt idx="4">
                  <c:v>45931</c:v>
                </c:pt>
                <c:pt idx="5">
                  <c:v>45901</c:v>
                </c:pt>
                <c:pt idx="6">
                  <c:v>45870</c:v>
                </c:pt>
                <c:pt idx="7">
                  <c:v>45839</c:v>
                </c:pt>
                <c:pt idx="8">
                  <c:v>45809</c:v>
                </c:pt>
                <c:pt idx="9">
                  <c:v>45778</c:v>
                </c:pt>
                <c:pt idx="10">
                  <c:v>45748</c:v>
                </c:pt>
                <c:pt idx="11">
                  <c:v>45717</c:v>
                </c:pt>
                <c:pt idx="12">
                  <c:v>45689</c:v>
                </c:pt>
                <c:pt idx="13">
                  <c:v>45658</c:v>
                </c:pt>
                <c:pt idx="14">
                  <c:v>45627</c:v>
                </c:pt>
                <c:pt idx="15">
                  <c:v>45597</c:v>
                </c:pt>
                <c:pt idx="16">
                  <c:v>45566</c:v>
                </c:pt>
                <c:pt idx="17">
                  <c:v>45536</c:v>
                </c:pt>
                <c:pt idx="18">
                  <c:v>45505</c:v>
                </c:pt>
                <c:pt idx="19">
                  <c:v>45474</c:v>
                </c:pt>
                <c:pt idx="20">
                  <c:v>45444</c:v>
                </c:pt>
                <c:pt idx="21">
                  <c:v>45413</c:v>
                </c:pt>
                <c:pt idx="22">
                  <c:v>45383</c:v>
                </c:pt>
                <c:pt idx="23">
                  <c:v>45352</c:v>
                </c:pt>
                <c:pt idx="24">
                  <c:v>45323</c:v>
                </c:pt>
                <c:pt idx="25">
                  <c:v>45292</c:v>
                </c:pt>
                <c:pt idx="26">
                  <c:v>45261</c:v>
                </c:pt>
                <c:pt idx="27">
                  <c:v>45231</c:v>
                </c:pt>
                <c:pt idx="28">
                  <c:v>45200</c:v>
                </c:pt>
                <c:pt idx="29">
                  <c:v>45170</c:v>
                </c:pt>
                <c:pt idx="30">
                  <c:v>45139</c:v>
                </c:pt>
                <c:pt idx="31">
                  <c:v>45108</c:v>
                </c:pt>
                <c:pt idx="32">
                  <c:v>45078</c:v>
                </c:pt>
                <c:pt idx="33">
                  <c:v>45047</c:v>
                </c:pt>
                <c:pt idx="34">
                  <c:v>45017</c:v>
                </c:pt>
                <c:pt idx="35">
                  <c:v>44986</c:v>
                </c:pt>
                <c:pt idx="36">
                  <c:v>44958</c:v>
                </c:pt>
                <c:pt idx="37">
                  <c:v>44927</c:v>
                </c:pt>
                <c:pt idx="38">
                  <c:v>44896</c:v>
                </c:pt>
                <c:pt idx="39">
                  <c:v>44866</c:v>
                </c:pt>
                <c:pt idx="40">
                  <c:v>44835</c:v>
                </c:pt>
                <c:pt idx="41">
                  <c:v>44805</c:v>
                </c:pt>
                <c:pt idx="42">
                  <c:v>44774</c:v>
                </c:pt>
                <c:pt idx="43">
                  <c:v>44743</c:v>
                </c:pt>
                <c:pt idx="44">
                  <c:v>44713</c:v>
                </c:pt>
                <c:pt idx="45">
                  <c:v>44682</c:v>
                </c:pt>
                <c:pt idx="46">
                  <c:v>44652</c:v>
                </c:pt>
                <c:pt idx="47">
                  <c:v>44621</c:v>
                </c:pt>
                <c:pt idx="48">
                  <c:v>44593</c:v>
                </c:pt>
                <c:pt idx="49">
                  <c:v>44562</c:v>
                </c:pt>
                <c:pt idx="50">
                  <c:v>44531</c:v>
                </c:pt>
              </c:numCache>
            </c:numRef>
          </c:cat>
          <c:val>
            <c:numRef>
              <c:f>'Arablight OSP'!$M$3:$M$53</c:f>
              <c:numCache>
                <c:formatCode>0.00</c:formatCode>
                <c:ptCount val="51"/>
                <c:pt idx="0">
                  <c:v>-0.20252392344497772</c:v>
                </c:pt>
                <c:pt idx="1">
                  <c:v>-0.60690191387559667</c:v>
                </c:pt>
                <c:pt idx="2">
                  <c:v>-1.2704444444444469</c:v>
                </c:pt>
                <c:pt idx="3">
                  <c:v>7.8619047619050253E-2</c:v>
                </c:pt>
                <c:pt idx="4">
                  <c:v>-0.49911904761904902</c:v>
                </c:pt>
                <c:pt idx="5">
                  <c:v>0.7977500000000024</c:v>
                </c:pt>
                <c:pt idx="6">
                  <c:v>0.86899999999999933</c:v>
                </c:pt>
                <c:pt idx="7">
                  <c:v>-0.15608333333333557</c:v>
                </c:pt>
                <c:pt idx="8">
                  <c:v>-6.1166666666666591E-2</c:v>
                </c:pt>
                <c:pt idx="9">
                  <c:v>-1.7691111111111097</c:v>
                </c:pt>
                <c:pt idx="10">
                  <c:v>-0.3241520467836243</c:v>
                </c:pt>
                <c:pt idx="11">
                  <c:v>2.4334210526315792</c:v>
                </c:pt>
                <c:pt idx="12">
                  <c:v>0.47959210526315632</c:v>
                </c:pt>
                <c:pt idx="13">
                  <c:v>-0.83590789473684246</c:v>
                </c:pt>
                <c:pt idx="14">
                  <c:v>-0.4658421052631545</c:v>
                </c:pt>
                <c:pt idx="15">
                  <c:v>0.99599999999999722</c:v>
                </c:pt>
                <c:pt idx="16">
                  <c:v>-0.53604761904762033</c:v>
                </c:pt>
                <c:pt idx="17">
                  <c:v>0.59615288220551388</c:v>
                </c:pt>
                <c:pt idx="18">
                  <c:v>-0.74552631578947104</c:v>
                </c:pt>
                <c:pt idx="19">
                  <c:v>-0.43519005847953229</c:v>
                </c:pt>
                <c:pt idx="20">
                  <c:v>0.73386111111110974</c:v>
                </c:pt>
                <c:pt idx="21">
                  <c:v>0.31685526315789447</c:v>
                </c:pt>
                <c:pt idx="22">
                  <c:v>2.2894736842105967E-2</c:v>
                </c:pt>
                <c:pt idx="23">
                  <c:v>0.85078947368420788</c:v>
                </c:pt>
                <c:pt idx="24">
                  <c:v>-1.4999999999999978</c:v>
                </c:pt>
                <c:pt idx="25">
                  <c:v>-0.77269423558897254</c:v>
                </c:pt>
                <c:pt idx="26">
                  <c:v>-0.20784523809523625</c:v>
                </c:pt>
                <c:pt idx="27">
                  <c:v>0.70308333333333128</c:v>
                </c:pt>
                <c:pt idx="28">
                  <c:v>0.34214285714286041</c:v>
                </c:pt>
                <c:pt idx="29">
                  <c:v>0.49847117794486029</c:v>
                </c:pt>
                <c:pt idx="30">
                  <c:v>0.16830263157894554</c:v>
                </c:pt>
                <c:pt idx="31">
                  <c:v>-0.72669444444444498</c:v>
                </c:pt>
                <c:pt idx="32">
                  <c:v>0.14694444444444654</c:v>
                </c:pt>
                <c:pt idx="33">
                  <c:v>-0.59776315789473644</c:v>
                </c:pt>
                <c:pt idx="34">
                  <c:v>0.9918421052631563</c:v>
                </c:pt>
                <c:pt idx="35">
                  <c:v>-0.15421052631578913</c:v>
                </c:pt>
                <c:pt idx="36">
                  <c:v>-1.1431184210526342</c:v>
                </c:pt>
                <c:pt idx="37">
                  <c:v>-2.2787499999999956</c:v>
                </c:pt>
                <c:pt idx="38">
                  <c:v>-0.6515000000000013</c:v>
                </c:pt>
                <c:pt idx="39">
                  <c:v>0.55999999999999783</c:v>
                </c:pt>
                <c:pt idx="40">
                  <c:v>-4.2082499999999978</c:v>
                </c:pt>
                <c:pt idx="41">
                  <c:v>1.2182500000000003</c:v>
                </c:pt>
                <c:pt idx="42">
                  <c:v>2.3777500000000016</c:v>
                </c:pt>
                <c:pt idx="43">
                  <c:v>1.9251944444444442</c:v>
                </c:pt>
                <c:pt idx="44">
                  <c:v>-5.205694444444446</c:v>
                </c:pt>
                <c:pt idx="45">
                  <c:v>4.1340277777777752</c:v>
                </c:pt>
                <c:pt idx="46">
                  <c:v>2.3460380116959105</c:v>
                </c:pt>
                <c:pt idx="47">
                  <c:v>0.78368421052631598</c:v>
                </c:pt>
                <c:pt idx="48">
                  <c:v>-1.8225000000000025</c:v>
                </c:pt>
                <c:pt idx="49">
                  <c:v>-6.1363636363636065E-2</c:v>
                </c:pt>
              </c:numCache>
            </c:numRef>
          </c:val>
          <c:smooth val="0"/>
          <c:extLst>
            <c:ext xmlns:c16="http://schemas.microsoft.com/office/drawing/2014/chart" uri="{C3380CC4-5D6E-409C-BE32-E72D297353CC}">
              <c16:uniqueId val="{00000002-DC9C-4F2A-87B6-2E03DAE31DDE}"/>
            </c:ext>
          </c:extLst>
        </c:ser>
        <c:dLbls>
          <c:showLegendKey val="0"/>
          <c:showVal val="0"/>
          <c:showCatName val="0"/>
          <c:showSerName val="0"/>
          <c:showPercent val="0"/>
          <c:showBubbleSize val="0"/>
        </c:dLbls>
        <c:smooth val="0"/>
        <c:axId val="1161211504"/>
        <c:axId val="1161208144"/>
        <c:extLst>
          <c:ext xmlns:c15="http://schemas.microsoft.com/office/drawing/2012/chart" uri="{02D57815-91ED-43cb-92C2-25804820EDAC}">
            <c15:filteredLineSeries>
              <c15:ser>
                <c:idx val="0"/>
                <c:order val="0"/>
                <c:tx>
                  <c:strRef>
                    <c:extLst>
                      <c:ext uri="{02D57815-91ED-43cb-92C2-25804820EDAC}">
                        <c15:formulaRef>
                          <c15:sqref>'Arablight OSP'!$K$1</c15:sqref>
                        </c15:formulaRef>
                      </c:ext>
                    </c:extLst>
                    <c:strCache>
                      <c:ptCount val="1"/>
                      <c:pt idx="0">
                        <c:v>Value</c:v>
                      </c:pt>
                    </c:strCache>
                  </c:strRef>
                </c:tx>
                <c:spPr>
                  <a:ln w="28575" cap="rnd">
                    <a:solidFill>
                      <a:schemeClr val="accent1"/>
                    </a:solidFill>
                    <a:round/>
                  </a:ln>
                  <a:effectLst/>
                </c:spPr>
                <c:marker>
                  <c:symbol val="none"/>
                </c:marker>
                <c:cat>
                  <c:numRef>
                    <c:extLst>
                      <c:ext uri="{02D57815-91ED-43cb-92C2-25804820EDAC}">
                        <c15:formulaRef>
                          <c15:sqref>'Arablight OSP'!$J$3:$J$53</c15:sqref>
                        </c15:formulaRef>
                      </c:ext>
                    </c:extLst>
                    <c:numCache>
                      <c:formatCode>m/d/yyyy</c:formatCode>
                      <c:ptCount val="51"/>
                      <c:pt idx="0">
                        <c:v>46054</c:v>
                      </c:pt>
                      <c:pt idx="1">
                        <c:v>46023</c:v>
                      </c:pt>
                      <c:pt idx="2">
                        <c:v>45992</c:v>
                      </c:pt>
                      <c:pt idx="3">
                        <c:v>45962</c:v>
                      </c:pt>
                      <c:pt idx="4">
                        <c:v>45931</c:v>
                      </c:pt>
                      <c:pt idx="5">
                        <c:v>45901</c:v>
                      </c:pt>
                      <c:pt idx="6">
                        <c:v>45870</c:v>
                      </c:pt>
                      <c:pt idx="7">
                        <c:v>45839</c:v>
                      </c:pt>
                      <c:pt idx="8">
                        <c:v>45809</c:v>
                      </c:pt>
                      <c:pt idx="9">
                        <c:v>45778</c:v>
                      </c:pt>
                      <c:pt idx="10">
                        <c:v>45748</c:v>
                      </c:pt>
                      <c:pt idx="11">
                        <c:v>45717</c:v>
                      </c:pt>
                      <c:pt idx="12">
                        <c:v>45689</c:v>
                      </c:pt>
                      <c:pt idx="13">
                        <c:v>45658</c:v>
                      </c:pt>
                      <c:pt idx="14">
                        <c:v>45627</c:v>
                      </c:pt>
                      <c:pt idx="15">
                        <c:v>45597</c:v>
                      </c:pt>
                      <c:pt idx="16">
                        <c:v>45566</c:v>
                      </c:pt>
                      <c:pt idx="17">
                        <c:v>45536</c:v>
                      </c:pt>
                      <c:pt idx="18">
                        <c:v>45505</c:v>
                      </c:pt>
                      <c:pt idx="19">
                        <c:v>45474</c:v>
                      </c:pt>
                      <c:pt idx="20">
                        <c:v>45444</c:v>
                      </c:pt>
                      <c:pt idx="21">
                        <c:v>45413</c:v>
                      </c:pt>
                      <c:pt idx="22">
                        <c:v>45383</c:v>
                      </c:pt>
                      <c:pt idx="23">
                        <c:v>45352</c:v>
                      </c:pt>
                      <c:pt idx="24">
                        <c:v>45323</c:v>
                      </c:pt>
                      <c:pt idx="25">
                        <c:v>45292</c:v>
                      </c:pt>
                      <c:pt idx="26">
                        <c:v>45261</c:v>
                      </c:pt>
                      <c:pt idx="27">
                        <c:v>45231</c:v>
                      </c:pt>
                      <c:pt idx="28">
                        <c:v>45200</c:v>
                      </c:pt>
                      <c:pt idx="29">
                        <c:v>45170</c:v>
                      </c:pt>
                      <c:pt idx="30">
                        <c:v>45139</c:v>
                      </c:pt>
                      <c:pt idx="31">
                        <c:v>45108</c:v>
                      </c:pt>
                      <c:pt idx="32">
                        <c:v>45078</c:v>
                      </c:pt>
                      <c:pt idx="33">
                        <c:v>45047</c:v>
                      </c:pt>
                      <c:pt idx="34">
                        <c:v>45017</c:v>
                      </c:pt>
                      <c:pt idx="35">
                        <c:v>44986</c:v>
                      </c:pt>
                      <c:pt idx="36">
                        <c:v>44958</c:v>
                      </c:pt>
                      <c:pt idx="37">
                        <c:v>44927</c:v>
                      </c:pt>
                      <c:pt idx="38">
                        <c:v>44896</c:v>
                      </c:pt>
                      <c:pt idx="39">
                        <c:v>44866</c:v>
                      </c:pt>
                      <c:pt idx="40">
                        <c:v>44835</c:v>
                      </c:pt>
                      <c:pt idx="41">
                        <c:v>44805</c:v>
                      </c:pt>
                      <c:pt idx="42">
                        <c:v>44774</c:v>
                      </c:pt>
                      <c:pt idx="43">
                        <c:v>44743</c:v>
                      </c:pt>
                      <c:pt idx="44">
                        <c:v>44713</c:v>
                      </c:pt>
                      <c:pt idx="45">
                        <c:v>44682</c:v>
                      </c:pt>
                      <c:pt idx="46">
                        <c:v>44652</c:v>
                      </c:pt>
                      <c:pt idx="47">
                        <c:v>44621</c:v>
                      </c:pt>
                      <c:pt idx="48">
                        <c:v>44593</c:v>
                      </c:pt>
                      <c:pt idx="49">
                        <c:v>44562</c:v>
                      </c:pt>
                      <c:pt idx="50">
                        <c:v>44531</c:v>
                      </c:pt>
                    </c:numCache>
                  </c:numRef>
                </c:cat>
                <c:val>
                  <c:numRef>
                    <c:extLst>
                      <c:ext uri="{02D57815-91ED-43cb-92C2-25804820EDAC}">
                        <c15:formulaRef>
                          <c15:sqref>'Arablight OSP'!$K$3:$K$53</c15:sqref>
                        </c15:formulaRef>
                      </c:ext>
                    </c:extLst>
                    <c:numCache>
                      <c:formatCode>0.00</c:formatCode>
                      <c:ptCount val="51"/>
                      <c:pt idx="0">
                        <c:v>0.3</c:v>
                      </c:pt>
                      <c:pt idx="1">
                        <c:v>0.6</c:v>
                      </c:pt>
                      <c:pt idx="2">
                        <c:v>1</c:v>
                      </c:pt>
                      <c:pt idx="3">
                        <c:v>2.2000000000000002</c:v>
                      </c:pt>
                      <c:pt idx="4">
                        <c:v>2.2000000000000002</c:v>
                      </c:pt>
                      <c:pt idx="5">
                        <c:v>3.2</c:v>
                      </c:pt>
                      <c:pt idx="6">
                        <c:v>2.2000000000000002</c:v>
                      </c:pt>
                      <c:pt idx="7">
                        <c:v>1.2</c:v>
                      </c:pt>
                      <c:pt idx="8">
                        <c:v>1.4</c:v>
                      </c:pt>
                      <c:pt idx="9">
                        <c:v>1.2</c:v>
                      </c:pt>
                      <c:pt idx="10">
                        <c:v>3.5</c:v>
                      </c:pt>
                      <c:pt idx="11">
                        <c:v>3.9</c:v>
                      </c:pt>
                      <c:pt idx="12">
                        <c:v>1.5</c:v>
                      </c:pt>
                      <c:pt idx="13">
                        <c:v>0.9</c:v>
                      </c:pt>
                      <c:pt idx="14">
                        <c:v>1.7</c:v>
                      </c:pt>
                      <c:pt idx="15">
                        <c:v>2.2000000000000002</c:v>
                      </c:pt>
                      <c:pt idx="16">
                        <c:v>1.3</c:v>
                      </c:pt>
                      <c:pt idx="17">
                        <c:v>2</c:v>
                      </c:pt>
                      <c:pt idx="18">
                        <c:v>1.8</c:v>
                      </c:pt>
                      <c:pt idx="19">
                        <c:v>2.4</c:v>
                      </c:pt>
                      <c:pt idx="20">
                        <c:v>2.9</c:v>
                      </c:pt>
                      <c:pt idx="21">
                        <c:v>2</c:v>
                      </c:pt>
                      <c:pt idx="22">
                        <c:v>1.7</c:v>
                      </c:pt>
                      <c:pt idx="23">
                        <c:v>1.5</c:v>
                      </c:pt>
                      <c:pt idx="24">
                        <c:v>1.5</c:v>
                      </c:pt>
                      <c:pt idx="25">
                        <c:v>3.5</c:v>
                      </c:pt>
                      <c:pt idx="26">
                        <c:v>4</c:v>
                      </c:pt>
                      <c:pt idx="27">
                        <c:v>4</c:v>
                      </c:pt>
                      <c:pt idx="28">
                        <c:v>3.6</c:v>
                      </c:pt>
                      <c:pt idx="29">
                        <c:v>3.5</c:v>
                      </c:pt>
                      <c:pt idx="30">
                        <c:v>3.2</c:v>
                      </c:pt>
                      <c:pt idx="31">
                        <c:v>3</c:v>
                      </c:pt>
                      <c:pt idx="32">
                        <c:v>2.5499999999999998</c:v>
                      </c:pt>
                      <c:pt idx="33">
                        <c:v>2.8</c:v>
                      </c:pt>
                      <c:pt idx="34">
                        <c:v>2.5</c:v>
                      </c:pt>
                      <c:pt idx="35">
                        <c:v>2</c:v>
                      </c:pt>
                      <c:pt idx="36">
                        <c:v>1.8</c:v>
                      </c:pt>
                      <c:pt idx="37">
                        <c:v>3.25</c:v>
                      </c:pt>
                      <c:pt idx="38">
                        <c:v>5.45</c:v>
                      </c:pt>
                      <c:pt idx="39">
                        <c:v>5.85</c:v>
                      </c:pt>
                      <c:pt idx="40">
                        <c:v>5.85</c:v>
                      </c:pt>
                      <c:pt idx="41">
                        <c:v>9.8000000000000007</c:v>
                      </c:pt>
                      <c:pt idx="42">
                        <c:v>9.3000000000000007</c:v>
                      </c:pt>
                      <c:pt idx="43">
                        <c:v>6.5</c:v>
                      </c:pt>
                      <c:pt idx="44">
                        <c:v>4.4000000000000004</c:v>
                      </c:pt>
                      <c:pt idx="45">
                        <c:v>9.35</c:v>
                      </c:pt>
                      <c:pt idx="46">
                        <c:v>4.95</c:v>
                      </c:pt>
                      <c:pt idx="47">
                        <c:v>2.8</c:v>
                      </c:pt>
                      <c:pt idx="48">
                        <c:v>2.2000000000000002</c:v>
                      </c:pt>
                      <c:pt idx="49">
                        <c:v>3.3</c:v>
                      </c:pt>
                      <c:pt idx="50">
                        <c:v>2.7</c:v>
                      </c:pt>
                    </c:numCache>
                  </c:numRef>
                </c:val>
                <c:smooth val="0"/>
                <c:extLst>
                  <c:ext xmlns:c16="http://schemas.microsoft.com/office/drawing/2014/chart" uri="{C3380CC4-5D6E-409C-BE32-E72D297353CC}">
                    <c16:uniqueId val="{00000000-DC9C-4F2A-87B6-2E03DAE31DDE}"/>
                  </c:ext>
                </c:extLst>
              </c15:ser>
            </c15:filteredLineSeries>
          </c:ext>
        </c:extLst>
      </c:lineChart>
      <c:dateAx>
        <c:axId val="1161211504"/>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08144"/>
        <c:crosses val="autoZero"/>
        <c:auto val="1"/>
        <c:lblOffset val="100"/>
        <c:baseTimeUnit val="months"/>
      </c:dateAx>
      <c:valAx>
        <c:axId val="1161208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1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403860</xdr:colOff>
      <xdr:row>3</xdr:row>
      <xdr:rowOff>72390</xdr:rowOff>
    </xdr:from>
    <xdr:to>
      <xdr:col>24</xdr:col>
      <xdr:colOff>274320</xdr:colOff>
      <xdr:row>25</xdr:row>
      <xdr:rowOff>83820</xdr:rowOff>
    </xdr:to>
    <xdr:graphicFrame macro="">
      <xdr:nvGraphicFramePr>
        <xdr:cNvPr id="2" name="Chart 1">
          <a:extLst>
            <a:ext uri="{FF2B5EF4-FFF2-40B4-BE49-F238E27FC236}">
              <a16:creationId xmlns:a16="http://schemas.microsoft.com/office/drawing/2014/main" id="{4473528B-D256-EAC8-08BC-177605C36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apsarcksa.sharepoint.com/teams/EMI-EMI-EnergyMarketInsights/Shared%20Documents/EMI/10.%20Projects/OSPs/OSP%20research/ArH/FO%20180%20Spore%20forward.xlsx" TargetMode="External"/><Relationship Id="rId1" Type="http://schemas.openxmlformats.org/officeDocument/2006/relationships/externalLinkPath" Target="/teams/EMI-EMI-EnergyMarketInsights/Shared%20Documents/EMI/10.%20Projects/OSPs/OSP%20research/ArH/FO%20180%20Spore%20forw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Results"/>
      <sheetName val="Results.Conversion"/>
      <sheetName val="CurveCodes"/>
      <sheetName val="Filters"/>
      <sheetName val="DataDictionary"/>
      <sheetName val="Conversion_RawData"/>
      <sheetName val="TemporaryCurveDates"/>
    </sheetNames>
    <sheetDataSet>
      <sheetData sheetId="0"/>
      <sheetData sheetId="1">
        <row r="18">
          <cell r="C18" t="str">
            <v>Month</v>
          </cell>
        </row>
      </sheetData>
      <sheetData sheetId="2"/>
      <sheetData sheetId="3">
        <row r="10">
          <cell r="B10" t="str">
            <v>CN000-Brent CFD</v>
          </cell>
          <cell r="C10" t="str">
            <v>CN000</v>
          </cell>
        </row>
        <row r="11">
          <cell r="B11" t="str">
            <v>CN001-Brent DFL Financial</v>
          </cell>
          <cell r="C11" t="str">
            <v>CN001</v>
          </cell>
        </row>
        <row r="12">
          <cell r="B12" t="str">
            <v>CN002-Brent Frontline Financial</v>
          </cell>
          <cell r="C12" t="str">
            <v>CN002</v>
          </cell>
        </row>
        <row r="13">
          <cell r="B13" t="str">
            <v>CN003-Brent Frontline Financial Time Spread</v>
          </cell>
          <cell r="C13" t="str">
            <v>CN003</v>
          </cell>
        </row>
        <row r="14">
          <cell r="B14" t="str">
            <v>CN004-Brent-Dubai at London MOC EFS</v>
          </cell>
          <cell r="C14" t="str">
            <v>CN004</v>
          </cell>
        </row>
        <row r="15">
          <cell r="B15" t="str">
            <v>CN005-CPC Blend CFD</v>
          </cell>
          <cell r="C15" t="str">
            <v>CN005</v>
          </cell>
        </row>
        <row r="16">
          <cell r="B16" t="str">
            <v>CN006-Dated Brent Financial</v>
          </cell>
          <cell r="C16" t="str">
            <v>CN006</v>
          </cell>
        </row>
        <row r="17">
          <cell r="B17" t="str">
            <v>CN007-Dubai Frontline at London MOC Financial</v>
          </cell>
          <cell r="C17" t="str">
            <v>CN007</v>
          </cell>
        </row>
        <row r="18">
          <cell r="B18" t="str">
            <v>CN008-Dubai Frontline London  MOC Financial Time Spread</v>
          </cell>
          <cell r="C18" t="str">
            <v>CN008</v>
          </cell>
        </row>
        <row r="19">
          <cell r="B19" t="str">
            <v>CN009-FO 1%S FOB NWE Cargo Brent Crack Financial</v>
          </cell>
          <cell r="C19" t="str">
            <v>CN009</v>
          </cell>
        </row>
        <row r="20">
          <cell r="B20" t="str">
            <v>CN00A-FO 1%S FOB NWE Cargo Financial</v>
          </cell>
          <cell r="C20" t="str">
            <v>CN00A</v>
          </cell>
        </row>
        <row r="21">
          <cell r="B21" t="str">
            <v>CN00B-FO 1%S FOB NWE vs FO 3.5%S Barge (HiLo Diff) Financial</v>
          </cell>
          <cell r="C21" t="str">
            <v>CN00B</v>
          </cell>
        </row>
        <row r="22">
          <cell r="B22" t="str">
            <v>CN00E-FO 1%S FOB Rdam Barge vs FO 1%S FOB NWE Cargo Financial</v>
          </cell>
          <cell r="C22" t="str">
            <v>CN00E</v>
          </cell>
        </row>
        <row r="23">
          <cell r="B23" t="str">
            <v>CN00F-180 CST 3.5 FOB Spore vs Rdam</v>
          </cell>
          <cell r="C23" t="str">
            <v>CN00F</v>
          </cell>
        </row>
        <row r="24">
          <cell r="B24" t="str">
            <v>CN00G-FO 180 CST 3.5%S FOB Spore Cargo at London MOC Financial</v>
          </cell>
          <cell r="C24" t="str">
            <v>CN00G</v>
          </cell>
        </row>
        <row r="25">
          <cell r="B25" t="str">
            <v>CN00H-FO 3.5%S FOB Med Cargo Financial</v>
          </cell>
          <cell r="C25" t="str">
            <v>CN00H</v>
          </cell>
        </row>
        <row r="26">
          <cell r="B26" t="str">
            <v>CN00I-FO 3.5%S FOB Rdam Barge Brent Crack Financial</v>
          </cell>
          <cell r="C26" t="str">
            <v>CN00I</v>
          </cell>
        </row>
        <row r="27">
          <cell r="B27" t="str">
            <v>CN00J-FO 3.5%S FOB Rdam Barge Financial</v>
          </cell>
          <cell r="C27" t="str">
            <v>CN00J</v>
          </cell>
        </row>
        <row r="28">
          <cell r="B28" t="str">
            <v>CN00K-FO 3.5%S FOB Rdam Barge vs FO 3.5%S FOB Med Cargo Financial</v>
          </cell>
          <cell r="C28" t="str">
            <v>CN00K</v>
          </cell>
        </row>
        <row r="29">
          <cell r="B29" t="str">
            <v>CN00L-FO 380 CST 3.5 FOB Spore vs Rdam</v>
          </cell>
          <cell r="C29" t="str">
            <v>CN00L</v>
          </cell>
        </row>
        <row r="30">
          <cell r="B30" t="str">
            <v>CN00M-FO 380 CST 3.5%S FOB Spore Cargo at London MOC Financial</v>
          </cell>
          <cell r="C30" t="str">
            <v>CN00M</v>
          </cell>
        </row>
        <row r="31">
          <cell r="B31" t="str">
            <v>CN00N-Gasoil .1%S (1000ppm) CIF Med Cargo Brent Crack Financial</v>
          </cell>
          <cell r="C31" t="str">
            <v>CN00N</v>
          </cell>
        </row>
        <row r="32">
          <cell r="B32" t="str">
            <v>CN00O-Gasoil .1%S (1000ppm) CIF Med Cargo Financial</v>
          </cell>
          <cell r="C32" t="str">
            <v>CN00O</v>
          </cell>
        </row>
        <row r="33">
          <cell r="B33" t="str">
            <v>CN00P-Gasoil .1%S (1000ppm) CIF Med Cargo vs LS Gasoil Frontline Financial</v>
          </cell>
          <cell r="C33" t="str">
            <v>CN00P</v>
          </cell>
        </row>
        <row r="34">
          <cell r="B34" t="str">
            <v>CN00Q-Gasoil .1%S (1000ppm) FOB ARA Barge Brent Crack Financial</v>
          </cell>
          <cell r="C34" t="str">
            <v>CN00Q</v>
          </cell>
        </row>
        <row r="35">
          <cell r="B35" t="str">
            <v>CN00R-Gasoil .1%S (1000ppm) FOB ARA Barge Financial</v>
          </cell>
          <cell r="C35" t="str">
            <v>CN00R</v>
          </cell>
        </row>
        <row r="36">
          <cell r="B36" t="str">
            <v>CN00S-Gasoil .1%S (1000ppm) FOB ARA Barge vs LS Gasoil Frontline Financial</v>
          </cell>
          <cell r="C36" t="str">
            <v>CN00S</v>
          </cell>
        </row>
        <row r="37">
          <cell r="B37" t="str">
            <v>CN00T-Gasoil 0.1%S CIF NWE Cargo Brent Crack Financial</v>
          </cell>
          <cell r="C37" t="str">
            <v>CN00T</v>
          </cell>
        </row>
        <row r="38">
          <cell r="B38" t="str">
            <v>CN00U-Gasoil 0.1%S CIF NWE Cargo Financial</v>
          </cell>
          <cell r="C38" t="str">
            <v>CN00U</v>
          </cell>
        </row>
        <row r="39">
          <cell r="B39" t="str">
            <v>CN00V-Gasoil 0.1%S CIF NWE Cargo vs LS Gasoil Frontline Financial</v>
          </cell>
          <cell r="C39" t="str">
            <v>CN00V</v>
          </cell>
        </row>
        <row r="40">
          <cell r="B40" t="str">
            <v>CN00W-Gasoline Eurobob 10ppm FOB ARA Barge Brent Crack Financial</v>
          </cell>
          <cell r="C40" t="str">
            <v>CN00W</v>
          </cell>
        </row>
        <row r="41">
          <cell r="B41" t="str">
            <v>CN00X-Gasoline Eurobob 10ppm FOB ARA Barge Financial</v>
          </cell>
          <cell r="C41" t="str">
            <v>CN00X</v>
          </cell>
        </row>
        <row r="42">
          <cell r="B42" t="str">
            <v>CN00Y-Gasoline Prem Unleaded 10ppm FOB ARA Barge Brent Crack Financial</v>
          </cell>
          <cell r="C42" t="str">
            <v>CN00Y</v>
          </cell>
        </row>
        <row r="43">
          <cell r="B43" t="str">
            <v>CN00Z-Gasoline Prem Unleaded 10ppm FOB ARA Barge Financial</v>
          </cell>
          <cell r="C43" t="str">
            <v>CN00Z</v>
          </cell>
        </row>
        <row r="44">
          <cell r="B44" t="str">
            <v>CN010-Gasoline Prem Unleaded 10ppm FOB MED Cargo Financial</v>
          </cell>
          <cell r="C44" t="str">
            <v>CN010</v>
          </cell>
        </row>
        <row r="45">
          <cell r="B45" t="str">
            <v>CN011-Gasoline Premium Unleaded 10ppm FOB MED Cargo Brent Crack Financial</v>
          </cell>
          <cell r="C45" t="str">
            <v>CN011</v>
          </cell>
        </row>
        <row r="46">
          <cell r="B46" t="str">
            <v>CN012-ICE Brent Time Spread</v>
          </cell>
          <cell r="C46" t="str">
            <v>CN012</v>
          </cell>
        </row>
        <row r="47">
          <cell r="B47" t="str">
            <v>CN013-Jet CIF NWE Cargo Brent Crack Financial</v>
          </cell>
          <cell r="C47" t="str">
            <v>CN013</v>
          </cell>
        </row>
        <row r="48">
          <cell r="B48" t="str">
            <v>CN014-Jet CIF NWE Cargo Financial</v>
          </cell>
          <cell r="C48" t="str">
            <v>CN014</v>
          </cell>
        </row>
        <row r="49">
          <cell r="B49" t="str">
            <v>CN015-Jet CIF NWE Cargo vs LS Gasoil Frontline Financial</v>
          </cell>
          <cell r="C49" t="str">
            <v>CN015</v>
          </cell>
        </row>
        <row r="50">
          <cell r="B50" t="str">
            <v>CN016-Jet FOB Rdam Barge Brent Crack Financial</v>
          </cell>
          <cell r="C50" t="str">
            <v>CN016</v>
          </cell>
        </row>
        <row r="51">
          <cell r="B51" t="str">
            <v>CN017-Jet FOB Rdam Barge Financial</v>
          </cell>
          <cell r="C51" t="str">
            <v>CN017</v>
          </cell>
        </row>
        <row r="52">
          <cell r="B52" t="str">
            <v>CN018-Jet FOB Rdam Barge vs Jet CIF NWE Cargo Financial</v>
          </cell>
          <cell r="C52" t="str">
            <v>CN018</v>
          </cell>
        </row>
        <row r="53">
          <cell r="B53" t="str">
            <v>CN019-Jet FOB Rdam Barge vs LS Gasoil Frontline Financial</v>
          </cell>
          <cell r="C53" t="str">
            <v>CN019</v>
          </cell>
        </row>
        <row r="54">
          <cell r="B54" t="str">
            <v>CN01A-Jet FOB Rdam vs ULSD 10ppm FOB ARA Barge Financial</v>
          </cell>
          <cell r="C54" t="str">
            <v>CN01A</v>
          </cell>
        </row>
        <row r="55">
          <cell r="B55" t="str">
            <v>CN01B-LS Gasoil Frontline Brent Crack Financial</v>
          </cell>
          <cell r="C55" t="str">
            <v>CN01B</v>
          </cell>
        </row>
        <row r="56">
          <cell r="B56" t="str">
            <v>CN01C-LS Gasoil Frontline Financial</v>
          </cell>
          <cell r="C56" t="str">
            <v>CN01C</v>
          </cell>
        </row>
        <row r="57">
          <cell r="B57" t="str">
            <v>CN01D-Naphtha CFR MOPJ vs Naphtha CIF NWE Cargo at London MOC Financial</v>
          </cell>
          <cell r="C57" t="str">
            <v>CN01D</v>
          </cell>
        </row>
        <row r="58">
          <cell r="B58" t="str">
            <v>CN01E-Naphtha CIF NWE Cargo Brent Crack Financial</v>
          </cell>
          <cell r="C58" t="str">
            <v>CN01E</v>
          </cell>
        </row>
        <row r="59">
          <cell r="B59" t="str">
            <v>CN01F-Naphtha CIF NWE Cargo Financial</v>
          </cell>
          <cell r="C59" t="str">
            <v>CN01F</v>
          </cell>
        </row>
        <row r="60">
          <cell r="B60" t="str">
            <v>CN01G-NYMEX WTI at London MOC Time Spread</v>
          </cell>
          <cell r="C60" t="str">
            <v>CN01G</v>
          </cell>
        </row>
        <row r="61">
          <cell r="B61" t="str">
            <v>CN01H-NYMEX WTI-ICE Brent Spread at London MOC</v>
          </cell>
          <cell r="C61" t="str">
            <v>CN01H</v>
          </cell>
        </row>
        <row r="62">
          <cell r="B62" t="str">
            <v>CN01I-Prem Unleaded 10ppm FOB MED Cargo vs Gasoline Eurobob 10ppm FOB ARA Barge Financial</v>
          </cell>
          <cell r="C62" t="str">
            <v>CN01I</v>
          </cell>
        </row>
        <row r="63">
          <cell r="B63" t="str">
            <v>CN01J-Propane CIF NWE Large Cargo Financial</v>
          </cell>
          <cell r="C63" t="str">
            <v>CN01J</v>
          </cell>
        </row>
        <row r="64">
          <cell r="B64" t="str">
            <v>CN01K-Propane CIF NWE Large Cargo vs Naphtha CIF NWE Cargo Financial</v>
          </cell>
          <cell r="C64" t="str">
            <v>CN01K</v>
          </cell>
        </row>
        <row r="65">
          <cell r="B65" t="str">
            <v>CN01L-ULSD 10ppm CIF MED Cargo Brent Crack Financial</v>
          </cell>
          <cell r="C65" t="str">
            <v>CN01L</v>
          </cell>
        </row>
        <row r="66">
          <cell r="B66" t="str">
            <v>CN01M-ULSD 10ppm CIF NWE Cargo Brent Crack Financial</v>
          </cell>
          <cell r="C66" t="str">
            <v>CN01M</v>
          </cell>
        </row>
        <row r="67">
          <cell r="B67" t="str">
            <v>CN01N-ULSD 10ppmS CIF Med Cargo Financial</v>
          </cell>
          <cell r="C67" t="str">
            <v>CN01N</v>
          </cell>
        </row>
        <row r="68">
          <cell r="B68" t="str">
            <v>CN01O-ULSD 10ppmS CIF Med Cargo vs CIF NWE Cargo Financial</v>
          </cell>
          <cell r="C68" t="str">
            <v>CN01O</v>
          </cell>
        </row>
        <row r="69">
          <cell r="B69" t="str">
            <v>CN01P-ULSD 10ppmS CIF Med Cargo vs LS Gasoil Frontline Financial</v>
          </cell>
          <cell r="C69" t="str">
            <v>CN01P</v>
          </cell>
        </row>
        <row r="70">
          <cell r="B70" t="str">
            <v>CN01Q-ULSD 10ppmS CIF NWE Cargo Financial</v>
          </cell>
          <cell r="C70" t="str">
            <v>CN01Q</v>
          </cell>
        </row>
        <row r="71">
          <cell r="B71" t="str">
            <v>CN01R-ULSD 10ppmS CIF NWE Cargo vs LS Gasoil Frontline Financial</v>
          </cell>
          <cell r="C71" t="str">
            <v>CN01R</v>
          </cell>
        </row>
        <row r="72">
          <cell r="B72" t="str">
            <v>CN01S-ULSD 10ppmS FOB ARA Barge Brent Crack Financial</v>
          </cell>
          <cell r="C72" t="str">
            <v>CN01S</v>
          </cell>
        </row>
        <row r="73">
          <cell r="B73" t="str">
            <v>CN01T-ULSD 10ppmS FOB ARA Barge Financial</v>
          </cell>
          <cell r="C73" t="str">
            <v>CN01T</v>
          </cell>
        </row>
        <row r="74">
          <cell r="B74" t="str">
            <v>CN01U-ULSD 10ppmS FOB ARA Barge vs LS Gasoil Frontline Financial</v>
          </cell>
          <cell r="C74" t="str">
            <v>CN01U</v>
          </cell>
        </row>
        <row r="75">
          <cell r="B75" t="str">
            <v>CN01V-Urals CIF Med CFD</v>
          </cell>
          <cell r="C75" t="str">
            <v>CN01V</v>
          </cell>
        </row>
        <row r="76">
          <cell r="B76" t="str">
            <v>CN01W-WTI Frontline at London MOC Financial</v>
          </cell>
          <cell r="C76" t="str">
            <v>CN01W</v>
          </cell>
        </row>
        <row r="77">
          <cell r="B77" t="str">
            <v>CN01X-WTI Frontline at London MOC Financial Time Spread</v>
          </cell>
          <cell r="C77" t="str">
            <v>CN01X</v>
          </cell>
        </row>
        <row r="78">
          <cell r="B78" t="str">
            <v>CN01Y-WTI Frontline vs Brent Frontline at London MOC Financial</v>
          </cell>
          <cell r="C78" t="str">
            <v>CN01Y</v>
          </cell>
        </row>
        <row r="79">
          <cell r="B79" t="str">
            <v>CN01Z-Bunker FO 380 CST 3.5% Dvld Rotterdam Financial</v>
          </cell>
          <cell r="C79" t="str">
            <v>CN01Z</v>
          </cell>
        </row>
        <row r="80">
          <cell r="B80" t="str">
            <v>CN020-Bunker FO 380 CTS 3.5% Dlvd Gibraltar Financial</v>
          </cell>
          <cell r="C80" t="str">
            <v>CN020</v>
          </cell>
        </row>
        <row r="81">
          <cell r="B81" t="str">
            <v>CN021-FO 1%S CIF MED Cargo Financial</v>
          </cell>
          <cell r="C81" t="str">
            <v>CN021</v>
          </cell>
        </row>
        <row r="82">
          <cell r="B82" t="str">
            <v>CN022-FO 1%S FOB MED Cargo Financial</v>
          </cell>
          <cell r="C82" t="str">
            <v>CN022</v>
          </cell>
        </row>
        <row r="83">
          <cell r="B83" t="str">
            <v>CN023-FO 3.5% CIF MED Cargo Financial</v>
          </cell>
          <cell r="C83" t="str">
            <v>CN023</v>
          </cell>
        </row>
        <row r="84">
          <cell r="B84" t="str">
            <v>CN024-Gasoil FOB Spore Cargo at London MOC USD/BBL Financial</v>
          </cell>
          <cell r="C84" t="str">
            <v>CN024</v>
          </cell>
        </row>
        <row r="85">
          <cell r="B85" t="str">
            <v>CN025-Gasoil FOB Spore Cargo at London MOC USD/MT Financial</v>
          </cell>
          <cell r="C85" t="str">
            <v>CN025</v>
          </cell>
        </row>
        <row r="86">
          <cell r="B86" t="str">
            <v>CN026-Gasoil FOB Spore Cargo Brent crack at London MOC Financial</v>
          </cell>
          <cell r="C86" t="str">
            <v>CN026</v>
          </cell>
        </row>
        <row r="87">
          <cell r="B87" t="str">
            <v>CN027-Gasoil FOB Spore Dubai crack at London MOC Financial</v>
          </cell>
          <cell r="C87" t="str">
            <v>CN027</v>
          </cell>
        </row>
        <row r="88">
          <cell r="B88" t="str">
            <v>CN028-Gasoline 92 RON FOB Spore at London MOC Financial $/Bbl</v>
          </cell>
          <cell r="C88" t="str">
            <v>CN028</v>
          </cell>
        </row>
        <row r="89">
          <cell r="B89" t="str">
            <v>CN029-Gasoline 92 RON FOB Spore at London MOC Financial $/MT</v>
          </cell>
          <cell r="C89" t="str">
            <v>CN029</v>
          </cell>
        </row>
        <row r="90">
          <cell r="B90" t="str">
            <v>CN02A-Gasoline 92RON Spore Brent crack at London MOC Financial</v>
          </cell>
          <cell r="C90" t="str">
            <v>CN02A</v>
          </cell>
        </row>
        <row r="91">
          <cell r="B91" t="str">
            <v>CN02B-Gasoline 92RON Spore Dubai Crack at London MOC Financial</v>
          </cell>
          <cell r="C91" t="str">
            <v>CN02B</v>
          </cell>
        </row>
        <row r="92">
          <cell r="B92" t="str">
            <v>CN02C-Gasoline 95 RON FOB Spore at London MOC $/Bbl Financial</v>
          </cell>
          <cell r="C92" t="str">
            <v>CN02C</v>
          </cell>
        </row>
        <row r="93">
          <cell r="B93" t="str">
            <v>CN02D-Gasoline 95 RON FOB Spore at London MOC $/MT Financial</v>
          </cell>
          <cell r="C93" t="str">
            <v>CN02D</v>
          </cell>
        </row>
        <row r="94">
          <cell r="B94" t="str">
            <v>CN02E-Gasoline Prem Unleaded 10ppm CIF MED Cargo Financial</v>
          </cell>
          <cell r="C94" t="str">
            <v>CN02E</v>
          </cell>
        </row>
        <row r="95">
          <cell r="B95" t="str">
            <v>CN02F-Jet FOB MED Cargo Financial</v>
          </cell>
          <cell r="C95" t="str">
            <v>CN02F</v>
          </cell>
        </row>
        <row r="96">
          <cell r="B96" t="str">
            <v>CN02G-Jet FOB NWE Cargo Financial</v>
          </cell>
          <cell r="C96" t="str">
            <v>CN02G</v>
          </cell>
        </row>
        <row r="97">
          <cell r="B97" t="str">
            <v>CN02I-Jet Kero FOB Spore Cargo at London MOC Financial $/Bbl</v>
          </cell>
          <cell r="C97" t="str">
            <v>CN02I</v>
          </cell>
        </row>
        <row r="98">
          <cell r="B98" t="str">
            <v>CN02J-Jet Kero FOB Spore Cargo at London MOC Financial $/MT</v>
          </cell>
          <cell r="C98" t="str">
            <v>CN02J</v>
          </cell>
        </row>
        <row r="99">
          <cell r="B99" t="str">
            <v>CN02K-Jet Kero FOB Spore Cargo Brent crack Financial</v>
          </cell>
          <cell r="C99" t="str">
            <v>CN02K</v>
          </cell>
        </row>
        <row r="100">
          <cell r="B100" t="str">
            <v>CN02L-Jet Kero FOB Spore Cargo Dubai crack Financial</v>
          </cell>
          <cell r="C100" t="str">
            <v>CN02L</v>
          </cell>
        </row>
        <row r="101">
          <cell r="B101" t="str">
            <v>CN02N-Straight Run 0.5-0.7%S FOB NWE cargo Financial</v>
          </cell>
          <cell r="C101" t="str">
            <v>CN02N</v>
          </cell>
        </row>
        <row r="102">
          <cell r="B102" t="str">
            <v>CN02O-ULSD 10ppmS FOB MED Cargo Financial</v>
          </cell>
          <cell r="C102" t="str">
            <v>CN02O</v>
          </cell>
        </row>
        <row r="103">
          <cell r="B103" t="str">
            <v>CN02P-VGO 2.0%S CIF NWE Financial</v>
          </cell>
          <cell r="C103" t="str">
            <v>CN02P</v>
          </cell>
        </row>
        <row r="104">
          <cell r="B104" t="str">
            <v>CN02Q-VGO 2.0%S FOB Rdam barge Financial</v>
          </cell>
          <cell r="C104" t="str">
            <v>CN02Q</v>
          </cell>
        </row>
        <row r="105">
          <cell r="B105" t="str">
            <v>CN03V-Brent Frontline at Houston MOC Financial</v>
          </cell>
          <cell r="C105" t="str">
            <v>CN03V</v>
          </cell>
        </row>
        <row r="106">
          <cell r="B106" t="str">
            <v>CN03W-Brent Frontline at Houston MOC Financial Time Spread</v>
          </cell>
          <cell r="C106" t="str">
            <v>CN03W</v>
          </cell>
        </row>
        <row r="107">
          <cell r="B107" t="str">
            <v>CN03X-Dubai Frontline at Houston MOC Financial</v>
          </cell>
          <cell r="C107" t="str">
            <v>CN03X</v>
          </cell>
        </row>
        <row r="108">
          <cell r="B108" t="str">
            <v>CN03Y-Dubai Frontline at Houston MOC Financial Time Spread</v>
          </cell>
          <cell r="C108" t="str">
            <v>CN03Y</v>
          </cell>
        </row>
        <row r="109">
          <cell r="B109" t="str">
            <v>CN03Z-FO 1.0% USAC Cargo Brent Crack at Houston MOC Financial</v>
          </cell>
          <cell r="C109" t="str">
            <v>CN03Z</v>
          </cell>
        </row>
        <row r="110">
          <cell r="B110" t="str">
            <v>CN040-FO 1.0% USAC Cargo Dubai Crack at Houston MOC Financial</v>
          </cell>
          <cell r="C110" t="str">
            <v>CN040</v>
          </cell>
        </row>
        <row r="111">
          <cell r="B111" t="str">
            <v>CN041-FO 1.0% USAC Cargo Financial</v>
          </cell>
          <cell r="C111" t="str">
            <v>CN041</v>
          </cell>
        </row>
        <row r="112">
          <cell r="B112" t="str">
            <v>CN042-FO 1.0% USAC Cargo Financial Time Spread</v>
          </cell>
          <cell r="C112" t="str">
            <v>CN042</v>
          </cell>
        </row>
        <row r="113">
          <cell r="B113" t="str">
            <v>CN043-FO 1.0% USAC Cargo vs USGC HSFO Waterborne (HiLo Diff) Financial</v>
          </cell>
          <cell r="C113" t="str">
            <v>CN043</v>
          </cell>
        </row>
        <row r="114">
          <cell r="B114" t="str">
            <v>CN044-FO 1.0% USAC Cargo WTI Crack Financial</v>
          </cell>
          <cell r="C114" t="str">
            <v>CN044</v>
          </cell>
        </row>
        <row r="115">
          <cell r="B115" t="str">
            <v>CN04B-Gasoline Unl 87 USGC Prompt Pipeline Brent Crack at Houston MOC Financial</v>
          </cell>
          <cell r="C115" t="str">
            <v>CN04B</v>
          </cell>
        </row>
        <row r="116">
          <cell r="B116" t="str">
            <v>CN04C-Gasoline Unl 87 USGC Prompt Pipeline Dubai Crack at Houston MOC Financial</v>
          </cell>
          <cell r="C116" t="str">
            <v>CN04C</v>
          </cell>
        </row>
        <row r="117">
          <cell r="B117" t="str">
            <v>CN04D-Gasoline Unl 87 USGC Prompt Pipeline Financial</v>
          </cell>
          <cell r="C117" t="str">
            <v>CN04D</v>
          </cell>
        </row>
        <row r="118">
          <cell r="B118" t="str">
            <v>CN04E-Gasoline Unl 87 USGC Prompt Pipeline Financial Time Spread</v>
          </cell>
          <cell r="C118" t="str">
            <v>CN04E</v>
          </cell>
        </row>
        <row r="119">
          <cell r="B119" t="str">
            <v>CN04F-Gasoline Unl 87 USGC Prompt Pipeline vs RBOB Frontline Financial</v>
          </cell>
          <cell r="C119" t="str">
            <v>CN04F</v>
          </cell>
        </row>
        <row r="120">
          <cell r="B120" t="str">
            <v>CN04G-Gasoline Unl 87 USGC Prompt Pipeline WTI Crack Financial</v>
          </cell>
          <cell r="C120" t="str">
            <v>CN04G</v>
          </cell>
        </row>
        <row r="121">
          <cell r="B121" t="str">
            <v>CN04H-Heating Oil Frontline Financial</v>
          </cell>
          <cell r="C121" t="str">
            <v>CN04H</v>
          </cell>
        </row>
        <row r="122">
          <cell r="B122" t="str">
            <v>CN04I-Heating Oil Frontline Financial Time Spread</v>
          </cell>
          <cell r="C122" t="str">
            <v>CN04I</v>
          </cell>
        </row>
        <row r="123">
          <cell r="B123" t="str">
            <v>CN04J-Jet Kero 54 USGC Prompt Pipeline Brent Crack at Houston MOC Financial</v>
          </cell>
          <cell r="C123" t="str">
            <v>CN04J</v>
          </cell>
        </row>
        <row r="124">
          <cell r="B124" t="str">
            <v>CN04K-Jet Kero 54 USGC Prompt Pipeline Dubai Crack at Houston MOC Financial</v>
          </cell>
          <cell r="C124" t="str">
            <v>CN04K</v>
          </cell>
        </row>
        <row r="125">
          <cell r="B125" t="str">
            <v>CN04L-Jet Kero 54 USGC Prompt Pipeline Financial</v>
          </cell>
          <cell r="C125" t="str">
            <v>CN04L</v>
          </cell>
        </row>
        <row r="126">
          <cell r="B126" t="str">
            <v>CN04M-Jet Kero 54 USGC Prompt Pipeline Financial Time Spread</v>
          </cell>
          <cell r="C126" t="str">
            <v>CN04M</v>
          </cell>
        </row>
        <row r="127">
          <cell r="B127" t="str">
            <v>CN04N-Jet Kero 54 USGC Prompt Pipeline vs Heating Oil Frontline Financial</v>
          </cell>
          <cell r="C127" t="str">
            <v>CN04N</v>
          </cell>
        </row>
        <row r="128">
          <cell r="B128" t="str">
            <v>CN04O-Jet Kero 54 USGC Prompt Pipeline WTI Crack Financial</v>
          </cell>
          <cell r="C128" t="str">
            <v>CN04O</v>
          </cell>
        </row>
        <row r="129">
          <cell r="B129" t="str">
            <v>CN04P-Jet Kero Los Angeles CA Pipeline Brent Crack at Houston MOC Financial</v>
          </cell>
          <cell r="C129" t="str">
            <v>CN04P</v>
          </cell>
        </row>
        <row r="130">
          <cell r="B130" t="str">
            <v>CN04Q-Jet Kero Los Angeles CA Pipeline Dubai Crack at Houston MOC Financial</v>
          </cell>
          <cell r="C130" t="str">
            <v>CN04Q</v>
          </cell>
        </row>
        <row r="131">
          <cell r="B131" t="str">
            <v>CN04R-Jet Kero Los Angeles CA Pipeline Financial</v>
          </cell>
          <cell r="C131" t="str">
            <v>CN04R</v>
          </cell>
        </row>
        <row r="132">
          <cell r="B132" t="str">
            <v>CN04S-Jet Kero Los Angeles CA Pipeline Financial Time Spread</v>
          </cell>
          <cell r="C132" t="str">
            <v>CN04S</v>
          </cell>
        </row>
        <row r="133">
          <cell r="B133" t="str">
            <v>CN04T-Jet Kero Los Angeles CA Pipeline vs Heating Oil Frontline Financial</v>
          </cell>
          <cell r="C133" t="str">
            <v>CN04T</v>
          </cell>
        </row>
        <row r="134">
          <cell r="B134" t="str">
            <v>CN04U-Jet Kero Los Angeles CA Pipeline WTI Crack Financial</v>
          </cell>
          <cell r="C134" t="str">
            <v>CN04U</v>
          </cell>
        </row>
        <row r="135">
          <cell r="B135" t="str">
            <v>CN04V-Jet Kero USAC Barge Brent Crack at Houston MOC Financial</v>
          </cell>
          <cell r="C135" t="str">
            <v>CN04V</v>
          </cell>
        </row>
        <row r="136">
          <cell r="B136" t="str">
            <v>CN04W-Jet Kero USAC Barge Dubai Crack at Houston MOC Financial</v>
          </cell>
          <cell r="C136" t="str">
            <v>CN04W</v>
          </cell>
        </row>
        <row r="137">
          <cell r="B137" t="str">
            <v>CN04X-Jet Kero USAC Barge Financial</v>
          </cell>
          <cell r="C137" t="str">
            <v>CN04X</v>
          </cell>
        </row>
        <row r="138">
          <cell r="B138" t="str">
            <v>CN04Y-Jet Kero USAC Barge Financial Time Spread</v>
          </cell>
          <cell r="C138" t="str">
            <v>CN04Y</v>
          </cell>
        </row>
        <row r="139">
          <cell r="B139" t="str">
            <v>CN04Z-Jet Kero USAC Barge vs Heating Oil Frontline Financial</v>
          </cell>
          <cell r="C139" t="str">
            <v>CN04Z</v>
          </cell>
        </row>
        <row r="140">
          <cell r="B140" t="str">
            <v>CN050-Jet Kero USAC Barge WTI Crack Financial</v>
          </cell>
          <cell r="C140" t="str">
            <v>CN050</v>
          </cell>
        </row>
        <row r="141">
          <cell r="B141" t="str">
            <v>CN051-Propane USGC Financial</v>
          </cell>
          <cell r="C141" t="str">
            <v>CN051</v>
          </cell>
        </row>
        <row r="142">
          <cell r="B142" t="str">
            <v>CN052-Propane USGC Financial Time Spread</v>
          </cell>
          <cell r="C142" t="str">
            <v>CN052</v>
          </cell>
        </row>
        <row r="143">
          <cell r="B143" t="str">
            <v>CN053-RBOB Frontline Financial</v>
          </cell>
          <cell r="C143" t="str">
            <v>CN053</v>
          </cell>
        </row>
        <row r="144">
          <cell r="B144" t="str">
            <v>CN054-RBOB Frontline Financial Time Spread</v>
          </cell>
          <cell r="C144" t="str">
            <v>CN054</v>
          </cell>
        </row>
        <row r="145">
          <cell r="B145" t="str">
            <v>CN055-ULSD USGC Prompt Pipeline Brent Crack at Houston MOC Financial</v>
          </cell>
          <cell r="C145" t="str">
            <v>CN055</v>
          </cell>
        </row>
        <row r="146">
          <cell r="B146" t="str">
            <v>CN056-ULSD USGC Prompt Pipeline Dubai Crack at Houston MOC Financial</v>
          </cell>
          <cell r="C146" t="str">
            <v>CN056</v>
          </cell>
        </row>
        <row r="147">
          <cell r="B147" t="str">
            <v>CN057-ULSD USGC Prompt Pipeline Financial</v>
          </cell>
          <cell r="C147" t="str">
            <v>CN057</v>
          </cell>
        </row>
        <row r="148">
          <cell r="B148" t="str">
            <v>CN058-ULSD USGC Prompt Pipeline Financial Time Spread</v>
          </cell>
          <cell r="C148" t="str">
            <v>CN058</v>
          </cell>
        </row>
        <row r="149">
          <cell r="B149" t="str">
            <v>CN059-ULSD USGC Prompt Pipeline vs Heating Oil Frontline Financial</v>
          </cell>
          <cell r="C149" t="str">
            <v>CN059</v>
          </cell>
        </row>
        <row r="150">
          <cell r="B150" t="str">
            <v>CN05A-ULSD USGC Prompt Pipeline WTI Crack Financial</v>
          </cell>
          <cell r="C150" t="str">
            <v>CN05A</v>
          </cell>
        </row>
        <row r="151">
          <cell r="B151" t="str">
            <v>CN05B-USGC HSFO Waterborne Brent Crack at Houston MOC Financial</v>
          </cell>
          <cell r="C151" t="str">
            <v>CN05B</v>
          </cell>
        </row>
        <row r="152">
          <cell r="B152" t="str">
            <v>CN05C-USGC HSFO Waterborne Dubai Crack at Houston MOC Financial</v>
          </cell>
          <cell r="C152" t="str">
            <v>CN05C</v>
          </cell>
        </row>
        <row r="153">
          <cell r="B153" t="str">
            <v>CN05D-USGC HSFO Waterborne Financial</v>
          </cell>
          <cell r="C153" t="str">
            <v>CN05D</v>
          </cell>
        </row>
        <row r="154">
          <cell r="B154" t="str">
            <v>CN05E-USGC HSFO Waterborne Financial Time Spread</v>
          </cell>
          <cell r="C154" t="str">
            <v>CN05E</v>
          </cell>
        </row>
        <row r="155">
          <cell r="B155" t="str">
            <v>CN05F-USGC HSFO Waterborne WTI Crack Financial</v>
          </cell>
          <cell r="C155" t="str">
            <v>CN05F</v>
          </cell>
        </row>
        <row r="156">
          <cell r="B156" t="str">
            <v>CN05G-WTI Frontline at Houston MOC Financial</v>
          </cell>
          <cell r="C156" t="str">
            <v>CN05G</v>
          </cell>
        </row>
        <row r="157">
          <cell r="B157" t="str">
            <v>CN05H-WTI Frontline at Houston MOC Financial Time Spread</v>
          </cell>
          <cell r="C157" t="str">
            <v>CN05H</v>
          </cell>
        </row>
        <row r="158">
          <cell r="B158" t="str">
            <v>CN05I-WTI Frontline vs Brent Frontline at Houston MOC Financial</v>
          </cell>
          <cell r="C158" t="str">
            <v>CN05I</v>
          </cell>
        </row>
        <row r="159">
          <cell r="B159" t="str">
            <v>CN05J-WTI Frontline vs Dubai Frontline at Houston MOC Financial</v>
          </cell>
          <cell r="C159" t="str">
            <v>CN05J</v>
          </cell>
        </row>
        <row r="160">
          <cell r="B160" t="str">
            <v>CN05K-WTI Frontline vs Dubai Frontline at Houston MOC Financial Time Spread</v>
          </cell>
          <cell r="C160" t="str">
            <v>CN05K</v>
          </cell>
        </row>
        <row r="161">
          <cell r="B161" t="str">
            <v>CN05L-Bunker FO 380 CST 3.5% Dlvd Houston Financial</v>
          </cell>
          <cell r="C161" t="str">
            <v>CN05L</v>
          </cell>
        </row>
        <row r="162">
          <cell r="B162" t="str">
            <v>CN05M-Bunker FO 380 CST 3.5% Dlvd Los Angeles Financial</v>
          </cell>
          <cell r="C162" t="str">
            <v>CN05M</v>
          </cell>
        </row>
        <row r="163">
          <cell r="B163" t="str">
            <v>CN05N-Bunker FO 380 CST 3.5% Ex-Wharf Panama Canal Financial</v>
          </cell>
          <cell r="C163" t="str">
            <v>CN05N</v>
          </cell>
        </row>
        <row r="164">
          <cell r="B164" t="str">
            <v>CN05O-Dated Brent at Houston MOC Financial</v>
          </cell>
          <cell r="C164" t="str">
            <v>CN05O</v>
          </cell>
        </row>
        <row r="165">
          <cell r="B165" t="str">
            <v>CN05P-Eagle Ford Crude FOB Financial</v>
          </cell>
          <cell r="C165" t="str">
            <v>CN05P</v>
          </cell>
        </row>
        <row r="166">
          <cell r="B166" t="str">
            <v>CN05R-FO 1.0% USGC Cargo Financial</v>
          </cell>
          <cell r="C166" t="str">
            <v>CN05R</v>
          </cell>
        </row>
        <row r="167">
          <cell r="B167" t="str">
            <v>CN05U-Gasoil No.2 New Jersey Buckeye Pipeline Financial</v>
          </cell>
          <cell r="C167" t="str">
            <v>CN05U</v>
          </cell>
        </row>
        <row r="168">
          <cell r="B168" t="str">
            <v>CN05V-Gasoil No.2 USGC Prompt Pipeline Financial</v>
          </cell>
          <cell r="C168" t="str">
            <v>CN05V</v>
          </cell>
        </row>
        <row r="169">
          <cell r="B169" t="str">
            <v>CN05W-Gasoline CBOB Buckeye Pipeline Financial</v>
          </cell>
          <cell r="C169" t="str">
            <v>CN05W</v>
          </cell>
        </row>
        <row r="170">
          <cell r="B170" t="str">
            <v>CN05X-Gasoline CBOB PA Buckeye Supplemental Financial</v>
          </cell>
          <cell r="C170" t="str">
            <v>CN05X</v>
          </cell>
        </row>
        <row r="171">
          <cell r="B171" t="str">
            <v>CN05Y-Gasoline Prem UNLD Seattle WA Pipeline Financial</v>
          </cell>
          <cell r="C171" t="str">
            <v>CN05Y</v>
          </cell>
        </row>
        <row r="172">
          <cell r="B172" t="str">
            <v>CN05Z-Gasoline RBOB Buckeye Pipeline Financial</v>
          </cell>
          <cell r="C172" t="str">
            <v>CN05Z</v>
          </cell>
        </row>
        <row r="173">
          <cell r="B173" t="str">
            <v>CN060-Gasoline UNLD 87 Chicago Pipeline Financial</v>
          </cell>
          <cell r="C173" t="str">
            <v>CN060</v>
          </cell>
        </row>
        <row r="174">
          <cell r="B174" t="str">
            <v>CN061-Gasoline USGC Financial</v>
          </cell>
          <cell r="C174" t="str">
            <v>CN061</v>
          </cell>
        </row>
        <row r="175">
          <cell r="B175" t="str">
            <v>CN062-Jet Colonial Linden 54 Pipeline Financial</v>
          </cell>
          <cell r="C175" t="str">
            <v>CN062</v>
          </cell>
        </row>
        <row r="176">
          <cell r="B176" t="str">
            <v>CN063-Jet Kero FOB Chicago Pipeline Financial</v>
          </cell>
          <cell r="C176" t="str">
            <v>CN063</v>
          </cell>
        </row>
        <row r="177">
          <cell r="B177" t="str">
            <v>CN064-Jet Kero Group 3 Pipeline Financial</v>
          </cell>
          <cell r="C177" t="str">
            <v>CN064</v>
          </cell>
        </row>
        <row r="178">
          <cell r="B178" t="str">
            <v>CN065-Louisiana Light Sweet Crude Financial</v>
          </cell>
          <cell r="C178" t="str">
            <v>CN065</v>
          </cell>
        </row>
        <row r="179">
          <cell r="B179" t="str">
            <v>CN066-Maya Crude Financial</v>
          </cell>
          <cell r="C179" t="str">
            <v>CN066</v>
          </cell>
        </row>
        <row r="180">
          <cell r="B180" t="str">
            <v>CN067-Naphtha FOB USGC Cargo Financial</v>
          </cell>
          <cell r="C180" t="str">
            <v>CN067</v>
          </cell>
        </row>
        <row r="181">
          <cell r="B181" t="str">
            <v>CN068-ULS Heating Oil USGC Prompt Pipeline Financial</v>
          </cell>
          <cell r="C181" t="str">
            <v>CN068</v>
          </cell>
        </row>
        <row r="182">
          <cell r="B182" t="str">
            <v>CN069-ULSD Group 3 Pipeline Financial</v>
          </cell>
          <cell r="C182" t="str">
            <v>CN069</v>
          </cell>
        </row>
        <row r="183">
          <cell r="B183" t="str">
            <v>CN06A-ULSD New Jersey Buckeye Pipeline Financial</v>
          </cell>
          <cell r="C183" t="str">
            <v>CN06A</v>
          </cell>
        </row>
        <row r="184">
          <cell r="B184" t="str">
            <v>CN06B-ULSD No.2 Los Angeles Ca Pipeline Financial</v>
          </cell>
          <cell r="C184" t="str">
            <v>CN06B</v>
          </cell>
        </row>
        <row r="185">
          <cell r="B185" t="str">
            <v>CN06C-ULSD Seattle WA Pipeline Financial</v>
          </cell>
          <cell r="C185" t="str">
            <v>CN06C</v>
          </cell>
        </row>
        <row r="186">
          <cell r="B186" t="str">
            <v>CN06D-West Texas Sour Crude Financial</v>
          </cell>
          <cell r="C186" t="str">
            <v>CN06D</v>
          </cell>
        </row>
        <row r="187">
          <cell r="B187" t="str">
            <v>CN0NV-Brent Frontline at Spore MOC Financial</v>
          </cell>
          <cell r="C187" t="str">
            <v>CN0NV</v>
          </cell>
        </row>
        <row r="188">
          <cell r="B188" t="str">
            <v xml:space="preserve">CN0NW-Brent Frontline at Spore MOC Financial Time Spread </v>
          </cell>
          <cell r="C188" t="str">
            <v>CN0NW</v>
          </cell>
        </row>
        <row r="189">
          <cell r="B189" t="str">
            <v>CN0NX-Brent Frontline vs Dubai Frontline at Spore MOC Financial</v>
          </cell>
          <cell r="C189" t="str">
            <v>CN0NX</v>
          </cell>
        </row>
        <row r="190">
          <cell r="B190" t="str">
            <v xml:space="preserve">CN0NY-Dubai at Spore MOC EFS </v>
          </cell>
          <cell r="C190" t="str">
            <v>CN0NY</v>
          </cell>
        </row>
        <row r="191">
          <cell r="B191" t="str">
            <v>CN0NZ-Dubai at Spore MOC Financial</v>
          </cell>
          <cell r="C191" t="str">
            <v>CN0NZ</v>
          </cell>
        </row>
        <row r="192">
          <cell r="B192" t="str">
            <v xml:space="preserve">CN0O0-Dubai Frontline at Spore MOC Financial Time Spread </v>
          </cell>
          <cell r="C192" t="str">
            <v>CN0O0</v>
          </cell>
        </row>
        <row r="193">
          <cell r="B193" t="str">
            <v>CN0O1-FO 180 3.5% FOB Spore Cargo vs FO 3.5% FOB Rdam Barge at Spore MOC (E-W) Financial</v>
          </cell>
          <cell r="C193" t="str">
            <v>CN0O1</v>
          </cell>
        </row>
        <row r="194">
          <cell r="B194" t="str">
            <v>CN0O2-FO 180 3.5%S FOB Spore Cargo vs FO 380 3.5%S FOB Spore Cargo (Visc Spread) Financial</v>
          </cell>
          <cell r="C194" t="str">
            <v>CN0O2</v>
          </cell>
        </row>
        <row r="195">
          <cell r="B195" t="str">
            <v>CN0O3-FO 180 CST 3.5%S FOB Spore Cargo Brent Crack at Spore MOC Financial</v>
          </cell>
          <cell r="C195" t="str">
            <v>CN0O3</v>
          </cell>
        </row>
        <row r="196">
          <cell r="B196" t="str">
            <v>CN0O4-FO 180 CST 3.5%S FOB Spore Cargo Dubai Crack Financial</v>
          </cell>
          <cell r="C196" t="str">
            <v>CN0O4</v>
          </cell>
        </row>
        <row r="197">
          <cell r="B197" t="str">
            <v>CN0O5-FO 180 CST 3.5%S FOB Spore Cargo Financial</v>
          </cell>
          <cell r="C197" t="str">
            <v>CN0O5</v>
          </cell>
        </row>
        <row r="198">
          <cell r="B198" t="str">
            <v>CN0O6-FO 180 CST 3.5%S FOB Spore Cargo Financial Price Change</v>
          </cell>
          <cell r="C198" t="str">
            <v>CN0O6</v>
          </cell>
        </row>
        <row r="199">
          <cell r="B199" t="str">
            <v>CN0O7-FO 180 CST 3.5%S FOB Spore Cargo Financial Time Spread</v>
          </cell>
          <cell r="C199" t="str">
            <v>CN0O7</v>
          </cell>
        </row>
        <row r="200">
          <cell r="B200" t="str">
            <v>CN0O8-FO 3.5%S FOB Rdam Barge at Spore MOC Financial</v>
          </cell>
          <cell r="C200" t="str">
            <v>CN0O8</v>
          </cell>
        </row>
        <row r="201">
          <cell r="B201" t="str">
            <v>CN0O9-FO 3.5%S FOB Rdam Barge at Spore MOC Financial Time Spread</v>
          </cell>
          <cell r="C201" t="str">
            <v>CN0O9</v>
          </cell>
        </row>
        <row r="202">
          <cell r="B202" t="str">
            <v>CN0OA-FO 3.5%S FOB Rdam Barge Brent Crack at Spore MOC Financial</v>
          </cell>
          <cell r="C202" t="str">
            <v>CN0OA</v>
          </cell>
        </row>
        <row r="203">
          <cell r="B203" t="str">
            <v>CN0OB-FO 380 CST 3.5% FOB Arab Gulf Cargo Financial</v>
          </cell>
          <cell r="C203" t="str">
            <v>CN0OB</v>
          </cell>
        </row>
        <row r="204">
          <cell r="B204" t="str">
            <v>CN0OC-FO 380 CST 3.5% FOB Arab Gulf Cargo Brent Crack At Spore MOC Financial</v>
          </cell>
          <cell r="C204" t="str">
            <v>CN0OC</v>
          </cell>
        </row>
        <row r="205">
          <cell r="B205" t="str">
            <v>CN0OD-FO 380 CST 3.5% FOB Arab Gulf Cargo Dubai Crack Financial</v>
          </cell>
          <cell r="C205" t="str">
            <v>CN0OD</v>
          </cell>
        </row>
        <row r="206">
          <cell r="B206" t="str">
            <v>CN0OE-FO 380 CST 3.5%S FOB Spore Cargo Financial</v>
          </cell>
          <cell r="C206" t="str">
            <v>CN0OE</v>
          </cell>
        </row>
        <row r="207">
          <cell r="B207" t="str">
            <v>CN0OF-FO 380 CST 3.5%S FOB Spore Cargo Financial Price Change</v>
          </cell>
          <cell r="C207" t="str">
            <v>CN0OF</v>
          </cell>
        </row>
        <row r="208">
          <cell r="B208" t="str">
            <v>CN0OG-FO 380 CST 3.5%S FOB Spore Cargo Financial Time Spread</v>
          </cell>
          <cell r="C208" t="str">
            <v>CN0OG</v>
          </cell>
        </row>
        <row r="209">
          <cell r="B209" t="str">
            <v>CN0OI-Gasoil .05%S (500ppm) FOB Spore Cargo vs Gasoil FOB Spore Cargo Financial</v>
          </cell>
          <cell r="C209" t="str">
            <v>CN0OI</v>
          </cell>
        </row>
        <row r="210">
          <cell r="B210" t="str">
            <v>CN0OJ-Gasoil at Spore MOC ESS</v>
          </cell>
          <cell r="C210" t="str">
            <v>CN0OJ</v>
          </cell>
        </row>
        <row r="211">
          <cell r="B211" t="str">
            <v>CN0OK-Gasoil FOB Arab Gulf Cargo Financial</v>
          </cell>
          <cell r="C211" t="str">
            <v>CN0OK</v>
          </cell>
        </row>
        <row r="212">
          <cell r="B212" t="str">
            <v>CN0OL-Gasoil FOB Spore Cargo Brent Crack at Spore MOC Financial</v>
          </cell>
          <cell r="C212" t="str">
            <v>CN0OL</v>
          </cell>
        </row>
        <row r="213">
          <cell r="B213" t="str">
            <v>CN0OM-Gasoil FOB Spore Cargo Dubai Crack Financial</v>
          </cell>
          <cell r="C213" t="str">
            <v>CN0OM</v>
          </cell>
        </row>
        <row r="214">
          <cell r="B214" t="str">
            <v>CN0ON-Gasoil FOB Spore Cargo Financial</v>
          </cell>
          <cell r="C214" t="str">
            <v>CN0ON</v>
          </cell>
        </row>
        <row r="215">
          <cell r="B215" t="str">
            <v>CN0OO-Gasoil FOB Spore Cargo Financial Price Change</v>
          </cell>
          <cell r="C215" t="str">
            <v>CN0OO</v>
          </cell>
        </row>
        <row r="216">
          <cell r="B216" t="str">
            <v>CN0OP-Gasoil FOB Spore Cargo Financial Time Spread</v>
          </cell>
          <cell r="C216" t="str">
            <v>CN0OP</v>
          </cell>
        </row>
        <row r="217">
          <cell r="B217" t="str">
            <v>CN0OQ-Gasoil FOB Spore EFS</v>
          </cell>
          <cell r="C217" t="str">
            <v>CN0OQ</v>
          </cell>
        </row>
        <row r="218">
          <cell r="B218" t="str">
            <v>CN0OR-Gasoil FOB Spore EFS Price Change</v>
          </cell>
          <cell r="C218" t="str">
            <v>CN0OR</v>
          </cell>
        </row>
        <row r="219">
          <cell r="B219" t="str">
            <v>CN0OT-Gasoline 92 RON FOB Spore Brent Crack at Spore MOC Financial</v>
          </cell>
          <cell r="C219" t="str">
            <v>CN0OT</v>
          </cell>
        </row>
        <row r="220">
          <cell r="B220" t="str">
            <v>CN0OU-Gasoline 92 RON FOB Spore Dubai Crack Financial</v>
          </cell>
          <cell r="C220" t="str">
            <v>CN0OU</v>
          </cell>
        </row>
        <row r="221">
          <cell r="B221" t="str">
            <v>CN0OV-Gasoline 92 RON FOB Spore Financial</v>
          </cell>
          <cell r="C221" t="str">
            <v>CN0OV</v>
          </cell>
        </row>
        <row r="222">
          <cell r="B222" t="str">
            <v>CN0OW-Gasoline 92 RON FOB Spore Financial Price Change</v>
          </cell>
          <cell r="C222" t="str">
            <v>CN0OW</v>
          </cell>
        </row>
        <row r="223">
          <cell r="B223" t="str">
            <v>CN0OX-Gasoline 92 RON FOB Spore Financial Time Spread</v>
          </cell>
          <cell r="C223" t="str">
            <v>CN0OX</v>
          </cell>
        </row>
        <row r="224">
          <cell r="B224" t="str">
            <v>CN0OY-Gasoline 92 RON FOB Spore vs Naphtha FOB Spore Financial</v>
          </cell>
          <cell r="C224" t="str">
            <v>CN0OY</v>
          </cell>
        </row>
        <row r="225">
          <cell r="B225" t="str">
            <v>CN0OZ-Gasoline 92 RON FOB Spore vs Naphtha FOB Spore Financial Price Change</v>
          </cell>
          <cell r="C225" t="str">
            <v>CN0OZ</v>
          </cell>
        </row>
        <row r="226">
          <cell r="B226" t="str">
            <v>CN0P0-Gasoline 95 RON Arab Gulf Financial</v>
          </cell>
          <cell r="C226" t="str">
            <v>CN0P0</v>
          </cell>
        </row>
        <row r="227">
          <cell r="B227" t="str">
            <v>CN0P1-ICE Brent at Spore MOC Time Spread</v>
          </cell>
          <cell r="C227" t="str">
            <v>CN0P1</v>
          </cell>
        </row>
        <row r="228">
          <cell r="B228" t="str">
            <v>CN0P2-ICE Gasoil at Spore MOC</v>
          </cell>
          <cell r="C228" t="str">
            <v>CN0P2</v>
          </cell>
        </row>
        <row r="229">
          <cell r="B229" t="str">
            <v>CN0P3-ICE Gasoil at Spore MOC Time Spread</v>
          </cell>
          <cell r="C229" t="str">
            <v>CN0P3</v>
          </cell>
        </row>
        <row r="230">
          <cell r="B230" t="str">
            <v>CN0P4-ICE Gasoil Frontline at Spore MOC Financial</v>
          </cell>
          <cell r="C230" t="str">
            <v>CN0P4</v>
          </cell>
        </row>
        <row r="231">
          <cell r="B231" t="str">
            <v>CN0P5-ICE Gasoil Frontline at Spore MOC Financial Time Spread</v>
          </cell>
          <cell r="C231" t="str">
            <v>CN0P5</v>
          </cell>
        </row>
        <row r="232">
          <cell r="B232" t="str">
            <v>CN0P6-Jet Kero FOB Arab Gulf Cargo Financial</v>
          </cell>
          <cell r="C232" t="str">
            <v>CN0P6</v>
          </cell>
        </row>
        <row r="233">
          <cell r="B233" t="str">
            <v>CN0P7-Jet Kero FOB Spore Cargo Brent Crack at Spore MOC Financial</v>
          </cell>
          <cell r="C233" t="str">
            <v>CN0P7</v>
          </cell>
        </row>
        <row r="234">
          <cell r="B234" t="str">
            <v>CN0P9-Jet Kero FOB Spore Cargo Financial</v>
          </cell>
          <cell r="C234" t="str">
            <v>CN0P9</v>
          </cell>
        </row>
        <row r="235">
          <cell r="B235" t="str">
            <v>CN0PA-Jet Kero FOB Spore Cargo Financial Price Change</v>
          </cell>
          <cell r="C235" t="str">
            <v>CN0PA</v>
          </cell>
        </row>
        <row r="236">
          <cell r="B236" t="str">
            <v>CN0PB-Jet Kero FOB Spore Cargo Financial Time Spread</v>
          </cell>
          <cell r="C236" t="str">
            <v>CN0PB</v>
          </cell>
        </row>
        <row r="237">
          <cell r="B237" t="str">
            <v>CN0PC-Jet Kero FOB Spore Cargo vs Gasoil FOB Spore Cargo Financial</v>
          </cell>
          <cell r="C237" t="str">
            <v>CN0PC</v>
          </cell>
        </row>
        <row r="238">
          <cell r="B238" t="str">
            <v>CN0PD-Naphtha C+F Japan Cargo Brent Crack at Spore MOC Financial</v>
          </cell>
          <cell r="C238" t="str">
            <v>CN0PD</v>
          </cell>
        </row>
        <row r="239">
          <cell r="B239" t="str">
            <v>CN0PE-Naphtha C+F Japan Cargo Dubai Crack Financial</v>
          </cell>
          <cell r="C239" t="str">
            <v>CN0PE</v>
          </cell>
        </row>
        <row r="240">
          <cell r="B240" t="str">
            <v>CN0PF-Naphtha C+F Japan Cargo Financial</v>
          </cell>
          <cell r="C240" t="str">
            <v>CN0PF</v>
          </cell>
        </row>
        <row r="241">
          <cell r="B241" t="str">
            <v>CN0PG-Naphtha C+F Japan Cargo Financial Price Change</v>
          </cell>
          <cell r="C241" t="str">
            <v>CN0PG</v>
          </cell>
        </row>
        <row r="242">
          <cell r="B242" t="str">
            <v>CN0PH-Naphtha C+F Japan Cargo Financial Time Spread</v>
          </cell>
          <cell r="C242" t="str">
            <v>CN0PH</v>
          </cell>
        </row>
        <row r="243">
          <cell r="B243" t="str">
            <v>CN0PI-Naphtha C+F Japan Cargo vs CIF NWE Cargo at Spore MOC Financial</v>
          </cell>
          <cell r="C243" t="str">
            <v>CN0PI</v>
          </cell>
        </row>
        <row r="244">
          <cell r="B244" t="str">
            <v>CN0PJ-Naphtha CIF NWE Cargo at Spore MOC Financial</v>
          </cell>
          <cell r="C244" t="str">
            <v>CN0PJ</v>
          </cell>
        </row>
        <row r="245">
          <cell r="B245" t="str">
            <v>CN0PK-Naphtha FOB Spore Cargo Brent Crack at Spore MOC Financial</v>
          </cell>
          <cell r="C245" t="str">
            <v>CN0PK</v>
          </cell>
        </row>
        <row r="246">
          <cell r="B246" t="str">
            <v>CN0PL-Naphtha FOB Spore Cargo Dubai Crack Financial</v>
          </cell>
          <cell r="C246" t="str">
            <v>CN0PL</v>
          </cell>
        </row>
        <row r="247">
          <cell r="B247" t="str">
            <v>CN0PM-Naphtha FOB Spore Cargo Financial</v>
          </cell>
          <cell r="C247" t="str">
            <v>CN0PM</v>
          </cell>
        </row>
        <row r="248">
          <cell r="B248" t="str">
            <v>CN0PN-Naphtha FOB Spore Cargo Financial Price Change</v>
          </cell>
          <cell r="C248" t="str">
            <v>CN0PN</v>
          </cell>
        </row>
        <row r="249">
          <cell r="B249" t="str">
            <v>CN0PO-Naphtha FOB Spore Cargo Financial Time Spread</v>
          </cell>
          <cell r="C249" t="str">
            <v>CN0PO</v>
          </cell>
        </row>
        <row r="250">
          <cell r="B250" t="str">
            <v>CN0PP-NYMEX WTI at Spore MOC Time Spread</v>
          </cell>
          <cell r="C250" t="str">
            <v>CN0PP</v>
          </cell>
        </row>
        <row r="251">
          <cell r="B251" t="str">
            <v>CN0PQ-NYMEX WTI vs ICE Brent at Spore MOC</v>
          </cell>
          <cell r="C251" t="str">
            <v>CN0PQ</v>
          </cell>
        </row>
        <row r="252">
          <cell r="B252" t="str">
            <v>CN0PR-Oman at Spore MOC Financial</v>
          </cell>
          <cell r="C252" t="str">
            <v>CN0PR</v>
          </cell>
        </row>
        <row r="253">
          <cell r="B253" t="str">
            <v>CN0PS-Oman vs Dubai at Spore MOC Financial</v>
          </cell>
          <cell r="C253" t="str">
            <v>CN0PS</v>
          </cell>
        </row>
        <row r="254">
          <cell r="B254" t="str">
            <v>CN0PT-Propane FOB Saudi Arabia CP Financial</v>
          </cell>
          <cell r="C254" t="str">
            <v>CN0PT</v>
          </cell>
        </row>
        <row r="255">
          <cell r="B255" t="str">
            <v>CN0PU-Bunker FO 380 CST Dlvd Hong Kong Financial</v>
          </cell>
          <cell r="C255" t="str">
            <v>CN0PU</v>
          </cell>
        </row>
        <row r="256">
          <cell r="B256" t="str">
            <v>CN0PV-Bunker FO 380 CST Dlvd South Korea Financial</v>
          </cell>
          <cell r="C256" t="str">
            <v>CN0PV</v>
          </cell>
        </row>
        <row r="257">
          <cell r="B257" t="str">
            <v>CN0PW-Bunker FO 380 CST Dlvd Spore Financial</v>
          </cell>
          <cell r="C257" t="str">
            <v>CN0PW</v>
          </cell>
        </row>
        <row r="258">
          <cell r="B258" t="str">
            <v>CN0PX-Dated Brent at Spore MOC Financial</v>
          </cell>
          <cell r="C258" t="str">
            <v>CN0PX</v>
          </cell>
        </row>
        <row r="259">
          <cell r="B259" t="str">
            <v>CN0Q0-Gasoline 95RON FOB Spore Financial</v>
          </cell>
          <cell r="C259" t="str">
            <v>CN0Q0</v>
          </cell>
        </row>
        <row r="260">
          <cell r="B260" t="str">
            <v>CN0Q1-WTI Frontline at Spore MOC Financial</v>
          </cell>
          <cell r="C260" t="str">
            <v>CN0Q1</v>
          </cell>
        </row>
        <row r="261">
          <cell r="B261" t="str">
            <v>CN0R0-Brent-Dubai at London MOC ESS</v>
          </cell>
          <cell r="C261" t="str">
            <v>CN0R0</v>
          </cell>
        </row>
        <row r="262">
          <cell r="B262" t="str">
            <v>CN0R1-FO 3.5%S FOB Med Cargo Brent Crack Financial</v>
          </cell>
          <cell r="C262" t="str">
            <v>CN0R1</v>
          </cell>
        </row>
        <row r="263">
          <cell r="B263" t="str">
            <v>CN0R9-FO 380 CST 3.5% FOB Spore Cargo Brent Crack At Spore MOC Financial</v>
          </cell>
          <cell r="C263" t="str">
            <v>CN0R9</v>
          </cell>
        </row>
        <row r="264">
          <cell r="B264" t="str">
            <v>CN0RA-Gasoline vs Eurobob FOB ARA Financial</v>
          </cell>
          <cell r="C264" t="str">
            <v>CN0RA</v>
          </cell>
        </row>
        <row r="265">
          <cell r="B265" t="str">
            <v>CN0RB-Marine Fuel USGC 0.5% vs HSFO USGC Waterborne Financial</v>
          </cell>
          <cell r="C265" t="str">
            <v>CN0RB</v>
          </cell>
        </row>
        <row r="266">
          <cell r="B266" t="str">
            <v>CN0RD-Jet Kero into Seattle-Tacoma Airport Financial</v>
          </cell>
          <cell r="C266" t="str">
            <v>CN0RD</v>
          </cell>
        </row>
        <row r="267">
          <cell r="B267" t="str">
            <v>CN0RE-Marine Fuel USGC 0.5% Financial Time Spread</v>
          </cell>
          <cell r="C267" t="str">
            <v>CN0RE</v>
          </cell>
        </row>
        <row r="268">
          <cell r="B268" t="str">
            <v>CN0RH-Gasoline CBOB USGC Financial</v>
          </cell>
          <cell r="C268" t="str">
            <v>CN0RH</v>
          </cell>
        </row>
        <row r="269">
          <cell r="B269" t="str">
            <v>CN0RI-Marine Fuel 0.5% FOB Fujairah Cargo Financial Time Spread</v>
          </cell>
          <cell r="C269" t="str">
            <v>CN0RI</v>
          </cell>
        </row>
        <row r="270">
          <cell r="B270" t="str">
            <v>CN0RJ-Marine Fuel 0.5% FOB Fujairah Cargo Financial</v>
          </cell>
          <cell r="C270" t="str">
            <v>CN0RJ</v>
          </cell>
        </row>
        <row r="271">
          <cell r="B271" t="str">
            <v>CN0RK-FO 380 CST 3.5% FOB Spore Cargo Dubai Crack Financial</v>
          </cell>
          <cell r="C271" t="str">
            <v>CN0RK</v>
          </cell>
        </row>
        <row r="272">
          <cell r="B272" t="str">
            <v>CN0RL-ULSD Chicago Financial</v>
          </cell>
          <cell r="C272" t="str">
            <v>CN0RL</v>
          </cell>
        </row>
        <row r="273">
          <cell r="B273" t="str">
            <v>CN0RO-WTI Midland Financial</v>
          </cell>
          <cell r="C273" t="str">
            <v>CN0RO</v>
          </cell>
        </row>
        <row r="274">
          <cell r="B274" t="str">
            <v>CN0RP-Marine Fuel 0.5% FOB Spore Cargo Financial</v>
          </cell>
          <cell r="C274" t="str">
            <v>CN0RP</v>
          </cell>
        </row>
        <row r="275">
          <cell r="B275" t="str">
            <v>CN0RQ-Marine Fuel 0.5% FOB Spore Cargo Financial Time Spread</v>
          </cell>
          <cell r="C275" t="str">
            <v>CN0RQ</v>
          </cell>
        </row>
        <row r="276">
          <cell r="B276" t="str">
            <v>CN0RR-LLS vs WTI Cushing Financial</v>
          </cell>
          <cell r="C276" t="str">
            <v>CN0RR</v>
          </cell>
        </row>
        <row r="277">
          <cell r="B277" t="str">
            <v>CN0RV-Marine Fuel USGC 0.5% Financial</v>
          </cell>
          <cell r="C277" t="str">
            <v>CN0RV</v>
          </cell>
        </row>
        <row r="278">
          <cell r="B278" t="str">
            <v>CN0TV-Paraxylene CFR Taiwan/China Financial</v>
          </cell>
          <cell r="C278" t="str">
            <v>CN0TV</v>
          </cell>
        </row>
        <row r="279">
          <cell r="B279" t="str">
            <v>CN1BN-Gasoline Eurobob E10 Non-Oxy FOB AR Barge Financial</v>
          </cell>
          <cell r="C279" t="str">
            <v>CN1BN</v>
          </cell>
        </row>
        <row r="280">
          <cell r="B280" t="str">
            <v>CN1BQ-NYMEX Globex Light Sweet Crude abs Electronic Future</v>
          </cell>
          <cell r="C280" t="str">
            <v>CN1BQ</v>
          </cell>
        </row>
        <row r="281">
          <cell r="B281" t="str">
            <v>CN1BR-NYMEX Globex Light Sweet Crude rel Electronic Future</v>
          </cell>
          <cell r="C281" t="str">
            <v>CN1BR</v>
          </cell>
        </row>
        <row r="282">
          <cell r="B282" t="str">
            <v>CN1BU-US Corn CIF New Orleans $/bu Physical</v>
          </cell>
          <cell r="C282" t="str">
            <v>CN1BU</v>
          </cell>
        </row>
        <row r="283">
          <cell r="B283" t="str">
            <v>CN1BV-US Corn CIF New Orleans $/mt Physical</v>
          </cell>
          <cell r="C283" t="str">
            <v>CN1BV</v>
          </cell>
        </row>
        <row r="284">
          <cell r="B284" t="str">
            <v>CN1BW-US Corn CIF New Orleans Basis cent/bu Physical</v>
          </cell>
          <cell r="C284" t="str">
            <v>CN1BW</v>
          </cell>
        </row>
        <row r="285">
          <cell r="B285" t="str">
            <v>CN1C5-Butane Conway M2M Financial</v>
          </cell>
          <cell r="C285" t="str">
            <v>CN1C5</v>
          </cell>
        </row>
        <row r="286">
          <cell r="B286" t="str">
            <v>CN1C6-Butane Mont Belvieu Energy Transfer M2M Financial</v>
          </cell>
          <cell r="C286" t="str">
            <v>CN1C6</v>
          </cell>
        </row>
        <row r="287">
          <cell r="B287" t="str">
            <v>CN1C7-Butane Mont Belvieu Enterprise M2M Financial</v>
          </cell>
          <cell r="C287" t="str">
            <v>CN1C7</v>
          </cell>
        </row>
        <row r="288">
          <cell r="B288" t="str">
            <v>CN1C8-E/P Mix Conway M2M Financial</v>
          </cell>
          <cell r="C288" t="str">
            <v>CN1C8</v>
          </cell>
        </row>
        <row r="289">
          <cell r="B289" t="str">
            <v>CN1C9-E/P Mix Mont Belvieu Enterprise M2M Financial</v>
          </cell>
          <cell r="C289" t="str">
            <v>CN1C9</v>
          </cell>
        </row>
        <row r="290">
          <cell r="B290" t="str">
            <v>CN1CA-Ethane Mont Belvieu Enterprise M2M Financial</v>
          </cell>
          <cell r="C290" t="str">
            <v>CN1CA</v>
          </cell>
        </row>
        <row r="291">
          <cell r="B291" t="str">
            <v>CN1CB-Isobutane Conway M2M Financial</v>
          </cell>
          <cell r="C291" t="str">
            <v>CN1CB</v>
          </cell>
        </row>
        <row r="292">
          <cell r="B292" t="str">
            <v>CN1CC-Isobutane Mont Belvieu LST M2M Financial</v>
          </cell>
          <cell r="C292" t="str">
            <v>CN1CC</v>
          </cell>
        </row>
        <row r="293">
          <cell r="B293" t="str">
            <v>CN1CD-Isobutane Mont Belvieu Enterprise M2M Financial</v>
          </cell>
          <cell r="C293" t="str">
            <v>CN1CD</v>
          </cell>
        </row>
        <row r="294">
          <cell r="B294" t="str">
            <v>CN1CE-Natural Gasoline Conway M2M Financial</v>
          </cell>
          <cell r="C294" t="str">
            <v>CN1CE</v>
          </cell>
        </row>
        <row r="295">
          <cell r="B295" t="str">
            <v>CN1CF-Natural Gasoline Mont Belvieu Energy Transfer M2M Financial</v>
          </cell>
          <cell r="C295" t="str">
            <v>CN1CF</v>
          </cell>
        </row>
        <row r="296">
          <cell r="B296" t="str">
            <v>CN1CG-Natural Gasoline Enterprise Mont Belvieu M2M Financial</v>
          </cell>
          <cell r="C296" t="str">
            <v>CN1CG</v>
          </cell>
        </row>
        <row r="297">
          <cell r="B297" t="str">
            <v>CN1CH-Propane Conway M2M Financial</v>
          </cell>
          <cell r="C297" t="str">
            <v>CN1CH</v>
          </cell>
        </row>
        <row r="298">
          <cell r="B298" t="str">
            <v>CN1CI-Propane Mont Belvieu Energy Transfer M2M Financial</v>
          </cell>
          <cell r="C298" t="str">
            <v>CN1CI</v>
          </cell>
        </row>
        <row r="299">
          <cell r="B299" t="str">
            <v>CN1CJ-Propane Mont Belvieu Enterprise M2M Financial</v>
          </cell>
          <cell r="C299" t="str">
            <v>CN1CJ</v>
          </cell>
        </row>
        <row r="300">
          <cell r="B300" t="str">
            <v>CN1T7-FtS Houston Gasoil FOB Spore Brent Crack Financial</v>
          </cell>
          <cell r="C300" t="str">
            <v>CN1T7</v>
          </cell>
        </row>
        <row r="301">
          <cell r="B301" t="str">
            <v>CN1T8-FtS Houston Gasoil FOB Spore Dubai Crack Financial</v>
          </cell>
          <cell r="C301" t="str">
            <v>CN1T8</v>
          </cell>
        </row>
        <row r="302">
          <cell r="B302" t="str">
            <v>CN1T9-FtS Houston Jet Kero Spore Brent Crack Financial</v>
          </cell>
          <cell r="C302" t="str">
            <v>CN1T9</v>
          </cell>
        </row>
        <row r="303">
          <cell r="B303" t="str">
            <v>CN1TA-FtS Houston Jet Kero Spore Dubai Crack Financial</v>
          </cell>
          <cell r="C303" t="str">
            <v>CN1TA</v>
          </cell>
        </row>
        <row r="304">
          <cell r="B304" t="str">
            <v>CN1TB-FtS Houston Naphtha Japan Brent Crack Financial</v>
          </cell>
          <cell r="C304" t="str">
            <v>CN1TB</v>
          </cell>
        </row>
        <row r="305">
          <cell r="B305" t="str">
            <v>CN1TC-FtS Houston Naphtha Japan Dubai Crack Financial</v>
          </cell>
          <cell r="C305" t="str">
            <v>CN1TC</v>
          </cell>
        </row>
        <row r="306">
          <cell r="B306" t="str">
            <v>CN1TD-FtS Houston Naphtha Spore Brent Crack Financial</v>
          </cell>
          <cell r="C306" t="str">
            <v>CN1TD</v>
          </cell>
        </row>
        <row r="307">
          <cell r="B307" t="str">
            <v>CN1TE-FtS Houston Naphtha Spore Dubai Crack Financial</v>
          </cell>
          <cell r="C307" t="str">
            <v>CN1TE</v>
          </cell>
        </row>
        <row r="308">
          <cell r="B308" t="str">
            <v>CN1TF-FtS Houston FO 180 FOB Spore Financial</v>
          </cell>
          <cell r="C308" t="str">
            <v>CN1TF</v>
          </cell>
        </row>
        <row r="309">
          <cell r="B309" t="str">
            <v>CN1TG-FtS Houston FO 180 FOB Spore Time Spread Financial</v>
          </cell>
          <cell r="C309" t="str">
            <v>CN1TG</v>
          </cell>
        </row>
        <row r="310">
          <cell r="B310" t="str">
            <v>CN1TH-FtS Houston FO 380 FOB Spore Financial</v>
          </cell>
          <cell r="C310" t="str">
            <v>CN1TH</v>
          </cell>
        </row>
        <row r="311">
          <cell r="B311" t="str">
            <v>CN1TI-FtS Houston FO 380 FOB Spore Time Spread Financial</v>
          </cell>
          <cell r="C311" t="str">
            <v>CN1TI</v>
          </cell>
        </row>
        <row r="312">
          <cell r="B312" t="str">
            <v>CN1TJ-FtS Houston Visc Spread FOB Spore Financial</v>
          </cell>
          <cell r="C312" t="str">
            <v>CN1TJ</v>
          </cell>
        </row>
        <row r="313">
          <cell r="B313" t="str">
            <v>CN1TK-FtS Houston Gasoline 92RON FOB Spore Financial</v>
          </cell>
          <cell r="C313" t="str">
            <v>CN1TK</v>
          </cell>
        </row>
        <row r="314">
          <cell r="B314" t="str">
            <v>CN1TL-FtS Houston Naphtha FOB Spore Financial</v>
          </cell>
          <cell r="C314" t="str">
            <v>CN1TL</v>
          </cell>
        </row>
        <row r="315">
          <cell r="B315" t="str">
            <v>CN1TM-FtS Houston Naphtha Japan Financial</v>
          </cell>
          <cell r="C315" t="str">
            <v>CN1TM</v>
          </cell>
        </row>
        <row r="316">
          <cell r="B316" t="str">
            <v>CN1TN-FtS Houston Naphtha Spore Time Spread Financial</v>
          </cell>
          <cell r="C316" t="str">
            <v>CN1TN</v>
          </cell>
        </row>
        <row r="317">
          <cell r="B317" t="str">
            <v>CN1TO-FtS Houston Reforming Spread Spore Financial</v>
          </cell>
          <cell r="C317" t="str">
            <v>CN1TO</v>
          </cell>
        </row>
        <row r="318">
          <cell r="B318" t="str">
            <v>CN1TP-FtS Houston Gasoil FOB Spore Financial</v>
          </cell>
          <cell r="C318" t="str">
            <v>CN1TP</v>
          </cell>
        </row>
        <row r="319">
          <cell r="B319" t="str">
            <v>CN1TQ-FtS Houston Gasoil FOB Spore Time Spread Financial</v>
          </cell>
          <cell r="C319" t="str">
            <v>CN1TQ</v>
          </cell>
        </row>
        <row r="320">
          <cell r="B320" t="str">
            <v>CN1TR-FtS Houston Jet Kero FOB Spore Financial</v>
          </cell>
          <cell r="C320" t="str">
            <v>CN1TR</v>
          </cell>
        </row>
        <row r="321">
          <cell r="B321" t="str">
            <v>CN1TS-FtS Houston Jet Kero FOB Spore Time Spread Financial</v>
          </cell>
          <cell r="C321" t="str">
            <v>CN1TS</v>
          </cell>
        </row>
        <row r="322">
          <cell r="B322" t="str">
            <v>CN1TT-FtS Houston Regrade Jet Gasoil Spore Financial</v>
          </cell>
          <cell r="C322" t="str">
            <v>CN1TT</v>
          </cell>
        </row>
        <row r="323">
          <cell r="B323" t="str">
            <v>CN1TU-FtS Houston FO 180 FOB Spore Brent Crack Financial</v>
          </cell>
          <cell r="C323" t="str">
            <v>CN1TU</v>
          </cell>
        </row>
        <row r="324">
          <cell r="B324" t="str">
            <v>CN1TV-FtS Houston FO 180 FOB Spore Dubai Crack Financial</v>
          </cell>
          <cell r="C324" t="str">
            <v>CN1TV</v>
          </cell>
        </row>
        <row r="325">
          <cell r="B325" t="str">
            <v>CN1TW-FtS Houston FO 380 FOB Spore Brent Crack Financial</v>
          </cell>
          <cell r="C325" t="str">
            <v>CN1TW</v>
          </cell>
        </row>
        <row r="326">
          <cell r="B326" t="str">
            <v>CN1TX-FtS Houston FO 380 FOB Spore Dubai Crack Financial</v>
          </cell>
          <cell r="C326" t="str">
            <v>CN1TX</v>
          </cell>
        </row>
        <row r="327">
          <cell r="B327" t="str">
            <v>CN1TY-FtS London Gasoil FOB Spore Brent Crack Financial</v>
          </cell>
          <cell r="C327" t="str">
            <v>CN1TY</v>
          </cell>
        </row>
        <row r="328">
          <cell r="B328" t="str">
            <v>CN1TZ-FtS London Gasoil FOB Spore Dubai Crack Financial</v>
          </cell>
          <cell r="C328" t="str">
            <v>CN1TZ</v>
          </cell>
        </row>
        <row r="329">
          <cell r="B329" t="str">
            <v>CN1U0-FtS London Jet Kero Spore Brent Crack Financial</v>
          </cell>
          <cell r="C329" t="str">
            <v>CN1U0</v>
          </cell>
        </row>
        <row r="330">
          <cell r="B330" t="str">
            <v>CN1U1-FtS London Jet Kero Spore Dubai Crack Financial</v>
          </cell>
          <cell r="C330" t="str">
            <v>CN1U1</v>
          </cell>
        </row>
        <row r="331">
          <cell r="B331" t="str">
            <v>CN1U2-FtS London Naphtha Japan Brent Crack Financial</v>
          </cell>
          <cell r="C331" t="str">
            <v>CN1U2</v>
          </cell>
        </row>
        <row r="332">
          <cell r="B332" t="str">
            <v>CN1U3-FtS London Naphtha Japan Dubai Crack Financial</v>
          </cell>
          <cell r="C332" t="str">
            <v>CN1U3</v>
          </cell>
        </row>
        <row r="333">
          <cell r="B333" t="str">
            <v>CN1U4-FtS London Naphtha Spore Brent Crack Financial</v>
          </cell>
          <cell r="C333" t="str">
            <v>CN1U4</v>
          </cell>
        </row>
        <row r="334">
          <cell r="B334" t="str">
            <v>CN1U5-FtS London Naphtha Spore Dubai Crack Financial</v>
          </cell>
          <cell r="C334" t="str">
            <v>CN1U5</v>
          </cell>
        </row>
        <row r="335">
          <cell r="B335" t="str">
            <v>CN1U6-FtS London FO 180 FOB Spore Financial</v>
          </cell>
          <cell r="C335" t="str">
            <v>CN1U6</v>
          </cell>
        </row>
        <row r="336">
          <cell r="B336" t="str">
            <v>CN1U7-FtS London FO 180 FOB Spore Time Spread Financial</v>
          </cell>
          <cell r="C336" t="str">
            <v>CN1U7</v>
          </cell>
        </row>
        <row r="337">
          <cell r="B337" t="str">
            <v>CN1U8-FtS London FO 380 FOB Spore Financial</v>
          </cell>
          <cell r="C337" t="str">
            <v>CN1U8</v>
          </cell>
        </row>
        <row r="338">
          <cell r="B338" t="str">
            <v>CN1U9-FtS London FO 380 FOB Spore Time Spread Financial</v>
          </cell>
          <cell r="C338" t="str">
            <v>CN1U9</v>
          </cell>
        </row>
        <row r="339">
          <cell r="B339" t="str">
            <v>CN1UA-FtS London Visc Spread FOB Spore Financial</v>
          </cell>
          <cell r="C339" t="str">
            <v>CN1UA</v>
          </cell>
        </row>
        <row r="340">
          <cell r="B340" t="str">
            <v>CN1UB-FtS London Gasoline 92RON FOB Spore Financial</v>
          </cell>
          <cell r="C340" t="str">
            <v>CN1UB</v>
          </cell>
        </row>
        <row r="341">
          <cell r="B341" t="str">
            <v>CN1UC-FtS London Naphtha FOB Spore Financial</v>
          </cell>
          <cell r="C341" t="str">
            <v>CN1UC</v>
          </cell>
        </row>
        <row r="342">
          <cell r="B342" t="str">
            <v>CN1UD-FtS London Naphtha Japan Financial</v>
          </cell>
          <cell r="C342" t="str">
            <v>CN1UD</v>
          </cell>
        </row>
        <row r="343">
          <cell r="B343" t="str">
            <v>CN1UE-FtS London Naphtha Spore Time Spread Financial</v>
          </cell>
          <cell r="C343" t="str">
            <v>CN1UE</v>
          </cell>
        </row>
        <row r="344">
          <cell r="B344" t="str">
            <v>CN1UF-FtS London Reforming Spread Spore Financial</v>
          </cell>
          <cell r="C344" t="str">
            <v>CN1UF</v>
          </cell>
        </row>
        <row r="345">
          <cell r="B345" t="str">
            <v>CN1UG-FtS London Gasoil FOB Spore Financial</v>
          </cell>
          <cell r="C345" t="str">
            <v>CN1UG</v>
          </cell>
        </row>
        <row r="346">
          <cell r="B346" t="str">
            <v>CN1UH-FtS London Gasoil FOB Spore Time Spread Financial</v>
          </cell>
          <cell r="C346" t="str">
            <v>CN1UH</v>
          </cell>
        </row>
        <row r="347">
          <cell r="B347" t="str">
            <v>CN1UI-FtS London Jet Kero FOB Spore Financial</v>
          </cell>
          <cell r="C347" t="str">
            <v>CN1UI</v>
          </cell>
        </row>
        <row r="348">
          <cell r="B348" t="str">
            <v>CN1UJ-FtS London Jet Kero FOB Spore Time Spread Financial</v>
          </cell>
          <cell r="C348" t="str">
            <v>CN1UJ</v>
          </cell>
        </row>
        <row r="349">
          <cell r="B349" t="str">
            <v>CN1UK-FtS London Regrade Jet Gasoil Spore Financial</v>
          </cell>
          <cell r="C349" t="str">
            <v>CN1UK</v>
          </cell>
        </row>
        <row r="350">
          <cell r="B350" t="str">
            <v>CN1UL-FtS London FO 180 FOB Spore Brent Crack Financial</v>
          </cell>
          <cell r="C350" t="str">
            <v>CN1UL</v>
          </cell>
        </row>
        <row r="351">
          <cell r="B351" t="str">
            <v>CN1UM-FtS London FO 180 FOB Spore Dubai Crack Financial</v>
          </cell>
          <cell r="C351" t="str">
            <v>CN1UM</v>
          </cell>
        </row>
        <row r="352">
          <cell r="B352" t="str">
            <v>CN1UN-FtS London FO 380 FOB Spore Brent Crack Financial</v>
          </cell>
          <cell r="C352" t="str">
            <v>CN1UN</v>
          </cell>
        </row>
        <row r="353">
          <cell r="B353" t="str">
            <v>CN1UO-FtS London FO 380 FOB Spore Dubai Crack Financial</v>
          </cell>
          <cell r="C353" t="str">
            <v>CN1UO</v>
          </cell>
        </row>
        <row r="354">
          <cell r="B354" t="str">
            <v>CN1UP-FtS Houston Gasoil 0.1%S ARA FOB Brg Brent Crk Financial</v>
          </cell>
          <cell r="C354" t="str">
            <v>CN1UP</v>
          </cell>
        </row>
        <row r="355">
          <cell r="B355" t="str">
            <v>CN1US-FtS Houston Gasoil 0.1%S Med CIF Crg Brent Crk Financial</v>
          </cell>
          <cell r="C355" t="str">
            <v>CN1US</v>
          </cell>
        </row>
        <row r="356">
          <cell r="B356" t="str">
            <v>CN1UV-FtS Houston Gasoil 0.1%S NWE CIF Crg Brent Crk Financial</v>
          </cell>
          <cell r="C356" t="str">
            <v>CN1UV</v>
          </cell>
        </row>
        <row r="357">
          <cell r="B357" t="str">
            <v>CN1V0-FtS Houston Jet Kero NWE CIF Crg Brent Crk Financial</v>
          </cell>
          <cell r="C357" t="str">
            <v>CN1V0</v>
          </cell>
        </row>
        <row r="358">
          <cell r="B358" t="str">
            <v>CN1V3-FtS Houston LS Gasoil Frontline Brent Crk Financial</v>
          </cell>
          <cell r="C358" t="str">
            <v>CN1V3</v>
          </cell>
        </row>
        <row r="359">
          <cell r="B359" t="str">
            <v>CN1V4-FtS Houston ULSD 10ppm ARA FOB Brg Brent Crk Financial</v>
          </cell>
          <cell r="C359" t="str">
            <v>CN1V4</v>
          </cell>
        </row>
        <row r="360">
          <cell r="B360" t="str">
            <v>CN1V7-FtS Houston ULSD 10ppm Med CIF Crg Brent Crk Financial</v>
          </cell>
          <cell r="C360" t="str">
            <v>CN1V7</v>
          </cell>
        </row>
        <row r="361">
          <cell r="B361" t="str">
            <v>CN1VA-FtS Houston ULSD 10ppm NWE CIF Crg Brent Crk Financial</v>
          </cell>
          <cell r="C361" t="str">
            <v>CN1VA</v>
          </cell>
        </row>
        <row r="362">
          <cell r="B362" t="str">
            <v>CN1VD-FtS Houston Gasoline Eurobob 10ppm ARA FOB Brg Brent Crk Financial</v>
          </cell>
          <cell r="C362" t="str">
            <v>CN1VD</v>
          </cell>
        </row>
        <row r="363">
          <cell r="B363" t="str">
            <v>CN1VG-FtS Houston Gasoline Prem ARA Brent Crk Financial</v>
          </cell>
          <cell r="C363" t="str">
            <v>CN1VG</v>
          </cell>
        </row>
        <row r="364">
          <cell r="B364" t="str">
            <v>CN1VJ-FtS Houston Naphtha NWE CIF Crg Brent Crk Financial</v>
          </cell>
          <cell r="C364" t="str">
            <v>CN1VJ</v>
          </cell>
        </row>
        <row r="365">
          <cell r="B365" t="str">
            <v>CN1VM-FtS Houston FO 1%S ARA Brg Financial</v>
          </cell>
          <cell r="C365" t="str">
            <v>CN1VM</v>
          </cell>
        </row>
        <row r="366">
          <cell r="B366" t="str">
            <v>CN1VN-FtS Houston FO 1%S ARA Brg vs Crg Diff Financial</v>
          </cell>
          <cell r="C366" t="str">
            <v>CN1VN</v>
          </cell>
        </row>
        <row r="367">
          <cell r="B367" t="str">
            <v>CN1VO-FtS Houston FO 1%S NWE FOB Crg Financial</v>
          </cell>
          <cell r="C367" t="str">
            <v>CN1VO</v>
          </cell>
        </row>
        <row r="368">
          <cell r="B368" t="str">
            <v>CN1VP-FtS Houston FO 1%S NWE FOB vs FO 3.5%S Brg Hilo Diff Financial</v>
          </cell>
          <cell r="C368" t="str">
            <v>CN1VP</v>
          </cell>
        </row>
        <row r="369">
          <cell r="B369" t="str">
            <v>CN1VQ-FtS Houston FO 3.5%S ARA FOB Brg Financial</v>
          </cell>
          <cell r="C369" t="str">
            <v>CN1VQ</v>
          </cell>
        </row>
        <row r="370">
          <cell r="B370" t="str">
            <v>CN1VR-FtS Houston FO 3.5%S Med FOB Crg Financial</v>
          </cell>
          <cell r="C370" t="str">
            <v>CN1VR</v>
          </cell>
        </row>
        <row r="371">
          <cell r="B371" t="str">
            <v>CN1VT-FtS Houston Gasoline Eurobob 10ppm ARA FOB Brg Financial</v>
          </cell>
          <cell r="C371" t="str">
            <v>CN1VT</v>
          </cell>
        </row>
        <row r="372">
          <cell r="B372" t="str">
            <v>CN1VU-FtS Houston Gasoline Prem ARA Brg Financial</v>
          </cell>
          <cell r="C372" t="str">
            <v>CN1VU</v>
          </cell>
        </row>
        <row r="373">
          <cell r="B373" t="str">
            <v>CN1VV-FtS Houston Naphtha NWE CIF Crg Financial</v>
          </cell>
          <cell r="C373" t="str">
            <v>CN1VV</v>
          </cell>
        </row>
        <row r="374">
          <cell r="B374" t="str">
            <v>CN1VW-FtS Houston Gasoil 0.1%S ARA FOB Brg Flat Prc Financial</v>
          </cell>
          <cell r="C374" t="str">
            <v>CN1VW</v>
          </cell>
        </row>
        <row r="375">
          <cell r="B375" t="str">
            <v>CN1VX-FtS Houston Gasoil 0.1%S ARA FOB Brg vs LS GO Frontline Financial</v>
          </cell>
          <cell r="C375" t="str">
            <v>CN1VX</v>
          </cell>
        </row>
        <row r="376">
          <cell r="B376" t="str">
            <v>CN1VY-FtS Houston Gasoil 0.1%S Med CIF Crg Flat Prc Financial</v>
          </cell>
          <cell r="C376" t="str">
            <v>CN1VY</v>
          </cell>
        </row>
        <row r="377">
          <cell r="B377" t="str">
            <v>CN1VZ-FtS Houston Gasoil 0.1%S Med CIF Crg vs LS GO Frontline Financial</v>
          </cell>
          <cell r="C377" t="str">
            <v>CN1VZ</v>
          </cell>
        </row>
        <row r="378">
          <cell r="B378" t="str">
            <v>CN1W0-FtS Houston Gasoil 0.1%S NWE CIF Crg Flat Prc Financial</v>
          </cell>
          <cell r="C378" t="str">
            <v>CN1W0</v>
          </cell>
        </row>
        <row r="379">
          <cell r="B379" t="str">
            <v>CN1W1-FtS Houston Gasoil 0.1%S NWE CIF Crg vs LS GO Frontline Financial</v>
          </cell>
          <cell r="C379" t="str">
            <v>CN1W1</v>
          </cell>
        </row>
        <row r="380">
          <cell r="B380" t="str">
            <v>CN1W2-FtS Houston Jet Kero NWE CIF Crg Flat Prc Financial</v>
          </cell>
          <cell r="C380" t="str">
            <v>CN1W2</v>
          </cell>
        </row>
        <row r="381">
          <cell r="B381" t="str">
            <v>CN1W3-FtS Houston Jet Kero NWE CIF Crg vs LS GO Frontline Financial</v>
          </cell>
          <cell r="C381" t="str">
            <v>CN1W3</v>
          </cell>
        </row>
        <row r="382">
          <cell r="B382" t="str">
            <v>CN1W4-FtS Houston LS Gasoil Frontline Financial</v>
          </cell>
          <cell r="C382" t="str">
            <v>CN1W4</v>
          </cell>
        </row>
        <row r="383">
          <cell r="B383" t="str">
            <v>CN1W5-FtS Houston ULSD 10ppm ARA FOB Brg Flat Prc Financial</v>
          </cell>
          <cell r="C383" t="str">
            <v>CN1W5</v>
          </cell>
        </row>
        <row r="384">
          <cell r="B384" t="str">
            <v>CN1W6-FtS Houston ULSD 10ppm ARA FOB Brg vs LS GO Frontline Financial</v>
          </cell>
          <cell r="C384" t="str">
            <v>CN1W6</v>
          </cell>
        </row>
        <row r="385">
          <cell r="B385" t="str">
            <v>CN1W7-FtS Houston ULSD 10ppm Med CIF Crg Flat Prc Financial</v>
          </cell>
          <cell r="C385" t="str">
            <v>CN1W7</v>
          </cell>
        </row>
        <row r="386">
          <cell r="B386" t="str">
            <v>CN1W8-FtS Houston ULSD 10ppm Med CIF Crg vs LS GO Frontline Financial</v>
          </cell>
          <cell r="C386" t="str">
            <v>CN1W8</v>
          </cell>
        </row>
        <row r="387">
          <cell r="B387" t="str">
            <v>CN1W9-FtS Houston ULSD 10ppm Med vs NWE CIF Crg Financial</v>
          </cell>
          <cell r="C387" t="str">
            <v>CN1W9</v>
          </cell>
        </row>
        <row r="388">
          <cell r="B388" t="str">
            <v>CN1WA-FtS Houston ULSD 10ppm NWE CIF Crg Flat Prc Financial</v>
          </cell>
          <cell r="C388" t="str">
            <v>CN1WA</v>
          </cell>
        </row>
        <row r="389">
          <cell r="B389" t="str">
            <v>CN1WB-FtS Houston ULSD 10ppm NWE CIF Crg vs LS GO Frontline Financial</v>
          </cell>
          <cell r="C389" t="str">
            <v>CN1WB</v>
          </cell>
        </row>
        <row r="390">
          <cell r="B390" t="str">
            <v>CN1WC-FtS Houston FO 1%S ARA Brg Brent Crk Financial</v>
          </cell>
          <cell r="C390" t="str">
            <v>CN1WC</v>
          </cell>
        </row>
        <row r="391">
          <cell r="B391" t="str">
            <v>CN1WF-FtS Houston FO 1%S NWE FOB Crg Brent Crk Financial</v>
          </cell>
          <cell r="C391" t="str">
            <v>CN1WF</v>
          </cell>
        </row>
        <row r="392">
          <cell r="B392" t="str">
            <v>CN1WI-FtS Houston FO 3.5%S ARA FOB Brg Brent Crk Financial</v>
          </cell>
          <cell r="C392" t="str">
            <v>CN1WI</v>
          </cell>
        </row>
        <row r="393">
          <cell r="B393" t="str">
            <v>CN1WL-FtS Houston FO 3.5%S Med FOB Crg Brent Crk Financial</v>
          </cell>
          <cell r="C393" t="str">
            <v>CN1WL</v>
          </cell>
        </row>
        <row r="394">
          <cell r="B394" t="str">
            <v>CN1WO-FtS Spore Gasoil 0.1%S ARA FOB Brg Brent Crk Financial</v>
          </cell>
          <cell r="C394" t="str">
            <v>CN1WO</v>
          </cell>
        </row>
        <row r="395">
          <cell r="B395" t="str">
            <v>CN1WR-FtS Spore Gasoil 0.1%S Med CIF Crg Brent Crk Financial</v>
          </cell>
          <cell r="C395" t="str">
            <v>CN1WR</v>
          </cell>
        </row>
        <row r="396">
          <cell r="B396" t="str">
            <v>CN1WU-FtS Spore Gasoil 0.1%S NWE CIF Crg Brent Crk Financial</v>
          </cell>
          <cell r="C396" t="str">
            <v>CN1WU</v>
          </cell>
        </row>
        <row r="397">
          <cell r="B397" t="str">
            <v>CN1WZ-FtS Spore Jet Kero NWE CIF Crg Brent Crk Financial</v>
          </cell>
          <cell r="C397" t="str">
            <v>CN1WZ</v>
          </cell>
        </row>
        <row r="398">
          <cell r="B398" t="str">
            <v>CN1X2-FtS Spore LS Gasoil Frontline Brent Crk Financial</v>
          </cell>
          <cell r="C398" t="str">
            <v>CN1X2</v>
          </cell>
        </row>
        <row r="399">
          <cell r="B399" t="str">
            <v>CN1X3-FtS Spore ULSD 10ppm ARA FOB Brg Brent Crk Financial</v>
          </cell>
          <cell r="C399" t="str">
            <v>CN1X3</v>
          </cell>
        </row>
        <row r="400">
          <cell r="B400" t="str">
            <v>CN1X6-FtS Spore ULSD 10ppm Med CIF Crg Brent Crk Financial</v>
          </cell>
          <cell r="C400" t="str">
            <v>CN1X6</v>
          </cell>
        </row>
        <row r="401">
          <cell r="B401" t="str">
            <v>CN1X9-FtS Spore ULSD 10ppm NWE CIF Crg Brent Crk Financial</v>
          </cell>
          <cell r="C401" t="str">
            <v>CN1X9</v>
          </cell>
        </row>
        <row r="402">
          <cell r="B402" t="str">
            <v>CN1XC-FtS Spore Gasoline Eurobob 10ppm ARA FOB Brg Brent Crk Financial</v>
          </cell>
          <cell r="C402" t="str">
            <v>CN1XC</v>
          </cell>
        </row>
        <row r="403">
          <cell r="B403" t="str">
            <v>CN1XF-FtS Spore Gasoline Prem ARA Brent Crk Financial</v>
          </cell>
          <cell r="C403" t="str">
            <v>CN1XF</v>
          </cell>
        </row>
        <row r="404">
          <cell r="B404" t="str">
            <v>CN1XI-FtS Spore Naphtha NWE CIF Crg Brent Crk Financial</v>
          </cell>
          <cell r="C404" t="str">
            <v>CN1XI</v>
          </cell>
        </row>
        <row r="405">
          <cell r="B405" t="str">
            <v>CN1XL-FtS Spore FO 1%S ARA Brg Financial</v>
          </cell>
          <cell r="C405" t="str">
            <v>CN1XL</v>
          </cell>
        </row>
        <row r="406">
          <cell r="B406" t="str">
            <v>CN1XM-FtS Spore FO 1%S ARA Brg vs Crg Diff Financial</v>
          </cell>
          <cell r="C406" t="str">
            <v>CN1XM</v>
          </cell>
        </row>
        <row r="407">
          <cell r="B407" t="str">
            <v>CN1XN-FtS Spore FO 1%S NWE FOB Crg Financial</v>
          </cell>
          <cell r="C407" t="str">
            <v>CN1XN</v>
          </cell>
        </row>
        <row r="408">
          <cell r="B408" t="str">
            <v>CN1XO-FtS Spore FO 1%S NWE FOB vs FO 3.5%S Brg Hilo Diff Financial</v>
          </cell>
          <cell r="C408" t="str">
            <v>CN1XO</v>
          </cell>
        </row>
        <row r="409">
          <cell r="B409" t="str">
            <v>CN1XP-FtS Spore FO 3.5%S ARA FOB Brg Financial</v>
          </cell>
          <cell r="C409" t="str">
            <v>CN1XP</v>
          </cell>
        </row>
        <row r="410">
          <cell r="B410" t="str">
            <v>CN1XQ-FtS Spore FO 3.5%S Med FOB Crg Financial</v>
          </cell>
          <cell r="C410" t="str">
            <v>CN1XQ</v>
          </cell>
        </row>
        <row r="411">
          <cell r="B411" t="str">
            <v>CN1XS-FtS Spore Gasoline Eurobob 10ppm ARA FOB Brg Financial</v>
          </cell>
          <cell r="C411" t="str">
            <v>CN1XS</v>
          </cell>
        </row>
        <row r="412">
          <cell r="B412" t="str">
            <v>CN1XT-FtS Spore Gasoline Prem ARA Brg Financial</v>
          </cell>
          <cell r="C412" t="str">
            <v>CN1XT</v>
          </cell>
        </row>
        <row r="413">
          <cell r="B413" t="str">
            <v>CN1XU-FtS Spore Naphtha NWE CIF Crg Financial</v>
          </cell>
          <cell r="C413" t="str">
            <v>CN1XU</v>
          </cell>
        </row>
        <row r="414">
          <cell r="B414" t="str">
            <v>CN1XW-FtS Spore Gasoil 0.1%S ARA FOB Brg Flat Prc Financial</v>
          </cell>
          <cell r="C414" t="str">
            <v>CN1XW</v>
          </cell>
        </row>
        <row r="415">
          <cell r="B415" t="str">
            <v>CN1XX-FtS Spore Gasoil 0.1%S ARA FOB Brg vs LS GO Frontline Financial</v>
          </cell>
          <cell r="C415" t="str">
            <v>CN1XX</v>
          </cell>
        </row>
        <row r="416">
          <cell r="B416" t="str">
            <v>CN1XY-FtS Spore Gasoil 0.1%S Med CIF Crg Flat Prc Financial</v>
          </cell>
          <cell r="C416" t="str">
            <v>CN1XY</v>
          </cell>
        </row>
        <row r="417">
          <cell r="B417" t="str">
            <v>CN1XZ-FtS Spore Gasoil 0.1%S Med CIF Crg vs LS GO Frontline Financial</v>
          </cell>
          <cell r="C417" t="str">
            <v>CN1XZ</v>
          </cell>
        </row>
        <row r="418">
          <cell r="B418" t="str">
            <v>CN1Y0-FtS Spore Gasoil 0.1%S NWE CIF Crg Flat Prc Financial</v>
          </cell>
          <cell r="C418" t="str">
            <v>CN1Y0</v>
          </cell>
        </row>
        <row r="419">
          <cell r="B419" t="str">
            <v>CN1Y1-FtS Spore Gasoil 0.1%S NWE CIF Crg vs LS GO Frontline Financial</v>
          </cell>
          <cell r="C419" t="str">
            <v>CN1Y1</v>
          </cell>
        </row>
        <row r="420">
          <cell r="B420" t="str">
            <v>CN1Y3-FtS Spore Jet Kero NWE CIF Crg Flat Prc Financial</v>
          </cell>
          <cell r="C420" t="str">
            <v>CN1Y3</v>
          </cell>
        </row>
        <row r="421">
          <cell r="B421" t="str">
            <v>CN1Y4-FtS Spore Jet Kero NWE CIF Crg vs LS GO Frontline Financial</v>
          </cell>
          <cell r="C421" t="str">
            <v>CN1Y4</v>
          </cell>
        </row>
        <row r="422">
          <cell r="B422" t="str">
            <v>CN1Y5-FtS Spore LS Gasoil Frontline Financial</v>
          </cell>
          <cell r="C422" t="str">
            <v>CN1Y5</v>
          </cell>
        </row>
        <row r="423">
          <cell r="B423" t="str">
            <v>CN1Y6-FtS Spore ULSD 10ppm ARA FOB Brg Flat Prc Financial</v>
          </cell>
          <cell r="C423" t="str">
            <v>CN1Y6</v>
          </cell>
        </row>
        <row r="424">
          <cell r="B424" t="str">
            <v>CN1Y7-FtS Spore ULSD 10ppm ARA FOB Brg vs LS GO Frontline Financial</v>
          </cell>
          <cell r="C424" t="str">
            <v>CN1Y7</v>
          </cell>
        </row>
        <row r="425">
          <cell r="B425" t="str">
            <v>CN1Y8-FtS Spore ULSD 10ppm Med CIF Crg Flat Prc Financial</v>
          </cell>
          <cell r="C425" t="str">
            <v>CN1Y8</v>
          </cell>
        </row>
        <row r="426">
          <cell r="B426" t="str">
            <v>CN1Y9-FtS Spore ULSD 10ppm Med CIF Crg vs LS GO Frontline Financial</v>
          </cell>
          <cell r="C426" t="str">
            <v>CN1Y9</v>
          </cell>
        </row>
        <row r="427">
          <cell r="B427" t="str">
            <v>CN1YA-FtS Spore ULSD 10ppm Med vs NWE CIF Crg Financial</v>
          </cell>
          <cell r="C427" t="str">
            <v>CN1YA</v>
          </cell>
        </row>
        <row r="428">
          <cell r="B428" t="str">
            <v>CN1YB-FtS Spore ULSD 10ppm NWE CIF Crg Flat Prc Financial</v>
          </cell>
          <cell r="C428" t="str">
            <v>CN1YB</v>
          </cell>
        </row>
        <row r="429">
          <cell r="B429" t="str">
            <v>CN1YC-FtS Spore ULSD 10ppm NWE CIF Crg vs LS GO Frontline Financial</v>
          </cell>
          <cell r="C429" t="str">
            <v>CN1YC</v>
          </cell>
        </row>
        <row r="430">
          <cell r="B430" t="str">
            <v>CN1YD-FtS Spore FO 1%S ARA Brg Brent Crk Financial</v>
          </cell>
          <cell r="C430" t="str">
            <v>CN1YD</v>
          </cell>
        </row>
        <row r="431">
          <cell r="B431" t="str">
            <v>CN1YG-FtS Spore FO 1%S NWE FOB Crg Brent Crk Financial</v>
          </cell>
          <cell r="C431" t="str">
            <v>CN1YG</v>
          </cell>
        </row>
        <row r="432">
          <cell r="B432" t="str">
            <v>CN1YJ-FtS Spore FO 3.5%S ARA FOB Brg Brent Crk Financial</v>
          </cell>
          <cell r="C432" t="str">
            <v>CN1YJ</v>
          </cell>
        </row>
        <row r="433">
          <cell r="B433" t="str">
            <v>CN1YM-FtS Spore FO 3.5%S Med FOB Crg Brent Crk Financial</v>
          </cell>
          <cell r="C433" t="str">
            <v>CN1YM</v>
          </cell>
        </row>
        <row r="434">
          <cell r="B434" t="str">
            <v>CN1YP-FtS London Jet Kero USAC + HO Frontline Brent Crack Financial</v>
          </cell>
          <cell r="C434" t="str">
            <v>CN1YP</v>
          </cell>
        </row>
        <row r="435">
          <cell r="B435" t="str">
            <v>CN1YQ-FtS London Jet Kero USAC + HO Frontline Dubai Crack Financial</v>
          </cell>
          <cell r="C435" t="str">
            <v>CN1YQ</v>
          </cell>
        </row>
        <row r="436">
          <cell r="B436" t="str">
            <v>CN1YR-FtS London Jet Kero USAC + HO Frontline WTI Crack Financial</v>
          </cell>
          <cell r="C436" t="str">
            <v>CN1YR</v>
          </cell>
        </row>
        <row r="437">
          <cell r="B437" t="str">
            <v>CN1YS-FtS London Jet Kero USGC + HO Frontline Brent Crack Financial</v>
          </cell>
          <cell r="C437" t="str">
            <v>CN1YS</v>
          </cell>
        </row>
        <row r="438">
          <cell r="B438" t="str">
            <v>CN1YT-FtS London Jet Kero USGC + HO Frontline Dubai Crack Financial</v>
          </cell>
          <cell r="C438" t="str">
            <v>CN1YT</v>
          </cell>
        </row>
        <row r="439">
          <cell r="B439" t="str">
            <v>CN1YU-FtS London Jet Kero USGC + HO Frontline WTI Crack Financial</v>
          </cell>
          <cell r="C439" t="str">
            <v>CN1YU</v>
          </cell>
        </row>
        <row r="440">
          <cell r="B440" t="str">
            <v>CN1YV-FtS London Jet Kero USWC + HO Frontline Brent Crack Financial</v>
          </cell>
          <cell r="C440" t="str">
            <v>CN1YV</v>
          </cell>
        </row>
        <row r="441">
          <cell r="B441" t="str">
            <v>CN1YW-FtS London Jet Kero USWC + HO Frontline Dubai Crack Financial</v>
          </cell>
          <cell r="C441" t="str">
            <v>CN1YW</v>
          </cell>
        </row>
        <row r="442">
          <cell r="B442" t="str">
            <v>CN1YX-FtS London Jet Kero USWC + HO Frontline WTI Crack Financial</v>
          </cell>
          <cell r="C442" t="str">
            <v>CN1YX</v>
          </cell>
        </row>
        <row r="443">
          <cell r="B443" t="str">
            <v>CN1YY-FtS London ULSD USGC + HO Frontline Brent Crack Financial</v>
          </cell>
          <cell r="C443" t="str">
            <v>CN1YY</v>
          </cell>
        </row>
        <row r="444">
          <cell r="B444" t="str">
            <v>CN1YZ-FtS London ULSD USGC + HO Frontline Dubai Crack Financial</v>
          </cell>
          <cell r="C444" t="str">
            <v>CN1YZ</v>
          </cell>
        </row>
        <row r="445">
          <cell r="B445" t="str">
            <v>CN1Z0-FtS London ULSD USGC + HO Frontline WTI Crack Financial</v>
          </cell>
          <cell r="C445" t="str">
            <v>CN1Z0</v>
          </cell>
        </row>
        <row r="446">
          <cell r="B446" t="str">
            <v>CN1Z1-FtS London Gasoline USGC + RBOB Frontline Brent Crack Financial</v>
          </cell>
          <cell r="C446" t="str">
            <v>CN1Z1</v>
          </cell>
        </row>
        <row r="447">
          <cell r="B447" t="str">
            <v>CN1Z2-FtS London Gasoline USGC + RBOB Frontline Dubai Crack Financial</v>
          </cell>
          <cell r="C447" t="str">
            <v>CN1Z2</v>
          </cell>
        </row>
        <row r="448">
          <cell r="B448" t="str">
            <v>CN1Z3-FtS London Gasoline USGC + RBOB Frontline WTI Crack Financial</v>
          </cell>
          <cell r="C448" t="str">
            <v>CN1Z3</v>
          </cell>
        </row>
        <row r="449">
          <cell r="B449" t="str">
            <v>CN1Z4-FtS London Gasoline USWC + RBOB Brent Crack Financial</v>
          </cell>
          <cell r="C449" t="str">
            <v>CN1Z4</v>
          </cell>
        </row>
        <row r="450">
          <cell r="B450" t="str">
            <v>CN1Z5-FtS London Gasoline USWC + RBOB Dubai Crack Financial</v>
          </cell>
          <cell r="C450" t="str">
            <v>CN1Z5</v>
          </cell>
        </row>
        <row r="451">
          <cell r="B451" t="str">
            <v>CN1Z6-FtS London Gasoline USWC + RBOB WTI Crack Financial</v>
          </cell>
          <cell r="C451" t="str">
            <v>CN1Z6</v>
          </cell>
        </row>
        <row r="452">
          <cell r="B452" t="str">
            <v>CN1Z7-FtS London FO 1% Resid USAC Financial</v>
          </cell>
          <cell r="C452" t="str">
            <v>CN1Z7</v>
          </cell>
        </row>
        <row r="453">
          <cell r="B453" t="str">
            <v>CN1Z8-FtS London FO 1% Resid USAC Time Spread Financial</v>
          </cell>
          <cell r="C453" t="str">
            <v>CN1Z8</v>
          </cell>
        </row>
        <row r="454">
          <cell r="B454" t="str">
            <v>CN1Z9-FtS London FO 1% Resid USAC vs FO 3% USGC HiLo Diff Financial</v>
          </cell>
          <cell r="C454" t="str">
            <v>CN1Z9</v>
          </cell>
        </row>
        <row r="455">
          <cell r="B455" t="str">
            <v>CN1ZA-FtS London FO 3% Resid USGC Financial</v>
          </cell>
          <cell r="C455" t="str">
            <v>CN1ZA</v>
          </cell>
        </row>
        <row r="456">
          <cell r="B456" t="str">
            <v>CN1ZB-FtS London FO 3% Resid USGC Time Spread Financial</v>
          </cell>
          <cell r="C456" t="str">
            <v>CN1ZB</v>
          </cell>
        </row>
        <row r="457">
          <cell r="B457" t="str">
            <v>CN1ZC-FtS London Gasoline USGC + RBOB Frontline Flat Prc Financial</v>
          </cell>
          <cell r="C457" t="str">
            <v>CN1ZC</v>
          </cell>
        </row>
        <row r="458">
          <cell r="B458" t="str">
            <v>CN1ZD-FtS London Gasoline USGC + RBOB Frontline Time Spread Financial</v>
          </cell>
          <cell r="C458" t="str">
            <v>CN1ZD</v>
          </cell>
        </row>
        <row r="459">
          <cell r="B459" t="str">
            <v>CN1ZE-FtS London Gasoline USGC vs RBOB Frontline Financial</v>
          </cell>
          <cell r="C459" t="str">
            <v>CN1ZE</v>
          </cell>
        </row>
        <row r="460">
          <cell r="B460" t="str">
            <v>CN1ZF-FtS London Gasoline USWC + RBOB Flat Prc Financial</v>
          </cell>
          <cell r="C460" t="str">
            <v>CN1ZF</v>
          </cell>
        </row>
        <row r="461">
          <cell r="B461" t="str">
            <v>CN1ZG-FtS London Gasoline USWC + RBOB Frontline Time Spread Financial</v>
          </cell>
          <cell r="C461" t="str">
            <v>CN1ZG</v>
          </cell>
        </row>
        <row r="462">
          <cell r="B462" t="str">
            <v>CN1ZH-FtS London Gasoline USWC vs RBOB Frontline Financial</v>
          </cell>
          <cell r="C462" t="str">
            <v>CN1ZH</v>
          </cell>
        </row>
        <row r="463">
          <cell r="B463" t="str">
            <v xml:space="preserve">CN1ZI-FtS London Naphtha FOB USGC Cargo Financial </v>
          </cell>
          <cell r="C463" t="str">
            <v>CN1ZI</v>
          </cell>
        </row>
        <row r="464">
          <cell r="B464" t="str">
            <v>CN1ZJ-FtS London RBOB Frontline Financial</v>
          </cell>
          <cell r="C464" t="str">
            <v>CN1ZJ</v>
          </cell>
        </row>
        <row r="465">
          <cell r="B465" t="str">
            <v>CN1ZK-FtS London RBOB Frontline Time Spread Financial</v>
          </cell>
          <cell r="C465" t="str">
            <v>CN1ZK</v>
          </cell>
        </row>
        <row r="466">
          <cell r="B466" t="str">
            <v>CN1ZL-FtS London Heating Oil Frontline Financial</v>
          </cell>
          <cell r="C466" t="str">
            <v>CN1ZL</v>
          </cell>
        </row>
        <row r="467">
          <cell r="B467" t="str">
            <v>CN1ZM-FtS London Heating Oil Frontline Time Spread Financial</v>
          </cell>
          <cell r="C467" t="str">
            <v>CN1ZM</v>
          </cell>
        </row>
        <row r="468">
          <cell r="B468" t="str">
            <v>CN1ZN-FtS London Jet Kero USAC + HO Frontline Flat Prc Financial</v>
          </cell>
          <cell r="C468" t="str">
            <v>CN1ZN</v>
          </cell>
        </row>
        <row r="469">
          <cell r="B469" t="str">
            <v>CN1ZO-FtS London Jet Kero USAC + HO Frontline Time Spread Financial</v>
          </cell>
          <cell r="C469" t="str">
            <v>CN1ZO</v>
          </cell>
        </row>
        <row r="470">
          <cell r="B470" t="str">
            <v>CN1ZP-FtS London Jet Kero USAC vs HO Frontline Financial</v>
          </cell>
          <cell r="C470" t="str">
            <v>CN1ZP</v>
          </cell>
        </row>
        <row r="471">
          <cell r="B471" t="str">
            <v>CN1ZQ-FtS London Jet Kero USGC + HO Frontline Flat Prc Financial</v>
          </cell>
          <cell r="C471" t="str">
            <v>CN1ZQ</v>
          </cell>
        </row>
        <row r="472">
          <cell r="B472" t="str">
            <v>CN1ZR-FtS London Jet Kero USGC + HO Frontline Time Spread Financial</v>
          </cell>
          <cell r="C472" t="str">
            <v>CN1ZR</v>
          </cell>
        </row>
        <row r="473">
          <cell r="B473" t="str">
            <v>CN1ZS-FtS London Jet Kero USGC vs HO Frontline Financial</v>
          </cell>
          <cell r="C473" t="str">
            <v>CN1ZS</v>
          </cell>
        </row>
        <row r="474">
          <cell r="B474" t="str">
            <v>CN1ZT-FtS London Jet Kero USWC + HO Frontline Flat Prc Financial</v>
          </cell>
          <cell r="C474" t="str">
            <v>CN1ZT</v>
          </cell>
        </row>
        <row r="475">
          <cell r="B475" t="str">
            <v>CN1ZU-FtS London Jet Kero USWC vs HO Frontline Financial</v>
          </cell>
          <cell r="C475" t="str">
            <v>CN1ZU</v>
          </cell>
        </row>
        <row r="476">
          <cell r="B476" t="str">
            <v>CN1ZV-FtS London Jet Kero USWC vs HO Frontline Time Spread Financial</v>
          </cell>
          <cell r="C476" t="str">
            <v>CN1ZV</v>
          </cell>
        </row>
        <row r="477">
          <cell r="B477" t="str">
            <v>CN1ZW-FtS London ULSD USGC + HO Frontline Flat Prc Financial</v>
          </cell>
          <cell r="C477" t="str">
            <v>CN1ZW</v>
          </cell>
        </row>
        <row r="478">
          <cell r="B478" t="str">
            <v>CN1ZX-FtS London ULSD USGC + HO Frontline Time Spread Financial</v>
          </cell>
          <cell r="C478" t="str">
            <v>CN1ZX</v>
          </cell>
        </row>
        <row r="479">
          <cell r="B479" t="str">
            <v>CN1ZY-FtS London ULSD USGC vs HO Frontline Financial</v>
          </cell>
          <cell r="C479" t="str">
            <v>CN1ZY</v>
          </cell>
        </row>
        <row r="480">
          <cell r="B480" t="str">
            <v>CN1ZZ-FtS London FO 1% Resid USAC Brent Crack Financial</v>
          </cell>
          <cell r="C480" t="str">
            <v>CN1ZZ</v>
          </cell>
        </row>
        <row r="481">
          <cell r="B481" t="str">
            <v>CN2A0-FtS London FO 1% Resid USAC WTI Crack Financial</v>
          </cell>
          <cell r="C481" t="str">
            <v>CN2A0</v>
          </cell>
        </row>
        <row r="482">
          <cell r="B482" t="str">
            <v>CN2A1-FtS London FO 1%S Resid USAC Dubai Crack Financial</v>
          </cell>
          <cell r="C482" t="str">
            <v>CN2A1</v>
          </cell>
        </row>
        <row r="483">
          <cell r="B483" t="str">
            <v>CN2A2-FtS London FO 3% Resid USGC Brent Crack Financial</v>
          </cell>
          <cell r="C483" t="str">
            <v>CN2A2</v>
          </cell>
        </row>
        <row r="484">
          <cell r="B484" t="str">
            <v>CN2A3-FtS London FO 3% Resid USGC WTI Crack Financial</v>
          </cell>
          <cell r="C484" t="str">
            <v>CN2A3</v>
          </cell>
        </row>
        <row r="485">
          <cell r="B485" t="str">
            <v>CN2A4-FtS London FO 3%S Resid USGC Dubai Crack Financial</v>
          </cell>
          <cell r="C485" t="str">
            <v>CN2A4</v>
          </cell>
        </row>
        <row r="486">
          <cell r="B486" t="str">
            <v>CN2A6-FtS Spore Jet Kero USAC + HO Frontline Brent Crack Financial</v>
          </cell>
          <cell r="C486" t="str">
            <v>CN2A6</v>
          </cell>
        </row>
        <row r="487">
          <cell r="B487" t="str">
            <v>CN2A7-FtS Spore Jet Kero USAC + HO Frontline Dubai Crack Financial</v>
          </cell>
          <cell r="C487" t="str">
            <v>CN2A7</v>
          </cell>
        </row>
        <row r="488">
          <cell r="B488" t="str">
            <v>CN2A9-FtS Spore Jet Kero USGC + HO Frontline Brent Crack Financial</v>
          </cell>
          <cell r="C488" t="str">
            <v>CN2A9</v>
          </cell>
        </row>
        <row r="489">
          <cell r="B489" t="str">
            <v>CN2AA-FtS Spore Jet Kero USGC + HO Frontline Dubai Crack Financial</v>
          </cell>
          <cell r="C489" t="str">
            <v>CN2AA</v>
          </cell>
        </row>
        <row r="490">
          <cell r="B490" t="str">
            <v>CN2AC-FtS Spore Jet Kero USWC + HO Frontline Brent Crack Financial</v>
          </cell>
          <cell r="C490" t="str">
            <v>CN2AC</v>
          </cell>
        </row>
        <row r="491">
          <cell r="B491" t="str">
            <v>CN2AD-FtS Spore Jet Kero USWC + HO Frontline Dubai Crack Financial</v>
          </cell>
          <cell r="C491" t="str">
            <v>CN2AD</v>
          </cell>
        </row>
        <row r="492">
          <cell r="B492" t="str">
            <v>CN2AF-FtS Spore ULSD USGC + HO Frontline Brent Crack Financial</v>
          </cell>
          <cell r="C492" t="str">
            <v>CN2AF</v>
          </cell>
        </row>
        <row r="493">
          <cell r="B493" t="str">
            <v>CN2AG-FtS Spore ULSD USGC + HO Frontline Dubai Crack Financial</v>
          </cell>
          <cell r="C493" t="str">
            <v>CN2AG</v>
          </cell>
        </row>
        <row r="494">
          <cell r="B494" t="str">
            <v>CN2AI-FtS Spore Gasoline USGC + RBOB Frontline Brent Crack Financial</v>
          </cell>
          <cell r="C494" t="str">
            <v>CN2AI</v>
          </cell>
        </row>
        <row r="495">
          <cell r="B495" t="str">
            <v>CN2AJ-FtS Spore Gasoline USGC + RBOB Frontline Dubai Crack Financial</v>
          </cell>
          <cell r="C495" t="str">
            <v>CN2AJ</v>
          </cell>
        </row>
        <row r="496">
          <cell r="B496" t="str">
            <v>CN2AL-FtS Spore Gasoline USWC + RBOB Brent Crack Financial</v>
          </cell>
          <cell r="C496" t="str">
            <v>CN2AL</v>
          </cell>
        </row>
        <row r="497">
          <cell r="B497" t="str">
            <v>CN2AM-FtS Spore Gasoline USWC + RBOB Dubai Crack Financial</v>
          </cell>
          <cell r="C497" t="str">
            <v>CN2AM</v>
          </cell>
        </row>
        <row r="498">
          <cell r="B498" t="str">
            <v>CN2AO-FtS Spore FO 1% Resid USAC Financial</v>
          </cell>
          <cell r="C498" t="str">
            <v>CN2AO</v>
          </cell>
        </row>
        <row r="499">
          <cell r="B499" t="str">
            <v>CN2AP-FtS Spore FO 1% Resid USAC Time Spread Financial</v>
          </cell>
          <cell r="C499" t="str">
            <v>CN2AP</v>
          </cell>
        </row>
        <row r="500">
          <cell r="B500" t="str">
            <v>CN2AQ-FtS Spore FO 1% Resid USAC vs FO 3% USGC HiLo Diff Financial</v>
          </cell>
          <cell r="C500" t="str">
            <v>CN2AQ</v>
          </cell>
        </row>
        <row r="501">
          <cell r="B501" t="str">
            <v>CN2AR-FtS Spore FO 3% Resid USGC Financial</v>
          </cell>
          <cell r="C501" t="str">
            <v>CN2AR</v>
          </cell>
        </row>
        <row r="502">
          <cell r="B502" t="str">
            <v>CN2AS-FtS Spore FO 3% Resid USGC Time Spread Financial</v>
          </cell>
          <cell r="C502" t="str">
            <v>CN2AS</v>
          </cell>
        </row>
        <row r="503">
          <cell r="B503" t="str">
            <v>CN2AT-FtS Spore Gasoline USGC + RBOB Frontline Flat Prc Financial</v>
          </cell>
          <cell r="C503" t="str">
            <v>CN2AT</v>
          </cell>
        </row>
        <row r="504">
          <cell r="B504" t="str">
            <v>CN2AU-FtS Spore Gasoline USGC + RBOB Frontline Time Spread Financial</v>
          </cell>
          <cell r="C504" t="str">
            <v>CN2AU</v>
          </cell>
        </row>
        <row r="505">
          <cell r="B505" t="str">
            <v>CN2AV-FtS Spore Gasoline USGC vs RBOB Frontline Financial</v>
          </cell>
          <cell r="C505" t="str">
            <v>CN2AV</v>
          </cell>
        </row>
        <row r="506">
          <cell r="B506" t="str">
            <v>CN2AW-FtS Spore Gasoline USWC + RBOB Flat Prc Financial</v>
          </cell>
          <cell r="C506" t="str">
            <v>CN2AW</v>
          </cell>
        </row>
        <row r="507">
          <cell r="B507" t="str">
            <v>CN2AX-FtS Spore Gasoline USWC + RBOB Frontline Time Spread Financial</v>
          </cell>
          <cell r="C507" t="str">
            <v>CN2AX</v>
          </cell>
        </row>
        <row r="508">
          <cell r="B508" t="str">
            <v>CN2AY-FtS Spore Gasoline USWC vs RBOB Frontline Financial</v>
          </cell>
          <cell r="C508" t="str">
            <v>CN2AY</v>
          </cell>
        </row>
        <row r="509">
          <cell r="B509" t="str">
            <v xml:space="preserve">CN2AZ-FtS Spore Naphtha FOB USGC Cargo Financial </v>
          </cell>
          <cell r="C509" t="str">
            <v>CN2AZ</v>
          </cell>
        </row>
        <row r="510">
          <cell r="B510" t="str">
            <v>CN2B0-FtS Spore RBOB Frontline Financial</v>
          </cell>
          <cell r="C510" t="str">
            <v>CN2B0</v>
          </cell>
        </row>
        <row r="511">
          <cell r="B511" t="str">
            <v>CN2B1-FtS Spore RBOB Frontline Time Spread Financial</v>
          </cell>
          <cell r="C511" t="str">
            <v>CN2B1</v>
          </cell>
        </row>
        <row r="512">
          <cell r="B512" t="str">
            <v>CN2B2-FtS Spore Heating Oil Frontline Financial</v>
          </cell>
          <cell r="C512" t="str">
            <v>CN2B2</v>
          </cell>
        </row>
        <row r="513">
          <cell r="B513" t="str">
            <v>CN2B3-FtS Spore Heating Oil Frontline Time Spread Financial</v>
          </cell>
          <cell r="C513" t="str">
            <v>CN2B3</v>
          </cell>
        </row>
        <row r="514">
          <cell r="B514" t="str">
            <v>CN2B4-FtS Spore Jet Kero USAC + HO Frontline Flat Prc Financial</v>
          </cell>
          <cell r="C514" t="str">
            <v>CN2B4</v>
          </cell>
        </row>
        <row r="515">
          <cell r="B515" t="str">
            <v>CN2B5-FtS Spore Jet Kero USAC + HO Frontline Time Spread Financial</v>
          </cell>
          <cell r="C515" t="str">
            <v>CN2B5</v>
          </cell>
        </row>
        <row r="516">
          <cell r="B516" t="str">
            <v>CN2B6-FtS Spore Jet Kero USAC vs HO Frontline Financial</v>
          </cell>
          <cell r="C516" t="str">
            <v>CN2B6</v>
          </cell>
        </row>
        <row r="517">
          <cell r="B517" t="str">
            <v>CN2B7-FtS Spore Jet Kero USGC + HO Frontline Flat Prc Financial</v>
          </cell>
          <cell r="C517" t="str">
            <v>CN2B7</v>
          </cell>
        </row>
        <row r="518">
          <cell r="B518" t="str">
            <v>CN2B8-FtS Spore Jet Kero USGC + HO Frontline Time Spread Financial</v>
          </cell>
          <cell r="C518" t="str">
            <v>CN2B8</v>
          </cell>
        </row>
        <row r="519">
          <cell r="B519" t="str">
            <v>CN2B9-FtS Spore Jet Kero USGC vs HO Frontline Financial</v>
          </cell>
          <cell r="C519" t="str">
            <v>CN2B9</v>
          </cell>
        </row>
        <row r="520">
          <cell r="B520" t="str">
            <v>CN2BA-FtS Spore Jet Kero USWC + HO Frontline Flat Prc Financial</v>
          </cell>
          <cell r="C520" t="str">
            <v>CN2BA</v>
          </cell>
        </row>
        <row r="521">
          <cell r="B521" t="str">
            <v>CN2BB-FtS Spore Jet Kero USWC vs HO Frontline Financial</v>
          </cell>
          <cell r="C521" t="str">
            <v>CN2BB</v>
          </cell>
        </row>
        <row r="522">
          <cell r="B522" t="str">
            <v>CN2BC-FtS Spore Jet Kero USWC vs HO Frontline Time Spread Financial</v>
          </cell>
          <cell r="C522" t="str">
            <v>CN2BC</v>
          </cell>
        </row>
        <row r="523">
          <cell r="B523" t="str">
            <v>CN2BD-FtS Spore ULSD USGC + HO Frontline Flat Prc Financial</v>
          </cell>
          <cell r="C523" t="str">
            <v>CN2BD</v>
          </cell>
        </row>
        <row r="524">
          <cell r="B524" t="str">
            <v>CN2BE-FtS Spore ULSD USGC + HO Frontline Time Spread Financial</v>
          </cell>
          <cell r="C524" t="str">
            <v>CN2BE</v>
          </cell>
        </row>
        <row r="525">
          <cell r="B525" t="str">
            <v>CN2BF-FtS Spore ULSD USGC vs HO Frontline Financial</v>
          </cell>
          <cell r="C525" t="str">
            <v>CN2BF</v>
          </cell>
        </row>
        <row r="526">
          <cell r="B526" t="str">
            <v>CN2BG-FtS Spore FO 1% Resid USAC Brent Crack Financial</v>
          </cell>
          <cell r="C526" t="str">
            <v>CN2BG</v>
          </cell>
        </row>
        <row r="527">
          <cell r="B527" t="str">
            <v>CN2BI-FtS Spore FO 1%S Resid USAC Dubai Crack Financial</v>
          </cell>
          <cell r="C527" t="str">
            <v>CN2BI</v>
          </cell>
        </row>
        <row r="528">
          <cell r="B528" t="str">
            <v>CN2BJ-FtS Spore FO 3% Resid USGC Brent Crack Financial</v>
          </cell>
          <cell r="C528" t="str">
            <v>CN2BJ</v>
          </cell>
        </row>
        <row r="529">
          <cell r="B529" t="str">
            <v>CN2BL-FtS Spore FO 3%S Resid USGC Dubai Crack Financial</v>
          </cell>
          <cell r="C529" t="str">
            <v>CN2BL</v>
          </cell>
        </row>
        <row r="530">
          <cell r="B530" t="str">
            <v>CN2FW-Dubai Crude Intraday Financial</v>
          </cell>
          <cell r="C530" t="str">
            <v>CN2FW</v>
          </cell>
        </row>
        <row r="531">
          <cell r="B531" t="str">
            <v>CN2FX-FO 180 CST Brent Crack Intraday Financial</v>
          </cell>
          <cell r="C531" t="str">
            <v>CN2FX</v>
          </cell>
        </row>
        <row r="532">
          <cell r="B532" t="str">
            <v>CN2FY-FO 180 CST Dubai Crack Intraday Financial</v>
          </cell>
          <cell r="C532" t="str">
            <v>CN2FY</v>
          </cell>
        </row>
        <row r="533">
          <cell r="B533" t="str">
            <v>CN2FZ-FO 180 CST Intraday Financial</v>
          </cell>
          <cell r="C533" t="str">
            <v>CN2FZ</v>
          </cell>
        </row>
        <row r="534">
          <cell r="B534" t="str">
            <v>CN2G0-FO 380 CST Brent Crack Intraday Financial</v>
          </cell>
          <cell r="C534" t="str">
            <v>CN2G0</v>
          </cell>
        </row>
        <row r="535">
          <cell r="B535" t="str">
            <v>CN2G1-FO 380 CST Dubai Crack Intraday Financial</v>
          </cell>
          <cell r="C535" t="str">
            <v>CN2G1</v>
          </cell>
        </row>
        <row r="536">
          <cell r="B536" t="str">
            <v>CN2G2-FO 380 CST Intraday Financial</v>
          </cell>
          <cell r="C536" t="str">
            <v>CN2G2</v>
          </cell>
        </row>
        <row r="537">
          <cell r="B537" t="str">
            <v>CN2G3-Gasoil ARA Brent Crack Intraday Financial</v>
          </cell>
          <cell r="C537" t="str">
            <v>CN2G3</v>
          </cell>
        </row>
        <row r="538">
          <cell r="B538" t="str">
            <v>CN2G4-Gasoil ARA Dubai Crack Intraday Financial</v>
          </cell>
          <cell r="C538" t="str">
            <v>CN2G4</v>
          </cell>
        </row>
        <row r="539">
          <cell r="B539" t="str">
            <v>CN2G5-Gasoil ARA Intraday Financial</v>
          </cell>
          <cell r="C539" t="str">
            <v>CN2G5</v>
          </cell>
        </row>
        <row r="540">
          <cell r="B540" t="str">
            <v>CN2G6-ICE Brent Intraday Future</v>
          </cell>
          <cell r="C540" t="str">
            <v>CN2G6</v>
          </cell>
        </row>
        <row r="541">
          <cell r="B541" t="str">
            <v>CN2G7-Jet Kero Brent Crack Intraday Financial</v>
          </cell>
          <cell r="C541" t="str">
            <v>CN2G7</v>
          </cell>
        </row>
        <row r="542">
          <cell r="B542" t="str">
            <v>CN2G8-Jet Kero Dubai Crack Intraday Financial</v>
          </cell>
          <cell r="C542" t="str">
            <v>CN2G8</v>
          </cell>
        </row>
        <row r="543">
          <cell r="B543" t="str">
            <v>CN2G9-Jet Kero Intraday Financial</v>
          </cell>
          <cell r="C543" t="str">
            <v>CN2G9</v>
          </cell>
        </row>
        <row r="544">
          <cell r="B544" t="str">
            <v>CN2GA-Naphatha Brent Crack Intraday Financial</v>
          </cell>
          <cell r="C544" t="str">
            <v>CN2GA</v>
          </cell>
        </row>
        <row r="545">
          <cell r="B545" t="str">
            <v>CN2GB-Naphatha Dubai Crack Intraday Financial</v>
          </cell>
          <cell r="C545" t="str">
            <v>CN2GB</v>
          </cell>
        </row>
        <row r="546">
          <cell r="B546" t="str">
            <v>CN2GC-Naphatha Intraday Financial</v>
          </cell>
          <cell r="C546" t="str">
            <v>CN2GC</v>
          </cell>
        </row>
        <row r="547">
          <cell r="B547" t="str">
            <v>CN2GD-NYMEX Brent Comb Abs Future</v>
          </cell>
          <cell r="C547" t="str">
            <v>CN2GD</v>
          </cell>
        </row>
        <row r="548">
          <cell r="B548" t="str">
            <v>CN2GE-NYMEX Brent Comb Rel Future</v>
          </cell>
          <cell r="C548" t="str">
            <v>CN2GE</v>
          </cell>
        </row>
        <row r="549">
          <cell r="B549" t="str">
            <v>CN2GF-NYMEX Light Crude Comb Intraday Future</v>
          </cell>
          <cell r="C549" t="str">
            <v>CN2GF</v>
          </cell>
        </row>
        <row r="550">
          <cell r="B550" t="str">
            <v>CN2GG-NYMEX NYH RBOB Comb Abs Future</v>
          </cell>
          <cell r="C550" t="str">
            <v>CN2GG</v>
          </cell>
        </row>
        <row r="551">
          <cell r="B551" t="str">
            <v>CN2GH-NYMEX NYH RBOB Comb Rel Future</v>
          </cell>
          <cell r="C551" t="str">
            <v>CN2GH</v>
          </cell>
        </row>
        <row r="552">
          <cell r="B552" t="str">
            <v>CN2GI-NYMEX NYH ULSD Elect Abs Future</v>
          </cell>
          <cell r="C552" t="str">
            <v>CN2GI</v>
          </cell>
        </row>
        <row r="553">
          <cell r="B553" t="str">
            <v>CN2GJ-NYMEX NYH ULSD Elect Rel Future</v>
          </cell>
          <cell r="C553" t="str">
            <v>CN2GJ</v>
          </cell>
        </row>
        <row r="554">
          <cell r="B554" t="str">
            <v>CN2GK-NYMEX USGC Sour Crude Elect Abs Future</v>
          </cell>
          <cell r="C554" t="str">
            <v>CN2GK</v>
          </cell>
        </row>
        <row r="555">
          <cell r="B555" t="str">
            <v>CN2GL-NYMEX USGC Sour Crude Elect Rel Future</v>
          </cell>
          <cell r="C555" t="str">
            <v>CN2GL</v>
          </cell>
        </row>
        <row r="556">
          <cell r="B556" t="str">
            <v>CN2GP-Magellan East Houston M2M Financial</v>
          </cell>
          <cell r="C556" t="str">
            <v>CN2GP</v>
          </cell>
        </row>
        <row r="557">
          <cell r="B557" t="str">
            <v>CN2HL-ICE Endex TTF Future</v>
          </cell>
          <cell r="C557" t="str">
            <v>CN2HL</v>
          </cell>
        </row>
        <row r="558">
          <cell r="B558" t="str">
            <v>CN2HP-ICE NBP Future Volume</v>
          </cell>
          <cell r="C558" t="str">
            <v>CN2HP</v>
          </cell>
        </row>
        <row r="559">
          <cell r="B559" t="str">
            <v>CN2HQ-MIBGAS PVB Future</v>
          </cell>
          <cell r="C559" t="str">
            <v>CN2HQ</v>
          </cell>
        </row>
        <row r="560">
          <cell r="B560" t="str">
            <v>CN2HR-MIBGAS PVB Future Volume</v>
          </cell>
          <cell r="C560" t="str">
            <v>CN2HR</v>
          </cell>
        </row>
        <row r="561">
          <cell r="B561" t="str">
            <v>CN2HZ-ECX/ICE CER Future</v>
          </cell>
          <cell r="C561" t="str">
            <v>CN2HZ</v>
          </cell>
        </row>
        <row r="562">
          <cell r="B562" t="str">
            <v>CN2I0-ECX/ICE CER Future Volume</v>
          </cell>
          <cell r="C562" t="str">
            <v>CN2I0</v>
          </cell>
        </row>
        <row r="563">
          <cell r="B563" t="str">
            <v>CN2I1-EEX France Base Future</v>
          </cell>
          <cell r="C563" t="str">
            <v>CN2I1</v>
          </cell>
        </row>
        <row r="564">
          <cell r="B564" t="str">
            <v>CN2I2-EEX France Base Future Volume</v>
          </cell>
          <cell r="C564" t="str">
            <v>CN2I2</v>
          </cell>
        </row>
        <row r="565">
          <cell r="B565" t="str">
            <v>CN2I3-EEX France Peak Future</v>
          </cell>
          <cell r="C565" t="str">
            <v>CN2I3</v>
          </cell>
        </row>
        <row r="566">
          <cell r="B566" t="str">
            <v>CN2I4-EEX France Peak Future Volume</v>
          </cell>
          <cell r="C566" t="str">
            <v>CN2I4</v>
          </cell>
        </row>
        <row r="567">
          <cell r="B567" t="str">
            <v>CN2IB-EEX Italy Base Future</v>
          </cell>
          <cell r="C567" t="str">
            <v>CN2IB</v>
          </cell>
        </row>
        <row r="568">
          <cell r="B568" t="str">
            <v>CN2IC-EEX Phelix-DE Base Future</v>
          </cell>
          <cell r="C568" t="str">
            <v>CN2IC</v>
          </cell>
        </row>
        <row r="569">
          <cell r="B569" t="str">
            <v>CN2ID-EEX Phelix-DE Base Future Volume</v>
          </cell>
          <cell r="C569" t="str">
            <v>CN2ID</v>
          </cell>
        </row>
        <row r="570">
          <cell r="B570" t="str">
            <v>CN2IE-EEX Phelix-DE Peak Future</v>
          </cell>
          <cell r="C570" t="str">
            <v>CN2IE</v>
          </cell>
        </row>
        <row r="571">
          <cell r="B571" t="str">
            <v>CN2IF-EEX Phelix-DE Peak Future Volume</v>
          </cell>
          <cell r="C571" t="str">
            <v>CN2IF</v>
          </cell>
        </row>
        <row r="572">
          <cell r="B572" t="str">
            <v>CN2IG-EEX Spain Base Future</v>
          </cell>
          <cell r="C572" t="str">
            <v>CN2IG</v>
          </cell>
        </row>
        <row r="573">
          <cell r="B573" t="str">
            <v>CN2IH-EEX Spain Base Future Volume</v>
          </cell>
          <cell r="C573" t="str">
            <v>CN2IH</v>
          </cell>
        </row>
        <row r="574">
          <cell r="B574" t="str">
            <v>CN2IJ-Endex Netherlands Base Future</v>
          </cell>
          <cell r="C574" t="str">
            <v>CN2IJ</v>
          </cell>
        </row>
        <row r="575">
          <cell r="B575" t="str">
            <v>CN2IK-Endex Netherlands Base Future Volume</v>
          </cell>
          <cell r="C575" t="str">
            <v>CN2IK</v>
          </cell>
        </row>
        <row r="576">
          <cell r="B576" t="str">
            <v>CN2IL-Endex Netherlands Peak Future</v>
          </cell>
          <cell r="C576" t="str">
            <v>CN2IL</v>
          </cell>
        </row>
        <row r="577">
          <cell r="B577" t="str">
            <v>CN2IM-Endex Netherlands Peak Future Volume</v>
          </cell>
          <cell r="C577" t="str">
            <v>CN2IM</v>
          </cell>
        </row>
        <row r="578">
          <cell r="B578" t="str">
            <v>CN2IW-HUPX Hungarian Base Future</v>
          </cell>
          <cell r="C578" t="str">
            <v>CN2IW</v>
          </cell>
        </row>
        <row r="579">
          <cell r="B579" t="str">
            <v>CN2IX-HUPX Hungarian Base Future Volume</v>
          </cell>
          <cell r="C579" t="str">
            <v>CN2IX</v>
          </cell>
        </row>
        <row r="580">
          <cell r="B580" t="str">
            <v>CN2IY-HUPX Hungarian Peak Future</v>
          </cell>
          <cell r="C580" t="str">
            <v>CN2IY</v>
          </cell>
        </row>
        <row r="581">
          <cell r="B581" t="str">
            <v>CN2IZ-HUPX Hungarian Peak Future Volume</v>
          </cell>
          <cell r="C581" t="str">
            <v>CN2IZ</v>
          </cell>
        </row>
        <row r="582">
          <cell r="B582" t="str">
            <v>CN2K0-ICE Endex Belgian Base Future</v>
          </cell>
          <cell r="C582" t="str">
            <v>CN2K0</v>
          </cell>
        </row>
        <row r="583">
          <cell r="B583" t="str">
            <v>CN2K2-NordPool Future</v>
          </cell>
          <cell r="C583" t="str">
            <v>CN2K2</v>
          </cell>
        </row>
        <row r="584">
          <cell r="B584" t="str">
            <v>CN2K3-NordPool Future Volume</v>
          </cell>
          <cell r="C584" t="str">
            <v>CN2K3</v>
          </cell>
        </row>
        <row r="585">
          <cell r="B585" t="str">
            <v>CN2L0-OMIP Power Base Future</v>
          </cell>
          <cell r="C585" t="str">
            <v>CN2L0</v>
          </cell>
        </row>
        <row r="586">
          <cell r="B586" t="str">
            <v>CN2L1-OMIP Power Base Future Volume</v>
          </cell>
          <cell r="C586" t="str">
            <v>CN2L1</v>
          </cell>
        </row>
        <row r="587">
          <cell r="B587" t="str">
            <v>CN2L2-OMIP Power Peak Future</v>
          </cell>
          <cell r="C587" t="str">
            <v>CN2L2</v>
          </cell>
        </row>
        <row r="588">
          <cell r="B588" t="str">
            <v>CN2L3-OMIP Power Peak Future Volume</v>
          </cell>
          <cell r="C588" t="str">
            <v>CN2L3</v>
          </cell>
        </row>
        <row r="589">
          <cell r="B589" t="str">
            <v>CN2LB-Polish PX Base Future</v>
          </cell>
          <cell r="C589" t="str">
            <v>CN2LB</v>
          </cell>
        </row>
        <row r="590">
          <cell r="B590" t="str">
            <v>CN2LD-Polish PX Base Future Zloty</v>
          </cell>
          <cell r="C590" t="str">
            <v>CN2LD</v>
          </cell>
        </row>
        <row r="591">
          <cell r="B591" t="str">
            <v>CN2LG-ICE Brent Future at Houston MOC</v>
          </cell>
          <cell r="C591" t="str">
            <v>CN2LG</v>
          </cell>
        </row>
        <row r="592">
          <cell r="B592" t="str">
            <v>CN2LH-ICE Brent Future at London MOC</v>
          </cell>
          <cell r="C592" t="str">
            <v>CN2LH</v>
          </cell>
        </row>
        <row r="593">
          <cell r="B593" t="str">
            <v>CN2LI-ICE Brent Future at Singapore MOC</v>
          </cell>
          <cell r="C593" t="str">
            <v>CN2LI</v>
          </cell>
        </row>
        <row r="594">
          <cell r="B594" t="str">
            <v>CN2LJ-ICE Brent NX Future at Houston MOC</v>
          </cell>
          <cell r="C594" t="str">
            <v>CN2LJ</v>
          </cell>
        </row>
        <row r="595">
          <cell r="B595" t="str">
            <v>CN2LK-ICE Brent NX Future at Singapore MOC</v>
          </cell>
          <cell r="C595" t="str">
            <v>CN2LK</v>
          </cell>
        </row>
        <row r="596">
          <cell r="B596" t="str">
            <v>CN2LL-ICE Gasoil Future at Houston MOC</v>
          </cell>
          <cell r="C596" t="str">
            <v>CN2LL</v>
          </cell>
        </row>
        <row r="597">
          <cell r="B597" t="str">
            <v>CN2LM-ICE Gasoil Future</v>
          </cell>
          <cell r="C597" t="str">
            <v>CN2LM</v>
          </cell>
        </row>
        <row r="598">
          <cell r="B598" t="str">
            <v>CN2LN-ICE Low Sulfur Gasoil Future at Houston MOC</v>
          </cell>
          <cell r="C598" t="str">
            <v>CN2LN</v>
          </cell>
        </row>
        <row r="599">
          <cell r="B599" t="str">
            <v>CN2LO-ICE Low Sulfur Gasoil Future at 16:30 London</v>
          </cell>
          <cell r="C599" t="str">
            <v>CN2LO</v>
          </cell>
        </row>
        <row r="600">
          <cell r="B600" t="str">
            <v>CN2LP-ICE Low Sulfur Gasoil Future at London MOC</v>
          </cell>
          <cell r="C600" t="str">
            <v>CN2LP</v>
          </cell>
        </row>
        <row r="601">
          <cell r="B601" t="str">
            <v>CN2LQ-ICE Low Sulfur Gasoil Future</v>
          </cell>
          <cell r="C601" t="str">
            <v>CN2LQ</v>
          </cell>
        </row>
        <row r="602">
          <cell r="B602" t="str">
            <v>CN2LR-NYMEX 2-1-1 Crack Spread Future</v>
          </cell>
          <cell r="C602" t="str">
            <v>CN2LR</v>
          </cell>
        </row>
        <row r="603">
          <cell r="B603" t="str">
            <v>CN2LS-NYMEX 3-2-1 Crack Spread Future</v>
          </cell>
          <cell r="C603" t="str">
            <v>CN2LS</v>
          </cell>
        </row>
        <row r="604">
          <cell r="B604" t="str">
            <v>CN2LT-NYMEX 5-3-2 Crack Spread Future</v>
          </cell>
          <cell r="C604" t="str">
            <v>CN2LT</v>
          </cell>
        </row>
        <row r="605">
          <cell r="B605" t="str">
            <v>CN2LU-NYMEX NYH ULSD at Houston MOC</v>
          </cell>
          <cell r="C605" t="str">
            <v>CN2LU</v>
          </cell>
        </row>
        <row r="606">
          <cell r="B606" t="str">
            <v>CN2LW-NYMEX NYH ULSD at Singapore MOC</v>
          </cell>
          <cell r="C606" t="str">
            <v>CN2LW</v>
          </cell>
        </row>
        <row r="607">
          <cell r="B607" t="str">
            <v>CN2LX-NYMEX NYH ULSD Future</v>
          </cell>
          <cell r="C607" t="str">
            <v>CN2LX</v>
          </cell>
        </row>
        <row r="608">
          <cell r="B608" t="str">
            <v>CN2LY-NYMEX RBOB at Houston MOC</v>
          </cell>
          <cell r="C608" t="str">
            <v>CN2LY</v>
          </cell>
        </row>
        <row r="609">
          <cell r="B609" t="str">
            <v>CN2M0-NYMEX RBOB at Singapore MOC</v>
          </cell>
          <cell r="C609" t="str">
            <v>CN2M0</v>
          </cell>
        </row>
        <row r="610">
          <cell r="B610" t="str">
            <v>CN2M1-NYMEX RBOB Future</v>
          </cell>
          <cell r="C610" t="str">
            <v>CN2M1</v>
          </cell>
        </row>
        <row r="611">
          <cell r="B611" t="str">
            <v>CN2M2-NYMEX Light Sweet Future at Houston MOC</v>
          </cell>
          <cell r="C611" t="str">
            <v>CN2M2</v>
          </cell>
        </row>
        <row r="612">
          <cell r="B612" t="str">
            <v>CN2M3-NYMEX Light Sweet Future at London MOC</v>
          </cell>
          <cell r="C612" t="str">
            <v>CN2M3</v>
          </cell>
        </row>
        <row r="613">
          <cell r="B613" t="str">
            <v>CN2M4-NYMEX Light Sweet Future at Singapore MOC</v>
          </cell>
          <cell r="C613" t="str">
            <v>CN2M4</v>
          </cell>
        </row>
        <row r="614">
          <cell r="B614" t="str">
            <v>CN2M5-NYMEX Light Sweet Future</v>
          </cell>
          <cell r="C614" t="str">
            <v>CN2M5</v>
          </cell>
        </row>
        <row r="615">
          <cell r="B615" t="str">
            <v>CN2M9-NYMEX US Midwest Dom HRC Rel Elect Future</v>
          </cell>
          <cell r="C615" t="str">
            <v>CN2M9</v>
          </cell>
        </row>
        <row r="616">
          <cell r="B616" t="str">
            <v>CN2MA-NYMEX US Midwest Dom HRC Abs Elect Future</v>
          </cell>
          <cell r="C616" t="str">
            <v>CN2MA</v>
          </cell>
        </row>
        <row r="617">
          <cell r="B617" t="str">
            <v>CN2MB-NYMEX RBOB Elect Abs Cal Spread Future</v>
          </cell>
          <cell r="C617" t="str">
            <v>CN2MB</v>
          </cell>
        </row>
        <row r="618">
          <cell r="B618" t="str">
            <v>CN2MC-NYMEX RBOB Elect Rel Cal Spread Future</v>
          </cell>
          <cell r="C618" t="str">
            <v>CN2MC</v>
          </cell>
        </row>
        <row r="619">
          <cell r="B619" t="str">
            <v>CN2MD-NYMEX RBOB Elect Abs Crack Spread Future</v>
          </cell>
          <cell r="C619" t="str">
            <v>CN2MD</v>
          </cell>
        </row>
        <row r="620">
          <cell r="B620" t="str">
            <v>CN2ME-NYMEX RBOB Elect Rel Crack Spread Future</v>
          </cell>
          <cell r="C620" t="str">
            <v>CN2ME</v>
          </cell>
        </row>
        <row r="621">
          <cell r="B621" t="str">
            <v>CN2MF-NYMEX Lt Sweet Abs Elect Cal Spread Future</v>
          </cell>
          <cell r="C621" t="str">
            <v>CN2MF</v>
          </cell>
        </row>
        <row r="622">
          <cell r="B622" t="str">
            <v>CN2MG-NYMEX Lt Sweet Rel Elect Cal Spread Future</v>
          </cell>
          <cell r="C622" t="str">
            <v>CN2MG</v>
          </cell>
        </row>
        <row r="623">
          <cell r="B623" t="str">
            <v>CN2MW-ICE US No. 11 Sugar Rel Future</v>
          </cell>
          <cell r="C623" t="str">
            <v>CN2MW</v>
          </cell>
        </row>
        <row r="624">
          <cell r="B624" t="str">
            <v>CN2MX-ICE US No. 11 Sugar Rel Future Open Interest</v>
          </cell>
          <cell r="C624" t="str">
            <v>CN2MX</v>
          </cell>
        </row>
        <row r="625">
          <cell r="B625" t="str">
            <v>CN2MZ-ICE US No. 11 Sugar Rel Future Volume</v>
          </cell>
          <cell r="C625" t="str">
            <v>CN2MZ</v>
          </cell>
        </row>
        <row r="626">
          <cell r="B626" t="str">
            <v>CN2N0-ICE EUR White Sugar Rel Future</v>
          </cell>
          <cell r="C626" t="str">
            <v>CN2N0</v>
          </cell>
        </row>
        <row r="627">
          <cell r="B627" t="str">
            <v>CN2N1-ICE EUR White Sugar Rel Future Open Interest</v>
          </cell>
          <cell r="C627" t="str">
            <v>CN2N1</v>
          </cell>
        </row>
        <row r="628">
          <cell r="B628" t="str">
            <v>CN2N3-ICE EUR White Sugar Rel Future Volume</v>
          </cell>
          <cell r="C628" t="str">
            <v>CN2N3</v>
          </cell>
        </row>
        <row r="629">
          <cell r="B629" t="str">
            <v>CN2N4-Zhengzhou (ZCE) China White Sugar Rel Future $/mt</v>
          </cell>
          <cell r="C629" t="str">
            <v>CN2N4</v>
          </cell>
        </row>
        <row r="630">
          <cell r="B630" t="str">
            <v>CN2N5-Zhengzhou (ZCE) China White Sugar Rel Future Yuan/ton</v>
          </cell>
          <cell r="C630" t="str">
            <v>CN2N5</v>
          </cell>
        </row>
        <row r="631">
          <cell r="B631" t="str">
            <v>CN2N6-NYMEX Lt Sweet Crude Rel Future Settlement</v>
          </cell>
          <cell r="C631" t="str">
            <v>CN2N6</v>
          </cell>
        </row>
        <row r="632">
          <cell r="B632" t="str">
            <v>CN2N7-NYMEX Lt Sweet Crude Rel Comb Future</v>
          </cell>
          <cell r="C632" t="str">
            <v>CN2N7</v>
          </cell>
        </row>
        <row r="633">
          <cell r="B633" t="str">
            <v>CN2N8-NYMEX Lt Sweet Crude Rel Floor Future</v>
          </cell>
          <cell r="C633" t="str">
            <v>CN2N8</v>
          </cell>
        </row>
        <row r="634">
          <cell r="B634" t="str">
            <v>CN2N9-NYMEX Lt Sweet Crude Rel Comb Penultimate Future</v>
          </cell>
          <cell r="C634" t="str">
            <v>CN2N9</v>
          </cell>
        </row>
        <row r="635">
          <cell r="B635" t="str">
            <v>CN2NA-NYMEX Lt Sweet Crude Abs Comb Penultimate Future</v>
          </cell>
          <cell r="C635" t="str">
            <v>CN2NA</v>
          </cell>
        </row>
        <row r="636">
          <cell r="B636" t="str">
            <v>CN2NB-NYMEX Lt Sweet Crude Abs Comb Future</v>
          </cell>
          <cell r="C636" t="str">
            <v>CN2NB</v>
          </cell>
        </row>
        <row r="637">
          <cell r="B637" t="str">
            <v>CN2NC-NYMEX Lt Sweet Crude Abs Floor Future</v>
          </cell>
          <cell r="C637" t="str">
            <v>CN2NC</v>
          </cell>
        </row>
        <row r="638">
          <cell r="B638" t="str">
            <v>CN2ND-CME USGC HSFO Rel Future</v>
          </cell>
          <cell r="C638" t="str">
            <v>CN2ND</v>
          </cell>
        </row>
        <row r="639">
          <cell r="B639" t="str">
            <v>CN2NE-CME USGC HSFO Abs Future</v>
          </cell>
          <cell r="C639" t="str">
            <v>CN2NE</v>
          </cell>
        </row>
        <row r="640">
          <cell r="B640" t="str">
            <v>CN2NH-NYMEX NYH ULSD Rel Comb Future</v>
          </cell>
          <cell r="C640" t="str">
            <v>CN2NH</v>
          </cell>
        </row>
        <row r="641">
          <cell r="B641" t="str">
            <v>CN2NI-NYMEX NYH ULSD Rel Floor Future</v>
          </cell>
          <cell r="C641" t="str">
            <v>CN2NI</v>
          </cell>
        </row>
        <row r="642">
          <cell r="B642" t="str">
            <v>CN2NJ-NYMEX NYH ULSD Abs Comb Future</v>
          </cell>
          <cell r="C642" t="str">
            <v>CN2NJ</v>
          </cell>
        </row>
        <row r="643">
          <cell r="B643" t="str">
            <v>CN2NK-NYMEX NYH ULSD Abs Floor Future</v>
          </cell>
          <cell r="C643" t="str">
            <v>CN2NK</v>
          </cell>
        </row>
        <row r="644">
          <cell r="B644" t="str">
            <v>CN2NL-NYMEX NYH ULSD Rel Penultimate Future</v>
          </cell>
          <cell r="C644" t="str">
            <v>CN2NL</v>
          </cell>
        </row>
        <row r="645">
          <cell r="B645" t="str">
            <v>CN2NM-NYMEX NYH ULSD Abs Penultimate Future</v>
          </cell>
          <cell r="C645" t="str">
            <v>CN2NM</v>
          </cell>
        </row>
        <row r="646">
          <cell r="B646" t="str">
            <v>CN2NN-NYMEX NYH ULSD Rel Future Settlement</v>
          </cell>
          <cell r="C646" t="str">
            <v>CN2NN</v>
          </cell>
        </row>
        <row r="647">
          <cell r="B647" t="str">
            <v>CN2NO-NYMEX RBOB Rel Elect Future</v>
          </cell>
          <cell r="C647" t="str">
            <v>CN2NO</v>
          </cell>
        </row>
        <row r="648">
          <cell r="B648" t="str">
            <v>CN2NP-NYMEX RBOB Rel Floor Future</v>
          </cell>
          <cell r="C648" t="str">
            <v>CN2NP</v>
          </cell>
        </row>
        <row r="649">
          <cell r="B649" t="str">
            <v>CN2NQ-NYMEX RBOB Abs Elect Future</v>
          </cell>
          <cell r="C649" t="str">
            <v>CN2NQ</v>
          </cell>
        </row>
        <row r="650">
          <cell r="B650" t="str">
            <v>CN2NR-NYMEX RBOB Abs Floor Future</v>
          </cell>
          <cell r="C650" t="str">
            <v>CN2NR</v>
          </cell>
        </row>
        <row r="651">
          <cell r="B651" t="str">
            <v>CN2NS-NYMEX RBOB Rel Comb Future</v>
          </cell>
          <cell r="C651" t="str">
            <v>CN2NS</v>
          </cell>
        </row>
        <row r="652">
          <cell r="B652" t="str">
            <v>CN2NT-NYMEX RBOB Abs Comb Future</v>
          </cell>
          <cell r="C652" t="str">
            <v>CN2NT</v>
          </cell>
        </row>
        <row r="653">
          <cell r="B653" t="str">
            <v>CN2NU-NYMEX RBOB Rel Future Settlement</v>
          </cell>
          <cell r="C653" t="str">
            <v>CN2NU</v>
          </cell>
        </row>
        <row r="654">
          <cell r="B654" t="str">
            <v>CN2O5-ICE Brent Rel Comb Future</v>
          </cell>
          <cell r="C654" t="str">
            <v>CN2O5</v>
          </cell>
        </row>
        <row r="655">
          <cell r="B655" t="str">
            <v>CN2O6-ICE Brent Abs Comb Future</v>
          </cell>
          <cell r="C655" t="str">
            <v>CN2O6</v>
          </cell>
        </row>
        <row r="656">
          <cell r="B656" t="str">
            <v>CN2O7-ICE Brent Rel Settlement</v>
          </cell>
          <cell r="C656" t="str">
            <v>CN2O7</v>
          </cell>
        </row>
        <row r="657">
          <cell r="B657" t="str">
            <v>CN2O8-ICE Brent Rel Wtd Avg Future</v>
          </cell>
          <cell r="C657" t="str">
            <v>CN2O8</v>
          </cell>
        </row>
        <row r="658">
          <cell r="B658" t="str">
            <v>CN2O9-ICE Gasoil Rel Comb Future</v>
          </cell>
          <cell r="C658" t="str">
            <v>CN2O9</v>
          </cell>
        </row>
        <row r="659">
          <cell r="B659" t="str">
            <v>CN2OA-ICE Gasoil Abs Comb Future</v>
          </cell>
          <cell r="C659" t="str">
            <v>CN2OA</v>
          </cell>
        </row>
        <row r="660">
          <cell r="B660" t="str">
            <v>CN2OB-ICE Gasoil Rel Settlement</v>
          </cell>
          <cell r="C660" t="str">
            <v>CN2OB</v>
          </cell>
        </row>
        <row r="661">
          <cell r="B661" t="str">
            <v>CN2OC-ICE UK NG Rel Comb Future</v>
          </cell>
          <cell r="C661" t="str">
            <v>CN2OC</v>
          </cell>
        </row>
        <row r="662">
          <cell r="B662" t="str">
            <v>CN2OD-ICE UK NG Rel Future at 5pm London</v>
          </cell>
          <cell r="C662" t="str">
            <v>CN2OD</v>
          </cell>
        </row>
        <row r="663">
          <cell r="B663" t="str">
            <v>CN2OE-ICE UK NG Abs Comb Future</v>
          </cell>
          <cell r="C663" t="str">
            <v>CN2OE</v>
          </cell>
        </row>
        <row r="664">
          <cell r="B664" t="str">
            <v>CN2OF-ICE WTI Crude Rel Comb Future</v>
          </cell>
          <cell r="C664" t="str">
            <v>CN2OF</v>
          </cell>
        </row>
        <row r="665">
          <cell r="B665" t="str">
            <v>CN2OG-ICE WTI Crude Abs Comb Future</v>
          </cell>
          <cell r="C665" t="str">
            <v>CN2OG</v>
          </cell>
        </row>
        <row r="666">
          <cell r="B666" t="str">
            <v>CN2OH-ICE WTI Crude Rel Settlement</v>
          </cell>
          <cell r="C666" t="str">
            <v>CN2OH</v>
          </cell>
        </row>
        <row r="667">
          <cell r="B667" t="str">
            <v>CN2OI-DME Oman Crude Rel Comb Future</v>
          </cell>
          <cell r="C667" t="str">
            <v>CN2OI</v>
          </cell>
        </row>
        <row r="668">
          <cell r="B668" t="str">
            <v>CN2OJ-DME Oman Crude Abs Comb Future</v>
          </cell>
          <cell r="C668" t="str">
            <v>CN2OJ</v>
          </cell>
        </row>
        <row r="669">
          <cell r="B669" t="str">
            <v>CN2OK-DME Oman Crude Rel Elect Future</v>
          </cell>
          <cell r="C669" t="str">
            <v>CN2OK</v>
          </cell>
        </row>
        <row r="670">
          <cell r="B670" t="str">
            <v>CN2OL-DME Oman Crude Abs Elect Future</v>
          </cell>
          <cell r="C670" t="str">
            <v>CN2OL</v>
          </cell>
        </row>
        <row r="671">
          <cell r="B671" t="str">
            <v>CN2OM-DME Oman Crude Rel Settlement</v>
          </cell>
          <cell r="C671" t="str">
            <v>CN2OM</v>
          </cell>
        </row>
        <row r="672">
          <cell r="B672" t="str">
            <v>CN2ON-FtS Houston Marine FO 0.5% Spore Financial</v>
          </cell>
          <cell r="C672" t="str">
            <v>CN2ON</v>
          </cell>
        </row>
        <row r="673">
          <cell r="B673" t="str">
            <v>CN2OO-FtS London Marine FO 0.5% Spore Financial</v>
          </cell>
          <cell r="C673" t="str">
            <v>CN2OO</v>
          </cell>
        </row>
        <row r="674">
          <cell r="B674" t="str">
            <v>CN2PL-EEX Italy Base Future Volume</v>
          </cell>
          <cell r="C674" t="str">
            <v>CN2PL</v>
          </cell>
        </row>
        <row r="675">
          <cell r="B675" t="str">
            <v>CN2PN-EEX France Fin Peak Future MAvg</v>
          </cell>
          <cell r="C675" t="str">
            <v>CN2PN</v>
          </cell>
        </row>
        <row r="676">
          <cell r="B676" t="str">
            <v>CN2PO-CME USGC ULSD Abs Future</v>
          </cell>
          <cell r="C676" t="str">
            <v>CN2PO</v>
          </cell>
        </row>
        <row r="677">
          <cell r="B677" t="str">
            <v>CN2PP-ECX/ICE EUA Future</v>
          </cell>
          <cell r="C677" t="str">
            <v>CN2PP</v>
          </cell>
        </row>
        <row r="678">
          <cell r="B678" t="str">
            <v>CN2PQ-ECX/ICE EUA Future Volume</v>
          </cell>
          <cell r="C678" t="str">
            <v>CN2PQ</v>
          </cell>
        </row>
        <row r="679">
          <cell r="B679" t="str">
            <v>CN2PR-CME USGC ULSD Rel Future</v>
          </cell>
          <cell r="C679" t="str">
            <v>CN2PR</v>
          </cell>
        </row>
        <row r="680">
          <cell r="B680" t="str">
            <v>CN2RJ-Mars M2M Financial</v>
          </cell>
          <cell r="C680" t="str">
            <v>CN2RJ</v>
          </cell>
        </row>
        <row r="681">
          <cell r="B681" t="str">
            <v>CN2RM-ICE Carbon EUA Elect Rel Future</v>
          </cell>
          <cell r="C681" t="str">
            <v>CN2RM</v>
          </cell>
        </row>
        <row r="682">
          <cell r="B682" t="str">
            <v>CN2RN-ICE Carbon EUA Elect Abs Future</v>
          </cell>
          <cell r="C682" t="str">
            <v>CN2RN</v>
          </cell>
        </row>
        <row r="683">
          <cell r="B683" t="str">
            <v>CN2RQ-SGX FO 380cst Elec Day/T Session Future</v>
          </cell>
          <cell r="C683" t="str">
            <v>CN2RQ</v>
          </cell>
        </row>
        <row r="684">
          <cell r="B684" t="str">
            <v>CN2RR-SGX FO 380cst Elec Eve/T+1 Session Future</v>
          </cell>
          <cell r="C684" t="str">
            <v>CN2RR</v>
          </cell>
        </row>
        <row r="685">
          <cell r="B685" t="str">
            <v>CN2RS-Marine Fuel 0.5% FOB Med Cargo M2M Financial</v>
          </cell>
          <cell r="C685" t="str">
            <v>CN2RS</v>
          </cell>
        </row>
        <row r="686">
          <cell r="B686" t="str">
            <v>CN2RT-Marine Fuel 0.5% CIF Med Cargo M2M Financial</v>
          </cell>
          <cell r="C686" t="str">
            <v>CN2RT</v>
          </cell>
        </row>
        <row r="687">
          <cell r="B687" t="str">
            <v>CN2RW-Marine Fuel 0.5% Bunker Dlvd Fujairah M2M Financial</v>
          </cell>
          <cell r="C687" t="str">
            <v>CN2RW</v>
          </cell>
        </row>
        <row r="688">
          <cell r="B688" t="str">
            <v>CN2RX-Marine Fuel 0.5% Bunker Dlvd Hong Kong M2M Financial</v>
          </cell>
          <cell r="C688" t="str">
            <v>CN2RX</v>
          </cell>
        </row>
        <row r="689">
          <cell r="B689" t="str">
            <v>CN2RY-Marine Fuel 0.5% Bunker Dlvd South Korea M2M Financial</v>
          </cell>
          <cell r="C689" t="str">
            <v>CN2RY</v>
          </cell>
        </row>
        <row r="690">
          <cell r="B690" t="str">
            <v>CN2RZ-Bunker FO 380 CST Dlvd Fujairah M2M Financial</v>
          </cell>
          <cell r="C690" t="str">
            <v>CN2RZ</v>
          </cell>
        </row>
        <row r="691">
          <cell r="B691" t="str">
            <v>CN2S1-Naphtha CFR Japan Cargo Financial Houston</v>
          </cell>
          <cell r="C691" t="str">
            <v>CN2S1</v>
          </cell>
        </row>
        <row r="692">
          <cell r="B692" t="str">
            <v>CN2S2-Marine Fuel 0.5% Bunker Dlvd Gibraltar Financial</v>
          </cell>
          <cell r="C692" t="str">
            <v>CN2S2</v>
          </cell>
        </row>
        <row r="693">
          <cell r="B693" t="str">
            <v>CN2S3-Marine Fuel 0.5% Bunker Dlvd Malta Financial</v>
          </cell>
          <cell r="C693" t="str">
            <v>CN2S3</v>
          </cell>
        </row>
        <row r="694">
          <cell r="B694" t="str">
            <v>CN2S4-Marine Fuel 0.5% Bunker Dlvd Piraeus Financial</v>
          </cell>
          <cell r="C694" t="str">
            <v>CN2S4</v>
          </cell>
        </row>
        <row r="695">
          <cell r="B695" t="str">
            <v>CN2S5-Marine Fuel 0.5% Bunker Dlvd Algeciras Financial</v>
          </cell>
          <cell r="C695" t="str">
            <v>CN2S5</v>
          </cell>
        </row>
        <row r="696">
          <cell r="B696" t="str">
            <v>CN2S6-Bunker FO 380 CST 3.5% Dlvd Malta Financial</v>
          </cell>
          <cell r="C696" t="str">
            <v>CN2S6</v>
          </cell>
        </row>
        <row r="697">
          <cell r="B697" t="str">
            <v>CN2S7-Bunker FO 380 CST 3.5% Dlvd Piraeus Financial</v>
          </cell>
          <cell r="C697" t="str">
            <v>CN2S7</v>
          </cell>
        </row>
        <row r="698">
          <cell r="B698" t="str">
            <v>CN2S8-Bunker FO 380 CST 3.5% Dlvd Algeciras Financial</v>
          </cell>
          <cell r="C698" t="str">
            <v>CN2S8</v>
          </cell>
        </row>
        <row r="699">
          <cell r="B699" t="str">
            <v>CN2S9-Naphtha CFR Japan Cargo Financial MAvg</v>
          </cell>
          <cell r="C699" t="str">
            <v>CN2S9</v>
          </cell>
        </row>
        <row r="700">
          <cell r="B700" t="str">
            <v>CN2T0-EEX CER Future Vol</v>
          </cell>
          <cell r="C700" t="str">
            <v>CN2T0</v>
          </cell>
        </row>
        <row r="701">
          <cell r="B701" t="str">
            <v>CN2T1-EEX CER Future Eur/MT</v>
          </cell>
          <cell r="C701" t="str">
            <v>CN2T1</v>
          </cell>
        </row>
        <row r="702">
          <cell r="B702" t="str">
            <v>CN2T2-EEX EUA Future Vol</v>
          </cell>
          <cell r="C702" t="str">
            <v>CN2T2</v>
          </cell>
        </row>
        <row r="703">
          <cell r="B703" t="str">
            <v>CN2T3-EEX EUA Future Eur/MT</v>
          </cell>
          <cell r="C703" t="str">
            <v>CN2T3</v>
          </cell>
        </row>
        <row r="704">
          <cell r="B704" t="str">
            <v>CN2U8-Marine Fuel 0.5% Bunker Dlvd Spore Financial</v>
          </cell>
          <cell r="C704" t="str">
            <v>CN2U8</v>
          </cell>
        </row>
        <row r="705">
          <cell r="B705" t="str">
            <v>CN2UA-Marine Fuel 0.5% Bunker Dlvd Rotterdam Financial</v>
          </cell>
          <cell r="C705" t="str">
            <v>CN2UA</v>
          </cell>
        </row>
        <row r="706">
          <cell r="B706" t="str">
            <v>CN2UB-Marine Fuel 3.5% FOB Rotterdam Barge Time Spread</v>
          </cell>
          <cell r="C706" t="str">
            <v>CN2UB</v>
          </cell>
        </row>
        <row r="707">
          <cell r="B707" t="str">
            <v>CN2UC-Marine Fuel 3.5% FOB Med Cargo Time Spread</v>
          </cell>
          <cell r="C707" t="str">
            <v>CN2UC</v>
          </cell>
        </row>
        <row r="708">
          <cell r="B708" t="str">
            <v>CN2UD-Marine Fuel 1% FOB NWE Cargo Time Spread</v>
          </cell>
          <cell r="C708" t="str">
            <v>CN2UD</v>
          </cell>
        </row>
        <row r="709">
          <cell r="B709" t="str">
            <v>CN2UE-Marine Fuel 0.5% FOB Rotterdam Barge Time Spread</v>
          </cell>
          <cell r="C709" t="str">
            <v>CN2UE</v>
          </cell>
        </row>
        <row r="710">
          <cell r="B710" t="str">
            <v>CN2UF-Dutch TTF Financial Rel $/mmBtu</v>
          </cell>
          <cell r="C710" t="str">
            <v>CN2UF</v>
          </cell>
        </row>
        <row r="711">
          <cell r="B711" t="str">
            <v>CN2UG-SHFE Aluminum Close Rel Futures</v>
          </cell>
          <cell r="C711" t="str">
            <v>CN2UG</v>
          </cell>
        </row>
        <row r="712">
          <cell r="B712" t="str">
            <v>CN2UH-SHFE Aluminum Floor Rel Futures</v>
          </cell>
          <cell r="C712" t="str">
            <v>CN2UH</v>
          </cell>
        </row>
        <row r="713">
          <cell r="B713" t="str">
            <v>CN2UI-SHFE Aluminum Close Abs Futures</v>
          </cell>
          <cell r="C713" t="str">
            <v>CN2UI</v>
          </cell>
        </row>
        <row r="714">
          <cell r="B714" t="str">
            <v>CN2UJ-SHFE Aluminum Floor Abs Futures</v>
          </cell>
          <cell r="C714" t="str">
            <v>CN2UJ</v>
          </cell>
        </row>
        <row r="715">
          <cell r="B715" t="str">
            <v>CN2UK-SHFE Copper Close Rel Futures</v>
          </cell>
          <cell r="C715" t="str">
            <v>CN2UK</v>
          </cell>
        </row>
        <row r="716">
          <cell r="B716" t="str">
            <v>CN2UL-SHFE Copper Floor Rel Futures</v>
          </cell>
          <cell r="C716" t="str">
            <v>CN2UL</v>
          </cell>
        </row>
        <row r="717">
          <cell r="B717" t="str">
            <v>CN2UM-SHFE Copper Close Abs Futures</v>
          </cell>
          <cell r="C717" t="str">
            <v>CN2UM</v>
          </cell>
        </row>
        <row r="718">
          <cell r="B718" t="str">
            <v>CN2UN-SHFE Copper Floor Abs Futures</v>
          </cell>
          <cell r="C718" t="str">
            <v>CN2UN</v>
          </cell>
        </row>
        <row r="719">
          <cell r="B719" t="str">
            <v>CN2V3-DCE Soybean Oil Futures Abs</v>
          </cell>
          <cell r="C719" t="str">
            <v>CN2V3</v>
          </cell>
        </row>
        <row r="720">
          <cell r="B720" t="str">
            <v>CN2V4-DCE Soybean Meal Futures Abs</v>
          </cell>
          <cell r="C720" t="str">
            <v>CN2V4</v>
          </cell>
        </row>
        <row r="721">
          <cell r="B721" t="str">
            <v>CN2V5-DCE Soybean Oil Futures Rolling</v>
          </cell>
          <cell r="C721" t="str">
            <v>CN2V5</v>
          </cell>
        </row>
        <row r="722">
          <cell r="B722" t="str">
            <v>CN2V6-DCE Soybean Meal Futures Rolling</v>
          </cell>
          <cell r="C722" t="str">
            <v>CN2V6</v>
          </cell>
        </row>
        <row r="723">
          <cell r="B723" t="str">
            <v>CN2V7-DCE Soybean No.1 Rolling</v>
          </cell>
          <cell r="C723" t="str">
            <v>CN2V7</v>
          </cell>
        </row>
        <row r="724">
          <cell r="B724" t="str">
            <v>CN2V8-DCE Soybean No.2 Rolling</v>
          </cell>
          <cell r="C724" t="str">
            <v>CN2V8</v>
          </cell>
        </row>
        <row r="725">
          <cell r="B725" t="str">
            <v>CN2V9-DCE RBD Palm Olein Rolling</v>
          </cell>
          <cell r="C725" t="str">
            <v>CN2V9</v>
          </cell>
        </row>
        <row r="726">
          <cell r="B726" t="str">
            <v>CN2VA-DCE Corn Rolling</v>
          </cell>
          <cell r="C726" t="str">
            <v>CN2VA</v>
          </cell>
        </row>
        <row r="727">
          <cell r="B727" t="str">
            <v>CN2VC-FtS Houston Marine FO 0.5% Rdam Barge Financial Rel</v>
          </cell>
          <cell r="C727" t="str">
            <v>CN2VC</v>
          </cell>
        </row>
        <row r="728">
          <cell r="B728" t="str">
            <v>CN2VV-CME NY Ethanol (Platts) Futures Abs</v>
          </cell>
          <cell r="C728" t="str">
            <v>CN2VV</v>
          </cell>
        </row>
        <row r="729">
          <cell r="B729" t="str">
            <v>CN2VW-Gasoline Eurobob 10ppm FOB ARA Barge Financial Time Spread</v>
          </cell>
          <cell r="C729" t="str">
            <v>CN2VW</v>
          </cell>
        </row>
        <row r="730">
          <cell r="B730" t="str">
            <v>CN2VX-Gasoline Eurobob E10 Non-Oxy FOB AR Barge Financial Time Spread</v>
          </cell>
          <cell r="C730" t="str">
            <v>CN2VX</v>
          </cell>
        </row>
        <row r="731">
          <cell r="B731" t="str">
            <v>CN2VY-Naphtha CIF NWE Cargo Financial Time Spread</v>
          </cell>
          <cell r="C731" t="str">
            <v>CN2VY</v>
          </cell>
        </row>
        <row r="732">
          <cell r="B732" t="str">
            <v>CN2VZ-Propane CIF NWE Large Cargo Financial Time Spread</v>
          </cell>
          <cell r="C732" t="str">
            <v>CN2VZ</v>
          </cell>
        </row>
        <row r="733">
          <cell r="B733" t="str">
            <v>CN2W5-LNG WIM Financial</v>
          </cell>
          <cell r="C733" t="str">
            <v>CN2W5</v>
          </cell>
        </row>
        <row r="734">
          <cell r="B734" t="str">
            <v>CN2W6-Jet Kero FOB Spore Cargo Dubai Crack at London MOC M2M Financial</v>
          </cell>
          <cell r="C734" t="str">
            <v>CN2W6</v>
          </cell>
        </row>
        <row r="735">
          <cell r="B735" t="str">
            <v>CN2WO-USGC CBOB Financial</v>
          </cell>
          <cell r="C735" t="str">
            <v>CN2WO</v>
          </cell>
        </row>
        <row r="736">
          <cell r="B736" t="str">
            <v>CN2WP-USGC CBOB vs RBOB Frontline Financial</v>
          </cell>
          <cell r="C736" t="str">
            <v>CN2WP</v>
          </cell>
        </row>
        <row r="737">
          <cell r="B737" t="str">
            <v>CN2WQ-USGC CBOB Financial Time Spread</v>
          </cell>
          <cell r="C737" t="str">
            <v>CN2WQ</v>
          </cell>
        </row>
        <row r="738">
          <cell r="B738" t="str">
            <v>CN2WR-USGC CBOB Brent Crack at Houston MOC Financial</v>
          </cell>
          <cell r="C738" t="str">
            <v>CN2WR</v>
          </cell>
        </row>
        <row r="739">
          <cell r="B739" t="str">
            <v>CN2WS-USGC CBOB WTI Crack Financial</v>
          </cell>
          <cell r="C739" t="str">
            <v>CN2WS</v>
          </cell>
        </row>
        <row r="740">
          <cell r="B740" t="str">
            <v>CN2WT-USGC CBOB Dubai Crack at Houston MOC Financial</v>
          </cell>
          <cell r="C740" t="str">
            <v>CN2WT</v>
          </cell>
        </row>
        <row r="741">
          <cell r="B741" t="str">
            <v>CN2WW-FO 380 3.5% FOB Spore Cargo vs FO 3.5% FOB Rdam Barge at Spore MOC (E-W) Financial</v>
          </cell>
          <cell r="C741" t="str">
            <v>CN2WW</v>
          </cell>
        </row>
        <row r="742">
          <cell r="B742" t="str">
            <v>CN2WX-MF 0.5% FOB Spore Cargo vs MF 0.5% FOB Rdam Barge at Spore MOC (E-W) Fin</v>
          </cell>
          <cell r="C742" t="str">
            <v>CN2WX</v>
          </cell>
        </row>
        <row r="743">
          <cell r="B743" t="str">
            <v>CN2WY-Low Carbon Fuel Standard Carbon Credits</v>
          </cell>
          <cell r="C743" t="str">
            <v>CN2WY</v>
          </cell>
        </row>
        <row r="744">
          <cell r="B744" t="str">
            <v>CN2WZ-Gasoline Unl 95 MOPS BalMo (NextGen MOC)</v>
          </cell>
          <cell r="C744" t="str">
            <v>CN2WZ</v>
          </cell>
        </row>
        <row r="745">
          <cell r="B745" t="str">
            <v>CN2X2-MEC Crude</v>
          </cell>
          <cell r="C745" t="str">
            <v>CN2X2</v>
          </cell>
        </row>
        <row r="746">
          <cell r="B746" t="str">
            <v>CN2X3-MEC Crude MAvg</v>
          </cell>
          <cell r="C746" t="str">
            <v>CN2X3</v>
          </cell>
        </row>
        <row r="747">
          <cell r="B747" t="str">
            <v>CN2X4-Oman Blend Crude</v>
          </cell>
          <cell r="C747" t="str">
            <v>CN2X4</v>
          </cell>
        </row>
        <row r="748">
          <cell r="B748" t="str">
            <v>CN2X5-Oman Blend Crude MAvg</v>
          </cell>
          <cell r="C748" t="str">
            <v>CN2X5</v>
          </cell>
        </row>
        <row r="749">
          <cell r="B749" t="str">
            <v>CN2X6-Murban FOB Abu Dhabi Spore</v>
          </cell>
          <cell r="C749" t="str">
            <v>CN2X6</v>
          </cell>
        </row>
        <row r="750">
          <cell r="B750" t="str">
            <v>CN2X7-Murban FOB Abu Dhabi Spore MAvg</v>
          </cell>
          <cell r="C750" t="str">
            <v>CN2X7</v>
          </cell>
        </row>
        <row r="751">
          <cell r="B751" t="str">
            <v>CN2X8-Dubai Crude</v>
          </cell>
          <cell r="C751" t="str">
            <v>CN2X8</v>
          </cell>
        </row>
        <row r="752">
          <cell r="B752" t="str">
            <v>CN2X9-Dubai Crude MAvg</v>
          </cell>
          <cell r="C752" t="str">
            <v>CN2X9</v>
          </cell>
        </row>
        <row r="753">
          <cell r="B753" t="str">
            <v>CN2XA-EU Biomass Guarantees of Origin Eur/MWh</v>
          </cell>
          <cell r="C753" t="str">
            <v>CN2XA</v>
          </cell>
        </row>
        <row r="754">
          <cell r="B754" t="str">
            <v>CN2XB-EU Biomass Guarantees of Origin Eur/MWh MAvg</v>
          </cell>
          <cell r="C754" t="str">
            <v>CN2XB</v>
          </cell>
        </row>
        <row r="755">
          <cell r="B755" t="str">
            <v>CN2XC-EU Solar Guarantees of Origin Eur/MWh</v>
          </cell>
          <cell r="C755" t="str">
            <v>CN2XC</v>
          </cell>
        </row>
        <row r="756">
          <cell r="B756" t="str">
            <v>CN2XD-EU Solar Guarantees of Origin Eur/MWh MAvg</v>
          </cell>
          <cell r="C756" t="str">
            <v>CN2XD</v>
          </cell>
        </row>
        <row r="757">
          <cell r="B757" t="str">
            <v>CN2XE-EU Wind Guarantees of Origin Eur/MWh</v>
          </cell>
          <cell r="C757" t="str">
            <v>CN2XE</v>
          </cell>
        </row>
        <row r="758">
          <cell r="B758" t="str">
            <v>CN2XF-EU Wind Guarantees of Origin Eur/MWh MAvg</v>
          </cell>
          <cell r="C758" t="str">
            <v>CN2XF</v>
          </cell>
        </row>
        <row r="759">
          <cell r="B759" t="str">
            <v>CN2XG-Nordic Hydro Guarantees of Origin Eur/MWh</v>
          </cell>
          <cell r="C759" t="str">
            <v>CN2XG</v>
          </cell>
        </row>
        <row r="760">
          <cell r="B760" t="str">
            <v>CN2XH-Nordic Hydro Guarantees of Origin Eur/MWh MAvg</v>
          </cell>
          <cell r="C760" t="str">
            <v>CN2XH</v>
          </cell>
        </row>
        <row r="761">
          <cell r="B761" t="str">
            <v>CN2XI-UK Non-Bio Renewable Guarantees of Origin GBP/MWh</v>
          </cell>
          <cell r="C761" t="str">
            <v>CN2XI</v>
          </cell>
        </row>
        <row r="762">
          <cell r="B762" t="str">
            <v>CN2XJ-UK Non-Bio Renewable Guarantees of Origin GBP/MWh MAvg</v>
          </cell>
          <cell r="C762" t="str">
            <v>CN2XJ</v>
          </cell>
        </row>
        <row r="763">
          <cell r="B763" t="str">
            <v>CN2XK-UK GTMA Base GBP/MWh</v>
          </cell>
          <cell r="C763" t="str">
            <v>CN2XK</v>
          </cell>
        </row>
        <row r="764">
          <cell r="B764" t="str">
            <v>CN2XL-UK GTMA Base GBP/MWh MAvg</v>
          </cell>
          <cell r="C764" t="str">
            <v>CN2XL</v>
          </cell>
        </row>
        <row r="765">
          <cell r="B765" t="str">
            <v>CN2XM-UK GTMA Base Eur/MWh</v>
          </cell>
          <cell r="C765" t="str">
            <v>CN2XM</v>
          </cell>
        </row>
        <row r="766">
          <cell r="B766" t="str">
            <v>CN2XN-UK GTMA Base Eur/MWh MAvg</v>
          </cell>
          <cell r="C766" t="str">
            <v>CN2XN</v>
          </cell>
        </row>
        <row r="767">
          <cell r="B767" t="str">
            <v>CN2XO-NASDAQ OMX EUA Abs Eur/MT</v>
          </cell>
          <cell r="C767" t="str">
            <v>CN2XO</v>
          </cell>
        </row>
        <row r="768">
          <cell r="B768" t="str">
            <v>CN2XP-NASDAQ OMX EUA Vol Abs Eur/MT</v>
          </cell>
          <cell r="C768" t="str">
            <v>CN2XP</v>
          </cell>
        </row>
        <row r="769">
          <cell r="B769" t="str">
            <v>CN2XQ-Italy PSV Financial Rolling EUR/MWh</v>
          </cell>
          <cell r="C769" t="str">
            <v>CN2XQ</v>
          </cell>
        </row>
        <row r="770">
          <cell r="B770" t="str">
            <v>CN2XR-Italy PSV Financial Rolling EUR/MWh MAvg</v>
          </cell>
          <cell r="C770" t="str">
            <v>CN2XR</v>
          </cell>
        </row>
        <row r="771">
          <cell r="B771" t="str">
            <v>CN2XS-Italy PSV Financial Rolling p/th</v>
          </cell>
          <cell r="C771" t="str">
            <v>CN2XS</v>
          </cell>
        </row>
        <row r="772">
          <cell r="B772" t="str">
            <v>CN2XT-Italy PSV Financial Rolling p/th MAvg</v>
          </cell>
          <cell r="C772" t="str">
            <v>CN2XT</v>
          </cell>
        </row>
        <row r="773">
          <cell r="B773" t="str">
            <v>CN2XU-Advanced Biofuel RIN Rolling</v>
          </cell>
          <cell r="C773" t="str">
            <v>CN2XU</v>
          </cell>
        </row>
        <row r="774">
          <cell r="B774" t="str">
            <v>CN2XV-Biofuel RIN Rolling</v>
          </cell>
          <cell r="C774" t="str">
            <v>CN2XV</v>
          </cell>
        </row>
        <row r="775">
          <cell r="B775" t="str">
            <v>CN2XW-Cellulosic Biofuel RIN Rolling</v>
          </cell>
          <cell r="C775" t="str">
            <v>CN2XW</v>
          </cell>
        </row>
        <row r="776">
          <cell r="B776" t="str">
            <v>CN2XX-Ethanol RIN Rolling</v>
          </cell>
          <cell r="C776" t="str">
            <v>CN2XX</v>
          </cell>
        </row>
        <row r="777">
          <cell r="B777" t="str">
            <v>CN2XY-Advanced Biofuel RIN Rolling MAvg</v>
          </cell>
          <cell r="C777" t="str">
            <v>CN2XY</v>
          </cell>
        </row>
        <row r="778">
          <cell r="B778" t="str">
            <v>CN2XZ-Biofuel RIN Rolling MAvg</v>
          </cell>
          <cell r="C778" t="str">
            <v>CN2XZ</v>
          </cell>
        </row>
        <row r="779">
          <cell r="B779" t="str">
            <v>CN2Y0-Cellulosic Biofuel RIN Rolling MAvg</v>
          </cell>
          <cell r="C779" t="str">
            <v>CN2Y0</v>
          </cell>
        </row>
        <row r="780">
          <cell r="B780" t="str">
            <v>CN2Y1-Ethanol RIN Rolling MAvg</v>
          </cell>
          <cell r="C780" t="str">
            <v>CN2Y1</v>
          </cell>
        </row>
        <row r="781">
          <cell r="B781" t="str">
            <v>CN2Y7-Renewable Volume Obligation - Total (Oil)</v>
          </cell>
          <cell r="C781" t="str">
            <v>CN2Y7</v>
          </cell>
        </row>
        <row r="782">
          <cell r="B782" t="str">
            <v>CN2Y8-EU Emission Allowance</v>
          </cell>
          <cell r="C782" t="str">
            <v>CN2Y8</v>
          </cell>
        </row>
        <row r="783">
          <cell r="B783" t="str">
            <v>CN2YA-Low Carbon Fuel Standard Carbon Credits MAvg</v>
          </cell>
          <cell r="C783" t="str">
            <v>CN2YA</v>
          </cell>
        </row>
        <row r="784">
          <cell r="B784" t="str">
            <v>CN2YC-ICE Sugar No. 11 Futures (NY 11) 1630 London Time</v>
          </cell>
          <cell r="C784" t="str">
            <v>CN2YC</v>
          </cell>
        </row>
        <row r="785">
          <cell r="B785" t="str">
            <v>CN2YD-CME Chicago Ethanol (Platts) Futures</v>
          </cell>
          <cell r="C785" t="str">
            <v>CN2YD</v>
          </cell>
        </row>
        <row r="786">
          <cell r="B786" t="str">
            <v>CN2YE-German Peak Spark Spread 45% Eur/MWh</v>
          </cell>
          <cell r="C786" t="str">
            <v>CN2YE</v>
          </cell>
        </row>
        <row r="787">
          <cell r="B787" t="str">
            <v>CN2YF-German Peak Spark Spread 50% Eur/MWh</v>
          </cell>
          <cell r="C787" t="str">
            <v>CN2YF</v>
          </cell>
        </row>
        <row r="788">
          <cell r="B788" t="str">
            <v>CN2YG-German Peak Spark Spread 60% Eur/MWh</v>
          </cell>
          <cell r="C788" t="str">
            <v>CN2YG</v>
          </cell>
        </row>
        <row r="789">
          <cell r="B789" t="str">
            <v>CN2YH-German Peak Clean Spark Spread 45% Eur/MWh</v>
          </cell>
          <cell r="C789" t="str">
            <v>CN2YH</v>
          </cell>
        </row>
        <row r="790">
          <cell r="B790" t="str">
            <v>CN2YI-German Peak Clean Spark Spread 50% Eur/MWh</v>
          </cell>
          <cell r="C790" t="str">
            <v>CN2YI</v>
          </cell>
        </row>
        <row r="791">
          <cell r="B791" t="str">
            <v>CN2YJ-German Peak Clean Spark Spread 60% Eur/MWh</v>
          </cell>
          <cell r="C791" t="str">
            <v>CN2YJ</v>
          </cell>
        </row>
        <row r="792">
          <cell r="B792" t="str">
            <v>CN2YK-Dutch Peak Spark Spread 45% Eur/MWh</v>
          </cell>
          <cell r="C792" t="str">
            <v>CN2YK</v>
          </cell>
        </row>
        <row r="793">
          <cell r="B793" t="str">
            <v>CN2YL-Dutch Peak Spark Spread 50% Eur/MWh</v>
          </cell>
          <cell r="C793" t="str">
            <v>CN2YL</v>
          </cell>
        </row>
        <row r="794">
          <cell r="B794" t="str">
            <v>CN2YM-Dutch Peak Spark Spread 60% Eur/MWh</v>
          </cell>
          <cell r="C794" t="str">
            <v>CN2YM</v>
          </cell>
        </row>
        <row r="795">
          <cell r="B795" t="str">
            <v>CN2YN-Dutch Peak Clean Spark Spread 45% Eur/MWh</v>
          </cell>
          <cell r="C795" t="str">
            <v>CN2YN</v>
          </cell>
        </row>
        <row r="796">
          <cell r="B796" t="str">
            <v>CN2YO-Dutch Peak Clean Spark Spread 50% Eur/MWh</v>
          </cell>
          <cell r="C796" t="str">
            <v>CN2YO</v>
          </cell>
        </row>
        <row r="797">
          <cell r="B797" t="str">
            <v>CN2YP-Dutch Peak Clean Spark Spread 60% Eur/MWh</v>
          </cell>
          <cell r="C797" t="str">
            <v>CN2YP</v>
          </cell>
        </row>
        <row r="798">
          <cell r="B798" t="str">
            <v>CN2YQ-Dutch Base Spark Spread 45% Eur/MWh</v>
          </cell>
          <cell r="C798" t="str">
            <v>CN2YQ</v>
          </cell>
        </row>
        <row r="799">
          <cell r="B799" t="str">
            <v>CN2YR-Dutch Base Spark Spread 50% Eur/MWh</v>
          </cell>
          <cell r="C799" t="str">
            <v>CN2YR</v>
          </cell>
        </row>
        <row r="800">
          <cell r="B800" t="str">
            <v>CN2YS-Dutch Base Spark Spread 60% Eur/MWh</v>
          </cell>
          <cell r="C800" t="str">
            <v>CN2YS</v>
          </cell>
        </row>
        <row r="801">
          <cell r="B801" t="str">
            <v>CN2YT-Dutch Base Clean Spark Spread 45% Eur/MWh</v>
          </cell>
          <cell r="C801" t="str">
            <v>CN2YT</v>
          </cell>
        </row>
        <row r="802">
          <cell r="B802" t="str">
            <v>CN2YU-Dutch Base Clean Spark Spread 50% Eur/MWh</v>
          </cell>
          <cell r="C802" t="str">
            <v>CN2YU</v>
          </cell>
        </row>
        <row r="803">
          <cell r="B803" t="str">
            <v>CN2YV-Dutch Base Clean Spark Spread 60% Eur/MWh</v>
          </cell>
          <cell r="C803" t="str">
            <v>CN2YV</v>
          </cell>
        </row>
        <row r="804">
          <cell r="B804" t="str">
            <v>CN2YW-French Base Spark Spread 45% Eur/MWh</v>
          </cell>
          <cell r="C804" t="str">
            <v>CN2YW</v>
          </cell>
        </row>
        <row r="805">
          <cell r="B805" t="str">
            <v>CN2YX-French Base Spark Spread 50% Eur/MWh</v>
          </cell>
          <cell r="C805" t="str">
            <v>CN2YX</v>
          </cell>
        </row>
        <row r="806">
          <cell r="B806" t="str">
            <v>CN2YY-French Base Spark Spread 60% Eur/MWh</v>
          </cell>
          <cell r="C806" t="str">
            <v>CN2YY</v>
          </cell>
        </row>
        <row r="807">
          <cell r="B807" t="str">
            <v>CN2YZ-French Base Clean Spark Spread 45% Eur/MWh</v>
          </cell>
          <cell r="C807" t="str">
            <v>CN2YZ</v>
          </cell>
        </row>
        <row r="808">
          <cell r="B808" t="str">
            <v>CN2Z0-French Base Clean Spark Spread 50% Eur/MWh</v>
          </cell>
          <cell r="C808" t="str">
            <v>CN2Z0</v>
          </cell>
        </row>
        <row r="809">
          <cell r="B809" t="str">
            <v>CN2Z1-French Base Clean Spark Spread 60% Eur/MWh</v>
          </cell>
          <cell r="C809" t="str">
            <v>CN2Z1</v>
          </cell>
        </row>
        <row r="810">
          <cell r="B810" t="str">
            <v>CN2Z2-French Peak Spark Spread 45% Eur/MWh</v>
          </cell>
          <cell r="C810" t="str">
            <v>CN2Z2</v>
          </cell>
        </row>
        <row r="811">
          <cell r="B811" t="str">
            <v>CN2Z3-French Peak Spark Spread 50% Eur/MWh</v>
          </cell>
          <cell r="C811" t="str">
            <v>CN2Z3</v>
          </cell>
        </row>
        <row r="812">
          <cell r="B812" t="str">
            <v>CN2Z4-French Peak Spark Spread 60% Eur/MWh</v>
          </cell>
          <cell r="C812" t="str">
            <v>CN2Z4</v>
          </cell>
        </row>
        <row r="813">
          <cell r="B813" t="str">
            <v>CN2Z5-French Peak Clean Spark Spread 45% Eur/MWh</v>
          </cell>
          <cell r="C813" t="str">
            <v>CN2Z5</v>
          </cell>
        </row>
        <row r="814">
          <cell r="B814" t="str">
            <v>CN2Z6-French Peak Clean Spark Spread 50% Eur/MWh</v>
          </cell>
          <cell r="C814" t="str">
            <v>CN2Z6</v>
          </cell>
        </row>
        <row r="815">
          <cell r="B815" t="str">
            <v>CN2Z7-French Peak Clean Spark Spread 60% Eur/MWh</v>
          </cell>
          <cell r="C815" t="str">
            <v>CN2Z7</v>
          </cell>
        </row>
        <row r="816">
          <cell r="B816" t="str">
            <v>CN2Z8-UK Peak Spark Spread 45% GBP/MWh</v>
          </cell>
          <cell r="C816" t="str">
            <v>CN2Z8</v>
          </cell>
        </row>
        <row r="817">
          <cell r="B817" t="str">
            <v>CN2Z9-UK Peak Spark Spread 50% GBP/MWh</v>
          </cell>
          <cell r="C817" t="str">
            <v>CN2Z9</v>
          </cell>
        </row>
        <row r="818">
          <cell r="B818" t="str">
            <v>CN2ZA-UK Peak Spark Spread 60% GBP/MWh</v>
          </cell>
          <cell r="C818" t="str">
            <v>CN2ZA</v>
          </cell>
        </row>
        <row r="819">
          <cell r="B819" t="str">
            <v>CN2ZB-UK Peak Clean Spark Spread 45% GBP/MWh</v>
          </cell>
          <cell r="C819" t="str">
            <v>CN2ZB</v>
          </cell>
        </row>
        <row r="820">
          <cell r="B820" t="str">
            <v>CN2ZC-UK Peak Clean Spark Spread 50% GBP/MWh</v>
          </cell>
          <cell r="C820" t="str">
            <v>CN2ZC</v>
          </cell>
        </row>
        <row r="821">
          <cell r="B821" t="str">
            <v>CN2ZD-UK Peak Clean Spark Spread 60% GBP/MWh</v>
          </cell>
          <cell r="C821" t="str">
            <v>CN2ZD</v>
          </cell>
        </row>
        <row r="822">
          <cell r="B822" t="str">
            <v>CN2ZE-UK Peak Spark Spread 45% Eur/MWh</v>
          </cell>
          <cell r="C822" t="str">
            <v>CN2ZE</v>
          </cell>
        </row>
        <row r="823">
          <cell r="B823" t="str">
            <v>CN2ZF-UK Peak Spark Spread 50% Eur/MWh</v>
          </cell>
          <cell r="C823" t="str">
            <v>CN2ZF</v>
          </cell>
        </row>
        <row r="824">
          <cell r="B824" t="str">
            <v>CN2ZG-UK Peak Spark Spread 60% Eur/MWh</v>
          </cell>
          <cell r="C824" t="str">
            <v>CN2ZG</v>
          </cell>
        </row>
        <row r="825">
          <cell r="B825" t="str">
            <v>CN2ZH-UK Peak Clean Spark Spread 45% Eur/MWh</v>
          </cell>
          <cell r="C825" t="str">
            <v>CN2ZH</v>
          </cell>
        </row>
        <row r="826">
          <cell r="B826" t="str">
            <v>CN2ZI-UK Peak Clean Spark Spread 50% Eur/MWh</v>
          </cell>
          <cell r="C826" t="str">
            <v>CN2ZI</v>
          </cell>
        </row>
        <row r="827">
          <cell r="B827" t="str">
            <v>CN2ZJ-UK Peak Clean Spark Spread 60% Eur/MWh</v>
          </cell>
          <cell r="C827" t="str">
            <v>CN2ZJ</v>
          </cell>
        </row>
        <row r="828">
          <cell r="B828" t="str">
            <v>CN2ZK-UK Base Clean Spark Spread (CPS) 60% GBP/MWh</v>
          </cell>
          <cell r="C828" t="str">
            <v>CN2ZK</v>
          </cell>
        </row>
        <row r="829">
          <cell r="B829" t="str">
            <v>CN2ZL-UK Base Clean Spark Spread (CPS) 60% Eur/MWh</v>
          </cell>
          <cell r="C829" t="str">
            <v>CN2ZL</v>
          </cell>
        </row>
        <row r="830">
          <cell r="B830" t="str">
            <v>CN2ZM-UK Peak Clean Spark Spread (CPS) 45% GBP/MWh</v>
          </cell>
          <cell r="C830" t="str">
            <v>CN2ZM</v>
          </cell>
        </row>
        <row r="831">
          <cell r="B831" t="str">
            <v>CN2ZN-UK Peak Clean Spark Spread (CPS) 50% GBP/MWh</v>
          </cell>
          <cell r="C831" t="str">
            <v>CN2ZN</v>
          </cell>
        </row>
        <row r="832">
          <cell r="B832" t="str">
            <v>CN2ZO-UK Peak Clean Spark Spread (CPS) 60% GBP/MWh</v>
          </cell>
          <cell r="C832" t="str">
            <v>CN2ZO</v>
          </cell>
        </row>
        <row r="833">
          <cell r="B833" t="str">
            <v>CN2ZP-UK Peak Clean Spark Spread (CPS) 45% Eur/MWh</v>
          </cell>
          <cell r="C833" t="str">
            <v>CN2ZP</v>
          </cell>
        </row>
        <row r="834">
          <cell r="B834" t="str">
            <v>CN2ZQ-UK Peak Clean Spark Spread (CPS) 50% Eur/MWh</v>
          </cell>
          <cell r="C834" t="str">
            <v>CN2ZQ</v>
          </cell>
        </row>
        <row r="835">
          <cell r="B835" t="str">
            <v>CN2ZR-UK Peak Clean Spark Spread (CPS) 60% Eur/MWh</v>
          </cell>
          <cell r="C835" t="str">
            <v>CN2ZR</v>
          </cell>
        </row>
        <row r="836">
          <cell r="B836" t="str">
            <v>CN2ZX-Ammonia CFR Northwest Europe $/MMBtu MAvg</v>
          </cell>
          <cell r="C836" t="str">
            <v>CN2ZX</v>
          </cell>
        </row>
        <row r="837">
          <cell r="B837" t="str">
            <v>CN2ZZ-Ammonia CFR Northwest Europe $/mt MAvg</v>
          </cell>
          <cell r="C837" t="str">
            <v>CN2ZZ</v>
          </cell>
        </row>
        <row r="838">
          <cell r="B838" t="str">
            <v>CN3AK-FO 1% FOB NWE Cargo Brent Crack Intermonth Spread</v>
          </cell>
          <cell r="C838" t="str">
            <v>CN3AK</v>
          </cell>
        </row>
        <row r="839">
          <cell r="B839" t="str">
            <v>CN3AL-FO 1% FOB NWE Cargo Brent Crack Inter-Quarter Spread</v>
          </cell>
          <cell r="C839" t="str">
            <v>CN3AL</v>
          </cell>
        </row>
        <row r="840">
          <cell r="B840" t="str">
            <v>CN3AM-FO 1% FOB NWE Cargo Brent Crack Inter-Year Spread</v>
          </cell>
          <cell r="C840" t="str">
            <v>CN3AM</v>
          </cell>
        </row>
        <row r="841">
          <cell r="B841" t="str">
            <v>CN3AN-FO 1% FOB NWE Cargo Inter-Quarter Spread</v>
          </cell>
          <cell r="C841" t="str">
            <v>CN3AN</v>
          </cell>
        </row>
        <row r="842">
          <cell r="B842" t="str">
            <v>CN3AO-FO 1% FOB NWE Cargo Inter-Year Spread</v>
          </cell>
          <cell r="C842" t="str">
            <v>CN3AO</v>
          </cell>
        </row>
        <row r="843">
          <cell r="B843" t="str">
            <v>CN3AV-FO 180 CST 3.5% FOB Spore Cargo vs FO 3.5% FOB Rdam Barge Intermonth Spread</v>
          </cell>
          <cell r="C843" t="str">
            <v>CN3AV</v>
          </cell>
        </row>
        <row r="844">
          <cell r="B844" t="str">
            <v>CN3AW-FO 180 CST vs FO 380 CST 3.5% FOB Spore Cargo Financial</v>
          </cell>
          <cell r="C844" t="str">
            <v>CN3AW</v>
          </cell>
        </row>
        <row r="845">
          <cell r="B845" t="str">
            <v>CN3AX-FO 3.5% FOB Med Cargo Brent Crack Time Spread</v>
          </cell>
          <cell r="C845" t="str">
            <v>CN3AX</v>
          </cell>
        </row>
        <row r="846">
          <cell r="B846" t="str">
            <v>CN3C8-Methanol FOB Rotterdam Eur/mt</v>
          </cell>
          <cell r="C846" t="str">
            <v>CN3C8</v>
          </cell>
        </row>
        <row r="847">
          <cell r="B847" t="str">
            <v>CN3C9-Methanol FOB Rotterdam Eur/mt WAvg</v>
          </cell>
          <cell r="C847" t="str">
            <v>CN3C9</v>
          </cell>
        </row>
        <row r="848">
          <cell r="B848" t="str">
            <v>CN3CA-Methanol FOB Rotterdam Eur/mt MAvg</v>
          </cell>
          <cell r="C848" t="str">
            <v>CN3CA</v>
          </cell>
        </row>
        <row r="849">
          <cell r="B849" t="str">
            <v>CN3CB-Methanol FOB Rotterdam $/mt</v>
          </cell>
          <cell r="C849" t="str">
            <v>CN3CB</v>
          </cell>
        </row>
        <row r="850">
          <cell r="B850" t="str">
            <v>CN3CC-Methanol FOB Rotterdam $/mt WAvg</v>
          </cell>
          <cell r="C850" t="str">
            <v>CN3CC</v>
          </cell>
        </row>
        <row r="851">
          <cell r="B851" t="str">
            <v>CN3CD-Methanol FOB Rotterdam $/mt MAvg</v>
          </cell>
          <cell r="C851" t="str">
            <v>CN3CD</v>
          </cell>
        </row>
        <row r="852">
          <cell r="B852" t="str">
            <v>CN3CE-Butane USGC Financial Time Spread</v>
          </cell>
          <cell r="C852" t="str">
            <v>CN3CE</v>
          </cell>
        </row>
        <row r="853">
          <cell r="B853" t="str">
            <v>CN3CF-Butane USGC Financial</v>
          </cell>
          <cell r="C853" t="str">
            <v>CN3CF</v>
          </cell>
        </row>
        <row r="854">
          <cell r="B854" t="str">
            <v>CN3CP-Methanol CFR China</v>
          </cell>
          <cell r="C854" t="str">
            <v>CN3CP</v>
          </cell>
        </row>
        <row r="855">
          <cell r="B855" t="str">
            <v>CN3CR-Ammonia CFR Northwest Europe $/MMBtu (Mirror)</v>
          </cell>
          <cell r="C855" t="str">
            <v>CN3CR</v>
          </cell>
        </row>
        <row r="856">
          <cell r="B856" t="str">
            <v>CN3CS-Ammonia CFR Northwest Europe $/mt (Mirror)</v>
          </cell>
          <cell r="C856" t="str">
            <v>CN3CS</v>
          </cell>
        </row>
        <row r="857">
          <cell r="B857" t="str">
            <v>CN3D3-COMEX Aluminum Settlement</v>
          </cell>
          <cell r="C857" t="str">
            <v>CN3D3</v>
          </cell>
        </row>
        <row r="858">
          <cell r="B858" t="str">
            <v>CN3D5-Ethanol Swaps NWE Eur/CBM (Mirror)</v>
          </cell>
          <cell r="C858" t="str">
            <v>CN3D5</v>
          </cell>
        </row>
        <row r="859">
          <cell r="B859" t="str">
            <v>CN3D6-VGO 0.5% Sulfur CIF USGC Barge M2M Financial</v>
          </cell>
          <cell r="C859" t="str">
            <v>CN3D6</v>
          </cell>
        </row>
        <row r="860">
          <cell r="B860" t="str">
            <v>CN3D7-VGO 2.0% Sulfur CIF USGC Barge M2M Financial</v>
          </cell>
          <cell r="C860" t="str">
            <v>CN3D7</v>
          </cell>
        </row>
        <row r="861">
          <cell r="B861" t="str">
            <v>CN3D8-Dutch TTF Eur/MWh</v>
          </cell>
          <cell r="C861" t="str">
            <v>CN3D8</v>
          </cell>
        </row>
        <row r="862">
          <cell r="B862" t="str">
            <v>CN3D9-Dutch TTF P/Th</v>
          </cell>
          <cell r="C862" t="str">
            <v>CN3D9</v>
          </cell>
        </row>
        <row r="863">
          <cell r="B863" t="str">
            <v>CN3DA-Dutch TTF Eur/Gj</v>
          </cell>
          <cell r="C863" t="str">
            <v>CN3DA</v>
          </cell>
        </row>
        <row r="864">
          <cell r="B864" t="str">
            <v>CN3DC-UK NBP P/Th</v>
          </cell>
          <cell r="C864" t="str">
            <v>CN3DC</v>
          </cell>
        </row>
        <row r="865">
          <cell r="B865" t="str">
            <v>CN3DD-UK NBP Eur/MWh</v>
          </cell>
          <cell r="C865" t="str">
            <v>CN3DD</v>
          </cell>
        </row>
        <row r="866">
          <cell r="B866" t="str">
            <v>CN3DE-UK NBP Eur/Gj</v>
          </cell>
          <cell r="C866" t="str">
            <v>CN3DE</v>
          </cell>
        </row>
        <row r="867">
          <cell r="B867" t="str">
            <v>CN3DF-UK NBP $/MMBtu</v>
          </cell>
          <cell r="C867" t="str">
            <v>CN3DF</v>
          </cell>
        </row>
        <row r="868">
          <cell r="B868" t="str">
            <v>CN3DG-ICE Midland WTI American Gulf Coast Settlement</v>
          </cell>
          <cell r="C868" t="str">
            <v>CN3DG</v>
          </cell>
        </row>
        <row r="869">
          <cell r="B869" t="str">
            <v>CN3DH-Naphtha FOB Spore Cargo M2M Financial $/mt</v>
          </cell>
          <cell r="C869" t="str">
            <v>CN3DH</v>
          </cell>
        </row>
        <row r="870">
          <cell r="B870" t="str">
            <v>CN3DJ-FO 380 CST 3.5% FOB Spore Cargo vs FO 3.5% FOB Rdam Barge Intermonth Spread</v>
          </cell>
          <cell r="C870" t="str">
            <v>CN3DJ</v>
          </cell>
        </row>
        <row r="871">
          <cell r="B871" t="str">
            <v>CN3DK-FO 1.0% USAC Cargo (Settle) Financial</v>
          </cell>
          <cell r="C871" t="str">
            <v>CN3DK</v>
          </cell>
        </row>
        <row r="872">
          <cell r="B872" t="str">
            <v>CN3DL-USGC HSFO Waterborne Financial (NextGen MOC)</v>
          </cell>
          <cell r="C872" t="str">
            <v>CN3DL</v>
          </cell>
        </row>
        <row r="873">
          <cell r="B873" t="str">
            <v>CN3DM-Marine Fuel USGC 0.5% Financial (NextGen MOC)</v>
          </cell>
          <cell r="C873" t="str">
            <v>CN3DM</v>
          </cell>
        </row>
        <row r="874">
          <cell r="B874" t="str">
            <v>CN3DQ-Jet CIF Med Cargo M2M Financial</v>
          </cell>
          <cell r="C874" t="str">
            <v>CN3DQ</v>
          </cell>
        </row>
        <row r="875">
          <cell r="B875" t="str">
            <v>CN3DR-Gasoline Unl 87 New York Cargo M2M Financial</v>
          </cell>
          <cell r="C875" t="str">
            <v>CN3DR</v>
          </cell>
        </row>
        <row r="876">
          <cell r="B876" t="str">
            <v>CN3DW-Platts N-GEO Spot Settlement $/mtCO2e</v>
          </cell>
          <cell r="C876" t="str">
            <v>CN3DW</v>
          </cell>
        </row>
        <row r="877">
          <cell r="B877" t="str">
            <v>CN3DX-Platts N-GEO Spot Settlement $/mtCO2e MAvg</v>
          </cell>
          <cell r="C877" t="str">
            <v>CN3DX</v>
          </cell>
        </row>
        <row r="878">
          <cell r="B878" t="str">
            <v>CN3DY-Platts N-GEO Spot $/mtCO2e</v>
          </cell>
          <cell r="C878" t="str">
            <v>CN3DY</v>
          </cell>
        </row>
        <row r="879">
          <cell r="B879" t="str">
            <v>CN3DZ-Platts N-GEO Spot $/mtCO2e MAvg</v>
          </cell>
          <cell r="C879" t="str">
            <v>CN3DZ</v>
          </cell>
        </row>
        <row r="880">
          <cell r="B880" t="str">
            <v>CN3EO-Gasoil 0.1%S FOB Med Cargo M2M Financial</v>
          </cell>
          <cell r="C880" t="str">
            <v>CN3EO</v>
          </cell>
        </row>
        <row r="881">
          <cell r="B881" t="str">
            <v>CN3EP-Bakken Clearbrook M2M Financial</v>
          </cell>
          <cell r="C881" t="str">
            <v>CN3EP</v>
          </cell>
        </row>
        <row r="882">
          <cell r="B882" t="str">
            <v>CN3ES-EU Emission Allowance (Mirror)</v>
          </cell>
          <cell r="C882" t="str">
            <v>CN3ES</v>
          </cell>
        </row>
        <row r="883">
          <cell r="B883" t="str">
            <v>CN3EZ-CPC Blend CFD M2M</v>
          </cell>
          <cell r="C883" t="str">
            <v>CN3EZ</v>
          </cell>
        </row>
        <row r="884">
          <cell r="B884" t="str">
            <v>CN3F0-FtS Houston FO 1%S CIF MED Cargo Financial</v>
          </cell>
          <cell r="C884" t="str">
            <v>CN3F0</v>
          </cell>
        </row>
        <row r="885">
          <cell r="B885" t="str">
            <v>CN3F1-FtS Houston FO 1%S FOB MED Cargo Financial</v>
          </cell>
          <cell r="C885" t="str">
            <v>CN3F1</v>
          </cell>
        </row>
        <row r="886">
          <cell r="B886" t="str">
            <v>CN3F2-FtS Houston FO 3.5% CIF MED Cargo Financial</v>
          </cell>
          <cell r="C886" t="str">
            <v>CN3F2</v>
          </cell>
        </row>
        <row r="887">
          <cell r="B887" t="str">
            <v>CN3F3-FtS Houston Gasoil 0.1%S FOB Med Cargo M2M Financial</v>
          </cell>
          <cell r="C887" t="str">
            <v>CN3F3</v>
          </cell>
        </row>
        <row r="888">
          <cell r="B888" t="str">
            <v>CN3F4-FtS Houston Gasoline Prem Unleaded 10ppm CIF MED Cargo Financial</v>
          </cell>
          <cell r="C888" t="str">
            <v>CN3F4</v>
          </cell>
        </row>
        <row r="889">
          <cell r="B889" t="str">
            <v>CN3F5-FtS Houston Gasoline Prem Unleaded 10ppm FOB MED Cargo Financial</v>
          </cell>
          <cell r="C889" t="str">
            <v>CN3F5</v>
          </cell>
        </row>
        <row r="890">
          <cell r="B890" t="str">
            <v>CN3F6-FtS Houston Jet CIF Med Cargo M2M Financial</v>
          </cell>
          <cell r="C890" t="str">
            <v>CN3F6</v>
          </cell>
        </row>
        <row r="891">
          <cell r="B891" t="str">
            <v>CN3F7-FtS Houston Jet FOB MED Cargo Financial</v>
          </cell>
          <cell r="C891" t="str">
            <v>CN3F7</v>
          </cell>
        </row>
        <row r="892">
          <cell r="B892" t="str">
            <v>CN3F8-FtS Houston Jet FOB NWE Cargo Financial</v>
          </cell>
          <cell r="C892" t="str">
            <v>CN3F8</v>
          </cell>
        </row>
        <row r="893">
          <cell r="B893" t="str">
            <v>CN3F9-FtS Houston Jet FOB Rdam Barge Financial</v>
          </cell>
          <cell r="C893" t="str">
            <v>CN3F9</v>
          </cell>
        </row>
        <row r="894">
          <cell r="B894" t="str">
            <v>CN3FA-FtS Houston Marine Fuel 0.5% CIF Med Cargo M2M Financial</v>
          </cell>
          <cell r="C894" t="str">
            <v>CN3FA</v>
          </cell>
        </row>
        <row r="895">
          <cell r="B895" t="str">
            <v>CN3FB-FtS Houston Marine Fuel 0.5% FOB Med Cargo M2M Financial</v>
          </cell>
          <cell r="C895" t="str">
            <v>CN3FB</v>
          </cell>
        </row>
        <row r="896">
          <cell r="B896" t="str">
            <v>CN3FC-FtS Houston Straight Run 0.5-0.7%S FOB NWE cargo Financial</v>
          </cell>
          <cell r="C896" t="str">
            <v>CN3FC</v>
          </cell>
        </row>
        <row r="897">
          <cell r="B897" t="str">
            <v>CN3FD-FtS Houston ULSD 10ppmS FOB MED Cargo Financial</v>
          </cell>
          <cell r="C897" t="str">
            <v>CN3FD</v>
          </cell>
        </row>
        <row r="898">
          <cell r="B898" t="str">
            <v>CN3FE-FtS Houston VGO 2.0%S CIF NWE Financial</v>
          </cell>
          <cell r="C898" t="str">
            <v>CN3FE</v>
          </cell>
        </row>
        <row r="899">
          <cell r="B899" t="str">
            <v>CN3FF-FtS Houston VGO 2.0%S FOB Rdam barge Financial</v>
          </cell>
          <cell r="C899" t="str">
            <v>CN3FF</v>
          </cell>
        </row>
        <row r="900">
          <cell r="B900" t="str">
            <v>CN3FG-CPC Blend Financial</v>
          </cell>
          <cell r="C900" t="str">
            <v>CN3FG</v>
          </cell>
        </row>
        <row r="901">
          <cell r="B901" t="str">
            <v>CN3FI-Naphtha FOB Arab Gulf Cargo Dubai Crack Financial</v>
          </cell>
          <cell r="C901" t="str">
            <v>CN3FI</v>
          </cell>
        </row>
        <row r="902">
          <cell r="B902" t="str">
            <v>CN3FJ-Gasoline 92 RON FOB Arab Gulf Dubai Crack Financial</v>
          </cell>
          <cell r="C902" t="str">
            <v>CN3FJ</v>
          </cell>
        </row>
        <row r="903">
          <cell r="B903" t="str">
            <v>CN3FK-Gasoline 95 RON FOB Arab Gulf Dubai Crack Financial</v>
          </cell>
          <cell r="C903" t="str">
            <v>CN3FK</v>
          </cell>
        </row>
        <row r="904">
          <cell r="B904" t="str">
            <v>CN3FL-Jet Kero FOB Arab Gulf Cargo Dubai Crack Financial</v>
          </cell>
          <cell r="C904" t="str">
            <v>CN3FL</v>
          </cell>
        </row>
        <row r="905">
          <cell r="B905" t="str">
            <v>CN3FM-Gasoil FOB Arab Gulf Cargo Dubai Crack Financial</v>
          </cell>
          <cell r="C905" t="str">
            <v>CN3FM</v>
          </cell>
        </row>
        <row r="906">
          <cell r="B906" t="str">
            <v>CN3FN-Marine Fuel 0.5% FOB Fujairah Cargo Dubai Crack Financial</v>
          </cell>
          <cell r="C906" t="str">
            <v>CN3FN</v>
          </cell>
        </row>
        <row r="907">
          <cell r="B907" t="str">
            <v>CN3FO-Naphtha FOB Arab Gulf Cargo Brent Crack at Spore MOC Financial</v>
          </cell>
          <cell r="C907" t="str">
            <v>CN3FO</v>
          </cell>
        </row>
        <row r="908">
          <cell r="B908" t="str">
            <v>CN3FP-Gasoline 92 RON FOB Arab Gulf Brent Crack at Spore MOC Financial</v>
          </cell>
          <cell r="C908" t="str">
            <v>CN3FP</v>
          </cell>
        </row>
        <row r="909">
          <cell r="B909" t="str">
            <v>CN3FQ-Gasoline 95 RON FOB Arab Gulf Brent Crack at Spore MOC Financial</v>
          </cell>
          <cell r="C909" t="str">
            <v>CN3FQ</v>
          </cell>
        </row>
        <row r="910">
          <cell r="B910" t="str">
            <v>CN3FR-Jet Kero FOB Arab Gulf Cargo Brent Crack at Spore MOC Financial</v>
          </cell>
          <cell r="C910" t="str">
            <v>CN3FR</v>
          </cell>
        </row>
        <row r="911">
          <cell r="B911" t="str">
            <v>CN3FS-Gasoil FOB Arab Gulf Cargo Brent Crack at Spore MOC Financial</v>
          </cell>
          <cell r="C911" t="str">
            <v>CN3FS</v>
          </cell>
        </row>
        <row r="912">
          <cell r="B912" t="str">
            <v>CN3FT-Marine Fuel 0.5% FOB Fujairah Cargo Brent Crack At Spore MOC Financial</v>
          </cell>
          <cell r="C912" t="str">
            <v>CN3FT</v>
          </cell>
        </row>
        <row r="913">
          <cell r="B913" t="str">
            <v>CN3GI-USGC Marine Fuel 0.5% Brent Crack at Houston MOC Financial</v>
          </cell>
          <cell r="C913" t="str">
            <v>CN3GI</v>
          </cell>
        </row>
        <row r="914">
          <cell r="B914" t="str">
            <v>CN3GL-Benzene CIF ARA</v>
          </cell>
          <cell r="C914" t="str">
            <v>CN3GL</v>
          </cell>
        </row>
        <row r="915">
          <cell r="B915" t="str">
            <v>CN3HO-Propane CFR North Asia Financial</v>
          </cell>
          <cell r="C915" t="str">
            <v>CN3HO</v>
          </cell>
        </row>
        <row r="916">
          <cell r="B916" t="str">
            <v>CN3HP-Propane CFR North Asia vs FOB Saudi Arabia CP Financial</v>
          </cell>
          <cell r="C916" t="str">
            <v>CN3HP</v>
          </cell>
        </row>
        <row r="917">
          <cell r="B917" t="str">
            <v>CN3HQ-Propane CFR North Asia vs Naphtha C+F Japan Cargo Financial</v>
          </cell>
          <cell r="C917" t="str">
            <v>CN3HQ</v>
          </cell>
        </row>
        <row r="918">
          <cell r="B918" t="str">
            <v>CN3HS-Marine Fuel 0.5% USAC Barge Financial</v>
          </cell>
          <cell r="C918" t="str">
            <v>CN3HS</v>
          </cell>
        </row>
        <row r="919">
          <cell r="B919" t="str">
            <v>CN3HT-ULSD USGC Waterborne Financial</v>
          </cell>
          <cell r="C919" t="str">
            <v>CN3HT</v>
          </cell>
        </row>
        <row r="920">
          <cell r="B920" t="str">
            <v>CN3HU-Gasoline 92 RON Arab Gulf Financial</v>
          </cell>
          <cell r="C920" t="str">
            <v>CN3HU</v>
          </cell>
        </row>
        <row r="921">
          <cell r="B921" t="str">
            <v>CN3HV-Naphtha Arab Gulf Financial</v>
          </cell>
          <cell r="C921" t="str">
            <v>CN3HV</v>
          </cell>
        </row>
        <row r="922">
          <cell r="B922" t="str">
            <v>CN3HW-Naphtha CIF Med Cargo Financial</v>
          </cell>
          <cell r="C922" t="str">
            <v>CN3HW</v>
          </cell>
        </row>
        <row r="923">
          <cell r="B923" t="str">
            <v>CN3HX-Naphtha FOB Med Cargo Financial</v>
          </cell>
          <cell r="C923" t="str">
            <v>CN3HX</v>
          </cell>
        </row>
        <row r="924">
          <cell r="B924" t="str">
            <v>CN3HY-Naphtha FOB Rdam Barge Financial</v>
          </cell>
          <cell r="C924" t="str">
            <v>CN3HY</v>
          </cell>
        </row>
        <row r="925">
          <cell r="B925" t="str">
            <v>CN3HZ-FO 1%S CIF NWE Cargo Financial</v>
          </cell>
          <cell r="C925" t="str">
            <v>CN3HZ</v>
          </cell>
        </row>
        <row r="926">
          <cell r="B926" t="str">
            <v>CN3I0-FO 3.5%S CIF NWE Cargo Financial</v>
          </cell>
          <cell r="C926" t="str">
            <v>CN3I0</v>
          </cell>
        </row>
        <row r="927">
          <cell r="B927" t="str">
            <v>CN3I1-FO 3.5%S FOB NWE Cargo Financial</v>
          </cell>
          <cell r="C927" t="str">
            <v>CN3I1</v>
          </cell>
        </row>
        <row r="928">
          <cell r="B928" t="str">
            <v>CN3I2-FO 180 CST High Sulfur FOB Arab Gulf</v>
          </cell>
          <cell r="C928" t="str">
            <v>CN3I2</v>
          </cell>
        </row>
        <row r="929">
          <cell r="B929" t="str">
            <v>CN3JL-Brent (NextGen MOC)</v>
          </cell>
          <cell r="C929" t="str">
            <v>CN3JL</v>
          </cell>
        </row>
        <row r="930">
          <cell r="B930" t="str">
            <v>CN3JM-Brent (NextGen MOC) MAvg</v>
          </cell>
          <cell r="C930" t="str">
            <v>CN3JM</v>
          </cell>
        </row>
        <row r="931">
          <cell r="B931" t="str">
            <v>CN3JN-WTI Cushing</v>
          </cell>
          <cell r="C931" t="str">
            <v>CN3JN</v>
          </cell>
        </row>
        <row r="932">
          <cell r="B932" t="str">
            <v>CN3JO-WTI Cushing MAvg</v>
          </cell>
          <cell r="C932" t="str">
            <v>CN3JO</v>
          </cell>
        </row>
        <row r="933">
          <cell r="B933" t="str">
            <v>CN3JP-Americas Crude Marker (ACM)</v>
          </cell>
          <cell r="C933" t="str">
            <v>CN3JP</v>
          </cell>
        </row>
        <row r="934">
          <cell r="B934" t="str">
            <v>CN3JY-Brent vs WTI</v>
          </cell>
          <cell r="C934" t="str">
            <v>CN3JY</v>
          </cell>
        </row>
        <row r="935">
          <cell r="B935" t="str">
            <v>CN3JZ-Cash BFOE London 10:30</v>
          </cell>
          <cell r="C935" t="str">
            <v>CN3JZ</v>
          </cell>
        </row>
        <row r="936">
          <cell r="B936" t="str">
            <v>CN3K0-Cash BFOE London 12:30</v>
          </cell>
          <cell r="C936" t="str">
            <v>CN3K0</v>
          </cell>
        </row>
        <row r="937">
          <cell r="B937" t="str">
            <v>CN3K1-Cash BFOE London 14:30</v>
          </cell>
          <cell r="C937" t="str">
            <v>CN3K1</v>
          </cell>
        </row>
        <row r="938">
          <cell r="B938" t="str">
            <v>CN3K2-Cash BFOE London 19:30</v>
          </cell>
          <cell r="C938" t="str">
            <v>CN3K2</v>
          </cell>
        </row>
        <row r="939">
          <cell r="B939" t="str">
            <v>CN3K3-CBOT Chicago SRW Wheat Settlement</v>
          </cell>
          <cell r="C939" t="str">
            <v>CN3K3</v>
          </cell>
        </row>
        <row r="940">
          <cell r="B940" t="str">
            <v>CN3K4-CBOT Corn Houston MOC</v>
          </cell>
          <cell r="C940" t="str">
            <v>CN3K4</v>
          </cell>
        </row>
        <row r="941">
          <cell r="B941" t="str">
            <v>CN3K5-CBOT KC HRW Wheat Settlement</v>
          </cell>
          <cell r="C941" t="str">
            <v>CN3K5</v>
          </cell>
        </row>
        <row r="942">
          <cell r="B942" t="str">
            <v>CN3K7-CBOT Soybean Meal Settle</v>
          </cell>
          <cell r="C942" t="str">
            <v>CN3K7</v>
          </cell>
        </row>
        <row r="943">
          <cell r="B943" t="str">
            <v>CN3K8-CBOT Soybean Oil Houston</v>
          </cell>
          <cell r="C943" t="str">
            <v>CN3K8</v>
          </cell>
        </row>
        <row r="944">
          <cell r="B944" t="str">
            <v>CN3K9-CBOT Soybean Settle</v>
          </cell>
          <cell r="C944" t="str">
            <v>CN3K9</v>
          </cell>
        </row>
        <row r="945">
          <cell r="B945" t="str">
            <v>CN3KI-Light Houston Sweet</v>
          </cell>
          <cell r="C945" t="str">
            <v>CN3KI</v>
          </cell>
        </row>
        <row r="946">
          <cell r="B946" t="str">
            <v>CN3KJ-Light Louisiana Sweet (LLS) at Asia close</v>
          </cell>
          <cell r="C946" t="str">
            <v>CN3KJ</v>
          </cell>
        </row>
        <row r="947">
          <cell r="B947" t="str">
            <v>CN3KK-Light Louisiana Sweet (LLS) at Asia close MAvg</v>
          </cell>
          <cell r="C947" t="str">
            <v>CN3KK</v>
          </cell>
        </row>
        <row r="948">
          <cell r="B948" t="str">
            <v>CN3KN-LLS St James</v>
          </cell>
          <cell r="C948" t="str">
            <v>CN3KN</v>
          </cell>
        </row>
        <row r="949">
          <cell r="B949" t="str">
            <v>CN3KO-LOOP Sour Crude</v>
          </cell>
          <cell r="C949" t="str">
            <v>CN3KO</v>
          </cell>
        </row>
        <row r="950">
          <cell r="B950" t="str">
            <v>CN3KP-LOOP Sour Crude at Asia close</v>
          </cell>
          <cell r="C950" t="str">
            <v>CN3KP</v>
          </cell>
        </row>
        <row r="951">
          <cell r="B951" t="str">
            <v>CN3KQ-LOOP Sour Crude at Asia close MAvg</v>
          </cell>
          <cell r="C951" t="str">
            <v>CN3KQ</v>
          </cell>
        </row>
        <row r="952">
          <cell r="B952" t="str">
            <v>CN3KR-LOOP Sour Crude vs Mars</v>
          </cell>
          <cell r="C952" t="str">
            <v>CN3KR</v>
          </cell>
        </row>
        <row r="953">
          <cell r="B953" t="str">
            <v>CN3KS-LOOP Sour Crude vs Mars MAvg</v>
          </cell>
          <cell r="C953" t="str">
            <v>CN3KS</v>
          </cell>
        </row>
        <row r="954">
          <cell r="B954" t="str">
            <v>CN3KT-LOOP Sour Crude vs WTI</v>
          </cell>
          <cell r="C954" t="str">
            <v>CN3KT</v>
          </cell>
        </row>
        <row r="955">
          <cell r="B955" t="str">
            <v>CN3KU-LOOP Sour Crude vs WTI MAvg</v>
          </cell>
          <cell r="C955" t="str">
            <v>CN3KU</v>
          </cell>
        </row>
        <row r="956">
          <cell r="B956" t="str">
            <v>CN3KX-Mars</v>
          </cell>
          <cell r="C956" t="str">
            <v>CN3KX</v>
          </cell>
        </row>
        <row r="957">
          <cell r="B957" t="str">
            <v>CN3KY-Mars vs WTI</v>
          </cell>
          <cell r="C957" t="str">
            <v>CN3KY</v>
          </cell>
        </row>
        <row r="958">
          <cell r="B958" t="str">
            <v>CN3KZ-Mars vs WTI London</v>
          </cell>
          <cell r="C958" t="str">
            <v>CN3KZ</v>
          </cell>
        </row>
        <row r="959">
          <cell r="B959" t="str">
            <v>CN3L2-Methanol FOB USG $/mt</v>
          </cell>
          <cell r="C959" t="str">
            <v>CN3L2</v>
          </cell>
        </row>
        <row r="960">
          <cell r="B960" t="str">
            <v>CN3L3-Methanol FOB USG cts/gal</v>
          </cell>
          <cell r="C960" t="str">
            <v>CN3L3</v>
          </cell>
        </row>
        <row r="961">
          <cell r="B961" t="str">
            <v>CN3L6-MGEX HRSW Settlement</v>
          </cell>
          <cell r="C961" t="str">
            <v>CN3L6</v>
          </cell>
        </row>
        <row r="962">
          <cell r="B962" t="str">
            <v>CN3LD-NYMEX NY ULSD vs Light Sweet Crude Diff</v>
          </cell>
          <cell r="C962" t="str">
            <v>CN3LD</v>
          </cell>
        </row>
        <row r="963">
          <cell r="B963" t="str">
            <v>CN3LE-NYMEX RBOB vs Light Sweet Crude Diff</v>
          </cell>
          <cell r="C963" t="str">
            <v>CN3LE</v>
          </cell>
        </row>
        <row r="964">
          <cell r="B964" t="str">
            <v>CN3LF-NYMEX RBOB vs NY ULSD Diff</v>
          </cell>
          <cell r="C964" t="str">
            <v>CN3LF</v>
          </cell>
        </row>
        <row r="965">
          <cell r="B965" t="str">
            <v>CN3LG-NYMEX WTI Settle vs Platts 14:30 ET Fut Assmt</v>
          </cell>
          <cell r="C965" t="str">
            <v>CN3LG</v>
          </cell>
        </row>
        <row r="966">
          <cell r="B966" t="str">
            <v>CN3LM-Raw Sugar Brazil VHP CS</v>
          </cell>
          <cell r="C966" t="str">
            <v>CN3LM</v>
          </cell>
        </row>
        <row r="967">
          <cell r="B967" t="str">
            <v>CN3LN-Raw Sugar Thai HiPol Points Premium</v>
          </cell>
          <cell r="C967" t="str">
            <v>CN3LN</v>
          </cell>
        </row>
        <row r="968">
          <cell r="B968" t="str">
            <v>CN3M3-White Sugar Containers Brazil 150 Premium</v>
          </cell>
          <cell r="C968" t="str">
            <v>CN3M3</v>
          </cell>
        </row>
        <row r="969">
          <cell r="B969" t="str">
            <v>CN3M5-WTI 16:30 London</v>
          </cell>
          <cell r="C969" t="str">
            <v>CN3M5</v>
          </cell>
        </row>
        <row r="970">
          <cell r="B970" t="str">
            <v>CN3M6-WTI Cushing PAvg</v>
          </cell>
          <cell r="C970" t="str">
            <v>CN3M6</v>
          </cell>
        </row>
        <row r="971">
          <cell r="B971" t="str">
            <v>CN3M7-WTI EFP</v>
          </cell>
          <cell r="C971" t="str">
            <v>CN3M7</v>
          </cell>
        </row>
        <row r="972">
          <cell r="B972" t="str">
            <v>CN3M8-WTI EFP PAvg</v>
          </cell>
          <cell r="C972" t="str">
            <v>CN3M8</v>
          </cell>
        </row>
        <row r="973">
          <cell r="B973" t="str">
            <v>CN3M9-WTI MEH</v>
          </cell>
          <cell r="C973" t="str">
            <v>CN3M9</v>
          </cell>
        </row>
        <row r="974">
          <cell r="B974" t="str">
            <v>CN3MA-WTI MEH at Asia close</v>
          </cell>
          <cell r="C974" t="str">
            <v>CN3MA</v>
          </cell>
        </row>
        <row r="975">
          <cell r="B975" t="str">
            <v>CN3MB-WTI MEH at Asia close MAvg</v>
          </cell>
          <cell r="C975" t="str">
            <v>CN3MB</v>
          </cell>
        </row>
        <row r="976">
          <cell r="B976" t="str">
            <v>CN3MG-WTI EFP London</v>
          </cell>
          <cell r="C976" t="str">
            <v>CN3MG</v>
          </cell>
        </row>
        <row r="977">
          <cell r="B977" t="str">
            <v>CN3MH-WTI vs Brent</v>
          </cell>
          <cell r="C977" t="str">
            <v>CN3MH</v>
          </cell>
        </row>
        <row r="978">
          <cell r="B978" t="str">
            <v>CN3MI-WTI vs Dubai</v>
          </cell>
          <cell r="C978" t="str">
            <v>CN3MI</v>
          </cell>
        </row>
        <row r="979">
          <cell r="B979" t="str">
            <v>CN3MJ-WTI Spore</v>
          </cell>
          <cell r="C979" t="str">
            <v>CN3MJ</v>
          </cell>
        </row>
        <row r="980">
          <cell r="B980" t="str">
            <v>CN3MK-Propane Edmonton M2M Financial (usc/gal)</v>
          </cell>
          <cell r="C980" t="str">
            <v>CN3MK</v>
          </cell>
        </row>
        <row r="981">
          <cell r="B981" t="str">
            <v>CN3ML-Propane Edmonton M2M Financial (C$/Cu m)</v>
          </cell>
          <cell r="C981" t="str">
            <v>CN3ML</v>
          </cell>
        </row>
        <row r="982">
          <cell r="B982" t="str">
            <v>CN3MP-EEX NL Base Future Volume</v>
          </cell>
          <cell r="C982" t="str">
            <v>CN3MP</v>
          </cell>
        </row>
        <row r="983">
          <cell r="B983" t="str">
            <v>CN3MQ-EEX NL Base Future</v>
          </cell>
          <cell r="C983" t="str">
            <v>CN3MQ</v>
          </cell>
        </row>
        <row r="984">
          <cell r="B984" t="str">
            <v>CN3N4-FO 3.5%S CIF vs FOB Med Cargo Financial</v>
          </cell>
          <cell r="C984" t="str">
            <v>CN3N4</v>
          </cell>
        </row>
        <row r="985">
          <cell r="B985" t="str">
            <v>CN3N5-FO 1%S FOB Med Cargo vs FO 1%S FOB NWE Cargo Financial</v>
          </cell>
          <cell r="C985" t="str">
            <v>CN3N5</v>
          </cell>
        </row>
        <row r="986">
          <cell r="B986" t="str">
            <v>CN3NB-ANS Financial</v>
          </cell>
          <cell r="C986" t="str">
            <v>CN3NB</v>
          </cell>
        </row>
        <row r="987">
          <cell r="B987" t="str">
            <v>CN3NC-WCS Hardisty Financial</v>
          </cell>
          <cell r="C987" t="str">
            <v>CN3NC</v>
          </cell>
        </row>
        <row r="988">
          <cell r="B988" t="str">
            <v>CN3ND-WCS Ex-Cushing Financial</v>
          </cell>
          <cell r="C988" t="str">
            <v>CN3ND</v>
          </cell>
        </row>
        <row r="989">
          <cell r="B989" t="str">
            <v>CN3NE-FO 1%S CIF MED Cargo Brent Crack Financial</v>
          </cell>
          <cell r="C989" t="str">
            <v>CN3NE</v>
          </cell>
        </row>
        <row r="990">
          <cell r="B990" t="str">
            <v>CN3NF-FO 1%S CIF NWE Cargo Brent Crack Financial</v>
          </cell>
          <cell r="C990" t="str">
            <v>CN3NF</v>
          </cell>
        </row>
        <row r="991">
          <cell r="B991" t="str">
            <v>CN3NG-FO 3.5%S CIF NWE Cargo Brent Crack Financial</v>
          </cell>
          <cell r="C991" t="str">
            <v>CN3NG</v>
          </cell>
        </row>
        <row r="992">
          <cell r="B992" t="str">
            <v>CN3NH-FO 3.5%S FOB NWE Cargo Brent Crack Financial</v>
          </cell>
          <cell r="C992" t="str">
            <v>CN3NH</v>
          </cell>
        </row>
        <row r="993">
          <cell r="B993" t="str">
            <v>CN3NI-Gasoil 0.1%S FOB Med Cargo Brent Crack Financial</v>
          </cell>
          <cell r="C993" t="str">
            <v>CN3NI</v>
          </cell>
        </row>
        <row r="994">
          <cell r="B994" t="str">
            <v>CN3NJ-Gasoline Prem Unleaded 10ppm CIF MED Cargo Brent Crack Financial</v>
          </cell>
          <cell r="C994" t="str">
            <v>CN3NJ</v>
          </cell>
        </row>
        <row r="995">
          <cell r="B995" t="str">
            <v>CN3NK-Jet CIF Med Cargo Brent Crack Financial</v>
          </cell>
          <cell r="C995" t="str">
            <v>CN3NK</v>
          </cell>
        </row>
        <row r="996">
          <cell r="B996" t="str">
            <v>CN3NL-Jet FOB MED Cargo Brent Crack Financial</v>
          </cell>
          <cell r="C996" t="str">
            <v>CN3NL</v>
          </cell>
        </row>
        <row r="997">
          <cell r="B997" t="str">
            <v>CN3NM-Jet FOB NWE Cargo Brent Crack Financial</v>
          </cell>
          <cell r="C997" t="str">
            <v>CN3NM</v>
          </cell>
        </row>
        <row r="998">
          <cell r="B998" t="str">
            <v>CN3NN-Naphtha CIF Med Cargo Brent Crack Financial</v>
          </cell>
          <cell r="C998" t="str">
            <v>CN3NN</v>
          </cell>
        </row>
        <row r="999">
          <cell r="B999" t="str">
            <v>CN3NO-Naphtha FOB Med Cargo Brent Crack Financial</v>
          </cell>
          <cell r="C999" t="str">
            <v>CN3NO</v>
          </cell>
        </row>
        <row r="1000">
          <cell r="B1000" t="str">
            <v>CN3NP-Naphtha FOB Rdam Barge Brent Crack Financial</v>
          </cell>
          <cell r="C1000" t="str">
            <v>CN3NP</v>
          </cell>
        </row>
        <row r="1001">
          <cell r="B1001" t="str">
            <v>CN3NQ-ULSD 10ppmS FOB MED Cargo Brent Crack Financial</v>
          </cell>
          <cell r="C1001" t="str">
            <v>CN3NQ</v>
          </cell>
        </row>
        <row r="1002">
          <cell r="B1002" t="str">
            <v>CN3NR-VGO 2.0%S CIF NWE Brent Crack Financial</v>
          </cell>
          <cell r="C1002" t="str">
            <v>CN3NR</v>
          </cell>
        </row>
        <row r="1003">
          <cell r="B1003" t="str">
            <v>CN3NS-VGO 2.0%S FOB Rdam barge Brent Crack Financial</v>
          </cell>
          <cell r="C1003" t="str">
            <v>CN3NS</v>
          </cell>
        </row>
        <row r="1004">
          <cell r="B1004" t="str">
            <v>CN3NT-Aluminum MW US Transaction Premium Financial $/mt</v>
          </cell>
          <cell r="C1004" t="str">
            <v>CN3NT</v>
          </cell>
        </row>
        <row r="1005">
          <cell r="B1005" t="str">
            <v>CN3NU-Aluminum MW US Transaction Premium Financial cts/lb</v>
          </cell>
          <cell r="C1005" t="str">
            <v>CN3NU</v>
          </cell>
        </row>
        <row r="1006">
          <cell r="B1006" t="str">
            <v>CN4A0-FO 3.5% FOB Med Cargo Inter-Quarter Spread</v>
          </cell>
          <cell r="C1006" t="str">
            <v>CN4A0</v>
          </cell>
        </row>
        <row r="1007">
          <cell r="B1007" t="str">
            <v>CN4A1-FO 3.5% FOB Med Cargo Inter-Year Spread</v>
          </cell>
          <cell r="C1007" t="str">
            <v>CN4A1</v>
          </cell>
        </row>
        <row r="1008">
          <cell r="B1008" t="str">
            <v>CN4A2-FO 3.5% FOB Rdam Barge Brent Crack Intermonth Spread</v>
          </cell>
          <cell r="C1008" t="str">
            <v>CN4A2</v>
          </cell>
        </row>
        <row r="1009">
          <cell r="B1009" t="str">
            <v>CN4A3-FO 3.5% FOB Rdam Barge Brent Crack Inter-Quarter Spread</v>
          </cell>
          <cell r="C1009" t="str">
            <v>CN4A3</v>
          </cell>
        </row>
        <row r="1010">
          <cell r="B1010" t="str">
            <v>CN4A4-FO 3.5% FOB Rdam Barge Brent Crack Inter-Year Spread</v>
          </cell>
          <cell r="C1010" t="str">
            <v>CN4A4</v>
          </cell>
        </row>
        <row r="1011">
          <cell r="B1011" t="str">
            <v>CN4A5-FO 3.5% FOB Rdam Barge Inter-Quarter Spread</v>
          </cell>
          <cell r="C1011" t="str">
            <v>CN4A5</v>
          </cell>
        </row>
        <row r="1012">
          <cell r="B1012" t="str">
            <v>CN4A6-FO 3.5% FOB Rdam Barge Inter-Year Spread</v>
          </cell>
          <cell r="C1012" t="str">
            <v>CN4A6</v>
          </cell>
        </row>
        <row r="1013">
          <cell r="B1013" t="str">
            <v>CN4A7-Marine Fuel 0.5% FOB Rdam Barge Brent Crack Intermonth Spread</v>
          </cell>
          <cell r="C1013" t="str">
            <v>CN4A7</v>
          </cell>
        </row>
        <row r="1014">
          <cell r="B1014" t="str">
            <v>CN4A8-Marine Fuel 0.5% FOB Rdam Barge Brent Crack Inter-Quarter Spread</v>
          </cell>
          <cell r="C1014" t="str">
            <v>CN4A8</v>
          </cell>
        </row>
        <row r="1015">
          <cell r="B1015" t="str">
            <v>CN4A9-Marine Fuel 0.5% FOB Rdam Barge Brent Crack Inter-Year Spread</v>
          </cell>
          <cell r="C1015" t="str">
            <v>CN4A9</v>
          </cell>
        </row>
        <row r="1016">
          <cell r="B1016" t="str">
            <v>CN4AA-Marine Fuel 0.5% FOB Rdam Barge Inter-Quarter Spread</v>
          </cell>
          <cell r="C1016" t="str">
            <v>CN4AA</v>
          </cell>
        </row>
        <row r="1017">
          <cell r="B1017" t="str">
            <v>CN4AB-Marine Fuel 0.5% FOB Rdam Barge Inter-Year</v>
          </cell>
          <cell r="C1017" t="str">
            <v>CN4AB</v>
          </cell>
        </row>
        <row r="1018">
          <cell r="B1018" t="str">
            <v>CN4AT-Urals CIF NWE M2M Financial</v>
          </cell>
          <cell r="C1018" t="str">
            <v>CN4AT</v>
          </cell>
        </row>
        <row r="1019">
          <cell r="B1019" t="str">
            <v xml:space="preserve">CN4AU-Urals NWE CFD M2M </v>
          </cell>
          <cell r="C1019" t="str">
            <v>CN4AU</v>
          </cell>
        </row>
        <row r="1020">
          <cell r="B1020" t="str">
            <v>CN4AV-Urals CIF Med M2M Financial</v>
          </cell>
          <cell r="C1020" t="str">
            <v>CN4AV</v>
          </cell>
        </row>
        <row r="1021">
          <cell r="B1021" t="str">
            <v>CN4AW-Urals Med CFD M2M</v>
          </cell>
          <cell r="C1021" t="str">
            <v>CN4AW</v>
          </cell>
        </row>
        <row r="1022">
          <cell r="B1022" t="str">
            <v>CNANL-Urals CIF Rdam CFD</v>
          </cell>
          <cell r="C1022" t="str">
            <v>CNANL</v>
          </cell>
        </row>
        <row r="1023">
          <cell r="B1023" t="str">
            <v>CNMAF-Marine Fuel 0.5% FOB Rotterdam Barge Financial</v>
          </cell>
          <cell r="C1023" t="str">
            <v>CNMAF</v>
          </cell>
        </row>
        <row r="1024">
          <cell r="B1024" t="str">
            <v>CNMBF-Marine Fuel 0.5% FOB Rotterdam Barge vs FO 3.5% FOB Rotterdam Barge Financial</v>
          </cell>
          <cell r="C1024" t="str">
            <v>CNMBF</v>
          </cell>
        </row>
        <row r="1025">
          <cell r="B1025" t="str">
            <v>CNMCF-Marine Fuel 0.5% FOB Rotterdam Barge vs Brent 1st Line Financial</v>
          </cell>
          <cell r="C1025" t="str">
            <v>CNMCF</v>
          </cell>
        </row>
        <row r="1026">
          <cell r="B1026" t="str">
            <v>R2KWU-Ethanol Swaps NWE Eur/CBM MAvg</v>
          </cell>
          <cell r="C1026" t="str">
            <v>R2KWU</v>
          </cell>
        </row>
        <row r="1027">
          <cell r="B1027" t="str">
            <v>RRGIK-Ethanol Swaps NWE Eur/CBM WAvg</v>
          </cell>
          <cell r="C1027" t="str">
            <v>RRGIK</v>
          </cell>
        </row>
        <row r="1028">
          <cell r="B1028" t="str">
            <v/>
          </cell>
        </row>
        <row r="1029">
          <cell r="B1029" t="str">
            <v/>
          </cell>
        </row>
        <row r="1030">
          <cell r="B1030" t="str">
            <v/>
          </cell>
        </row>
        <row r="1031">
          <cell r="B1031" t="str">
            <v/>
          </cell>
        </row>
        <row r="1032">
          <cell r="B1032" t="str">
            <v/>
          </cell>
        </row>
        <row r="1033">
          <cell r="B1033" t="str">
            <v/>
          </cell>
        </row>
        <row r="1034">
          <cell r="B1034" t="str">
            <v/>
          </cell>
        </row>
        <row r="1035">
          <cell r="B1035" t="str">
            <v/>
          </cell>
        </row>
        <row r="1036">
          <cell r="B1036" t="str">
            <v/>
          </cell>
        </row>
        <row r="1037">
          <cell r="B1037" t="str">
            <v/>
          </cell>
        </row>
        <row r="1038">
          <cell r="B1038" t="str">
            <v/>
          </cell>
        </row>
        <row r="1039">
          <cell r="B1039" t="str">
            <v/>
          </cell>
        </row>
        <row r="1040">
          <cell r="B1040" t="str">
            <v/>
          </cell>
        </row>
        <row r="1041">
          <cell r="B1041" t="str">
            <v/>
          </cell>
        </row>
        <row r="1042">
          <cell r="B1042" t="str">
            <v/>
          </cell>
        </row>
        <row r="1043">
          <cell r="B1043" t="str">
            <v/>
          </cell>
        </row>
        <row r="1044">
          <cell r="B1044" t="str">
            <v/>
          </cell>
        </row>
        <row r="1045">
          <cell r="B1045" t="str">
            <v/>
          </cell>
        </row>
        <row r="1046">
          <cell r="B1046" t="str">
            <v/>
          </cell>
        </row>
        <row r="1047">
          <cell r="B1047" t="str">
            <v/>
          </cell>
        </row>
        <row r="1048">
          <cell r="B1048" t="str">
            <v/>
          </cell>
        </row>
        <row r="1049">
          <cell r="B1049" t="str">
            <v/>
          </cell>
        </row>
        <row r="1050">
          <cell r="B1050" t="str">
            <v/>
          </cell>
        </row>
        <row r="1051">
          <cell r="B1051" t="str">
            <v/>
          </cell>
        </row>
        <row r="1052">
          <cell r="B1052" t="str">
            <v/>
          </cell>
        </row>
        <row r="1053">
          <cell r="B1053" t="str">
            <v/>
          </cell>
        </row>
        <row r="1054">
          <cell r="B1054" t="str">
            <v/>
          </cell>
        </row>
        <row r="1055">
          <cell r="B1055" t="str">
            <v/>
          </cell>
        </row>
        <row r="1056">
          <cell r="B1056" t="str">
            <v/>
          </cell>
        </row>
        <row r="1057">
          <cell r="B1057" t="str">
            <v/>
          </cell>
        </row>
        <row r="1058">
          <cell r="B1058" t="str">
            <v/>
          </cell>
        </row>
        <row r="1059">
          <cell r="B1059" t="str">
            <v/>
          </cell>
        </row>
        <row r="1060">
          <cell r="B1060" t="str">
            <v/>
          </cell>
        </row>
        <row r="1061">
          <cell r="B1061" t="str">
            <v/>
          </cell>
        </row>
        <row r="1062">
          <cell r="B1062" t="str">
            <v/>
          </cell>
        </row>
        <row r="1063">
          <cell r="B1063" t="str">
            <v/>
          </cell>
        </row>
        <row r="1064">
          <cell r="B1064" t="str">
            <v/>
          </cell>
        </row>
        <row r="1065">
          <cell r="B1065" t="str">
            <v/>
          </cell>
        </row>
        <row r="1066">
          <cell r="B1066" t="str">
            <v/>
          </cell>
        </row>
        <row r="1067">
          <cell r="B1067" t="str">
            <v/>
          </cell>
        </row>
        <row r="1068">
          <cell r="B1068" t="str">
            <v/>
          </cell>
        </row>
        <row r="1069">
          <cell r="B1069" t="str">
            <v/>
          </cell>
        </row>
        <row r="1070">
          <cell r="B1070" t="str">
            <v/>
          </cell>
        </row>
        <row r="1071">
          <cell r="B1071" t="str">
            <v/>
          </cell>
        </row>
        <row r="1072">
          <cell r="B1072" t="str">
            <v/>
          </cell>
        </row>
        <row r="1073">
          <cell r="B1073" t="str">
            <v/>
          </cell>
        </row>
        <row r="1074">
          <cell r="B1074" t="str">
            <v/>
          </cell>
        </row>
        <row r="1075">
          <cell r="B1075" t="str">
            <v/>
          </cell>
        </row>
        <row r="1076">
          <cell r="B1076" t="str">
            <v/>
          </cell>
        </row>
        <row r="1077">
          <cell r="B1077" t="str">
            <v/>
          </cell>
        </row>
        <row r="1078">
          <cell r="B1078" t="str">
            <v/>
          </cell>
        </row>
        <row r="1079">
          <cell r="B1079" t="str">
            <v/>
          </cell>
        </row>
        <row r="1080">
          <cell r="B1080" t="str">
            <v/>
          </cell>
        </row>
        <row r="1081">
          <cell r="B1081" t="str">
            <v/>
          </cell>
        </row>
        <row r="1082">
          <cell r="B1082" t="str">
            <v/>
          </cell>
        </row>
        <row r="1083">
          <cell r="B1083" t="str">
            <v/>
          </cell>
        </row>
        <row r="1084">
          <cell r="B1084" t="str">
            <v/>
          </cell>
        </row>
        <row r="1085">
          <cell r="B1085" t="str">
            <v/>
          </cell>
        </row>
        <row r="1086">
          <cell r="B1086" t="str">
            <v/>
          </cell>
        </row>
        <row r="1087">
          <cell r="B1087" t="str">
            <v/>
          </cell>
        </row>
        <row r="1088">
          <cell r="B1088" t="str">
            <v/>
          </cell>
        </row>
        <row r="1089">
          <cell r="B1089" t="str">
            <v/>
          </cell>
        </row>
        <row r="1090">
          <cell r="B1090" t="str">
            <v/>
          </cell>
        </row>
        <row r="1091">
          <cell r="B1091" t="str">
            <v/>
          </cell>
        </row>
        <row r="1092">
          <cell r="B1092" t="str">
            <v/>
          </cell>
        </row>
        <row r="1093">
          <cell r="B1093" t="str">
            <v/>
          </cell>
        </row>
        <row r="1094">
          <cell r="B1094" t="str">
            <v/>
          </cell>
        </row>
        <row r="1095">
          <cell r="B1095" t="str">
            <v/>
          </cell>
        </row>
        <row r="1096">
          <cell r="B1096" t="str">
            <v/>
          </cell>
        </row>
        <row r="1097">
          <cell r="B1097" t="str">
            <v/>
          </cell>
        </row>
        <row r="1098">
          <cell r="B1098" t="str">
            <v/>
          </cell>
        </row>
        <row r="1099">
          <cell r="B1099" t="str">
            <v/>
          </cell>
        </row>
        <row r="1100">
          <cell r="B1100" t="str">
            <v/>
          </cell>
        </row>
        <row r="1101">
          <cell r="B1101" t="str">
            <v/>
          </cell>
        </row>
        <row r="1102">
          <cell r="B1102" t="str">
            <v/>
          </cell>
        </row>
        <row r="1103">
          <cell r="B1103" t="str">
            <v/>
          </cell>
        </row>
        <row r="1104">
          <cell r="B1104" t="str">
            <v/>
          </cell>
        </row>
        <row r="1105">
          <cell r="B1105" t="str">
            <v/>
          </cell>
        </row>
        <row r="1106">
          <cell r="B1106" t="str">
            <v/>
          </cell>
        </row>
        <row r="1107">
          <cell r="B1107" t="str">
            <v/>
          </cell>
        </row>
        <row r="1108">
          <cell r="B1108" t="str">
            <v/>
          </cell>
        </row>
        <row r="1109">
          <cell r="B1109" t="str">
            <v/>
          </cell>
        </row>
        <row r="1110">
          <cell r="B1110" t="str">
            <v/>
          </cell>
        </row>
        <row r="1111">
          <cell r="B1111" t="str">
            <v/>
          </cell>
        </row>
        <row r="1112">
          <cell r="B1112" t="str">
            <v/>
          </cell>
        </row>
        <row r="1113">
          <cell r="B1113" t="str">
            <v/>
          </cell>
        </row>
        <row r="1114">
          <cell r="B1114" t="str">
            <v/>
          </cell>
        </row>
        <row r="1115">
          <cell r="B1115" t="str">
            <v/>
          </cell>
        </row>
        <row r="1116">
          <cell r="B1116" t="str">
            <v/>
          </cell>
        </row>
        <row r="1117">
          <cell r="B1117" t="str">
            <v/>
          </cell>
        </row>
        <row r="1118">
          <cell r="B1118" t="str">
            <v/>
          </cell>
        </row>
        <row r="1119">
          <cell r="B1119" t="str">
            <v/>
          </cell>
        </row>
        <row r="1120">
          <cell r="B1120" t="str">
            <v/>
          </cell>
        </row>
        <row r="1121">
          <cell r="B1121" t="str">
            <v/>
          </cell>
        </row>
        <row r="1122">
          <cell r="B1122" t="str">
            <v/>
          </cell>
        </row>
        <row r="1123">
          <cell r="B1123" t="str">
            <v/>
          </cell>
        </row>
        <row r="1124">
          <cell r="B1124" t="str">
            <v/>
          </cell>
        </row>
        <row r="1125">
          <cell r="B1125" t="str">
            <v/>
          </cell>
        </row>
        <row r="1126">
          <cell r="B1126" t="str">
            <v/>
          </cell>
        </row>
        <row r="1127">
          <cell r="B1127" t="str">
            <v/>
          </cell>
        </row>
        <row r="1128">
          <cell r="B1128" t="str">
            <v/>
          </cell>
        </row>
        <row r="1129">
          <cell r="B1129" t="str">
            <v/>
          </cell>
        </row>
        <row r="1130">
          <cell r="B1130" t="str">
            <v/>
          </cell>
        </row>
        <row r="1131">
          <cell r="B1131" t="str">
            <v/>
          </cell>
        </row>
        <row r="1132">
          <cell r="B1132" t="str">
            <v/>
          </cell>
        </row>
        <row r="1133">
          <cell r="B1133" t="str">
            <v/>
          </cell>
        </row>
        <row r="1134">
          <cell r="B1134" t="str">
            <v/>
          </cell>
        </row>
        <row r="1135">
          <cell r="B1135" t="str">
            <v/>
          </cell>
        </row>
        <row r="1136">
          <cell r="B1136" t="str">
            <v/>
          </cell>
        </row>
        <row r="1137">
          <cell r="B1137" t="str">
            <v/>
          </cell>
        </row>
        <row r="1138">
          <cell r="B1138" t="str">
            <v/>
          </cell>
        </row>
        <row r="1139">
          <cell r="B1139" t="str">
            <v/>
          </cell>
        </row>
        <row r="1140">
          <cell r="B1140" t="str">
            <v/>
          </cell>
        </row>
        <row r="1141">
          <cell r="B1141" t="str">
            <v/>
          </cell>
        </row>
        <row r="1142">
          <cell r="B1142" t="str">
            <v/>
          </cell>
        </row>
        <row r="1143">
          <cell r="B1143" t="str">
            <v/>
          </cell>
        </row>
        <row r="1144">
          <cell r="B1144" t="str">
            <v/>
          </cell>
        </row>
        <row r="1145">
          <cell r="B1145" t="str">
            <v/>
          </cell>
        </row>
        <row r="1146">
          <cell r="B1146" t="str">
            <v/>
          </cell>
        </row>
        <row r="1147">
          <cell r="B1147" t="str">
            <v/>
          </cell>
        </row>
        <row r="1148">
          <cell r="B1148" t="str">
            <v/>
          </cell>
        </row>
        <row r="1149">
          <cell r="B1149" t="str">
            <v/>
          </cell>
        </row>
        <row r="1150">
          <cell r="B1150" t="str">
            <v/>
          </cell>
        </row>
        <row r="1151">
          <cell r="B1151" t="str">
            <v/>
          </cell>
        </row>
        <row r="1152">
          <cell r="B1152" t="str">
            <v/>
          </cell>
        </row>
        <row r="1153">
          <cell r="B1153" t="str">
            <v/>
          </cell>
        </row>
        <row r="1154">
          <cell r="B1154" t="str">
            <v/>
          </cell>
        </row>
        <row r="1155">
          <cell r="B1155" t="str">
            <v/>
          </cell>
        </row>
        <row r="1156">
          <cell r="B1156" t="str">
            <v/>
          </cell>
        </row>
        <row r="1157">
          <cell r="B1157" t="str">
            <v/>
          </cell>
        </row>
        <row r="1158">
          <cell r="B1158" t="str">
            <v/>
          </cell>
        </row>
        <row r="1159">
          <cell r="B1159" t="str">
            <v/>
          </cell>
        </row>
        <row r="1160">
          <cell r="B1160" t="str">
            <v/>
          </cell>
        </row>
        <row r="1161">
          <cell r="B1161" t="str">
            <v/>
          </cell>
        </row>
        <row r="1162">
          <cell r="B1162" t="str">
            <v/>
          </cell>
        </row>
        <row r="1163">
          <cell r="B1163" t="str">
            <v/>
          </cell>
        </row>
        <row r="1164">
          <cell r="B1164" t="str">
            <v/>
          </cell>
        </row>
        <row r="1165">
          <cell r="B1165" t="str">
            <v/>
          </cell>
        </row>
        <row r="1166">
          <cell r="B1166" t="str">
            <v/>
          </cell>
        </row>
        <row r="1167">
          <cell r="B1167" t="str">
            <v/>
          </cell>
        </row>
        <row r="1168">
          <cell r="B1168" t="str">
            <v/>
          </cell>
        </row>
        <row r="1169">
          <cell r="B1169" t="str">
            <v/>
          </cell>
        </row>
        <row r="1170">
          <cell r="B1170" t="str">
            <v/>
          </cell>
        </row>
        <row r="1171">
          <cell r="B1171" t="str">
            <v/>
          </cell>
        </row>
        <row r="1172">
          <cell r="B1172" t="str">
            <v/>
          </cell>
        </row>
        <row r="1173">
          <cell r="B1173" t="str">
            <v/>
          </cell>
        </row>
        <row r="1174">
          <cell r="B1174" t="str">
            <v/>
          </cell>
        </row>
        <row r="1175">
          <cell r="B1175" t="str">
            <v/>
          </cell>
        </row>
        <row r="1176">
          <cell r="B1176" t="str">
            <v/>
          </cell>
        </row>
        <row r="1177">
          <cell r="B1177" t="str">
            <v/>
          </cell>
        </row>
        <row r="1178">
          <cell r="B1178" t="str">
            <v/>
          </cell>
        </row>
        <row r="1179">
          <cell r="B1179" t="str">
            <v/>
          </cell>
        </row>
        <row r="1180">
          <cell r="B1180" t="str">
            <v/>
          </cell>
        </row>
        <row r="1181">
          <cell r="B1181" t="str">
            <v/>
          </cell>
        </row>
        <row r="1182">
          <cell r="B1182" t="str">
            <v/>
          </cell>
        </row>
        <row r="1183">
          <cell r="B1183" t="str">
            <v/>
          </cell>
        </row>
        <row r="1184">
          <cell r="B1184" t="str">
            <v/>
          </cell>
        </row>
        <row r="1185">
          <cell r="B1185" t="str">
            <v/>
          </cell>
        </row>
        <row r="1186">
          <cell r="B1186" t="str">
            <v/>
          </cell>
        </row>
        <row r="1187">
          <cell r="B1187" t="str">
            <v/>
          </cell>
        </row>
        <row r="1188">
          <cell r="B1188" t="str">
            <v/>
          </cell>
        </row>
        <row r="1189">
          <cell r="B1189" t="str">
            <v/>
          </cell>
        </row>
        <row r="1190">
          <cell r="B1190" t="str">
            <v/>
          </cell>
        </row>
        <row r="1191">
          <cell r="B1191" t="str">
            <v/>
          </cell>
        </row>
        <row r="1192">
          <cell r="B1192" t="str">
            <v/>
          </cell>
        </row>
        <row r="1193">
          <cell r="B1193" t="str">
            <v/>
          </cell>
        </row>
        <row r="1194">
          <cell r="B1194" t="str">
            <v/>
          </cell>
        </row>
        <row r="1195">
          <cell r="B1195" t="str">
            <v/>
          </cell>
        </row>
        <row r="1196">
          <cell r="B1196" t="str">
            <v/>
          </cell>
        </row>
        <row r="1197">
          <cell r="B1197" t="str">
            <v/>
          </cell>
        </row>
        <row r="1198">
          <cell r="B1198" t="str">
            <v/>
          </cell>
        </row>
        <row r="1199">
          <cell r="B1199" t="str">
            <v/>
          </cell>
        </row>
        <row r="1200">
          <cell r="B1200" t="str">
            <v/>
          </cell>
        </row>
        <row r="1201">
          <cell r="B1201" t="str">
            <v/>
          </cell>
        </row>
        <row r="1202">
          <cell r="B1202" t="str">
            <v/>
          </cell>
        </row>
        <row r="1203">
          <cell r="B1203" t="str">
            <v/>
          </cell>
        </row>
        <row r="1204">
          <cell r="B1204" t="str">
            <v/>
          </cell>
        </row>
        <row r="1205">
          <cell r="B1205" t="str">
            <v/>
          </cell>
        </row>
        <row r="1206">
          <cell r="B1206" t="str">
            <v/>
          </cell>
        </row>
        <row r="1207">
          <cell r="B1207" t="str">
            <v/>
          </cell>
        </row>
        <row r="1208">
          <cell r="B1208" t="str">
            <v/>
          </cell>
        </row>
        <row r="1209">
          <cell r="B1209" t="str">
            <v/>
          </cell>
        </row>
        <row r="1210">
          <cell r="B1210" t="str">
            <v/>
          </cell>
        </row>
        <row r="1211">
          <cell r="B1211" t="str">
            <v/>
          </cell>
        </row>
        <row r="1212">
          <cell r="B1212" t="str">
            <v/>
          </cell>
        </row>
        <row r="1213">
          <cell r="B1213" t="str">
            <v/>
          </cell>
        </row>
        <row r="1214">
          <cell r="B1214" t="str">
            <v/>
          </cell>
        </row>
        <row r="1215">
          <cell r="B1215" t="str">
            <v/>
          </cell>
        </row>
        <row r="1216">
          <cell r="B1216" t="str">
            <v/>
          </cell>
        </row>
        <row r="1217">
          <cell r="B1217" t="str">
            <v/>
          </cell>
        </row>
        <row r="1218">
          <cell r="B1218" t="str">
            <v/>
          </cell>
        </row>
        <row r="1219">
          <cell r="B1219" t="str">
            <v/>
          </cell>
        </row>
        <row r="1220">
          <cell r="B1220" t="str">
            <v/>
          </cell>
        </row>
        <row r="1221">
          <cell r="B1221" t="str">
            <v/>
          </cell>
        </row>
        <row r="1222">
          <cell r="B1222" t="str">
            <v/>
          </cell>
        </row>
        <row r="1223">
          <cell r="B1223" t="str">
            <v/>
          </cell>
        </row>
        <row r="1224">
          <cell r="B1224" t="str">
            <v/>
          </cell>
        </row>
        <row r="1225">
          <cell r="B1225" t="str">
            <v/>
          </cell>
        </row>
        <row r="1226">
          <cell r="B1226" t="str">
            <v/>
          </cell>
        </row>
        <row r="1227">
          <cell r="B1227" t="str">
            <v/>
          </cell>
        </row>
        <row r="1228">
          <cell r="B1228" t="str">
            <v/>
          </cell>
        </row>
        <row r="1229">
          <cell r="B1229" t="str">
            <v/>
          </cell>
        </row>
        <row r="1230">
          <cell r="B1230" t="str">
            <v/>
          </cell>
        </row>
        <row r="1231">
          <cell r="B1231" t="str">
            <v/>
          </cell>
        </row>
        <row r="1232">
          <cell r="B1232" t="str">
            <v/>
          </cell>
        </row>
        <row r="1233">
          <cell r="B1233" t="str">
            <v/>
          </cell>
        </row>
        <row r="1234">
          <cell r="B1234" t="str">
            <v/>
          </cell>
        </row>
        <row r="1235">
          <cell r="B1235" t="str">
            <v/>
          </cell>
        </row>
        <row r="1236">
          <cell r="B1236" t="str">
            <v/>
          </cell>
        </row>
        <row r="1237">
          <cell r="B1237" t="str">
            <v/>
          </cell>
        </row>
        <row r="1238">
          <cell r="B1238" t="str">
            <v/>
          </cell>
        </row>
        <row r="1239">
          <cell r="B1239" t="str">
            <v/>
          </cell>
        </row>
        <row r="1240">
          <cell r="B1240" t="str">
            <v/>
          </cell>
        </row>
        <row r="1241">
          <cell r="B1241" t="str">
            <v/>
          </cell>
        </row>
        <row r="1242">
          <cell r="B1242" t="str">
            <v/>
          </cell>
        </row>
        <row r="1243">
          <cell r="B1243" t="str">
            <v/>
          </cell>
        </row>
        <row r="1244">
          <cell r="B1244" t="str">
            <v/>
          </cell>
        </row>
        <row r="1245">
          <cell r="B1245" t="str">
            <v/>
          </cell>
        </row>
        <row r="1246">
          <cell r="B1246" t="str">
            <v/>
          </cell>
        </row>
        <row r="1247">
          <cell r="B1247" t="str">
            <v/>
          </cell>
        </row>
        <row r="1248">
          <cell r="B1248" t="str">
            <v/>
          </cell>
        </row>
        <row r="1249">
          <cell r="B1249" t="str">
            <v/>
          </cell>
        </row>
        <row r="1250">
          <cell r="B1250" t="str">
            <v/>
          </cell>
        </row>
        <row r="1251">
          <cell r="B1251" t="str">
            <v/>
          </cell>
        </row>
        <row r="1252">
          <cell r="B1252" t="str">
            <v/>
          </cell>
        </row>
        <row r="1253">
          <cell r="B1253" t="str">
            <v/>
          </cell>
        </row>
        <row r="1254">
          <cell r="B1254" t="str">
            <v/>
          </cell>
        </row>
        <row r="1255">
          <cell r="B1255" t="str">
            <v/>
          </cell>
        </row>
        <row r="1256">
          <cell r="B1256" t="str">
            <v/>
          </cell>
        </row>
        <row r="1257">
          <cell r="B1257" t="str">
            <v/>
          </cell>
        </row>
        <row r="1258">
          <cell r="B1258" t="str">
            <v/>
          </cell>
        </row>
        <row r="1259">
          <cell r="B1259" t="str">
            <v/>
          </cell>
        </row>
        <row r="1260">
          <cell r="B1260" t="str">
            <v/>
          </cell>
        </row>
        <row r="1261">
          <cell r="B1261" t="str">
            <v/>
          </cell>
        </row>
        <row r="1262">
          <cell r="B1262" t="str">
            <v/>
          </cell>
        </row>
        <row r="1263">
          <cell r="B1263" t="str">
            <v/>
          </cell>
        </row>
        <row r="1264">
          <cell r="B1264" t="str">
            <v/>
          </cell>
        </row>
        <row r="1265">
          <cell r="B1265" t="str">
            <v/>
          </cell>
        </row>
        <row r="1266">
          <cell r="B1266" t="str">
            <v/>
          </cell>
        </row>
        <row r="1267">
          <cell r="B1267" t="str">
            <v/>
          </cell>
        </row>
        <row r="1268">
          <cell r="B1268" t="str">
            <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row r="2094">
          <cell r="B2094" t="str">
            <v/>
          </cell>
        </row>
        <row r="2095">
          <cell r="B2095" t="str">
            <v/>
          </cell>
        </row>
        <row r="2096">
          <cell r="B2096" t="str">
            <v/>
          </cell>
        </row>
        <row r="2097">
          <cell r="B2097" t="str">
            <v/>
          </cell>
        </row>
        <row r="2098">
          <cell r="B2098" t="str">
            <v/>
          </cell>
        </row>
        <row r="2099">
          <cell r="B2099" t="str">
            <v/>
          </cell>
        </row>
        <row r="2100">
          <cell r="B2100" t="str">
            <v/>
          </cell>
        </row>
        <row r="2101">
          <cell r="B2101" t="str">
            <v/>
          </cell>
        </row>
        <row r="2102">
          <cell r="B2102" t="str">
            <v/>
          </cell>
        </row>
        <row r="2103">
          <cell r="B2103" t="str">
            <v/>
          </cell>
        </row>
        <row r="2104">
          <cell r="B2104" t="str">
            <v/>
          </cell>
        </row>
        <row r="2105">
          <cell r="B2105" t="str">
            <v/>
          </cell>
        </row>
        <row r="2106">
          <cell r="B2106" t="str">
            <v/>
          </cell>
        </row>
        <row r="2107">
          <cell r="B2107" t="str">
            <v/>
          </cell>
        </row>
        <row r="2108">
          <cell r="B2108" t="str">
            <v/>
          </cell>
        </row>
        <row r="2109">
          <cell r="B2109" t="str">
            <v/>
          </cell>
        </row>
        <row r="2110">
          <cell r="B2110" t="str">
            <v/>
          </cell>
        </row>
        <row r="2111">
          <cell r="B2111" t="str">
            <v/>
          </cell>
        </row>
        <row r="2112">
          <cell r="B2112" t="str">
            <v/>
          </cell>
        </row>
        <row r="2113">
          <cell r="B2113" t="str">
            <v/>
          </cell>
        </row>
        <row r="2114">
          <cell r="B2114" t="str">
            <v/>
          </cell>
        </row>
        <row r="2115">
          <cell r="B2115" t="str">
            <v/>
          </cell>
        </row>
        <row r="2116">
          <cell r="B2116" t="str">
            <v/>
          </cell>
        </row>
        <row r="2117">
          <cell r="B2117" t="str">
            <v/>
          </cell>
        </row>
        <row r="2118">
          <cell r="B2118" t="str">
            <v/>
          </cell>
        </row>
        <row r="2119">
          <cell r="B2119" t="str">
            <v/>
          </cell>
        </row>
        <row r="2120">
          <cell r="B2120" t="str">
            <v/>
          </cell>
        </row>
        <row r="2121">
          <cell r="B2121" t="str">
            <v/>
          </cell>
        </row>
        <row r="2122">
          <cell r="B2122" t="str">
            <v/>
          </cell>
        </row>
        <row r="2123">
          <cell r="B2123" t="str">
            <v/>
          </cell>
        </row>
        <row r="2124">
          <cell r="B2124" t="str">
            <v/>
          </cell>
        </row>
        <row r="2125">
          <cell r="B2125" t="str">
            <v/>
          </cell>
        </row>
        <row r="2126">
          <cell r="B2126" t="str">
            <v/>
          </cell>
        </row>
        <row r="2127">
          <cell r="B2127" t="str">
            <v/>
          </cell>
        </row>
        <row r="2128">
          <cell r="B2128" t="str">
            <v/>
          </cell>
        </row>
        <row r="2129">
          <cell r="B2129" t="str">
            <v/>
          </cell>
        </row>
        <row r="2130">
          <cell r="B2130" t="str">
            <v/>
          </cell>
        </row>
        <row r="2131">
          <cell r="B2131" t="str">
            <v/>
          </cell>
        </row>
        <row r="2132">
          <cell r="B2132" t="str">
            <v/>
          </cell>
        </row>
        <row r="2133">
          <cell r="B2133" t="str">
            <v/>
          </cell>
        </row>
        <row r="2134">
          <cell r="B2134" t="str">
            <v/>
          </cell>
        </row>
        <row r="2135">
          <cell r="B2135" t="str">
            <v/>
          </cell>
        </row>
        <row r="2136">
          <cell r="B2136" t="str">
            <v/>
          </cell>
        </row>
        <row r="2137">
          <cell r="B2137" t="str">
            <v/>
          </cell>
        </row>
        <row r="2138">
          <cell r="B2138" t="str">
            <v/>
          </cell>
        </row>
        <row r="2139">
          <cell r="B2139" t="str">
            <v/>
          </cell>
        </row>
        <row r="2140">
          <cell r="B2140" t="str">
            <v/>
          </cell>
        </row>
        <row r="2141">
          <cell r="B2141" t="str">
            <v/>
          </cell>
        </row>
        <row r="2142">
          <cell r="B2142" t="str">
            <v/>
          </cell>
        </row>
        <row r="2143">
          <cell r="B2143" t="str">
            <v/>
          </cell>
        </row>
        <row r="2144">
          <cell r="B2144" t="str">
            <v/>
          </cell>
        </row>
        <row r="2145">
          <cell r="B2145" t="str">
            <v/>
          </cell>
        </row>
        <row r="2146">
          <cell r="B2146" t="str">
            <v/>
          </cell>
        </row>
        <row r="2147">
          <cell r="B2147" t="str">
            <v/>
          </cell>
        </row>
        <row r="2148">
          <cell r="B2148" t="str">
            <v/>
          </cell>
        </row>
        <row r="2149">
          <cell r="B2149" t="str">
            <v/>
          </cell>
        </row>
        <row r="2150">
          <cell r="B2150" t="str">
            <v/>
          </cell>
        </row>
        <row r="2151">
          <cell r="B2151" t="str">
            <v/>
          </cell>
        </row>
        <row r="2152">
          <cell r="B2152" t="str">
            <v/>
          </cell>
        </row>
        <row r="2153">
          <cell r="B2153" t="str">
            <v/>
          </cell>
        </row>
        <row r="2154">
          <cell r="B2154" t="str">
            <v/>
          </cell>
        </row>
        <row r="2155">
          <cell r="B2155" t="str">
            <v/>
          </cell>
        </row>
        <row r="2156">
          <cell r="B2156" t="str">
            <v/>
          </cell>
        </row>
        <row r="2157">
          <cell r="B2157" t="str">
            <v/>
          </cell>
        </row>
        <row r="2158">
          <cell r="B2158" t="str">
            <v/>
          </cell>
        </row>
        <row r="2159">
          <cell r="B2159" t="str">
            <v/>
          </cell>
        </row>
        <row r="2160">
          <cell r="B2160" t="str">
            <v/>
          </cell>
        </row>
        <row r="2161">
          <cell r="B2161" t="str">
            <v/>
          </cell>
        </row>
        <row r="2162">
          <cell r="B2162" t="str">
            <v/>
          </cell>
        </row>
        <row r="2163">
          <cell r="B2163" t="str">
            <v/>
          </cell>
        </row>
        <row r="2164">
          <cell r="B2164" t="str">
            <v/>
          </cell>
        </row>
        <row r="2165">
          <cell r="B2165" t="str">
            <v/>
          </cell>
        </row>
        <row r="2166">
          <cell r="B2166" t="str">
            <v/>
          </cell>
        </row>
        <row r="2167">
          <cell r="B2167" t="str">
            <v/>
          </cell>
        </row>
        <row r="2168">
          <cell r="B2168" t="str">
            <v/>
          </cell>
        </row>
        <row r="2169">
          <cell r="B2169" t="str">
            <v/>
          </cell>
        </row>
        <row r="2170">
          <cell r="B2170" t="str">
            <v/>
          </cell>
        </row>
        <row r="2171">
          <cell r="B2171" t="str">
            <v/>
          </cell>
        </row>
        <row r="2172">
          <cell r="B2172" t="str">
            <v/>
          </cell>
        </row>
        <row r="2173">
          <cell r="B2173" t="str">
            <v/>
          </cell>
        </row>
        <row r="2174">
          <cell r="B2174" t="str">
            <v/>
          </cell>
        </row>
        <row r="2175">
          <cell r="B2175" t="str">
            <v/>
          </cell>
        </row>
        <row r="2176">
          <cell r="B2176" t="str">
            <v/>
          </cell>
        </row>
        <row r="2177">
          <cell r="B2177" t="str">
            <v/>
          </cell>
        </row>
        <row r="2178">
          <cell r="B2178" t="str">
            <v/>
          </cell>
        </row>
        <row r="2179">
          <cell r="B2179" t="str">
            <v/>
          </cell>
        </row>
        <row r="2180">
          <cell r="B2180" t="str">
            <v/>
          </cell>
        </row>
        <row r="2181">
          <cell r="B2181" t="str">
            <v/>
          </cell>
        </row>
        <row r="2182">
          <cell r="B2182" t="str">
            <v/>
          </cell>
        </row>
        <row r="2183">
          <cell r="B2183" t="str">
            <v/>
          </cell>
        </row>
        <row r="2184">
          <cell r="B2184" t="str">
            <v/>
          </cell>
        </row>
        <row r="2185">
          <cell r="B2185" t="str">
            <v/>
          </cell>
        </row>
        <row r="2186">
          <cell r="B2186" t="str">
            <v/>
          </cell>
        </row>
        <row r="2187">
          <cell r="B2187" t="str">
            <v/>
          </cell>
        </row>
        <row r="2188">
          <cell r="B2188" t="str">
            <v/>
          </cell>
        </row>
        <row r="2189">
          <cell r="B2189" t="str">
            <v/>
          </cell>
        </row>
        <row r="2190">
          <cell r="B2190" t="str">
            <v/>
          </cell>
        </row>
        <row r="2191">
          <cell r="B2191" t="str">
            <v/>
          </cell>
        </row>
        <row r="2192">
          <cell r="B2192" t="str">
            <v/>
          </cell>
        </row>
        <row r="2193">
          <cell r="B2193" t="str">
            <v/>
          </cell>
        </row>
        <row r="2194">
          <cell r="B2194" t="str">
            <v/>
          </cell>
        </row>
        <row r="2195">
          <cell r="B2195" t="str">
            <v/>
          </cell>
        </row>
        <row r="2196">
          <cell r="B2196" t="str">
            <v/>
          </cell>
        </row>
        <row r="2197">
          <cell r="B2197" t="str">
            <v/>
          </cell>
        </row>
        <row r="2198">
          <cell r="B2198" t="str">
            <v/>
          </cell>
        </row>
        <row r="2199">
          <cell r="B2199" t="str">
            <v/>
          </cell>
        </row>
        <row r="2200">
          <cell r="B2200" t="str">
            <v/>
          </cell>
        </row>
        <row r="2201">
          <cell r="B2201" t="str">
            <v/>
          </cell>
        </row>
        <row r="2202">
          <cell r="B2202" t="str">
            <v/>
          </cell>
        </row>
        <row r="2203">
          <cell r="B2203" t="str">
            <v/>
          </cell>
        </row>
        <row r="2204">
          <cell r="B2204" t="str">
            <v/>
          </cell>
        </row>
        <row r="2205">
          <cell r="B2205" t="str">
            <v/>
          </cell>
        </row>
        <row r="2206">
          <cell r="B2206" t="str">
            <v/>
          </cell>
        </row>
        <row r="2207">
          <cell r="B2207" t="str">
            <v/>
          </cell>
        </row>
        <row r="2208">
          <cell r="B2208" t="str">
            <v/>
          </cell>
        </row>
        <row r="2209">
          <cell r="B2209" t="str">
            <v/>
          </cell>
        </row>
        <row r="2210">
          <cell r="B2210" t="str">
            <v/>
          </cell>
        </row>
        <row r="2211">
          <cell r="B2211" t="str">
            <v/>
          </cell>
        </row>
        <row r="2212">
          <cell r="B2212" t="str">
            <v/>
          </cell>
        </row>
        <row r="2213">
          <cell r="B2213" t="str">
            <v/>
          </cell>
        </row>
        <row r="2214">
          <cell r="B2214" t="str">
            <v/>
          </cell>
        </row>
        <row r="2215">
          <cell r="B2215" t="str">
            <v/>
          </cell>
        </row>
        <row r="2216">
          <cell r="B2216" t="str">
            <v/>
          </cell>
        </row>
        <row r="2217">
          <cell r="B2217" t="str">
            <v/>
          </cell>
        </row>
        <row r="2218">
          <cell r="B2218" t="str">
            <v/>
          </cell>
        </row>
        <row r="2219">
          <cell r="B2219" t="str">
            <v/>
          </cell>
        </row>
        <row r="2220">
          <cell r="B2220" t="str">
            <v/>
          </cell>
        </row>
        <row r="2221">
          <cell r="B2221" t="str">
            <v/>
          </cell>
        </row>
        <row r="2222">
          <cell r="B2222" t="str">
            <v/>
          </cell>
        </row>
        <row r="2223">
          <cell r="B2223" t="str">
            <v/>
          </cell>
        </row>
        <row r="2224">
          <cell r="B2224" t="str">
            <v/>
          </cell>
        </row>
        <row r="2225">
          <cell r="B2225" t="str">
            <v/>
          </cell>
        </row>
        <row r="2226">
          <cell r="B2226" t="str">
            <v/>
          </cell>
        </row>
        <row r="2227">
          <cell r="B2227" t="str">
            <v/>
          </cell>
        </row>
        <row r="2228">
          <cell r="B2228" t="str">
            <v/>
          </cell>
        </row>
        <row r="2229">
          <cell r="B2229" t="str">
            <v/>
          </cell>
        </row>
        <row r="2230">
          <cell r="B2230" t="str">
            <v/>
          </cell>
        </row>
        <row r="2231">
          <cell r="B2231" t="str">
            <v/>
          </cell>
        </row>
        <row r="2232">
          <cell r="B2232" t="str">
            <v/>
          </cell>
        </row>
        <row r="2233">
          <cell r="B2233" t="str">
            <v/>
          </cell>
        </row>
        <row r="2234">
          <cell r="B2234" t="str">
            <v/>
          </cell>
        </row>
        <row r="2235">
          <cell r="B2235" t="str">
            <v/>
          </cell>
        </row>
        <row r="2236">
          <cell r="B2236" t="str">
            <v/>
          </cell>
        </row>
        <row r="2237">
          <cell r="B2237" t="str">
            <v/>
          </cell>
        </row>
        <row r="2238">
          <cell r="B2238" t="str">
            <v/>
          </cell>
        </row>
        <row r="2239">
          <cell r="B2239" t="str">
            <v/>
          </cell>
        </row>
        <row r="2240">
          <cell r="B2240" t="str">
            <v/>
          </cell>
        </row>
        <row r="2241">
          <cell r="B2241" t="str">
            <v/>
          </cell>
        </row>
        <row r="2242">
          <cell r="B2242" t="str">
            <v/>
          </cell>
        </row>
        <row r="2243">
          <cell r="B2243" t="str">
            <v/>
          </cell>
        </row>
        <row r="2244">
          <cell r="B2244" t="str">
            <v/>
          </cell>
        </row>
        <row r="2245">
          <cell r="B2245" t="str">
            <v/>
          </cell>
        </row>
        <row r="2246">
          <cell r="B2246" t="str">
            <v/>
          </cell>
        </row>
        <row r="2247">
          <cell r="B2247" t="str">
            <v/>
          </cell>
        </row>
        <row r="2248">
          <cell r="B2248" t="str">
            <v/>
          </cell>
        </row>
        <row r="2249">
          <cell r="B2249" t="str">
            <v/>
          </cell>
        </row>
        <row r="2250">
          <cell r="B2250" t="str">
            <v/>
          </cell>
        </row>
        <row r="2251">
          <cell r="B2251" t="str">
            <v/>
          </cell>
        </row>
        <row r="2252">
          <cell r="B2252" t="str">
            <v/>
          </cell>
        </row>
        <row r="2253">
          <cell r="B2253" t="str">
            <v/>
          </cell>
        </row>
        <row r="2254">
          <cell r="B2254" t="str">
            <v/>
          </cell>
        </row>
        <row r="2255">
          <cell r="B2255" t="str">
            <v/>
          </cell>
        </row>
        <row r="2256">
          <cell r="B2256" t="str">
            <v/>
          </cell>
        </row>
        <row r="2257">
          <cell r="B2257" t="str">
            <v/>
          </cell>
        </row>
        <row r="2258">
          <cell r="B2258" t="str">
            <v/>
          </cell>
        </row>
        <row r="2259">
          <cell r="B2259" t="str">
            <v/>
          </cell>
        </row>
        <row r="2260">
          <cell r="B2260" t="str">
            <v/>
          </cell>
        </row>
        <row r="2261">
          <cell r="B2261" t="str">
            <v/>
          </cell>
        </row>
        <row r="2262">
          <cell r="B2262" t="str">
            <v/>
          </cell>
        </row>
        <row r="2263">
          <cell r="B2263" t="str">
            <v/>
          </cell>
        </row>
        <row r="2264">
          <cell r="B2264" t="str">
            <v/>
          </cell>
        </row>
        <row r="2265">
          <cell r="B2265" t="str">
            <v/>
          </cell>
        </row>
        <row r="2266">
          <cell r="B2266" t="str">
            <v/>
          </cell>
        </row>
        <row r="2267">
          <cell r="B2267" t="str">
            <v/>
          </cell>
        </row>
        <row r="2268">
          <cell r="B2268" t="str">
            <v/>
          </cell>
        </row>
        <row r="2269">
          <cell r="B2269" t="str">
            <v/>
          </cell>
        </row>
        <row r="2270">
          <cell r="B2270" t="str">
            <v/>
          </cell>
        </row>
        <row r="2271">
          <cell r="B2271" t="str">
            <v/>
          </cell>
        </row>
        <row r="2272">
          <cell r="B2272" t="str">
            <v/>
          </cell>
        </row>
        <row r="2273">
          <cell r="B2273" t="str">
            <v/>
          </cell>
        </row>
        <row r="2274">
          <cell r="B2274" t="str">
            <v/>
          </cell>
        </row>
        <row r="2275">
          <cell r="B2275" t="str">
            <v/>
          </cell>
        </row>
        <row r="2276">
          <cell r="B2276" t="str">
            <v/>
          </cell>
        </row>
        <row r="2277">
          <cell r="B2277" t="str">
            <v/>
          </cell>
        </row>
        <row r="2278">
          <cell r="B2278" t="str">
            <v/>
          </cell>
        </row>
        <row r="2279">
          <cell r="B2279" t="str">
            <v/>
          </cell>
        </row>
        <row r="2280">
          <cell r="B2280" t="str">
            <v/>
          </cell>
        </row>
        <row r="2281">
          <cell r="B2281" t="str">
            <v/>
          </cell>
        </row>
        <row r="2282">
          <cell r="B2282" t="str">
            <v/>
          </cell>
        </row>
        <row r="2283">
          <cell r="B2283" t="str">
            <v/>
          </cell>
        </row>
        <row r="2284">
          <cell r="B2284" t="str">
            <v/>
          </cell>
        </row>
        <row r="2285">
          <cell r="B2285" t="str">
            <v/>
          </cell>
        </row>
        <row r="2286">
          <cell r="B2286" t="str">
            <v/>
          </cell>
        </row>
        <row r="2287">
          <cell r="B2287" t="str">
            <v/>
          </cell>
        </row>
        <row r="2288">
          <cell r="B2288" t="str">
            <v/>
          </cell>
        </row>
        <row r="2289">
          <cell r="B2289" t="str">
            <v/>
          </cell>
        </row>
        <row r="2290">
          <cell r="B2290" t="str">
            <v/>
          </cell>
        </row>
        <row r="2291">
          <cell r="B2291" t="str">
            <v/>
          </cell>
        </row>
        <row r="2292">
          <cell r="B2292" t="str">
            <v/>
          </cell>
        </row>
        <row r="2293">
          <cell r="B2293" t="str">
            <v/>
          </cell>
        </row>
        <row r="2294">
          <cell r="B2294" t="str">
            <v/>
          </cell>
        </row>
        <row r="2295">
          <cell r="B2295" t="str">
            <v/>
          </cell>
        </row>
        <row r="2296">
          <cell r="B2296" t="str">
            <v/>
          </cell>
        </row>
        <row r="2297">
          <cell r="B2297" t="str">
            <v/>
          </cell>
        </row>
        <row r="2298">
          <cell r="B2298" t="str">
            <v/>
          </cell>
        </row>
        <row r="2299">
          <cell r="B2299" t="str">
            <v/>
          </cell>
        </row>
        <row r="2300">
          <cell r="B2300" t="str">
            <v/>
          </cell>
        </row>
        <row r="2301">
          <cell r="B2301" t="str">
            <v/>
          </cell>
        </row>
        <row r="2302">
          <cell r="B2302" t="str">
            <v/>
          </cell>
        </row>
        <row r="2303">
          <cell r="B2303" t="str">
            <v/>
          </cell>
        </row>
        <row r="2304">
          <cell r="B2304" t="str">
            <v/>
          </cell>
        </row>
        <row r="2305">
          <cell r="B2305" t="str">
            <v/>
          </cell>
        </row>
        <row r="2306">
          <cell r="B2306" t="str">
            <v/>
          </cell>
        </row>
        <row r="2307">
          <cell r="B2307" t="str">
            <v/>
          </cell>
        </row>
        <row r="2308">
          <cell r="B2308" t="str">
            <v/>
          </cell>
        </row>
        <row r="2309">
          <cell r="B2309" t="str">
            <v/>
          </cell>
        </row>
        <row r="2310">
          <cell r="B2310" t="str">
            <v/>
          </cell>
        </row>
        <row r="2311">
          <cell r="B2311" t="str">
            <v/>
          </cell>
        </row>
        <row r="2312">
          <cell r="B2312" t="str">
            <v/>
          </cell>
        </row>
        <row r="2313">
          <cell r="B2313" t="str">
            <v/>
          </cell>
        </row>
        <row r="2314">
          <cell r="B2314" t="str">
            <v/>
          </cell>
        </row>
        <row r="2315">
          <cell r="B2315" t="str">
            <v/>
          </cell>
        </row>
        <row r="2316">
          <cell r="B2316" t="str">
            <v/>
          </cell>
        </row>
        <row r="2317">
          <cell r="B2317" t="str">
            <v/>
          </cell>
        </row>
        <row r="2318">
          <cell r="B2318" t="str">
            <v/>
          </cell>
        </row>
        <row r="2319">
          <cell r="B2319" t="str">
            <v/>
          </cell>
        </row>
        <row r="2320">
          <cell r="B2320" t="str">
            <v/>
          </cell>
        </row>
        <row r="2321">
          <cell r="B2321" t="str">
            <v/>
          </cell>
        </row>
        <row r="2322">
          <cell r="B2322" t="str">
            <v/>
          </cell>
        </row>
        <row r="2323">
          <cell r="B2323" t="str">
            <v/>
          </cell>
        </row>
        <row r="2324">
          <cell r="B2324" t="str">
            <v/>
          </cell>
        </row>
        <row r="2325">
          <cell r="B2325" t="str">
            <v/>
          </cell>
        </row>
        <row r="2326">
          <cell r="B2326" t="str">
            <v/>
          </cell>
        </row>
        <row r="2327">
          <cell r="B2327" t="str">
            <v/>
          </cell>
        </row>
        <row r="2328">
          <cell r="B2328" t="str">
            <v/>
          </cell>
        </row>
        <row r="2329">
          <cell r="B2329" t="str">
            <v/>
          </cell>
        </row>
        <row r="2330">
          <cell r="B2330" t="str">
            <v/>
          </cell>
        </row>
        <row r="2331">
          <cell r="B2331" t="str">
            <v/>
          </cell>
        </row>
        <row r="2332">
          <cell r="B2332" t="str">
            <v/>
          </cell>
        </row>
        <row r="2333">
          <cell r="B2333" t="str">
            <v/>
          </cell>
        </row>
        <row r="2334">
          <cell r="B2334" t="str">
            <v/>
          </cell>
        </row>
        <row r="2335">
          <cell r="B2335" t="str">
            <v/>
          </cell>
        </row>
        <row r="2336">
          <cell r="B2336" t="str">
            <v/>
          </cell>
        </row>
        <row r="2337">
          <cell r="B2337" t="str">
            <v/>
          </cell>
        </row>
        <row r="2338">
          <cell r="B2338" t="str">
            <v/>
          </cell>
        </row>
        <row r="2339">
          <cell r="B2339" t="str">
            <v/>
          </cell>
        </row>
        <row r="2340">
          <cell r="B2340" t="str">
            <v/>
          </cell>
        </row>
        <row r="2341">
          <cell r="B2341" t="str">
            <v/>
          </cell>
        </row>
        <row r="2342">
          <cell r="B2342" t="str">
            <v/>
          </cell>
        </row>
        <row r="2343">
          <cell r="B2343" t="str">
            <v/>
          </cell>
        </row>
        <row r="2344">
          <cell r="B2344" t="str">
            <v/>
          </cell>
        </row>
        <row r="2345">
          <cell r="B2345" t="str">
            <v/>
          </cell>
        </row>
        <row r="2346">
          <cell r="B2346" t="str">
            <v/>
          </cell>
        </row>
        <row r="2347">
          <cell r="B2347" t="str">
            <v/>
          </cell>
        </row>
        <row r="2348">
          <cell r="B2348" t="str">
            <v/>
          </cell>
        </row>
        <row r="2349">
          <cell r="B2349" t="str">
            <v/>
          </cell>
        </row>
        <row r="2350">
          <cell r="B2350" t="str">
            <v/>
          </cell>
        </row>
        <row r="2351">
          <cell r="B2351" t="str">
            <v/>
          </cell>
        </row>
        <row r="2352">
          <cell r="B2352" t="str">
            <v/>
          </cell>
        </row>
        <row r="2353">
          <cell r="B2353" t="str">
            <v/>
          </cell>
        </row>
        <row r="2354">
          <cell r="B2354" t="str">
            <v/>
          </cell>
        </row>
        <row r="2355">
          <cell r="B2355" t="str">
            <v/>
          </cell>
        </row>
        <row r="2356">
          <cell r="B2356" t="str">
            <v/>
          </cell>
        </row>
        <row r="2357">
          <cell r="B2357" t="str">
            <v/>
          </cell>
        </row>
        <row r="2358">
          <cell r="B2358" t="str">
            <v/>
          </cell>
        </row>
        <row r="2359">
          <cell r="B2359" t="str">
            <v/>
          </cell>
        </row>
        <row r="2360">
          <cell r="B2360" t="str">
            <v/>
          </cell>
        </row>
        <row r="2361">
          <cell r="B2361" t="str">
            <v/>
          </cell>
        </row>
        <row r="2362">
          <cell r="B2362" t="str">
            <v/>
          </cell>
        </row>
        <row r="2363">
          <cell r="B2363" t="str">
            <v/>
          </cell>
        </row>
        <row r="2364">
          <cell r="B2364" t="str">
            <v/>
          </cell>
        </row>
        <row r="2365">
          <cell r="B2365" t="str">
            <v/>
          </cell>
        </row>
        <row r="2366">
          <cell r="B2366" t="str">
            <v/>
          </cell>
        </row>
        <row r="2367">
          <cell r="B2367" t="str">
            <v/>
          </cell>
        </row>
        <row r="2368">
          <cell r="B2368" t="str">
            <v/>
          </cell>
        </row>
        <row r="2369">
          <cell r="B2369" t="str">
            <v/>
          </cell>
        </row>
        <row r="2370">
          <cell r="B2370" t="str">
            <v/>
          </cell>
        </row>
        <row r="2371">
          <cell r="B2371" t="str">
            <v/>
          </cell>
        </row>
        <row r="2372">
          <cell r="B2372" t="str">
            <v/>
          </cell>
        </row>
        <row r="2373">
          <cell r="B2373" t="str">
            <v/>
          </cell>
        </row>
        <row r="2374">
          <cell r="B2374" t="str">
            <v/>
          </cell>
        </row>
        <row r="2375">
          <cell r="B2375" t="str">
            <v/>
          </cell>
        </row>
        <row r="2376">
          <cell r="B2376" t="str">
            <v/>
          </cell>
        </row>
        <row r="2377">
          <cell r="B2377" t="str">
            <v/>
          </cell>
        </row>
        <row r="2378">
          <cell r="B2378" t="str">
            <v/>
          </cell>
        </row>
        <row r="2379">
          <cell r="B2379" t="str">
            <v/>
          </cell>
        </row>
        <row r="2380">
          <cell r="B2380" t="str">
            <v/>
          </cell>
        </row>
        <row r="2381">
          <cell r="B2381" t="str">
            <v/>
          </cell>
        </row>
        <row r="2382">
          <cell r="B2382" t="str">
            <v/>
          </cell>
        </row>
        <row r="2383">
          <cell r="B2383" t="str">
            <v/>
          </cell>
        </row>
        <row r="2384">
          <cell r="B2384" t="str">
            <v/>
          </cell>
        </row>
        <row r="2385">
          <cell r="B2385" t="str">
            <v/>
          </cell>
        </row>
        <row r="2386">
          <cell r="B2386" t="str">
            <v/>
          </cell>
        </row>
        <row r="2387">
          <cell r="B2387" t="str">
            <v/>
          </cell>
        </row>
        <row r="2388">
          <cell r="B2388" t="str">
            <v/>
          </cell>
        </row>
        <row r="2389">
          <cell r="B2389" t="str">
            <v/>
          </cell>
        </row>
        <row r="2390">
          <cell r="B2390" t="str">
            <v/>
          </cell>
        </row>
        <row r="2391">
          <cell r="B2391" t="str">
            <v/>
          </cell>
        </row>
        <row r="2392">
          <cell r="B2392" t="str">
            <v/>
          </cell>
        </row>
        <row r="2393">
          <cell r="B2393" t="str">
            <v/>
          </cell>
        </row>
        <row r="2394">
          <cell r="B2394" t="str">
            <v/>
          </cell>
        </row>
        <row r="2395">
          <cell r="B2395" t="str">
            <v/>
          </cell>
        </row>
        <row r="2396">
          <cell r="B2396" t="str">
            <v/>
          </cell>
        </row>
        <row r="2397">
          <cell r="B2397" t="str">
            <v/>
          </cell>
        </row>
        <row r="2398">
          <cell r="B2398" t="str">
            <v/>
          </cell>
        </row>
        <row r="2399">
          <cell r="B2399" t="str">
            <v/>
          </cell>
        </row>
        <row r="2400">
          <cell r="B2400" t="str">
            <v/>
          </cell>
        </row>
        <row r="2401">
          <cell r="B2401" t="str">
            <v/>
          </cell>
        </row>
        <row r="2402">
          <cell r="B2402" t="str">
            <v/>
          </cell>
        </row>
        <row r="2403">
          <cell r="B2403" t="str">
            <v/>
          </cell>
        </row>
        <row r="2404">
          <cell r="B2404" t="str">
            <v/>
          </cell>
        </row>
        <row r="2405">
          <cell r="B2405" t="str">
            <v/>
          </cell>
        </row>
        <row r="2406">
          <cell r="B2406" t="str">
            <v/>
          </cell>
        </row>
        <row r="2407">
          <cell r="B2407" t="str">
            <v/>
          </cell>
        </row>
        <row r="2408">
          <cell r="B2408" t="str">
            <v/>
          </cell>
        </row>
        <row r="2409">
          <cell r="B2409" t="str">
            <v/>
          </cell>
        </row>
        <row r="2410">
          <cell r="B2410" t="str">
            <v/>
          </cell>
        </row>
        <row r="2411">
          <cell r="B2411" t="str">
            <v/>
          </cell>
        </row>
        <row r="2412">
          <cell r="B2412" t="str">
            <v/>
          </cell>
        </row>
        <row r="2413">
          <cell r="B2413" t="str">
            <v/>
          </cell>
        </row>
        <row r="2414">
          <cell r="B2414" t="str">
            <v/>
          </cell>
        </row>
        <row r="2415">
          <cell r="B2415" t="str">
            <v/>
          </cell>
        </row>
        <row r="2416">
          <cell r="B2416" t="str">
            <v/>
          </cell>
        </row>
        <row r="2417">
          <cell r="B2417" t="str">
            <v/>
          </cell>
        </row>
        <row r="2418">
          <cell r="B2418" t="str">
            <v/>
          </cell>
        </row>
        <row r="2419">
          <cell r="B2419" t="str">
            <v/>
          </cell>
        </row>
        <row r="2420">
          <cell r="B2420" t="str">
            <v/>
          </cell>
        </row>
        <row r="2421">
          <cell r="B2421" t="str">
            <v/>
          </cell>
        </row>
        <row r="2422">
          <cell r="B2422" t="str">
            <v/>
          </cell>
        </row>
        <row r="2423">
          <cell r="B2423" t="str">
            <v/>
          </cell>
        </row>
        <row r="2424">
          <cell r="B2424" t="str">
            <v/>
          </cell>
        </row>
        <row r="2425">
          <cell r="B2425" t="str">
            <v/>
          </cell>
        </row>
        <row r="2426">
          <cell r="B2426" t="str">
            <v/>
          </cell>
        </row>
        <row r="2427">
          <cell r="B2427" t="str">
            <v/>
          </cell>
        </row>
        <row r="2428">
          <cell r="B2428" t="str">
            <v/>
          </cell>
        </row>
        <row r="2429">
          <cell r="B2429" t="str">
            <v/>
          </cell>
        </row>
        <row r="2430">
          <cell r="B2430" t="str">
            <v/>
          </cell>
        </row>
        <row r="2431">
          <cell r="B2431" t="str">
            <v/>
          </cell>
        </row>
        <row r="2432">
          <cell r="B2432" t="str">
            <v/>
          </cell>
        </row>
        <row r="2433">
          <cell r="B2433" t="str">
            <v/>
          </cell>
        </row>
        <row r="2434">
          <cell r="B2434" t="str">
            <v/>
          </cell>
        </row>
        <row r="2435">
          <cell r="B2435" t="str">
            <v/>
          </cell>
        </row>
        <row r="2436">
          <cell r="B2436" t="str">
            <v/>
          </cell>
        </row>
        <row r="2437">
          <cell r="B2437" t="str">
            <v/>
          </cell>
        </row>
        <row r="2438">
          <cell r="B2438" t="str">
            <v/>
          </cell>
        </row>
        <row r="2439">
          <cell r="B2439" t="str">
            <v/>
          </cell>
        </row>
        <row r="2440">
          <cell r="B2440" t="str">
            <v/>
          </cell>
        </row>
        <row r="2441">
          <cell r="B2441" t="str">
            <v/>
          </cell>
        </row>
        <row r="2442">
          <cell r="B2442" t="str">
            <v/>
          </cell>
        </row>
        <row r="2443">
          <cell r="B2443" t="str">
            <v/>
          </cell>
        </row>
        <row r="2444">
          <cell r="B2444" t="str">
            <v/>
          </cell>
        </row>
        <row r="2445">
          <cell r="B2445" t="str">
            <v/>
          </cell>
        </row>
        <row r="2446">
          <cell r="B2446" t="str">
            <v/>
          </cell>
        </row>
        <row r="2447">
          <cell r="B2447" t="str">
            <v/>
          </cell>
        </row>
        <row r="2448">
          <cell r="B2448" t="str">
            <v/>
          </cell>
        </row>
        <row r="2449">
          <cell r="B2449" t="str">
            <v/>
          </cell>
        </row>
        <row r="2450">
          <cell r="B2450" t="str">
            <v/>
          </cell>
        </row>
        <row r="2451">
          <cell r="B2451" t="str">
            <v/>
          </cell>
        </row>
        <row r="2452">
          <cell r="B2452" t="str">
            <v/>
          </cell>
        </row>
        <row r="2453">
          <cell r="B2453" t="str">
            <v/>
          </cell>
        </row>
        <row r="2454">
          <cell r="B2454" t="str">
            <v/>
          </cell>
        </row>
        <row r="2455">
          <cell r="B2455" t="str">
            <v/>
          </cell>
        </row>
        <row r="2456">
          <cell r="B2456" t="str">
            <v/>
          </cell>
        </row>
        <row r="2457">
          <cell r="B2457" t="str">
            <v/>
          </cell>
        </row>
        <row r="2458">
          <cell r="B2458" t="str">
            <v/>
          </cell>
        </row>
        <row r="2459">
          <cell r="B2459" t="str">
            <v/>
          </cell>
        </row>
        <row r="2460">
          <cell r="B2460" t="str">
            <v/>
          </cell>
        </row>
        <row r="2461">
          <cell r="B2461" t="str">
            <v/>
          </cell>
        </row>
        <row r="2462">
          <cell r="B2462" t="str">
            <v/>
          </cell>
        </row>
        <row r="2463">
          <cell r="B2463" t="str">
            <v/>
          </cell>
        </row>
        <row r="2464">
          <cell r="B2464" t="str">
            <v/>
          </cell>
        </row>
        <row r="2465">
          <cell r="B2465" t="str">
            <v/>
          </cell>
        </row>
        <row r="2466">
          <cell r="B2466" t="str">
            <v/>
          </cell>
        </row>
        <row r="2467">
          <cell r="B2467" t="str">
            <v/>
          </cell>
        </row>
        <row r="2468">
          <cell r="B2468" t="str">
            <v/>
          </cell>
        </row>
        <row r="2469">
          <cell r="B2469" t="str">
            <v/>
          </cell>
        </row>
        <row r="2470">
          <cell r="B2470" t="str">
            <v/>
          </cell>
        </row>
        <row r="2471">
          <cell r="B2471" t="str">
            <v/>
          </cell>
        </row>
        <row r="2472">
          <cell r="B2472" t="str">
            <v/>
          </cell>
        </row>
        <row r="2473">
          <cell r="B2473" t="str">
            <v/>
          </cell>
        </row>
        <row r="2474">
          <cell r="B2474" t="str">
            <v/>
          </cell>
        </row>
        <row r="2475">
          <cell r="B2475" t="str">
            <v/>
          </cell>
        </row>
        <row r="2476">
          <cell r="B2476" t="str">
            <v/>
          </cell>
        </row>
        <row r="2477">
          <cell r="B2477" t="str">
            <v/>
          </cell>
        </row>
        <row r="2478">
          <cell r="B2478" t="str">
            <v/>
          </cell>
        </row>
        <row r="2479">
          <cell r="B2479" t="str">
            <v/>
          </cell>
        </row>
        <row r="2480">
          <cell r="B2480" t="str">
            <v/>
          </cell>
        </row>
        <row r="2481">
          <cell r="B2481" t="str">
            <v/>
          </cell>
        </row>
        <row r="2482">
          <cell r="B2482" t="str">
            <v/>
          </cell>
        </row>
        <row r="2483">
          <cell r="B2483" t="str">
            <v/>
          </cell>
        </row>
        <row r="2484">
          <cell r="B2484" t="str">
            <v/>
          </cell>
        </row>
        <row r="2485">
          <cell r="B2485" t="str">
            <v/>
          </cell>
        </row>
        <row r="2486">
          <cell r="B2486" t="str">
            <v/>
          </cell>
        </row>
        <row r="2487">
          <cell r="B2487" t="str">
            <v/>
          </cell>
        </row>
        <row r="2488">
          <cell r="B2488" t="str">
            <v/>
          </cell>
        </row>
        <row r="2489">
          <cell r="B2489" t="str">
            <v/>
          </cell>
        </row>
        <row r="2490">
          <cell r="B2490" t="str">
            <v/>
          </cell>
        </row>
        <row r="2491">
          <cell r="B2491" t="str">
            <v/>
          </cell>
        </row>
        <row r="2492">
          <cell r="B2492" t="str">
            <v/>
          </cell>
        </row>
        <row r="2493">
          <cell r="B2493" t="str">
            <v/>
          </cell>
        </row>
        <row r="2494">
          <cell r="B2494" t="str">
            <v/>
          </cell>
        </row>
        <row r="2495">
          <cell r="B2495" t="str">
            <v/>
          </cell>
        </row>
        <row r="2496">
          <cell r="B2496" t="str">
            <v/>
          </cell>
        </row>
        <row r="2497">
          <cell r="B2497" t="str">
            <v/>
          </cell>
        </row>
        <row r="2498">
          <cell r="B2498" t="str">
            <v/>
          </cell>
        </row>
        <row r="2499">
          <cell r="B2499" t="str">
            <v/>
          </cell>
        </row>
        <row r="2500">
          <cell r="B2500" t="str">
            <v/>
          </cell>
        </row>
        <row r="2501">
          <cell r="B2501" t="str">
            <v/>
          </cell>
        </row>
        <row r="2502">
          <cell r="B2502" t="str">
            <v/>
          </cell>
        </row>
        <row r="2503">
          <cell r="B2503" t="str">
            <v/>
          </cell>
        </row>
        <row r="2504">
          <cell r="B2504" t="str">
            <v/>
          </cell>
        </row>
        <row r="2505">
          <cell r="B2505" t="str">
            <v/>
          </cell>
        </row>
        <row r="2506">
          <cell r="B2506" t="str">
            <v/>
          </cell>
        </row>
        <row r="2507">
          <cell r="B2507" t="str">
            <v/>
          </cell>
        </row>
        <row r="2508">
          <cell r="B2508" t="str">
            <v/>
          </cell>
        </row>
        <row r="2509">
          <cell r="B2509" t="str">
            <v/>
          </cell>
        </row>
        <row r="2510">
          <cell r="B2510" t="str">
            <v/>
          </cell>
        </row>
        <row r="2511">
          <cell r="B2511" t="str">
            <v/>
          </cell>
        </row>
        <row r="2512">
          <cell r="B2512" t="str">
            <v/>
          </cell>
        </row>
        <row r="2513">
          <cell r="B2513" t="str">
            <v/>
          </cell>
        </row>
        <row r="2514">
          <cell r="B2514" t="str">
            <v/>
          </cell>
        </row>
        <row r="2515">
          <cell r="B2515" t="str">
            <v/>
          </cell>
        </row>
        <row r="2516">
          <cell r="B2516" t="str">
            <v/>
          </cell>
        </row>
        <row r="2517">
          <cell r="B2517" t="str">
            <v/>
          </cell>
        </row>
        <row r="2518">
          <cell r="B2518" t="str">
            <v/>
          </cell>
        </row>
        <row r="2519">
          <cell r="B2519" t="str">
            <v/>
          </cell>
        </row>
        <row r="2520">
          <cell r="B2520" t="str">
            <v/>
          </cell>
        </row>
        <row r="2521">
          <cell r="B2521" t="str">
            <v/>
          </cell>
        </row>
        <row r="2522">
          <cell r="B2522" t="str">
            <v/>
          </cell>
        </row>
        <row r="2523">
          <cell r="B2523" t="str">
            <v/>
          </cell>
        </row>
        <row r="2524">
          <cell r="B2524" t="str">
            <v/>
          </cell>
        </row>
        <row r="2525">
          <cell r="B2525" t="str">
            <v/>
          </cell>
        </row>
        <row r="2526">
          <cell r="B2526" t="str">
            <v/>
          </cell>
        </row>
        <row r="2527">
          <cell r="B2527" t="str">
            <v/>
          </cell>
        </row>
        <row r="2528">
          <cell r="B2528" t="str">
            <v/>
          </cell>
        </row>
        <row r="2529">
          <cell r="B2529" t="str">
            <v/>
          </cell>
        </row>
        <row r="2530">
          <cell r="B2530" t="str">
            <v/>
          </cell>
        </row>
        <row r="2531">
          <cell r="B2531" t="str">
            <v/>
          </cell>
        </row>
        <row r="2532">
          <cell r="B2532" t="str">
            <v/>
          </cell>
        </row>
        <row r="2533">
          <cell r="B2533" t="str">
            <v/>
          </cell>
        </row>
        <row r="2534">
          <cell r="B2534" t="str">
            <v/>
          </cell>
        </row>
        <row r="2535">
          <cell r="B2535" t="str">
            <v/>
          </cell>
        </row>
        <row r="2536">
          <cell r="B2536" t="str">
            <v/>
          </cell>
        </row>
        <row r="2537">
          <cell r="B2537" t="str">
            <v/>
          </cell>
        </row>
        <row r="2538">
          <cell r="B2538" t="str">
            <v/>
          </cell>
        </row>
        <row r="2539">
          <cell r="B2539" t="str">
            <v/>
          </cell>
        </row>
        <row r="2540">
          <cell r="B2540" t="str">
            <v/>
          </cell>
        </row>
        <row r="2541">
          <cell r="B2541" t="str">
            <v/>
          </cell>
        </row>
        <row r="2542">
          <cell r="B2542" t="str">
            <v/>
          </cell>
        </row>
        <row r="2543">
          <cell r="B2543" t="str">
            <v/>
          </cell>
        </row>
        <row r="2544">
          <cell r="B2544" t="str">
            <v/>
          </cell>
        </row>
        <row r="2545">
          <cell r="B2545" t="str">
            <v/>
          </cell>
        </row>
        <row r="2546">
          <cell r="B2546" t="str">
            <v/>
          </cell>
        </row>
        <row r="2547">
          <cell r="B2547" t="str">
            <v/>
          </cell>
        </row>
        <row r="2548">
          <cell r="B2548" t="str">
            <v/>
          </cell>
        </row>
        <row r="2549">
          <cell r="B2549" t="str">
            <v/>
          </cell>
        </row>
        <row r="2550">
          <cell r="B2550" t="str">
            <v/>
          </cell>
        </row>
        <row r="2551">
          <cell r="B2551" t="str">
            <v/>
          </cell>
        </row>
        <row r="2552">
          <cell r="B2552" t="str">
            <v/>
          </cell>
        </row>
        <row r="2553">
          <cell r="B2553" t="str">
            <v/>
          </cell>
        </row>
        <row r="2554">
          <cell r="B2554" t="str">
            <v/>
          </cell>
        </row>
        <row r="2555">
          <cell r="B2555" t="str">
            <v/>
          </cell>
        </row>
        <row r="2556">
          <cell r="B2556" t="str">
            <v/>
          </cell>
        </row>
        <row r="2557">
          <cell r="B2557" t="str">
            <v/>
          </cell>
        </row>
        <row r="2558">
          <cell r="B2558" t="str">
            <v/>
          </cell>
        </row>
        <row r="2559">
          <cell r="B2559" t="str">
            <v/>
          </cell>
        </row>
        <row r="2560">
          <cell r="B2560" t="str">
            <v/>
          </cell>
        </row>
        <row r="2561">
          <cell r="B2561" t="str">
            <v/>
          </cell>
        </row>
        <row r="2562">
          <cell r="B2562" t="str">
            <v/>
          </cell>
        </row>
        <row r="2563">
          <cell r="B2563" t="str">
            <v/>
          </cell>
        </row>
        <row r="2564">
          <cell r="B2564" t="str">
            <v/>
          </cell>
        </row>
        <row r="2565">
          <cell r="B2565" t="str">
            <v/>
          </cell>
        </row>
        <row r="2566">
          <cell r="B2566" t="str">
            <v/>
          </cell>
        </row>
        <row r="2567">
          <cell r="B2567" t="str">
            <v/>
          </cell>
        </row>
        <row r="2568">
          <cell r="B2568" t="str">
            <v/>
          </cell>
        </row>
        <row r="2569">
          <cell r="B2569" t="str">
            <v/>
          </cell>
        </row>
        <row r="2570">
          <cell r="B2570" t="str">
            <v/>
          </cell>
        </row>
        <row r="2571">
          <cell r="B2571" t="str">
            <v/>
          </cell>
        </row>
        <row r="2572">
          <cell r="B2572" t="str">
            <v/>
          </cell>
        </row>
        <row r="2573">
          <cell r="B2573" t="str">
            <v/>
          </cell>
        </row>
        <row r="2574">
          <cell r="B2574" t="str">
            <v/>
          </cell>
        </row>
        <row r="2575">
          <cell r="B2575" t="str">
            <v/>
          </cell>
        </row>
        <row r="2576">
          <cell r="B2576" t="str">
            <v/>
          </cell>
        </row>
        <row r="2577">
          <cell r="B2577" t="str">
            <v/>
          </cell>
        </row>
        <row r="2578">
          <cell r="B2578" t="str">
            <v/>
          </cell>
        </row>
        <row r="2579">
          <cell r="B2579" t="str">
            <v/>
          </cell>
        </row>
        <row r="2580">
          <cell r="B2580" t="str">
            <v/>
          </cell>
        </row>
        <row r="2581">
          <cell r="B2581" t="str">
            <v/>
          </cell>
        </row>
        <row r="2582">
          <cell r="B2582" t="str">
            <v/>
          </cell>
        </row>
        <row r="2583">
          <cell r="B2583" t="str">
            <v/>
          </cell>
        </row>
        <row r="2584">
          <cell r="B2584" t="str">
            <v/>
          </cell>
        </row>
        <row r="2585">
          <cell r="B2585" t="str">
            <v/>
          </cell>
        </row>
        <row r="2586">
          <cell r="B2586" t="str">
            <v/>
          </cell>
        </row>
        <row r="2587">
          <cell r="B2587" t="str">
            <v/>
          </cell>
        </row>
        <row r="2588">
          <cell r="B2588" t="str">
            <v/>
          </cell>
        </row>
        <row r="2589">
          <cell r="B2589" t="str">
            <v/>
          </cell>
        </row>
        <row r="2590">
          <cell r="B2590" t="str">
            <v/>
          </cell>
        </row>
        <row r="2591">
          <cell r="B2591" t="str">
            <v/>
          </cell>
        </row>
        <row r="2592">
          <cell r="B2592" t="str">
            <v/>
          </cell>
        </row>
        <row r="2593">
          <cell r="B2593" t="str">
            <v/>
          </cell>
        </row>
        <row r="2594">
          <cell r="B2594" t="str">
            <v/>
          </cell>
        </row>
        <row r="2595">
          <cell r="B2595" t="str">
            <v/>
          </cell>
        </row>
        <row r="2596">
          <cell r="B2596" t="str">
            <v/>
          </cell>
        </row>
        <row r="2597">
          <cell r="B2597" t="str">
            <v/>
          </cell>
        </row>
        <row r="2598">
          <cell r="B2598" t="str">
            <v/>
          </cell>
        </row>
        <row r="2599">
          <cell r="B2599" t="str">
            <v/>
          </cell>
        </row>
        <row r="2600">
          <cell r="B2600" t="str">
            <v/>
          </cell>
        </row>
        <row r="2601">
          <cell r="B2601" t="str">
            <v/>
          </cell>
        </row>
        <row r="2602">
          <cell r="B2602" t="str">
            <v/>
          </cell>
        </row>
        <row r="2603">
          <cell r="B2603" t="str">
            <v/>
          </cell>
        </row>
        <row r="2604">
          <cell r="B2604" t="str">
            <v/>
          </cell>
        </row>
        <row r="2605">
          <cell r="B2605" t="str">
            <v/>
          </cell>
        </row>
        <row r="2606">
          <cell r="B2606" t="str">
            <v/>
          </cell>
        </row>
        <row r="2607">
          <cell r="B2607" t="str">
            <v/>
          </cell>
        </row>
        <row r="2608">
          <cell r="B2608" t="str">
            <v/>
          </cell>
        </row>
        <row r="2609">
          <cell r="B2609" t="str">
            <v/>
          </cell>
        </row>
        <row r="2610">
          <cell r="B2610" t="str">
            <v/>
          </cell>
        </row>
        <row r="2611">
          <cell r="B2611" t="str">
            <v/>
          </cell>
        </row>
        <row r="2612">
          <cell r="B2612" t="str">
            <v/>
          </cell>
        </row>
        <row r="2613">
          <cell r="B2613" t="str">
            <v/>
          </cell>
        </row>
        <row r="2614">
          <cell r="B2614" t="str">
            <v/>
          </cell>
        </row>
        <row r="2615">
          <cell r="B2615" t="str">
            <v/>
          </cell>
        </row>
        <row r="2616">
          <cell r="B2616" t="str">
            <v/>
          </cell>
        </row>
        <row r="2617">
          <cell r="B2617" t="str">
            <v/>
          </cell>
        </row>
        <row r="2618">
          <cell r="B2618" t="str">
            <v/>
          </cell>
        </row>
        <row r="2619">
          <cell r="B2619" t="str">
            <v/>
          </cell>
        </row>
        <row r="2620">
          <cell r="B2620" t="str">
            <v/>
          </cell>
        </row>
        <row r="2621">
          <cell r="B2621" t="str">
            <v/>
          </cell>
        </row>
        <row r="2622">
          <cell r="B2622" t="str">
            <v/>
          </cell>
        </row>
        <row r="2623">
          <cell r="B2623" t="str">
            <v/>
          </cell>
        </row>
        <row r="2624">
          <cell r="B2624" t="str">
            <v/>
          </cell>
        </row>
        <row r="2625">
          <cell r="B2625" t="str">
            <v/>
          </cell>
        </row>
        <row r="2626">
          <cell r="B2626" t="str">
            <v/>
          </cell>
        </row>
        <row r="2627">
          <cell r="B2627" t="str">
            <v/>
          </cell>
        </row>
        <row r="2628">
          <cell r="B2628" t="str">
            <v/>
          </cell>
        </row>
        <row r="2629">
          <cell r="B2629" t="str">
            <v/>
          </cell>
        </row>
        <row r="2630">
          <cell r="B2630" t="str">
            <v/>
          </cell>
        </row>
        <row r="2631">
          <cell r="B2631" t="str">
            <v/>
          </cell>
        </row>
        <row r="2632">
          <cell r="B2632" t="str">
            <v/>
          </cell>
        </row>
        <row r="2633">
          <cell r="B2633" t="str">
            <v/>
          </cell>
        </row>
        <row r="2634">
          <cell r="B2634" t="str">
            <v/>
          </cell>
        </row>
        <row r="2635">
          <cell r="B2635" t="str">
            <v/>
          </cell>
        </row>
        <row r="2636">
          <cell r="B2636" t="str">
            <v/>
          </cell>
        </row>
        <row r="2637">
          <cell r="B2637" t="str">
            <v/>
          </cell>
        </row>
        <row r="2638">
          <cell r="B2638" t="str">
            <v/>
          </cell>
        </row>
        <row r="2639">
          <cell r="B2639" t="str">
            <v/>
          </cell>
        </row>
        <row r="2640">
          <cell r="B2640" t="str">
            <v/>
          </cell>
        </row>
        <row r="2641">
          <cell r="B2641" t="str">
            <v/>
          </cell>
        </row>
        <row r="2642">
          <cell r="B2642" t="str">
            <v/>
          </cell>
        </row>
        <row r="2643">
          <cell r="B2643" t="str">
            <v/>
          </cell>
        </row>
        <row r="2644">
          <cell r="B2644" t="str">
            <v/>
          </cell>
        </row>
        <row r="2645">
          <cell r="B2645" t="str">
            <v/>
          </cell>
        </row>
        <row r="2646">
          <cell r="B2646" t="str">
            <v/>
          </cell>
        </row>
        <row r="2647">
          <cell r="B2647" t="str">
            <v/>
          </cell>
        </row>
        <row r="2648">
          <cell r="B2648" t="str">
            <v/>
          </cell>
        </row>
        <row r="2649">
          <cell r="B2649" t="str">
            <v/>
          </cell>
        </row>
        <row r="2650">
          <cell r="B2650" t="str">
            <v/>
          </cell>
        </row>
        <row r="2651">
          <cell r="B2651" t="str">
            <v/>
          </cell>
        </row>
        <row r="2652">
          <cell r="B2652" t="str">
            <v/>
          </cell>
        </row>
        <row r="2653">
          <cell r="B2653" t="str">
            <v/>
          </cell>
        </row>
        <row r="2654">
          <cell r="B2654" t="str">
            <v/>
          </cell>
        </row>
        <row r="2655">
          <cell r="B2655" t="str">
            <v/>
          </cell>
        </row>
        <row r="2656">
          <cell r="B2656" t="str">
            <v/>
          </cell>
        </row>
        <row r="2657">
          <cell r="B2657" t="str">
            <v/>
          </cell>
        </row>
        <row r="2658">
          <cell r="B2658" t="str">
            <v/>
          </cell>
        </row>
        <row r="2659">
          <cell r="B2659" t="str">
            <v/>
          </cell>
        </row>
        <row r="2660">
          <cell r="B2660" t="str">
            <v/>
          </cell>
        </row>
        <row r="2661">
          <cell r="B2661" t="str">
            <v/>
          </cell>
        </row>
        <row r="2662">
          <cell r="B2662" t="str">
            <v/>
          </cell>
        </row>
        <row r="2663">
          <cell r="B2663" t="str">
            <v/>
          </cell>
        </row>
        <row r="2664">
          <cell r="B2664" t="str">
            <v/>
          </cell>
        </row>
        <row r="2665">
          <cell r="B2665" t="str">
            <v/>
          </cell>
        </row>
        <row r="2666">
          <cell r="B2666" t="str">
            <v/>
          </cell>
        </row>
        <row r="2667">
          <cell r="B2667" t="str">
            <v/>
          </cell>
        </row>
        <row r="2668">
          <cell r="B2668" t="str">
            <v/>
          </cell>
        </row>
        <row r="2669">
          <cell r="B2669" t="str">
            <v/>
          </cell>
        </row>
        <row r="2670">
          <cell r="B2670" t="str">
            <v/>
          </cell>
        </row>
        <row r="2671">
          <cell r="B2671" t="str">
            <v/>
          </cell>
        </row>
        <row r="2672">
          <cell r="B2672" t="str">
            <v/>
          </cell>
        </row>
        <row r="2673">
          <cell r="B2673" t="str">
            <v/>
          </cell>
        </row>
        <row r="2674">
          <cell r="B2674" t="str">
            <v/>
          </cell>
        </row>
        <row r="2675">
          <cell r="B2675" t="str">
            <v/>
          </cell>
        </row>
        <row r="2676">
          <cell r="B2676" t="str">
            <v/>
          </cell>
        </row>
        <row r="2677">
          <cell r="B2677" t="str">
            <v/>
          </cell>
        </row>
        <row r="2678">
          <cell r="B2678" t="str">
            <v/>
          </cell>
        </row>
        <row r="2679">
          <cell r="B2679" t="str">
            <v/>
          </cell>
        </row>
        <row r="2680">
          <cell r="B2680" t="str">
            <v/>
          </cell>
        </row>
        <row r="2681">
          <cell r="B2681" t="str">
            <v/>
          </cell>
        </row>
        <row r="2682">
          <cell r="B2682" t="str">
            <v/>
          </cell>
        </row>
        <row r="2683">
          <cell r="B2683" t="str">
            <v/>
          </cell>
        </row>
        <row r="2684">
          <cell r="B2684" t="str">
            <v/>
          </cell>
        </row>
        <row r="2685">
          <cell r="B2685" t="str">
            <v/>
          </cell>
        </row>
        <row r="2686">
          <cell r="B2686" t="str">
            <v/>
          </cell>
        </row>
        <row r="2687">
          <cell r="B2687" t="str">
            <v/>
          </cell>
        </row>
        <row r="2688">
          <cell r="B2688" t="str">
            <v/>
          </cell>
        </row>
        <row r="2689">
          <cell r="B2689" t="str">
            <v/>
          </cell>
        </row>
        <row r="2690">
          <cell r="B2690" t="str">
            <v/>
          </cell>
        </row>
        <row r="2691">
          <cell r="B2691" t="str">
            <v/>
          </cell>
        </row>
        <row r="2692">
          <cell r="B2692" t="str">
            <v/>
          </cell>
        </row>
        <row r="2693">
          <cell r="B2693" t="str">
            <v/>
          </cell>
        </row>
        <row r="2694">
          <cell r="B2694" t="str">
            <v/>
          </cell>
        </row>
        <row r="2695">
          <cell r="B2695" t="str">
            <v/>
          </cell>
        </row>
        <row r="2696">
          <cell r="B2696" t="str">
            <v/>
          </cell>
        </row>
        <row r="2697">
          <cell r="B2697" t="str">
            <v/>
          </cell>
        </row>
        <row r="2698">
          <cell r="B2698" t="str">
            <v/>
          </cell>
        </row>
        <row r="2699">
          <cell r="B2699" t="str">
            <v/>
          </cell>
        </row>
        <row r="2700">
          <cell r="B2700" t="str">
            <v/>
          </cell>
        </row>
        <row r="2701">
          <cell r="B2701" t="str">
            <v/>
          </cell>
        </row>
        <row r="2702">
          <cell r="B2702" t="str">
            <v/>
          </cell>
        </row>
        <row r="2703">
          <cell r="B2703" t="str">
            <v/>
          </cell>
        </row>
        <row r="2704">
          <cell r="B2704" t="str">
            <v/>
          </cell>
        </row>
        <row r="2705">
          <cell r="B2705" t="str">
            <v/>
          </cell>
        </row>
        <row r="2706">
          <cell r="B2706" t="str">
            <v/>
          </cell>
        </row>
        <row r="2707">
          <cell r="B2707" t="str">
            <v/>
          </cell>
        </row>
        <row r="2708">
          <cell r="B2708" t="str">
            <v/>
          </cell>
        </row>
        <row r="2709">
          <cell r="B2709" t="str">
            <v/>
          </cell>
        </row>
        <row r="2710">
          <cell r="B2710" t="str">
            <v/>
          </cell>
        </row>
        <row r="2711">
          <cell r="B2711" t="str">
            <v/>
          </cell>
        </row>
        <row r="2712">
          <cell r="B2712" t="str">
            <v/>
          </cell>
        </row>
        <row r="2713">
          <cell r="B2713" t="str">
            <v/>
          </cell>
        </row>
        <row r="2714">
          <cell r="B2714" t="str">
            <v/>
          </cell>
        </row>
        <row r="2715">
          <cell r="B2715" t="str">
            <v/>
          </cell>
        </row>
        <row r="2716">
          <cell r="B2716" t="str">
            <v/>
          </cell>
        </row>
        <row r="2717">
          <cell r="B2717" t="str">
            <v/>
          </cell>
        </row>
        <row r="2718">
          <cell r="B2718" t="str">
            <v/>
          </cell>
        </row>
        <row r="2719">
          <cell r="B2719" t="str">
            <v/>
          </cell>
        </row>
        <row r="2720">
          <cell r="B2720" t="str">
            <v/>
          </cell>
        </row>
        <row r="2721">
          <cell r="B2721" t="str">
            <v/>
          </cell>
        </row>
        <row r="2722">
          <cell r="B2722" t="str">
            <v/>
          </cell>
        </row>
        <row r="2723">
          <cell r="B2723" t="str">
            <v/>
          </cell>
        </row>
        <row r="2724">
          <cell r="B2724" t="str">
            <v/>
          </cell>
        </row>
        <row r="2725">
          <cell r="B2725" t="str">
            <v/>
          </cell>
        </row>
        <row r="2726">
          <cell r="B2726" t="str">
            <v/>
          </cell>
        </row>
        <row r="2727">
          <cell r="B2727" t="str">
            <v/>
          </cell>
        </row>
        <row r="2728">
          <cell r="B2728" t="str">
            <v/>
          </cell>
        </row>
        <row r="2729">
          <cell r="B2729" t="str">
            <v/>
          </cell>
        </row>
        <row r="2730">
          <cell r="B2730" t="str">
            <v/>
          </cell>
        </row>
        <row r="2731">
          <cell r="B2731" t="str">
            <v/>
          </cell>
        </row>
        <row r="2732">
          <cell r="B2732" t="str">
            <v/>
          </cell>
        </row>
        <row r="2733">
          <cell r="B2733" t="str">
            <v/>
          </cell>
        </row>
        <row r="2734">
          <cell r="B2734" t="str">
            <v/>
          </cell>
        </row>
        <row r="2735">
          <cell r="B2735" t="str">
            <v/>
          </cell>
        </row>
        <row r="2736">
          <cell r="B2736" t="str">
            <v/>
          </cell>
        </row>
        <row r="2737">
          <cell r="B2737" t="str">
            <v/>
          </cell>
        </row>
        <row r="2738">
          <cell r="B2738" t="str">
            <v/>
          </cell>
        </row>
        <row r="2739">
          <cell r="B2739" t="str">
            <v/>
          </cell>
        </row>
        <row r="2740">
          <cell r="B2740" t="str">
            <v/>
          </cell>
        </row>
        <row r="2741">
          <cell r="B2741" t="str">
            <v/>
          </cell>
        </row>
        <row r="2742">
          <cell r="B2742" t="str">
            <v/>
          </cell>
        </row>
        <row r="2743">
          <cell r="B2743" t="str">
            <v/>
          </cell>
        </row>
        <row r="2744">
          <cell r="B2744" t="str">
            <v/>
          </cell>
        </row>
        <row r="2745">
          <cell r="B2745" t="str">
            <v/>
          </cell>
        </row>
        <row r="2746">
          <cell r="B2746" t="str">
            <v/>
          </cell>
        </row>
        <row r="2747">
          <cell r="B2747" t="str">
            <v/>
          </cell>
        </row>
        <row r="2748">
          <cell r="B2748" t="str">
            <v/>
          </cell>
        </row>
        <row r="2749">
          <cell r="B2749" t="str">
            <v/>
          </cell>
        </row>
        <row r="2750">
          <cell r="B2750" t="str">
            <v/>
          </cell>
        </row>
        <row r="2751">
          <cell r="B2751" t="str">
            <v/>
          </cell>
        </row>
        <row r="2752">
          <cell r="B2752" t="str">
            <v/>
          </cell>
        </row>
        <row r="2753">
          <cell r="B2753" t="str">
            <v/>
          </cell>
        </row>
        <row r="2754">
          <cell r="B2754" t="str">
            <v/>
          </cell>
        </row>
        <row r="2755">
          <cell r="B2755" t="str">
            <v/>
          </cell>
        </row>
        <row r="2756">
          <cell r="B2756" t="str">
            <v/>
          </cell>
        </row>
        <row r="2757">
          <cell r="B2757" t="str">
            <v/>
          </cell>
        </row>
        <row r="2758">
          <cell r="B2758" t="str">
            <v/>
          </cell>
        </row>
        <row r="2759">
          <cell r="B2759" t="str">
            <v/>
          </cell>
        </row>
        <row r="2760">
          <cell r="B2760" t="str">
            <v/>
          </cell>
        </row>
        <row r="2761">
          <cell r="B2761" t="str">
            <v/>
          </cell>
        </row>
        <row r="2762">
          <cell r="B2762" t="str">
            <v/>
          </cell>
        </row>
        <row r="2763">
          <cell r="B2763" t="str">
            <v/>
          </cell>
        </row>
        <row r="2764">
          <cell r="B2764" t="str">
            <v/>
          </cell>
        </row>
        <row r="2765">
          <cell r="B2765" t="str">
            <v/>
          </cell>
        </row>
        <row r="2766">
          <cell r="B2766" t="str">
            <v/>
          </cell>
        </row>
        <row r="2767">
          <cell r="B2767" t="str">
            <v/>
          </cell>
        </row>
        <row r="2768">
          <cell r="B2768" t="str">
            <v/>
          </cell>
        </row>
        <row r="2769">
          <cell r="B2769" t="str">
            <v/>
          </cell>
        </row>
        <row r="2770">
          <cell r="B2770" t="str">
            <v/>
          </cell>
        </row>
        <row r="2771">
          <cell r="B2771" t="str">
            <v/>
          </cell>
        </row>
        <row r="2772">
          <cell r="B2772" t="str">
            <v/>
          </cell>
        </row>
        <row r="2773">
          <cell r="B2773" t="str">
            <v/>
          </cell>
        </row>
        <row r="2774">
          <cell r="B2774" t="str">
            <v/>
          </cell>
        </row>
        <row r="2775">
          <cell r="B2775" t="str">
            <v/>
          </cell>
        </row>
        <row r="2776">
          <cell r="B2776" t="str">
            <v/>
          </cell>
        </row>
        <row r="2777">
          <cell r="B2777" t="str">
            <v/>
          </cell>
        </row>
        <row r="2778">
          <cell r="B2778" t="str">
            <v/>
          </cell>
        </row>
        <row r="2779">
          <cell r="B2779" t="str">
            <v/>
          </cell>
        </row>
        <row r="2780">
          <cell r="B2780" t="str">
            <v/>
          </cell>
        </row>
        <row r="2781">
          <cell r="B2781" t="str">
            <v/>
          </cell>
        </row>
        <row r="2782">
          <cell r="B2782" t="str">
            <v/>
          </cell>
        </row>
        <row r="2783">
          <cell r="B2783" t="str">
            <v/>
          </cell>
        </row>
        <row r="2784">
          <cell r="B2784" t="str">
            <v/>
          </cell>
        </row>
        <row r="2785">
          <cell r="B2785" t="str">
            <v/>
          </cell>
        </row>
        <row r="2786">
          <cell r="B2786" t="str">
            <v/>
          </cell>
        </row>
        <row r="2787">
          <cell r="B2787" t="str">
            <v/>
          </cell>
        </row>
        <row r="2788">
          <cell r="B2788" t="str">
            <v/>
          </cell>
        </row>
        <row r="2789">
          <cell r="B2789" t="str">
            <v/>
          </cell>
        </row>
        <row r="2790">
          <cell r="B2790" t="str">
            <v/>
          </cell>
        </row>
        <row r="2791">
          <cell r="B2791" t="str">
            <v/>
          </cell>
        </row>
        <row r="2792">
          <cell r="B2792" t="str">
            <v/>
          </cell>
        </row>
        <row r="2793">
          <cell r="B2793" t="str">
            <v/>
          </cell>
        </row>
        <row r="2794">
          <cell r="B2794" t="str">
            <v/>
          </cell>
        </row>
        <row r="2795">
          <cell r="B2795" t="str">
            <v/>
          </cell>
        </row>
        <row r="2796">
          <cell r="B2796" t="str">
            <v/>
          </cell>
        </row>
        <row r="2797">
          <cell r="B2797" t="str">
            <v/>
          </cell>
        </row>
        <row r="2798">
          <cell r="B2798" t="str">
            <v/>
          </cell>
        </row>
        <row r="2799">
          <cell r="B2799" t="str">
            <v/>
          </cell>
        </row>
        <row r="2800">
          <cell r="B2800" t="str">
            <v/>
          </cell>
        </row>
        <row r="2801">
          <cell r="B2801" t="str">
            <v/>
          </cell>
        </row>
        <row r="2802">
          <cell r="B2802" t="str">
            <v/>
          </cell>
        </row>
        <row r="2803">
          <cell r="B2803" t="str">
            <v/>
          </cell>
        </row>
        <row r="2804">
          <cell r="B2804" t="str">
            <v/>
          </cell>
        </row>
        <row r="2805">
          <cell r="B2805" t="str">
            <v/>
          </cell>
        </row>
        <row r="2806">
          <cell r="B2806" t="str">
            <v/>
          </cell>
        </row>
        <row r="2807">
          <cell r="B2807" t="str">
            <v/>
          </cell>
        </row>
        <row r="2808">
          <cell r="B2808" t="str">
            <v/>
          </cell>
        </row>
        <row r="2809">
          <cell r="B2809" t="str">
            <v/>
          </cell>
        </row>
        <row r="2810">
          <cell r="B2810" t="str">
            <v/>
          </cell>
        </row>
        <row r="2811">
          <cell r="B2811" t="str">
            <v/>
          </cell>
        </row>
        <row r="2812">
          <cell r="B2812" t="str">
            <v/>
          </cell>
        </row>
        <row r="2813">
          <cell r="B2813" t="str">
            <v/>
          </cell>
        </row>
        <row r="2814">
          <cell r="B2814" t="str">
            <v/>
          </cell>
        </row>
        <row r="2815">
          <cell r="B2815" t="str">
            <v/>
          </cell>
        </row>
        <row r="2816">
          <cell r="B2816" t="str">
            <v/>
          </cell>
        </row>
        <row r="2817">
          <cell r="B2817" t="str">
            <v/>
          </cell>
        </row>
        <row r="2818">
          <cell r="B2818" t="str">
            <v/>
          </cell>
        </row>
        <row r="2819">
          <cell r="B2819" t="str">
            <v/>
          </cell>
        </row>
        <row r="2820">
          <cell r="B2820" t="str">
            <v/>
          </cell>
        </row>
        <row r="2821">
          <cell r="B2821" t="str">
            <v/>
          </cell>
        </row>
        <row r="2822">
          <cell r="B2822" t="str">
            <v/>
          </cell>
        </row>
        <row r="2823">
          <cell r="B2823" t="str">
            <v/>
          </cell>
        </row>
        <row r="2824">
          <cell r="B2824" t="str">
            <v/>
          </cell>
        </row>
        <row r="2825">
          <cell r="B2825" t="str">
            <v/>
          </cell>
        </row>
        <row r="2826">
          <cell r="B2826" t="str">
            <v/>
          </cell>
        </row>
        <row r="2827">
          <cell r="B2827" t="str">
            <v/>
          </cell>
        </row>
        <row r="2828">
          <cell r="B2828" t="str">
            <v/>
          </cell>
        </row>
        <row r="2829">
          <cell r="B2829" t="str">
            <v/>
          </cell>
        </row>
        <row r="2830">
          <cell r="B2830" t="str">
            <v/>
          </cell>
        </row>
        <row r="2831">
          <cell r="B2831" t="str">
            <v/>
          </cell>
        </row>
        <row r="2832">
          <cell r="B2832" t="str">
            <v/>
          </cell>
        </row>
        <row r="2833">
          <cell r="B2833" t="str">
            <v/>
          </cell>
        </row>
        <row r="2834">
          <cell r="B2834" t="str">
            <v/>
          </cell>
        </row>
        <row r="2835">
          <cell r="B2835" t="str">
            <v/>
          </cell>
        </row>
        <row r="2836">
          <cell r="B2836" t="str">
            <v/>
          </cell>
        </row>
        <row r="2837">
          <cell r="B2837" t="str">
            <v/>
          </cell>
        </row>
        <row r="2838">
          <cell r="B2838" t="str">
            <v/>
          </cell>
        </row>
        <row r="2839">
          <cell r="B2839" t="str">
            <v/>
          </cell>
        </row>
        <row r="2840">
          <cell r="B2840" t="str">
            <v/>
          </cell>
        </row>
        <row r="2841">
          <cell r="B2841" t="str">
            <v/>
          </cell>
        </row>
        <row r="2842">
          <cell r="B2842" t="str">
            <v/>
          </cell>
        </row>
        <row r="2843">
          <cell r="B2843" t="str">
            <v/>
          </cell>
        </row>
        <row r="2844">
          <cell r="B2844" t="str">
            <v/>
          </cell>
        </row>
        <row r="2845">
          <cell r="B2845" t="str">
            <v/>
          </cell>
        </row>
        <row r="2846">
          <cell r="B2846" t="str">
            <v/>
          </cell>
        </row>
        <row r="2847">
          <cell r="B2847" t="str">
            <v/>
          </cell>
        </row>
        <row r="2848">
          <cell r="B2848" t="str">
            <v/>
          </cell>
        </row>
        <row r="2849">
          <cell r="B2849" t="str">
            <v/>
          </cell>
        </row>
        <row r="2850">
          <cell r="B2850" t="str">
            <v/>
          </cell>
        </row>
        <row r="2851">
          <cell r="B2851" t="str">
            <v/>
          </cell>
        </row>
        <row r="2852">
          <cell r="B2852" t="str">
            <v/>
          </cell>
        </row>
        <row r="2853">
          <cell r="B2853" t="str">
            <v/>
          </cell>
        </row>
        <row r="2854">
          <cell r="B2854" t="str">
            <v/>
          </cell>
        </row>
        <row r="2855">
          <cell r="B2855" t="str">
            <v/>
          </cell>
        </row>
        <row r="2856">
          <cell r="B2856" t="str">
            <v/>
          </cell>
        </row>
        <row r="2857">
          <cell r="B2857" t="str">
            <v/>
          </cell>
        </row>
        <row r="2858">
          <cell r="B2858" t="str">
            <v/>
          </cell>
        </row>
        <row r="2859">
          <cell r="B2859" t="str">
            <v/>
          </cell>
        </row>
        <row r="2860">
          <cell r="B2860" t="str">
            <v/>
          </cell>
        </row>
        <row r="2861">
          <cell r="B2861" t="str">
            <v/>
          </cell>
        </row>
        <row r="2862">
          <cell r="B2862" t="str">
            <v/>
          </cell>
        </row>
        <row r="2863">
          <cell r="B2863" t="str">
            <v/>
          </cell>
        </row>
        <row r="2864">
          <cell r="B2864" t="str">
            <v/>
          </cell>
        </row>
        <row r="2865">
          <cell r="B2865" t="str">
            <v/>
          </cell>
        </row>
        <row r="2866">
          <cell r="B2866" t="str">
            <v/>
          </cell>
        </row>
        <row r="2867">
          <cell r="B2867" t="str">
            <v/>
          </cell>
        </row>
        <row r="2868">
          <cell r="B2868" t="str">
            <v/>
          </cell>
        </row>
        <row r="2869">
          <cell r="B2869" t="str">
            <v/>
          </cell>
        </row>
        <row r="2870">
          <cell r="B2870" t="str">
            <v/>
          </cell>
        </row>
        <row r="2871">
          <cell r="B2871" t="str">
            <v/>
          </cell>
        </row>
        <row r="2872">
          <cell r="B2872" t="str">
            <v/>
          </cell>
        </row>
        <row r="2873">
          <cell r="B2873" t="str">
            <v/>
          </cell>
        </row>
        <row r="2874">
          <cell r="B2874" t="str">
            <v/>
          </cell>
        </row>
        <row r="2875">
          <cell r="B2875" t="str">
            <v/>
          </cell>
        </row>
        <row r="2876">
          <cell r="B2876" t="str">
            <v/>
          </cell>
        </row>
        <row r="2877">
          <cell r="B2877" t="str">
            <v/>
          </cell>
        </row>
        <row r="2878">
          <cell r="B2878" t="str">
            <v/>
          </cell>
        </row>
        <row r="2879">
          <cell r="B2879" t="str">
            <v/>
          </cell>
        </row>
        <row r="2880">
          <cell r="B2880" t="str">
            <v/>
          </cell>
        </row>
        <row r="2881">
          <cell r="B2881" t="str">
            <v/>
          </cell>
        </row>
        <row r="2882">
          <cell r="B2882" t="str">
            <v/>
          </cell>
        </row>
        <row r="2883">
          <cell r="B2883" t="str">
            <v/>
          </cell>
        </row>
        <row r="2884">
          <cell r="B2884" t="str">
            <v/>
          </cell>
        </row>
        <row r="2885">
          <cell r="B2885" t="str">
            <v/>
          </cell>
        </row>
        <row r="2886">
          <cell r="B2886" t="str">
            <v/>
          </cell>
        </row>
        <row r="2887">
          <cell r="B2887" t="str">
            <v/>
          </cell>
        </row>
        <row r="2888">
          <cell r="B2888" t="str">
            <v/>
          </cell>
        </row>
        <row r="2889">
          <cell r="B2889" t="str">
            <v/>
          </cell>
        </row>
        <row r="2890">
          <cell r="B2890" t="str">
            <v/>
          </cell>
        </row>
        <row r="2891">
          <cell r="B2891" t="str">
            <v/>
          </cell>
        </row>
        <row r="2892">
          <cell r="B2892" t="str">
            <v/>
          </cell>
        </row>
        <row r="2893">
          <cell r="B2893" t="str">
            <v/>
          </cell>
        </row>
        <row r="2894">
          <cell r="B2894" t="str">
            <v/>
          </cell>
        </row>
        <row r="2895">
          <cell r="B2895" t="str">
            <v/>
          </cell>
        </row>
        <row r="2896">
          <cell r="B2896" t="str">
            <v/>
          </cell>
        </row>
        <row r="2897">
          <cell r="B2897" t="str">
            <v/>
          </cell>
        </row>
        <row r="2898">
          <cell r="B2898" t="str">
            <v/>
          </cell>
        </row>
        <row r="2899">
          <cell r="B2899" t="str">
            <v/>
          </cell>
        </row>
        <row r="2900">
          <cell r="B2900" t="str">
            <v/>
          </cell>
        </row>
        <row r="2901">
          <cell r="B2901" t="str">
            <v/>
          </cell>
        </row>
        <row r="2902">
          <cell r="B2902" t="str">
            <v/>
          </cell>
        </row>
        <row r="2903">
          <cell r="B2903" t="str">
            <v/>
          </cell>
        </row>
        <row r="2904">
          <cell r="B2904" t="str">
            <v/>
          </cell>
        </row>
        <row r="2905">
          <cell r="B2905" t="str">
            <v/>
          </cell>
        </row>
        <row r="2906">
          <cell r="B2906" t="str">
            <v/>
          </cell>
        </row>
        <row r="2907">
          <cell r="B2907" t="str">
            <v/>
          </cell>
        </row>
        <row r="2908">
          <cell r="B2908" t="str">
            <v/>
          </cell>
        </row>
        <row r="2909">
          <cell r="B2909" t="str">
            <v/>
          </cell>
        </row>
        <row r="2910">
          <cell r="B2910" t="str">
            <v/>
          </cell>
        </row>
        <row r="2911">
          <cell r="B2911" t="str">
            <v/>
          </cell>
        </row>
        <row r="2912">
          <cell r="B2912" t="str">
            <v/>
          </cell>
        </row>
        <row r="2913">
          <cell r="B2913" t="str">
            <v/>
          </cell>
        </row>
        <row r="2914">
          <cell r="B2914" t="str">
            <v/>
          </cell>
        </row>
        <row r="2915">
          <cell r="B2915" t="str">
            <v/>
          </cell>
        </row>
        <row r="2916">
          <cell r="B2916" t="str">
            <v/>
          </cell>
        </row>
        <row r="2917">
          <cell r="B2917" t="str">
            <v/>
          </cell>
        </row>
        <row r="2918">
          <cell r="B2918" t="str">
            <v/>
          </cell>
        </row>
        <row r="2919">
          <cell r="B2919" t="str">
            <v/>
          </cell>
        </row>
        <row r="2920">
          <cell r="B2920" t="str">
            <v/>
          </cell>
        </row>
        <row r="2921">
          <cell r="B2921" t="str">
            <v/>
          </cell>
        </row>
        <row r="2922">
          <cell r="B2922" t="str">
            <v/>
          </cell>
        </row>
        <row r="2923">
          <cell r="B2923" t="str">
            <v/>
          </cell>
        </row>
        <row r="2924">
          <cell r="B2924" t="str">
            <v/>
          </cell>
        </row>
        <row r="2925">
          <cell r="B2925" t="str">
            <v/>
          </cell>
        </row>
        <row r="2926">
          <cell r="B2926" t="str">
            <v/>
          </cell>
        </row>
        <row r="2927">
          <cell r="B2927" t="str">
            <v/>
          </cell>
        </row>
        <row r="2928">
          <cell r="B2928" t="str">
            <v/>
          </cell>
        </row>
        <row r="2929">
          <cell r="B2929" t="str">
            <v/>
          </cell>
        </row>
        <row r="2930">
          <cell r="B2930" t="str">
            <v/>
          </cell>
        </row>
        <row r="2931">
          <cell r="B2931" t="str">
            <v/>
          </cell>
        </row>
        <row r="2932">
          <cell r="B2932" t="str">
            <v/>
          </cell>
        </row>
        <row r="2933">
          <cell r="B2933" t="str">
            <v/>
          </cell>
        </row>
        <row r="2934">
          <cell r="B2934" t="str">
            <v/>
          </cell>
        </row>
        <row r="2935">
          <cell r="B2935" t="str">
            <v/>
          </cell>
        </row>
        <row r="2936">
          <cell r="B2936" t="str">
            <v/>
          </cell>
        </row>
        <row r="2937">
          <cell r="B2937" t="str">
            <v/>
          </cell>
        </row>
        <row r="2938">
          <cell r="B2938" t="str">
            <v/>
          </cell>
        </row>
        <row r="2939">
          <cell r="B2939" t="str">
            <v/>
          </cell>
        </row>
        <row r="2940">
          <cell r="B2940" t="str">
            <v/>
          </cell>
        </row>
        <row r="2941">
          <cell r="B2941" t="str">
            <v/>
          </cell>
        </row>
        <row r="2942">
          <cell r="B2942" t="str">
            <v/>
          </cell>
        </row>
        <row r="2943">
          <cell r="B2943" t="str">
            <v/>
          </cell>
        </row>
        <row r="2944">
          <cell r="B2944" t="str">
            <v/>
          </cell>
        </row>
        <row r="2945">
          <cell r="B2945" t="str">
            <v/>
          </cell>
        </row>
        <row r="2946">
          <cell r="B2946" t="str">
            <v/>
          </cell>
        </row>
        <row r="2947">
          <cell r="B2947" t="str">
            <v/>
          </cell>
        </row>
        <row r="2948">
          <cell r="B2948" t="str">
            <v/>
          </cell>
        </row>
        <row r="2949">
          <cell r="B2949" t="str">
            <v/>
          </cell>
        </row>
        <row r="2950">
          <cell r="B2950" t="str">
            <v/>
          </cell>
        </row>
        <row r="2951">
          <cell r="B2951" t="str">
            <v/>
          </cell>
        </row>
        <row r="2952">
          <cell r="B2952" t="str">
            <v/>
          </cell>
        </row>
        <row r="2953">
          <cell r="B2953" t="str">
            <v/>
          </cell>
        </row>
        <row r="2954">
          <cell r="B2954" t="str">
            <v/>
          </cell>
        </row>
        <row r="2955">
          <cell r="B2955" t="str">
            <v/>
          </cell>
        </row>
        <row r="2956">
          <cell r="B2956" t="str">
            <v/>
          </cell>
        </row>
        <row r="2957">
          <cell r="B2957" t="str">
            <v/>
          </cell>
        </row>
        <row r="2958">
          <cell r="B2958" t="str">
            <v/>
          </cell>
        </row>
        <row r="2959">
          <cell r="B2959" t="str">
            <v/>
          </cell>
        </row>
        <row r="2960">
          <cell r="B2960" t="str">
            <v/>
          </cell>
        </row>
        <row r="2961">
          <cell r="B2961" t="str">
            <v/>
          </cell>
        </row>
        <row r="2962">
          <cell r="B2962" t="str">
            <v/>
          </cell>
        </row>
        <row r="2963">
          <cell r="B2963" t="str">
            <v/>
          </cell>
        </row>
        <row r="2964">
          <cell r="B2964" t="str">
            <v/>
          </cell>
        </row>
        <row r="2965">
          <cell r="B2965" t="str">
            <v/>
          </cell>
        </row>
        <row r="2966">
          <cell r="B2966" t="str">
            <v/>
          </cell>
        </row>
        <row r="2967">
          <cell r="B2967" t="str">
            <v/>
          </cell>
        </row>
        <row r="2968">
          <cell r="B2968" t="str">
            <v/>
          </cell>
        </row>
        <row r="2969">
          <cell r="B2969" t="str">
            <v/>
          </cell>
        </row>
        <row r="2970">
          <cell r="B2970" t="str">
            <v/>
          </cell>
        </row>
        <row r="2971">
          <cell r="B2971" t="str">
            <v/>
          </cell>
        </row>
        <row r="2972">
          <cell r="B2972" t="str">
            <v/>
          </cell>
        </row>
        <row r="2973">
          <cell r="B2973" t="str">
            <v/>
          </cell>
        </row>
        <row r="2974">
          <cell r="B2974" t="str">
            <v/>
          </cell>
        </row>
        <row r="2975">
          <cell r="B2975" t="str">
            <v/>
          </cell>
        </row>
        <row r="2976">
          <cell r="B2976" t="str">
            <v/>
          </cell>
        </row>
        <row r="2977">
          <cell r="B2977" t="str">
            <v/>
          </cell>
        </row>
        <row r="2978">
          <cell r="B2978" t="str">
            <v/>
          </cell>
        </row>
        <row r="2979">
          <cell r="B2979" t="str">
            <v/>
          </cell>
        </row>
        <row r="2980">
          <cell r="B2980" t="str">
            <v/>
          </cell>
        </row>
        <row r="2981">
          <cell r="B2981" t="str">
            <v/>
          </cell>
        </row>
        <row r="2982">
          <cell r="B2982" t="str">
            <v/>
          </cell>
        </row>
        <row r="2983">
          <cell r="B2983" t="str">
            <v/>
          </cell>
        </row>
        <row r="2984">
          <cell r="B2984" t="str">
            <v/>
          </cell>
        </row>
        <row r="2985">
          <cell r="B2985" t="str">
            <v/>
          </cell>
        </row>
        <row r="2986">
          <cell r="B2986" t="str">
            <v/>
          </cell>
        </row>
        <row r="2987">
          <cell r="B2987" t="str">
            <v/>
          </cell>
        </row>
        <row r="2988">
          <cell r="B2988" t="str">
            <v/>
          </cell>
        </row>
        <row r="2989">
          <cell r="B2989" t="str">
            <v/>
          </cell>
        </row>
        <row r="2990">
          <cell r="B2990" t="str">
            <v/>
          </cell>
        </row>
        <row r="2991">
          <cell r="B2991" t="str">
            <v/>
          </cell>
        </row>
        <row r="2992">
          <cell r="B2992" t="str">
            <v/>
          </cell>
        </row>
        <row r="2993">
          <cell r="B2993" t="str">
            <v/>
          </cell>
        </row>
        <row r="2994">
          <cell r="B2994" t="str">
            <v/>
          </cell>
        </row>
        <row r="2995">
          <cell r="B2995" t="str">
            <v/>
          </cell>
        </row>
        <row r="2996">
          <cell r="B2996" t="str">
            <v/>
          </cell>
        </row>
        <row r="2997">
          <cell r="B2997" t="str">
            <v/>
          </cell>
        </row>
        <row r="2998">
          <cell r="B2998" t="str">
            <v/>
          </cell>
        </row>
        <row r="2999">
          <cell r="B2999" t="str">
            <v/>
          </cell>
        </row>
        <row r="3000">
          <cell r="B3000" t="str">
            <v/>
          </cell>
        </row>
        <row r="3001">
          <cell r="B3001" t="str">
            <v/>
          </cell>
        </row>
        <row r="3002">
          <cell r="B3002" t="str">
            <v/>
          </cell>
        </row>
        <row r="3003">
          <cell r="B3003" t="str">
            <v/>
          </cell>
        </row>
        <row r="3004">
          <cell r="B3004" t="str">
            <v/>
          </cell>
        </row>
        <row r="3005">
          <cell r="B3005" t="str">
            <v/>
          </cell>
        </row>
        <row r="3006">
          <cell r="B3006" t="str">
            <v/>
          </cell>
        </row>
        <row r="3007">
          <cell r="B3007" t="str">
            <v/>
          </cell>
        </row>
        <row r="3008">
          <cell r="B3008" t="str">
            <v/>
          </cell>
        </row>
        <row r="3009">
          <cell r="B3009" t="str">
            <v/>
          </cell>
        </row>
        <row r="3010">
          <cell r="B3010" t="str">
            <v/>
          </cell>
        </row>
        <row r="3011">
          <cell r="B3011" t="str">
            <v/>
          </cell>
        </row>
        <row r="3012">
          <cell r="B3012" t="str">
            <v/>
          </cell>
        </row>
        <row r="3013">
          <cell r="B3013" t="str">
            <v/>
          </cell>
        </row>
        <row r="3014">
          <cell r="B3014" t="str">
            <v/>
          </cell>
        </row>
        <row r="3015">
          <cell r="B3015" t="str">
            <v/>
          </cell>
        </row>
        <row r="3016">
          <cell r="B3016" t="str">
            <v/>
          </cell>
        </row>
        <row r="3017">
          <cell r="B3017" t="str">
            <v/>
          </cell>
        </row>
        <row r="3018">
          <cell r="B3018" t="str">
            <v/>
          </cell>
        </row>
        <row r="3019">
          <cell r="B3019" t="str">
            <v/>
          </cell>
        </row>
        <row r="3020">
          <cell r="B3020" t="str">
            <v/>
          </cell>
        </row>
        <row r="3021">
          <cell r="B3021" t="str">
            <v/>
          </cell>
        </row>
        <row r="3022">
          <cell r="B3022" t="str">
            <v/>
          </cell>
        </row>
        <row r="3023">
          <cell r="B3023" t="str">
            <v/>
          </cell>
        </row>
        <row r="3024">
          <cell r="B3024" t="str">
            <v/>
          </cell>
        </row>
        <row r="3025">
          <cell r="B3025" t="str">
            <v/>
          </cell>
        </row>
        <row r="3026">
          <cell r="B3026" t="str">
            <v/>
          </cell>
        </row>
        <row r="3027">
          <cell r="B3027" t="str">
            <v/>
          </cell>
        </row>
        <row r="3028">
          <cell r="B3028" t="str">
            <v/>
          </cell>
        </row>
        <row r="3029">
          <cell r="B3029" t="str">
            <v/>
          </cell>
        </row>
        <row r="3030">
          <cell r="B3030" t="str">
            <v/>
          </cell>
        </row>
        <row r="3031">
          <cell r="B3031" t="str">
            <v/>
          </cell>
        </row>
        <row r="3032">
          <cell r="B3032" t="str">
            <v/>
          </cell>
        </row>
        <row r="3033">
          <cell r="B3033" t="str">
            <v/>
          </cell>
        </row>
        <row r="3034">
          <cell r="B3034" t="str">
            <v/>
          </cell>
        </row>
        <row r="3035">
          <cell r="B3035" t="str">
            <v/>
          </cell>
        </row>
        <row r="3036">
          <cell r="B3036" t="str">
            <v/>
          </cell>
        </row>
        <row r="3037">
          <cell r="B3037" t="str">
            <v/>
          </cell>
        </row>
        <row r="3038">
          <cell r="B3038" t="str">
            <v/>
          </cell>
        </row>
        <row r="3039">
          <cell r="B3039" t="str">
            <v/>
          </cell>
        </row>
        <row r="3040">
          <cell r="B3040" t="str">
            <v/>
          </cell>
        </row>
        <row r="3041">
          <cell r="B3041" t="str">
            <v/>
          </cell>
        </row>
        <row r="3042">
          <cell r="B3042" t="str">
            <v/>
          </cell>
        </row>
        <row r="3043">
          <cell r="B3043" t="str">
            <v/>
          </cell>
        </row>
        <row r="3044">
          <cell r="B3044" t="str">
            <v/>
          </cell>
        </row>
        <row r="3045">
          <cell r="B3045" t="str">
            <v/>
          </cell>
        </row>
        <row r="3046">
          <cell r="B3046" t="str">
            <v/>
          </cell>
        </row>
        <row r="3047">
          <cell r="B3047" t="str">
            <v/>
          </cell>
        </row>
        <row r="3048">
          <cell r="B3048" t="str">
            <v/>
          </cell>
        </row>
        <row r="3049">
          <cell r="B3049" t="str">
            <v/>
          </cell>
        </row>
        <row r="3050">
          <cell r="B3050" t="str">
            <v/>
          </cell>
        </row>
        <row r="3051">
          <cell r="B3051" t="str">
            <v/>
          </cell>
        </row>
        <row r="3052">
          <cell r="B3052" t="str">
            <v/>
          </cell>
        </row>
        <row r="3053">
          <cell r="B3053" t="str">
            <v/>
          </cell>
        </row>
        <row r="3054">
          <cell r="B3054" t="str">
            <v/>
          </cell>
        </row>
        <row r="3055">
          <cell r="B3055" t="str">
            <v/>
          </cell>
        </row>
        <row r="3056">
          <cell r="B3056" t="str">
            <v/>
          </cell>
        </row>
        <row r="3057">
          <cell r="B3057" t="str">
            <v/>
          </cell>
        </row>
        <row r="3058">
          <cell r="B3058" t="str">
            <v/>
          </cell>
        </row>
        <row r="3059">
          <cell r="B3059" t="str">
            <v/>
          </cell>
        </row>
        <row r="3060">
          <cell r="B3060" t="str">
            <v/>
          </cell>
        </row>
        <row r="3061">
          <cell r="B3061" t="str">
            <v/>
          </cell>
        </row>
        <row r="3062">
          <cell r="B3062" t="str">
            <v/>
          </cell>
        </row>
        <row r="3063">
          <cell r="B3063" t="str">
            <v/>
          </cell>
        </row>
        <row r="3064">
          <cell r="B3064" t="str">
            <v/>
          </cell>
        </row>
        <row r="3065">
          <cell r="B3065" t="str">
            <v/>
          </cell>
        </row>
        <row r="3066">
          <cell r="B3066" t="str">
            <v/>
          </cell>
        </row>
        <row r="3067">
          <cell r="B3067" t="str">
            <v/>
          </cell>
        </row>
        <row r="3068">
          <cell r="B3068" t="str">
            <v/>
          </cell>
        </row>
        <row r="3069">
          <cell r="B3069" t="str">
            <v/>
          </cell>
        </row>
        <row r="3070">
          <cell r="B3070" t="str">
            <v/>
          </cell>
        </row>
        <row r="3071">
          <cell r="B3071" t="str">
            <v/>
          </cell>
        </row>
        <row r="3072">
          <cell r="B3072" t="str">
            <v/>
          </cell>
        </row>
        <row r="3073">
          <cell r="B3073" t="str">
            <v/>
          </cell>
        </row>
        <row r="3074">
          <cell r="B3074" t="str">
            <v/>
          </cell>
        </row>
        <row r="3075">
          <cell r="B3075" t="str">
            <v/>
          </cell>
        </row>
        <row r="3076">
          <cell r="B3076" t="str">
            <v/>
          </cell>
        </row>
        <row r="3077">
          <cell r="B3077" t="str">
            <v/>
          </cell>
        </row>
        <row r="3078">
          <cell r="B3078" t="str">
            <v/>
          </cell>
        </row>
        <row r="3079">
          <cell r="B3079" t="str">
            <v/>
          </cell>
        </row>
        <row r="3080">
          <cell r="B3080" t="str">
            <v/>
          </cell>
        </row>
        <row r="3081">
          <cell r="B3081" t="str">
            <v/>
          </cell>
        </row>
        <row r="3082">
          <cell r="B3082" t="str">
            <v/>
          </cell>
        </row>
        <row r="3083">
          <cell r="B3083" t="str">
            <v/>
          </cell>
        </row>
        <row r="3084">
          <cell r="B3084" t="str">
            <v/>
          </cell>
        </row>
        <row r="3085">
          <cell r="B3085" t="str">
            <v/>
          </cell>
        </row>
        <row r="3086">
          <cell r="B3086" t="str">
            <v/>
          </cell>
        </row>
        <row r="3087">
          <cell r="B3087" t="str">
            <v/>
          </cell>
        </row>
        <row r="3088">
          <cell r="B3088" t="str">
            <v/>
          </cell>
        </row>
        <row r="3089">
          <cell r="B3089" t="str">
            <v/>
          </cell>
        </row>
        <row r="3090">
          <cell r="B3090" t="str">
            <v/>
          </cell>
        </row>
        <row r="3091">
          <cell r="B3091" t="str">
            <v/>
          </cell>
        </row>
        <row r="3092">
          <cell r="B3092" t="str">
            <v/>
          </cell>
        </row>
        <row r="3093">
          <cell r="B3093" t="str">
            <v/>
          </cell>
        </row>
        <row r="3094">
          <cell r="B3094" t="str">
            <v/>
          </cell>
        </row>
        <row r="3095">
          <cell r="B3095" t="str">
            <v/>
          </cell>
        </row>
        <row r="3096">
          <cell r="B3096" t="str">
            <v/>
          </cell>
        </row>
        <row r="3097">
          <cell r="B3097" t="str">
            <v/>
          </cell>
        </row>
        <row r="3098">
          <cell r="B3098" t="str">
            <v/>
          </cell>
        </row>
        <row r="3099">
          <cell r="B3099" t="str">
            <v/>
          </cell>
        </row>
        <row r="3100">
          <cell r="B3100" t="str">
            <v/>
          </cell>
        </row>
        <row r="3101">
          <cell r="B3101" t="str">
            <v/>
          </cell>
        </row>
        <row r="3102">
          <cell r="B3102" t="str">
            <v/>
          </cell>
        </row>
        <row r="3103">
          <cell r="B3103" t="str">
            <v/>
          </cell>
        </row>
        <row r="3104">
          <cell r="B3104" t="str">
            <v/>
          </cell>
        </row>
        <row r="3105">
          <cell r="B3105" t="str">
            <v/>
          </cell>
        </row>
        <row r="3106">
          <cell r="B3106" t="str">
            <v/>
          </cell>
        </row>
        <row r="3107">
          <cell r="B3107" t="str">
            <v/>
          </cell>
        </row>
        <row r="3108">
          <cell r="B3108" t="str">
            <v/>
          </cell>
        </row>
        <row r="3109">
          <cell r="B3109" t="str">
            <v/>
          </cell>
        </row>
        <row r="3110">
          <cell r="B3110" t="str">
            <v/>
          </cell>
        </row>
        <row r="3111">
          <cell r="B3111" t="str">
            <v/>
          </cell>
        </row>
        <row r="3112">
          <cell r="B3112" t="str">
            <v/>
          </cell>
        </row>
        <row r="3113">
          <cell r="B3113" t="str">
            <v/>
          </cell>
        </row>
        <row r="3114">
          <cell r="B3114" t="str">
            <v/>
          </cell>
        </row>
        <row r="3115">
          <cell r="B3115" t="str">
            <v/>
          </cell>
        </row>
        <row r="3116">
          <cell r="B3116" t="str">
            <v/>
          </cell>
        </row>
        <row r="3117">
          <cell r="B3117" t="str">
            <v/>
          </cell>
        </row>
        <row r="3118">
          <cell r="B3118" t="str">
            <v/>
          </cell>
        </row>
        <row r="3119">
          <cell r="B3119" t="str">
            <v/>
          </cell>
        </row>
        <row r="3120">
          <cell r="B3120" t="str">
            <v/>
          </cell>
        </row>
        <row r="3121">
          <cell r="B3121" t="str">
            <v/>
          </cell>
        </row>
        <row r="3122">
          <cell r="B3122" t="str">
            <v/>
          </cell>
        </row>
        <row r="3123">
          <cell r="B3123" t="str">
            <v/>
          </cell>
        </row>
        <row r="3124">
          <cell r="B3124" t="str">
            <v/>
          </cell>
        </row>
        <row r="3125">
          <cell r="B3125" t="str">
            <v/>
          </cell>
        </row>
        <row r="3126">
          <cell r="B3126" t="str">
            <v/>
          </cell>
        </row>
        <row r="3127">
          <cell r="B3127" t="str">
            <v/>
          </cell>
        </row>
        <row r="3128">
          <cell r="B3128" t="str">
            <v/>
          </cell>
        </row>
        <row r="3129">
          <cell r="B3129" t="str">
            <v/>
          </cell>
        </row>
        <row r="3130">
          <cell r="B3130" t="str">
            <v/>
          </cell>
        </row>
        <row r="3131">
          <cell r="B3131" t="str">
            <v/>
          </cell>
        </row>
        <row r="3132">
          <cell r="B3132" t="str">
            <v/>
          </cell>
        </row>
        <row r="3133">
          <cell r="B3133" t="str">
            <v/>
          </cell>
        </row>
        <row r="3134">
          <cell r="B3134" t="str">
            <v/>
          </cell>
        </row>
        <row r="3135">
          <cell r="B3135" t="str">
            <v/>
          </cell>
        </row>
        <row r="3136">
          <cell r="B3136" t="str">
            <v/>
          </cell>
        </row>
        <row r="3137">
          <cell r="B3137" t="str">
            <v/>
          </cell>
        </row>
        <row r="3138">
          <cell r="B3138" t="str">
            <v/>
          </cell>
        </row>
        <row r="3139">
          <cell r="B3139" t="str">
            <v/>
          </cell>
        </row>
        <row r="3140">
          <cell r="B3140" t="str">
            <v/>
          </cell>
        </row>
        <row r="3141">
          <cell r="B3141" t="str">
            <v/>
          </cell>
        </row>
        <row r="3142">
          <cell r="B3142" t="str">
            <v/>
          </cell>
        </row>
        <row r="3143">
          <cell r="B3143" t="str">
            <v/>
          </cell>
        </row>
        <row r="3144">
          <cell r="B3144" t="str">
            <v/>
          </cell>
        </row>
        <row r="3145">
          <cell r="B3145" t="str">
            <v/>
          </cell>
        </row>
        <row r="3146">
          <cell r="B3146" t="str">
            <v/>
          </cell>
        </row>
        <row r="3147">
          <cell r="B3147" t="str">
            <v/>
          </cell>
        </row>
        <row r="3148">
          <cell r="B3148" t="str">
            <v/>
          </cell>
        </row>
        <row r="3149">
          <cell r="B3149" t="str">
            <v/>
          </cell>
        </row>
        <row r="3150">
          <cell r="B3150" t="str">
            <v/>
          </cell>
        </row>
        <row r="3151">
          <cell r="B3151" t="str">
            <v/>
          </cell>
        </row>
        <row r="3152">
          <cell r="B3152" t="str">
            <v/>
          </cell>
        </row>
        <row r="3153">
          <cell r="B3153" t="str">
            <v/>
          </cell>
        </row>
        <row r="3154">
          <cell r="B3154" t="str">
            <v/>
          </cell>
        </row>
        <row r="3155">
          <cell r="B3155" t="str">
            <v/>
          </cell>
        </row>
        <row r="3156">
          <cell r="B3156" t="str">
            <v/>
          </cell>
        </row>
        <row r="3157">
          <cell r="B3157" t="str">
            <v/>
          </cell>
        </row>
        <row r="3158">
          <cell r="B3158" t="str">
            <v/>
          </cell>
        </row>
        <row r="3159">
          <cell r="B3159" t="str">
            <v/>
          </cell>
        </row>
        <row r="3160">
          <cell r="B3160" t="str">
            <v/>
          </cell>
        </row>
        <row r="3161">
          <cell r="B3161" t="str">
            <v/>
          </cell>
        </row>
        <row r="3162">
          <cell r="B3162" t="str">
            <v/>
          </cell>
        </row>
        <row r="3163">
          <cell r="B3163" t="str">
            <v/>
          </cell>
        </row>
        <row r="3164">
          <cell r="B3164" t="str">
            <v/>
          </cell>
        </row>
        <row r="3165">
          <cell r="B3165" t="str">
            <v/>
          </cell>
        </row>
        <row r="3166">
          <cell r="B3166" t="str">
            <v/>
          </cell>
        </row>
        <row r="3167">
          <cell r="B3167" t="str">
            <v/>
          </cell>
        </row>
        <row r="3168">
          <cell r="B3168" t="str">
            <v/>
          </cell>
        </row>
        <row r="3169">
          <cell r="B3169" t="str">
            <v/>
          </cell>
        </row>
        <row r="3170">
          <cell r="B3170" t="str">
            <v/>
          </cell>
        </row>
        <row r="3171">
          <cell r="B3171" t="str">
            <v/>
          </cell>
        </row>
        <row r="3172">
          <cell r="B3172" t="str">
            <v/>
          </cell>
        </row>
        <row r="3173">
          <cell r="B3173" t="str">
            <v/>
          </cell>
        </row>
        <row r="3174">
          <cell r="B3174" t="str">
            <v/>
          </cell>
        </row>
        <row r="3175">
          <cell r="B3175" t="str">
            <v/>
          </cell>
        </row>
        <row r="3176">
          <cell r="B3176" t="str">
            <v/>
          </cell>
        </row>
        <row r="3177">
          <cell r="B3177" t="str">
            <v/>
          </cell>
        </row>
        <row r="3178">
          <cell r="B3178" t="str">
            <v/>
          </cell>
        </row>
        <row r="3179">
          <cell r="B3179" t="str">
            <v/>
          </cell>
        </row>
        <row r="3180">
          <cell r="B3180" t="str">
            <v/>
          </cell>
        </row>
        <row r="3181">
          <cell r="B3181" t="str">
            <v/>
          </cell>
        </row>
        <row r="3182">
          <cell r="B3182" t="str">
            <v/>
          </cell>
        </row>
        <row r="3183">
          <cell r="B3183" t="str">
            <v/>
          </cell>
        </row>
        <row r="3184">
          <cell r="B3184" t="str">
            <v/>
          </cell>
        </row>
        <row r="3185">
          <cell r="B3185" t="str">
            <v/>
          </cell>
        </row>
        <row r="3186">
          <cell r="B3186" t="str">
            <v/>
          </cell>
        </row>
        <row r="3187">
          <cell r="B3187" t="str">
            <v/>
          </cell>
        </row>
        <row r="3188">
          <cell r="B3188" t="str">
            <v/>
          </cell>
        </row>
        <row r="3189">
          <cell r="B3189" t="str">
            <v/>
          </cell>
        </row>
        <row r="3190">
          <cell r="B3190" t="str">
            <v/>
          </cell>
        </row>
        <row r="3191">
          <cell r="B3191" t="str">
            <v/>
          </cell>
        </row>
        <row r="3192">
          <cell r="B3192" t="str">
            <v/>
          </cell>
        </row>
        <row r="3193">
          <cell r="B3193" t="str">
            <v/>
          </cell>
        </row>
        <row r="3194">
          <cell r="B3194" t="str">
            <v/>
          </cell>
        </row>
        <row r="3195">
          <cell r="B3195" t="str">
            <v/>
          </cell>
        </row>
        <row r="3196">
          <cell r="B3196" t="str">
            <v/>
          </cell>
        </row>
        <row r="3197">
          <cell r="B3197" t="str">
            <v/>
          </cell>
        </row>
        <row r="3198">
          <cell r="B3198" t="str">
            <v/>
          </cell>
        </row>
        <row r="3199">
          <cell r="B3199" t="str">
            <v/>
          </cell>
        </row>
        <row r="3200">
          <cell r="B3200" t="str">
            <v/>
          </cell>
        </row>
        <row r="3201">
          <cell r="B3201" t="str">
            <v/>
          </cell>
        </row>
        <row r="3202">
          <cell r="B3202" t="str">
            <v/>
          </cell>
        </row>
        <row r="3203">
          <cell r="B3203" t="str">
            <v/>
          </cell>
        </row>
        <row r="3204">
          <cell r="B3204" t="str">
            <v/>
          </cell>
        </row>
        <row r="3205">
          <cell r="B3205" t="str">
            <v/>
          </cell>
        </row>
        <row r="3206">
          <cell r="B3206" t="str">
            <v/>
          </cell>
        </row>
        <row r="3207">
          <cell r="B3207" t="str">
            <v/>
          </cell>
        </row>
        <row r="3208">
          <cell r="B3208" t="str">
            <v/>
          </cell>
        </row>
        <row r="3209">
          <cell r="B3209" t="str">
            <v/>
          </cell>
        </row>
        <row r="3210">
          <cell r="B3210" t="str">
            <v/>
          </cell>
        </row>
        <row r="3211">
          <cell r="B3211" t="str">
            <v/>
          </cell>
        </row>
        <row r="3212">
          <cell r="B3212" t="str">
            <v/>
          </cell>
        </row>
        <row r="3213">
          <cell r="B3213" t="str">
            <v/>
          </cell>
        </row>
        <row r="3214">
          <cell r="B3214" t="str">
            <v/>
          </cell>
        </row>
        <row r="3215">
          <cell r="B3215" t="str">
            <v/>
          </cell>
        </row>
        <row r="3216">
          <cell r="B3216" t="str">
            <v/>
          </cell>
        </row>
        <row r="3217">
          <cell r="B3217" t="str">
            <v/>
          </cell>
        </row>
        <row r="3218">
          <cell r="B3218" t="str">
            <v/>
          </cell>
        </row>
        <row r="3219">
          <cell r="B3219" t="str">
            <v/>
          </cell>
        </row>
        <row r="3220">
          <cell r="B3220" t="str">
            <v/>
          </cell>
        </row>
        <row r="3221">
          <cell r="B3221" t="str">
            <v/>
          </cell>
        </row>
        <row r="3222">
          <cell r="B3222" t="str">
            <v/>
          </cell>
        </row>
        <row r="3223">
          <cell r="B3223" t="str">
            <v/>
          </cell>
        </row>
        <row r="3224">
          <cell r="B3224" t="str">
            <v/>
          </cell>
        </row>
        <row r="3225">
          <cell r="B3225" t="str">
            <v/>
          </cell>
        </row>
        <row r="3226">
          <cell r="B3226" t="str">
            <v/>
          </cell>
        </row>
        <row r="3227">
          <cell r="B3227" t="str">
            <v/>
          </cell>
        </row>
        <row r="3228">
          <cell r="B3228" t="str">
            <v/>
          </cell>
        </row>
        <row r="3229">
          <cell r="B3229" t="str">
            <v/>
          </cell>
        </row>
        <row r="3230">
          <cell r="B3230" t="str">
            <v/>
          </cell>
        </row>
        <row r="3231">
          <cell r="B3231" t="str">
            <v/>
          </cell>
        </row>
        <row r="3232">
          <cell r="B3232" t="str">
            <v/>
          </cell>
        </row>
        <row r="3233">
          <cell r="B3233" t="str">
            <v/>
          </cell>
        </row>
        <row r="3234">
          <cell r="B3234" t="str">
            <v/>
          </cell>
        </row>
        <row r="3235">
          <cell r="B3235" t="str">
            <v/>
          </cell>
        </row>
        <row r="3236">
          <cell r="B3236" t="str">
            <v/>
          </cell>
        </row>
        <row r="3237">
          <cell r="B3237" t="str">
            <v/>
          </cell>
        </row>
        <row r="3238">
          <cell r="B3238" t="str">
            <v/>
          </cell>
        </row>
        <row r="3239">
          <cell r="B3239" t="str">
            <v/>
          </cell>
        </row>
        <row r="3240">
          <cell r="B3240" t="str">
            <v/>
          </cell>
        </row>
        <row r="3241">
          <cell r="B3241" t="str">
            <v/>
          </cell>
        </row>
        <row r="3242">
          <cell r="B3242" t="str">
            <v/>
          </cell>
        </row>
        <row r="3243">
          <cell r="B3243" t="str">
            <v/>
          </cell>
        </row>
        <row r="3244">
          <cell r="B3244" t="str">
            <v/>
          </cell>
        </row>
        <row r="3245">
          <cell r="B3245" t="str">
            <v/>
          </cell>
        </row>
        <row r="3246">
          <cell r="B3246" t="str">
            <v/>
          </cell>
        </row>
        <row r="3247">
          <cell r="B3247" t="str">
            <v/>
          </cell>
        </row>
        <row r="3248">
          <cell r="B3248" t="str">
            <v/>
          </cell>
        </row>
        <row r="3249">
          <cell r="B3249" t="str">
            <v/>
          </cell>
        </row>
        <row r="3250">
          <cell r="B3250" t="str">
            <v/>
          </cell>
        </row>
        <row r="3251">
          <cell r="B3251" t="str">
            <v/>
          </cell>
        </row>
        <row r="3252">
          <cell r="B3252" t="str">
            <v/>
          </cell>
        </row>
        <row r="3253">
          <cell r="B3253" t="str">
            <v/>
          </cell>
        </row>
        <row r="3254">
          <cell r="B3254" t="str">
            <v/>
          </cell>
        </row>
        <row r="3255">
          <cell r="B3255" t="str">
            <v/>
          </cell>
        </row>
        <row r="3256">
          <cell r="B3256" t="str">
            <v/>
          </cell>
        </row>
        <row r="3257">
          <cell r="B3257" t="str">
            <v/>
          </cell>
        </row>
        <row r="3258">
          <cell r="B3258" t="str">
            <v/>
          </cell>
        </row>
        <row r="3259">
          <cell r="B3259" t="str">
            <v/>
          </cell>
        </row>
        <row r="3260">
          <cell r="B3260" t="str">
            <v/>
          </cell>
        </row>
        <row r="3261">
          <cell r="B3261" t="str">
            <v/>
          </cell>
        </row>
        <row r="3262">
          <cell r="B3262" t="str">
            <v/>
          </cell>
        </row>
        <row r="3263">
          <cell r="B3263" t="str">
            <v/>
          </cell>
        </row>
        <row r="3264">
          <cell r="B3264" t="str">
            <v/>
          </cell>
        </row>
        <row r="3265">
          <cell r="B3265" t="str">
            <v/>
          </cell>
        </row>
        <row r="3266">
          <cell r="B3266" t="str">
            <v/>
          </cell>
        </row>
        <row r="3267">
          <cell r="B3267" t="str">
            <v/>
          </cell>
        </row>
        <row r="3268">
          <cell r="B3268" t="str">
            <v/>
          </cell>
        </row>
        <row r="3269">
          <cell r="B3269" t="str">
            <v/>
          </cell>
        </row>
        <row r="3270">
          <cell r="B3270" t="str">
            <v/>
          </cell>
        </row>
        <row r="3271">
          <cell r="B3271" t="str">
            <v/>
          </cell>
        </row>
        <row r="3272">
          <cell r="B3272" t="str">
            <v/>
          </cell>
        </row>
        <row r="3273">
          <cell r="B3273" t="str">
            <v/>
          </cell>
        </row>
        <row r="3274">
          <cell r="B3274" t="str">
            <v/>
          </cell>
        </row>
        <row r="3275">
          <cell r="B3275" t="str">
            <v/>
          </cell>
        </row>
        <row r="3276">
          <cell r="B3276" t="str">
            <v/>
          </cell>
        </row>
        <row r="3277">
          <cell r="B3277" t="str">
            <v/>
          </cell>
        </row>
        <row r="3278">
          <cell r="B3278" t="str">
            <v/>
          </cell>
        </row>
        <row r="3279">
          <cell r="B3279" t="str">
            <v/>
          </cell>
        </row>
        <row r="3280">
          <cell r="B3280" t="str">
            <v/>
          </cell>
        </row>
        <row r="3281">
          <cell r="B3281" t="str">
            <v/>
          </cell>
        </row>
        <row r="3282">
          <cell r="B3282" t="str">
            <v/>
          </cell>
        </row>
        <row r="3283">
          <cell r="B3283" t="str">
            <v/>
          </cell>
        </row>
        <row r="3284">
          <cell r="B3284" t="str">
            <v/>
          </cell>
        </row>
        <row r="3285">
          <cell r="B3285" t="str">
            <v/>
          </cell>
        </row>
        <row r="3286">
          <cell r="B3286" t="str">
            <v/>
          </cell>
        </row>
        <row r="3287">
          <cell r="B3287" t="str">
            <v/>
          </cell>
        </row>
        <row r="3288">
          <cell r="B3288" t="str">
            <v/>
          </cell>
        </row>
        <row r="3289">
          <cell r="B3289" t="str">
            <v/>
          </cell>
        </row>
        <row r="3290">
          <cell r="B3290" t="str">
            <v/>
          </cell>
        </row>
        <row r="3291">
          <cell r="B3291" t="str">
            <v/>
          </cell>
        </row>
        <row r="3292">
          <cell r="B3292" t="str">
            <v/>
          </cell>
        </row>
        <row r="3293">
          <cell r="B3293" t="str">
            <v/>
          </cell>
        </row>
        <row r="3294">
          <cell r="B3294" t="str">
            <v/>
          </cell>
        </row>
        <row r="3295">
          <cell r="B3295" t="str">
            <v/>
          </cell>
        </row>
        <row r="3296">
          <cell r="B3296" t="str">
            <v/>
          </cell>
        </row>
        <row r="3297">
          <cell r="B3297" t="str">
            <v/>
          </cell>
        </row>
        <row r="3298">
          <cell r="B3298" t="str">
            <v/>
          </cell>
        </row>
        <row r="3299">
          <cell r="B3299" t="str">
            <v/>
          </cell>
        </row>
        <row r="3300">
          <cell r="B3300" t="str">
            <v/>
          </cell>
        </row>
        <row r="3301">
          <cell r="B3301" t="str">
            <v/>
          </cell>
        </row>
        <row r="3302">
          <cell r="B3302" t="str">
            <v/>
          </cell>
        </row>
        <row r="3303">
          <cell r="B3303" t="str">
            <v/>
          </cell>
        </row>
        <row r="3304">
          <cell r="B3304" t="str">
            <v/>
          </cell>
        </row>
        <row r="3305">
          <cell r="B3305" t="str">
            <v/>
          </cell>
        </row>
        <row r="3306">
          <cell r="B3306" t="str">
            <v/>
          </cell>
        </row>
        <row r="3307">
          <cell r="B3307" t="str">
            <v/>
          </cell>
        </row>
        <row r="3308">
          <cell r="B3308" t="str">
            <v/>
          </cell>
        </row>
        <row r="3309">
          <cell r="B3309" t="str">
            <v/>
          </cell>
        </row>
        <row r="3310">
          <cell r="B3310" t="str">
            <v/>
          </cell>
        </row>
        <row r="3311">
          <cell r="B3311" t="str">
            <v/>
          </cell>
        </row>
        <row r="3312">
          <cell r="B3312" t="str">
            <v/>
          </cell>
        </row>
        <row r="3313">
          <cell r="B3313" t="str">
            <v/>
          </cell>
        </row>
        <row r="3314">
          <cell r="B3314" t="str">
            <v/>
          </cell>
        </row>
        <row r="3315">
          <cell r="B3315" t="str">
            <v/>
          </cell>
        </row>
        <row r="3316">
          <cell r="B3316" t="str">
            <v/>
          </cell>
        </row>
        <row r="3317">
          <cell r="B3317" t="str">
            <v/>
          </cell>
        </row>
        <row r="3318">
          <cell r="B3318" t="str">
            <v/>
          </cell>
        </row>
        <row r="3319">
          <cell r="B3319" t="str">
            <v/>
          </cell>
        </row>
        <row r="3320">
          <cell r="B3320" t="str">
            <v/>
          </cell>
        </row>
        <row r="3321">
          <cell r="B3321" t="str">
            <v/>
          </cell>
        </row>
        <row r="3322">
          <cell r="B3322" t="str">
            <v/>
          </cell>
        </row>
        <row r="3323">
          <cell r="B3323" t="str">
            <v/>
          </cell>
        </row>
        <row r="3324">
          <cell r="B3324" t="str">
            <v/>
          </cell>
        </row>
        <row r="3325">
          <cell r="B3325" t="str">
            <v/>
          </cell>
        </row>
        <row r="3326">
          <cell r="B3326" t="str">
            <v/>
          </cell>
        </row>
        <row r="3327">
          <cell r="B3327" t="str">
            <v/>
          </cell>
        </row>
        <row r="3328">
          <cell r="B3328" t="str">
            <v/>
          </cell>
        </row>
        <row r="3329">
          <cell r="B3329" t="str">
            <v/>
          </cell>
        </row>
        <row r="3330">
          <cell r="B3330" t="str">
            <v/>
          </cell>
        </row>
        <row r="3331">
          <cell r="B3331" t="str">
            <v/>
          </cell>
        </row>
        <row r="3332">
          <cell r="B3332" t="str">
            <v/>
          </cell>
        </row>
        <row r="3333">
          <cell r="B3333" t="str">
            <v/>
          </cell>
        </row>
        <row r="3334">
          <cell r="B3334" t="str">
            <v/>
          </cell>
        </row>
        <row r="3335">
          <cell r="B3335" t="str">
            <v/>
          </cell>
        </row>
        <row r="3336">
          <cell r="B3336" t="str">
            <v/>
          </cell>
        </row>
        <row r="3337">
          <cell r="B3337" t="str">
            <v/>
          </cell>
        </row>
        <row r="3338">
          <cell r="B3338" t="str">
            <v/>
          </cell>
        </row>
        <row r="3339">
          <cell r="B3339" t="str">
            <v/>
          </cell>
        </row>
        <row r="3340">
          <cell r="B3340" t="str">
            <v/>
          </cell>
        </row>
        <row r="3341">
          <cell r="B3341" t="str">
            <v/>
          </cell>
        </row>
        <row r="3342">
          <cell r="B3342" t="str">
            <v/>
          </cell>
        </row>
        <row r="3343">
          <cell r="B3343" t="str">
            <v/>
          </cell>
        </row>
        <row r="3344">
          <cell r="B3344" t="str">
            <v/>
          </cell>
        </row>
        <row r="3345">
          <cell r="B3345" t="str">
            <v/>
          </cell>
        </row>
        <row r="3346">
          <cell r="B3346" t="str">
            <v/>
          </cell>
        </row>
        <row r="3347">
          <cell r="B3347" t="str">
            <v/>
          </cell>
        </row>
        <row r="3348">
          <cell r="B3348" t="str">
            <v/>
          </cell>
        </row>
        <row r="3349">
          <cell r="B3349" t="str">
            <v/>
          </cell>
        </row>
        <row r="3350">
          <cell r="B3350" t="str">
            <v/>
          </cell>
        </row>
        <row r="3351">
          <cell r="B3351" t="str">
            <v/>
          </cell>
        </row>
        <row r="3352">
          <cell r="B3352" t="str">
            <v/>
          </cell>
        </row>
        <row r="3353">
          <cell r="B3353" t="str">
            <v/>
          </cell>
        </row>
        <row r="3354">
          <cell r="B3354" t="str">
            <v/>
          </cell>
        </row>
        <row r="3355">
          <cell r="B3355" t="str">
            <v/>
          </cell>
        </row>
        <row r="3356">
          <cell r="B3356" t="str">
            <v/>
          </cell>
        </row>
        <row r="3357">
          <cell r="B3357" t="str">
            <v/>
          </cell>
        </row>
        <row r="3358">
          <cell r="B3358" t="str">
            <v/>
          </cell>
        </row>
        <row r="3359">
          <cell r="B3359" t="str">
            <v/>
          </cell>
        </row>
        <row r="3360">
          <cell r="B3360" t="str">
            <v/>
          </cell>
        </row>
        <row r="3361">
          <cell r="B3361" t="str">
            <v/>
          </cell>
        </row>
        <row r="3362">
          <cell r="B3362" t="str">
            <v/>
          </cell>
        </row>
        <row r="3363">
          <cell r="B3363" t="str">
            <v/>
          </cell>
        </row>
        <row r="3364">
          <cell r="B3364" t="str">
            <v/>
          </cell>
        </row>
        <row r="3365">
          <cell r="B3365" t="str">
            <v/>
          </cell>
        </row>
        <row r="3366">
          <cell r="B3366" t="str">
            <v/>
          </cell>
        </row>
        <row r="3367">
          <cell r="B3367" t="str">
            <v/>
          </cell>
        </row>
        <row r="3368">
          <cell r="B3368" t="str">
            <v/>
          </cell>
        </row>
        <row r="3369">
          <cell r="B3369" t="str">
            <v/>
          </cell>
        </row>
        <row r="3370">
          <cell r="B3370" t="str">
            <v/>
          </cell>
        </row>
        <row r="3371">
          <cell r="B3371" t="str">
            <v/>
          </cell>
        </row>
        <row r="3372">
          <cell r="B3372" t="str">
            <v/>
          </cell>
        </row>
        <row r="3373">
          <cell r="B3373" t="str">
            <v/>
          </cell>
        </row>
        <row r="3374">
          <cell r="B3374" t="str">
            <v/>
          </cell>
        </row>
        <row r="3375">
          <cell r="B3375" t="str">
            <v/>
          </cell>
        </row>
        <row r="3376">
          <cell r="B3376" t="str">
            <v/>
          </cell>
        </row>
        <row r="3377">
          <cell r="B3377" t="str">
            <v/>
          </cell>
        </row>
        <row r="3378">
          <cell r="B3378" t="str">
            <v/>
          </cell>
        </row>
        <row r="3379">
          <cell r="B3379" t="str">
            <v/>
          </cell>
        </row>
        <row r="3380">
          <cell r="B3380" t="str">
            <v/>
          </cell>
        </row>
        <row r="3381">
          <cell r="B3381" t="str">
            <v/>
          </cell>
        </row>
        <row r="3382">
          <cell r="B3382" t="str">
            <v/>
          </cell>
        </row>
        <row r="3383">
          <cell r="B3383" t="str">
            <v/>
          </cell>
        </row>
        <row r="3384">
          <cell r="B3384" t="str">
            <v/>
          </cell>
        </row>
        <row r="3385">
          <cell r="B3385" t="str">
            <v/>
          </cell>
        </row>
        <row r="3386">
          <cell r="B3386" t="str">
            <v/>
          </cell>
        </row>
        <row r="3387">
          <cell r="B3387" t="str">
            <v/>
          </cell>
        </row>
        <row r="3388">
          <cell r="B3388" t="str">
            <v/>
          </cell>
        </row>
        <row r="3389">
          <cell r="B3389" t="str">
            <v/>
          </cell>
        </row>
        <row r="3390">
          <cell r="B3390" t="str">
            <v/>
          </cell>
        </row>
        <row r="3391">
          <cell r="B3391" t="str">
            <v/>
          </cell>
        </row>
        <row r="3392">
          <cell r="B3392" t="str">
            <v/>
          </cell>
        </row>
        <row r="3393">
          <cell r="B3393" t="str">
            <v/>
          </cell>
        </row>
        <row r="3394">
          <cell r="B3394" t="str">
            <v/>
          </cell>
        </row>
        <row r="3395">
          <cell r="B3395" t="str">
            <v/>
          </cell>
        </row>
        <row r="3396">
          <cell r="B3396" t="str">
            <v/>
          </cell>
        </row>
        <row r="3397">
          <cell r="B3397" t="str">
            <v/>
          </cell>
        </row>
        <row r="3398">
          <cell r="B3398" t="str">
            <v/>
          </cell>
        </row>
        <row r="3399">
          <cell r="B3399" t="str">
            <v/>
          </cell>
        </row>
        <row r="3400">
          <cell r="B3400" t="str">
            <v/>
          </cell>
        </row>
        <row r="3401">
          <cell r="B3401" t="str">
            <v/>
          </cell>
        </row>
        <row r="3402">
          <cell r="B3402" t="str">
            <v/>
          </cell>
        </row>
        <row r="3403">
          <cell r="B3403" t="str">
            <v/>
          </cell>
        </row>
        <row r="3404">
          <cell r="B3404" t="str">
            <v/>
          </cell>
        </row>
        <row r="3405">
          <cell r="B3405" t="str">
            <v/>
          </cell>
        </row>
        <row r="3406">
          <cell r="B3406" t="str">
            <v/>
          </cell>
        </row>
        <row r="3407">
          <cell r="B3407" t="str">
            <v/>
          </cell>
        </row>
        <row r="3408">
          <cell r="B3408" t="str">
            <v/>
          </cell>
        </row>
        <row r="3409">
          <cell r="B3409" t="str">
            <v/>
          </cell>
        </row>
        <row r="3410">
          <cell r="B3410" t="str">
            <v/>
          </cell>
        </row>
        <row r="3411">
          <cell r="B3411" t="str">
            <v/>
          </cell>
        </row>
        <row r="3412">
          <cell r="B3412" t="str">
            <v/>
          </cell>
        </row>
        <row r="3413">
          <cell r="B3413" t="str">
            <v/>
          </cell>
        </row>
        <row r="3414">
          <cell r="B3414" t="str">
            <v/>
          </cell>
        </row>
        <row r="3415">
          <cell r="B3415" t="str">
            <v/>
          </cell>
        </row>
        <row r="3416">
          <cell r="B3416" t="str">
            <v/>
          </cell>
        </row>
        <row r="3417">
          <cell r="B3417" t="str">
            <v/>
          </cell>
        </row>
        <row r="3418">
          <cell r="B3418" t="str">
            <v/>
          </cell>
        </row>
        <row r="3419">
          <cell r="B3419" t="str">
            <v/>
          </cell>
        </row>
        <row r="3420">
          <cell r="B3420" t="str">
            <v/>
          </cell>
        </row>
        <row r="3421">
          <cell r="B3421" t="str">
            <v/>
          </cell>
        </row>
        <row r="3422">
          <cell r="B3422" t="str">
            <v/>
          </cell>
        </row>
        <row r="3423">
          <cell r="B3423" t="str">
            <v/>
          </cell>
        </row>
        <row r="3424">
          <cell r="B3424" t="str">
            <v/>
          </cell>
        </row>
        <row r="3425">
          <cell r="B3425" t="str">
            <v/>
          </cell>
        </row>
        <row r="3426">
          <cell r="B3426" t="str">
            <v/>
          </cell>
        </row>
        <row r="3427">
          <cell r="B3427" t="str">
            <v/>
          </cell>
        </row>
        <row r="3428">
          <cell r="B3428" t="str">
            <v/>
          </cell>
        </row>
        <row r="3429">
          <cell r="B3429" t="str">
            <v/>
          </cell>
        </row>
        <row r="3430">
          <cell r="B3430" t="str">
            <v/>
          </cell>
        </row>
        <row r="3431">
          <cell r="B3431" t="str">
            <v/>
          </cell>
        </row>
        <row r="3432">
          <cell r="B3432" t="str">
            <v/>
          </cell>
        </row>
        <row r="3433">
          <cell r="B3433" t="str">
            <v/>
          </cell>
        </row>
        <row r="3434">
          <cell r="B3434" t="str">
            <v/>
          </cell>
        </row>
        <row r="3435">
          <cell r="B3435" t="str">
            <v/>
          </cell>
        </row>
        <row r="3436">
          <cell r="B3436" t="str">
            <v/>
          </cell>
        </row>
        <row r="3437">
          <cell r="B3437" t="str">
            <v/>
          </cell>
        </row>
        <row r="3438">
          <cell r="B3438" t="str">
            <v/>
          </cell>
        </row>
        <row r="3439">
          <cell r="B3439" t="str">
            <v/>
          </cell>
        </row>
        <row r="3440">
          <cell r="B3440" t="str">
            <v/>
          </cell>
        </row>
        <row r="3441">
          <cell r="B3441" t="str">
            <v/>
          </cell>
        </row>
        <row r="3442">
          <cell r="B3442" t="str">
            <v/>
          </cell>
        </row>
        <row r="3443">
          <cell r="B3443" t="str">
            <v/>
          </cell>
        </row>
        <row r="3444">
          <cell r="B3444" t="str">
            <v/>
          </cell>
        </row>
        <row r="3445">
          <cell r="B3445" t="str">
            <v/>
          </cell>
        </row>
        <row r="3446">
          <cell r="B3446" t="str">
            <v/>
          </cell>
        </row>
        <row r="3447">
          <cell r="B3447" t="str">
            <v/>
          </cell>
        </row>
        <row r="3448">
          <cell r="B3448" t="str">
            <v/>
          </cell>
        </row>
        <row r="3449">
          <cell r="B3449" t="str">
            <v/>
          </cell>
        </row>
        <row r="3450">
          <cell r="B3450" t="str">
            <v/>
          </cell>
        </row>
        <row r="3451">
          <cell r="B3451" t="str">
            <v/>
          </cell>
        </row>
        <row r="3452">
          <cell r="B3452" t="str">
            <v/>
          </cell>
        </row>
        <row r="3453">
          <cell r="B3453" t="str">
            <v/>
          </cell>
        </row>
        <row r="3454">
          <cell r="B3454" t="str">
            <v/>
          </cell>
        </row>
        <row r="3455">
          <cell r="B3455" t="str">
            <v/>
          </cell>
        </row>
        <row r="3456">
          <cell r="B3456" t="str">
            <v/>
          </cell>
        </row>
        <row r="3457">
          <cell r="B3457" t="str">
            <v/>
          </cell>
        </row>
        <row r="3458">
          <cell r="B3458" t="str">
            <v/>
          </cell>
        </row>
        <row r="3459">
          <cell r="B3459" t="str">
            <v/>
          </cell>
        </row>
        <row r="3460">
          <cell r="B3460" t="str">
            <v/>
          </cell>
        </row>
        <row r="3461">
          <cell r="B3461" t="str">
            <v/>
          </cell>
        </row>
        <row r="3462">
          <cell r="B3462" t="str">
            <v/>
          </cell>
        </row>
        <row r="3463">
          <cell r="B3463" t="str">
            <v/>
          </cell>
        </row>
        <row r="3464">
          <cell r="B3464" t="str">
            <v/>
          </cell>
        </row>
        <row r="3465">
          <cell r="B3465" t="str">
            <v/>
          </cell>
        </row>
        <row r="3466">
          <cell r="B3466" t="str">
            <v/>
          </cell>
        </row>
        <row r="3467">
          <cell r="B3467" t="str">
            <v/>
          </cell>
        </row>
        <row r="3468">
          <cell r="B3468" t="str">
            <v/>
          </cell>
        </row>
        <row r="3469">
          <cell r="B3469" t="str">
            <v/>
          </cell>
        </row>
        <row r="3470">
          <cell r="B3470" t="str">
            <v/>
          </cell>
        </row>
        <row r="3471">
          <cell r="B3471" t="str">
            <v/>
          </cell>
        </row>
        <row r="3472">
          <cell r="B3472" t="str">
            <v/>
          </cell>
        </row>
        <row r="3473">
          <cell r="B3473" t="str">
            <v/>
          </cell>
        </row>
        <row r="3474">
          <cell r="B3474" t="str">
            <v/>
          </cell>
        </row>
        <row r="3475">
          <cell r="B3475" t="str">
            <v/>
          </cell>
        </row>
        <row r="3476">
          <cell r="B3476" t="str">
            <v/>
          </cell>
        </row>
        <row r="3477">
          <cell r="B3477" t="str">
            <v/>
          </cell>
        </row>
        <row r="3478">
          <cell r="B3478" t="str">
            <v/>
          </cell>
        </row>
        <row r="3479">
          <cell r="B3479" t="str">
            <v/>
          </cell>
        </row>
        <row r="3480">
          <cell r="B3480" t="str">
            <v/>
          </cell>
        </row>
        <row r="3481">
          <cell r="B3481" t="str">
            <v/>
          </cell>
        </row>
        <row r="3482">
          <cell r="B3482" t="str">
            <v/>
          </cell>
        </row>
        <row r="3483">
          <cell r="B3483" t="str">
            <v/>
          </cell>
        </row>
        <row r="3484">
          <cell r="B3484" t="str">
            <v/>
          </cell>
        </row>
        <row r="3485">
          <cell r="B3485" t="str">
            <v/>
          </cell>
        </row>
        <row r="3486">
          <cell r="B3486" t="str">
            <v/>
          </cell>
        </row>
        <row r="3487">
          <cell r="B3487" t="str">
            <v/>
          </cell>
        </row>
        <row r="3488">
          <cell r="B3488" t="str">
            <v/>
          </cell>
        </row>
        <row r="3489">
          <cell r="B3489" t="str">
            <v/>
          </cell>
        </row>
        <row r="3490">
          <cell r="B3490" t="str">
            <v/>
          </cell>
        </row>
        <row r="3491">
          <cell r="B3491" t="str">
            <v/>
          </cell>
        </row>
        <row r="3492">
          <cell r="B3492" t="str">
            <v/>
          </cell>
        </row>
        <row r="3493">
          <cell r="B3493" t="str">
            <v/>
          </cell>
        </row>
        <row r="3494">
          <cell r="B3494" t="str">
            <v/>
          </cell>
        </row>
        <row r="3495">
          <cell r="B3495" t="str">
            <v/>
          </cell>
        </row>
        <row r="3496">
          <cell r="B3496" t="str">
            <v/>
          </cell>
        </row>
        <row r="3497">
          <cell r="B3497" t="str">
            <v/>
          </cell>
        </row>
        <row r="3498">
          <cell r="B3498" t="str">
            <v/>
          </cell>
        </row>
        <row r="3499">
          <cell r="B3499" t="str">
            <v/>
          </cell>
        </row>
        <row r="3500">
          <cell r="B3500" t="str">
            <v/>
          </cell>
        </row>
        <row r="3501">
          <cell r="B3501" t="str">
            <v/>
          </cell>
        </row>
        <row r="3502">
          <cell r="B3502" t="str">
            <v/>
          </cell>
        </row>
        <row r="3503">
          <cell r="B3503" t="str">
            <v/>
          </cell>
        </row>
        <row r="3504">
          <cell r="B3504" t="str">
            <v/>
          </cell>
        </row>
        <row r="3505">
          <cell r="B3505" t="str">
            <v/>
          </cell>
        </row>
        <row r="3506">
          <cell r="B3506" t="str">
            <v/>
          </cell>
        </row>
        <row r="3507">
          <cell r="B3507" t="str">
            <v/>
          </cell>
        </row>
        <row r="3508">
          <cell r="B3508" t="str">
            <v/>
          </cell>
        </row>
        <row r="3509">
          <cell r="B3509" t="str">
            <v/>
          </cell>
        </row>
        <row r="3510">
          <cell r="B3510" t="str">
            <v/>
          </cell>
        </row>
        <row r="3511">
          <cell r="B3511" t="str">
            <v/>
          </cell>
        </row>
        <row r="3512">
          <cell r="B3512" t="str">
            <v/>
          </cell>
        </row>
        <row r="3513">
          <cell r="B3513" t="str">
            <v/>
          </cell>
        </row>
        <row r="3514">
          <cell r="B3514" t="str">
            <v/>
          </cell>
        </row>
        <row r="3515">
          <cell r="B3515" t="str">
            <v/>
          </cell>
        </row>
        <row r="3516">
          <cell r="B3516" t="str">
            <v/>
          </cell>
        </row>
        <row r="3517">
          <cell r="B3517" t="str">
            <v/>
          </cell>
        </row>
        <row r="3518">
          <cell r="B3518" t="str">
            <v/>
          </cell>
        </row>
        <row r="3519">
          <cell r="B3519" t="str">
            <v/>
          </cell>
        </row>
        <row r="3520">
          <cell r="B3520" t="str">
            <v/>
          </cell>
        </row>
        <row r="3521">
          <cell r="B3521" t="str">
            <v/>
          </cell>
        </row>
        <row r="3522">
          <cell r="B3522" t="str">
            <v/>
          </cell>
        </row>
        <row r="3523">
          <cell r="B3523" t="str">
            <v/>
          </cell>
        </row>
        <row r="3524">
          <cell r="B3524" t="str">
            <v/>
          </cell>
        </row>
        <row r="3525">
          <cell r="B3525" t="str">
            <v/>
          </cell>
        </row>
        <row r="3526">
          <cell r="B3526" t="str">
            <v/>
          </cell>
        </row>
        <row r="3527">
          <cell r="B3527" t="str">
            <v/>
          </cell>
        </row>
        <row r="3528">
          <cell r="B3528" t="str">
            <v/>
          </cell>
        </row>
        <row r="3529">
          <cell r="B3529" t="str">
            <v/>
          </cell>
        </row>
        <row r="3530">
          <cell r="B3530" t="str">
            <v/>
          </cell>
        </row>
        <row r="3531">
          <cell r="B3531" t="str">
            <v/>
          </cell>
        </row>
        <row r="3532">
          <cell r="B3532" t="str">
            <v/>
          </cell>
        </row>
        <row r="3533">
          <cell r="B3533" t="str">
            <v/>
          </cell>
        </row>
        <row r="3534">
          <cell r="B3534" t="str">
            <v/>
          </cell>
        </row>
        <row r="3535">
          <cell r="B3535" t="str">
            <v/>
          </cell>
        </row>
        <row r="3536">
          <cell r="B3536" t="str">
            <v/>
          </cell>
        </row>
        <row r="3537">
          <cell r="B3537" t="str">
            <v/>
          </cell>
        </row>
        <row r="3538">
          <cell r="B3538" t="str">
            <v/>
          </cell>
        </row>
        <row r="3539">
          <cell r="B3539" t="str">
            <v/>
          </cell>
        </row>
        <row r="3540">
          <cell r="B3540" t="str">
            <v/>
          </cell>
        </row>
        <row r="3541">
          <cell r="B3541" t="str">
            <v/>
          </cell>
        </row>
        <row r="3542">
          <cell r="B3542" t="str">
            <v/>
          </cell>
        </row>
        <row r="3543">
          <cell r="B3543" t="str">
            <v/>
          </cell>
        </row>
        <row r="3544">
          <cell r="B3544" t="str">
            <v/>
          </cell>
        </row>
        <row r="3545">
          <cell r="B3545" t="str">
            <v/>
          </cell>
        </row>
        <row r="3546">
          <cell r="B3546" t="str">
            <v/>
          </cell>
        </row>
        <row r="3547">
          <cell r="B3547" t="str">
            <v/>
          </cell>
        </row>
        <row r="3548">
          <cell r="B3548" t="str">
            <v/>
          </cell>
        </row>
        <row r="3549">
          <cell r="B3549" t="str">
            <v/>
          </cell>
        </row>
        <row r="3550">
          <cell r="B3550" t="str">
            <v/>
          </cell>
        </row>
        <row r="3551">
          <cell r="B3551" t="str">
            <v/>
          </cell>
        </row>
        <row r="3552">
          <cell r="B3552" t="str">
            <v/>
          </cell>
        </row>
        <row r="3553">
          <cell r="B3553" t="str">
            <v/>
          </cell>
        </row>
        <row r="3554">
          <cell r="B3554" t="str">
            <v/>
          </cell>
        </row>
        <row r="3555">
          <cell r="B3555" t="str">
            <v/>
          </cell>
        </row>
        <row r="3556">
          <cell r="B3556" t="str">
            <v/>
          </cell>
        </row>
        <row r="3557">
          <cell r="B3557" t="str">
            <v/>
          </cell>
        </row>
        <row r="3558">
          <cell r="B3558" t="str">
            <v/>
          </cell>
        </row>
        <row r="3559">
          <cell r="B3559" t="str">
            <v/>
          </cell>
        </row>
        <row r="3560">
          <cell r="B3560" t="str">
            <v/>
          </cell>
        </row>
        <row r="3561">
          <cell r="B3561" t="str">
            <v/>
          </cell>
        </row>
        <row r="3562">
          <cell r="B3562" t="str">
            <v/>
          </cell>
        </row>
        <row r="3563">
          <cell r="B3563" t="str">
            <v/>
          </cell>
        </row>
        <row r="3564">
          <cell r="B3564" t="str">
            <v/>
          </cell>
        </row>
        <row r="3565">
          <cell r="B3565" t="str">
            <v/>
          </cell>
        </row>
        <row r="3566">
          <cell r="B3566" t="str">
            <v/>
          </cell>
        </row>
        <row r="3567">
          <cell r="B3567" t="str">
            <v/>
          </cell>
        </row>
        <row r="3568">
          <cell r="B3568" t="str">
            <v/>
          </cell>
        </row>
        <row r="3569">
          <cell r="B3569" t="str">
            <v/>
          </cell>
        </row>
        <row r="3570">
          <cell r="B3570" t="str">
            <v/>
          </cell>
        </row>
        <row r="3571">
          <cell r="B3571" t="str">
            <v/>
          </cell>
        </row>
        <row r="3572">
          <cell r="B3572" t="str">
            <v/>
          </cell>
        </row>
        <row r="3573">
          <cell r="B3573" t="str">
            <v/>
          </cell>
        </row>
        <row r="3574">
          <cell r="B3574" t="str">
            <v/>
          </cell>
        </row>
        <row r="3575">
          <cell r="B3575" t="str">
            <v/>
          </cell>
        </row>
        <row r="3576">
          <cell r="B3576" t="str">
            <v/>
          </cell>
        </row>
        <row r="3577">
          <cell r="B3577" t="str">
            <v/>
          </cell>
        </row>
        <row r="3578">
          <cell r="B3578" t="str">
            <v/>
          </cell>
        </row>
        <row r="3579">
          <cell r="B3579" t="str">
            <v/>
          </cell>
        </row>
        <row r="3580">
          <cell r="B3580" t="str">
            <v/>
          </cell>
        </row>
        <row r="3581">
          <cell r="B3581" t="str">
            <v/>
          </cell>
        </row>
        <row r="3582">
          <cell r="B3582" t="str">
            <v/>
          </cell>
        </row>
        <row r="3583">
          <cell r="B3583" t="str">
            <v/>
          </cell>
        </row>
        <row r="3584">
          <cell r="B3584" t="str">
            <v/>
          </cell>
        </row>
        <row r="3585">
          <cell r="B3585" t="str">
            <v/>
          </cell>
        </row>
        <row r="3586">
          <cell r="B3586" t="str">
            <v/>
          </cell>
        </row>
        <row r="3587">
          <cell r="B3587" t="str">
            <v/>
          </cell>
        </row>
        <row r="3588">
          <cell r="B3588" t="str">
            <v/>
          </cell>
        </row>
        <row r="3589">
          <cell r="B3589" t="str">
            <v/>
          </cell>
        </row>
        <row r="3590">
          <cell r="B3590" t="str">
            <v/>
          </cell>
        </row>
        <row r="3591">
          <cell r="B3591" t="str">
            <v/>
          </cell>
        </row>
        <row r="3592">
          <cell r="B3592" t="str">
            <v/>
          </cell>
        </row>
        <row r="3593">
          <cell r="B3593" t="str">
            <v/>
          </cell>
        </row>
        <row r="3594">
          <cell r="B3594" t="str">
            <v/>
          </cell>
        </row>
        <row r="3595">
          <cell r="B3595" t="str">
            <v/>
          </cell>
        </row>
        <row r="3596">
          <cell r="B3596" t="str">
            <v/>
          </cell>
        </row>
        <row r="3597">
          <cell r="B3597" t="str">
            <v/>
          </cell>
        </row>
        <row r="3598">
          <cell r="B3598" t="str">
            <v/>
          </cell>
        </row>
        <row r="3599">
          <cell r="B3599" t="str">
            <v/>
          </cell>
        </row>
        <row r="3600">
          <cell r="B3600" t="str">
            <v/>
          </cell>
        </row>
        <row r="3601">
          <cell r="B3601" t="str">
            <v/>
          </cell>
        </row>
        <row r="3602">
          <cell r="B3602" t="str">
            <v/>
          </cell>
        </row>
        <row r="3603">
          <cell r="B3603" t="str">
            <v/>
          </cell>
        </row>
        <row r="3604">
          <cell r="B3604" t="str">
            <v/>
          </cell>
        </row>
        <row r="3605">
          <cell r="B3605" t="str">
            <v/>
          </cell>
        </row>
        <row r="3606">
          <cell r="B3606" t="str">
            <v/>
          </cell>
        </row>
        <row r="3607">
          <cell r="B3607" t="str">
            <v/>
          </cell>
        </row>
        <row r="3608">
          <cell r="B3608" t="str">
            <v/>
          </cell>
        </row>
        <row r="3609">
          <cell r="B3609" t="str">
            <v/>
          </cell>
        </row>
        <row r="3610">
          <cell r="B3610" t="str">
            <v/>
          </cell>
        </row>
        <row r="3611">
          <cell r="B3611" t="str">
            <v/>
          </cell>
        </row>
        <row r="3612">
          <cell r="B3612" t="str">
            <v/>
          </cell>
        </row>
        <row r="3613">
          <cell r="B3613" t="str">
            <v/>
          </cell>
        </row>
        <row r="3614">
          <cell r="B3614" t="str">
            <v/>
          </cell>
        </row>
        <row r="3615">
          <cell r="B3615" t="str">
            <v/>
          </cell>
        </row>
        <row r="3616">
          <cell r="B3616" t="str">
            <v/>
          </cell>
        </row>
        <row r="3617">
          <cell r="B3617" t="str">
            <v/>
          </cell>
        </row>
        <row r="3618">
          <cell r="B3618" t="str">
            <v/>
          </cell>
        </row>
        <row r="3619">
          <cell r="B3619" t="str">
            <v/>
          </cell>
        </row>
        <row r="3620">
          <cell r="B3620" t="str">
            <v/>
          </cell>
        </row>
        <row r="3621">
          <cell r="B3621" t="str">
            <v/>
          </cell>
        </row>
        <row r="3622">
          <cell r="B3622" t="str">
            <v/>
          </cell>
        </row>
        <row r="3623">
          <cell r="B3623" t="str">
            <v/>
          </cell>
        </row>
        <row r="3624">
          <cell r="B3624" t="str">
            <v/>
          </cell>
        </row>
        <row r="3625">
          <cell r="B3625" t="str">
            <v/>
          </cell>
        </row>
        <row r="3626">
          <cell r="B3626" t="str">
            <v/>
          </cell>
        </row>
        <row r="3627">
          <cell r="B3627" t="str">
            <v/>
          </cell>
        </row>
        <row r="3628">
          <cell r="B3628" t="str">
            <v/>
          </cell>
        </row>
        <row r="3629">
          <cell r="B3629" t="str">
            <v/>
          </cell>
        </row>
        <row r="3630">
          <cell r="B3630" t="str">
            <v/>
          </cell>
        </row>
        <row r="3631">
          <cell r="B3631" t="str">
            <v/>
          </cell>
        </row>
        <row r="3632">
          <cell r="B3632" t="str">
            <v/>
          </cell>
        </row>
        <row r="3633">
          <cell r="B3633" t="str">
            <v/>
          </cell>
        </row>
        <row r="3634">
          <cell r="B3634" t="str">
            <v/>
          </cell>
        </row>
        <row r="3635">
          <cell r="B3635" t="str">
            <v/>
          </cell>
        </row>
        <row r="3636">
          <cell r="B3636" t="str">
            <v/>
          </cell>
        </row>
        <row r="3637">
          <cell r="B3637" t="str">
            <v/>
          </cell>
        </row>
        <row r="3638">
          <cell r="B3638" t="str">
            <v/>
          </cell>
        </row>
        <row r="3639">
          <cell r="B3639" t="str">
            <v/>
          </cell>
        </row>
        <row r="3640">
          <cell r="B3640" t="str">
            <v/>
          </cell>
        </row>
        <row r="3641">
          <cell r="B3641" t="str">
            <v/>
          </cell>
        </row>
        <row r="3642">
          <cell r="B3642" t="str">
            <v/>
          </cell>
        </row>
        <row r="3643">
          <cell r="B3643" t="str">
            <v/>
          </cell>
        </row>
        <row r="3644">
          <cell r="B3644" t="str">
            <v/>
          </cell>
        </row>
        <row r="3645">
          <cell r="B3645" t="str">
            <v/>
          </cell>
        </row>
        <row r="3646">
          <cell r="B3646" t="str">
            <v/>
          </cell>
        </row>
        <row r="3647">
          <cell r="B3647" t="str">
            <v/>
          </cell>
        </row>
        <row r="3648">
          <cell r="B3648" t="str">
            <v/>
          </cell>
        </row>
        <row r="3649">
          <cell r="B3649" t="str">
            <v/>
          </cell>
        </row>
        <row r="3650">
          <cell r="B3650" t="str">
            <v/>
          </cell>
        </row>
        <row r="3651">
          <cell r="B3651" t="str">
            <v/>
          </cell>
        </row>
        <row r="3652">
          <cell r="B3652" t="str">
            <v/>
          </cell>
        </row>
        <row r="3653">
          <cell r="B3653" t="str">
            <v/>
          </cell>
        </row>
        <row r="3654">
          <cell r="B3654" t="str">
            <v/>
          </cell>
        </row>
        <row r="3655">
          <cell r="B3655" t="str">
            <v/>
          </cell>
        </row>
        <row r="3656">
          <cell r="B3656" t="str">
            <v/>
          </cell>
        </row>
        <row r="3657">
          <cell r="B3657" t="str">
            <v/>
          </cell>
        </row>
        <row r="3658">
          <cell r="B3658" t="str">
            <v/>
          </cell>
        </row>
        <row r="3659">
          <cell r="B3659" t="str">
            <v/>
          </cell>
        </row>
        <row r="3660">
          <cell r="B3660" t="str">
            <v/>
          </cell>
        </row>
        <row r="3661">
          <cell r="B3661" t="str">
            <v/>
          </cell>
        </row>
        <row r="3662">
          <cell r="B3662" t="str">
            <v/>
          </cell>
        </row>
        <row r="3663">
          <cell r="B3663" t="str">
            <v/>
          </cell>
        </row>
        <row r="3664">
          <cell r="B3664" t="str">
            <v/>
          </cell>
        </row>
        <row r="3665">
          <cell r="B3665" t="str">
            <v/>
          </cell>
        </row>
        <row r="3666">
          <cell r="B3666" t="str">
            <v/>
          </cell>
        </row>
        <row r="3667">
          <cell r="B3667" t="str">
            <v/>
          </cell>
        </row>
        <row r="3668">
          <cell r="B3668" t="str">
            <v/>
          </cell>
        </row>
        <row r="3669">
          <cell r="B3669" t="str">
            <v/>
          </cell>
        </row>
        <row r="3670">
          <cell r="B3670" t="str">
            <v/>
          </cell>
        </row>
        <row r="3671">
          <cell r="B3671" t="str">
            <v/>
          </cell>
        </row>
        <row r="3672">
          <cell r="B3672" t="str">
            <v/>
          </cell>
        </row>
        <row r="3673">
          <cell r="B3673" t="str">
            <v/>
          </cell>
        </row>
        <row r="3674">
          <cell r="B3674" t="str">
            <v/>
          </cell>
        </row>
        <row r="3675">
          <cell r="B3675" t="str">
            <v/>
          </cell>
        </row>
        <row r="3676">
          <cell r="B3676" t="str">
            <v/>
          </cell>
        </row>
        <row r="3677">
          <cell r="B3677" t="str">
            <v/>
          </cell>
        </row>
        <row r="3678">
          <cell r="B3678" t="str">
            <v/>
          </cell>
        </row>
        <row r="3679">
          <cell r="B3679" t="str">
            <v/>
          </cell>
        </row>
        <row r="3680">
          <cell r="B3680" t="str">
            <v/>
          </cell>
        </row>
        <row r="3681">
          <cell r="B3681" t="str">
            <v/>
          </cell>
        </row>
        <row r="3682">
          <cell r="B3682" t="str">
            <v/>
          </cell>
        </row>
        <row r="3683">
          <cell r="B3683" t="str">
            <v/>
          </cell>
        </row>
        <row r="3684">
          <cell r="B3684" t="str">
            <v/>
          </cell>
        </row>
        <row r="3685">
          <cell r="B3685" t="str">
            <v/>
          </cell>
        </row>
        <row r="3686">
          <cell r="B3686" t="str">
            <v/>
          </cell>
        </row>
        <row r="3687">
          <cell r="B3687" t="str">
            <v/>
          </cell>
        </row>
        <row r="3688">
          <cell r="B3688" t="str">
            <v/>
          </cell>
        </row>
        <row r="3689">
          <cell r="B3689" t="str">
            <v/>
          </cell>
        </row>
        <row r="3690">
          <cell r="B3690" t="str">
            <v/>
          </cell>
        </row>
        <row r="3691">
          <cell r="B3691" t="str">
            <v/>
          </cell>
        </row>
        <row r="3692">
          <cell r="B3692" t="str">
            <v/>
          </cell>
        </row>
        <row r="3693">
          <cell r="B3693" t="str">
            <v/>
          </cell>
        </row>
        <row r="3694">
          <cell r="B3694" t="str">
            <v/>
          </cell>
        </row>
        <row r="3695">
          <cell r="B3695" t="str">
            <v/>
          </cell>
        </row>
        <row r="3696">
          <cell r="B3696" t="str">
            <v/>
          </cell>
        </row>
        <row r="3697">
          <cell r="B3697" t="str">
            <v/>
          </cell>
        </row>
        <row r="3698">
          <cell r="B3698" t="str">
            <v/>
          </cell>
        </row>
        <row r="3699">
          <cell r="B3699" t="str">
            <v/>
          </cell>
        </row>
        <row r="3700">
          <cell r="B3700" t="str">
            <v/>
          </cell>
        </row>
        <row r="3701">
          <cell r="B3701" t="str">
            <v/>
          </cell>
        </row>
        <row r="3702">
          <cell r="B3702" t="str">
            <v/>
          </cell>
        </row>
        <row r="3703">
          <cell r="B3703" t="str">
            <v/>
          </cell>
        </row>
        <row r="3704">
          <cell r="B3704" t="str">
            <v/>
          </cell>
        </row>
        <row r="3705">
          <cell r="B3705" t="str">
            <v/>
          </cell>
        </row>
        <row r="3706">
          <cell r="B3706" t="str">
            <v/>
          </cell>
        </row>
        <row r="3707">
          <cell r="B3707" t="str">
            <v/>
          </cell>
        </row>
        <row r="3708">
          <cell r="B3708" t="str">
            <v/>
          </cell>
        </row>
        <row r="3709">
          <cell r="B3709" t="str">
            <v/>
          </cell>
        </row>
        <row r="3710">
          <cell r="B3710" t="str">
            <v/>
          </cell>
        </row>
        <row r="3711">
          <cell r="B3711" t="str">
            <v/>
          </cell>
        </row>
        <row r="3712">
          <cell r="B3712" t="str">
            <v/>
          </cell>
        </row>
        <row r="3713">
          <cell r="B3713" t="str">
            <v/>
          </cell>
        </row>
        <row r="3714">
          <cell r="B3714" t="str">
            <v/>
          </cell>
        </row>
        <row r="3715">
          <cell r="B3715" t="str">
            <v/>
          </cell>
        </row>
        <row r="3716">
          <cell r="B3716" t="str">
            <v/>
          </cell>
        </row>
        <row r="3717">
          <cell r="B3717" t="str">
            <v/>
          </cell>
        </row>
        <row r="3718">
          <cell r="B3718" t="str">
            <v/>
          </cell>
        </row>
        <row r="3719">
          <cell r="B3719" t="str">
            <v/>
          </cell>
        </row>
        <row r="3720">
          <cell r="B3720" t="str">
            <v/>
          </cell>
        </row>
        <row r="3721">
          <cell r="B3721" t="str">
            <v/>
          </cell>
        </row>
        <row r="3722">
          <cell r="B3722" t="str">
            <v/>
          </cell>
        </row>
        <row r="3723">
          <cell r="B3723" t="str">
            <v/>
          </cell>
        </row>
        <row r="3724">
          <cell r="B3724" t="str">
            <v/>
          </cell>
        </row>
        <row r="3725">
          <cell r="B3725" t="str">
            <v/>
          </cell>
        </row>
        <row r="3726">
          <cell r="B3726" t="str">
            <v/>
          </cell>
        </row>
        <row r="3727">
          <cell r="B3727" t="str">
            <v/>
          </cell>
        </row>
        <row r="3728">
          <cell r="B3728" t="str">
            <v/>
          </cell>
        </row>
        <row r="3729">
          <cell r="B3729" t="str">
            <v/>
          </cell>
        </row>
        <row r="3730">
          <cell r="B3730" t="str">
            <v/>
          </cell>
        </row>
        <row r="3731">
          <cell r="B3731" t="str">
            <v/>
          </cell>
        </row>
        <row r="3732">
          <cell r="B3732" t="str">
            <v/>
          </cell>
        </row>
        <row r="3733">
          <cell r="B3733" t="str">
            <v/>
          </cell>
        </row>
        <row r="3734">
          <cell r="B3734" t="str">
            <v/>
          </cell>
        </row>
        <row r="3735">
          <cell r="B3735" t="str">
            <v/>
          </cell>
        </row>
        <row r="3736">
          <cell r="B3736" t="str">
            <v/>
          </cell>
        </row>
        <row r="3737">
          <cell r="B3737" t="str">
            <v/>
          </cell>
        </row>
        <row r="3738">
          <cell r="B3738" t="str">
            <v/>
          </cell>
        </row>
        <row r="3739">
          <cell r="B3739" t="str">
            <v/>
          </cell>
        </row>
        <row r="3740">
          <cell r="B3740" t="str">
            <v/>
          </cell>
        </row>
        <row r="3741">
          <cell r="B3741" t="str">
            <v/>
          </cell>
        </row>
        <row r="3742">
          <cell r="B3742" t="str">
            <v/>
          </cell>
        </row>
        <row r="3743">
          <cell r="B3743" t="str">
            <v/>
          </cell>
        </row>
        <row r="3744">
          <cell r="B3744" t="str">
            <v/>
          </cell>
        </row>
        <row r="3745">
          <cell r="B3745" t="str">
            <v/>
          </cell>
        </row>
        <row r="3746">
          <cell r="B3746" t="str">
            <v/>
          </cell>
        </row>
        <row r="3747">
          <cell r="B3747" t="str">
            <v/>
          </cell>
        </row>
        <row r="3748">
          <cell r="B3748" t="str">
            <v/>
          </cell>
        </row>
        <row r="3749">
          <cell r="B3749" t="str">
            <v/>
          </cell>
        </row>
        <row r="3750">
          <cell r="B3750" t="str">
            <v/>
          </cell>
        </row>
        <row r="3751">
          <cell r="B3751" t="str">
            <v/>
          </cell>
        </row>
        <row r="3752">
          <cell r="B3752" t="str">
            <v/>
          </cell>
        </row>
        <row r="3753">
          <cell r="B3753" t="str">
            <v/>
          </cell>
        </row>
        <row r="3754">
          <cell r="B3754" t="str">
            <v/>
          </cell>
        </row>
        <row r="3755">
          <cell r="B3755" t="str">
            <v/>
          </cell>
        </row>
        <row r="3756">
          <cell r="B3756" t="str">
            <v/>
          </cell>
        </row>
        <row r="3757">
          <cell r="B3757" t="str">
            <v/>
          </cell>
        </row>
        <row r="3758">
          <cell r="B3758" t="str">
            <v/>
          </cell>
        </row>
        <row r="3759">
          <cell r="B3759" t="str">
            <v/>
          </cell>
        </row>
        <row r="3760">
          <cell r="B3760" t="str">
            <v/>
          </cell>
        </row>
        <row r="3761">
          <cell r="B3761" t="str">
            <v/>
          </cell>
        </row>
        <row r="3762">
          <cell r="B3762" t="str">
            <v/>
          </cell>
        </row>
        <row r="3763">
          <cell r="B3763" t="str">
            <v/>
          </cell>
        </row>
        <row r="3764">
          <cell r="B3764" t="str">
            <v/>
          </cell>
        </row>
        <row r="3765">
          <cell r="B3765" t="str">
            <v/>
          </cell>
        </row>
        <row r="3766">
          <cell r="B3766" t="str">
            <v/>
          </cell>
        </row>
        <row r="3767">
          <cell r="B3767" t="str">
            <v/>
          </cell>
        </row>
        <row r="3768">
          <cell r="B3768" t="str">
            <v/>
          </cell>
        </row>
        <row r="3769">
          <cell r="B3769" t="str">
            <v/>
          </cell>
        </row>
        <row r="3770">
          <cell r="B3770" t="str">
            <v/>
          </cell>
        </row>
        <row r="3771">
          <cell r="B3771" t="str">
            <v/>
          </cell>
        </row>
        <row r="3772">
          <cell r="B3772" t="str">
            <v/>
          </cell>
        </row>
        <row r="3773">
          <cell r="B3773" t="str">
            <v/>
          </cell>
        </row>
        <row r="3774">
          <cell r="B3774" t="str">
            <v/>
          </cell>
        </row>
        <row r="3775">
          <cell r="B3775" t="str">
            <v/>
          </cell>
        </row>
        <row r="3776">
          <cell r="B3776" t="str">
            <v/>
          </cell>
        </row>
        <row r="3777">
          <cell r="B3777" t="str">
            <v/>
          </cell>
        </row>
        <row r="3778">
          <cell r="B3778" t="str">
            <v/>
          </cell>
        </row>
        <row r="3779">
          <cell r="B3779" t="str">
            <v/>
          </cell>
        </row>
        <row r="3780">
          <cell r="B3780" t="str">
            <v/>
          </cell>
        </row>
        <row r="3781">
          <cell r="B3781" t="str">
            <v/>
          </cell>
        </row>
        <row r="3782">
          <cell r="B3782" t="str">
            <v/>
          </cell>
        </row>
        <row r="3783">
          <cell r="B3783" t="str">
            <v/>
          </cell>
        </row>
        <row r="3784">
          <cell r="B3784" t="str">
            <v/>
          </cell>
        </row>
        <row r="3785">
          <cell r="B3785" t="str">
            <v/>
          </cell>
        </row>
        <row r="3786">
          <cell r="B3786" t="str">
            <v/>
          </cell>
        </row>
        <row r="3787">
          <cell r="B3787" t="str">
            <v/>
          </cell>
        </row>
        <row r="3788">
          <cell r="B3788" t="str">
            <v/>
          </cell>
        </row>
        <row r="3789">
          <cell r="B3789" t="str">
            <v/>
          </cell>
        </row>
        <row r="3790">
          <cell r="B3790" t="str">
            <v/>
          </cell>
        </row>
        <row r="3791">
          <cell r="B3791" t="str">
            <v/>
          </cell>
        </row>
        <row r="3792">
          <cell r="B3792" t="str">
            <v/>
          </cell>
        </row>
        <row r="3793">
          <cell r="B3793" t="str">
            <v/>
          </cell>
        </row>
        <row r="3794">
          <cell r="B3794" t="str">
            <v/>
          </cell>
        </row>
        <row r="3795">
          <cell r="B3795" t="str">
            <v/>
          </cell>
        </row>
        <row r="3796">
          <cell r="B3796" t="str">
            <v/>
          </cell>
        </row>
        <row r="3797">
          <cell r="B3797" t="str">
            <v/>
          </cell>
        </row>
        <row r="3798">
          <cell r="B3798" t="str">
            <v/>
          </cell>
        </row>
        <row r="3799">
          <cell r="B3799" t="str">
            <v/>
          </cell>
        </row>
        <row r="3800">
          <cell r="B3800" t="str">
            <v/>
          </cell>
        </row>
        <row r="3801">
          <cell r="B3801" t="str">
            <v/>
          </cell>
        </row>
        <row r="3802">
          <cell r="B3802" t="str">
            <v/>
          </cell>
        </row>
        <row r="3803">
          <cell r="B3803" t="str">
            <v/>
          </cell>
        </row>
        <row r="3804">
          <cell r="B3804" t="str">
            <v/>
          </cell>
        </row>
        <row r="3805">
          <cell r="B3805" t="str">
            <v/>
          </cell>
        </row>
        <row r="3806">
          <cell r="B3806" t="str">
            <v/>
          </cell>
        </row>
        <row r="3807">
          <cell r="B3807" t="str">
            <v/>
          </cell>
        </row>
        <row r="3808">
          <cell r="B3808" t="str">
            <v/>
          </cell>
        </row>
        <row r="3809">
          <cell r="B3809" t="str">
            <v/>
          </cell>
        </row>
        <row r="3810">
          <cell r="B3810" t="str">
            <v/>
          </cell>
        </row>
        <row r="3811">
          <cell r="B3811" t="str">
            <v/>
          </cell>
        </row>
        <row r="3812">
          <cell r="B3812" t="str">
            <v/>
          </cell>
        </row>
        <row r="3813">
          <cell r="B3813" t="str">
            <v/>
          </cell>
        </row>
        <row r="3814">
          <cell r="B3814" t="str">
            <v/>
          </cell>
        </row>
        <row r="3815">
          <cell r="B3815" t="str">
            <v/>
          </cell>
        </row>
        <row r="3816">
          <cell r="B3816" t="str">
            <v/>
          </cell>
        </row>
        <row r="3817">
          <cell r="B3817" t="str">
            <v/>
          </cell>
        </row>
        <row r="3818">
          <cell r="B3818" t="str">
            <v/>
          </cell>
        </row>
        <row r="3819">
          <cell r="B3819" t="str">
            <v/>
          </cell>
        </row>
        <row r="3820">
          <cell r="B3820" t="str">
            <v/>
          </cell>
        </row>
        <row r="3821">
          <cell r="B3821" t="str">
            <v/>
          </cell>
        </row>
        <row r="3822">
          <cell r="B3822" t="str">
            <v/>
          </cell>
        </row>
        <row r="3823">
          <cell r="B3823" t="str">
            <v/>
          </cell>
        </row>
        <row r="3824">
          <cell r="B3824" t="str">
            <v/>
          </cell>
        </row>
        <row r="3825">
          <cell r="B3825" t="str">
            <v/>
          </cell>
        </row>
        <row r="3826">
          <cell r="B3826" t="str">
            <v/>
          </cell>
        </row>
        <row r="3827">
          <cell r="B3827" t="str">
            <v/>
          </cell>
        </row>
        <row r="3828">
          <cell r="B3828" t="str">
            <v/>
          </cell>
        </row>
        <row r="3829">
          <cell r="B3829" t="str">
            <v/>
          </cell>
        </row>
        <row r="3830">
          <cell r="B3830" t="str">
            <v/>
          </cell>
        </row>
        <row r="3831">
          <cell r="B3831" t="str">
            <v/>
          </cell>
        </row>
        <row r="3832">
          <cell r="B3832" t="str">
            <v/>
          </cell>
        </row>
        <row r="3833">
          <cell r="B3833" t="str">
            <v/>
          </cell>
        </row>
        <row r="3834">
          <cell r="B3834" t="str">
            <v/>
          </cell>
        </row>
        <row r="3835">
          <cell r="B3835" t="str">
            <v/>
          </cell>
        </row>
        <row r="3836">
          <cell r="B3836" t="str">
            <v/>
          </cell>
        </row>
        <row r="3837">
          <cell r="B3837" t="str">
            <v/>
          </cell>
        </row>
        <row r="3838">
          <cell r="B3838" t="str">
            <v/>
          </cell>
        </row>
        <row r="3839">
          <cell r="B3839" t="str">
            <v/>
          </cell>
        </row>
        <row r="3840">
          <cell r="B3840" t="str">
            <v/>
          </cell>
        </row>
        <row r="3841">
          <cell r="B3841" t="str">
            <v/>
          </cell>
        </row>
        <row r="3842">
          <cell r="B3842" t="str">
            <v/>
          </cell>
        </row>
        <row r="3843">
          <cell r="B3843" t="str">
            <v/>
          </cell>
        </row>
        <row r="3844">
          <cell r="B3844" t="str">
            <v/>
          </cell>
        </row>
        <row r="3845">
          <cell r="B3845" t="str">
            <v/>
          </cell>
        </row>
        <row r="3846">
          <cell r="B3846" t="str">
            <v/>
          </cell>
        </row>
        <row r="3847">
          <cell r="B3847" t="str">
            <v/>
          </cell>
        </row>
        <row r="3848">
          <cell r="B3848" t="str">
            <v/>
          </cell>
        </row>
        <row r="3849">
          <cell r="B3849" t="str">
            <v/>
          </cell>
        </row>
        <row r="3850">
          <cell r="B3850" t="str">
            <v/>
          </cell>
        </row>
        <row r="3851">
          <cell r="B3851" t="str">
            <v/>
          </cell>
        </row>
        <row r="3852">
          <cell r="B3852" t="str">
            <v/>
          </cell>
        </row>
        <row r="3853">
          <cell r="B3853" t="str">
            <v/>
          </cell>
        </row>
        <row r="3854">
          <cell r="B3854" t="str">
            <v/>
          </cell>
        </row>
        <row r="3855">
          <cell r="B3855" t="str">
            <v/>
          </cell>
        </row>
        <row r="3856">
          <cell r="B3856" t="str">
            <v/>
          </cell>
        </row>
        <row r="3857">
          <cell r="B3857" t="str">
            <v/>
          </cell>
        </row>
        <row r="3858">
          <cell r="B3858" t="str">
            <v/>
          </cell>
        </row>
        <row r="3859">
          <cell r="B3859" t="str">
            <v/>
          </cell>
        </row>
        <row r="3860">
          <cell r="B3860" t="str">
            <v/>
          </cell>
        </row>
        <row r="3861">
          <cell r="B3861" t="str">
            <v/>
          </cell>
        </row>
        <row r="3862">
          <cell r="B3862" t="str">
            <v/>
          </cell>
        </row>
        <row r="3863">
          <cell r="B3863" t="str">
            <v/>
          </cell>
        </row>
        <row r="3864">
          <cell r="B3864" t="str">
            <v/>
          </cell>
        </row>
        <row r="3865">
          <cell r="B3865" t="str">
            <v/>
          </cell>
        </row>
        <row r="3866">
          <cell r="B3866" t="str">
            <v/>
          </cell>
        </row>
        <row r="3867">
          <cell r="B3867" t="str">
            <v/>
          </cell>
        </row>
        <row r="3868">
          <cell r="B3868" t="str">
            <v/>
          </cell>
        </row>
        <row r="3869">
          <cell r="B3869" t="str">
            <v/>
          </cell>
        </row>
        <row r="3870">
          <cell r="B3870" t="str">
            <v/>
          </cell>
        </row>
        <row r="3871">
          <cell r="B3871" t="str">
            <v/>
          </cell>
        </row>
        <row r="3872">
          <cell r="B3872" t="str">
            <v/>
          </cell>
        </row>
        <row r="3873">
          <cell r="B3873" t="str">
            <v/>
          </cell>
        </row>
        <row r="3874">
          <cell r="B3874" t="str">
            <v/>
          </cell>
        </row>
        <row r="3875">
          <cell r="B3875" t="str">
            <v/>
          </cell>
        </row>
        <row r="3876">
          <cell r="B3876" t="str">
            <v/>
          </cell>
        </row>
        <row r="3877">
          <cell r="B3877" t="str">
            <v/>
          </cell>
        </row>
        <row r="3878">
          <cell r="B3878" t="str">
            <v/>
          </cell>
        </row>
        <row r="3879">
          <cell r="B3879" t="str">
            <v/>
          </cell>
        </row>
        <row r="3880">
          <cell r="B3880" t="str">
            <v/>
          </cell>
        </row>
        <row r="3881">
          <cell r="B3881" t="str">
            <v/>
          </cell>
        </row>
        <row r="3882">
          <cell r="B3882" t="str">
            <v/>
          </cell>
        </row>
        <row r="3883">
          <cell r="B3883" t="str">
            <v/>
          </cell>
        </row>
        <row r="3884">
          <cell r="B3884" t="str">
            <v/>
          </cell>
        </row>
        <row r="3885">
          <cell r="B3885" t="str">
            <v/>
          </cell>
        </row>
        <row r="3886">
          <cell r="B3886" t="str">
            <v/>
          </cell>
        </row>
        <row r="3887">
          <cell r="B3887" t="str">
            <v/>
          </cell>
        </row>
        <row r="3888">
          <cell r="B3888" t="str">
            <v/>
          </cell>
        </row>
        <row r="3889">
          <cell r="B3889" t="str">
            <v/>
          </cell>
        </row>
        <row r="3890">
          <cell r="B3890" t="str">
            <v/>
          </cell>
        </row>
        <row r="3891">
          <cell r="B3891" t="str">
            <v/>
          </cell>
        </row>
        <row r="3892">
          <cell r="B3892" t="str">
            <v/>
          </cell>
        </row>
        <row r="3893">
          <cell r="B3893" t="str">
            <v/>
          </cell>
        </row>
        <row r="3894">
          <cell r="B3894" t="str">
            <v/>
          </cell>
        </row>
        <row r="3895">
          <cell r="B3895" t="str">
            <v/>
          </cell>
        </row>
        <row r="3896">
          <cell r="B3896" t="str">
            <v/>
          </cell>
        </row>
        <row r="3897">
          <cell r="B3897" t="str">
            <v/>
          </cell>
        </row>
        <row r="3898">
          <cell r="B3898" t="str">
            <v/>
          </cell>
        </row>
        <row r="3899">
          <cell r="B3899" t="str">
            <v/>
          </cell>
        </row>
        <row r="3900">
          <cell r="B3900" t="str">
            <v/>
          </cell>
        </row>
        <row r="3901">
          <cell r="B3901" t="str">
            <v/>
          </cell>
        </row>
        <row r="3902">
          <cell r="B3902" t="str">
            <v/>
          </cell>
        </row>
        <row r="3903">
          <cell r="B3903" t="str">
            <v/>
          </cell>
        </row>
        <row r="3904">
          <cell r="B3904" t="str">
            <v/>
          </cell>
        </row>
        <row r="3905">
          <cell r="B3905" t="str">
            <v/>
          </cell>
        </row>
        <row r="3906">
          <cell r="B3906" t="str">
            <v/>
          </cell>
        </row>
        <row r="3907">
          <cell r="B3907" t="str">
            <v/>
          </cell>
        </row>
        <row r="3908">
          <cell r="B3908" t="str">
            <v/>
          </cell>
        </row>
        <row r="3909">
          <cell r="B3909" t="str">
            <v/>
          </cell>
        </row>
        <row r="3910">
          <cell r="B3910" t="str">
            <v/>
          </cell>
        </row>
        <row r="3911">
          <cell r="B3911" t="str">
            <v/>
          </cell>
        </row>
        <row r="3912">
          <cell r="B3912" t="str">
            <v/>
          </cell>
        </row>
        <row r="3913">
          <cell r="B3913" t="str">
            <v/>
          </cell>
        </row>
        <row r="3914">
          <cell r="B3914" t="str">
            <v/>
          </cell>
        </row>
        <row r="3915">
          <cell r="B3915" t="str">
            <v/>
          </cell>
        </row>
        <row r="3916">
          <cell r="B3916" t="str">
            <v/>
          </cell>
        </row>
        <row r="3917">
          <cell r="B3917" t="str">
            <v/>
          </cell>
        </row>
        <row r="3918">
          <cell r="B3918" t="str">
            <v/>
          </cell>
        </row>
        <row r="3919">
          <cell r="B3919" t="str">
            <v/>
          </cell>
        </row>
        <row r="3920">
          <cell r="B3920" t="str">
            <v/>
          </cell>
        </row>
        <row r="3921">
          <cell r="B3921" t="str">
            <v/>
          </cell>
        </row>
        <row r="3922">
          <cell r="B3922" t="str">
            <v/>
          </cell>
        </row>
        <row r="3923">
          <cell r="B3923" t="str">
            <v/>
          </cell>
        </row>
        <row r="3924">
          <cell r="B3924" t="str">
            <v/>
          </cell>
        </row>
        <row r="3925">
          <cell r="B3925" t="str">
            <v/>
          </cell>
        </row>
        <row r="3926">
          <cell r="B3926" t="str">
            <v/>
          </cell>
        </row>
        <row r="3927">
          <cell r="B3927" t="str">
            <v/>
          </cell>
        </row>
        <row r="3928">
          <cell r="B3928" t="str">
            <v/>
          </cell>
        </row>
        <row r="3929">
          <cell r="B3929" t="str">
            <v/>
          </cell>
        </row>
        <row r="3930">
          <cell r="B3930" t="str">
            <v/>
          </cell>
        </row>
        <row r="3931">
          <cell r="B3931" t="str">
            <v/>
          </cell>
        </row>
        <row r="3932">
          <cell r="B3932" t="str">
            <v/>
          </cell>
        </row>
        <row r="3933">
          <cell r="B3933" t="str">
            <v/>
          </cell>
        </row>
        <row r="3934">
          <cell r="B3934" t="str">
            <v/>
          </cell>
        </row>
        <row r="3935">
          <cell r="B3935" t="str">
            <v/>
          </cell>
        </row>
        <row r="3936">
          <cell r="B3936" t="str">
            <v/>
          </cell>
        </row>
        <row r="3937">
          <cell r="B3937" t="str">
            <v/>
          </cell>
        </row>
        <row r="3938">
          <cell r="B3938" t="str">
            <v/>
          </cell>
        </row>
        <row r="3939">
          <cell r="B3939" t="str">
            <v/>
          </cell>
        </row>
        <row r="3940">
          <cell r="B3940" t="str">
            <v/>
          </cell>
        </row>
        <row r="3941">
          <cell r="B3941" t="str">
            <v/>
          </cell>
        </row>
        <row r="3942">
          <cell r="B3942" t="str">
            <v/>
          </cell>
        </row>
        <row r="3943">
          <cell r="B3943" t="str">
            <v/>
          </cell>
        </row>
        <row r="3944">
          <cell r="B3944" t="str">
            <v/>
          </cell>
        </row>
        <row r="3945">
          <cell r="B3945" t="str">
            <v/>
          </cell>
        </row>
        <row r="3946">
          <cell r="B3946" t="str">
            <v/>
          </cell>
        </row>
        <row r="3947">
          <cell r="B3947" t="str">
            <v/>
          </cell>
        </row>
        <row r="3948">
          <cell r="B3948" t="str">
            <v/>
          </cell>
        </row>
        <row r="3949">
          <cell r="B3949" t="str">
            <v/>
          </cell>
        </row>
        <row r="3950">
          <cell r="B3950" t="str">
            <v/>
          </cell>
        </row>
        <row r="3951">
          <cell r="B3951" t="str">
            <v/>
          </cell>
        </row>
        <row r="3952">
          <cell r="B3952" t="str">
            <v/>
          </cell>
        </row>
        <row r="3953">
          <cell r="B3953" t="str">
            <v/>
          </cell>
        </row>
        <row r="3954">
          <cell r="B3954" t="str">
            <v/>
          </cell>
        </row>
        <row r="3955">
          <cell r="B3955" t="str">
            <v/>
          </cell>
        </row>
        <row r="3956">
          <cell r="B3956" t="str">
            <v/>
          </cell>
        </row>
        <row r="3957">
          <cell r="B3957" t="str">
            <v/>
          </cell>
        </row>
        <row r="3958">
          <cell r="B3958" t="str">
            <v/>
          </cell>
        </row>
        <row r="3959">
          <cell r="B3959" t="str">
            <v/>
          </cell>
        </row>
        <row r="3960">
          <cell r="B3960" t="str">
            <v/>
          </cell>
        </row>
        <row r="3961">
          <cell r="B3961" t="str">
            <v/>
          </cell>
        </row>
        <row r="3962">
          <cell r="B3962" t="str">
            <v/>
          </cell>
        </row>
        <row r="3963">
          <cell r="B3963" t="str">
            <v/>
          </cell>
        </row>
        <row r="3964">
          <cell r="B3964" t="str">
            <v/>
          </cell>
        </row>
        <row r="3965">
          <cell r="B3965" t="str">
            <v/>
          </cell>
        </row>
        <row r="3966">
          <cell r="B3966" t="str">
            <v/>
          </cell>
        </row>
        <row r="3967">
          <cell r="B3967" t="str">
            <v/>
          </cell>
        </row>
        <row r="3968">
          <cell r="B3968" t="str">
            <v/>
          </cell>
        </row>
        <row r="3969">
          <cell r="B3969" t="str">
            <v/>
          </cell>
        </row>
        <row r="3970">
          <cell r="B3970" t="str">
            <v/>
          </cell>
        </row>
        <row r="3971">
          <cell r="B3971" t="str">
            <v/>
          </cell>
        </row>
        <row r="3972">
          <cell r="B3972" t="str">
            <v/>
          </cell>
        </row>
        <row r="3973">
          <cell r="B3973" t="str">
            <v/>
          </cell>
        </row>
        <row r="3974">
          <cell r="B3974" t="str">
            <v/>
          </cell>
        </row>
        <row r="3975">
          <cell r="B3975" t="str">
            <v/>
          </cell>
        </row>
        <row r="3976">
          <cell r="B3976" t="str">
            <v/>
          </cell>
        </row>
        <row r="3977">
          <cell r="B3977" t="str">
            <v/>
          </cell>
        </row>
        <row r="3978">
          <cell r="B3978" t="str">
            <v/>
          </cell>
        </row>
        <row r="3979">
          <cell r="B3979" t="str">
            <v/>
          </cell>
        </row>
        <row r="3980">
          <cell r="B3980" t="str">
            <v/>
          </cell>
        </row>
        <row r="3981">
          <cell r="B3981" t="str">
            <v/>
          </cell>
        </row>
        <row r="3982">
          <cell r="B3982" t="str">
            <v/>
          </cell>
        </row>
        <row r="3983">
          <cell r="B3983" t="str">
            <v/>
          </cell>
        </row>
        <row r="3984">
          <cell r="B3984" t="str">
            <v/>
          </cell>
        </row>
        <row r="3985">
          <cell r="B3985" t="str">
            <v/>
          </cell>
        </row>
        <row r="3986">
          <cell r="B3986" t="str">
            <v/>
          </cell>
        </row>
        <row r="3987">
          <cell r="B3987" t="str">
            <v/>
          </cell>
        </row>
        <row r="3988">
          <cell r="B3988" t="str">
            <v/>
          </cell>
        </row>
        <row r="3989">
          <cell r="B3989" t="str">
            <v/>
          </cell>
        </row>
        <row r="3990">
          <cell r="B3990" t="str">
            <v/>
          </cell>
        </row>
        <row r="3991">
          <cell r="B3991" t="str">
            <v/>
          </cell>
        </row>
        <row r="3992">
          <cell r="B3992" t="str">
            <v/>
          </cell>
        </row>
        <row r="3993">
          <cell r="B3993" t="str">
            <v/>
          </cell>
        </row>
        <row r="3994">
          <cell r="B3994" t="str">
            <v/>
          </cell>
        </row>
        <row r="3995">
          <cell r="B3995" t="str">
            <v/>
          </cell>
        </row>
        <row r="3996">
          <cell r="B3996" t="str">
            <v/>
          </cell>
        </row>
        <row r="3997">
          <cell r="B3997" t="str">
            <v/>
          </cell>
        </row>
        <row r="3998">
          <cell r="B3998" t="str">
            <v/>
          </cell>
        </row>
        <row r="3999">
          <cell r="B3999" t="str">
            <v/>
          </cell>
        </row>
        <row r="4000">
          <cell r="B4000" t="str">
            <v/>
          </cell>
        </row>
        <row r="4001">
          <cell r="B4001" t="str">
            <v/>
          </cell>
        </row>
        <row r="4002">
          <cell r="B4002" t="str">
            <v/>
          </cell>
        </row>
        <row r="4003">
          <cell r="B4003" t="str">
            <v/>
          </cell>
        </row>
        <row r="4004">
          <cell r="B4004" t="str">
            <v/>
          </cell>
        </row>
        <row r="4005">
          <cell r="B4005" t="str">
            <v/>
          </cell>
        </row>
        <row r="4006">
          <cell r="B4006" t="str">
            <v/>
          </cell>
        </row>
        <row r="4007">
          <cell r="B4007" t="str">
            <v/>
          </cell>
        </row>
        <row r="4008">
          <cell r="B4008" t="str">
            <v/>
          </cell>
        </row>
        <row r="4009">
          <cell r="B4009" t="str">
            <v/>
          </cell>
        </row>
        <row r="4010">
          <cell r="B4010" t="str">
            <v/>
          </cell>
        </row>
        <row r="4011">
          <cell r="B4011" t="str">
            <v/>
          </cell>
        </row>
        <row r="4012">
          <cell r="B4012" t="str">
            <v/>
          </cell>
        </row>
        <row r="4013">
          <cell r="B4013" t="str">
            <v/>
          </cell>
        </row>
        <row r="4014">
          <cell r="B4014" t="str">
            <v/>
          </cell>
        </row>
        <row r="4015">
          <cell r="B4015" t="str">
            <v/>
          </cell>
        </row>
        <row r="4016">
          <cell r="B4016" t="str">
            <v/>
          </cell>
        </row>
        <row r="4017">
          <cell r="B4017" t="str">
            <v/>
          </cell>
        </row>
        <row r="4018">
          <cell r="B4018" t="str">
            <v/>
          </cell>
        </row>
        <row r="4019">
          <cell r="B4019" t="str">
            <v/>
          </cell>
        </row>
        <row r="4020">
          <cell r="B4020" t="str">
            <v/>
          </cell>
        </row>
        <row r="4021">
          <cell r="B4021" t="str">
            <v/>
          </cell>
        </row>
        <row r="4022">
          <cell r="B4022" t="str">
            <v/>
          </cell>
        </row>
        <row r="4023">
          <cell r="B4023" t="str">
            <v/>
          </cell>
        </row>
        <row r="4024">
          <cell r="B4024" t="str">
            <v/>
          </cell>
        </row>
        <row r="4025">
          <cell r="B4025" t="str">
            <v/>
          </cell>
        </row>
        <row r="4026">
          <cell r="B4026" t="str">
            <v/>
          </cell>
        </row>
        <row r="4027">
          <cell r="B4027" t="str">
            <v/>
          </cell>
        </row>
        <row r="4028">
          <cell r="B4028" t="str">
            <v/>
          </cell>
        </row>
        <row r="4029">
          <cell r="B4029" t="str">
            <v/>
          </cell>
        </row>
        <row r="4030">
          <cell r="B4030" t="str">
            <v/>
          </cell>
        </row>
        <row r="4031">
          <cell r="B4031" t="str">
            <v/>
          </cell>
        </row>
        <row r="4032">
          <cell r="B4032" t="str">
            <v/>
          </cell>
        </row>
        <row r="4033">
          <cell r="B4033" t="str">
            <v/>
          </cell>
        </row>
        <row r="4034">
          <cell r="B4034" t="str">
            <v/>
          </cell>
        </row>
        <row r="4035">
          <cell r="B4035" t="str">
            <v/>
          </cell>
        </row>
        <row r="4036">
          <cell r="B4036" t="str">
            <v/>
          </cell>
        </row>
        <row r="4037">
          <cell r="B4037" t="str">
            <v/>
          </cell>
        </row>
        <row r="4038">
          <cell r="B4038" t="str">
            <v/>
          </cell>
        </row>
        <row r="4039">
          <cell r="B4039" t="str">
            <v/>
          </cell>
        </row>
        <row r="4040">
          <cell r="B4040" t="str">
            <v/>
          </cell>
        </row>
        <row r="4041">
          <cell r="B4041" t="str">
            <v/>
          </cell>
        </row>
        <row r="4042">
          <cell r="B4042" t="str">
            <v/>
          </cell>
        </row>
        <row r="4043">
          <cell r="B4043" t="str">
            <v/>
          </cell>
        </row>
        <row r="4044">
          <cell r="B4044" t="str">
            <v/>
          </cell>
        </row>
        <row r="4045">
          <cell r="B4045" t="str">
            <v/>
          </cell>
        </row>
        <row r="4046">
          <cell r="B4046" t="str">
            <v/>
          </cell>
        </row>
        <row r="4047">
          <cell r="B4047" t="str">
            <v/>
          </cell>
        </row>
        <row r="4048">
          <cell r="B4048" t="str">
            <v/>
          </cell>
        </row>
        <row r="4049">
          <cell r="B4049" t="str">
            <v/>
          </cell>
        </row>
        <row r="4050">
          <cell r="B4050" t="str">
            <v/>
          </cell>
        </row>
        <row r="4051">
          <cell r="B4051" t="str">
            <v/>
          </cell>
        </row>
        <row r="4052">
          <cell r="B4052" t="str">
            <v/>
          </cell>
        </row>
        <row r="4053">
          <cell r="B4053" t="str">
            <v/>
          </cell>
        </row>
        <row r="4054">
          <cell r="B4054" t="str">
            <v/>
          </cell>
        </row>
        <row r="4055">
          <cell r="B4055" t="str">
            <v/>
          </cell>
        </row>
        <row r="4056">
          <cell r="B4056" t="str">
            <v/>
          </cell>
        </row>
        <row r="4057">
          <cell r="B4057" t="str">
            <v/>
          </cell>
        </row>
        <row r="4058">
          <cell r="B4058" t="str">
            <v/>
          </cell>
        </row>
        <row r="4059">
          <cell r="B4059" t="str">
            <v/>
          </cell>
        </row>
        <row r="4060">
          <cell r="B4060" t="str">
            <v/>
          </cell>
        </row>
        <row r="4061">
          <cell r="B4061" t="str">
            <v/>
          </cell>
        </row>
        <row r="4062">
          <cell r="B4062" t="str">
            <v/>
          </cell>
        </row>
        <row r="4063">
          <cell r="B4063" t="str">
            <v/>
          </cell>
        </row>
        <row r="4064">
          <cell r="B4064" t="str">
            <v/>
          </cell>
        </row>
        <row r="4065">
          <cell r="B4065" t="str">
            <v/>
          </cell>
        </row>
        <row r="4066">
          <cell r="B4066" t="str">
            <v/>
          </cell>
        </row>
        <row r="4067">
          <cell r="B4067" t="str">
            <v/>
          </cell>
        </row>
        <row r="4068">
          <cell r="B4068" t="str">
            <v/>
          </cell>
        </row>
        <row r="4069">
          <cell r="B4069" t="str">
            <v/>
          </cell>
        </row>
        <row r="4070">
          <cell r="B4070" t="str">
            <v/>
          </cell>
        </row>
        <row r="4071">
          <cell r="B4071" t="str">
            <v/>
          </cell>
        </row>
        <row r="4072">
          <cell r="B4072" t="str">
            <v/>
          </cell>
        </row>
        <row r="4073">
          <cell r="B4073" t="str">
            <v/>
          </cell>
        </row>
        <row r="4074">
          <cell r="B4074" t="str">
            <v/>
          </cell>
        </row>
        <row r="4075">
          <cell r="B4075" t="str">
            <v/>
          </cell>
        </row>
        <row r="4076">
          <cell r="B4076" t="str">
            <v/>
          </cell>
        </row>
        <row r="4077">
          <cell r="B4077" t="str">
            <v/>
          </cell>
        </row>
        <row r="4078">
          <cell r="B4078" t="str">
            <v/>
          </cell>
        </row>
        <row r="4079">
          <cell r="B4079" t="str">
            <v/>
          </cell>
        </row>
        <row r="4080">
          <cell r="B4080" t="str">
            <v/>
          </cell>
        </row>
        <row r="4081">
          <cell r="B4081" t="str">
            <v/>
          </cell>
        </row>
        <row r="4082">
          <cell r="B4082" t="str">
            <v/>
          </cell>
        </row>
        <row r="4083">
          <cell r="B4083" t="str">
            <v/>
          </cell>
        </row>
        <row r="4084">
          <cell r="B4084" t="str">
            <v/>
          </cell>
        </row>
        <row r="4085">
          <cell r="B4085" t="str">
            <v/>
          </cell>
        </row>
        <row r="4086">
          <cell r="B4086" t="str">
            <v/>
          </cell>
        </row>
        <row r="4087">
          <cell r="B4087" t="str">
            <v/>
          </cell>
        </row>
        <row r="4088">
          <cell r="B4088" t="str">
            <v/>
          </cell>
        </row>
        <row r="4089">
          <cell r="B4089" t="str">
            <v/>
          </cell>
        </row>
        <row r="4090">
          <cell r="B4090" t="str">
            <v/>
          </cell>
        </row>
        <row r="4091">
          <cell r="B4091" t="str">
            <v/>
          </cell>
        </row>
        <row r="4092">
          <cell r="B4092" t="str">
            <v/>
          </cell>
        </row>
        <row r="4093">
          <cell r="B4093" t="str">
            <v/>
          </cell>
        </row>
        <row r="4094">
          <cell r="B4094" t="str">
            <v/>
          </cell>
        </row>
        <row r="4095">
          <cell r="B4095" t="str">
            <v/>
          </cell>
        </row>
        <row r="4096">
          <cell r="B4096" t="str">
            <v/>
          </cell>
        </row>
        <row r="4097">
          <cell r="B4097" t="str">
            <v/>
          </cell>
        </row>
        <row r="4098">
          <cell r="B4098" t="str">
            <v/>
          </cell>
        </row>
        <row r="4099">
          <cell r="B4099" t="str">
            <v/>
          </cell>
        </row>
        <row r="4100">
          <cell r="B4100" t="str">
            <v/>
          </cell>
        </row>
        <row r="4101">
          <cell r="B4101" t="str">
            <v/>
          </cell>
        </row>
        <row r="4102">
          <cell r="B4102" t="str">
            <v/>
          </cell>
        </row>
        <row r="4103">
          <cell r="B4103" t="str">
            <v/>
          </cell>
        </row>
        <row r="4104">
          <cell r="B4104" t="str">
            <v/>
          </cell>
        </row>
        <row r="4105">
          <cell r="B4105" t="str">
            <v/>
          </cell>
        </row>
        <row r="4106">
          <cell r="B4106" t="str">
            <v/>
          </cell>
        </row>
        <row r="4107">
          <cell r="B4107" t="str">
            <v/>
          </cell>
        </row>
        <row r="4108">
          <cell r="B4108" t="str">
            <v/>
          </cell>
        </row>
        <row r="4109">
          <cell r="B4109" t="str">
            <v/>
          </cell>
        </row>
        <row r="4110">
          <cell r="B4110" t="str">
            <v/>
          </cell>
        </row>
        <row r="4111">
          <cell r="B4111" t="str">
            <v/>
          </cell>
        </row>
        <row r="4112">
          <cell r="B4112" t="str">
            <v/>
          </cell>
        </row>
        <row r="4113">
          <cell r="B4113" t="str">
            <v/>
          </cell>
        </row>
        <row r="4114">
          <cell r="B4114" t="str">
            <v/>
          </cell>
        </row>
        <row r="4115">
          <cell r="B4115" t="str">
            <v/>
          </cell>
        </row>
        <row r="4116">
          <cell r="B4116" t="str">
            <v/>
          </cell>
        </row>
        <row r="4117">
          <cell r="B4117" t="str">
            <v/>
          </cell>
        </row>
        <row r="4118">
          <cell r="B4118" t="str">
            <v/>
          </cell>
        </row>
        <row r="4119">
          <cell r="B4119" t="str">
            <v/>
          </cell>
        </row>
        <row r="4120">
          <cell r="B4120" t="str">
            <v/>
          </cell>
        </row>
        <row r="4121">
          <cell r="B4121" t="str">
            <v/>
          </cell>
        </row>
        <row r="4122">
          <cell r="B4122" t="str">
            <v/>
          </cell>
        </row>
        <row r="4123">
          <cell r="B4123" t="str">
            <v/>
          </cell>
        </row>
        <row r="4124">
          <cell r="B4124" t="str">
            <v/>
          </cell>
        </row>
        <row r="4125">
          <cell r="B4125" t="str">
            <v/>
          </cell>
        </row>
        <row r="4126">
          <cell r="B4126" t="str">
            <v/>
          </cell>
        </row>
        <row r="4127">
          <cell r="B4127" t="str">
            <v/>
          </cell>
        </row>
        <row r="4128">
          <cell r="B4128" t="str">
            <v/>
          </cell>
        </row>
        <row r="4129">
          <cell r="B4129" t="str">
            <v/>
          </cell>
        </row>
        <row r="4130">
          <cell r="B4130" t="str">
            <v/>
          </cell>
        </row>
        <row r="4131">
          <cell r="B4131" t="str">
            <v/>
          </cell>
        </row>
        <row r="4132">
          <cell r="B4132" t="str">
            <v/>
          </cell>
        </row>
        <row r="4133">
          <cell r="B4133" t="str">
            <v/>
          </cell>
        </row>
        <row r="4134">
          <cell r="B4134" t="str">
            <v/>
          </cell>
        </row>
        <row r="4135">
          <cell r="B4135" t="str">
            <v/>
          </cell>
        </row>
        <row r="4136">
          <cell r="B4136" t="str">
            <v/>
          </cell>
        </row>
        <row r="4137">
          <cell r="B4137" t="str">
            <v/>
          </cell>
        </row>
        <row r="4138">
          <cell r="B4138" t="str">
            <v/>
          </cell>
        </row>
        <row r="4139">
          <cell r="B4139" t="str">
            <v/>
          </cell>
        </row>
        <row r="4140">
          <cell r="B4140" t="str">
            <v/>
          </cell>
        </row>
        <row r="4141">
          <cell r="B4141" t="str">
            <v/>
          </cell>
        </row>
        <row r="4142">
          <cell r="B4142" t="str">
            <v/>
          </cell>
        </row>
        <row r="4143">
          <cell r="B4143" t="str">
            <v/>
          </cell>
        </row>
        <row r="4144">
          <cell r="B4144" t="str">
            <v/>
          </cell>
        </row>
        <row r="4145">
          <cell r="B4145" t="str">
            <v/>
          </cell>
        </row>
        <row r="4146">
          <cell r="B4146" t="str">
            <v/>
          </cell>
        </row>
        <row r="4147">
          <cell r="B4147" t="str">
            <v/>
          </cell>
        </row>
        <row r="4148">
          <cell r="B4148" t="str">
            <v/>
          </cell>
        </row>
        <row r="4149">
          <cell r="B4149" t="str">
            <v/>
          </cell>
        </row>
        <row r="4150">
          <cell r="B4150" t="str">
            <v/>
          </cell>
        </row>
        <row r="4151">
          <cell r="B4151" t="str">
            <v/>
          </cell>
        </row>
        <row r="4152">
          <cell r="B4152" t="str">
            <v/>
          </cell>
        </row>
        <row r="4153">
          <cell r="B4153" t="str">
            <v/>
          </cell>
        </row>
        <row r="4154">
          <cell r="B4154" t="str">
            <v/>
          </cell>
        </row>
        <row r="4155">
          <cell r="B4155" t="str">
            <v/>
          </cell>
        </row>
        <row r="4156">
          <cell r="B4156" t="str">
            <v/>
          </cell>
        </row>
        <row r="4157">
          <cell r="B4157" t="str">
            <v/>
          </cell>
        </row>
        <row r="4158">
          <cell r="B4158" t="str">
            <v/>
          </cell>
        </row>
        <row r="4159">
          <cell r="B4159" t="str">
            <v/>
          </cell>
        </row>
        <row r="4160">
          <cell r="B4160" t="str">
            <v/>
          </cell>
        </row>
        <row r="4161">
          <cell r="B4161" t="str">
            <v/>
          </cell>
        </row>
        <row r="4162">
          <cell r="B4162" t="str">
            <v/>
          </cell>
        </row>
        <row r="4163">
          <cell r="B4163" t="str">
            <v/>
          </cell>
        </row>
        <row r="4164">
          <cell r="B4164" t="str">
            <v/>
          </cell>
        </row>
        <row r="4165">
          <cell r="B4165" t="str">
            <v/>
          </cell>
        </row>
        <row r="4166">
          <cell r="B4166" t="str">
            <v/>
          </cell>
        </row>
        <row r="4167">
          <cell r="B4167" t="str">
            <v/>
          </cell>
        </row>
        <row r="4168">
          <cell r="B4168" t="str">
            <v/>
          </cell>
        </row>
        <row r="4169">
          <cell r="B4169" t="str">
            <v/>
          </cell>
        </row>
        <row r="4170">
          <cell r="B4170" t="str">
            <v/>
          </cell>
        </row>
        <row r="4171">
          <cell r="B4171" t="str">
            <v/>
          </cell>
        </row>
        <row r="4172">
          <cell r="B4172" t="str">
            <v/>
          </cell>
        </row>
        <row r="4173">
          <cell r="B4173" t="str">
            <v/>
          </cell>
        </row>
        <row r="4174">
          <cell r="B4174" t="str">
            <v/>
          </cell>
        </row>
        <row r="4175">
          <cell r="B4175" t="str">
            <v/>
          </cell>
        </row>
        <row r="4176">
          <cell r="B4176" t="str">
            <v/>
          </cell>
        </row>
        <row r="4177">
          <cell r="B4177" t="str">
            <v/>
          </cell>
        </row>
        <row r="4178">
          <cell r="B4178" t="str">
            <v/>
          </cell>
        </row>
        <row r="4179">
          <cell r="B4179" t="str">
            <v/>
          </cell>
        </row>
        <row r="4180">
          <cell r="B4180" t="str">
            <v/>
          </cell>
        </row>
        <row r="4181">
          <cell r="B4181" t="str">
            <v/>
          </cell>
        </row>
        <row r="4182">
          <cell r="B4182" t="str">
            <v/>
          </cell>
        </row>
        <row r="4183">
          <cell r="B4183" t="str">
            <v/>
          </cell>
        </row>
        <row r="4184">
          <cell r="B4184" t="str">
            <v/>
          </cell>
        </row>
        <row r="4185">
          <cell r="B4185" t="str">
            <v/>
          </cell>
        </row>
        <row r="4186">
          <cell r="B4186" t="str">
            <v/>
          </cell>
        </row>
        <row r="4187">
          <cell r="B4187" t="str">
            <v/>
          </cell>
        </row>
        <row r="4188">
          <cell r="B4188" t="str">
            <v/>
          </cell>
        </row>
        <row r="4189">
          <cell r="B4189" t="str">
            <v/>
          </cell>
        </row>
        <row r="4190">
          <cell r="B4190" t="str">
            <v/>
          </cell>
        </row>
        <row r="4191">
          <cell r="B4191" t="str">
            <v/>
          </cell>
        </row>
        <row r="4192">
          <cell r="B4192" t="str">
            <v/>
          </cell>
        </row>
        <row r="4193">
          <cell r="B4193" t="str">
            <v/>
          </cell>
        </row>
        <row r="4194">
          <cell r="B4194" t="str">
            <v/>
          </cell>
        </row>
        <row r="4195">
          <cell r="B4195" t="str">
            <v/>
          </cell>
        </row>
        <row r="4196">
          <cell r="B4196" t="str">
            <v/>
          </cell>
        </row>
        <row r="4197">
          <cell r="B4197" t="str">
            <v/>
          </cell>
        </row>
        <row r="4198">
          <cell r="B4198" t="str">
            <v/>
          </cell>
        </row>
        <row r="4199">
          <cell r="B4199" t="str">
            <v/>
          </cell>
        </row>
        <row r="4200">
          <cell r="B4200" t="str">
            <v/>
          </cell>
        </row>
        <row r="4201">
          <cell r="B4201" t="str">
            <v/>
          </cell>
        </row>
        <row r="4202">
          <cell r="B4202" t="str">
            <v/>
          </cell>
        </row>
        <row r="4203">
          <cell r="B4203" t="str">
            <v/>
          </cell>
        </row>
        <row r="4204">
          <cell r="B4204" t="str">
            <v/>
          </cell>
        </row>
        <row r="4205">
          <cell r="B4205" t="str">
            <v/>
          </cell>
        </row>
        <row r="4206">
          <cell r="B4206" t="str">
            <v/>
          </cell>
        </row>
        <row r="4207">
          <cell r="B4207" t="str">
            <v/>
          </cell>
        </row>
        <row r="4208">
          <cell r="B4208" t="str">
            <v/>
          </cell>
        </row>
        <row r="4209">
          <cell r="B4209" t="str">
            <v/>
          </cell>
        </row>
        <row r="4210">
          <cell r="B4210" t="str">
            <v/>
          </cell>
        </row>
        <row r="4211">
          <cell r="B4211" t="str">
            <v/>
          </cell>
        </row>
        <row r="4212">
          <cell r="B4212" t="str">
            <v/>
          </cell>
        </row>
        <row r="4213">
          <cell r="B4213" t="str">
            <v/>
          </cell>
        </row>
        <row r="4214">
          <cell r="B4214" t="str">
            <v/>
          </cell>
        </row>
        <row r="4215">
          <cell r="B4215" t="str">
            <v/>
          </cell>
        </row>
        <row r="4216">
          <cell r="B4216" t="str">
            <v/>
          </cell>
        </row>
        <row r="4217">
          <cell r="B4217" t="str">
            <v/>
          </cell>
        </row>
        <row r="4218">
          <cell r="B4218" t="str">
            <v/>
          </cell>
        </row>
        <row r="4219">
          <cell r="B4219" t="str">
            <v/>
          </cell>
        </row>
        <row r="4220">
          <cell r="B4220" t="str">
            <v/>
          </cell>
        </row>
        <row r="4221">
          <cell r="B4221" t="str">
            <v/>
          </cell>
        </row>
        <row r="4222">
          <cell r="B4222" t="str">
            <v/>
          </cell>
        </row>
        <row r="4223">
          <cell r="B4223" t="str">
            <v/>
          </cell>
        </row>
        <row r="4224">
          <cell r="B4224" t="str">
            <v/>
          </cell>
        </row>
        <row r="4225">
          <cell r="B4225" t="str">
            <v/>
          </cell>
        </row>
        <row r="4226">
          <cell r="B4226" t="str">
            <v/>
          </cell>
        </row>
        <row r="4227">
          <cell r="B4227" t="str">
            <v/>
          </cell>
        </row>
        <row r="4228">
          <cell r="B4228" t="str">
            <v/>
          </cell>
        </row>
        <row r="4229">
          <cell r="B4229" t="str">
            <v/>
          </cell>
        </row>
        <row r="4230">
          <cell r="B4230" t="str">
            <v/>
          </cell>
        </row>
        <row r="4231">
          <cell r="B4231" t="str">
            <v/>
          </cell>
        </row>
        <row r="4232">
          <cell r="B4232" t="str">
            <v/>
          </cell>
        </row>
        <row r="4233">
          <cell r="B4233" t="str">
            <v/>
          </cell>
        </row>
        <row r="4234">
          <cell r="B4234" t="str">
            <v/>
          </cell>
        </row>
        <row r="4235">
          <cell r="B4235" t="str">
            <v/>
          </cell>
        </row>
        <row r="4236">
          <cell r="B4236" t="str">
            <v/>
          </cell>
        </row>
        <row r="4237">
          <cell r="B4237" t="str">
            <v/>
          </cell>
        </row>
        <row r="4238">
          <cell r="B4238" t="str">
            <v/>
          </cell>
        </row>
        <row r="4239">
          <cell r="B4239" t="str">
            <v/>
          </cell>
        </row>
        <row r="4240">
          <cell r="B4240" t="str">
            <v/>
          </cell>
        </row>
        <row r="4241">
          <cell r="B4241" t="str">
            <v/>
          </cell>
        </row>
        <row r="4242">
          <cell r="B4242" t="str">
            <v/>
          </cell>
        </row>
        <row r="4243">
          <cell r="B4243" t="str">
            <v/>
          </cell>
        </row>
        <row r="4244">
          <cell r="B4244" t="str">
            <v/>
          </cell>
        </row>
        <row r="4245">
          <cell r="B4245" t="str">
            <v/>
          </cell>
        </row>
        <row r="4246">
          <cell r="B4246" t="str">
            <v/>
          </cell>
        </row>
        <row r="4247">
          <cell r="B4247" t="str">
            <v/>
          </cell>
        </row>
        <row r="4248">
          <cell r="B4248" t="str">
            <v/>
          </cell>
        </row>
        <row r="4249">
          <cell r="B4249" t="str">
            <v/>
          </cell>
        </row>
        <row r="4250">
          <cell r="B4250" t="str">
            <v/>
          </cell>
        </row>
        <row r="4251">
          <cell r="B4251" t="str">
            <v/>
          </cell>
        </row>
        <row r="4252">
          <cell r="B4252" t="str">
            <v/>
          </cell>
        </row>
        <row r="4253">
          <cell r="B4253" t="str">
            <v/>
          </cell>
        </row>
        <row r="4254">
          <cell r="B4254" t="str">
            <v/>
          </cell>
        </row>
        <row r="4255">
          <cell r="B4255" t="str">
            <v/>
          </cell>
        </row>
        <row r="4256">
          <cell r="B4256" t="str">
            <v/>
          </cell>
        </row>
        <row r="4257">
          <cell r="B4257" t="str">
            <v/>
          </cell>
        </row>
        <row r="4258">
          <cell r="B4258" t="str">
            <v/>
          </cell>
        </row>
        <row r="4259">
          <cell r="B4259" t="str">
            <v/>
          </cell>
        </row>
        <row r="4260">
          <cell r="B4260" t="str">
            <v/>
          </cell>
        </row>
        <row r="4261">
          <cell r="B4261" t="str">
            <v/>
          </cell>
        </row>
        <row r="4262">
          <cell r="B4262" t="str">
            <v/>
          </cell>
        </row>
        <row r="4263">
          <cell r="B4263" t="str">
            <v/>
          </cell>
        </row>
        <row r="4264">
          <cell r="B4264" t="str">
            <v/>
          </cell>
        </row>
        <row r="4265">
          <cell r="B4265" t="str">
            <v/>
          </cell>
        </row>
        <row r="4266">
          <cell r="B4266" t="str">
            <v/>
          </cell>
        </row>
        <row r="4267">
          <cell r="B4267" t="str">
            <v/>
          </cell>
        </row>
        <row r="4268">
          <cell r="B4268" t="str">
            <v/>
          </cell>
        </row>
        <row r="4269">
          <cell r="B4269" t="str">
            <v/>
          </cell>
        </row>
        <row r="4270">
          <cell r="B4270" t="str">
            <v/>
          </cell>
        </row>
        <row r="4271">
          <cell r="B4271" t="str">
            <v/>
          </cell>
        </row>
        <row r="4272">
          <cell r="B4272" t="str">
            <v/>
          </cell>
        </row>
        <row r="4273">
          <cell r="B4273" t="str">
            <v/>
          </cell>
        </row>
        <row r="4274">
          <cell r="B4274" t="str">
            <v/>
          </cell>
        </row>
        <row r="4275">
          <cell r="B4275" t="str">
            <v/>
          </cell>
        </row>
        <row r="4276">
          <cell r="B4276" t="str">
            <v/>
          </cell>
        </row>
        <row r="4277">
          <cell r="B4277" t="str">
            <v/>
          </cell>
        </row>
        <row r="4278">
          <cell r="B4278" t="str">
            <v/>
          </cell>
        </row>
        <row r="4279">
          <cell r="B4279" t="str">
            <v/>
          </cell>
        </row>
        <row r="4280">
          <cell r="B4280" t="str">
            <v/>
          </cell>
        </row>
        <row r="4281">
          <cell r="B4281" t="str">
            <v/>
          </cell>
        </row>
        <row r="4282">
          <cell r="B4282" t="str">
            <v/>
          </cell>
        </row>
        <row r="4283">
          <cell r="B4283" t="str">
            <v/>
          </cell>
        </row>
        <row r="4284">
          <cell r="B4284" t="str">
            <v/>
          </cell>
        </row>
        <row r="4285">
          <cell r="B4285" t="str">
            <v/>
          </cell>
        </row>
        <row r="4286">
          <cell r="B4286" t="str">
            <v/>
          </cell>
        </row>
        <row r="4287">
          <cell r="B4287" t="str">
            <v/>
          </cell>
        </row>
        <row r="4288">
          <cell r="B4288" t="str">
            <v/>
          </cell>
        </row>
        <row r="4289">
          <cell r="B4289" t="str">
            <v/>
          </cell>
        </row>
        <row r="4290">
          <cell r="B4290" t="str">
            <v/>
          </cell>
        </row>
        <row r="4291">
          <cell r="B4291" t="str">
            <v/>
          </cell>
        </row>
        <row r="4292">
          <cell r="B4292" t="str">
            <v/>
          </cell>
        </row>
        <row r="4293">
          <cell r="B4293" t="str">
            <v/>
          </cell>
        </row>
        <row r="4294">
          <cell r="B4294" t="str">
            <v/>
          </cell>
        </row>
        <row r="4295">
          <cell r="B4295" t="str">
            <v/>
          </cell>
        </row>
        <row r="4296">
          <cell r="B4296" t="str">
            <v/>
          </cell>
        </row>
        <row r="4297">
          <cell r="B4297" t="str">
            <v/>
          </cell>
        </row>
        <row r="4298">
          <cell r="B4298" t="str">
            <v/>
          </cell>
        </row>
        <row r="4299">
          <cell r="B4299" t="str">
            <v/>
          </cell>
        </row>
        <row r="4300">
          <cell r="B4300" t="str">
            <v/>
          </cell>
        </row>
        <row r="4301">
          <cell r="B4301" t="str">
            <v/>
          </cell>
        </row>
        <row r="4302">
          <cell r="B4302" t="str">
            <v/>
          </cell>
        </row>
        <row r="4303">
          <cell r="B4303" t="str">
            <v/>
          </cell>
        </row>
        <row r="4304">
          <cell r="B4304" t="str">
            <v/>
          </cell>
        </row>
        <row r="4305">
          <cell r="B4305" t="str">
            <v/>
          </cell>
        </row>
        <row r="4306">
          <cell r="B4306" t="str">
            <v/>
          </cell>
        </row>
        <row r="4307">
          <cell r="B4307" t="str">
            <v/>
          </cell>
        </row>
        <row r="4308">
          <cell r="B4308" t="str">
            <v/>
          </cell>
        </row>
        <row r="4309">
          <cell r="B4309" t="str">
            <v/>
          </cell>
        </row>
        <row r="4310">
          <cell r="B4310" t="str">
            <v/>
          </cell>
        </row>
        <row r="4311">
          <cell r="B4311" t="str">
            <v/>
          </cell>
        </row>
        <row r="4312">
          <cell r="B4312" t="str">
            <v/>
          </cell>
        </row>
        <row r="4313">
          <cell r="B4313" t="str">
            <v/>
          </cell>
        </row>
        <row r="4314">
          <cell r="B4314" t="str">
            <v/>
          </cell>
        </row>
        <row r="4315">
          <cell r="B4315" t="str">
            <v/>
          </cell>
        </row>
        <row r="4316">
          <cell r="B4316" t="str">
            <v/>
          </cell>
        </row>
        <row r="4317">
          <cell r="B4317" t="str">
            <v/>
          </cell>
        </row>
        <row r="4318">
          <cell r="B4318" t="str">
            <v/>
          </cell>
        </row>
        <row r="4319">
          <cell r="B4319" t="str">
            <v/>
          </cell>
        </row>
        <row r="4320">
          <cell r="B4320" t="str">
            <v/>
          </cell>
        </row>
        <row r="4321">
          <cell r="B4321" t="str">
            <v/>
          </cell>
        </row>
        <row r="4322">
          <cell r="B4322" t="str">
            <v/>
          </cell>
        </row>
        <row r="4323">
          <cell r="B4323" t="str">
            <v/>
          </cell>
        </row>
        <row r="4324">
          <cell r="B4324" t="str">
            <v/>
          </cell>
        </row>
        <row r="4325">
          <cell r="B4325" t="str">
            <v/>
          </cell>
        </row>
        <row r="4326">
          <cell r="B4326" t="str">
            <v/>
          </cell>
        </row>
        <row r="4327">
          <cell r="B4327" t="str">
            <v/>
          </cell>
        </row>
        <row r="4328">
          <cell r="B4328" t="str">
            <v/>
          </cell>
        </row>
        <row r="4329">
          <cell r="B4329" t="str">
            <v/>
          </cell>
        </row>
        <row r="4330">
          <cell r="B4330" t="str">
            <v/>
          </cell>
        </row>
        <row r="4331">
          <cell r="B4331" t="str">
            <v/>
          </cell>
        </row>
        <row r="4332">
          <cell r="B4332" t="str">
            <v/>
          </cell>
        </row>
        <row r="4333">
          <cell r="B4333" t="str">
            <v/>
          </cell>
        </row>
        <row r="4334">
          <cell r="B4334" t="str">
            <v/>
          </cell>
        </row>
        <row r="4335">
          <cell r="B4335" t="str">
            <v/>
          </cell>
        </row>
        <row r="4336">
          <cell r="B4336" t="str">
            <v/>
          </cell>
        </row>
        <row r="4337">
          <cell r="B4337" t="str">
            <v/>
          </cell>
        </row>
        <row r="4338">
          <cell r="B4338" t="str">
            <v/>
          </cell>
        </row>
        <row r="4339">
          <cell r="B4339" t="str">
            <v/>
          </cell>
        </row>
        <row r="4340">
          <cell r="B4340" t="str">
            <v/>
          </cell>
        </row>
        <row r="4341">
          <cell r="B4341" t="str">
            <v/>
          </cell>
        </row>
        <row r="4342">
          <cell r="B4342" t="str">
            <v/>
          </cell>
        </row>
        <row r="4343">
          <cell r="B4343" t="str">
            <v/>
          </cell>
        </row>
        <row r="4344">
          <cell r="B4344" t="str">
            <v/>
          </cell>
        </row>
        <row r="4345">
          <cell r="B4345" t="str">
            <v/>
          </cell>
        </row>
        <row r="4346">
          <cell r="B4346" t="str">
            <v/>
          </cell>
        </row>
        <row r="4347">
          <cell r="B4347" t="str">
            <v/>
          </cell>
        </row>
        <row r="4348">
          <cell r="B4348" t="str">
            <v/>
          </cell>
        </row>
        <row r="4349">
          <cell r="B4349" t="str">
            <v/>
          </cell>
        </row>
        <row r="4350">
          <cell r="B4350" t="str">
            <v/>
          </cell>
        </row>
        <row r="4351">
          <cell r="B4351" t="str">
            <v/>
          </cell>
        </row>
        <row r="4352">
          <cell r="B4352" t="str">
            <v/>
          </cell>
        </row>
        <row r="4353">
          <cell r="B4353" t="str">
            <v/>
          </cell>
        </row>
        <row r="4354">
          <cell r="B4354" t="str">
            <v/>
          </cell>
        </row>
        <row r="4355">
          <cell r="B4355" t="str">
            <v/>
          </cell>
        </row>
        <row r="4356">
          <cell r="B4356" t="str">
            <v/>
          </cell>
        </row>
        <row r="4357">
          <cell r="B4357" t="str">
            <v/>
          </cell>
        </row>
        <row r="4358">
          <cell r="B4358" t="str">
            <v/>
          </cell>
        </row>
        <row r="4359">
          <cell r="B4359" t="str">
            <v/>
          </cell>
        </row>
        <row r="4360">
          <cell r="B4360" t="str">
            <v/>
          </cell>
        </row>
        <row r="4361">
          <cell r="B4361" t="str">
            <v/>
          </cell>
        </row>
        <row r="4362">
          <cell r="B4362" t="str">
            <v/>
          </cell>
        </row>
        <row r="4363">
          <cell r="B4363" t="str">
            <v/>
          </cell>
        </row>
        <row r="4364">
          <cell r="B4364" t="str">
            <v/>
          </cell>
        </row>
        <row r="4365">
          <cell r="B4365" t="str">
            <v/>
          </cell>
        </row>
        <row r="4366">
          <cell r="B4366" t="str">
            <v/>
          </cell>
        </row>
        <row r="4367">
          <cell r="B4367" t="str">
            <v/>
          </cell>
        </row>
        <row r="4368">
          <cell r="B4368" t="str">
            <v/>
          </cell>
        </row>
        <row r="4369">
          <cell r="B4369" t="str">
            <v/>
          </cell>
        </row>
        <row r="4370">
          <cell r="B4370" t="str">
            <v/>
          </cell>
        </row>
        <row r="4371">
          <cell r="B4371" t="str">
            <v/>
          </cell>
        </row>
        <row r="4372">
          <cell r="B4372" t="str">
            <v/>
          </cell>
        </row>
        <row r="4373">
          <cell r="B4373" t="str">
            <v/>
          </cell>
        </row>
        <row r="4374">
          <cell r="B4374" t="str">
            <v/>
          </cell>
        </row>
        <row r="4375">
          <cell r="B4375" t="str">
            <v/>
          </cell>
        </row>
        <row r="4376">
          <cell r="B4376" t="str">
            <v/>
          </cell>
        </row>
        <row r="4377">
          <cell r="B4377" t="str">
            <v/>
          </cell>
        </row>
        <row r="4378">
          <cell r="B4378" t="str">
            <v/>
          </cell>
        </row>
        <row r="4379">
          <cell r="B4379" t="str">
            <v/>
          </cell>
        </row>
        <row r="4380">
          <cell r="B4380" t="str">
            <v/>
          </cell>
        </row>
        <row r="4381">
          <cell r="B4381" t="str">
            <v/>
          </cell>
        </row>
        <row r="4382">
          <cell r="B4382" t="str">
            <v/>
          </cell>
        </row>
        <row r="4383">
          <cell r="B4383" t="str">
            <v/>
          </cell>
        </row>
        <row r="4384">
          <cell r="B4384" t="str">
            <v/>
          </cell>
        </row>
        <row r="4385">
          <cell r="B4385" t="str">
            <v/>
          </cell>
        </row>
        <row r="4386">
          <cell r="B4386" t="str">
            <v/>
          </cell>
        </row>
        <row r="4387">
          <cell r="B4387" t="str">
            <v/>
          </cell>
        </row>
        <row r="4388">
          <cell r="B4388" t="str">
            <v/>
          </cell>
        </row>
        <row r="4389">
          <cell r="B4389" t="str">
            <v/>
          </cell>
        </row>
        <row r="4390">
          <cell r="B4390" t="str">
            <v/>
          </cell>
        </row>
        <row r="4391">
          <cell r="B4391" t="str">
            <v/>
          </cell>
        </row>
        <row r="4392">
          <cell r="B4392" t="str">
            <v/>
          </cell>
        </row>
        <row r="4393">
          <cell r="B4393" t="str">
            <v/>
          </cell>
        </row>
        <row r="4394">
          <cell r="B4394" t="str">
            <v/>
          </cell>
        </row>
        <row r="4395">
          <cell r="B4395" t="str">
            <v/>
          </cell>
        </row>
        <row r="4396">
          <cell r="B4396" t="str">
            <v/>
          </cell>
        </row>
        <row r="4397">
          <cell r="B4397" t="str">
            <v/>
          </cell>
        </row>
        <row r="4398">
          <cell r="B4398" t="str">
            <v/>
          </cell>
        </row>
        <row r="4399">
          <cell r="B4399" t="str">
            <v/>
          </cell>
        </row>
        <row r="4400">
          <cell r="B4400" t="str">
            <v/>
          </cell>
        </row>
        <row r="4401">
          <cell r="B4401" t="str">
            <v/>
          </cell>
        </row>
        <row r="4402">
          <cell r="B4402" t="str">
            <v/>
          </cell>
        </row>
        <row r="4403">
          <cell r="B4403" t="str">
            <v/>
          </cell>
        </row>
        <row r="4404">
          <cell r="B4404" t="str">
            <v/>
          </cell>
        </row>
        <row r="4405">
          <cell r="B4405" t="str">
            <v/>
          </cell>
        </row>
        <row r="4406">
          <cell r="B4406" t="str">
            <v/>
          </cell>
        </row>
        <row r="4407">
          <cell r="B4407" t="str">
            <v/>
          </cell>
        </row>
        <row r="4408">
          <cell r="B4408" t="str">
            <v/>
          </cell>
        </row>
        <row r="4409">
          <cell r="B4409" t="str">
            <v/>
          </cell>
        </row>
        <row r="4410">
          <cell r="B4410" t="str">
            <v/>
          </cell>
        </row>
        <row r="4411">
          <cell r="B4411" t="str">
            <v/>
          </cell>
        </row>
        <row r="4412">
          <cell r="B4412" t="str">
            <v/>
          </cell>
        </row>
        <row r="4413">
          <cell r="B4413" t="str">
            <v/>
          </cell>
        </row>
        <row r="4414">
          <cell r="B4414" t="str">
            <v/>
          </cell>
        </row>
        <row r="4415">
          <cell r="B4415" t="str">
            <v/>
          </cell>
        </row>
        <row r="4416">
          <cell r="B4416" t="str">
            <v/>
          </cell>
        </row>
        <row r="4417">
          <cell r="B4417" t="str">
            <v/>
          </cell>
        </row>
        <row r="4418">
          <cell r="B4418" t="str">
            <v/>
          </cell>
        </row>
        <row r="4419">
          <cell r="B4419" t="str">
            <v/>
          </cell>
        </row>
        <row r="4420">
          <cell r="B4420" t="str">
            <v/>
          </cell>
        </row>
        <row r="4421">
          <cell r="B4421" t="str">
            <v/>
          </cell>
        </row>
        <row r="4422">
          <cell r="B4422" t="str">
            <v/>
          </cell>
        </row>
        <row r="4423">
          <cell r="B4423" t="str">
            <v/>
          </cell>
        </row>
        <row r="4424">
          <cell r="B4424" t="str">
            <v/>
          </cell>
        </row>
        <row r="4425">
          <cell r="B4425" t="str">
            <v/>
          </cell>
        </row>
        <row r="4426">
          <cell r="B4426" t="str">
            <v/>
          </cell>
        </row>
        <row r="4427">
          <cell r="B4427" t="str">
            <v/>
          </cell>
        </row>
        <row r="4428">
          <cell r="B4428" t="str">
            <v/>
          </cell>
        </row>
        <row r="4429">
          <cell r="B4429" t="str">
            <v/>
          </cell>
        </row>
        <row r="4430">
          <cell r="B4430" t="str">
            <v/>
          </cell>
        </row>
        <row r="4431">
          <cell r="B4431" t="str">
            <v/>
          </cell>
        </row>
        <row r="4432">
          <cell r="B4432" t="str">
            <v/>
          </cell>
        </row>
        <row r="4433">
          <cell r="B4433" t="str">
            <v/>
          </cell>
        </row>
        <row r="4434">
          <cell r="B4434" t="str">
            <v/>
          </cell>
        </row>
        <row r="4435">
          <cell r="B4435" t="str">
            <v/>
          </cell>
        </row>
        <row r="4436">
          <cell r="B4436" t="str">
            <v/>
          </cell>
        </row>
        <row r="4437">
          <cell r="B4437" t="str">
            <v/>
          </cell>
        </row>
        <row r="4438">
          <cell r="B4438" t="str">
            <v/>
          </cell>
        </row>
        <row r="4439">
          <cell r="B4439" t="str">
            <v/>
          </cell>
        </row>
        <row r="4440">
          <cell r="B4440" t="str">
            <v/>
          </cell>
        </row>
        <row r="4441">
          <cell r="B4441" t="str">
            <v/>
          </cell>
        </row>
        <row r="4442">
          <cell r="B4442" t="str">
            <v/>
          </cell>
        </row>
        <row r="4443">
          <cell r="B4443" t="str">
            <v/>
          </cell>
        </row>
        <row r="4444">
          <cell r="B4444" t="str">
            <v/>
          </cell>
        </row>
        <row r="4445">
          <cell r="B4445" t="str">
            <v/>
          </cell>
        </row>
        <row r="4446">
          <cell r="B4446" t="str">
            <v/>
          </cell>
        </row>
        <row r="4447">
          <cell r="B4447" t="str">
            <v/>
          </cell>
        </row>
        <row r="4448">
          <cell r="B4448" t="str">
            <v/>
          </cell>
        </row>
        <row r="4449">
          <cell r="B4449" t="str">
            <v/>
          </cell>
        </row>
        <row r="4450">
          <cell r="B4450" t="str">
            <v/>
          </cell>
        </row>
        <row r="4451">
          <cell r="B4451" t="str">
            <v/>
          </cell>
        </row>
        <row r="4452">
          <cell r="B4452" t="str">
            <v/>
          </cell>
        </row>
        <row r="4453">
          <cell r="B4453" t="str">
            <v/>
          </cell>
        </row>
        <row r="4454">
          <cell r="B4454" t="str">
            <v/>
          </cell>
        </row>
        <row r="4455">
          <cell r="B4455" t="str">
            <v/>
          </cell>
        </row>
        <row r="4456">
          <cell r="B4456" t="str">
            <v/>
          </cell>
        </row>
        <row r="4457">
          <cell r="B4457" t="str">
            <v/>
          </cell>
        </row>
        <row r="4458">
          <cell r="B4458" t="str">
            <v/>
          </cell>
        </row>
        <row r="4459">
          <cell r="B4459" t="str">
            <v/>
          </cell>
        </row>
        <row r="4460">
          <cell r="B4460" t="str">
            <v/>
          </cell>
        </row>
        <row r="4461">
          <cell r="B4461" t="str">
            <v/>
          </cell>
        </row>
        <row r="4462">
          <cell r="B4462" t="str">
            <v/>
          </cell>
        </row>
        <row r="4463">
          <cell r="B4463" t="str">
            <v/>
          </cell>
        </row>
        <row r="4464">
          <cell r="B4464" t="str">
            <v/>
          </cell>
        </row>
        <row r="4465">
          <cell r="B4465" t="str">
            <v/>
          </cell>
        </row>
        <row r="4466">
          <cell r="B4466" t="str">
            <v/>
          </cell>
        </row>
        <row r="4467">
          <cell r="B4467" t="str">
            <v/>
          </cell>
        </row>
        <row r="4468">
          <cell r="B4468" t="str">
            <v/>
          </cell>
        </row>
        <row r="4469">
          <cell r="B4469" t="str">
            <v/>
          </cell>
        </row>
        <row r="4470">
          <cell r="B4470" t="str">
            <v/>
          </cell>
        </row>
        <row r="4471">
          <cell r="B4471" t="str">
            <v/>
          </cell>
        </row>
        <row r="4472">
          <cell r="B4472" t="str">
            <v/>
          </cell>
        </row>
        <row r="4473">
          <cell r="B4473" t="str">
            <v/>
          </cell>
        </row>
        <row r="4474">
          <cell r="B4474" t="str">
            <v/>
          </cell>
        </row>
        <row r="4475">
          <cell r="B4475" t="str">
            <v/>
          </cell>
        </row>
        <row r="4476">
          <cell r="B4476" t="str">
            <v/>
          </cell>
        </row>
        <row r="4477">
          <cell r="B4477" t="str">
            <v/>
          </cell>
        </row>
        <row r="4478">
          <cell r="B4478" t="str">
            <v/>
          </cell>
        </row>
        <row r="4479">
          <cell r="B4479" t="str">
            <v/>
          </cell>
        </row>
        <row r="4480">
          <cell r="B4480" t="str">
            <v/>
          </cell>
        </row>
        <row r="4481">
          <cell r="B4481" t="str">
            <v/>
          </cell>
        </row>
        <row r="4482">
          <cell r="B4482" t="str">
            <v/>
          </cell>
        </row>
        <row r="4483">
          <cell r="B4483" t="str">
            <v/>
          </cell>
        </row>
        <row r="4484">
          <cell r="B4484" t="str">
            <v/>
          </cell>
        </row>
        <row r="4485">
          <cell r="B4485" t="str">
            <v/>
          </cell>
        </row>
        <row r="4486">
          <cell r="B4486" t="str">
            <v/>
          </cell>
        </row>
        <row r="4487">
          <cell r="B4487" t="str">
            <v/>
          </cell>
        </row>
        <row r="4488">
          <cell r="B4488" t="str">
            <v/>
          </cell>
        </row>
        <row r="4489">
          <cell r="B4489" t="str">
            <v/>
          </cell>
        </row>
        <row r="4490">
          <cell r="B4490" t="str">
            <v/>
          </cell>
        </row>
        <row r="4491">
          <cell r="B4491" t="str">
            <v/>
          </cell>
        </row>
        <row r="4492">
          <cell r="B4492" t="str">
            <v/>
          </cell>
        </row>
        <row r="4493">
          <cell r="B4493" t="str">
            <v/>
          </cell>
        </row>
        <row r="4494">
          <cell r="B4494" t="str">
            <v/>
          </cell>
        </row>
        <row r="4495">
          <cell r="B4495" t="str">
            <v/>
          </cell>
        </row>
        <row r="4496">
          <cell r="B4496" t="str">
            <v/>
          </cell>
        </row>
        <row r="4497">
          <cell r="B4497" t="str">
            <v/>
          </cell>
        </row>
        <row r="4498">
          <cell r="B4498" t="str">
            <v/>
          </cell>
        </row>
        <row r="4499">
          <cell r="B4499" t="str">
            <v/>
          </cell>
        </row>
        <row r="4500">
          <cell r="B4500" t="str">
            <v/>
          </cell>
        </row>
        <row r="4501">
          <cell r="B4501" t="str">
            <v/>
          </cell>
        </row>
        <row r="4502">
          <cell r="B4502" t="str">
            <v/>
          </cell>
        </row>
        <row r="4503">
          <cell r="B4503" t="str">
            <v/>
          </cell>
        </row>
        <row r="4504">
          <cell r="B4504" t="str">
            <v/>
          </cell>
        </row>
        <row r="4505">
          <cell r="B4505" t="str">
            <v/>
          </cell>
        </row>
        <row r="4506">
          <cell r="B4506" t="str">
            <v/>
          </cell>
        </row>
        <row r="4507">
          <cell r="B4507" t="str">
            <v/>
          </cell>
        </row>
        <row r="4508">
          <cell r="B4508" t="str">
            <v/>
          </cell>
        </row>
        <row r="4509">
          <cell r="B4509" t="str">
            <v/>
          </cell>
        </row>
        <row r="4510">
          <cell r="B4510" t="str">
            <v/>
          </cell>
        </row>
        <row r="4511">
          <cell r="B4511" t="str">
            <v/>
          </cell>
        </row>
        <row r="4512">
          <cell r="B4512" t="str">
            <v/>
          </cell>
        </row>
        <row r="4513">
          <cell r="B4513" t="str">
            <v/>
          </cell>
        </row>
        <row r="4514">
          <cell r="B4514" t="str">
            <v/>
          </cell>
        </row>
        <row r="4515">
          <cell r="B4515" t="str">
            <v/>
          </cell>
        </row>
        <row r="4516">
          <cell r="B4516" t="str">
            <v/>
          </cell>
        </row>
        <row r="4517">
          <cell r="B4517" t="str">
            <v/>
          </cell>
        </row>
        <row r="4518">
          <cell r="B4518" t="str">
            <v/>
          </cell>
        </row>
        <row r="4519">
          <cell r="B4519" t="str">
            <v/>
          </cell>
        </row>
        <row r="4520">
          <cell r="B4520" t="str">
            <v/>
          </cell>
        </row>
        <row r="4521">
          <cell r="B4521" t="str">
            <v/>
          </cell>
        </row>
        <row r="4522">
          <cell r="B4522" t="str">
            <v/>
          </cell>
        </row>
        <row r="4523">
          <cell r="B4523" t="str">
            <v/>
          </cell>
        </row>
        <row r="4524">
          <cell r="B4524" t="str">
            <v/>
          </cell>
        </row>
        <row r="4525">
          <cell r="B4525" t="str">
            <v/>
          </cell>
        </row>
        <row r="4526">
          <cell r="B4526" t="str">
            <v/>
          </cell>
        </row>
        <row r="4527">
          <cell r="B4527" t="str">
            <v/>
          </cell>
        </row>
        <row r="4528">
          <cell r="B4528" t="str">
            <v/>
          </cell>
        </row>
        <row r="4529">
          <cell r="B4529" t="str">
            <v/>
          </cell>
        </row>
        <row r="4530">
          <cell r="B4530" t="str">
            <v/>
          </cell>
        </row>
        <row r="4531">
          <cell r="B4531" t="str">
            <v/>
          </cell>
        </row>
        <row r="4532">
          <cell r="B4532" t="str">
            <v/>
          </cell>
        </row>
        <row r="4533">
          <cell r="B4533" t="str">
            <v/>
          </cell>
        </row>
        <row r="4534">
          <cell r="B4534" t="str">
            <v/>
          </cell>
        </row>
        <row r="4535">
          <cell r="B4535" t="str">
            <v/>
          </cell>
        </row>
        <row r="4536">
          <cell r="B4536" t="str">
            <v/>
          </cell>
        </row>
        <row r="4537">
          <cell r="B4537" t="str">
            <v/>
          </cell>
        </row>
        <row r="4538">
          <cell r="B4538" t="str">
            <v/>
          </cell>
        </row>
        <row r="4539">
          <cell r="B4539" t="str">
            <v/>
          </cell>
        </row>
        <row r="4540">
          <cell r="B4540" t="str">
            <v/>
          </cell>
        </row>
        <row r="4541">
          <cell r="B4541" t="str">
            <v/>
          </cell>
        </row>
        <row r="4542">
          <cell r="B4542" t="str">
            <v/>
          </cell>
        </row>
        <row r="4543">
          <cell r="B4543" t="str">
            <v/>
          </cell>
        </row>
        <row r="4544">
          <cell r="B4544" t="str">
            <v/>
          </cell>
        </row>
        <row r="4545">
          <cell r="B4545" t="str">
            <v/>
          </cell>
        </row>
        <row r="4546">
          <cell r="B4546" t="str">
            <v/>
          </cell>
        </row>
        <row r="4547">
          <cell r="B4547" t="str">
            <v/>
          </cell>
        </row>
        <row r="4548">
          <cell r="B4548" t="str">
            <v/>
          </cell>
        </row>
        <row r="4549">
          <cell r="B4549" t="str">
            <v/>
          </cell>
        </row>
        <row r="4550">
          <cell r="B4550" t="str">
            <v/>
          </cell>
        </row>
        <row r="4551">
          <cell r="B4551" t="str">
            <v/>
          </cell>
        </row>
        <row r="4552">
          <cell r="B4552" t="str">
            <v/>
          </cell>
        </row>
        <row r="4553">
          <cell r="B4553" t="str">
            <v/>
          </cell>
        </row>
        <row r="4554">
          <cell r="B4554" t="str">
            <v/>
          </cell>
        </row>
        <row r="4555">
          <cell r="B4555" t="str">
            <v/>
          </cell>
        </row>
        <row r="4556">
          <cell r="B4556" t="str">
            <v/>
          </cell>
        </row>
        <row r="4557">
          <cell r="B4557" t="str">
            <v/>
          </cell>
        </row>
        <row r="4558">
          <cell r="B4558" t="str">
            <v/>
          </cell>
        </row>
        <row r="4559">
          <cell r="B4559" t="str">
            <v/>
          </cell>
        </row>
        <row r="4560">
          <cell r="B4560" t="str">
            <v/>
          </cell>
        </row>
        <row r="4561">
          <cell r="B4561" t="str">
            <v/>
          </cell>
        </row>
        <row r="4562">
          <cell r="B4562" t="str">
            <v/>
          </cell>
        </row>
        <row r="4563">
          <cell r="B4563" t="str">
            <v/>
          </cell>
        </row>
        <row r="4564">
          <cell r="B4564" t="str">
            <v/>
          </cell>
        </row>
        <row r="4565">
          <cell r="B4565" t="str">
            <v/>
          </cell>
        </row>
        <row r="4566">
          <cell r="B4566" t="str">
            <v/>
          </cell>
        </row>
        <row r="4567">
          <cell r="B4567" t="str">
            <v/>
          </cell>
        </row>
        <row r="4568">
          <cell r="B4568" t="str">
            <v/>
          </cell>
        </row>
        <row r="4569">
          <cell r="B4569" t="str">
            <v/>
          </cell>
        </row>
        <row r="4570">
          <cell r="B4570" t="str">
            <v/>
          </cell>
        </row>
        <row r="4571">
          <cell r="B4571" t="str">
            <v/>
          </cell>
        </row>
        <row r="4572">
          <cell r="B4572" t="str">
            <v/>
          </cell>
        </row>
        <row r="4573">
          <cell r="B4573" t="str">
            <v/>
          </cell>
        </row>
        <row r="4574">
          <cell r="B4574" t="str">
            <v/>
          </cell>
        </row>
        <row r="4575">
          <cell r="B4575" t="str">
            <v/>
          </cell>
        </row>
        <row r="4576">
          <cell r="B4576" t="str">
            <v/>
          </cell>
        </row>
        <row r="4577">
          <cell r="B4577" t="str">
            <v/>
          </cell>
        </row>
        <row r="4578">
          <cell r="B4578" t="str">
            <v/>
          </cell>
        </row>
        <row r="4579">
          <cell r="B4579" t="str">
            <v/>
          </cell>
        </row>
        <row r="4580">
          <cell r="B4580" t="str">
            <v/>
          </cell>
        </row>
        <row r="4581">
          <cell r="B4581" t="str">
            <v/>
          </cell>
        </row>
        <row r="4582">
          <cell r="B4582" t="str">
            <v/>
          </cell>
        </row>
        <row r="4583">
          <cell r="B4583" t="str">
            <v/>
          </cell>
        </row>
        <row r="4584">
          <cell r="B4584" t="str">
            <v/>
          </cell>
        </row>
        <row r="4585">
          <cell r="B4585" t="str">
            <v/>
          </cell>
        </row>
        <row r="4586">
          <cell r="B4586" t="str">
            <v/>
          </cell>
        </row>
        <row r="4587">
          <cell r="B4587" t="str">
            <v/>
          </cell>
        </row>
        <row r="4588">
          <cell r="B4588" t="str">
            <v/>
          </cell>
        </row>
        <row r="4589">
          <cell r="B4589" t="str">
            <v/>
          </cell>
        </row>
        <row r="4590">
          <cell r="B4590" t="str">
            <v/>
          </cell>
        </row>
        <row r="4591">
          <cell r="B4591" t="str">
            <v/>
          </cell>
        </row>
        <row r="4592">
          <cell r="B4592" t="str">
            <v/>
          </cell>
        </row>
        <row r="4593">
          <cell r="B4593" t="str">
            <v/>
          </cell>
        </row>
        <row r="4594">
          <cell r="B4594" t="str">
            <v/>
          </cell>
        </row>
        <row r="4595">
          <cell r="B4595" t="str">
            <v/>
          </cell>
        </row>
        <row r="4596">
          <cell r="B4596" t="str">
            <v/>
          </cell>
        </row>
        <row r="4597">
          <cell r="B4597" t="str">
            <v/>
          </cell>
        </row>
        <row r="4598">
          <cell r="B4598" t="str">
            <v/>
          </cell>
        </row>
        <row r="4599">
          <cell r="B4599" t="str">
            <v/>
          </cell>
        </row>
        <row r="4600">
          <cell r="B4600" t="str">
            <v/>
          </cell>
        </row>
        <row r="4601">
          <cell r="B4601" t="str">
            <v/>
          </cell>
        </row>
        <row r="4602">
          <cell r="B4602" t="str">
            <v/>
          </cell>
        </row>
        <row r="4603">
          <cell r="B4603" t="str">
            <v/>
          </cell>
        </row>
        <row r="4604">
          <cell r="B4604" t="str">
            <v/>
          </cell>
        </row>
        <row r="4605">
          <cell r="B4605" t="str">
            <v/>
          </cell>
        </row>
        <row r="4606">
          <cell r="B4606" t="str">
            <v/>
          </cell>
        </row>
        <row r="4607">
          <cell r="B4607" t="str">
            <v/>
          </cell>
        </row>
        <row r="4608">
          <cell r="B4608" t="str">
            <v/>
          </cell>
        </row>
        <row r="4609">
          <cell r="B4609" t="str">
            <v/>
          </cell>
        </row>
        <row r="4610">
          <cell r="B4610" t="str">
            <v/>
          </cell>
        </row>
        <row r="4611">
          <cell r="B4611" t="str">
            <v/>
          </cell>
        </row>
        <row r="4612">
          <cell r="B4612" t="str">
            <v/>
          </cell>
        </row>
        <row r="4613">
          <cell r="B4613" t="str">
            <v/>
          </cell>
        </row>
        <row r="4614">
          <cell r="B4614" t="str">
            <v/>
          </cell>
        </row>
        <row r="4615">
          <cell r="B4615" t="str">
            <v/>
          </cell>
        </row>
        <row r="4616">
          <cell r="B4616" t="str">
            <v/>
          </cell>
        </row>
        <row r="4617">
          <cell r="B4617" t="str">
            <v/>
          </cell>
        </row>
        <row r="4618">
          <cell r="B4618" t="str">
            <v/>
          </cell>
        </row>
        <row r="4619">
          <cell r="B4619" t="str">
            <v/>
          </cell>
        </row>
        <row r="4620">
          <cell r="B4620" t="str">
            <v/>
          </cell>
        </row>
        <row r="4621">
          <cell r="B4621" t="str">
            <v/>
          </cell>
        </row>
        <row r="4622">
          <cell r="B4622" t="str">
            <v/>
          </cell>
        </row>
        <row r="4623">
          <cell r="B4623" t="str">
            <v/>
          </cell>
        </row>
        <row r="4624">
          <cell r="B4624" t="str">
            <v/>
          </cell>
        </row>
        <row r="4625">
          <cell r="B4625" t="str">
            <v/>
          </cell>
        </row>
        <row r="4626">
          <cell r="B4626" t="str">
            <v/>
          </cell>
        </row>
        <row r="4627">
          <cell r="B4627" t="str">
            <v/>
          </cell>
        </row>
        <row r="4628">
          <cell r="B4628" t="str">
            <v/>
          </cell>
        </row>
        <row r="4629">
          <cell r="B4629" t="str">
            <v/>
          </cell>
        </row>
        <row r="4630">
          <cell r="B4630" t="str">
            <v/>
          </cell>
        </row>
        <row r="4631">
          <cell r="B4631" t="str">
            <v/>
          </cell>
        </row>
        <row r="4632">
          <cell r="B4632" t="str">
            <v/>
          </cell>
        </row>
        <row r="4633">
          <cell r="B4633" t="str">
            <v/>
          </cell>
        </row>
        <row r="4634">
          <cell r="B4634" t="str">
            <v/>
          </cell>
        </row>
        <row r="4635">
          <cell r="B4635" t="str">
            <v/>
          </cell>
        </row>
        <row r="4636">
          <cell r="B4636" t="str">
            <v/>
          </cell>
        </row>
        <row r="4637">
          <cell r="B4637" t="str">
            <v/>
          </cell>
        </row>
        <row r="4638">
          <cell r="B4638" t="str">
            <v/>
          </cell>
        </row>
        <row r="4639">
          <cell r="B4639" t="str">
            <v/>
          </cell>
        </row>
        <row r="4640">
          <cell r="B4640" t="str">
            <v/>
          </cell>
        </row>
        <row r="4641">
          <cell r="B4641" t="str">
            <v/>
          </cell>
        </row>
        <row r="4642">
          <cell r="B4642" t="str">
            <v/>
          </cell>
        </row>
        <row r="4643">
          <cell r="B4643" t="str">
            <v/>
          </cell>
        </row>
        <row r="4644">
          <cell r="B4644" t="str">
            <v/>
          </cell>
        </row>
        <row r="4645">
          <cell r="B4645" t="str">
            <v/>
          </cell>
        </row>
        <row r="4646">
          <cell r="B4646" t="str">
            <v/>
          </cell>
        </row>
        <row r="4647">
          <cell r="B4647" t="str">
            <v/>
          </cell>
        </row>
        <row r="4648">
          <cell r="B4648" t="str">
            <v/>
          </cell>
        </row>
        <row r="4649">
          <cell r="B4649" t="str">
            <v/>
          </cell>
        </row>
        <row r="4650">
          <cell r="B4650" t="str">
            <v/>
          </cell>
        </row>
        <row r="4651">
          <cell r="B4651" t="str">
            <v/>
          </cell>
        </row>
        <row r="4652">
          <cell r="B4652" t="str">
            <v/>
          </cell>
        </row>
        <row r="4653">
          <cell r="B4653" t="str">
            <v/>
          </cell>
        </row>
        <row r="4654">
          <cell r="B4654" t="str">
            <v/>
          </cell>
        </row>
        <row r="4655">
          <cell r="B4655" t="str">
            <v/>
          </cell>
        </row>
        <row r="4656">
          <cell r="B4656" t="str">
            <v/>
          </cell>
        </row>
        <row r="4657">
          <cell r="B4657" t="str">
            <v/>
          </cell>
        </row>
        <row r="4658">
          <cell r="B4658" t="str">
            <v/>
          </cell>
        </row>
        <row r="4659">
          <cell r="B4659" t="str">
            <v/>
          </cell>
        </row>
        <row r="4660">
          <cell r="B4660" t="str">
            <v/>
          </cell>
        </row>
        <row r="4661">
          <cell r="B4661" t="str">
            <v/>
          </cell>
        </row>
        <row r="4662">
          <cell r="B4662" t="str">
            <v/>
          </cell>
        </row>
        <row r="4663">
          <cell r="B4663" t="str">
            <v/>
          </cell>
        </row>
        <row r="4664">
          <cell r="B4664" t="str">
            <v/>
          </cell>
        </row>
        <row r="4665">
          <cell r="B4665" t="str">
            <v/>
          </cell>
        </row>
        <row r="4666">
          <cell r="B4666" t="str">
            <v/>
          </cell>
        </row>
        <row r="4667">
          <cell r="B4667" t="str">
            <v/>
          </cell>
        </row>
        <row r="4668">
          <cell r="B4668" t="str">
            <v/>
          </cell>
        </row>
        <row r="4669">
          <cell r="B4669" t="str">
            <v/>
          </cell>
        </row>
        <row r="4670">
          <cell r="B4670" t="str">
            <v/>
          </cell>
        </row>
        <row r="4671">
          <cell r="B4671" t="str">
            <v/>
          </cell>
        </row>
        <row r="4672">
          <cell r="B4672" t="str">
            <v/>
          </cell>
        </row>
        <row r="4673">
          <cell r="B4673" t="str">
            <v/>
          </cell>
        </row>
        <row r="4674">
          <cell r="B4674" t="str">
            <v/>
          </cell>
        </row>
        <row r="4675">
          <cell r="B4675" t="str">
            <v/>
          </cell>
        </row>
        <row r="4676">
          <cell r="B4676" t="str">
            <v/>
          </cell>
        </row>
        <row r="4677">
          <cell r="B4677" t="str">
            <v/>
          </cell>
        </row>
        <row r="4678">
          <cell r="B4678" t="str">
            <v/>
          </cell>
        </row>
        <row r="4679">
          <cell r="B4679" t="str">
            <v/>
          </cell>
        </row>
        <row r="4680">
          <cell r="B4680" t="str">
            <v/>
          </cell>
        </row>
        <row r="4681">
          <cell r="B4681" t="str">
            <v/>
          </cell>
        </row>
        <row r="4682">
          <cell r="B4682" t="str">
            <v/>
          </cell>
        </row>
        <row r="4683">
          <cell r="B4683" t="str">
            <v/>
          </cell>
        </row>
        <row r="4684">
          <cell r="B4684" t="str">
            <v/>
          </cell>
        </row>
        <row r="4685">
          <cell r="B4685" t="str">
            <v/>
          </cell>
        </row>
        <row r="4686">
          <cell r="B4686" t="str">
            <v/>
          </cell>
        </row>
        <row r="4687">
          <cell r="B4687" t="str">
            <v/>
          </cell>
        </row>
        <row r="4688">
          <cell r="B4688" t="str">
            <v/>
          </cell>
        </row>
        <row r="4689">
          <cell r="B4689" t="str">
            <v/>
          </cell>
        </row>
        <row r="4690">
          <cell r="B4690" t="str">
            <v/>
          </cell>
        </row>
        <row r="4691">
          <cell r="B4691" t="str">
            <v/>
          </cell>
        </row>
        <row r="4692">
          <cell r="B4692" t="str">
            <v/>
          </cell>
        </row>
        <row r="4693">
          <cell r="B4693" t="str">
            <v/>
          </cell>
        </row>
        <row r="4694">
          <cell r="B4694" t="str">
            <v/>
          </cell>
        </row>
        <row r="4695">
          <cell r="B4695" t="str">
            <v/>
          </cell>
        </row>
        <row r="4696">
          <cell r="B4696" t="str">
            <v/>
          </cell>
        </row>
        <row r="4697">
          <cell r="B4697" t="str">
            <v/>
          </cell>
        </row>
        <row r="4698">
          <cell r="B4698" t="str">
            <v/>
          </cell>
        </row>
        <row r="4699">
          <cell r="B4699" t="str">
            <v/>
          </cell>
        </row>
        <row r="4700">
          <cell r="B4700" t="str">
            <v/>
          </cell>
        </row>
        <row r="4701">
          <cell r="B4701" t="str">
            <v/>
          </cell>
        </row>
        <row r="4702">
          <cell r="B4702" t="str">
            <v/>
          </cell>
        </row>
        <row r="4703">
          <cell r="B4703" t="str">
            <v/>
          </cell>
        </row>
        <row r="4704">
          <cell r="B4704" t="str">
            <v/>
          </cell>
        </row>
        <row r="4705">
          <cell r="B4705" t="str">
            <v/>
          </cell>
        </row>
        <row r="4706">
          <cell r="B4706" t="str">
            <v/>
          </cell>
        </row>
        <row r="4707">
          <cell r="B4707" t="str">
            <v/>
          </cell>
        </row>
        <row r="4708">
          <cell r="B4708" t="str">
            <v/>
          </cell>
        </row>
        <row r="4709">
          <cell r="B4709" t="str">
            <v/>
          </cell>
        </row>
        <row r="4710">
          <cell r="B4710" t="str">
            <v/>
          </cell>
        </row>
        <row r="4711">
          <cell r="B4711" t="str">
            <v/>
          </cell>
        </row>
        <row r="4712">
          <cell r="B4712" t="str">
            <v/>
          </cell>
        </row>
        <row r="4713">
          <cell r="B4713" t="str">
            <v/>
          </cell>
        </row>
        <row r="4714">
          <cell r="B4714" t="str">
            <v/>
          </cell>
        </row>
        <row r="4715">
          <cell r="B4715" t="str">
            <v/>
          </cell>
        </row>
        <row r="4716">
          <cell r="B4716" t="str">
            <v/>
          </cell>
        </row>
        <row r="4717">
          <cell r="B4717" t="str">
            <v/>
          </cell>
        </row>
        <row r="4718">
          <cell r="B4718" t="str">
            <v/>
          </cell>
        </row>
        <row r="4719">
          <cell r="B4719" t="str">
            <v/>
          </cell>
        </row>
        <row r="4720">
          <cell r="B4720" t="str">
            <v/>
          </cell>
        </row>
        <row r="4721">
          <cell r="B4721" t="str">
            <v/>
          </cell>
        </row>
        <row r="4722">
          <cell r="B4722" t="str">
            <v/>
          </cell>
        </row>
        <row r="4723">
          <cell r="B4723" t="str">
            <v/>
          </cell>
        </row>
        <row r="4724">
          <cell r="B4724" t="str">
            <v/>
          </cell>
        </row>
        <row r="4725">
          <cell r="B4725" t="str">
            <v/>
          </cell>
        </row>
        <row r="4726">
          <cell r="B4726" t="str">
            <v/>
          </cell>
        </row>
        <row r="4727">
          <cell r="B4727" t="str">
            <v/>
          </cell>
        </row>
        <row r="4728">
          <cell r="B4728" t="str">
            <v/>
          </cell>
        </row>
        <row r="4729">
          <cell r="B4729" t="str">
            <v/>
          </cell>
        </row>
        <row r="4730">
          <cell r="B4730" t="str">
            <v/>
          </cell>
        </row>
        <row r="4731">
          <cell r="B4731" t="str">
            <v/>
          </cell>
        </row>
        <row r="4732">
          <cell r="B4732" t="str">
            <v/>
          </cell>
        </row>
        <row r="4733">
          <cell r="B4733" t="str">
            <v/>
          </cell>
        </row>
        <row r="4734">
          <cell r="B4734" t="str">
            <v/>
          </cell>
        </row>
        <row r="4735">
          <cell r="B4735" t="str">
            <v/>
          </cell>
        </row>
        <row r="4736">
          <cell r="B4736" t="str">
            <v/>
          </cell>
        </row>
        <row r="4737">
          <cell r="B4737" t="str">
            <v/>
          </cell>
        </row>
        <row r="4738">
          <cell r="B4738" t="str">
            <v/>
          </cell>
        </row>
        <row r="4739">
          <cell r="B4739" t="str">
            <v/>
          </cell>
        </row>
        <row r="4740">
          <cell r="B4740" t="str">
            <v/>
          </cell>
        </row>
        <row r="4741">
          <cell r="B4741" t="str">
            <v/>
          </cell>
        </row>
        <row r="4742">
          <cell r="B4742" t="str">
            <v/>
          </cell>
        </row>
        <row r="4743">
          <cell r="B4743" t="str">
            <v/>
          </cell>
        </row>
        <row r="4744">
          <cell r="B4744" t="str">
            <v/>
          </cell>
        </row>
        <row r="4745">
          <cell r="B4745" t="str">
            <v/>
          </cell>
        </row>
        <row r="4746">
          <cell r="B4746" t="str">
            <v/>
          </cell>
        </row>
        <row r="4747">
          <cell r="B4747" t="str">
            <v/>
          </cell>
        </row>
        <row r="4748">
          <cell r="B4748" t="str">
            <v/>
          </cell>
        </row>
        <row r="4749">
          <cell r="B4749" t="str">
            <v/>
          </cell>
        </row>
        <row r="4750">
          <cell r="B4750" t="str">
            <v/>
          </cell>
        </row>
        <row r="4751">
          <cell r="B4751" t="str">
            <v/>
          </cell>
        </row>
        <row r="4752">
          <cell r="B4752" t="str">
            <v/>
          </cell>
        </row>
        <row r="4753">
          <cell r="B4753" t="str">
            <v/>
          </cell>
        </row>
        <row r="4754">
          <cell r="B4754" t="str">
            <v/>
          </cell>
        </row>
        <row r="4755">
          <cell r="B4755" t="str">
            <v/>
          </cell>
        </row>
        <row r="4756">
          <cell r="B4756" t="str">
            <v/>
          </cell>
        </row>
        <row r="4757">
          <cell r="B4757" t="str">
            <v/>
          </cell>
        </row>
        <row r="4758">
          <cell r="B4758" t="str">
            <v/>
          </cell>
        </row>
        <row r="4759">
          <cell r="B4759" t="str">
            <v/>
          </cell>
        </row>
        <row r="4760">
          <cell r="B4760" t="str">
            <v/>
          </cell>
        </row>
        <row r="4761">
          <cell r="B4761" t="str">
            <v/>
          </cell>
        </row>
        <row r="4762">
          <cell r="B4762" t="str">
            <v/>
          </cell>
        </row>
        <row r="4763">
          <cell r="B4763" t="str">
            <v/>
          </cell>
        </row>
        <row r="4764">
          <cell r="B4764" t="str">
            <v/>
          </cell>
        </row>
        <row r="4765">
          <cell r="B4765" t="str">
            <v/>
          </cell>
        </row>
        <row r="4766">
          <cell r="B4766" t="str">
            <v/>
          </cell>
        </row>
        <row r="4767">
          <cell r="B4767" t="str">
            <v/>
          </cell>
        </row>
        <row r="4768">
          <cell r="B4768" t="str">
            <v/>
          </cell>
        </row>
        <row r="4769">
          <cell r="B4769" t="str">
            <v/>
          </cell>
        </row>
        <row r="4770">
          <cell r="B4770" t="str">
            <v/>
          </cell>
        </row>
        <row r="4771">
          <cell r="B4771" t="str">
            <v/>
          </cell>
        </row>
        <row r="4772">
          <cell r="B4772" t="str">
            <v/>
          </cell>
        </row>
        <row r="4773">
          <cell r="B4773" t="str">
            <v/>
          </cell>
        </row>
        <row r="4774">
          <cell r="B4774" t="str">
            <v/>
          </cell>
        </row>
        <row r="4775">
          <cell r="B4775" t="str">
            <v/>
          </cell>
        </row>
        <row r="4776">
          <cell r="B4776" t="str">
            <v/>
          </cell>
        </row>
        <row r="4777">
          <cell r="B4777" t="str">
            <v/>
          </cell>
        </row>
        <row r="4778">
          <cell r="B4778" t="str">
            <v/>
          </cell>
        </row>
        <row r="4779">
          <cell r="B4779" t="str">
            <v/>
          </cell>
        </row>
        <row r="4780">
          <cell r="B4780" t="str">
            <v/>
          </cell>
        </row>
        <row r="4781">
          <cell r="B4781" t="str">
            <v/>
          </cell>
        </row>
        <row r="4782">
          <cell r="B4782" t="str">
            <v/>
          </cell>
        </row>
        <row r="4783">
          <cell r="B4783" t="str">
            <v/>
          </cell>
        </row>
        <row r="4784">
          <cell r="B4784" t="str">
            <v/>
          </cell>
        </row>
        <row r="4785">
          <cell r="B4785" t="str">
            <v/>
          </cell>
        </row>
        <row r="4786">
          <cell r="B4786" t="str">
            <v/>
          </cell>
        </row>
        <row r="4787">
          <cell r="B4787" t="str">
            <v/>
          </cell>
        </row>
        <row r="4788">
          <cell r="B4788" t="str">
            <v/>
          </cell>
        </row>
        <row r="4789">
          <cell r="B4789" t="str">
            <v/>
          </cell>
        </row>
        <row r="4790">
          <cell r="B4790" t="str">
            <v/>
          </cell>
        </row>
        <row r="4791">
          <cell r="B4791" t="str">
            <v/>
          </cell>
        </row>
        <row r="4792">
          <cell r="B4792" t="str">
            <v/>
          </cell>
        </row>
        <row r="4793">
          <cell r="B4793" t="str">
            <v/>
          </cell>
        </row>
        <row r="4794">
          <cell r="B4794" t="str">
            <v/>
          </cell>
        </row>
        <row r="4795">
          <cell r="B4795" t="str">
            <v/>
          </cell>
        </row>
        <row r="4796">
          <cell r="B4796" t="str">
            <v/>
          </cell>
        </row>
        <row r="4797">
          <cell r="B4797" t="str">
            <v/>
          </cell>
        </row>
        <row r="4798">
          <cell r="B4798" t="str">
            <v/>
          </cell>
        </row>
        <row r="4799">
          <cell r="B4799" t="str">
            <v/>
          </cell>
        </row>
        <row r="4800">
          <cell r="B4800" t="str">
            <v/>
          </cell>
        </row>
        <row r="4801">
          <cell r="B4801" t="str">
            <v/>
          </cell>
        </row>
        <row r="4802">
          <cell r="B4802" t="str">
            <v/>
          </cell>
        </row>
        <row r="4803">
          <cell r="B4803" t="str">
            <v/>
          </cell>
        </row>
        <row r="4804">
          <cell r="B4804" t="str">
            <v/>
          </cell>
        </row>
        <row r="4805">
          <cell r="B4805" t="str">
            <v/>
          </cell>
        </row>
        <row r="4806">
          <cell r="B4806" t="str">
            <v/>
          </cell>
        </row>
        <row r="4807">
          <cell r="B4807" t="str">
            <v/>
          </cell>
        </row>
        <row r="4808">
          <cell r="B4808" t="str">
            <v/>
          </cell>
        </row>
        <row r="4809">
          <cell r="B4809" t="str">
            <v/>
          </cell>
        </row>
        <row r="4810">
          <cell r="B4810" t="str">
            <v/>
          </cell>
        </row>
        <row r="4811">
          <cell r="B4811" t="str">
            <v/>
          </cell>
        </row>
        <row r="4812">
          <cell r="B4812" t="str">
            <v/>
          </cell>
        </row>
        <row r="4813">
          <cell r="B4813" t="str">
            <v/>
          </cell>
        </row>
        <row r="4814">
          <cell r="B4814" t="str">
            <v/>
          </cell>
        </row>
        <row r="4815">
          <cell r="B4815" t="str">
            <v/>
          </cell>
        </row>
        <row r="4816">
          <cell r="B4816" t="str">
            <v/>
          </cell>
        </row>
        <row r="4817">
          <cell r="B4817" t="str">
            <v/>
          </cell>
        </row>
        <row r="4818">
          <cell r="B4818" t="str">
            <v/>
          </cell>
        </row>
        <row r="4819">
          <cell r="B4819" t="str">
            <v/>
          </cell>
        </row>
        <row r="4820">
          <cell r="B4820" t="str">
            <v/>
          </cell>
        </row>
        <row r="4821">
          <cell r="B4821" t="str">
            <v/>
          </cell>
        </row>
        <row r="4822">
          <cell r="B4822" t="str">
            <v/>
          </cell>
        </row>
        <row r="4823">
          <cell r="B4823" t="str">
            <v/>
          </cell>
        </row>
        <row r="4824">
          <cell r="B4824" t="str">
            <v/>
          </cell>
        </row>
        <row r="4825">
          <cell r="B4825" t="str">
            <v/>
          </cell>
        </row>
        <row r="4826">
          <cell r="B4826" t="str">
            <v/>
          </cell>
        </row>
        <row r="4827">
          <cell r="B4827" t="str">
            <v/>
          </cell>
        </row>
        <row r="4828">
          <cell r="B4828" t="str">
            <v/>
          </cell>
        </row>
        <row r="4829">
          <cell r="B4829" t="str">
            <v/>
          </cell>
        </row>
        <row r="4830">
          <cell r="B4830" t="str">
            <v/>
          </cell>
        </row>
        <row r="4831">
          <cell r="B4831" t="str">
            <v/>
          </cell>
        </row>
        <row r="4832">
          <cell r="B4832" t="str">
            <v/>
          </cell>
        </row>
        <row r="4833">
          <cell r="B4833" t="str">
            <v/>
          </cell>
        </row>
        <row r="4834">
          <cell r="B4834" t="str">
            <v/>
          </cell>
        </row>
        <row r="4835">
          <cell r="B4835" t="str">
            <v/>
          </cell>
        </row>
        <row r="4836">
          <cell r="B4836" t="str">
            <v/>
          </cell>
        </row>
        <row r="4837">
          <cell r="B4837" t="str">
            <v/>
          </cell>
        </row>
        <row r="4838">
          <cell r="B4838" t="str">
            <v/>
          </cell>
        </row>
        <row r="4839">
          <cell r="B4839" t="str">
            <v/>
          </cell>
        </row>
        <row r="4840">
          <cell r="B4840" t="str">
            <v/>
          </cell>
        </row>
        <row r="4841">
          <cell r="B4841" t="str">
            <v/>
          </cell>
        </row>
        <row r="4842">
          <cell r="B4842" t="str">
            <v/>
          </cell>
        </row>
        <row r="4843">
          <cell r="B4843" t="str">
            <v/>
          </cell>
        </row>
        <row r="4844">
          <cell r="B4844" t="str">
            <v/>
          </cell>
        </row>
        <row r="4845">
          <cell r="B4845" t="str">
            <v/>
          </cell>
        </row>
        <row r="4846">
          <cell r="B4846" t="str">
            <v/>
          </cell>
        </row>
        <row r="4847">
          <cell r="B4847" t="str">
            <v/>
          </cell>
        </row>
        <row r="4848">
          <cell r="B4848" t="str">
            <v/>
          </cell>
        </row>
        <row r="4849">
          <cell r="B4849" t="str">
            <v/>
          </cell>
        </row>
        <row r="4850">
          <cell r="B4850" t="str">
            <v/>
          </cell>
        </row>
        <row r="4851">
          <cell r="B4851" t="str">
            <v/>
          </cell>
        </row>
        <row r="4852">
          <cell r="B4852" t="str">
            <v/>
          </cell>
        </row>
        <row r="4853">
          <cell r="B4853" t="str">
            <v/>
          </cell>
        </row>
        <row r="4854">
          <cell r="B4854" t="str">
            <v/>
          </cell>
        </row>
        <row r="4855">
          <cell r="B4855" t="str">
            <v/>
          </cell>
        </row>
        <row r="4856">
          <cell r="B4856" t="str">
            <v/>
          </cell>
        </row>
        <row r="4857">
          <cell r="B4857" t="str">
            <v/>
          </cell>
        </row>
        <row r="4858">
          <cell r="B4858" t="str">
            <v/>
          </cell>
        </row>
        <row r="4859">
          <cell r="B4859" t="str">
            <v/>
          </cell>
        </row>
        <row r="4860">
          <cell r="B4860" t="str">
            <v/>
          </cell>
        </row>
        <row r="4861">
          <cell r="B4861" t="str">
            <v/>
          </cell>
        </row>
        <row r="4862">
          <cell r="B4862" t="str">
            <v/>
          </cell>
        </row>
        <row r="4863">
          <cell r="B4863" t="str">
            <v/>
          </cell>
        </row>
        <row r="4864">
          <cell r="B4864" t="str">
            <v/>
          </cell>
        </row>
        <row r="4865">
          <cell r="B4865" t="str">
            <v/>
          </cell>
        </row>
        <row r="4866">
          <cell r="B4866" t="str">
            <v/>
          </cell>
        </row>
        <row r="4867">
          <cell r="B4867" t="str">
            <v/>
          </cell>
        </row>
        <row r="4868">
          <cell r="B4868" t="str">
            <v/>
          </cell>
        </row>
        <row r="4869">
          <cell r="B4869" t="str">
            <v/>
          </cell>
        </row>
        <row r="4870">
          <cell r="B4870" t="str">
            <v/>
          </cell>
        </row>
        <row r="4871">
          <cell r="B4871" t="str">
            <v/>
          </cell>
        </row>
        <row r="4872">
          <cell r="B4872" t="str">
            <v/>
          </cell>
        </row>
        <row r="4873">
          <cell r="B4873" t="str">
            <v/>
          </cell>
        </row>
        <row r="4874">
          <cell r="B4874" t="str">
            <v/>
          </cell>
        </row>
        <row r="4875">
          <cell r="B4875" t="str">
            <v/>
          </cell>
        </row>
        <row r="4876">
          <cell r="B4876" t="str">
            <v/>
          </cell>
        </row>
        <row r="4877">
          <cell r="B4877" t="str">
            <v/>
          </cell>
        </row>
        <row r="4878">
          <cell r="B4878" t="str">
            <v/>
          </cell>
        </row>
        <row r="4879">
          <cell r="B4879" t="str">
            <v/>
          </cell>
        </row>
        <row r="4880">
          <cell r="B4880" t="str">
            <v/>
          </cell>
        </row>
        <row r="4881">
          <cell r="B4881" t="str">
            <v/>
          </cell>
        </row>
        <row r="4882">
          <cell r="B4882" t="str">
            <v/>
          </cell>
        </row>
        <row r="4883">
          <cell r="B4883" t="str">
            <v/>
          </cell>
        </row>
        <row r="4884">
          <cell r="B4884" t="str">
            <v/>
          </cell>
        </row>
        <row r="4885">
          <cell r="B4885" t="str">
            <v/>
          </cell>
        </row>
        <row r="4886">
          <cell r="B4886" t="str">
            <v/>
          </cell>
        </row>
        <row r="4887">
          <cell r="B4887" t="str">
            <v/>
          </cell>
        </row>
        <row r="4888">
          <cell r="B4888" t="str">
            <v/>
          </cell>
        </row>
        <row r="4889">
          <cell r="B4889" t="str">
            <v/>
          </cell>
        </row>
        <row r="4890">
          <cell r="B4890" t="str">
            <v/>
          </cell>
        </row>
        <row r="4891">
          <cell r="B4891" t="str">
            <v/>
          </cell>
        </row>
        <row r="4892">
          <cell r="B4892" t="str">
            <v/>
          </cell>
        </row>
        <row r="4893">
          <cell r="B4893" t="str">
            <v/>
          </cell>
        </row>
        <row r="4894">
          <cell r="B4894" t="str">
            <v/>
          </cell>
        </row>
        <row r="4895">
          <cell r="B4895" t="str">
            <v/>
          </cell>
        </row>
        <row r="4896">
          <cell r="B4896" t="str">
            <v/>
          </cell>
        </row>
        <row r="4897">
          <cell r="B4897" t="str">
            <v/>
          </cell>
        </row>
        <row r="4898">
          <cell r="B4898" t="str">
            <v/>
          </cell>
        </row>
        <row r="4899">
          <cell r="B4899" t="str">
            <v/>
          </cell>
        </row>
        <row r="4900">
          <cell r="B4900" t="str">
            <v/>
          </cell>
        </row>
        <row r="4901">
          <cell r="B4901" t="str">
            <v/>
          </cell>
        </row>
        <row r="4902">
          <cell r="B4902" t="str">
            <v/>
          </cell>
        </row>
        <row r="4903">
          <cell r="B4903" t="str">
            <v/>
          </cell>
        </row>
        <row r="4904">
          <cell r="B4904" t="str">
            <v/>
          </cell>
        </row>
        <row r="4905">
          <cell r="B4905" t="str">
            <v/>
          </cell>
        </row>
        <row r="4906">
          <cell r="B4906" t="str">
            <v/>
          </cell>
        </row>
        <row r="4907">
          <cell r="B4907" t="str">
            <v/>
          </cell>
        </row>
        <row r="4908">
          <cell r="B4908" t="str">
            <v/>
          </cell>
        </row>
        <row r="4909">
          <cell r="B4909" t="str">
            <v/>
          </cell>
        </row>
        <row r="4910">
          <cell r="B4910" t="str">
            <v/>
          </cell>
        </row>
        <row r="4911">
          <cell r="B4911" t="str">
            <v/>
          </cell>
        </row>
        <row r="4912">
          <cell r="B4912" t="str">
            <v/>
          </cell>
        </row>
        <row r="4913">
          <cell r="B4913" t="str">
            <v/>
          </cell>
        </row>
        <row r="4914">
          <cell r="B4914" t="str">
            <v/>
          </cell>
        </row>
        <row r="4915">
          <cell r="B4915" t="str">
            <v/>
          </cell>
        </row>
        <row r="4916">
          <cell r="B4916" t="str">
            <v/>
          </cell>
        </row>
        <row r="4917">
          <cell r="B4917" t="str">
            <v/>
          </cell>
        </row>
        <row r="4918">
          <cell r="B4918" t="str">
            <v/>
          </cell>
        </row>
        <row r="4919">
          <cell r="B4919" t="str">
            <v/>
          </cell>
        </row>
        <row r="4920">
          <cell r="B4920" t="str">
            <v/>
          </cell>
        </row>
        <row r="4921">
          <cell r="B4921" t="str">
            <v/>
          </cell>
        </row>
        <row r="4922">
          <cell r="B4922" t="str">
            <v/>
          </cell>
        </row>
        <row r="4923">
          <cell r="B4923" t="str">
            <v/>
          </cell>
        </row>
        <row r="4924">
          <cell r="B4924" t="str">
            <v/>
          </cell>
        </row>
        <row r="4925">
          <cell r="B4925" t="str">
            <v/>
          </cell>
        </row>
        <row r="4926">
          <cell r="B4926" t="str">
            <v/>
          </cell>
        </row>
        <row r="4927">
          <cell r="B4927" t="str">
            <v/>
          </cell>
        </row>
        <row r="4928">
          <cell r="B4928" t="str">
            <v/>
          </cell>
        </row>
        <row r="4929">
          <cell r="B4929" t="str">
            <v/>
          </cell>
        </row>
        <row r="4930">
          <cell r="B4930" t="str">
            <v/>
          </cell>
        </row>
        <row r="4931">
          <cell r="B4931" t="str">
            <v/>
          </cell>
        </row>
        <row r="4932">
          <cell r="B4932" t="str">
            <v/>
          </cell>
        </row>
        <row r="4933">
          <cell r="B4933" t="str">
            <v/>
          </cell>
        </row>
        <row r="4934">
          <cell r="B4934" t="str">
            <v/>
          </cell>
        </row>
        <row r="4935">
          <cell r="B4935" t="str">
            <v/>
          </cell>
        </row>
        <row r="4936">
          <cell r="B4936" t="str">
            <v/>
          </cell>
        </row>
        <row r="4937">
          <cell r="B4937" t="str">
            <v/>
          </cell>
        </row>
        <row r="4938">
          <cell r="B4938" t="str">
            <v/>
          </cell>
        </row>
        <row r="4939">
          <cell r="B4939" t="str">
            <v/>
          </cell>
        </row>
        <row r="4940">
          <cell r="B4940" t="str">
            <v/>
          </cell>
        </row>
        <row r="4941">
          <cell r="B4941" t="str">
            <v/>
          </cell>
        </row>
        <row r="4942">
          <cell r="B4942" t="str">
            <v/>
          </cell>
        </row>
        <row r="4943">
          <cell r="B4943" t="str">
            <v/>
          </cell>
        </row>
        <row r="4944">
          <cell r="B4944" t="str">
            <v/>
          </cell>
        </row>
        <row r="4945">
          <cell r="B4945" t="str">
            <v/>
          </cell>
        </row>
        <row r="4946">
          <cell r="B4946" t="str">
            <v/>
          </cell>
        </row>
        <row r="4947">
          <cell r="B4947" t="str">
            <v/>
          </cell>
        </row>
        <row r="4948">
          <cell r="B4948" t="str">
            <v/>
          </cell>
        </row>
        <row r="4949">
          <cell r="B4949" t="str">
            <v/>
          </cell>
        </row>
        <row r="4950">
          <cell r="B4950" t="str">
            <v/>
          </cell>
        </row>
        <row r="4951">
          <cell r="B4951" t="str">
            <v/>
          </cell>
        </row>
        <row r="4952">
          <cell r="B4952" t="str">
            <v/>
          </cell>
        </row>
        <row r="4953">
          <cell r="B4953" t="str">
            <v/>
          </cell>
        </row>
        <row r="4954">
          <cell r="B4954" t="str">
            <v/>
          </cell>
        </row>
        <row r="4955">
          <cell r="B4955" t="str">
            <v/>
          </cell>
        </row>
        <row r="4956">
          <cell r="B4956" t="str">
            <v/>
          </cell>
        </row>
        <row r="4957">
          <cell r="B4957" t="str">
            <v/>
          </cell>
        </row>
        <row r="4958">
          <cell r="B4958" t="str">
            <v/>
          </cell>
        </row>
        <row r="4959">
          <cell r="B4959" t="str">
            <v/>
          </cell>
        </row>
        <row r="4960">
          <cell r="B4960" t="str">
            <v/>
          </cell>
        </row>
        <row r="4961">
          <cell r="B4961" t="str">
            <v/>
          </cell>
        </row>
        <row r="4962">
          <cell r="B4962" t="str">
            <v/>
          </cell>
        </row>
        <row r="4963">
          <cell r="B4963" t="str">
            <v/>
          </cell>
        </row>
        <row r="4964">
          <cell r="B4964" t="str">
            <v/>
          </cell>
        </row>
        <row r="4965">
          <cell r="B4965" t="str">
            <v/>
          </cell>
        </row>
        <row r="4966">
          <cell r="B4966" t="str">
            <v/>
          </cell>
        </row>
        <row r="4967">
          <cell r="B4967" t="str">
            <v/>
          </cell>
        </row>
        <row r="4968">
          <cell r="B4968" t="str">
            <v/>
          </cell>
        </row>
        <row r="4969">
          <cell r="B4969" t="str">
            <v/>
          </cell>
        </row>
        <row r="4970">
          <cell r="B4970" t="str">
            <v/>
          </cell>
        </row>
        <row r="4971">
          <cell r="B4971" t="str">
            <v/>
          </cell>
        </row>
        <row r="4972">
          <cell r="B4972" t="str">
            <v/>
          </cell>
        </row>
        <row r="4973">
          <cell r="B4973" t="str">
            <v/>
          </cell>
        </row>
        <row r="4974">
          <cell r="B4974" t="str">
            <v/>
          </cell>
        </row>
        <row r="4975">
          <cell r="B4975" t="str">
            <v/>
          </cell>
        </row>
        <row r="4976">
          <cell r="B4976" t="str">
            <v/>
          </cell>
        </row>
        <row r="4977">
          <cell r="B4977" t="str">
            <v/>
          </cell>
        </row>
        <row r="4978">
          <cell r="B4978" t="str">
            <v/>
          </cell>
        </row>
        <row r="4979">
          <cell r="B4979" t="str">
            <v/>
          </cell>
        </row>
        <row r="4980">
          <cell r="B4980" t="str">
            <v/>
          </cell>
        </row>
        <row r="4981">
          <cell r="B4981" t="str">
            <v/>
          </cell>
        </row>
        <row r="4982">
          <cell r="B4982" t="str">
            <v/>
          </cell>
        </row>
        <row r="4983">
          <cell r="B4983" t="str">
            <v/>
          </cell>
        </row>
        <row r="4984">
          <cell r="B4984" t="str">
            <v/>
          </cell>
        </row>
        <row r="4985">
          <cell r="B4985" t="str">
            <v/>
          </cell>
        </row>
        <row r="4986">
          <cell r="B4986" t="str">
            <v/>
          </cell>
        </row>
        <row r="4987">
          <cell r="B4987" t="str">
            <v/>
          </cell>
        </row>
        <row r="4988">
          <cell r="B4988" t="str">
            <v/>
          </cell>
        </row>
        <row r="4989">
          <cell r="B4989" t="str">
            <v/>
          </cell>
        </row>
        <row r="4990">
          <cell r="B4990" t="str">
            <v/>
          </cell>
        </row>
        <row r="4991">
          <cell r="B4991" t="str">
            <v/>
          </cell>
        </row>
        <row r="4992">
          <cell r="B4992" t="str">
            <v/>
          </cell>
        </row>
        <row r="4993">
          <cell r="B4993" t="str">
            <v/>
          </cell>
        </row>
        <row r="4994">
          <cell r="B4994" t="str">
            <v/>
          </cell>
        </row>
        <row r="4995">
          <cell r="B4995" t="str">
            <v/>
          </cell>
        </row>
        <row r="4996">
          <cell r="B4996" t="str">
            <v/>
          </cell>
        </row>
        <row r="4997">
          <cell r="B4997" t="str">
            <v/>
          </cell>
        </row>
        <row r="4998">
          <cell r="B4998" t="str">
            <v/>
          </cell>
        </row>
        <row r="4999">
          <cell r="B4999" t="str">
            <v/>
          </cell>
        </row>
        <row r="5000">
          <cell r="B5000" t="str">
            <v/>
          </cell>
        </row>
      </sheetData>
      <sheetData sheetId="4">
        <row r="10">
          <cell r="B10" t="str">
            <v>Week</v>
          </cell>
          <cell r="C10">
            <v>12</v>
          </cell>
          <cell r="D10">
            <v>4</v>
          </cell>
          <cell r="E10">
            <v>5</v>
          </cell>
          <cell r="F10">
            <v>1</v>
          </cell>
        </row>
        <row r="11">
          <cell r="B11" t="str">
            <v>Month</v>
          </cell>
          <cell r="C11">
            <v>24</v>
          </cell>
          <cell r="D11">
            <v>8</v>
          </cell>
          <cell r="E11">
            <v>10</v>
          </cell>
          <cell r="F11">
            <v>2</v>
          </cell>
        </row>
        <row r="12">
          <cell r="B12" t="str">
            <v>Quarter</v>
          </cell>
          <cell r="C12">
            <v>36</v>
          </cell>
          <cell r="D12">
            <v>12</v>
          </cell>
          <cell r="E12">
            <v>15</v>
          </cell>
          <cell r="F12">
            <v>3</v>
          </cell>
        </row>
        <row r="13">
          <cell r="B13" t="str">
            <v>Season</v>
          </cell>
          <cell r="C13">
            <v>48</v>
          </cell>
          <cell r="D13">
            <v>16</v>
          </cell>
          <cell r="E13">
            <v>20</v>
          </cell>
          <cell r="F13">
            <v>4</v>
          </cell>
        </row>
        <row r="14">
          <cell r="B14" t="str">
            <v>Year</v>
          </cell>
          <cell r="C14">
            <v>60</v>
          </cell>
          <cell r="D14">
            <v>20</v>
          </cell>
          <cell r="F14">
            <v>5</v>
          </cell>
        </row>
        <row r="15">
          <cell r="B15" t="str">
            <v>Gas Year</v>
          </cell>
          <cell r="C15">
            <v>72</v>
          </cell>
          <cell r="D15">
            <v>24</v>
          </cell>
          <cell r="F15">
            <v>6</v>
          </cell>
        </row>
        <row r="16">
          <cell r="C16">
            <v>84</v>
          </cell>
          <cell r="D16">
            <v>28</v>
          </cell>
          <cell r="F16">
            <v>7</v>
          </cell>
        </row>
        <row r="17">
          <cell r="C17">
            <v>96</v>
          </cell>
          <cell r="D17">
            <v>32</v>
          </cell>
          <cell r="F17">
            <v>8</v>
          </cell>
        </row>
        <row r="18">
          <cell r="C18">
            <v>108</v>
          </cell>
          <cell r="D18">
            <v>36</v>
          </cell>
        </row>
        <row r="19">
          <cell r="C19">
            <v>120</v>
          </cell>
        </row>
        <row r="20">
          <cell r="C20">
            <v>132</v>
          </cell>
        </row>
        <row r="21">
          <cell r="C21">
            <v>144</v>
          </cell>
        </row>
        <row r="22">
          <cell r="C22">
            <v>156</v>
          </cell>
        </row>
        <row r="23">
          <cell r="C23">
            <v>168</v>
          </cell>
        </row>
        <row r="24">
          <cell r="C24">
            <v>180</v>
          </cell>
        </row>
        <row r="25">
          <cell r="C25">
            <v>192</v>
          </cell>
        </row>
        <row r="26">
          <cell r="C26">
            <v>204</v>
          </cell>
        </row>
        <row r="27">
          <cell r="C27">
            <v>216</v>
          </cell>
        </row>
        <row r="28">
          <cell r="C28">
            <v>228</v>
          </cell>
        </row>
        <row r="29">
          <cell r="C29">
            <v>240</v>
          </cell>
        </row>
      </sheetData>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Patricio Valdivieso" id="{E3EBE148-2FB0-4868-B8F9-B4CCBCF8BB8A}" userId="S::valdivp@KAPSARC.ORG::f82e621a-8063-40a7-9358-baa18a3426f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FB492-9249-419B-9857-06B337A4ED31}" name="Table1" displayName="Table1" ref="B4:E14" totalsRowShown="0">
  <autoFilter ref="B4:E14" xr:uid="{F04FB492-9249-419B-9857-06B337A4ED31}"/>
  <tableColumns count="4">
    <tableColumn id="1" xr3:uid="{0086CA08-C2ED-456F-AFFD-D6E966238397}" name="Dimension" dataDxfId="16"/>
    <tableColumn id="2" xr3:uid="{9CDF5EA9-7F14-45B5-AA7E-664496F65441}" name="Arab Light model" dataDxfId="15"/>
    <tableColumn id="3" xr3:uid="{3D69D3FE-8912-41F9-B967-810A5242FB0F}" name="Arab Medium model" dataDxfId="14"/>
    <tableColumn id="4" xr3:uid="{56F37A51-0614-412B-AD9E-9BA70108BABE}" name="Arab Extra Light model" dataDxfId="1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D83E11-0E29-47A7-9C8C-949AF5321C84}" name="Table2" displayName="Table2" ref="B18:F40" totalsRowShown="0" headerRowDxfId="12" dataDxfId="11">
  <autoFilter ref="B18:F40" xr:uid="{0CD83E11-0E29-47A7-9C8C-949AF5321C84}"/>
  <tableColumns count="5">
    <tableColumn id="4" xr3:uid="{C691E0A5-0AB9-45E7-892D-29789A0054C0}" name="Model" dataDxfId="10"/>
    <tableColumn id="1" xr3:uid="{54F1AA9B-8F06-46F1-875D-7FB2378EE69F}" name="Input" dataDxfId="9"/>
    <tableColumn id="2" xr3:uid="{ACD16766-7DC3-408D-B8E0-55ED64731967}" name="Frequency" dataDxfId="8"/>
    <tableColumn id="3" xr3:uid="{F940E06B-B918-4284-96A5-682A2C999804}" name="Notes" dataDxfId="7"/>
    <tableColumn id="5" xr3:uid="{7A95F484-DB84-4D35-99FC-E3E0BC3A8460}" name="Lag" dataDxfId="6"/>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2259E6-86E1-4607-BFED-08E11CF82782}" name="Table3" displayName="Table3" ref="B44:E50" totalsRowShown="0" headerRowDxfId="5" dataDxfId="4">
  <autoFilter ref="B44:E50" xr:uid="{7F2259E6-86E1-4607-BFED-08E11CF82782}"/>
  <tableColumns count="4">
    <tableColumn id="1" xr3:uid="{ED37169A-6930-44DB-9ED9-BEBA87C2D615}" name="Metric" dataDxfId="3"/>
    <tableColumn id="2" xr3:uid="{DD6C786C-96E7-4BEB-BD3B-2F76A422785C}" name="Arab Light" dataDxfId="2"/>
    <tableColumn id="3" xr3:uid="{66ACEDF7-6F80-40A2-B4D3-221D27290845}" name="Arab Medium" dataDxfId="1"/>
    <tableColumn id="4" xr3:uid="{B460E6FF-964F-4828-88A3-28AAE37973BA}" name="Arab Extra Ligh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4" dT="2026-01-02T16:52:45.76" personId="{E3EBE148-2FB0-4868-B8F9-B4CCBCF8BB8A}" id="{9104624F-D5CB-4F7E-A045-B84371CD7300}">
    <text>Aramco announced OSP for January</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CD78-ED2A-4ABD-A405-1D240CC0FBF9}">
  <sheetPr>
    <tabColor theme="9" tint="0.79998168889431442"/>
  </sheetPr>
  <dimension ref="B2:F50"/>
  <sheetViews>
    <sheetView showGridLines="0" workbookViewId="0">
      <selection activeCell="D32" sqref="D32"/>
    </sheetView>
  </sheetViews>
  <sheetFormatPr defaultRowHeight="14.4" x14ac:dyDescent="0.3"/>
  <cols>
    <col min="1" max="1" width="3.5546875" customWidth="1"/>
    <col min="2" max="2" width="30.88671875" customWidth="1"/>
    <col min="3" max="5" width="39.88671875" customWidth="1"/>
  </cols>
  <sheetData>
    <row r="2" spans="2:6" x14ac:dyDescent="0.3">
      <c r="B2" s="87" t="s">
        <v>32</v>
      </c>
      <c r="C2" s="88"/>
      <c r="D2" s="88"/>
      <c r="E2" s="89"/>
    </row>
    <row r="4" spans="2:6" x14ac:dyDescent="0.3">
      <c r="B4" t="s">
        <v>0</v>
      </c>
      <c r="C4" t="s">
        <v>1</v>
      </c>
      <c r="D4" t="s">
        <v>2</v>
      </c>
      <c r="E4" t="s">
        <v>3</v>
      </c>
    </row>
    <row r="5" spans="2:6" x14ac:dyDescent="0.3">
      <c r="B5" s="4" t="s">
        <v>4</v>
      </c>
      <c r="C5" s="6" t="s">
        <v>5</v>
      </c>
      <c r="D5" s="6" t="s">
        <v>6</v>
      </c>
      <c r="E5" s="6" t="s">
        <v>7</v>
      </c>
    </row>
    <row r="6" spans="2:6" x14ac:dyDescent="0.3">
      <c r="B6" s="4" t="s">
        <v>8</v>
      </c>
      <c r="C6" s="6" t="s">
        <v>9</v>
      </c>
      <c r="D6" s="6" t="s">
        <v>10</v>
      </c>
      <c r="E6" s="6" t="s">
        <v>10</v>
      </c>
    </row>
    <row r="7" spans="2:6" x14ac:dyDescent="0.3">
      <c r="B7" s="4" t="s">
        <v>11</v>
      </c>
      <c r="C7" s="6" t="s">
        <v>12</v>
      </c>
      <c r="D7" s="6" t="s">
        <v>13</v>
      </c>
      <c r="E7" s="6" t="s">
        <v>13</v>
      </c>
    </row>
    <row r="8" spans="2:6" x14ac:dyDescent="0.3">
      <c r="B8" s="4" t="s">
        <v>14</v>
      </c>
      <c r="C8" s="6" t="s">
        <v>15</v>
      </c>
      <c r="D8" s="6" t="s">
        <v>15</v>
      </c>
      <c r="E8" s="6" t="s">
        <v>15</v>
      </c>
    </row>
    <row r="9" spans="2:6" x14ac:dyDescent="0.3">
      <c r="B9" s="4" t="s">
        <v>16</v>
      </c>
      <c r="C9" s="6" t="s">
        <v>31</v>
      </c>
      <c r="D9" s="6" t="s">
        <v>31</v>
      </c>
      <c r="E9" s="6" t="s">
        <v>31</v>
      </c>
    </row>
    <row r="10" spans="2:6" x14ac:dyDescent="0.3">
      <c r="B10" s="4" t="s">
        <v>17</v>
      </c>
      <c r="C10" s="6" t="s">
        <v>18</v>
      </c>
      <c r="D10" s="6" t="s">
        <v>19</v>
      </c>
      <c r="E10" s="6" t="s">
        <v>19</v>
      </c>
    </row>
    <row r="11" spans="2:6" x14ac:dyDescent="0.3">
      <c r="B11" s="4" t="s">
        <v>20</v>
      </c>
      <c r="C11" s="6" t="s">
        <v>33</v>
      </c>
      <c r="D11" s="6" t="s">
        <v>21</v>
      </c>
      <c r="E11" s="6" t="s">
        <v>21</v>
      </c>
    </row>
    <row r="12" spans="2:6" x14ac:dyDescent="0.3">
      <c r="B12" s="4" t="s">
        <v>22</v>
      </c>
      <c r="C12" s="6" t="s">
        <v>23</v>
      </c>
      <c r="D12" s="6" t="s">
        <v>23</v>
      </c>
      <c r="E12" s="6" t="s">
        <v>23</v>
      </c>
    </row>
    <row r="13" spans="2:6" x14ac:dyDescent="0.3">
      <c r="B13" s="4" t="s">
        <v>24</v>
      </c>
      <c r="C13" s="6" t="s">
        <v>25</v>
      </c>
      <c r="D13" s="6" t="s">
        <v>26</v>
      </c>
      <c r="E13" s="6" t="s">
        <v>27</v>
      </c>
    </row>
    <row r="14" spans="2:6" x14ac:dyDescent="0.3">
      <c r="B14" s="4" t="s">
        <v>28</v>
      </c>
      <c r="C14" s="6" t="s">
        <v>29</v>
      </c>
      <c r="D14" s="6" t="s">
        <v>30</v>
      </c>
      <c r="E14" s="6" t="s">
        <v>30</v>
      </c>
    </row>
    <row r="16" spans="2:6" x14ac:dyDescent="0.3">
      <c r="B16" s="87" t="s">
        <v>49</v>
      </c>
      <c r="C16" s="88"/>
      <c r="D16" s="88"/>
      <c r="E16" s="88"/>
      <c r="F16" s="89"/>
    </row>
    <row r="18" spans="2:6" x14ac:dyDescent="0.3">
      <c r="B18" s="1" t="s">
        <v>50</v>
      </c>
      <c r="C18" s="1" t="s">
        <v>34</v>
      </c>
      <c r="D18" s="1" t="s">
        <v>35</v>
      </c>
      <c r="E18" s="1" t="s">
        <v>53</v>
      </c>
      <c r="F18" s="1" t="s">
        <v>52</v>
      </c>
    </row>
    <row r="19" spans="2:6" x14ac:dyDescent="0.3">
      <c r="B19" s="11" t="s">
        <v>51</v>
      </c>
      <c r="C19" s="8" t="s">
        <v>36</v>
      </c>
      <c r="D19" s="8" t="s">
        <v>37</v>
      </c>
      <c r="E19" s="8" t="s">
        <v>38</v>
      </c>
      <c r="F19" s="8" t="s">
        <v>55</v>
      </c>
    </row>
    <row r="20" spans="2:6" x14ac:dyDescent="0.3">
      <c r="B20" s="11" t="s">
        <v>51</v>
      </c>
      <c r="C20" s="8" t="s">
        <v>39</v>
      </c>
      <c r="D20" s="8" t="s">
        <v>37</v>
      </c>
      <c r="E20" s="8" t="s">
        <v>38</v>
      </c>
      <c r="F20" s="8" t="s">
        <v>55</v>
      </c>
    </row>
    <row r="21" spans="2:6" x14ac:dyDescent="0.3">
      <c r="B21" s="11" t="s">
        <v>51</v>
      </c>
      <c r="C21" s="8" t="s">
        <v>40</v>
      </c>
      <c r="D21" s="8" t="s">
        <v>41</v>
      </c>
      <c r="E21" s="8" t="s">
        <v>42</v>
      </c>
      <c r="F21" s="8" t="s">
        <v>55</v>
      </c>
    </row>
    <row r="22" spans="2:6" x14ac:dyDescent="0.3">
      <c r="B22" s="11" t="s">
        <v>51</v>
      </c>
      <c r="C22" s="8" t="s">
        <v>43</v>
      </c>
      <c r="D22" s="8" t="s">
        <v>44</v>
      </c>
      <c r="E22" s="8" t="s">
        <v>45</v>
      </c>
      <c r="F22" s="8" t="s">
        <v>55</v>
      </c>
    </row>
    <row r="23" spans="2:6" x14ac:dyDescent="0.3">
      <c r="B23" s="11" t="s">
        <v>51</v>
      </c>
      <c r="C23" s="8" t="s">
        <v>46</v>
      </c>
      <c r="D23" s="8" t="s">
        <v>47</v>
      </c>
      <c r="E23" s="8" t="s">
        <v>48</v>
      </c>
      <c r="F23" s="8" t="s">
        <v>55</v>
      </c>
    </row>
    <row r="24" spans="2:6" x14ac:dyDescent="0.3">
      <c r="B24" s="12" t="s">
        <v>73</v>
      </c>
      <c r="C24" s="7" t="s">
        <v>54</v>
      </c>
      <c r="D24" s="7" t="s">
        <v>15</v>
      </c>
      <c r="E24" s="7" t="s">
        <v>56</v>
      </c>
      <c r="F24" s="7" t="s">
        <v>55</v>
      </c>
    </row>
    <row r="25" spans="2:6" x14ac:dyDescent="0.3">
      <c r="B25" s="12" t="s">
        <v>73</v>
      </c>
      <c r="C25" s="7" t="s">
        <v>57</v>
      </c>
      <c r="D25" s="7" t="s">
        <v>15</v>
      </c>
      <c r="E25" s="7" t="s">
        <v>59</v>
      </c>
      <c r="F25" s="7" t="s">
        <v>58</v>
      </c>
    </row>
    <row r="26" spans="2:6" x14ac:dyDescent="0.3">
      <c r="B26" s="12" t="s">
        <v>73</v>
      </c>
      <c r="C26" s="7" t="s">
        <v>60</v>
      </c>
      <c r="D26" s="7" t="s">
        <v>15</v>
      </c>
      <c r="E26" s="7" t="s">
        <v>61</v>
      </c>
      <c r="F26" s="7" t="s">
        <v>55</v>
      </c>
    </row>
    <row r="27" spans="2:6" x14ac:dyDescent="0.3">
      <c r="B27" s="12" t="s">
        <v>73</v>
      </c>
      <c r="C27" s="7" t="s">
        <v>62</v>
      </c>
      <c r="D27" s="7" t="s">
        <v>15</v>
      </c>
      <c r="E27" s="7" t="s">
        <v>64</v>
      </c>
      <c r="F27" s="7" t="s">
        <v>63</v>
      </c>
    </row>
    <row r="28" spans="2:6" x14ac:dyDescent="0.3">
      <c r="B28" s="12" t="s">
        <v>73</v>
      </c>
      <c r="C28" s="7" t="s">
        <v>65</v>
      </c>
      <c r="D28" s="7" t="s">
        <v>15</v>
      </c>
      <c r="E28" s="7" t="s">
        <v>64</v>
      </c>
      <c r="F28" s="7" t="s">
        <v>63</v>
      </c>
    </row>
    <row r="29" spans="2:6" x14ac:dyDescent="0.3">
      <c r="B29" s="12" t="s">
        <v>73</v>
      </c>
      <c r="C29" s="7" t="s">
        <v>66</v>
      </c>
      <c r="D29" s="7" t="s">
        <v>15</v>
      </c>
      <c r="E29" s="7" t="s">
        <v>64</v>
      </c>
      <c r="F29" s="7" t="s">
        <v>63</v>
      </c>
    </row>
    <row r="30" spans="2:6" x14ac:dyDescent="0.3">
      <c r="B30" s="12" t="s">
        <v>73</v>
      </c>
      <c r="C30" s="7" t="s">
        <v>67</v>
      </c>
      <c r="D30" s="7" t="s">
        <v>15</v>
      </c>
      <c r="E30" s="7" t="s">
        <v>64</v>
      </c>
      <c r="F30" s="7" t="s">
        <v>63</v>
      </c>
    </row>
    <row r="31" spans="2:6" x14ac:dyDescent="0.3">
      <c r="B31" s="12" t="s">
        <v>73</v>
      </c>
      <c r="C31" s="7" t="s">
        <v>68</v>
      </c>
      <c r="D31" s="7" t="s">
        <v>69</v>
      </c>
      <c r="E31" s="7" t="s">
        <v>70</v>
      </c>
      <c r="F31" s="7" t="s">
        <v>58</v>
      </c>
    </row>
    <row r="32" spans="2:6" x14ac:dyDescent="0.3">
      <c r="B32" s="12" t="s">
        <v>73</v>
      </c>
      <c r="C32" s="7" t="s">
        <v>71</v>
      </c>
      <c r="D32" s="7" t="s">
        <v>69</v>
      </c>
      <c r="E32" s="7" t="s">
        <v>72</v>
      </c>
      <c r="F32" s="7" t="s">
        <v>58</v>
      </c>
    </row>
    <row r="33" spans="2:6" x14ac:dyDescent="0.3">
      <c r="B33" s="11" t="s">
        <v>83</v>
      </c>
      <c r="C33" s="8" t="s">
        <v>74</v>
      </c>
      <c r="D33" s="8" t="s">
        <v>15</v>
      </c>
      <c r="E33" s="8" t="s">
        <v>56</v>
      </c>
      <c r="F33" s="8" t="s">
        <v>55</v>
      </c>
    </row>
    <row r="34" spans="2:6" x14ac:dyDescent="0.3">
      <c r="B34" s="11" t="s">
        <v>83</v>
      </c>
      <c r="C34" s="8" t="s">
        <v>75</v>
      </c>
      <c r="D34" s="8" t="s">
        <v>15</v>
      </c>
      <c r="E34" s="8" t="s">
        <v>76</v>
      </c>
      <c r="F34" s="8" t="s">
        <v>55</v>
      </c>
    </row>
    <row r="35" spans="2:6" x14ac:dyDescent="0.3">
      <c r="B35" s="11" t="s">
        <v>83</v>
      </c>
      <c r="C35" s="8" t="s">
        <v>77</v>
      </c>
      <c r="D35" s="8" t="s">
        <v>15</v>
      </c>
      <c r="E35" s="8" t="s">
        <v>78</v>
      </c>
      <c r="F35" s="8" t="s">
        <v>55</v>
      </c>
    </row>
    <row r="36" spans="2:6" x14ac:dyDescent="0.3">
      <c r="B36" s="11" t="s">
        <v>83</v>
      </c>
      <c r="C36" s="8" t="s">
        <v>79</v>
      </c>
      <c r="D36" s="8" t="s">
        <v>69</v>
      </c>
      <c r="E36" s="8" t="s">
        <v>80</v>
      </c>
      <c r="F36" s="8" t="s">
        <v>58</v>
      </c>
    </row>
    <row r="37" spans="2:6" x14ac:dyDescent="0.3">
      <c r="B37" s="11" t="s">
        <v>83</v>
      </c>
      <c r="C37" s="8" t="s">
        <v>81</v>
      </c>
      <c r="D37" s="8" t="s">
        <v>69</v>
      </c>
      <c r="E37" s="8" t="s">
        <v>82</v>
      </c>
      <c r="F37" s="8" t="s">
        <v>58</v>
      </c>
    </row>
    <row r="38" spans="2:6" x14ac:dyDescent="0.3">
      <c r="B38" s="11" t="s">
        <v>83</v>
      </c>
      <c r="C38" s="8" t="s">
        <v>65</v>
      </c>
      <c r="D38" s="8" t="s">
        <v>15</v>
      </c>
      <c r="E38" s="8" t="s">
        <v>64</v>
      </c>
      <c r="F38" s="8" t="s">
        <v>63</v>
      </c>
    </row>
    <row r="39" spans="2:6" x14ac:dyDescent="0.3">
      <c r="B39" s="11" t="s">
        <v>83</v>
      </c>
      <c r="C39" s="8" t="s">
        <v>66</v>
      </c>
      <c r="D39" s="8" t="s">
        <v>15</v>
      </c>
      <c r="E39" s="8" t="s">
        <v>64</v>
      </c>
      <c r="F39" s="8" t="s">
        <v>63</v>
      </c>
    </row>
    <row r="40" spans="2:6" x14ac:dyDescent="0.3">
      <c r="B40" s="11" t="s">
        <v>83</v>
      </c>
      <c r="C40" s="8" t="s">
        <v>67</v>
      </c>
      <c r="D40" s="8" t="s">
        <v>15</v>
      </c>
      <c r="E40" s="8" t="s">
        <v>64</v>
      </c>
      <c r="F40" s="8" t="s">
        <v>63</v>
      </c>
    </row>
    <row r="42" spans="2:6" x14ac:dyDescent="0.3">
      <c r="B42" s="87" t="s">
        <v>102</v>
      </c>
      <c r="C42" s="88"/>
      <c r="D42" s="88"/>
      <c r="E42" s="89"/>
    </row>
    <row r="44" spans="2:6" x14ac:dyDescent="0.3">
      <c r="B44" s="1" t="s">
        <v>84</v>
      </c>
      <c r="C44" s="1" t="s">
        <v>51</v>
      </c>
      <c r="D44" s="1" t="s">
        <v>85</v>
      </c>
      <c r="E44" s="1" t="s">
        <v>86</v>
      </c>
    </row>
    <row r="45" spans="2:6" x14ac:dyDescent="0.3">
      <c r="B45" s="2" t="s">
        <v>87</v>
      </c>
      <c r="C45" s="9">
        <v>0.96799999999999997</v>
      </c>
      <c r="D45" s="3" t="s">
        <v>88</v>
      </c>
      <c r="E45" s="3" t="s">
        <v>89</v>
      </c>
    </row>
    <row r="46" spans="2:6" x14ac:dyDescent="0.3">
      <c r="B46" s="2" t="s">
        <v>90</v>
      </c>
      <c r="C46" s="10">
        <v>0.8</v>
      </c>
      <c r="D46" s="3" t="s">
        <v>92</v>
      </c>
      <c r="E46" s="3" t="s">
        <v>93</v>
      </c>
    </row>
    <row r="47" spans="2:6" x14ac:dyDescent="0.3">
      <c r="B47" s="2" t="s">
        <v>94</v>
      </c>
      <c r="C47" s="2" t="s">
        <v>95</v>
      </c>
      <c r="D47" s="2" t="s">
        <v>96</v>
      </c>
      <c r="E47" s="2" t="s">
        <v>97</v>
      </c>
    </row>
    <row r="48" spans="2:6" x14ac:dyDescent="0.3">
      <c r="B48" s="2" t="s">
        <v>98</v>
      </c>
      <c r="C48" s="2" t="s">
        <v>91</v>
      </c>
      <c r="D48" s="2" t="s">
        <v>99</v>
      </c>
      <c r="E48" s="2" t="s">
        <v>99</v>
      </c>
    </row>
    <row r="49" spans="2:5" x14ac:dyDescent="0.3">
      <c r="B49" s="2" t="s">
        <v>100</v>
      </c>
      <c r="C49" s="2" t="s">
        <v>101</v>
      </c>
      <c r="D49" s="2" t="s">
        <v>96</v>
      </c>
      <c r="E49" s="2" t="s">
        <v>99</v>
      </c>
    </row>
    <row r="50" spans="2:5" x14ac:dyDescent="0.3">
      <c r="B50" s="2" t="s">
        <v>105</v>
      </c>
      <c r="C50" s="2" t="s">
        <v>103</v>
      </c>
      <c r="D50" t="s">
        <v>104</v>
      </c>
      <c r="E50" t="s">
        <v>106</v>
      </c>
    </row>
  </sheetData>
  <mergeCells count="3">
    <mergeCell ref="B2:E2"/>
    <mergeCell ref="B16:F16"/>
    <mergeCell ref="B42:E42"/>
  </mergeCells>
  <pageMargins left="0.7" right="0.7" top="0.75" bottom="0.75" header="0.3" footer="0.3"/>
  <headerFooter>
    <oddFooter>&amp;R_x000D_&amp;1#&amp;"Aptos"&amp;6&amp;K000000 Internal</oddFooter>
  </headerFooter>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517ED-ED01-4650-BD90-EFF276833F9E}">
  <sheetPr>
    <tabColor theme="9" tint="0.59999389629810485"/>
  </sheetPr>
  <dimension ref="A1:P1071"/>
  <sheetViews>
    <sheetView showGridLines="0" workbookViewId="0">
      <selection activeCell="L2" sqref="L2"/>
    </sheetView>
  </sheetViews>
  <sheetFormatPr defaultRowHeight="14.4" x14ac:dyDescent="0.3"/>
  <cols>
    <col min="1" max="1" width="13.109375" bestFit="1" customWidth="1"/>
    <col min="2" max="2" width="24.109375" bestFit="1" customWidth="1"/>
    <col min="3" max="3" width="10.5546875" bestFit="1" customWidth="1"/>
    <col min="4" max="4" width="18.5546875" bestFit="1" customWidth="1"/>
    <col min="5" max="5" width="41.44140625" bestFit="1" customWidth="1"/>
    <col min="6" max="6" width="49.44140625" bestFit="1" customWidth="1"/>
    <col min="7" max="9" width="3.109375" style="30" customWidth="1"/>
    <col min="10" max="10" width="10.5546875" bestFit="1" customWidth="1"/>
    <col min="11" max="11" width="5.5546875" bestFit="1" customWidth="1"/>
    <col min="12" max="12" width="12.88671875" bestFit="1" customWidth="1"/>
    <col min="13" max="13" width="41.5546875" bestFit="1" customWidth="1"/>
    <col min="16" max="16" width="10.44140625" bestFit="1" customWidth="1"/>
  </cols>
  <sheetData>
    <row r="1" spans="1:16" x14ac:dyDescent="0.3">
      <c r="A1" t="s">
        <v>107</v>
      </c>
      <c r="B1" s="45" t="s">
        <v>108</v>
      </c>
      <c r="C1" s="45" t="s">
        <v>39</v>
      </c>
      <c r="D1" s="46" t="s">
        <v>109</v>
      </c>
      <c r="E1" s="80" t="s">
        <v>110</v>
      </c>
      <c r="F1" s="47" t="s">
        <v>111</v>
      </c>
      <c r="J1" s="23" t="s">
        <v>122</v>
      </c>
      <c r="K1" s="23" t="s">
        <v>123</v>
      </c>
      <c r="L1" s="23" t="s">
        <v>124</v>
      </c>
      <c r="M1" s="24" t="s">
        <v>125</v>
      </c>
      <c r="N1" s="23" t="s">
        <v>127</v>
      </c>
      <c r="O1" s="23" t="s">
        <v>126</v>
      </c>
      <c r="P1" s="23" t="s">
        <v>188</v>
      </c>
    </row>
    <row r="2" spans="1:16" x14ac:dyDescent="0.3">
      <c r="A2" t="s">
        <v>112</v>
      </c>
      <c r="B2" t="s">
        <v>113</v>
      </c>
      <c r="C2" t="s">
        <v>113</v>
      </c>
      <c r="D2" s="13" t="s">
        <v>114</v>
      </c>
      <c r="E2" s="14" t="s">
        <v>115</v>
      </c>
      <c r="F2" s="15" t="s">
        <v>116</v>
      </c>
      <c r="J2" s="25">
        <v>46082</v>
      </c>
      <c r="K2" s="74">
        <f>+K3+M2</f>
        <v>-0.53615789473684172</v>
      </c>
      <c r="L2" s="26"/>
      <c r="M2" s="73">
        <f>+F5</f>
        <v>-0.83615789473684177</v>
      </c>
      <c r="N2" s="27">
        <f>+IF(SIGN(L2)=SIGN(M2),1,0)</f>
        <v>0</v>
      </c>
      <c r="O2" s="28">
        <f>+SUM(N3:N52)/COUNT(N3:N52)</f>
        <v>0.8</v>
      </c>
      <c r="P2" s="68">
        <f>+CORREL(M3:M52,L3:L52)</f>
        <v>0.96667771517363055</v>
      </c>
    </row>
    <row r="3" spans="1:16" x14ac:dyDescent="0.3">
      <c r="A3" t="s">
        <v>117</v>
      </c>
      <c r="B3" s="16" t="s">
        <v>118</v>
      </c>
      <c r="C3" t="s">
        <v>119</v>
      </c>
      <c r="D3" s="5"/>
      <c r="J3" s="25">
        <v>46054</v>
      </c>
      <c r="K3" s="29">
        <v>0.3</v>
      </c>
      <c r="L3" s="26">
        <f t="shared" ref="L3:L52" si="0">+K3-K4</f>
        <v>-0.3</v>
      </c>
      <c r="M3" s="26">
        <f>+F25</f>
        <v>-0.20252392344497772</v>
      </c>
      <c r="N3" s="27">
        <f>+IF(SIGN(L3)=SIGN(M3),1,0)</f>
        <v>1</v>
      </c>
    </row>
    <row r="4" spans="1:16" x14ac:dyDescent="0.3">
      <c r="A4" t="s">
        <v>120</v>
      </c>
      <c r="B4" t="s">
        <v>121</v>
      </c>
      <c r="C4" t="s">
        <v>121</v>
      </c>
      <c r="D4" s="5"/>
      <c r="J4" s="25">
        <v>46023</v>
      </c>
      <c r="K4" s="26">
        <v>0.6</v>
      </c>
      <c r="L4" s="26">
        <f t="shared" si="0"/>
        <v>-0.4</v>
      </c>
      <c r="M4" s="26">
        <f>+F47</f>
        <v>-0.60690191387559667</v>
      </c>
      <c r="N4" s="27">
        <f>+IF(SIGN(L4)=SIGN(M4),1,0)</f>
        <v>1</v>
      </c>
    </row>
    <row r="5" spans="1:16" x14ac:dyDescent="0.3">
      <c r="A5" s="17">
        <v>46052</v>
      </c>
      <c r="B5">
        <v>66.540000000000006</v>
      </c>
      <c r="C5">
        <v>66.849999999999994</v>
      </c>
      <c r="D5" s="5">
        <f t="shared" ref="D5:D24" si="1">+B5-C5</f>
        <v>-0.30999999999998806</v>
      </c>
      <c r="E5" s="18">
        <f>+AVERAGE(D5:D24)</f>
        <v>-0.25300000000000011</v>
      </c>
      <c r="F5" s="18">
        <f>+E5-E25</f>
        <v>-0.83615789473684177</v>
      </c>
      <c r="J5" s="25">
        <v>45992</v>
      </c>
      <c r="K5" s="26">
        <v>1</v>
      </c>
      <c r="L5" s="26">
        <f t="shared" si="0"/>
        <v>-1.2000000000000002</v>
      </c>
      <c r="M5" s="26">
        <f>+F69</f>
        <v>-1.2704444444444469</v>
      </c>
      <c r="N5" s="27">
        <f t="shared" ref="N5:N52" si="2">+IF(SIGN(L5)=SIGN(M5),1,0)</f>
        <v>1</v>
      </c>
    </row>
    <row r="6" spans="1:16" x14ac:dyDescent="0.3">
      <c r="A6" s="17">
        <v>46051</v>
      </c>
      <c r="B6">
        <v>66.349999999999994</v>
      </c>
      <c r="C6">
        <v>66.52</v>
      </c>
      <c r="D6" s="5">
        <f t="shared" si="1"/>
        <v>-0.17000000000000171</v>
      </c>
      <c r="J6" s="25">
        <v>45962</v>
      </c>
      <c r="K6" s="26">
        <v>2.2000000000000002</v>
      </c>
      <c r="L6" s="26">
        <f t="shared" si="0"/>
        <v>0</v>
      </c>
      <c r="M6" s="26">
        <f>+F88</f>
        <v>7.8619047619050253E-2</v>
      </c>
      <c r="N6" s="27">
        <f t="shared" si="2"/>
        <v>0</v>
      </c>
    </row>
    <row r="7" spans="1:16" x14ac:dyDescent="0.3">
      <c r="A7" s="17">
        <v>46050</v>
      </c>
      <c r="B7">
        <v>64.66</v>
      </c>
      <c r="C7">
        <v>64.84</v>
      </c>
      <c r="D7" s="5">
        <f t="shared" si="1"/>
        <v>-0.18000000000000682</v>
      </c>
      <c r="J7" s="25">
        <v>45931</v>
      </c>
      <c r="K7" s="26">
        <v>2.2000000000000002</v>
      </c>
      <c r="L7" s="26">
        <f t="shared" si="0"/>
        <v>-1</v>
      </c>
      <c r="M7" s="26">
        <f>+F110</f>
        <v>-0.49911904761904902</v>
      </c>
      <c r="N7" s="27">
        <f t="shared" si="2"/>
        <v>1</v>
      </c>
    </row>
    <row r="8" spans="1:16" x14ac:dyDescent="0.3">
      <c r="A8" s="17">
        <v>46049</v>
      </c>
      <c r="B8">
        <v>62.88</v>
      </c>
      <c r="C8">
        <v>62.92</v>
      </c>
      <c r="D8" s="5">
        <f t="shared" si="1"/>
        <v>-3.9999999999999147E-2</v>
      </c>
      <c r="J8" s="25">
        <v>45901</v>
      </c>
      <c r="K8" s="26">
        <v>3.2</v>
      </c>
      <c r="L8" s="26">
        <f t="shared" si="0"/>
        <v>1</v>
      </c>
      <c r="M8" s="26">
        <f>+F132</f>
        <v>0.7977500000000024</v>
      </c>
      <c r="N8" s="27">
        <f t="shared" si="2"/>
        <v>1</v>
      </c>
    </row>
    <row r="9" spans="1:16" x14ac:dyDescent="0.3">
      <c r="A9" s="17">
        <v>46048</v>
      </c>
      <c r="B9">
        <v>63.555</v>
      </c>
      <c r="C9">
        <v>63.69</v>
      </c>
      <c r="D9" s="5">
        <f t="shared" si="1"/>
        <v>-0.13499999999999801</v>
      </c>
      <c r="J9" s="25">
        <v>45870</v>
      </c>
      <c r="K9" s="26">
        <v>2.2000000000000002</v>
      </c>
      <c r="L9" s="26">
        <f t="shared" si="0"/>
        <v>1.0000000000000002</v>
      </c>
      <c r="M9" s="26">
        <f>+F154</f>
        <v>0.86899999999999933</v>
      </c>
      <c r="N9" s="27">
        <f t="shared" si="2"/>
        <v>1</v>
      </c>
    </row>
    <row r="10" spans="1:16" x14ac:dyDescent="0.3">
      <c r="A10" s="17">
        <v>46045</v>
      </c>
      <c r="B10">
        <v>62.27</v>
      </c>
      <c r="C10">
        <v>62.61</v>
      </c>
      <c r="D10" s="5">
        <f t="shared" si="1"/>
        <v>-0.33999999999999631</v>
      </c>
      <c r="J10" s="25">
        <v>45839</v>
      </c>
      <c r="K10" s="26">
        <v>1.2</v>
      </c>
      <c r="L10" s="26">
        <f t="shared" si="0"/>
        <v>-0.19999999999999996</v>
      </c>
      <c r="M10" s="26">
        <f>+F176</f>
        <v>-0.15608333333333557</v>
      </c>
      <c r="N10" s="27">
        <f t="shared" si="2"/>
        <v>1</v>
      </c>
    </row>
    <row r="11" spans="1:16" x14ac:dyDescent="0.3">
      <c r="A11" s="17">
        <v>46044</v>
      </c>
      <c r="B11">
        <v>63.21</v>
      </c>
      <c r="C11">
        <v>63.46</v>
      </c>
      <c r="D11" s="5">
        <f t="shared" si="1"/>
        <v>-0.25</v>
      </c>
      <c r="J11" s="25">
        <v>45809</v>
      </c>
      <c r="K11" s="26">
        <v>1.4</v>
      </c>
      <c r="L11" s="26">
        <f t="shared" si="0"/>
        <v>0.19999999999999996</v>
      </c>
      <c r="M11" s="26">
        <f>+F196</f>
        <v>-6.1166666666666591E-2</v>
      </c>
      <c r="N11" s="27">
        <f t="shared" si="2"/>
        <v>0</v>
      </c>
    </row>
    <row r="12" spans="1:16" x14ac:dyDescent="0.3">
      <c r="A12" s="17">
        <v>46043</v>
      </c>
      <c r="B12">
        <v>62.34</v>
      </c>
      <c r="C12">
        <v>62.58</v>
      </c>
      <c r="D12" s="5">
        <f t="shared" si="1"/>
        <v>-0.23999999999999488</v>
      </c>
      <c r="J12" s="25">
        <v>45778</v>
      </c>
      <c r="K12" s="26">
        <v>1.2</v>
      </c>
      <c r="L12" s="26">
        <f t="shared" si="0"/>
        <v>-2.2999999999999998</v>
      </c>
      <c r="M12" s="26">
        <f>+F216</f>
        <v>-1.7691111111111097</v>
      </c>
      <c r="N12" s="27">
        <f t="shared" si="2"/>
        <v>1</v>
      </c>
    </row>
    <row r="13" spans="1:16" x14ac:dyDescent="0.3">
      <c r="A13" s="17">
        <v>46042</v>
      </c>
      <c r="B13">
        <v>61.8</v>
      </c>
      <c r="C13">
        <v>61.84</v>
      </c>
      <c r="D13" s="5">
        <f t="shared" si="1"/>
        <v>-4.0000000000006253E-2</v>
      </c>
      <c r="J13" s="25">
        <v>45748</v>
      </c>
      <c r="K13" s="26">
        <v>3.5</v>
      </c>
      <c r="L13" s="26">
        <f t="shared" si="0"/>
        <v>-0.39999999999999991</v>
      </c>
      <c r="M13" s="26">
        <f>+F238</f>
        <v>-0.3241520467836243</v>
      </c>
      <c r="N13" s="27">
        <f t="shared" si="2"/>
        <v>1</v>
      </c>
    </row>
    <row r="14" spans="1:16" x14ac:dyDescent="0.3">
      <c r="A14" s="17">
        <v>46041</v>
      </c>
      <c r="B14">
        <v>61.95</v>
      </c>
      <c r="C14">
        <v>62</v>
      </c>
      <c r="D14" s="5">
        <f t="shared" si="1"/>
        <v>-4.9999999999997158E-2</v>
      </c>
      <c r="J14" s="25">
        <v>45717</v>
      </c>
      <c r="K14" s="26">
        <v>3.9</v>
      </c>
      <c r="L14" s="26">
        <f t="shared" si="0"/>
        <v>2.4</v>
      </c>
      <c r="M14" s="26">
        <f>+F257</f>
        <v>2.4334210526315792</v>
      </c>
      <c r="N14" s="27">
        <f t="shared" si="2"/>
        <v>1</v>
      </c>
    </row>
    <row r="15" spans="1:16" x14ac:dyDescent="0.3">
      <c r="A15" s="17">
        <v>46038</v>
      </c>
      <c r="B15">
        <v>62.28</v>
      </c>
      <c r="C15">
        <v>62.27</v>
      </c>
      <c r="D15" s="5">
        <f t="shared" si="1"/>
        <v>9.9999999999980105E-3</v>
      </c>
      <c r="J15" s="25">
        <v>45689</v>
      </c>
      <c r="K15" s="26">
        <v>1.5</v>
      </c>
      <c r="L15" s="26">
        <f t="shared" si="0"/>
        <v>0.6</v>
      </c>
      <c r="M15" s="26">
        <f>+F277</f>
        <v>0.47959210526315632</v>
      </c>
      <c r="N15" s="27">
        <f t="shared" si="2"/>
        <v>1</v>
      </c>
    </row>
    <row r="16" spans="1:16" x14ac:dyDescent="0.3">
      <c r="A16" s="17">
        <v>46037</v>
      </c>
      <c r="B16">
        <v>62.55</v>
      </c>
      <c r="C16">
        <v>62.69</v>
      </c>
      <c r="D16" s="5">
        <f t="shared" si="1"/>
        <v>-0.14000000000000057</v>
      </c>
      <c r="J16" s="25">
        <v>45658</v>
      </c>
      <c r="K16" s="26">
        <v>0.9</v>
      </c>
      <c r="L16" s="26">
        <f t="shared" si="0"/>
        <v>-0.79999999999999993</v>
      </c>
      <c r="M16" s="26">
        <f>+F298</f>
        <v>-0.83590789473684246</v>
      </c>
      <c r="N16" s="27">
        <f t="shared" si="2"/>
        <v>1</v>
      </c>
    </row>
    <row r="17" spans="1:14" x14ac:dyDescent="0.3">
      <c r="A17" s="17">
        <v>46036</v>
      </c>
      <c r="B17">
        <v>62.41</v>
      </c>
      <c r="C17">
        <v>62.76</v>
      </c>
      <c r="D17" s="5">
        <f t="shared" si="1"/>
        <v>-0.35000000000000142</v>
      </c>
      <c r="J17" s="25">
        <v>45627</v>
      </c>
      <c r="K17" s="26">
        <v>1.7</v>
      </c>
      <c r="L17" s="26">
        <f t="shared" si="0"/>
        <v>-0.50000000000000022</v>
      </c>
      <c r="M17" s="26">
        <f>+F319</f>
        <v>-0.4658421052631545</v>
      </c>
      <c r="N17" s="27">
        <f t="shared" si="2"/>
        <v>1</v>
      </c>
    </row>
    <row r="18" spans="1:14" x14ac:dyDescent="0.3">
      <c r="A18" s="17">
        <v>46035</v>
      </c>
      <c r="B18">
        <v>61.76</v>
      </c>
      <c r="C18">
        <v>62.14</v>
      </c>
      <c r="D18" s="5">
        <f t="shared" si="1"/>
        <v>-0.38000000000000256</v>
      </c>
      <c r="J18" s="25">
        <v>45597</v>
      </c>
      <c r="K18" s="26">
        <v>2.2000000000000002</v>
      </c>
      <c r="L18" s="26">
        <f t="shared" si="0"/>
        <v>0.90000000000000013</v>
      </c>
      <c r="M18" s="26">
        <f>+F340</f>
        <v>0.99599999999999722</v>
      </c>
      <c r="N18" s="27">
        <f t="shared" si="2"/>
        <v>1</v>
      </c>
    </row>
    <row r="19" spans="1:14" x14ac:dyDescent="0.3">
      <c r="A19" s="17">
        <v>46034</v>
      </c>
      <c r="B19">
        <v>61.405000000000001</v>
      </c>
      <c r="C19">
        <v>61.68</v>
      </c>
      <c r="D19" s="5">
        <f t="shared" si="1"/>
        <v>-0.27499999999999858</v>
      </c>
      <c r="J19" s="25">
        <v>45566</v>
      </c>
      <c r="K19" s="26">
        <v>1.3</v>
      </c>
      <c r="L19" s="26">
        <f t="shared" si="0"/>
        <v>-0.7</v>
      </c>
      <c r="M19" s="26">
        <f>+F362</f>
        <v>-0.53604761904762033</v>
      </c>
      <c r="N19" s="27">
        <f t="shared" si="2"/>
        <v>1</v>
      </c>
    </row>
    <row r="20" spans="1:14" x14ac:dyDescent="0.3">
      <c r="A20" s="17">
        <v>46031</v>
      </c>
      <c r="B20">
        <v>60.8</v>
      </c>
      <c r="C20">
        <v>61.08</v>
      </c>
      <c r="D20" s="5">
        <f t="shared" si="1"/>
        <v>-0.28000000000000114</v>
      </c>
      <c r="J20" s="25">
        <v>45536</v>
      </c>
      <c r="K20" s="26">
        <v>2</v>
      </c>
      <c r="L20" s="26">
        <f t="shared" si="0"/>
        <v>0.19999999999999996</v>
      </c>
      <c r="M20" s="26">
        <f>+F382</f>
        <v>0.59615288220551388</v>
      </c>
      <c r="N20" s="27">
        <f t="shared" si="2"/>
        <v>1</v>
      </c>
    </row>
    <row r="21" spans="1:14" x14ac:dyDescent="0.3">
      <c r="A21" s="17">
        <v>46030</v>
      </c>
      <c r="B21">
        <v>58.32</v>
      </c>
      <c r="C21">
        <v>58.77</v>
      </c>
      <c r="D21" s="5">
        <f t="shared" si="1"/>
        <v>-0.45000000000000284</v>
      </c>
      <c r="J21" s="25">
        <v>45505</v>
      </c>
      <c r="K21" s="26">
        <v>1.8</v>
      </c>
      <c r="L21" s="26">
        <f t="shared" si="0"/>
        <v>-0.59999999999999987</v>
      </c>
      <c r="M21" s="26">
        <f>+F405</f>
        <v>-0.74552631578947104</v>
      </c>
      <c r="N21" s="27">
        <f t="shared" si="2"/>
        <v>1</v>
      </c>
    </row>
    <row r="22" spans="1:14" x14ac:dyDescent="0.3">
      <c r="A22" s="17">
        <v>46029</v>
      </c>
      <c r="B22">
        <v>58.3</v>
      </c>
      <c r="C22">
        <v>58.85</v>
      </c>
      <c r="D22" s="5">
        <f t="shared" si="1"/>
        <v>-0.55000000000000426</v>
      </c>
      <c r="J22" s="25">
        <v>45474</v>
      </c>
      <c r="K22" s="26">
        <v>2.4</v>
      </c>
      <c r="L22" s="26">
        <f t="shared" si="0"/>
        <v>-0.5</v>
      </c>
      <c r="M22" s="26">
        <f>+F426</f>
        <v>-0.43519005847953229</v>
      </c>
      <c r="N22" s="27">
        <f t="shared" si="2"/>
        <v>1</v>
      </c>
    </row>
    <row r="23" spans="1:14" x14ac:dyDescent="0.3">
      <c r="A23" s="17">
        <v>46028</v>
      </c>
      <c r="B23">
        <v>59.4</v>
      </c>
      <c r="C23">
        <v>59.98</v>
      </c>
      <c r="D23" s="5">
        <f t="shared" si="1"/>
        <v>-0.57999999999999829</v>
      </c>
      <c r="J23" s="25">
        <v>45444</v>
      </c>
      <c r="K23" s="26">
        <v>2.9</v>
      </c>
      <c r="L23" s="26">
        <f t="shared" si="0"/>
        <v>0.89999999999999991</v>
      </c>
      <c r="M23" s="26">
        <f>+F446</f>
        <v>0.73386111111110974</v>
      </c>
      <c r="N23" s="27">
        <f t="shared" si="2"/>
        <v>1</v>
      </c>
    </row>
    <row r="24" spans="1:14" x14ac:dyDescent="0.3">
      <c r="A24" s="17">
        <v>46027</v>
      </c>
      <c r="B24">
        <v>58.25</v>
      </c>
      <c r="C24">
        <v>58.56</v>
      </c>
      <c r="D24" s="5">
        <f t="shared" si="1"/>
        <v>-0.31000000000000227</v>
      </c>
      <c r="J24" s="25">
        <v>45413</v>
      </c>
      <c r="K24" s="26">
        <v>2</v>
      </c>
      <c r="L24" s="26">
        <f t="shared" si="0"/>
        <v>0.30000000000000004</v>
      </c>
      <c r="M24" s="26">
        <f>+F466</f>
        <v>0.31685526315789447</v>
      </c>
      <c r="N24" s="27">
        <f t="shared" si="2"/>
        <v>1</v>
      </c>
    </row>
    <row r="25" spans="1:14" x14ac:dyDescent="0.3">
      <c r="A25" s="17">
        <v>46024</v>
      </c>
      <c r="B25">
        <v>60.31</v>
      </c>
      <c r="C25">
        <v>60.41</v>
      </c>
      <c r="D25" s="5">
        <f t="shared" ref="D25:D46" si="3">+B25-C25</f>
        <v>-9.9999999999994316E-2</v>
      </c>
      <c r="E25" s="18">
        <f>+AVERAGE(D25:D43)</f>
        <v>0.58315789473684165</v>
      </c>
      <c r="F25" s="19">
        <f>+E25-E44</f>
        <v>-0.20252392344497772</v>
      </c>
      <c r="J25" s="25">
        <v>45383</v>
      </c>
      <c r="K25" s="26">
        <v>1.7</v>
      </c>
      <c r="L25" s="26">
        <f t="shared" si="0"/>
        <v>0.19999999999999996</v>
      </c>
      <c r="M25" s="26">
        <f>+SUMIFS($F$92:$F$1029,$A$92:$A$1029,$J26)</f>
        <v>2.2894736842105967E-2</v>
      </c>
      <c r="N25" s="27">
        <f t="shared" si="2"/>
        <v>1</v>
      </c>
    </row>
    <row r="26" spans="1:14" x14ac:dyDescent="0.3">
      <c r="A26" s="17">
        <v>46022</v>
      </c>
      <c r="B26">
        <v>61.57</v>
      </c>
      <c r="C26">
        <v>61.13</v>
      </c>
      <c r="D26" s="5">
        <f t="shared" si="3"/>
        <v>0.43999999999999773</v>
      </c>
      <c r="F26" s="18"/>
      <c r="J26" s="25">
        <v>45352</v>
      </c>
      <c r="K26" s="26">
        <v>1.5</v>
      </c>
      <c r="L26" s="26">
        <f t="shared" si="0"/>
        <v>0</v>
      </c>
      <c r="M26" s="26">
        <f>+F506</f>
        <v>0.85078947368420788</v>
      </c>
      <c r="N26" s="27">
        <f t="shared" si="2"/>
        <v>0</v>
      </c>
    </row>
    <row r="27" spans="1:14" x14ac:dyDescent="0.3">
      <c r="A27" s="17">
        <v>46021</v>
      </c>
      <c r="B27">
        <v>61.73</v>
      </c>
      <c r="C27">
        <v>61.01</v>
      </c>
      <c r="D27" s="5">
        <f t="shared" si="3"/>
        <v>0.71999999999999886</v>
      </c>
      <c r="J27" s="25">
        <v>45323</v>
      </c>
      <c r="K27" s="26">
        <v>1.5</v>
      </c>
      <c r="L27" s="26">
        <f t="shared" si="0"/>
        <v>-2</v>
      </c>
      <c r="M27" s="26">
        <f>+F529</f>
        <v>-1.4999999999999978</v>
      </c>
      <c r="N27" s="27">
        <f t="shared" si="2"/>
        <v>1</v>
      </c>
    </row>
    <row r="28" spans="1:14" x14ac:dyDescent="0.3">
      <c r="A28" s="17">
        <v>46020</v>
      </c>
      <c r="B28">
        <v>61.25</v>
      </c>
      <c r="C28">
        <v>60.49</v>
      </c>
      <c r="D28" s="5">
        <f t="shared" si="3"/>
        <v>0.75999999999999801</v>
      </c>
      <c r="J28" s="25">
        <v>45292</v>
      </c>
      <c r="K28" s="26">
        <v>3.5</v>
      </c>
      <c r="L28" s="26">
        <f t="shared" si="0"/>
        <v>-0.5</v>
      </c>
      <c r="M28" s="26">
        <f>+SUMIFS($F$92:$F$1029,$A$92:$A$1029,$J29)</f>
        <v>-0.77269423558897254</v>
      </c>
      <c r="N28" s="27">
        <f t="shared" si="2"/>
        <v>1</v>
      </c>
    </row>
    <row r="29" spans="1:14" x14ac:dyDescent="0.3">
      <c r="A29" s="17">
        <v>46017</v>
      </c>
      <c r="B29">
        <v>62.22</v>
      </c>
      <c r="C29">
        <v>61.49</v>
      </c>
      <c r="D29" s="5">
        <f t="shared" si="3"/>
        <v>0.72999999999999687</v>
      </c>
      <c r="J29" s="25">
        <v>45261</v>
      </c>
      <c r="K29" s="26">
        <v>4</v>
      </c>
      <c r="L29" s="26">
        <f t="shared" si="0"/>
        <v>0</v>
      </c>
      <c r="M29" s="26">
        <f>+F569</f>
        <v>-0.20784523809523625</v>
      </c>
      <c r="N29" s="27">
        <f t="shared" si="2"/>
        <v>0</v>
      </c>
    </row>
    <row r="30" spans="1:14" x14ac:dyDescent="0.3">
      <c r="A30" s="17">
        <v>46015</v>
      </c>
      <c r="B30">
        <v>62.35</v>
      </c>
      <c r="C30">
        <v>61.4</v>
      </c>
      <c r="D30" s="5">
        <f t="shared" si="3"/>
        <v>0.95000000000000284</v>
      </c>
      <c r="J30" s="25">
        <v>45231</v>
      </c>
      <c r="K30" s="26">
        <v>4</v>
      </c>
      <c r="L30" s="26">
        <f t="shared" si="0"/>
        <v>0.39999999999999991</v>
      </c>
      <c r="M30" s="26">
        <f>+F592</f>
        <v>0.70308333333333128</v>
      </c>
      <c r="N30" s="27">
        <f t="shared" si="2"/>
        <v>1</v>
      </c>
    </row>
    <row r="31" spans="1:14" x14ac:dyDescent="0.3">
      <c r="A31" s="17">
        <v>46014</v>
      </c>
      <c r="B31">
        <v>62.15</v>
      </c>
      <c r="C31">
        <v>61.44</v>
      </c>
      <c r="D31" s="5">
        <f t="shared" si="3"/>
        <v>0.71000000000000085</v>
      </c>
      <c r="J31" s="25">
        <v>45200</v>
      </c>
      <c r="K31" s="26">
        <v>3.6</v>
      </c>
      <c r="L31" s="26">
        <f t="shared" si="0"/>
        <v>0.10000000000000009</v>
      </c>
      <c r="M31" s="26">
        <f>+F613</f>
        <v>0.34214285714286041</v>
      </c>
      <c r="N31" s="27">
        <f t="shared" si="2"/>
        <v>1</v>
      </c>
    </row>
    <row r="32" spans="1:14" x14ac:dyDescent="0.3">
      <c r="A32" s="17">
        <v>46013</v>
      </c>
      <c r="B32">
        <v>61.2</v>
      </c>
      <c r="C32">
        <v>60.63</v>
      </c>
      <c r="D32" s="5">
        <f t="shared" si="3"/>
        <v>0.57000000000000028</v>
      </c>
      <c r="J32" s="25">
        <v>45170</v>
      </c>
      <c r="K32" s="26">
        <v>3.5</v>
      </c>
      <c r="L32" s="26">
        <f t="shared" si="0"/>
        <v>0.29999999999999982</v>
      </c>
      <c r="M32" s="26">
        <f>+F633</f>
        <v>0.49847117794486029</v>
      </c>
      <c r="N32" s="27">
        <f t="shared" si="2"/>
        <v>1</v>
      </c>
    </row>
    <row r="33" spans="1:14" x14ac:dyDescent="0.3">
      <c r="A33" s="17">
        <v>46010</v>
      </c>
      <c r="B33">
        <v>60.01</v>
      </c>
      <c r="C33">
        <v>59.45</v>
      </c>
      <c r="D33" s="5">
        <f t="shared" si="3"/>
        <v>0.55999999999999517</v>
      </c>
      <c r="J33" s="25">
        <v>45139</v>
      </c>
      <c r="K33" s="26">
        <v>3.2</v>
      </c>
      <c r="L33" s="26">
        <f t="shared" si="0"/>
        <v>0.20000000000000018</v>
      </c>
      <c r="M33" s="26">
        <f>+F656</f>
        <v>0.16830263157894554</v>
      </c>
      <c r="N33" s="27">
        <f t="shared" si="2"/>
        <v>1</v>
      </c>
    </row>
    <row r="34" spans="1:14" x14ac:dyDescent="0.3">
      <c r="A34" s="17">
        <v>46009</v>
      </c>
      <c r="B34">
        <v>60.32</v>
      </c>
      <c r="C34">
        <v>59.75</v>
      </c>
      <c r="D34" s="5">
        <f t="shared" si="3"/>
        <v>0.57000000000000028</v>
      </c>
      <c r="J34" s="25">
        <v>45108</v>
      </c>
      <c r="K34" s="26">
        <v>3</v>
      </c>
      <c r="L34" s="26">
        <f t="shared" si="0"/>
        <v>0.45000000000000018</v>
      </c>
      <c r="M34" s="26">
        <f>+SUMIFS($F$92:$F$1029,$A$92:$A$1029,$J35)</f>
        <v>-0.72669444444444498</v>
      </c>
      <c r="N34" s="27">
        <f t="shared" si="2"/>
        <v>0</v>
      </c>
    </row>
    <row r="35" spans="1:14" x14ac:dyDescent="0.3">
      <c r="A35" s="17">
        <v>46008</v>
      </c>
      <c r="B35">
        <v>59.72</v>
      </c>
      <c r="C35">
        <v>59.25</v>
      </c>
      <c r="D35" s="5">
        <f t="shared" si="3"/>
        <v>0.46999999999999886</v>
      </c>
      <c r="J35" s="25">
        <v>45078</v>
      </c>
      <c r="K35" s="26">
        <v>2.5499999999999998</v>
      </c>
      <c r="L35" s="26">
        <f t="shared" si="0"/>
        <v>-0.25</v>
      </c>
      <c r="M35" s="26">
        <f>+F697</f>
        <v>0.14694444444444654</v>
      </c>
      <c r="N35" s="27">
        <f t="shared" si="2"/>
        <v>0</v>
      </c>
    </row>
    <row r="36" spans="1:14" x14ac:dyDescent="0.3">
      <c r="A36" s="17">
        <v>46007</v>
      </c>
      <c r="B36">
        <v>59.93</v>
      </c>
      <c r="C36">
        <v>59.61</v>
      </c>
      <c r="D36" s="5">
        <f t="shared" si="3"/>
        <v>0.32000000000000028</v>
      </c>
      <c r="J36" s="25">
        <v>45047</v>
      </c>
      <c r="K36" s="26">
        <v>2.8</v>
      </c>
      <c r="L36" s="26">
        <f t="shared" si="0"/>
        <v>0.29999999999999982</v>
      </c>
      <c r="M36" s="26">
        <f>+F717</f>
        <v>-0.59776315789473644</v>
      </c>
      <c r="N36" s="27">
        <f t="shared" si="2"/>
        <v>0</v>
      </c>
    </row>
    <row r="37" spans="1:14" x14ac:dyDescent="0.3">
      <c r="A37" s="17">
        <v>46006</v>
      </c>
      <c r="B37">
        <v>61.25</v>
      </c>
      <c r="C37">
        <v>60.73</v>
      </c>
      <c r="D37" s="5">
        <f t="shared" si="3"/>
        <v>0.52000000000000313</v>
      </c>
      <c r="J37" s="25">
        <v>45017</v>
      </c>
      <c r="K37" s="26">
        <v>2.5</v>
      </c>
      <c r="L37" s="26">
        <f t="shared" si="0"/>
        <v>0.5</v>
      </c>
      <c r="M37" s="26">
        <f>+F738</f>
        <v>0.9918421052631563</v>
      </c>
      <c r="N37" s="27">
        <f t="shared" si="2"/>
        <v>1</v>
      </c>
    </row>
    <row r="38" spans="1:14" x14ac:dyDescent="0.3">
      <c r="A38" s="17">
        <v>46003</v>
      </c>
      <c r="B38">
        <v>61.75</v>
      </c>
      <c r="C38">
        <v>61.24</v>
      </c>
      <c r="D38" s="5">
        <f t="shared" si="3"/>
        <v>0.50999999999999801</v>
      </c>
      <c r="J38" s="25">
        <v>44986</v>
      </c>
      <c r="K38" s="26">
        <v>2</v>
      </c>
      <c r="L38" s="26">
        <f t="shared" si="0"/>
        <v>0.19999999999999996</v>
      </c>
      <c r="M38" s="26">
        <f>+F758</f>
        <v>-0.15421052631578913</v>
      </c>
      <c r="N38" s="27">
        <f t="shared" si="2"/>
        <v>0</v>
      </c>
    </row>
    <row r="39" spans="1:14" x14ac:dyDescent="0.3">
      <c r="A39" s="17">
        <v>46002</v>
      </c>
      <c r="B39">
        <v>61.57</v>
      </c>
      <c r="C39">
        <v>61.11</v>
      </c>
      <c r="D39" s="5">
        <f t="shared" si="3"/>
        <v>0.46000000000000085</v>
      </c>
      <c r="J39" s="25">
        <v>44958</v>
      </c>
      <c r="K39" s="26">
        <v>1.8</v>
      </c>
      <c r="L39" s="26">
        <f t="shared" si="0"/>
        <v>-1.45</v>
      </c>
      <c r="M39" s="26">
        <f>+F779</f>
        <v>-1.1431184210526342</v>
      </c>
      <c r="N39" s="27">
        <f t="shared" si="2"/>
        <v>1</v>
      </c>
    </row>
    <row r="40" spans="1:14" x14ac:dyDescent="0.3">
      <c r="A40" s="17">
        <v>46001</v>
      </c>
      <c r="B40">
        <v>62.19</v>
      </c>
      <c r="C40">
        <v>61.53</v>
      </c>
      <c r="D40" s="5">
        <f t="shared" si="3"/>
        <v>0.65999999999999659</v>
      </c>
      <c r="J40" s="25">
        <v>44927</v>
      </c>
      <c r="K40" s="26">
        <v>3.25</v>
      </c>
      <c r="L40" s="26">
        <f t="shared" si="0"/>
        <v>-2.2000000000000002</v>
      </c>
      <c r="M40" s="26">
        <f>+F798</f>
        <v>-2.2787499999999956</v>
      </c>
      <c r="N40" s="27">
        <f t="shared" si="2"/>
        <v>1</v>
      </c>
    </row>
    <row r="41" spans="1:14" x14ac:dyDescent="0.3">
      <c r="A41" s="17">
        <v>46000</v>
      </c>
      <c r="B41">
        <v>62.68</v>
      </c>
      <c r="C41">
        <v>62.07</v>
      </c>
      <c r="D41" s="5">
        <f t="shared" si="3"/>
        <v>0.60999999999999943</v>
      </c>
      <c r="J41" s="25">
        <v>44896</v>
      </c>
      <c r="K41" s="26">
        <v>5.45</v>
      </c>
      <c r="L41" s="26">
        <f t="shared" si="0"/>
        <v>-0.39999999999999947</v>
      </c>
      <c r="M41" s="26">
        <f>+F820</f>
        <v>-0.6515000000000013</v>
      </c>
      <c r="N41" s="27">
        <f t="shared" si="2"/>
        <v>1</v>
      </c>
    </row>
    <row r="42" spans="1:14" x14ac:dyDescent="0.3">
      <c r="A42" s="17">
        <v>45999</v>
      </c>
      <c r="B42">
        <v>64.36</v>
      </c>
      <c r="C42">
        <v>63.6</v>
      </c>
      <c r="D42" s="5">
        <f t="shared" si="3"/>
        <v>0.75999999999999801</v>
      </c>
      <c r="J42" s="25">
        <v>44866</v>
      </c>
      <c r="K42" s="26">
        <v>5.85</v>
      </c>
      <c r="L42" s="26">
        <f t="shared" si="0"/>
        <v>0</v>
      </c>
      <c r="M42" s="26">
        <f>+F842</f>
        <v>0.55999999999999783</v>
      </c>
      <c r="N42" s="27">
        <f t="shared" si="2"/>
        <v>0</v>
      </c>
    </row>
    <row r="43" spans="1:14" x14ac:dyDescent="0.3">
      <c r="A43" s="17">
        <v>45996</v>
      </c>
      <c r="B43">
        <v>63.86</v>
      </c>
      <c r="C43">
        <v>63</v>
      </c>
      <c r="D43" s="5">
        <f t="shared" si="3"/>
        <v>0.85999999999999943</v>
      </c>
      <c r="J43" s="25">
        <v>44835</v>
      </c>
      <c r="K43" s="26">
        <v>5.85</v>
      </c>
      <c r="L43" s="26">
        <f t="shared" si="0"/>
        <v>-3.9500000000000011</v>
      </c>
      <c r="M43" s="26">
        <f>+F862</f>
        <v>-4.2082499999999978</v>
      </c>
      <c r="N43" s="27">
        <f t="shared" si="2"/>
        <v>1</v>
      </c>
    </row>
    <row r="44" spans="1:14" x14ac:dyDescent="0.3">
      <c r="A44" s="17">
        <v>45995</v>
      </c>
      <c r="B44">
        <v>63.5</v>
      </c>
      <c r="C44">
        <v>62.71</v>
      </c>
      <c r="D44" s="5">
        <f t="shared" si="3"/>
        <v>0.78999999999999915</v>
      </c>
      <c r="E44" s="19">
        <f>+AVERAGE(D44:D65)</f>
        <v>0.78568181818181937</v>
      </c>
      <c r="J44" s="25">
        <v>44805</v>
      </c>
      <c r="K44" s="26">
        <v>9.8000000000000007</v>
      </c>
      <c r="L44" s="26">
        <f t="shared" si="0"/>
        <v>0.5</v>
      </c>
      <c r="M44" s="26">
        <f>+F884</f>
        <v>1.2182500000000003</v>
      </c>
      <c r="N44" s="27">
        <f t="shared" si="2"/>
        <v>1</v>
      </c>
    </row>
    <row r="45" spans="1:14" x14ac:dyDescent="0.3">
      <c r="A45" s="17">
        <v>45994</v>
      </c>
      <c r="B45">
        <v>63.4</v>
      </c>
      <c r="C45">
        <v>62.67</v>
      </c>
      <c r="D45" s="5">
        <f t="shared" si="3"/>
        <v>0.72999999999999687</v>
      </c>
      <c r="J45" s="25">
        <v>44774</v>
      </c>
      <c r="K45" s="26">
        <v>9.3000000000000007</v>
      </c>
      <c r="L45" s="26">
        <f t="shared" si="0"/>
        <v>2.8000000000000007</v>
      </c>
      <c r="M45" s="26">
        <f>+SUMIFS($F$92:$F$1029,$A$92:$A$1029,$J46)</f>
        <v>2.3777500000000016</v>
      </c>
      <c r="N45" s="27">
        <f t="shared" si="2"/>
        <v>1</v>
      </c>
    </row>
    <row r="46" spans="1:14" x14ac:dyDescent="0.3">
      <c r="A46" s="17">
        <v>45993</v>
      </c>
      <c r="B46">
        <v>63.76</v>
      </c>
      <c r="C46">
        <v>63.12</v>
      </c>
      <c r="D46" s="5">
        <f t="shared" si="3"/>
        <v>0.64000000000000057</v>
      </c>
      <c r="J46" s="25">
        <v>44743</v>
      </c>
      <c r="K46" s="26">
        <v>6.5</v>
      </c>
      <c r="L46" s="26">
        <f t="shared" si="0"/>
        <v>2.0999999999999996</v>
      </c>
      <c r="M46" s="26">
        <f>+F926</f>
        <v>1.9251944444444442</v>
      </c>
      <c r="N46" s="27">
        <f t="shared" si="2"/>
        <v>1</v>
      </c>
    </row>
    <row r="47" spans="1:14" x14ac:dyDescent="0.3">
      <c r="A47" s="17">
        <v>45992</v>
      </c>
      <c r="B47">
        <v>64.239999999999995</v>
      </c>
      <c r="C47">
        <v>63.4</v>
      </c>
      <c r="D47" s="5">
        <f>+B47-C47</f>
        <v>0.83999999999999631</v>
      </c>
      <c r="E47" s="18">
        <f>+AVERAGE(D47:D65)</f>
        <v>0.7960526315789489</v>
      </c>
      <c r="F47" s="19">
        <f>+E47-E65</f>
        <v>-0.60690191387559667</v>
      </c>
      <c r="J47" s="25">
        <v>44713</v>
      </c>
      <c r="K47" s="26">
        <v>4.4000000000000004</v>
      </c>
      <c r="L47" s="26">
        <f t="shared" si="0"/>
        <v>-4.9499999999999993</v>
      </c>
      <c r="M47" s="26">
        <f>+F947</f>
        <v>-5.205694444444446</v>
      </c>
      <c r="N47" s="27">
        <f t="shared" si="2"/>
        <v>1</v>
      </c>
    </row>
    <row r="48" spans="1:14" x14ac:dyDescent="0.3">
      <c r="A48" s="17">
        <v>45989</v>
      </c>
      <c r="B48">
        <v>64.14</v>
      </c>
      <c r="C48">
        <v>63.52</v>
      </c>
      <c r="D48" s="5">
        <f t="shared" ref="D48:D90" si="4">+B48-C48</f>
        <v>0.61999999999999744</v>
      </c>
      <c r="F48" s="20">
        <f>+E47-E69</f>
        <v>-0.46950292397660642</v>
      </c>
      <c r="J48" s="25">
        <v>44682</v>
      </c>
      <c r="K48" s="26">
        <v>9.35</v>
      </c>
      <c r="L48" s="26">
        <f t="shared" si="0"/>
        <v>4.3999999999999995</v>
      </c>
      <c r="M48" s="26">
        <f>+SUMIFS($F$92:$F$1029,$A$92:$A$1029,$J49)</f>
        <v>4.1340277777777752</v>
      </c>
      <c r="N48" s="27">
        <f t="shared" si="2"/>
        <v>1</v>
      </c>
    </row>
    <row r="49" spans="1:14" x14ac:dyDescent="0.3">
      <c r="A49" s="17">
        <v>45988</v>
      </c>
      <c r="B49">
        <v>63.73</v>
      </c>
      <c r="C49">
        <v>62.9</v>
      </c>
      <c r="D49" s="5">
        <f t="shared" si="4"/>
        <v>0.82999999999999829</v>
      </c>
      <c r="J49" s="25">
        <v>44652</v>
      </c>
      <c r="K49" s="26">
        <v>4.95</v>
      </c>
      <c r="L49" s="26">
        <f t="shared" si="0"/>
        <v>2.1500000000000004</v>
      </c>
      <c r="M49" s="26">
        <f>+F988</f>
        <v>2.3460380116959105</v>
      </c>
      <c r="N49" s="27">
        <f t="shared" si="2"/>
        <v>1</v>
      </c>
    </row>
    <row r="50" spans="1:14" x14ac:dyDescent="0.3">
      <c r="A50" s="17">
        <v>45987</v>
      </c>
      <c r="B50">
        <v>62.825000000000003</v>
      </c>
      <c r="C50">
        <v>62.08</v>
      </c>
      <c r="D50" s="5">
        <f t="shared" si="4"/>
        <v>0.74500000000000455</v>
      </c>
      <c r="J50" s="25">
        <v>44621</v>
      </c>
      <c r="K50" s="26">
        <v>2.8</v>
      </c>
      <c r="L50" s="26">
        <f t="shared" si="0"/>
        <v>0.59999999999999964</v>
      </c>
      <c r="M50" s="26">
        <f>+F1008</f>
        <v>0.78368421052631598</v>
      </c>
      <c r="N50" s="27">
        <f t="shared" si="2"/>
        <v>1</v>
      </c>
    </row>
    <row r="51" spans="1:14" x14ac:dyDescent="0.3">
      <c r="A51" s="17">
        <v>45986</v>
      </c>
      <c r="B51">
        <v>63.37</v>
      </c>
      <c r="C51">
        <v>62.74</v>
      </c>
      <c r="D51" s="5">
        <f t="shared" si="4"/>
        <v>0.62999999999999545</v>
      </c>
      <c r="J51" s="25">
        <v>44593</v>
      </c>
      <c r="K51" s="26">
        <v>2.2000000000000002</v>
      </c>
      <c r="L51" s="26">
        <f t="shared" si="0"/>
        <v>-1.0999999999999996</v>
      </c>
      <c r="M51" s="26">
        <f>+F1029</f>
        <v>-1.8225000000000025</v>
      </c>
      <c r="N51" s="27">
        <f t="shared" si="2"/>
        <v>1</v>
      </c>
    </row>
    <row r="52" spans="1:14" x14ac:dyDescent="0.3">
      <c r="A52" s="17">
        <v>45985</v>
      </c>
      <c r="B52">
        <v>62.65</v>
      </c>
      <c r="C52">
        <v>62.07</v>
      </c>
      <c r="D52" s="5">
        <f t="shared" si="4"/>
        <v>0.57999999999999829</v>
      </c>
      <c r="J52" s="25">
        <v>44562</v>
      </c>
      <c r="K52" s="26">
        <v>3.3</v>
      </c>
      <c r="L52" s="26">
        <f t="shared" si="0"/>
        <v>0.59999999999999964</v>
      </c>
      <c r="M52" s="26">
        <f>+F1049</f>
        <v>-6.1363636363636065E-2</v>
      </c>
      <c r="N52" s="27">
        <f t="shared" si="2"/>
        <v>0</v>
      </c>
    </row>
    <row r="53" spans="1:14" x14ac:dyDescent="0.3">
      <c r="A53" s="17">
        <v>45982</v>
      </c>
      <c r="B53">
        <v>62.69</v>
      </c>
      <c r="C53">
        <v>62.28</v>
      </c>
      <c r="D53" s="5">
        <f t="shared" si="4"/>
        <v>0.40999999999999659</v>
      </c>
      <c r="J53" s="25">
        <v>44531</v>
      </c>
      <c r="K53" s="26">
        <v>2.7</v>
      </c>
      <c r="L53" s="26"/>
      <c r="M53" s="26"/>
    </row>
    <row r="54" spans="1:14" x14ac:dyDescent="0.3">
      <c r="A54" s="17">
        <v>45981</v>
      </c>
      <c r="B54">
        <v>64.400000000000006</v>
      </c>
      <c r="C54">
        <v>63.73</v>
      </c>
      <c r="D54" s="5">
        <f t="shared" si="4"/>
        <v>0.67000000000000881</v>
      </c>
    </row>
    <row r="55" spans="1:14" x14ac:dyDescent="0.3">
      <c r="A55" s="17">
        <v>45980</v>
      </c>
      <c r="B55">
        <v>64.739999999999995</v>
      </c>
      <c r="C55">
        <v>64.02</v>
      </c>
      <c r="D55" s="5">
        <f t="shared" si="4"/>
        <v>0.71999999999999886</v>
      </c>
    </row>
    <row r="56" spans="1:14" x14ac:dyDescent="0.3">
      <c r="A56" s="17">
        <v>45979</v>
      </c>
      <c r="B56">
        <v>64.5</v>
      </c>
      <c r="C56">
        <v>63.73</v>
      </c>
      <c r="D56" s="5">
        <f t="shared" si="4"/>
        <v>0.77000000000000313</v>
      </c>
    </row>
    <row r="57" spans="1:14" x14ac:dyDescent="0.3">
      <c r="A57" s="17">
        <v>45978</v>
      </c>
      <c r="B57">
        <v>64.64</v>
      </c>
      <c r="C57">
        <v>63.92</v>
      </c>
      <c r="D57" s="5">
        <f t="shared" si="4"/>
        <v>0.71999999999999886</v>
      </c>
    </row>
    <row r="58" spans="1:14" x14ac:dyDescent="0.3">
      <c r="A58" s="17">
        <v>45975</v>
      </c>
      <c r="B58">
        <v>64.75</v>
      </c>
      <c r="C58">
        <v>63.83</v>
      </c>
      <c r="D58" s="5">
        <f t="shared" si="4"/>
        <v>0.92000000000000171</v>
      </c>
    </row>
    <row r="59" spans="1:14" x14ac:dyDescent="0.3">
      <c r="A59" s="17">
        <v>45974</v>
      </c>
      <c r="B59">
        <v>63.594999999999999</v>
      </c>
      <c r="C59">
        <v>62.83</v>
      </c>
      <c r="D59" s="5">
        <f t="shared" si="4"/>
        <v>0.76500000000000057</v>
      </c>
    </row>
    <row r="60" spans="1:14" x14ac:dyDescent="0.3">
      <c r="A60" s="17">
        <v>45973</v>
      </c>
      <c r="B60">
        <v>65.84</v>
      </c>
      <c r="C60">
        <v>65.099999999999994</v>
      </c>
      <c r="D60" s="5">
        <f t="shared" si="4"/>
        <v>0.74000000000000909</v>
      </c>
    </row>
    <row r="61" spans="1:14" x14ac:dyDescent="0.3">
      <c r="A61" s="17">
        <v>45972</v>
      </c>
      <c r="B61">
        <v>64.959999999999994</v>
      </c>
      <c r="C61">
        <v>64.05</v>
      </c>
      <c r="D61" s="5">
        <f t="shared" si="4"/>
        <v>0.90999999999999659</v>
      </c>
    </row>
    <row r="62" spans="1:14" x14ac:dyDescent="0.3">
      <c r="A62" s="17">
        <v>45971</v>
      </c>
      <c r="B62">
        <v>65.34</v>
      </c>
      <c r="C62">
        <v>64.41</v>
      </c>
      <c r="D62" s="5">
        <f t="shared" si="4"/>
        <v>0.93000000000000682</v>
      </c>
    </row>
    <row r="63" spans="1:14" x14ac:dyDescent="0.3">
      <c r="A63" s="17">
        <v>45968</v>
      </c>
      <c r="B63">
        <v>64.95</v>
      </c>
      <c r="C63">
        <v>63.94</v>
      </c>
      <c r="D63" s="5">
        <f t="shared" si="4"/>
        <v>1.0100000000000051</v>
      </c>
    </row>
    <row r="64" spans="1:14" x14ac:dyDescent="0.3">
      <c r="A64" s="17">
        <v>45967</v>
      </c>
      <c r="B64">
        <v>64.650000000000006</v>
      </c>
      <c r="C64">
        <v>63.66</v>
      </c>
      <c r="D64" s="5">
        <f t="shared" si="4"/>
        <v>0.99000000000000909</v>
      </c>
    </row>
    <row r="65" spans="1:6" x14ac:dyDescent="0.3">
      <c r="A65" s="17">
        <v>45966</v>
      </c>
      <c r="B65">
        <v>65.605000000000004</v>
      </c>
      <c r="C65">
        <v>64.28</v>
      </c>
      <c r="D65" s="5">
        <f t="shared" si="4"/>
        <v>1.3250000000000028</v>
      </c>
      <c r="E65">
        <f>+AVERAGE(D65:D86)</f>
        <v>1.4029545454545456</v>
      </c>
    </row>
    <row r="66" spans="1:6" x14ac:dyDescent="0.3">
      <c r="A66" s="17">
        <v>45965</v>
      </c>
      <c r="B66">
        <v>65.38</v>
      </c>
      <c r="C66">
        <v>64</v>
      </c>
      <c r="D66" s="5">
        <f t="shared" si="4"/>
        <v>1.3799999999999955</v>
      </c>
      <c r="F66" s="19"/>
    </row>
    <row r="67" spans="1:6" x14ac:dyDescent="0.3">
      <c r="A67" s="17">
        <v>45964</v>
      </c>
      <c r="B67">
        <v>66.7</v>
      </c>
      <c r="C67">
        <v>64.459999999999994</v>
      </c>
      <c r="D67" s="5">
        <f t="shared" si="4"/>
        <v>2.2400000000000091</v>
      </c>
    </row>
    <row r="68" spans="1:6" x14ac:dyDescent="0.3">
      <c r="A68" s="17">
        <v>45961</v>
      </c>
      <c r="B68">
        <v>67.650000000000006</v>
      </c>
      <c r="C68">
        <v>64.510000000000005</v>
      </c>
      <c r="D68" s="5">
        <f t="shared" si="4"/>
        <v>3.1400000000000006</v>
      </c>
    </row>
    <row r="69" spans="1:6" x14ac:dyDescent="0.3">
      <c r="A69" s="17">
        <v>45960</v>
      </c>
      <c r="B69">
        <v>66.42</v>
      </c>
      <c r="C69">
        <v>63.9</v>
      </c>
      <c r="D69" s="5">
        <f t="shared" si="4"/>
        <v>2.5200000000000031</v>
      </c>
      <c r="E69" s="20">
        <f>+AVERAGE(D69:D86)</f>
        <v>1.2655555555555553</v>
      </c>
      <c r="F69" s="19">
        <f>+E69-E88</f>
        <v>-1.2704444444444469</v>
      </c>
    </row>
    <row r="70" spans="1:6" x14ac:dyDescent="0.3">
      <c r="A70" s="17">
        <v>45959</v>
      </c>
      <c r="B70">
        <v>64.16</v>
      </c>
      <c r="C70">
        <v>63.34</v>
      </c>
      <c r="D70" s="5">
        <f t="shared" si="4"/>
        <v>0.81999999999999318</v>
      </c>
      <c r="F70" s="19"/>
    </row>
    <row r="71" spans="1:6" x14ac:dyDescent="0.3">
      <c r="A71" s="17">
        <v>45958</v>
      </c>
      <c r="B71">
        <v>64.959999999999994</v>
      </c>
      <c r="C71">
        <v>63.7</v>
      </c>
      <c r="D71" s="5">
        <f t="shared" si="4"/>
        <v>1.2599999999999909</v>
      </c>
      <c r="F71" s="19"/>
    </row>
    <row r="72" spans="1:6" x14ac:dyDescent="0.3">
      <c r="A72" s="17">
        <v>45957</v>
      </c>
      <c r="B72">
        <v>67.66</v>
      </c>
      <c r="C72">
        <v>64.86</v>
      </c>
      <c r="D72" s="5">
        <f t="shared" si="4"/>
        <v>2.7999999999999972</v>
      </c>
      <c r="F72" s="19"/>
    </row>
    <row r="73" spans="1:6" x14ac:dyDescent="0.3">
      <c r="A73" s="17">
        <v>45954</v>
      </c>
      <c r="B73">
        <v>68.84</v>
      </c>
      <c r="C73">
        <v>65.739999999999995</v>
      </c>
      <c r="D73" s="5">
        <f t="shared" si="4"/>
        <v>3.1000000000000085</v>
      </c>
      <c r="F73" s="19"/>
    </row>
    <row r="74" spans="1:6" x14ac:dyDescent="0.3">
      <c r="A74" s="17">
        <v>45953</v>
      </c>
      <c r="B74">
        <v>67.75</v>
      </c>
      <c r="C74">
        <v>64.989999999999995</v>
      </c>
      <c r="D74" s="5">
        <f t="shared" si="4"/>
        <v>2.7600000000000051</v>
      </c>
      <c r="F74" s="19"/>
    </row>
    <row r="75" spans="1:6" x14ac:dyDescent="0.3">
      <c r="A75" s="17">
        <v>45952</v>
      </c>
      <c r="B75">
        <v>63.48</v>
      </c>
      <c r="C75">
        <v>62.2</v>
      </c>
      <c r="D75" s="5">
        <f t="shared" si="4"/>
        <v>1.279999999999994</v>
      </c>
      <c r="F75" s="19"/>
    </row>
    <row r="76" spans="1:6" x14ac:dyDescent="0.3">
      <c r="A76" s="17">
        <v>45951</v>
      </c>
      <c r="B76">
        <v>61.81</v>
      </c>
      <c r="C76">
        <v>61</v>
      </c>
      <c r="D76" s="5">
        <f t="shared" si="4"/>
        <v>0.81000000000000227</v>
      </c>
      <c r="F76" s="19"/>
    </row>
    <row r="77" spans="1:6" x14ac:dyDescent="0.3">
      <c r="A77" s="17">
        <v>45947</v>
      </c>
      <c r="B77">
        <v>61.32</v>
      </c>
      <c r="C77">
        <v>60.84</v>
      </c>
      <c r="D77" s="5">
        <f t="shared" si="4"/>
        <v>0.47999999999999687</v>
      </c>
      <c r="F77" s="19"/>
    </row>
    <row r="78" spans="1:6" x14ac:dyDescent="0.3">
      <c r="A78" s="17">
        <v>45946</v>
      </c>
      <c r="B78">
        <v>62.44</v>
      </c>
      <c r="C78">
        <v>61.95</v>
      </c>
      <c r="D78" s="5">
        <f t="shared" si="4"/>
        <v>0.48999999999999488</v>
      </c>
      <c r="F78" s="19"/>
    </row>
    <row r="79" spans="1:6" x14ac:dyDescent="0.3">
      <c r="A79" s="17">
        <v>45945</v>
      </c>
      <c r="B79">
        <v>62.53</v>
      </c>
      <c r="C79">
        <v>61.95</v>
      </c>
      <c r="D79" s="5">
        <f t="shared" si="4"/>
        <v>0.57999999999999829</v>
      </c>
      <c r="F79" s="19"/>
    </row>
    <row r="80" spans="1:6" x14ac:dyDescent="0.3">
      <c r="A80" s="17">
        <v>45944</v>
      </c>
      <c r="B80">
        <v>62.52</v>
      </c>
      <c r="C80">
        <v>62.01</v>
      </c>
      <c r="D80" s="5">
        <f t="shared" si="4"/>
        <v>0.51000000000000512</v>
      </c>
      <c r="F80" s="19"/>
    </row>
    <row r="81" spans="1:6" x14ac:dyDescent="0.3">
      <c r="A81" s="17">
        <v>45943</v>
      </c>
      <c r="B81">
        <v>63.45</v>
      </c>
      <c r="C81">
        <v>62.81</v>
      </c>
      <c r="D81" s="5">
        <f t="shared" si="4"/>
        <v>0.64000000000000057</v>
      </c>
      <c r="F81" s="19"/>
    </row>
    <row r="82" spans="1:6" x14ac:dyDescent="0.3">
      <c r="A82" s="17">
        <v>45940</v>
      </c>
      <c r="B82">
        <v>64.89</v>
      </c>
      <c r="C82">
        <v>64.05</v>
      </c>
      <c r="D82" s="5">
        <f t="shared" si="4"/>
        <v>0.84000000000000341</v>
      </c>
      <c r="F82" s="19"/>
    </row>
    <row r="83" spans="1:6" x14ac:dyDescent="0.3">
      <c r="A83" s="17">
        <v>45939</v>
      </c>
      <c r="B83">
        <v>66.44</v>
      </c>
      <c r="C83">
        <v>65.17</v>
      </c>
      <c r="D83" s="5">
        <f t="shared" si="4"/>
        <v>1.269999999999996</v>
      </c>
      <c r="F83" s="19"/>
    </row>
    <row r="84" spans="1:6" x14ac:dyDescent="0.3">
      <c r="A84" s="17">
        <v>45938</v>
      </c>
      <c r="B84">
        <v>65.849999999999994</v>
      </c>
      <c r="C84">
        <v>64.959999999999994</v>
      </c>
      <c r="D84" s="5">
        <f t="shared" si="4"/>
        <v>0.89000000000000057</v>
      </c>
      <c r="F84" s="19"/>
    </row>
    <row r="85" spans="1:6" x14ac:dyDescent="0.3">
      <c r="A85" s="17">
        <v>45937</v>
      </c>
      <c r="B85">
        <v>65.66</v>
      </c>
      <c r="C85">
        <v>64.98</v>
      </c>
      <c r="D85" s="5">
        <f t="shared" si="4"/>
        <v>0.67999999999999261</v>
      </c>
      <c r="F85" s="19"/>
    </row>
    <row r="86" spans="1:6" x14ac:dyDescent="0.3">
      <c r="A86" s="17">
        <v>45936</v>
      </c>
      <c r="B86">
        <v>65.62</v>
      </c>
      <c r="C86">
        <v>64.569999999999993</v>
      </c>
      <c r="D86" s="5">
        <f t="shared" si="4"/>
        <v>1.0500000000000114</v>
      </c>
      <c r="E86" s="19"/>
      <c r="F86" s="19"/>
    </row>
    <row r="87" spans="1:6" x14ac:dyDescent="0.3">
      <c r="A87" s="17">
        <v>45933</v>
      </c>
      <c r="B87">
        <v>64.69</v>
      </c>
      <c r="C87">
        <v>63.94</v>
      </c>
      <c r="D87" s="5">
        <f t="shared" si="4"/>
        <v>0.75</v>
      </c>
      <c r="E87">
        <f>+AVERAGE(D87:D107)</f>
        <v>2.450952380952383</v>
      </c>
      <c r="F87" s="19"/>
    </row>
    <row r="88" spans="1:6" x14ac:dyDescent="0.3">
      <c r="A88" s="17">
        <v>45932</v>
      </c>
      <c r="B88">
        <v>65.290000000000006</v>
      </c>
      <c r="C88">
        <v>64.45</v>
      </c>
      <c r="D88" s="5">
        <f t="shared" si="4"/>
        <v>0.84000000000000341</v>
      </c>
      <c r="E88" s="20">
        <f>+AVERAGE(D88:D107)</f>
        <v>2.5360000000000023</v>
      </c>
      <c r="F88" s="19">
        <f>+E88-E110</f>
        <v>7.8619047619050253E-2</v>
      </c>
    </row>
    <row r="89" spans="1:6" x14ac:dyDescent="0.3">
      <c r="A89" s="17">
        <v>45931</v>
      </c>
      <c r="B89">
        <v>66.55</v>
      </c>
      <c r="C89">
        <v>65.59</v>
      </c>
      <c r="D89" s="5">
        <f t="shared" si="4"/>
        <v>0.95999999999999375</v>
      </c>
    </row>
    <row r="90" spans="1:6" x14ac:dyDescent="0.3">
      <c r="A90" s="17">
        <v>45930</v>
      </c>
      <c r="B90">
        <v>69.34</v>
      </c>
      <c r="C90">
        <v>66.459999999999994</v>
      </c>
      <c r="D90" s="5">
        <f t="shared" si="4"/>
        <v>2.8800000000000097</v>
      </c>
    </row>
    <row r="91" spans="1:6" x14ac:dyDescent="0.3">
      <c r="A91" s="17">
        <v>45929</v>
      </c>
      <c r="B91">
        <v>69.25</v>
      </c>
      <c r="C91">
        <v>68.459999999999994</v>
      </c>
      <c r="D91" s="5">
        <f>+B91-C91</f>
        <v>0.79000000000000625</v>
      </c>
    </row>
    <row r="92" spans="1:6" x14ac:dyDescent="0.3">
      <c r="A92" s="17">
        <v>45926</v>
      </c>
      <c r="B92">
        <v>70.64</v>
      </c>
      <c r="C92">
        <v>68.92</v>
      </c>
      <c r="D92" s="5">
        <f t="shared" ref="D92:D155" si="5">+B92-C92</f>
        <v>1.7199999999999989</v>
      </c>
    </row>
    <row r="93" spans="1:6" x14ac:dyDescent="0.3">
      <c r="A93" s="17">
        <v>45925</v>
      </c>
      <c r="B93">
        <v>70.55</v>
      </c>
      <c r="C93">
        <v>68.33</v>
      </c>
      <c r="D93" s="5">
        <f t="shared" si="5"/>
        <v>2.2199999999999989</v>
      </c>
    </row>
    <row r="94" spans="1:6" x14ac:dyDescent="0.3">
      <c r="A94" s="17">
        <v>45924</v>
      </c>
      <c r="B94">
        <v>69.87</v>
      </c>
      <c r="C94">
        <v>67.23</v>
      </c>
      <c r="D94" s="5">
        <f t="shared" si="5"/>
        <v>2.6400000000000006</v>
      </c>
    </row>
    <row r="95" spans="1:6" x14ac:dyDescent="0.3">
      <c r="A95" s="17">
        <v>45923</v>
      </c>
      <c r="B95">
        <v>68.239999999999995</v>
      </c>
      <c r="C95">
        <v>65.92</v>
      </c>
      <c r="D95" s="5">
        <f t="shared" si="5"/>
        <v>2.3199999999999932</v>
      </c>
    </row>
    <row r="96" spans="1:6" x14ac:dyDescent="0.3">
      <c r="A96" s="17">
        <v>45922</v>
      </c>
      <c r="B96">
        <v>68.599999999999994</v>
      </c>
      <c r="C96">
        <v>66.56</v>
      </c>
      <c r="D96" s="5">
        <f t="shared" si="5"/>
        <v>2.039999999999992</v>
      </c>
    </row>
    <row r="97" spans="1:6" x14ac:dyDescent="0.3">
      <c r="A97" s="17">
        <v>45919</v>
      </c>
      <c r="B97">
        <v>69.33</v>
      </c>
      <c r="C97">
        <v>66.739999999999995</v>
      </c>
      <c r="D97" s="5">
        <f t="shared" si="5"/>
        <v>2.5900000000000034</v>
      </c>
    </row>
    <row r="98" spans="1:6" x14ac:dyDescent="0.3">
      <c r="A98" s="17">
        <v>45918</v>
      </c>
      <c r="B98">
        <v>70.44</v>
      </c>
      <c r="C98">
        <v>67.459999999999994</v>
      </c>
      <c r="D98" s="5">
        <f t="shared" si="5"/>
        <v>2.980000000000004</v>
      </c>
    </row>
    <row r="99" spans="1:6" x14ac:dyDescent="0.3">
      <c r="A99" s="17">
        <v>45917</v>
      </c>
      <c r="B99">
        <v>70.69</v>
      </c>
      <c r="C99">
        <v>67.75</v>
      </c>
      <c r="D99" s="5">
        <f t="shared" si="5"/>
        <v>2.9399999999999977</v>
      </c>
    </row>
    <row r="100" spans="1:6" x14ac:dyDescent="0.3">
      <c r="A100" s="17">
        <v>45916</v>
      </c>
      <c r="B100">
        <v>70.25</v>
      </c>
      <c r="C100">
        <v>67.239999999999995</v>
      </c>
      <c r="D100" s="5">
        <f t="shared" si="5"/>
        <v>3.0100000000000051</v>
      </c>
    </row>
    <row r="101" spans="1:6" x14ac:dyDescent="0.3">
      <c r="A101" s="17">
        <v>45915</v>
      </c>
      <c r="B101">
        <v>70.89</v>
      </c>
      <c r="C101">
        <v>67.38</v>
      </c>
      <c r="D101" s="5">
        <f t="shared" si="5"/>
        <v>3.5100000000000051</v>
      </c>
    </row>
    <row r="102" spans="1:6" x14ac:dyDescent="0.3">
      <c r="A102" s="17">
        <v>45912</v>
      </c>
      <c r="B102">
        <v>69.510000000000005</v>
      </c>
      <c r="C102">
        <v>66.260000000000005</v>
      </c>
      <c r="D102" s="5">
        <f t="shared" si="5"/>
        <v>3.25</v>
      </c>
    </row>
    <row r="103" spans="1:6" x14ac:dyDescent="0.3">
      <c r="A103" s="17">
        <v>45911</v>
      </c>
      <c r="B103">
        <v>70.7</v>
      </c>
      <c r="C103">
        <v>67.27</v>
      </c>
      <c r="D103" s="5">
        <f t="shared" si="5"/>
        <v>3.4300000000000068</v>
      </c>
    </row>
    <row r="104" spans="1:6" x14ac:dyDescent="0.3">
      <c r="A104" s="17">
        <v>45910</v>
      </c>
      <c r="B104">
        <v>70.400000000000006</v>
      </c>
      <c r="C104">
        <v>67.02</v>
      </c>
      <c r="D104" s="5">
        <f t="shared" si="5"/>
        <v>3.3800000000000097</v>
      </c>
    </row>
    <row r="105" spans="1:6" x14ac:dyDescent="0.3">
      <c r="A105" s="17">
        <v>45909</v>
      </c>
      <c r="B105">
        <v>69.72</v>
      </c>
      <c r="C105">
        <v>66.55</v>
      </c>
      <c r="D105" s="5">
        <f t="shared" si="5"/>
        <v>3.1700000000000017</v>
      </c>
    </row>
    <row r="106" spans="1:6" x14ac:dyDescent="0.3">
      <c r="A106" s="17">
        <v>45908</v>
      </c>
      <c r="B106">
        <v>69.2</v>
      </c>
      <c r="C106">
        <v>66.16</v>
      </c>
      <c r="D106" s="5">
        <f t="shared" si="5"/>
        <v>3.0400000000000063</v>
      </c>
    </row>
    <row r="107" spans="1:6" x14ac:dyDescent="0.3">
      <c r="A107" s="17">
        <v>45905</v>
      </c>
      <c r="B107">
        <v>69.2</v>
      </c>
      <c r="C107">
        <v>66.19</v>
      </c>
      <c r="D107" s="5">
        <f t="shared" si="5"/>
        <v>3.0100000000000051</v>
      </c>
    </row>
    <row r="108" spans="1:6" x14ac:dyDescent="0.3">
      <c r="A108" s="17">
        <v>45904</v>
      </c>
      <c r="B108">
        <v>69.48</v>
      </c>
      <c r="C108">
        <v>66.430000000000007</v>
      </c>
      <c r="D108" s="5">
        <f t="shared" si="5"/>
        <v>3.0499999999999972</v>
      </c>
    </row>
    <row r="109" spans="1:6" x14ac:dyDescent="0.3">
      <c r="A109" s="17">
        <v>45903</v>
      </c>
      <c r="B109">
        <v>71.525000000000006</v>
      </c>
      <c r="C109">
        <v>68.319999999999993</v>
      </c>
      <c r="D109" s="5">
        <f t="shared" si="5"/>
        <v>3.2050000000000125</v>
      </c>
    </row>
    <row r="110" spans="1:6" x14ac:dyDescent="0.3">
      <c r="A110" s="17">
        <v>45902</v>
      </c>
      <c r="B110">
        <v>71.709999999999994</v>
      </c>
      <c r="C110">
        <v>68.349999999999994</v>
      </c>
      <c r="D110" s="5">
        <f t="shared" si="5"/>
        <v>3.3599999999999994</v>
      </c>
      <c r="E110" s="20">
        <f>+AVERAGE(D110:D130)</f>
        <v>2.457380952380952</v>
      </c>
      <c r="F110">
        <f>+E110-E132</f>
        <v>-0.49911904761904902</v>
      </c>
    </row>
    <row r="111" spans="1:6" x14ac:dyDescent="0.3">
      <c r="A111" s="21">
        <v>45901</v>
      </c>
      <c r="B111">
        <v>70.709999999999994</v>
      </c>
      <c r="C111">
        <v>67.260000000000005</v>
      </c>
      <c r="D111" s="5">
        <f t="shared" si="5"/>
        <v>3.4499999999999886</v>
      </c>
    </row>
    <row r="112" spans="1:6" x14ac:dyDescent="0.3">
      <c r="A112" s="17">
        <v>45898</v>
      </c>
      <c r="B112">
        <v>70.5</v>
      </c>
      <c r="C112">
        <v>68.069999999999993</v>
      </c>
      <c r="D112" s="5">
        <f t="shared" si="5"/>
        <v>2.4300000000000068</v>
      </c>
    </row>
    <row r="113" spans="1:4" x14ac:dyDescent="0.3">
      <c r="A113" s="17">
        <v>45897</v>
      </c>
      <c r="B113">
        <v>69.7</v>
      </c>
      <c r="C113">
        <v>67.48</v>
      </c>
      <c r="D113" s="5">
        <f t="shared" si="5"/>
        <v>2.2199999999999989</v>
      </c>
    </row>
    <row r="114" spans="1:4" x14ac:dyDescent="0.3">
      <c r="A114" s="17">
        <v>45896</v>
      </c>
      <c r="B114">
        <v>69.25</v>
      </c>
      <c r="C114">
        <v>67.16</v>
      </c>
      <c r="D114" s="5">
        <f t="shared" si="5"/>
        <v>2.0900000000000034</v>
      </c>
    </row>
    <row r="115" spans="1:4" x14ac:dyDescent="0.3">
      <c r="A115" s="17">
        <v>45895</v>
      </c>
      <c r="B115">
        <v>70.349999999999994</v>
      </c>
      <c r="C115">
        <v>68.2</v>
      </c>
      <c r="D115" s="5">
        <f t="shared" si="5"/>
        <v>2.1499999999999915</v>
      </c>
    </row>
    <row r="116" spans="1:4" x14ac:dyDescent="0.3">
      <c r="A116" s="17">
        <v>45894</v>
      </c>
      <c r="B116" s="22">
        <v>70</v>
      </c>
      <c r="C116">
        <v>67.930000000000007</v>
      </c>
      <c r="D116" s="5">
        <f t="shared" si="5"/>
        <v>2.0699999999999932</v>
      </c>
    </row>
    <row r="117" spans="1:4" x14ac:dyDescent="0.3">
      <c r="A117" s="17">
        <v>45891</v>
      </c>
      <c r="B117">
        <v>69.900000000000006</v>
      </c>
      <c r="C117">
        <v>67.63</v>
      </c>
      <c r="D117" s="5">
        <f t="shared" si="5"/>
        <v>2.2700000000000102</v>
      </c>
    </row>
    <row r="118" spans="1:4" x14ac:dyDescent="0.3">
      <c r="A118" s="17">
        <v>45890</v>
      </c>
      <c r="B118">
        <v>69.66</v>
      </c>
      <c r="C118">
        <v>67.19</v>
      </c>
      <c r="D118" s="5">
        <f t="shared" si="5"/>
        <v>2.4699999999999989</v>
      </c>
    </row>
    <row r="119" spans="1:4" x14ac:dyDescent="0.3">
      <c r="A119" s="17">
        <v>45889</v>
      </c>
      <c r="B119">
        <v>68.8</v>
      </c>
      <c r="C119">
        <v>66.28</v>
      </c>
      <c r="D119" s="5">
        <f t="shared" si="5"/>
        <v>2.519999999999996</v>
      </c>
    </row>
    <row r="120" spans="1:4" x14ac:dyDescent="0.3">
      <c r="A120" s="17">
        <v>45888</v>
      </c>
      <c r="B120">
        <v>68.040000000000006</v>
      </c>
      <c r="C120">
        <v>65.66</v>
      </c>
      <c r="D120" s="5">
        <f t="shared" si="5"/>
        <v>2.3800000000000097</v>
      </c>
    </row>
    <row r="121" spans="1:4" x14ac:dyDescent="0.3">
      <c r="A121" s="17">
        <v>45887</v>
      </c>
      <c r="B121">
        <v>67.650000000000006</v>
      </c>
      <c r="C121">
        <v>65.540000000000006</v>
      </c>
      <c r="D121" s="5">
        <f t="shared" si="5"/>
        <v>2.1099999999999994</v>
      </c>
    </row>
    <row r="122" spans="1:4" x14ac:dyDescent="0.3">
      <c r="A122" s="17">
        <v>45884</v>
      </c>
      <c r="B122">
        <v>68.194999999999993</v>
      </c>
      <c r="C122">
        <v>65.86</v>
      </c>
      <c r="D122" s="5">
        <f t="shared" si="5"/>
        <v>2.3349999999999937</v>
      </c>
    </row>
    <row r="123" spans="1:4" x14ac:dyDescent="0.3">
      <c r="A123" s="17">
        <v>45883</v>
      </c>
      <c r="B123">
        <v>67.7</v>
      </c>
      <c r="C123">
        <v>65.45</v>
      </c>
      <c r="D123" s="5">
        <f t="shared" si="5"/>
        <v>2.25</v>
      </c>
    </row>
    <row r="124" spans="1:4" x14ac:dyDescent="0.3">
      <c r="A124" s="17">
        <v>45882</v>
      </c>
      <c r="B124">
        <v>67.39</v>
      </c>
      <c r="C124">
        <v>65.19</v>
      </c>
      <c r="D124" s="5">
        <f t="shared" si="5"/>
        <v>2.2000000000000028</v>
      </c>
    </row>
    <row r="125" spans="1:4" x14ac:dyDescent="0.3">
      <c r="A125" s="17">
        <v>45881</v>
      </c>
      <c r="B125">
        <v>68.5</v>
      </c>
      <c r="C125">
        <v>66.22</v>
      </c>
      <c r="D125" s="5">
        <f t="shared" si="5"/>
        <v>2.2800000000000011</v>
      </c>
    </row>
    <row r="126" spans="1:4" x14ac:dyDescent="0.3">
      <c r="A126" s="17">
        <v>45880</v>
      </c>
      <c r="B126">
        <v>68.03</v>
      </c>
      <c r="C126">
        <v>65.62</v>
      </c>
      <c r="D126" s="5">
        <f t="shared" si="5"/>
        <v>2.4099999999999966</v>
      </c>
    </row>
    <row r="127" spans="1:4" x14ac:dyDescent="0.3">
      <c r="A127" s="17">
        <v>45877</v>
      </c>
      <c r="B127">
        <v>68.5</v>
      </c>
      <c r="C127">
        <v>66.05</v>
      </c>
      <c r="D127" s="5">
        <f t="shared" si="5"/>
        <v>2.4500000000000028</v>
      </c>
    </row>
    <row r="128" spans="1:4" x14ac:dyDescent="0.3">
      <c r="A128" s="17">
        <v>45876</v>
      </c>
      <c r="B128">
        <v>69.33</v>
      </c>
      <c r="C128">
        <v>66.52</v>
      </c>
      <c r="D128" s="5">
        <f t="shared" si="5"/>
        <v>2.8100000000000023</v>
      </c>
    </row>
    <row r="129" spans="1:6" x14ac:dyDescent="0.3">
      <c r="A129" s="17">
        <v>45875</v>
      </c>
      <c r="B129">
        <v>70.349999999999994</v>
      </c>
      <c r="C129">
        <v>67.59</v>
      </c>
      <c r="D129" s="5">
        <f t="shared" si="5"/>
        <v>2.7599999999999909</v>
      </c>
    </row>
    <row r="130" spans="1:6" x14ac:dyDescent="0.3">
      <c r="A130" s="17">
        <v>45874</v>
      </c>
      <c r="B130">
        <v>70.33</v>
      </c>
      <c r="C130">
        <v>67.739999999999995</v>
      </c>
      <c r="D130" s="5">
        <f t="shared" si="5"/>
        <v>2.5900000000000034</v>
      </c>
    </row>
    <row r="131" spans="1:6" x14ac:dyDescent="0.3">
      <c r="A131" s="17">
        <v>45873</v>
      </c>
      <c r="B131">
        <v>71.17</v>
      </c>
      <c r="C131">
        <v>68.23</v>
      </c>
      <c r="D131" s="5">
        <f t="shared" si="5"/>
        <v>2.9399999999999977</v>
      </c>
    </row>
    <row r="132" spans="1:6" x14ac:dyDescent="0.3">
      <c r="A132" s="21">
        <v>45870</v>
      </c>
      <c r="B132">
        <v>73.739999999999995</v>
      </c>
      <c r="C132">
        <v>70.64</v>
      </c>
      <c r="D132" s="5">
        <f t="shared" si="5"/>
        <v>3.0999999999999943</v>
      </c>
      <c r="E132">
        <f>+AVERAGE(D132:D151)</f>
        <v>2.956500000000001</v>
      </c>
      <c r="F132">
        <f>+E132-E154</f>
        <v>0.7977500000000024</v>
      </c>
    </row>
    <row r="133" spans="1:6" x14ac:dyDescent="0.3">
      <c r="A133" s="17">
        <v>45869</v>
      </c>
      <c r="B133">
        <v>75.25</v>
      </c>
      <c r="C133">
        <v>72.61</v>
      </c>
      <c r="D133" s="5">
        <f t="shared" si="5"/>
        <v>2.6400000000000006</v>
      </c>
    </row>
    <row r="134" spans="1:6" x14ac:dyDescent="0.3">
      <c r="A134" s="17">
        <v>45868</v>
      </c>
      <c r="B134">
        <v>74.95</v>
      </c>
      <c r="C134">
        <v>71.86</v>
      </c>
      <c r="D134" s="5">
        <f t="shared" si="5"/>
        <v>3.0900000000000034</v>
      </c>
    </row>
    <row r="135" spans="1:6" x14ac:dyDescent="0.3">
      <c r="A135" s="17">
        <v>45867</v>
      </c>
      <c r="B135">
        <v>72.5</v>
      </c>
      <c r="C135">
        <v>69.680000000000007</v>
      </c>
      <c r="D135" s="5">
        <f t="shared" si="5"/>
        <v>2.8199999999999932</v>
      </c>
    </row>
    <row r="136" spans="1:6" x14ac:dyDescent="0.3">
      <c r="A136" s="17">
        <v>45866</v>
      </c>
      <c r="B136">
        <v>71.105000000000004</v>
      </c>
      <c r="C136">
        <v>68.180000000000007</v>
      </c>
      <c r="D136" s="5">
        <f t="shared" si="5"/>
        <v>2.9249999999999972</v>
      </c>
    </row>
    <row r="137" spans="1:6" x14ac:dyDescent="0.3">
      <c r="A137" s="17">
        <v>45863</v>
      </c>
      <c r="B137">
        <v>71.790000000000006</v>
      </c>
      <c r="C137">
        <v>68.849999999999994</v>
      </c>
      <c r="D137" s="5">
        <f t="shared" si="5"/>
        <v>2.9400000000000119</v>
      </c>
    </row>
    <row r="138" spans="1:6" x14ac:dyDescent="0.3">
      <c r="A138" s="17">
        <v>45862</v>
      </c>
      <c r="B138">
        <v>71.17</v>
      </c>
      <c r="C138">
        <v>68.319999999999993</v>
      </c>
      <c r="D138" s="5">
        <f t="shared" si="5"/>
        <v>2.8500000000000085</v>
      </c>
    </row>
    <row r="139" spans="1:6" x14ac:dyDescent="0.3">
      <c r="A139" s="17">
        <v>45861</v>
      </c>
      <c r="B139">
        <v>70.400000000000006</v>
      </c>
      <c r="C139">
        <v>67.67</v>
      </c>
      <c r="D139" s="5">
        <f t="shared" si="5"/>
        <v>2.730000000000004</v>
      </c>
    </row>
    <row r="140" spans="1:6" x14ac:dyDescent="0.3">
      <c r="A140" s="17">
        <v>45860</v>
      </c>
      <c r="B140">
        <v>70.52</v>
      </c>
      <c r="C140">
        <v>67.61</v>
      </c>
      <c r="D140" s="5">
        <f t="shared" si="5"/>
        <v>2.9099999999999966</v>
      </c>
    </row>
    <row r="141" spans="1:6" x14ac:dyDescent="0.3">
      <c r="A141" s="17">
        <v>45859</v>
      </c>
      <c r="B141">
        <v>70.8</v>
      </c>
      <c r="C141">
        <v>67.8</v>
      </c>
      <c r="D141" s="5">
        <f t="shared" si="5"/>
        <v>3</v>
      </c>
    </row>
    <row r="142" spans="1:6" x14ac:dyDescent="0.3">
      <c r="A142" s="17">
        <v>45856</v>
      </c>
      <c r="B142">
        <v>70.78</v>
      </c>
      <c r="C142">
        <v>67.94</v>
      </c>
      <c r="D142" s="5">
        <f t="shared" si="5"/>
        <v>2.8400000000000034</v>
      </c>
    </row>
    <row r="143" spans="1:6" x14ac:dyDescent="0.3">
      <c r="A143" s="17">
        <v>45855</v>
      </c>
      <c r="B143">
        <v>69.555000000000007</v>
      </c>
      <c r="C143">
        <v>66.77</v>
      </c>
      <c r="D143" s="5">
        <f t="shared" si="5"/>
        <v>2.7850000000000108</v>
      </c>
    </row>
    <row r="144" spans="1:6" x14ac:dyDescent="0.3">
      <c r="A144" s="17">
        <v>45854</v>
      </c>
      <c r="B144">
        <v>69.89</v>
      </c>
      <c r="C144">
        <v>66.989999999999995</v>
      </c>
      <c r="D144" s="5">
        <f t="shared" si="5"/>
        <v>2.9000000000000057</v>
      </c>
    </row>
    <row r="145" spans="1:6" x14ac:dyDescent="0.3">
      <c r="A145" s="17">
        <v>45853</v>
      </c>
      <c r="B145">
        <v>70.099999999999994</v>
      </c>
      <c r="C145">
        <v>67.16</v>
      </c>
      <c r="D145" s="5">
        <f t="shared" si="5"/>
        <v>2.9399999999999977</v>
      </c>
    </row>
    <row r="146" spans="1:6" x14ac:dyDescent="0.3">
      <c r="A146" s="17">
        <v>45852</v>
      </c>
      <c r="B146">
        <v>72.19</v>
      </c>
      <c r="C146">
        <v>68.900000000000006</v>
      </c>
      <c r="D146" s="5">
        <f t="shared" si="5"/>
        <v>3.289999999999992</v>
      </c>
    </row>
    <row r="147" spans="1:6" x14ac:dyDescent="0.3">
      <c r="A147" s="17">
        <v>45849</v>
      </c>
      <c r="B147">
        <v>70.05</v>
      </c>
      <c r="C147">
        <v>67.099999999999994</v>
      </c>
      <c r="D147" s="5">
        <f t="shared" si="5"/>
        <v>2.9500000000000028</v>
      </c>
    </row>
    <row r="148" spans="1:6" x14ac:dyDescent="0.3">
      <c r="A148" s="17">
        <v>45848</v>
      </c>
      <c r="B148">
        <v>71.25</v>
      </c>
      <c r="C148">
        <v>68.19</v>
      </c>
      <c r="D148" s="5">
        <f t="shared" si="5"/>
        <v>3.0600000000000023</v>
      </c>
    </row>
    <row r="149" spans="1:6" x14ac:dyDescent="0.3">
      <c r="A149" s="17">
        <v>45847</v>
      </c>
      <c r="B149">
        <v>71.8</v>
      </c>
      <c r="C149">
        <v>68.63</v>
      </c>
      <c r="D149" s="5">
        <f t="shared" si="5"/>
        <v>3.1700000000000017</v>
      </c>
    </row>
    <row r="150" spans="1:6" x14ac:dyDescent="0.3">
      <c r="A150" s="17">
        <v>45846</v>
      </c>
      <c r="B150">
        <v>70.459999999999994</v>
      </c>
      <c r="C150">
        <v>67.33</v>
      </c>
      <c r="D150" s="5">
        <f t="shared" si="5"/>
        <v>3.1299999999999955</v>
      </c>
    </row>
    <row r="151" spans="1:6" x14ac:dyDescent="0.3">
      <c r="A151" s="17">
        <v>45845</v>
      </c>
      <c r="B151">
        <v>69.44</v>
      </c>
      <c r="C151">
        <v>66.38</v>
      </c>
      <c r="D151" s="5">
        <f t="shared" si="5"/>
        <v>3.0600000000000023</v>
      </c>
    </row>
    <row r="152" spans="1:6" x14ac:dyDescent="0.3">
      <c r="A152" s="17">
        <v>45842</v>
      </c>
      <c r="B152">
        <v>69.56</v>
      </c>
      <c r="C152">
        <v>66.48</v>
      </c>
      <c r="D152" s="5">
        <f t="shared" si="5"/>
        <v>3.0799999999999983</v>
      </c>
    </row>
    <row r="153" spans="1:6" x14ac:dyDescent="0.3">
      <c r="A153" s="17">
        <v>45841</v>
      </c>
      <c r="B153">
        <v>69.61</v>
      </c>
      <c r="C153">
        <v>66.349999999999994</v>
      </c>
      <c r="D153" s="5">
        <f t="shared" si="5"/>
        <v>3.2600000000000051</v>
      </c>
    </row>
    <row r="154" spans="1:6" x14ac:dyDescent="0.3">
      <c r="A154" s="17">
        <v>45840</v>
      </c>
      <c r="B154">
        <v>68.599999999999994</v>
      </c>
      <c r="C154">
        <v>65.47</v>
      </c>
      <c r="D154" s="5">
        <f t="shared" si="5"/>
        <v>3.1299999999999955</v>
      </c>
      <c r="E154">
        <f>+AVERAGE(D154:D173)</f>
        <v>2.1587499999999986</v>
      </c>
      <c r="F154">
        <f>+E154-E176</f>
        <v>0.86899999999999933</v>
      </c>
    </row>
    <row r="155" spans="1:6" x14ac:dyDescent="0.3">
      <c r="A155" s="17">
        <v>45839</v>
      </c>
      <c r="B155">
        <v>68.150000000000006</v>
      </c>
      <c r="C155">
        <v>65.14</v>
      </c>
      <c r="D155" s="5">
        <f t="shared" si="5"/>
        <v>3.0100000000000051</v>
      </c>
    </row>
    <row r="156" spans="1:6" x14ac:dyDescent="0.3">
      <c r="A156" s="17">
        <v>45838</v>
      </c>
      <c r="B156">
        <v>68.754999999999995</v>
      </c>
      <c r="C156">
        <v>66.099999999999994</v>
      </c>
      <c r="D156" s="5">
        <f t="shared" ref="D156:D219" si="6">+B156-C156</f>
        <v>2.6550000000000011</v>
      </c>
    </row>
    <row r="157" spans="1:6" x14ac:dyDescent="0.3">
      <c r="A157" s="17">
        <v>45835</v>
      </c>
      <c r="B157">
        <v>68.44</v>
      </c>
      <c r="C157">
        <v>66.040000000000006</v>
      </c>
      <c r="D157" s="5">
        <f t="shared" si="6"/>
        <v>2.3999999999999915</v>
      </c>
    </row>
    <row r="158" spans="1:6" x14ac:dyDescent="0.3">
      <c r="A158" s="17">
        <v>45834</v>
      </c>
      <c r="B158">
        <v>67.650000000000006</v>
      </c>
      <c r="C158">
        <v>65.349999999999994</v>
      </c>
      <c r="D158" s="5">
        <f t="shared" si="6"/>
        <v>2.3000000000000114</v>
      </c>
    </row>
    <row r="159" spans="1:6" x14ac:dyDescent="0.3">
      <c r="A159" s="17">
        <v>45833</v>
      </c>
      <c r="B159">
        <v>67.81</v>
      </c>
      <c r="C159">
        <v>65.83</v>
      </c>
      <c r="D159" s="5">
        <f t="shared" si="6"/>
        <v>1.980000000000004</v>
      </c>
    </row>
    <row r="160" spans="1:6" x14ac:dyDescent="0.3">
      <c r="A160" s="17">
        <v>45832</v>
      </c>
      <c r="B160">
        <v>68.754999999999995</v>
      </c>
      <c r="C160">
        <v>66.540000000000006</v>
      </c>
      <c r="D160" s="5">
        <f t="shared" si="6"/>
        <v>2.2149999999999892</v>
      </c>
    </row>
    <row r="161" spans="1:6" x14ac:dyDescent="0.3">
      <c r="A161" s="17">
        <v>45831</v>
      </c>
      <c r="B161">
        <v>75.72</v>
      </c>
      <c r="C161">
        <v>73.05</v>
      </c>
      <c r="D161" s="5">
        <f t="shared" si="6"/>
        <v>2.6700000000000017</v>
      </c>
    </row>
    <row r="162" spans="1:6" x14ac:dyDescent="0.3">
      <c r="A162" s="17">
        <v>45828</v>
      </c>
      <c r="B162">
        <v>76.849999999999994</v>
      </c>
      <c r="C162">
        <v>73.56</v>
      </c>
      <c r="D162" s="5">
        <f t="shared" si="6"/>
        <v>3.289999999999992</v>
      </c>
    </row>
    <row r="163" spans="1:6" x14ac:dyDescent="0.3">
      <c r="A163" s="17">
        <v>45827</v>
      </c>
      <c r="B163">
        <v>76.900000000000006</v>
      </c>
      <c r="C163">
        <v>73.61</v>
      </c>
      <c r="D163" s="5">
        <f t="shared" si="6"/>
        <v>3.2900000000000063</v>
      </c>
    </row>
    <row r="164" spans="1:6" x14ac:dyDescent="0.3">
      <c r="A164" s="17">
        <v>45826</v>
      </c>
      <c r="B164">
        <v>75.52</v>
      </c>
      <c r="C164">
        <v>72.75</v>
      </c>
      <c r="D164" s="5">
        <f t="shared" si="6"/>
        <v>2.769999999999996</v>
      </c>
    </row>
    <row r="165" spans="1:6" x14ac:dyDescent="0.3">
      <c r="A165" s="17">
        <v>45825</v>
      </c>
      <c r="B165">
        <v>73.655000000000001</v>
      </c>
      <c r="C165">
        <v>71.23</v>
      </c>
      <c r="D165" s="5">
        <f t="shared" si="6"/>
        <v>2.4249999999999972</v>
      </c>
    </row>
    <row r="166" spans="1:6" x14ac:dyDescent="0.3">
      <c r="A166" s="17">
        <v>45824</v>
      </c>
      <c r="B166">
        <v>72.89</v>
      </c>
      <c r="C166">
        <v>70.73</v>
      </c>
      <c r="D166" s="5">
        <f t="shared" si="6"/>
        <v>2.1599999999999966</v>
      </c>
    </row>
    <row r="167" spans="1:6" x14ac:dyDescent="0.3">
      <c r="A167" s="17">
        <v>45821</v>
      </c>
      <c r="B167">
        <v>72.5</v>
      </c>
      <c r="C167">
        <v>70.81</v>
      </c>
      <c r="D167" s="5">
        <f t="shared" si="6"/>
        <v>1.6899999999999977</v>
      </c>
    </row>
    <row r="168" spans="1:6" x14ac:dyDescent="0.3">
      <c r="A168" s="17">
        <v>45820</v>
      </c>
      <c r="B168">
        <v>68.59</v>
      </c>
      <c r="C168">
        <v>67.040000000000006</v>
      </c>
      <c r="D168" s="5">
        <f t="shared" si="6"/>
        <v>1.5499999999999972</v>
      </c>
    </row>
    <row r="169" spans="1:6" x14ac:dyDescent="0.3">
      <c r="A169" s="17">
        <v>45819</v>
      </c>
      <c r="B169">
        <v>66.62</v>
      </c>
      <c r="C169">
        <v>65.5</v>
      </c>
      <c r="D169" s="5">
        <f t="shared" si="6"/>
        <v>1.1200000000000045</v>
      </c>
    </row>
    <row r="170" spans="1:6" x14ac:dyDescent="0.3">
      <c r="A170" s="17">
        <v>45818</v>
      </c>
      <c r="B170">
        <v>66.849999999999994</v>
      </c>
      <c r="C170">
        <v>65.44</v>
      </c>
      <c r="D170" s="5">
        <f t="shared" si="6"/>
        <v>1.4099999999999966</v>
      </c>
    </row>
    <row r="171" spans="1:6" x14ac:dyDescent="0.3">
      <c r="A171" s="17">
        <v>45817</v>
      </c>
      <c r="B171">
        <v>65.8</v>
      </c>
      <c r="C171">
        <v>64.52</v>
      </c>
      <c r="D171" s="5">
        <f t="shared" si="6"/>
        <v>1.2800000000000011</v>
      </c>
    </row>
    <row r="172" spans="1:6" x14ac:dyDescent="0.3">
      <c r="A172" s="17">
        <v>45814</v>
      </c>
      <c r="B172">
        <v>64.44</v>
      </c>
      <c r="C172">
        <v>63.45</v>
      </c>
      <c r="D172" s="5">
        <f t="shared" si="6"/>
        <v>0.98999999999999488</v>
      </c>
    </row>
    <row r="173" spans="1:6" x14ac:dyDescent="0.3">
      <c r="A173" s="17">
        <v>45813</v>
      </c>
      <c r="B173">
        <v>64.05</v>
      </c>
      <c r="C173">
        <v>63.21</v>
      </c>
      <c r="D173" s="5">
        <f t="shared" si="6"/>
        <v>0.83999999999999631</v>
      </c>
    </row>
    <row r="174" spans="1:6" x14ac:dyDescent="0.3">
      <c r="A174" s="17">
        <v>45812</v>
      </c>
      <c r="B174">
        <v>64.64</v>
      </c>
      <c r="C174">
        <v>63.79</v>
      </c>
      <c r="D174" s="5">
        <f t="shared" si="6"/>
        <v>0.85000000000000142</v>
      </c>
    </row>
    <row r="175" spans="1:6" x14ac:dyDescent="0.3">
      <c r="A175" s="17">
        <v>45811</v>
      </c>
      <c r="B175">
        <v>64.239999999999995</v>
      </c>
      <c r="C175">
        <v>63.05</v>
      </c>
      <c r="D175" s="5">
        <f t="shared" si="6"/>
        <v>1.1899999999999977</v>
      </c>
    </row>
    <row r="176" spans="1:6" x14ac:dyDescent="0.3">
      <c r="A176" s="17">
        <v>45810</v>
      </c>
      <c r="B176">
        <v>63.96</v>
      </c>
      <c r="C176">
        <v>62.6</v>
      </c>
      <c r="D176" s="5">
        <f t="shared" si="6"/>
        <v>1.3599999999999994</v>
      </c>
      <c r="E176">
        <f>+AVERAGE(D176:D195)</f>
        <v>1.2897499999999993</v>
      </c>
      <c r="F176">
        <f>+E176-E196</f>
        <v>-0.15608333333333557</v>
      </c>
    </row>
    <row r="177" spans="1:4" x14ac:dyDescent="0.3">
      <c r="A177" s="17">
        <v>45807</v>
      </c>
      <c r="B177">
        <v>63.844999999999999</v>
      </c>
      <c r="C177">
        <v>62.24</v>
      </c>
      <c r="D177" s="5">
        <f t="shared" si="6"/>
        <v>1.6049999999999969</v>
      </c>
    </row>
    <row r="178" spans="1:4" x14ac:dyDescent="0.3">
      <c r="A178" s="17">
        <v>45806</v>
      </c>
      <c r="B178">
        <v>65.33</v>
      </c>
      <c r="C178">
        <v>63.66</v>
      </c>
      <c r="D178" s="5">
        <f t="shared" si="6"/>
        <v>1.6700000000000017</v>
      </c>
    </row>
    <row r="179" spans="1:4" x14ac:dyDescent="0.3">
      <c r="A179" s="17">
        <v>45805</v>
      </c>
      <c r="B179">
        <v>63.79</v>
      </c>
      <c r="C179">
        <v>62.28</v>
      </c>
      <c r="D179" s="5">
        <f t="shared" si="6"/>
        <v>1.509999999999998</v>
      </c>
    </row>
    <row r="180" spans="1:4" x14ac:dyDescent="0.3">
      <c r="A180" s="17">
        <v>45804</v>
      </c>
      <c r="B180">
        <v>64.010000000000005</v>
      </c>
      <c r="C180">
        <v>62.65</v>
      </c>
      <c r="D180" s="5">
        <f t="shared" si="6"/>
        <v>1.3600000000000065</v>
      </c>
    </row>
    <row r="181" spans="1:4" x14ac:dyDescent="0.3">
      <c r="A181" s="17">
        <v>45803</v>
      </c>
      <c r="B181">
        <v>63.75</v>
      </c>
      <c r="C181">
        <v>62.85</v>
      </c>
      <c r="D181" s="5">
        <f t="shared" si="6"/>
        <v>0.89999999999999858</v>
      </c>
    </row>
    <row r="182" spans="1:4" x14ac:dyDescent="0.3">
      <c r="A182" s="17">
        <v>45800</v>
      </c>
      <c r="B182">
        <v>63.2</v>
      </c>
      <c r="C182">
        <v>62.06</v>
      </c>
      <c r="D182" s="5">
        <f t="shared" si="6"/>
        <v>1.1400000000000006</v>
      </c>
    </row>
    <row r="183" spans="1:4" x14ac:dyDescent="0.3">
      <c r="A183" s="17">
        <v>45799</v>
      </c>
      <c r="B183">
        <v>63.72</v>
      </c>
      <c r="C183">
        <v>62.62</v>
      </c>
      <c r="D183" s="5">
        <f t="shared" si="6"/>
        <v>1.1000000000000014</v>
      </c>
    </row>
    <row r="184" spans="1:4" x14ac:dyDescent="0.3">
      <c r="A184" s="17">
        <v>45798</v>
      </c>
      <c r="B184">
        <v>66.05</v>
      </c>
      <c r="C184">
        <v>64.510000000000005</v>
      </c>
      <c r="D184" s="5">
        <f t="shared" si="6"/>
        <v>1.539999999999992</v>
      </c>
    </row>
    <row r="185" spans="1:4" x14ac:dyDescent="0.3">
      <c r="A185" s="17">
        <v>45797</v>
      </c>
      <c r="B185">
        <v>65.010000000000005</v>
      </c>
      <c r="C185">
        <v>63.74</v>
      </c>
      <c r="D185" s="5">
        <f t="shared" si="6"/>
        <v>1.2700000000000031</v>
      </c>
    </row>
    <row r="186" spans="1:4" x14ac:dyDescent="0.3">
      <c r="A186" s="17">
        <v>45796</v>
      </c>
      <c r="B186">
        <v>64.260000000000005</v>
      </c>
      <c r="C186">
        <v>63.17</v>
      </c>
      <c r="D186" s="5">
        <f t="shared" si="6"/>
        <v>1.0900000000000034</v>
      </c>
    </row>
    <row r="187" spans="1:4" x14ac:dyDescent="0.3">
      <c r="A187" s="17">
        <v>45793</v>
      </c>
      <c r="B187">
        <v>63.79</v>
      </c>
      <c r="C187">
        <v>62.72</v>
      </c>
      <c r="D187" s="5">
        <f t="shared" si="6"/>
        <v>1.0700000000000003</v>
      </c>
    </row>
    <row r="188" spans="1:4" x14ac:dyDescent="0.3">
      <c r="A188" s="17">
        <v>45792</v>
      </c>
      <c r="B188">
        <v>63.71</v>
      </c>
      <c r="C188">
        <v>62.5</v>
      </c>
      <c r="D188" s="5">
        <f t="shared" si="6"/>
        <v>1.2100000000000009</v>
      </c>
    </row>
    <row r="189" spans="1:4" x14ac:dyDescent="0.3">
      <c r="A189" s="17">
        <v>45791</v>
      </c>
      <c r="B189" s="22">
        <v>66</v>
      </c>
      <c r="C189">
        <v>64.930000000000007</v>
      </c>
      <c r="D189" s="5">
        <f t="shared" si="6"/>
        <v>1.0699999999999932</v>
      </c>
    </row>
    <row r="190" spans="1:4" x14ac:dyDescent="0.3">
      <c r="A190" s="17">
        <v>45790</v>
      </c>
      <c r="B190">
        <v>65.25</v>
      </c>
      <c r="C190">
        <v>63.89</v>
      </c>
      <c r="D190" s="5">
        <f t="shared" si="6"/>
        <v>1.3599999999999994</v>
      </c>
    </row>
    <row r="191" spans="1:4" x14ac:dyDescent="0.3">
      <c r="A191" s="17">
        <v>45786</v>
      </c>
      <c r="B191">
        <v>63.89</v>
      </c>
      <c r="C191">
        <v>62.42</v>
      </c>
      <c r="D191" s="5">
        <f t="shared" si="6"/>
        <v>1.4699999999999989</v>
      </c>
    </row>
    <row r="192" spans="1:4" x14ac:dyDescent="0.3">
      <c r="A192" s="17">
        <v>45785</v>
      </c>
      <c r="B192">
        <v>62.15</v>
      </c>
      <c r="C192">
        <v>60.73</v>
      </c>
      <c r="D192" s="5">
        <f t="shared" si="6"/>
        <v>1.4200000000000017</v>
      </c>
    </row>
    <row r="193" spans="1:6" x14ac:dyDescent="0.3">
      <c r="A193" s="17">
        <v>45784</v>
      </c>
      <c r="B193">
        <v>63.64</v>
      </c>
      <c r="C193">
        <v>62.11</v>
      </c>
      <c r="D193" s="5">
        <f t="shared" si="6"/>
        <v>1.5300000000000011</v>
      </c>
    </row>
    <row r="194" spans="1:6" x14ac:dyDescent="0.3">
      <c r="A194" s="17">
        <v>45783</v>
      </c>
      <c r="B194">
        <v>61.69</v>
      </c>
      <c r="C194">
        <v>60.45</v>
      </c>
      <c r="D194" s="5">
        <f t="shared" si="6"/>
        <v>1.2399999999999949</v>
      </c>
    </row>
    <row r="195" spans="1:6" x14ac:dyDescent="0.3">
      <c r="A195" s="17">
        <v>45782</v>
      </c>
      <c r="B195">
        <v>59.55</v>
      </c>
      <c r="C195">
        <v>58.67</v>
      </c>
      <c r="D195" s="5">
        <f t="shared" si="6"/>
        <v>0.87999999999999545</v>
      </c>
    </row>
    <row r="196" spans="1:6" x14ac:dyDescent="0.3">
      <c r="A196" s="17">
        <v>45779</v>
      </c>
      <c r="B196">
        <v>62.02</v>
      </c>
      <c r="C196">
        <v>61.07</v>
      </c>
      <c r="D196" s="5">
        <f t="shared" si="6"/>
        <v>0.95000000000000284</v>
      </c>
      <c r="E196">
        <f>+AVERAGE(D196:D213)</f>
        <v>1.4458333333333349</v>
      </c>
      <c r="F196">
        <f>+E196-E216</f>
        <v>-6.1166666666666591E-2</v>
      </c>
    </row>
    <row r="197" spans="1:6" x14ac:dyDescent="0.3">
      <c r="A197" s="17">
        <v>45777</v>
      </c>
      <c r="B197">
        <v>62.545000000000002</v>
      </c>
      <c r="C197">
        <v>61.85</v>
      </c>
      <c r="D197" s="5">
        <f t="shared" si="6"/>
        <v>0.69500000000000028</v>
      </c>
    </row>
    <row r="198" spans="1:6" x14ac:dyDescent="0.3">
      <c r="A198" s="17">
        <v>45776</v>
      </c>
      <c r="B198">
        <v>64.64</v>
      </c>
      <c r="C198">
        <v>64.150000000000006</v>
      </c>
      <c r="D198" s="5">
        <f t="shared" si="6"/>
        <v>0.48999999999999488</v>
      </c>
    </row>
    <row r="199" spans="1:6" x14ac:dyDescent="0.3">
      <c r="A199" s="17">
        <v>45775</v>
      </c>
      <c r="B199">
        <v>66.84</v>
      </c>
      <c r="C199">
        <v>65.66</v>
      </c>
      <c r="D199" s="5">
        <f t="shared" si="6"/>
        <v>1.1800000000000068</v>
      </c>
    </row>
    <row r="200" spans="1:6" x14ac:dyDescent="0.3">
      <c r="A200" s="17">
        <v>45772</v>
      </c>
      <c r="B200">
        <v>67.2</v>
      </c>
      <c r="C200">
        <v>65.790000000000006</v>
      </c>
      <c r="D200" s="5">
        <f t="shared" si="6"/>
        <v>1.4099999999999966</v>
      </c>
    </row>
    <row r="201" spans="1:6" x14ac:dyDescent="0.3">
      <c r="A201" s="17">
        <v>45771</v>
      </c>
      <c r="B201">
        <v>67.59</v>
      </c>
      <c r="C201">
        <v>65.8</v>
      </c>
      <c r="D201" s="5">
        <f t="shared" si="6"/>
        <v>1.7900000000000063</v>
      </c>
    </row>
    <row r="202" spans="1:6" x14ac:dyDescent="0.3">
      <c r="A202" s="17">
        <v>45770</v>
      </c>
      <c r="B202">
        <v>69.489999999999995</v>
      </c>
      <c r="C202">
        <v>67.77</v>
      </c>
      <c r="D202" s="5">
        <f t="shared" si="6"/>
        <v>1.7199999999999989</v>
      </c>
    </row>
    <row r="203" spans="1:6" x14ac:dyDescent="0.3">
      <c r="A203" s="17">
        <v>45769</v>
      </c>
      <c r="B203">
        <v>68.5</v>
      </c>
      <c r="C203">
        <v>66.67</v>
      </c>
      <c r="D203" s="5">
        <f t="shared" si="6"/>
        <v>1.8299999999999983</v>
      </c>
    </row>
    <row r="204" spans="1:6" x14ac:dyDescent="0.3">
      <c r="A204" s="17">
        <v>45768</v>
      </c>
      <c r="B204">
        <v>68.430000000000007</v>
      </c>
      <c r="C204">
        <v>66.540000000000006</v>
      </c>
      <c r="D204" s="5">
        <f t="shared" si="6"/>
        <v>1.8900000000000006</v>
      </c>
    </row>
    <row r="205" spans="1:6" x14ac:dyDescent="0.3">
      <c r="A205" s="17">
        <v>45764</v>
      </c>
      <c r="B205">
        <v>68.150000000000006</v>
      </c>
      <c r="C205">
        <v>66.33</v>
      </c>
      <c r="D205" s="5">
        <f t="shared" si="6"/>
        <v>1.8200000000000074</v>
      </c>
    </row>
    <row r="206" spans="1:6" x14ac:dyDescent="0.3">
      <c r="A206" s="17">
        <v>45763</v>
      </c>
      <c r="B206">
        <v>66.650000000000006</v>
      </c>
      <c r="C206">
        <v>64.64</v>
      </c>
      <c r="D206" s="5">
        <f t="shared" si="6"/>
        <v>2.0100000000000051</v>
      </c>
    </row>
    <row r="207" spans="1:6" x14ac:dyDescent="0.3">
      <c r="A207" s="17">
        <v>45762</v>
      </c>
      <c r="B207">
        <v>66.59</v>
      </c>
      <c r="C207">
        <v>64.790000000000006</v>
      </c>
      <c r="D207" s="5">
        <f t="shared" si="6"/>
        <v>1.7999999999999972</v>
      </c>
    </row>
    <row r="208" spans="1:6" x14ac:dyDescent="0.3">
      <c r="A208" s="17">
        <v>45761</v>
      </c>
      <c r="B208">
        <v>66.23</v>
      </c>
      <c r="C208">
        <v>64.7</v>
      </c>
      <c r="D208" s="5">
        <f t="shared" si="6"/>
        <v>1.5300000000000011</v>
      </c>
    </row>
    <row r="209" spans="1:6" x14ac:dyDescent="0.3">
      <c r="A209" s="17">
        <v>45758</v>
      </c>
      <c r="B209">
        <v>64.900000000000006</v>
      </c>
      <c r="C209">
        <v>63.46</v>
      </c>
      <c r="D209" s="5">
        <f t="shared" si="6"/>
        <v>1.4400000000000048</v>
      </c>
    </row>
    <row r="210" spans="1:6" x14ac:dyDescent="0.3">
      <c r="A210" s="17">
        <v>45757</v>
      </c>
      <c r="B210">
        <v>65.400000000000006</v>
      </c>
      <c r="C210">
        <v>63.79</v>
      </c>
      <c r="D210" s="5">
        <f t="shared" si="6"/>
        <v>1.6100000000000065</v>
      </c>
    </row>
    <row r="211" spans="1:6" x14ac:dyDescent="0.3">
      <c r="A211" s="17">
        <v>45756</v>
      </c>
      <c r="B211">
        <v>61.9</v>
      </c>
      <c r="C211">
        <v>60.65</v>
      </c>
      <c r="D211" s="5">
        <f t="shared" si="6"/>
        <v>1.25</v>
      </c>
    </row>
    <row r="212" spans="1:6" x14ac:dyDescent="0.3">
      <c r="A212" s="17">
        <v>45755</v>
      </c>
      <c r="B212">
        <v>65.2</v>
      </c>
      <c r="C212">
        <v>63.96</v>
      </c>
      <c r="D212" s="5">
        <f t="shared" si="6"/>
        <v>1.240000000000002</v>
      </c>
    </row>
    <row r="213" spans="1:6" x14ac:dyDescent="0.3">
      <c r="A213" s="17">
        <v>45754</v>
      </c>
      <c r="B213">
        <v>64.55</v>
      </c>
      <c r="C213">
        <v>63.18</v>
      </c>
      <c r="D213" s="5">
        <f t="shared" si="6"/>
        <v>1.3699999999999974</v>
      </c>
    </row>
    <row r="214" spans="1:6" x14ac:dyDescent="0.3">
      <c r="A214" s="17">
        <v>45751</v>
      </c>
      <c r="B214">
        <v>70.5</v>
      </c>
      <c r="C214">
        <v>68.25</v>
      </c>
      <c r="D214" s="5">
        <f t="shared" si="6"/>
        <v>2.25</v>
      </c>
    </row>
    <row r="215" spans="1:6" x14ac:dyDescent="0.3">
      <c r="A215" s="17">
        <v>45750</v>
      </c>
      <c r="B215">
        <v>75.099999999999994</v>
      </c>
      <c r="C215">
        <v>72.569999999999993</v>
      </c>
      <c r="D215" s="5">
        <f t="shared" si="6"/>
        <v>2.5300000000000011</v>
      </c>
    </row>
    <row r="216" spans="1:6" x14ac:dyDescent="0.3">
      <c r="A216" s="17">
        <v>45749</v>
      </c>
      <c r="B216">
        <v>76.14</v>
      </c>
      <c r="C216">
        <v>73.94</v>
      </c>
      <c r="D216" s="5">
        <f t="shared" si="6"/>
        <v>2.2000000000000028</v>
      </c>
      <c r="E216">
        <f>+AVERAGE(D216:D235)</f>
        <v>1.5070000000000014</v>
      </c>
      <c r="F216">
        <f>+E216-E238</f>
        <v>-1.7691111111111097</v>
      </c>
    </row>
    <row r="217" spans="1:6" x14ac:dyDescent="0.3">
      <c r="A217" s="17">
        <v>45748</v>
      </c>
      <c r="B217">
        <v>75.95</v>
      </c>
      <c r="C217">
        <v>74.069999999999993</v>
      </c>
      <c r="D217" s="5">
        <f t="shared" si="6"/>
        <v>1.8800000000000097</v>
      </c>
    </row>
    <row r="218" spans="1:6" x14ac:dyDescent="0.3">
      <c r="A218" s="17">
        <v>45744</v>
      </c>
      <c r="B218">
        <v>75.849999999999994</v>
      </c>
      <c r="C218">
        <v>73.63</v>
      </c>
      <c r="D218" s="5">
        <f t="shared" si="6"/>
        <v>2.2199999999999989</v>
      </c>
    </row>
    <row r="219" spans="1:6" x14ac:dyDescent="0.3">
      <c r="A219" s="17">
        <v>45743</v>
      </c>
      <c r="B219">
        <v>74.81</v>
      </c>
      <c r="C219">
        <v>73.22</v>
      </c>
      <c r="D219" s="5">
        <f t="shared" si="6"/>
        <v>1.5900000000000034</v>
      </c>
    </row>
    <row r="220" spans="1:6" x14ac:dyDescent="0.3">
      <c r="A220" s="17">
        <v>45742</v>
      </c>
      <c r="B220">
        <v>74.680000000000007</v>
      </c>
      <c r="C220">
        <v>72.959999999999994</v>
      </c>
      <c r="D220" s="5">
        <f t="shared" ref="D220:D283" si="7">+B220-C220</f>
        <v>1.7200000000000131</v>
      </c>
    </row>
    <row r="221" spans="1:6" x14ac:dyDescent="0.3">
      <c r="A221" s="17">
        <v>45741</v>
      </c>
      <c r="B221">
        <v>74.680000000000007</v>
      </c>
      <c r="C221">
        <v>73.13</v>
      </c>
      <c r="D221" s="5">
        <f t="shared" si="7"/>
        <v>1.5500000000000114</v>
      </c>
    </row>
    <row r="222" spans="1:6" x14ac:dyDescent="0.3">
      <c r="A222" s="17">
        <v>45740</v>
      </c>
      <c r="B222">
        <v>73.45</v>
      </c>
      <c r="C222">
        <v>72.33</v>
      </c>
      <c r="D222" s="5">
        <f t="shared" si="7"/>
        <v>1.1200000000000045</v>
      </c>
    </row>
    <row r="223" spans="1:6" x14ac:dyDescent="0.3">
      <c r="A223" s="17">
        <v>45737</v>
      </c>
      <c r="B223">
        <v>73.8</v>
      </c>
      <c r="C223">
        <v>72.239999999999995</v>
      </c>
      <c r="D223" s="5">
        <f t="shared" si="7"/>
        <v>1.5600000000000023</v>
      </c>
    </row>
    <row r="224" spans="1:6" x14ac:dyDescent="0.3">
      <c r="A224" s="17">
        <v>45736</v>
      </c>
      <c r="B224">
        <v>72.924999999999997</v>
      </c>
      <c r="C224">
        <v>71.47</v>
      </c>
      <c r="D224" s="5">
        <f t="shared" si="7"/>
        <v>1.4549999999999983</v>
      </c>
    </row>
    <row r="225" spans="1:6" x14ac:dyDescent="0.3">
      <c r="A225" s="17">
        <v>45735</v>
      </c>
      <c r="B225">
        <v>71.900000000000006</v>
      </c>
      <c r="C225">
        <v>70.260000000000005</v>
      </c>
      <c r="D225" s="5">
        <f t="shared" si="7"/>
        <v>1.6400000000000006</v>
      </c>
    </row>
    <row r="226" spans="1:6" x14ac:dyDescent="0.3">
      <c r="A226" s="17">
        <v>45734</v>
      </c>
      <c r="B226">
        <v>73.05</v>
      </c>
      <c r="C226">
        <v>71.430000000000007</v>
      </c>
      <c r="D226" s="5">
        <f t="shared" si="7"/>
        <v>1.6199999999999903</v>
      </c>
    </row>
    <row r="227" spans="1:6" x14ac:dyDescent="0.3">
      <c r="A227" s="17">
        <v>45733</v>
      </c>
      <c r="B227">
        <v>72.239999999999995</v>
      </c>
      <c r="C227">
        <v>70.739999999999995</v>
      </c>
      <c r="D227" s="5">
        <f t="shared" si="7"/>
        <v>1.5</v>
      </c>
    </row>
    <row r="228" spans="1:6" x14ac:dyDescent="0.3">
      <c r="A228" s="17">
        <v>45730</v>
      </c>
      <c r="B228">
        <v>71.55</v>
      </c>
      <c r="C228">
        <v>70.14</v>
      </c>
      <c r="D228" s="5">
        <f t="shared" si="7"/>
        <v>1.4099999999999966</v>
      </c>
    </row>
    <row r="229" spans="1:6" x14ac:dyDescent="0.3">
      <c r="A229" s="17">
        <v>45729</v>
      </c>
      <c r="B229">
        <v>72.06</v>
      </c>
      <c r="C229">
        <v>70.760000000000005</v>
      </c>
      <c r="D229" s="5">
        <f t="shared" si="7"/>
        <v>1.2999999999999972</v>
      </c>
    </row>
    <row r="230" spans="1:6" x14ac:dyDescent="0.3">
      <c r="A230" s="17">
        <v>45728</v>
      </c>
      <c r="B230">
        <v>70.650000000000006</v>
      </c>
      <c r="C230">
        <v>69.41</v>
      </c>
      <c r="D230" s="5">
        <f t="shared" si="7"/>
        <v>1.2400000000000091</v>
      </c>
    </row>
    <row r="231" spans="1:6" x14ac:dyDescent="0.3">
      <c r="A231" s="17">
        <v>45727</v>
      </c>
      <c r="B231">
        <v>70.510000000000005</v>
      </c>
      <c r="C231">
        <v>69.27</v>
      </c>
      <c r="D231" s="5">
        <f t="shared" si="7"/>
        <v>1.2400000000000091</v>
      </c>
    </row>
    <row r="232" spans="1:6" x14ac:dyDescent="0.3">
      <c r="A232" s="17">
        <v>45726</v>
      </c>
      <c r="B232">
        <v>71.405000000000001</v>
      </c>
      <c r="C232">
        <v>70.040000000000006</v>
      </c>
      <c r="D232" s="5">
        <f t="shared" si="7"/>
        <v>1.3649999999999949</v>
      </c>
    </row>
    <row r="233" spans="1:6" x14ac:dyDescent="0.3">
      <c r="A233" s="17">
        <v>45723</v>
      </c>
      <c r="B233">
        <v>70.849999999999994</v>
      </c>
      <c r="C233">
        <v>69.540000000000006</v>
      </c>
      <c r="D233" s="5">
        <f t="shared" si="7"/>
        <v>1.3099999999999881</v>
      </c>
    </row>
    <row r="234" spans="1:6" x14ac:dyDescent="0.3">
      <c r="A234" s="17">
        <v>45722</v>
      </c>
      <c r="B234">
        <v>70.239999999999995</v>
      </c>
      <c r="C234">
        <v>69.11</v>
      </c>
      <c r="D234" s="5">
        <f t="shared" si="7"/>
        <v>1.1299999999999955</v>
      </c>
    </row>
    <row r="235" spans="1:6" x14ac:dyDescent="0.3">
      <c r="A235" s="17">
        <v>45721</v>
      </c>
      <c r="B235">
        <v>71.400000000000006</v>
      </c>
      <c r="C235">
        <v>70.31</v>
      </c>
      <c r="D235" s="5">
        <f t="shared" si="7"/>
        <v>1.0900000000000034</v>
      </c>
    </row>
    <row r="236" spans="1:6" x14ac:dyDescent="0.3">
      <c r="A236" s="17">
        <v>45720</v>
      </c>
      <c r="B236">
        <v>70.45</v>
      </c>
      <c r="C236">
        <v>69.790000000000006</v>
      </c>
      <c r="D236" s="5">
        <f t="shared" si="7"/>
        <v>0.65999999999999659</v>
      </c>
    </row>
    <row r="237" spans="1:6" x14ac:dyDescent="0.3">
      <c r="A237" s="17">
        <v>45719</v>
      </c>
      <c r="B237">
        <v>73.25</v>
      </c>
      <c r="C237">
        <v>72.03</v>
      </c>
      <c r="D237" s="5">
        <f t="shared" si="7"/>
        <v>1.2199999999999989</v>
      </c>
    </row>
    <row r="238" spans="1:6" x14ac:dyDescent="0.3">
      <c r="A238" s="17">
        <v>45716</v>
      </c>
      <c r="B238">
        <v>77.5</v>
      </c>
      <c r="C238">
        <v>73.31</v>
      </c>
      <c r="D238" s="5">
        <f t="shared" si="7"/>
        <v>4.1899999999999977</v>
      </c>
      <c r="E238">
        <f>+AVERAGE(D238:D255)</f>
        <v>3.2761111111111112</v>
      </c>
      <c r="F238">
        <f>+E238-E257</f>
        <v>-0.3241520467836243</v>
      </c>
    </row>
    <row r="239" spans="1:6" x14ac:dyDescent="0.3">
      <c r="A239" s="17">
        <v>45715</v>
      </c>
      <c r="B239" s="22">
        <v>76</v>
      </c>
      <c r="C239">
        <v>72.62</v>
      </c>
      <c r="D239" s="5">
        <f t="shared" si="7"/>
        <v>3.3799999999999955</v>
      </c>
    </row>
    <row r="240" spans="1:6" x14ac:dyDescent="0.3">
      <c r="A240" s="17">
        <v>45714</v>
      </c>
      <c r="B240">
        <v>76.290000000000006</v>
      </c>
      <c r="C240">
        <v>73.11</v>
      </c>
      <c r="D240" s="5">
        <f t="shared" si="7"/>
        <v>3.1800000000000068</v>
      </c>
    </row>
    <row r="241" spans="1:4" x14ac:dyDescent="0.3">
      <c r="A241" s="17">
        <v>45713</v>
      </c>
      <c r="B241">
        <v>77.795000000000002</v>
      </c>
      <c r="C241">
        <v>74.62</v>
      </c>
      <c r="D241" s="5">
        <f t="shared" si="7"/>
        <v>3.1749999999999972</v>
      </c>
    </row>
    <row r="242" spans="1:4" x14ac:dyDescent="0.3">
      <c r="A242" s="17">
        <v>45712</v>
      </c>
      <c r="B242" s="22">
        <v>77</v>
      </c>
      <c r="C242">
        <v>74.09</v>
      </c>
      <c r="D242" s="5">
        <f t="shared" si="7"/>
        <v>2.9099999999999966</v>
      </c>
    </row>
    <row r="243" spans="1:4" x14ac:dyDescent="0.3">
      <c r="A243" s="17">
        <v>45709</v>
      </c>
      <c r="B243">
        <v>78.84</v>
      </c>
      <c r="C243">
        <v>75.73</v>
      </c>
      <c r="D243" s="5">
        <f t="shared" si="7"/>
        <v>3.1099999999999994</v>
      </c>
    </row>
    <row r="244" spans="1:4" x14ac:dyDescent="0.3">
      <c r="A244" s="17">
        <v>45708</v>
      </c>
      <c r="B244">
        <v>78.944999999999993</v>
      </c>
      <c r="C244">
        <v>75.89</v>
      </c>
      <c r="D244" s="5">
        <f t="shared" si="7"/>
        <v>3.0549999999999926</v>
      </c>
    </row>
    <row r="245" spans="1:4" x14ac:dyDescent="0.3">
      <c r="A245" s="17">
        <v>45707</v>
      </c>
      <c r="B245">
        <v>79.39</v>
      </c>
      <c r="C245">
        <v>75.959999999999994</v>
      </c>
      <c r="D245" s="5">
        <f t="shared" si="7"/>
        <v>3.4300000000000068</v>
      </c>
    </row>
    <row r="246" spans="1:4" x14ac:dyDescent="0.3">
      <c r="A246" s="17">
        <v>45706</v>
      </c>
      <c r="B246">
        <v>77.89</v>
      </c>
      <c r="C246">
        <v>75.05</v>
      </c>
      <c r="D246" s="5">
        <f t="shared" si="7"/>
        <v>2.8400000000000034</v>
      </c>
    </row>
    <row r="247" spans="1:4" x14ac:dyDescent="0.3">
      <c r="A247" s="17">
        <v>45705</v>
      </c>
      <c r="B247">
        <v>77.55</v>
      </c>
      <c r="C247">
        <v>74.569999999999993</v>
      </c>
      <c r="D247" s="5">
        <f t="shared" si="7"/>
        <v>2.980000000000004</v>
      </c>
    </row>
    <row r="248" spans="1:4" x14ac:dyDescent="0.3">
      <c r="A248" s="17">
        <v>45702</v>
      </c>
      <c r="B248">
        <v>77.75</v>
      </c>
      <c r="C248">
        <v>74.64</v>
      </c>
      <c r="D248" s="5">
        <f t="shared" si="7"/>
        <v>3.1099999999999994</v>
      </c>
    </row>
    <row r="249" spans="1:4" x14ac:dyDescent="0.3">
      <c r="A249" s="17">
        <v>45701</v>
      </c>
      <c r="B249">
        <v>76.989999999999995</v>
      </c>
      <c r="C249">
        <v>73.819999999999993</v>
      </c>
      <c r="D249" s="5">
        <f t="shared" si="7"/>
        <v>3.1700000000000017</v>
      </c>
    </row>
    <row r="250" spans="1:4" x14ac:dyDescent="0.3">
      <c r="A250" s="17">
        <v>45700</v>
      </c>
      <c r="B250">
        <v>79.040000000000006</v>
      </c>
      <c r="C250">
        <v>75.7</v>
      </c>
      <c r="D250" s="5">
        <f t="shared" si="7"/>
        <v>3.3400000000000034</v>
      </c>
    </row>
    <row r="251" spans="1:4" x14ac:dyDescent="0.3">
      <c r="A251" s="17">
        <v>45699</v>
      </c>
      <c r="B251">
        <v>79.290000000000006</v>
      </c>
      <c r="C251">
        <v>75.97</v>
      </c>
      <c r="D251" s="5">
        <f t="shared" si="7"/>
        <v>3.3200000000000074</v>
      </c>
    </row>
    <row r="252" spans="1:4" x14ac:dyDescent="0.3">
      <c r="A252" s="17">
        <v>45698</v>
      </c>
      <c r="B252">
        <v>77.989999999999995</v>
      </c>
      <c r="C252">
        <v>74.650000000000006</v>
      </c>
      <c r="D252" s="5">
        <f t="shared" si="7"/>
        <v>3.3399999999999892</v>
      </c>
    </row>
    <row r="253" spans="1:4" x14ac:dyDescent="0.3">
      <c r="A253" s="17">
        <v>45695</v>
      </c>
      <c r="B253">
        <v>77.790000000000006</v>
      </c>
      <c r="C253">
        <v>74.45</v>
      </c>
      <c r="D253" s="5">
        <f t="shared" si="7"/>
        <v>3.3400000000000034</v>
      </c>
    </row>
    <row r="254" spans="1:4" x14ac:dyDescent="0.3">
      <c r="A254" s="17">
        <v>45694</v>
      </c>
      <c r="B254">
        <v>77.44</v>
      </c>
      <c r="C254">
        <v>73.900000000000006</v>
      </c>
      <c r="D254" s="5">
        <f t="shared" si="7"/>
        <v>3.539999999999992</v>
      </c>
    </row>
    <row r="255" spans="1:4" x14ac:dyDescent="0.3">
      <c r="A255" s="17">
        <v>45693</v>
      </c>
      <c r="B255">
        <v>78.41</v>
      </c>
      <c r="C255">
        <v>74.849999999999994</v>
      </c>
      <c r="D255" s="5">
        <f t="shared" si="7"/>
        <v>3.5600000000000023</v>
      </c>
    </row>
    <row r="256" spans="1:4" x14ac:dyDescent="0.3">
      <c r="A256" s="17">
        <v>45692</v>
      </c>
      <c r="B256">
        <v>77.444999999999993</v>
      </c>
      <c r="C256">
        <v>74.040000000000006</v>
      </c>
      <c r="D256" s="5">
        <f t="shared" si="7"/>
        <v>3.4049999999999869</v>
      </c>
    </row>
    <row r="257" spans="1:6" x14ac:dyDescent="0.3">
      <c r="A257" s="17">
        <v>45691</v>
      </c>
      <c r="B257">
        <v>79.06</v>
      </c>
      <c r="C257">
        <v>75.3</v>
      </c>
      <c r="D257" s="5">
        <f t="shared" si="7"/>
        <v>3.7600000000000051</v>
      </c>
      <c r="E257">
        <f>+AVERAGE(D257:D275)</f>
        <v>3.6002631578947355</v>
      </c>
      <c r="F257">
        <f>+E257-E277</f>
        <v>2.4334210526315792</v>
      </c>
    </row>
    <row r="258" spans="1:6" x14ac:dyDescent="0.3">
      <c r="A258" s="17">
        <v>45688</v>
      </c>
      <c r="B258">
        <v>79.894999999999996</v>
      </c>
      <c r="C258">
        <v>75.62</v>
      </c>
      <c r="D258" s="5">
        <f t="shared" si="7"/>
        <v>4.2749999999999915</v>
      </c>
    </row>
    <row r="259" spans="1:6" x14ac:dyDescent="0.3">
      <c r="A259" s="17">
        <v>45685</v>
      </c>
      <c r="B259">
        <v>81.25</v>
      </c>
      <c r="C259">
        <v>76.42</v>
      </c>
      <c r="D259" s="5">
        <f t="shared" si="7"/>
        <v>4.8299999999999983</v>
      </c>
    </row>
    <row r="260" spans="1:6" x14ac:dyDescent="0.3">
      <c r="A260" s="17">
        <v>45684</v>
      </c>
      <c r="B260">
        <v>81.58</v>
      </c>
      <c r="C260" s="22">
        <v>77</v>
      </c>
      <c r="D260" s="5">
        <f t="shared" si="7"/>
        <v>4.5799999999999983</v>
      </c>
    </row>
    <row r="261" spans="1:6" x14ac:dyDescent="0.3">
      <c r="A261" s="17">
        <v>45681</v>
      </c>
      <c r="B261">
        <v>81.84</v>
      </c>
      <c r="C261">
        <v>77.37</v>
      </c>
      <c r="D261" s="5">
        <f t="shared" si="7"/>
        <v>4.4699999999999989</v>
      </c>
    </row>
    <row r="262" spans="1:6" x14ac:dyDescent="0.3">
      <c r="A262" s="17">
        <v>45680</v>
      </c>
      <c r="B262">
        <v>82.12</v>
      </c>
      <c r="C262">
        <v>77.900000000000006</v>
      </c>
      <c r="D262" s="5">
        <f t="shared" si="7"/>
        <v>4.2199999999999989</v>
      </c>
    </row>
    <row r="263" spans="1:6" x14ac:dyDescent="0.3">
      <c r="A263" s="17">
        <v>45679</v>
      </c>
      <c r="B263">
        <v>82.2</v>
      </c>
      <c r="C263">
        <v>77.75</v>
      </c>
      <c r="D263" s="5">
        <f t="shared" si="7"/>
        <v>4.4500000000000028</v>
      </c>
    </row>
    <row r="264" spans="1:6" x14ac:dyDescent="0.3">
      <c r="A264" s="17">
        <v>45678</v>
      </c>
      <c r="B264">
        <v>83.07</v>
      </c>
      <c r="C264">
        <v>78.44</v>
      </c>
      <c r="D264" s="5">
        <f t="shared" si="7"/>
        <v>4.6299999999999955</v>
      </c>
    </row>
    <row r="265" spans="1:6" x14ac:dyDescent="0.3">
      <c r="A265" s="17">
        <v>45677</v>
      </c>
      <c r="B265">
        <v>83.55</v>
      </c>
      <c r="C265">
        <v>78.83</v>
      </c>
      <c r="D265" s="5">
        <f t="shared" si="7"/>
        <v>4.7199999999999989</v>
      </c>
    </row>
    <row r="266" spans="1:6" x14ac:dyDescent="0.3">
      <c r="A266" s="17">
        <v>45674</v>
      </c>
      <c r="B266">
        <v>84.6</v>
      </c>
      <c r="C266">
        <v>79.56</v>
      </c>
      <c r="D266" s="5">
        <f t="shared" si="7"/>
        <v>5.039999999999992</v>
      </c>
    </row>
    <row r="267" spans="1:6" x14ac:dyDescent="0.3">
      <c r="A267" s="17">
        <v>45673</v>
      </c>
      <c r="B267">
        <v>84.55</v>
      </c>
      <c r="C267">
        <v>79.819999999999993</v>
      </c>
      <c r="D267" s="5">
        <f t="shared" si="7"/>
        <v>4.730000000000004</v>
      </c>
    </row>
    <row r="268" spans="1:6" x14ac:dyDescent="0.3">
      <c r="A268" s="17">
        <v>45672</v>
      </c>
      <c r="B268">
        <v>82.254999999999995</v>
      </c>
      <c r="C268">
        <v>78.400000000000006</v>
      </c>
      <c r="D268" s="5">
        <f t="shared" si="7"/>
        <v>3.8549999999999898</v>
      </c>
    </row>
    <row r="269" spans="1:6" x14ac:dyDescent="0.3">
      <c r="A269" s="17">
        <v>45671</v>
      </c>
      <c r="B269">
        <v>82.25</v>
      </c>
      <c r="C269">
        <v>78.55</v>
      </c>
      <c r="D269" s="5">
        <f t="shared" si="7"/>
        <v>3.7000000000000028</v>
      </c>
    </row>
    <row r="270" spans="1:6" x14ac:dyDescent="0.3">
      <c r="A270" s="17">
        <v>45670</v>
      </c>
      <c r="B270">
        <v>82.39</v>
      </c>
      <c r="C270">
        <v>79.38</v>
      </c>
      <c r="D270" s="5">
        <f t="shared" si="7"/>
        <v>3.0100000000000051</v>
      </c>
    </row>
    <row r="271" spans="1:6" x14ac:dyDescent="0.3">
      <c r="A271" s="17">
        <v>45667</v>
      </c>
      <c r="B271">
        <v>77.94</v>
      </c>
      <c r="C271">
        <v>76.22</v>
      </c>
      <c r="D271" s="5">
        <f t="shared" si="7"/>
        <v>1.7199999999999989</v>
      </c>
    </row>
    <row r="272" spans="1:6" x14ac:dyDescent="0.3">
      <c r="A272" s="17">
        <v>45666</v>
      </c>
      <c r="B272">
        <v>76.444999999999993</v>
      </c>
      <c r="C272">
        <v>74.83</v>
      </c>
      <c r="D272" s="5">
        <f t="shared" si="7"/>
        <v>1.6149999999999949</v>
      </c>
    </row>
    <row r="273" spans="1:6" x14ac:dyDescent="0.3">
      <c r="A273" s="17">
        <v>45665</v>
      </c>
      <c r="B273">
        <v>77.66</v>
      </c>
      <c r="C273">
        <v>76.05</v>
      </c>
      <c r="D273" s="5">
        <f t="shared" si="7"/>
        <v>1.6099999999999994</v>
      </c>
    </row>
    <row r="274" spans="1:6" x14ac:dyDescent="0.3">
      <c r="A274" s="17">
        <v>45664</v>
      </c>
      <c r="B274">
        <v>76.319999999999993</v>
      </c>
      <c r="C274">
        <v>74.72</v>
      </c>
      <c r="D274" s="5">
        <f t="shared" si="7"/>
        <v>1.5999999999999943</v>
      </c>
    </row>
    <row r="275" spans="1:6" x14ac:dyDescent="0.3">
      <c r="A275" s="17">
        <v>45663</v>
      </c>
      <c r="B275">
        <v>76.56</v>
      </c>
      <c r="C275">
        <v>74.97</v>
      </c>
      <c r="D275" s="5">
        <f t="shared" si="7"/>
        <v>1.5900000000000034</v>
      </c>
    </row>
    <row r="276" spans="1:6" x14ac:dyDescent="0.3">
      <c r="A276" s="17">
        <v>45660</v>
      </c>
      <c r="B276">
        <v>76.52</v>
      </c>
      <c r="C276">
        <v>74.86</v>
      </c>
      <c r="D276" s="5">
        <f t="shared" si="7"/>
        <v>1.6599999999999966</v>
      </c>
    </row>
    <row r="277" spans="1:6" x14ac:dyDescent="0.3">
      <c r="A277" s="17">
        <v>45659</v>
      </c>
      <c r="B277">
        <v>75.2</v>
      </c>
      <c r="C277">
        <v>73.72</v>
      </c>
      <c r="D277" s="5">
        <f t="shared" si="7"/>
        <v>1.480000000000004</v>
      </c>
      <c r="E277">
        <f>+AVERAGE(D277:D295)</f>
        <v>1.1668421052631566</v>
      </c>
      <c r="F277">
        <f>+E277-E298</f>
        <v>0.47959210526315632</v>
      </c>
    </row>
    <row r="278" spans="1:6" x14ac:dyDescent="0.3">
      <c r="A278" s="17">
        <v>45657</v>
      </c>
      <c r="B278">
        <v>75.95</v>
      </c>
      <c r="C278">
        <v>74.06</v>
      </c>
      <c r="D278" s="5">
        <f t="shared" si="7"/>
        <v>1.8900000000000006</v>
      </c>
    </row>
    <row r="279" spans="1:6" x14ac:dyDescent="0.3">
      <c r="A279" s="17">
        <v>45656</v>
      </c>
      <c r="B279">
        <v>75.34</v>
      </c>
      <c r="C279">
        <v>73.14</v>
      </c>
      <c r="D279" s="5">
        <f t="shared" si="7"/>
        <v>2.2000000000000028</v>
      </c>
    </row>
    <row r="280" spans="1:6" x14ac:dyDescent="0.3">
      <c r="A280" s="17">
        <v>45653</v>
      </c>
      <c r="B280">
        <v>74.66</v>
      </c>
      <c r="C280">
        <v>72.39</v>
      </c>
      <c r="D280" s="5">
        <f t="shared" si="7"/>
        <v>2.269999999999996</v>
      </c>
    </row>
    <row r="281" spans="1:6" x14ac:dyDescent="0.3">
      <c r="A281" s="17">
        <v>45652</v>
      </c>
      <c r="B281">
        <v>74.55</v>
      </c>
      <c r="C281">
        <v>72.989999999999995</v>
      </c>
      <c r="D281" s="5">
        <f t="shared" si="7"/>
        <v>1.5600000000000023</v>
      </c>
    </row>
    <row r="282" spans="1:6" x14ac:dyDescent="0.3">
      <c r="A282" s="17">
        <v>45650</v>
      </c>
      <c r="B282">
        <v>73.290000000000006</v>
      </c>
      <c r="C282">
        <v>72.180000000000007</v>
      </c>
      <c r="D282" s="5">
        <f t="shared" si="7"/>
        <v>1.1099999999999994</v>
      </c>
    </row>
    <row r="283" spans="1:6" x14ac:dyDescent="0.3">
      <c r="A283" s="17">
        <v>45649</v>
      </c>
      <c r="B283">
        <v>73.34</v>
      </c>
      <c r="C283">
        <v>72.260000000000005</v>
      </c>
      <c r="D283" s="5">
        <f t="shared" si="7"/>
        <v>1.0799999999999983</v>
      </c>
    </row>
    <row r="284" spans="1:6" x14ac:dyDescent="0.3">
      <c r="A284" s="17">
        <v>45646</v>
      </c>
      <c r="B284">
        <v>72.644999999999996</v>
      </c>
      <c r="C284">
        <v>71.69</v>
      </c>
      <c r="D284" s="5">
        <f t="shared" ref="D284:D347" si="8">+B284-C284</f>
        <v>0.95499999999999829</v>
      </c>
    </row>
    <row r="285" spans="1:6" x14ac:dyDescent="0.3">
      <c r="A285" s="17">
        <v>45645</v>
      </c>
      <c r="B285">
        <v>72.86</v>
      </c>
      <c r="C285">
        <v>71.92</v>
      </c>
      <c r="D285" s="5">
        <f t="shared" si="8"/>
        <v>0.93999999999999773</v>
      </c>
    </row>
    <row r="286" spans="1:6" x14ac:dyDescent="0.3">
      <c r="A286" s="17">
        <v>45644</v>
      </c>
      <c r="B286">
        <v>73.599999999999994</v>
      </c>
      <c r="C286">
        <v>72.64</v>
      </c>
      <c r="D286" s="5">
        <f t="shared" si="8"/>
        <v>0.95999999999999375</v>
      </c>
    </row>
    <row r="287" spans="1:6" x14ac:dyDescent="0.3">
      <c r="A287" s="17">
        <v>45643</v>
      </c>
      <c r="B287">
        <v>73.55</v>
      </c>
      <c r="C287">
        <v>72.599999999999994</v>
      </c>
      <c r="D287" s="5">
        <f t="shared" si="8"/>
        <v>0.95000000000000284</v>
      </c>
    </row>
    <row r="288" spans="1:6" x14ac:dyDescent="0.3">
      <c r="A288" s="17">
        <v>45642</v>
      </c>
      <c r="B288">
        <v>74.16</v>
      </c>
      <c r="C288">
        <v>73.209999999999994</v>
      </c>
      <c r="D288" s="5">
        <f t="shared" si="8"/>
        <v>0.95000000000000284</v>
      </c>
    </row>
    <row r="289" spans="1:6" x14ac:dyDescent="0.3">
      <c r="A289" s="17">
        <v>45639</v>
      </c>
      <c r="B289">
        <v>73.459999999999994</v>
      </c>
      <c r="C289">
        <v>72.540000000000006</v>
      </c>
      <c r="D289" s="5">
        <f t="shared" si="8"/>
        <v>0.91999999999998749</v>
      </c>
    </row>
    <row r="290" spans="1:6" x14ac:dyDescent="0.3">
      <c r="A290" s="17">
        <v>45638</v>
      </c>
      <c r="B290">
        <v>73.66</v>
      </c>
      <c r="C290">
        <v>72.69</v>
      </c>
      <c r="D290" s="5">
        <f t="shared" si="8"/>
        <v>0.96999999999999886</v>
      </c>
    </row>
    <row r="291" spans="1:6" x14ac:dyDescent="0.3">
      <c r="A291" s="17">
        <v>45637</v>
      </c>
      <c r="B291">
        <v>72.224999999999994</v>
      </c>
      <c r="C291">
        <v>71.47</v>
      </c>
      <c r="D291" s="5">
        <f t="shared" si="8"/>
        <v>0.75499999999999545</v>
      </c>
    </row>
    <row r="292" spans="1:6" x14ac:dyDescent="0.3">
      <c r="A292" s="17">
        <v>45636</v>
      </c>
      <c r="B292">
        <v>71.67</v>
      </c>
      <c r="C292">
        <v>70.98</v>
      </c>
      <c r="D292" s="5">
        <f t="shared" si="8"/>
        <v>0.68999999999999773</v>
      </c>
    </row>
    <row r="293" spans="1:6" x14ac:dyDescent="0.3">
      <c r="A293" s="17">
        <v>45635</v>
      </c>
      <c r="B293">
        <v>71.760000000000005</v>
      </c>
      <c r="C293">
        <v>70.98</v>
      </c>
      <c r="D293" s="5">
        <f t="shared" si="8"/>
        <v>0.78000000000000114</v>
      </c>
    </row>
    <row r="294" spans="1:6" x14ac:dyDescent="0.3">
      <c r="A294" s="17">
        <v>45632</v>
      </c>
      <c r="B294">
        <v>71.709999999999994</v>
      </c>
      <c r="C294">
        <v>70.88</v>
      </c>
      <c r="D294" s="5">
        <f t="shared" si="8"/>
        <v>0.82999999999999829</v>
      </c>
    </row>
    <row r="295" spans="1:6" x14ac:dyDescent="0.3">
      <c r="A295" s="17">
        <v>45631</v>
      </c>
      <c r="B295">
        <v>72.099999999999994</v>
      </c>
      <c r="C295">
        <v>71.22</v>
      </c>
      <c r="D295" s="5">
        <f t="shared" si="8"/>
        <v>0.87999999999999545</v>
      </c>
    </row>
    <row r="296" spans="1:6" x14ac:dyDescent="0.3">
      <c r="A296" s="17">
        <v>45630</v>
      </c>
      <c r="B296">
        <v>73.394999999999996</v>
      </c>
      <c r="C296">
        <v>72.53</v>
      </c>
      <c r="D296" s="5">
        <f t="shared" si="8"/>
        <v>0.86499999999999488</v>
      </c>
    </row>
    <row r="297" spans="1:6" x14ac:dyDescent="0.3">
      <c r="A297" s="17">
        <v>45629</v>
      </c>
      <c r="B297">
        <v>71.89</v>
      </c>
      <c r="C297">
        <v>71.13</v>
      </c>
      <c r="D297" s="5">
        <f t="shared" si="8"/>
        <v>0.76000000000000512</v>
      </c>
    </row>
    <row r="298" spans="1:6" x14ac:dyDescent="0.3">
      <c r="A298" s="17">
        <v>45628</v>
      </c>
      <c r="B298">
        <v>72.099999999999994</v>
      </c>
      <c r="C298">
        <v>71.13</v>
      </c>
      <c r="D298" s="5">
        <f t="shared" si="8"/>
        <v>0.96999999999999886</v>
      </c>
      <c r="E298">
        <f>+AVERAGE(D298:D317)</f>
        <v>0.68725000000000025</v>
      </c>
      <c r="F298">
        <f>+E298-E319</f>
        <v>-0.83590789473684246</v>
      </c>
    </row>
    <row r="299" spans="1:6" x14ac:dyDescent="0.3">
      <c r="A299" s="17">
        <v>45625</v>
      </c>
      <c r="B299">
        <v>72.349999999999994</v>
      </c>
      <c r="C299">
        <v>71.83</v>
      </c>
      <c r="D299" s="5">
        <f t="shared" si="8"/>
        <v>0.51999999999999602</v>
      </c>
    </row>
    <row r="300" spans="1:6" x14ac:dyDescent="0.3">
      <c r="A300" s="17">
        <v>45624</v>
      </c>
      <c r="B300">
        <v>71.849999999999994</v>
      </c>
      <c r="C300">
        <v>70.87</v>
      </c>
      <c r="D300" s="5">
        <f t="shared" si="8"/>
        <v>0.97999999999998977</v>
      </c>
    </row>
    <row r="301" spans="1:6" x14ac:dyDescent="0.3">
      <c r="A301" s="17">
        <v>45623</v>
      </c>
      <c r="B301">
        <v>72.25</v>
      </c>
      <c r="C301">
        <v>71.569999999999993</v>
      </c>
      <c r="D301" s="5">
        <f t="shared" si="8"/>
        <v>0.68000000000000682</v>
      </c>
    </row>
    <row r="302" spans="1:6" x14ac:dyDescent="0.3">
      <c r="A302" s="17">
        <v>45622</v>
      </c>
      <c r="B302">
        <v>72.510000000000005</v>
      </c>
      <c r="C302">
        <v>71.760000000000005</v>
      </c>
      <c r="D302" s="5">
        <f t="shared" si="8"/>
        <v>0.75</v>
      </c>
    </row>
    <row r="303" spans="1:6" x14ac:dyDescent="0.3">
      <c r="A303" s="17">
        <v>45621</v>
      </c>
      <c r="B303">
        <v>73.540000000000006</v>
      </c>
      <c r="C303">
        <v>72.72</v>
      </c>
      <c r="D303" s="5">
        <f t="shared" si="8"/>
        <v>0.82000000000000739</v>
      </c>
    </row>
    <row r="304" spans="1:6" x14ac:dyDescent="0.3">
      <c r="A304" s="17">
        <v>45618</v>
      </c>
      <c r="B304">
        <v>74.150000000000006</v>
      </c>
      <c r="C304">
        <v>73.25</v>
      </c>
      <c r="D304" s="5">
        <f t="shared" si="8"/>
        <v>0.90000000000000568</v>
      </c>
    </row>
    <row r="305" spans="1:6" x14ac:dyDescent="0.3">
      <c r="A305" s="17">
        <v>45617</v>
      </c>
      <c r="B305">
        <v>72.83</v>
      </c>
      <c r="C305">
        <v>72.13</v>
      </c>
      <c r="D305" s="5">
        <f t="shared" si="8"/>
        <v>0.70000000000000284</v>
      </c>
    </row>
    <row r="306" spans="1:6" x14ac:dyDescent="0.3">
      <c r="A306" s="17">
        <v>45616</v>
      </c>
      <c r="B306">
        <v>72.849999999999994</v>
      </c>
      <c r="C306">
        <v>72.08</v>
      </c>
      <c r="D306" s="5">
        <f t="shared" si="8"/>
        <v>0.76999999999999602</v>
      </c>
    </row>
    <row r="307" spans="1:6" x14ac:dyDescent="0.3">
      <c r="A307" s="17">
        <v>45615</v>
      </c>
      <c r="B307">
        <v>72.260000000000005</v>
      </c>
      <c r="C307">
        <v>71.75</v>
      </c>
      <c r="D307" s="5">
        <f t="shared" si="8"/>
        <v>0.51000000000000512</v>
      </c>
    </row>
    <row r="308" spans="1:6" x14ac:dyDescent="0.3">
      <c r="A308" s="17">
        <v>45614</v>
      </c>
      <c r="B308">
        <v>70.504999999999995</v>
      </c>
      <c r="C308">
        <v>69.98</v>
      </c>
      <c r="D308" s="5">
        <f t="shared" si="8"/>
        <v>0.52499999999999147</v>
      </c>
    </row>
    <row r="309" spans="1:6" x14ac:dyDescent="0.3">
      <c r="A309" s="17">
        <v>45611</v>
      </c>
      <c r="B309">
        <v>70.739999999999995</v>
      </c>
      <c r="C309">
        <v>70.2</v>
      </c>
      <c r="D309" s="5">
        <f t="shared" si="8"/>
        <v>0.53999999999999204</v>
      </c>
    </row>
    <row r="310" spans="1:6" x14ac:dyDescent="0.3">
      <c r="A310" s="17">
        <v>45610</v>
      </c>
      <c r="B310">
        <v>71.42</v>
      </c>
      <c r="C310">
        <v>70.81</v>
      </c>
      <c r="D310" s="5">
        <f t="shared" si="8"/>
        <v>0.60999999999999943</v>
      </c>
    </row>
    <row r="311" spans="1:6" x14ac:dyDescent="0.3">
      <c r="A311" s="17">
        <v>45609</v>
      </c>
      <c r="B311">
        <v>71.144999999999996</v>
      </c>
      <c r="C311">
        <v>70.59</v>
      </c>
      <c r="D311" s="5">
        <f t="shared" si="8"/>
        <v>0.55499999999999261</v>
      </c>
    </row>
    <row r="312" spans="1:6" x14ac:dyDescent="0.3">
      <c r="A312" s="17">
        <v>45608</v>
      </c>
      <c r="B312">
        <v>71.08</v>
      </c>
      <c r="C312">
        <v>70.55</v>
      </c>
      <c r="D312" s="5">
        <f t="shared" si="8"/>
        <v>0.53000000000000114</v>
      </c>
    </row>
    <row r="313" spans="1:6" x14ac:dyDescent="0.3">
      <c r="A313" s="17">
        <v>45607</v>
      </c>
      <c r="B313">
        <v>73.09</v>
      </c>
      <c r="C313">
        <v>72.41</v>
      </c>
      <c r="D313" s="5">
        <f t="shared" si="8"/>
        <v>0.68000000000000682</v>
      </c>
    </row>
    <row r="314" spans="1:6" x14ac:dyDescent="0.3">
      <c r="A314" s="17">
        <v>45604</v>
      </c>
      <c r="B314">
        <v>73.849999999999994</v>
      </c>
      <c r="C314">
        <v>73.209999999999994</v>
      </c>
      <c r="D314" s="5">
        <f t="shared" si="8"/>
        <v>0.64000000000000057</v>
      </c>
    </row>
    <row r="315" spans="1:6" x14ac:dyDescent="0.3">
      <c r="A315" s="17">
        <v>45603</v>
      </c>
      <c r="B315">
        <v>74.010000000000005</v>
      </c>
      <c r="C315">
        <v>73.36</v>
      </c>
      <c r="D315" s="5">
        <f t="shared" si="8"/>
        <v>0.65000000000000568</v>
      </c>
    </row>
    <row r="316" spans="1:6" x14ac:dyDescent="0.3">
      <c r="A316" s="17">
        <v>45602</v>
      </c>
      <c r="B316">
        <v>73.295000000000002</v>
      </c>
      <c r="C316">
        <v>72.5</v>
      </c>
      <c r="D316" s="5">
        <f t="shared" si="8"/>
        <v>0.79500000000000171</v>
      </c>
    </row>
    <row r="317" spans="1:6" x14ac:dyDescent="0.3">
      <c r="A317" s="17">
        <v>45601</v>
      </c>
      <c r="B317">
        <v>74.14</v>
      </c>
      <c r="C317">
        <v>73.52</v>
      </c>
      <c r="D317" s="5">
        <f t="shared" si="8"/>
        <v>0.62000000000000455</v>
      </c>
    </row>
    <row r="318" spans="1:6" x14ac:dyDescent="0.3">
      <c r="A318" s="17">
        <v>45600</v>
      </c>
      <c r="B318">
        <v>73.52</v>
      </c>
      <c r="C318">
        <v>72.94</v>
      </c>
      <c r="D318" s="5">
        <f t="shared" si="8"/>
        <v>0.57999999999999829</v>
      </c>
    </row>
    <row r="319" spans="1:6" x14ac:dyDescent="0.3">
      <c r="A319" s="17">
        <v>45597</v>
      </c>
      <c r="B319">
        <v>73.59</v>
      </c>
      <c r="C319">
        <v>72.849999999999994</v>
      </c>
      <c r="D319" s="5">
        <f t="shared" si="8"/>
        <v>0.74000000000000909</v>
      </c>
      <c r="E319">
        <f>+AVERAGE(D319:D337)</f>
        <v>1.5231578947368427</v>
      </c>
      <c r="F319">
        <f>+E319-E340</f>
        <v>-0.4658421052631545</v>
      </c>
    </row>
    <row r="320" spans="1:6" x14ac:dyDescent="0.3">
      <c r="A320" s="17">
        <v>45595</v>
      </c>
      <c r="B320">
        <v>72.010000000000005</v>
      </c>
      <c r="C320">
        <v>70.23</v>
      </c>
      <c r="D320" s="5">
        <f t="shared" si="8"/>
        <v>1.7800000000000011</v>
      </c>
    </row>
    <row r="321" spans="1:4" x14ac:dyDescent="0.3">
      <c r="A321" s="17">
        <v>45594</v>
      </c>
      <c r="B321">
        <v>70.819999999999993</v>
      </c>
      <c r="C321">
        <v>70.02</v>
      </c>
      <c r="D321" s="5">
        <f t="shared" si="8"/>
        <v>0.79999999999999716</v>
      </c>
    </row>
    <row r="322" spans="1:4" x14ac:dyDescent="0.3">
      <c r="A322" s="17">
        <v>45593</v>
      </c>
      <c r="B322" s="22">
        <v>72</v>
      </c>
      <c r="C322">
        <v>70.72</v>
      </c>
      <c r="D322" s="5">
        <f t="shared" si="8"/>
        <v>1.2800000000000011</v>
      </c>
    </row>
    <row r="323" spans="1:4" x14ac:dyDescent="0.3">
      <c r="A323" s="17">
        <v>45590</v>
      </c>
      <c r="B323">
        <v>73.55</v>
      </c>
      <c r="C323">
        <v>72.41</v>
      </c>
      <c r="D323" s="5">
        <f t="shared" si="8"/>
        <v>1.1400000000000006</v>
      </c>
    </row>
    <row r="324" spans="1:4" x14ac:dyDescent="0.3">
      <c r="A324" s="17">
        <v>45589</v>
      </c>
      <c r="B324">
        <v>75.400000000000006</v>
      </c>
      <c r="C324">
        <v>73.84</v>
      </c>
      <c r="D324" s="5">
        <f t="shared" si="8"/>
        <v>1.5600000000000023</v>
      </c>
    </row>
    <row r="325" spans="1:4" x14ac:dyDescent="0.3">
      <c r="A325" s="17">
        <v>45588</v>
      </c>
      <c r="B325">
        <v>75.06</v>
      </c>
      <c r="C325">
        <v>73.489999999999995</v>
      </c>
      <c r="D325" s="5">
        <f t="shared" si="8"/>
        <v>1.5700000000000074</v>
      </c>
    </row>
    <row r="326" spans="1:4" x14ac:dyDescent="0.3">
      <c r="A326" s="17">
        <v>45587</v>
      </c>
      <c r="B326">
        <v>73.55</v>
      </c>
      <c r="C326">
        <v>71.930000000000007</v>
      </c>
      <c r="D326" s="5">
        <f t="shared" si="8"/>
        <v>1.6199999999999903</v>
      </c>
    </row>
    <row r="327" spans="1:4" x14ac:dyDescent="0.3">
      <c r="A327" s="17">
        <v>45586</v>
      </c>
      <c r="B327">
        <v>73.540000000000006</v>
      </c>
      <c r="C327">
        <v>71.989999999999995</v>
      </c>
      <c r="D327" s="5">
        <f t="shared" si="8"/>
        <v>1.5500000000000114</v>
      </c>
    </row>
    <row r="328" spans="1:4" x14ac:dyDescent="0.3">
      <c r="A328" s="17">
        <v>45583</v>
      </c>
      <c r="B328">
        <v>74.19</v>
      </c>
      <c r="C328">
        <v>72.459999999999994</v>
      </c>
      <c r="D328" s="5">
        <f t="shared" si="8"/>
        <v>1.730000000000004</v>
      </c>
    </row>
    <row r="329" spans="1:4" x14ac:dyDescent="0.3">
      <c r="A329" s="17">
        <v>45582</v>
      </c>
      <c r="B329">
        <v>74.069999999999993</v>
      </c>
      <c r="C329">
        <v>72.540000000000006</v>
      </c>
      <c r="D329" s="5">
        <f t="shared" si="8"/>
        <v>1.5299999999999869</v>
      </c>
    </row>
    <row r="330" spans="1:4" x14ac:dyDescent="0.3">
      <c r="A330" s="17">
        <v>45581</v>
      </c>
      <c r="B330">
        <v>73.989999999999995</v>
      </c>
      <c r="C330">
        <v>72.400000000000006</v>
      </c>
      <c r="D330" s="5">
        <f t="shared" si="8"/>
        <v>1.5899999999999892</v>
      </c>
    </row>
    <row r="331" spans="1:4" x14ac:dyDescent="0.3">
      <c r="A331" s="17">
        <v>45580</v>
      </c>
      <c r="B331">
        <v>74.290000000000006</v>
      </c>
      <c r="C331">
        <v>72.709999999999994</v>
      </c>
      <c r="D331" s="5">
        <f t="shared" si="8"/>
        <v>1.5800000000000125</v>
      </c>
    </row>
    <row r="332" spans="1:4" x14ac:dyDescent="0.3">
      <c r="A332" s="17">
        <v>45579</v>
      </c>
      <c r="B332">
        <v>77.64</v>
      </c>
      <c r="C332">
        <v>75.97</v>
      </c>
      <c r="D332" s="5">
        <f t="shared" si="8"/>
        <v>1.6700000000000017</v>
      </c>
    </row>
    <row r="333" spans="1:4" x14ac:dyDescent="0.3">
      <c r="A333" s="17">
        <v>45576</v>
      </c>
      <c r="B333">
        <v>78.59</v>
      </c>
      <c r="C333">
        <v>76.73</v>
      </c>
      <c r="D333" s="5">
        <f t="shared" si="8"/>
        <v>1.8599999999999994</v>
      </c>
    </row>
    <row r="334" spans="1:4" x14ac:dyDescent="0.3">
      <c r="A334" s="17">
        <v>45575</v>
      </c>
      <c r="B334">
        <v>77.14</v>
      </c>
      <c r="C334">
        <v>75.36</v>
      </c>
      <c r="D334" s="5">
        <f t="shared" si="8"/>
        <v>1.7800000000000011</v>
      </c>
    </row>
    <row r="335" spans="1:4" x14ac:dyDescent="0.3">
      <c r="A335" s="17">
        <v>45574</v>
      </c>
      <c r="B335">
        <v>77.435000000000002</v>
      </c>
      <c r="C335">
        <v>75.709999999999994</v>
      </c>
      <c r="D335" s="5">
        <f t="shared" si="8"/>
        <v>1.7250000000000085</v>
      </c>
    </row>
    <row r="336" spans="1:4" x14ac:dyDescent="0.3">
      <c r="A336" s="17">
        <v>45573</v>
      </c>
      <c r="B336">
        <v>78.97</v>
      </c>
      <c r="C336">
        <v>77.150000000000006</v>
      </c>
      <c r="D336" s="5">
        <f t="shared" si="8"/>
        <v>1.8199999999999932</v>
      </c>
    </row>
    <row r="337" spans="1:6" x14ac:dyDescent="0.3">
      <c r="A337" s="17">
        <v>45572</v>
      </c>
      <c r="B337">
        <v>78.144999999999996</v>
      </c>
      <c r="C337">
        <v>76.53</v>
      </c>
      <c r="D337" s="5">
        <f t="shared" si="8"/>
        <v>1.6149999999999949</v>
      </c>
    </row>
    <row r="338" spans="1:6" x14ac:dyDescent="0.3">
      <c r="A338" s="17">
        <v>45569</v>
      </c>
      <c r="B338">
        <v>77.88</v>
      </c>
      <c r="C338">
        <v>76.03</v>
      </c>
      <c r="D338" s="5">
        <f t="shared" si="8"/>
        <v>1.8499999999999943</v>
      </c>
    </row>
    <row r="339" spans="1:6" x14ac:dyDescent="0.3">
      <c r="A339" s="17">
        <v>45568</v>
      </c>
      <c r="B339">
        <v>74.44</v>
      </c>
      <c r="C339">
        <v>72.989999999999995</v>
      </c>
      <c r="D339" s="5">
        <f t="shared" si="8"/>
        <v>1.4500000000000028</v>
      </c>
    </row>
    <row r="340" spans="1:6" x14ac:dyDescent="0.3">
      <c r="A340" s="17">
        <v>45567</v>
      </c>
      <c r="B340">
        <v>75.2</v>
      </c>
      <c r="C340">
        <v>73.45</v>
      </c>
      <c r="D340" s="5">
        <f t="shared" si="8"/>
        <v>1.75</v>
      </c>
      <c r="E340">
        <f>+AVERAGE(D340:D359)</f>
        <v>1.9889999999999972</v>
      </c>
      <c r="F340">
        <f>+E340-E362</f>
        <v>0.99599999999999722</v>
      </c>
    </row>
    <row r="341" spans="1:6" x14ac:dyDescent="0.3">
      <c r="A341" s="17">
        <v>45566</v>
      </c>
      <c r="B341">
        <v>70.77</v>
      </c>
      <c r="C341">
        <v>69.260000000000005</v>
      </c>
      <c r="D341" s="5">
        <f t="shared" si="8"/>
        <v>1.5099999999999909</v>
      </c>
    </row>
    <row r="342" spans="1:6" x14ac:dyDescent="0.3">
      <c r="A342" s="17">
        <v>45565</v>
      </c>
      <c r="B342">
        <v>73.33</v>
      </c>
      <c r="C342">
        <v>71.42</v>
      </c>
      <c r="D342" s="5">
        <f t="shared" si="8"/>
        <v>1.9099999999999966</v>
      </c>
    </row>
    <row r="343" spans="1:6" x14ac:dyDescent="0.3">
      <c r="A343" s="17">
        <v>45562</v>
      </c>
      <c r="B343">
        <v>72.715000000000003</v>
      </c>
      <c r="C343">
        <v>70.260000000000005</v>
      </c>
      <c r="D343" s="5">
        <f t="shared" si="8"/>
        <v>2.4549999999999983</v>
      </c>
    </row>
    <row r="344" spans="1:6" x14ac:dyDescent="0.3">
      <c r="A344" s="17">
        <v>45561</v>
      </c>
      <c r="B344">
        <v>72.295000000000002</v>
      </c>
      <c r="C344">
        <v>70.150000000000006</v>
      </c>
      <c r="D344" s="5">
        <f t="shared" si="8"/>
        <v>2.144999999999996</v>
      </c>
    </row>
    <row r="345" spans="1:6" x14ac:dyDescent="0.3">
      <c r="A345" s="17">
        <v>45560</v>
      </c>
      <c r="B345">
        <v>74.989999999999995</v>
      </c>
      <c r="C345">
        <v>73.010000000000005</v>
      </c>
      <c r="D345" s="5">
        <f t="shared" si="8"/>
        <v>1.9799999999999898</v>
      </c>
    </row>
    <row r="346" spans="1:6" x14ac:dyDescent="0.3">
      <c r="A346" s="17">
        <v>45559</v>
      </c>
      <c r="B346">
        <v>74.849999999999994</v>
      </c>
      <c r="C346">
        <v>73.02</v>
      </c>
      <c r="D346" s="5">
        <f t="shared" si="8"/>
        <v>1.8299999999999983</v>
      </c>
    </row>
    <row r="347" spans="1:6" x14ac:dyDescent="0.3">
      <c r="A347" s="17">
        <v>45558</v>
      </c>
      <c r="B347">
        <v>74.27</v>
      </c>
      <c r="C347">
        <v>72.34</v>
      </c>
      <c r="D347" s="5">
        <f t="shared" si="8"/>
        <v>1.9299999999999926</v>
      </c>
    </row>
    <row r="348" spans="1:6" x14ac:dyDescent="0.3">
      <c r="A348" s="17">
        <v>45555</v>
      </c>
      <c r="B348">
        <v>74.19</v>
      </c>
      <c r="C348">
        <v>72.349999999999994</v>
      </c>
      <c r="D348" s="5">
        <f t="shared" ref="D348:D411" si="9">+B348-C348</f>
        <v>1.8400000000000034</v>
      </c>
    </row>
    <row r="349" spans="1:6" x14ac:dyDescent="0.3">
      <c r="A349" s="17">
        <v>45554</v>
      </c>
      <c r="B349">
        <v>74.844999999999999</v>
      </c>
      <c r="C349">
        <v>72.540000000000006</v>
      </c>
      <c r="D349" s="5">
        <f t="shared" si="9"/>
        <v>2.3049999999999926</v>
      </c>
    </row>
    <row r="350" spans="1:6" x14ac:dyDescent="0.3">
      <c r="A350" s="17">
        <v>45553</v>
      </c>
      <c r="B350">
        <v>73.45</v>
      </c>
      <c r="C350">
        <v>71.16</v>
      </c>
      <c r="D350" s="5">
        <f t="shared" si="9"/>
        <v>2.2900000000000063</v>
      </c>
    </row>
    <row r="351" spans="1:6" x14ac:dyDescent="0.3">
      <c r="A351" s="17">
        <v>45552</v>
      </c>
      <c r="B351">
        <v>73.3</v>
      </c>
      <c r="C351">
        <v>71.17</v>
      </c>
      <c r="D351" s="5">
        <f t="shared" si="9"/>
        <v>2.1299999999999955</v>
      </c>
    </row>
    <row r="352" spans="1:6" x14ac:dyDescent="0.3">
      <c r="A352" s="17">
        <v>45551</v>
      </c>
      <c r="B352">
        <v>72.454999999999998</v>
      </c>
      <c r="C352">
        <v>70.430000000000007</v>
      </c>
      <c r="D352" s="5">
        <f t="shared" si="9"/>
        <v>2.0249999999999915</v>
      </c>
    </row>
    <row r="353" spans="1:6" x14ac:dyDescent="0.3">
      <c r="A353" s="17">
        <v>45548</v>
      </c>
      <c r="B353">
        <v>72.790000000000006</v>
      </c>
      <c r="C353">
        <v>70.849999999999994</v>
      </c>
      <c r="D353" s="5">
        <f t="shared" si="9"/>
        <v>1.9400000000000119</v>
      </c>
    </row>
    <row r="354" spans="1:6" x14ac:dyDescent="0.3">
      <c r="A354" s="17">
        <v>45547</v>
      </c>
      <c r="B354">
        <v>71.900000000000006</v>
      </c>
      <c r="C354">
        <v>69.95</v>
      </c>
      <c r="D354" s="5">
        <f t="shared" si="9"/>
        <v>1.9500000000000028</v>
      </c>
    </row>
    <row r="355" spans="1:6" x14ac:dyDescent="0.3">
      <c r="A355" s="17">
        <v>45546</v>
      </c>
      <c r="B355">
        <v>70.95</v>
      </c>
      <c r="C355">
        <v>69.040000000000006</v>
      </c>
      <c r="D355" s="5">
        <f t="shared" si="9"/>
        <v>1.9099999999999966</v>
      </c>
    </row>
    <row r="356" spans="1:6" x14ac:dyDescent="0.3">
      <c r="A356" s="17">
        <v>45545</v>
      </c>
      <c r="B356">
        <v>71.88</v>
      </c>
      <c r="C356">
        <v>69.86</v>
      </c>
      <c r="D356" s="5">
        <f t="shared" si="9"/>
        <v>2.019999999999996</v>
      </c>
    </row>
    <row r="357" spans="1:6" x14ac:dyDescent="0.3">
      <c r="A357" s="17">
        <v>45544</v>
      </c>
      <c r="B357">
        <v>72.28</v>
      </c>
      <c r="C357">
        <v>70.34</v>
      </c>
      <c r="D357" s="5">
        <f t="shared" si="9"/>
        <v>1.9399999999999977</v>
      </c>
    </row>
    <row r="358" spans="1:6" x14ac:dyDescent="0.3">
      <c r="A358" s="17">
        <v>45541</v>
      </c>
      <c r="B358">
        <v>73.41</v>
      </c>
      <c r="C358">
        <v>71.45</v>
      </c>
      <c r="D358" s="5">
        <f t="shared" si="9"/>
        <v>1.9599999999999937</v>
      </c>
    </row>
    <row r="359" spans="1:6" x14ac:dyDescent="0.3">
      <c r="A359" s="17">
        <v>45540</v>
      </c>
      <c r="B359">
        <v>73.39</v>
      </c>
      <c r="C359">
        <v>71.430000000000007</v>
      </c>
      <c r="D359" s="5">
        <f t="shared" si="9"/>
        <v>1.9599999999999937</v>
      </c>
    </row>
    <row r="360" spans="1:6" x14ac:dyDescent="0.3">
      <c r="A360" s="17">
        <v>45539</v>
      </c>
      <c r="B360">
        <v>73.38</v>
      </c>
      <c r="C360">
        <v>71.34</v>
      </c>
      <c r="D360" s="5">
        <f t="shared" si="9"/>
        <v>2.039999999999992</v>
      </c>
    </row>
    <row r="361" spans="1:6" x14ac:dyDescent="0.3">
      <c r="A361" s="17">
        <v>45538</v>
      </c>
      <c r="B361">
        <v>76.63</v>
      </c>
      <c r="C361">
        <v>74.61</v>
      </c>
      <c r="D361" s="5">
        <f t="shared" si="9"/>
        <v>2.019999999999996</v>
      </c>
    </row>
    <row r="362" spans="1:6" x14ac:dyDescent="0.3">
      <c r="A362" s="17">
        <v>45537</v>
      </c>
      <c r="B362">
        <v>76.489999999999995</v>
      </c>
      <c r="C362">
        <v>74.41</v>
      </c>
      <c r="D362" s="5">
        <f t="shared" si="9"/>
        <v>2.0799999999999983</v>
      </c>
      <c r="E362">
        <f>+AVERAGE(D362:D381)</f>
        <v>0.99299999999999999</v>
      </c>
      <c r="F362">
        <f>+E362-E382</f>
        <v>-0.53604761904762033</v>
      </c>
    </row>
    <row r="363" spans="1:6" x14ac:dyDescent="0.3">
      <c r="A363" s="17">
        <v>45534</v>
      </c>
      <c r="B363">
        <v>78.41</v>
      </c>
      <c r="C363">
        <v>77.05</v>
      </c>
      <c r="D363" s="5">
        <f t="shared" si="9"/>
        <v>1.3599999999999994</v>
      </c>
    </row>
    <row r="364" spans="1:6" x14ac:dyDescent="0.3">
      <c r="A364" s="17">
        <v>45533</v>
      </c>
      <c r="B364">
        <v>76.66</v>
      </c>
      <c r="C364">
        <v>75.44</v>
      </c>
      <c r="D364" s="5">
        <f t="shared" si="9"/>
        <v>1.2199999999999989</v>
      </c>
    </row>
    <row r="365" spans="1:6" x14ac:dyDescent="0.3">
      <c r="A365" s="17">
        <v>45532</v>
      </c>
      <c r="B365">
        <v>77.7</v>
      </c>
      <c r="C365">
        <v>76.010000000000005</v>
      </c>
      <c r="D365" s="5">
        <f t="shared" si="9"/>
        <v>1.6899999999999977</v>
      </c>
    </row>
    <row r="366" spans="1:6" x14ac:dyDescent="0.3">
      <c r="A366" s="17">
        <v>45531</v>
      </c>
      <c r="B366">
        <v>79.19</v>
      </c>
      <c r="C366">
        <v>78.03</v>
      </c>
      <c r="D366" s="5">
        <f t="shared" si="9"/>
        <v>1.1599999999999966</v>
      </c>
    </row>
    <row r="367" spans="1:6" x14ac:dyDescent="0.3">
      <c r="A367" s="17">
        <v>45530</v>
      </c>
      <c r="B367">
        <v>78.55</v>
      </c>
      <c r="C367">
        <v>77.510000000000005</v>
      </c>
      <c r="D367" s="5">
        <f t="shared" si="9"/>
        <v>1.039999999999992</v>
      </c>
    </row>
    <row r="368" spans="1:6" x14ac:dyDescent="0.3">
      <c r="A368" s="17">
        <v>45527</v>
      </c>
      <c r="B368">
        <v>76.69</v>
      </c>
      <c r="C368">
        <v>75.540000000000006</v>
      </c>
      <c r="D368" s="5">
        <f t="shared" si="9"/>
        <v>1.1499999999999915</v>
      </c>
    </row>
    <row r="369" spans="1:6" x14ac:dyDescent="0.3">
      <c r="A369" s="17">
        <v>45526</v>
      </c>
      <c r="B369">
        <v>75.150000000000006</v>
      </c>
      <c r="C369">
        <v>74.27</v>
      </c>
      <c r="D369" s="5">
        <f t="shared" si="9"/>
        <v>0.88000000000000966</v>
      </c>
    </row>
    <row r="370" spans="1:6" x14ac:dyDescent="0.3">
      <c r="A370" s="17">
        <v>45525</v>
      </c>
      <c r="B370">
        <v>76.150000000000006</v>
      </c>
      <c r="C370">
        <v>75.290000000000006</v>
      </c>
      <c r="D370" s="5">
        <f t="shared" si="9"/>
        <v>0.85999999999999943</v>
      </c>
    </row>
    <row r="371" spans="1:6" x14ac:dyDescent="0.3">
      <c r="A371" s="17">
        <v>45524</v>
      </c>
      <c r="B371">
        <v>75.680000000000007</v>
      </c>
      <c r="C371">
        <v>74.91</v>
      </c>
      <c r="D371" s="5">
        <f t="shared" si="9"/>
        <v>0.77000000000001023</v>
      </c>
    </row>
    <row r="372" spans="1:6" x14ac:dyDescent="0.3">
      <c r="A372" s="17">
        <v>45523</v>
      </c>
      <c r="B372">
        <v>77.81</v>
      </c>
      <c r="C372">
        <v>76.91</v>
      </c>
      <c r="D372" s="5">
        <f t="shared" si="9"/>
        <v>0.90000000000000568</v>
      </c>
    </row>
    <row r="373" spans="1:6" x14ac:dyDescent="0.3">
      <c r="A373" s="17">
        <v>45520</v>
      </c>
      <c r="B373">
        <v>79.040000000000006</v>
      </c>
      <c r="C373">
        <v>78.260000000000005</v>
      </c>
      <c r="D373" s="5">
        <f t="shared" si="9"/>
        <v>0.78000000000000114</v>
      </c>
    </row>
    <row r="374" spans="1:6" x14ac:dyDescent="0.3">
      <c r="A374" s="17">
        <v>45519</v>
      </c>
      <c r="B374">
        <v>78.67</v>
      </c>
      <c r="C374">
        <v>77.89</v>
      </c>
      <c r="D374" s="5">
        <f t="shared" si="9"/>
        <v>0.78000000000000114</v>
      </c>
    </row>
    <row r="375" spans="1:6" x14ac:dyDescent="0.3">
      <c r="A375" s="17">
        <v>45518</v>
      </c>
      <c r="B375">
        <v>79.209999999999994</v>
      </c>
      <c r="C375">
        <v>78.58</v>
      </c>
      <c r="D375" s="5">
        <f t="shared" si="9"/>
        <v>0.62999999999999545</v>
      </c>
    </row>
    <row r="376" spans="1:6" x14ac:dyDescent="0.3">
      <c r="A376" s="17">
        <v>45517</v>
      </c>
      <c r="B376">
        <v>79.989999999999995</v>
      </c>
      <c r="C376">
        <v>79.17</v>
      </c>
      <c r="D376" s="5">
        <f t="shared" si="9"/>
        <v>0.81999999999999318</v>
      </c>
    </row>
    <row r="377" spans="1:6" x14ac:dyDescent="0.3">
      <c r="A377" s="17">
        <v>45516</v>
      </c>
      <c r="B377">
        <v>78.67</v>
      </c>
      <c r="C377">
        <v>77.89</v>
      </c>
      <c r="D377" s="5">
        <f t="shared" si="9"/>
        <v>0.78000000000000114</v>
      </c>
    </row>
    <row r="378" spans="1:6" x14ac:dyDescent="0.3">
      <c r="A378" s="17">
        <v>45512</v>
      </c>
      <c r="B378">
        <v>77.14</v>
      </c>
      <c r="C378">
        <v>76.069999999999993</v>
      </c>
      <c r="D378" s="5">
        <f t="shared" si="9"/>
        <v>1.0700000000000074</v>
      </c>
    </row>
    <row r="379" spans="1:6" x14ac:dyDescent="0.3">
      <c r="A379" s="17">
        <v>45511</v>
      </c>
      <c r="B379">
        <v>75.5</v>
      </c>
      <c r="C379">
        <v>74.8</v>
      </c>
      <c r="D379" s="5">
        <f t="shared" si="9"/>
        <v>0.70000000000000284</v>
      </c>
    </row>
    <row r="380" spans="1:6" x14ac:dyDescent="0.3">
      <c r="A380" s="17">
        <v>45510</v>
      </c>
      <c r="B380">
        <v>75.040000000000006</v>
      </c>
      <c r="C380">
        <v>74.5</v>
      </c>
      <c r="D380" s="5">
        <f t="shared" si="9"/>
        <v>0.54000000000000625</v>
      </c>
    </row>
    <row r="381" spans="1:6" x14ac:dyDescent="0.3">
      <c r="A381" s="17">
        <v>45509</v>
      </c>
      <c r="B381">
        <v>74.489999999999995</v>
      </c>
      <c r="C381">
        <v>73.84</v>
      </c>
      <c r="D381" s="5">
        <f t="shared" si="9"/>
        <v>0.64999999999999147</v>
      </c>
    </row>
    <row r="382" spans="1:6" x14ac:dyDescent="0.3">
      <c r="A382" s="17">
        <v>45506</v>
      </c>
      <c r="B382">
        <v>79.23</v>
      </c>
      <c r="C382">
        <v>78.27</v>
      </c>
      <c r="D382" s="5">
        <f t="shared" si="9"/>
        <v>0.96000000000000796</v>
      </c>
      <c r="E382">
        <f>+AVERAGE(D382:D402)</f>
        <v>1.5290476190476203</v>
      </c>
      <c r="F382">
        <f>+E382-E405</f>
        <v>0.59615288220551388</v>
      </c>
    </row>
    <row r="383" spans="1:6" x14ac:dyDescent="0.3">
      <c r="A383" s="17">
        <v>45505</v>
      </c>
      <c r="B383">
        <v>80.540000000000006</v>
      </c>
      <c r="C383">
        <v>79.5</v>
      </c>
      <c r="D383" s="5">
        <f t="shared" si="9"/>
        <v>1.0400000000000063</v>
      </c>
    </row>
    <row r="384" spans="1:6" x14ac:dyDescent="0.3">
      <c r="A384" s="17">
        <v>45504</v>
      </c>
      <c r="B384">
        <v>79.55</v>
      </c>
      <c r="C384">
        <v>78.599999999999994</v>
      </c>
      <c r="D384" s="5">
        <f t="shared" si="9"/>
        <v>0.95000000000000284</v>
      </c>
    </row>
    <row r="385" spans="1:4" x14ac:dyDescent="0.3">
      <c r="A385" s="17">
        <v>45503</v>
      </c>
      <c r="B385">
        <v>78.95</v>
      </c>
      <c r="C385">
        <v>77.930000000000007</v>
      </c>
      <c r="D385" s="5">
        <f t="shared" si="9"/>
        <v>1.019999999999996</v>
      </c>
    </row>
    <row r="386" spans="1:4" x14ac:dyDescent="0.3">
      <c r="A386" s="17">
        <v>45502</v>
      </c>
      <c r="B386">
        <v>79.8</v>
      </c>
      <c r="C386">
        <v>78.92</v>
      </c>
      <c r="D386" s="5">
        <f t="shared" si="9"/>
        <v>0.87999999999999545</v>
      </c>
    </row>
    <row r="387" spans="1:4" x14ac:dyDescent="0.3">
      <c r="A387" s="17">
        <v>45499</v>
      </c>
      <c r="B387">
        <v>81.34</v>
      </c>
      <c r="C387">
        <v>80.02</v>
      </c>
      <c r="D387" s="5">
        <f t="shared" si="9"/>
        <v>1.3200000000000074</v>
      </c>
    </row>
    <row r="388" spans="1:4" x14ac:dyDescent="0.3">
      <c r="A388" s="17">
        <v>45498</v>
      </c>
      <c r="B388">
        <v>80.66</v>
      </c>
      <c r="C388">
        <v>79.16</v>
      </c>
      <c r="D388" s="5">
        <f t="shared" si="9"/>
        <v>1.5</v>
      </c>
    </row>
    <row r="389" spans="1:4" x14ac:dyDescent="0.3">
      <c r="A389" s="17">
        <v>45497</v>
      </c>
      <c r="B389">
        <v>80.650000000000006</v>
      </c>
      <c r="C389">
        <v>79.08</v>
      </c>
      <c r="D389" s="5">
        <f t="shared" si="9"/>
        <v>1.5700000000000074</v>
      </c>
    </row>
    <row r="390" spans="1:4" x14ac:dyDescent="0.3">
      <c r="A390" s="17">
        <v>45496</v>
      </c>
      <c r="B390">
        <v>81.95</v>
      </c>
      <c r="C390">
        <v>80.22</v>
      </c>
      <c r="D390" s="5">
        <f t="shared" si="9"/>
        <v>1.730000000000004</v>
      </c>
    </row>
    <row r="391" spans="1:4" x14ac:dyDescent="0.3">
      <c r="A391" s="17">
        <v>45495</v>
      </c>
      <c r="B391">
        <v>82.38</v>
      </c>
      <c r="C391">
        <v>80.67</v>
      </c>
      <c r="D391" s="5">
        <f t="shared" si="9"/>
        <v>1.7099999999999937</v>
      </c>
    </row>
    <row r="392" spans="1:4" x14ac:dyDescent="0.3">
      <c r="A392" s="17">
        <v>45492</v>
      </c>
      <c r="B392">
        <v>84.5</v>
      </c>
      <c r="C392">
        <v>82.62</v>
      </c>
      <c r="D392" s="5">
        <f t="shared" si="9"/>
        <v>1.8799999999999955</v>
      </c>
    </row>
    <row r="393" spans="1:4" x14ac:dyDescent="0.3">
      <c r="A393" s="17">
        <v>45491</v>
      </c>
      <c r="B393">
        <v>84.8</v>
      </c>
      <c r="C393">
        <v>82.94</v>
      </c>
      <c r="D393" s="5">
        <f t="shared" si="9"/>
        <v>1.8599999999999994</v>
      </c>
    </row>
    <row r="394" spans="1:4" x14ac:dyDescent="0.3">
      <c r="A394" s="17">
        <v>45490</v>
      </c>
      <c r="B394">
        <v>83.7</v>
      </c>
      <c r="C394">
        <v>81.93</v>
      </c>
      <c r="D394" s="5">
        <f t="shared" si="9"/>
        <v>1.769999999999996</v>
      </c>
    </row>
    <row r="395" spans="1:4" x14ac:dyDescent="0.3">
      <c r="A395" s="17">
        <v>45489</v>
      </c>
      <c r="B395">
        <v>83.85</v>
      </c>
      <c r="C395">
        <v>82.12</v>
      </c>
      <c r="D395" s="5">
        <f t="shared" si="9"/>
        <v>1.7299999999999898</v>
      </c>
    </row>
    <row r="396" spans="1:4" x14ac:dyDescent="0.3">
      <c r="A396" s="17">
        <v>45488</v>
      </c>
      <c r="B396">
        <v>84.68</v>
      </c>
      <c r="C396">
        <v>82.86</v>
      </c>
      <c r="D396" s="5">
        <f t="shared" si="9"/>
        <v>1.8200000000000074</v>
      </c>
    </row>
    <row r="397" spans="1:4" x14ac:dyDescent="0.3">
      <c r="A397" s="17">
        <v>45485</v>
      </c>
      <c r="B397">
        <v>85.64</v>
      </c>
      <c r="C397">
        <v>83.83</v>
      </c>
      <c r="D397" s="5">
        <f t="shared" si="9"/>
        <v>1.8100000000000023</v>
      </c>
    </row>
    <row r="398" spans="1:4" x14ac:dyDescent="0.3">
      <c r="A398" s="17">
        <v>45484</v>
      </c>
      <c r="B398">
        <v>85.48</v>
      </c>
      <c r="C398">
        <v>83.74</v>
      </c>
      <c r="D398" s="5">
        <f t="shared" si="9"/>
        <v>1.7400000000000091</v>
      </c>
    </row>
    <row r="399" spans="1:4" x14ac:dyDescent="0.3">
      <c r="A399" s="17">
        <v>45483</v>
      </c>
      <c r="B399">
        <v>84.58</v>
      </c>
      <c r="C399">
        <v>82.92</v>
      </c>
      <c r="D399" s="5">
        <f t="shared" si="9"/>
        <v>1.6599999999999966</v>
      </c>
    </row>
    <row r="400" spans="1:4" x14ac:dyDescent="0.3">
      <c r="A400" s="17">
        <v>45482</v>
      </c>
      <c r="B400">
        <v>85.62</v>
      </c>
      <c r="C400">
        <v>83.95</v>
      </c>
      <c r="D400" s="5">
        <f t="shared" si="9"/>
        <v>1.6700000000000017</v>
      </c>
    </row>
    <row r="401" spans="1:6" x14ac:dyDescent="0.3">
      <c r="A401" s="17">
        <v>45481</v>
      </c>
      <c r="B401">
        <v>86.19</v>
      </c>
      <c r="C401">
        <v>84.53</v>
      </c>
      <c r="D401" s="5">
        <f t="shared" si="9"/>
        <v>1.6599999999999966</v>
      </c>
    </row>
    <row r="402" spans="1:6" x14ac:dyDescent="0.3">
      <c r="A402" s="17">
        <v>45478</v>
      </c>
      <c r="B402">
        <v>87.65</v>
      </c>
      <c r="C402">
        <v>85.82</v>
      </c>
      <c r="D402" s="5">
        <f t="shared" si="9"/>
        <v>1.8300000000000125</v>
      </c>
    </row>
    <row r="403" spans="1:6" x14ac:dyDescent="0.3">
      <c r="A403" s="17">
        <v>45477</v>
      </c>
      <c r="B403">
        <v>86.77</v>
      </c>
      <c r="C403">
        <v>85.14</v>
      </c>
      <c r="D403" s="5">
        <f t="shared" si="9"/>
        <v>1.6299999999999955</v>
      </c>
    </row>
    <row r="404" spans="1:6" x14ac:dyDescent="0.3">
      <c r="A404" s="17">
        <v>45476</v>
      </c>
      <c r="B404">
        <v>86.59</v>
      </c>
      <c r="C404">
        <v>84.94</v>
      </c>
      <c r="D404" s="5">
        <f t="shared" si="9"/>
        <v>1.6500000000000057</v>
      </c>
    </row>
    <row r="405" spans="1:6" x14ac:dyDescent="0.3">
      <c r="A405" s="17">
        <v>45475</v>
      </c>
      <c r="B405">
        <v>87.094999999999999</v>
      </c>
      <c r="C405">
        <v>85.15</v>
      </c>
      <c r="D405" s="5">
        <f t="shared" si="9"/>
        <v>1.9449999999999932</v>
      </c>
      <c r="E405">
        <f>+AVERAGE(D405:D423)</f>
        <v>0.93289473684210644</v>
      </c>
      <c r="F405">
        <f>+E405-E426</f>
        <v>-0.74552631578947104</v>
      </c>
    </row>
    <row r="406" spans="1:6" x14ac:dyDescent="0.3">
      <c r="A406" s="17">
        <v>45474</v>
      </c>
      <c r="B406">
        <v>85.66</v>
      </c>
      <c r="C406">
        <v>84.27</v>
      </c>
      <c r="D406" s="5">
        <f t="shared" si="9"/>
        <v>1.3900000000000006</v>
      </c>
    </row>
    <row r="407" spans="1:6" x14ac:dyDescent="0.3">
      <c r="A407" s="17">
        <v>45471</v>
      </c>
      <c r="B407">
        <v>85.75</v>
      </c>
      <c r="C407">
        <v>85.25</v>
      </c>
      <c r="D407" s="5">
        <f t="shared" si="9"/>
        <v>0.5</v>
      </c>
    </row>
    <row r="408" spans="1:6" x14ac:dyDescent="0.3">
      <c r="A408" s="17">
        <v>45470</v>
      </c>
      <c r="B408">
        <v>84.94</v>
      </c>
      <c r="C408">
        <v>84.33</v>
      </c>
      <c r="D408" s="5">
        <f t="shared" si="9"/>
        <v>0.60999999999999943</v>
      </c>
    </row>
    <row r="409" spans="1:6" x14ac:dyDescent="0.3">
      <c r="A409" s="17">
        <v>45469</v>
      </c>
      <c r="B409">
        <v>84.5</v>
      </c>
      <c r="C409">
        <v>83.99</v>
      </c>
      <c r="D409" s="5">
        <f t="shared" si="9"/>
        <v>0.51000000000000512</v>
      </c>
    </row>
    <row r="410" spans="1:6" x14ac:dyDescent="0.3">
      <c r="A410" s="17">
        <v>45468</v>
      </c>
      <c r="B410">
        <v>85.29</v>
      </c>
      <c r="C410">
        <v>84.45</v>
      </c>
      <c r="D410" s="5">
        <f t="shared" si="9"/>
        <v>0.84000000000000341</v>
      </c>
    </row>
    <row r="411" spans="1:6" x14ac:dyDescent="0.3">
      <c r="A411" s="17">
        <v>45467</v>
      </c>
      <c r="B411">
        <v>84.54</v>
      </c>
      <c r="C411">
        <v>83.9</v>
      </c>
      <c r="D411" s="5">
        <f t="shared" si="9"/>
        <v>0.64000000000000057</v>
      </c>
    </row>
    <row r="412" spans="1:6" x14ac:dyDescent="0.3">
      <c r="A412" s="17">
        <v>45464</v>
      </c>
      <c r="B412">
        <v>84.79</v>
      </c>
      <c r="C412">
        <v>83.96</v>
      </c>
      <c r="D412" s="5">
        <f t="shared" ref="D412:D475" si="10">+B412-C412</f>
        <v>0.83000000000001251</v>
      </c>
    </row>
    <row r="413" spans="1:6" x14ac:dyDescent="0.3">
      <c r="A413" s="17">
        <v>45463</v>
      </c>
      <c r="B413">
        <v>84.53</v>
      </c>
      <c r="C413">
        <v>83.63</v>
      </c>
      <c r="D413" s="5">
        <f t="shared" si="10"/>
        <v>0.90000000000000568</v>
      </c>
    </row>
    <row r="414" spans="1:6" x14ac:dyDescent="0.3">
      <c r="A414" s="17">
        <v>45462</v>
      </c>
      <c r="B414">
        <v>84.3</v>
      </c>
      <c r="C414">
        <v>83.45</v>
      </c>
      <c r="D414" s="5">
        <f t="shared" si="10"/>
        <v>0.84999999999999432</v>
      </c>
    </row>
    <row r="415" spans="1:6" x14ac:dyDescent="0.3">
      <c r="A415" s="17">
        <v>45461</v>
      </c>
      <c r="B415">
        <v>83.34</v>
      </c>
      <c r="C415">
        <v>82.27</v>
      </c>
      <c r="D415" s="5">
        <f t="shared" si="10"/>
        <v>1.0700000000000074</v>
      </c>
    </row>
    <row r="416" spans="1:6" x14ac:dyDescent="0.3">
      <c r="A416" s="17">
        <v>45457</v>
      </c>
      <c r="B416">
        <v>82.325000000000003</v>
      </c>
      <c r="C416">
        <v>81.25</v>
      </c>
      <c r="D416" s="5">
        <f t="shared" si="10"/>
        <v>1.0750000000000028</v>
      </c>
    </row>
    <row r="417" spans="1:6" x14ac:dyDescent="0.3">
      <c r="A417" s="17">
        <v>45456</v>
      </c>
      <c r="B417">
        <v>82.08</v>
      </c>
      <c r="C417">
        <v>81.47</v>
      </c>
      <c r="D417" s="5">
        <f t="shared" si="10"/>
        <v>0.60999999999999943</v>
      </c>
    </row>
    <row r="418" spans="1:6" x14ac:dyDescent="0.3">
      <c r="A418" s="17">
        <v>45455</v>
      </c>
      <c r="B418">
        <v>82.65</v>
      </c>
      <c r="C418">
        <v>81.66</v>
      </c>
      <c r="D418" s="5">
        <f t="shared" si="10"/>
        <v>0.99000000000000909</v>
      </c>
    </row>
    <row r="419" spans="1:6" x14ac:dyDescent="0.3">
      <c r="A419" s="17">
        <v>45454</v>
      </c>
      <c r="B419">
        <v>81.86</v>
      </c>
      <c r="C419">
        <v>80.930000000000007</v>
      </c>
      <c r="D419" s="5">
        <f t="shared" si="10"/>
        <v>0.92999999999999261</v>
      </c>
    </row>
    <row r="420" spans="1:6" x14ac:dyDescent="0.3">
      <c r="A420" s="17">
        <v>45453</v>
      </c>
      <c r="B420">
        <v>80.19</v>
      </c>
      <c r="C420">
        <v>79.17</v>
      </c>
      <c r="D420" s="5">
        <f t="shared" si="10"/>
        <v>1.019999999999996</v>
      </c>
    </row>
    <row r="421" spans="1:6" x14ac:dyDescent="0.3">
      <c r="A421" s="17">
        <v>45450</v>
      </c>
      <c r="B421">
        <v>80.105000000000004</v>
      </c>
      <c r="C421">
        <v>79.03</v>
      </c>
      <c r="D421" s="5">
        <f t="shared" si="10"/>
        <v>1.0750000000000028</v>
      </c>
    </row>
    <row r="422" spans="1:6" x14ac:dyDescent="0.3">
      <c r="A422" s="17">
        <v>45449</v>
      </c>
      <c r="B422">
        <v>79.25</v>
      </c>
      <c r="C422">
        <v>78.31</v>
      </c>
      <c r="D422" s="5">
        <f t="shared" si="10"/>
        <v>0.93999999999999773</v>
      </c>
    </row>
    <row r="423" spans="1:6" x14ac:dyDescent="0.3">
      <c r="A423" s="17">
        <v>45448</v>
      </c>
      <c r="B423">
        <v>78.209999999999994</v>
      </c>
      <c r="C423">
        <v>77.209999999999994</v>
      </c>
      <c r="D423" s="5">
        <f t="shared" si="10"/>
        <v>1</v>
      </c>
    </row>
    <row r="424" spans="1:6" x14ac:dyDescent="0.3">
      <c r="A424" s="17">
        <v>45447</v>
      </c>
      <c r="B424">
        <v>77.88</v>
      </c>
      <c r="C424">
        <v>77.17</v>
      </c>
      <c r="D424" s="5">
        <f t="shared" si="10"/>
        <v>0.70999999999999375</v>
      </c>
    </row>
    <row r="425" spans="1:6" x14ac:dyDescent="0.3">
      <c r="A425" s="17">
        <v>45446</v>
      </c>
      <c r="B425">
        <v>81.894999999999996</v>
      </c>
      <c r="C425">
        <v>80.81</v>
      </c>
      <c r="D425" s="5">
        <f t="shared" si="10"/>
        <v>1.0849999999999937</v>
      </c>
    </row>
    <row r="426" spans="1:6" x14ac:dyDescent="0.3">
      <c r="A426" s="17">
        <v>45443</v>
      </c>
      <c r="B426">
        <v>83.45</v>
      </c>
      <c r="C426">
        <v>81.73</v>
      </c>
      <c r="D426" s="5">
        <f t="shared" si="10"/>
        <v>1.7199999999999989</v>
      </c>
      <c r="E426">
        <f>+AVERAGE(D426:D444)</f>
        <v>1.6784210526315775</v>
      </c>
      <c r="F426">
        <f>+E426-E446</f>
        <v>-0.43519005847953229</v>
      </c>
    </row>
    <row r="427" spans="1:6" x14ac:dyDescent="0.3">
      <c r="A427" s="17">
        <v>45442</v>
      </c>
      <c r="B427">
        <v>84.3</v>
      </c>
      <c r="C427">
        <v>83.11</v>
      </c>
      <c r="D427" s="5">
        <f t="shared" si="10"/>
        <v>1.1899999999999977</v>
      </c>
    </row>
    <row r="428" spans="1:6" x14ac:dyDescent="0.3">
      <c r="A428" s="17">
        <v>45441</v>
      </c>
      <c r="B428">
        <v>85.474999999999994</v>
      </c>
      <c r="C428">
        <v>84.12</v>
      </c>
      <c r="D428" s="5">
        <f t="shared" si="10"/>
        <v>1.3549999999999898</v>
      </c>
    </row>
    <row r="429" spans="1:6" x14ac:dyDescent="0.3">
      <c r="A429" s="17">
        <v>45440</v>
      </c>
      <c r="B429">
        <v>84.44</v>
      </c>
      <c r="C429">
        <v>83.02</v>
      </c>
      <c r="D429" s="5">
        <f t="shared" si="10"/>
        <v>1.4200000000000017</v>
      </c>
    </row>
    <row r="430" spans="1:6" x14ac:dyDescent="0.3">
      <c r="A430" s="17">
        <v>45439</v>
      </c>
      <c r="B430">
        <v>83.3</v>
      </c>
      <c r="C430">
        <v>81.81</v>
      </c>
      <c r="D430" s="5">
        <f t="shared" si="10"/>
        <v>1.4899999999999949</v>
      </c>
    </row>
    <row r="431" spans="1:6" x14ac:dyDescent="0.3">
      <c r="A431" s="17">
        <v>45436</v>
      </c>
      <c r="B431">
        <v>82.45</v>
      </c>
      <c r="C431">
        <v>80.97</v>
      </c>
      <c r="D431" s="5">
        <f t="shared" si="10"/>
        <v>1.480000000000004</v>
      </c>
    </row>
    <row r="432" spans="1:6" x14ac:dyDescent="0.3">
      <c r="A432" s="17">
        <v>45435</v>
      </c>
      <c r="B432">
        <v>83.24</v>
      </c>
      <c r="C432">
        <v>81.59</v>
      </c>
      <c r="D432" s="5">
        <f t="shared" si="10"/>
        <v>1.6499999999999915</v>
      </c>
    </row>
    <row r="433" spans="1:6" x14ac:dyDescent="0.3">
      <c r="A433" s="17">
        <v>45433</v>
      </c>
      <c r="B433">
        <v>84.19</v>
      </c>
      <c r="C433">
        <v>82.57</v>
      </c>
      <c r="D433" s="5">
        <f t="shared" si="10"/>
        <v>1.6200000000000045</v>
      </c>
    </row>
    <row r="434" spans="1:6" x14ac:dyDescent="0.3">
      <c r="A434" s="17">
        <v>45432</v>
      </c>
      <c r="B434">
        <v>85.16</v>
      </c>
      <c r="C434">
        <v>83.43</v>
      </c>
      <c r="D434" s="5">
        <f t="shared" si="10"/>
        <v>1.7299999999999898</v>
      </c>
    </row>
    <row r="435" spans="1:6" x14ac:dyDescent="0.3">
      <c r="A435" s="17">
        <v>45429</v>
      </c>
      <c r="B435">
        <v>84.64</v>
      </c>
      <c r="C435">
        <v>82.7</v>
      </c>
      <c r="D435" s="5">
        <f t="shared" si="10"/>
        <v>1.9399999999999977</v>
      </c>
    </row>
    <row r="436" spans="1:6" x14ac:dyDescent="0.3">
      <c r="A436" s="17">
        <v>45428</v>
      </c>
      <c r="B436">
        <v>83.75</v>
      </c>
      <c r="C436">
        <v>81.900000000000006</v>
      </c>
      <c r="D436" s="5">
        <f t="shared" si="10"/>
        <v>1.8499999999999943</v>
      </c>
    </row>
    <row r="437" spans="1:6" x14ac:dyDescent="0.3">
      <c r="A437" s="17">
        <v>45427</v>
      </c>
      <c r="B437">
        <v>83.4</v>
      </c>
      <c r="C437">
        <v>81.680000000000007</v>
      </c>
      <c r="D437" s="5">
        <f t="shared" si="10"/>
        <v>1.7199999999999989</v>
      </c>
    </row>
    <row r="438" spans="1:6" x14ac:dyDescent="0.3">
      <c r="A438" s="17">
        <v>45426</v>
      </c>
      <c r="B438">
        <v>83.89</v>
      </c>
      <c r="C438">
        <v>82.18</v>
      </c>
      <c r="D438" s="5">
        <f t="shared" si="10"/>
        <v>1.7099999999999937</v>
      </c>
    </row>
    <row r="439" spans="1:6" x14ac:dyDescent="0.3">
      <c r="A439" s="17">
        <v>45425</v>
      </c>
      <c r="B439">
        <v>83.844999999999999</v>
      </c>
      <c r="C439">
        <v>82.06</v>
      </c>
      <c r="D439" s="5">
        <f t="shared" si="10"/>
        <v>1.7849999999999966</v>
      </c>
    </row>
    <row r="440" spans="1:6" x14ac:dyDescent="0.3">
      <c r="A440" s="17">
        <v>45422</v>
      </c>
      <c r="B440">
        <v>84.83</v>
      </c>
      <c r="C440">
        <v>82.94</v>
      </c>
      <c r="D440" s="5">
        <f t="shared" si="10"/>
        <v>1.8900000000000006</v>
      </c>
    </row>
    <row r="441" spans="1:6" x14ac:dyDescent="0.3">
      <c r="A441" s="17">
        <v>45421</v>
      </c>
      <c r="B441">
        <v>84.65</v>
      </c>
      <c r="C441">
        <v>82.72</v>
      </c>
      <c r="D441" s="5">
        <f t="shared" si="10"/>
        <v>1.9300000000000068</v>
      </c>
    </row>
    <row r="442" spans="1:6" x14ac:dyDescent="0.3">
      <c r="A442" s="17">
        <v>45420</v>
      </c>
      <c r="B442" s="22">
        <v>83</v>
      </c>
      <c r="C442">
        <v>81.239999999999995</v>
      </c>
      <c r="D442" s="5">
        <f t="shared" si="10"/>
        <v>1.7600000000000051</v>
      </c>
    </row>
    <row r="443" spans="1:6" x14ac:dyDescent="0.3">
      <c r="A443" s="17">
        <v>45419</v>
      </c>
      <c r="B443">
        <v>84.14</v>
      </c>
      <c r="C443">
        <v>82.27</v>
      </c>
      <c r="D443" s="5">
        <f t="shared" si="10"/>
        <v>1.8700000000000045</v>
      </c>
    </row>
    <row r="444" spans="1:6" x14ac:dyDescent="0.3">
      <c r="A444" s="17">
        <v>45418</v>
      </c>
      <c r="B444">
        <v>84.01</v>
      </c>
      <c r="C444">
        <v>82.23</v>
      </c>
      <c r="D444" s="5">
        <f t="shared" si="10"/>
        <v>1.7800000000000011</v>
      </c>
    </row>
    <row r="445" spans="1:6" x14ac:dyDescent="0.3">
      <c r="A445" s="17">
        <v>45415</v>
      </c>
      <c r="B445">
        <v>84.09</v>
      </c>
      <c r="C445">
        <v>82.34</v>
      </c>
      <c r="D445" s="5">
        <f t="shared" si="10"/>
        <v>1.75</v>
      </c>
    </row>
    <row r="446" spans="1:6" x14ac:dyDescent="0.3">
      <c r="A446" s="17">
        <v>45414</v>
      </c>
      <c r="B446">
        <v>84.49</v>
      </c>
      <c r="C446">
        <v>82.69</v>
      </c>
      <c r="D446" s="5">
        <f t="shared" si="10"/>
        <v>1.7999999999999972</v>
      </c>
      <c r="E446">
        <f>+AVERAGE(D446:D463)</f>
        <v>2.1136111111111098</v>
      </c>
      <c r="F446">
        <f>+E446-E466</f>
        <v>0.73386111111110974</v>
      </c>
    </row>
    <row r="447" spans="1:6" x14ac:dyDescent="0.3">
      <c r="A447" s="17">
        <v>45412</v>
      </c>
      <c r="B447">
        <v>88.6</v>
      </c>
      <c r="C447">
        <v>86.39</v>
      </c>
      <c r="D447" s="5">
        <f t="shared" si="10"/>
        <v>2.2099999999999937</v>
      </c>
    </row>
    <row r="448" spans="1:6" x14ac:dyDescent="0.3">
      <c r="A448" s="17">
        <v>45411</v>
      </c>
      <c r="B448">
        <v>88.89</v>
      </c>
      <c r="C448">
        <v>86.65</v>
      </c>
      <c r="D448" s="5">
        <f t="shared" si="10"/>
        <v>2.2399999999999949</v>
      </c>
    </row>
    <row r="449" spans="1:4" x14ac:dyDescent="0.3">
      <c r="A449" s="17">
        <v>45408</v>
      </c>
      <c r="B449">
        <v>88.96</v>
      </c>
      <c r="C449">
        <v>86.85</v>
      </c>
      <c r="D449" s="5">
        <f t="shared" si="10"/>
        <v>2.1099999999999994</v>
      </c>
    </row>
    <row r="450" spans="1:4" x14ac:dyDescent="0.3">
      <c r="A450" s="17">
        <v>45407</v>
      </c>
      <c r="B450">
        <v>88.6</v>
      </c>
      <c r="C450">
        <v>86.36</v>
      </c>
      <c r="D450" s="5">
        <f t="shared" si="10"/>
        <v>2.2399999999999949</v>
      </c>
    </row>
    <row r="451" spans="1:4" x14ac:dyDescent="0.3">
      <c r="A451" s="17">
        <v>45406</v>
      </c>
      <c r="B451">
        <v>88.85</v>
      </c>
      <c r="C451">
        <v>86.37</v>
      </c>
      <c r="D451" s="5">
        <f t="shared" si="10"/>
        <v>2.4799999999999898</v>
      </c>
    </row>
    <row r="452" spans="1:4" x14ac:dyDescent="0.3">
      <c r="A452" s="17">
        <v>45405</v>
      </c>
      <c r="B452">
        <v>88.45</v>
      </c>
      <c r="C452">
        <v>86.26</v>
      </c>
      <c r="D452" s="5">
        <f t="shared" si="10"/>
        <v>2.1899999999999977</v>
      </c>
    </row>
    <row r="453" spans="1:4" x14ac:dyDescent="0.3">
      <c r="A453" s="17">
        <v>45404</v>
      </c>
      <c r="B453">
        <v>86.394999999999996</v>
      </c>
      <c r="C453">
        <v>84.37</v>
      </c>
      <c r="D453" s="5">
        <f t="shared" si="10"/>
        <v>2.0249999999999915</v>
      </c>
    </row>
    <row r="454" spans="1:4" x14ac:dyDescent="0.3">
      <c r="A454" s="17">
        <v>45401</v>
      </c>
      <c r="B454">
        <v>87.69</v>
      </c>
      <c r="C454">
        <v>85.61</v>
      </c>
      <c r="D454" s="5">
        <f t="shared" si="10"/>
        <v>2.0799999999999983</v>
      </c>
    </row>
    <row r="455" spans="1:4" x14ac:dyDescent="0.3">
      <c r="A455" s="17">
        <v>45400</v>
      </c>
      <c r="B455">
        <v>87.44</v>
      </c>
      <c r="C455">
        <v>85.54</v>
      </c>
      <c r="D455" s="5">
        <f t="shared" si="10"/>
        <v>1.8999999999999915</v>
      </c>
    </row>
    <row r="456" spans="1:4" x14ac:dyDescent="0.3">
      <c r="A456" s="17">
        <v>45399</v>
      </c>
      <c r="B456">
        <v>90.05</v>
      </c>
      <c r="C456">
        <v>88.05</v>
      </c>
      <c r="D456" s="5">
        <f t="shared" si="10"/>
        <v>2</v>
      </c>
    </row>
    <row r="457" spans="1:4" x14ac:dyDescent="0.3">
      <c r="A457" s="17">
        <v>45398</v>
      </c>
      <c r="B457">
        <v>90.25</v>
      </c>
      <c r="C457">
        <v>88.3</v>
      </c>
      <c r="D457" s="5">
        <f t="shared" si="10"/>
        <v>1.9500000000000028</v>
      </c>
    </row>
    <row r="458" spans="1:4" x14ac:dyDescent="0.3">
      <c r="A458" s="17">
        <v>45397</v>
      </c>
      <c r="B458">
        <v>89.54</v>
      </c>
      <c r="C458">
        <v>87.52</v>
      </c>
      <c r="D458" s="5">
        <f t="shared" si="10"/>
        <v>2.0200000000000102</v>
      </c>
    </row>
    <row r="459" spans="1:4" x14ac:dyDescent="0.3">
      <c r="A459" s="17">
        <v>45394</v>
      </c>
      <c r="B459">
        <v>90.51</v>
      </c>
      <c r="C459">
        <v>88.44</v>
      </c>
      <c r="D459" s="5">
        <f t="shared" si="10"/>
        <v>2.0700000000000074</v>
      </c>
    </row>
    <row r="460" spans="1:4" x14ac:dyDescent="0.3">
      <c r="A460" s="17">
        <v>45393</v>
      </c>
      <c r="B460">
        <v>90.89</v>
      </c>
      <c r="C460">
        <v>88.63</v>
      </c>
      <c r="D460" s="5">
        <f t="shared" si="10"/>
        <v>2.2600000000000051</v>
      </c>
    </row>
    <row r="461" spans="1:4" x14ac:dyDescent="0.3">
      <c r="A461" s="17">
        <v>45391</v>
      </c>
      <c r="B461">
        <v>90.75</v>
      </c>
      <c r="C461">
        <v>88.58</v>
      </c>
      <c r="D461" s="5">
        <f t="shared" si="10"/>
        <v>2.1700000000000017</v>
      </c>
    </row>
    <row r="462" spans="1:4" x14ac:dyDescent="0.3">
      <c r="A462" s="17">
        <v>45390</v>
      </c>
      <c r="B462">
        <v>90.06</v>
      </c>
      <c r="C462">
        <v>87.94</v>
      </c>
      <c r="D462" s="5">
        <f t="shared" si="10"/>
        <v>2.1200000000000045</v>
      </c>
    </row>
    <row r="463" spans="1:4" x14ac:dyDescent="0.3">
      <c r="A463" s="17">
        <v>45387</v>
      </c>
      <c r="B463">
        <v>90.86</v>
      </c>
      <c r="C463">
        <v>88.68</v>
      </c>
      <c r="D463" s="5">
        <f t="shared" si="10"/>
        <v>2.1799999999999926</v>
      </c>
    </row>
    <row r="464" spans="1:4" x14ac:dyDescent="0.3">
      <c r="A464" s="17">
        <v>45386</v>
      </c>
      <c r="B464">
        <v>89.65</v>
      </c>
      <c r="C464">
        <v>87.29</v>
      </c>
      <c r="D464" s="5">
        <f t="shared" si="10"/>
        <v>2.3599999999999994</v>
      </c>
    </row>
    <row r="465" spans="1:6" x14ac:dyDescent="0.3">
      <c r="A465" s="17">
        <v>45385</v>
      </c>
      <c r="B465">
        <v>89.47</v>
      </c>
      <c r="C465">
        <v>87.12</v>
      </c>
      <c r="D465" s="5">
        <f t="shared" si="10"/>
        <v>2.3499999999999943</v>
      </c>
    </row>
    <row r="466" spans="1:6" x14ac:dyDescent="0.3">
      <c r="A466" s="17">
        <v>45384</v>
      </c>
      <c r="B466">
        <v>89.06</v>
      </c>
      <c r="C466">
        <v>86.6</v>
      </c>
      <c r="D466" s="5">
        <f t="shared" si="10"/>
        <v>2.460000000000008</v>
      </c>
      <c r="E466">
        <f>+AVERAGE(D466:D485)</f>
        <v>1.37975</v>
      </c>
      <c r="F466">
        <f>+E466-E487</f>
        <v>0.31685526315789447</v>
      </c>
    </row>
    <row r="467" spans="1:6" x14ac:dyDescent="0.3">
      <c r="A467" s="17">
        <v>45383</v>
      </c>
      <c r="B467">
        <v>87.655000000000001</v>
      </c>
      <c r="C467">
        <v>85.58</v>
      </c>
      <c r="D467" s="5">
        <f t="shared" si="10"/>
        <v>2.0750000000000028</v>
      </c>
    </row>
    <row r="468" spans="1:6" x14ac:dyDescent="0.3">
      <c r="A468" s="17">
        <v>45379</v>
      </c>
      <c r="B468">
        <v>86.295000000000002</v>
      </c>
      <c r="C468">
        <v>85.02</v>
      </c>
      <c r="D468" s="5">
        <f t="shared" si="10"/>
        <v>1.2750000000000057</v>
      </c>
    </row>
    <row r="469" spans="1:6" x14ac:dyDescent="0.3">
      <c r="A469" s="17">
        <v>45378</v>
      </c>
      <c r="B469">
        <v>85.2</v>
      </c>
      <c r="C469">
        <v>84.21</v>
      </c>
      <c r="D469" s="5">
        <f t="shared" si="10"/>
        <v>0.99000000000000909</v>
      </c>
    </row>
    <row r="470" spans="1:6" x14ac:dyDescent="0.3">
      <c r="A470" s="17">
        <v>45377</v>
      </c>
      <c r="B470">
        <v>86.194999999999993</v>
      </c>
      <c r="C470">
        <v>85.05</v>
      </c>
      <c r="D470" s="5">
        <f t="shared" si="10"/>
        <v>1.144999999999996</v>
      </c>
    </row>
    <row r="471" spans="1:6" x14ac:dyDescent="0.3">
      <c r="A471" s="17">
        <v>45376</v>
      </c>
      <c r="B471">
        <v>85.35</v>
      </c>
      <c r="C471">
        <v>84.2</v>
      </c>
      <c r="D471" s="5">
        <f t="shared" si="10"/>
        <v>1.1499999999999915</v>
      </c>
    </row>
    <row r="472" spans="1:6" x14ac:dyDescent="0.3">
      <c r="A472" s="17">
        <v>45373</v>
      </c>
      <c r="B472">
        <v>85.144999999999996</v>
      </c>
      <c r="C472">
        <v>84.04</v>
      </c>
      <c r="D472" s="5">
        <f t="shared" si="10"/>
        <v>1.1049999999999898</v>
      </c>
    </row>
    <row r="473" spans="1:6" x14ac:dyDescent="0.3">
      <c r="A473" s="17">
        <v>45372</v>
      </c>
      <c r="B473">
        <v>86.01</v>
      </c>
      <c r="C473">
        <v>84.82</v>
      </c>
      <c r="D473" s="5">
        <f t="shared" si="10"/>
        <v>1.1900000000000119</v>
      </c>
    </row>
    <row r="474" spans="1:6" x14ac:dyDescent="0.3">
      <c r="A474" s="17">
        <v>45371</v>
      </c>
      <c r="B474">
        <v>86.49</v>
      </c>
      <c r="C474">
        <v>85.16</v>
      </c>
      <c r="D474" s="5">
        <f t="shared" si="10"/>
        <v>1.3299999999999983</v>
      </c>
    </row>
    <row r="475" spans="1:6" x14ac:dyDescent="0.3">
      <c r="A475" s="17">
        <v>45370</v>
      </c>
      <c r="B475">
        <v>86.41</v>
      </c>
      <c r="C475">
        <v>85.18</v>
      </c>
      <c r="D475" s="5">
        <f t="shared" si="10"/>
        <v>1.2299999999999898</v>
      </c>
    </row>
    <row r="476" spans="1:6" x14ac:dyDescent="0.3">
      <c r="A476" s="17">
        <v>45369</v>
      </c>
      <c r="B476">
        <v>85.66</v>
      </c>
      <c r="C476">
        <v>84.45</v>
      </c>
      <c r="D476" s="5">
        <f t="shared" ref="D476:D539" si="11">+B476-C476</f>
        <v>1.2099999999999937</v>
      </c>
    </row>
    <row r="477" spans="1:6" x14ac:dyDescent="0.3">
      <c r="A477" s="17">
        <v>45366</v>
      </c>
      <c r="B477">
        <v>84.79</v>
      </c>
      <c r="C477">
        <v>83.39</v>
      </c>
      <c r="D477" s="5">
        <f t="shared" si="11"/>
        <v>1.4000000000000057</v>
      </c>
    </row>
    <row r="478" spans="1:6" x14ac:dyDescent="0.3">
      <c r="A478" s="17">
        <v>45365</v>
      </c>
      <c r="B478">
        <v>84.11</v>
      </c>
      <c r="C478">
        <v>82.84</v>
      </c>
      <c r="D478" s="5">
        <f t="shared" si="11"/>
        <v>1.269999999999996</v>
      </c>
    </row>
    <row r="479" spans="1:6" x14ac:dyDescent="0.3">
      <c r="A479" s="17">
        <v>45364</v>
      </c>
      <c r="B479">
        <v>82.21</v>
      </c>
      <c r="C479">
        <v>81.12</v>
      </c>
      <c r="D479" s="5">
        <f t="shared" si="11"/>
        <v>1.0899999999999892</v>
      </c>
    </row>
    <row r="480" spans="1:6" x14ac:dyDescent="0.3">
      <c r="A480" s="17">
        <v>45363</v>
      </c>
      <c r="B480">
        <v>82.87</v>
      </c>
      <c r="C480">
        <v>81.53</v>
      </c>
      <c r="D480" s="5">
        <f t="shared" si="11"/>
        <v>1.3400000000000034</v>
      </c>
    </row>
    <row r="481" spans="1:6" x14ac:dyDescent="0.3">
      <c r="A481" s="17">
        <v>45362</v>
      </c>
      <c r="B481">
        <v>82.105000000000004</v>
      </c>
      <c r="C481">
        <v>80.75</v>
      </c>
      <c r="D481" s="5">
        <f t="shared" si="11"/>
        <v>1.355000000000004</v>
      </c>
    </row>
    <row r="482" spans="1:6" x14ac:dyDescent="0.3">
      <c r="A482" s="17">
        <v>45359</v>
      </c>
      <c r="B482">
        <v>83.36</v>
      </c>
      <c r="C482">
        <v>81.81</v>
      </c>
      <c r="D482" s="5">
        <f t="shared" si="11"/>
        <v>1.5499999999999972</v>
      </c>
    </row>
    <row r="483" spans="1:6" x14ac:dyDescent="0.3">
      <c r="A483" s="17">
        <v>45358</v>
      </c>
      <c r="B483">
        <v>82.375</v>
      </c>
      <c r="C483">
        <v>80.849999999999994</v>
      </c>
      <c r="D483" s="5">
        <f t="shared" si="11"/>
        <v>1.5250000000000057</v>
      </c>
    </row>
    <row r="484" spans="1:6" x14ac:dyDescent="0.3">
      <c r="A484" s="17">
        <v>45357</v>
      </c>
      <c r="B484">
        <v>82.04</v>
      </c>
      <c r="C484">
        <v>80.489999999999995</v>
      </c>
      <c r="D484" s="5">
        <f t="shared" si="11"/>
        <v>1.5500000000000114</v>
      </c>
    </row>
    <row r="485" spans="1:6" x14ac:dyDescent="0.3">
      <c r="A485" s="17">
        <v>45356</v>
      </c>
      <c r="B485">
        <v>81.784999999999997</v>
      </c>
      <c r="C485">
        <v>80.430000000000007</v>
      </c>
      <c r="D485" s="5">
        <f t="shared" si="11"/>
        <v>1.3549999999999898</v>
      </c>
    </row>
    <row r="486" spans="1:6" x14ac:dyDescent="0.3">
      <c r="A486" s="17">
        <v>45355</v>
      </c>
      <c r="B486">
        <v>83.094999999999999</v>
      </c>
      <c r="C486">
        <v>81.319999999999993</v>
      </c>
      <c r="D486" s="5">
        <f t="shared" si="11"/>
        <v>1.7750000000000057</v>
      </c>
    </row>
    <row r="487" spans="1:6" x14ac:dyDescent="0.3">
      <c r="A487" s="17">
        <v>45352</v>
      </c>
      <c r="B487">
        <v>81.540000000000006</v>
      </c>
      <c r="C487">
        <v>80.2</v>
      </c>
      <c r="D487" s="5">
        <f t="shared" si="11"/>
        <v>1.3400000000000034</v>
      </c>
      <c r="E487">
        <f>+AVERAGE(D487:D505)</f>
        <v>1.0628947368421056</v>
      </c>
      <c r="F487">
        <f>+E487-E506</f>
        <v>2.2894736842105967E-2</v>
      </c>
    </row>
    <row r="488" spans="1:6" x14ac:dyDescent="0.3">
      <c r="A488" s="17">
        <v>45351</v>
      </c>
      <c r="B488">
        <v>81.8</v>
      </c>
      <c r="C488">
        <v>80.75</v>
      </c>
      <c r="D488" s="5">
        <f t="shared" si="11"/>
        <v>1.0499999999999972</v>
      </c>
    </row>
    <row r="489" spans="1:6" x14ac:dyDescent="0.3">
      <c r="A489" s="17">
        <v>45350</v>
      </c>
      <c r="B489">
        <v>81.86</v>
      </c>
      <c r="C489">
        <v>80.98</v>
      </c>
      <c r="D489" s="5">
        <f t="shared" si="11"/>
        <v>0.87999999999999545</v>
      </c>
    </row>
    <row r="490" spans="1:6" x14ac:dyDescent="0.3">
      <c r="A490" s="17">
        <v>45349</v>
      </c>
      <c r="B490">
        <v>82.05</v>
      </c>
      <c r="C490">
        <v>80.760000000000005</v>
      </c>
      <c r="D490" s="5">
        <f t="shared" si="11"/>
        <v>1.289999999999992</v>
      </c>
    </row>
    <row r="491" spans="1:6" x14ac:dyDescent="0.3">
      <c r="A491" s="17">
        <v>45348</v>
      </c>
      <c r="B491">
        <v>80.39</v>
      </c>
      <c r="C491">
        <v>79.41</v>
      </c>
      <c r="D491" s="5">
        <f t="shared" si="11"/>
        <v>0.98000000000000398</v>
      </c>
    </row>
    <row r="492" spans="1:6" x14ac:dyDescent="0.3">
      <c r="A492" s="17">
        <v>45345</v>
      </c>
      <c r="B492">
        <v>82.01</v>
      </c>
      <c r="C492">
        <v>81.010000000000005</v>
      </c>
      <c r="D492" s="5">
        <f t="shared" si="11"/>
        <v>1</v>
      </c>
    </row>
    <row r="493" spans="1:6" x14ac:dyDescent="0.3">
      <c r="A493" s="17">
        <v>45344</v>
      </c>
      <c r="B493">
        <v>82.6</v>
      </c>
      <c r="C493">
        <v>81.27</v>
      </c>
      <c r="D493" s="5">
        <f t="shared" si="11"/>
        <v>1.3299999999999983</v>
      </c>
    </row>
    <row r="494" spans="1:6" x14ac:dyDescent="0.3">
      <c r="A494" s="17">
        <v>45343</v>
      </c>
      <c r="B494">
        <v>81.454999999999998</v>
      </c>
      <c r="C494">
        <v>80.239999999999995</v>
      </c>
      <c r="D494" s="5">
        <f t="shared" si="11"/>
        <v>1.2150000000000034</v>
      </c>
    </row>
    <row r="495" spans="1:6" x14ac:dyDescent="0.3">
      <c r="A495" s="17">
        <v>45342</v>
      </c>
      <c r="B495">
        <v>82.75</v>
      </c>
      <c r="C495">
        <v>81.63</v>
      </c>
      <c r="D495" s="5">
        <f t="shared" si="11"/>
        <v>1.1200000000000045</v>
      </c>
    </row>
    <row r="496" spans="1:6" x14ac:dyDescent="0.3">
      <c r="A496" s="17">
        <v>45341</v>
      </c>
      <c r="B496">
        <v>82.29</v>
      </c>
      <c r="C496">
        <v>81.239999999999995</v>
      </c>
      <c r="D496" s="5">
        <f t="shared" si="11"/>
        <v>1.0500000000000114</v>
      </c>
    </row>
    <row r="497" spans="1:6" x14ac:dyDescent="0.3">
      <c r="A497" s="17">
        <v>45338</v>
      </c>
      <c r="B497">
        <v>82.05</v>
      </c>
      <c r="C497">
        <v>81.03</v>
      </c>
      <c r="D497" s="5">
        <f t="shared" si="11"/>
        <v>1.019999999999996</v>
      </c>
    </row>
    <row r="498" spans="1:6" x14ac:dyDescent="0.3">
      <c r="A498" s="17">
        <v>45337</v>
      </c>
      <c r="B498">
        <v>80.55</v>
      </c>
      <c r="C498">
        <v>79.52</v>
      </c>
      <c r="D498" s="5">
        <f t="shared" si="11"/>
        <v>1.0300000000000011</v>
      </c>
    </row>
    <row r="499" spans="1:6" x14ac:dyDescent="0.3">
      <c r="A499" s="17">
        <v>45336</v>
      </c>
      <c r="B499">
        <v>82.44</v>
      </c>
      <c r="C499">
        <v>81.16</v>
      </c>
      <c r="D499" s="5">
        <f t="shared" si="11"/>
        <v>1.2800000000000011</v>
      </c>
    </row>
    <row r="500" spans="1:6" x14ac:dyDescent="0.3">
      <c r="A500" s="17">
        <v>45335</v>
      </c>
      <c r="B500">
        <v>81.91</v>
      </c>
      <c r="C500">
        <v>80.77</v>
      </c>
      <c r="D500" s="5">
        <f t="shared" si="11"/>
        <v>1.1400000000000006</v>
      </c>
    </row>
    <row r="501" spans="1:6" x14ac:dyDescent="0.3">
      <c r="A501" s="17">
        <v>45331</v>
      </c>
      <c r="B501">
        <v>81.040000000000006</v>
      </c>
      <c r="C501">
        <v>79.97</v>
      </c>
      <c r="D501" s="5">
        <f t="shared" si="11"/>
        <v>1.0700000000000074</v>
      </c>
    </row>
    <row r="502" spans="1:6" x14ac:dyDescent="0.3">
      <c r="A502" s="17">
        <v>45330</v>
      </c>
      <c r="B502">
        <v>79.33</v>
      </c>
      <c r="C502">
        <v>78.48</v>
      </c>
      <c r="D502" s="5">
        <f t="shared" si="11"/>
        <v>0.84999999999999432</v>
      </c>
    </row>
    <row r="503" spans="1:6" x14ac:dyDescent="0.3">
      <c r="A503" s="17">
        <v>45329</v>
      </c>
      <c r="B503">
        <v>78.5</v>
      </c>
      <c r="C503">
        <v>77.650000000000006</v>
      </c>
      <c r="D503" s="5">
        <f t="shared" si="11"/>
        <v>0.84999999999999432</v>
      </c>
    </row>
    <row r="504" spans="1:6" x14ac:dyDescent="0.3">
      <c r="A504" s="17">
        <v>45328</v>
      </c>
      <c r="B504" s="22">
        <v>78</v>
      </c>
      <c r="C504">
        <v>77.13</v>
      </c>
      <c r="D504" s="5">
        <f t="shared" si="11"/>
        <v>0.87000000000000455</v>
      </c>
    </row>
    <row r="505" spans="1:6" x14ac:dyDescent="0.3">
      <c r="A505" s="17">
        <v>45327</v>
      </c>
      <c r="B505">
        <v>77.41</v>
      </c>
      <c r="C505">
        <v>76.58</v>
      </c>
      <c r="D505" s="5">
        <f t="shared" si="11"/>
        <v>0.82999999999999829</v>
      </c>
    </row>
    <row r="506" spans="1:6" x14ac:dyDescent="0.3">
      <c r="A506" s="17">
        <v>45324</v>
      </c>
      <c r="B506">
        <v>78.95</v>
      </c>
      <c r="C506">
        <v>78.06</v>
      </c>
      <c r="D506" s="5">
        <f t="shared" si="11"/>
        <v>0.89000000000000057</v>
      </c>
      <c r="E506">
        <f>+AVERAGE(D506:D526)</f>
        <v>1.0399999999999996</v>
      </c>
      <c r="F506">
        <f>+E506-E529</f>
        <v>0.85078947368420788</v>
      </c>
    </row>
    <row r="507" spans="1:6" x14ac:dyDescent="0.3">
      <c r="A507" s="17">
        <v>45323</v>
      </c>
      <c r="B507">
        <v>80.3</v>
      </c>
      <c r="C507">
        <v>79.209999999999994</v>
      </c>
      <c r="D507" s="5">
        <f t="shared" si="11"/>
        <v>1.0900000000000034</v>
      </c>
    </row>
    <row r="508" spans="1:6" x14ac:dyDescent="0.3">
      <c r="A508" s="17">
        <v>45322</v>
      </c>
      <c r="B508">
        <v>82.4</v>
      </c>
      <c r="C508">
        <v>81.349999999999994</v>
      </c>
      <c r="D508" s="5">
        <f t="shared" si="11"/>
        <v>1.0500000000000114</v>
      </c>
    </row>
    <row r="509" spans="1:6" x14ac:dyDescent="0.3">
      <c r="A509" s="17">
        <v>45321</v>
      </c>
      <c r="B509">
        <v>81.91</v>
      </c>
      <c r="C509">
        <v>80.52</v>
      </c>
      <c r="D509" s="5">
        <f t="shared" si="11"/>
        <v>1.3900000000000006</v>
      </c>
    </row>
    <row r="510" spans="1:6" x14ac:dyDescent="0.3">
      <c r="A510" s="17">
        <v>45320</v>
      </c>
      <c r="B510">
        <v>83.3</v>
      </c>
      <c r="C510">
        <v>81.98</v>
      </c>
      <c r="D510" s="5">
        <f t="shared" si="11"/>
        <v>1.3199999999999932</v>
      </c>
    </row>
    <row r="511" spans="1:6" x14ac:dyDescent="0.3">
      <c r="A511" s="17">
        <v>45317</v>
      </c>
      <c r="B511">
        <v>81.650000000000006</v>
      </c>
      <c r="C511">
        <v>80.52</v>
      </c>
      <c r="D511" s="5">
        <f t="shared" si="11"/>
        <v>1.1300000000000097</v>
      </c>
    </row>
    <row r="512" spans="1:6" x14ac:dyDescent="0.3">
      <c r="A512" s="17">
        <v>45316</v>
      </c>
      <c r="B512">
        <v>80.295000000000002</v>
      </c>
      <c r="C512">
        <v>79.27</v>
      </c>
      <c r="D512" s="5">
        <f t="shared" si="11"/>
        <v>1.0250000000000057</v>
      </c>
    </row>
    <row r="513" spans="1:4" x14ac:dyDescent="0.3">
      <c r="A513" s="17">
        <v>45315</v>
      </c>
      <c r="B513">
        <v>79.56</v>
      </c>
      <c r="C513">
        <v>78.510000000000005</v>
      </c>
      <c r="D513" s="5">
        <f t="shared" si="11"/>
        <v>1.0499999999999972</v>
      </c>
    </row>
    <row r="514" spans="1:4" x14ac:dyDescent="0.3">
      <c r="A514" s="17">
        <v>45314</v>
      </c>
      <c r="B514">
        <v>79.900000000000006</v>
      </c>
      <c r="C514">
        <v>78.83</v>
      </c>
      <c r="D514" s="5">
        <f t="shared" si="11"/>
        <v>1.0700000000000074</v>
      </c>
    </row>
    <row r="515" spans="1:4" x14ac:dyDescent="0.3">
      <c r="A515" s="17">
        <v>45313</v>
      </c>
      <c r="B515">
        <v>77.75</v>
      </c>
      <c r="C515">
        <v>76.73</v>
      </c>
      <c r="D515" s="5">
        <f t="shared" si="11"/>
        <v>1.019999999999996</v>
      </c>
    </row>
    <row r="516" spans="1:4" x14ac:dyDescent="0.3">
      <c r="A516" s="17">
        <v>45310</v>
      </c>
      <c r="B516">
        <v>78.894999999999996</v>
      </c>
      <c r="C516">
        <v>77.930000000000007</v>
      </c>
      <c r="D516" s="5">
        <f t="shared" si="11"/>
        <v>0.9649999999999892</v>
      </c>
    </row>
    <row r="517" spans="1:4" x14ac:dyDescent="0.3">
      <c r="A517" s="17">
        <v>45309</v>
      </c>
      <c r="B517">
        <v>77.55</v>
      </c>
      <c r="C517">
        <v>76.73</v>
      </c>
      <c r="D517" s="5">
        <f t="shared" si="11"/>
        <v>0.81999999999999318</v>
      </c>
    </row>
    <row r="518" spans="1:4" x14ac:dyDescent="0.3">
      <c r="A518" s="17">
        <v>45308</v>
      </c>
      <c r="B518">
        <v>76.75</v>
      </c>
      <c r="C518">
        <v>75.680000000000007</v>
      </c>
      <c r="D518" s="5">
        <f t="shared" si="11"/>
        <v>1.0699999999999932</v>
      </c>
    </row>
    <row r="519" spans="1:4" x14ac:dyDescent="0.3">
      <c r="A519" s="17">
        <v>45307</v>
      </c>
      <c r="B519">
        <v>77.84</v>
      </c>
      <c r="C519">
        <v>76.790000000000006</v>
      </c>
      <c r="D519" s="5">
        <f t="shared" si="11"/>
        <v>1.0499999999999972</v>
      </c>
    </row>
    <row r="520" spans="1:4" x14ac:dyDescent="0.3">
      <c r="A520" s="17">
        <v>45306</v>
      </c>
      <c r="B520" s="22">
        <v>78</v>
      </c>
      <c r="C520">
        <v>76.95</v>
      </c>
      <c r="D520" s="5">
        <f t="shared" si="11"/>
        <v>1.0499999999999972</v>
      </c>
    </row>
    <row r="521" spans="1:4" x14ac:dyDescent="0.3">
      <c r="A521" s="17">
        <v>45303</v>
      </c>
      <c r="B521">
        <v>79.05</v>
      </c>
      <c r="C521">
        <v>77.930000000000007</v>
      </c>
      <c r="D521" s="5">
        <f t="shared" si="11"/>
        <v>1.1199999999999903</v>
      </c>
    </row>
    <row r="522" spans="1:4" x14ac:dyDescent="0.3">
      <c r="A522" s="17">
        <v>45302</v>
      </c>
      <c r="B522">
        <v>77.290000000000006</v>
      </c>
      <c r="C522">
        <v>76.16</v>
      </c>
      <c r="D522" s="5">
        <f t="shared" si="11"/>
        <v>1.1300000000000097</v>
      </c>
    </row>
    <row r="523" spans="1:4" x14ac:dyDescent="0.3">
      <c r="A523" s="17">
        <v>45301</v>
      </c>
      <c r="B523" s="22">
        <v>78</v>
      </c>
      <c r="C523">
        <v>76.87</v>
      </c>
      <c r="D523" s="5">
        <f t="shared" si="11"/>
        <v>1.1299999999999955</v>
      </c>
    </row>
    <row r="524" spans="1:4" x14ac:dyDescent="0.3">
      <c r="A524" s="17">
        <v>45300</v>
      </c>
      <c r="B524">
        <v>76.849999999999994</v>
      </c>
      <c r="C524">
        <v>75.81</v>
      </c>
      <c r="D524" s="5">
        <f t="shared" si="11"/>
        <v>1.039999999999992</v>
      </c>
    </row>
    <row r="525" spans="1:4" x14ac:dyDescent="0.3">
      <c r="A525" s="17">
        <v>45299</v>
      </c>
      <c r="B525">
        <v>77.86</v>
      </c>
      <c r="C525">
        <v>77.08</v>
      </c>
      <c r="D525" s="5">
        <f t="shared" si="11"/>
        <v>0.78000000000000114</v>
      </c>
    </row>
    <row r="526" spans="1:4" x14ac:dyDescent="0.3">
      <c r="A526" s="17">
        <v>45296</v>
      </c>
      <c r="B526">
        <v>77.75</v>
      </c>
      <c r="C526">
        <v>77.099999999999994</v>
      </c>
      <c r="D526" s="5">
        <f t="shared" si="11"/>
        <v>0.65000000000000568</v>
      </c>
    </row>
    <row r="527" spans="1:4" x14ac:dyDescent="0.3">
      <c r="A527" s="17">
        <v>45295</v>
      </c>
      <c r="B527">
        <v>78.650000000000006</v>
      </c>
      <c r="C527">
        <v>78.05</v>
      </c>
      <c r="D527" s="5">
        <f t="shared" si="11"/>
        <v>0.60000000000000853</v>
      </c>
    </row>
    <row r="528" spans="1:4" x14ac:dyDescent="0.3">
      <c r="A528" s="17">
        <v>45294</v>
      </c>
      <c r="B528">
        <v>75.290000000000006</v>
      </c>
      <c r="C528">
        <v>74.92</v>
      </c>
      <c r="D528" s="5">
        <f t="shared" si="11"/>
        <v>0.37000000000000455</v>
      </c>
    </row>
    <row r="529" spans="1:6" x14ac:dyDescent="0.3">
      <c r="A529" s="17">
        <v>45293</v>
      </c>
      <c r="B529">
        <v>78.094999999999999</v>
      </c>
      <c r="C529">
        <v>77.58</v>
      </c>
      <c r="D529" s="5">
        <f t="shared" si="11"/>
        <v>0.51500000000000057</v>
      </c>
      <c r="E529">
        <f>+AVERAGE(D529:D547)</f>
        <v>0.18921052631579166</v>
      </c>
      <c r="F529">
        <f>+E529-E549</f>
        <v>-1.4999999999999978</v>
      </c>
    </row>
    <row r="530" spans="1:6" x14ac:dyDescent="0.3">
      <c r="A530" s="17">
        <v>45289</v>
      </c>
      <c r="B530">
        <v>77.094999999999999</v>
      </c>
      <c r="C530">
        <v>77.05</v>
      </c>
      <c r="D530" s="5">
        <f t="shared" si="11"/>
        <v>4.5000000000001705E-2</v>
      </c>
    </row>
    <row r="531" spans="1:6" x14ac:dyDescent="0.3">
      <c r="A531" s="17">
        <v>45288</v>
      </c>
      <c r="B531">
        <v>79.099999999999994</v>
      </c>
      <c r="C531">
        <v>78.44</v>
      </c>
      <c r="D531" s="5">
        <f t="shared" si="11"/>
        <v>0.65999999999999659</v>
      </c>
    </row>
    <row r="532" spans="1:6" x14ac:dyDescent="0.3">
      <c r="A532" s="17">
        <v>45287</v>
      </c>
      <c r="B532">
        <v>80.2</v>
      </c>
      <c r="C532">
        <v>80.099999999999994</v>
      </c>
      <c r="D532" s="5">
        <f t="shared" si="11"/>
        <v>0.10000000000000853</v>
      </c>
    </row>
    <row r="533" spans="1:6" x14ac:dyDescent="0.3">
      <c r="A533" s="17">
        <v>45286</v>
      </c>
      <c r="B533">
        <v>78.644999999999996</v>
      </c>
      <c r="C533">
        <v>77.88</v>
      </c>
      <c r="D533" s="5">
        <f t="shared" si="11"/>
        <v>0.76500000000000057</v>
      </c>
    </row>
    <row r="534" spans="1:6" x14ac:dyDescent="0.3">
      <c r="A534" s="17">
        <v>45282</v>
      </c>
      <c r="B534">
        <v>79.099999999999994</v>
      </c>
      <c r="C534">
        <v>79.19</v>
      </c>
      <c r="D534" s="5">
        <f t="shared" si="11"/>
        <v>-9.0000000000003411E-2</v>
      </c>
    </row>
    <row r="535" spans="1:6" x14ac:dyDescent="0.3">
      <c r="A535" s="17">
        <v>45281</v>
      </c>
      <c r="B535">
        <v>78.849999999999994</v>
      </c>
      <c r="C535" s="22">
        <v>79</v>
      </c>
      <c r="D535" s="5">
        <f t="shared" si="11"/>
        <v>-0.15000000000000568</v>
      </c>
    </row>
    <row r="536" spans="1:6" x14ac:dyDescent="0.3">
      <c r="A536" s="17">
        <v>45280</v>
      </c>
      <c r="B536">
        <v>79.05</v>
      </c>
      <c r="C536">
        <v>79.16</v>
      </c>
      <c r="D536" s="5">
        <f t="shared" si="11"/>
        <v>-0.10999999999999943</v>
      </c>
    </row>
    <row r="537" spans="1:6" x14ac:dyDescent="0.3">
      <c r="A537" s="17">
        <v>45279</v>
      </c>
      <c r="B537">
        <v>76.84</v>
      </c>
      <c r="C537">
        <v>76.78</v>
      </c>
      <c r="D537" s="5">
        <f t="shared" si="11"/>
        <v>6.0000000000002274E-2</v>
      </c>
    </row>
    <row r="538" spans="1:6" x14ac:dyDescent="0.3">
      <c r="A538" s="17">
        <v>45278</v>
      </c>
      <c r="B538">
        <v>76.150000000000006</v>
      </c>
      <c r="C538">
        <v>76.319999999999993</v>
      </c>
      <c r="D538" s="5">
        <f t="shared" si="11"/>
        <v>-0.16999999999998749</v>
      </c>
    </row>
    <row r="539" spans="1:6" x14ac:dyDescent="0.3">
      <c r="A539" s="17">
        <v>45275</v>
      </c>
      <c r="B539">
        <v>76.150000000000006</v>
      </c>
      <c r="C539">
        <v>76.5</v>
      </c>
      <c r="D539" s="5">
        <f t="shared" si="11"/>
        <v>-0.34999999999999432</v>
      </c>
    </row>
    <row r="540" spans="1:6" x14ac:dyDescent="0.3">
      <c r="A540" s="17">
        <v>45274</v>
      </c>
      <c r="B540">
        <v>74.400000000000006</v>
      </c>
      <c r="C540">
        <v>74.88</v>
      </c>
      <c r="D540" s="5">
        <f t="shared" ref="D540:D603" si="12">+B540-C540</f>
        <v>-0.47999999999998977</v>
      </c>
    </row>
    <row r="541" spans="1:6" x14ac:dyDescent="0.3">
      <c r="A541" s="17">
        <v>45273</v>
      </c>
      <c r="B541">
        <v>71.64</v>
      </c>
      <c r="C541">
        <v>71.98</v>
      </c>
      <c r="D541" s="5">
        <f t="shared" si="12"/>
        <v>-0.34000000000000341</v>
      </c>
    </row>
    <row r="542" spans="1:6" x14ac:dyDescent="0.3">
      <c r="A542" s="17">
        <v>45272</v>
      </c>
      <c r="B542">
        <v>76.239999999999995</v>
      </c>
      <c r="C542">
        <v>75.95</v>
      </c>
      <c r="D542" s="5">
        <f t="shared" si="12"/>
        <v>0.28999999999999204</v>
      </c>
    </row>
    <row r="543" spans="1:6" x14ac:dyDescent="0.3">
      <c r="A543" s="17">
        <v>45271</v>
      </c>
      <c r="B543">
        <v>76.64</v>
      </c>
      <c r="C543">
        <v>76.069999999999993</v>
      </c>
      <c r="D543" s="5">
        <f t="shared" si="12"/>
        <v>0.57000000000000739</v>
      </c>
    </row>
    <row r="544" spans="1:6" x14ac:dyDescent="0.3">
      <c r="A544" s="17">
        <v>45268</v>
      </c>
      <c r="B544">
        <v>76.08</v>
      </c>
      <c r="C544">
        <v>75.48</v>
      </c>
      <c r="D544" s="5">
        <f t="shared" si="12"/>
        <v>0.59999999999999432</v>
      </c>
    </row>
    <row r="545" spans="1:6" x14ac:dyDescent="0.3">
      <c r="A545" s="17">
        <v>45267</v>
      </c>
      <c r="B545">
        <v>75.010000000000005</v>
      </c>
      <c r="C545">
        <v>74.52</v>
      </c>
      <c r="D545" s="5">
        <f t="shared" si="12"/>
        <v>0.49000000000000909</v>
      </c>
    </row>
    <row r="546" spans="1:6" x14ac:dyDescent="0.3">
      <c r="A546" s="17">
        <v>45266</v>
      </c>
      <c r="B546">
        <v>77.540000000000006</v>
      </c>
      <c r="C546">
        <v>76.88</v>
      </c>
      <c r="D546" s="5">
        <f t="shared" si="12"/>
        <v>0.6600000000000108</v>
      </c>
    </row>
    <row r="547" spans="1:6" x14ac:dyDescent="0.3">
      <c r="A547" s="17">
        <v>45265</v>
      </c>
      <c r="B547">
        <v>78.540000000000006</v>
      </c>
      <c r="C547">
        <v>78.010000000000005</v>
      </c>
      <c r="D547" s="5">
        <f t="shared" si="12"/>
        <v>0.53000000000000114</v>
      </c>
    </row>
    <row r="548" spans="1:6" x14ac:dyDescent="0.3">
      <c r="A548" s="17">
        <v>45264</v>
      </c>
      <c r="B548">
        <v>78.040000000000006</v>
      </c>
      <c r="C548">
        <v>77.459999999999994</v>
      </c>
      <c r="D548" s="5">
        <f t="shared" si="12"/>
        <v>0.58000000000001251</v>
      </c>
    </row>
    <row r="549" spans="1:6" x14ac:dyDescent="0.3">
      <c r="A549" s="17">
        <v>45261</v>
      </c>
      <c r="B549">
        <v>81.3</v>
      </c>
      <c r="C549">
        <v>80.06</v>
      </c>
      <c r="D549" s="5">
        <f t="shared" si="12"/>
        <v>1.2399999999999949</v>
      </c>
      <c r="E549">
        <f>+AVERAGE(D549:D567)</f>
        <v>1.6892105263157895</v>
      </c>
      <c r="F549">
        <f>+E549-E569</f>
        <v>-0.77269423558897254</v>
      </c>
    </row>
    <row r="550" spans="1:6" x14ac:dyDescent="0.3">
      <c r="A550" s="17">
        <v>45260</v>
      </c>
      <c r="B550">
        <v>85.39</v>
      </c>
      <c r="C550">
        <v>83.36</v>
      </c>
      <c r="D550" s="5">
        <f t="shared" si="12"/>
        <v>2.0300000000000011</v>
      </c>
    </row>
    <row r="551" spans="1:6" x14ac:dyDescent="0.3">
      <c r="A551" s="17">
        <v>45259</v>
      </c>
      <c r="B551" s="22">
        <v>83</v>
      </c>
      <c r="C551">
        <v>81.36</v>
      </c>
      <c r="D551" s="5">
        <f t="shared" si="12"/>
        <v>1.6400000000000006</v>
      </c>
    </row>
    <row r="552" spans="1:6" x14ac:dyDescent="0.3">
      <c r="A552" s="17">
        <v>45258</v>
      </c>
      <c r="B552">
        <v>82.144999999999996</v>
      </c>
      <c r="C552">
        <v>80.319999999999993</v>
      </c>
      <c r="D552" s="5">
        <f t="shared" si="12"/>
        <v>1.8250000000000028</v>
      </c>
    </row>
    <row r="553" spans="1:6" x14ac:dyDescent="0.3">
      <c r="A553" s="17">
        <v>45257</v>
      </c>
      <c r="B553">
        <v>81.5</v>
      </c>
      <c r="C553">
        <v>79.94</v>
      </c>
      <c r="D553" s="5">
        <f t="shared" si="12"/>
        <v>1.5600000000000023</v>
      </c>
    </row>
    <row r="554" spans="1:6" x14ac:dyDescent="0.3">
      <c r="A554" s="17">
        <v>45254</v>
      </c>
      <c r="B554">
        <v>83.06</v>
      </c>
      <c r="C554">
        <v>81.260000000000005</v>
      </c>
      <c r="D554" s="5">
        <f t="shared" si="12"/>
        <v>1.7999999999999972</v>
      </c>
    </row>
    <row r="555" spans="1:6" x14ac:dyDescent="0.3">
      <c r="A555" s="17">
        <v>45253</v>
      </c>
      <c r="B555">
        <v>82.7</v>
      </c>
      <c r="C555">
        <v>80.95</v>
      </c>
      <c r="D555" s="5">
        <f t="shared" si="12"/>
        <v>1.75</v>
      </c>
    </row>
    <row r="556" spans="1:6" x14ac:dyDescent="0.3">
      <c r="A556" s="17">
        <v>45252</v>
      </c>
      <c r="B556">
        <v>84.2</v>
      </c>
      <c r="C556">
        <v>82.55</v>
      </c>
      <c r="D556" s="5">
        <f t="shared" si="12"/>
        <v>1.6500000000000057</v>
      </c>
    </row>
    <row r="557" spans="1:6" x14ac:dyDescent="0.3">
      <c r="A557" s="17">
        <v>45251</v>
      </c>
      <c r="B557">
        <v>83.4</v>
      </c>
      <c r="C557">
        <v>81.75</v>
      </c>
      <c r="D557" s="5">
        <f t="shared" si="12"/>
        <v>1.6500000000000057</v>
      </c>
    </row>
    <row r="558" spans="1:6" x14ac:dyDescent="0.3">
      <c r="A558" s="17">
        <v>45250</v>
      </c>
      <c r="B558">
        <v>82.8</v>
      </c>
      <c r="C558">
        <v>80.95</v>
      </c>
      <c r="D558" s="5">
        <f t="shared" si="12"/>
        <v>1.8499999999999943</v>
      </c>
    </row>
    <row r="559" spans="1:6" x14ac:dyDescent="0.3">
      <c r="A559" s="17">
        <v>45247</v>
      </c>
      <c r="B559">
        <v>79.260000000000005</v>
      </c>
      <c r="C559">
        <v>77.650000000000006</v>
      </c>
      <c r="D559" s="5">
        <f t="shared" si="12"/>
        <v>1.6099999999999994</v>
      </c>
    </row>
    <row r="560" spans="1:6" x14ac:dyDescent="0.3">
      <c r="A560" s="17">
        <v>45246</v>
      </c>
      <c r="B560">
        <v>81.680000000000007</v>
      </c>
      <c r="C560">
        <v>80.11</v>
      </c>
      <c r="D560" s="5">
        <f t="shared" si="12"/>
        <v>1.5700000000000074</v>
      </c>
    </row>
    <row r="561" spans="1:6" x14ac:dyDescent="0.3">
      <c r="A561" s="17">
        <v>45245</v>
      </c>
      <c r="B561">
        <v>83.24</v>
      </c>
      <c r="C561">
        <v>81.650000000000006</v>
      </c>
      <c r="D561" s="5">
        <f t="shared" si="12"/>
        <v>1.5899999999999892</v>
      </c>
    </row>
    <row r="562" spans="1:6" x14ac:dyDescent="0.3">
      <c r="A562" s="17">
        <v>45244</v>
      </c>
      <c r="B562">
        <v>83.355000000000004</v>
      </c>
      <c r="C562">
        <v>81.7</v>
      </c>
      <c r="D562" s="5">
        <f t="shared" si="12"/>
        <v>1.6550000000000011</v>
      </c>
    </row>
    <row r="563" spans="1:6" x14ac:dyDescent="0.3">
      <c r="A563" s="17">
        <v>45240</v>
      </c>
      <c r="B563">
        <v>81.61</v>
      </c>
      <c r="C563">
        <v>79.97</v>
      </c>
      <c r="D563" s="5">
        <f t="shared" si="12"/>
        <v>1.6400000000000006</v>
      </c>
    </row>
    <row r="564" spans="1:6" x14ac:dyDescent="0.3">
      <c r="A564" s="17">
        <v>45239</v>
      </c>
      <c r="B564">
        <v>81.3</v>
      </c>
      <c r="C564">
        <v>79.67</v>
      </c>
      <c r="D564" s="5">
        <f t="shared" si="12"/>
        <v>1.6299999999999955</v>
      </c>
    </row>
    <row r="565" spans="1:6" x14ac:dyDescent="0.3">
      <c r="A565" s="17">
        <v>45238</v>
      </c>
      <c r="B565">
        <v>82.75</v>
      </c>
      <c r="C565">
        <v>81.09</v>
      </c>
      <c r="D565" s="5">
        <f t="shared" si="12"/>
        <v>1.6599999999999966</v>
      </c>
    </row>
    <row r="566" spans="1:6" x14ac:dyDescent="0.3">
      <c r="A566" s="17">
        <v>45237</v>
      </c>
      <c r="B566">
        <v>85.045000000000002</v>
      </c>
      <c r="C566">
        <v>83.15</v>
      </c>
      <c r="D566" s="5">
        <f t="shared" si="12"/>
        <v>1.894999999999996</v>
      </c>
    </row>
    <row r="567" spans="1:6" x14ac:dyDescent="0.3">
      <c r="A567" s="17">
        <v>45236</v>
      </c>
      <c r="B567">
        <v>86.9</v>
      </c>
      <c r="C567">
        <v>85.05</v>
      </c>
      <c r="D567" s="5">
        <f t="shared" si="12"/>
        <v>1.8500000000000085</v>
      </c>
    </row>
    <row r="568" spans="1:6" x14ac:dyDescent="0.3">
      <c r="A568" s="17">
        <v>45233</v>
      </c>
      <c r="B568">
        <v>88.245000000000005</v>
      </c>
      <c r="C568">
        <v>86.18</v>
      </c>
      <c r="D568" s="5">
        <f t="shared" si="12"/>
        <v>2.0649999999999977</v>
      </c>
    </row>
    <row r="569" spans="1:6" x14ac:dyDescent="0.3">
      <c r="A569" s="17">
        <v>45232</v>
      </c>
      <c r="B569">
        <v>86.944999999999993</v>
      </c>
      <c r="C569">
        <v>85.01</v>
      </c>
      <c r="D569" s="5">
        <f t="shared" si="12"/>
        <v>1.9349999999999881</v>
      </c>
      <c r="E569">
        <f>+AVERAGE(D569:D589)</f>
        <v>2.461904761904762</v>
      </c>
      <c r="F569">
        <f>+E569-E592</f>
        <v>-0.20784523809523625</v>
      </c>
    </row>
    <row r="570" spans="1:6" x14ac:dyDescent="0.3">
      <c r="A570" s="17">
        <v>45231</v>
      </c>
      <c r="B570">
        <v>86.26</v>
      </c>
      <c r="C570">
        <v>84.27</v>
      </c>
      <c r="D570" s="5">
        <f t="shared" si="12"/>
        <v>1.9900000000000091</v>
      </c>
    </row>
    <row r="571" spans="1:6" x14ac:dyDescent="0.3">
      <c r="A571" s="17">
        <v>45230</v>
      </c>
      <c r="B571">
        <v>88.06</v>
      </c>
      <c r="C571">
        <v>86.54</v>
      </c>
      <c r="D571" s="5">
        <f t="shared" si="12"/>
        <v>1.519999999999996</v>
      </c>
    </row>
    <row r="572" spans="1:6" x14ac:dyDescent="0.3">
      <c r="A572" s="17">
        <v>45229</v>
      </c>
      <c r="B572">
        <v>89.86</v>
      </c>
      <c r="C572">
        <v>87.22</v>
      </c>
      <c r="D572" s="5">
        <f t="shared" si="12"/>
        <v>2.6400000000000006</v>
      </c>
    </row>
    <row r="573" spans="1:6" x14ac:dyDescent="0.3">
      <c r="A573" s="17">
        <v>45226</v>
      </c>
      <c r="B573">
        <v>89.745000000000005</v>
      </c>
      <c r="C573">
        <v>87.97</v>
      </c>
      <c r="D573" s="5">
        <f t="shared" si="12"/>
        <v>1.7750000000000057</v>
      </c>
    </row>
    <row r="574" spans="1:6" x14ac:dyDescent="0.3">
      <c r="A574" s="17">
        <v>45225</v>
      </c>
      <c r="B574">
        <v>90.12</v>
      </c>
      <c r="C574">
        <v>88.18</v>
      </c>
      <c r="D574" s="5">
        <f t="shared" si="12"/>
        <v>1.9399999999999977</v>
      </c>
    </row>
    <row r="575" spans="1:6" x14ac:dyDescent="0.3">
      <c r="A575" s="17">
        <v>45224</v>
      </c>
      <c r="B575">
        <v>89.04</v>
      </c>
      <c r="C575">
        <v>87.1</v>
      </c>
      <c r="D575" s="5">
        <f t="shared" si="12"/>
        <v>1.9400000000000119</v>
      </c>
    </row>
    <row r="576" spans="1:6" x14ac:dyDescent="0.3">
      <c r="A576" s="17">
        <v>45223</v>
      </c>
      <c r="B576">
        <v>90.5</v>
      </c>
      <c r="C576">
        <v>88.22</v>
      </c>
      <c r="D576" s="5">
        <f t="shared" si="12"/>
        <v>2.2800000000000011</v>
      </c>
    </row>
    <row r="577" spans="1:6" x14ac:dyDescent="0.3">
      <c r="A577" s="17">
        <v>45222</v>
      </c>
      <c r="B577">
        <v>92.35</v>
      </c>
      <c r="C577">
        <v>90.29</v>
      </c>
      <c r="D577" s="5">
        <f t="shared" si="12"/>
        <v>2.0599999999999881</v>
      </c>
    </row>
    <row r="578" spans="1:6" x14ac:dyDescent="0.3">
      <c r="A578" s="17">
        <v>45219</v>
      </c>
      <c r="B578">
        <v>93.45</v>
      </c>
      <c r="C578">
        <v>91.16</v>
      </c>
      <c r="D578" s="5">
        <f t="shared" si="12"/>
        <v>2.2900000000000063</v>
      </c>
    </row>
    <row r="579" spans="1:6" x14ac:dyDescent="0.3">
      <c r="A579" s="17">
        <v>45218</v>
      </c>
      <c r="B579">
        <v>91.2</v>
      </c>
      <c r="C579">
        <v>88.78</v>
      </c>
      <c r="D579" s="5">
        <f t="shared" si="12"/>
        <v>2.4200000000000017</v>
      </c>
    </row>
    <row r="580" spans="1:6" x14ac:dyDescent="0.3">
      <c r="A580" s="17">
        <v>45217</v>
      </c>
      <c r="B580">
        <v>92.49</v>
      </c>
      <c r="C580">
        <v>89.67</v>
      </c>
      <c r="D580" s="5">
        <f t="shared" si="12"/>
        <v>2.8199999999999932</v>
      </c>
    </row>
    <row r="581" spans="1:6" x14ac:dyDescent="0.3">
      <c r="A581" s="17">
        <v>45216</v>
      </c>
      <c r="B581">
        <v>90.79</v>
      </c>
      <c r="C581">
        <v>87.73</v>
      </c>
      <c r="D581" s="5">
        <f t="shared" si="12"/>
        <v>3.0600000000000023</v>
      </c>
    </row>
    <row r="582" spans="1:6" x14ac:dyDescent="0.3">
      <c r="A582" s="17">
        <v>45215</v>
      </c>
      <c r="B582">
        <v>91.14</v>
      </c>
      <c r="C582">
        <v>88.28</v>
      </c>
      <c r="D582" s="5">
        <f t="shared" si="12"/>
        <v>2.8599999999999994</v>
      </c>
    </row>
    <row r="583" spans="1:6" x14ac:dyDescent="0.3">
      <c r="A583" s="17">
        <v>45212</v>
      </c>
      <c r="B583">
        <v>88.91</v>
      </c>
      <c r="C583">
        <v>86.15</v>
      </c>
      <c r="D583" s="5">
        <f t="shared" si="12"/>
        <v>2.7599999999999909</v>
      </c>
    </row>
    <row r="584" spans="1:6" x14ac:dyDescent="0.3">
      <c r="A584" s="17">
        <v>45211</v>
      </c>
      <c r="B584">
        <v>87.28</v>
      </c>
      <c r="C584">
        <v>84.7</v>
      </c>
      <c r="D584" s="5">
        <f t="shared" si="12"/>
        <v>2.5799999999999983</v>
      </c>
    </row>
    <row r="585" spans="1:6" x14ac:dyDescent="0.3">
      <c r="A585" s="17">
        <v>45210</v>
      </c>
      <c r="B585">
        <v>88.21</v>
      </c>
      <c r="C585">
        <v>85.49</v>
      </c>
      <c r="D585" s="5">
        <f t="shared" si="12"/>
        <v>2.7199999999999989</v>
      </c>
    </row>
    <row r="586" spans="1:6" x14ac:dyDescent="0.3">
      <c r="A586" s="17">
        <v>45209</v>
      </c>
      <c r="B586">
        <v>88.495000000000005</v>
      </c>
      <c r="C586">
        <v>85.43</v>
      </c>
      <c r="D586" s="5">
        <f t="shared" si="12"/>
        <v>3.0649999999999977</v>
      </c>
    </row>
    <row r="587" spans="1:6" x14ac:dyDescent="0.3">
      <c r="A587" s="17">
        <v>45208</v>
      </c>
      <c r="B587">
        <v>87.055000000000007</v>
      </c>
      <c r="C587">
        <v>84.19</v>
      </c>
      <c r="D587" s="5">
        <f t="shared" si="12"/>
        <v>2.8650000000000091</v>
      </c>
    </row>
    <row r="588" spans="1:6" x14ac:dyDescent="0.3">
      <c r="A588" s="17">
        <v>45205</v>
      </c>
      <c r="B588">
        <v>84.84</v>
      </c>
      <c r="C588">
        <v>81.86</v>
      </c>
      <c r="D588" s="5">
        <f t="shared" si="12"/>
        <v>2.980000000000004</v>
      </c>
    </row>
    <row r="589" spans="1:6" x14ac:dyDescent="0.3">
      <c r="A589" s="17">
        <v>45204</v>
      </c>
      <c r="B589">
        <v>86.3</v>
      </c>
      <c r="C589">
        <v>83.1</v>
      </c>
      <c r="D589" s="5">
        <f t="shared" si="12"/>
        <v>3.2000000000000028</v>
      </c>
    </row>
    <row r="590" spans="1:6" x14ac:dyDescent="0.3">
      <c r="A590" s="17">
        <v>45203</v>
      </c>
      <c r="B590">
        <v>90.67</v>
      </c>
      <c r="C590">
        <v>87.23</v>
      </c>
      <c r="D590" s="5">
        <f t="shared" si="12"/>
        <v>3.4399999999999977</v>
      </c>
    </row>
    <row r="591" spans="1:6" x14ac:dyDescent="0.3">
      <c r="A591" s="17">
        <v>45202</v>
      </c>
      <c r="B591">
        <v>91.1</v>
      </c>
      <c r="C591">
        <v>87.66</v>
      </c>
      <c r="D591" s="5">
        <f t="shared" si="12"/>
        <v>3.4399999999999977</v>
      </c>
    </row>
    <row r="592" spans="1:6" x14ac:dyDescent="0.3">
      <c r="A592" s="17">
        <v>45201</v>
      </c>
      <c r="B592">
        <v>93.11</v>
      </c>
      <c r="C592">
        <v>89.38</v>
      </c>
      <c r="D592" s="5">
        <f t="shared" si="12"/>
        <v>3.730000000000004</v>
      </c>
      <c r="E592">
        <f>+AVERAGE(D592:D611)</f>
        <v>2.6697499999999983</v>
      </c>
      <c r="F592">
        <f>+E592-E613</f>
        <v>0.70308333333333128</v>
      </c>
    </row>
    <row r="593" spans="1:4" x14ac:dyDescent="0.3">
      <c r="A593" s="17">
        <v>45198</v>
      </c>
      <c r="B593">
        <v>96.12</v>
      </c>
      <c r="C593">
        <v>91.48</v>
      </c>
      <c r="D593" s="5">
        <f t="shared" si="12"/>
        <v>4.6400000000000006</v>
      </c>
    </row>
    <row r="594" spans="1:4" x14ac:dyDescent="0.3">
      <c r="A594" s="17">
        <v>45197</v>
      </c>
      <c r="B594">
        <v>96.77</v>
      </c>
      <c r="C594">
        <v>92.54</v>
      </c>
      <c r="D594" s="5">
        <f t="shared" si="12"/>
        <v>4.2299999999999898</v>
      </c>
    </row>
    <row r="595" spans="1:4" x14ac:dyDescent="0.3">
      <c r="A595" s="17">
        <v>45196</v>
      </c>
      <c r="B595">
        <v>95.45</v>
      </c>
      <c r="C595">
        <v>92.04</v>
      </c>
      <c r="D595" s="5">
        <f t="shared" si="12"/>
        <v>3.4099999999999966</v>
      </c>
    </row>
    <row r="596" spans="1:4" x14ac:dyDescent="0.3">
      <c r="A596" s="17">
        <v>45195</v>
      </c>
      <c r="B596">
        <v>92.84</v>
      </c>
      <c r="C596">
        <v>90.03</v>
      </c>
      <c r="D596" s="5">
        <f t="shared" si="12"/>
        <v>2.8100000000000023</v>
      </c>
    </row>
    <row r="597" spans="1:4" x14ac:dyDescent="0.3">
      <c r="A597" s="17">
        <v>45194</v>
      </c>
      <c r="B597">
        <v>94.1</v>
      </c>
      <c r="C597">
        <v>91.23</v>
      </c>
      <c r="D597" s="5">
        <f t="shared" si="12"/>
        <v>2.8699999999999903</v>
      </c>
    </row>
    <row r="598" spans="1:4" x14ac:dyDescent="0.3">
      <c r="A598" s="17">
        <v>45191</v>
      </c>
      <c r="B598">
        <v>94.3</v>
      </c>
      <c r="C598">
        <v>91.79</v>
      </c>
      <c r="D598" s="5">
        <f t="shared" si="12"/>
        <v>2.5099999999999909</v>
      </c>
    </row>
    <row r="599" spans="1:4" x14ac:dyDescent="0.3">
      <c r="A599" s="17">
        <v>45190</v>
      </c>
      <c r="B599">
        <v>93.24</v>
      </c>
      <c r="C599">
        <v>90.69</v>
      </c>
      <c r="D599" s="5">
        <f t="shared" si="12"/>
        <v>2.5499999999999972</v>
      </c>
    </row>
    <row r="600" spans="1:4" x14ac:dyDescent="0.3">
      <c r="A600" s="17">
        <v>45189</v>
      </c>
      <c r="B600">
        <v>93.86</v>
      </c>
      <c r="C600">
        <v>91.24</v>
      </c>
      <c r="D600" s="5">
        <f t="shared" si="12"/>
        <v>2.6200000000000045</v>
      </c>
    </row>
    <row r="601" spans="1:4" x14ac:dyDescent="0.3">
      <c r="A601" s="17">
        <v>45188</v>
      </c>
      <c r="B601">
        <v>95.2</v>
      </c>
      <c r="C601">
        <v>92.48</v>
      </c>
      <c r="D601" s="5">
        <f t="shared" si="12"/>
        <v>2.7199999999999989</v>
      </c>
    </row>
    <row r="602" spans="1:4" x14ac:dyDescent="0.3">
      <c r="A602" s="17">
        <v>45187</v>
      </c>
      <c r="B602">
        <v>95.21</v>
      </c>
      <c r="C602">
        <v>92.86</v>
      </c>
      <c r="D602" s="5">
        <f t="shared" si="12"/>
        <v>2.3499999999999943</v>
      </c>
    </row>
    <row r="603" spans="1:4" x14ac:dyDescent="0.3">
      <c r="A603" s="17">
        <v>45184</v>
      </c>
      <c r="B603">
        <v>95.55</v>
      </c>
      <c r="C603">
        <v>93.26</v>
      </c>
      <c r="D603" s="5">
        <f t="shared" si="12"/>
        <v>2.289999999999992</v>
      </c>
    </row>
    <row r="604" spans="1:4" x14ac:dyDescent="0.3">
      <c r="A604" s="17">
        <v>45183</v>
      </c>
      <c r="B604">
        <v>93.85</v>
      </c>
      <c r="C604">
        <v>91.75</v>
      </c>
      <c r="D604" s="5">
        <f t="shared" ref="D604:D667" si="13">+B604-C604</f>
        <v>2.0999999999999943</v>
      </c>
    </row>
    <row r="605" spans="1:4" x14ac:dyDescent="0.3">
      <c r="A605" s="17">
        <v>45182</v>
      </c>
      <c r="B605">
        <v>93.9</v>
      </c>
      <c r="C605">
        <v>91.58</v>
      </c>
      <c r="D605" s="5">
        <f t="shared" si="13"/>
        <v>2.3200000000000074</v>
      </c>
    </row>
    <row r="606" spans="1:4" x14ac:dyDescent="0.3">
      <c r="A606" s="17">
        <v>45181</v>
      </c>
      <c r="B606">
        <v>92.35</v>
      </c>
      <c r="C606">
        <v>90.27</v>
      </c>
      <c r="D606" s="5">
        <f t="shared" si="13"/>
        <v>2.0799999999999983</v>
      </c>
    </row>
    <row r="607" spans="1:4" x14ac:dyDescent="0.3">
      <c r="A607" s="17">
        <v>45180</v>
      </c>
      <c r="B607">
        <v>91.6</v>
      </c>
      <c r="C607">
        <v>89.53</v>
      </c>
      <c r="D607" s="5">
        <f t="shared" si="13"/>
        <v>2.0699999999999932</v>
      </c>
    </row>
    <row r="608" spans="1:4" x14ac:dyDescent="0.3">
      <c r="A608" s="17">
        <v>45177</v>
      </c>
      <c r="B608">
        <v>91.09</v>
      </c>
      <c r="C608">
        <v>88.98</v>
      </c>
      <c r="D608" s="5">
        <f t="shared" si="13"/>
        <v>2.1099999999999994</v>
      </c>
    </row>
    <row r="609" spans="1:6" x14ac:dyDescent="0.3">
      <c r="A609" s="17">
        <v>45176</v>
      </c>
      <c r="B609">
        <v>91.495000000000005</v>
      </c>
      <c r="C609">
        <v>89.36</v>
      </c>
      <c r="D609" s="5">
        <f t="shared" si="13"/>
        <v>2.1350000000000051</v>
      </c>
    </row>
    <row r="610" spans="1:6" x14ac:dyDescent="0.3">
      <c r="A610" s="17">
        <v>45175</v>
      </c>
      <c r="B610">
        <v>90.59</v>
      </c>
      <c r="C610">
        <v>88.57</v>
      </c>
      <c r="D610" s="5">
        <f t="shared" si="13"/>
        <v>2.0200000000000102</v>
      </c>
    </row>
    <row r="611" spans="1:6" x14ac:dyDescent="0.3">
      <c r="A611" s="17">
        <v>45174</v>
      </c>
      <c r="B611">
        <v>89.21</v>
      </c>
      <c r="C611">
        <v>87.38</v>
      </c>
      <c r="D611" s="5">
        <f t="shared" si="13"/>
        <v>1.8299999999999983</v>
      </c>
    </row>
    <row r="612" spans="1:6" x14ac:dyDescent="0.3">
      <c r="A612" s="17">
        <v>45173</v>
      </c>
      <c r="B612">
        <v>89.48</v>
      </c>
      <c r="C612">
        <v>87.65</v>
      </c>
      <c r="D612" s="5">
        <f t="shared" si="13"/>
        <v>1.8299999999999983</v>
      </c>
    </row>
    <row r="613" spans="1:6" x14ac:dyDescent="0.3">
      <c r="A613" s="17">
        <v>45169</v>
      </c>
      <c r="B613">
        <v>87.54</v>
      </c>
      <c r="C613">
        <v>85.72</v>
      </c>
      <c r="D613" s="5">
        <f t="shared" si="13"/>
        <v>1.8200000000000074</v>
      </c>
      <c r="E613">
        <f>+AVERAGE(D613:D630)</f>
        <v>1.966666666666667</v>
      </c>
      <c r="F613">
        <f>+E613-E633</f>
        <v>0.34214285714286041</v>
      </c>
    </row>
    <row r="614" spans="1:6" x14ac:dyDescent="0.3">
      <c r="A614" s="17">
        <v>45168</v>
      </c>
      <c r="B614">
        <v>86.79</v>
      </c>
      <c r="C614">
        <v>85.09</v>
      </c>
      <c r="D614" s="5">
        <f t="shared" si="13"/>
        <v>1.7000000000000028</v>
      </c>
    </row>
    <row r="615" spans="1:6" x14ac:dyDescent="0.3">
      <c r="A615" s="17">
        <v>45167</v>
      </c>
      <c r="B615">
        <v>86.1</v>
      </c>
      <c r="C615">
        <v>84.21</v>
      </c>
      <c r="D615" s="5">
        <f t="shared" si="13"/>
        <v>1.8900000000000006</v>
      </c>
    </row>
    <row r="616" spans="1:6" x14ac:dyDescent="0.3">
      <c r="A616" s="17">
        <v>45166</v>
      </c>
      <c r="B616">
        <v>86.3</v>
      </c>
      <c r="C616">
        <v>84.5</v>
      </c>
      <c r="D616" s="5">
        <f t="shared" si="13"/>
        <v>1.7999999999999972</v>
      </c>
    </row>
    <row r="617" spans="1:6" x14ac:dyDescent="0.3">
      <c r="A617" s="17">
        <v>45163</v>
      </c>
      <c r="B617">
        <v>86.2</v>
      </c>
      <c r="C617">
        <v>84.32</v>
      </c>
      <c r="D617" s="5">
        <f t="shared" si="13"/>
        <v>1.8800000000000097</v>
      </c>
    </row>
    <row r="618" spans="1:6" x14ac:dyDescent="0.3">
      <c r="A618" s="17">
        <v>45162</v>
      </c>
      <c r="B618">
        <v>85.1</v>
      </c>
      <c r="C618">
        <v>83.11</v>
      </c>
      <c r="D618" s="5">
        <f t="shared" si="13"/>
        <v>1.9899999999999949</v>
      </c>
    </row>
    <row r="619" spans="1:6" x14ac:dyDescent="0.3">
      <c r="A619" s="17">
        <v>45161</v>
      </c>
      <c r="B619">
        <v>85.35</v>
      </c>
      <c r="C619">
        <v>83.48</v>
      </c>
      <c r="D619" s="5">
        <f t="shared" si="13"/>
        <v>1.8699999999999903</v>
      </c>
    </row>
    <row r="620" spans="1:6" x14ac:dyDescent="0.3">
      <c r="A620" s="17">
        <v>45160</v>
      </c>
      <c r="B620">
        <v>85.75</v>
      </c>
      <c r="C620">
        <v>83.89</v>
      </c>
      <c r="D620" s="5">
        <f t="shared" si="13"/>
        <v>1.8599999999999994</v>
      </c>
    </row>
    <row r="621" spans="1:6" x14ac:dyDescent="0.3">
      <c r="A621" s="17">
        <v>45159</v>
      </c>
      <c r="B621">
        <v>86.94</v>
      </c>
      <c r="C621">
        <v>85.01</v>
      </c>
      <c r="D621" s="5">
        <f t="shared" si="13"/>
        <v>1.9299999999999926</v>
      </c>
    </row>
    <row r="622" spans="1:6" x14ac:dyDescent="0.3">
      <c r="A622" s="17">
        <v>45156</v>
      </c>
      <c r="B622">
        <v>85.4</v>
      </c>
      <c r="C622">
        <v>83.46</v>
      </c>
      <c r="D622" s="5">
        <f t="shared" si="13"/>
        <v>1.9400000000000119</v>
      </c>
    </row>
    <row r="623" spans="1:6" x14ac:dyDescent="0.3">
      <c r="A623" s="17">
        <v>45155</v>
      </c>
      <c r="B623">
        <v>84.95</v>
      </c>
      <c r="C623">
        <v>82.97</v>
      </c>
      <c r="D623" s="5">
        <f t="shared" si="13"/>
        <v>1.980000000000004</v>
      </c>
    </row>
    <row r="624" spans="1:6" x14ac:dyDescent="0.3">
      <c r="A624" s="17">
        <v>45154</v>
      </c>
      <c r="B624">
        <v>86.05</v>
      </c>
      <c r="C624">
        <v>84.11</v>
      </c>
      <c r="D624" s="5">
        <f t="shared" si="13"/>
        <v>1.9399999999999977</v>
      </c>
    </row>
    <row r="625" spans="1:6" x14ac:dyDescent="0.3">
      <c r="A625" s="17">
        <v>45153</v>
      </c>
      <c r="B625">
        <v>87.15</v>
      </c>
      <c r="C625">
        <v>85.01</v>
      </c>
      <c r="D625" s="5">
        <f t="shared" si="13"/>
        <v>2.1400000000000006</v>
      </c>
    </row>
    <row r="626" spans="1:6" x14ac:dyDescent="0.3">
      <c r="A626" s="17">
        <v>45152</v>
      </c>
      <c r="B626">
        <v>87.6</v>
      </c>
      <c r="C626">
        <v>85.52</v>
      </c>
      <c r="D626" s="5">
        <f t="shared" si="13"/>
        <v>2.0799999999999983</v>
      </c>
    </row>
    <row r="627" spans="1:6" x14ac:dyDescent="0.3">
      <c r="A627" s="17">
        <v>45149</v>
      </c>
      <c r="B627">
        <v>87.89</v>
      </c>
      <c r="C627">
        <v>85.77</v>
      </c>
      <c r="D627" s="5">
        <f t="shared" si="13"/>
        <v>2.1200000000000045</v>
      </c>
    </row>
    <row r="628" spans="1:6" x14ac:dyDescent="0.3">
      <c r="A628" s="17">
        <v>45148</v>
      </c>
      <c r="B628">
        <v>89.04</v>
      </c>
      <c r="C628">
        <v>86.87</v>
      </c>
      <c r="D628" s="5">
        <f t="shared" si="13"/>
        <v>2.1700000000000017</v>
      </c>
    </row>
    <row r="629" spans="1:6" x14ac:dyDescent="0.3">
      <c r="A629" s="17">
        <v>45146</v>
      </c>
      <c r="B629">
        <v>87.1</v>
      </c>
      <c r="C629">
        <v>85.02</v>
      </c>
      <c r="D629" s="5">
        <f t="shared" si="13"/>
        <v>2.0799999999999983</v>
      </c>
    </row>
    <row r="630" spans="1:6" x14ac:dyDescent="0.3">
      <c r="A630" s="17">
        <v>45145</v>
      </c>
      <c r="B630">
        <v>87.74</v>
      </c>
      <c r="C630">
        <v>85.53</v>
      </c>
      <c r="D630" s="5">
        <f t="shared" si="13"/>
        <v>2.2099999999999937</v>
      </c>
    </row>
    <row r="631" spans="1:6" x14ac:dyDescent="0.3">
      <c r="A631" s="17">
        <v>45142</v>
      </c>
      <c r="B631">
        <v>87.105000000000004</v>
      </c>
      <c r="C631">
        <v>84.89</v>
      </c>
      <c r="D631" s="5">
        <f t="shared" si="13"/>
        <v>2.2150000000000034</v>
      </c>
    </row>
    <row r="632" spans="1:6" x14ac:dyDescent="0.3">
      <c r="A632" s="17">
        <v>45141</v>
      </c>
      <c r="B632">
        <v>83.98</v>
      </c>
      <c r="C632">
        <v>82.09</v>
      </c>
      <c r="D632" s="5">
        <f t="shared" si="13"/>
        <v>1.8900000000000006</v>
      </c>
    </row>
    <row r="633" spans="1:6" x14ac:dyDescent="0.3">
      <c r="A633" s="17">
        <v>45140</v>
      </c>
      <c r="B633">
        <v>86.305000000000007</v>
      </c>
      <c r="C633">
        <v>84.26</v>
      </c>
      <c r="D633" s="5">
        <f t="shared" si="13"/>
        <v>2.0450000000000017</v>
      </c>
      <c r="E633">
        <f>+AVERAGE(D633:D653)</f>
        <v>1.6245238095238066</v>
      </c>
      <c r="F633">
        <f>+E633-E656</f>
        <v>0.49847117794486029</v>
      </c>
    </row>
    <row r="634" spans="1:6" x14ac:dyDescent="0.3">
      <c r="A634" s="17">
        <v>45139</v>
      </c>
      <c r="B634">
        <v>85.84</v>
      </c>
      <c r="C634">
        <v>83.93</v>
      </c>
      <c r="D634" s="5">
        <f t="shared" si="13"/>
        <v>1.9099999999999966</v>
      </c>
    </row>
    <row r="635" spans="1:6" x14ac:dyDescent="0.3">
      <c r="A635" s="17">
        <v>45138</v>
      </c>
      <c r="B635">
        <v>85.644999999999996</v>
      </c>
      <c r="C635">
        <v>83.97</v>
      </c>
      <c r="D635" s="5">
        <f t="shared" si="13"/>
        <v>1.6749999999999972</v>
      </c>
    </row>
    <row r="636" spans="1:6" x14ac:dyDescent="0.3">
      <c r="A636" s="17">
        <v>45135</v>
      </c>
      <c r="B636">
        <v>84.7</v>
      </c>
      <c r="C636">
        <v>83.31</v>
      </c>
      <c r="D636" s="5">
        <f t="shared" si="13"/>
        <v>1.3900000000000006</v>
      </c>
    </row>
    <row r="637" spans="1:6" x14ac:dyDescent="0.3">
      <c r="A637" s="17">
        <v>45134</v>
      </c>
      <c r="B637">
        <v>84.1</v>
      </c>
      <c r="C637">
        <v>82.72</v>
      </c>
      <c r="D637" s="5">
        <f t="shared" si="13"/>
        <v>1.3799999999999955</v>
      </c>
    </row>
    <row r="638" spans="1:6" x14ac:dyDescent="0.3">
      <c r="A638" s="17">
        <v>45133</v>
      </c>
      <c r="B638">
        <v>84.3</v>
      </c>
      <c r="C638">
        <v>82.38</v>
      </c>
      <c r="D638" s="5">
        <f t="shared" si="13"/>
        <v>1.9200000000000017</v>
      </c>
    </row>
    <row r="639" spans="1:6" x14ac:dyDescent="0.3">
      <c r="A639" s="17">
        <v>45132</v>
      </c>
      <c r="B639">
        <v>84.254999999999995</v>
      </c>
      <c r="C639">
        <v>82.43</v>
      </c>
      <c r="D639" s="5">
        <f t="shared" si="13"/>
        <v>1.8249999999999886</v>
      </c>
    </row>
    <row r="640" spans="1:6" x14ac:dyDescent="0.3">
      <c r="A640" s="17">
        <v>45131</v>
      </c>
      <c r="B640">
        <v>82.51</v>
      </c>
      <c r="C640">
        <v>80.760000000000005</v>
      </c>
      <c r="D640" s="5">
        <f t="shared" si="13"/>
        <v>1.75</v>
      </c>
    </row>
    <row r="641" spans="1:6" x14ac:dyDescent="0.3">
      <c r="A641" s="17">
        <v>45128</v>
      </c>
      <c r="B641">
        <v>81.739999999999995</v>
      </c>
      <c r="C641">
        <v>79.959999999999994</v>
      </c>
      <c r="D641" s="5">
        <f t="shared" si="13"/>
        <v>1.7800000000000011</v>
      </c>
    </row>
    <row r="642" spans="1:6" x14ac:dyDescent="0.3">
      <c r="A642" s="17">
        <v>45127</v>
      </c>
      <c r="B642">
        <v>81.05</v>
      </c>
      <c r="C642">
        <v>79.52</v>
      </c>
      <c r="D642" s="5">
        <f t="shared" si="13"/>
        <v>1.5300000000000011</v>
      </c>
    </row>
    <row r="643" spans="1:6" x14ac:dyDescent="0.3">
      <c r="A643" s="17">
        <v>45126</v>
      </c>
      <c r="B643" s="22">
        <v>81</v>
      </c>
      <c r="C643">
        <v>79.47</v>
      </c>
      <c r="D643" s="5">
        <f t="shared" si="13"/>
        <v>1.5300000000000011</v>
      </c>
    </row>
    <row r="644" spans="1:6" x14ac:dyDescent="0.3">
      <c r="A644" s="17">
        <v>45125</v>
      </c>
      <c r="B644">
        <v>79.599999999999994</v>
      </c>
      <c r="C644">
        <v>78.150000000000006</v>
      </c>
      <c r="D644" s="5">
        <f t="shared" si="13"/>
        <v>1.4499999999999886</v>
      </c>
    </row>
    <row r="645" spans="1:6" x14ac:dyDescent="0.3">
      <c r="A645" s="17">
        <v>45124</v>
      </c>
      <c r="B645">
        <v>79.459999999999994</v>
      </c>
      <c r="C645">
        <v>78.010000000000005</v>
      </c>
      <c r="D645" s="5">
        <f t="shared" si="13"/>
        <v>1.4499999999999886</v>
      </c>
    </row>
    <row r="646" spans="1:6" x14ac:dyDescent="0.3">
      <c r="A646" s="17">
        <v>45121</v>
      </c>
      <c r="B646">
        <v>81.94</v>
      </c>
      <c r="C646">
        <v>80.11</v>
      </c>
      <c r="D646" s="5">
        <f t="shared" si="13"/>
        <v>1.8299999999999983</v>
      </c>
    </row>
    <row r="647" spans="1:6" x14ac:dyDescent="0.3">
      <c r="A647" s="17">
        <v>45120</v>
      </c>
      <c r="B647">
        <v>81.099999999999994</v>
      </c>
      <c r="C647">
        <v>79.37</v>
      </c>
      <c r="D647" s="5">
        <f t="shared" si="13"/>
        <v>1.7299999999999898</v>
      </c>
    </row>
    <row r="648" spans="1:6" x14ac:dyDescent="0.3">
      <c r="A648" s="17">
        <v>45119</v>
      </c>
      <c r="B648">
        <v>79.900000000000006</v>
      </c>
      <c r="C648">
        <v>78.3</v>
      </c>
      <c r="D648" s="5">
        <f t="shared" si="13"/>
        <v>1.6000000000000085</v>
      </c>
    </row>
    <row r="649" spans="1:6" x14ac:dyDescent="0.3">
      <c r="A649" s="17">
        <v>45118</v>
      </c>
      <c r="B649">
        <v>78.8</v>
      </c>
      <c r="C649">
        <v>77.31</v>
      </c>
      <c r="D649" s="5">
        <f t="shared" si="13"/>
        <v>1.4899999999999949</v>
      </c>
    </row>
    <row r="650" spans="1:6" x14ac:dyDescent="0.3">
      <c r="A650" s="17">
        <v>45117</v>
      </c>
      <c r="B650">
        <v>78.27</v>
      </c>
      <c r="C650">
        <v>76.760000000000005</v>
      </c>
      <c r="D650" s="5">
        <f t="shared" si="13"/>
        <v>1.5099999999999909</v>
      </c>
    </row>
    <row r="651" spans="1:6" x14ac:dyDescent="0.3">
      <c r="A651" s="17">
        <v>45114</v>
      </c>
      <c r="B651">
        <v>77.849999999999994</v>
      </c>
      <c r="C651">
        <v>76.040000000000006</v>
      </c>
      <c r="D651" s="5">
        <f t="shared" si="13"/>
        <v>1.8099999999999881</v>
      </c>
    </row>
    <row r="652" spans="1:6" x14ac:dyDescent="0.3">
      <c r="A652" s="17">
        <v>45113</v>
      </c>
      <c r="B652">
        <v>77.3</v>
      </c>
      <c r="C652">
        <v>75.87</v>
      </c>
      <c r="D652" s="5">
        <f t="shared" si="13"/>
        <v>1.4299999999999926</v>
      </c>
    </row>
    <row r="653" spans="1:6" x14ac:dyDescent="0.3">
      <c r="A653" s="17">
        <v>45112</v>
      </c>
      <c r="B653">
        <v>75.430000000000007</v>
      </c>
      <c r="C653">
        <v>74.349999999999994</v>
      </c>
      <c r="D653" s="5">
        <f t="shared" si="13"/>
        <v>1.0800000000000125</v>
      </c>
    </row>
    <row r="654" spans="1:6" x14ac:dyDescent="0.3">
      <c r="A654" s="17">
        <v>45111</v>
      </c>
      <c r="B654">
        <v>75.194999999999993</v>
      </c>
      <c r="C654">
        <v>74.13</v>
      </c>
      <c r="D654" s="5">
        <f t="shared" si="13"/>
        <v>1.0649999999999977</v>
      </c>
    </row>
    <row r="655" spans="1:6" x14ac:dyDescent="0.3">
      <c r="A655" s="17">
        <v>45110</v>
      </c>
      <c r="B655">
        <v>75.2</v>
      </c>
      <c r="C655">
        <v>74.150000000000006</v>
      </c>
      <c r="D655" s="5">
        <f t="shared" si="13"/>
        <v>1.0499999999999972</v>
      </c>
    </row>
    <row r="656" spans="1:6" x14ac:dyDescent="0.3">
      <c r="A656" s="17">
        <v>45107</v>
      </c>
      <c r="B656">
        <v>76.64</v>
      </c>
      <c r="C656">
        <v>74.540000000000006</v>
      </c>
      <c r="D656" s="5">
        <f t="shared" si="13"/>
        <v>2.0999999999999943</v>
      </c>
      <c r="E656">
        <f>+AVERAGE(D656:D674)</f>
        <v>1.1260526315789463</v>
      </c>
      <c r="F656">
        <f>+E656-E675</f>
        <v>0.16830263157894554</v>
      </c>
    </row>
    <row r="657" spans="1:4" x14ac:dyDescent="0.3">
      <c r="A657" s="17">
        <v>45105</v>
      </c>
      <c r="B657">
        <v>74.25</v>
      </c>
      <c r="C657">
        <v>73.08</v>
      </c>
      <c r="D657" s="5">
        <f t="shared" si="13"/>
        <v>1.1700000000000017</v>
      </c>
    </row>
    <row r="658" spans="1:4" x14ac:dyDescent="0.3">
      <c r="A658" s="17">
        <v>45104</v>
      </c>
      <c r="B658">
        <v>75.489999999999995</v>
      </c>
      <c r="C658">
        <v>74.06</v>
      </c>
      <c r="D658" s="5">
        <f t="shared" si="13"/>
        <v>1.4299999999999926</v>
      </c>
    </row>
    <row r="659" spans="1:4" x14ac:dyDescent="0.3">
      <c r="A659" s="17">
        <v>45103</v>
      </c>
      <c r="B659">
        <v>74.5</v>
      </c>
      <c r="C659" s="22">
        <v>73</v>
      </c>
      <c r="D659" s="5">
        <f t="shared" si="13"/>
        <v>1.5</v>
      </c>
    </row>
    <row r="660" spans="1:4" x14ac:dyDescent="0.3">
      <c r="A660" s="17">
        <v>45100</v>
      </c>
      <c r="B660">
        <v>74.099999999999994</v>
      </c>
      <c r="C660">
        <v>72.45</v>
      </c>
      <c r="D660" s="5">
        <f t="shared" si="13"/>
        <v>1.6499999999999915</v>
      </c>
    </row>
    <row r="661" spans="1:4" x14ac:dyDescent="0.3">
      <c r="A661" s="17">
        <v>45099</v>
      </c>
      <c r="B661">
        <v>77.45</v>
      </c>
      <c r="C661">
        <v>75.78</v>
      </c>
      <c r="D661" s="5">
        <f t="shared" si="13"/>
        <v>1.6700000000000017</v>
      </c>
    </row>
    <row r="662" spans="1:4" x14ac:dyDescent="0.3">
      <c r="A662" s="17">
        <v>45098</v>
      </c>
      <c r="B662">
        <v>76.95</v>
      </c>
      <c r="C662">
        <v>75.03</v>
      </c>
      <c r="D662" s="5">
        <f t="shared" si="13"/>
        <v>1.9200000000000017</v>
      </c>
    </row>
    <row r="663" spans="1:4" x14ac:dyDescent="0.3">
      <c r="A663" s="17">
        <v>45097</v>
      </c>
      <c r="B663">
        <v>77.45</v>
      </c>
      <c r="C663">
        <v>75.739999999999995</v>
      </c>
      <c r="D663" s="5">
        <f t="shared" si="13"/>
        <v>1.710000000000008</v>
      </c>
    </row>
    <row r="664" spans="1:4" x14ac:dyDescent="0.3">
      <c r="A664" s="17">
        <v>45096</v>
      </c>
      <c r="B664">
        <v>76.290000000000006</v>
      </c>
      <c r="C664">
        <v>75.28</v>
      </c>
      <c r="D664" s="5">
        <f t="shared" si="13"/>
        <v>1.0100000000000051</v>
      </c>
    </row>
    <row r="665" spans="1:4" x14ac:dyDescent="0.3">
      <c r="A665" s="17">
        <v>45093</v>
      </c>
      <c r="B665">
        <v>75.45</v>
      </c>
      <c r="C665">
        <v>74.69</v>
      </c>
      <c r="D665" s="5">
        <f t="shared" si="13"/>
        <v>0.76000000000000512</v>
      </c>
    </row>
    <row r="666" spans="1:4" x14ac:dyDescent="0.3">
      <c r="A666" s="17">
        <v>45092</v>
      </c>
      <c r="B666">
        <v>73.349999999999994</v>
      </c>
      <c r="C666">
        <v>72.63</v>
      </c>
      <c r="D666" s="5">
        <f t="shared" si="13"/>
        <v>0.71999999999999886</v>
      </c>
    </row>
    <row r="667" spans="1:4" x14ac:dyDescent="0.3">
      <c r="A667" s="17">
        <v>45091</v>
      </c>
      <c r="B667">
        <v>74.599999999999994</v>
      </c>
      <c r="C667">
        <v>73.98</v>
      </c>
      <c r="D667" s="5">
        <f t="shared" si="13"/>
        <v>0.61999999999999034</v>
      </c>
    </row>
    <row r="668" spans="1:4" x14ac:dyDescent="0.3">
      <c r="A668" s="17">
        <v>45090</v>
      </c>
      <c r="B668">
        <v>71.959999999999994</v>
      </c>
      <c r="C668">
        <v>71.319999999999993</v>
      </c>
      <c r="D668" s="5">
        <f t="shared" ref="D668:D731" si="14">+B668-C668</f>
        <v>0.64000000000000057</v>
      </c>
    </row>
    <row r="669" spans="1:4" x14ac:dyDescent="0.3">
      <c r="A669" s="17">
        <v>45089</v>
      </c>
      <c r="B669">
        <v>72.39</v>
      </c>
      <c r="C669">
        <v>71.86</v>
      </c>
      <c r="D669" s="5">
        <f t="shared" si="14"/>
        <v>0.53000000000000114</v>
      </c>
    </row>
    <row r="670" spans="1:4" x14ac:dyDescent="0.3">
      <c r="A670" s="17">
        <v>45086</v>
      </c>
      <c r="B670">
        <v>75.2</v>
      </c>
      <c r="C670">
        <v>74.48</v>
      </c>
      <c r="D670" s="5">
        <f t="shared" si="14"/>
        <v>0.71999999999999886</v>
      </c>
    </row>
    <row r="671" spans="1:4" x14ac:dyDescent="0.3">
      <c r="A671" s="17">
        <v>45085</v>
      </c>
      <c r="B671">
        <v>76.144999999999996</v>
      </c>
      <c r="C671">
        <v>75.400000000000006</v>
      </c>
      <c r="D671" s="5">
        <f t="shared" si="14"/>
        <v>0.74499999999999034</v>
      </c>
    </row>
    <row r="672" spans="1:4" x14ac:dyDescent="0.3">
      <c r="A672" s="17">
        <v>45084</v>
      </c>
      <c r="B672">
        <v>75.2</v>
      </c>
      <c r="C672">
        <v>74.260000000000005</v>
      </c>
      <c r="D672" s="5">
        <f t="shared" si="14"/>
        <v>0.93999999999999773</v>
      </c>
    </row>
    <row r="673" spans="1:6" x14ac:dyDescent="0.3">
      <c r="A673" s="17">
        <v>45083</v>
      </c>
      <c r="B673">
        <v>74.3</v>
      </c>
      <c r="C673">
        <v>73.55</v>
      </c>
      <c r="D673" s="5">
        <f t="shared" si="14"/>
        <v>0.75</v>
      </c>
    </row>
    <row r="674" spans="1:6" x14ac:dyDescent="0.3">
      <c r="A674" s="17">
        <v>45082</v>
      </c>
      <c r="B674">
        <v>76.44</v>
      </c>
      <c r="C674">
        <v>75.63</v>
      </c>
      <c r="D674" s="5">
        <f t="shared" si="14"/>
        <v>0.81000000000000227</v>
      </c>
    </row>
    <row r="675" spans="1:6" x14ac:dyDescent="0.3">
      <c r="A675" s="17">
        <v>45078</v>
      </c>
      <c r="B675">
        <v>71.680000000000007</v>
      </c>
      <c r="C675">
        <v>71.12</v>
      </c>
      <c r="D675" s="5">
        <f t="shared" si="14"/>
        <v>0.56000000000000227</v>
      </c>
      <c r="E675">
        <f>+AVERAGE(D675:D694)</f>
        <v>0.95775000000000077</v>
      </c>
      <c r="F675">
        <f>+E675-E697</f>
        <v>-0.72669444444444498</v>
      </c>
    </row>
    <row r="676" spans="1:6" x14ac:dyDescent="0.3">
      <c r="A676" s="17">
        <v>45077</v>
      </c>
      <c r="B676">
        <v>72.22</v>
      </c>
      <c r="C676">
        <v>71.739999999999995</v>
      </c>
      <c r="D676" s="5">
        <f t="shared" si="14"/>
        <v>0.48000000000000398</v>
      </c>
    </row>
    <row r="677" spans="1:6" x14ac:dyDescent="0.3">
      <c r="A677" s="17">
        <v>45076</v>
      </c>
      <c r="B677">
        <v>74.930000000000007</v>
      </c>
      <c r="C677">
        <v>74.22</v>
      </c>
      <c r="D677" s="5">
        <f t="shared" si="14"/>
        <v>0.71000000000000796</v>
      </c>
    </row>
    <row r="678" spans="1:6" x14ac:dyDescent="0.3">
      <c r="A678" s="17">
        <v>45075</v>
      </c>
      <c r="B678">
        <v>76.25</v>
      </c>
      <c r="C678">
        <v>75.55</v>
      </c>
      <c r="D678" s="5">
        <f t="shared" si="14"/>
        <v>0.70000000000000284</v>
      </c>
    </row>
    <row r="679" spans="1:6" x14ac:dyDescent="0.3">
      <c r="A679" s="17">
        <v>45072</v>
      </c>
      <c r="B679">
        <v>75.34</v>
      </c>
      <c r="C679">
        <v>74.53</v>
      </c>
      <c r="D679" s="5">
        <f t="shared" si="14"/>
        <v>0.81000000000000227</v>
      </c>
    </row>
    <row r="680" spans="1:6" x14ac:dyDescent="0.3">
      <c r="A680" s="17">
        <v>45071</v>
      </c>
      <c r="B680">
        <v>76.7</v>
      </c>
      <c r="C680">
        <v>75.75</v>
      </c>
      <c r="D680" s="5">
        <f t="shared" si="14"/>
        <v>0.95000000000000284</v>
      </c>
    </row>
    <row r="681" spans="1:6" x14ac:dyDescent="0.3">
      <c r="A681" s="17">
        <v>45070</v>
      </c>
      <c r="B681">
        <v>76.61</v>
      </c>
      <c r="C681">
        <v>75.650000000000006</v>
      </c>
      <c r="D681" s="5">
        <f t="shared" si="14"/>
        <v>0.95999999999999375</v>
      </c>
    </row>
    <row r="682" spans="1:6" x14ac:dyDescent="0.3">
      <c r="A682" s="17">
        <v>45069</v>
      </c>
      <c r="B682">
        <v>74.92</v>
      </c>
      <c r="C682">
        <v>73.97</v>
      </c>
      <c r="D682" s="5">
        <f t="shared" si="14"/>
        <v>0.95000000000000284</v>
      </c>
    </row>
    <row r="683" spans="1:6" x14ac:dyDescent="0.3">
      <c r="A683" s="17">
        <v>45068</v>
      </c>
      <c r="B683">
        <v>74.224999999999994</v>
      </c>
      <c r="C683">
        <v>73.5</v>
      </c>
      <c r="D683" s="5">
        <f t="shared" si="14"/>
        <v>0.72499999999999432</v>
      </c>
    </row>
    <row r="684" spans="1:6" x14ac:dyDescent="0.3">
      <c r="A684" s="17">
        <v>45065</v>
      </c>
      <c r="B684">
        <v>75.010000000000005</v>
      </c>
      <c r="C684">
        <v>74.19</v>
      </c>
      <c r="D684" s="5">
        <f t="shared" si="14"/>
        <v>0.82000000000000739</v>
      </c>
    </row>
    <row r="685" spans="1:6" x14ac:dyDescent="0.3">
      <c r="A685" s="17">
        <v>45064</v>
      </c>
      <c r="B685">
        <v>75.33</v>
      </c>
      <c r="C685">
        <v>74.739999999999995</v>
      </c>
      <c r="D685" s="5">
        <f t="shared" si="14"/>
        <v>0.59000000000000341</v>
      </c>
    </row>
    <row r="686" spans="1:6" x14ac:dyDescent="0.3">
      <c r="A686" s="17">
        <v>45063</v>
      </c>
      <c r="B686">
        <v>73.150000000000006</v>
      </c>
      <c r="C686">
        <v>72.400000000000006</v>
      </c>
      <c r="D686" s="5">
        <f t="shared" si="14"/>
        <v>0.75</v>
      </c>
    </row>
    <row r="687" spans="1:6" x14ac:dyDescent="0.3">
      <c r="A687" s="17">
        <v>45062</v>
      </c>
      <c r="B687">
        <v>74.55</v>
      </c>
      <c r="C687">
        <v>73.47</v>
      </c>
      <c r="D687" s="5">
        <f t="shared" si="14"/>
        <v>1.0799999999999983</v>
      </c>
    </row>
    <row r="688" spans="1:6" x14ac:dyDescent="0.3">
      <c r="A688" s="17">
        <v>45061</v>
      </c>
      <c r="B688">
        <v>73.3</v>
      </c>
      <c r="C688">
        <v>72.37</v>
      </c>
      <c r="D688" s="5">
        <f t="shared" si="14"/>
        <v>0.92999999999999261</v>
      </c>
    </row>
    <row r="689" spans="1:6" x14ac:dyDescent="0.3">
      <c r="A689" s="17">
        <v>45058</v>
      </c>
      <c r="B689">
        <v>73.53</v>
      </c>
      <c r="C689">
        <v>72.56</v>
      </c>
      <c r="D689" s="5">
        <f t="shared" si="14"/>
        <v>0.96999999999999886</v>
      </c>
    </row>
    <row r="690" spans="1:6" x14ac:dyDescent="0.3">
      <c r="A690" s="17">
        <v>45057</v>
      </c>
      <c r="B690">
        <v>76.19</v>
      </c>
      <c r="C690">
        <v>75.13</v>
      </c>
      <c r="D690" s="5">
        <f t="shared" si="14"/>
        <v>1.0600000000000023</v>
      </c>
    </row>
    <row r="691" spans="1:6" x14ac:dyDescent="0.3">
      <c r="A691" s="17">
        <v>45056</v>
      </c>
      <c r="B691">
        <v>75.72</v>
      </c>
      <c r="C691">
        <v>74.48</v>
      </c>
      <c r="D691" s="5">
        <f t="shared" si="14"/>
        <v>1.2399999999999949</v>
      </c>
    </row>
    <row r="692" spans="1:6" x14ac:dyDescent="0.3">
      <c r="A692" s="17">
        <v>45055</v>
      </c>
      <c r="B692">
        <v>75.81</v>
      </c>
      <c r="C692">
        <v>74.209999999999994</v>
      </c>
      <c r="D692" s="5">
        <f t="shared" si="14"/>
        <v>1.6000000000000085</v>
      </c>
    </row>
    <row r="693" spans="1:6" x14ac:dyDescent="0.3">
      <c r="A693" s="17">
        <v>45054</v>
      </c>
      <c r="B693">
        <v>76.16</v>
      </c>
      <c r="C693">
        <v>74.489999999999995</v>
      </c>
      <c r="D693" s="5">
        <f t="shared" si="14"/>
        <v>1.6700000000000017</v>
      </c>
    </row>
    <row r="694" spans="1:6" x14ac:dyDescent="0.3">
      <c r="A694" s="17">
        <v>45051</v>
      </c>
      <c r="B694">
        <v>73.25</v>
      </c>
      <c r="C694">
        <v>71.650000000000006</v>
      </c>
      <c r="D694" s="5">
        <f t="shared" si="14"/>
        <v>1.5999999999999943</v>
      </c>
    </row>
    <row r="695" spans="1:6" x14ac:dyDescent="0.3">
      <c r="A695" s="17">
        <v>45050</v>
      </c>
      <c r="B695">
        <v>72.94</v>
      </c>
      <c r="C695">
        <v>71.39</v>
      </c>
      <c r="D695" s="5">
        <f t="shared" si="14"/>
        <v>1.5499999999999972</v>
      </c>
    </row>
    <row r="696" spans="1:6" x14ac:dyDescent="0.3">
      <c r="A696" s="17">
        <v>45049</v>
      </c>
      <c r="B696">
        <v>73.63</v>
      </c>
      <c r="C696">
        <v>72.11</v>
      </c>
      <c r="D696" s="5">
        <f t="shared" si="14"/>
        <v>1.519999999999996</v>
      </c>
    </row>
    <row r="697" spans="1:6" x14ac:dyDescent="0.3">
      <c r="A697" s="17">
        <v>45048</v>
      </c>
      <c r="B697">
        <v>78.594999999999999</v>
      </c>
      <c r="C697">
        <v>76.959999999999994</v>
      </c>
      <c r="D697" s="5">
        <f t="shared" si="14"/>
        <v>1.6350000000000051</v>
      </c>
      <c r="E697">
        <f>+AVERAGE(D697:D714)</f>
        <v>1.6844444444444457</v>
      </c>
      <c r="F697">
        <f>+E697-E717</f>
        <v>0.14694444444444654</v>
      </c>
    </row>
    <row r="698" spans="1:6" x14ac:dyDescent="0.3">
      <c r="A698" s="17">
        <v>45044</v>
      </c>
      <c r="B698">
        <v>79.760000000000005</v>
      </c>
      <c r="C698">
        <v>77.81</v>
      </c>
      <c r="D698" s="5">
        <f t="shared" si="14"/>
        <v>1.9500000000000028</v>
      </c>
    </row>
    <row r="699" spans="1:6" x14ac:dyDescent="0.3">
      <c r="A699" s="17">
        <v>45043</v>
      </c>
      <c r="B699">
        <v>77.95</v>
      </c>
      <c r="C699">
        <v>76.75</v>
      </c>
      <c r="D699" s="5">
        <f t="shared" si="14"/>
        <v>1.2000000000000028</v>
      </c>
    </row>
    <row r="700" spans="1:6" x14ac:dyDescent="0.3">
      <c r="A700" s="17">
        <v>45042</v>
      </c>
      <c r="B700">
        <v>80.239999999999995</v>
      </c>
      <c r="C700">
        <v>79.12</v>
      </c>
      <c r="D700" s="5">
        <f t="shared" si="14"/>
        <v>1.1199999999999903</v>
      </c>
    </row>
    <row r="701" spans="1:6" x14ac:dyDescent="0.3">
      <c r="A701" s="17">
        <v>45041</v>
      </c>
      <c r="B701">
        <v>82.75</v>
      </c>
      <c r="C701">
        <v>81.349999999999994</v>
      </c>
      <c r="D701" s="5">
        <f t="shared" si="14"/>
        <v>1.4000000000000057</v>
      </c>
    </row>
    <row r="702" spans="1:6" x14ac:dyDescent="0.3">
      <c r="A702" s="17">
        <v>45040</v>
      </c>
      <c r="B702">
        <v>80.900000000000006</v>
      </c>
      <c r="C702">
        <v>79.510000000000005</v>
      </c>
      <c r="D702" s="5">
        <f t="shared" si="14"/>
        <v>1.3900000000000006</v>
      </c>
    </row>
    <row r="703" spans="1:6" x14ac:dyDescent="0.3">
      <c r="A703" s="17">
        <v>45037</v>
      </c>
      <c r="B703">
        <v>80.75</v>
      </c>
      <c r="C703">
        <v>79.3</v>
      </c>
      <c r="D703" s="5">
        <f t="shared" si="14"/>
        <v>1.4500000000000028</v>
      </c>
    </row>
    <row r="704" spans="1:6" x14ac:dyDescent="0.3">
      <c r="A704" s="17">
        <v>45036</v>
      </c>
      <c r="B704">
        <v>81.709999999999994</v>
      </c>
      <c r="C704">
        <v>80.040000000000006</v>
      </c>
      <c r="D704" s="5">
        <f t="shared" si="14"/>
        <v>1.6699999999999875</v>
      </c>
    </row>
    <row r="705" spans="1:6" x14ac:dyDescent="0.3">
      <c r="A705" s="17">
        <v>45035</v>
      </c>
      <c r="B705">
        <v>83.54</v>
      </c>
      <c r="C705">
        <v>81.849999999999994</v>
      </c>
      <c r="D705" s="5">
        <f t="shared" si="14"/>
        <v>1.6900000000000119</v>
      </c>
    </row>
    <row r="706" spans="1:6" x14ac:dyDescent="0.3">
      <c r="A706" s="17">
        <v>45034</v>
      </c>
      <c r="B706">
        <v>84.65</v>
      </c>
      <c r="C706">
        <v>82.78</v>
      </c>
      <c r="D706" s="5">
        <f t="shared" si="14"/>
        <v>1.8700000000000045</v>
      </c>
    </row>
    <row r="707" spans="1:6" x14ac:dyDescent="0.3">
      <c r="A707" s="17">
        <v>45033</v>
      </c>
      <c r="B707">
        <v>85.9</v>
      </c>
      <c r="C707">
        <v>83.97</v>
      </c>
      <c r="D707" s="5">
        <f t="shared" si="14"/>
        <v>1.9300000000000068</v>
      </c>
    </row>
    <row r="708" spans="1:6" x14ac:dyDescent="0.3">
      <c r="A708" s="17">
        <v>45030</v>
      </c>
      <c r="B708">
        <v>86.04</v>
      </c>
      <c r="C708">
        <v>84.05</v>
      </c>
      <c r="D708" s="5">
        <f t="shared" si="14"/>
        <v>1.9900000000000091</v>
      </c>
    </row>
    <row r="709" spans="1:6" x14ac:dyDescent="0.3">
      <c r="A709" s="17">
        <v>45029</v>
      </c>
      <c r="B709">
        <v>87.31</v>
      </c>
      <c r="C709">
        <v>85.2</v>
      </c>
      <c r="D709" s="5">
        <f t="shared" si="14"/>
        <v>2.1099999999999994</v>
      </c>
    </row>
    <row r="710" spans="1:6" x14ac:dyDescent="0.3">
      <c r="A710" s="17">
        <v>45028</v>
      </c>
      <c r="B710">
        <v>85.54</v>
      </c>
      <c r="C710">
        <v>83.58</v>
      </c>
      <c r="D710" s="5">
        <f t="shared" si="14"/>
        <v>1.960000000000008</v>
      </c>
    </row>
    <row r="711" spans="1:6" x14ac:dyDescent="0.3">
      <c r="A711" s="17">
        <v>45027</v>
      </c>
      <c r="B711">
        <v>84.5</v>
      </c>
      <c r="C711">
        <v>82.7</v>
      </c>
      <c r="D711" s="5">
        <f t="shared" si="14"/>
        <v>1.7999999999999972</v>
      </c>
    </row>
    <row r="712" spans="1:6" x14ac:dyDescent="0.3">
      <c r="A712" s="17">
        <v>45026</v>
      </c>
      <c r="B712">
        <v>84.73</v>
      </c>
      <c r="C712">
        <v>82.93</v>
      </c>
      <c r="D712" s="5">
        <f t="shared" si="14"/>
        <v>1.7999999999999972</v>
      </c>
    </row>
    <row r="713" spans="1:6" x14ac:dyDescent="0.3">
      <c r="A713" s="17">
        <v>45022</v>
      </c>
      <c r="B713">
        <v>84.545000000000002</v>
      </c>
      <c r="C713">
        <v>82.92</v>
      </c>
      <c r="D713" s="5">
        <f t="shared" si="14"/>
        <v>1.625</v>
      </c>
    </row>
    <row r="714" spans="1:6" x14ac:dyDescent="0.3">
      <c r="A714" s="17">
        <v>45021</v>
      </c>
      <c r="B714">
        <v>84.91</v>
      </c>
      <c r="C714">
        <v>83.18</v>
      </c>
      <c r="D714" s="5">
        <f t="shared" si="14"/>
        <v>1.7299999999999898</v>
      </c>
    </row>
    <row r="715" spans="1:6" x14ac:dyDescent="0.3">
      <c r="A715" s="17">
        <v>45020</v>
      </c>
      <c r="B715">
        <v>85.05</v>
      </c>
      <c r="C715">
        <v>83.16</v>
      </c>
      <c r="D715" s="5">
        <f t="shared" si="14"/>
        <v>1.8900000000000006</v>
      </c>
    </row>
    <row r="716" spans="1:6" x14ac:dyDescent="0.3">
      <c r="A716" s="17">
        <v>45019</v>
      </c>
      <c r="B716">
        <v>84.05</v>
      </c>
      <c r="C716">
        <v>82.11</v>
      </c>
      <c r="D716" s="5">
        <f t="shared" si="14"/>
        <v>1.9399999999999977</v>
      </c>
    </row>
    <row r="717" spans="1:6" x14ac:dyDescent="0.3">
      <c r="A717" s="17">
        <v>45016</v>
      </c>
      <c r="B717">
        <v>78.05</v>
      </c>
      <c r="C717">
        <v>76.680000000000007</v>
      </c>
      <c r="D717" s="5">
        <f t="shared" si="14"/>
        <v>1.3699999999999903</v>
      </c>
      <c r="E717">
        <f>+AVERAGE(D717:D736)</f>
        <v>1.5374999999999992</v>
      </c>
      <c r="F717">
        <f>+E717-E738</f>
        <v>-0.59776315789473644</v>
      </c>
    </row>
    <row r="718" spans="1:6" x14ac:dyDescent="0.3">
      <c r="A718" s="17">
        <v>45015</v>
      </c>
      <c r="B718">
        <v>77.75</v>
      </c>
      <c r="C718">
        <v>76.48</v>
      </c>
      <c r="D718" s="5">
        <f t="shared" si="14"/>
        <v>1.269999999999996</v>
      </c>
    </row>
    <row r="719" spans="1:6" x14ac:dyDescent="0.3">
      <c r="A719" s="17">
        <v>45014</v>
      </c>
      <c r="B719">
        <v>77.989999999999995</v>
      </c>
      <c r="C719">
        <v>76.73</v>
      </c>
      <c r="D719" s="5">
        <f t="shared" si="14"/>
        <v>1.2599999999999909</v>
      </c>
    </row>
    <row r="720" spans="1:6" x14ac:dyDescent="0.3">
      <c r="A720" s="17">
        <v>45013</v>
      </c>
      <c r="B720">
        <v>77.844999999999999</v>
      </c>
      <c r="C720">
        <v>76.55</v>
      </c>
      <c r="D720" s="5">
        <f t="shared" si="14"/>
        <v>1.2950000000000017</v>
      </c>
    </row>
    <row r="721" spans="1:4" x14ac:dyDescent="0.3">
      <c r="A721" s="17">
        <v>45012</v>
      </c>
      <c r="B721">
        <v>74.745000000000005</v>
      </c>
      <c r="C721">
        <v>73.87</v>
      </c>
      <c r="D721" s="5">
        <f t="shared" si="14"/>
        <v>0.875</v>
      </c>
    </row>
    <row r="722" spans="1:4" x14ac:dyDescent="0.3">
      <c r="A722" s="17">
        <v>45009</v>
      </c>
      <c r="B722">
        <v>75.11</v>
      </c>
      <c r="C722">
        <v>73.959999999999994</v>
      </c>
      <c r="D722" s="5">
        <f t="shared" si="14"/>
        <v>1.1500000000000057</v>
      </c>
    </row>
    <row r="723" spans="1:4" x14ac:dyDescent="0.3">
      <c r="A723" s="17">
        <v>45008</v>
      </c>
      <c r="B723">
        <v>76.09</v>
      </c>
      <c r="C723">
        <v>74.95</v>
      </c>
      <c r="D723" s="5">
        <f t="shared" si="14"/>
        <v>1.1400000000000006</v>
      </c>
    </row>
    <row r="724" spans="1:4" x14ac:dyDescent="0.3">
      <c r="A724" s="17">
        <v>45007</v>
      </c>
      <c r="B724">
        <v>74.55</v>
      </c>
      <c r="C724">
        <v>73.45</v>
      </c>
      <c r="D724" s="5">
        <f t="shared" si="14"/>
        <v>1.0999999999999943</v>
      </c>
    </row>
    <row r="725" spans="1:4" x14ac:dyDescent="0.3">
      <c r="A725" s="17">
        <v>45006</v>
      </c>
      <c r="B725">
        <v>73.7</v>
      </c>
      <c r="C725">
        <v>72.66</v>
      </c>
      <c r="D725" s="5">
        <f t="shared" si="14"/>
        <v>1.0400000000000063</v>
      </c>
    </row>
    <row r="726" spans="1:4" x14ac:dyDescent="0.3">
      <c r="A726" s="17">
        <v>45005</v>
      </c>
      <c r="B726">
        <v>70.290000000000006</v>
      </c>
      <c r="C726">
        <v>69.040000000000006</v>
      </c>
      <c r="D726" s="5">
        <f t="shared" si="14"/>
        <v>1.25</v>
      </c>
    </row>
    <row r="727" spans="1:4" x14ac:dyDescent="0.3">
      <c r="A727" s="17">
        <v>45002</v>
      </c>
      <c r="B727">
        <v>74.849999999999994</v>
      </c>
      <c r="C727">
        <v>73.260000000000005</v>
      </c>
      <c r="D727" s="5">
        <f t="shared" si="14"/>
        <v>1.5899999999999892</v>
      </c>
    </row>
    <row r="728" spans="1:4" x14ac:dyDescent="0.3">
      <c r="A728" s="17">
        <v>45001</v>
      </c>
      <c r="B728">
        <v>73.98</v>
      </c>
      <c r="C728">
        <v>72.180000000000007</v>
      </c>
      <c r="D728" s="5">
        <f t="shared" si="14"/>
        <v>1.7999999999999972</v>
      </c>
    </row>
    <row r="729" spans="1:4" x14ac:dyDescent="0.3">
      <c r="A729" s="17">
        <v>45000</v>
      </c>
      <c r="B729">
        <v>77.84</v>
      </c>
      <c r="C729" s="22">
        <v>76</v>
      </c>
      <c r="D729" s="5">
        <f t="shared" si="14"/>
        <v>1.8400000000000034</v>
      </c>
    </row>
    <row r="730" spans="1:4" x14ac:dyDescent="0.3">
      <c r="A730" s="17">
        <v>44999</v>
      </c>
      <c r="B730">
        <v>79.09</v>
      </c>
      <c r="C730">
        <v>77.12</v>
      </c>
      <c r="D730" s="5">
        <f t="shared" si="14"/>
        <v>1.9699999999999989</v>
      </c>
    </row>
    <row r="731" spans="1:4" x14ac:dyDescent="0.3">
      <c r="A731" s="17">
        <v>44998</v>
      </c>
      <c r="B731">
        <v>82.305000000000007</v>
      </c>
      <c r="C731">
        <v>80.33</v>
      </c>
      <c r="D731" s="5">
        <f t="shared" si="14"/>
        <v>1.9750000000000085</v>
      </c>
    </row>
    <row r="732" spans="1:4" x14ac:dyDescent="0.3">
      <c r="A732" s="17">
        <v>44995</v>
      </c>
      <c r="B732">
        <v>80.204999999999998</v>
      </c>
      <c r="C732">
        <v>78.38</v>
      </c>
      <c r="D732" s="5">
        <f t="shared" ref="D732:D795" si="15">+B732-C732</f>
        <v>1.8250000000000028</v>
      </c>
    </row>
    <row r="733" spans="1:4" x14ac:dyDescent="0.3">
      <c r="A733" s="17">
        <v>44994</v>
      </c>
      <c r="B733">
        <v>81.790000000000006</v>
      </c>
      <c r="C733">
        <v>79.930000000000007</v>
      </c>
      <c r="D733" s="5">
        <f t="shared" si="15"/>
        <v>1.8599999999999994</v>
      </c>
    </row>
    <row r="734" spans="1:4" x14ac:dyDescent="0.3">
      <c r="A734" s="17">
        <v>44993</v>
      </c>
      <c r="B734">
        <v>81.96</v>
      </c>
      <c r="C734">
        <v>80.02</v>
      </c>
      <c r="D734" s="5">
        <f t="shared" si="15"/>
        <v>1.9399999999999977</v>
      </c>
    </row>
    <row r="735" spans="1:4" x14ac:dyDescent="0.3">
      <c r="A735" s="17">
        <v>44992</v>
      </c>
      <c r="B735">
        <v>84.56</v>
      </c>
      <c r="C735">
        <v>82.48</v>
      </c>
      <c r="D735" s="5">
        <f t="shared" si="15"/>
        <v>2.0799999999999983</v>
      </c>
    </row>
    <row r="736" spans="1:4" x14ac:dyDescent="0.3">
      <c r="A736" s="17">
        <v>44991</v>
      </c>
      <c r="B736">
        <v>84.09</v>
      </c>
      <c r="C736">
        <v>81.97</v>
      </c>
      <c r="D736" s="5">
        <f t="shared" si="15"/>
        <v>2.1200000000000045</v>
      </c>
    </row>
    <row r="737" spans="1:6" x14ac:dyDescent="0.3">
      <c r="A737" s="17">
        <v>44988</v>
      </c>
      <c r="B737">
        <v>83.254999999999995</v>
      </c>
      <c r="C737">
        <v>81.05</v>
      </c>
      <c r="D737" s="5">
        <f t="shared" si="15"/>
        <v>2.2049999999999983</v>
      </c>
    </row>
    <row r="738" spans="1:6" x14ac:dyDescent="0.3">
      <c r="A738" s="17">
        <v>44987</v>
      </c>
      <c r="B738">
        <v>82.84</v>
      </c>
      <c r="C738">
        <v>80.25</v>
      </c>
      <c r="D738" s="5">
        <f t="shared" si="15"/>
        <v>2.5900000000000034</v>
      </c>
      <c r="E738">
        <f>+AVERAGE(D738:D756)</f>
        <v>2.1352631578947356</v>
      </c>
      <c r="F738">
        <f>+E738-E758</f>
        <v>0.9918421052631563</v>
      </c>
    </row>
    <row r="739" spans="1:6" x14ac:dyDescent="0.3">
      <c r="A739" s="17">
        <v>44986</v>
      </c>
      <c r="B739">
        <v>82.46</v>
      </c>
      <c r="C739" s="22">
        <v>80</v>
      </c>
      <c r="D739" s="5">
        <f t="shared" si="15"/>
        <v>2.4599999999999937</v>
      </c>
    </row>
    <row r="740" spans="1:6" x14ac:dyDescent="0.3">
      <c r="A740" s="17">
        <v>44985</v>
      </c>
      <c r="B740">
        <v>81.900000000000006</v>
      </c>
      <c r="C740">
        <v>79.430000000000007</v>
      </c>
      <c r="D740" s="5">
        <f t="shared" si="15"/>
        <v>2.4699999999999989</v>
      </c>
    </row>
    <row r="741" spans="1:6" x14ac:dyDescent="0.3">
      <c r="A741" s="17">
        <v>44984</v>
      </c>
      <c r="B741">
        <v>82.16</v>
      </c>
      <c r="C741">
        <v>80.22</v>
      </c>
      <c r="D741" s="5">
        <f t="shared" si="15"/>
        <v>1.9399999999999977</v>
      </c>
    </row>
    <row r="742" spans="1:6" x14ac:dyDescent="0.3">
      <c r="A742" s="17">
        <v>44981</v>
      </c>
      <c r="B742">
        <v>82.06</v>
      </c>
      <c r="C742">
        <v>80.400000000000006</v>
      </c>
      <c r="D742" s="5">
        <f t="shared" si="15"/>
        <v>1.6599999999999966</v>
      </c>
    </row>
    <row r="743" spans="1:6" x14ac:dyDescent="0.3">
      <c r="A743" s="17">
        <v>44980</v>
      </c>
      <c r="B743">
        <v>80.05</v>
      </c>
      <c r="C743">
        <v>78.180000000000007</v>
      </c>
      <c r="D743" s="5">
        <f t="shared" si="15"/>
        <v>1.8699999999999903</v>
      </c>
    </row>
    <row r="744" spans="1:6" x14ac:dyDescent="0.3">
      <c r="A744" s="17">
        <v>44979</v>
      </c>
      <c r="B744">
        <v>80.8</v>
      </c>
      <c r="C744">
        <v>79.2</v>
      </c>
      <c r="D744" s="5">
        <f t="shared" si="15"/>
        <v>1.5999999999999943</v>
      </c>
    </row>
    <row r="745" spans="1:6" x14ac:dyDescent="0.3">
      <c r="A745" s="17">
        <v>44978</v>
      </c>
      <c r="B745">
        <v>81.94</v>
      </c>
      <c r="C745">
        <v>80.290000000000006</v>
      </c>
      <c r="D745" s="5">
        <f t="shared" si="15"/>
        <v>1.6499999999999915</v>
      </c>
    </row>
    <row r="746" spans="1:6" x14ac:dyDescent="0.3">
      <c r="A746" s="17">
        <v>44977</v>
      </c>
      <c r="B746">
        <v>82.39</v>
      </c>
      <c r="C746">
        <v>80.209999999999994</v>
      </c>
      <c r="D746" s="5">
        <f t="shared" si="15"/>
        <v>2.1800000000000068</v>
      </c>
    </row>
    <row r="747" spans="1:6" x14ac:dyDescent="0.3">
      <c r="A747" s="17">
        <v>44974</v>
      </c>
      <c r="B747">
        <v>82.24</v>
      </c>
      <c r="C747">
        <v>80.040000000000006</v>
      </c>
      <c r="D747" s="5">
        <f t="shared" si="15"/>
        <v>2.1999999999999886</v>
      </c>
    </row>
    <row r="748" spans="1:6" x14ac:dyDescent="0.3">
      <c r="A748" s="17">
        <v>44973</v>
      </c>
      <c r="B748">
        <v>84.01</v>
      </c>
      <c r="C748">
        <v>81.72</v>
      </c>
      <c r="D748" s="5">
        <f t="shared" si="15"/>
        <v>2.2900000000000063</v>
      </c>
    </row>
    <row r="749" spans="1:6" x14ac:dyDescent="0.3">
      <c r="A749" s="17">
        <v>44972</v>
      </c>
      <c r="B749">
        <v>83.34</v>
      </c>
      <c r="C749">
        <v>80.77</v>
      </c>
      <c r="D749" s="5">
        <f t="shared" si="15"/>
        <v>2.5700000000000074</v>
      </c>
    </row>
    <row r="750" spans="1:6" x14ac:dyDescent="0.3">
      <c r="A750" s="17">
        <v>44971</v>
      </c>
      <c r="B750">
        <v>84.875</v>
      </c>
      <c r="C750">
        <v>82.56</v>
      </c>
      <c r="D750" s="5">
        <f t="shared" si="15"/>
        <v>2.3149999999999977</v>
      </c>
    </row>
    <row r="751" spans="1:6" x14ac:dyDescent="0.3">
      <c r="A751" s="17">
        <v>44970</v>
      </c>
      <c r="B751">
        <v>84.394999999999996</v>
      </c>
      <c r="C751">
        <v>81.96</v>
      </c>
      <c r="D751" s="5">
        <f t="shared" si="15"/>
        <v>2.4350000000000023</v>
      </c>
    </row>
    <row r="752" spans="1:6" x14ac:dyDescent="0.3">
      <c r="A752" s="17">
        <v>44967</v>
      </c>
      <c r="B752">
        <v>83.56</v>
      </c>
      <c r="C752">
        <v>81.069999999999993</v>
      </c>
      <c r="D752" s="5">
        <f t="shared" si="15"/>
        <v>2.4900000000000091</v>
      </c>
    </row>
    <row r="753" spans="1:6" x14ac:dyDescent="0.3">
      <c r="A753" s="17">
        <v>44966</v>
      </c>
      <c r="B753">
        <v>83.2</v>
      </c>
      <c r="C753">
        <v>81.239999999999995</v>
      </c>
      <c r="D753" s="5">
        <f t="shared" si="15"/>
        <v>1.960000000000008</v>
      </c>
    </row>
    <row r="754" spans="1:6" x14ac:dyDescent="0.3">
      <c r="A754" s="17">
        <v>44965</v>
      </c>
      <c r="B754">
        <v>81.900000000000006</v>
      </c>
      <c r="C754">
        <v>79.84</v>
      </c>
      <c r="D754" s="5">
        <f t="shared" si="15"/>
        <v>2.0600000000000023</v>
      </c>
    </row>
    <row r="755" spans="1:6" x14ac:dyDescent="0.3">
      <c r="A755" s="17">
        <v>44964</v>
      </c>
      <c r="B755">
        <v>80.41</v>
      </c>
      <c r="C755">
        <v>78.59</v>
      </c>
      <c r="D755" s="5">
        <f t="shared" si="15"/>
        <v>1.8199999999999932</v>
      </c>
    </row>
    <row r="756" spans="1:6" x14ac:dyDescent="0.3">
      <c r="A756" s="17">
        <v>44963</v>
      </c>
      <c r="B756">
        <v>78.3</v>
      </c>
      <c r="C756">
        <v>76.290000000000006</v>
      </c>
      <c r="D756" s="5">
        <f t="shared" si="15"/>
        <v>2.0099999999999909</v>
      </c>
    </row>
    <row r="757" spans="1:6" x14ac:dyDescent="0.3">
      <c r="A757" s="17">
        <v>44960</v>
      </c>
      <c r="B757">
        <v>79.75</v>
      </c>
      <c r="C757">
        <v>77.959999999999994</v>
      </c>
      <c r="D757" s="5">
        <f t="shared" si="15"/>
        <v>1.7900000000000063</v>
      </c>
    </row>
    <row r="758" spans="1:6" x14ac:dyDescent="0.3">
      <c r="A758" s="17">
        <v>44959</v>
      </c>
      <c r="B758">
        <v>80.87</v>
      </c>
      <c r="C758">
        <v>79.180000000000007</v>
      </c>
      <c r="D758" s="5">
        <f t="shared" si="15"/>
        <v>1.6899999999999977</v>
      </c>
      <c r="E758">
        <f>+AVERAGE(D758:D776)</f>
        <v>1.1434210526315793</v>
      </c>
      <c r="F758">
        <f>+E758-E779</f>
        <v>-0.15421052631578913</v>
      </c>
    </row>
    <row r="759" spans="1:6" x14ac:dyDescent="0.3">
      <c r="A759" s="17">
        <v>44958</v>
      </c>
      <c r="B759">
        <v>83.555000000000007</v>
      </c>
      <c r="C759">
        <v>81.849999999999994</v>
      </c>
      <c r="D759" s="5">
        <f t="shared" si="15"/>
        <v>1.7050000000000125</v>
      </c>
    </row>
    <row r="760" spans="1:6" x14ac:dyDescent="0.3">
      <c r="A760" s="17">
        <v>44957</v>
      </c>
      <c r="B760">
        <v>80.88</v>
      </c>
      <c r="C760">
        <v>79.95</v>
      </c>
      <c r="D760" s="5">
        <f t="shared" si="15"/>
        <v>0.92999999999999261</v>
      </c>
    </row>
    <row r="761" spans="1:6" x14ac:dyDescent="0.3">
      <c r="A761" s="17">
        <v>44956</v>
      </c>
      <c r="B761">
        <v>82.6</v>
      </c>
      <c r="C761">
        <v>81.55</v>
      </c>
      <c r="D761" s="5">
        <f t="shared" si="15"/>
        <v>1.0499999999999972</v>
      </c>
    </row>
    <row r="762" spans="1:6" x14ac:dyDescent="0.3">
      <c r="A762" s="17">
        <v>44953</v>
      </c>
      <c r="B762">
        <v>84.15</v>
      </c>
      <c r="C762">
        <v>83.77</v>
      </c>
      <c r="D762" s="5">
        <f t="shared" si="15"/>
        <v>0.38000000000000966</v>
      </c>
    </row>
    <row r="763" spans="1:6" x14ac:dyDescent="0.3">
      <c r="A763" s="17">
        <v>44952</v>
      </c>
      <c r="B763">
        <v>83.19</v>
      </c>
      <c r="C763">
        <v>82.19</v>
      </c>
      <c r="D763" s="5">
        <f t="shared" si="15"/>
        <v>1</v>
      </c>
    </row>
    <row r="764" spans="1:6" x14ac:dyDescent="0.3">
      <c r="A764" s="17">
        <v>44951</v>
      </c>
      <c r="B764">
        <v>83.5</v>
      </c>
      <c r="C764">
        <v>82.4</v>
      </c>
      <c r="D764" s="5">
        <f t="shared" si="15"/>
        <v>1.0999999999999943</v>
      </c>
    </row>
    <row r="765" spans="1:6" x14ac:dyDescent="0.3">
      <c r="A765" s="17">
        <v>44946</v>
      </c>
      <c r="B765">
        <v>83.84</v>
      </c>
      <c r="C765">
        <v>82.78</v>
      </c>
      <c r="D765" s="5">
        <f t="shared" si="15"/>
        <v>1.0600000000000023</v>
      </c>
    </row>
    <row r="766" spans="1:6" x14ac:dyDescent="0.3">
      <c r="A766" s="17">
        <v>44945</v>
      </c>
      <c r="B766">
        <v>81.39</v>
      </c>
      <c r="C766">
        <v>80.239999999999995</v>
      </c>
      <c r="D766" s="5">
        <f t="shared" si="15"/>
        <v>1.1500000000000057</v>
      </c>
    </row>
    <row r="767" spans="1:6" x14ac:dyDescent="0.3">
      <c r="A767" s="17">
        <v>44944</v>
      </c>
      <c r="B767">
        <v>83.65</v>
      </c>
      <c r="C767">
        <v>82.47</v>
      </c>
      <c r="D767" s="5">
        <f t="shared" si="15"/>
        <v>1.1800000000000068</v>
      </c>
    </row>
    <row r="768" spans="1:6" x14ac:dyDescent="0.3">
      <c r="A768" s="17">
        <v>44943</v>
      </c>
      <c r="B768">
        <v>82.49</v>
      </c>
      <c r="C768">
        <v>81.13</v>
      </c>
      <c r="D768" s="5">
        <f t="shared" si="15"/>
        <v>1.3599999999999994</v>
      </c>
    </row>
    <row r="769" spans="1:6" x14ac:dyDescent="0.3">
      <c r="A769" s="17">
        <v>44942</v>
      </c>
      <c r="B769">
        <v>81.75</v>
      </c>
      <c r="C769">
        <v>80.319999999999993</v>
      </c>
      <c r="D769" s="5">
        <f t="shared" si="15"/>
        <v>1.4300000000000068</v>
      </c>
    </row>
    <row r="770" spans="1:6" x14ac:dyDescent="0.3">
      <c r="A770" s="17">
        <v>44939</v>
      </c>
      <c r="B770">
        <v>81.05</v>
      </c>
      <c r="C770">
        <v>79.72</v>
      </c>
      <c r="D770" s="5">
        <f t="shared" si="15"/>
        <v>1.3299999999999983</v>
      </c>
    </row>
    <row r="771" spans="1:6" x14ac:dyDescent="0.3">
      <c r="A771" s="17">
        <v>44938</v>
      </c>
      <c r="B771">
        <v>79.5</v>
      </c>
      <c r="C771">
        <v>78.28</v>
      </c>
      <c r="D771" s="5">
        <f t="shared" si="15"/>
        <v>1.2199999999999989</v>
      </c>
    </row>
    <row r="772" spans="1:6" x14ac:dyDescent="0.3">
      <c r="A772" s="17">
        <v>44937</v>
      </c>
      <c r="B772">
        <v>76.8</v>
      </c>
      <c r="C772" s="22">
        <v>76</v>
      </c>
      <c r="D772" s="5">
        <f t="shared" si="15"/>
        <v>0.79999999999999716</v>
      </c>
    </row>
    <row r="773" spans="1:6" x14ac:dyDescent="0.3">
      <c r="A773" s="17">
        <v>44936</v>
      </c>
      <c r="B773" s="22">
        <v>76</v>
      </c>
      <c r="C773">
        <v>75.150000000000006</v>
      </c>
      <c r="D773" s="5">
        <f t="shared" si="15"/>
        <v>0.84999999999999432</v>
      </c>
    </row>
    <row r="774" spans="1:6" x14ac:dyDescent="0.3">
      <c r="A774" s="17">
        <v>44935</v>
      </c>
      <c r="B774">
        <v>77.05</v>
      </c>
      <c r="C774">
        <v>75.930000000000007</v>
      </c>
      <c r="D774" s="5">
        <f t="shared" si="15"/>
        <v>1.1199999999999903</v>
      </c>
    </row>
    <row r="775" spans="1:6" x14ac:dyDescent="0.3">
      <c r="A775" s="17">
        <v>44932</v>
      </c>
      <c r="B775">
        <v>75.14</v>
      </c>
      <c r="C775">
        <v>74.05</v>
      </c>
      <c r="D775" s="5">
        <f t="shared" si="15"/>
        <v>1.0900000000000034</v>
      </c>
    </row>
    <row r="776" spans="1:6" x14ac:dyDescent="0.3">
      <c r="A776" s="17">
        <v>44931</v>
      </c>
      <c r="B776">
        <v>75.14</v>
      </c>
      <c r="C776">
        <v>73.86</v>
      </c>
      <c r="D776" s="5">
        <f t="shared" si="15"/>
        <v>1.2800000000000011</v>
      </c>
    </row>
    <row r="777" spans="1:6" x14ac:dyDescent="0.3">
      <c r="A777" s="17">
        <v>44930</v>
      </c>
      <c r="B777">
        <v>77.055000000000007</v>
      </c>
      <c r="C777">
        <v>75.540000000000006</v>
      </c>
      <c r="D777" s="5">
        <f t="shared" si="15"/>
        <v>1.5150000000000006</v>
      </c>
    </row>
    <row r="778" spans="1:6" x14ac:dyDescent="0.3">
      <c r="A778" s="17">
        <v>44929</v>
      </c>
      <c r="B778">
        <v>82.055000000000007</v>
      </c>
      <c r="C778">
        <v>80.239999999999995</v>
      </c>
      <c r="D778" s="5">
        <f t="shared" si="15"/>
        <v>1.8150000000000119</v>
      </c>
    </row>
    <row r="779" spans="1:6" x14ac:dyDescent="0.3">
      <c r="A779" s="17">
        <v>44925</v>
      </c>
      <c r="B779">
        <v>78.75</v>
      </c>
      <c r="C779">
        <v>78.239999999999995</v>
      </c>
      <c r="D779" s="5">
        <f t="shared" si="15"/>
        <v>0.51000000000000512</v>
      </c>
      <c r="E779">
        <f>+AVERAGE(D779:D797)</f>
        <v>1.2976315789473685</v>
      </c>
      <c r="F779">
        <f>+E779-E798</f>
        <v>-1.1431184210526342</v>
      </c>
    </row>
    <row r="780" spans="1:6" x14ac:dyDescent="0.3">
      <c r="A780" s="17">
        <v>44924</v>
      </c>
      <c r="B780">
        <v>78.11</v>
      </c>
      <c r="C780">
        <v>77.11</v>
      </c>
      <c r="D780" s="5">
        <f t="shared" si="15"/>
        <v>1</v>
      </c>
    </row>
    <row r="781" spans="1:6" x14ac:dyDescent="0.3">
      <c r="A781" s="17">
        <v>44923</v>
      </c>
      <c r="B781">
        <v>79.95</v>
      </c>
      <c r="C781">
        <v>78.8</v>
      </c>
      <c r="D781" s="5">
        <f t="shared" si="15"/>
        <v>1.1500000000000057</v>
      </c>
    </row>
    <row r="782" spans="1:6" x14ac:dyDescent="0.3">
      <c r="A782" s="17">
        <v>44922</v>
      </c>
      <c r="B782">
        <v>80.59</v>
      </c>
      <c r="C782">
        <v>79.22</v>
      </c>
      <c r="D782" s="5">
        <f t="shared" si="15"/>
        <v>1.3700000000000045</v>
      </c>
    </row>
    <row r="783" spans="1:6" x14ac:dyDescent="0.3">
      <c r="A783" s="17">
        <v>44918</v>
      </c>
      <c r="B783">
        <v>78.099999999999994</v>
      </c>
      <c r="C783">
        <v>76.67</v>
      </c>
      <c r="D783" s="5">
        <f t="shared" si="15"/>
        <v>1.4299999999999926</v>
      </c>
    </row>
    <row r="784" spans="1:6" x14ac:dyDescent="0.3">
      <c r="A784" s="17">
        <v>44917</v>
      </c>
      <c r="B784">
        <v>78.849999999999994</v>
      </c>
      <c r="C784">
        <v>77.58</v>
      </c>
      <c r="D784" s="5">
        <f t="shared" si="15"/>
        <v>1.269999999999996</v>
      </c>
    </row>
    <row r="785" spans="1:6" x14ac:dyDescent="0.3">
      <c r="A785" s="17">
        <v>44916</v>
      </c>
      <c r="B785">
        <v>76.7</v>
      </c>
      <c r="C785">
        <v>75.27</v>
      </c>
      <c r="D785" s="5">
        <f t="shared" si="15"/>
        <v>1.4300000000000068</v>
      </c>
    </row>
    <row r="786" spans="1:6" x14ac:dyDescent="0.3">
      <c r="A786" s="17">
        <v>44915</v>
      </c>
      <c r="B786">
        <v>75.75</v>
      </c>
      <c r="C786">
        <v>74.27</v>
      </c>
      <c r="D786" s="5">
        <f t="shared" si="15"/>
        <v>1.480000000000004</v>
      </c>
    </row>
    <row r="787" spans="1:6" x14ac:dyDescent="0.3">
      <c r="A787" s="17">
        <v>44914</v>
      </c>
      <c r="B787">
        <v>75.34</v>
      </c>
      <c r="C787">
        <v>73.819999999999993</v>
      </c>
      <c r="D787" s="5">
        <f t="shared" si="15"/>
        <v>1.5200000000000102</v>
      </c>
    </row>
    <row r="788" spans="1:6" x14ac:dyDescent="0.3">
      <c r="A788" s="17">
        <v>44911</v>
      </c>
      <c r="B788">
        <v>76.349999999999994</v>
      </c>
      <c r="C788">
        <v>74.69</v>
      </c>
      <c r="D788" s="5">
        <f t="shared" si="15"/>
        <v>1.6599999999999966</v>
      </c>
    </row>
    <row r="789" spans="1:6" x14ac:dyDescent="0.3">
      <c r="A789" s="17">
        <v>44910</v>
      </c>
      <c r="B789">
        <v>77.69</v>
      </c>
      <c r="C789">
        <v>76.31</v>
      </c>
      <c r="D789" s="5">
        <f t="shared" si="15"/>
        <v>1.3799999999999955</v>
      </c>
    </row>
    <row r="790" spans="1:6" x14ac:dyDescent="0.3">
      <c r="A790" s="17">
        <v>44909</v>
      </c>
      <c r="B790">
        <v>76.69</v>
      </c>
      <c r="C790">
        <v>75.28</v>
      </c>
      <c r="D790" s="5">
        <f t="shared" si="15"/>
        <v>1.4099999999999966</v>
      </c>
    </row>
    <row r="791" spans="1:6" x14ac:dyDescent="0.3">
      <c r="A791" s="17">
        <v>44908</v>
      </c>
      <c r="B791">
        <v>75.444999999999993</v>
      </c>
      <c r="C791">
        <v>73.989999999999995</v>
      </c>
      <c r="D791" s="5">
        <f t="shared" si="15"/>
        <v>1.4549999999999983</v>
      </c>
    </row>
    <row r="792" spans="1:6" x14ac:dyDescent="0.3">
      <c r="A792" s="17">
        <v>44907</v>
      </c>
      <c r="B792">
        <v>71.81</v>
      </c>
      <c r="C792">
        <v>70.650000000000006</v>
      </c>
      <c r="D792" s="5">
        <f t="shared" si="15"/>
        <v>1.1599999999999966</v>
      </c>
    </row>
    <row r="793" spans="1:6" x14ac:dyDescent="0.3">
      <c r="A793" s="17">
        <v>44904</v>
      </c>
      <c r="B793">
        <v>72.05</v>
      </c>
      <c r="C793">
        <v>70.97</v>
      </c>
      <c r="D793" s="5">
        <f t="shared" si="15"/>
        <v>1.0799999999999983</v>
      </c>
    </row>
    <row r="794" spans="1:6" x14ac:dyDescent="0.3">
      <c r="A794" s="17">
        <v>44903</v>
      </c>
      <c r="B794">
        <v>73.05</v>
      </c>
      <c r="C794">
        <v>71.84</v>
      </c>
      <c r="D794" s="5">
        <f t="shared" si="15"/>
        <v>1.2099999999999937</v>
      </c>
    </row>
    <row r="795" spans="1:6" x14ac:dyDescent="0.3">
      <c r="A795" s="17">
        <v>44902</v>
      </c>
      <c r="B795">
        <v>74.8</v>
      </c>
      <c r="C795">
        <v>73.59</v>
      </c>
      <c r="D795" s="5">
        <f t="shared" si="15"/>
        <v>1.2099999999999937</v>
      </c>
    </row>
    <row r="796" spans="1:6" x14ac:dyDescent="0.3">
      <c r="A796" s="17">
        <v>44901</v>
      </c>
      <c r="B796">
        <v>77.95</v>
      </c>
      <c r="C796">
        <v>76.459999999999994</v>
      </c>
      <c r="D796" s="5">
        <f t="shared" ref="D796:D859" si="16">+B796-C796</f>
        <v>1.4900000000000091</v>
      </c>
    </row>
    <row r="797" spans="1:6" x14ac:dyDescent="0.3">
      <c r="A797" s="17">
        <v>44900</v>
      </c>
      <c r="B797">
        <v>80.8</v>
      </c>
      <c r="C797">
        <v>79.36</v>
      </c>
      <c r="D797" s="5">
        <f t="shared" si="16"/>
        <v>1.4399999999999977</v>
      </c>
    </row>
    <row r="798" spans="1:6" x14ac:dyDescent="0.3">
      <c r="A798" s="17">
        <v>44897</v>
      </c>
      <c r="B798" s="22">
        <v>81</v>
      </c>
      <c r="C798">
        <v>79.75</v>
      </c>
      <c r="D798" s="5">
        <f t="shared" si="16"/>
        <v>1.25</v>
      </c>
      <c r="E798">
        <f>+AVERAGE(D798:D817)</f>
        <v>2.4407500000000026</v>
      </c>
      <c r="F798">
        <f>+E798-E820</f>
        <v>-2.2787499999999956</v>
      </c>
    </row>
    <row r="799" spans="1:6" x14ac:dyDescent="0.3">
      <c r="A799" s="17">
        <v>44896</v>
      </c>
      <c r="B799">
        <v>81.349999999999994</v>
      </c>
      <c r="C799">
        <v>79.87</v>
      </c>
      <c r="D799" s="5">
        <f t="shared" si="16"/>
        <v>1.4799999999999898</v>
      </c>
    </row>
    <row r="800" spans="1:6" x14ac:dyDescent="0.3">
      <c r="A800" s="17">
        <v>44895</v>
      </c>
      <c r="B800">
        <v>80.400000000000006</v>
      </c>
      <c r="C800">
        <v>78.17</v>
      </c>
      <c r="D800" s="5">
        <f t="shared" si="16"/>
        <v>2.230000000000004</v>
      </c>
    </row>
    <row r="801" spans="1:4" x14ac:dyDescent="0.3">
      <c r="A801" s="17">
        <v>44894</v>
      </c>
      <c r="B801">
        <v>80.94</v>
      </c>
      <c r="C801">
        <v>78.569999999999993</v>
      </c>
      <c r="D801" s="5">
        <f t="shared" si="16"/>
        <v>2.3700000000000045</v>
      </c>
    </row>
    <row r="802" spans="1:4" x14ac:dyDescent="0.3">
      <c r="A802" s="17">
        <v>44893</v>
      </c>
      <c r="B802">
        <v>76.644999999999996</v>
      </c>
      <c r="C802">
        <v>74.37</v>
      </c>
      <c r="D802" s="5">
        <f t="shared" si="16"/>
        <v>2.2749999999999915</v>
      </c>
    </row>
    <row r="803" spans="1:4" x14ac:dyDescent="0.3">
      <c r="A803" s="17">
        <v>44890</v>
      </c>
      <c r="B803">
        <v>81.06</v>
      </c>
      <c r="C803">
        <v>79.319999999999993</v>
      </c>
      <c r="D803" s="5">
        <f t="shared" si="16"/>
        <v>1.7400000000000091</v>
      </c>
    </row>
    <row r="804" spans="1:4" x14ac:dyDescent="0.3">
      <c r="A804" s="17">
        <v>44889</v>
      </c>
      <c r="B804">
        <v>77.64</v>
      </c>
      <c r="C804">
        <v>76.510000000000005</v>
      </c>
      <c r="D804" s="5">
        <f t="shared" si="16"/>
        <v>1.1299999999999955</v>
      </c>
    </row>
    <row r="805" spans="1:4" x14ac:dyDescent="0.3">
      <c r="A805" s="17">
        <v>44888</v>
      </c>
      <c r="B805">
        <v>81.790000000000006</v>
      </c>
      <c r="C805">
        <v>80.52</v>
      </c>
      <c r="D805" s="5">
        <f t="shared" si="16"/>
        <v>1.2700000000000102</v>
      </c>
    </row>
    <row r="806" spans="1:4" x14ac:dyDescent="0.3">
      <c r="A806" s="17">
        <v>44887</v>
      </c>
      <c r="B806">
        <v>82.3</v>
      </c>
      <c r="C806">
        <v>80.78</v>
      </c>
      <c r="D806" s="5">
        <f t="shared" si="16"/>
        <v>1.519999999999996</v>
      </c>
    </row>
    <row r="807" spans="1:4" x14ac:dyDescent="0.3">
      <c r="A807" s="17">
        <v>44886</v>
      </c>
      <c r="B807">
        <v>81.25</v>
      </c>
      <c r="C807">
        <v>79.87</v>
      </c>
      <c r="D807" s="5">
        <f t="shared" si="16"/>
        <v>1.3799999999999955</v>
      </c>
    </row>
    <row r="808" spans="1:4" x14ac:dyDescent="0.3">
      <c r="A808" s="17">
        <v>44883</v>
      </c>
      <c r="B808">
        <v>84.34</v>
      </c>
      <c r="C808">
        <v>82.06</v>
      </c>
      <c r="D808" s="5">
        <f t="shared" si="16"/>
        <v>2.2800000000000011</v>
      </c>
    </row>
    <row r="809" spans="1:4" x14ac:dyDescent="0.3">
      <c r="A809" s="17">
        <v>44882</v>
      </c>
      <c r="B809">
        <v>87.144999999999996</v>
      </c>
      <c r="C809">
        <v>84.52</v>
      </c>
      <c r="D809" s="5">
        <f t="shared" si="16"/>
        <v>2.625</v>
      </c>
    </row>
    <row r="810" spans="1:4" x14ac:dyDescent="0.3">
      <c r="A810" s="17">
        <v>44881</v>
      </c>
      <c r="B810">
        <v>88.04</v>
      </c>
      <c r="C810">
        <v>85.58</v>
      </c>
      <c r="D810" s="5">
        <f t="shared" si="16"/>
        <v>2.460000000000008</v>
      </c>
    </row>
    <row r="811" spans="1:4" x14ac:dyDescent="0.3">
      <c r="A811" s="17">
        <v>44880</v>
      </c>
      <c r="B811">
        <v>86.795000000000002</v>
      </c>
      <c r="C811">
        <v>84.24</v>
      </c>
      <c r="D811" s="5">
        <f t="shared" si="16"/>
        <v>2.5550000000000068</v>
      </c>
    </row>
    <row r="812" spans="1:4" x14ac:dyDescent="0.3">
      <c r="A812" s="17">
        <v>44879</v>
      </c>
      <c r="B812" s="22">
        <v>91</v>
      </c>
      <c r="C812">
        <v>87.71</v>
      </c>
      <c r="D812" s="5">
        <f t="shared" si="16"/>
        <v>3.2900000000000063</v>
      </c>
    </row>
    <row r="813" spans="1:4" x14ac:dyDescent="0.3">
      <c r="A813" s="17">
        <v>44876</v>
      </c>
      <c r="B813">
        <v>91.04</v>
      </c>
      <c r="C813">
        <v>87.46</v>
      </c>
      <c r="D813" s="5">
        <f t="shared" si="16"/>
        <v>3.5800000000000125</v>
      </c>
    </row>
    <row r="814" spans="1:4" x14ac:dyDescent="0.3">
      <c r="A814" s="17">
        <v>44875</v>
      </c>
      <c r="B814">
        <v>87.14</v>
      </c>
      <c r="C814">
        <v>83.63</v>
      </c>
      <c r="D814" s="5">
        <f t="shared" si="16"/>
        <v>3.5100000000000051</v>
      </c>
    </row>
    <row r="815" spans="1:4" x14ac:dyDescent="0.3">
      <c r="A815" s="17">
        <v>44874</v>
      </c>
      <c r="B815">
        <v>89.76</v>
      </c>
      <c r="C815">
        <v>86.02</v>
      </c>
      <c r="D815" s="5">
        <f t="shared" si="16"/>
        <v>3.7400000000000091</v>
      </c>
    </row>
    <row r="816" spans="1:4" x14ac:dyDescent="0.3">
      <c r="A816" s="17">
        <v>44873</v>
      </c>
      <c r="B816">
        <v>92.29</v>
      </c>
      <c r="C816">
        <v>88.2</v>
      </c>
      <c r="D816" s="5">
        <f t="shared" si="16"/>
        <v>4.0900000000000034</v>
      </c>
    </row>
    <row r="817" spans="1:6" x14ac:dyDescent="0.3">
      <c r="A817" s="17">
        <v>44872</v>
      </c>
      <c r="B817">
        <v>92.9</v>
      </c>
      <c r="C817">
        <v>88.86</v>
      </c>
      <c r="D817" s="5">
        <f t="shared" si="16"/>
        <v>4.0400000000000063</v>
      </c>
    </row>
    <row r="818" spans="1:6" x14ac:dyDescent="0.3">
      <c r="A818" s="17">
        <v>44869</v>
      </c>
      <c r="B818">
        <v>92.29</v>
      </c>
      <c r="C818">
        <v>88.15</v>
      </c>
      <c r="D818" s="5">
        <f t="shared" si="16"/>
        <v>4.1400000000000006</v>
      </c>
    </row>
    <row r="819" spans="1:6" x14ac:dyDescent="0.3">
      <c r="A819" s="17">
        <v>44868</v>
      </c>
      <c r="B819">
        <v>89.79</v>
      </c>
      <c r="C819">
        <v>85.66</v>
      </c>
      <c r="D819" s="5">
        <f t="shared" si="16"/>
        <v>4.1300000000000097</v>
      </c>
    </row>
    <row r="820" spans="1:6" x14ac:dyDescent="0.3">
      <c r="A820" s="17">
        <v>44867</v>
      </c>
      <c r="B820">
        <v>90.95</v>
      </c>
      <c r="C820">
        <v>86.53</v>
      </c>
      <c r="D820" s="5">
        <f t="shared" si="16"/>
        <v>4.4200000000000017</v>
      </c>
      <c r="E820">
        <f>+AVERAGE(D820:D839)</f>
        <v>4.7194999999999983</v>
      </c>
      <c r="F820">
        <f>+E820-E842</f>
        <v>-0.6515000000000013</v>
      </c>
    </row>
    <row r="821" spans="1:6" x14ac:dyDescent="0.3">
      <c r="A821" s="17">
        <v>44866</v>
      </c>
      <c r="B821">
        <v>91.39</v>
      </c>
      <c r="C821">
        <v>86.4</v>
      </c>
      <c r="D821" s="5">
        <f t="shared" si="16"/>
        <v>4.9899999999999949</v>
      </c>
    </row>
    <row r="822" spans="1:6" x14ac:dyDescent="0.3">
      <c r="A822" s="17">
        <v>44865</v>
      </c>
      <c r="B822">
        <v>90.6</v>
      </c>
      <c r="C822">
        <v>86.7</v>
      </c>
      <c r="D822" s="5">
        <f t="shared" si="16"/>
        <v>3.8999999999999915</v>
      </c>
    </row>
    <row r="823" spans="1:6" x14ac:dyDescent="0.3">
      <c r="A823" s="17">
        <v>44862</v>
      </c>
      <c r="B823">
        <v>92.65</v>
      </c>
      <c r="C823">
        <v>88.44</v>
      </c>
      <c r="D823" s="5">
        <f t="shared" si="16"/>
        <v>4.210000000000008</v>
      </c>
    </row>
    <row r="824" spans="1:6" x14ac:dyDescent="0.3">
      <c r="A824" s="17">
        <v>44861</v>
      </c>
      <c r="B824">
        <v>92.35</v>
      </c>
      <c r="C824">
        <v>88.34</v>
      </c>
      <c r="D824" s="5">
        <f t="shared" si="16"/>
        <v>4.0099999999999909</v>
      </c>
    </row>
    <row r="825" spans="1:6" x14ac:dyDescent="0.3">
      <c r="A825" s="17">
        <v>44860</v>
      </c>
      <c r="B825">
        <v>90.35</v>
      </c>
      <c r="C825" s="22">
        <v>86</v>
      </c>
      <c r="D825" s="5">
        <f t="shared" si="16"/>
        <v>4.3499999999999943</v>
      </c>
    </row>
    <row r="826" spans="1:6" x14ac:dyDescent="0.3">
      <c r="A826" s="17">
        <v>44859</v>
      </c>
      <c r="B826">
        <v>89.56</v>
      </c>
      <c r="C826">
        <v>85.43</v>
      </c>
      <c r="D826" s="5">
        <f t="shared" si="16"/>
        <v>4.1299999999999955</v>
      </c>
    </row>
    <row r="827" spans="1:6" x14ac:dyDescent="0.3">
      <c r="A827" s="17">
        <v>44855</v>
      </c>
      <c r="B827">
        <v>90.71</v>
      </c>
      <c r="C827">
        <v>86.08</v>
      </c>
      <c r="D827" s="5">
        <f t="shared" si="16"/>
        <v>4.6299999999999955</v>
      </c>
    </row>
    <row r="828" spans="1:6" x14ac:dyDescent="0.3">
      <c r="A828" s="17">
        <v>44854</v>
      </c>
      <c r="B828">
        <v>89.91</v>
      </c>
      <c r="C828">
        <v>85.72</v>
      </c>
      <c r="D828" s="5">
        <f t="shared" si="16"/>
        <v>4.1899999999999977</v>
      </c>
    </row>
    <row r="829" spans="1:6" x14ac:dyDescent="0.3">
      <c r="A829" s="17">
        <v>44853</v>
      </c>
      <c r="B829">
        <v>85.75</v>
      </c>
      <c r="C829">
        <v>82.5</v>
      </c>
      <c r="D829" s="5">
        <f t="shared" si="16"/>
        <v>3.25</v>
      </c>
    </row>
    <row r="830" spans="1:6" x14ac:dyDescent="0.3">
      <c r="A830" s="17">
        <v>44852</v>
      </c>
      <c r="B830">
        <v>88.82</v>
      </c>
      <c r="C830">
        <v>84.81</v>
      </c>
      <c r="D830" s="5">
        <f t="shared" si="16"/>
        <v>4.0099999999999909</v>
      </c>
    </row>
    <row r="831" spans="1:6" x14ac:dyDescent="0.3">
      <c r="A831" s="17">
        <v>44851</v>
      </c>
      <c r="B831">
        <v>89.65</v>
      </c>
      <c r="C831">
        <v>85.2</v>
      </c>
      <c r="D831" s="5">
        <f t="shared" si="16"/>
        <v>4.4500000000000028</v>
      </c>
    </row>
    <row r="832" spans="1:6" x14ac:dyDescent="0.3">
      <c r="A832" s="17">
        <v>44848</v>
      </c>
      <c r="B832">
        <v>92.1</v>
      </c>
      <c r="C832">
        <v>87.16</v>
      </c>
      <c r="D832" s="5">
        <f t="shared" si="16"/>
        <v>4.9399999999999977</v>
      </c>
    </row>
    <row r="833" spans="1:6" x14ac:dyDescent="0.3">
      <c r="A833" s="17">
        <v>44847</v>
      </c>
      <c r="B833">
        <v>91.16</v>
      </c>
      <c r="C833">
        <v>86.15</v>
      </c>
      <c r="D833" s="5">
        <f t="shared" si="16"/>
        <v>5.0099999999999909</v>
      </c>
    </row>
    <row r="834" spans="1:6" x14ac:dyDescent="0.3">
      <c r="A834" s="17">
        <v>44846</v>
      </c>
      <c r="B834">
        <v>92.9</v>
      </c>
      <c r="C834">
        <v>88.04</v>
      </c>
      <c r="D834" s="5">
        <f t="shared" si="16"/>
        <v>4.8599999999999994</v>
      </c>
    </row>
    <row r="835" spans="1:6" x14ac:dyDescent="0.3">
      <c r="A835" s="17">
        <v>44845</v>
      </c>
      <c r="B835">
        <v>93.7</v>
      </c>
      <c r="C835">
        <v>88.22</v>
      </c>
      <c r="D835" s="5">
        <f t="shared" si="16"/>
        <v>5.480000000000004</v>
      </c>
    </row>
    <row r="836" spans="1:6" x14ac:dyDescent="0.3">
      <c r="A836" s="17">
        <v>44844</v>
      </c>
      <c r="B836">
        <v>96.54</v>
      </c>
      <c r="C836">
        <v>90.91</v>
      </c>
      <c r="D836" s="5">
        <f t="shared" si="16"/>
        <v>5.6300000000000097</v>
      </c>
    </row>
    <row r="837" spans="1:6" x14ac:dyDescent="0.3">
      <c r="A837" s="17">
        <v>44841</v>
      </c>
      <c r="B837">
        <v>94.35</v>
      </c>
      <c r="C837">
        <v>88.53</v>
      </c>
      <c r="D837" s="5">
        <f t="shared" si="16"/>
        <v>5.8199999999999932</v>
      </c>
    </row>
    <row r="838" spans="1:6" x14ac:dyDescent="0.3">
      <c r="A838" s="17">
        <v>44840</v>
      </c>
      <c r="B838">
        <v>93.26</v>
      </c>
      <c r="C838">
        <v>87.1</v>
      </c>
      <c r="D838" s="5">
        <f t="shared" si="16"/>
        <v>6.1600000000000108</v>
      </c>
    </row>
    <row r="839" spans="1:6" x14ac:dyDescent="0.3">
      <c r="A839" s="17">
        <v>44839</v>
      </c>
      <c r="B839">
        <v>91.18</v>
      </c>
      <c r="C839">
        <v>85.23</v>
      </c>
      <c r="D839" s="5">
        <f t="shared" si="16"/>
        <v>5.9500000000000028</v>
      </c>
    </row>
    <row r="840" spans="1:6" x14ac:dyDescent="0.3">
      <c r="A840" s="17">
        <v>44838</v>
      </c>
      <c r="B840">
        <v>88.8</v>
      </c>
      <c r="C840">
        <v>83.18</v>
      </c>
      <c r="D840" s="5">
        <f t="shared" si="16"/>
        <v>5.6199999999999903</v>
      </c>
    </row>
    <row r="841" spans="1:6" x14ac:dyDescent="0.3">
      <c r="A841" s="17">
        <v>44837</v>
      </c>
      <c r="B841">
        <v>88.26</v>
      </c>
      <c r="C841">
        <v>82.43</v>
      </c>
      <c r="D841" s="5">
        <f t="shared" si="16"/>
        <v>5.8299999999999983</v>
      </c>
    </row>
    <row r="842" spans="1:6" x14ac:dyDescent="0.3">
      <c r="A842" s="17">
        <v>44834</v>
      </c>
      <c r="B842">
        <v>89.5</v>
      </c>
      <c r="C842">
        <v>84.37</v>
      </c>
      <c r="D842" s="5">
        <f t="shared" si="16"/>
        <v>5.1299999999999955</v>
      </c>
      <c r="E842">
        <f>+AVERAGE(D842:D861)</f>
        <v>5.3709999999999996</v>
      </c>
      <c r="F842">
        <f>+E842-E862</f>
        <v>0.55999999999999783</v>
      </c>
    </row>
    <row r="843" spans="1:6" x14ac:dyDescent="0.3">
      <c r="A843" s="17">
        <v>44833</v>
      </c>
      <c r="B843">
        <v>87.3</v>
      </c>
      <c r="C843">
        <v>82.92</v>
      </c>
      <c r="D843" s="5">
        <f t="shared" si="16"/>
        <v>4.3799999999999955</v>
      </c>
    </row>
    <row r="844" spans="1:6" x14ac:dyDescent="0.3">
      <c r="A844" s="17">
        <v>44832</v>
      </c>
      <c r="B844">
        <v>84.61</v>
      </c>
      <c r="C844">
        <v>80.14</v>
      </c>
      <c r="D844" s="5">
        <f t="shared" si="16"/>
        <v>4.4699999999999989</v>
      </c>
    </row>
    <row r="845" spans="1:6" x14ac:dyDescent="0.3">
      <c r="A845" s="17">
        <v>44831</v>
      </c>
      <c r="B845">
        <v>84.2</v>
      </c>
      <c r="C845">
        <v>80.260000000000005</v>
      </c>
      <c r="D845" s="5">
        <f t="shared" si="16"/>
        <v>3.9399999999999977</v>
      </c>
    </row>
    <row r="846" spans="1:6" x14ac:dyDescent="0.3">
      <c r="A846" s="17">
        <v>44830</v>
      </c>
      <c r="B846">
        <v>84.85</v>
      </c>
      <c r="C846">
        <v>80.430000000000007</v>
      </c>
      <c r="D846" s="5">
        <f t="shared" si="16"/>
        <v>4.4199999999999875</v>
      </c>
    </row>
    <row r="847" spans="1:6" x14ac:dyDescent="0.3">
      <c r="A847" s="17">
        <v>44827</v>
      </c>
      <c r="B847">
        <v>88.8</v>
      </c>
      <c r="C847">
        <v>83.9</v>
      </c>
      <c r="D847" s="5">
        <f t="shared" si="16"/>
        <v>4.8999999999999915</v>
      </c>
    </row>
    <row r="848" spans="1:6" x14ac:dyDescent="0.3">
      <c r="A848" s="17">
        <v>44826</v>
      </c>
      <c r="B848">
        <v>91.2</v>
      </c>
      <c r="C848">
        <v>85.9</v>
      </c>
      <c r="D848" s="5">
        <f t="shared" si="16"/>
        <v>5.2999999999999972</v>
      </c>
    </row>
    <row r="849" spans="1:6" x14ac:dyDescent="0.3">
      <c r="A849" s="17">
        <v>44825</v>
      </c>
      <c r="B849">
        <v>92.7</v>
      </c>
      <c r="C849">
        <v>87.12</v>
      </c>
      <c r="D849" s="5">
        <f t="shared" si="16"/>
        <v>5.5799999999999983</v>
      </c>
    </row>
    <row r="850" spans="1:6" x14ac:dyDescent="0.3">
      <c r="A850" s="17">
        <v>44824</v>
      </c>
      <c r="B850">
        <v>92.55</v>
      </c>
      <c r="C850">
        <v>86.66</v>
      </c>
      <c r="D850" s="5">
        <f t="shared" si="16"/>
        <v>5.8900000000000006</v>
      </c>
    </row>
    <row r="851" spans="1:6" x14ac:dyDescent="0.3">
      <c r="A851" s="17">
        <v>44823</v>
      </c>
      <c r="B851">
        <v>90.34</v>
      </c>
      <c r="C851">
        <v>84.17</v>
      </c>
      <c r="D851" s="5">
        <f t="shared" si="16"/>
        <v>6.1700000000000017</v>
      </c>
    </row>
    <row r="852" spans="1:6" x14ac:dyDescent="0.3">
      <c r="A852" s="17">
        <v>44820</v>
      </c>
      <c r="B852">
        <v>91.01</v>
      </c>
      <c r="C852">
        <v>84.73</v>
      </c>
      <c r="D852" s="5">
        <f t="shared" si="16"/>
        <v>6.2800000000000011</v>
      </c>
    </row>
    <row r="853" spans="1:6" x14ac:dyDescent="0.3">
      <c r="A853" s="17">
        <v>44819</v>
      </c>
      <c r="B853">
        <v>93.61</v>
      </c>
      <c r="C853">
        <v>87.63</v>
      </c>
      <c r="D853" s="5">
        <f t="shared" si="16"/>
        <v>5.980000000000004</v>
      </c>
    </row>
    <row r="854" spans="1:6" x14ac:dyDescent="0.3">
      <c r="A854" s="17">
        <v>44818</v>
      </c>
      <c r="B854">
        <v>92.704999999999998</v>
      </c>
      <c r="C854">
        <v>86.85</v>
      </c>
      <c r="D854" s="5">
        <f t="shared" si="16"/>
        <v>5.855000000000004</v>
      </c>
    </row>
    <row r="855" spans="1:6" x14ac:dyDescent="0.3">
      <c r="A855" s="17">
        <v>44817</v>
      </c>
      <c r="B855">
        <v>94.444999999999993</v>
      </c>
      <c r="C855">
        <v>88.82</v>
      </c>
      <c r="D855" s="5">
        <f t="shared" si="16"/>
        <v>5.625</v>
      </c>
    </row>
    <row r="856" spans="1:6" x14ac:dyDescent="0.3">
      <c r="A856" s="17">
        <v>44816</v>
      </c>
      <c r="B856">
        <v>92.36</v>
      </c>
      <c r="C856">
        <v>87.02</v>
      </c>
      <c r="D856" s="5">
        <f t="shared" si="16"/>
        <v>5.3400000000000034</v>
      </c>
    </row>
    <row r="857" spans="1:6" x14ac:dyDescent="0.3">
      <c r="A857" s="17">
        <v>44813</v>
      </c>
      <c r="B857">
        <v>90.41</v>
      </c>
      <c r="C857">
        <v>84.64</v>
      </c>
      <c r="D857" s="5">
        <f t="shared" si="16"/>
        <v>5.769999999999996</v>
      </c>
    </row>
    <row r="858" spans="1:6" x14ac:dyDescent="0.3">
      <c r="A858" s="17">
        <v>44812</v>
      </c>
      <c r="B858" s="22">
        <v>88</v>
      </c>
      <c r="C858">
        <v>82.44</v>
      </c>
      <c r="D858" s="5">
        <f t="shared" si="16"/>
        <v>5.5600000000000023</v>
      </c>
    </row>
    <row r="859" spans="1:6" x14ac:dyDescent="0.3">
      <c r="A859" s="17">
        <v>44811</v>
      </c>
      <c r="B859">
        <v>92.2</v>
      </c>
      <c r="C859">
        <v>86.97</v>
      </c>
      <c r="D859" s="5">
        <f t="shared" si="16"/>
        <v>5.230000000000004</v>
      </c>
    </row>
    <row r="860" spans="1:6" x14ac:dyDescent="0.3">
      <c r="A860" s="17">
        <v>44810</v>
      </c>
      <c r="B860">
        <v>95.21</v>
      </c>
      <c r="C860">
        <v>89.57</v>
      </c>
      <c r="D860" s="5">
        <f t="shared" ref="D860:D923" si="17">+B860-C860</f>
        <v>5.6400000000000006</v>
      </c>
    </row>
    <row r="861" spans="1:6" x14ac:dyDescent="0.3">
      <c r="A861" s="17">
        <v>44809</v>
      </c>
      <c r="B861">
        <v>95.34</v>
      </c>
      <c r="C861">
        <v>89.38</v>
      </c>
      <c r="D861" s="5">
        <f t="shared" si="17"/>
        <v>5.960000000000008</v>
      </c>
    </row>
    <row r="862" spans="1:6" x14ac:dyDescent="0.3">
      <c r="A862" s="17">
        <v>44806</v>
      </c>
      <c r="B862">
        <v>94.75</v>
      </c>
      <c r="C862">
        <v>88.87</v>
      </c>
      <c r="D862" s="5">
        <f t="shared" si="17"/>
        <v>5.8799999999999955</v>
      </c>
      <c r="E862">
        <f>+AVERAGE(D862:D881)</f>
        <v>4.8110000000000017</v>
      </c>
      <c r="F862">
        <f>+E862-E884</f>
        <v>-4.2082499999999978</v>
      </c>
    </row>
    <row r="863" spans="1:6" x14ac:dyDescent="0.3">
      <c r="A863" s="17">
        <v>44805</v>
      </c>
      <c r="B863">
        <v>93.95</v>
      </c>
      <c r="C863">
        <v>88.06</v>
      </c>
      <c r="D863" s="5">
        <f t="shared" si="17"/>
        <v>5.8900000000000006</v>
      </c>
    </row>
    <row r="864" spans="1:6" x14ac:dyDescent="0.3">
      <c r="A864" s="17">
        <v>44804</v>
      </c>
      <c r="B864">
        <v>97.85</v>
      </c>
      <c r="C864" s="22">
        <v>92</v>
      </c>
      <c r="D864" s="5">
        <f t="shared" si="17"/>
        <v>5.8499999999999943</v>
      </c>
    </row>
    <row r="865" spans="1:4" x14ac:dyDescent="0.3">
      <c r="A865" s="17">
        <v>44803</v>
      </c>
      <c r="B865">
        <v>102.8</v>
      </c>
      <c r="C865">
        <v>97.45</v>
      </c>
      <c r="D865" s="5">
        <f t="shared" si="17"/>
        <v>5.3499999999999943</v>
      </c>
    </row>
    <row r="866" spans="1:4" x14ac:dyDescent="0.3">
      <c r="A866" s="17">
        <v>44802</v>
      </c>
      <c r="B866">
        <v>100.16</v>
      </c>
      <c r="C866">
        <v>95.39</v>
      </c>
      <c r="D866" s="5">
        <f t="shared" si="17"/>
        <v>4.769999999999996</v>
      </c>
    </row>
    <row r="867" spans="1:4" x14ac:dyDescent="0.3">
      <c r="A867" s="17">
        <v>44799</v>
      </c>
      <c r="B867">
        <v>99.65</v>
      </c>
      <c r="C867">
        <v>95.02</v>
      </c>
      <c r="D867" s="5">
        <f t="shared" si="17"/>
        <v>4.6300000000000097</v>
      </c>
    </row>
    <row r="868" spans="1:4" x14ac:dyDescent="0.3">
      <c r="A868" s="17">
        <v>44798</v>
      </c>
      <c r="B868">
        <v>99.9</v>
      </c>
      <c r="C868">
        <v>96.23</v>
      </c>
      <c r="D868" s="5">
        <f t="shared" si="17"/>
        <v>3.6700000000000017</v>
      </c>
    </row>
    <row r="869" spans="1:4" x14ac:dyDescent="0.3">
      <c r="A869" s="17">
        <v>44797</v>
      </c>
      <c r="B869">
        <v>99.5</v>
      </c>
      <c r="C869">
        <v>95.6</v>
      </c>
      <c r="D869" s="5">
        <f t="shared" si="17"/>
        <v>3.9000000000000057</v>
      </c>
    </row>
    <row r="870" spans="1:4" x14ac:dyDescent="0.3">
      <c r="A870" s="17">
        <v>44796</v>
      </c>
      <c r="B870">
        <v>96.5</v>
      </c>
      <c r="C870">
        <v>92.86</v>
      </c>
      <c r="D870" s="5">
        <f t="shared" si="17"/>
        <v>3.6400000000000006</v>
      </c>
    </row>
    <row r="871" spans="1:4" x14ac:dyDescent="0.3">
      <c r="A871" s="17">
        <v>44795</v>
      </c>
      <c r="B871">
        <v>93.95</v>
      </c>
      <c r="C871">
        <v>90.19</v>
      </c>
      <c r="D871" s="5">
        <f t="shared" si="17"/>
        <v>3.7600000000000051</v>
      </c>
    </row>
    <row r="872" spans="1:4" x14ac:dyDescent="0.3">
      <c r="A872" s="17">
        <v>44792</v>
      </c>
      <c r="B872">
        <v>94.35</v>
      </c>
      <c r="C872">
        <v>90.32</v>
      </c>
      <c r="D872" s="5">
        <f t="shared" si="17"/>
        <v>4.0300000000000011</v>
      </c>
    </row>
    <row r="873" spans="1:4" x14ac:dyDescent="0.3">
      <c r="A873" s="17">
        <v>44791</v>
      </c>
      <c r="B873">
        <v>92.8</v>
      </c>
      <c r="C873">
        <v>88.74</v>
      </c>
      <c r="D873" s="5">
        <f t="shared" si="17"/>
        <v>4.0600000000000023</v>
      </c>
    </row>
    <row r="874" spans="1:4" x14ac:dyDescent="0.3">
      <c r="A874" s="17">
        <v>44790</v>
      </c>
      <c r="B874">
        <v>90.4</v>
      </c>
      <c r="C874">
        <v>86.52</v>
      </c>
      <c r="D874" s="5">
        <f t="shared" si="17"/>
        <v>3.8800000000000097</v>
      </c>
    </row>
    <row r="875" spans="1:4" x14ac:dyDescent="0.3">
      <c r="A875" s="17">
        <v>44789</v>
      </c>
      <c r="B875">
        <v>92.1</v>
      </c>
      <c r="C875">
        <v>87.88</v>
      </c>
      <c r="D875" s="5">
        <f t="shared" si="17"/>
        <v>4.2199999999999989</v>
      </c>
    </row>
    <row r="876" spans="1:4" x14ac:dyDescent="0.3">
      <c r="A876" s="17">
        <v>44788</v>
      </c>
      <c r="B876">
        <v>94.56</v>
      </c>
      <c r="C876">
        <v>89.98</v>
      </c>
      <c r="D876" s="5">
        <f t="shared" si="17"/>
        <v>4.5799999999999983</v>
      </c>
    </row>
    <row r="877" spans="1:4" x14ac:dyDescent="0.3">
      <c r="A877" s="17">
        <v>44785</v>
      </c>
      <c r="B877">
        <v>98.28</v>
      </c>
      <c r="C877">
        <v>93.11</v>
      </c>
      <c r="D877" s="5">
        <f t="shared" si="17"/>
        <v>5.1700000000000017</v>
      </c>
    </row>
    <row r="878" spans="1:4" x14ac:dyDescent="0.3">
      <c r="A878" s="17">
        <v>44784</v>
      </c>
      <c r="B878" s="22">
        <v>96</v>
      </c>
      <c r="C878">
        <v>91.2</v>
      </c>
      <c r="D878" s="5">
        <f t="shared" si="17"/>
        <v>4.7999999999999972</v>
      </c>
    </row>
    <row r="879" spans="1:4" x14ac:dyDescent="0.3">
      <c r="A879" s="17">
        <v>44783</v>
      </c>
      <c r="B879">
        <v>94.86</v>
      </c>
      <c r="C879">
        <v>89.02</v>
      </c>
      <c r="D879" s="5">
        <f t="shared" si="17"/>
        <v>5.8400000000000034</v>
      </c>
    </row>
    <row r="880" spans="1:4" x14ac:dyDescent="0.3">
      <c r="A880" s="17">
        <v>44781</v>
      </c>
      <c r="B880">
        <v>94.26</v>
      </c>
      <c r="C880">
        <v>88.33</v>
      </c>
      <c r="D880" s="5">
        <f t="shared" si="17"/>
        <v>5.9300000000000068</v>
      </c>
    </row>
    <row r="881" spans="1:6" x14ac:dyDescent="0.3">
      <c r="A881" s="17">
        <v>44778</v>
      </c>
      <c r="B881">
        <v>93.76</v>
      </c>
      <c r="C881">
        <v>87.39</v>
      </c>
      <c r="D881" s="5">
        <f t="shared" si="17"/>
        <v>6.3700000000000045</v>
      </c>
    </row>
    <row r="882" spans="1:6" x14ac:dyDescent="0.3">
      <c r="A882" s="17">
        <v>44777</v>
      </c>
      <c r="B882">
        <v>95.7</v>
      </c>
      <c r="C882">
        <v>90.28</v>
      </c>
      <c r="D882" s="5">
        <f t="shared" si="17"/>
        <v>5.4200000000000017</v>
      </c>
    </row>
    <row r="883" spans="1:6" x14ac:dyDescent="0.3">
      <c r="A883" s="17">
        <v>44776</v>
      </c>
      <c r="B883">
        <v>98.36</v>
      </c>
      <c r="C883">
        <v>92.4</v>
      </c>
      <c r="D883" s="5">
        <f t="shared" si="17"/>
        <v>5.9599999999999937</v>
      </c>
    </row>
    <row r="884" spans="1:6" x14ac:dyDescent="0.3">
      <c r="A884" s="17">
        <v>44775</v>
      </c>
      <c r="B884">
        <v>97.98</v>
      </c>
      <c r="C884">
        <v>92.08</v>
      </c>
      <c r="D884" s="5">
        <f t="shared" si="17"/>
        <v>5.9000000000000057</v>
      </c>
      <c r="E884">
        <f>+AVERAGE(D884:D903)</f>
        <v>9.0192499999999995</v>
      </c>
      <c r="F884">
        <f>+E884-E905</f>
        <v>1.2182500000000003</v>
      </c>
    </row>
    <row r="885" spans="1:6" x14ac:dyDescent="0.3">
      <c r="A885" s="17">
        <v>44774</v>
      </c>
      <c r="B885">
        <v>101.5</v>
      </c>
      <c r="C885">
        <v>94.12</v>
      </c>
      <c r="D885" s="5">
        <f t="shared" si="17"/>
        <v>7.3799999999999955</v>
      </c>
    </row>
    <row r="886" spans="1:6" x14ac:dyDescent="0.3">
      <c r="A886" s="17">
        <v>44771</v>
      </c>
      <c r="B886">
        <v>107.24</v>
      </c>
      <c r="C886">
        <v>97.36</v>
      </c>
      <c r="D886" s="5">
        <f t="shared" si="17"/>
        <v>9.8799999999999955</v>
      </c>
    </row>
    <row r="887" spans="1:6" x14ac:dyDescent="0.3">
      <c r="A887" s="17">
        <v>44770</v>
      </c>
      <c r="B887" s="22">
        <v>105</v>
      </c>
      <c r="C887">
        <v>97.65</v>
      </c>
      <c r="D887" s="5">
        <f t="shared" si="17"/>
        <v>7.3499999999999943</v>
      </c>
    </row>
    <row r="888" spans="1:6" x14ac:dyDescent="0.3">
      <c r="A888" s="17">
        <v>44769</v>
      </c>
      <c r="B888">
        <v>101.4</v>
      </c>
      <c r="C888">
        <v>94.76</v>
      </c>
      <c r="D888" s="5">
        <f t="shared" si="17"/>
        <v>6.6400000000000006</v>
      </c>
    </row>
    <row r="889" spans="1:6" x14ac:dyDescent="0.3">
      <c r="A889" s="17">
        <v>44768</v>
      </c>
      <c r="B889">
        <v>104.9</v>
      </c>
      <c r="C889">
        <v>95.86</v>
      </c>
      <c r="D889" s="5">
        <f t="shared" si="17"/>
        <v>9.0400000000000063</v>
      </c>
    </row>
    <row r="890" spans="1:6" x14ac:dyDescent="0.3">
      <c r="A890" s="17">
        <v>44767</v>
      </c>
      <c r="B890">
        <v>101.21</v>
      </c>
      <c r="C890">
        <v>91.71</v>
      </c>
      <c r="D890" s="5">
        <f t="shared" si="17"/>
        <v>9.5</v>
      </c>
    </row>
    <row r="891" spans="1:6" x14ac:dyDescent="0.3">
      <c r="A891" s="17">
        <v>44764</v>
      </c>
      <c r="B891">
        <v>102.69</v>
      </c>
      <c r="C891">
        <v>93.32</v>
      </c>
      <c r="D891" s="5">
        <f t="shared" si="17"/>
        <v>9.3700000000000045</v>
      </c>
    </row>
    <row r="892" spans="1:6" x14ac:dyDescent="0.3">
      <c r="A892" s="17">
        <v>44763</v>
      </c>
      <c r="B892" s="22">
        <v>102</v>
      </c>
      <c r="C892">
        <v>92.73</v>
      </c>
      <c r="D892" s="5">
        <f t="shared" si="17"/>
        <v>9.269999999999996</v>
      </c>
    </row>
    <row r="893" spans="1:6" x14ac:dyDescent="0.3">
      <c r="A893" s="17">
        <v>44762</v>
      </c>
      <c r="B893">
        <v>104.44</v>
      </c>
      <c r="C893">
        <v>94.62</v>
      </c>
      <c r="D893" s="5">
        <f t="shared" si="17"/>
        <v>9.8199999999999932</v>
      </c>
    </row>
    <row r="894" spans="1:6" x14ac:dyDescent="0.3">
      <c r="A894" s="17">
        <v>44761</v>
      </c>
      <c r="B894">
        <v>104.80500000000001</v>
      </c>
      <c r="C894">
        <v>94.97</v>
      </c>
      <c r="D894" s="5">
        <f t="shared" si="17"/>
        <v>9.835000000000008</v>
      </c>
    </row>
    <row r="895" spans="1:6" x14ac:dyDescent="0.3">
      <c r="A895" s="17">
        <v>44760</v>
      </c>
      <c r="B895">
        <v>102.59</v>
      </c>
      <c r="C895">
        <v>92.87</v>
      </c>
      <c r="D895" s="5">
        <f t="shared" si="17"/>
        <v>9.7199999999999989</v>
      </c>
    </row>
    <row r="896" spans="1:6" x14ac:dyDescent="0.3">
      <c r="A896" s="17">
        <v>44757</v>
      </c>
      <c r="B896">
        <v>98.32</v>
      </c>
      <c r="C896">
        <v>88.42</v>
      </c>
      <c r="D896" s="5">
        <f t="shared" si="17"/>
        <v>9.8999999999999915</v>
      </c>
    </row>
    <row r="897" spans="1:6" x14ac:dyDescent="0.3">
      <c r="A897" s="17">
        <v>44756</v>
      </c>
      <c r="B897">
        <v>97.69</v>
      </c>
      <c r="C897">
        <v>88.22</v>
      </c>
      <c r="D897" s="5">
        <f t="shared" si="17"/>
        <v>9.4699999999999989</v>
      </c>
    </row>
    <row r="898" spans="1:6" x14ac:dyDescent="0.3">
      <c r="A898" s="17">
        <v>44755</v>
      </c>
      <c r="B898">
        <v>98.45</v>
      </c>
      <c r="C898">
        <v>89.75</v>
      </c>
      <c r="D898" s="5">
        <f t="shared" si="17"/>
        <v>8.7000000000000028</v>
      </c>
    </row>
    <row r="899" spans="1:6" x14ac:dyDescent="0.3">
      <c r="A899" s="17">
        <v>44754</v>
      </c>
      <c r="B899">
        <v>102.1</v>
      </c>
      <c r="C899">
        <v>92.82</v>
      </c>
      <c r="D899" s="5">
        <f t="shared" si="17"/>
        <v>9.2800000000000011</v>
      </c>
    </row>
    <row r="900" spans="1:6" x14ac:dyDescent="0.3">
      <c r="A900" s="17">
        <v>44750</v>
      </c>
      <c r="B900">
        <v>104.05</v>
      </c>
      <c r="C900">
        <v>94.27</v>
      </c>
      <c r="D900" s="5">
        <f t="shared" si="17"/>
        <v>9.7800000000000011</v>
      </c>
    </row>
    <row r="901" spans="1:6" x14ac:dyDescent="0.3">
      <c r="A901" s="17">
        <v>44749</v>
      </c>
      <c r="B901">
        <v>98.2</v>
      </c>
      <c r="C901">
        <v>88.45</v>
      </c>
      <c r="D901" s="5">
        <f t="shared" si="17"/>
        <v>9.75</v>
      </c>
    </row>
    <row r="902" spans="1:6" x14ac:dyDescent="0.3">
      <c r="A902" s="17">
        <v>44748</v>
      </c>
      <c r="B902">
        <v>101.69</v>
      </c>
      <c r="C902">
        <v>91.91</v>
      </c>
      <c r="D902" s="5">
        <f t="shared" si="17"/>
        <v>9.7800000000000011</v>
      </c>
    </row>
    <row r="903" spans="1:6" x14ac:dyDescent="0.3">
      <c r="A903" s="17">
        <v>44747</v>
      </c>
      <c r="B903">
        <v>111.01</v>
      </c>
      <c r="C903">
        <v>100.99</v>
      </c>
      <c r="D903" s="5">
        <f t="shared" si="17"/>
        <v>10.02000000000001</v>
      </c>
    </row>
    <row r="904" spans="1:6" x14ac:dyDescent="0.3">
      <c r="A904" s="17">
        <v>44746</v>
      </c>
      <c r="B904">
        <v>108.37</v>
      </c>
      <c r="C904">
        <v>98.68</v>
      </c>
      <c r="D904" s="5">
        <f t="shared" si="17"/>
        <v>9.6899999999999977</v>
      </c>
    </row>
    <row r="905" spans="1:6" x14ac:dyDescent="0.3">
      <c r="A905" s="17">
        <v>44743</v>
      </c>
      <c r="B905">
        <v>106.31</v>
      </c>
      <c r="C905">
        <v>97.35</v>
      </c>
      <c r="D905" s="5">
        <f t="shared" si="17"/>
        <v>8.960000000000008</v>
      </c>
      <c r="E905">
        <f>+AVERAGE(D905:D924)</f>
        <v>7.8009999999999993</v>
      </c>
      <c r="F905">
        <f>+E905-E926</f>
        <v>2.3777500000000016</v>
      </c>
    </row>
    <row r="906" spans="1:6" x14ac:dyDescent="0.3">
      <c r="A906" s="17">
        <v>44742</v>
      </c>
      <c r="B906">
        <v>113.35</v>
      </c>
      <c r="C906">
        <v>104.29</v>
      </c>
      <c r="D906" s="5">
        <f t="shared" si="17"/>
        <v>9.0599999999999881</v>
      </c>
    </row>
    <row r="907" spans="1:6" x14ac:dyDescent="0.3">
      <c r="A907" s="17">
        <v>44741</v>
      </c>
      <c r="B907">
        <v>114.19</v>
      </c>
      <c r="C907">
        <v>105.32</v>
      </c>
      <c r="D907" s="5">
        <f t="shared" si="17"/>
        <v>8.8700000000000045</v>
      </c>
    </row>
    <row r="908" spans="1:6" x14ac:dyDescent="0.3">
      <c r="A908" s="17">
        <v>44740</v>
      </c>
      <c r="B908">
        <v>113.16</v>
      </c>
      <c r="C908">
        <v>104.4</v>
      </c>
      <c r="D908" s="5">
        <f t="shared" si="17"/>
        <v>8.7599999999999909</v>
      </c>
    </row>
    <row r="909" spans="1:6" x14ac:dyDescent="0.3">
      <c r="A909" s="17">
        <v>44739</v>
      </c>
      <c r="B909" s="22">
        <v>110</v>
      </c>
      <c r="C909">
        <v>101.03</v>
      </c>
      <c r="D909" s="5">
        <f t="shared" si="17"/>
        <v>8.9699999999999989</v>
      </c>
    </row>
    <row r="910" spans="1:6" x14ac:dyDescent="0.3">
      <c r="A910" s="17">
        <v>44736</v>
      </c>
      <c r="B910">
        <v>106.5</v>
      </c>
      <c r="C910">
        <v>98.59</v>
      </c>
      <c r="D910" s="5">
        <f t="shared" si="17"/>
        <v>7.9099999999999966</v>
      </c>
    </row>
    <row r="911" spans="1:6" x14ac:dyDescent="0.3">
      <c r="A911" s="17">
        <v>44735</v>
      </c>
      <c r="B911">
        <v>106.45</v>
      </c>
      <c r="C911">
        <v>98.62</v>
      </c>
      <c r="D911" s="5">
        <f t="shared" si="17"/>
        <v>7.8299999999999983</v>
      </c>
    </row>
    <row r="912" spans="1:6" x14ac:dyDescent="0.3">
      <c r="A912" s="17">
        <v>44734</v>
      </c>
      <c r="B912">
        <v>106.6</v>
      </c>
      <c r="C912">
        <v>99.27</v>
      </c>
      <c r="D912" s="5">
        <f t="shared" si="17"/>
        <v>7.3299999999999983</v>
      </c>
    </row>
    <row r="913" spans="1:6" x14ac:dyDescent="0.3">
      <c r="A913" s="17">
        <v>44733</v>
      </c>
      <c r="B913">
        <v>111.75</v>
      </c>
      <c r="C913">
        <v>104.47</v>
      </c>
      <c r="D913" s="5">
        <f t="shared" si="17"/>
        <v>7.2800000000000011</v>
      </c>
    </row>
    <row r="914" spans="1:6" x14ac:dyDescent="0.3">
      <c r="A914" s="17">
        <v>44732</v>
      </c>
      <c r="B914">
        <v>108.4</v>
      </c>
      <c r="C914">
        <v>101.36</v>
      </c>
      <c r="D914" s="5">
        <f t="shared" si="17"/>
        <v>7.0400000000000063</v>
      </c>
    </row>
    <row r="915" spans="1:6" x14ac:dyDescent="0.3">
      <c r="A915" s="17">
        <v>44729</v>
      </c>
      <c r="B915">
        <v>116.3</v>
      </c>
      <c r="C915">
        <v>108.83</v>
      </c>
      <c r="D915" s="5">
        <f t="shared" si="17"/>
        <v>7.4699999999999989</v>
      </c>
    </row>
    <row r="916" spans="1:6" x14ac:dyDescent="0.3">
      <c r="A916" s="17">
        <v>44728</v>
      </c>
      <c r="B916">
        <v>114.94</v>
      </c>
      <c r="C916">
        <v>107.3</v>
      </c>
      <c r="D916" s="5">
        <f t="shared" si="17"/>
        <v>7.6400000000000006</v>
      </c>
    </row>
    <row r="917" spans="1:6" x14ac:dyDescent="0.3">
      <c r="A917" s="17">
        <v>44727</v>
      </c>
      <c r="B917">
        <v>116.3</v>
      </c>
      <c r="C917">
        <v>108.65</v>
      </c>
      <c r="D917" s="5">
        <f t="shared" si="17"/>
        <v>7.6499999999999915</v>
      </c>
    </row>
    <row r="918" spans="1:6" x14ac:dyDescent="0.3">
      <c r="A918" s="17">
        <v>44726</v>
      </c>
      <c r="B918">
        <v>118.61</v>
      </c>
      <c r="C918">
        <v>111.1</v>
      </c>
      <c r="D918" s="5">
        <f t="shared" si="17"/>
        <v>7.5100000000000051</v>
      </c>
    </row>
    <row r="919" spans="1:6" x14ac:dyDescent="0.3">
      <c r="A919" s="17">
        <v>44725</v>
      </c>
      <c r="B919">
        <v>115.66</v>
      </c>
      <c r="C919">
        <v>108.04</v>
      </c>
      <c r="D919" s="5">
        <f t="shared" si="17"/>
        <v>7.6199999999999903</v>
      </c>
    </row>
    <row r="920" spans="1:6" x14ac:dyDescent="0.3">
      <c r="A920" s="17">
        <v>44722</v>
      </c>
      <c r="B920">
        <v>118.95</v>
      </c>
      <c r="C920">
        <v>111.53</v>
      </c>
      <c r="D920" s="5">
        <f t="shared" si="17"/>
        <v>7.4200000000000017</v>
      </c>
    </row>
    <row r="921" spans="1:6" x14ac:dyDescent="0.3">
      <c r="A921" s="17">
        <v>44721</v>
      </c>
      <c r="B921">
        <v>118.79</v>
      </c>
      <c r="C921">
        <v>111.66</v>
      </c>
      <c r="D921" s="5">
        <f t="shared" si="17"/>
        <v>7.1300000000000097</v>
      </c>
    </row>
    <row r="922" spans="1:6" x14ac:dyDescent="0.3">
      <c r="A922" s="17">
        <v>44720</v>
      </c>
      <c r="B922">
        <v>116.51</v>
      </c>
      <c r="C922">
        <v>109.43</v>
      </c>
      <c r="D922" s="5">
        <f t="shared" si="17"/>
        <v>7.0799999999999983</v>
      </c>
    </row>
    <row r="923" spans="1:6" x14ac:dyDescent="0.3">
      <c r="A923" s="17">
        <v>44719</v>
      </c>
      <c r="B923">
        <v>115.56</v>
      </c>
      <c r="C923">
        <v>108.45</v>
      </c>
      <c r="D923" s="5">
        <f t="shared" si="17"/>
        <v>7.1099999999999994</v>
      </c>
    </row>
    <row r="924" spans="1:6" x14ac:dyDescent="0.3">
      <c r="A924" s="17">
        <v>44718</v>
      </c>
      <c r="B924">
        <v>115.6</v>
      </c>
      <c r="C924">
        <v>108.22</v>
      </c>
      <c r="D924" s="5">
        <f t="shared" ref="D924:D987" si="18">+B924-C924</f>
        <v>7.3799999999999955</v>
      </c>
    </row>
    <row r="925" spans="1:6" x14ac:dyDescent="0.3">
      <c r="A925" s="17">
        <v>44715</v>
      </c>
      <c r="B925">
        <v>112.1</v>
      </c>
      <c r="C925">
        <v>105.48</v>
      </c>
      <c r="D925" s="5">
        <f t="shared" si="18"/>
        <v>6.6199999999999903</v>
      </c>
    </row>
    <row r="926" spans="1:6" x14ac:dyDescent="0.3">
      <c r="A926" s="17">
        <v>44714</v>
      </c>
      <c r="B926">
        <v>108.94</v>
      </c>
      <c r="C926">
        <v>102.03</v>
      </c>
      <c r="D926" s="5">
        <f t="shared" si="18"/>
        <v>6.9099999999999966</v>
      </c>
      <c r="E926">
        <f>+AVERAGE(D926:D945)</f>
        <v>5.4232499999999977</v>
      </c>
      <c r="F926">
        <f>+E926-E947</f>
        <v>1.9251944444444442</v>
      </c>
    </row>
    <row r="927" spans="1:6" x14ac:dyDescent="0.3">
      <c r="A927" s="17">
        <v>44713</v>
      </c>
      <c r="B927">
        <v>112.66</v>
      </c>
      <c r="C927">
        <v>105.23</v>
      </c>
      <c r="D927" s="5">
        <f t="shared" si="18"/>
        <v>7.4299999999999926</v>
      </c>
    </row>
    <row r="928" spans="1:6" x14ac:dyDescent="0.3">
      <c r="A928" s="17">
        <v>44712</v>
      </c>
      <c r="B928">
        <v>116.35</v>
      </c>
      <c r="C928">
        <v>111.12</v>
      </c>
      <c r="D928" s="5">
        <f t="shared" si="18"/>
        <v>5.2299999999999898</v>
      </c>
    </row>
    <row r="929" spans="1:4" x14ac:dyDescent="0.3">
      <c r="A929" s="17">
        <v>44711</v>
      </c>
      <c r="B929">
        <v>113.79</v>
      </c>
      <c r="C929">
        <v>108.09</v>
      </c>
      <c r="D929" s="5">
        <f t="shared" si="18"/>
        <v>5.7000000000000028</v>
      </c>
    </row>
    <row r="930" spans="1:4" x14ac:dyDescent="0.3">
      <c r="A930" s="17">
        <v>44708</v>
      </c>
      <c r="B930">
        <v>112.355</v>
      </c>
      <c r="C930">
        <v>106.81</v>
      </c>
      <c r="D930" s="5">
        <f t="shared" si="18"/>
        <v>5.5450000000000017</v>
      </c>
    </row>
    <row r="931" spans="1:4" x14ac:dyDescent="0.3">
      <c r="A931" s="17">
        <v>44707</v>
      </c>
      <c r="B931">
        <v>108.91</v>
      </c>
      <c r="C931">
        <v>104.29</v>
      </c>
      <c r="D931" s="5">
        <f t="shared" si="18"/>
        <v>4.6199999999999903</v>
      </c>
    </row>
    <row r="932" spans="1:4" x14ac:dyDescent="0.3">
      <c r="A932" s="17">
        <v>44706</v>
      </c>
      <c r="B932">
        <v>109.2</v>
      </c>
      <c r="C932">
        <v>104.38</v>
      </c>
      <c r="D932" s="5">
        <f t="shared" si="18"/>
        <v>4.8200000000000074</v>
      </c>
    </row>
    <row r="933" spans="1:4" x14ac:dyDescent="0.3">
      <c r="A933" s="17">
        <v>44705</v>
      </c>
      <c r="B933">
        <v>107.89</v>
      </c>
      <c r="C933">
        <v>102.89</v>
      </c>
      <c r="D933" s="5">
        <f t="shared" si="18"/>
        <v>5</v>
      </c>
    </row>
    <row r="934" spans="1:4" x14ac:dyDescent="0.3">
      <c r="A934" s="17">
        <v>44704</v>
      </c>
      <c r="B934">
        <v>109.39</v>
      </c>
      <c r="C934">
        <v>103.84</v>
      </c>
      <c r="D934" s="5">
        <f t="shared" si="18"/>
        <v>5.5499999999999972</v>
      </c>
    </row>
    <row r="935" spans="1:4" x14ac:dyDescent="0.3">
      <c r="A935" s="17">
        <v>44701</v>
      </c>
      <c r="B935">
        <v>108.04</v>
      </c>
      <c r="C935">
        <v>102.54</v>
      </c>
      <c r="D935" s="5">
        <f t="shared" si="18"/>
        <v>5.5</v>
      </c>
    </row>
    <row r="936" spans="1:4" x14ac:dyDescent="0.3">
      <c r="A936" s="17">
        <v>44700</v>
      </c>
      <c r="B936">
        <v>105.58</v>
      </c>
      <c r="C936">
        <v>100.03</v>
      </c>
      <c r="D936" s="5">
        <f t="shared" si="18"/>
        <v>5.5499999999999972</v>
      </c>
    </row>
    <row r="937" spans="1:4" x14ac:dyDescent="0.3">
      <c r="A937" s="17">
        <v>44699</v>
      </c>
      <c r="B937">
        <v>109.71</v>
      </c>
      <c r="C937">
        <v>104.02</v>
      </c>
      <c r="D937" s="5">
        <f t="shared" si="18"/>
        <v>5.6899999999999977</v>
      </c>
    </row>
    <row r="938" spans="1:4" x14ac:dyDescent="0.3">
      <c r="A938" s="17">
        <v>44698</v>
      </c>
      <c r="B938">
        <v>110.80500000000001</v>
      </c>
      <c r="C938">
        <v>105.04</v>
      </c>
      <c r="D938" s="5">
        <f t="shared" si="18"/>
        <v>5.7650000000000006</v>
      </c>
    </row>
    <row r="939" spans="1:4" x14ac:dyDescent="0.3">
      <c r="A939" s="17">
        <v>44694</v>
      </c>
      <c r="B939">
        <v>106.64</v>
      </c>
      <c r="C939">
        <v>101.45</v>
      </c>
      <c r="D939" s="5">
        <f t="shared" si="18"/>
        <v>5.1899999999999977</v>
      </c>
    </row>
    <row r="940" spans="1:4" x14ac:dyDescent="0.3">
      <c r="A940" s="17">
        <v>44693</v>
      </c>
      <c r="B940">
        <v>102.84</v>
      </c>
      <c r="C940">
        <v>97.44</v>
      </c>
      <c r="D940" s="5">
        <f t="shared" si="18"/>
        <v>5.4000000000000057</v>
      </c>
    </row>
    <row r="941" spans="1:4" x14ac:dyDescent="0.3">
      <c r="A941" s="17">
        <v>44692</v>
      </c>
      <c r="B941">
        <v>102.89</v>
      </c>
      <c r="C941">
        <v>97.58</v>
      </c>
      <c r="D941" s="5">
        <f t="shared" si="18"/>
        <v>5.3100000000000023</v>
      </c>
    </row>
    <row r="942" spans="1:4" x14ac:dyDescent="0.3">
      <c r="A942" s="17">
        <v>44691</v>
      </c>
      <c r="B942">
        <v>103.1</v>
      </c>
      <c r="C942">
        <v>98.29</v>
      </c>
      <c r="D942" s="5">
        <f t="shared" si="18"/>
        <v>4.8099999999999881</v>
      </c>
    </row>
    <row r="943" spans="1:4" x14ac:dyDescent="0.3">
      <c r="A943" s="17">
        <v>44690</v>
      </c>
      <c r="B943">
        <v>107.95</v>
      </c>
      <c r="C943">
        <v>103.14</v>
      </c>
      <c r="D943" s="5">
        <f t="shared" si="18"/>
        <v>4.8100000000000023</v>
      </c>
    </row>
    <row r="944" spans="1:4" x14ac:dyDescent="0.3">
      <c r="A944" s="17">
        <v>44687</v>
      </c>
      <c r="B944">
        <v>107.8</v>
      </c>
      <c r="C944">
        <v>102.73</v>
      </c>
      <c r="D944" s="5">
        <f t="shared" si="18"/>
        <v>5.0699999999999932</v>
      </c>
    </row>
    <row r="945" spans="1:6" x14ac:dyDescent="0.3">
      <c r="A945" s="17">
        <v>44686</v>
      </c>
      <c r="B945">
        <v>106.605</v>
      </c>
      <c r="C945">
        <v>102.04</v>
      </c>
      <c r="D945" s="5">
        <f t="shared" si="18"/>
        <v>4.5649999999999977</v>
      </c>
    </row>
    <row r="946" spans="1:6" x14ac:dyDescent="0.3">
      <c r="A946" s="17">
        <v>44685</v>
      </c>
      <c r="B946">
        <v>104.66</v>
      </c>
      <c r="C946">
        <v>100.49</v>
      </c>
      <c r="D946" s="5">
        <f t="shared" si="18"/>
        <v>4.1700000000000017</v>
      </c>
    </row>
    <row r="947" spans="1:6" x14ac:dyDescent="0.3">
      <c r="A947" s="17">
        <v>44680</v>
      </c>
      <c r="B947">
        <v>105.4</v>
      </c>
      <c r="C947">
        <v>102.26</v>
      </c>
      <c r="D947" s="5">
        <f t="shared" si="18"/>
        <v>3.1400000000000006</v>
      </c>
      <c r="E947">
        <f>+AVERAGE(D947:D964)</f>
        <v>3.4980555555555535</v>
      </c>
      <c r="F947">
        <f>+E947-E966</f>
        <v>-5.205694444444446</v>
      </c>
    </row>
    <row r="948" spans="1:6" x14ac:dyDescent="0.3">
      <c r="A948" s="17">
        <v>44679</v>
      </c>
      <c r="B948">
        <v>102.795</v>
      </c>
      <c r="C948">
        <v>99.4</v>
      </c>
      <c r="D948" s="5">
        <f t="shared" si="18"/>
        <v>3.394999999999996</v>
      </c>
    </row>
    <row r="949" spans="1:6" x14ac:dyDescent="0.3">
      <c r="A949" s="17">
        <v>44678</v>
      </c>
      <c r="B949" s="22">
        <v>103</v>
      </c>
      <c r="C949">
        <v>99.76</v>
      </c>
      <c r="D949" s="5">
        <f t="shared" si="18"/>
        <v>3.2399999999999949</v>
      </c>
    </row>
    <row r="950" spans="1:6" x14ac:dyDescent="0.3">
      <c r="A950" s="17">
        <v>44677</v>
      </c>
      <c r="B950">
        <v>99.55</v>
      </c>
      <c r="C950">
        <v>96.64</v>
      </c>
      <c r="D950" s="5">
        <f t="shared" si="18"/>
        <v>2.9099999999999966</v>
      </c>
    </row>
    <row r="951" spans="1:6" x14ac:dyDescent="0.3">
      <c r="A951" s="17">
        <v>44676</v>
      </c>
      <c r="B951">
        <v>99.69</v>
      </c>
      <c r="C951">
        <v>96.01</v>
      </c>
      <c r="D951" s="5">
        <f t="shared" si="18"/>
        <v>3.6799999999999926</v>
      </c>
    </row>
    <row r="952" spans="1:6" x14ac:dyDescent="0.3">
      <c r="A952" s="17">
        <v>44673</v>
      </c>
      <c r="B952">
        <v>105.05</v>
      </c>
      <c r="C952">
        <v>101.11</v>
      </c>
      <c r="D952" s="5">
        <f t="shared" si="18"/>
        <v>3.9399999999999977</v>
      </c>
    </row>
    <row r="953" spans="1:6" x14ac:dyDescent="0.3">
      <c r="A953" s="17">
        <v>44672</v>
      </c>
      <c r="B953">
        <v>106.11</v>
      </c>
      <c r="C953">
        <v>102.2</v>
      </c>
      <c r="D953" s="5">
        <f t="shared" si="18"/>
        <v>3.9099999999999966</v>
      </c>
    </row>
    <row r="954" spans="1:6" x14ac:dyDescent="0.3">
      <c r="A954" s="17">
        <v>44671</v>
      </c>
      <c r="B954">
        <v>105.51</v>
      </c>
      <c r="C954">
        <v>101.62</v>
      </c>
      <c r="D954" s="5">
        <f t="shared" si="18"/>
        <v>3.8900000000000006</v>
      </c>
    </row>
    <row r="955" spans="1:6" x14ac:dyDescent="0.3">
      <c r="A955" s="17">
        <v>44670</v>
      </c>
      <c r="B955">
        <v>108.65</v>
      </c>
      <c r="C955">
        <v>104.87</v>
      </c>
      <c r="D955" s="5">
        <f t="shared" si="18"/>
        <v>3.7800000000000011</v>
      </c>
    </row>
    <row r="956" spans="1:6" x14ac:dyDescent="0.3">
      <c r="A956" s="17">
        <v>44669</v>
      </c>
      <c r="B956">
        <v>108.09</v>
      </c>
      <c r="C956">
        <v>103.98</v>
      </c>
      <c r="D956" s="5">
        <f t="shared" si="18"/>
        <v>4.1099999999999994</v>
      </c>
    </row>
    <row r="957" spans="1:6" x14ac:dyDescent="0.3">
      <c r="A957" s="17">
        <v>44665</v>
      </c>
      <c r="B957">
        <v>105.85</v>
      </c>
      <c r="C957">
        <v>101.95</v>
      </c>
      <c r="D957" s="5">
        <f t="shared" si="18"/>
        <v>3.8999999999999915</v>
      </c>
    </row>
    <row r="958" spans="1:6" x14ac:dyDescent="0.3">
      <c r="A958" s="17">
        <v>44664</v>
      </c>
      <c r="B958">
        <v>102.41</v>
      </c>
      <c r="C958">
        <v>99.44</v>
      </c>
      <c r="D958" s="5">
        <f t="shared" si="18"/>
        <v>2.9699999999999989</v>
      </c>
    </row>
    <row r="959" spans="1:6" x14ac:dyDescent="0.3">
      <c r="A959" s="17">
        <v>44663</v>
      </c>
      <c r="B959">
        <v>98.1</v>
      </c>
      <c r="C959">
        <v>95.68</v>
      </c>
      <c r="D959" s="5">
        <f t="shared" si="18"/>
        <v>2.4199999999999875</v>
      </c>
    </row>
    <row r="960" spans="1:6" x14ac:dyDescent="0.3">
      <c r="A960" s="17">
        <v>44662</v>
      </c>
      <c r="B960">
        <v>97.6</v>
      </c>
      <c r="C960">
        <v>94.67</v>
      </c>
      <c r="D960" s="5">
        <f t="shared" si="18"/>
        <v>2.9299999999999926</v>
      </c>
    </row>
    <row r="961" spans="1:6" x14ac:dyDescent="0.3">
      <c r="A961" s="17">
        <v>44659</v>
      </c>
      <c r="B961">
        <v>98.11</v>
      </c>
      <c r="C961">
        <v>95.32</v>
      </c>
      <c r="D961" s="5">
        <f t="shared" si="18"/>
        <v>2.7900000000000063</v>
      </c>
    </row>
    <row r="962" spans="1:6" x14ac:dyDescent="0.3">
      <c r="A962" s="17">
        <v>44658</v>
      </c>
      <c r="B962">
        <v>97.37</v>
      </c>
      <c r="C962">
        <v>94.43</v>
      </c>
      <c r="D962" s="5">
        <f t="shared" si="18"/>
        <v>2.9399999999999977</v>
      </c>
    </row>
    <row r="963" spans="1:6" x14ac:dyDescent="0.3">
      <c r="A963" s="17">
        <v>44657</v>
      </c>
      <c r="B963">
        <v>103.75</v>
      </c>
      <c r="C963">
        <v>99.57</v>
      </c>
      <c r="D963" s="5">
        <f t="shared" si="18"/>
        <v>4.1800000000000068</v>
      </c>
    </row>
    <row r="964" spans="1:6" x14ac:dyDescent="0.3">
      <c r="A964" s="17">
        <v>44656</v>
      </c>
      <c r="B964">
        <v>105.3</v>
      </c>
      <c r="C964">
        <v>100.46</v>
      </c>
      <c r="D964" s="5">
        <f t="shared" si="18"/>
        <v>4.8400000000000034</v>
      </c>
    </row>
    <row r="965" spans="1:6" x14ac:dyDescent="0.3">
      <c r="A965" s="17">
        <v>44655</v>
      </c>
      <c r="B965">
        <v>101.79</v>
      </c>
      <c r="C965">
        <v>97.7</v>
      </c>
      <c r="D965" s="5">
        <f t="shared" si="18"/>
        <v>4.0900000000000034</v>
      </c>
    </row>
    <row r="966" spans="1:6" x14ac:dyDescent="0.3">
      <c r="A966" s="17">
        <v>44652</v>
      </c>
      <c r="B966">
        <v>101.6</v>
      </c>
      <c r="C966">
        <v>95.57</v>
      </c>
      <c r="D966" s="5">
        <f t="shared" si="18"/>
        <v>6.0300000000000011</v>
      </c>
      <c r="E966">
        <f>+AVERAGE(D966:D985)</f>
        <v>8.7037499999999994</v>
      </c>
      <c r="F966">
        <f>+E966-E988</f>
        <v>4.1340277777777752</v>
      </c>
    </row>
    <row r="967" spans="1:6" x14ac:dyDescent="0.3">
      <c r="A967" s="17">
        <v>44651</v>
      </c>
      <c r="B967">
        <v>107.66</v>
      </c>
      <c r="C967">
        <v>100.36</v>
      </c>
      <c r="D967" s="5">
        <f t="shared" si="18"/>
        <v>7.2999999999999972</v>
      </c>
    </row>
    <row r="968" spans="1:6" x14ac:dyDescent="0.3">
      <c r="A968" s="17">
        <v>44650</v>
      </c>
      <c r="B968">
        <v>108.35</v>
      </c>
      <c r="C968">
        <v>101.48</v>
      </c>
      <c r="D968" s="5">
        <f t="shared" si="18"/>
        <v>6.8699999999999903</v>
      </c>
    </row>
    <row r="969" spans="1:6" x14ac:dyDescent="0.3">
      <c r="A969" s="17">
        <v>44649</v>
      </c>
      <c r="B969">
        <v>108.59</v>
      </c>
      <c r="C969">
        <v>101.75</v>
      </c>
      <c r="D969" s="5">
        <f t="shared" si="18"/>
        <v>6.8400000000000034</v>
      </c>
    </row>
    <row r="970" spans="1:6" x14ac:dyDescent="0.3">
      <c r="A970" s="17">
        <v>44648</v>
      </c>
      <c r="B970">
        <v>110.65</v>
      </c>
      <c r="C970">
        <v>104.19</v>
      </c>
      <c r="D970" s="5">
        <f t="shared" si="18"/>
        <v>6.460000000000008</v>
      </c>
    </row>
    <row r="971" spans="1:6" x14ac:dyDescent="0.3">
      <c r="A971" s="17">
        <v>44645</v>
      </c>
      <c r="B971">
        <v>111.9</v>
      </c>
      <c r="C971">
        <v>104.31</v>
      </c>
      <c r="D971" s="5">
        <f t="shared" si="18"/>
        <v>7.5900000000000034</v>
      </c>
    </row>
    <row r="972" spans="1:6" x14ac:dyDescent="0.3">
      <c r="A972" s="17">
        <v>44644</v>
      </c>
      <c r="B972">
        <v>115.55</v>
      </c>
      <c r="C972">
        <v>108.23</v>
      </c>
      <c r="D972" s="5">
        <f t="shared" si="18"/>
        <v>7.3199999999999932</v>
      </c>
    </row>
    <row r="973" spans="1:6" x14ac:dyDescent="0.3">
      <c r="A973" s="17">
        <v>44643</v>
      </c>
      <c r="B973">
        <v>111.75</v>
      </c>
      <c r="C973">
        <v>104.75</v>
      </c>
      <c r="D973" s="5">
        <f t="shared" si="18"/>
        <v>7</v>
      </c>
    </row>
    <row r="974" spans="1:6" x14ac:dyDescent="0.3">
      <c r="A974" s="17">
        <v>44642</v>
      </c>
      <c r="B974">
        <v>111.15</v>
      </c>
      <c r="C974">
        <v>103.55</v>
      </c>
      <c r="D974" s="5">
        <f t="shared" si="18"/>
        <v>7.6000000000000085</v>
      </c>
    </row>
    <row r="975" spans="1:6" x14ac:dyDescent="0.3">
      <c r="A975" s="17">
        <v>44641</v>
      </c>
      <c r="B975">
        <v>109.75</v>
      </c>
      <c r="C975">
        <v>102.1</v>
      </c>
      <c r="D975" s="5">
        <f t="shared" si="18"/>
        <v>7.6500000000000057</v>
      </c>
    </row>
    <row r="976" spans="1:6" x14ac:dyDescent="0.3">
      <c r="A976" s="17">
        <v>44638</v>
      </c>
      <c r="B976">
        <v>106.605</v>
      </c>
      <c r="C976">
        <v>98.53</v>
      </c>
      <c r="D976" s="5">
        <f t="shared" si="18"/>
        <v>8.0750000000000028</v>
      </c>
    </row>
    <row r="977" spans="1:6" x14ac:dyDescent="0.3">
      <c r="A977" s="17">
        <v>44637</v>
      </c>
      <c r="B977">
        <v>100.8</v>
      </c>
      <c r="C977">
        <v>92.86</v>
      </c>
      <c r="D977" s="5">
        <f t="shared" si="18"/>
        <v>7.9399999999999977</v>
      </c>
    </row>
    <row r="978" spans="1:6" x14ac:dyDescent="0.3">
      <c r="A978" s="17">
        <v>44636</v>
      </c>
      <c r="B978">
        <v>102.45</v>
      </c>
      <c r="C978">
        <v>94.47</v>
      </c>
      <c r="D978" s="5">
        <f t="shared" si="18"/>
        <v>7.980000000000004</v>
      </c>
    </row>
    <row r="979" spans="1:6" x14ac:dyDescent="0.3">
      <c r="A979" s="17">
        <v>44635</v>
      </c>
      <c r="B979">
        <v>99.73</v>
      </c>
      <c r="C979">
        <v>90.92</v>
      </c>
      <c r="D979" s="5">
        <f t="shared" si="18"/>
        <v>8.8100000000000023</v>
      </c>
    </row>
    <row r="980" spans="1:6" x14ac:dyDescent="0.3">
      <c r="A980" s="17">
        <v>44634</v>
      </c>
      <c r="B980">
        <v>109.845</v>
      </c>
      <c r="C980">
        <v>98.78</v>
      </c>
      <c r="D980" s="5">
        <f t="shared" si="18"/>
        <v>11.064999999999998</v>
      </c>
    </row>
    <row r="981" spans="1:6" x14ac:dyDescent="0.3">
      <c r="A981" s="17">
        <v>44631</v>
      </c>
      <c r="B981">
        <v>110.505</v>
      </c>
      <c r="C981">
        <v>99.15</v>
      </c>
      <c r="D981" s="5">
        <f t="shared" si="18"/>
        <v>11.35499999999999</v>
      </c>
    </row>
    <row r="982" spans="1:6" x14ac:dyDescent="0.3">
      <c r="A982" s="17">
        <v>44630</v>
      </c>
      <c r="B982">
        <v>115.3</v>
      </c>
      <c r="C982">
        <v>103.31</v>
      </c>
      <c r="D982" s="5">
        <f t="shared" si="18"/>
        <v>11.989999999999995</v>
      </c>
    </row>
    <row r="983" spans="1:6" x14ac:dyDescent="0.3">
      <c r="A983" s="17">
        <v>44629</v>
      </c>
      <c r="B983">
        <v>127.81</v>
      </c>
      <c r="C983">
        <v>116.03</v>
      </c>
      <c r="D983" s="5">
        <f t="shared" si="18"/>
        <v>11.780000000000001</v>
      </c>
    </row>
    <row r="984" spans="1:6" x14ac:dyDescent="0.3">
      <c r="A984" s="17">
        <v>44628</v>
      </c>
      <c r="B984">
        <v>122.95</v>
      </c>
      <c r="C984">
        <v>111.76</v>
      </c>
      <c r="D984" s="5">
        <f t="shared" si="18"/>
        <v>11.189999999999998</v>
      </c>
    </row>
    <row r="985" spans="1:6" x14ac:dyDescent="0.3">
      <c r="A985" s="17">
        <v>44627</v>
      </c>
      <c r="B985">
        <v>125.15</v>
      </c>
      <c r="C985">
        <v>111.92</v>
      </c>
      <c r="D985" s="5">
        <f t="shared" si="18"/>
        <v>13.230000000000004</v>
      </c>
    </row>
    <row r="986" spans="1:6" x14ac:dyDescent="0.3">
      <c r="A986" s="17">
        <v>44624</v>
      </c>
      <c r="B986">
        <v>108.8</v>
      </c>
      <c r="C986">
        <v>98.34</v>
      </c>
      <c r="D986" s="5">
        <f t="shared" si="18"/>
        <v>10.459999999999994</v>
      </c>
    </row>
    <row r="987" spans="1:6" x14ac:dyDescent="0.3">
      <c r="A987" s="17">
        <v>44623</v>
      </c>
      <c r="B987">
        <v>116.59</v>
      </c>
      <c r="C987">
        <v>101.49</v>
      </c>
      <c r="D987" s="5">
        <f t="shared" si="18"/>
        <v>15.100000000000009</v>
      </c>
    </row>
    <row r="988" spans="1:6" x14ac:dyDescent="0.3">
      <c r="A988" s="17">
        <v>44622</v>
      </c>
      <c r="B988">
        <v>110.01</v>
      </c>
      <c r="C988">
        <v>98.05</v>
      </c>
      <c r="D988" s="5">
        <f t="shared" ref="D988:D1051" si="19">+B988-C988</f>
        <v>11.960000000000008</v>
      </c>
      <c r="E988">
        <f>+AVERAGE(D988:D1005)</f>
        <v>4.5697222222222242</v>
      </c>
      <c r="F988">
        <f>+E988-E1008</f>
        <v>2.3460380116959105</v>
      </c>
    </row>
    <row r="989" spans="1:6" x14ac:dyDescent="0.3">
      <c r="A989" s="17">
        <v>44621</v>
      </c>
      <c r="B989">
        <v>98.66</v>
      </c>
      <c r="C989">
        <v>91.39</v>
      </c>
      <c r="D989" s="5">
        <f t="shared" si="19"/>
        <v>7.269999999999996</v>
      </c>
    </row>
    <row r="990" spans="1:6" x14ac:dyDescent="0.3">
      <c r="A990" s="17">
        <v>44620</v>
      </c>
      <c r="B990">
        <v>96.795000000000002</v>
      </c>
      <c r="C990">
        <v>92.49</v>
      </c>
      <c r="D990" s="5">
        <f t="shared" si="19"/>
        <v>4.3050000000000068</v>
      </c>
    </row>
    <row r="991" spans="1:6" x14ac:dyDescent="0.3">
      <c r="A991" s="17">
        <v>44617</v>
      </c>
      <c r="B991">
        <v>95.81</v>
      </c>
      <c r="C991">
        <v>91.82</v>
      </c>
      <c r="D991" s="5">
        <f t="shared" si="19"/>
        <v>3.9900000000000091</v>
      </c>
    </row>
    <row r="992" spans="1:6" x14ac:dyDescent="0.3">
      <c r="A992" s="17">
        <v>44616</v>
      </c>
      <c r="B992">
        <v>98.6</v>
      </c>
      <c r="C992">
        <v>94.5</v>
      </c>
      <c r="D992" s="5">
        <f t="shared" si="19"/>
        <v>4.0999999999999943</v>
      </c>
    </row>
    <row r="993" spans="1:6" x14ac:dyDescent="0.3">
      <c r="A993" s="17">
        <v>44615</v>
      </c>
      <c r="B993">
        <v>93.605000000000004</v>
      </c>
      <c r="C993">
        <v>89.41</v>
      </c>
      <c r="D993" s="5">
        <f t="shared" si="19"/>
        <v>4.1950000000000074</v>
      </c>
    </row>
    <row r="994" spans="1:6" x14ac:dyDescent="0.3">
      <c r="A994" s="17">
        <v>44614</v>
      </c>
      <c r="B994">
        <v>95.96</v>
      </c>
      <c r="C994">
        <v>91.6</v>
      </c>
      <c r="D994" s="5">
        <f t="shared" si="19"/>
        <v>4.3599999999999994</v>
      </c>
    </row>
    <row r="995" spans="1:6" x14ac:dyDescent="0.3">
      <c r="A995" s="17">
        <v>44613</v>
      </c>
      <c r="B995">
        <v>91.69</v>
      </c>
      <c r="C995">
        <v>87.32</v>
      </c>
      <c r="D995" s="5">
        <f t="shared" si="19"/>
        <v>4.3700000000000045</v>
      </c>
    </row>
    <row r="996" spans="1:6" x14ac:dyDescent="0.3">
      <c r="A996" s="17">
        <v>44610</v>
      </c>
      <c r="B996">
        <v>90.29</v>
      </c>
      <c r="C996">
        <v>86.12</v>
      </c>
      <c r="D996" s="5">
        <f t="shared" si="19"/>
        <v>4.1700000000000017</v>
      </c>
    </row>
    <row r="997" spans="1:6" x14ac:dyDescent="0.3">
      <c r="A997" s="17">
        <v>44609</v>
      </c>
      <c r="B997">
        <v>91.87</v>
      </c>
      <c r="C997">
        <v>87.97</v>
      </c>
      <c r="D997" s="5">
        <f t="shared" si="19"/>
        <v>3.9000000000000057</v>
      </c>
    </row>
    <row r="998" spans="1:6" x14ac:dyDescent="0.3">
      <c r="A998" s="17">
        <v>44608</v>
      </c>
      <c r="B998">
        <v>92.56</v>
      </c>
      <c r="C998">
        <v>88.45</v>
      </c>
      <c r="D998" s="5">
        <f t="shared" si="19"/>
        <v>4.1099999999999994</v>
      </c>
    </row>
    <row r="999" spans="1:6" x14ac:dyDescent="0.3">
      <c r="A999" s="17">
        <v>44607</v>
      </c>
      <c r="B999">
        <v>93.03</v>
      </c>
      <c r="C999">
        <v>88.95</v>
      </c>
      <c r="D999" s="5">
        <f t="shared" si="19"/>
        <v>4.0799999999999983</v>
      </c>
    </row>
    <row r="1000" spans="1:6" x14ac:dyDescent="0.3">
      <c r="A1000" s="17">
        <v>44606</v>
      </c>
      <c r="B1000">
        <v>92.75</v>
      </c>
      <c r="C1000">
        <v>88.96</v>
      </c>
      <c r="D1000" s="5">
        <f t="shared" si="19"/>
        <v>3.7900000000000063</v>
      </c>
    </row>
    <row r="1001" spans="1:6" x14ac:dyDescent="0.3">
      <c r="A1001" s="17">
        <v>44603</v>
      </c>
      <c r="B1001">
        <v>90.204999999999998</v>
      </c>
      <c r="C1001">
        <v>86.68</v>
      </c>
      <c r="D1001" s="5">
        <f t="shared" si="19"/>
        <v>3.5249999999999915</v>
      </c>
    </row>
    <row r="1002" spans="1:6" x14ac:dyDescent="0.3">
      <c r="A1002" s="17">
        <v>44602</v>
      </c>
      <c r="B1002">
        <v>90.555000000000007</v>
      </c>
      <c r="C1002">
        <v>87.1</v>
      </c>
      <c r="D1002" s="5">
        <f t="shared" si="19"/>
        <v>3.4550000000000125</v>
      </c>
    </row>
    <row r="1003" spans="1:6" x14ac:dyDescent="0.3">
      <c r="A1003" s="17">
        <v>44601</v>
      </c>
      <c r="B1003">
        <v>89.36</v>
      </c>
      <c r="C1003">
        <v>85.92</v>
      </c>
      <c r="D1003" s="5">
        <f t="shared" si="19"/>
        <v>3.4399999999999977</v>
      </c>
    </row>
    <row r="1004" spans="1:6" x14ac:dyDescent="0.3">
      <c r="A1004" s="17">
        <v>44600</v>
      </c>
      <c r="B1004">
        <v>90.405000000000001</v>
      </c>
      <c r="C1004">
        <v>86.72</v>
      </c>
      <c r="D1004" s="5">
        <f t="shared" si="19"/>
        <v>3.6850000000000023</v>
      </c>
    </row>
    <row r="1005" spans="1:6" x14ac:dyDescent="0.3">
      <c r="A1005" s="17">
        <v>44599</v>
      </c>
      <c r="B1005">
        <v>90.94</v>
      </c>
      <c r="C1005">
        <v>87.39</v>
      </c>
      <c r="D1005" s="5">
        <f t="shared" si="19"/>
        <v>3.5499999999999972</v>
      </c>
    </row>
    <row r="1006" spans="1:6" x14ac:dyDescent="0.3">
      <c r="A1006" s="17">
        <v>44596</v>
      </c>
      <c r="B1006">
        <v>90.25</v>
      </c>
      <c r="C1006">
        <v>86.62</v>
      </c>
      <c r="D1006" s="5">
        <f t="shared" si="19"/>
        <v>3.6299999999999955</v>
      </c>
    </row>
    <row r="1007" spans="1:6" x14ac:dyDescent="0.3">
      <c r="A1007" s="17">
        <v>44595</v>
      </c>
      <c r="B1007">
        <v>87.444999999999993</v>
      </c>
      <c r="C1007">
        <v>84.43</v>
      </c>
      <c r="D1007" s="5">
        <f t="shared" si="19"/>
        <v>3.0149999999999864</v>
      </c>
    </row>
    <row r="1008" spans="1:6" x14ac:dyDescent="0.3">
      <c r="A1008" s="17">
        <v>44592</v>
      </c>
      <c r="B1008">
        <v>88.37</v>
      </c>
      <c r="C1008">
        <v>85.9</v>
      </c>
      <c r="D1008" s="5">
        <f t="shared" si="19"/>
        <v>2.4699999999999989</v>
      </c>
      <c r="E1008">
        <f>+AVERAGE(D1008:D1026)</f>
        <v>2.2236842105263137</v>
      </c>
      <c r="F1008">
        <f>+E1008-E1029</f>
        <v>0.78368421052631598</v>
      </c>
    </row>
    <row r="1009" spans="1:4" x14ac:dyDescent="0.3">
      <c r="A1009" s="17">
        <v>44589</v>
      </c>
      <c r="B1009">
        <v>87.56</v>
      </c>
      <c r="C1009">
        <v>85.18</v>
      </c>
      <c r="D1009" s="5">
        <f t="shared" si="19"/>
        <v>2.3799999999999955</v>
      </c>
    </row>
    <row r="1010" spans="1:4" x14ac:dyDescent="0.3">
      <c r="A1010" s="17">
        <v>44588</v>
      </c>
      <c r="B1010">
        <v>87.77</v>
      </c>
      <c r="C1010">
        <v>85.42</v>
      </c>
      <c r="D1010" s="5">
        <f t="shared" si="19"/>
        <v>2.3499999999999943</v>
      </c>
    </row>
    <row r="1011" spans="1:4" x14ac:dyDescent="0.3">
      <c r="A1011" s="17">
        <v>44587</v>
      </c>
      <c r="B1011">
        <v>86.74</v>
      </c>
      <c r="C1011">
        <v>84.44</v>
      </c>
      <c r="D1011" s="5">
        <f t="shared" si="19"/>
        <v>2.2999999999999972</v>
      </c>
    </row>
    <row r="1012" spans="1:4" x14ac:dyDescent="0.3">
      <c r="A1012" s="17">
        <v>44586</v>
      </c>
      <c r="B1012">
        <v>84.85</v>
      </c>
      <c r="C1012">
        <v>82.82</v>
      </c>
      <c r="D1012" s="5">
        <f t="shared" si="19"/>
        <v>2.0300000000000011</v>
      </c>
    </row>
    <row r="1013" spans="1:4" x14ac:dyDescent="0.3">
      <c r="A1013" s="17">
        <v>44585</v>
      </c>
      <c r="B1013">
        <v>86.74</v>
      </c>
      <c r="C1013">
        <v>84.54</v>
      </c>
      <c r="D1013" s="5">
        <f t="shared" si="19"/>
        <v>2.1999999999999886</v>
      </c>
    </row>
    <row r="1014" spans="1:4" x14ac:dyDescent="0.3">
      <c r="A1014" s="17">
        <v>44582</v>
      </c>
      <c r="B1014">
        <v>85.1</v>
      </c>
      <c r="C1014">
        <v>82.86</v>
      </c>
      <c r="D1014" s="5">
        <f t="shared" si="19"/>
        <v>2.2399999999999949</v>
      </c>
    </row>
    <row r="1015" spans="1:4" x14ac:dyDescent="0.3">
      <c r="A1015" s="17">
        <v>44581</v>
      </c>
      <c r="B1015">
        <v>86.295000000000002</v>
      </c>
      <c r="C1015">
        <v>83.89</v>
      </c>
      <c r="D1015" s="5">
        <f t="shared" si="19"/>
        <v>2.4050000000000011</v>
      </c>
    </row>
    <row r="1016" spans="1:4" x14ac:dyDescent="0.3">
      <c r="A1016" s="17">
        <v>44580</v>
      </c>
      <c r="B1016">
        <v>86.34</v>
      </c>
      <c r="C1016">
        <v>83.87</v>
      </c>
      <c r="D1016" s="5">
        <f t="shared" si="19"/>
        <v>2.4699999999999989</v>
      </c>
    </row>
    <row r="1017" spans="1:4" x14ac:dyDescent="0.3">
      <c r="A1017" s="17">
        <v>44579</v>
      </c>
      <c r="B1017">
        <v>86.55</v>
      </c>
      <c r="C1017">
        <v>84.03</v>
      </c>
      <c r="D1017" s="5">
        <f t="shared" si="19"/>
        <v>2.519999999999996</v>
      </c>
    </row>
    <row r="1018" spans="1:4" x14ac:dyDescent="0.3">
      <c r="A1018" s="17">
        <v>44578</v>
      </c>
      <c r="B1018">
        <v>84.9</v>
      </c>
      <c r="C1018">
        <v>82.29</v>
      </c>
      <c r="D1018" s="5">
        <f t="shared" si="19"/>
        <v>2.6099999999999994</v>
      </c>
    </row>
    <row r="1019" spans="1:4" x14ac:dyDescent="0.3">
      <c r="A1019" s="17">
        <v>44575</v>
      </c>
      <c r="B1019">
        <v>83.74</v>
      </c>
      <c r="C1019">
        <v>81.239999999999995</v>
      </c>
      <c r="D1019" s="5">
        <f t="shared" si="19"/>
        <v>2.5</v>
      </c>
    </row>
    <row r="1020" spans="1:4" x14ac:dyDescent="0.3">
      <c r="A1020" s="17">
        <v>44574</v>
      </c>
      <c r="B1020">
        <v>82.944999999999993</v>
      </c>
      <c r="C1020">
        <v>80.78</v>
      </c>
      <c r="D1020" s="5">
        <f t="shared" si="19"/>
        <v>2.164999999999992</v>
      </c>
    </row>
    <row r="1021" spans="1:4" x14ac:dyDescent="0.3">
      <c r="A1021" s="17">
        <v>44573</v>
      </c>
      <c r="B1021">
        <v>82.21</v>
      </c>
      <c r="C1021">
        <v>80.25</v>
      </c>
      <c r="D1021" s="5">
        <f t="shared" si="19"/>
        <v>1.9599999999999937</v>
      </c>
    </row>
    <row r="1022" spans="1:4" x14ac:dyDescent="0.3">
      <c r="A1022" s="17">
        <v>44572</v>
      </c>
      <c r="B1022">
        <v>79.98</v>
      </c>
      <c r="C1022">
        <v>78.010000000000005</v>
      </c>
      <c r="D1022" s="5">
        <f t="shared" si="19"/>
        <v>1.9699999999999989</v>
      </c>
    </row>
    <row r="1023" spans="1:4" x14ac:dyDescent="0.3">
      <c r="A1023" s="17">
        <v>44571</v>
      </c>
      <c r="B1023">
        <v>80.34</v>
      </c>
      <c r="C1023">
        <v>78.349999999999994</v>
      </c>
      <c r="D1023" s="5">
        <f t="shared" si="19"/>
        <v>1.9900000000000091</v>
      </c>
    </row>
    <row r="1024" spans="1:4" x14ac:dyDescent="0.3">
      <c r="A1024" s="17">
        <v>44568</v>
      </c>
      <c r="B1024">
        <v>80.584999999999994</v>
      </c>
      <c r="C1024">
        <v>78.55</v>
      </c>
      <c r="D1024" s="5">
        <f t="shared" si="19"/>
        <v>2.0349999999999966</v>
      </c>
    </row>
    <row r="1025" spans="1:6" x14ac:dyDescent="0.3">
      <c r="A1025" s="17">
        <v>44567</v>
      </c>
      <c r="B1025">
        <v>78.81</v>
      </c>
      <c r="C1025">
        <v>76.95</v>
      </c>
      <c r="D1025" s="5">
        <f t="shared" si="19"/>
        <v>1.8599999999999994</v>
      </c>
    </row>
    <row r="1026" spans="1:6" x14ac:dyDescent="0.3">
      <c r="A1026" s="17">
        <v>44566</v>
      </c>
      <c r="B1026">
        <v>78.394999999999996</v>
      </c>
      <c r="C1026">
        <v>76.599999999999994</v>
      </c>
      <c r="D1026" s="5">
        <f t="shared" si="19"/>
        <v>1.7950000000000017</v>
      </c>
    </row>
    <row r="1027" spans="1:6" x14ac:dyDescent="0.3">
      <c r="A1027" s="17">
        <v>44565</v>
      </c>
      <c r="B1027">
        <v>77.489999999999995</v>
      </c>
      <c r="C1027">
        <v>75.77</v>
      </c>
      <c r="D1027" s="5">
        <f t="shared" si="19"/>
        <v>1.7199999999999989</v>
      </c>
    </row>
    <row r="1028" spans="1:6" x14ac:dyDescent="0.3">
      <c r="A1028" s="17">
        <v>44564</v>
      </c>
      <c r="B1028">
        <v>76.849999999999994</v>
      </c>
      <c r="C1028">
        <v>75.400000000000006</v>
      </c>
      <c r="D1028" s="5">
        <f t="shared" si="19"/>
        <v>1.4499999999999886</v>
      </c>
    </row>
    <row r="1029" spans="1:6" x14ac:dyDescent="0.3">
      <c r="A1029" s="17">
        <v>44561</v>
      </c>
      <c r="B1029">
        <v>77.099999999999994</v>
      </c>
      <c r="C1029">
        <v>76.39</v>
      </c>
      <c r="D1029" s="5">
        <f t="shared" si="19"/>
        <v>0.70999999999999375</v>
      </c>
      <c r="E1029">
        <f>+AVERAGE(D1029:D1047)</f>
        <v>1.4399999999999977</v>
      </c>
      <c r="F1029">
        <f>+E1029-E1049</f>
        <v>-1.8225000000000025</v>
      </c>
    </row>
    <row r="1030" spans="1:6" x14ac:dyDescent="0.3">
      <c r="A1030" s="17">
        <v>44560</v>
      </c>
      <c r="B1030">
        <v>77.254999999999995</v>
      </c>
      <c r="C1030">
        <v>76.260000000000005</v>
      </c>
      <c r="D1030" s="5">
        <f t="shared" si="19"/>
        <v>0.99499999999999034</v>
      </c>
    </row>
    <row r="1031" spans="1:6" x14ac:dyDescent="0.3">
      <c r="A1031" s="17">
        <v>44559</v>
      </c>
      <c r="B1031">
        <v>76.959999999999994</v>
      </c>
      <c r="C1031" s="22">
        <v>76</v>
      </c>
      <c r="D1031" s="5">
        <f t="shared" si="19"/>
        <v>0.95999999999999375</v>
      </c>
    </row>
    <row r="1032" spans="1:6" x14ac:dyDescent="0.3">
      <c r="A1032" s="17">
        <v>44558</v>
      </c>
      <c r="B1032">
        <v>76.45</v>
      </c>
      <c r="C1032">
        <v>75.709999999999994</v>
      </c>
      <c r="D1032" s="5">
        <f t="shared" si="19"/>
        <v>0.74000000000000909</v>
      </c>
    </row>
    <row r="1033" spans="1:6" x14ac:dyDescent="0.3">
      <c r="A1033" s="17">
        <v>44554</v>
      </c>
      <c r="B1033">
        <v>74.349999999999994</v>
      </c>
      <c r="C1033">
        <v>73.12</v>
      </c>
      <c r="D1033" s="5">
        <f t="shared" si="19"/>
        <v>1.2299999999999898</v>
      </c>
    </row>
    <row r="1034" spans="1:6" x14ac:dyDescent="0.3">
      <c r="A1034" s="17">
        <v>44553</v>
      </c>
      <c r="B1034">
        <v>73.510000000000005</v>
      </c>
      <c r="C1034">
        <v>72.290000000000006</v>
      </c>
      <c r="D1034" s="5">
        <f t="shared" si="19"/>
        <v>1.2199999999999989</v>
      </c>
    </row>
    <row r="1035" spans="1:6" x14ac:dyDescent="0.3">
      <c r="A1035" s="17">
        <v>44552</v>
      </c>
      <c r="B1035">
        <v>72.545000000000002</v>
      </c>
      <c r="C1035">
        <v>71.150000000000006</v>
      </c>
      <c r="D1035" s="5">
        <f t="shared" si="19"/>
        <v>1.394999999999996</v>
      </c>
    </row>
    <row r="1036" spans="1:6" x14ac:dyDescent="0.3">
      <c r="A1036" s="17">
        <v>44551</v>
      </c>
      <c r="B1036">
        <v>70.540000000000006</v>
      </c>
      <c r="C1036">
        <v>69.099999999999994</v>
      </c>
      <c r="D1036" s="5">
        <f t="shared" si="19"/>
        <v>1.4400000000000119</v>
      </c>
    </row>
    <row r="1037" spans="1:6" x14ac:dyDescent="0.3">
      <c r="A1037" s="17">
        <v>44550</v>
      </c>
      <c r="B1037">
        <v>70.09</v>
      </c>
      <c r="C1037">
        <v>68.48</v>
      </c>
      <c r="D1037" s="5">
        <f t="shared" si="19"/>
        <v>1.6099999999999994</v>
      </c>
    </row>
    <row r="1038" spans="1:6" x14ac:dyDescent="0.3">
      <c r="A1038" s="17">
        <v>44547</v>
      </c>
      <c r="B1038">
        <v>73.33</v>
      </c>
      <c r="C1038">
        <v>71.680000000000007</v>
      </c>
      <c r="D1038" s="5">
        <f t="shared" si="19"/>
        <v>1.6499999999999915</v>
      </c>
    </row>
    <row r="1039" spans="1:6" x14ac:dyDescent="0.3">
      <c r="A1039" s="17">
        <v>44546</v>
      </c>
      <c r="B1039">
        <v>73.349999999999994</v>
      </c>
      <c r="C1039">
        <v>71.7</v>
      </c>
      <c r="D1039" s="5">
        <f t="shared" si="19"/>
        <v>1.6499999999999915</v>
      </c>
    </row>
    <row r="1040" spans="1:6" x14ac:dyDescent="0.3">
      <c r="A1040" s="17">
        <v>44545</v>
      </c>
      <c r="B1040">
        <v>71.98</v>
      </c>
      <c r="C1040">
        <v>70.45</v>
      </c>
      <c r="D1040" s="5">
        <f t="shared" si="19"/>
        <v>1.5300000000000011</v>
      </c>
    </row>
    <row r="1041" spans="1:6" x14ac:dyDescent="0.3">
      <c r="A1041" s="17">
        <v>44544</v>
      </c>
      <c r="B1041">
        <v>73.34</v>
      </c>
      <c r="C1041">
        <v>71.87</v>
      </c>
      <c r="D1041" s="5">
        <f t="shared" si="19"/>
        <v>1.4699999999999989</v>
      </c>
    </row>
    <row r="1042" spans="1:6" x14ac:dyDescent="0.3">
      <c r="A1042" s="17">
        <v>44543</v>
      </c>
      <c r="B1042">
        <v>74.09</v>
      </c>
      <c r="C1042">
        <v>72.56</v>
      </c>
      <c r="D1042" s="5">
        <f t="shared" si="19"/>
        <v>1.5300000000000011</v>
      </c>
    </row>
    <row r="1043" spans="1:6" x14ac:dyDescent="0.3">
      <c r="A1043" s="17">
        <v>44540</v>
      </c>
      <c r="B1043">
        <v>72.69</v>
      </c>
      <c r="C1043">
        <v>71.290000000000006</v>
      </c>
      <c r="D1043" s="5">
        <f t="shared" si="19"/>
        <v>1.3999999999999915</v>
      </c>
    </row>
    <row r="1044" spans="1:6" x14ac:dyDescent="0.3">
      <c r="A1044" s="17">
        <v>44539</v>
      </c>
      <c r="B1044">
        <v>74.444999999999993</v>
      </c>
      <c r="C1044">
        <v>72.7</v>
      </c>
      <c r="D1044" s="5">
        <f t="shared" si="19"/>
        <v>1.7449999999999903</v>
      </c>
    </row>
    <row r="1045" spans="1:6" x14ac:dyDescent="0.3">
      <c r="A1045" s="17">
        <v>44538</v>
      </c>
      <c r="B1045">
        <v>73.805000000000007</v>
      </c>
      <c r="C1045">
        <v>71.930000000000007</v>
      </c>
      <c r="D1045" s="5">
        <f t="shared" si="19"/>
        <v>1.875</v>
      </c>
    </row>
    <row r="1046" spans="1:6" x14ac:dyDescent="0.3">
      <c r="A1046" s="17">
        <v>44537</v>
      </c>
      <c r="B1046">
        <v>73.19</v>
      </c>
      <c r="C1046">
        <v>71.069999999999993</v>
      </c>
      <c r="D1046" s="5">
        <f t="shared" si="19"/>
        <v>2.1200000000000045</v>
      </c>
    </row>
    <row r="1047" spans="1:6" x14ac:dyDescent="0.3">
      <c r="A1047" s="17">
        <v>44536</v>
      </c>
      <c r="B1047">
        <v>70.09</v>
      </c>
      <c r="C1047" s="22">
        <v>68</v>
      </c>
      <c r="D1047" s="5">
        <f t="shared" si="19"/>
        <v>2.0900000000000034</v>
      </c>
    </row>
    <row r="1048" spans="1:6" x14ac:dyDescent="0.3">
      <c r="A1048" s="17">
        <v>44533</v>
      </c>
      <c r="B1048">
        <v>70.760000000000005</v>
      </c>
      <c r="C1048">
        <v>68.75</v>
      </c>
      <c r="D1048" s="5">
        <f t="shared" si="19"/>
        <v>2.0100000000000051</v>
      </c>
    </row>
    <row r="1049" spans="1:6" x14ac:dyDescent="0.3">
      <c r="A1049" s="17">
        <v>44532</v>
      </c>
      <c r="B1049">
        <v>69.11</v>
      </c>
      <c r="C1049">
        <v>67.08</v>
      </c>
      <c r="D1049" s="5">
        <f t="shared" si="19"/>
        <v>2.0300000000000011</v>
      </c>
      <c r="E1049">
        <f>+AVERAGE(D1049:D1070)</f>
        <v>3.2625000000000002</v>
      </c>
      <c r="F1049">
        <f>+E1049-E1070</f>
        <v>-6.1363636363636065E-2</v>
      </c>
    </row>
    <row r="1050" spans="1:6" x14ac:dyDescent="0.3">
      <c r="A1050" s="17">
        <v>44531</v>
      </c>
      <c r="B1050">
        <v>71.099999999999994</v>
      </c>
      <c r="C1050">
        <v>69.03</v>
      </c>
      <c r="D1050" s="5">
        <f t="shared" si="19"/>
        <v>2.0699999999999932</v>
      </c>
    </row>
    <row r="1051" spans="1:6" x14ac:dyDescent="0.3">
      <c r="A1051" s="17">
        <v>44530</v>
      </c>
      <c r="B1051">
        <v>71.849999999999994</v>
      </c>
      <c r="C1051">
        <v>69.709999999999994</v>
      </c>
      <c r="D1051" s="5">
        <f t="shared" si="19"/>
        <v>2.1400000000000006</v>
      </c>
    </row>
    <row r="1052" spans="1:6" x14ac:dyDescent="0.3">
      <c r="A1052" s="17">
        <v>44529</v>
      </c>
      <c r="B1052">
        <v>75.150000000000006</v>
      </c>
      <c r="C1052">
        <v>72.180000000000007</v>
      </c>
      <c r="D1052" s="5">
        <f t="shared" ref="D1052:D1071" si="20">+B1052-C1052</f>
        <v>2.9699999999999989</v>
      </c>
    </row>
    <row r="1053" spans="1:6" x14ac:dyDescent="0.3">
      <c r="A1053" s="17">
        <v>44526</v>
      </c>
      <c r="B1053">
        <v>77.349999999999994</v>
      </c>
      <c r="C1053">
        <v>74.239999999999995</v>
      </c>
      <c r="D1053" s="5">
        <f t="shared" si="20"/>
        <v>3.1099999999999994</v>
      </c>
    </row>
    <row r="1054" spans="1:6" x14ac:dyDescent="0.3">
      <c r="A1054" s="17">
        <v>44525</v>
      </c>
      <c r="B1054">
        <v>81.400000000000006</v>
      </c>
      <c r="C1054">
        <v>78.010000000000005</v>
      </c>
      <c r="D1054" s="5">
        <f t="shared" si="20"/>
        <v>3.3900000000000006</v>
      </c>
    </row>
    <row r="1055" spans="1:6" x14ac:dyDescent="0.3">
      <c r="A1055" s="17">
        <v>44524</v>
      </c>
      <c r="B1055">
        <v>81.84</v>
      </c>
      <c r="C1055">
        <v>78.42</v>
      </c>
      <c r="D1055" s="5">
        <f t="shared" si="20"/>
        <v>3.4200000000000017</v>
      </c>
    </row>
    <row r="1056" spans="1:6" x14ac:dyDescent="0.3">
      <c r="A1056" s="17">
        <v>44523</v>
      </c>
      <c r="B1056">
        <v>78.45</v>
      </c>
      <c r="C1056">
        <v>75.25</v>
      </c>
      <c r="D1056" s="5">
        <f t="shared" si="20"/>
        <v>3.2000000000000028</v>
      </c>
    </row>
    <row r="1057" spans="1:5" x14ac:dyDescent="0.3">
      <c r="A1057" s="17">
        <v>44522</v>
      </c>
      <c r="B1057">
        <v>78.39</v>
      </c>
      <c r="C1057">
        <v>75.17</v>
      </c>
      <c r="D1057" s="5">
        <f t="shared" si="20"/>
        <v>3.2199999999999989</v>
      </c>
    </row>
    <row r="1058" spans="1:5" x14ac:dyDescent="0.3">
      <c r="A1058" s="17">
        <v>44519</v>
      </c>
      <c r="B1058">
        <v>80.900000000000006</v>
      </c>
      <c r="C1058">
        <v>77.64</v>
      </c>
      <c r="D1058" s="5">
        <f t="shared" si="20"/>
        <v>3.2600000000000051</v>
      </c>
    </row>
    <row r="1059" spans="1:5" x14ac:dyDescent="0.3">
      <c r="A1059" s="17">
        <v>44518</v>
      </c>
      <c r="B1059">
        <v>78.64</v>
      </c>
      <c r="C1059">
        <v>75.47</v>
      </c>
      <c r="D1059" s="5">
        <f t="shared" si="20"/>
        <v>3.1700000000000017</v>
      </c>
    </row>
    <row r="1060" spans="1:5" x14ac:dyDescent="0.3">
      <c r="A1060" s="17">
        <v>44517</v>
      </c>
      <c r="B1060">
        <v>80.989999999999995</v>
      </c>
      <c r="C1060">
        <v>77.58</v>
      </c>
      <c r="D1060" s="5">
        <f t="shared" si="20"/>
        <v>3.4099999999999966</v>
      </c>
    </row>
    <row r="1061" spans="1:5" x14ac:dyDescent="0.3">
      <c r="A1061" s="17">
        <v>44516</v>
      </c>
      <c r="B1061">
        <v>81.95</v>
      </c>
      <c r="C1061">
        <v>78.27</v>
      </c>
      <c r="D1061" s="5">
        <f t="shared" si="20"/>
        <v>3.6800000000000068</v>
      </c>
    </row>
    <row r="1062" spans="1:5" x14ac:dyDescent="0.3">
      <c r="A1062" s="17">
        <v>44515</v>
      </c>
      <c r="B1062">
        <v>80.849999999999994</v>
      </c>
      <c r="C1062">
        <v>77.069999999999993</v>
      </c>
      <c r="D1062" s="5">
        <f t="shared" si="20"/>
        <v>3.7800000000000011</v>
      </c>
    </row>
    <row r="1063" spans="1:5" x14ac:dyDescent="0.3">
      <c r="A1063" s="17">
        <v>44512</v>
      </c>
      <c r="B1063">
        <v>81.55</v>
      </c>
      <c r="C1063">
        <v>77.64</v>
      </c>
      <c r="D1063" s="5">
        <f t="shared" si="20"/>
        <v>3.9099999999999966</v>
      </c>
    </row>
    <row r="1064" spans="1:5" x14ac:dyDescent="0.3">
      <c r="A1064" s="17">
        <v>44511</v>
      </c>
      <c r="B1064">
        <v>81.795000000000002</v>
      </c>
      <c r="C1064">
        <v>77.84</v>
      </c>
      <c r="D1064" s="5">
        <f t="shared" si="20"/>
        <v>3.9549999999999983</v>
      </c>
    </row>
    <row r="1065" spans="1:5" x14ac:dyDescent="0.3">
      <c r="A1065" s="17">
        <v>44510</v>
      </c>
      <c r="B1065">
        <v>83.944999999999993</v>
      </c>
      <c r="C1065">
        <v>80.08</v>
      </c>
      <c r="D1065" s="5">
        <f t="shared" si="20"/>
        <v>3.8649999999999949</v>
      </c>
    </row>
    <row r="1066" spans="1:5" x14ac:dyDescent="0.3">
      <c r="A1066" s="17">
        <v>44509</v>
      </c>
      <c r="B1066">
        <v>82.204999999999998</v>
      </c>
      <c r="C1066">
        <v>78.45</v>
      </c>
      <c r="D1066" s="5">
        <f t="shared" si="20"/>
        <v>3.7549999999999955</v>
      </c>
    </row>
    <row r="1067" spans="1:5" x14ac:dyDescent="0.3">
      <c r="A1067" s="17">
        <v>44508</v>
      </c>
      <c r="B1067">
        <v>81.95</v>
      </c>
      <c r="C1067">
        <v>78.56</v>
      </c>
      <c r="D1067" s="5">
        <f t="shared" si="20"/>
        <v>3.3900000000000006</v>
      </c>
    </row>
    <row r="1068" spans="1:5" x14ac:dyDescent="0.3">
      <c r="A1068" s="17">
        <v>44505</v>
      </c>
      <c r="B1068">
        <v>79.45</v>
      </c>
      <c r="C1068">
        <v>76.09</v>
      </c>
      <c r="D1068" s="5">
        <f t="shared" si="20"/>
        <v>3.3599999999999994</v>
      </c>
    </row>
    <row r="1069" spans="1:5" x14ac:dyDescent="0.3">
      <c r="A1069" s="17">
        <v>44503</v>
      </c>
      <c r="B1069">
        <v>81.900000000000006</v>
      </c>
      <c r="C1069">
        <v>78.819999999999993</v>
      </c>
      <c r="D1069" s="5">
        <f t="shared" si="20"/>
        <v>3.0800000000000125</v>
      </c>
    </row>
    <row r="1070" spans="1:5" x14ac:dyDescent="0.3">
      <c r="A1070" s="17">
        <v>44502</v>
      </c>
      <c r="B1070">
        <v>83.29</v>
      </c>
      <c r="C1070">
        <v>79.680000000000007</v>
      </c>
      <c r="D1070" s="5">
        <f t="shared" si="20"/>
        <v>3.6099999999999994</v>
      </c>
      <c r="E1070">
        <f>+AVERAGE(D1050:D1071)</f>
        <v>3.3238636363636362</v>
      </c>
    </row>
    <row r="1071" spans="1:5" x14ac:dyDescent="0.3">
      <c r="A1071" s="17">
        <v>44501</v>
      </c>
      <c r="B1071">
        <v>81.96</v>
      </c>
      <c r="C1071">
        <v>78.58</v>
      </c>
      <c r="D1071" s="5">
        <f t="shared" si="20"/>
        <v>3.3799999999999955</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04C8-FBC6-42FE-AAE0-ACC7B3DD807F}">
  <sheetPr>
    <tabColor theme="9" tint="0.39997558519241921"/>
  </sheetPr>
  <dimension ref="A1:J77"/>
  <sheetViews>
    <sheetView showGridLines="0" workbookViewId="0">
      <pane xSplit="1" ySplit="1" topLeftCell="B36" activePane="bottomRight" state="frozen"/>
      <selection pane="topRight" activeCell="B1" sqref="B1"/>
      <selection pane="bottomLeft" activeCell="A2" sqref="A2"/>
      <selection pane="bottomRight" activeCell="E1" sqref="E1:G1048576"/>
    </sheetView>
  </sheetViews>
  <sheetFormatPr defaultRowHeight="14.4" x14ac:dyDescent="0.3"/>
  <cols>
    <col min="1" max="1" width="9.44140625" bestFit="1" customWidth="1"/>
    <col min="2" max="2" width="17.6640625" bestFit="1" customWidth="1"/>
    <col min="3" max="3" width="25.109375" bestFit="1" customWidth="1"/>
    <col min="4" max="4" width="12.44140625" bestFit="1" customWidth="1"/>
    <col min="5" max="5" width="9.44140625" bestFit="1" customWidth="1"/>
    <col min="6" max="6" width="9.5546875" bestFit="1" customWidth="1"/>
    <col min="7" max="7" width="9.109375" bestFit="1" customWidth="1"/>
    <col min="8" max="8" width="8.88671875" bestFit="1" customWidth="1"/>
    <col min="9" max="9" width="24.6640625" bestFit="1" customWidth="1"/>
    <col min="10" max="10" width="22.44140625" bestFit="1" customWidth="1"/>
  </cols>
  <sheetData>
    <row r="1" spans="1:10" x14ac:dyDescent="0.3">
      <c r="A1" t="s">
        <v>128</v>
      </c>
      <c r="B1" s="44" t="s">
        <v>129</v>
      </c>
      <c r="C1" s="44" t="s">
        <v>130</v>
      </c>
      <c r="D1" s="44" t="s">
        <v>131</v>
      </c>
      <c r="E1" s="44" t="s">
        <v>132</v>
      </c>
      <c r="F1" s="44" t="s">
        <v>133</v>
      </c>
      <c r="G1" s="44" t="s">
        <v>134</v>
      </c>
      <c r="H1" s="44" t="s">
        <v>135</v>
      </c>
      <c r="I1" s="44" t="s">
        <v>136</v>
      </c>
      <c r="J1" s="44" t="s">
        <v>137</v>
      </c>
    </row>
    <row r="2" spans="1:10" x14ac:dyDescent="0.3">
      <c r="A2" s="17">
        <v>43831</v>
      </c>
      <c r="B2" s="19">
        <v>-1.6500000000000004</v>
      </c>
      <c r="C2" s="19"/>
      <c r="D2" s="19">
        <f>+SUMIFS('Runs - Platts'!$B$2:$B$97,'Runs - Platts'!$G$2:$G$97,$A2)</f>
        <v>31286.883168433425</v>
      </c>
      <c r="E2" s="19"/>
      <c r="F2" s="19"/>
      <c r="G2" s="19"/>
      <c r="H2" s="19"/>
      <c r="I2" s="19"/>
      <c r="J2" s="19"/>
    </row>
    <row r="3" spans="1:10" x14ac:dyDescent="0.3">
      <c r="A3" s="17">
        <v>43862</v>
      </c>
      <c r="B3" s="19">
        <v>-1.25</v>
      </c>
      <c r="C3" s="19"/>
      <c r="D3" s="19">
        <f>+SUMIFS('Runs - Platts'!$B$2:$B$97,'Runs - Platts'!$G$2:$G$97,$A3)</f>
        <v>27448.855733054221</v>
      </c>
      <c r="E3" s="19"/>
      <c r="F3" s="19"/>
      <c r="G3" s="19"/>
      <c r="H3" s="19"/>
      <c r="I3" s="19"/>
      <c r="J3" s="19">
        <v>-249.32499999999999</v>
      </c>
    </row>
    <row r="4" spans="1:10" x14ac:dyDescent="0.3">
      <c r="A4" s="17">
        <v>43891</v>
      </c>
      <c r="B4" s="19">
        <v>-0.95</v>
      </c>
      <c r="C4" s="19"/>
      <c r="D4" s="19">
        <f>+SUMIFS('Runs - Platts'!$B$2:$B$97,'Runs - Platts'!$G$2:$G$97,$A4)</f>
        <v>28237.40497612306</v>
      </c>
      <c r="E4" s="19">
        <v>1.7631421301063554E-2</v>
      </c>
      <c r="F4" s="19">
        <v>0.16944608211171561</v>
      </c>
      <c r="G4" s="19">
        <v>0.30905932256395424</v>
      </c>
      <c r="H4" s="19">
        <v>0.33766228114007052</v>
      </c>
      <c r="I4" s="19"/>
      <c r="J4" s="19">
        <v>-215.75500000000002</v>
      </c>
    </row>
    <row r="5" spans="1:10" x14ac:dyDescent="0.3">
      <c r="A5" s="17">
        <v>43922</v>
      </c>
      <c r="B5" s="19">
        <v>-0.94999999999999973</v>
      </c>
      <c r="C5" s="19"/>
      <c r="D5" s="19">
        <f>+SUMIFS('Runs - Platts'!$B$2:$B$97,'Runs - Platts'!$G$2:$G$97,$A5)</f>
        <v>27243.655889957568</v>
      </c>
      <c r="E5" s="19">
        <v>1.9898142060611339E-2</v>
      </c>
      <c r="F5" s="19">
        <v>0.26549393352568196</v>
      </c>
      <c r="G5" s="19">
        <v>0.29969384431114138</v>
      </c>
      <c r="H5" s="19">
        <v>0.31088288132658898</v>
      </c>
      <c r="I5" s="19"/>
      <c r="J5" s="19">
        <v>-218.52666666666667</v>
      </c>
    </row>
    <row r="6" spans="1:10" x14ac:dyDescent="0.3">
      <c r="A6" s="17">
        <v>43952</v>
      </c>
      <c r="B6" s="19">
        <v>-0.10000000000000053</v>
      </c>
      <c r="C6" s="19"/>
      <c r="D6" s="19">
        <f>+SUMIFS('Runs - Platts'!$B$2:$B$97,'Runs - Platts'!$G$2:$G$97,$A6)</f>
        <v>27432.993687794878</v>
      </c>
      <c r="E6" s="19">
        <v>2.156358264145353E-2</v>
      </c>
      <c r="F6" s="19">
        <v>0.27936636953294702</v>
      </c>
      <c r="G6" s="19">
        <v>0.26104282370611293</v>
      </c>
      <c r="H6" s="19">
        <v>0.43893722366246823</v>
      </c>
      <c r="I6" s="19"/>
      <c r="J6" s="19">
        <v>-136.64666666666668</v>
      </c>
    </row>
    <row r="7" spans="1:10" x14ac:dyDescent="0.3">
      <c r="A7" s="17">
        <v>43983</v>
      </c>
      <c r="B7" s="19">
        <v>0.20000000000000018</v>
      </c>
      <c r="C7" s="19"/>
      <c r="D7" s="19">
        <f>+SUMIFS('Runs - Platts'!$B$2:$B$97,'Runs - Platts'!$G$2:$G$97,$A7)</f>
        <v>28511.269179678522</v>
      </c>
      <c r="E7" s="19">
        <v>1.6322750890387792E-2</v>
      </c>
      <c r="F7" s="19">
        <v>0.28449170848499672</v>
      </c>
      <c r="G7" s="19">
        <v>0.2913640687710039</v>
      </c>
      <c r="H7" s="19">
        <v>0.36771715690757606</v>
      </c>
      <c r="I7" s="19"/>
      <c r="J7" s="19">
        <v>-91.37</v>
      </c>
    </row>
    <row r="8" spans="1:10" x14ac:dyDescent="0.3">
      <c r="A8" s="17">
        <v>44013</v>
      </c>
      <c r="B8" s="19">
        <v>0</v>
      </c>
      <c r="C8" s="19"/>
      <c r="D8" s="19">
        <f>+SUMIFS('Runs - Platts'!$B$2:$B$97,'Runs - Platts'!$G$2:$G$97,$A8)</f>
        <v>28096.593010330911</v>
      </c>
      <c r="E8" s="19">
        <v>1.5152397322148998E-2</v>
      </c>
      <c r="F8" s="19">
        <v>0.20615211094219743</v>
      </c>
      <c r="G8" s="19">
        <v>0.31818470345657751</v>
      </c>
      <c r="H8" s="19">
        <v>0.35150727350335931</v>
      </c>
      <c r="I8" s="19"/>
      <c r="J8" s="19">
        <v>-172.2175</v>
      </c>
    </row>
    <row r="9" spans="1:10" x14ac:dyDescent="0.3">
      <c r="A9" s="17">
        <v>44044</v>
      </c>
      <c r="B9" s="19">
        <v>0</v>
      </c>
      <c r="C9" s="19"/>
      <c r="D9" s="19">
        <f>+SUMIFS('Runs - Platts'!$B$2:$B$97,'Runs - Platts'!$G$2:$G$97,$A9)</f>
        <v>27895.524194044236</v>
      </c>
      <c r="E9" s="19">
        <v>2.4501445013967577E-2</v>
      </c>
      <c r="F9" s="19">
        <v>0.26041458766775094</v>
      </c>
      <c r="G9" s="19">
        <v>0.38826750219329897</v>
      </c>
      <c r="H9" s="19">
        <v>0.47325647266632803</v>
      </c>
      <c r="I9" s="19"/>
      <c r="J9" s="19">
        <v>-190.13</v>
      </c>
    </row>
    <row r="10" spans="1:10" x14ac:dyDescent="0.3">
      <c r="A10" s="17">
        <v>44075</v>
      </c>
      <c r="B10" s="19">
        <v>0</v>
      </c>
      <c r="C10" s="19"/>
      <c r="D10" s="19">
        <f>+SUMIFS('Runs - Platts'!$B$2:$B$97,'Runs - Platts'!$G$2:$G$97,$A10)</f>
        <v>28385.18682846722</v>
      </c>
      <c r="E10" s="19">
        <v>1.6348984720077373E-2</v>
      </c>
      <c r="F10" s="19">
        <v>0.26931473809580037</v>
      </c>
      <c r="G10" s="19">
        <v>0.30124636922390691</v>
      </c>
      <c r="H10" s="19">
        <v>0.3924508611007278</v>
      </c>
      <c r="I10" s="19"/>
      <c r="J10" s="19">
        <v>-204.45749999999998</v>
      </c>
    </row>
    <row r="11" spans="1:10" x14ac:dyDescent="0.3">
      <c r="A11" s="17">
        <v>44105</v>
      </c>
      <c r="B11" s="19">
        <v>0.2</v>
      </c>
      <c r="C11" s="19"/>
      <c r="D11" s="19">
        <f>+SUMIFS('Runs - Platts'!$B$2:$B$97,'Runs - Platts'!$G$2:$G$97,$A11)</f>
        <v>28376.806405900141</v>
      </c>
      <c r="E11" s="19">
        <v>1.7642663016576545E-2</v>
      </c>
      <c r="F11" s="19">
        <v>0.20592437396561486</v>
      </c>
      <c r="G11" s="19">
        <v>0.28127122929604109</v>
      </c>
      <c r="H11" s="19">
        <v>0.32521660128736729</v>
      </c>
      <c r="I11" s="19"/>
      <c r="J11" s="19">
        <v>-220.995</v>
      </c>
    </row>
    <row r="12" spans="1:10" x14ac:dyDescent="0.3">
      <c r="A12" s="17">
        <v>44136</v>
      </c>
      <c r="B12" s="19">
        <v>0.10000000000000003</v>
      </c>
      <c r="C12" s="19"/>
      <c r="D12" s="19">
        <f>+SUMIFS('Runs - Platts'!$B$2:$B$97,'Runs - Platts'!$G$2:$G$97,$A12)</f>
        <v>29576.269200705112</v>
      </c>
      <c r="E12" s="19">
        <v>1.7443719600939565E-2</v>
      </c>
      <c r="F12" s="19">
        <v>0.20372583698017308</v>
      </c>
      <c r="G12" s="19">
        <v>0.25236787387009779</v>
      </c>
      <c r="H12" s="19">
        <v>0.34175191537649535</v>
      </c>
      <c r="I12" s="19"/>
      <c r="J12" s="19">
        <v>-198.08499999999998</v>
      </c>
    </row>
    <row r="13" spans="1:10" x14ac:dyDescent="0.3">
      <c r="A13" s="17">
        <v>44166</v>
      </c>
      <c r="B13" s="19">
        <v>0.3</v>
      </c>
      <c r="C13" s="19"/>
      <c r="D13" s="19">
        <f>+SUMIFS('Runs - Platts'!$B$2:$B$97,'Runs - Platts'!$G$2:$G$97,$A13)</f>
        <v>30338.462405267117</v>
      </c>
      <c r="E13" s="19">
        <v>1.3060307667270876E-2</v>
      </c>
      <c r="F13" s="19">
        <v>0.27643136723302231</v>
      </c>
      <c r="G13" s="19">
        <v>0.30257417222287419</v>
      </c>
      <c r="H13" s="19">
        <v>0.27992749346161894</v>
      </c>
      <c r="I13" s="19"/>
      <c r="J13" s="19">
        <v>-207.28666666666666</v>
      </c>
    </row>
    <row r="14" spans="1:10" x14ac:dyDescent="0.3">
      <c r="A14" s="17">
        <v>44197</v>
      </c>
      <c r="B14" s="19">
        <v>4.9999999999999989E-2</v>
      </c>
      <c r="C14" s="19"/>
      <c r="D14" s="19">
        <f>+SUMIFS('Runs - Platts'!$B$2:$B$97,'Runs - Platts'!$G$2:$G$97,$A14)</f>
        <v>29820.629970841128</v>
      </c>
      <c r="E14" s="19">
        <v>1.925907581352827E-2</v>
      </c>
      <c r="F14" s="19">
        <v>0.26884985259482702</v>
      </c>
      <c r="G14" s="19">
        <v>0.2772342789146573</v>
      </c>
      <c r="H14" s="19">
        <v>0.20219215942966012</v>
      </c>
      <c r="I14" s="19"/>
      <c r="J14" s="19">
        <v>-243.2</v>
      </c>
    </row>
    <row r="15" spans="1:10" x14ac:dyDescent="0.3">
      <c r="A15" s="17">
        <v>44228</v>
      </c>
      <c r="B15" s="19">
        <v>-0.25</v>
      </c>
      <c r="C15" s="19"/>
      <c r="D15" s="19">
        <f>+SUMIFS('Runs - Platts'!$B$2:$B$97,'Runs - Platts'!$G$2:$G$97,$A15)</f>
        <v>29438.077220071718</v>
      </c>
      <c r="E15" s="19">
        <v>1.2315157788638131E-2</v>
      </c>
      <c r="F15" s="19">
        <v>0.29477377676704131</v>
      </c>
      <c r="G15" s="19">
        <v>0.32165316218327106</v>
      </c>
      <c r="H15" s="19">
        <v>0.21963930075420937</v>
      </c>
      <c r="I15" s="19">
        <v>-0.11640380242965165</v>
      </c>
      <c r="J15" s="19">
        <v>-260.08000000000004</v>
      </c>
    </row>
    <row r="16" spans="1:10" x14ac:dyDescent="0.3">
      <c r="A16" s="17">
        <v>44256</v>
      </c>
      <c r="B16" s="19">
        <v>-0.25</v>
      </c>
      <c r="C16" s="19"/>
      <c r="D16" s="19">
        <f>+SUMIFS('Runs - Platts'!$B$2:$B$97,'Runs - Platts'!$G$2:$G$97,$A16)</f>
        <v>29167.325307943549</v>
      </c>
      <c r="E16" s="19">
        <v>2.2336794174403565E-2</v>
      </c>
      <c r="F16" s="19">
        <v>0.20315392004978672</v>
      </c>
      <c r="G16" s="19">
        <v>0.31121650367730624</v>
      </c>
      <c r="H16" s="19">
        <v>0.25546997287441248</v>
      </c>
      <c r="I16" s="19">
        <v>0.42937684909698781</v>
      </c>
      <c r="J16" s="19">
        <v>-281.76874999999995</v>
      </c>
    </row>
    <row r="17" spans="1:10" x14ac:dyDescent="0.3">
      <c r="A17" s="17">
        <v>44287</v>
      </c>
      <c r="B17" s="19">
        <v>-0.44999999999999996</v>
      </c>
      <c r="C17" s="19"/>
      <c r="D17" s="19">
        <f>+SUMIFS('Runs - Platts'!$B$2:$B$97,'Runs - Platts'!$G$2:$G$97,$A17)</f>
        <v>29398.072528695349</v>
      </c>
      <c r="E17" s="19">
        <v>1.1244900733578762E-2</v>
      </c>
      <c r="F17" s="19">
        <v>0.28959472688902582</v>
      </c>
      <c r="G17" s="19">
        <v>0.25044990643113391</v>
      </c>
      <c r="H17" s="19">
        <v>0.36557138332008798</v>
      </c>
      <c r="I17" s="19">
        <v>0.29747790328685575</v>
      </c>
      <c r="J17" s="19">
        <v>-306.51375000000002</v>
      </c>
    </row>
    <row r="18" spans="1:10" x14ac:dyDescent="0.3">
      <c r="A18" s="17">
        <v>44317</v>
      </c>
      <c r="B18" s="19">
        <v>-0.35000000000000009</v>
      </c>
      <c r="C18" s="19"/>
      <c r="D18" s="19">
        <f>+SUMIFS('Runs - Platts'!$B$2:$B$97,'Runs - Platts'!$G$2:$G$97,$A18)</f>
        <v>28851.878116494445</v>
      </c>
      <c r="E18" s="19">
        <v>2.5860734239378652E-2</v>
      </c>
      <c r="F18" s="19">
        <v>0.31983911795478132</v>
      </c>
      <c r="G18" s="19">
        <v>0.33682493598140406</v>
      </c>
      <c r="H18" s="19">
        <v>0.4415983225712265</v>
      </c>
      <c r="I18" s="19">
        <v>0.86201146100382431</v>
      </c>
      <c r="J18" s="19">
        <v>-296.27000000000004</v>
      </c>
    </row>
    <row r="19" spans="1:10" x14ac:dyDescent="0.3">
      <c r="A19" s="17">
        <v>44348</v>
      </c>
      <c r="B19" s="19">
        <v>-0.44999999999999996</v>
      </c>
      <c r="C19" s="19"/>
      <c r="D19" s="19">
        <f>+SUMIFS('Runs - Platts'!$B$2:$B$97,'Runs - Platts'!$G$2:$G$97,$A19)</f>
        <v>29142.889309348484</v>
      </c>
      <c r="E19" s="19">
        <v>2.2848004293377536E-2</v>
      </c>
      <c r="F19" s="19">
        <v>0.29782800415053173</v>
      </c>
      <c r="G19" s="19">
        <v>0.27266179709165</v>
      </c>
      <c r="H19" s="19">
        <v>0.51207225650735588</v>
      </c>
      <c r="I19" s="19">
        <v>1.2406609342992851</v>
      </c>
      <c r="J19" s="19">
        <v>-318.22499999999997</v>
      </c>
    </row>
    <row r="20" spans="1:10" x14ac:dyDescent="0.3">
      <c r="A20" s="17">
        <v>44378</v>
      </c>
      <c r="B20" s="19">
        <v>-0.54999999999999982</v>
      </c>
      <c r="C20" s="19"/>
      <c r="D20" s="19">
        <f>+SUMIFS('Runs - Platts'!$B$2:$B$97,'Runs - Platts'!$G$2:$G$97,$A20)</f>
        <v>29111.441511446359</v>
      </c>
      <c r="E20" s="19">
        <v>1.8735418155930078E-2</v>
      </c>
      <c r="F20" s="19">
        <v>0.37925117474172076</v>
      </c>
      <c r="G20" s="19">
        <v>0.34715965749315947</v>
      </c>
      <c r="H20" s="19">
        <v>0.47608816137708254</v>
      </c>
      <c r="I20" s="19">
        <v>1.0240528140909788</v>
      </c>
      <c r="J20" s="19">
        <v>-324.85875000000004</v>
      </c>
    </row>
    <row r="21" spans="1:10" x14ac:dyDescent="0.3">
      <c r="A21" s="17">
        <v>44409</v>
      </c>
      <c r="B21" s="19">
        <v>-0.55000000000000027</v>
      </c>
      <c r="C21" s="19"/>
      <c r="D21" s="19">
        <f>+SUMIFS('Runs - Platts'!$B$2:$B$97,'Runs - Platts'!$G$2:$G$97,$A21)</f>
        <v>29232.449509819206</v>
      </c>
      <c r="E21" s="19">
        <v>2.364285709381829E-2</v>
      </c>
      <c r="F21" s="19">
        <v>0.24227990774222471</v>
      </c>
      <c r="G21" s="19">
        <v>0.31901779075650966</v>
      </c>
      <c r="H21" s="19">
        <v>0.38869840536437977</v>
      </c>
      <c r="I21" s="19">
        <v>1.2257308186057543</v>
      </c>
      <c r="J21" s="19">
        <v>-346.68499999999995</v>
      </c>
    </row>
    <row r="22" spans="1:10" x14ac:dyDescent="0.3">
      <c r="A22" s="17">
        <v>44440</v>
      </c>
      <c r="B22" s="19">
        <v>-0.54999999999999982</v>
      </c>
      <c r="C22" s="19"/>
      <c r="D22" s="19">
        <f>+SUMIFS('Runs - Platts'!$B$2:$B$97,'Runs - Platts'!$G$2:$G$97,$A22)</f>
        <v>28850.59722651192</v>
      </c>
      <c r="E22" s="19">
        <v>1.1584525533814964E-2</v>
      </c>
      <c r="F22" s="19">
        <v>0.30534315988031918</v>
      </c>
      <c r="G22" s="19">
        <v>0.24180968970127936</v>
      </c>
      <c r="H22" s="19">
        <v>0.46147300607772768</v>
      </c>
      <c r="I22" s="19">
        <v>1.8999875842365506</v>
      </c>
      <c r="J22" s="19">
        <v>-340.48500000000007</v>
      </c>
    </row>
    <row r="23" spans="1:10" x14ac:dyDescent="0.3">
      <c r="A23" s="17">
        <v>44470</v>
      </c>
      <c r="B23" s="19">
        <v>-0.25</v>
      </c>
      <c r="C23" s="19"/>
      <c r="D23" s="19">
        <f>+SUMIFS('Runs - Platts'!$B$2:$B$97,'Runs - Platts'!$G$2:$G$97,$A23)</f>
        <v>29619.797114354969</v>
      </c>
      <c r="E23" s="19">
        <v>2.1215234042662574E-2</v>
      </c>
      <c r="F23" s="19">
        <v>0.36073125865797218</v>
      </c>
      <c r="G23" s="19">
        <v>0.21122286709211247</v>
      </c>
      <c r="H23" s="19">
        <v>0.49196714724903212</v>
      </c>
      <c r="I23" s="19">
        <v>2.4795872457534451</v>
      </c>
      <c r="J23" s="19">
        <v>-354.07666666666665</v>
      </c>
    </row>
    <row r="24" spans="1:10" x14ac:dyDescent="0.3">
      <c r="A24" s="17">
        <v>44501</v>
      </c>
      <c r="B24" s="19">
        <v>-0.25</v>
      </c>
      <c r="C24" s="19"/>
      <c r="D24" s="19">
        <f>+SUMIFS('Runs - Platts'!$B$2:$B$97,'Runs - Platts'!$G$2:$G$97,$A24)</f>
        <v>30410.702211705437</v>
      </c>
      <c r="E24" s="19">
        <v>1.7175485590421195E-2</v>
      </c>
      <c r="F24" s="19">
        <v>0.35102468915067109</v>
      </c>
      <c r="G24" s="19">
        <v>0.26992838542570291</v>
      </c>
      <c r="H24" s="19">
        <v>0.4546573531422588</v>
      </c>
      <c r="I24" s="19">
        <v>1.0752214487663423</v>
      </c>
      <c r="J24" s="19">
        <v>-389.78499999999997</v>
      </c>
    </row>
    <row r="25" spans="1:10" x14ac:dyDescent="0.3">
      <c r="A25" s="17">
        <v>44531</v>
      </c>
      <c r="B25" s="19">
        <v>-0.35000000000000009</v>
      </c>
      <c r="C25" s="19"/>
      <c r="D25" s="19">
        <f>+SUMIFS('Runs - Platts'!$B$2:$B$97,'Runs - Platts'!$G$2:$G$97,$A25)</f>
        <v>30310.825988685228</v>
      </c>
      <c r="E25" s="19">
        <v>1.6855036694982957E-2</v>
      </c>
      <c r="F25" s="19">
        <v>0.33792835462603565</v>
      </c>
      <c r="G25" s="19">
        <v>0.22316129878174731</v>
      </c>
      <c r="H25" s="19">
        <v>0.4530095688202212</v>
      </c>
      <c r="I25" s="19">
        <v>0.2634505747644762</v>
      </c>
      <c r="J25" s="19">
        <v>-371.68666666666667</v>
      </c>
    </row>
    <row r="26" spans="1:10" x14ac:dyDescent="0.3">
      <c r="A26" s="17">
        <v>44562</v>
      </c>
      <c r="B26" s="19">
        <v>-0.25</v>
      </c>
      <c r="C26" s="19"/>
      <c r="D26" s="19">
        <f>+SUMIFS('Runs - Platts'!$B$2:$B$97,'Runs - Platts'!$G$2:$G$97,$A26)</f>
        <v>30426.175643239596</v>
      </c>
      <c r="E26" s="19">
        <v>1.8279760648725697E-2</v>
      </c>
      <c r="F26" s="19">
        <v>0.23095821021016749</v>
      </c>
      <c r="G26" s="19">
        <v>0.18283932059716812</v>
      </c>
      <c r="H26" s="19">
        <v>0.40400255377790778</v>
      </c>
      <c r="I26" s="19">
        <v>1.6374440516183835</v>
      </c>
      <c r="J26" s="19">
        <v>-316.30666666666667</v>
      </c>
    </row>
    <row r="27" spans="1:10" x14ac:dyDescent="0.3">
      <c r="A27" s="17">
        <v>44593</v>
      </c>
      <c r="B27" s="19">
        <v>-0.15000000000000036</v>
      </c>
      <c r="C27" s="19"/>
      <c r="D27" s="19">
        <f>+SUMIFS('Runs - Platts'!$B$2:$B$97,'Runs - Platts'!$G$2:$G$97,$A27)</f>
        <v>30616.095659623828</v>
      </c>
      <c r="E27" s="19">
        <v>1.4567646436048059E-2</v>
      </c>
      <c r="F27" s="19">
        <v>0.23557075162214261</v>
      </c>
      <c r="G27" s="19">
        <v>0.19731541350073142</v>
      </c>
      <c r="H27" s="19">
        <v>0.38111673488567971</v>
      </c>
      <c r="I27" s="19">
        <v>2.2386458340813675</v>
      </c>
      <c r="J27" s="19">
        <v>-355.51</v>
      </c>
    </row>
    <row r="28" spans="1:10" x14ac:dyDescent="0.3">
      <c r="A28" s="17">
        <v>44621</v>
      </c>
      <c r="B28" s="19">
        <v>-4.9999999999999822E-2</v>
      </c>
      <c r="C28" s="19"/>
      <c r="D28" s="19">
        <f>+SUMIFS('Runs - Platts'!$B$2:$B$97,'Runs - Platts'!$G$2:$G$97,$A28)</f>
        <v>30199.052162117121</v>
      </c>
      <c r="E28" s="19">
        <v>1.6512885501918095E-2</v>
      </c>
      <c r="F28" s="19">
        <v>0.23313274337809914</v>
      </c>
      <c r="G28" s="19">
        <v>0.22349663150133223</v>
      </c>
      <c r="H28" s="19">
        <v>0.37152756215145799</v>
      </c>
      <c r="I28" s="19">
        <v>1.2406830087345213</v>
      </c>
      <c r="J28" s="19">
        <v>-413.01750000000004</v>
      </c>
    </row>
    <row r="29" spans="1:10" x14ac:dyDescent="0.3">
      <c r="A29" s="17">
        <v>44652</v>
      </c>
      <c r="B29" s="19">
        <v>-4.9999999999999822E-2</v>
      </c>
      <c r="C29" s="19"/>
      <c r="D29" s="19">
        <f>+SUMIFS('Runs - Platts'!$B$2:$B$97,'Runs - Platts'!$G$2:$G$97,$A29)</f>
        <v>29010.354532837158</v>
      </c>
      <c r="E29" s="19">
        <v>1.7242723124175015E-2</v>
      </c>
      <c r="F29" s="19">
        <v>0.28119911608688364</v>
      </c>
      <c r="G29" s="19">
        <v>0.1567218064866546</v>
      </c>
      <c r="H29" s="19">
        <v>0.31127731331784952</v>
      </c>
      <c r="I29" s="19">
        <v>0.57853108818309451</v>
      </c>
      <c r="J29" s="19">
        <v>-467.25249999999994</v>
      </c>
    </row>
    <row r="30" spans="1:10" x14ac:dyDescent="0.3">
      <c r="A30" s="17">
        <v>44682</v>
      </c>
      <c r="B30" s="19">
        <v>-4.9999999999998934E-2</v>
      </c>
      <c r="C30" s="19"/>
      <c r="D30" s="19">
        <f>+SUMIFS('Runs - Platts'!$B$2:$B$97,'Runs - Platts'!$G$2:$G$97,$A30)</f>
        <v>29127.602808662763</v>
      </c>
      <c r="E30" s="19">
        <v>1.5970750305134316E-2</v>
      </c>
      <c r="F30" s="19">
        <v>0.24864132652438911</v>
      </c>
      <c r="G30" s="19">
        <v>0.18384329207253725</v>
      </c>
      <c r="H30" s="19">
        <v>0.404079275997899</v>
      </c>
      <c r="I30" s="19">
        <v>4.4770553496554797</v>
      </c>
      <c r="J30" s="19">
        <v>-547.13</v>
      </c>
    </row>
    <row r="31" spans="1:10" x14ac:dyDescent="0.3">
      <c r="A31" s="17">
        <v>44713</v>
      </c>
      <c r="B31" s="19">
        <v>-5.0000000000000711E-2</v>
      </c>
      <c r="C31" s="19"/>
      <c r="D31" s="19">
        <f>+SUMIFS('Runs - Platts'!$B$2:$B$97,'Runs - Platts'!$G$2:$G$97,$A31)</f>
        <v>29176.626395100098</v>
      </c>
      <c r="E31" s="19">
        <v>1.6507794224032972E-2</v>
      </c>
      <c r="F31" s="19">
        <v>0.24283780688460876</v>
      </c>
      <c r="G31" s="19">
        <v>0.16662188419525514</v>
      </c>
      <c r="H31" s="19">
        <v>0.34536953071865789</v>
      </c>
      <c r="I31" s="19">
        <v>9.0321259856399934</v>
      </c>
      <c r="J31" s="19">
        <v>-579.02</v>
      </c>
    </row>
    <row r="32" spans="1:10" x14ac:dyDescent="0.3">
      <c r="A32" s="17">
        <v>44743</v>
      </c>
      <c r="B32" s="19">
        <v>-0.34999999999999964</v>
      </c>
      <c r="C32" s="19">
        <v>6.6533333333333333</v>
      </c>
      <c r="D32" s="19">
        <f>+SUMIFS('Runs - Platts'!$B$2:$B$97,'Runs - Platts'!$G$2:$G$97,$A32)</f>
        <v>29232.065531687473</v>
      </c>
      <c r="E32" s="19">
        <v>1.270263636851625E-2</v>
      </c>
      <c r="F32" s="19">
        <v>0.24384916653622074</v>
      </c>
      <c r="G32" s="19">
        <v>0.20691065671913397</v>
      </c>
      <c r="H32" s="19">
        <v>0.36960640076803786</v>
      </c>
      <c r="I32" s="19">
        <v>3.8007057157618647</v>
      </c>
      <c r="J32" s="19">
        <v>-491.10666666666674</v>
      </c>
    </row>
    <row r="33" spans="1:10" x14ac:dyDescent="0.3">
      <c r="A33" s="17">
        <v>44774</v>
      </c>
      <c r="B33" s="19">
        <v>-2.1500000000000004</v>
      </c>
      <c r="C33" s="19">
        <v>9.0599999999999987</v>
      </c>
      <c r="D33" s="19">
        <f>+SUMIFS('Runs - Platts'!$B$2:$B$97,'Runs - Platts'!$G$2:$G$97,$A33)</f>
        <v>29033.849604187748</v>
      </c>
      <c r="E33" s="19">
        <v>1.2931147482436263E-2</v>
      </c>
      <c r="F33" s="19">
        <v>0.2330685952545693</v>
      </c>
      <c r="G33" s="19">
        <v>0.12784187747865272</v>
      </c>
      <c r="H33" s="19">
        <v>0.35676403632219383</v>
      </c>
      <c r="I33" s="19">
        <v>5.2640534184301302</v>
      </c>
      <c r="J33" s="19">
        <v>-416.08499999999998</v>
      </c>
    </row>
    <row r="34" spans="1:10" x14ac:dyDescent="0.3">
      <c r="A34" s="17">
        <v>44805</v>
      </c>
      <c r="B34" s="19">
        <v>-2.0500000000000007</v>
      </c>
      <c r="C34" s="19">
        <v>5.6549999999999994</v>
      </c>
      <c r="D34" s="19">
        <f>+SUMIFS('Runs - Platts'!$B$2:$B$97,'Runs - Platts'!$G$2:$G$97,$A34)</f>
        <v>29723.417567450368</v>
      </c>
      <c r="E34" s="19">
        <v>2.2633671253453759E-2</v>
      </c>
      <c r="F34" s="19">
        <v>0.28355486423021486</v>
      </c>
      <c r="G34" s="19">
        <v>0.26273044639790327</v>
      </c>
      <c r="H34" s="19">
        <v>0.38978070833339007</v>
      </c>
      <c r="I34" s="19">
        <v>8.4170578286761</v>
      </c>
      <c r="J34" s="19">
        <v>-374.24250000000001</v>
      </c>
    </row>
    <row r="35" spans="1:10" x14ac:dyDescent="0.3">
      <c r="A35" s="17">
        <v>44835</v>
      </c>
      <c r="B35" s="19">
        <v>-2.0999999999999996</v>
      </c>
      <c r="C35" s="19">
        <v>4.3849999999999998</v>
      </c>
      <c r="D35" s="19">
        <f>+SUMIFS('Runs - Platts'!$B$2:$B$97,'Runs - Platts'!$G$2:$G$97,$A35)</f>
        <v>29408.101906146061</v>
      </c>
      <c r="E35" s="19">
        <v>1.4188376778504368E-2</v>
      </c>
      <c r="F35" s="19">
        <v>0.24861589948632981</v>
      </c>
      <c r="G35" s="19">
        <v>0.24953146079628907</v>
      </c>
      <c r="H35" s="19">
        <v>0.39264714003404311</v>
      </c>
      <c r="I35" s="19">
        <v>8.5101961410005345</v>
      </c>
      <c r="J35" s="19">
        <v>-321.72000000000003</v>
      </c>
    </row>
    <row r="36" spans="1:10" x14ac:dyDescent="0.3">
      <c r="A36" s="17">
        <v>44866</v>
      </c>
      <c r="B36" s="19">
        <v>-1.8499999999999996</v>
      </c>
      <c r="C36" s="19">
        <v>4.82</v>
      </c>
      <c r="D36" s="19">
        <f>+SUMIFS('Runs - Platts'!$B$2:$B$97,'Runs - Platts'!$G$2:$G$97,$A36)</f>
        <v>29775.092536071694</v>
      </c>
      <c r="E36" s="19">
        <v>1.4509144325829235E-2</v>
      </c>
      <c r="F36" s="19">
        <v>0.21067932492616764</v>
      </c>
      <c r="G36" s="19">
        <v>0.25879096900415377</v>
      </c>
      <c r="H36" s="19">
        <v>0.35712679882207327</v>
      </c>
      <c r="I36" s="19">
        <v>3.7999047023441221</v>
      </c>
      <c r="J36" s="19">
        <v>-268.53499999999997</v>
      </c>
    </row>
    <row r="37" spans="1:10" x14ac:dyDescent="0.3">
      <c r="A37" s="17">
        <v>44896</v>
      </c>
      <c r="B37" s="19">
        <v>-2.25</v>
      </c>
      <c r="C37" s="19">
        <v>3.6150000000000002</v>
      </c>
      <c r="D37" s="19">
        <f>+SUMIFS('Runs - Platts'!$B$2:$B$97,'Runs - Platts'!$G$2:$G$97,$A37)</f>
        <v>30678.928148259263</v>
      </c>
      <c r="E37" s="19">
        <v>1.4978631307353489E-2</v>
      </c>
      <c r="F37" s="19">
        <v>0.23218203536308216</v>
      </c>
      <c r="G37" s="19">
        <v>0.29314643507688554</v>
      </c>
      <c r="H37" s="19">
        <v>0.36892695133733194</v>
      </c>
      <c r="I37" s="19">
        <v>3.8911744496827545</v>
      </c>
      <c r="J37" s="19">
        <v>-295.495</v>
      </c>
    </row>
    <row r="38" spans="1:10" x14ac:dyDescent="0.3">
      <c r="A38" s="17">
        <v>44927</v>
      </c>
      <c r="B38" s="19">
        <v>-1.1499999999999999</v>
      </c>
      <c r="C38" s="19">
        <v>0.33999999999999997</v>
      </c>
      <c r="D38" s="19">
        <f>+SUMIFS('Runs - Platts'!$B$2:$B$97,'Runs - Platts'!$G$2:$G$97,$A38)</f>
        <v>30858.769464365039</v>
      </c>
      <c r="E38" s="19">
        <v>1.6525378878502583E-2</v>
      </c>
      <c r="F38" s="19">
        <v>0.24229213745990411</v>
      </c>
      <c r="G38" s="19">
        <v>0.25959839235175802</v>
      </c>
      <c r="H38" s="19">
        <v>0.36109464691618043</v>
      </c>
      <c r="I38" s="19">
        <v>3.7546197209515526</v>
      </c>
      <c r="J38" s="19">
        <v>-273.11</v>
      </c>
    </row>
    <row r="39" spans="1:10" x14ac:dyDescent="0.3">
      <c r="A39" s="17">
        <v>44958</v>
      </c>
      <c r="B39" s="19">
        <v>-0.7</v>
      </c>
      <c r="C39" s="19">
        <v>1.01</v>
      </c>
      <c r="D39" s="19">
        <f>+SUMIFS('Runs - Platts'!$B$2:$B$97,'Runs - Platts'!$G$2:$G$97,$A39)</f>
        <v>31659.698437367686</v>
      </c>
      <c r="E39" s="19">
        <v>1.9944541071149936E-2</v>
      </c>
      <c r="F39" s="19">
        <v>0.38674588807175375</v>
      </c>
      <c r="G39" s="19">
        <v>0.31869611351543603</v>
      </c>
      <c r="H39" s="19">
        <v>0.47063274743817585</v>
      </c>
      <c r="I39" s="19">
        <v>2.2264749601365779</v>
      </c>
      <c r="J39" s="19">
        <v>-281.59499999999997</v>
      </c>
    </row>
    <row r="40" spans="1:10" x14ac:dyDescent="0.3">
      <c r="A40" s="17">
        <v>44986</v>
      </c>
      <c r="B40" s="19">
        <v>-0.39999999999999991</v>
      </c>
      <c r="C40" s="19">
        <v>0.83666666666666656</v>
      </c>
      <c r="D40" s="19">
        <f>+SUMIFS('Runs - Platts'!$B$2:$B$97,'Runs - Platts'!$G$2:$G$97,$A40)</f>
        <v>31151.078711222803</v>
      </c>
      <c r="E40" s="19">
        <v>1.890915856911218E-2</v>
      </c>
      <c r="F40" s="19">
        <v>0.19248465122008515</v>
      </c>
      <c r="G40" s="19">
        <v>0.20063117648413495</v>
      </c>
      <c r="H40" s="19">
        <v>0.38317645649692489</v>
      </c>
      <c r="I40" s="19">
        <v>0.68460407533554335</v>
      </c>
      <c r="J40" s="19">
        <v>-289.18833333333333</v>
      </c>
    </row>
    <row r="41" spans="1:10" x14ac:dyDescent="0.3">
      <c r="A41" s="17">
        <v>45017</v>
      </c>
      <c r="B41" s="19">
        <v>0</v>
      </c>
      <c r="C41" s="19">
        <v>1.25</v>
      </c>
      <c r="D41" s="19">
        <f>+SUMIFS('Runs - Platts'!$B$2:$B$97,'Runs - Platts'!$G$2:$G$97,$A41)</f>
        <v>31016.261016686127</v>
      </c>
      <c r="E41" s="19">
        <v>1.5735929467511581E-2</v>
      </c>
      <c r="F41" s="19">
        <v>0.23582649213581736</v>
      </c>
      <c r="G41" s="19">
        <v>0.22137992383180594</v>
      </c>
      <c r="H41" s="19">
        <v>0.43399978080222745</v>
      </c>
      <c r="I41" s="19">
        <v>1.1456690728769554</v>
      </c>
      <c r="J41" s="19">
        <v>-353.64833333333337</v>
      </c>
    </row>
    <row r="42" spans="1:10" x14ac:dyDescent="0.3">
      <c r="A42" s="17">
        <v>45047</v>
      </c>
      <c r="B42" s="19">
        <v>0</v>
      </c>
      <c r="C42" s="19">
        <v>1.0150000000000001</v>
      </c>
      <c r="D42" s="19">
        <f>+SUMIFS('Runs - Platts'!$B$2:$B$97,'Runs - Platts'!$G$2:$G$97,$A42)</f>
        <v>30997.629575825453</v>
      </c>
      <c r="E42" s="19">
        <v>1.973897964154037E-2</v>
      </c>
      <c r="F42" s="19">
        <v>0.33160267231205381</v>
      </c>
      <c r="G42" s="19">
        <v>0.2265349817443485</v>
      </c>
      <c r="H42" s="19">
        <v>0.40884800663008447</v>
      </c>
      <c r="I42" s="19">
        <v>2.2691263705078057</v>
      </c>
      <c r="J42" s="19">
        <v>-372.26499999999999</v>
      </c>
    </row>
    <row r="43" spans="1:10" x14ac:dyDescent="0.3">
      <c r="A43" s="17">
        <v>45078</v>
      </c>
      <c r="B43" s="19">
        <v>-0.54999999999999982</v>
      </c>
      <c r="C43" s="19">
        <v>0.63</v>
      </c>
      <c r="D43" s="19">
        <f>+SUMIFS('Runs - Platts'!$B$2:$B$97,'Runs - Platts'!$G$2:$G$97,$A43)</f>
        <v>30038.307925465939</v>
      </c>
      <c r="E43" s="19">
        <v>1.5542185577713511E-2</v>
      </c>
      <c r="F43" s="19">
        <v>0.31942580006076787</v>
      </c>
      <c r="G43" s="19">
        <v>0.15131939532463615</v>
      </c>
      <c r="H43" s="19">
        <v>0.43737577977371717</v>
      </c>
      <c r="I43" s="19">
        <v>2.9559084089628889</v>
      </c>
      <c r="J43" s="19">
        <v>-351.93833333333328</v>
      </c>
    </row>
    <row r="44" spans="1:10" x14ac:dyDescent="0.3">
      <c r="A44" s="17">
        <v>45108</v>
      </c>
      <c r="B44" s="19">
        <v>-0.54999999999999982</v>
      </c>
      <c r="C44" s="19">
        <v>-0.02</v>
      </c>
      <c r="D44" s="19">
        <f>+SUMIFS('Runs - Platts'!$B$2:$B$97,'Runs - Platts'!$G$2:$G$97,$A44)</f>
        <v>30654.258608638451</v>
      </c>
      <c r="E44" s="19">
        <v>1.4088766316537375E-2</v>
      </c>
      <c r="F44" s="19">
        <v>0.31264203382175493</v>
      </c>
      <c r="G44" s="19">
        <v>0.14062363294007355</v>
      </c>
      <c r="H44" s="19">
        <v>0.48894891055951828</v>
      </c>
      <c r="I44" s="19">
        <v>2.467105290335283</v>
      </c>
      <c r="J44" s="19">
        <v>-332.89</v>
      </c>
    </row>
    <row r="45" spans="1:10" x14ac:dyDescent="0.3">
      <c r="A45" s="17">
        <v>45139</v>
      </c>
      <c r="B45" s="19">
        <v>-0.55000000000000027</v>
      </c>
      <c r="C45" s="19">
        <v>0.01</v>
      </c>
      <c r="D45" s="19">
        <f>+SUMIFS('Runs - Platts'!$B$2:$B$97,'Runs - Platts'!$G$2:$G$97,$A45)</f>
        <v>31088.422910995003</v>
      </c>
      <c r="E45" s="19">
        <v>7.2157368241904541E-3</v>
      </c>
      <c r="F45" s="19">
        <v>0.29889315378674208</v>
      </c>
      <c r="G45" s="19">
        <v>0.24357625321794016</v>
      </c>
      <c r="H45" s="19">
        <v>0.45813286355887151</v>
      </c>
      <c r="I45" s="19">
        <v>3.3260339601683313</v>
      </c>
      <c r="J45" s="19">
        <v>-366.39750000000004</v>
      </c>
    </row>
    <row r="46" spans="1:10" x14ac:dyDescent="0.3">
      <c r="A46" s="17">
        <v>45170</v>
      </c>
      <c r="B46" s="19">
        <v>-0.14999999999999991</v>
      </c>
      <c r="C46" s="19">
        <v>1.02</v>
      </c>
      <c r="D46" s="19">
        <f>+SUMIFS('Runs - Platts'!$B$2:$B$97,'Runs - Platts'!$G$2:$G$97,$A46)</f>
        <v>31315.646380230472</v>
      </c>
      <c r="E46" s="19">
        <v>2.2392565767733907E-2</v>
      </c>
      <c r="F46" s="19">
        <v>0.36512377525703532</v>
      </c>
      <c r="G46" s="19">
        <v>0.20979801890971259</v>
      </c>
      <c r="H46" s="19">
        <v>0.47956478993475937</v>
      </c>
      <c r="I46" s="19">
        <v>3.1837001822682645</v>
      </c>
      <c r="J46" s="19">
        <v>-454.67250000000001</v>
      </c>
    </row>
    <row r="47" spans="1:10" x14ac:dyDescent="0.3">
      <c r="A47" s="17">
        <v>45200</v>
      </c>
      <c r="B47" s="19">
        <v>-0.14999999999999991</v>
      </c>
      <c r="C47" s="19">
        <v>1</v>
      </c>
      <c r="D47" s="19">
        <f>+SUMIFS('Runs - Platts'!$B$2:$B$97,'Runs - Platts'!$G$2:$G$97,$A47)</f>
        <v>30672.712175201879</v>
      </c>
      <c r="E47" s="19">
        <v>1.6814196973926322E-2</v>
      </c>
      <c r="F47" s="19">
        <v>0.27070880608191106</v>
      </c>
      <c r="G47" s="19">
        <v>0.20411302844572757</v>
      </c>
      <c r="H47" s="19">
        <v>0.37636119761704578</v>
      </c>
      <c r="I47" s="19">
        <v>3.3552992155253918</v>
      </c>
      <c r="J47" s="19">
        <v>-417.52</v>
      </c>
    </row>
    <row r="48" spans="1:10" x14ac:dyDescent="0.3">
      <c r="A48" s="17">
        <v>45231</v>
      </c>
      <c r="B48" s="19">
        <v>-0.54999999999999982</v>
      </c>
      <c r="C48" s="19">
        <v>2.6266666666666669</v>
      </c>
      <c r="D48" s="19">
        <f>+SUMIFS('Runs - Platts'!$B$2:$B$97,'Runs - Platts'!$G$2:$G$97,$A48)</f>
        <v>30512.474287702666</v>
      </c>
      <c r="E48" s="19">
        <v>2.4592740324988132E-2</v>
      </c>
      <c r="F48" s="19">
        <v>0.37499636847274792</v>
      </c>
      <c r="G48" s="19">
        <v>0.13971579308874343</v>
      </c>
      <c r="H48" s="19">
        <v>0.46728825598125023</v>
      </c>
      <c r="I48" s="19">
        <v>2.7305197822734422</v>
      </c>
      <c r="J48" s="19">
        <v>-384.92</v>
      </c>
    </row>
    <row r="49" spans="1:10" x14ac:dyDescent="0.3">
      <c r="A49" s="17">
        <v>45261</v>
      </c>
      <c r="B49" s="19">
        <v>-0.64999999999999991</v>
      </c>
      <c r="C49" s="19">
        <v>1.3466666666666667</v>
      </c>
      <c r="D49" s="19">
        <f>+SUMIFS('Runs - Platts'!$B$2:$B$97,'Runs - Platts'!$G$2:$G$97,$A49)</f>
        <v>30755.76365277898</v>
      </c>
      <c r="E49" s="19">
        <v>1.9090866567899892E-2</v>
      </c>
      <c r="F49" s="19">
        <v>0.38216320501023104</v>
      </c>
      <c r="G49" s="19">
        <v>0.15493613894478303</v>
      </c>
      <c r="H49" s="19">
        <v>0.44187057867011842</v>
      </c>
      <c r="I49" s="19">
        <v>3.5447270531625463</v>
      </c>
      <c r="J49" s="19">
        <v>-362.48666666666668</v>
      </c>
    </row>
    <row r="50" spans="1:10" x14ac:dyDescent="0.3">
      <c r="A50" s="17">
        <v>45292</v>
      </c>
      <c r="B50" s="19">
        <v>-0.75</v>
      </c>
      <c r="C50" s="19">
        <v>0.26500000000000001</v>
      </c>
      <c r="D50" s="19">
        <f>+SUMIFS('Runs - Platts'!$B$2:$B$97,'Runs - Platts'!$G$2:$G$97,$A50)</f>
        <v>30935.020357247915</v>
      </c>
      <c r="E50" s="19">
        <v>2.0424349650428164E-2</v>
      </c>
      <c r="F50" s="19">
        <v>0.2621745348807078</v>
      </c>
      <c r="G50" s="19">
        <v>0.2244966459739664</v>
      </c>
      <c r="H50" s="19">
        <v>0.32902192026622012</v>
      </c>
      <c r="I50" s="19">
        <v>3.5216870842785042</v>
      </c>
      <c r="J50" s="19">
        <v>-361.45</v>
      </c>
    </row>
    <row r="51" spans="1:10" x14ac:dyDescent="0.3">
      <c r="A51" s="17">
        <v>45323</v>
      </c>
      <c r="B51" s="19">
        <v>-0.75</v>
      </c>
      <c r="C51" s="19">
        <v>-0.70000000000000007</v>
      </c>
      <c r="D51" s="19">
        <f>+SUMIFS('Runs - Platts'!$B$2:$B$97,'Runs - Platts'!$G$2:$G$97,$A51)</f>
        <v>30830.676947208587</v>
      </c>
      <c r="E51" s="19">
        <v>1.0197745291130494E-2</v>
      </c>
      <c r="F51" s="19">
        <v>0.34796864546828338</v>
      </c>
      <c r="G51" s="19">
        <v>0.22584397897027012</v>
      </c>
      <c r="H51" s="19">
        <v>0.42161142513025024</v>
      </c>
      <c r="I51" s="19">
        <v>2.9419911768832825</v>
      </c>
      <c r="J51" s="19">
        <v>-368.41833333333335</v>
      </c>
    </row>
    <row r="52" spans="1:10" x14ac:dyDescent="0.3">
      <c r="A52" s="17">
        <v>45352</v>
      </c>
      <c r="B52" s="19">
        <v>-0.95</v>
      </c>
      <c r="C52" s="19">
        <v>-0.26</v>
      </c>
      <c r="D52" s="19">
        <f>+SUMIFS('Runs - Platts'!$B$2:$B$97,'Runs - Platts'!$G$2:$G$97,$A52)</f>
        <v>31198.511760129499</v>
      </c>
      <c r="E52" s="19">
        <v>2.2139163974220038E-2</v>
      </c>
      <c r="F52" s="19">
        <v>0.29509874719514856</v>
      </c>
      <c r="G52" s="19">
        <v>0.18743069547540567</v>
      </c>
      <c r="H52" s="19">
        <v>0.45718696189495234</v>
      </c>
      <c r="I52" s="19">
        <v>0.67205031796221704</v>
      </c>
      <c r="J52" s="19">
        <v>-333.89499999999998</v>
      </c>
    </row>
    <row r="53" spans="1:10" x14ac:dyDescent="0.3">
      <c r="A53" s="17">
        <v>45383</v>
      </c>
      <c r="B53" s="19">
        <v>-0.85</v>
      </c>
      <c r="C53" s="19">
        <v>0.76500000000000001</v>
      </c>
      <c r="D53" s="19">
        <f>+SUMIFS('Runs - Platts'!$B$2:$B$97,'Runs - Platts'!$G$2:$G$97,$A53)</f>
        <v>30697.947128994383</v>
      </c>
      <c r="E53" s="19">
        <v>1.3069473103263989E-2</v>
      </c>
      <c r="F53" s="19">
        <v>0.28153222231266878</v>
      </c>
      <c r="G53" s="19">
        <v>0.18786548815481063</v>
      </c>
      <c r="H53" s="19">
        <v>0.42969811380114797</v>
      </c>
      <c r="I53" s="19">
        <v>0.66014978760384935</v>
      </c>
      <c r="J53" s="19">
        <v>-350.42250000000001</v>
      </c>
    </row>
    <row r="54" spans="1:10" x14ac:dyDescent="0.3">
      <c r="A54" s="17">
        <v>45413</v>
      </c>
      <c r="B54" s="19">
        <v>-0.64999999999999991</v>
      </c>
      <c r="C54" s="19">
        <v>1.6524999999999999</v>
      </c>
      <c r="D54" s="19">
        <f>+SUMIFS('Runs - Platts'!$B$2:$B$97,'Runs - Platts'!$G$2:$G$97,$A54)</f>
        <v>30466.38013595554</v>
      </c>
      <c r="E54" s="19">
        <v>6.5918392971095934E-3</v>
      </c>
      <c r="F54" s="19">
        <v>0.24959803877982276</v>
      </c>
      <c r="G54" s="19">
        <v>0.20106369987299144</v>
      </c>
      <c r="H54" s="19">
        <v>0.37649717840407687</v>
      </c>
      <c r="I54" s="19">
        <v>1.3326236457393228</v>
      </c>
      <c r="J54" s="19">
        <v>-390.57374999999996</v>
      </c>
    </row>
    <row r="55" spans="1:10" x14ac:dyDescent="0.3">
      <c r="A55" s="17">
        <v>45444</v>
      </c>
      <c r="B55" s="19">
        <v>-0.54999999999999982</v>
      </c>
      <c r="C55" s="19">
        <v>1.385</v>
      </c>
      <c r="D55" s="19">
        <f>+SUMIFS('Runs - Platts'!$B$2:$B$97,'Runs - Platts'!$G$2:$G$97,$A55)</f>
        <v>29817.884321779642</v>
      </c>
      <c r="E55" s="19">
        <v>2.2755055370828E-2</v>
      </c>
      <c r="F55" s="19">
        <v>0.26836701972233573</v>
      </c>
      <c r="G55" s="19">
        <v>0.29822241549336048</v>
      </c>
      <c r="H55" s="19">
        <v>0.31956397429349953</v>
      </c>
      <c r="I55" s="19">
        <v>1.9844990015710522</v>
      </c>
      <c r="J55" s="19">
        <v>-420.505</v>
      </c>
    </row>
    <row r="56" spans="1:10" x14ac:dyDescent="0.3">
      <c r="A56" s="17">
        <v>45474</v>
      </c>
      <c r="B56" s="19">
        <v>-0.44999999999999996</v>
      </c>
      <c r="C56" s="19">
        <v>0.46</v>
      </c>
      <c r="D56" s="19">
        <f>+SUMIFS('Runs - Platts'!$B$2:$B$97,'Runs - Platts'!$G$2:$G$97,$A56)</f>
        <v>29952.534523759899</v>
      </c>
      <c r="E56" s="19">
        <v>0</v>
      </c>
      <c r="F56" s="19">
        <v>0.33256174143909728</v>
      </c>
      <c r="G56" s="19">
        <v>0.22609839347613928</v>
      </c>
      <c r="H56" s="19">
        <v>0.47747213637171215</v>
      </c>
      <c r="I56" s="19">
        <v>2.9394426113664593</v>
      </c>
      <c r="J56" s="19">
        <v>-420.1925</v>
      </c>
    </row>
    <row r="57" spans="1:10" x14ac:dyDescent="0.3">
      <c r="A57" s="17">
        <v>45505</v>
      </c>
      <c r="B57" s="19">
        <v>-0.55000000000000004</v>
      </c>
      <c r="C57" s="19">
        <v>0.96250000000000002</v>
      </c>
      <c r="D57" s="19">
        <f>+SUMIFS('Runs - Platts'!$B$2:$B$97,'Runs - Platts'!$G$2:$G$97,$A57)</f>
        <v>30021.627222035488</v>
      </c>
      <c r="E57" s="19">
        <v>1.7817863734287787E-2</v>
      </c>
      <c r="F57" s="19">
        <v>0.31839466667711847</v>
      </c>
      <c r="G57" s="19">
        <v>0.22546104400422515</v>
      </c>
      <c r="H57" s="19">
        <v>0.4693836903057203</v>
      </c>
      <c r="I57" s="19">
        <v>2.0116599635049184</v>
      </c>
      <c r="J57" s="19">
        <v>-425.23874999999998</v>
      </c>
    </row>
    <row r="58" spans="1:10" x14ac:dyDescent="0.3">
      <c r="A58" s="17">
        <v>45536</v>
      </c>
      <c r="B58" s="19">
        <v>-0.75</v>
      </c>
      <c r="C58" s="19">
        <v>6.5000000000000002E-2</v>
      </c>
      <c r="D58" s="19">
        <f>+SUMIFS('Runs - Platts'!$B$2:$B$97,'Runs - Platts'!$G$2:$G$97,$A58)</f>
        <v>30122.683558000575</v>
      </c>
      <c r="E58" s="19">
        <v>2.5055423241616956E-2</v>
      </c>
      <c r="F58" s="19">
        <v>0.24400654658520596</v>
      </c>
      <c r="G58" s="19">
        <v>0.27310256737882299</v>
      </c>
      <c r="H58" s="19">
        <v>0.40048479821835564</v>
      </c>
      <c r="I58" s="19">
        <v>1.3780843035291639</v>
      </c>
      <c r="J58" s="19">
        <v>-391.13</v>
      </c>
    </row>
    <row r="59" spans="1:10" x14ac:dyDescent="0.3">
      <c r="A59" s="17">
        <v>45566</v>
      </c>
      <c r="B59" s="19">
        <v>-0.85000000000000009</v>
      </c>
      <c r="C59" s="19">
        <v>1.2133333333333332</v>
      </c>
      <c r="D59" s="19">
        <f>+SUMIFS('Runs - Platts'!$B$2:$B$97,'Runs - Platts'!$G$2:$G$97,$A59)</f>
        <v>29749.657087715961</v>
      </c>
      <c r="E59" s="19">
        <v>2.6032129770223306E-2</v>
      </c>
      <c r="F59" s="19">
        <v>0.33624899363750471</v>
      </c>
      <c r="G59" s="19">
        <v>0.30059003904802489</v>
      </c>
      <c r="H59" s="19">
        <v>0.51422747247144329</v>
      </c>
      <c r="I59" s="19">
        <v>1.384157927370893</v>
      </c>
      <c r="J59" s="19">
        <v>-350.16333333333336</v>
      </c>
    </row>
    <row r="60" spans="1:10" x14ac:dyDescent="0.3">
      <c r="A60" s="17">
        <v>45597</v>
      </c>
      <c r="B60" s="19">
        <v>-0.85000000000000009</v>
      </c>
      <c r="C60" s="19">
        <v>0.74249999999999994</v>
      </c>
      <c r="D60" s="19">
        <f>+SUMIFS('Runs - Platts'!$B$2:$B$97,'Runs - Platts'!$G$2:$G$97,$A60)</f>
        <v>30565.658496640386</v>
      </c>
      <c r="E60" s="19">
        <v>1.9315204064478508E-2</v>
      </c>
      <c r="F60" s="19">
        <v>0.31141968495026512</v>
      </c>
      <c r="G60" s="19">
        <v>0.27272098132788314</v>
      </c>
      <c r="H60" s="19">
        <v>0.41167598518965715</v>
      </c>
      <c r="I60" s="19">
        <v>0.46713212372490887</v>
      </c>
      <c r="J60" s="19">
        <v>-344.36</v>
      </c>
    </row>
    <row r="61" spans="1:10" x14ac:dyDescent="0.3">
      <c r="A61" s="17">
        <v>45627</v>
      </c>
      <c r="B61" s="19">
        <v>-0.75</v>
      </c>
      <c r="C61" s="19">
        <v>-0.21999999999999997</v>
      </c>
      <c r="D61" s="19">
        <f>+SUMIFS('Runs - Platts'!$B$2:$B$97,'Runs - Platts'!$G$2:$G$97,$A61)</f>
        <v>31102.56147594042</v>
      </c>
      <c r="E61" s="19">
        <v>2.1427192764229368E-2</v>
      </c>
      <c r="F61" s="19">
        <v>0.28885510135546139</v>
      </c>
      <c r="G61" s="19">
        <v>0.30521648630100801</v>
      </c>
      <c r="H61" s="19">
        <v>0.38797471521391025</v>
      </c>
      <c r="I61" s="19">
        <v>1.4909515551261876</v>
      </c>
      <c r="J61" s="19">
        <v>-373.435</v>
      </c>
    </row>
    <row r="62" spans="1:10" x14ac:dyDescent="0.3">
      <c r="A62" s="17">
        <v>45658</v>
      </c>
      <c r="B62" s="19">
        <v>-0.65</v>
      </c>
      <c r="C62" s="19">
        <v>0.42</v>
      </c>
      <c r="D62" s="19">
        <f>+SUMIFS('Runs - Platts'!$B$2:$B$97,'Runs - Platts'!$G$2:$G$97,$A62)</f>
        <v>30773.367465331456</v>
      </c>
      <c r="E62" s="19">
        <v>1.1807693876933173E-2</v>
      </c>
      <c r="F62" s="19">
        <v>0.37916966421541337</v>
      </c>
      <c r="G62" s="19">
        <v>0.21928079654211699</v>
      </c>
      <c r="H62" s="19">
        <v>0.39351023524022094</v>
      </c>
      <c r="I62" s="19">
        <v>1.3536110076765007</v>
      </c>
      <c r="J62" s="19">
        <v>-371.22166666666664</v>
      </c>
    </row>
    <row r="63" spans="1:10" x14ac:dyDescent="0.3">
      <c r="A63" s="17">
        <v>45689</v>
      </c>
      <c r="B63" s="19">
        <v>-0.75</v>
      </c>
      <c r="C63" s="19">
        <v>1.01</v>
      </c>
      <c r="D63" s="19">
        <f>+SUMIFS('Runs - Platts'!$B$2:$B$97,'Runs - Platts'!$G$2:$G$97,$A63)</f>
        <v>31036.319894862791</v>
      </c>
      <c r="E63" s="19">
        <v>1.1337543957623725E-2</v>
      </c>
      <c r="F63" s="19">
        <v>0.31347052737365416</v>
      </c>
      <c r="G63" s="19">
        <v>0.21939226388286825</v>
      </c>
      <c r="H63" s="19">
        <v>0.40909318149518659</v>
      </c>
      <c r="I63" s="19">
        <v>0.17160348876950593</v>
      </c>
      <c r="J63" s="19">
        <v>-375.44500000000005</v>
      </c>
    </row>
    <row r="64" spans="1:10" x14ac:dyDescent="0.3">
      <c r="A64" s="17">
        <v>45717</v>
      </c>
      <c r="B64" s="19">
        <v>-0.64999999999999991</v>
      </c>
      <c r="C64" s="19">
        <v>2.9299999999999997</v>
      </c>
      <c r="D64" s="19">
        <f>+SUMIFS('Runs - Platts'!$B$2:$B$97,'Runs - Platts'!$G$2:$G$97,$A64)</f>
        <v>30565.084999751856</v>
      </c>
      <c r="E64" s="19">
        <v>1.7165374081686693E-2</v>
      </c>
      <c r="F64" s="19">
        <v>0.34063358415473854</v>
      </c>
      <c r="G64" s="19">
        <v>0.21359996323173253</v>
      </c>
      <c r="H64" s="19">
        <v>0.3987927612037962</v>
      </c>
      <c r="I64" s="19">
        <v>1.2763159188039452</v>
      </c>
      <c r="J64" s="19">
        <v>-398.49250000000001</v>
      </c>
    </row>
    <row r="65" spans="1:10" x14ac:dyDescent="0.3">
      <c r="A65" s="17">
        <v>45748</v>
      </c>
      <c r="B65" s="19">
        <v>-0.54999999999999982</v>
      </c>
      <c r="C65" s="19">
        <v>-0.16</v>
      </c>
      <c r="D65" s="19">
        <f>+SUMIFS('Runs - Platts'!$B$2:$B$97,'Runs - Platts'!$G$2:$G$97,$A65)</f>
        <v>30319.64593357022</v>
      </c>
      <c r="E65" s="19">
        <v>1.5377374846727481E-2</v>
      </c>
      <c r="F65" s="19">
        <v>0.29281967094008832</v>
      </c>
      <c r="G65" s="19">
        <v>0.18786762472252719</v>
      </c>
      <c r="H65" s="19">
        <v>0.3967238826115555</v>
      </c>
      <c r="I65" s="19">
        <v>3.592433205891794</v>
      </c>
      <c r="J65" s="19">
        <v>-390.87</v>
      </c>
    </row>
    <row r="66" spans="1:10" x14ac:dyDescent="0.3">
      <c r="A66" s="17">
        <v>45778</v>
      </c>
      <c r="B66" s="19">
        <v>-0.54999999999999993</v>
      </c>
      <c r="C66" s="19">
        <v>1.3675000000000002</v>
      </c>
      <c r="D66" s="19">
        <f>+SUMIFS('Runs - Platts'!$B$2:$B$97,'Runs - Platts'!$G$2:$G$97,$A66)</f>
        <v>30317.79303324773</v>
      </c>
      <c r="E66" s="19">
        <v>1.6248515986127275E-2</v>
      </c>
      <c r="F66" s="19">
        <v>0.30563980850255007</v>
      </c>
      <c r="G66" s="19">
        <v>0.1997261172469694</v>
      </c>
      <c r="H66" s="19">
        <v>0.48814321802747612</v>
      </c>
      <c r="I66" s="19">
        <v>3.1912629054518113</v>
      </c>
      <c r="J66" s="19">
        <v>-367.13499999999999</v>
      </c>
    </row>
    <row r="67" spans="1:10" x14ac:dyDescent="0.3">
      <c r="A67" s="17">
        <v>45809</v>
      </c>
      <c r="B67" s="19">
        <v>-0.54999999999999993</v>
      </c>
      <c r="C67" s="19">
        <v>0.28000000000000003</v>
      </c>
      <c r="D67" s="19">
        <f>+SUMIFS('Runs - Platts'!$B$2:$B$97,'Runs - Platts'!$G$2:$G$97,$A67)</f>
        <v>30999.171816987524</v>
      </c>
      <c r="E67" s="19">
        <v>2.0231663856517659E-2</v>
      </c>
      <c r="F67" s="19">
        <v>0.30080599916045925</v>
      </c>
      <c r="G67" s="19">
        <v>0.21139226794171653</v>
      </c>
      <c r="H67" s="19">
        <v>0.53270143202840159</v>
      </c>
      <c r="I67" s="19">
        <v>0.96842813433044483</v>
      </c>
      <c r="J67" s="19">
        <v>-335.49</v>
      </c>
    </row>
    <row r="68" spans="1:10" x14ac:dyDescent="0.3">
      <c r="A68" s="17">
        <v>45839</v>
      </c>
      <c r="B68" s="19">
        <v>-0.44999999999999996</v>
      </c>
      <c r="C68" s="19">
        <v>0.98666666666666669</v>
      </c>
      <c r="D68" s="19">
        <f>+SUMIFS('Runs - Platts'!$B$2:$B$97,'Runs - Platts'!$G$2:$G$97,$A68)</f>
        <v>31627.298277005091</v>
      </c>
      <c r="E68" s="19">
        <v>2.2374119254410737E-2</v>
      </c>
      <c r="F68" s="19">
        <v>0.34383340078238112</v>
      </c>
      <c r="G68" s="19">
        <v>0.26230997660574201</v>
      </c>
      <c r="H68" s="19">
        <v>0.56405990007159768</v>
      </c>
      <c r="I68" s="19">
        <v>1.3325532826612356</v>
      </c>
      <c r="J68" s="19">
        <v>-359.22</v>
      </c>
    </row>
    <row r="69" spans="1:10" x14ac:dyDescent="0.3">
      <c r="A69" s="17">
        <v>45870</v>
      </c>
      <c r="B69" s="19">
        <v>-0.45000000000000018</v>
      </c>
      <c r="C69" s="19">
        <v>2.8649999999999998</v>
      </c>
      <c r="D69" s="19">
        <f>+SUMIFS('Runs - Platts'!$B$2:$B$97,'Runs - Platts'!$G$2:$G$97,$A69)</f>
        <v>31155.42408418487</v>
      </c>
      <c r="E69" s="19">
        <v>1.9898629359298189E-2</v>
      </c>
      <c r="F69" s="19">
        <v>0.3662897044340096</v>
      </c>
      <c r="G69" s="19">
        <v>0.26976263905382836</v>
      </c>
      <c r="H69" s="19">
        <v>0.49793726664965976</v>
      </c>
      <c r="I69" s="19">
        <v>0.77114964222939264</v>
      </c>
      <c r="J69" s="19">
        <v>-335.96000000000004</v>
      </c>
    </row>
    <row r="70" spans="1:10" x14ac:dyDescent="0.3">
      <c r="A70" s="17">
        <v>45901</v>
      </c>
      <c r="B70" s="19">
        <v>-0.55000000000000027</v>
      </c>
      <c r="C70" s="19">
        <v>2.29</v>
      </c>
      <c r="D70" s="19">
        <f>+SUMIFS('Runs - Platts'!$B$2:$B$97,'Runs - Platts'!$G$2:$G$97,$A70)</f>
        <v>31227.354620147518</v>
      </c>
      <c r="E70" s="19">
        <v>1.9817973771827948E-2</v>
      </c>
      <c r="F70" s="19">
        <v>0.31041090632391188</v>
      </c>
      <c r="G70" s="19">
        <v>0.29236375923796465</v>
      </c>
      <c r="H70" s="19">
        <v>0.44336798591999932</v>
      </c>
      <c r="I70" s="19">
        <v>1.6237806345883286</v>
      </c>
      <c r="J70" s="19">
        <v>-334.61</v>
      </c>
    </row>
    <row r="71" spans="1:10" x14ac:dyDescent="0.3">
      <c r="A71" s="17">
        <v>45931</v>
      </c>
      <c r="B71" s="19">
        <v>-0.45000000000000018</v>
      </c>
      <c r="C71" s="19">
        <v>2.7475000000000001</v>
      </c>
      <c r="D71" s="19">
        <f>+SUMIFS('Runs - Platts'!$B$2:$B$97,'Runs - Platts'!$G$2:$G$97,$A71)</f>
        <v>30615.136872021838</v>
      </c>
      <c r="E71" s="19">
        <v>2.0484320335811105E-2</v>
      </c>
      <c r="F71" s="19">
        <v>0.30868871081460802</v>
      </c>
      <c r="G71" s="19">
        <v>0.22042900888087597</v>
      </c>
      <c r="H71" s="19">
        <v>0.37057906872004193</v>
      </c>
      <c r="I71" s="19">
        <v>2.5961098660200932</v>
      </c>
      <c r="J71" s="19">
        <v>-324.20875000000001</v>
      </c>
    </row>
    <row r="72" spans="1:10" x14ac:dyDescent="0.3">
      <c r="A72" s="17">
        <v>45962</v>
      </c>
      <c r="B72" s="19">
        <v>-0.75000000000000022</v>
      </c>
      <c r="C72" s="19">
        <v>0.10666666666666667</v>
      </c>
      <c r="D72" s="19">
        <f>+SUMIFS('Runs - Platts'!$B$2:$B$97,'Runs - Platts'!$G$2:$G$97,$A72)</f>
        <v>31102.499985894658</v>
      </c>
      <c r="E72" s="19">
        <v>1.5115247762761026E-2</v>
      </c>
      <c r="F72" s="19">
        <v>0.26725037976185612</v>
      </c>
      <c r="G72" s="19">
        <v>0.2214656558397744</v>
      </c>
      <c r="H72" s="19">
        <v>0.41826243306854349</v>
      </c>
      <c r="I72" s="19">
        <v>1.5565477554562692</v>
      </c>
      <c r="J72" s="19">
        <v>-323.69333333333338</v>
      </c>
    </row>
    <row r="73" spans="1:10" x14ac:dyDescent="0.3">
      <c r="A73" s="17">
        <v>45992</v>
      </c>
      <c r="B73">
        <f>+'OSP Med-Light spread'!D8</f>
        <v>-0.95</v>
      </c>
      <c r="C73">
        <f>+'Qatar Marine FOB'!M8</f>
        <v>1.17</v>
      </c>
      <c r="D73" s="19">
        <f>+SUMIFS('Runs - Platts'!$B$2:$B$97,'Runs - Platts'!$G$2:$G$97,$A73)</f>
        <v>31658.25323268538</v>
      </c>
      <c r="E73" s="19">
        <v>1.5115247762761026E-2</v>
      </c>
      <c r="F73" s="19">
        <v>0.30798076294693977</v>
      </c>
      <c r="G73" s="19">
        <v>0.23751923744674433</v>
      </c>
      <c r="H73" s="19">
        <v>0.13508754386641772</v>
      </c>
      <c r="I73" s="19">
        <f>+'Dubai-alight asia mgn'!Q74</f>
        <v>1.4661493674928607</v>
      </c>
      <c r="J73">
        <f>+'HCU_BVU_HSFO - FO CRACK'!Q8</f>
        <v>-302.30499999999995</v>
      </c>
    </row>
    <row r="74" spans="1:10" x14ac:dyDescent="0.3">
      <c r="A74" s="17">
        <v>46023</v>
      </c>
      <c r="B74">
        <f>+'OSP Med-Light spread'!D7</f>
        <v>-1.1499999999999999</v>
      </c>
      <c r="C74" s="19">
        <f>+'Qatar Marine FOB'!M7</f>
        <v>3.4694469519536142E-18</v>
      </c>
      <c r="D74" s="19">
        <f>+SUMIFS('Runs - Platts'!$B$2:$B$97,'Runs - Platts'!$G$2:$G$97,$A74)</f>
        <v>31493.581652259014</v>
      </c>
      <c r="E74" s="19">
        <v>1.5115247762761026E-2</v>
      </c>
      <c r="F74" s="19">
        <v>0.44827789675442947</v>
      </c>
      <c r="G74" s="19">
        <v>0.2475417950838899</v>
      </c>
      <c r="H74" s="19">
        <v>0.24499816509829589</v>
      </c>
      <c r="I74" s="19">
        <f>+'Dubai-alight asia mgn'!Q75</f>
        <v>0.42299173175062776</v>
      </c>
      <c r="J74" s="20">
        <f>+'HCU_BVU_HSFO - FO CRACK'!Q7</f>
        <v>-271.51249999999999</v>
      </c>
    </row>
    <row r="75" spans="1:10" x14ac:dyDescent="0.3">
      <c r="A75" s="17">
        <v>46054</v>
      </c>
      <c r="B75">
        <f>+'OSP Med-Light spread'!D6</f>
        <v>-1.1499999999999999</v>
      </c>
      <c r="C75">
        <f>+'Qatar Marine FOB'!M6</f>
        <v>-0.91</v>
      </c>
      <c r="D75" s="19">
        <f>+SUMIFS('Runs - Platts'!$B$2:$B$97,'Runs - Platts'!$G$2:$G$97,$A75)</f>
        <v>31682.67018657643</v>
      </c>
      <c r="E75" s="19">
        <f>+'Exports MoE'!H73</f>
        <v>0</v>
      </c>
      <c r="F75" s="19">
        <f>+'Exports MoE'!I73</f>
        <v>0.4287139135255395</v>
      </c>
      <c r="G75" s="19">
        <f>+'Exports MoE'!J73</f>
        <v>0.31009302261350019</v>
      </c>
      <c r="H75" s="19">
        <f>+'Exports MoE'!K73</f>
        <v>0.14258218433667108</v>
      </c>
      <c r="I75" s="19">
        <f>+'Dubai-alight asia mgn'!Q76</f>
        <v>0.22563918727030341</v>
      </c>
      <c r="J75">
        <f>+'HCU_BVU_HSFO - FO CRACK'!Q6</f>
        <v>-277.10999999999996</v>
      </c>
    </row>
    <row r="76" spans="1:10" x14ac:dyDescent="0.3">
      <c r="A76" s="17">
        <v>46082</v>
      </c>
      <c r="C76" s="19">
        <f>+'Qatar Marine FOB'!M5</f>
        <v>-0.21</v>
      </c>
      <c r="D76" s="19">
        <f>+SUMIFS('Runs - Platts'!$B$2:$B$97,'Runs - Platts'!$G$2:$G$97,$A76)</f>
        <v>31318.745044882537</v>
      </c>
      <c r="E76" s="19">
        <f>+'Exports MoE'!H74</f>
        <v>0</v>
      </c>
      <c r="F76" s="19">
        <f>+'Exports MoE'!I74</f>
        <v>0.24465360851175807</v>
      </c>
      <c r="G76" s="19">
        <f>+'Exports MoE'!J74</f>
        <v>0.18339446019771263</v>
      </c>
      <c r="H76" s="19">
        <f>+'Exports MoE'!K74</f>
        <v>4.9879716956868943E-2</v>
      </c>
      <c r="I76" s="19">
        <f>+'Dubai-alight asia mgn'!Q77</f>
        <v>-0.18974513176087271</v>
      </c>
      <c r="J76">
        <f>+'HCU_BVU_HSFO - FO CRACK'!Q5</f>
        <v>-333.28999999999996</v>
      </c>
    </row>
    <row r="77" spans="1:10" x14ac:dyDescent="0.3">
      <c r="B7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A1267-A0E3-48F2-8844-B3B311BF0346}">
  <dimension ref="A1:F451"/>
  <sheetViews>
    <sheetView showGridLines="0" workbookViewId="0">
      <selection activeCell="D5" sqref="D5"/>
    </sheetView>
  </sheetViews>
  <sheetFormatPr defaultRowHeight="14.4" x14ac:dyDescent="0.3"/>
  <cols>
    <col min="1" max="1" width="13.109375" bestFit="1" customWidth="1"/>
    <col min="2" max="2" width="27.5546875" bestFit="1" customWidth="1"/>
    <col min="3" max="3" width="25.5546875" bestFit="1" customWidth="1"/>
    <col min="4" max="4" width="15" style="55" bestFit="1" customWidth="1"/>
  </cols>
  <sheetData>
    <row r="1" spans="1:6" x14ac:dyDescent="0.3">
      <c r="A1" t="s">
        <v>107</v>
      </c>
      <c r="B1" t="s">
        <v>142</v>
      </c>
      <c r="C1" t="s">
        <v>143</v>
      </c>
      <c r="D1" s="54"/>
    </row>
    <row r="2" spans="1:6" x14ac:dyDescent="0.3">
      <c r="A2" t="s">
        <v>112</v>
      </c>
      <c r="B2" t="s">
        <v>113</v>
      </c>
      <c r="C2" t="s">
        <v>113</v>
      </c>
    </row>
    <row r="3" spans="1:6" x14ac:dyDescent="0.3">
      <c r="A3" t="s">
        <v>117</v>
      </c>
      <c r="B3" t="s">
        <v>144</v>
      </c>
      <c r="C3" t="s">
        <v>145</v>
      </c>
    </row>
    <row r="4" spans="1:6" x14ac:dyDescent="0.3">
      <c r="A4" t="s">
        <v>120</v>
      </c>
      <c r="B4" t="s">
        <v>146</v>
      </c>
      <c r="C4" t="s">
        <v>146</v>
      </c>
      <c r="D4" s="55" t="s">
        <v>147</v>
      </c>
    </row>
    <row r="5" spans="1:6" x14ac:dyDescent="0.3">
      <c r="A5" s="17">
        <v>46082</v>
      </c>
      <c r="B5">
        <v>-1.25</v>
      </c>
      <c r="C5">
        <v>0</v>
      </c>
      <c r="D5" s="76">
        <f>+B5-C5</f>
        <v>-1.25</v>
      </c>
    </row>
    <row r="6" spans="1:6" x14ac:dyDescent="0.3">
      <c r="A6" s="17">
        <v>46054</v>
      </c>
      <c r="B6" s="75">
        <v>-0.85</v>
      </c>
      <c r="C6" s="75">
        <v>0.3</v>
      </c>
      <c r="D6" s="76">
        <f>+B6-C6</f>
        <v>-1.1499999999999999</v>
      </c>
      <c r="F6" s="49"/>
    </row>
    <row r="7" spans="1:6" x14ac:dyDescent="0.3">
      <c r="A7" s="17">
        <v>46023</v>
      </c>
      <c r="B7">
        <v>-0.55000000000000004</v>
      </c>
      <c r="C7">
        <v>0.6</v>
      </c>
      <c r="D7" s="55">
        <f>+B7-C7</f>
        <v>-1.1499999999999999</v>
      </c>
    </row>
    <row r="8" spans="1:6" x14ac:dyDescent="0.3">
      <c r="A8" s="17">
        <v>45992</v>
      </c>
      <c r="B8">
        <v>0.05</v>
      </c>
      <c r="C8">
        <v>1</v>
      </c>
      <c r="D8" s="55">
        <f>+B8-C8</f>
        <v>-0.95</v>
      </c>
    </row>
    <row r="9" spans="1:6" x14ac:dyDescent="0.3">
      <c r="A9" s="17">
        <v>45962</v>
      </c>
      <c r="B9">
        <v>1.45</v>
      </c>
      <c r="C9">
        <v>2.2000000000000002</v>
      </c>
      <c r="D9" s="55">
        <f t="shared" ref="D9:D72" si="0">+B9-C9</f>
        <v>-0.75000000000000022</v>
      </c>
    </row>
    <row r="10" spans="1:6" x14ac:dyDescent="0.3">
      <c r="A10" s="17">
        <v>45931</v>
      </c>
      <c r="B10">
        <v>1.75</v>
      </c>
      <c r="C10">
        <v>2.2000000000000002</v>
      </c>
      <c r="D10" s="55">
        <f t="shared" si="0"/>
        <v>-0.45000000000000018</v>
      </c>
    </row>
    <row r="11" spans="1:6" x14ac:dyDescent="0.3">
      <c r="A11" s="17">
        <v>45901</v>
      </c>
      <c r="B11">
        <v>2.65</v>
      </c>
      <c r="C11">
        <v>3.2</v>
      </c>
      <c r="D11" s="55">
        <f t="shared" si="0"/>
        <v>-0.55000000000000027</v>
      </c>
    </row>
    <row r="12" spans="1:6" x14ac:dyDescent="0.3">
      <c r="A12" s="17">
        <v>45870</v>
      </c>
      <c r="B12">
        <v>1.75</v>
      </c>
      <c r="C12">
        <v>2.2000000000000002</v>
      </c>
      <c r="D12" s="55">
        <f t="shared" si="0"/>
        <v>-0.45000000000000018</v>
      </c>
    </row>
    <row r="13" spans="1:6" x14ac:dyDescent="0.3">
      <c r="A13" s="17">
        <v>45839</v>
      </c>
      <c r="B13">
        <v>0.75</v>
      </c>
      <c r="C13">
        <v>1.2</v>
      </c>
      <c r="D13" s="55">
        <f t="shared" si="0"/>
        <v>-0.44999999999999996</v>
      </c>
    </row>
    <row r="14" spans="1:6" x14ac:dyDescent="0.3">
      <c r="A14" s="17">
        <v>45809</v>
      </c>
      <c r="B14">
        <v>0.85</v>
      </c>
      <c r="C14">
        <v>1.4</v>
      </c>
      <c r="D14" s="55">
        <f t="shared" si="0"/>
        <v>-0.54999999999999993</v>
      </c>
    </row>
    <row r="15" spans="1:6" x14ac:dyDescent="0.3">
      <c r="A15" s="17">
        <v>45778</v>
      </c>
      <c r="B15">
        <v>0.65</v>
      </c>
      <c r="C15">
        <v>1.2</v>
      </c>
      <c r="D15" s="55">
        <f t="shared" si="0"/>
        <v>-0.54999999999999993</v>
      </c>
    </row>
    <row r="16" spans="1:6" x14ac:dyDescent="0.3">
      <c r="A16" s="17">
        <v>45748</v>
      </c>
      <c r="B16">
        <v>2.95</v>
      </c>
      <c r="C16">
        <v>3.5</v>
      </c>
      <c r="D16" s="55">
        <f t="shared" si="0"/>
        <v>-0.54999999999999982</v>
      </c>
    </row>
    <row r="17" spans="1:4" x14ac:dyDescent="0.3">
      <c r="A17" s="17">
        <v>45717</v>
      </c>
      <c r="B17">
        <v>3.25</v>
      </c>
      <c r="C17">
        <v>3.9</v>
      </c>
      <c r="D17" s="55">
        <f t="shared" si="0"/>
        <v>-0.64999999999999991</v>
      </c>
    </row>
    <row r="18" spans="1:4" x14ac:dyDescent="0.3">
      <c r="A18" s="17">
        <v>45689</v>
      </c>
      <c r="B18">
        <v>0.75</v>
      </c>
      <c r="C18">
        <v>1.5</v>
      </c>
      <c r="D18" s="55">
        <f t="shared" si="0"/>
        <v>-0.75</v>
      </c>
    </row>
    <row r="19" spans="1:4" x14ac:dyDescent="0.3">
      <c r="A19" s="17">
        <v>45658</v>
      </c>
      <c r="B19">
        <v>0.25</v>
      </c>
      <c r="C19">
        <v>0.9</v>
      </c>
      <c r="D19" s="55">
        <f t="shared" si="0"/>
        <v>-0.65</v>
      </c>
    </row>
    <row r="20" spans="1:4" x14ac:dyDescent="0.3">
      <c r="A20" s="17">
        <v>45627</v>
      </c>
      <c r="B20">
        <v>0.95</v>
      </c>
      <c r="C20">
        <v>1.7</v>
      </c>
      <c r="D20" s="55">
        <f t="shared" si="0"/>
        <v>-0.75</v>
      </c>
    </row>
    <row r="21" spans="1:4" x14ac:dyDescent="0.3">
      <c r="A21" s="17">
        <v>45597</v>
      </c>
      <c r="B21">
        <v>1.35</v>
      </c>
      <c r="C21">
        <v>2.2000000000000002</v>
      </c>
      <c r="D21" s="55">
        <f t="shared" si="0"/>
        <v>-0.85000000000000009</v>
      </c>
    </row>
    <row r="22" spans="1:4" x14ac:dyDescent="0.3">
      <c r="A22" s="17">
        <v>45566</v>
      </c>
      <c r="B22">
        <v>0.45</v>
      </c>
      <c r="C22">
        <v>1.3</v>
      </c>
      <c r="D22" s="55">
        <f t="shared" si="0"/>
        <v>-0.85000000000000009</v>
      </c>
    </row>
    <row r="23" spans="1:4" x14ac:dyDescent="0.3">
      <c r="A23" s="17">
        <v>45536</v>
      </c>
      <c r="B23">
        <v>1.25</v>
      </c>
      <c r="C23">
        <v>2</v>
      </c>
      <c r="D23" s="55">
        <f t="shared" si="0"/>
        <v>-0.75</v>
      </c>
    </row>
    <row r="24" spans="1:4" x14ac:dyDescent="0.3">
      <c r="A24" s="17">
        <v>45505</v>
      </c>
      <c r="B24">
        <v>1.25</v>
      </c>
      <c r="C24">
        <v>1.8</v>
      </c>
      <c r="D24" s="55">
        <f t="shared" si="0"/>
        <v>-0.55000000000000004</v>
      </c>
    </row>
    <row r="25" spans="1:4" x14ac:dyDescent="0.3">
      <c r="A25" s="17">
        <v>45474</v>
      </c>
      <c r="B25">
        <v>1.95</v>
      </c>
      <c r="C25">
        <v>2.4</v>
      </c>
      <c r="D25" s="55">
        <f t="shared" si="0"/>
        <v>-0.44999999999999996</v>
      </c>
    </row>
    <row r="26" spans="1:4" x14ac:dyDescent="0.3">
      <c r="A26" s="17">
        <v>45444</v>
      </c>
      <c r="B26">
        <v>2.35</v>
      </c>
      <c r="C26">
        <v>2.9</v>
      </c>
      <c r="D26" s="55">
        <f t="shared" si="0"/>
        <v>-0.54999999999999982</v>
      </c>
    </row>
    <row r="27" spans="1:4" x14ac:dyDescent="0.3">
      <c r="A27" s="17">
        <v>45413</v>
      </c>
      <c r="B27">
        <v>1.35</v>
      </c>
      <c r="C27">
        <v>2</v>
      </c>
      <c r="D27" s="55">
        <f t="shared" si="0"/>
        <v>-0.64999999999999991</v>
      </c>
    </row>
    <row r="28" spans="1:4" x14ac:dyDescent="0.3">
      <c r="A28" s="17">
        <v>45383</v>
      </c>
      <c r="B28">
        <v>0.85</v>
      </c>
      <c r="C28">
        <v>1.7</v>
      </c>
      <c r="D28" s="55">
        <f t="shared" si="0"/>
        <v>-0.85</v>
      </c>
    </row>
    <row r="29" spans="1:4" x14ac:dyDescent="0.3">
      <c r="A29" s="17">
        <v>45352</v>
      </c>
      <c r="B29">
        <v>0.55000000000000004</v>
      </c>
      <c r="C29">
        <v>1.5</v>
      </c>
      <c r="D29" s="55">
        <f t="shared" si="0"/>
        <v>-0.95</v>
      </c>
    </row>
    <row r="30" spans="1:4" x14ac:dyDescent="0.3">
      <c r="A30" s="17">
        <v>45323</v>
      </c>
      <c r="B30">
        <v>0.75</v>
      </c>
      <c r="C30">
        <v>1.5</v>
      </c>
      <c r="D30" s="55">
        <f t="shared" si="0"/>
        <v>-0.75</v>
      </c>
    </row>
    <row r="31" spans="1:4" x14ac:dyDescent="0.3">
      <c r="A31" s="17">
        <v>45292</v>
      </c>
      <c r="B31">
        <v>2.75</v>
      </c>
      <c r="C31">
        <v>3.5</v>
      </c>
      <c r="D31" s="55">
        <f t="shared" si="0"/>
        <v>-0.75</v>
      </c>
    </row>
    <row r="32" spans="1:4" x14ac:dyDescent="0.3">
      <c r="A32" s="17">
        <v>45261</v>
      </c>
      <c r="B32">
        <v>3.35</v>
      </c>
      <c r="C32">
        <v>4</v>
      </c>
      <c r="D32" s="55">
        <f t="shared" si="0"/>
        <v>-0.64999999999999991</v>
      </c>
    </row>
    <row r="33" spans="1:4" x14ac:dyDescent="0.3">
      <c r="A33" s="17">
        <v>45231</v>
      </c>
      <c r="B33">
        <v>3.45</v>
      </c>
      <c r="C33">
        <v>4</v>
      </c>
      <c r="D33" s="55">
        <f t="shared" si="0"/>
        <v>-0.54999999999999982</v>
      </c>
    </row>
    <row r="34" spans="1:4" x14ac:dyDescent="0.3">
      <c r="A34" s="17">
        <v>45200</v>
      </c>
      <c r="B34">
        <v>3.45</v>
      </c>
      <c r="C34">
        <v>3.6</v>
      </c>
      <c r="D34" s="55">
        <f t="shared" si="0"/>
        <v>-0.14999999999999991</v>
      </c>
    </row>
    <row r="35" spans="1:4" x14ac:dyDescent="0.3">
      <c r="A35" s="17">
        <v>45170</v>
      </c>
      <c r="B35">
        <v>3.35</v>
      </c>
      <c r="C35">
        <v>3.5</v>
      </c>
      <c r="D35" s="55">
        <f t="shared" si="0"/>
        <v>-0.14999999999999991</v>
      </c>
    </row>
    <row r="36" spans="1:4" x14ac:dyDescent="0.3">
      <c r="A36" s="17">
        <v>45139</v>
      </c>
      <c r="B36">
        <v>2.65</v>
      </c>
      <c r="C36">
        <v>3.2</v>
      </c>
      <c r="D36" s="55">
        <f t="shared" si="0"/>
        <v>-0.55000000000000027</v>
      </c>
    </row>
    <row r="37" spans="1:4" x14ac:dyDescent="0.3">
      <c r="A37" s="17">
        <v>45108</v>
      </c>
      <c r="B37">
        <v>2.4500000000000002</v>
      </c>
      <c r="C37">
        <v>3</v>
      </c>
      <c r="D37" s="55">
        <f t="shared" si="0"/>
        <v>-0.54999999999999982</v>
      </c>
    </row>
    <row r="38" spans="1:4" x14ac:dyDescent="0.3">
      <c r="A38" s="17">
        <v>45078</v>
      </c>
      <c r="B38">
        <v>2</v>
      </c>
      <c r="C38">
        <v>2.5499999999999998</v>
      </c>
      <c r="D38" s="55">
        <f t="shared" si="0"/>
        <v>-0.54999999999999982</v>
      </c>
    </row>
    <row r="39" spans="1:4" x14ac:dyDescent="0.3">
      <c r="A39" s="17">
        <v>45047</v>
      </c>
      <c r="B39">
        <v>2.8</v>
      </c>
      <c r="C39">
        <v>2.8</v>
      </c>
      <c r="D39" s="55">
        <f t="shared" si="0"/>
        <v>0</v>
      </c>
    </row>
    <row r="40" spans="1:4" x14ac:dyDescent="0.3">
      <c r="A40" s="17">
        <v>45017</v>
      </c>
      <c r="B40">
        <v>2.5</v>
      </c>
      <c r="C40">
        <v>2.5</v>
      </c>
      <c r="D40" s="55">
        <f t="shared" si="0"/>
        <v>0</v>
      </c>
    </row>
    <row r="41" spans="1:4" x14ac:dyDescent="0.3">
      <c r="A41" s="17">
        <v>44986</v>
      </c>
      <c r="B41">
        <v>1.6</v>
      </c>
      <c r="C41">
        <v>2</v>
      </c>
      <c r="D41" s="55">
        <f t="shared" si="0"/>
        <v>-0.39999999999999991</v>
      </c>
    </row>
    <row r="42" spans="1:4" x14ac:dyDescent="0.3">
      <c r="A42" s="17">
        <v>44958</v>
      </c>
      <c r="B42">
        <v>1.1000000000000001</v>
      </c>
      <c r="C42">
        <v>1.8</v>
      </c>
      <c r="D42" s="55">
        <f t="shared" si="0"/>
        <v>-0.7</v>
      </c>
    </row>
    <row r="43" spans="1:4" x14ac:dyDescent="0.3">
      <c r="A43" s="17">
        <v>44927</v>
      </c>
      <c r="B43">
        <v>2.1</v>
      </c>
      <c r="C43">
        <v>3.25</v>
      </c>
      <c r="D43" s="55">
        <f t="shared" si="0"/>
        <v>-1.1499999999999999</v>
      </c>
    </row>
    <row r="44" spans="1:4" x14ac:dyDescent="0.3">
      <c r="A44" s="17">
        <v>44896</v>
      </c>
      <c r="B44">
        <v>3.2</v>
      </c>
      <c r="C44">
        <v>5.45</v>
      </c>
      <c r="D44" s="55">
        <f t="shared" si="0"/>
        <v>-2.25</v>
      </c>
    </row>
    <row r="45" spans="1:4" x14ac:dyDescent="0.3">
      <c r="A45" s="17">
        <v>44866</v>
      </c>
      <c r="B45">
        <v>4</v>
      </c>
      <c r="C45">
        <v>5.85</v>
      </c>
      <c r="D45" s="55">
        <f t="shared" si="0"/>
        <v>-1.8499999999999996</v>
      </c>
    </row>
    <row r="46" spans="1:4" x14ac:dyDescent="0.3">
      <c r="A46" s="17">
        <v>44835</v>
      </c>
      <c r="B46">
        <v>3.75</v>
      </c>
      <c r="C46">
        <v>5.85</v>
      </c>
      <c r="D46" s="55">
        <f t="shared" si="0"/>
        <v>-2.0999999999999996</v>
      </c>
    </row>
    <row r="47" spans="1:4" x14ac:dyDescent="0.3">
      <c r="A47" s="17">
        <v>44805</v>
      </c>
      <c r="B47">
        <v>7.75</v>
      </c>
      <c r="C47">
        <v>9.8000000000000007</v>
      </c>
      <c r="D47" s="55">
        <f t="shared" si="0"/>
        <v>-2.0500000000000007</v>
      </c>
    </row>
    <row r="48" spans="1:4" x14ac:dyDescent="0.3">
      <c r="A48" s="17">
        <v>44774</v>
      </c>
      <c r="B48">
        <v>7.15</v>
      </c>
      <c r="C48">
        <v>9.3000000000000007</v>
      </c>
      <c r="D48" s="55">
        <f t="shared" si="0"/>
        <v>-2.1500000000000004</v>
      </c>
    </row>
    <row r="49" spans="1:4" x14ac:dyDescent="0.3">
      <c r="A49" s="17">
        <v>44743</v>
      </c>
      <c r="B49">
        <v>6.15</v>
      </c>
      <c r="C49">
        <v>6.5</v>
      </c>
      <c r="D49" s="55">
        <f t="shared" si="0"/>
        <v>-0.34999999999999964</v>
      </c>
    </row>
    <row r="50" spans="1:4" x14ac:dyDescent="0.3">
      <c r="A50" s="17">
        <v>44713</v>
      </c>
      <c r="B50">
        <v>4.3499999999999996</v>
      </c>
      <c r="C50">
        <v>4.4000000000000004</v>
      </c>
      <c r="D50" s="55">
        <f t="shared" si="0"/>
        <v>-5.0000000000000711E-2</v>
      </c>
    </row>
    <row r="51" spans="1:4" x14ac:dyDescent="0.3">
      <c r="A51" s="17">
        <v>44682</v>
      </c>
      <c r="B51">
        <v>9.3000000000000007</v>
      </c>
      <c r="C51">
        <v>9.35</v>
      </c>
      <c r="D51" s="55">
        <f t="shared" si="0"/>
        <v>-4.9999999999998934E-2</v>
      </c>
    </row>
    <row r="52" spans="1:4" x14ac:dyDescent="0.3">
      <c r="A52" s="17">
        <v>44652</v>
      </c>
      <c r="B52">
        <v>4.9000000000000004</v>
      </c>
      <c r="C52">
        <v>4.95</v>
      </c>
      <c r="D52" s="55">
        <f t="shared" si="0"/>
        <v>-4.9999999999999822E-2</v>
      </c>
    </row>
    <row r="53" spans="1:4" x14ac:dyDescent="0.3">
      <c r="A53" s="17">
        <v>44621</v>
      </c>
      <c r="B53">
        <v>2.75</v>
      </c>
      <c r="C53">
        <v>2.8</v>
      </c>
      <c r="D53" s="55">
        <f t="shared" si="0"/>
        <v>-4.9999999999999822E-2</v>
      </c>
    </row>
    <row r="54" spans="1:4" x14ac:dyDescent="0.3">
      <c r="A54" s="17">
        <v>44593</v>
      </c>
      <c r="B54">
        <v>2.0499999999999998</v>
      </c>
      <c r="C54">
        <v>2.2000000000000002</v>
      </c>
      <c r="D54" s="55">
        <f t="shared" si="0"/>
        <v>-0.15000000000000036</v>
      </c>
    </row>
    <row r="55" spans="1:4" x14ac:dyDescent="0.3">
      <c r="A55" s="17">
        <v>44562</v>
      </c>
      <c r="B55">
        <v>3.05</v>
      </c>
      <c r="C55">
        <v>3.3</v>
      </c>
      <c r="D55" s="55">
        <f t="shared" si="0"/>
        <v>-0.25</v>
      </c>
    </row>
    <row r="56" spans="1:4" x14ac:dyDescent="0.3">
      <c r="A56" s="17">
        <v>44531</v>
      </c>
      <c r="B56">
        <v>2.35</v>
      </c>
      <c r="C56">
        <v>2.7</v>
      </c>
      <c r="D56" s="55">
        <f t="shared" si="0"/>
        <v>-0.35000000000000009</v>
      </c>
    </row>
    <row r="57" spans="1:4" x14ac:dyDescent="0.3">
      <c r="A57" s="17">
        <v>44501</v>
      </c>
      <c r="B57">
        <v>1.05</v>
      </c>
      <c r="C57">
        <v>1.3</v>
      </c>
      <c r="D57" s="55">
        <f t="shared" si="0"/>
        <v>-0.25</v>
      </c>
    </row>
    <row r="58" spans="1:4" x14ac:dyDescent="0.3">
      <c r="A58" s="17">
        <v>44470</v>
      </c>
      <c r="B58">
        <v>1.45</v>
      </c>
      <c r="C58">
        <v>1.7</v>
      </c>
      <c r="D58" s="55">
        <f t="shared" si="0"/>
        <v>-0.25</v>
      </c>
    </row>
    <row r="59" spans="1:4" x14ac:dyDescent="0.3">
      <c r="A59" s="17">
        <v>44440</v>
      </c>
      <c r="B59">
        <v>2.4500000000000002</v>
      </c>
      <c r="C59">
        <v>3</v>
      </c>
      <c r="D59" s="55">
        <f t="shared" si="0"/>
        <v>-0.54999999999999982</v>
      </c>
    </row>
    <row r="60" spans="1:4" x14ac:dyDescent="0.3">
      <c r="A60" s="17">
        <v>44409</v>
      </c>
      <c r="B60">
        <v>2.15</v>
      </c>
      <c r="C60">
        <v>2.7</v>
      </c>
      <c r="D60" s="55">
        <f t="shared" si="0"/>
        <v>-0.55000000000000027</v>
      </c>
    </row>
    <row r="61" spans="1:4" x14ac:dyDescent="0.3">
      <c r="A61" s="17">
        <v>44378</v>
      </c>
      <c r="B61">
        <v>1.35</v>
      </c>
      <c r="C61">
        <v>1.9</v>
      </c>
      <c r="D61" s="55">
        <f t="shared" si="0"/>
        <v>-0.54999999999999982</v>
      </c>
    </row>
    <row r="62" spans="1:4" x14ac:dyDescent="0.3">
      <c r="A62" s="17">
        <v>44348</v>
      </c>
      <c r="B62">
        <v>1.25</v>
      </c>
      <c r="C62">
        <v>1.7</v>
      </c>
      <c r="D62" s="55">
        <f t="shared" si="0"/>
        <v>-0.44999999999999996</v>
      </c>
    </row>
    <row r="63" spans="1:4" x14ac:dyDescent="0.3">
      <c r="A63" s="17">
        <v>44317</v>
      </c>
      <c r="B63">
        <v>1.45</v>
      </c>
      <c r="C63">
        <v>1.8</v>
      </c>
      <c r="D63" s="55">
        <f t="shared" si="0"/>
        <v>-0.35000000000000009</v>
      </c>
    </row>
    <row r="64" spans="1:4" x14ac:dyDescent="0.3">
      <c r="A64" s="17">
        <v>44287</v>
      </c>
      <c r="B64">
        <v>0.95</v>
      </c>
      <c r="C64">
        <v>1.4</v>
      </c>
      <c r="D64" s="55">
        <f t="shared" si="0"/>
        <v>-0.44999999999999996</v>
      </c>
    </row>
    <row r="65" spans="1:4" x14ac:dyDescent="0.3">
      <c r="A65" s="17">
        <v>44256</v>
      </c>
      <c r="B65">
        <v>0.75</v>
      </c>
      <c r="C65">
        <v>1</v>
      </c>
      <c r="D65" s="55">
        <f t="shared" si="0"/>
        <v>-0.25</v>
      </c>
    </row>
    <row r="66" spans="1:4" x14ac:dyDescent="0.3">
      <c r="A66" s="17">
        <v>44228</v>
      </c>
      <c r="B66">
        <v>0.75</v>
      </c>
      <c r="C66">
        <v>1</v>
      </c>
      <c r="D66" s="55">
        <f t="shared" si="0"/>
        <v>-0.25</v>
      </c>
    </row>
    <row r="67" spans="1:4" x14ac:dyDescent="0.3">
      <c r="A67" s="17">
        <v>44197</v>
      </c>
      <c r="B67">
        <v>0.35</v>
      </c>
      <c r="C67">
        <v>0.3</v>
      </c>
      <c r="D67" s="55">
        <f t="shared" si="0"/>
        <v>4.9999999999999989E-2</v>
      </c>
    </row>
    <row r="68" spans="1:4" x14ac:dyDescent="0.3">
      <c r="A68" s="17">
        <v>44166</v>
      </c>
      <c r="B68">
        <v>-0.2</v>
      </c>
      <c r="C68">
        <v>-0.5</v>
      </c>
      <c r="D68" s="55">
        <f t="shared" si="0"/>
        <v>0.3</v>
      </c>
    </row>
    <row r="69" spans="1:4" x14ac:dyDescent="0.3">
      <c r="A69" s="17">
        <v>44136</v>
      </c>
      <c r="B69">
        <v>-0.3</v>
      </c>
      <c r="C69">
        <v>-0.4</v>
      </c>
      <c r="D69" s="55">
        <f t="shared" si="0"/>
        <v>0.10000000000000003</v>
      </c>
    </row>
    <row r="70" spans="1:4" x14ac:dyDescent="0.3">
      <c r="A70" s="17">
        <v>44105</v>
      </c>
      <c r="B70">
        <v>-0.3</v>
      </c>
      <c r="C70">
        <v>-0.5</v>
      </c>
      <c r="D70" s="55">
        <f t="shared" si="0"/>
        <v>0.2</v>
      </c>
    </row>
    <row r="71" spans="1:4" x14ac:dyDescent="0.3">
      <c r="A71" s="17">
        <v>44075</v>
      </c>
      <c r="B71">
        <v>0.9</v>
      </c>
      <c r="C71">
        <v>0.9</v>
      </c>
      <c r="D71" s="55">
        <f t="shared" si="0"/>
        <v>0</v>
      </c>
    </row>
    <row r="72" spans="1:4" x14ac:dyDescent="0.3">
      <c r="A72" s="17">
        <v>44044</v>
      </c>
      <c r="B72">
        <v>1.2</v>
      </c>
      <c r="C72">
        <v>1.2</v>
      </c>
      <c r="D72" s="55">
        <f t="shared" si="0"/>
        <v>0</v>
      </c>
    </row>
    <row r="73" spans="1:4" x14ac:dyDescent="0.3">
      <c r="A73" s="17">
        <v>44013</v>
      </c>
      <c r="B73">
        <v>0.2</v>
      </c>
      <c r="C73">
        <v>0.2</v>
      </c>
      <c r="D73" s="55">
        <f t="shared" ref="D73:D136" si="1">+B73-C73</f>
        <v>0</v>
      </c>
    </row>
    <row r="74" spans="1:4" x14ac:dyDescent="0.3">
      <c r="A74" s="17">
        <v>43983</v>
      </c>
      <c r="B74">
        <v>-5.7</v>
      </c>
      <c r="C74">
        <v>-5.9</v>
      </c>
      <c r="D74" s="55">
        <f t="shared" si="1"/>
        <v>0.20000000000000018</v>
      </c>
    </row>
    <row r="75" spans="1:4" x14ac:dyDescent="0.3">
      <c r="A75" s="17">
        <v>43952</v>
      </c>
      <c r="B75">
        <v>-7.4</v>
      </c>
      <c r="C75">
        <v>-7.3</v>
      </c>
      <c r="D75" s="55">
        <f t="shared" si="1"/>
        <v>-0.10000000000000053</v>
      </c>
    </row>
    <row r="76" spans="1:4" x14ac:dyDescent="0.3">
      <c r="A76" s="17">
        <v>43922</v>
      </c>
      <c r="B76">
        <v>-4.05</v>
      </c>
      <c r="C76">
        <v>-3.1</v>
      </c>
      <c r="D76" s="55">
        <f t="shared" si="1"/>
        <v>-0.94999999999999973</v>
      </c>
    </row>
    <row r="77" spans="1:4" x14ac:dyDescent="0.3">
      <c r="A77" s="17">
        <v>43891</v>
      </c>
      <c r="B77">
        <v>1.95</v>
      </c>
      <c r="C77">
        <v>2.9</v>
      </c>
      <c r="D77" s="55">
        <f t="shared" si="1"/>
        <v>-0.95</v>
      </c>
    </row>
    <row r="78" spans="1:4" x14ac:dyDescent="0.3">
      <c r="A78" s="17">
        <v>43862</v>
      </c>
      <c r="B78">
        <v>2.4500000000000002</v>
      </c>
      <c r="C78">
        <v>3.7</v>
      </c>
      <c r="D78" s="55">
        <f t="shared" si="1"/>
        <v>-1.25</v>
      </c>
    </row>
    <row r="79" spans="1:4" x14ac:dyDescent="0.3">
      <c r="A79" s="17">
        <v>43831</v>
      </c>
      <c r="B79">
        <v>2.0499999999999998</v>
      </c>
      <c r="C79">
        <v>3.7</v>
      </c>
      <c r="D79" s="55">
        <f t="shared" si="1"/>
        <v>-1.6500000000000004</v>
      </c>
    </row>
    <row r="80" spans="1:4" x14ac:dyDescent="0.3">
      <c r="A80" s="17">
        <v>43800</v>
      </c>
      <c r="B80">
        <v>2.15</v>
      </c>
      <c r="C80">
        <v>3.4</v>
      </c>
      <c r="D80" s="55">
        <f t="shared" si="1"/>
        <v>-1.25</v>
      </c>
    </row>
    <row r="81" spans="1:4" x14ac:dyDescent="0.3">
      <c r="A81" s="17">
        <v>43770</v>
      </c>
      <c r="B81">
        <v>2.35</v>
      </c>
      <c r="C81">
        <v>3</v>
      </c>
      <c r="D81" s="55">
        <f t="shared" si="1"/>
        <v>-0.64999999999999991</v>
      </c>
    </row>
    <row r="82" spans="1:4" x14ac:dyDescent="0.3">
      <c r="A82" s="17">
        <v>43739</v>
      </c>
      <c r="B82">
        <v>1.65</v>
      </c>
      <c r="C82">
        <v>2.2999999999999998</v>
      </c>
      <c r="D82" s="55">
        <f t="shared" si="1"/>
        <v>-0.64999999999999991</v>
      </c>
    </row>
    <row r="83" spans="1:4" x14ac:dyDescent="0.3">
      <c r="A83" s="17">
        <v>43709</v>
      </c>
      <c r="B83">
        <v>1.25</v>
      </c>
      <c r="C83">
        <v>1.7</v>
      </c>
      <c r="D83" s="55">
        <f t="shared" si="1"/>
        <v>-0.44999999999999996</v>
      </c>
    </row>
    <row r="84" spans="1:4" x14ac:dyDescent="0.3">
      <c r="A84" s="17">
        <v>43678</v>
      </c>
      <c r="B84">
        <v>1.75</v>
      </c>
      <c r="C84">
        <v>2.4500000000000002</v>
      </c>
      <c r="D84" s="55">
        <f t="shared" si="1"/>
        <v>-0.70000000000000018</v>
      </c>
    </row>
    <row r="85" spans="1:4" x14ac:dyDescent="0.3">
      <c r="A85" s="17">
        <v>43647</v>
      </c>
      <c r="B85">
        <v>1.95</v>
      </c>
      <c r="C85">
        <v>2.7</v>
      </c>
      <c r="D85" s="55">
        <f t="shared" si="1"/>
        <v>-0.75000000000000022</v>
      </c>
    </row>
    <row r="86" spans="1:4" x14ac:dyDescent="0.3">
      <c r="A86" s="17">
        <v>43617</v>
      </c>
      <c r="B86">
        <v>1.45</v>
      </c>
      <c r="C86">
        <v>2.1</v>
      </c>
      <c r="D86" s="55">
        <f t="shared" si="1"/>
        <v>-0.65000000000000013</v>
      </c>
    </row>
    <row r="87" spans="1:4" x14ac:dyDescent="0.3">
      <c r="A87" s="17">
        <v>43586</v>
      </c>
      <c r="B87">
        <v>1.05</v>
      </c>
      <c r="C87">
        <v>1.4</v>
      </c>
      <c r="D87" s="55">
        <f t="shared" si="1"/>
        <v>-0.34999999999999987</v>
      </c>
    </row>
    <row r="88" spans="1:4" x14ac:dyDescent="0.3">
      <c r="A88" s="17">
        <v>43556</v>
      </c>
      <c r="B88">
        <v>0.85</v>
      </c>
      <c r="C88">
        <v>1.2</v>
      </c>
      <c r="D88" s="55">
        <f t="shared" si="1"/>
        <v>-0.35</v>
      </c>
    </row>
    <row r="89" spans="1:4" x14ac:dyDescent="0.3">
      <c r="A89" s="17">
        <v>43525</v>
      </c>
      <c r="B89">
        <v>0.45</v>
      </c>
      <c r="C89">
        <v>0.7</v>
      </c>
      <c r="D89" s="55">
        <f t="shared" si="1"/>
        <v>-0.24999999999999994</v>
      </c>
    </row>
    <row r="90" spans="1:4" x14ac:dyDescent="0.3">
      <c r="A90" s="17">
        <v>43497</v>
      </c>
      <c r="B90">
        <v>0.05</v>
      </c>
      <c r="C90">
        <v>0.7</v>
      </c>
      <c r="D90" s="55">
        <f t="shared" si="1"/>
        <v>-0.64999999999999991</v>
      </c>
    </row>
    <row r="91" spans="1:4" x14ac:dyDescent="0.3">
      <c r="A91" s="17">
        <v>43466</v>
      </c>
      <c r="B91">
        <v>-0.05</v>
      </c>
      <c r="C91">
        <v>0.6</v>
      </c>
      <c r="D91" s="55">
        <f t="shared" si="1"/>
        <v>-0.65</v>
      </c>
    </row>
    <row r="92" spans="1:4" x14ac:dyDescent="0.3">
      <c r="A92" s="17">
        <v>43435</v>
      </c>
      <c r="B92">
        <v>0.7</v>
      </c>
      <c r="C92">
        <v>1.6</v>
      </c>
      <c r="D92" s="55">
        <f t="shared" si="1"/>
        <v>-0.90000000000000013</v>
      </c>
    </row>
    <row r="93" spans="1:4" x14ac:dyDescent="0.3">
      <c r="A93" s="17">
        <v>43405</v>
      </c>
      <c r="B93">
        <v>0.5</v>
      </c>
      <c r="C93">
        <v>1.7</v>
      </c>
      <c r="D93" s="55">
        <f t="shared" si="1"/>
        <v>-1.2</v>
      </c>
    </row>
    <row r="94" spans="1:4" x14ac:dyDescent="0.3">
      <c r="A94" s="17">
        <v>43374</v>
      </c>
      <c r="B94">
        <v>-0.2</v>
      </c>
      <c r="C94">
        <v>1.1000000000000001</v>
      </c>
      <c r="D94" s="55">
        <f t="shared" si="1"/>
        <v>-1.3</v>
      </c>
    </row>
    <row r="95" spans="1:4" x14ac:dyDescent="0.3">
      <c r="A95" s="17">
        <v>43344</v>
      </c>
      <c r="B95">
        <v>-0.05</v>
      </c>
      <c r="C95">
        <v>1.2</v>
      </c>
      <c r="D95" s="55">
        <f t="shared" si="1"/>
        <v>-1.25</v>
      </c>
    </row>
    <row r="96" spans="1:4" x14ac:dyDescent="0.3">
      <c r="A96" s="17">
        <v>43313</v>
      </c>
      <c r="B96">
        <v>0.35</v>
      </c>
      <c r="C96">
        <v>1.9</v>
      </c>
      <c r="D96" s="55">
        <f t="shared" si="1"/>
        <v>-1.5499999999999998</v>
      </c>
    </row>
    <row r="97" spans="1:4" x14ac:dyDescent="0.3">
      <c r="A97" s="17">
        <v>43282</v>
      </c>
      <c r="B97">
        <v>0.35</v>
      </c>
      <c r="C97">
        <v>2.1</v>
      </c>
      <c r="D97" s="55">
        <f t="shared" si="1"/>
        <v>-1.75</v>
      </c>
    </row>
    <row r="98" spans="1:4" x14ac:dyDescent="0.3">
      <c r="A98" s="17">
        <v>43252</v>
      </c>
      <c r="B98">
        <v>-0.05</v>
      </c>
      <c r="C98">
        <v>1.9</v>
      </c>
      <c r="D98" s="55">
        <f t="shared" si="1"/>
        <v>-1.95</v>
      </c>
    </row>
    <row r="99" spans="1:4" x14ac:dyDescent="0.3">
      <c r="A99" s="17">
        <v>43221</v>
      </c>
      <c r="B99">
        <v>-0.85</v>
      </c>
      <c r="C99">
        <v>1.2</v>
      </c>
      <c r="D99" s="55">
        <f t="shared" si="1"/>
        <v>-2.0499999999999998</v>
      </c>
    </row>
    <row r="100" spans="1:4" x14ac:dyDescent="0.3">
      <c r="A100" s="17">
        <v>43191</v>
      </c>
      <c r="B100">
        <v>-0.55000000000000004</v>
      </c>
      <c r="C100">
        <v>1.1000000000000001</v>
      </c>
      <c r="D100" s="55">
        <f t="shared" si="1"/>
        <v>-1.6500000000000001</v>
      </c>
    </row>
    <row r="101" spans="1:4" x14ac:dyDescent="0.3">
      <c r="A101" s="17">
        <v>43160</v>
      </c>
      <c r="B101">
        <v>-0.2</v>
      </c>
      <c r="C101">
        <v>1.65</v>
      </c>
      <c r="D101" s="55">
        <f t="shared" si="1"/>
        <v>-1.8499999999999999</v>
      </c>
    </row>
    <row r="102" spans="1:4" x14ac:dyDescent="0.3">
      <c r="A102" s="17">
        <v>43132</v>
      </c>
      <c r="B102">
        <v>0.05</v>
      </c>
      <c r="C102">
        <v>1.65</v>
      </c>
      <c r="D102" s="55">
        <f t="shared" si="1"/>
        <v>-1.5999999999999999</v>
      </c>
    </row>
    <row r="103" spans="1:4" x14ac:dyDescent="0.3">
      <c r="A103" s="17">
        <v>43101</v>
      </c>
      <c r="B103">
        <v>0.25</v>
      </c>
      <c r="C103">
        <v>1.65</v>
      </c>
      <c r="D103" s="55">
        <f t="shared" si="1"/>
        <v>-1.4</v>
      </c>
    </row>
    <row r="104" spans="1:4" x14ac:dyDescent="0.3">
      <c r="A104" s="17">
        <v>43070</v>
      </c>
      <c r="B104">
        <v>0</v>
      </c>
      <c r="C104">
        <v>1.25</v>
      </c>
      <c r="D104" s="55">
        <f t="shared" si="1"/>
        <v>-1.25</v>
      </c>
    </row>
    <row r="105" spans="1:4" x14ac:dyDescent="0.3">
      <c r="A105" s="17">
        <v>43040</v>
      </c>
      <c r="B105">
        <v>-0.65</v>
      </c>
      <c r="C105">
        <v>0.6</v>
      </c>
      <c r="D105" s="55">
        <f t="shared" si="1"/>
        <v>-1.25</v>
      </c>
    </row>
    <row r="106" spans="1:4" x14ac:dyDescent="0.3">
      <c r="A106" s="17">
        <v>43009</v>
      </c>
      <c r="B106">
        <v>-0.55000000000000004</v>
      </c>
      <c r="C106">
        <v>0.3</v>
      </c>
      <c r="D106" s="55">
        <f t="shared" si="1"/>
        <v>-0.85000000000000009</v>
      </c>
    </row>
    <row r="107" spans="1:4" x14ac:dyDescent="0.3">
      <c r="A107" s="17">
        <v>42979</v>
      </c>
      <c r="B107">
        <v>-0.9</v>
      </c>
      <c r="C107">
        <v>-0.25</v>
      </c>
      <c r="D107" s="55">
        <f t="shared" si="1"/>
        <v>-0.65</v>
      </c>
    </row>
    <row r="108" spans="1:4" x14ac:dyDescent="0.3">
      <c r="A108" s="17">
        <v>42948</v>
      </c>
      <c r="B108">
        <v>-0.9</v>
      </c>
      <c r="C108">
        <v>-0.45</v>
      </c>
      <c r="D108" s="55">
        <f t="shared" si="1"/>
        <v>-0.45</v>
      </c>
    </row>
    <row r="109" spans="1:4" x14ac:dyDescent="0.3">
      <c r="A109" s="17">
        <v>42917</v>
      </c>
      <c r="B109">
        <v>-0.65</v>
      </c>
      <c r="C109">
        <v>-0.25</v>
      </c>
      <c r="D109" s="55">
        <f t="shared" si="1"/>
        <v>-0.4</v>
      </c>
    </row>
    <row r="110" spans="1:4" x14ac:dyDescent="0.3">
      <c r="A110" s="17">
        <v>42887</v>
      </c>
      <c r="B110">
        <v>-1.3</v>
      </c>
      <c r="C110">
        <v>-0.85</v>
      </c>
      <c r="D110" s="55">
        <f t="shared" si="1"/>
        <v>-0.45000000000000007</v>
      </c>
    </row>
    <row r="111" spans="1:4" x14ac:dyDescent="0.3">
      <c r="A111" s="17">
        <v>42856</v>
      </c>
      <c r="B111">
        <v>-0.85</v>
      </c>
      <c r="C111">
        <v>-0.45</v>
      </c>
      <c r="D111" s="55">
        <f t="shared" si="1"/>
        <v>-0.39999999999999997</v>
      </c>
    </row>
    <row r="112" spans="1:4" x14ac:dyDescent="0.3">
      <c r="A112" s="17">
        <v>42826</v>
      </c>
      <c r="B112">
        <v>-0.85</v>
      </c>
      <c r="C112">
        <v>-0.15</v>
      </c>
      <c r="D112" s="55">
        <f t="shared" si="1"/>
        <v>-0.7</v>
      </c>
    </row>
    <row r="113" spans="1:4" x14ac:dyDescent="0.3">
      <c r="A113" s="17">
        <v>42795</v>
      </c>
      <c r="B113">
        <v>-0.55000000000000004</v>
      </c>
      <c r="C113">
        <v>0.15</v>
      </c>
      <c r="D113" s="55">
        <f t="shared" si="1"/>
        <v>-0.70000000000000007</v>
      </c>
    </row>
    <row r="114" spans="1:4" x14ac:dyDescent="0.3">
      <c r="A114" s="17">
        <v>42767</v>
      </c>
      <c r="B114">
        <v>-0.9</v>
      </c>
      <c r="C114">
        <v>-0.15</v>
      </c>
      <c r="D114" s="55">
        <f t="shared" si="1"/>
        <v>-0.75</v>
      </c>
    </row>
    <row r="115" spans="1:4" x14ac:dyDescent="0.3">
      <c r="A115" s="17">
        <v>42736</v>
      </c>
      <c r="B115">
        <v>-1.4</v>
      </c>
      <c r="C115">
        <v>-0.75</v>
      </c>
      <c r="D115" s="55">
        <f t="shared" si="1"/>
        <v>-0.64999999999999991</v>
      </c>
    </row>
    <row r="116" spans="1:4" x14ac:dyDescent="0.3">
      <c r="A116" s="17">
        <v>42705</v>
      </c>
      <c r="B116">
        <v>-0.4</v>
      </c>
      <c r="C116">
        <v>0.45</v>
      </c>
      <c r="D116" s="55">
        <f t="shared" si="1"/>
        <v>-0.85000000000000009</v>
      </c>
    </row>
    <row r="117" spans="1:4" x14ac:dyDescent="0.3">
      <c r="A117" s="17">
        <v>42675</v>
      </c>
      <c r="B117">
        <v>-1.35</v>
      </c>
      <c r="C117">
        <v>-0.45</v>
      </c>
      <c r="D117" s="55">
        <f t="shared" si="1"/>
        <v>-0.90000000000000013</v>
      </c>
    </row>
    <row r="118" spans="1:4" x14ac:dyDescent="0.3">
      <c r="A118" s="17">
        <v>42644</v>
      </c>
      <c r="B118">
        <v>-1.25</v>
      </c>
      <c r="C118">
        <v>-0.2</v>
      </c>
      <c r="D118" s="55">
        <f t="shared" si="1"/>
        <v>-1.05</v>
      </c>
    </row>
    <row r="119" spans="1:4" x14ac:dyDescent="0.3">
      <c r="A119" s="17">
        <v>42614</v>
      </c>
      <c r="B119">
        <v>-2.2000000000000002</v>
      </c>
      <c r="C119">
        <v>-1.1000000000000001</v>
      </c>
      <c r="D119" s="55">
        <f t="shared" si="1"/>
        <v>-1.1000000000000001</v>
      </c>
    </row>
    <row r="120" spans="1:4" x14ac:dyDescent="0.3">
      <c r="A120" s="17">
        <v>42583</v>
      </c>
      <c r="B120">
        <v>-1.2</v>
      </c>
      <c r="C120">
        <v>0.2</v>
      </c>
      <c r="D120" s="55">
        <f t="shared" si="1"/>
        <v>-1.4</v>
      </c>
    </row>
    <row r="121" spans="1:4" x14ac:dyDescent="0.3">
      <c r="A121" s="17">
        <v>42552</v>
      </c>
      <c r="B121">
        <v>-1</v>
      </c>
      <c r="C121">
        <v>0.6</v>
      </c>
      <c r="D121" s="55">
        <f t="shared" si="1"/>
        <v>-1.6</v>
      </c>
    </row>
    <row r="122" spans="1:4" x14ac:dyDescent="0.3">
      <c r="A122" s="17">
        <v>42522</v>
      </c>
      <c r="B122">
        <v>-1.3</v>
      </c>
      <c r="C122">
        <v>0.25</v>
      </c>
      <c r="D122" s="55">
        <f t="shared" si="1"/>
        <v>-1.55</v>
      </c>
    </row>
    <row r="123" spans="1:4" x14ac:dyDescent="0.3">
      <c r="A123" s="17">
        <v>42491</v>
      </c>
      <c r="B123">
        <v>-2.4</v>
      </c>
      <c r="C123">
        <v>-0.85</v>
      </c>
      <c r="D123" s="55">
        <f t="shared" si="1"/>
        <v>-1.5499999999999998</v>
      </c>
    </row>
    <row r="124" spans="1:4" x14ac:dyDescent="0.3">
      <c r="A124" s="17">
        <v>42461</v>
      </c>
      <c r="B124">
        <v>-2.4</v>
      </c>
      <c r="C124">
        <v>-0.75</v>
      </c>
      <c r="D124" s="55">
        <f t="shared" si="1"/>
        <v>-1.65</v>
      </c>
    </row>
    <row r="125" spans="1:4" x14ac:dyDescent="0.3">
      <c r="A125" s="17">
        <v>42430</v>
      </c>
      <c r="B125">
        <v>-2.4</v>
      </c>
      <c r="C125">
        <v>-1</v>
      </c>
      <c r="D125" s="55">
        <f t="shared" si="1"/>
        <v>-1.4</v>
      </c>
    </row>
    <row r="126" spans="1:4" x14ac:dyDescent="0.3">
      <c r="A126" s="17">
        <v>42401</v>
      </c>
      <c r="B126">
        <v>-2.5</v>
      </c>
      <c r="C126">
        <v>-0.8</v>
      </c>
      <c r="D126" s="55">
        <f t="shared" si="1"/>
        <v>-1.7</v>
      </c>
    </row>
    <row r="127" spans="1:4" x14ac:dyDescent="0.3">
      <c r="A127" s="17">
        <v>42370</v>
      </c>
      <c r="B127">
        <v>-3.2</v>
      </c>
      <c r="C127">
        <v>-1.4</v>
      </c>
      <c r="D127" s="55">
        <f t="shared" si="1"/>
        <v>-1.8000000000000003</v>
      </c>
    </row>
    <row r="128" spans="1:4" x14ac:dyDescent="0.3">
      <c r="A128" s="17">
        <v>42339</v>
      </c>
      <c r="B128">
        <v>-2.9</v>
      </c>
      <c r="C128">
        <v>-1.3</v>
      </c>
      <c r="D128" s="55">
        <f t="shared" si="1"/>
        <v>-1.5999999999999999</v>
      </c>
    </row>
    <row r="129" spans="1:4" x14ac:dyDescent="0.3">
      <c r="A129" s="17">
        <v>42309</v>
      </c>
      <c r="B129">
        <v>-3.2</v>
      </c>
      <c r="C129">
        <v>-1.6</v>
      </c>
      <c r="D129" s="55">
        <f t="shared" si="1"/>
        <v>-1.6</v>
      </c>
    </row>
    <row r="130" spans="1:4" x14ac:dyDescent="0.3">
      <c r="A130" s="17">
        <v>42278</v>
      </c>
      <c r="B130">
        <v>-1.3</v>
      </c>
      <c r="C130">
        <v>0.1</v>
      </c>
      <c r="D130" s="55">
        <f t="shared" si="1"/>
        <v>-1.4000000000000001</v>
      </c>
    </row>
    <row r="131" spans="1:4" x14ac:dyDescent="0.3">
      <c r="A131" s="17">
        <v>42248</v>
      </c>
      <c r="B131">
        <v>-0.8</v>
      </c>
      <c r="C131">
        <v>0.4</v>
      </c>
      <c r="D131" s="55">
        <f t="shared" si="1"/>
        <v>-1.2000000000000002</v>
      </c>
    </row>
    <row r="132" spans="1:4" x14ac:dyDescent="0.3">
      <c r="A132" s="17">
        <v>42217</v>
      </c>
      <c r="B132">
        <v>-1.3</v>
      </c>
      <c r="C132">
        <v>-0.1</v>
      </c>
      <c r="D132" s="55">
        <f t="shared" si="1"/>
        <v>-1.2</v>
      </c>
    </row>
    <row r="133" spans="1:4" x14ac:dyDescent="0.3">
      <c r="A133" s="17">
        <v>42186</v>
      </c>
      <c r="B133">
        <v>-1</v>
      </c>
      <c r="C133">
        <v>0</v>
      </c>
      <c r="D133" s="55">
        <f t="shared" si="1"/>
        <v>-1</v>
      </c>
    </row>
    <row r="134" spans="1:4" x14ac:dyDescent="0.3">
      <c r="A134" s="17">
        <v>42156</v>
      </c>
      <c r="B134">
        <v>-1.8</v>
      </c>
      <c r="C134">
        <v>-0.6</v>
      </c>
      <c r="D134" s="55">
        <f t="shared" si="1"/>
        <v>-1.2000000000000002</v>
      </c>
    </row>
    <row r="135" spans="1:4" x14ac:dyDescent="0.3">
      <c r="A135" s="17">
        <v>42125</v>
      </c>
      <c r="B135">
        <v>-2</v>
      </c>
      <c r="C135">
        <v>-0.6</v>
      </c>
      <c r="D135" s="55">
        <f t="shared" si="1"/>
        <v>-1.4</v>
      </c>
    </row>
    <row r="136" spans="1:4" x14ac:dyDescent="0.3">
      <c r="A136" s="17">
        <v>42095</v>
      </c>
      <c r="B136">
        <v>-2.2000000000000002</v>
      </c>
      <c r="C136">
        <v>-0.9</v>
      </c>
      <c r="D136" s="55">
        <f t="shared" si="1"/>
        <v>-1.3000000000000003</v>
      </c>
    </row>
    <row r="137" spans="1:4" x14ac:dyDescent="0.3">
      <c r="A137" s="17">
        <v>42064</v>
      </c>
      <c r="B137">
        <v>-3.6</v>
      </c>
      <c r="C137">
        <v>-2.2999999999999998</v>
      </c>
      <c r="D137" s="55">
        <f t="shared" ref="D137:D200" si="2">+B137-C137</f>
        <v>-1.3000000000000003</v>
      </c>
    </row>
    <row r="138" spans="1:4" x14ac:dyDescent="0.3">
      <c r="A138" s="17">
        <v>42036</v>
      </c>
      <c r="B138">
        <v>-2.8</v>
      </c>
      <c r="C138">
        <v>-1.4</v>
      </c>
      <c r="D138" s="55">
        <f t="shared" si="2"/>
        <v>-1.4</v>
      </c>
    </row>
    <row r="139" spans="1:4" x14ac:dyDescent="0.3">
      <c r="A139" s="17">
        <v>42005</v>
      </c>
      <c r="B139">
        <v>-3.45</v>
      </c>
      <c r="C139">
        <v>-2</v>
      </c>
      <c r="D139" s="55">
        <f t="shared" si="2"/>
        <v>-1.4500000000000002</v>
      </c>
    </row>
    <row r="140" spans="1:4" x14ac:dyDescent="0.3">
      <c r="A140" s="17">
        <v>41974</v>
      </c>
      <c r="B140">
        <v>-1.6</v>
      </c>
      <c r="C140">
        <v>-0.1</v>
      </c>
      <c r="D140" s="55">
        <f t="shared" si="2"/>
        <v>-1.5</v>
      </c>
    </row>
    <row r="141" spans="1:4" x14ac:dyDescent="0.3">
      <c r="A141" s="17">
        <v>41944</v>
      </c>
      <c r="B141">
        <v>-2.5499999999999998</v>
      </c>
      <c r="C141">
        <v>-1.05</v>
      </c>
      <c r="D141" s="55">
        <f t="shared" si="2"/>
        <v>-1.4999999999999998</v>
      </c>
    </row>
    <row r="142" spans="1:4" x14ac:dyDescent="0.3">
      <c r="A142" s="17">
        <v>41913</v>
      </c>
      <c r="B142">
        <v>-1.85</v>
      </c>
      <c r="C142">
        <v>-0.05</v>
      </c>
      <c r="D142" s="55">
        <f t="shared" si="2"/>
        <v>-1.8</v>
      </c>
    </row>
    <row r="143" spans="1:4" x14ac:dyDescent="0.3">
      <c r="A143" s="17">
        <v>41883</v>
      </c>
      <c r="B143">
        <v>-0.35</v>
      </c>
      <c r="C143">
        <v>1.65</v>
      </c>
      <c r="D143" s="55">
        <f t="shared" si="2"/>
        <v>-2</v>
      </c>
    </row>
    <row r="144" spans="1:4" x14ac:dyDescent="0.3">
      <c r="A144" s="17">
        <v>41852</v>
      </c>
      <c r="B144">
        <v>0.05</v>
      </c>
      <c r="C144">
        <v>2.0499999999999998</v>
      </c>
      <c r="D144" s="55">
        <f t="shared" si="2"/>
        <v>-1.9999999999999998</v>
      </c>
    </row>
    <row r="145" spans="1:4" x14ac:dyDescent="0.3">
      <c r="A145" s="17">
        <v>41821</v>
      </c>
      <c r="B145">
        <v>0.35</v>
      </c>
      <c r="C145">
        <v>2.25</v>
      </c>
      <c r="D145" s="55">
        <f t="shared" si="2"/>
        <v>-1.9</v>
      </c>
    </row>
    <row r="146" spans="1:4" x14ac:dyDescent="0.3">
      <c r="A146" s="17">
        <v>41791</v>
      </c>
      <c r="B146">
        <v>-0.55000000000000004</v>
      </c>
      <c r="C146">
        <v>1.65</v>
      </c>
      <c r="D146" s="55">
        <f t="shared" si="2"/>
        <v>-2.2000000000000002</v>
      </c>
    </row>
    <row r="147" spans="1:4" x14ac:dyDescent="0.3">
      <c r="A147" s="17">
        <v>41760</v>
      </c>
      <c r="B147">
        <v>-0.15</v>
      </c>
      <c r="C147">
        <v>1.85</v>
      </c>
      <c r="D147" s="55">
        <f t="shared" si="2"/>
        <v>-2</v>
      </c>
    </row>
    <row r="148" spans="1:4" x14ac:dyDescent="0.3">
      <c r="A148" s="17">
        <v>41730</v>
      </c>
      <c r="B148">
        <v>-0.45</v>
      </c>
      <c r="C148">
        <v>1.55</v>
      </c>
      <c r="D148" s="55">
        <f t="shared" si="2"/>
        <v>-2</v>
      </c>
    </row>
    <row r="149" spans="1:4" x14ac:dyDescent="0.3">
      <c r="A149" s="17">
        <v>41699</v>
      </c>
      <c r="B149">
        <v>-0.2</v>
      </c>
      <c r="C149">
        <v>1.75</v>
      </c>
      <c r="D149" s="55">
        <f t="shared" si="2"/>
        <v>-1.95</v>
      </c>
    </row>
    <row r="150" spans="1:4" x14ac:dyDescent="0.3">
      <c r="A150" s="17">
        <v>41671</v>
      </c>
      <c r="B150">
        <v>0.1</v>
      </c>
      <c r="C150">
        <v>2.4500000000000002</v>
      </c>
      <c r="D150" s="55">
        <f t="shared" si="2"/>
        <v>-2.35</v>
      </c>
    </row>
    <row r="151" spans="1:4" x14ac:dyDescent="0.3">
      <c r="A151" s="17">
        <v>41640</v>
      </c>
      <c r="B151">
        <v>1.1000000000000001</v>
      </c>
      <c r="C151">
        <v>3.75</v>
      </c>
      <c r="D151" s="55">
        <f t="shared" si="2"/>
        <v>-2.65</v>
      </c>
    </row>
    <row r="152" spans="1:4" x14ac:dyDescent="0.3">
      <c r="A152" s="17">
        <v>41609</v>
      </c>
      <c r="B152">
        <v>1.5</v>
      </c>
      <c r="C152">
        <v>3.45</v>
      </c>
      <c r="D152" s="55">
        <f t="shared" si="2"/>
        <v>-1.9500000000000002</v>
      </c>
    </row>
    <row r="153" spans="1:4" x14ac:dyDescent="0.3">
      <c r="A153" s="17">
        <v>41579</v>
      </c>
      <c r="B153">
        <v>1.3</v>
      </c>
      <c r="C153">
        <v>3.2</v>
      </c>
      <c r="D153" s="55">
        <f t="shared" si="2"/>
        <v>-1.9000000000000001</v>
      </c>
    </row>
    <row r="154" spans="1:4" x14ac:dyDescent="0.3">
      <c r="A154" s="17">
        <v>41548</v>
      </c>
      <c r="B154">
        <v>1.2</v>
      </c>
      <c r="C154">
        <v>3.4</v>
      </c>
      <c r="D154" s="55">
        <f t="shared" si="2"/>
        <v>-2.2000000000000002</v>
      </c>
    </row>
    <row r="155" spans="1:4" x14ac:dyDescent="0.3">
      <c r="A155" s="17">
        <v>41518</v>
      </c>
      <c r="B155">
        <v>0.85</v>
      </c>
      <c r="C155">
        <v>2.9</v>
      </c>
      <c r="D155" s="55">
        <f t="shared" si="2"/>
        <v>-2.0499999999999998</v>
      </c>
    </row>
    <row r="156" spans="1:4" x14ac:dyDescent="0.3">
      <c r="A156" s="17">
        <v>41487</v>
      </c>
      <c r="B156">
        <v>0.25</v>
      </c>
      <c r="C156">
        <v>1.9</v>
      </c>
      <c r="D156" s="55">
        <f t="shared" si="2"/>
        <v>-1.65</v>
      </c>
    </row>
    <row r="157" spans="1:4" x14ac:dyDescent="0.3">
      <c r="A157" s="17">
        <v>41456</v>
      </c>
      <c r="B157">
        <v>0</v>
      </c>
      <c r="C157">
        <v>1.5</v>
      </c>
      <c r="D157" s="55">
        <f t="shared" si="2"/>
        <v>-1.5</v>
      </c>
    </row>
    <row r="158" spans="1:4" x14ac:dyDescent="0.3">
      <c r="A158" s="17">
        <v>41426</v>
      </c>
      <c r="B158">
        <v>0.75</v>
      </c>
      <c r="C158">
        <v>2</v>
      </c>
      <c r="D158" s="55">
        <f t="shared" si="2"/>
        <v>-1.25</v>
      </c>
    </row>
    <row r="159" spans="1:4" x14ac:dyDescent="0.3">
      <c r="A159" s="17">
        <v>41395</v>
      </c>
      <c r="B159">
        <v>0.3</v>
      </c>
      <c r="C159">
        <v>1.8</v>
      </c>
      <c r="D159" s="55">
        <f t="shared" si="2"/>
        <v>-1.5</v>
      </c>
    </row>
    <row r="160" spans="1:4" x14ac:dyDescent="0.3">
      <c r="A160" s="17">
        <v>41365</v>
      </c>
      <c r="B160">
        <v>-0.9</v>
      </c>
      <c r="C160">
        <v>1.3</v>
      </c>
      <c r="D160" s="55">
        <f t="shared" si="2"/>
        <v>-2.2000000000000002</v>
      </c>
    </row>
    <row r="161" spans="1:4" x14ac:dyDescent="0.3">
      <c r="A161" s="17">
        <v>41334</v>
      </c>
      <c r="B161">
        <v>-0.15</v>
      </c>
      <c r="C161">
        <v>1.95</v>
      </c>
      <c r="D161" s="55">
        <f t="shared" si="2"/>
        <v>-2.1</v>
      </c>
    </row>
    <row r="162" spans="1:4" x14ac:dyDescent="0.3">
      <c r="A162" s="17">
        <v>41306</v>
      </c>
      <c r="B162">
        <v>1.2</v>
      </c>
      <c r="C162">
        <v>3.45</v>
      </c>
      <c r="D162" s="55">
        <f t="shared" si="2"/>
        <v>-2.25</v>
      </c>
    </row>
    <row r="163" spans="1:4" x14ac:dyDescent="0.3">
      <c r="A163" s="17">
        <v>41275</v>
      </c>
      <c r="B163">
        <v>0.9</v>
      </c>
      <c r="C163">
        <v>3.3</v>
      </c>
      <c r="D163" s="55">
        <f t="shared" si="2"/>
        <v>-2.4</v>
      </c>
    </row>
    <row r="164" spans="1:4" x14ac:dyDescent="0.3">
      <c r="A164" s="17">
        <v>41244</v>
      </c>
      <c r="B164">
        <v>0.55000000000000004</v>
      </c>
      <c r="C164">
        <v>2.95</v>
      </c>
      <c r="D164" s="55">
        <f t="shared" si="2"/>
        <v>-2.4000000000000004</v>
      </c>
    </row>
    <row r="165" spans="1:4" x14ac:dyDescent="0.3">
      <c r="A165" s="17">
        <v>41214</v>
      </c>
      <c r="B165">
        <v>0.65</v>
      </c>
      <c r="C165">
        <v>2.75</v>
      </c>
      <c r="D165" s="55">
        <f t="shared" si="2"/>
        <v>-2.1</v>
      </c>
    </row>
    <row r="166" spans="1:4" x14ac:dyDescent="0.3">
      <c r="A166" s="17">
        <v>41183</v>
      </c>
      <c r="B166">
        <v>-0.15</v>
      </c>
      <c r="C166">
        <v>1.85</v>
      </c>
      <c r="D166" s="55">
        <f t="shared" si="2"/>
        <v>-2</v>
      </c>
    </row>
    <row r="167" spans="1:4" x14ac:dyDescent="0.3">
      <c r="A167" s="17">
        <v>41153</v>
      </c>
      <c r="B167">
        <v>-0.3</v>
      </c>
      <c r="C167">
        <v>1.25</v>
      </c>
      <c r="D167" s="55">
        <f t="shared" si="2"/>
        <v>-1.55</v>
      </c>
    </row>
    <row r="168" spans="1:4" x14ac:dyDescent="0.3">
      <c r="A168" s="17">
        <v>41122</v>
      </c>
      <c r="B168">
        <v>0.9</v>
      </c>
      <c r="C168">
        <v>2.0499999999999998</v>
      </c>
      <c r="D168" s="55">
        <f t="shared" si="2"/>
        <v>-1.1499999999999999</v>
      </c>
    </row>
    <row r="169" spans="1:4" x14ac:dyDescent="0.3">
      <c r="A169" s="17">
        <v>41091</v>
      </c>
      <c r="B169">
        <v>0.05</v>
      </c>
      <c r="C169">
        <v>1.35</v>
      </c>
      <c r="D169" s="55">
        <f t="shared" si="2"/>
        <v>-1.3</v>
      </c>
    </row>
    <row r="170" spans="1:4" x14ac:dyDescent="0.3">
      <c r="A170" s="17">
        <v>41061</v>
      </c>
      <c r="B170">
        <v>-0.35</v>
      </c>
      <c r="C170">
        <v>1.1499999999999999</v>
      </c>
      <c r="D170" s="55">
        <f t="shared" si="2"/>
        <v>-1.5</v>
      </c>
    </row>
    <row r="171" spans="1:4" x14ac:dyDescent="0.3">
      <c r="A171" s="17">
        <v>41030</v>
      </c>
      <c r="B171">
        <v>0.8</v>
      </c>
      <c r="C171">
        <v>2.4500000000000002</v>
      </c>
      <c r="D171" s="55">
        <f t="shared" si="2"/>
        <v>-1.6500000000000001</v>
      </c>
    </row>
    <row r="172" spans="1:4" x14ac:dyDescent="0.3">
      <c r="A172" s="17">
        <v>41000</v>
      </c>
      <c r="B172">
        <v>0.9</v>
      </c>
      <c r="C172">
        <v>2.8</v>
      </c>
      <c r="D172" s="55">
        <f t="shared" si="2"/>
        <v>-1.9</v>
      </c>
    </row>
    <row r="173" spans="1:4" x14ac:dyDescent="0.3">
      <c r="A173" s="17">
        <v>40969</v>
      </c>
      <c r="B173">
        <v>0.25</v>
      </c>
      <c r="C173">
        <v>1.55</v>
      </c>
      <c r="D173" s="55">
        <f t="shared" si="2"/>
        <v>-1.3</v>
      </c>
    </row>
    <row r="174" spans="1:4" x14ac:dyDescent="0.3">
      <c r="A174" s="17">
        <v>40940</v>
      </c>
      <c r="B174">
        <v>0.75</v>
      </c>
      <c r="C174">
        <v>2.0499999999999998</v>
      </c>
      <c r="D174" s="55">
        <f t="shared" si="2"/>
        <v>-1.2999999999999998</v>
      </c>
    </row>
    <row r="175" spans="1:4" x14ac:dyDescent="0.3">
      <c r="A175" s="17">
        <v>40909</v>
      </c>
      <c r="B175">
        <v>2.75</v>
      </c>
      <c r="C175">
        <v>4.1500000000000004</v>
      </c>
      <c r="D175" s="55">
        <f t="shared" si="2"/>
        <v>-1.4000000000000004</v>
      </c>
    </row>
    <row r="176" spans="1:4" x14ac:dyDescent="0.3">
      <c r="A176" s="17">
        <v>40878</v>
      </c>
      <c r="B176">
        <v>1.1000000000000001</v>
      </c>
      <c r="C176">
        <v>2.5</v>
      </c>
      <c r="D176" s="55">
        <f t="shared" si="2"/>
        <v>-1.4</v>
      </c>
    </row>
    <row r="177" spans="1:4" x14ac:dyDescent="0.3">
      <c r="A177" s="17">
        <v>40848</v>
      </c>
      <c r="B177">
        <v>1.1499999999999999</v>
      </c>
      <c r="C177">
        <v>2.7</v>
      </c>
      <c r="D177" s="55">
        <f t="shared" si="2"/>
        <v>-1.5500000000000003</v>
      </c>
    </row>
    <row r="178" spans="1:4" x14ac:dyDescent="0.3">
      <c r="A178" s="17">
        <v>40817</v>
      </c>
      <c r="B178">
        <v>-0.3</v>
      </c>
      <c r="C178">
        <v>1.65</v>
      </c>
      <c r="D178" s="55">
        <f t="shared" si="2"/>
        <v>-1.95</v>
      </c>
    </row>
    <row r="179" spans="1:4" x14ac:dyDescent="0.3">
      <c r="A179" s="17">
        <v>40787</v>
      </c>
      <c r="B179">
        <v>-1.35</v>
      </c>
      <c r="C179">
        <v>0.75</v>
      </c>
      <c r="D179" s="55">
        <f t="shared" si="2"/>
        <v>-2.1</v>
      </c>
    </row>
    <row r="180" spans="1:4" x14ac:dyDescent="0.3">
      <c r="A180" s="17">
        <v>40756</v>
      </c>
      <c r="B180">
        <v>-0.35</v>
      </c>
      <c r="C180">
        <v>1.35</v>
      </c>
      <c r="D180" s="55">
        <f t="shared" si="2"/>
        <v>-1.7000000000000002</v>
      </c>
    </row>
    <row r="181" spans="1:4" x14ac:dyDescent="0.3">
      <c r="A181" s="17">
        <v>40725</v>
      </c>
      <c r="B181">
        <v>-0.65</v>
      </c>
      <c r="C181">
        <v>1.45</v>
      </c>
      <c r="D181" s="55">
        <f t="shared" si="2"/>
        <v>-2.1</v>
      </c>
    </row>
    <row r="182" spans="1:4" x14ac:dyDescent="0.3">
      <c r="A182" s="17">
        <v>40695</v>
      </c>
      <c r="B182">
        <v>-0.75</v>
      </c>
      <c r="C182">
        <v>2.15</v>
      </c>
      <c r="D182" s="55">
        <f t="shared" si="2"/>
        <v>-2.9</v>
      </c>
    </row>
    <row r="183" spans="1:4" x14ac:dyDescent="0.3">
      <c r="A183" s="17">
        <v>40664</v>
      </c>
      <c r="B183">
        <v>-1</v>
      </c>
      <c r="C183">
        <v>1.65</v>
      </c>
      <c r="D183" s="55">
        <f t="shared" si="2"/>
        <v>-2.65</v>
      </c>
    </row>
    <row r="184" spans="1:4" x14ac:dyDescent="0.3">
      <c r="A184" s="17">
        <v>40634</v>
      </c>
      <c r="B184">
        <v>-0.45</v>
      </c>
      <c r="C184">
        <v>1.95</v>
      </c>
      <c r="D184" s="55">
        <f t="shared" si="2"/>
        <v>-2.4</v>
      </c>
    </row>
    <row r="185" spans="1:4" x14ac:dyDescent="0.3">
      <c r="A185" s="17">
        <v>40603</v>
      </c>
      <c r="B185">
        <v>-1.1000000000000001</v>
      </c>
      <c r="C185">
        <v>1.3</v>
      </c>
      <c r="D185" s="55">
        <f t="shared" si="2"/>
        <v>-2.4000000000000004</v>
      </c>
    </row>
    <row r="186" spans="1:4" x14ac:dyDescent="0.3">
      <c r="A186" s="17">
        <v>40575</v>
      </c>
      <c r="B186">
        <v>-0.95</v>
      </c>
      <c r="C186">
        <v>1.6</v>
      </c>
      <c r="D186" s="55">
        <f t="shared" si="2"/>
        <v>-2.5499999999999998</v>
      </c>
    </row>
    <row r="187" spans="1:4" x14ac:dyDescent="0.3">
      <c r="A187" s="17">
        <v>40544</v>
      </c>
      <c r="B187">
        <v>-0.55000000000000004</v>
      </c>
      <c r="C187">
        <v>1.6</v>
      </c>
      <c r="D187" s="55">
        <f t="shared" si="2"/>
        <v>-2.1500000000000004</v>
      </c>
    </row>
    <row r="188" spans="1:4" x14ac:dyDescent="0.3">
      <c r="A188" s="17">
        <v>40513</v>
      </c>
      <c r="B188">
        <v>-1.6</v>
      </c>
      <c r="C188">
        <v>0.35</v>
      </c>
      <c r="D188" s="55">
        <f t="shared" si="2"/>
        <v>-1.9500000000000002</v>
      </c>
    </row>
    <row r="189" spans="1:4" x14ac:dyDescent="0.3">
      <c r="A189" s="17">
        <v>40483</v>
      </c>
      <c r="B189">
        <v>-1.8</v>
      </c>
      <c r="C189">
        <v>-0.05</v>
      </c>
      <c r="D189" s="55">
        <f t="shared" si="2"/>
        <v>-1.75</v>
      </c>
    </row>
    <row r="190" spans="1:4" x14ac:dyDescent="0.3">
      <c r="A190" s="17">
        <v>40452</v>
      </c>
      <c r="B190">
        <v>-2.0499999999999998</v>
      </c>
      <c r="C190">
        <v>-0.5</v>
      </c>
      <c r="D190" s="55">
        <f t="shared" si="2"/>
        <v>-1.5499999999999998</v>
      </c>
    </row>
    <row r="191" spans="1:4" x14ac:dyDescent="0.3">
      <c r="A191" s="17">
        <v>40422</v>
      </c>
      <c r="B191">
        <v>-2.15</v>
      </c>
      <c r="C191">
        <v>-0.65</v>
      </c>
      <c r="D191" s="55">
        <f t="shared" si="2"/>
        <v>-1.5</v>
      </c>
    </row>
    <row r="192" spans="1:4" x14ac:dyDescent="0.3">
      <c r="A192" s="17">
        <v>40391</v>
      </c>
      <c r="B192">
        <v>-1.75</v>
      </c>
      <c r="C192">
        <v>-0.15</v>
      </c>
      <c r="D192" s="55">
        <f t="shared" si="2"/>
        <v>-1.6</v>
      </c>
    </row>
    <row r="193" spans="1:4" x14ac:dyDescent="0.3">
      <c r="A193" s="17">
        <v>40360</v>
      </c>
      <c r="B193">
        <v>-1.75</v>
      </c>
      <c r="C193">
        <v>-0.2</v>
      </c>
      <c r="D193" s="55">
        <f t="shared" si="2"/>
        <v>-1.55</v>
      </c>
    </row>
    <row r="194" spans="1:4" x14ac:dyDescent="0.3">
      <c r="A194" s="17">
        <v>40330</v>
      </c>
      <c r="B194">
        <v>-1.6</v>
      </c>
      <c r="C194">
        <v>0.2</v>
      </c>
      <c r="D194" s="55">
        <f t="shared" si="2"/>
        <v>-1.8</v>
      </c>
    </row>
    <row r="195" spans="1:4" x14ac:dyDescent="0.3">
      <c r="A195" s="17">
        <v>40299</v>
      </c>
      <c r="B195">
        <v>-1.7</v>
      </c>
      <c r="C195">
        <v>-0.1</v>
      </c>
      <c r="D195" s="55">
        <f t="shared" si="2"/>
        <v>-1.5999999999999999</v>
      </c>
    </row>
    <row r="196" spans="1:4" x14ac:dyDescent="0.3">
      <c r="A196" s="17">
        <v>40269</v>
      </c>
      <c r="B196">
        <v>-1.6</v>
      </c>
      <c r="C196">
        <v>-0.45</v>
      </c>
      <c r="D196" s="55">
        <f t="shared" si="2"/>
        <v>-1.1500000000000001</v>
      </c>
    </row>
    <row r="197" spans="1:4" x14ac:dyDescent="0.3">
      <c r="A197" s="17">
        <v>40238</v>
      </c>
      <c r="B197">
        <v>-0.95</v>
      </c>
      <c r="C197">
        <v>-0.15</v>
      </c>
      <c r="D197" s="55">
        <f t="shared" si="2"/>
        <v>-0.79999999999999993</v>
      </c>
    </row>
    <row r="198" spans="1:4" x14ac:dyDescent="0.3">
      <c r="A198" s="17">
        <v>40210</v>
      </c>
      <c r="B198">
        <v>-0.85</v>
      </c>
      <c r="C198">
        <v>0.1</v>
      </c>
      <c r="D198" s="55">
        <f t="shared" si="2"/>
        <v>-0.95</v>
      </c>
    </row>
    <row r="199" spans="1:4" x14ac:dyDescent="0.3">
      <c r="A199" s="17">
        <v>40179</v>
      </c>
      <c r="B199">
        <v>-0.45</v>
      </c>
      <c r="C199">
        <v>0.45</v>
      </c>
      <c r="D199" s="55">
        <f t="shared" si="2"/>
        <v>-0.9</v>
      </c>
    </row>
    <row r="200" spans="1:4" x14ac:dyDescent="0.3">
      <c r="A200" s="17">
        <v>40148</v>
      </c>
      <c r="B200">
        <v>-0.55000000000000004</v>
      </c>
      <c r="C200">
        <v>0.5</v>
      </c>
      <c r="D200" s="55">
        <f t="shared" si="2"/>
        <v>-1.05</v>
      </c>
    </row>
    <row r="201" spans="1:4" x14ac:dyDescent="0.3">
      <c r="A201" s="17">
        <v>40118</v>
      </c>
      <c r="B201">
        <v>-0.45</v>
      </c>
      <c r="C201">
        <v>0.15</v>
      </c>
      <c r="D201" s="55">
        <f t="shared" ref="D201:D264" si="3">+B201-C201</f>
        <v>-0.6</v>
      </c>
    </row>
    <row r="202" spans="1:4" x14ac:dyDescent="0.3">
      <c r="A202" s="17">
        <v>40087</v>
      </c>
      <c r="B202">
        <v>-0.3</v>
      </c>
      <c r="C202">
        <v>0.6</v>
      </c>
      <c r="D202" s="55">
        <f t="shared" si="3"/>
        <v>-0.89999999999999991</v>
      </c>
    </row>
    <row r="203" spans="1:4" x14ac:dyDescent="0.3">
      <c r="A203" s="17">
        <v>40057</v>
      </c>
      <c r="B203">
        <v>-1.2</v>
      </c>
      <c r="C203">
        <v>-0.25</v>
      </c>
      <c r="D203" s="55">
        <f t="shared" si="3"/>
        <v>-0.95</v>
      </c>
    </row>
    <row r="204" spans="1:4" x14ac:dyDescent="0.3">
      <c r="A204" s="17">
        <v>40026</v>
      </c>
      <c r="B204">
        <v>0.3</v>
      </c>
      <c r="C204">
        <v>1.5</v>
      </c>
      <c r="D204" s="55">
        <f t="shared" si="3"/>
        <v>-1.2</v>
      </c>
    </row>
    <row r="205" spans="1:4" x14ac:dyDescent="0.3">
      <c r="A205" s="17">
        <v>39995</v>
      </c>
      <c r="B205">
        <v>0.6</v>
      </c>
      <c r="C205">
        <v>1.4</v>
      </c>
      <c r="D205" s="55">
        <f t="shared" si="3"/>
        <v>-0.79999999999999993</v>
      </c>
    </row>
    <row r="206" spans="1:4" x14ac:dyDescent="0.3">
      <c r="A206" s="17">
        <v>39965</v>
      </c>
      <c r="B206">
        <v>0.15</v>
      </c>
      <c r="C206">
        <v>1</v>
      </c>
      <c r="D206" s="55">
        <f t="shared" si="3"/>
        <v>-0.85</v>
      </c>
    </row>
    <row r="207" spans="1:4" x14ac:dyDescent="0.3">
      <c r="A207" s="17">
        <v>39934</v>
      </c>
      <c r="B207">
        <v>-0.5</v>
      </c>
      <c r="C207">
        <v>0.8</v>
      </c>
      <c r="D207" s="55">
        <f t="shared" si="3"/>
        <v>-1.3</v>
      </c>
    </row>
    <row r="208" spans="1:4" x14ac:dyDescent="0.3">
      <c r="A208" s="17">
        <v>39904</v>
      </c>
      <c r="B208">
        <v>0.5</v>
      </c>
      <c r="C208">
        <v>0.9</v>
      </c>
      <c r="D208" s="55">
        <f t="shared" si="3"/>
        <v>-0.4</v>
      </c>
    </row>
    <row r="209" spans="1:4" x14ac:dyDescent="0.3">
      <c r="A209" s="17">
        <v>39873</v>
      </c>
      <c r="B209">
        <v>-0.5</v>
      </c>
      <c r="C209">
        <v>0.25</v>
      </c>
      <c r="D209" s="55">
        <f t="shared" si="3"/>
        <v>-0.75</v>
      </c>
    </row>
    <row r="210" spans="1:4" x14ac:dyDescent="0.3">
      <c r="A210" s="17">
        <v>39845</v>
      </c>
      <c r="B210">
        <v>-1.9</v>
      </c>
      <c r="C210">
        <v>-0.45</v>
      </c>
      <c r="D210" s="55">
        <f t="shared" si="3"/>
        <v>-1.45</v>
      </c>
    </row>
    <row r="211" spans="1:4" x14ac:dyDescent="0.3">
      <c r="A211" s="17">
        <v>39814</v>
      </c>
      <c r="B211">
        <v>-3.1</v>
      </c>
      <c r="C211">
        <v>-0.85</v>
      </c>
      <c r="D211" s="55">
        <f t="shared" si="3"/>
        <v>-2.25</v>
      </c>
    </row>
    <row r="212" spans="1:4" x14ac:dyDescent="0.3">
      <c r="A212" s="17">
        <v>39783</v>
      </c>
      <c r="B212">
        <v>-3.65</v>
      </c>
      <c r="C212">
        <v>-1.25</v>
      </c>
      <c r="D212" s="55">
        <f t="shared" si="3"/>
        <v>-2.4</v>
      </c>
    </row>
    <row r="213" spans="1:4" x14ac:dyDescent="0.3">
      <c r="A213" s="17">
        <v>39753</v>
      </c>
      <c r="B213">
        <v>-2.65</v>
      </c>
      <c r="C213">
        <v>-0.65</v>
      </c>
      <c r="D213" s="55">
        <f t="shared" si="3"/>
        <v>-2</v>
      </c>
    </row>
    <row r="214" spans="1:4" x14ac:dyDescent="0.3">
      <c r="A214" s="17">
        <v>39722</v>
      </c>
      <c r="B214">
        <v>-2.25</v>
      </c>
      <c r="C214">
        <v>0</v>
      </c>
      <c r="D214" s="55">
        <f t="shared" si="3"/>
        <v>-2.25</v>
      </c>
    </row>
    <row r="215" spans="1:4" x14ac:dyDescent="0.3">
      <c r="A215" s="17">
        <v>39692</v>
      </c>
      <c r="B215">
        <v>-2.95</v>
      </c>
      <c r="C215">
        <v>0.7</v>
      </c>
      <c r="D215" s="55">
        <f t="shared" si="3"/>
        <v>-3.6500000000000004</v>
      </c>
    </row>
    <row r="216" spans="1:4" x14ac:dyDescent="0.3">
      <c r="A216" s="17">
        <v>39661</v>
      </c>
      <c r="B216">
        <v>-3.7</v>
      </c>
      <c r="C216">
        <v>1.35</v>
      </c>
      <c r="D216" s="55">
        <f t="shared" si="3"/>
        <v>-5.0500000000000007</v>
      </c>
    </row>
    <row r="217" spans="1:4" x14ac:dyDescent="0.3">
      <c r="A217" s="17">
        <v>39630</v>
      </c>
      <c r="B217">
        <v>-3.7</v>
      </c>
      <c r="C217">
        <v>2.0499999999999998</v>
      </c>
      <c r="D217" s="55">
        <f t="shared" si="3"/>
        <v>-5.75</v>
      </c>
    </row>
    <row r="218" spans="1:4" x14ac:dyDescent="0.3">
      <c r="A218" s="17">
        <v>39600</v>
      </c>
      <c r="B218">
        <v>-3.35</v>
      </c>
      <c r="C218">
        <v>1.85</v>
      </c>
      <c r="D218" s="55">
        <f t="shared" si="3"/>
        <v>-5.2</v>
      </c>
    </row>
    <row r="219" spans="1:4" x14ac:dyDescent="0.3">
      <c r="A219" s="17">
        <v>39569</v>
      </c>
      <c r="B219">
        <v>-3.15</v>
      </c>
      <c r="C219">
        <v>1.45</v>
      </c>
      <c r="D219" s="55">
        <f t="shared" si="3"/>
        <v>-4.5999999999999996</v>
      </c>
    </row>
    <row r="220" spans="1:4" x14ac:dyDescent="0.3">
      <c r="A220" s="17">
        <v>39539</v>
      </c>
      <c r="B220">
        <v>-2.75</v>
      </c>
      <c r="C220">
        <v>1.05</v>
      </c>
      <c r="D220" s="55">
        <f t="shared" si="3"/>
        <v>-3.8</v>
      </c>
    </row>
    <row r="221" spans="1:4" x14ac:dyDescent="0.3">
      <c r="A221" s="17">
        <v>39508</v>
      </c>
      <c r="B221">
        <v>-1.75</v>
      </c>
      <c r="C221">
        <v>1.25</v>
      </c>
      <c r="D221" s="55">
        <f t="shared" si="3"/>
        <v>-3</v>
      </c>
    </row>
    <row r="222" spans="1:4" x14ac:dyDescent="0.3">
      <c r="A222" s="17">
        <v>39479</v>
      </c>
      <c r="B222">
        <v>-1.75</v>
      </c>
      <c r="C222">
        <v>1.55</v>
      </c>
      <c r="D222" s="55">
        <f t="shared" si="3"/>
        <v>-3.3</v>
      </c>
    </row>
    <row r="223" spans="1:4" x14ac:dyDescent="0.3">
      <c r="A223" s="17">
        <v>39448</v>
      </c>
      <c r="B223">
        <v>-1.85</v>
      </c>
      <c r="C223">
        <v>1.75</v>
      </c>
      <c r="D223" s="55">
        <f t="shared" si="3"/>
        <v>-3.6</v>
      </c>
    </row>
    <row r="224" spans="1:4" x14ac:dyDescent="0.3">
      <c r="A224" s="17">
        <v>39417</v>
      </c>
      <c r="B224">
        <v>-1.35</v>
      </c>
      <c r="C224">
        <v>1.35</v>
      </c>
      <c r="D224" s="55">
        <f t="shared" si="3"/>
        <v>-2.7</v>
      </c>
    </row>
    <row r="225" spans="1:4" x14ac:dyDescent="0.3">
      <c r="A225" s="17">
        <v>39387</v>
      </c>
      <c r="B225">
        <v>-0.5</v>
      </c>
      <c r="C225">
        <v>2.35</v>
      </c>
      <c r="D225" s="55">
        <f t="shared" si="3"/>
        <v>-2.85</v>
      </c>
    </row>
    <row r="226" spans="1:4" x14ac:dyDescent="0.3">
      <c r="A226" s="17">
        <v>39356</v>
      </c>
      <c r="B226">
        <v>-1.05</v>
      </c>
      <c r="C226">
        <v>1.35</v>
      </c>
      <c r="D226" s="55">
        <f t="shared" si="3"/>
        <v>-2.4000000000000004</v>
      </c>
    </row>
    <row r="227" spans="1:4" x14ac:dyDescent="0.3">
      <c r="A227" s="17">
        <v>39326</v>
      </c>
      <c r="B227">
        <v>-1.35</v>
      </c>
      <c r="C227">
        <v>0.75</v>
      </c>
      <c r="D227" s="55">
        <f t="shared" si="3"/>
        <v>-2.1</v>
      </c>
    </row>
    <row r="228" spans="1:4" x14ac:dyDescent="0.3">
      <c r="A228" s="17">
        <v>39295</v>
      </c>
      <c r="B228">
        <v>-1.85</v>
      </c>
      <c r="C228">
        <v>0.55000000000000004</v>
      </c>
      <c r="D228" s="55">
        <f t="shared" si="3"/>
        <v>-2.4000000000000004</v>
      </c>
    </row>
    <row r="229" spans="1:4" x14ac:dyDescent="0.3">
      <c r="A229" s="17">
        <v>39264</v>
      </c>
      <c r="B229">
        <v>-2.15</v>
      </c>
      <c r="C229">
        <v>0.55000000000000004</v>
      </c>
      <c r="D229" s="55">
        <f t="shared" si="3"/>
        <v>-2.7</v>
      </c>
    </row>
    <row r="230" spans="1:4" x14ac:dyDescent="0.3">
      <c r="A230" s="17">
        <v>39234</v>
      </c>
      <c r="B230">
        <v>-2</v>
      </c>
      <c r="C230">
        <v>0.55000000000000004</v>
      </c>
      <c r="D230" s="55">
        <f t="shared" si="3"/>
        <v>-2.5499999999999998</v>
      </c>
    </row>
    <row r="231" spans="1:4" x14ac:dyDescent="0.3">
      <c r="A231" s="17">
        <v>39203</v>
      </c>
      <c r="B231">
        <v>-2.2999999999999998</v>
      </c>
      <c r="C231">
        <v>0.15</v>
      </c>
      <c r="D231" s="55">
        <f t="shared" si="3"/>
        <v>-2.4499999999999997</v>
      </c>
    </row>
    <row r="232" spans="1:4" x14ac:dyDescent="0.3">
      <c r="A232" s="17">
        <v>39173</v>
      </c>
      <c r="B232">
        <v>-2.4500000000000002</v>
      </c>
      <c r="C232">
        <v>0.15</v>
      </c>
      <c r="D232" s="55">
        <f t="shared" si="3"/>
        <v>-2.6</v>
      </c>
    </row>
    <row r="233" spans="1:4" x14ac:dyDescent="0.3">
      <c r="A233" s="17">
        <v>39142</v>
      </c>
      <c r="B233">
        <v>-2.25</v>
      </c>
      <c r="C233">
        <v>0.25</v>
      </c>
      <c r="D233" s="55">
        <f t="shared" si="3"/>
        <v>-2.5</v>
      </c>
    </row>
    <row r="234" spans="1:4" x14ac:dyDescent="0.3">
      <c r="A234" s="17">
        <v>39114</v>
      </c>
      <c r="B234">
        <v>-2.75</v>
      </c>
      <c r="C234">
        <v>0.05</v>
      </c>
      <c r="D234" s="55">
        <f t="shared" si="3"/>
        <v>-2.8</v>
      </c>
    </row>
    <row r="235" spans="1:4" x14ac:dyDescent="0.3">
      <c r="A235" s="17">
        <v>39083</v>
      </c>
      <c r="B235">
        <v>-3.05</v>
      </c>
      <c r="C235">
        <v>0.15</v>
      </c>
      <c r="D235" s="55">
        <f t="shared" si="3"/>
        <v>-3.1999999999999997</v>
      </c>
    </row>
    <row r="236" spans="1:4" x14ac:dyDescent="0.3">
      <c r="A236" s="17">
        <v>39052</v>
      </c>
      <c r="B236">
        <v>-2.7</v>
      </c>
      <c r="C236">
        <v>-0.1</v>
      </c>
      <c r="D236" s="55">
        <f t="shared" si="3"/>
        <v>-2.6</v>
      </c>
    </row>
    <row r="237" spans="1:4" x14ac:dyDescent="0.3">
      <c r="A237" s="17">
        <v>39022</v>
      </c>
      <c r="B237">
        <v>-2.7</v>
      </c>
      <c r="C237">
        <v>0.05</v>
      </c>
      <c r="D237" s="55">
        <f t="shared" si="3"/>
        <v>-2.75</v>
      </c>
    </row>
    <row r="238" spans="1:4" x14ac:dyDescent="0.3">
      <c r="A238" s="17">
        <v>38991</v>
      </c>
      <c r="B238">
        <v>-3.1</v>
      </c>
      <c r="C238">
        <v>0.45</v>
      </c>
      <c r="D238" s="55">
        <f t="shared" si="3"/>
        <v>-3.5500000000000003</v>
      </c>
    </row>
    <row r="239" spans="1:4" x14ac:dyDescent="0.3">
      <c r="A239" s="17">
        <v>38961</v>
      </c>
      <c r="B239">
        <v>-2.8</v>
      </c>
      <c r="C239">
        <v>0.35</v>
      </c>
      <c r="D239" s="55">
        <f t="shared" si="3"/>
        <v>-3.15</v>
      </c>
    </row>
    <row r="240" spans="1:4" x14ac:dyDescent="0.3">
      <c r="A240" s="17">
        <v>38930</v>
      </c>
      <c r="B240">
        <v>-2.85</v>
      </c>
      <c r="C240">
        <v>0.35</v>
      </c>
      <c r="D240" s="55">
        <f t="shared" si="3"/>
        <v>-3.2</v>
      </c>
    </row>
    <row r="241" spans="1:4" x14ac:dyDescent="0.3">
      <c r="A241" s="17">
        <v>38899</v>
      </c>
      <c r="B241">
        <v>-2.85</v>
      </c>
      <c r="C241">
        <v>0.2</v>
      </c>
      <c r="D241" s="55">
        <f t="shared" si="3"/>
        <v>-3.0500000000000003</v>
      </c>
    </row>
    <row r="242" spans="1:4" x14ac:dyDescent="0.3">
      <c r="A242" s="17">
        <v>38869</v>
      </c>
      <c r="B242">
        <v>-2.8</v>
      </c>
      <c r="C242">
        <v>0.2</v>
      </c>
      <c r="D242" s="55">
        <f t="shared" si="3"/>
        <v>-3</v>
      </c>
    </row>
    <row r="243" spans="1:4" x14ac:dyDescent="0.3">
      <c r="A243" s="17">
        <v>38838</v>
      </c>
      <c r="B243">
        <v>-2.35</v>
      </c>
      <c r="C243">
        <v>-0.25</v>
      </c>
      <c r="D243" s="55">
        <f t="shared" si="3"/>
        <v>-2.1</v>
      </c>
    </row>
    <row r="244" spans="1:4" x14ac:dyDescent="0.3">
      <c r="A244" s="17">
        <v>38808</v>
      </c>
      <c r="B244">
        <v>-1.8</v>
      </c>
      <c r="C244">
        <v>0.05</v>
      </c>
      <c r="D244" s="55">
        <f t="shared" si="3"/>
        <v>-1.85</v>
      </c>
    </row>
    <row r="245" spans="1:4" x14ac:dyDescent="0.3">
      <c r="A245" s="17">
        <v>38777</v>
      </c>
      <c r="B245">
        <v>-1.75</v>
      </c>
      <c r="C245">
        <v>0.4</v>
      </c>
      <c r="D245" s="55">
        <f t="shared" si="3"/>
        <v>-2.15</v>
      </c>
    </row>
    <row r="246" spans="1:4" x14ac:dyDescent="0.3">
      <c r="A246" s="17">
        <v>38749</v>
      </c>
      <c r="B246">
        <v>-1.95</v>
      </c>
      <c r="C246">
        <v>0.25</v>
      </c>
      <c r="D246" s="55">
        <f t="shared" si="3"/>
        <v>-2.2000000000000002</v>
      </c>
    </row>
    <row r="247" spans="1:4" x14ac:dyDescent="0.3">
      <c r="A247" s="17">
        <v>38718</v>
      </c>
      <c r="B247">
        <v>-1.85</v>
      </c>
      <c r="C247">
        <v>-0.1</v>
      </c>
      <c r="D247" s="55">
        <f t="shared" si="3"/>
        <v>-1.75</v>
      </c>
    </row>
    <row r="248" spans="1:4" x14ac:dyDescent="0.3">
      <c r="A248" s="17">
        <v>38687</v>
      </c>
      <c r="B248">
        <v>-2.0499999999999998</v>
      </c>
      <c r="C248">
        <v>0.05</v>
      </c>
      <c r="D248" s="55">
        <f t="shared" si="3"/>
        <v>-2.0999999999999996</v>
      </c>
    </row>
    <row r="249" spans="1:4" x14ac:dyDescent="0.3">
      <c r="A249" s="17">
        <v>38657</v>
      </c>
      <c r="B249">
        <v>-2.75</v>
      </c>
      <c r="C249">
        <v>-0.25</v>
      </c>
      <c r="D249" s="55">
        <f t="shared" si="3"/>
        <v>-2.5</v>
      </c>
    </row>
    <row r="250" spans="1:4" x14ac:dyDescent="0.3">
      <c r="A250" s="17">
        <v>38626</v>
      </c>
      <c r="B250">
        <v>-2.6</v>
      </c>
      <c r="C250">
        <v>-0.05</v>
      </c>
      <c r="D250" s="55">
        <f t="shared" si="3"/>
        <v>-2.5500000000000003</v>
      </c>
    </row>
    <row r="251" spans="1:4" x14ac:dyDescent="0.3">
      <c r="A251" s="17">
        <v>38596</v>
      </c>
      <c r="B251">
        <v>-2.0499999999999998</v>
      </c>
      <c r="C251">
        <v>0.45</v>
      </c>
      <c r="D251" s="55">
        <f t="shared" si="3"/>
        <v>-2.5</v>
      </c>
    </row>
    <row r="252" spans="1:4" x14ac:dyDescent="0.3">
      <c r="A252" s="17">
        <v>38565</v>
      </c>
      <c r="B252">
        <v>-1.55</v>
      </c>
      <c r="C252">
        <v>0.85</v>
      </c>
      <c r="D252" s="55">
        <f t="shared" si="3"/>
        <v>-2.4</v>
      </c>
    </row>
    <row r="253" spans="1:4" x14ac:dyDescent="0.3">
      <c r="A253" s="17">
        <v>38534</v>
      </c>
      <c r="B253">
        <v>-1.05</v>
      </c>
      <c r="C253">
        <v>0.85</v>
      </c>
      <c r="D253" s="55">
        <f t="shared" si="3"/>
        <v>-1.9</v>
      </c>
    </row>
    <row r="254" spans="1:4" x14ac:dyDescent="0.3">
      <c r="A254" s="17">
        <v>38504</v>
      </c>
      <c r="B254">
        <v>-1.3</v>
      </c>
      <c r="C254">
        <v>0.85</v>
      </c>
      <c r="D254" s="55">
        <f t="shared" si="3"/>
        <v>-2.15</v>
      </c>
    </row>
    <row r="255" spans="1:4" x14ac:dyDescent="0.3">
      <c r="A255" s="17">
        <v>38473</v>
      </c>
      <c r="B255">
        <v>-1.4</v>
      </c>
      <c r="C255">
        <v>1.05</v>
      </c>
      <c r="D255" s="55">
        <f t="shared" si="3"/>
        <v>-2.4500000000000002</v>
      </c>
    </row>
    <row r="256" spans="1:4" x14ac:dyDescent="0.3">
      <c r="A256" s="17">
        <v>38443</v>
      </c>
      <c r="B256">
        <v>-1.7</v>
      </c>
      <c r="C256">
        <v>0.65</v>
      </c>
      <c r="D256" s="55">
        <f t="shared" si="3"/>
        <v>-2.35</v>
      </c>
    </row>
    <row r="257" spans="1:4" x14ac:dyDescent="0.3">
      <c r="A257" s="17">
        <v>38412</v>
      </c>
      <c r="B257">
        <v>-1.85</v>
      </c>
      <c r="C257">
        <v>0.25</v>
      </c>
      <c r="D257" s="55">
        <f t="shared" si="3"/>
        <v>-2.1</v>
      </c>
    </row>
    <row r="258" spans="1:4" x14ac:dyDescent="0.3">
      <c r="A258" s="17">
        <v>38384</v>
      </c>
      <c r="B258">
        <v>-2.4</v>
      </c>
      <c r="C258">
        <v>-0.15</v>
      </c>
      <c r="D258" s="55">
        <f t="shared" si="3"/>
        <v>-2.25</v>
      </c>
    </row>
    <row r="259" spans="1:4" x14ac:dyDescent="0.3">
      <c r="A259" s="17">
        <v>38353</v>
      </c>
      <c r="B259">
        <v>-2.8</v>
      </c>
      <c r="C259">
        <v>-0.15</v>
      </c>
      <c r="D259" s="55">
        <f t="shared" si="3"/>
        <v>-2.65</v>
      </c>
    </row>
    <row r="260" spans="1:4" x14ac:dyDescent="0.3">
      <c r="A260" s="17">
        <v>38322</v>
      </c>
      <c r="B260">
        <v>-3</v>
      </c>
      <c r="C260">
        <v>-0.3</v>
      </c>
      <c r="D260" s="55">
        <f t="shared" si="3"/>
        <v>-2.7</v>
      </c>
    </row>
    <row r="261" spans="1:4" x14ac:dyDescent="0.3">
      <c r="A261" s="17">
        <v>38292</v>
      </c>
      <c r="B261">
        <v>-2.85</v>
      </c>
      <c r="C261">
        <v>0.2</v>
      </c>
      <c r="D261" s="55">
        <f t="shared" si="3"/>
        <v>-3.0500000000000003</v>
      </c>
    </row>
    <row r="262" spans="1:4" x14ac:dyDescent="0.3">
      <c r="A262" s="17">
        <v>38261</v>
      </c>
      <c r="B262">
        <v>-1.75</v>
      </c>
      <c r="C262">
        <v>0.55000000000000004</v>
      </c>
      <c r="D262" s="55">
        <f t="shared" si="3"/>
        <v>-2.2999999999999998</v>
      </c>
    </row>
    <row r="263" spans="1:4" x14ac:dyDescent="0.3">
      <c r="A263" s="17">
        <v>38231</v>
      </c>
      <c r="B263">
        <v>-1.45</v>
      </c>
      <c r="C263">
        <v>0.55000000000000004</v>
      </c>
      <c r="D263" s="55">
        <f t="shared" si="3"/>
        <v>-2</v>
      </c>
    </row>
    <row r="264" spans="1:4" x14ac:dyDescent="0.3">
      <c r="A264" s="17">
        <v>38200</v>
      </c>
      <c r="B264">
        <v>-0.85</v>
      </c>
      <c r="C264">
        <v>0.65</v>
      </c>
      <c r="D264" s="55">
        <f t="shared" si="3"/>
        <v>-1.5</v>
      </c>
    </row>
    <row r="265" spans="1:4" x14ac:dyDescent="0.3">
      <c r="A265" s="17">
        <v>38169</v>
      </c>
      <c r="B265">
        <v>-0.45</v>
      </c>
      <c r="C265">
        <v>0.95</v>
      </c>
      <c r="D265" s="55">
        <f t="shared" ref="D265:D328" si="4">+B265-C265</f>
        <v>-1.4</v>
      </c>
    </row>
    <row r="266" spans="1:4" x14ac:dyDescent="0.3">
      <c r="A266" s="17">
        <v>38139</v>
      </c>
      <c r="B266">
        <v>-0.55000000000000004</v>
      </c>
      <c r="C266">
        <v>0.95</v>
      </c>
      <c r="D266" s="55">
        <f t="shared" si="4"/>
        <v>-1.5</v>
      </c>
    </row>
    <row r="267" spans="1:4" x14ac:dyDescent="0.3">
      <c r="A267" s="17">
        <v>38108</v>
      </c>
      <c r="B267">
        <v>-0.4</v>
      </c>
      <c r="C267">
        <v>0.8</v>
      </c>
      <c r="D267" s="55">
        <f t="shared" si="4"/>
        <v>-1.2000000000000002</v>
      </c>
    </row>
    <row r="268" spans="1:4" x14ac:dyDescent="0.3">
      <c r="A268" s="17">
        <v>38078</v>
      </c>
      <c r="B268">
        <v>-0.5</v>
      </c>
      <c r="C268">
        <v>0.7</v>
      </c>
      <c r="D268" s="55">
        <f t="shared" si="4"/>
        <v>-1.2</v>
      </c>
    </row>
    <row r="269" spans="1:4" x14ac:dyDescent="0.3">
      <c r="A269" s="17">
        <v>38047</v>
      </c>
      <c r="B269">
        <v>-0.6</v>
      </c>
      <c r="C269">
        <v>0.6</v>
      </c>
      <c r="D269" s="55">
        <f t="shared" si="4"/>
        <v>-1.2</v>
      </c>
    </row>
    <row r="270" spans="1:4" x14ac:dyDescent="0.3">
      <c r="A270" s="17">
        <v>38018</v>
      </c>
      <c r="B270">
        <v>-0.7</v>
      </c>
      <c r="C270">
        <v>0.6</v>
      </c>
      <c r="D270" s="55">
        <f t="shared" si="4"/>
        <v>-1.2999999999999998</v>
      </c>
    </row>
    <row r="271" spans="1:4" x14ac:dyDescent="0.3">
      <c r="A271" s="17">
        <v>37987</v>
      </c>
      <c r="B271">
        <v>-0.25</v>
      </c>
      <c r="C271">
        <v>0.95</v>
      </c>
      <c r="D271" s="55">
        <f t="shared" si="4"/>
        <v>-1.2</v>
      </c>
    </row>
    <row r="272" spans="1:4" x14ac:dyDescent="0.3">
      <c r="A272" s="17">
        <v>37956</v>
      </c>
      <c r="B272">
        <v>-0.15</v>
      </c>
      <c r="C272">
        <v>0.95</v>
      </c>
      <c r="D272" s="55">
        <f t="shared" si="4"/>
        <v>-1.0999999999999999</v>
      </c>
    </row>
    <row r="273" spans="1:4" x14ac:dyDescent="0.3">
      <c r="A273" s="17">
        <v>37926</v>
      </c>
      <c r="B273">
        <v>-0.2</v>
      </c>
      <c r="C273">
        <v>0.55000000000000004</v>
      </c>
      <c r="D273" s="55">
        <f t="shared" si="4"/>
        <v>-0.75</v>
      </c>
    </row>
    <row r="274" spans="1:4" x14ac:dyDescent="0.3">
      <c r="A274" s="17">
        <v>37895</v>
      </c>
      <c r="B274">
        <v>-0.4</v>
      </c>
      <c r="C274">
        <v>0.6</v>
      </c>
      <c r="D274" s="55">
        <f t="shared" si="4"/>
        <v>-1</v>
      </c>
    </row>
    <row r="275" spans="1:4" x14ac:dyDescent="0.3">
      <c r="A275" s="17">
        <v>37865</v>
      </c>
      <c r="B275">
        <v>0.05</v>
      </c>
      <c r="C275">
        <v>0.6</v>
      </c>
      <c r="D275" s="55">
        <f t="shared" si="4"/>
        <v>-0.54999999999999993</v>
      </c>
    </row>
    <row r="276" spans="1:4" x14ac:dyDescent="0.3">
      <c r="A276" s="17">
        <v>37834</v>
      </c>
      <c r="B276">
        <v>0.15</v>
      </c>
      <c r="C276">
        <v>0.4</v>
      </c>
      <c r="D276" s="55">
        <f t="shared" si="4"/>
        <v>-0.25</v>
      </c>
    </row>
    <row r="277" spans="1:4" x14ac:dyDescent="0.3">
      <c r="A277" s="17">
        <v>37803</v>
      </c>
      <c r="B277">
        <v>0.15</v>
      </c>
      <c r="C277">
        <v>0.65</v>
      </c>
      <c r="D277" s="55">
        <f t="shared" si="4"/>
        <v>-0.5</v>
      </c>
    </row>
    <row r="278" spans="1:4" x14ac:dyDescent="0.3">
      <c r="A278" s="17">
        <v>37773</v>
      </c>
      <c r="B278">
        <v>0.05</v>
      </c>
      <c r="C278">
        <v>0.45</v>
      </c>
      <c r="D278" s="55">
        <f t="shared" si="4"/>
        <v>-0.4</v>
      </c>
    </row>
    <row r="279" spans="1:4" x14ac:dyDescent="0.3">
      <c r="A279" s="17">
        <v>37742</v>
      </c>
      <c r="B279">
        <v>0.2</v>
      </c>
      <c r="C279">
        <v>0.65</v>
      </c>
      <c r="D279" s="55">
        <f t="shared" si="4"/>
        <v>-0.45</v>
      </c>
    </row>
    <row r="280" spans="1:4" x14ac:dyDescent="0.3">
      <c r="A280" s="17">
        <v>37712</v>
      </c>
      <c r="B280">
        <v>0.1</v>
      </c>
      <c r="C280">
        <v>1.1000000000000001</v>
      </c>
      <c r="D280" s="55">
        <f t="shared" si="4"/>
        <v>-1</v>
      </c>
    </row>
    <row r="281" spans="1:4" x14ac:dyDescent="0.3">
      <c r="A281" s="17">
        <v>37681</v>
      </c>
      <c r="B281">
        <v>0.3</v>
      </c>
      <c r="C281">
        <v>1</v>
      </c>
      <c r="D281" s="55">
        <f t="shared" si="4"/>
        <v>-0.7</v>
      </c>
    </row>
    <row r="282" spans="1:4" x14ac:dyDescent="0.3">
      <c r="A282" s="17">
        <v>37653</v>
      </c>
      <c r="B282">
        <v>0.1</v>
      </c>
      <c r="C282">
        <v>0.9</v>
      </c>
      <c r="D282" s="55">
        <f t="shared" si="4"/>
        <v>-0.8</v>
      </c>
    </row>
    <row r="283" spans="1:4" x14ac:dyDescent="0.3">
      <c r="A283" s="17">
        <v>37622</v>
      </c>
      <c r="B283">
        <v>0</v>
      </c>
      <c r="C283">
        <v>0.55000000000000004</v>
      </c>
      <c r="D283" s="55">
        <f t="shared" si="4"/>
        <v>-0.55000000000000004</v>
      </c>
    </row>
    <row r="284" spans="1:4" x14ac:dyDescent="0.3">
      <c r="A284" s="17">
        <v>37591</v>
      </c>
      <c r="B284">
        <v>-0.25</v>
      </c>
      <c r="C284">
        <v>0.55000000000000004</v>
      </c>
      <c r="D284" s="55">
        <f t="shared" si="4"/>
        <v>-0.8</v>
      </c>
    </row>
    <row r="285" spans="1:4" x14ac:dyDescent="0.3">
      <c r="A285" s="17">
        <v>37561</v>
      </c>
      <c r="B285">
        <v>-0.15</v>
      </c>
      <c r="C285">
        <v>0.55000000000000004</v>
      </c>
      <c r="D285" s="55">
        <f t="shared" si="4"/>
        <v>-0.70000000000000007</v>
      </c>
    </row>
    <row r="286" spans="1:4" x14ac:dyDescent="0.3">
      <c r="A286" s="17">
        <v>37530</v>
      </c>
      <c r="B286">
        <v>-0.05</v>
      </c>
      <c r="C286">
        <v>0.35</v>
      </c>
      <c r="D286" s="55">
        <f t="shared" si="4"/>
        <v>-0.39999999999999997</v>
      </c>
    </row>
    <row r="287" spans="1:4" x14ac:dyDescent="0.3">
      <c r="A287" s="17">
        <v>37500</v>
      </c>
      <c r="B287">
        <v>0.1</v>
      </c>
      <c r="C287">
        <v>0.4</v>
      </c>
      <c r="D287" s="55">
        <f t="shared" si="4"/>
        <v>-0.30000000000000004</v>
      </c>
    </row>
    <row r="288" spans="1:4" x14ac:dyDescent="0.3">
      <c r="A288" s="17">
        <v>37469</v>
      </c>
      <c r="B288">
        <v>0.1</v>
      </c>
      <c r="C288">
        <v>0.4</v>
      </c>
      <c r="D288" s="55">
        <f t="shared" si="4"/>
        <v>-0.30000000000000004</v>
      </c>
    </row>
    <row r="289" spans="1:4" x14ac:dyDescent="0.3">
      <c r="A289" s="17">
        <v>37438</v>
      </c>
      <c r="B289">
        <v>0.15</v>
      </c>
      <c r="C289">
        <v>0.45</v>
      </c>
      <c r="D289" s="55">
        <f t="shared" si="4"/>
        <v>-0.30000000000000004</v>
      </c>
    </row>
    <row r="290" spans="1:4" x14ac:dyDescent="0.3">
      <c r="A290" s="17">
        <v>37408</v>
      </c>
      <c r="B290">
        <v>0.05</v>
      </c>
      <c r="C290">
        <v>0.55000000000000004</v>
      </c>
      <c r="D290" s="55">
        <f t="shared" si="4"/>
        <v>-0.5</v>
      </c>
    </row>
    <row r="291" spans="1:4" x14ac:dyDescent="0.3">
      <c r="A291" s="17">
        <v>37377</v>
      </c>
      <c r="B291">
        <v>-0.15</v>
      </c>
      <c r="C291">
        <v>0.4</v>
      </c>
      <c r="D291" s="55">
        <f t="shared" si="4"/>
        <v>-0.55000000000000004</v>
      </c>
    </row>
    <row r="292" spans="1:4" x14ac:dyDescent="0.3">
      <c r="A292" s="17">
        <v>37347</v>
      </c>
      <c r="B292">
        <v>-0.1</v>
      </c>
      <c r="C292">
        <v>0.3</v>
      </c>
      <c r="D292" s="55">
        <f t="shared" si="4"/>
        <v>-0.4</v>
      </c>
    </row>
    <row r="293" spans="1:4" x14ac:dyDescent="0.3">
      <c r="A293" s="17">
        <v>37316</v>
      </c>
      <c r="B293">
        <v>0</v>
      </c>
      <c r="C293">
        <v>0.45</v>
      </c>
      <c r="D293" s="55">
        <f t="shared" si="4"/>
        <v>-0.45</v>
      </c>
    </row>
    <row r="294" spans="1:4" x14ac:dyDescent="0.3">
      <c r="A294" s="17">
        <v>37288</v>
      </c>
      <c r="B294">
        <v>-0.1</v>
      </c>
      <c r="C294">
        <v>0.35</v>
      </c>
      <c r="D294" s="55">
        <f t="shared" si="4"/>
        <v>-0.44999999999999996</v>
      </c>
    </row>
    <row r="295" spans="1:4" x14ac:dyDescent="0.3">
      <c r="A295" s="17">
        <v>37257</v>
      </c>
      <c r="B295">
        <v>-0.1</v>
      </c>
      <c r="C295">
        <v>0.25</v>
      </c>
      <c r="D295" s="55">
        <f t="shared" si="4"/>
        <v>-0.35</v>
      </c>
    </row>
    <row r="296" spans="1:4" x14ac:dyDescent="0.3">
      <c r="A296" s="17">
        <v>37226</v>
      </c>
      <c r="B296">
        <v>-0.2</v>
      </c>
      <c r="C296">
        <v>0.2</v>
      </c>
      <c r="D296" s="55">
        <f t="shared" si="4"/>
        <v>-0.4</v>
      </c>
    </row>
    <row r="297" spans="1:4" x14ac:dyDescent="0.3">
      <c r="A297" s="17">
        <v>37196</v>
      </c>
      <c r="B297">
        <v>-0.1</v>
      </c>
      <c r="C297">
        <v>0.2</v>
      </c>
      <c r="D297" s="55">
        <f t="shared" si="4"/>
        <v>-0.30000000000000004</v>
      </c>
    </row>
    <row r="298" spans="1:4" x14ac:dyDescent="0.3">
      <c r="A298" s="17">
        <v>37165</v>
      </c>
      <c r="B298">
        <v>-0.2</v>
      </c>
      <c r="C298">
        <v>0.2</v>
      </c>
      <c r="D298" s="55">
        <f t="shared" si="4"/>
        <v>-0.4</v>
      </c>
    </row>
    <row r="299" spans="1:4" x14ac:dyDescent="0.3">
      <c r="A299" s="17">
        <v>37135</v>
      </c>
      <c r="B299">
        <v>-0.2</v>
      </c>
      <c r="C299">
        <v>0.3</v>
      </c>
      <c r="D299" s="55">
        <f t="shared" si="4"/>
        <v>-0.5</v>
      </c>
    </row>
    <row r="300" spans="1:4" x14ac:dyDescent="0.3">
      <c r="A300" s="17">
        <v>37104</v>
      </c>
      <c r="B300">
        <v>-0.3</v>
      </c>
      <c r="C300">
        <v>0.5</v>
      </c>
      <c r="D300" s="55">
        <f t="shared" si="4"/>
        <v>-0.8</v>
      </c>
    </row>
    <row r="301" spans="1:4" x14ac:dyDescent="0.3">
      <c r="A301" s="17">
        <v>37073</v>
      </c>
      <c r="B301">
        <v>-0.15</v>
      </c>
      <c r="C301">
        <v>0.5</v>
      </c>
      <c r="D301" s="55">
        <f t="shared" si="4"/>
        <v>-0.65</v>
      </c>
    </row>
    <row r="302" spans="1:4" x14ac:dyDescent="0.3">
      <c r="A302" s="17">
        <v>37043</v>
      </c>
      <c r="B302">
        <v>-0.25</v>
      </c>
      <c r="C302">
        <v>0.3</v>
      </c>
      <c r="D302" s="55">
        <f t="shared" si="4"/>
        <v>-0.55000000000000004</v>
      </c>
    </row>
    <row r="303" spans="1:4" x14ac:dyDescent="0.3">
      <c r="A303" s="17">
        <v>37012</v>
      </c>
      <c r="B303">
        <v>-0.15</v>
      </c>
      <c r="C303">
        <v>0.3</v>
      </c>
      <c r="D303" s="55">
        <f t="shared" si="4"/>
        <v>-0.44999999999999996</v>
      </c>
    </row>
    <row r="304" spans="1:4" x14ac:dyDescent="0.3">
      <c r="A304" s="17">
        <v>36982</v>
      </c>
      <c r="B304">
        <v>-0.15</v>
      </c>
      <c r="C304">
        <v>0.3</v>
      </c>
      <c r="D304" s="55">
        <f t="shared" si="4"/>
        <v>-0.44999999999999996</v>
      </c>
    </row>
    <row r="305" spans="1:4" x14ac:dyDescent="0.3">
      <c r="A305" s="17">
        <v>36951</v>
      </c>
      <c r="B305">
        <v>-0.15</v>
      </c>
      <c r="C305">
        <v>0.45</v>
      </c>
      <c r="D305" s="55">
        <f t="shared" si="4"/>
        <v>-0.6</v>
      </c>
    </row>
    <row r="306" spans="1:4" x14ac:dyDescent="0.3">
      <c r="A306" s="17">
        <v>36923</v>
      </c>
      <c r="B306">
        <v>-0.85</v>
      </c>
      <c r="C306">
        <v>-0.25</v>
      </c>
      <c r="D306" s="55">
        <f t="shared" si="4"/>
        <v>-0.6</v>
      </c>
    </row>
    <row r="307" spans="1:4" x14ac:dyDescent="0.3">
      <c r="A307" s="17">
        <v>36892</v>
      </c>
      <c r="B307">
        <v>-0.75</v>
      </c>
      <c r="C307">
        <v>0.1</v>
      </c>
      <c r="D307" s="55">
        <f t="shared" si="4"/>
        <v>-0.85</v>
      </c>
    </row>
    <row r="308" spans="1:4" x14ac:dyDescent="0.3">
      <c r="A308" s="17">
        <v>36861</v>
      </c>
      <c r="B308">
        <v>-0.6</v>
      </c>
      <c r="C308">
        <v>0.2</v>
      </c>
      <c r="D308" s="55">
        <f t="shared" si="4"/>
        <v>-0.8</v>
      </c>
    </row>
    <row r="309" spans="1:4" x14ac:dyDescent="0.3">
      <c r="A309" s="17">
        <v>36831</v>
      </c>
      <c r="B309">
        <v>-0.95</v>
      </c>
      <c r="C309">
        <v>0.1</v>
      </c>
      <c r="D309" s="55">
        <f t="shared" si="4"/>
        <v>-1.05</v>
      </c>
    </row>
    <row r="310" spans="1:4" x14ac:dyDescent="0.3">
      <c r="A310" s="17">
        <v>36800</v>
      </c>
      <c r="B310">
        <v>-1.1000000000000001</v>
      </c>
      <c r="C310">
        <v>0.3</v>
      </c>
      <c r="D310" s="55">
        <f t="shared" si="4"/>
        <v>-1.4000000000000001</v>
      </c>
    </row>
    <row r="311" spans="1:4" x14ac:dyDescent="0.3">
      <c r="A311" s="17">
        <v>36770</v>
      </c>
      <c r="B311">
        <v>-0.7</v>
      </c>
      <c r="C311">
        <v>0.1</v>
      </c>
      <c r="D311" s="55">
        <f t="shared" si="4"/>
        <v>-0.79999999999999993</v>
      </c>
    </row>
    <row r="312" spans="1:4" x14ac:dyDescent="0.3">
      <c r="A312" s="17">
        <v>36739</v>
      </c>
      <c r="B312">
        <v>0</v>
      </c>
      <c r="C312">
        <v>0.6</v>
      </c>
      <c r="D312" s="55">
        <f t="shared" si="4"/>
        <v>-0.6</v>
      </c>
    </row>
    <row r="313" spans="1:4" x14ac:dyDescent="0.3">
      <c r="A313" s="17">
        <v>36708</v>
      </c>
      <c r="B313">
        <v>0.1</v>
      </c>
      <c r="C313">
        <v>0.6</v>
      </c>
      <c r="D313" s="55">
        <f t="shared" si="4"/>
        <v>-0.5</v>
      </c>
    </row>
    <row r="314" spans="1:4" x14ac:dyDescent="0.3">
      <c r="A314" s="17">
        <v>36678</v>
      </c>
      <c r="B314">
        <v>0.1</v>
      </c>
      <c r="C314">
        <v>0.6</v>
      </c>
      <c r="D314" s="55">
        <f t="shared" si="4"/>
        <v>-0.5</v>
      </c>
    </row>
    <row r="315" spans="1:4" x14ac:dyDescent="0.3">
      <c r="A315" s="17">
        <v>36647</v>
      </c>
      <c r="B315">
        <v>0.05</v>
      </c>
      <c r="C315">
        <v>0.5</v>
      </c>
      <c r="D315" s="55">
        <f t="shared" si="4"/>
        <v>-0.45</v>
      </c>
    </row>
    <row r="316" spans="1:4" x14ac:dyDescent="0.3">
      <c r="A316" s="17">
        <v>36617</v>
      </c>
      <c r="B316">
        <v>0</v>
      </c>
      <c r="C316">
        <v>0.75</v>
      </c>
      <c r="D316" s="55">
        <f t="shared" si="4"/>
        <v>-0.75</v>
      </c>
    </row>
    <row r="317" spans="1:4" x14ac:dyDescent="0.3">
      <c r="A317" s="17">
        <v>36586</v>
      </c>
      <c r="B317">
        <v>-0.2</v>
      </c>
      <c r="C317">
        <v>0.75</v>
      </c>
      <c r="D317" s="55">
        <f t="shared" si="4"/>
        <v>-0.95</v>
      </c>
    </row>
    <row r="318" spans="1:4" x14ac:dyDescent="0.3">
      <c r="A318" s="17">
        <v>36557</v>
      </c>
      <c r="B318">
        <v>0.15</v>
      </c>
      <c r="C318">
        <v>0.75</v>
      </c>
      <c r="D318" s="55">
        <f t="shared" si="4"/>
        <v>-0.6</v>
      </c>
    </row>
    <row r="319" spans="1:4" x14ac:dyDescent="0.3">
      <c r="A319" s="17">
        <v>36526</v>
      </c>
      <c r="B319">
        <v>0.35</v>
      </c>
      <c r="C319">
        <v>1</v>
      </c>
      <c r="D319" s="55">
        <f t="shared" si="4"/>
        <v>-0.65</v>
      </c>
    </row>
    <row r="320" spans="1:4" x14ac:dyDescent="0.3">
      <c r="A320" s="17">
        <v>36495</v>
      </c>
      <c r="B320">
        <v>0.1</v>
      </c>
      <c r="C320">
        <v>0.5</v>
      </c>
      <c r="D320" s="55">
        <f t="shared" si="4"/>
        <v>-0.4</v>
      </c>
    </row>
    <row r="321" spans="1:4" x14ac:dyDescent="0.3">
      <c r="A321" s="17">
        <v>36465</v>
      </c>
      <c r="B321">
        <v>0.2</v>
      </c>
      <c r="C321">
        <v>0.7</v>
      </c>
      <c r="D321" s="55">
        <f t="shared" si="4"/>
        <v>-0.49999999999999994</v>
      </c>
    </row>
    <row r="322" spans="1:4" x14ac:dyDescent="0.3">
      <c r="A322" s="17">
        <v>36434</v>
      </c>
      <c r="B322">
        <v>-0.25</v>
      </c>
      <c r="C322">
        <v>0.25</v>
      </c>
      <c r="D322" s="55">
        <f t="shared" si="4"/>
        <v>-0.5</v>
      </c>
    </row>
    <row r="323" spans="1:4" x14ac:dyDescent="0.3">
      <c r="A323" s="17">
        <v>36404</v>
      </c>
      <c r="B323">
        <v>-0.55000000000000004</v>
      </c>
      <c r="C323">
        <v>0</v>
      </c>
      <c r="D323" s="55">
        <f t="shared" si="4"/>
        <v>-0.55000000000000004</v>
      </c>
    </row>
    <row r="324" spans="1:4" x14ac:dyDescent="0.3">
      <c r="A324" s="17">
        <v>36373</v>
      </c>
      <c r="B324">
        <v>-0.65</v>
      </c>
      <c r="C324">
        <v>-0.1</v>
      </c>
      <c r="D324" s="55">
        <f t="shared" si="4"/>
        <v>-0.55000000000000004</v>
      </c>
    </row>
    <row r="325" spans="1:4" x14ac:dyDescent="0.3">
      <c r="A325" s="17">
        <v>36342</v>
      </c>
      <c r="B325">
        <v>-0.45</v>
      </c>
      <c r="C325">
        <v>0</v>
      </c>
      <c r="D325" s="55">
        <f t="shared" si="4"/>
        <v>-0.45</v>
      </c>
    </row>
    <row r="326" spans="1:4" x14ac:dyDescent="0.3">
      <c r="A326" s="17">
        <v>36312</v>
      </c>
      <c r="B326">
        <v>-0.3</v>
      </c>
      <c r="C326">
        <v>0.15</v>
      </c>
      <c r="D326" s="55">
        <f t="shared" si="4"/>
        <v>-0.44999999999999996</v>
      </c>
    </row>
    <row r="327" spans="1:4" x14ac:dyDescent="0.3">
      <c r="A327" s="17">
        <v>36281</v>
      </c>
      <c r="B327">
        <v>-0.5</v>
      </c>
      <c r="C327">
        <v>0.05</v>
      </c>
      <c r="D327" s="55">
        <f t="shared" si="4"/>
        <v>-0.55000000000000004</v>
      </c>
    </row>
    <row r="328" spans="1:4" x14ac:dyDescent="0.3">
      <c r="A328" s="17">
        <v>36251</v>
      </c>
      <c r="B328">
        <v>-0.5</v>
      </c>
      <c r="C328">
        <v>-0.15</v>
      </c>
      <c r="D328" s="55">
        <f t="shared" si="4"/>
        <v>-0.35</v>
      </c>
    </row>
    <row r="329" spans="1:4" x14ac:dyDescent="0.3">
      <c r="A329" s="17">
        <v>36220</v>
      </c>
      <c r="B329">
        <v>-0.35</v>
      </c>
      <c r="C329">
        <v>0.05</v>
      </c>
      <c r="D329" s="55">
        <f t="shared" ref="D329:D392" si="5">+B329-C329</f>
        <v>-0.39999999999999997</v>
      </c>
    </row>
    <row r="330" spans="1:4" x14ac:dyDescent="0.3">
      <c r="A330" s="17">
        <v>36192</v>
      </c>
      <c r="B330">
        <v>-0.6</v>
      </c>
      <c r="C330">
        <v>-0.15</v>
      </c>
      <c r="D330" s="55">
        <f t="shared" si="5"/>
        <v>-0.44999999999999996</v>
      </c>
    </row>
    <row r="331" spans="1:4" x14ac:dyDescent="0.3">
      <c r="A331" s="17">
        <v>36161</v>
      </c>
      <c r="B331">
        <v>-0.45</v>
      </c>
      <c r="C331">
        <v>-0.05</v>
      </c>
      <c r="D331" s="55">
        <f t="shared" si="5"/>
        <v>-0.4</v>
      </c>
    </row>
    <row r="332" spans="1:4" x14ac:dyDescent="0.3">
      <c r="A332" s="17">
        <v>36130</v>
      </c>
      <c r="B332">
        <v>-0.3</v>
      </c>
      <c r="C332">
        <v>0.2</v>
      </c>
      <c r="D332" s="55">
        <f t="shared" si="5"/>
        <v>-0.5</v>
      </c>
    </row>
    <row r="333" spans="1:4" x14ac:dyDescent="0.3">
      <c r="A333" s="17">
        <v>36100</v>
      </c>
      <c r="B333">
        <v>-0.15</v>
      </c>
      <c r="C333">
        <v>0.3</v>
      </c>
      <c r="D333" s="55">
        <f t="shared" si="5"/>
        <v>-0.44999999999999996</v>
      </c>
    </row>
    <row r="334" spans="1:4" x14ac:dyDescent="0.3">
      <c r="A334" s="17">
        <v>36069</v>
      </c>
      <c r="B334">
        <v>-0.15</v>
      </c>
      <c r="C334">
        <v>0.3</v>
      </c>
      <c r="D334" s="55">
        <f t="shared" si="5"/>
        <v>-0.44999999999999996</v>
      </c>
    </row>
    <row r="335" spans="1:4" x14ac:dyDescent="0.3">
      <c r="A335" s="17">
        <v>36039</v>
      </c>
      <c r="B335">
        <v>-0.35</v>
      </c>
      <c r="C335">
        <v>0.3</v>
      </c>
      <c r="D335" s="55">
        <f t="shared" si="5"/>
        <v>-0.64999999999999991</v>
      </c>
    </row>
    <row r="336" spans="1:4" x14ac:dyDescent="0.3">
      <c r="A336" s="17">
        <v>36008</v>
      </c>
      <c r="B336">
        <v>-0.85</v>
      </c>
      <c r="C336">
        <v>-0.2</v>
      </c>
      <c r="D336" s="55">
        <f t="shared" si="5"/>
        <v>-0.64999999999999991</v>
      </c>
    </row>
    <row r="337" spans="1:4" x14ac:dyDescent="0.3">
      <c r="A337" s="17">
        <v>35977</v>
      </c>
      <c r="B337">
        <v>-0.85</v>
      </c>
      <c r="C337">
        <v>0</v>
      </c>
      <c r="D337" s="55">
        <f t="shared" si="5"/>
        <v>-0.85</v>
      </c>
    </row>
    <row r="338" spans="1:4" x14ac:dyDescent="0.3">
      <c r="A338" s="17">
        <v>35947</v>
      </c>
      <c r="B338">
        <v>-0.85</v>
      </c>
      <c r="C338">
        <v>0</v>
      </c>
      <c r="D338" s="55">
        <f t="shared" si="5"/>
        <v>-0.85</v>
      </c>
    </row>
    <row r="339" spans="1:4" x14ac:dyDescent="0.3">
      <c r="A339" s="17">
        <v>35916</v>
      </c>
      <c r="B339">
        <v>-1</v>
      </c>
      <c r="C339">
        <v>-0.15</v>
      </c>
      <c r="D339" s="55">
        <f t="shared" si="5"/>
        <v>-0.85</v>
      </c>
    </row>
    <row r="340" spans="1:4" x14ac:dyDescent="0.3">
      <c r="A340" s="17">
        <v>35886</v>
      </c>
      <c r="B340">
        <v>-1.1000000000000001</v>
      </c>
      <c r="C340">
        <v>-0.3</v>
      </c>
      <c r="D340" s="55">
        <f t="shared" si="5"/>
        <v>-0.8</v>
      </c>
    </row>
    <row r="341" spans="1:4" x14ac:dyDescent="0.3">
      <c r="A341" s="17">
        <v>35855</v>
      </c>
      <c r="B341">
        <v>-0.85</v>
      </c>
      <c r="C341">
        <v>-0.15</v>
      </c>
      <c r="D341" s="55">
        <f t="shared" si="5"/>
        <v>-0.7</v>
      </c>
    </row>
    <row r="342" spans="1:4" x14ac:dyDescent="0.3">
      <c r="A342" s="17">
        <v>35827</v>
      </c>
      <c r="B342">
        <v>-0.65</v>
      </c>
      <c r="C342">
        <v>0</v>
      </c>
      <c r="D342" s="55">
        <f t="shared" si="5"/>
        <v>-0.65</v>
      </c>
    </row>
    <row r="343" spans="1:4" x14ac:dyDescent="0.3">
      <c r="A343" s="17">
        <v>35796</v>
      </c>
      <c r="B343">
        <v>-0.5</v>
      </c>
      <c r="C343">
        <v>0.1</v>
      </c>
      <c r="D343" s="55">
        <f t="shared" si="5"/>
        <v>-0.6</v>
      </c>
    </row>
    <row r="344" spans="1:4" x14ac:dyDescent="0.3">
      <c r="A344" s="17">
        <v>35765</v>
      </c>
      <c r="B344">
        <v>-0.4</v>
      </c>
      <c r="C344">
        <v>0.2</v>
      </c>
      <c r="D344" s="55">
        <f t="shared" si="5"/>
        <v>-0.60000000000000009</v>
      </c>
    </row>
    <row r="345" spans="1:4" x14ac:dyDescent="0.3">
      <c r="A345" s="17">
        <v>35735</v>
      </c>
      <c r="B345">
        <v>-0.2</v>
      </c>
      <c r="C345">
        <v>0.2</v>
      </c>
      <c r="D345" s="55">
        <f t="shared" si="5"/>
        <v>-0.4</v>
      </c>
    </row>
    <row r="346" spans="1:4" x14ac:dyDescent="0.3">
      <c r="A346" s="17">
        <v>35704</v>
      </c>
      <c r="B346">
        <v>-0.2</v>
      </c>
      <c r="C346">
        <v>0.2</v>
      </c>
      <c r="D346" s="55">
        <f t="shared" si="5"/>
        <v>-0.4</v>
      </c>
    </row>
    <row r="347" spans="1:4" x14ac:dyDescent="0.3">
      <c r="A347" s="17">
        <v>35674</v>
      </c>
      <c r="B347">
        <v>-0.3</v>
      </c>
      <c r="C347">
        <v>0.1</v>
      </c>
      <c r="D347" s="55">
        <f t="shared" si="5"/>
        <v>-0.4</v>
      </c>
    </row>
    <row r="348" spans="1:4" x14ac:dyDescent="0.3">
      <c r="A348" s="17">
        <v>35643</v>
      </c>
      <c r="B348">
        <v>-0.5</v>
      </c>
      <c r="C348">
        <v>0</v>
      </c>
      <c r="D348" s="55">
        <f t="shared" si="5"/>
        <v>-0.5</v>
      </c>
    </row>
    <row r="349" spans="1:4" x14ac:dyDescent="0.3">
      <c r="A349" s="17">
        <v>35612</v>
      </c>
      <c r="B349">
        <v>-0.4</v>
      </c>
      <c r="C349">
        <v>0.4</v>
      </c>
      <c r="D349" s="55">
        <f t="shared" si="5"/>
        <v>-0.8</v>
      </c>
    </row>
    <row r="350" spans="1:4" x14ac:dyDescent="0.3">
      <c r="A350" s="17">
        <v>35582</v>
      </c>
      <c r="B350">
        <v>-0.5</v>
      </c>
      <c r="C350">
        <v>0.4</v>
      </c>
      <c r="D350" s="55">
        <f t="shared" si="5"/>
        <v>-0.9</v>
      </c>
    </row>
    <row r="351" spans="1:4" x14ac:dyDescent="0.3">
      <c r="A351" s="17">
        <v>35551</v>
      </c>
      <c r="B351">
        <v>-0.5</v>
      </c>
      <c r="C351">
        <v>0.5</v>
      </c>
      <c r="D351" s="55">
        <f t="shared" si="5"/>
        <v>-1</v>
      </c>
    </row>
    <row r="352" spans="1:4" x14ac:dyDescent="0.3">
      <c r="A352" s="17">
        <v>35521</v>
      </c>
      <c r="B352">
        <v>-0.4</v>
      </c>
      <c r="C352">
        <v>0.6</v>
      </c>
      <c r="D352" s="55">
        <f t="shared" si="5"/>
        <v>-1</v>
      </c>
    </row>
    <row r="353" spans="1:4" x14ac:dyDescent="0.3">
      <c r="A353" s="17">
        <v>35490</v>
      </c>
      <c r="B353">
        <v>-0.4</v>
      </c>
      <c r="C353">
        <v>0.6</v>
      </c>
      <c r="D353" s="55">
        <f t="shared" si="5"/>
        <v>-1</v>
      </c>
    </row>
    <row r="354" spans="1:4" x14ac:dyDescent="0.3">
      <c r="A354" s="17">
        <v>35462</v>
      </c>
      <c r="B354">
        <v>-0.3</v>
      </c>
      <c r="C354">
        <v>0.75</v>
      </c>
      <c r="D354" s="55">
        <f t="shared" si="5"/>
        <v>-1.05</v>
      </c>
    </row>
    <row r="355" spans="1:4" x14ac:dyDescent="0.3">
      <c r="A355" s="17">
        <v>35431</v>
      </c>
      <c r="B355">
        <v>-0.3</v>
      </c>
      <c r="C355">
        <v>0.75</v>
      </c>
      <c r="D355" s="55">
        <f t="shared" si="5"/>
        <v>-1.05</v>
      </c>
    </row>
    <row r="356" spans="1:4" x14ac:dyDescent="0.3">
      <c r="A356" s="17">
        <v>35400</v>
      </c>
      <c r="B356">
        <v>-0.3</v>
      </c>
      <c r="C356">
        <v>0.75</v>
      </c>
      <c r="D356" s="55">
        <f t="shared" si="5"/>
        <v>-1.05</v>
      </c>
    </row>
    <row r="357" spans="1:4" x14ac:dyDescent="0.3">
      <c r="A357" s="17">
        <v>35370</v>
      </c>
      <c r="B357">
        <v>-0.3</v>
      </c>
      <c r="C357">
        <v>0.6</v>
      </c>
      <c r="D357" s="55">
        <f t="shared" si="5"/>
        <v>-0.89999999999999991</v>
      </c>
    </row>
    <row r="358" spans="1:4" x14ac:dyDescent="0.3">
      <c r="A358" s="17">
        <v>35339</v>
      </c>
      <c r="B358">
        <v>-0.4</v>
      </c>
      <c r="C358">
        <v>0.55000000000000004</v>
      </c>
      <c r="D358" s="55">
        <f t="shared" si="5"/>
        <v>-0.95000000000000007</v>
      </c>
    </row>
    <row r="359" spans="1:4" x14ac:dyDescent="0.3">
      <c r="A359" s="17">
        <v>35309</v>
      </c>
      <c r="B359">
        <v>-0.5</v>
      </c>
      <c r="C359">
        <v>0.55000000000000004</v>
      </c>
      <c r="D359" s="55">
        <f t="shared" si="5"/>
        <v>-1.05</v>
      </c>
    </row>
    <row r="360" spans="1:4" x14ac:dyDescent="0.3">
      <c r="A360" s="17">
        <v>35278</v>
      </c>
      <c r="B360">
        <v>-0.5</v>
      </c>
      <c r="C360">
        <v>0.55000000000000004</v>
      </c>
      <c r="D360" s="55">
        <f t="shared" si="5"/>
        <v>-1.05</v>
      </c>
    </row>
    <row r="361" spans="1:4" x14ac:dyDescent="0.3">
      <c r="A361" s="17">
        <v>35247</v>
      </c>
      <c r="B361">
        <v>-0.6</v>
      </c>
      <c r="C361">
        <v>0.55000000000000004</v>
      </c>
      <c r="D361" s="55">
        <f t="shared" si="5"/>
        <v>-1.1499999999999999</v>
      </c>
    </row>
    <row r="362" spans="1:4" x14ac:dyDescent="0.3">
      <c r="A362" s="17">
        <v>35217</v>
      </c>
      <c r="B362">
        <v>-0.35</v>
      </c>
      <c r="C362">
        <v>0.55000000000000004</v>
      </c>
      <c r="D362" s="55">
        <f t="shared" si="5"/>
        <v>-0.9</v>
      </c>
    </row>
    <row r="363" spans="1:4" x14ac:dyDescent="0.3">
      <c r="A363" s="17">
        <v>35186</v>
      </c>
      <c r="B363">
        <v>-0.35</v>
      </c>
      <c r="C363">
        <v>0.55000000000000004</v>
      </c>
      <c r="D363" s="55">
        <f t="shared" si="5"/>
        <v>-0.9</v>
      </c>
    </row>
    <row r="364" spans="1:4" x14ac:dyDescent="0.3">
      <c r="A364" s="17">
        <v>35156</v>
      </c>
      <c r="B364">
        <v>-0.35</v>
      </c>
      <c r="C364">
        <v>0.55000000000000004</v>
      </c>
      <c r="D364" s="55">
        <f t="shared" si="5"/>
        <v>-0.9</v>
      </c>
    </row>
    <row r="365" spans="1:4" x14ac:dyDescent="0.3">
      <c r="A365" s="17">
        <v>35125</v>
      </c>
      <c r="B365">
        <v>-0.25</v>
      </c>
      <c r="C365">
        <v>0.55000000000000004</v>
      </c>
      <c r="D365" s="55">
        <f t="shared" si="5"/>
        <v>-0.8</v>
      </c>
    </row>
    <row r="366" spans="1:4" x14ac:dyDescent="0.3">
      <c r="A366" s="17">
        <v>35096</v>
      </c>
      <c r="B366">
        <v>-0.2</v>
      </c>
      <c r="C366">
        <v>0.6</v>
      </c>
      <c r="D366" s="55">
        <f t="shared" si="5"/>
        <v>-0.8</v>
      </c>
    </row>
    <row r="367" spans="1:4" x14ac:dyDescent="0.3">
      <c r="A367" s="17">
        <v>35065</v>
      </c>
      <c r="B367">
        <v>-0.2</v>
      </c>
      <c r="C367">
        <v>0.6</v>
      </c>
      <c r="D367" s="55">
        <f t="shared" si="5"/>
        <v>-0.8</v>
      </c>
    </row>
    <row r="368" spans="1:4" x14ac:dyDescent="0.3">
      <c r="A368" s="17">
        <v>35034</v>
      </c>
      <c r="B368">
        <v>-0.1</v>
      </c>
      <c r="C368">
        <v>0.6</v>
      </c>
      <c r="D368" s="55">
        <f t="shared" si="5"/>
        <v>-0.7</v>
      </c>
    </row>
    <row r="369" spans="1:4" x14ac:dyDescent="0.3">
      <c r="A369" s="17">
        <v>35004</v>
      </c>
      <c r="B369">
        <v>-0.2</v>
      </c>
      <c r="C369">
        <v>0.5</v>
      </c>
      <c r="D369" s="55">
        <f t="shared" si="5"/>
        <v>-0.7</v>
      </c>
    </row>
    <row r="370" spans="1:4" x14ac:dyDescent="0.3">
      <c r="A370" s="17">
        <v>34973</v>
      </c>
      <c r="B370">
        <v>-0.2</v>
      </c>
      <c r="C370">
        <v>0.5</v>
      </c>
      <c r="D370" s="55">
        <f t="shared" si="5"/>
        <v>-0.7</v>
      </c>
    </row>
    <row r="371" spans="1:4" x14ac:dyDescent="0.3">
      <c r="A371" s="17">
        <v>34943</v>
      </c>
      <c r="B371">
        <v>-0.05</v>
      </c>
      <c r="C371">
        <v>0.5</v>
      </c>
      <c r="D371" s="55">
        <f t="shared" si="5"/>
        <v>-0.55000000000000004</v>
      </c>
    </row>
    <row r="372" spans="1:4" x14ac:dyDescent="0.3">
      <c r="A372" s="17">
        <v>34912</v>
      </c>
      <c r="B372">
        <v>-0.05</v>
      </c>
      <c r="C372">
        <v>0.5</v>
      </c>
      <c r="D372" s="55">
        <f t="shared" si="5"/>
        <v>-0.55000000000000004</v>
      </c>
    </row>
    <row r="373" spans="1:4" x14ac:dyDescent="0.3">
      <c r="A373" s="17">
        <v>34881</v>
      </c>
      <c r="B373">
        <v>-0.05</v>
      </c>
      <c r="C373">
        <v>0.5</v>
      </c>
      <c r="D373" s="55">
        <f t="shared" si="5"/>
        <v>-0.55000000000000004</v>
      </c>
    </row>
    <row r="374" spans="1:4" x14ac:dyDescent="0.3">
      <c r="A374" s="17">
        <v>34851</v>
      </c>
      <c r="B374">
        <v>-0.05</v>
      </c>
      <c r="C374">
        <v>0.5</v>
      </c>
      <c r="D374" s="55">
        <f t="shared" si="5"/>
        <v>-0.55000000000000004</v>
      </c>
    </row>
    <row r="375" spans="1:4" x14ac:dyDescent="0.3">
      <c r="A375" s="17">
        <v>34820</v>
      </c>
      <c r="B375">
        <v>-0.05</v>
      </c>
      <c r="C375">
        <v>0.4</v>
      </c>
      <c r="D375" s="55">
        <f t="shared" si="5"/>
        <v>-0.45</v>
      </c>
    </row>
    <row r="376" spans="1:4" x14ac:dyDescent="0.3">
      <c r="A376" s="17">
        <v>34790</v>
      </c>
      <c r="B376">
        <v>-0.05</v>
      </c>
      <c r="C376">
        <v>0.5</v>
      </c>
      <c r="D376" s="55">
        <f t="shared" si="5"/>
        <v>-0.55000000000000004</v>
      </c>
    </row>
    <row r="377" spans="1:4" x14ac:dyDescent="0.3">
      <c r="A377" s="17">
        <v>34759</v>
      </c>
      <c r="B377">
        <v>-0.15</v>
      </c>
      <c r="C377">
        <v>0.5</v>
      </c>
      <c r="D377" s="55">
        <f t="shared" si="5"/>
        <v>-0.65</v>
      </c>
    </row>
    <row r="378" spans="1:4" x14ac:dyDescent="0.3">
      <c r="A378" s="17">
        <v>34731</v>
      </c>
      <c r="B378">
        <v>-0.45</v>
      </c>
      <c r="C378">
        <v>0.5</v>
      </c>
      <c r="D378" s="55">
        <f t="shared" si="5"/>
        <v>-0.95</v>
      </c>
    </row>
    <row r="379" spans="1:4" x14ac:dyDescent="0.3">
      <c r="A379" s="17">
        <v>34700</v>
      </c>
      <c r="B379">
        <v>-0.4</v>
      </c>
      <c r="C379">
        <v>0.5</v>
      </c>
      <c r="D379" s="55">
        <f t="shared" si="5"/>
        <v>-0.9</v>
      </c>
    </row>
    <row r="380" spans="1:4" x14ac:dyDescent="0.3">
      <c r="A380" s="17">
        <v>34669</v>
      </c>
      <c r="B380">
        <v>-0.45</v>
      </c>
      <c r="C380">
        <v>0.5</v>
      </c>
      <c r="D380" s="55">
        <f t="shared" si="5"/>
        <v>-0.95</v>
      </c>
    </row>
    <row r="381" spans="1:4" x14ac:dyDescent="0.3">
      <c r="A381" s="17">
        <v>34639</v>
      </c>
      <c r="B381">
        <v>-0.55000000000000004</v>
      </c>
      <c r="C381">
        <v>0.5</v>
      </c>
      <c r="D381" s="55">
        <f t="shared" si="5"/>
        <v>-1.05</v>
      </c>
    </row>
    <row r="382" spans="1:4" x14ac:dyDescent="0.3">
      <c r="A382" s="17">
        <v>34608</v>
      </c>
      <c r="B382">
        <v>-0.55000000000000004</v>
      </c>
      <c r="C382">
        <v>0.5</v>
      </c>
      <c r="D382" s="55">
        <f t="shared" si="5"/>
        <v>-1.05</v>
      </c>
    </row>
    <row r="383" spans="1:4" x14ac:dyDescent="0.3">
      <c r="A383" s="17">
        <v>34578</v>
      </c>
      <c r="B383">
        <v>-0.1</v>
      </c>
      <c r="C383">
        <v>0.4</v>
      </c>
      <c r="D383" s="55">
        <f t="shared" si="5"/>
        <v>-0.5</v>
      </c>
    </row>
    <row r="384" spans="1:4" x14ac:dyDescent="0.3">
      <c r="A384" s="17">
        <v>34547</v>
      </c>
      <c r="B384">
        <v>-0.25</v>
      </c>
      <c r="C384">
        <v>0.55000000000000004</v>
      </c>
      <c r="D384" s="55">
        <f t="shared" si="5"/>
        <v>-0.8</v>
      </c>
    </row>
    <row r="385" spans="1:4" x14ac:dyDescent="0.3">
      <c r="A385" s="17">
        <v>34516</v>
      </c>
      <c r="B385">
        <v>-0.3</v>
      </c>
      <c r="C385">
        <v>0.5</v>
      </c>
      <c r="D385" s="55">
        <f t="shared" si="5"/>
        <v>-0.8</v>
      </c>
    </row>
    <row r="386" spans="1:4" x14ac:dyDescent="0.3">
      <c r="A386" s="17">
        <v>34486</v>
      </c>
      <c r="B386">
        <v>-0.4</v>
      </c>
      <c r="C386">
        <v>0.65</v>
      </c>
      <c r="D386" s="55">
        <f t="shared" si="5"/>
        <v>-1.05</v>
      </c>
    </row>
    <row r="387" spans="1:4" x14ac:dyDescent="0.3">
      <c r="A387" s="17">
        <v>34455</v>
      </c>
      <c r="B387">
        <v>-0.8</v>
      </c>
      <c r="C387">
        <v>0.4</v>
      </c>
      <c r="D387" s="55">
        <f t="shared" si="5"/>
        <v>-1.2000000000000002</v>
      </c>
    </row>
    <row r="388" spans="1:4" x14ac:dyDescent="0.3">
      <c r="A388" s="17">
        <v>34425</v>
      </c>
      <c r="B388">
        <v>0</v>
      </c>
      <c r="C388">
        <v>0.4</v>
      </c>
      <c r="D388" s="55">
        <f t="shared" si="5"/>
        <v>-0.4</v>
      </c>
    </row>
    <row r="389" spans="1:4" x14ac:dyDescent="0.3">
      <c r="A389" s="17">
        <v>34394</v>
      </c>
      <c r="B389">
        <v>-0.7</v>
      </c>
      <c r="C389">
        <v>0.45</v>
      </c>
      <c r="D389" s="55">
        <f t="shared" si="5"/>
        <v>-1.1499999999999999</v>
      </c>
    </row>
    <row r="390" spans="1:4" x14ac:dyDescent="0.3">
      <c r="A390" s="17">
        <v>34366</v>
      </c>
      <c r="B390">
        <v>-1.05</v>
      </c>
      <c r="C390">
        <v>0.35</v>
      </c>
      <c r="D390" s="55">
        <f t="shared" si="5"/>
        <v>-1.4</v>
      </c>
    </row>
    <row r="391" spans="1:4" x14ac:dyDescent="0.3">
      <c r="A391" s="17">
        <v>34335</v>
      </c>
      <c r="B391">
        <v>-1.3</v>
      </c>
      <c r="C391">
        <v>0.35</v>
      </c>
      <c r="D391" s="55">
        <f t="shared" si="5"/>
        <v>-1.65</v>
      </c>
    </row>
    <row r="392" spans="1:4" x14ac:dyDescent="0.3">
      <c r="A392" s="17">
        <v>34304</v>
      </c>
      <c r="B392">
        <v>-1.1499999999999999</v>
      </c>
      <c r="C392">
        <v>0.3</v>
      </c>
      <c r="D392" s="55">
        <f t="shared" si="5"/>
        <v>-1.45</v>
      </c>
    </row>
    <row r="393" spans="1:4" x14ac:dyDescent="0.3">
      <c r="A393" s="17">
        <v>34274</v>
      </c>
      <c r="B393">
        <v>-1.1000000000000001</v>
      </c>
      <c r="C393">
        <v>0.3</v>
      </c>
      <c r="D393" s="55">
        <f t="shared" ref="D393:D451" si="6">+B393-C393</f>
        <v>-1.4000000000000001</v>
      </c>
    </row>
    <row r="394" spans="1:4" x14ac:dyDescent="0.3">
      <c r="A394" s="17">
        <v>34243</v>
      </c>
      <c r="B394">
        <v>-1.2</v>
      </c>
      <c r="C394">
        <v>0.2</v>
      </c>
      <c r="D394" s="55">
        <f t="shared" si="6"/>
        <v>-1.4</v>
      </c>
    </row>
    <row r="395" spans="1:4" x14ac:dyDescent="0.3">
      <c r="A395" s="17">
        <v>34213</v>
      </c>
      <c r="B395">
        <v>-1.3</v>
      </c>
      <c r="C395">
        <v>0.2</v>
      </c>
      <c r="D395" s="55">
        <f t="shared" si="6"/>
        <v>-1.5</v>
      </c>
    </row>
    <row r="396" spans="1:4" x14ac:dyDescent="0.3">
      <c r="A396" s="17">
        <v>34182</v>
      </c>
      <c r="B396">
        <v>-1.4</v>
      </c>
      <c r="C396">
        <v>0.2</v>
      </c>
      <c r="D396" s="55">
        <f t="shared" si="6"/>
        <v>-1.5999999999999999</v>
      </c>
    </row>
    <row r="397" spans="1:4" x14ac:dyDescent="0.3">
      <c r="A397" s="17">
        <v>34151</v>
      </c>
      <c r="B397">
        <v>-1.3</v>
      </c>
      <c r="C397">
        <v>0.3</v>
      </c>
      <c r="D397" s="55">
        <f t="shared" si="6"/>
        <v>-1.6</v>
      </c>
    </row>
    <row r="398" spans="1:4" x14ac:dyDescent="0.3">
      <c r="A398" s="17">
        <v>34121</v>
      </c>
      <c r="B398">
        <v>-1.3</v>
      </c>
      <c r="C398">
        <v>0.3</v>
      </c>
      <c r="D398" s="55">
        <f t="shared" si="6"/>
        <v>-1.6</v>
      </c>
    </row>
    <row r="399" spans="1:4" x14ac:dyDescent="0.3">
      <c r="A399" s="17">
        <v>34090</v>
      </c>
      <c r="B399">
        <v>-1.3</v>
      </c>
      <c r="C399">
        <v>0.3</v>
      </c>
      <c r="D399" s="55">
        <f t="shared" si="6"/>
        <v>-1.6</v>
      </c>
    </row>
    <row r="400" spans="1:4" x14ac:dyDescent="0.3">
      <c r="A400" s="17">
        <v>34060</v>
      </c>
      <c r="B400">
        <v>-1.3</v>
      </c>
      <c r="C400">
        <v>0.3</v>
      </c>
      <c r="D400" s="55">
        <f t="shared" si="6"/>
        <v>-1.6</v>
      </c>
    </row>
    <row r="401" spans="1:4" x14ac:dyDescent="0.3">
      <c r="A401" s="17">
        <v>34029</v>
      </c>
      <c r="B401">
        <v>-1.3</v>
      </c>
      <c r="C401">
        <v>0.3</v>
      </c>
      <c r="D401" s="55">
        <f t="shared" si="6"/>
        <v>-1.6</v>
      </c>
    </row>
    <row r="402" spans="1:4" x14ac:dyDescent="0.3">
      <c r="A402" s="17">
        <v>34001</v>
      </c>
      <c r="B402">
        <v>-1.3</v>
      </c>
      <c r="C402">
        <v>0.4</v>
      </c>
      <c r="D402" s="55">
        <f t="shared" si="6"/>
        <v>-1.7000000000000002</v>
      </c>
    </row>
    <row r="403" spans="1:4" x14ac:dyDescent="0.3">
      <c r="A403" s="17">
        <v>33970</v>
      </c>
      <c r="B403">
        <v>-1.1499999999999999</v>
      </c>
      <c r="C403">
        <v>0.4</v>
      </c>
      <c r="D403" s="55">
        <f t="shared" si="6"/>
        <v>-1.5499999999999998</v>
      </c>
    </row>
    <row r="404" spans="1:4" x14ac:dyDescent="0.3">
      <c r="A404" s="17">
        <v>33939</v>
      </c>
      <c r="B404">
        <v>-1.05</v>
      </c>
      <c r="C404">
        <v>0.35</v>
      </c>
      <c r="D404" s="55">
        <f t="shared" si="6"/>
        <v>-1.4</v>
      </c>
    </row>
    <row r="405" spans="1:4" x14ac:dyDescent="0.3">
      <c r="A405" s="17">
        <v>33909</v>
      </c>
      <c r="B405">
        <v>-0.95</v>
      </c>
      <c r="C405">
        <v>0.35</v>
      </c>
      <c r="D405" s="55">
        <f t="shared" si="6"/>
        <v>-1.2999999999999998</v>
      </c>
    </row>
    <row r="406" spans="1:4" x14ac:dyDescent="0.3">
      <c r="A406" s="17">
        <v>33878</v>
      </c>
      <c r="B406">
        <v>-0.95</v>
      </c>
      <c r="C406">
        <v>0.5</v>
      </c>
      <c r="D406" s="55">
        <f t="shared" si="6"/>
        <v>-1.45</v>
      </c>
    </row>
    <row r="407" spans="1:4" x14ac:dyDescent="0.3">
      <c r="A407" s="17">
        <v>33848</v>
      </c>
      <c r="B407">
        <v>-1.1499999999999999</v>
      </c>
      <c r="C407">
        <v>0.5</v>
      </c>
      <c r="D407" s="55">
        <f t="shared" si="6"/>
        <v>-1.65</v>
      </c>
    </row>
    <row r="408" spans="1:4" x14ac:dyDescent="0.3">
      <c r="A408" s="17">
        <v>33817</v>
      </c>
      <c r="B408">
        <v>-1.1499999999999999</v>
      </c>
      <c r="C408">
        <v>0.5</v>
      </c>
      <c r="D408" s="55">
        <f t="shared" si="6"/>
        <v>-1.65</v>
      </c>
    </row>
    <row r="409" spans="1:4" x14ac:dyDescent="0.3">
      <c r="A409" s="17">
        <v>33786</v>
      </c>
      <c r="B409">
        <v>-1.05</v>
      </c>
      <c r="C409">
        <v>0.5</v>
      </c>
      <c r="D409" s="55">
        <f t="shared" si="6"/>
        <v>-1.55</v>
      </c>
    </row>
    <row r="410" spans="1:4" x14ac:dyDescent="0.3">
      <c r="A410" s="17">
        <v>33756</v>
      </c>
      <c r="B410">
        <v>-1.05</v>
      </c>
      <c r="C410">
        <v>0.5</v>
      </c>
      <c r="D410" s="55">
        <f t="shared" si="6"/>
        <v>-1.55</v>
      </c>
    </row>
    <row r="411" spans="1:4" x14ac:dyDescent="0.3">
      <c r="A411" s="17">
        <v>33725</v>
      </c>
      <c r="B411">
        <v>-1.05</v>
      </c>
      <c r="C411">
        <v>0.5</v>
      </c>
      <c r="D411" s="55">
        <f t="shared" si="6"/>
        <v>-1.55</v>
      </c>
    </row>
    <row r="412" spans="1:4" x14ac:dyDescent="0.3">
      <c r="A412" s="17">
        <v>33695</v>
      </c>
      <c r="B412">
        <v>-1.1000000000000001</v>
      </c>
      <c r="C412">
        <v>0.5</v>
      </c>
      <c r="D412" s="55">
        <f t="shared" si="6"/>
        <v>-1.6</v>
      </c>
    </row>
    <row r="413" spans="1:4" x14ac:dyDescent="0.3">
      <c r="A413" s="17">
        <v>33664</v>
      </c>
      <c r="B413">
        <v>-1.25</v>
      </c>
      <c r="C413">
        <v>0.5</v>
      </c>
      <c r="D413" s="55">
        <f t="shared" si="6"/>
        <v>-1.75</v>
      </c>
    </row>
    <row r="414" spans="1:4" x14ac:dyDescent="0.3">
      <c r="A414" s="17">
        <v>33635</v>
      </c>
      <c r="B414">
        <v>-1.25</v>
      </c>
      <c r="C414">
        <v>0.5</v>
      </c>
      <c r="D414" s="55">
        <f t="shared" si="6"/>
        <v>-1.75</v>
      </c>
    </row>
    <row r="415" spans="1:4" x14ac:dyDescent="0.3">
      <c r="A415" s="17">
        <v>33604</v>
      </c>
      <c r="B415">
        <v>-1.25</v>
      </c>
      <c r="C415">
        <v>0.5</v>
      </c>
      <c r="D415" s="55">
        <f t="shared" si="6"/>
        <v>-1.75</v>
      </c>
    </row>
    <row r="416" spans="1:4" x14ac:dyDescent="0.3">
      <c r="A416" s="17">
        <v>33573</v>
      </c>
      <c r="B416">
        <v>-1.35</v>
      </c>
      <c r="C416">
        <v>0.5</v>
      </c>
      <c r="D416" s="55">
        <f t="shared" si="6"/>
        <v>-1.85</v>
      </c>
    </row>
    <row r="417" spans="1:4" x14ac:dyDescent="0.3">
      <c r="A417" s="17">
        <v>33543</v>
      </c>
      <c r="B417">
        <v>-1.35</v>
      </c>
      <c r="C417">
        <v>0.5</v>
      </c>
      <c r="D417" s="55">
        <f t="shared" si="6"/>
        <v>-1.85</v>
      </c>
    </row>
    <row r="418" spans="1:4" x14ac:dyDescent="0.3">
      <c r="A418" s="17">
        <v>33512</v>
      </c>
      <c r="B418">
        <v>-1.35</v>
      </c>
      <c r="C418">
        <v>0.5</v>
      </c>
      <c r="D418" s="55">
        <f t="shared" si="6"/>
        <v>-1.85</v>
      </c>
    </row>
    <row r="419" spans="1:4" x14ac:dyDescent="0.3">
      <c r="A419" s="17">
        <v>33482</v>
      </c>
      <c r="B419">
        <v>-1.35</v>
      </c>
      <c r="C419">
        <v>0.35</v>
      </c>
      <c r="D419" s="55">
        <f t="shared" si="6"/>
        <v>-1.7000000000000002</v>
      </c>
    </row>
    <row r="420" spans="1:4" x14ac:dyDescent="0.3">
      <c r="A420" s="17">
        <v>33451</v>
      </c>
      <c r="B420">
        <v>-1.35</v>
      </c>
      <c r="C420">
        <v>0.35</v>
      </c>
      <c r="D420" s="55">
        <f t="shared" si="6"/>
        <v>-1.7000000000000002</v>
      </c>
    </row>
    <row r="421" spans="1:4" x14ac:dyDescent="0.3">
      <c r="A421" s="17">
        <v>33420</v>
      </c>
      <c r="B421">
        <v>-1.35</v>
      </c>
      <c r="C421">
        <v>0.35</v>
      </c>
      <c r="D421" s="55">
        <f t="shared" si="6"/>
        <v>-1.7000000000000002</v>
      </c>
    </row>
    <row r="422" spans="1:4" x14ac:dyDescent="0.3">
      <c r="A422" s="17">
        <v>33390</v>
      </c>
      <c r="B422">
        <v>-1.35</v>
      </c>
      <c r="C422">
        <v>0.35</v>
      </c>
      <c r="D422" s="55">
        <f t="shared" si="6"/>
        <v>-1.7000000000000002</v>
      </c>
    </row>
    <row r="423" spans="1:4" x14ac:dyDescent="0.3">
      <c r="A423" s="17">
        <v>33359</v>
      </c>
      <c r="B423">
        <v>-1.45</v>
      </c>
      <c r="C423">
        <v>0.25</v>
      </c>
      <c r="D423" s="55">
        <f t="shared" si="6"/>
        <v>-1.7</v>
      </c>
    </row>
    <row r="424" spans="1:4" x14ac:dyDescent="0.3">
      <c r="A424" s="17">
        <v>33329</v>
      </c>
      <c r="B424">
        <v>-0.85</v>
      </c>
      <c r="C424">
        <v>0.85</v>
      </c>
      <c r="D424" s="55">
        <f t="shared" si="6"/>
        <v>-1.7</v>
      </c>
    </row>
    <row r="425" spans="1:4" x14ac:dyDescent="0.3">
      <c r="A425" s="17">
        <v>33298</v>
      </c>
      <c r="B425">
        <v>-0.85</v>
      </c>
      <c r="C425">
        <v>0.85</v>
      </c>
      <c r="D425" s="55">
        <f t="shared" si="6"/>
        <v>-1.7</v>
      </c>
    </row>
    <row r="426" spans="1:4" x14ac:dyDescent="0.3">
      <c r="A426" s="17">
        <v>33270</v>
      </c>
      <c r="B426">
        <v>-0.85</v>
      </c>
      <c r="C426">
        <v>0.85</v>
      </c>
      <c r="D426" s="55">
        <f t="shared" si="6"/>
        <v>-1.7</v>
      </c>
    </row>
    <row r="427" spans="1:4" x14ac:dyDescent="0.3">
      <c r="A427" s="17">
        <v>33239</v>
      </c>
      <c r="B427">
        <v>-1</v>
      </c>
      <c r="C427">
        <v>1</v>
      </c>
      <c r="D427" s="55">
        <f t="shared" si="6"/>
        <v>-2</v>
      </c>
    </row>
    <row r="428" spans="1:4" x14ac:dyDescent="0.3">
      <c r="A428" s="17">
        <v>33208</v>
      </c>
      <c r="B428">
        <v>-1</v>
      </c>
      <c r="C428">
        <v>1</v>
      </c>
      <c r="D428" s="55">
        <f t="shared" si="6"/>
        <v>-2</v>
      </c>
    </row>
    <row r="429" spans="1:4" x14ac:dyDescent="0.3">
      <c r="A429" s="17">
        <v>33178</v>
      </c>
      <c r="B429">
        <v>-1</v>
      </c>
      <c r="C429">
        <v>1</v>
      </c>
      <c r="D429" s="55">
        <f t="shared" si="6"/>
        <v>-2</v>
      </c>
    </row>
    <row r="430" spans="1:4" x14ac:dyDescent="0.3">
      <c r="A430" s="17">
        <v>33147</v>
      </c>
      <c r="B430">
        <v>-0.6</v>
      </c>
      <c r="C430">
        <v>0.65</v>
      </c>
      <c r="D430" s="55">
        <f t="shared" si="6"/>
        <v>-1.25</v>
      </c>
    </row>
    <row r="431" spans="1:4" x14ac:dyDescent="0.3">
      <c r="A431" s="17">
        <v>33117</v>
      </c>
      <c r="B431">
        <v>-1</v>
      </c>
      <c r="C431">
        <v>0.35</v>
      </c>
      <c r="D431" s="55">
        <f t="shared" si="6"/>
        <v>-1.35</v>
      </c>
    </row>
    <row r="432" spans="1:4" x14ac:dyDescent="0.3">
      <c r="A432" s="17">
        <v>33086</v>
      </c>
      <c r="B432">
        <v>-1.35</v>
      </c>
      <c r="C432">
        <v>0</v>
      </c>
      <c r="D432" s="55">
        <f t="shared" si="6"/>
        <v>-1.35</v>
      </c>
    </row>
    <row r="433" spans="1:4" x14ac:dyDescent="0.3">
      <c r="A433" s="17">
        <v>33055</v>
      </c>
      <c r="B433">
        <v>-1.35</v>
      </c>
      <c r="C433">
        <v>0</v>
      </c>
      <c r="D433" s="55">
        <f t="shared" si="6"/>
        <v>-1.35</v>
      </c>
    </row>
    <row r="434" spans="1:4" x14ac:dyDescent="0.3">
      <c r="A434" s="17">
        <v>33025</v>
      </c>
      <c r="B434">
        <v>-0.65</v>
      </c>
      <c r="C434">
        <v>0.25</v>
      </c>
      <c r="D434" s="55">
        <f t="shared" si="6"/>
        <v>-0.9</v>
      </c>
    </row>
    <row r="435" spans="1:4" x14ac:dyDescent="0.3">
      <c r="A435" s="17">
        <v>32994</v>
      </c>
      <c r="B435">
        <v>-0.65</v>
      </c>
      <c r="C435">
        <v>0.25</v>
      </c>
      <c r="D435" s="55">
        <f t="shared" si="6"/>
        <v>-0.9</v>
      </c>
    </row>
    <row r="436" spans="1:4" x14ac:dyDescent="0.3">
      <c r="A436" s="17">
        <v>32964</v>
      </c>
      <c r="B436">
        <v>-0.65</v>
      </c>
      <c r="C436">
        <v>0.25</v>
      </c>
      <c r="D436" s="55">
        <f t="shared" si="6"/>
        <v>-0.9</v>
      </c>
    </row>
    <row r="437" spans="1:4" x14ac:dyDescent="0.3">
      <c r="A437" s="17">
        <v>32933</v>
      </c>
      <c r="B437">
        <v>-0.45</v>
      </c>
      <c r="C437">
        <v>0.45</v>
      </c>
      <c r="D437" s="55">
        <f t="shared" si="6"/>
        <v>-0.9</v>
      </c>
    </row>
    <row r="438" spans="1:4" x14ac:dyDescent="0.3">
      <c r="A438" s="17">
        <v>32905</v>
      </c>
      <c r="B438">
        <v>-0.35</v>
      </c>
      <c r="C438">
        <v>0.35</v>
      </c>
      <c r="D438" s="55">
        <f t="shared" si="6"/>
        <v>-0.7</v>
      </c>
    </row>
    <row r="439" spans="1:4" x14ac:dyDescent="0.3">
      <c r="A439" s="17">
        <v>32874</v>
      </c>
      <c r="B439">
        <v>-0.45</v>
      </c>
      <c r="C439">
        <v>0.25</v>
      </c>
      <c r="D439" s="55">
        <f t="shared" si="6"/>
        <v>-0.7</v>
      </c>
    </row>
    <row r="440" spans="1:4" x14ac:dyDescent="0.3">
      <c r="A440" s="17">
        <v>32843</v>
      </c>
      <c r="B440">
        <v>-0.45</v>
      </c>
      <c r="C440">
        <v>0.25</v>
      </c>
      <c r="D440" s="55">
        <f t="shared" si="6"/>
        <v>-0.7</v>
      </c>
    </row>
    <row r="441" spans="1:4" x14ac:dyDescent="0.3">
      <c r="A441" s="17">
        <v>32813</v>
      </c>
      <c r="B441">
        <v>-0.45</v>
      </c>
      <c r="C441">
        <v>0.25</v>
      </c>
      <c r="D441" s="55">
        <f t="shared" si="6"/>
        <v>-0.7</v>
      </c>
    </row>
    <row r="442" spans="1:4" x14ac:dyDescent="0.3">
      <c r="A442" s="17">
        <v>32782</v>
      </c>
      <c r="B442">
        <v>-0.35</v>
      </c>
      <c r="C442">
        <v>0.35</v>
      </c>
      <c r="D442" s="55">
        <f t="shared" si="6"/>
        <v>-0.7</v>
      </c>
    </row>
    <row r="443" spans="1:4" x14ac:dyDescent="0.3">
      <c r="A443" s="17">
        <v>32752</v>
      </c>
      <c r="B443">
        <v>-0.35</v>
      </c>
      <c r="C443">
        <v>0.35</v>
      </c>
      <c r="D443" s="55">
        <f t="shared" si="6"/>
        <v>-0.7</v>
      </c>
    </row>
    <row r="444" spans="1:4" x14ac:dyDescent="0.3">
      <c r="A444" s="17">
        <v>32721</v>
      </c>
      <c r="B444">
        <v>-0.35</v>
      </c>
      <c r="C444">
        <v>0.35</v>
      </c>
      <c r="D444" s="55">
        <f t="shared" si="6"/>
        <v>-0.7</v>
      </c>
    </row>
    <row r="445" spans="1:4" x14ac:dyDescent="0.3">
      <c r="A445" s="17">
        <v>32690</v>
      </c>
      <c r="B445">
        <v>-0.35</v>
      </c>
      <c r="C445">
        <v>0.35</v>
      </c>
      <c r="D445" s="55">
        <f t="shared" si="6"/>
        <v>-0.7</v>
      </c>
    </row>
    <row r="446" spans="1:4" x14ac:dyDescent="0.3">
      <c r="A446" s="17">
        <v>32660</v>
      </c>
      <c r="B446">
        <v>-0.35</v>
      </c>
      <c r="C446">
        <v>0.35</v>
      </c>
      <c r="D446" s="55">
        <f t="shared" si="6"/>
        <v>-0.7</v>
      </c>
    </row>
    <row r="447" spans="1:4" x14ac:dyDescent="0.3">
      <c r="A447" s="17">
        <v>32629</v>
      </c>
      <c r="B447">
        <v>-0.35</v>
      </c>
      <c r="C447">
        <v>0.35</v>
      </c>
      <c r="D447" s="55">
        <f t="shared" si="6"/>
        <v>-0.7</v>
      </c>
    </row>
    <row r="448" spans="1:4" x14ac:dyDescent="0.3">
      <c r="A448" s="17">
        <v>32599</v>
      </c>
      <c r="B448">
        <v>-0.45</v>
      </c>
      <c r="C448">
        <v>0.25</v>
      </c>
      <c r="D448" s="55">
        <f t="shared" si="6"/>
        <v>-0.7</v>
      </c>
    </row>
    <row r="449" spans="1:4" x14ac:dyDescent="0.3">
      <c r="A449" s="17">
        <v>32568</v>
      </c>
      <c r="B449">
        <v>-0.55000000000000004</v>
      </c>
      <c r="C449">
        <v>0.15</v>
      </c>
      <c r="D449" s="55">
        <f t="shared" si="6"/>
        <v>-0.70000000000000007</v>
      </c>
    </row>
    <row r="450" spans="1:4" x14ac:dyDescent="0.3">
      <c r="A450" s="17">
        <v>32540</v>
      </c>
      <c r="B450">
        <v>-0.7</v>
      </c>
      <c r="C450">
        <v>0</v>
      </c>
      <c r="D450" s="55">
        <f t="shared" si="6"/>
        <v>-0.7</v>
      </c>
    </row>
    <row r="451" spans="1:4" x14ac:dyDescent="0.3">
      <c r="A451" s="17">
        <v>32509</v>
      </c>
      <c r="B451">
        <v>-0.7</v>
      </c>
      <c r="C451">
        <v>0</v>
      </c>
      <c r="D451" s="55">
        <f t="shared" si="6"/>
        <v>-0.7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33C7-0E7F-44E3-9FF3-EDB9FD0747CE}">
  <dimension ref="A1:O928"/>
  <sheetViews>
    <sheetView showGridLines="0" workbookViewId="0">
      <selection activeCell="Q16" sqref="Q16"/>
    </sheetView>
  </sheetViews>
  <sheetFormatPr defaultRowHeight="14.4" x14ac:dyDescent="0.3"/>
  <cols>
    <col min="1" max="1" width="13.109375" bestFit="1" customWidth="1"/>
    <col min="9" max="9" width="9.5546875" bestFit="1" customWidth="1"/>
    <col min="11" max="11" width="9.5546875" bestFit="1" customWidth="1"/>
    <col min="12" max="12" width="13" bestFit="1" customWidth="1"/>
    <col min="13" max="13" width="12" style="55" bestFit="1" customWidth="1"/>
  </cols>
  <sheetData>
    <row r="1" spans="1:15" x14ac:dyDescent="0.3">
      <c r="A1" t="s">
        <v>107</v>
      </c>
      <c r="B1" t="s">
        <v>148</v>
      </c>
      <c r="M1" s="54"/>
    </row>
    <row r="2" spans="1:15" x14ac:dyDescent="0.3">
      <c r="A2" t="s">
        <v>112</v>
      </c>
      <c r="B2" t="s">
        <v>113</v>
      </c>
    </row>
    <row r="3" spans="1:15" x14ac:dyDescent="0.3">
      <c r="A3" t="s">
        <v>117</v>
      </c>
      <c r="B3" t="s">
        <v>149</v>
      </c>
    </row>
    <row r="4" spans="1:15" x14ac:dyDescent="0.3">
      <c r="A4" t="s">
        <v>120</v>
      </c>
      <c r="B4" t="s">
        <v>121</v>
      </c>
      <c r="L4" t="s">
        <v>15</v>
      </c>
      <c r="M4" s="55" t="s">
        <v>150</v>
      </c>
      <c r="O4" t="s">
        <v>151</v>
      </c>
    </row>
    <row r="5" spans="1:15" x14ac:dyDescent="0.3">
      <c r="A5" s="17">
        <v>46055</v>
      </c>
      <c r="B5">
        <v>-0.21</v>
      </c>
      <c r="D5">
        <f t="shared" ref="D5" si="0">+DAY(A5)</f>
        <v>2</v>
      </c>
      <c r="E5">
        <v>1</v>
      </c>
      <c r="F5">
        <f t="shared" ref="F5" si="1">+MONTH(A5)</f>
        <v>2</v>
      </c>
      <c r="G5">
        <f t="shared" ref="G5" si="2">+YEAR(A5)</f>
        <v>2026</v>
      </c>
      <c r="I5" s="17">
        <f t="shared" ref="I5" si="3">+DATE(G5,F5,E5)</f>
        <v>46054</v>
      </c>
      <c r="K5" s="17">
        <v>46054</v>
      </c>
      <c r="L5">
        <f>+AVERAGEIFS($B$5:$B$928,$I$5:$I$928,$K5)</f>
        <v>-0.21</v>
      </c>
      <c r="M5" s="66">
        <f>+AVERAGEIFS($B$5:$B$928,$I$5:$I$928,$K5,$O$5:$O$928,1)</f>
        <v>-0.21</v>
      </c>
      <c r="O5">
        <f>IF(AND(D5&gt;=1, D5&lt;=4), 1, 0)</f>
        <v>1</v>
      </c>
    </row>
    <row r="6" spans="1:15" x14ac:dyDescent="0.3">
      <c r="A6" s="17">
        <v>46052</v>
      </c>
      <c r="B6">
        <v>-0.95</v>
      </c>
      <c r="D6">
        <f t="shared" ref="D6:D13" si="4">+DAY(A6)</f>
        <v>30</v>
      </c>
      <c r="E6">
        <v>1</v>
      </c>
      <c r="F6">
        <f t="shared" ref="F6:F13" si="5">+MONTH(A6)</f>
        <v>1</v>
      </c>
      <c r="G6">
        <f t="shared" ref="G6:G13" si="6">+YEAR(A6)</f>
        <v>2026</v>
      </c>
      <c r="I6" s="17">
        <f t="shared" ref="I6:I13" si="7">+DATE(G6,F6,E6)</f>
        <v>46023</v>
      </c>
      <c r="K6" s="17">
        <v>46023</v>
      </c>
      <c r="L6">
        <f>+AVERAGEIFS($B$6:$B$928,$I$6:$I$928,$K6)</f>
        <v>-0.98333333333333328</v>
      </c>
      <c r="M6" s="66">
        <f>+AVERAGEIFS($B$6:$B$928,$I$6:$I$928,$K6,$O$6:$O$928,1)</f>
        <v>-0.91</v>
      </c>
      <c r="O6">
        <f>IF(AND(D6&gt;=1, D6&lt;=4), 1, 0)</f>
        <v>0</v>
      </c>
    </row>
    <row r="7" spans="1:15" x14ac:dyDescent="0.3">
      <c r="A7" s="17">
        <v>46051</v>
      </c>
      <c r="B7">
        <v>-0.82</v>
      </c>
      <c r="D7">
        <f t="shared" si="4"/>
        <v>29</v>
      </c>
      <c r="E7">
        <v>1</v>
      </c>
      <c r="F7">
        <f t="shared" si="5"/>
        <v>1</v>
      </c>
      <c r="G7">
        <f t="shared" si="6"/>
        <v>2026</v>
      </c>
      <c r="I7" s="17">
        <f t="shared" si="7"/>
        <v>46023</v>
      </c>
      <c r="K7" s="17">
        <v>45992</v>
      </c>
      <c r="L7">
        <f t="shared" ref="L7:L70" si="8">+AVERAGEIFS($B$6:$B$928,$I$6:$I$928,$K7)</f>
        <v>-0.16045454545454546</v>
      </c>
      <c r="M7" s="66">
        <f t="shared" ref="M7:M70" si="9">+AVERAGEIFS($B$6:$B$928,$I$6:$I$928,$K7,$O$6:$O$928,1)</f>
        <v>3.4694469519536142E-18</v>
      </c>
      <c r="O7">
        <f t="shared" ref="O7:O70" si="10">IF(AND(D7&gt;=1, D7&lt;=4), 1, 0)</f>
        <v>0</v>
      </c>
    </row>
    <row r="8" spans="1:15" x14ac:dyDescent="0.3">
      <c r="A8" s="17">
        <v>46050</v>
      </c>
      <c r="B8">
        <v>-0.84</v>
      </c>
      <c r="D8">
        <f t="shared" si="4"/>
        <v>28</v>
      </c>
      <c r="E8">
        <v>1</v>
      </c>
      <c r="F8">
        <f t="shared" si="5"/>
        <v>1</v>
      </c>
      <c r="G8">
        <f t="shared" si="6"/>
        <v>2026</v>
      </c>
      <c r="I8" s="17">
        <f t="shared" si="7"/>
        <v>46023</v>
      </c>
      <c r="K8" s="17">
        <v>45962</v>
      </c>
      <c r="L8">
        <f t="shared" si="8"/>
        <v>0.215</v>
      </c>
      <c r="M8" s="66">
        <f t="shared" si="9"/>
        <v>1.17</v>
      </c>
      <c r="O8">
        <f t="shared" si="10"/>
        <v>0</v>
      </c>
    </row>
    <row r="9" spans="1:15" x14ac:dyDescent="0.3">
      <c r="A9" s="17">
        <v>46049</v>
      </c>
      <c r="B9">
        <v>-0.72</v>
      </c>
      <c r="D9">
        <f t="shared" si="4"/>
        <v>27</v>
      </c>
      <c r="E9">
        <v>1</v>
      </c>
      <c r="F9">
        <f t="shared" si="5"/>
        <v>1</v>
      </c>
      <c r="G9">
        <f t="shared" si="6"/>
        <v>2026</v>
      </c>
      <c r="I9" s="17">
        <f t="shared" si="7"/>
        <v>46023</v>
      </c>
      <c r="K9" s="17">
        <v>45931</v>
      </c>
      <c r="L9">
        <f t="shared" si="8"/>
        <v>0.6222727272727272</v>
      </c>
      <c r="M9" s="66">
        <f t="shared" si="9"/>
        <v>0.10666666666666667</v>
      </c>
      <c r="O9">
        <f t="shared" si="10"/>
        <v>0</v>
      </c>
    </row>
    <row r="10" spans="1:15" x14ac:dyDescent="0.3">
      <c r="A10" s="17">
        <v>46048</v>
      </c>
      <c r="B10">
        <v>-0.84</v>
      </c>
      <c r="D10">
        <f t="shared" si="4"/>
        <v>26</v>
      </c>
      <c r="E10">
        <v>1</v>
      </c>
      <c r="F10">
        <f t="shared" si="5"/>
        <v>1</v>
      </c>
      <c r="G10">
        <f t="shared" si="6"/>
        <v>2026</v>
      </c>
      <c r="I10" s="17">
        <f t="shared" si="7"/>
        <v>46023</v>
      </c>
      <c r="K10" s="17">
        <v>45901</v>
      </c>
      <c r="L10">
        <f t="shared" si="8"/>
        <v>2.183636363636364</v>
      </c>
      <c r="M10" s="66">
        <f t="shared" si="9"/>
        <v>2.7475000000000001</v>
      </c>
      <c r="O10">
        <f t="shared" si="10"/>
        <v>0</v>
      </c>
    </row>
    <row r="11" spans="1:15" x14ac:dyDescent="0.3">
      <c r="A11" s="17">
        <v>46045</v>
      </c>
      <c r="B11">
        <v>-1.06</v>
      </c>
      <c r="D11">
        <f t="shared" si="4"/>
        <v>23</v>
      </c>
      <c r="E11">
        <v>1</v>
      </c>
      <c r="F11">
        <f t="shared" si="5"/>
        <v>1</v>
      </c>
      <c r="G11">
        <f t="shared" si="6"/>
        <v>2026</v>
      </c>
      <c r="I11" s="17">
        <f t="shared" si="7"/>
        <v>46023</v>
      </c>
      <c r="K11" s="17">
        <v>45870</v>
      </c>
      <c r="L11">
        <f t="shared" si="8"/>
        <v>1.8119047619047617</v>
      </c>
      <c r="M11" s="66">
        <f t="shared" si="9"/>
        <v>2.29</v>
      </c>
      <c r="O11">
        <f t="shared" si="10"/>
        <v>0</v>
      </c>
    </row>
    <row r="12" spans="1:15" x14ac:dyDescent="0.3">
      <c r="A12" s="17">
        <v>46044</v>
      </c>
      <c r="B12">
        <v>-0.96</v>
      </c>
      <c r="D12">
        <f t="shared" si="4"/>
        <v>22</v>
      </c>
      <c r="E12">
        <v>1</v>
      </c>
      <c r="F12">
        <f t="shared" si="5"/>
        <v>1</v>
      </c>
      <c r="G12">
        <f t="shared" si="6"/>
        <v>2026</v>
      </c>
      <c r="I12" s="17">
        <f t="shared" si="7"/>
        <v>46023</v>
      </c>
      <c r="K12" s="17">
        <v>45839</v>
      </c>
      <c r="L12">
        <f t="shared" si="8"/>
        <v>2.5017391304347827</v>
      </c>
      <c r="M12" s="66">
        <f t="shared" si="9"/>
        <v>2.8649999999999998</v>
      </c>
      <c r="O12">
        <f t="shared" si="10"/>
        <v>0</v>
      </c>
    </row>
    <row r="13" spans="1:15" x14ac:dyDescent="0.3">
      <c r="A13" s="17">
        <v>46043</v>
      </c>
      <c r="B13">
        <v>-0.93</v>
      </c>
      <c r="D13">
        <f t="shared" si="4"/>
        <v>21</v>
      </c>
      <c r="E13">
        <v>1</v>
      </c>
      <c r="F13">
        <f t="shared" si="5"/>
        <v>1</v>
      </c>
      <c r="G13">
        <f t="shared" si="6"/>
        <v>2026</v>
      </c>
      <c r="I13" s="17">
        <f t="shared" si="7"/>
        <v>46023</v>
      </c>
      <c r="K13" s="17">
        <v>45809</v>
      </c>
      <c r="L13">
        <f t="shared" si="8"/>
        <v>1.7428571428571427</v>
      </c>
      <c r="M13" s="66">
        <f t="shared" si="9"/>
        <v>0.98666666666666669</v>
      </c>
      <c r="O13">
        <f t="shared" si="10"/>
        <v>0</v>
      </c>
    </row>
    <row r="14" spans="1:15" x14ac:dyDescent="0.3">
      <c r="A14" s="17">
        <v>46042</v>
      </c>
      <c r="B14">
        <v>-0.74</v>
      </c>
      <c r="D14">
        <f>+DAY(A14)</f>
        <v>20</v>
      </c>
      <c r="E14">
        <v>1</v>
      </c>
      <c r="F14">
        <f>+MONTH(A14)</f>
        <v>1</v>
      </c>
      <c r="G14">
        <f>+YEAR(A14)</f>
        <v>2026</v>
      </c>
      <c r="I14" s="17">
        <f>+DATE(G14,F14,E14)</f>
        <v>46023</v>
      </c>
      <c r="K14" s="17">
        <v>45778</v>
      </c>
      <c r="L14">
        <f t="shared" si="8"/>
        <v>0.91900000000000026</v>
      </c>
      <c r="M14" s="66">
        <f t="shared" si="9"/>
        <v>0.28000000000000003</v>
      </c>
      <c r="O14">
        <f t="shared" si="10"/>
        <v>0</v>
      </c>
    </row>
    <row r="15" spans="1:15" x14ac:dyDescent="0.3">
      <c r="A15" s="17">
        <v>46041</v>
      </c>
      <c r="B15">
        <v>-0.75</v>
      </c>
      <c r="D15">
        <f t="shared" ref="D15:D78" si="11">+DAY(A15)</f>
        <v>19</v>
      </c>
      <c r="E15">
        <v>1</v>
      </c>
      <c r="F15">
        <f t="shared" ref="F15:F78" si="12">+MONTH(A15)</f>
        <v>1</v>
      </c>
      <c r="G15">
        <f t="shared" ref="G15:G78" si="13">+YEAR(A15)</f>
        <v>2026</v>
      </c>
      <c r="I15" s="17">
        <f t="shared" ref="I15:I78" si="14">+DATE(G15,F15,E15)</f>
        <v>46023</v>
      </c>
      <c r="K15" s="17">
        <v>45748</v>
      </c>
      <c r="L15">
        <f t="shared" si="8"/>
        <v>0.83523809523809533</v>
      </c>
      <c r="M15" s="66">
        <f t="shared" si="9"/>
        <v>1.3675000000000002</v>
      </c>
      <c r="O15">
        <f t="shared" si="10"/>
        <v>0</v>
      </c>
    </row>
    <row r="16" spans="1:15" x14ac:dyDescent="0.3">
      <c r="A16" s="17">
        <v>46038</v>
      </c>
      <c r="B16">
        <v>-0.67</v>
      </c>
      <c r="D16">
        <f t="shared" si="11"/>
        <v>16</v>
      </c>
      <c r="E16">
        <v>1</v>
      </c>
      <c r="F16">
        <f t="shared" si="12"/>
        <v>1</v>
      </c>
      <c r="G16">
        <f t="shared" si="13"/>
        <v>2026</v>
      </c>
      <c r="I16" s="17">
        <f t="shared" si="14"/>
        <v>46023</v>
      </c>
      <c r="K16" s="17">
        <v>45717</v>
      </c>
      <c r="L16">
        <f t="shared" si="8"/>
        <v>0.44699999999999995</v>
      </c>
      <c r="M16" s="66">
        <f t="shared" si="9"/>
        <v>-0.16</v>
      </c>
      <c r="O16">
        <f t="shared" si="10"/>
        <v>0</v>
      </c>
    </row>
    <row r="17" spans="1:15" x14ac:dyDescent="0.3">
      <c r="A17" s="17">
        <v>46037</v>
      </c>
      <c r="B17">
        <v>-0.84</v>
      </c>
      <c r="D17">
        <f t="shared" si="11"/>
        <v>15</v>
      </c>
      <c r="E17">
        <v>1</v>
      </c>
      <c r="F17">
        <f t="shared" si="12"/>
        <v>1</v>
      </c>
      <c r="G17">
        <f t="shared" si="13"/>
        <v>2026</v>
      </c>
      <c r="I17" s="17">
        <f t="shared" si="14"/>
        <v>46023</v>
      </c>
      <c r="K17" s="17">
        <v>45689</v>
      </c>
      <c r="L17">
        <f t="shared" si="8"/>
        <v>2.399</v>
      </c>
      <c r="M17" s="66">
        <f t="shared" si="9"/>
        <v>2.9299999999999997</v>
      </c>
      <c r="O17">
        <f t="shared" si="10"/>
        <v>0</v>
      </c>
    </row>
    <row r="18" spans="1:15" x14ac:dyDescent="0.3">
      <c r="A18" s="17">
        <v>46036</v>
      </c>
      <c r="B18">
        <v>-1.1599999999999999</v>
      </c>
      <c r="D18">
        <f t="shared" si="11"/>
        <v>14</v>
      </c>
      <c r="E18">
        <v>1</v>
      </c>
      <c r="F18">
        <f t="shared" si="12"/>
        <v>1</v>
      </c>
      <c r="G18">
        <f t="shared" si="13"/>
        <v>2026</v>
      </c>
      <c r="I18" s="17">
        <f t="shared" si="14"/>
        <v>46023</v>
      </c>
      <c r="K18" s="17">
        <v>45658</v>
      </c>
      <c r="L18">
        <f t="shared" si="8"/>
        <v>2.8020000000000005</v>
      </c>
      <c r="M18" s="66">
        <f t="shared" si="9"/>
        <v>1.01</v>
      </c>
      <c r="O18">
        <f t="shared" si="10"/>
        <v>0</v>
      </c>
    </row>
    <row r="19" spans="1:15" x14ac:dyDescent="0.3">
      <c r="A19" s="17">
        <v>46035</v>
      </c>
      <c r="B19">
        <v>-1.19</v>
      </c>
      <c r="D19">
        <f t="shared" si="11"/>
        <v>13</v>
      </c>
      <c r="E19">
        <v>1</v>
      </c>
      <c r="F19">
        <f t="shared" si="12"/>
        <v>1</v>
      </c>
      <c r="G19">
        <f t="shared" si="13"/>
        <v>2026</v>
      </c>
      <c r="I19" s="17">
        <f t="shared" si="14"/>
        <v>46023</v>
      </c>
      <c r="K19" s="17">
        <v>45627</v>
      </c>
      <c r="L19">
        <f t="shared" si="8"/>
        <v>0.61285714285714277</v>
      </c>
      <c r="M19" s="66">
        <f t="shared" si="9"/>
        <v>0.42</v>
      </c>
      <c r="O19">
        <f t="shared" si="10"/>
        <v>0</v>
      </c>
    </row>
    <row r="20" spans="1:15" x14ac:dyDescent="0.3">
      <c r="A20" s="17">
        <v>46034</v>
      </c>
      <c r="B20">
        <v>-1.08</v>
      </c>
      <c r="D20">
        <f t="shared" si="11"/>
        <v>12</v>
      </c>
      <c r="E20">
        <v>1</v>
      </c>
      <c r="F20">
        <f t="shared" si="12"/>
        <v>1</v>
      </c>
      <c r="G20">
        <f t="shared" si="13"/>
        <v>2026</v>
      </c>
      <c r="I20" s="17">
        <f t="shared" si="14"/>
        <v>46023</v>
      </c>
      <c r="K20" s="17">
        <v>45597</v>
      </c>
      <c r="L20">
        <f t="shared" si="8"/>
        <v>1.0476190476190448E-2</v>
      </c>
      <c r="M20" s="66">
        <f t="shared" si="9"/>
        <v>-0.21999999999999997</v>
      </c>
      <c r="O20">
        <f t="shared" si="10"/>
        <v>0</v>
      </c>
    </row>
    <row r="21" spans="1:15" x14ac:dyDescent="0.3">
      <c r="A21" s="17">
        <v>46031</v>
      </c>
      <c r="B21">
        <v>-1.08</v>
      </c>
      <c r="D21">
        <f t="shared" si="11"/>
        <v>9</v>
      </c>
      <c r="E21">
        <v>1</v>
      </c>
      <c r="F21">
        <f t="shared" si="12"/>
        <v>1</v>
      </c>
      <c r="G21">
        <f t="shared" si="13"/>
        <v>2026</v>
      </c>
      <c r="I21" s="17">
        <f t="shared" si="14"/>
        <v>46023</v>
      </c>
      <c r="K21" s="17">
        <v>45566</v>
      </c>
      <c r="L21">
        <f t="shared" si="8"/>
        <v>0.68545454545454554</v>
      </c>
      <c r="M21" s="66">
        <f t="shared" si="9"/>
        <v>0.74249999999999994</v>
      </c>
      <c r="O21">
        <f t="shared" si="10"/>
        <v>0</v>
      </c>
    </row>
    <row r="22" spans="1:15" x14ac:dyDescent="0.3">
      <c r="A22" s="17">
        <v>46030</v>
      </c>
      <c r="B22">
        <v>-1.27</v>
      </c>
      <c r="D22">
        <f t="shared" si="11"/>
        <v>8</v>
      </c>
      <c r="E22">
        <v>1</v>
      </c>
      <c r="F22">
        <f t="shared" si="12"/>
        <v>1</v>
      </c>
      <c r="G22">
        <f t="shared" si="13"/>
        <v>2026</v>
      </c>
      <c r="I22" s="17">
        <f t="shared" si="14"/>
        <v>46023</v>
      </c>
      <c r="K22" s="17">
        <v>45536</v>
      </c>
      <c r="L22">
        <f t="shared" si="8"/>
        <v>1.1866666666666668</v>
      </c>
      <c r="M22" s="66">
        <f t="shared" si="9"/>
        <v>1.2133333333333332</v>
      </c>
      <c r="O22">
        <f t="shared" si="10"/>
        <v>0</v>
      </c>
    </row>
    <row r="23" spans="1:15" x14ac:dyDescent="0.3">
      <c r="A23" s="17">
        <v>46029</v>
      </c>
      <c r="B23">
        <v>-1.35</v>
      </c>
      <c r="D23">
        <f t="shared" si="11"/>
        <v>7</v>
      </c>
      <c r="E23">
        <v>1</v>
      </c>
      <c r="F23">
        <f t="shared" si="12"/>
        <v>1</v>
      </c>
      <c r="G23">
        <f t="shared" si="13"/>
        <v>2026</v>
      </c>
      <c r="I23" s="17">
        <f t="shared" si="14"/>
        <v>46023</v>
      </c>
      <c r="K23" s="17">
        <v>45505</v>
      </c>
      <c r="L23">
        <f t="shared" si="8"/>
        <v>9.1428571428571456E-2</v>
      </c>
      <c r="M23" s="66">
        <f t="shared" si="9"/>
        <v>6.5000000000000002E-2</v>
      </c>
      <c r="O23">
        <f t="shared" si="10"/>
        <v>0</v>
      </c>
    </row>
    <row r="24" spans="1:15" x14ac:dyDescent="0.3">
      <c r="A24" s="17">
        <v>46028</v>
      </c>
      <c r="B24">
        <v>-1.38</v>
      </c>
      <c r="D24">
        <f t="shared" si="11"/>
        <v>6</v>
      </c>
      <c r="E24">
        <v>1</v>
      </c>
      <c r="F24">
        <f t="shared" si="12"/>
        <v>1</v>
      </c>
      <c r="G24">
        <f t="shared" si="13"/>
        <v>2026</v>
      </c>
      <c r="I24" s="17">
        <f t="shared" si="14"/>
        <v>46023</v>
      </c>
      <c r="K24" s="17">
        <v>45474</v>
      </c>
      <c r="L24">
        <f t="shared" si="8"/>
        <v>0.80826086956521737</v>
      </c>
      <c r="M24" s="66">
        <f t="shared" si="9"/>
        <v>0.96250000000000002</v>
      </c>
      <c r="O24">
        <f t="shared" si="10"/>
        <v>0</v>
      </c>
    </row>
    <row r="25" spans="1:15" x14ac:dyDescent="0.3">
      <c r="A25" s="17">
        <v>46027</v>
      </c>
      <c r="B25">
        <v>-1.1100000000000001</v>
      </c>
      <c r="D25">
        <f t="shared" si="11"/>
        <v>5</v>
      </c>
      <c r="E25">
        <v>1</v>
      </c>
      <c r="F25">
        <f t="shared" si="12"/>
        <v>1</v>
      </c>
      <c r="G25">
        <f t="shared" si="13"/>
        <v>2026</v>
      </c>
      <c r="I25" s="17">
        <f t="shared" si="14"/>
        <v>46023</v>
      </c>
      <c r="K25" s="17">
        <v>45444</v>
      </c>
      <c r="L25">
        <f t="shared" si="8"/>
        <v>0.30315789473684207</v>
      </c>
      <c r="M25" s="66">
        <f t="shared" si="9"/>
        <v>0.46</v>
      </c>
      <c r="O25">
        <f t="shared" si="10"/>
        <v>0</v>
      </c>
    </row>
    <row r="26" spans="1:15" x14ac:dyDescent="0.3">
      <c r="A26" s="17">
        <v>46024</v>
      </c>
      <c r="B26">
        <v>-0.91</v>
      </c>
      <c r="D26">
        <f t="shared" si="11"/>
        <v>2</v>
      </c>
      <c r="E26">
        <v>1</v>
      </c>
      <c r="F26">
        <f t="shared" si="12"/>
        <v>1</v>
      </c>
      <c r="G26">
        <f t="shared" si="13"/>
        <v>2026</v>
      </c>
      <c r="I26" s="17">
        <f t="shared" si="14"/>
        <v>46023</v>
      </c>
      <c r="K26" s="17">
        <v>45413</v>
      </c>
      <c r="L26">
        <f t="shared" si="8"/>
        <v>1.2619047619047621</v>
      </c>
      <c r="M26" s="66">
        <f t="shared" si="9"/>
        <v>1.385</v>
      </c>
      <c r="O26">
        <f t="shared" si="10"/>
        <v>1</v>
      </c>
    </row>
    <row r="27" spans="1:15" x14ac:dyDescent="0.3">
      <c r="A27" s="17">
        <v>46022</v>
      </c>
      <c r="B27">
        <v>-0.38</v>
      </c>
      <c r="D27">
        <f t="shared" si="11"/>
        <v>31</v>
      </c>
      <c r="E27">
        <v>1</v>
      </c>
      <c r="F27">
        <f t="shared" si="12"/>
        <v>12</v>
      </c>
      <c r="G27">
        <f t="shared" si="13"/>
        <v>2025</v>
      </c>
      <c r="I27" s="17">
        <f t="shared" si="14"/>
        <v>45992</v>
      </c>
      <c r="K27" s="17">
        <v>45383</v>
      </c>
      <c r="L27">
        <f t="shared" si="8"/>
        <v>1.6247619047619051</v>
      </c>
      <c r="M27" s="66">
        <f t="shared" si="9"/>
        <v>1.6524999999999999</v>
      </c>
      <c r="O27">
        <f t="shared" si="10"/>
        <v>0</v>
      </c>
    </row>
    <row r="28" spans="1:15" x14ac:dyDescent="0.3">
      <c r="A28" s="17">
        <v>46021</v>
      </c>
      <c r="B28">
        <v>-0.11</v>
      </c>
      <c r="D28">
        <f t="shared" si="11"/>
        <v>30</v>
      </c>
      <c r="E28">
        <v>1</v>
      </c>
      <c r="F28">
        <f t="shared" si="12"/>
        <v>12</v>
      </c>
      <c r="G28">
        <f t="shared" si="13"/>
        <v>2025</v>
      </c>
      <c r="I28" s="17">
        <f t="shared" si="14"/>
        <v>45992</v>
      </c>
      <c r="K28" s="17">
        <v>45352</v>
      </c>
      <c r="L28">
        <f t="shared" si="8"/>
        <v>0.59450000000000003</v>
      </c>
      <c r="M28" s="66">
        <f t="shared" si="9"/>
        <v>0.76500000000000001</v>
      </c>
      <c r="O28">
        <f t="shared" si="10"/>
        <v>0</v>
      </c>
    </row>
    <row r="29" spans="1:15" x14ac:dyDescent="0.3">
      <c r="A29" s="17">
        <v>46020</v>
      </c>
      <c r="B29">
        <v>-0.09</v>
      </c>
      <c r="D29">
        <f t="shared" si="11"/>
        <v>29</v>
      </c>
      <c r="E29">
        <v>1</v>
      </c>
      <c r="F29">
        <f t="shared" si="12"/>
        <v>12</v>
      </c>
      <c r="G29">
        <f t="shared" si="13"/>
        <v>2025</v>
      </c>
      <c r="I29" s="17">
        <f t="shared" si="14"/>
        <v>45992</v>
      </c>
      <c r="K29" s="17">
        <v>45323</v>
      </c>
      <c r="L29">
        <f t="shared" si="8"/>
        <v>1.7500000000000016E-2</v>
      </c>
      <c r="M29" s="66">
        <f t="shared" si="9"/>
        <v>-0.26</v>
      </c>
      <c r="O29">
        <f t="shared" si="10"/>
        <v>0</v>
      </c>
    </row>
    <row r="30" spans="1:15" x14ac:dyDescent="0.3">
      <c r="A30" s="17">
        <v>46017</v>
      </c>
      <c r="B30">
        <v>-0.14000000000000001</v>
      </c>
      <c r="D30">
        <f t="shared" si="11"/>
        <v>26</v>
      </c>
      <c r="E30">
        <v>1</v>
      </c>
      <c r="F30">
        <f t="shared" si="12"/>
        <v>12</v>
      </c>
      <c r="G30">
        <f t="shared" si="13"/>
        <v>2025</v>
      </c>
      <c r="I30" s="17">
        <f t="shared" si="14"/>
        <v>45992</v>
      </c>
      <c r="K30" s="17">
        <v>45292</v>
      </c>
      <c r="L30">
        <f t="shared" si="8"/>
        <v>-0.25636363636363635</v>
      </c>
      <c r="M30" s="66">
        <f t="shared" si="9"/>
        <v>-0.70000000000000007</v>
      </c>
      <c r="O30">
        <f t="shared" si="10"/>
        <v>0</v>
      </c>
    </row>
    <row r="31" spans="1:15" x14ac:dyDescent="0.3">
      <c r="A31" s="17">
        <v>46015</v>
      </c>
      <c r="B31">
        <v>0.05</v>
      </c>
      <c r="D31">
        <f t="shared" si="11"/>
        <v>24</v>
      </c>
      <c r="E31">
        <v>1</v>
      </c>
      <c r="F31">
        <f t="shared" si="12"/>
        <v>12</v>
      </c>
      <c r="G31">
        <f t="shared" si="13"/>
        <v>2025</v>
      </c>
      <c r="I31" s="17">
        <f t="shared" si="14"/>
        <v>45992</v>
      </c>
      <c r="K31" s="17">
        <v>45261</v>
      </c>
      <c r="L31">
        <f t="shared" si="8"/>
        <v>-0.58050000000000002</v>
      </c>
      <c r="M31" s="66">
        <f t="shared" si="9"/>
        <v>0.26500000000000001</v>
      </c>
      <c r="O31">
        <f t="shared" si="10"/>
        <v>0</v>
      </c>
    </row>
    <row r="32" spans="1:15" x14ac:dyDescent="0.3">
      <c r="A32" s="17">
        <v>46014</v>
      </c>
      <c r="B32">
        <v>-0.19</v>
      </c>
      <c r="D32">
        <f t="shared" si="11"/>
        <v>23</v>
      </c>
      <c r="E32">
        <v>1</v>
      </c>
      <c r="F32">
        <f t="shared" si="12"/>
        <v>12</v>
      </c>
      <c r="G32">
        <f t="shared" si="13"/>
        <v>2025</v>
      </c>
      <c r="I32" s="17">
        <f t="shared" si="14"/>
        <v>45992</v>
      </c>
      <c r="K32" s="17">
        <v>45231</v>
      </c>
      <c r="L32">
        <f t="shared" si="8"/>
        <v>1.1199999999999999</v>
      </c>
      <c r="M32" s="66">
        <f t="shared" si="9"/>
        <v>1.3466666666666667</v>
      </c>
      <c r="O32">
        <f t="shared" si="10"/>
        <v>0</v>
      </c>
    </row>
    <row r="33" spans="1:15" x14ac:dyDescent="0.3">
      <c r="A33" s="17">
        <v>46013</v>
      </c>
      <c r="B33">
        <v>-0.33</v>
      </c>
      <c r="D33">
        <f t="shared" si="11"/>
        <v>22</v>
      </c>
      <c r="E33">
        <v>1</v>
      </c>
      <c r="F33">
        <f t="shared" si="12"/>
        <v>12</v>
      </c>
      <c r="G33">
        <f t="shared" si="13"/>
        <v>2025</v>
      </c>
      <c r="I33" s="17">
        <f t="shared" si="14"/>
        <v>45992</v>
      </c>
      <c r="K33" s="17">
        <v>45200</v>
      </c>
      <c r="L33">
        <f t="shared" si="8"/>
        <v>1.9227272727272728</v>
      </c>
      <c r="M33" s="66">
        <f t="shared" si="9"/>
        <v>2.6266666666666669</v>
      </c>
      <c r="O33">
        <f t="shared" si="10"/>
        <v>0</v>
      </c>
    </row>
    <row r="34" spans="1:15" x14ac:dyDescent="0.3">
      <c r="A34" s="17">
        <v>46010</v>
      </c>
      <c r="B34">
        <v>-0.35</v>
      </c>
      <c r="D34">
        <f t="shared" si="11"/>
        <v>19</v>
      </c>
      <c r="E34">
        <v>1</v>
      </c>
      <c r="F34">
        <f t="shared" si="12"/>
        <v>12</v>
      </c>
      <c r="G34">
        <f t="shared" si="13"/>
        <v>2025</v>
      </c>
      <c r="I34" s="17">
        <f t="shared" si="14"/>
        <v>45992</v>
      </c>
      <c r="K34" s="17">
        <v>45170</v>
      </c>
      <c r="L34">
        <f t="shared" si="8"/>
        <v>1.8245</v>
      </c>
      <c r="M34" s="66">
        <f t="shared" si="9"/>
        <v>1</v>
      </c>
      <c r="O34">
        <f t="shared" si="10"/>
        <v>0</v>
      </c>
    </row>
    <row r="35" spans="1:15" x14ac:dyDescent="0.3">
      <c r="A35" s="17">
        <v>46009</v>
      </c>
      <c r="B35">
        <v>-0.35</v>
      </c>
      <c r="D35">
        <f t="shared" si="11"/>
        <v>18</v>
      </c>
      <c r="E35">
        <v>1</v>
      </c>
      <c r="F35">
        <f t="shared" si="12"/>
        <v>12</v>
      </c>
      <c r="G35">
        <f t="shared" si="13"/>
        <v>2025</v>
      </c>
      <c r="I35" s="17">
        <f t="shared" si="14"/>
        <v>45992</v>
      </c>
      <c r="K35" s="17">
        <v>45139</v>
      </c>
      <c r="L35">
        <f t="shared" si="8"/>
        <v>1.0222727272727272</v>
      </c>
      <c r="M35" s="66">
        <f t="shared" si="9"/>
        <v>1.02</v>
      </c>
      <c r="O35">
        <f t="shared" si="10"/>
        <v>0</v>
      </c>
    </row>
    <row r="36" spans="1:15" x14ac:dyDescent="0.3">
      <c r="A36" s="17">
        <v>46008</v>
      </c>
      <c r="B36">
        <v>-0.25</v>
      </c>
      <c r="D36">
        <f t="shared" si="11"/>
        <v>17</v>
      </c>
      <c r="E36">
        <v>1</v>
      </c>
      <c r="F36">
        <f t="shared" si="12"/>
        <v>12</v>
      </c>
      <c r="G36">
        <f t="shared" si="13"/>
        <v>2025</v>
      </c>
      <c r="I36" s="17">
        <f t="shared" si="14"/>
        <v>45992</v>
      </c>
      <c r="K36" s="17">
        <v>45108</v>
      </c>
      <c r="L36">
        <f t="shared" si="8"/>
        <v>0.51095238095238105</v>
      </c>
      <c r="M36" s="66">
        <f t="shared" si="9"/>
        <v>0.01</v>
      </c>
      <c r="O36">
        <f t="shared" si="10"/>
        <v>0</v>
      </c>
    </row>
    <row r="37" spans="1:15" x14ac:dyDescent="0.3">
      <c r="A37" s="17">
        <v>46007</v>
      </c>
      <c r="B37">
        <v>-0.41</v>
      </c>
      <c r="D37">
        <f t="shared" si="11"/>
        <v>16</v>
      </c>
      <c r="E37">
        <v>1</v>
      </c>
      <c r="F37">
        <f t="shared" si="12"/>
        <v>12</v>
      </c>
      <c r="G37">
        <f t="shared" si="13"/>
        <v>2025</v>
      </c>
      <c r="I37" s="17">
        <f t="shared" si="14"/>
        <v>45992</v>
      </c>
      <c r="K37" s="17">
        <v>45078</v>
      </c>
      <c r="L37">
        <f t="shared" si="8"/>
        <v>0.36150000000000004</v>
      </c>
      <c r="M37" s="66">
        <f t="shared" si="9"/>
        <v>-0.02</v>
      </c>
      <c r="O37">
        <f t="shared" si="10"/>
        <v>0</v>
      </c>
    </row>
    <row r="38" spans="1:15" x14ac:dyDescent="0.3">
      <c r="A38" s="17">
        <v>46006</v>
      </c>
      <c r="B38">
        <v>-0.23</v>
      </c>
      <c r="D38">
        <f t="shared" si="11"/>
        <v>15</v>
      </c>
      <c r="E38">
        <v>1</v>
      </c>
      <c r="F38">
        <f t="shared" si="12"/>
        <v>12</v>
      </c>
      <c r="G38">
        <f t="shared" si="13"/>
        <v>2025</v>
      </c>
      <c r="I38" s="17">
        <f t="shared" si="14"/>
        <v>45992</v>
      </c>
      <c r="K38" s="17">
        <v>45047</v>
      </c>
      <c r="L38">
        <f t="shared" si="8"/>
        <v>0.20181818181818179</v>
      </c>
      <c r="M38" s="66">
        <f t="shared" si="9"/>
        <v>0.63</v>
      </c>
      <c r="O38">
        <f t="shared" si="10"/>
        <v>0</v>
      </c>
    </row>
    <row r="39" spans="1:15" x14ac:dyDescent="0.3">
      <c r="A39" s="17">
        <v>46003</v>
      </c>
      <c r="B39">
        <v>-0.24</v>
      </c>
      <c r="D39">
        <f t="shared" si="11"/>
        <v>12</v>
      </c>
      <c r="E39">
        <v>1</v>
      </c>
      <c r="F39">
        <f t="shared" si="12"/>
        <v>12</v>
      </c>
      <c r="G39">
        <f t="shared" si="13"/>
        <v>2025</v>
      </c>
      <c r="I39" s="17">
        <f t="shared" si="14"/>
        <v>45992</v>
      </c>
      <c r="K39" s="17">
        <v>45017</v>
      </c>
      <c r="L39">
        <f t="shared" si="8"/>
        <v>0.76000000000000012</v>
      </c>
      <c r="M39" s="66">
        <f t="shared" si="9"/>
        <v>1.0150000000000001</v>
      </c>
      <c r="O39">
        <f t="shared" si="10"/>
        <v>0</v>
      </c>
    </row>
    <row r="40" spans="1:15" x14ac:dyDescent="0.3">
      <c r="A40" s="17">
        <v>46002</v>
      </c>
      <c r="B40">
        <v>-0.31</v>
      </c>
      <c r="D40">
        <f t="shared" si="11"/>
        <v>11</v>
      </c>
      <c r="E40">
        <v>1</v>
      </c>
      <c r="F40">
        <f t="shared" si="12"/>
        <v>12</v>
      </c>
      <c r="G40">
        <f t="shared" si="13"/>
        <v>2025</v>
      </c>
      <c r="I40" s="17">
        <f t="shared" si="14"/>
        <v>45992</v>
      </c>
      <c r="K40" s="17">
        <v>44986</v>
      </c>
      <c r="L40">
        <f t="shared" si="8"/>
        <v>0.64391304347826095</v>
      </c>
      <c r="M40" s="66">
        <f t="shared" si="9"/>
        <v>1.25</v>
      </c>
      <c r="O40">
        <f t="shared" si="10"/>
        <v>0</v>
      </c>
    </row>
    <row r="41" spans="1:15" x14ac:dyDescent="0.3">
      <c r="A41" s="17">
        <v>46001</v>
      </c>
      <c r="B41">
        <v>-0.13</v>
      </c>
      <c r="D41">
        <f t="shared" si="11"/>
        <v>10</v>
      </c>
      <c r="E41">
        <v>1</v>
      </c>
      <c r="F41">
        <f t="shared" si="12"/>
        <v>12</v>
      </c>
      <c r="G41">
        <f t="shared" si="13"/>
        <v>2025</v>
      </c>
      <c r="I41" s="17">
        <f t="shared" si="14"/>
        <v>45992</v>
      </c>
      <c r="K41" s="17">
        <v>44958</v>
      </c>
      <c r="L41">
        <f t="shared" si="8"/>
        <v>1.0774999999999999</v>
      </c>
      <c r="M41" s="66">
        <f t="shared" si="9"/>
        <v>0.83666666666666656</v>
      </c>
      <c r="O41">
        <f t="shared" si="10"/>
        <v>0</v>
      </c>
    </row>
    <row r="42" spans="1:15" x14ac:dyDescent="0.3">
      <c r="A42" s="17">
        <v>46000</v>
      </c>
      <c r="B42">
        <v>-0.17</v>
      </c>
      <c r="D42">
        <f t="shared" si="11"/>
        <v>9</v>
      </c>
      <c r="E42">
        <v>1</v>
      </c>
      <c r="F42">
        <f t="shared" si="12"/>
        <v>12</v>
      </c>
      <c r="G42">
        <f t="shared" si="13"/>
        <v>2025</v>
      </c>
      <c r="I42" s="17">
        <f t="shared" si="14"/>
        <v>45992</v>
      </c>
      <c r="K42" s="17">
        <v>44927</v>
      </c>
      <c r="L42">
        <f t="shared" si="8"/>
        <v>0.32000000000000006</v>
      </c>
      <c r="M42" s="66">
        <f t="shared" si="9"/>
        <v>1.01</v>
      </c>
      <c r="O42">
        <f t="shared" si="10"/>
        <v>0</v>
      </c>
    </row>
    <row r="43" spans="1:15" x14ac:dyDescent="0.3">
      <c r="A43" s="17">
        <v>45999</v>
      </c>
      <c r="B43">
        <v>0</v>
      </c>
      <c r="D43">
        <f t="shared" si="11"/>
        <v>8</v>
      </c>
      <c r="E43">
        <v>1</v>
      </c>
      <c r="F43">
        <f t="shared" si="12"/>
        <v>12</v>
      </c>
      <c r="G43">
        <f t="shared" si="13"/>
        <v>2025</v>
      </c>
      <c r="I43" s="17">
        <f t="shared" si="14"/>
        <v>45992</v>
      </c>
      <c r="K43" s="17">
        <v>44896</v>
      </c>
      <c r="L43">
        <f t="shared" si="8"/>
        <v>0.22666666666666666</v>
      </c>
      <c r="M43" s="66">
        <f t="shared" si="9"/>
        <v>0.33999999999999997</v>
      </c>
      <c r="O43">
        <f t="shared" si="10"/>
        <v>0</v>
      </c>
    </row>
    <row r="44" spans="1:15" x14ac:dyDescent="0.3">
      <c r="A44" s="17">
        <v>45996</v>
      </c>
      <c r="B44">
        <v>0.1</v>
      </c>
      <c r="D44">
        <f t="shared" si="11"/>
        <v>5</v>
      </c>
      <c r="E44">
        <v>1</v>
      </c>
      <c r="F44">
        <f t="shared" si="12"/>
        <v>12</v>
      </c>
      <c r="G44">
        <f t="shared" si="13"/>
        <v>2025</v>
      </c>
      <c r="I44" s="17">
        <f t="shared" si="14"/>
        <v>45992</v>
      </c>
      <c r="K44" s="17">
        <v>44866</v>
      </c>
      <c r="L44">
        <f t="shared" si="8"/>
        <v>2.0872727272727269</v>
      </c>
      <c r="M44" s="66">
        <f t="shared" si="9"/>
        <v>3.6150000000000002</v>
      </c>
      <c r="O44">
        <f t="shared" si="10"/>
        <v>0</v>
      </c>
    </row>
    <row r="45" spans="1:15" x14ac:dyDescent="0.3">
      <c r="A45" s="17">
        <v>45995</v>
      </c>
      <c r="B45">
        <v>0.04</v>
      </c>
      <c r="C45" s="20"/>
      <c r="D45">
        <f t="shared" si="11"/>
        <v>4</v>
      </c>
      <c r="E45">
        <v>1</v>
      </c>
      <c r="F45">
        <f t="shared" si="12"/>
        <v>12</v>
      </c>
      <c r="G45">
        <f t="shared" si="13"/>
        <v>2025</v>
      </c>
      <c r="I45" s="17">
        <f t="shared" si="14"/>
        <v>45992</v>
      </c>
      <c r="K45" s="17">
        <v>44835</v>
      </c>
      <c r="L45">
        <f t="shared" si="8"/>
        <v>4.0689999999999991</v>
      </c>
      <c r="M45" s="66">
        <f t="shared" si="9"/>
        <v>4.82</v>
      </c>
      <c r="O45">
        <f t="shared" si="10"/>
        <v>1</v>
      </c>
    </row>
    <row r="46" spans="1:15" x14ac:dyDescent="0.3">
      <c r="A46" s="17">
        <v>45994</v>
      </c>
      <c r="B46">
        <v>-0.02</v>
      </c>
      <c r="D46">
        <f t="shared" si="11"/>
        <v>3</v>
      </c>
      <c r="E46">
        <v>1</v>
      </c>
      <c r="F46">
        <f t="shared" si="12"/>
        <v>12</v>
      </c>
      <c r="G46">
        <f t="shared" si="13"/>
        <v>2025</v>
      </c>
      <c r="I46" s="17">
        <f t="shared" si="14"/>
        <v>45992</v>
      </c>
      <c r="K46" s="17">
        <v>44805</v>
      </c>
      <c r="L46">
        <f t="shared" si="8"/>
        <v>4.2636363636363637</v>
      </c>
      <c r="M46" s="66">
        <f t="shared" si="9"/>
        <v>4.3849999999999998</v>
      </c>
      <c r="O46">
        <f t="shared" si="10"/>
        <v>1</v>
      </c>
    </row>
    <row r="47" spans="1:15" x14ac:dyDescent="0.3">
      <c r="A47" s="17">
        <v>45993</v>
      </c>
      <c r="B47">
        <v>-0.12</v>
      </c>
      <c r="D47">
        <f t="shared" si="11"/>
        <v>2</v>
      </c>
      <c r="E47">
        <v>1</v>
      </c>
      <c r="F47">
        <f t="shared" si="12"/>
        <v>12</v>
      </c>
      <c r="G47">
        <f t="shared" si="13"/>
        <v>2025</v>
      </c>
      <c r="I47" s="17">
        <f t="shared" si="14"/>
        <v>45992</v>
      </c>
      <c r="K47" s="17">
        <v>44774</v>
      </c>
      <c r="L47">
        <f t="shared" si="8"/>
        <v>4.3722727272727262</v>
      </c>
      <c r="M47" s="66">
        <f t="shared" si="9"/>
        <v>5.6549999999999994</v>
      </c>
      <c r="O47">
        <f t="shared" si="10"/>
        <v>1</v>
      </c>
    </row>
    <row r="48" spans="1:15" x14ac:dyDescent="0.3">
      <c r="A48" s="17">
        <v>45992</v>
      </c>
      <c r="B48">
        <v>0.1</v>
      </c>
      <c r="D48">
        <f t="shared" si="11"/>
        <v>1</v>
      </c>
      <c r="E48">
        <v>1</v>
      </c>
      <c r="F48">
        <f t="shared" si="12"/>
        <v>12</v>
      </c>
      <c r="G48">
        <f t="shared" si="13"/>
        <v>2025</v>
      </c>
      <c r="I48" s="17">
        <f t="shared" si="14"/>
        <v>45992</v>
      </c>
      <c r="K48" s="17">
        <v>44743</v>
      </c>
      <c r="L48">
        <f t="shared" si="8"/>
        <v>8.8120000000000012</v>
      </c>
      <c r="M48" s="66">
        <f t="shared" si="9"/>
        <v>9.0599999999999987</v>
      </c>
      <c r="O48">
        <f t="shared" si="10"/>
        <v>1</v>
      </c>
    </row>
    <row r="49" spans="1:15" x14ac:dyDescent="0.3">
      <c r="A49" s="17">
        <v>45989</v>
      </c>
      <c r="B49">
        <v>-0.12</v>
      </c>
      <c r="D49">
        <f t="shared" si="11"/>
        <v>28</v>
      </c>
      <c r="E49">
        <v>1</v>
      </c>
      <c r="F49">
        <f t="shared" si="12"/>
        <v>11</v>
      </c>
      <c r="G49">
        <f t="shared" si="13"/>
        <v>2025</v>
      </c>
      <c r="I49" s="17">
        <f t="shared" si="14"/>
        <v>45962</v>
      </c>
      <c r="K49" s="17">
        <v>44713</v>
      </c>
      <c r="L49">
        <f t="shared" si="8"/>
        <v>7.3863636363636349</v>
      </c>
      <c r="M49" s="66">
        <f t="shared" si="9"/>
        <v>6.6533333333333333</v>
      </c>
      <c r="O49">
        <f t="shared" si="10"/>
        <v>0</v>
      </c>
    </row>
    <row r="50" spans="1:15" x14ac:dyDescent="0.3">
      <c r="A50" s="17">
        <v>45988</v>
      </c>
      <c r="B50">
        <v>0.1</v>
      </c>
      <c r="D50">
        <f t="shared" si="11"/>
        <v>27</v>
      </c>
      <c r="E50">
        <v>1</v>
      </c>
      <c r="F50">
        <f t="shared" si="12"/>
        <v>11</v>
      </c>
      <c r="G50">
        <f t="shared" si="13"/>
        <v>2025</v>
      </c>
      <c r="I50" s="17">
        <f t="shared" si="14"/>
        <v>45962</v>
      </c>
      <c r="K50" s="17">
        <v>44682</v>
      </c>
      <c r="L50" t="e">
        <f t="shared" si="8"/>
        <v>#DIV/0!</v>
      </c>
      <c r="M50" s="66" t="e">
        <f t="shared" si="9"/>
        <v>#DIV/0!</v>
      </c>
      <c r="O50">
        <f t="shared" si="10"/>
        <v>0</v>
      </c>
    </row>
    <row r="51" spans="1:15" x14ac:dyDescent="0.3">
      <c r="A51" s="17">
        <v>45987</v>
      </c>
      <c r="B51">
        <v>0.02</v>
      </c>
      <c r="D51">
        <f t="shared" si="11"/>
        <v>26</v>
      </c>
      <c r="E51">
        <v>1</v>
      </c>
      <c r="F51">
        <f t="shared" si="12"/>
        <v>11</v>
      </c>
      <c r="G51">
        <f t="shared" si="13"/>
        <v>2025</v>
      </c>
      <c r="I51" s="17">
        <f t="shared" si="14"/>
        <v>45962</v>
      </c>
      <c r="K51" s="17">
        <v>44652</v>
      </c>
      <c r="L51" t="e">
        <f t="shared" si="8"/>
        <v>#DIV/0!</v>
      </c>
      <c r="M51" s="66" t="e">
        <f t="shared" si="9"/>
        <v>#DIV/0!</v>
      </c>
      <c r="O51">
        <f t="shared" si="10"/>
        <v>0</v>
      </c>
    </row>
    <row r="52" spans="1:15" x14ac:dyDescent="0.3">
      <c r="A52" s="17">
        <v>45986</v>
      </c>
      <c r="B52">
        <v>-0.09</v>
      </c>
      <c r="D52">
        <f t="shared" si="11"/>
        <v>25</v>
      </c>
      <c r="E52">
        <v>1</v>
      </c>
      <c r="F52">
        <f t="shared" si="12"/>
        <v>11</v>
      </c>
      <c r="G52">
        <f t="shared" si="13"/>
        <v>2025</v>
      </c>
      <c r="I52" s="17">
        <f t="shared" si="14"/>
        <v>45962</v>
      </c>
      <c r="K52" s="17">
        <v>44621</v>
      </c>
      <c r="L52" t="e">
        <f t="shared" si="8"/>
        <v>#DIV/0!</v>
      </c>
      <c r="M52" s="66" t="e">
        <f t="shared" si="9"/>
        <v>#DIV/0!</v>
      </c>
      <c r="O52">
        <f t="shared" si="10"/>
        <v>0</v>
      </c>
    </row>
    <row r="53" spans="1:15" x14ac:dyDescent="0.3">
      <c r="A53" s="17">
        <v>45985</v>
      </c>
      <c r="B53">
        <v>-0.12</v>
      </c>
      <c r="D53">
        <f t="shared" si="11"/>
        <v>24</v>
      </c>
      <c r="E53">
        <v>1</v>
      </c>
      <c r="F53">
        <f t="shared" si="12"/>
        <v>11</v>
      </c>
      <c r="G53">
        <f t="shared" si="13"/>
        <v>2025</v>
      </c>
      <c r="I53" s="17">
        <f t="shared" si="14"/>
        <v>45962</v>
      </c>
      <c r="K53" s="17">
        <v>44593</v>
      </c>
      <c r="L53" t="e">
        <f t="shared" si="8"/>
        <v>#DIV/0!</v>
      </c>
      <c r="M53" s="66" t="e">
        <f t="shared" si="9"/>
        <v>#DIV/0!</v>
      </c>
      <c r="O53">
        <f t="shared" si="10"/>
        <v>0</v>
      </c>
    </row>
    <row r="54" spans="1:15" x14ac:dyDescent="0.3">
      <c r="A54" s="17">
        <v>45982</v>
      </c>
      <c r="B54">
        <v>-0.28000000000000003</v>
      </c>
      <c r="D54">
        <f t="shared" si="11"/>
        <v>21</v>
      </c>
      <c r="E54">
        <v>1</v>
      </c>
      <c r="F54">
        <f t="shared" si="12"/>
        <v>11</v>
      </c>
      <c r="G54">
        <f t="shared" si="13"/>
        <v>2025</v>
      </c>
      <c r="I54" s="17">
        <f t="shared" si="14"/>
        <v>45962</v>
      </c>
      <c r="K54" s="17">
        <v>44562</v>
      </c>
      <c r="L54" t="e">
        <f t="shared" si="8"/>
        <v>#DIV/0!</v>
      </c>
      <c r="M54" s="66" t="e">
        <f t="shared" si="9"/>
        <v>#DIV/0!</v>
      </c>
      <c r="O54">
        <f t="shared" si="10"/>
        <v>0</v>
      </c>
    </row>
    <row r="55" spans="1:15" x14ac:dyDescent="0.3">
      <c r="A55" s="17">
        <v>45981</v>
      </c>
      <c r="B55">
        <v>-0.03</v>
      </c>
      <c r="D55">
        <f t="shared" si="11"/>
        <v>20</v>
      </c>
      <c r="E55">
        <v>1</v>
      </c>
      <c r="F55">
        <f t="shared" si="12"/>
        <v>11</v>
      </c>
      <c r="G55">
        <f t="shared" si="13"/>
        <v>2025</v>
      </c>
      <c r="I55" s="17">
        <f t="shared" si="14"/>
        <v>45962</v>
      </c>
      <c r="K55" s="17">
        <v>44531</v>
      </c>
      <c r="L55" t="e">
        <f t="shared" si="8"/>
        <v>#DIV/0!</v>
      </c>
      <c r="M55" s="66" t="e">
        <f t="shared" si="9"/>
        <v>#DIV/0!</v>
      </c>
      <c r="O55">
        <f t="shared" si="10"/>
        <v>0</v>
      </c>
    </row>
    <row r="56" spans="1:15" x14ac:dyDescent="0.3">
      <c r="A56" s="17">
        <v>45980</v>
      </c>
      <c r="B56">
        <v>0.03</v>
      </c>
      <c r="D56">
        <f t="shared" si="11"/>
        <v>19</v>
      </c>
      <c r="E56">
        <v>1</v>
      </c>
      <c r="F56">
        <f t="shared" si="12"/>
        <v>11</v>
      </c>
      <c r="G56">
        <f t="shared" si="13"/>
        <v>2025</v>
      </c>
      <c r="I56" s="17">
        <f t="shared" si="14"/>
        <v>45962</v>
      </c>
      <c r="K56" s="17">
        <v>44501</v>
      </c>
      <c r="L56" t="e">
        <f t="shared" si="8"/>
        <v>#DIV/0!</v>
      </c>
      <c r="M56" s="66" t="e">
        <f t="shared" si="9"/>
        <v>#DIV/0!</v>
      </c>
      <c r="O56">
        <f t="shared" si="10"/>
        <v>0</v>
      </c>
    </row>
    <row r="57" spans="1:15" x14ac:dyDescent="0.3">
      <c r="A57" s="17">
        <v>45979</v>
      </c>
      <c r="B57">
        <v>7.0000000000000007E-2</v>
      </c>
      <c r="D57">
        <f t="shared" si="11"/>
        <v>18</v>
      </c>
      <c r="E57">
        <v>1</v>
      </c>
      <c r="F57">
        <f t="shared" si="12"/>
        <v>11</v>
      </c>
      <c r="G57">
        <f t="shared" si="13"/>
        <v>2025</v>
      </c>
      <c r="I57" s="17">
        <f t="shared" si="14"/>
        <v>45962</v>
      </c>
      <c r="K57" s="17">
        <v>44470</v>
      </c>
      <c r="L57" t="e">
        <f t="shared" si="8"/>
        <v>#DIV/0!</v>
      </c>
      <c r="M57" s="66" t="e">
        <f t="shared" si="9"/>
        <v>#DIV/0!</v>
      </c>
      <c r="O57">
        <f t="shared" si="10"/>
        <v>0</v>
      </c>
    </row>
    <row r="58" spans="1:15" x14ac:dyDescent="0.3">
      <c r="A58" s="17">
        <v>45978</v>
      </c>
      <c r="B58">
        <v>0.03</v>
      </c>
      <c r="D58">
        <f t="shared" si="11"/>
        <v>17</v>
      </c>
      <c r="E58">
        <v>1</v>
      </c>
      <c r="F58">
        <f t="shared" si="12"/>
        <v>11</v>
      </c>
      <c r="G58">
        <f t="shared" si="13"/>
        <v>2025</v>
      </c>
      <c r="I58" s="17">
        <f t="shared" si="14"/>
        <v>45962</v>
      </c>
      <c r="K58" s="17">
        <v>44440</v>
      </c>
      <c r="L58" t="e">
        <f t="shared" si="8"/>
        <v>#DIV/0!</v>
      </c>
      <c r="M58" s="66" t="e">
        <f t="shared" si="9"/>
        <v>#DIV/0!</v>
      </c>
      <c r="O58">
        <f t="shared" si="10"/>
        <v>0</v>
      </c>
    </row>
    <row r="59" spans="1:15" x14ac:dyDescent="0.3">
      <c r="A59" s="17">
        <v>45975</v>
      </c>
      <c r="B59">
        <v>0.22</v>
      </c>
      <c r="D59">
        <f t="shared" si="11"/>
        <v>14</v>
      </c>
      <c r="E59">
        <v>1</v>
      </c>
      <c r="F59">
        <f t="shared" si="12"/>
        <v>11</v>
      </c>
      <c r="G59">
        <f t="shared" si="13"/>
        <v>2025</v>
      </c>
      <c r="I59" s="17">
        <f t="shared" si="14"/>
        <v>45962</v>
      </c>
      <c r="K59" s="17">
        <v>44409</v>
      </c>
      <c r="L59" t="e">
        <f t="shared" si="8"/>
        <v>#DIV/0!</v>
      </c>
      <c r="M59" s="66" t="e">
        <f t="shared" si="9"/>
        <v>#DIV/0!</v>
      </c>
      <c r="O59">
        <f t="shared" si="10"/>
        <v>0</v>
      </c>
    </row>
    <row r="60" spans="1:15" x14ac:dyDescent="0.3">
      <c r="A60" s="17">
        <v>45974</v>
      </c>
      <c r="B60">
        <v>0.12</v>
      </c>
      <c r="D60">
        <f t="shared" si="11"/>
        <v>13</v>
      </c>
      <c r="E60">
        <v>1</v>
      </c>
      <c r="F60">
        <f t="shared" si="12"/>
        <v>11</v>
      </c>
      <c r="G60">
        <f t="shared" si="13"/>
        <v>2025</v>
      </c>
      <c r="I60" s="17">
        <f t="shared" si="14"/>
        <v>45962</v>
      </c>
      <c r="K60" s="17">
        <v>44378</v>
      </c>
      <c r="L60" t="e">
        <f t="shared" si="8"/>
        <v>#DIV/0!</v>
      </c>
      <c r="M60" s="66" t="e">
        <f t="shared" si="9"/>
        <v>#DIV/0!</v>
      </c>
      <c r="O60">
        <f t="shared" si="10"/>
        <v>0</v>
      </c>
    </row>
    <row r="61" spans="1:15" x14ac:dyDescent="0.3">
      <c r="A61" s="17">
        <v>45973</v>
      </c>
      <c r="B61">
        <v>0.1</v>
      </c>
      <c r="D61">
        <f t="shared" si="11"/>
        <v>12</v>
      </c>
      <c r="E61">
        <v>1</v>
      </c>
      <c r="F61">
        <f t="shared" si="12"/>
        <v>11</v>
      </c>
      <c r="G61">
        <f t="shared" si="13"/>
        <v>2025</v>
      </c>
      <c r="I61" s="17">
        <f t="shared" si="14"/>
        <v>45962</v>
      </c>
      <c r="K61" s="17">
        <v>44348</v>
      </c>
      <c r="L61" t="e">
        <f t="shared" si="8"/>
        <v>#DIV/0!</v>
      </c>
      <c r="M61" s="66" t="e">
        <f t="shared" si="9"/>
        <v>#DIV/0!</v>
      </c>
      <c r="O61">
        <f t="shared" si="10"/>
        <v>0</v>
      </c>
    </row>
    <row r="62" spans="1:15" x14ac:dyDescent="0.3">
      <c r="A62" s="17">
        <v>45972</v>
      </c>
      <c r="B62">
        <v>0.25</v>
      </c>
      <c r="D62">
        <f t="shared" si="11"/>
        <v>11</v>
      </c>
      <c r="E62">
        <v>1</v>
      </c>
      <c r="F62">
        <f t="shared" si="12"/>
        <v>11</v>
      </c>
      <c r="G62">
        <f t="shared" si="13"/>
        <v>2025</v>
      </c>
      <c r="I62" s="17">
        <f t="shared" si="14"/>
        <v>45962</v>
      </c>
      <c r="K62" s="17">
        <v>44317</v>
      </c>
      <c r="L62" t="e">
        <f t="shared" si="8"/>
        <v>#DIV/0!</v>
      </c>
      <c r="M62" s="66" t="e">
        <f t="shared" si="9"/>
        <v>#DIV/0!</v>
      </c>
      <c r="O62">
        <f t="shared" si="10"/>
        <v>0</v>
      </c>
    </row>
    <row r="63" spans="1:15" x14ac:dyDescent="0.3">
      <c r="A63" s="17">
        <v>45971</v>
      </c>
      <c r="B63">
        <v>0.28999999999999998</v>
      </c>
      <c r="D63">
        <f t="shared" si="11"/>
        <v>10</v>
      </c>
      <c r="E63">
        <v>1</v>
      </c>
      <c r="F63">
        <f t="shared" si="12"/>
        <v>11</v>
      </c>
      <c r="G63">
        <f t="shared" si="13"/>
        <v>2025</v>
      </c>
      <c r="I63" s="17">
        <f t="shared" si="14"/>
        <v>45962</v>
      </c>
      <c r="K63" s="17">
        <v>44287</v>
      </c>
      <c r="L63" t="e">
        <f t="shared" si="8"/>
        <v>#DIV/0!</v>
      </c>
      <c r="M63" s="66" t="e">
        <f t="shared" si="9"/>
        <v>#DIV/0!</v>
      </c>
      <c r="O63">
        <f t="shared" si="10"/>
        <v>0</v>
      </c>
    </row>
    <row r="64" spans="1:15" x14ac:dyDescent="0.3">
      <c r="A64" s="17">
        <v>45968</v>
      </c>
      <c r="B64">
        <v>0.36</v>
      </c>
      <c r="D64">
        <f t="shared" si="11"/>
        <v>7</v>
      </c>
      <c r="E64">
        <v>1</v>
      </c>
      <c r="F64">
        <f t="shared" si="12"/>
        <v>11</v>
      </c>
      <c r="G64">
        <f t="shared" si="13"/>
        <v>2025</v>
      </c>
      <c r="I64" s="17">
        <f t="shared" si="14"/>
        <v>45962</v>
      </c>
      <c r="K64" s="17">
        <v>44256</v>
      </c>
      <c r="L64" t="e">
        <f t="shared" si="8"/>
        <v>#DIV/0!</v>
      </c>
      <c r="M64" s="66" t="e">
        <f t="shared" si="9"/>
        <v>#DIV/0!</v>
      </c>
      <c r="O64">
        <f t="shared" si="10"/>
        <v>0</v>
      </c>
    </row>
    <row r="65" spans="1:15" x14ac:dyDescent="0.3">
      <c r="A65" s="17">
        <v>45967</v>
      </c>
      <c r="B65">
        <v>0.34</v>
      </c>
      <c r="D65">
        <f t="shared" si="11"/>
        <v>6</v>
      </c>
      <c r="E65">
        <v>1</v>
      </c>
      <c r="F65">
        <f t="shared" si="12"/>
        <v>11</v>
      </c>
      <c r="G65">
        <f t="shared" si="13"/>
        <v>2025</v>
      </c>
      <c r="I65" s="17">
        <f t="shared" si="14"/>
        <v>45962</v>
      </c>
      <c r="K65" s="17">
        <v>44228</v>
      </c>
      <c r="L65" t="e">
        <f t="shared" si="8"/>
        <v>#DIV/0!</v>
      </c>
      <c r="M65" s="66" t="e">
        <f t="shared" si="9"/>
        <v>#DIV/0!</v>
      </c>
      <c r="O65">
        <f t="shared" si="10"/>
        <v>0</v>
      </c>
    </row>
    <row r="66" spans="1:15" x14ac:dyDescent="0.3">
      <c r="A66" s="17">
        <v>45966</v>
      </c>
      <c r="B66">
        <v>0.67</v>
      </c>
      <c r="D66">
        <f t="shared" si="11"/>
        <v>5</v>
      </c>
      <c r="E66">
        <v>1</v>
      </c>
      <c r="F66">
        <f t="shared" si="12"/>
        <v>11</v>
      </c>
      <c r="G66">
        <f t="shared" si="13"/>
        <v>2025</v>
      </c>
      <c r="I66" s="17">
        <f t="shared" si="14"/>
        <v>45962</v>
      </c>
      <c r="K66" s="17">
        <v>44197</v>
      </c>
      <c r="L66" t="e">
        <f t="shared" si="8"/>
        <v>#DIV/0!</v>
      </c>
      <c r="M66" s="66" t="e">
        <f t="shared" si="9"/>
        <v>#DIV/0!</v>
      </c>
      <c r="O66">
        <f t="shared" si="10"/>
        <v>0</v>
      </c>
    </row>
    <row r="67" spans="1:15" x14ac:dyDescent="0.3">
      <c r="A67" s="17">
        <v>45965</v>
      </c>
      <c r="B67">
        <v>0.75</v>
      </c>
      <c r="D67">
        <f t="shared" si="11"/>
        <v>4</v>
      </c>
      <c r="E67">
        <v>1</v>
      </c>
      <c r="F67">
        <f t="shared" si="12"/>
        <v>11</v>
      </c>
      <c r="G67">
        <f t="shared" si="13"/>
        <v>2025</v>
      </c>
      <c r="I67" s="17">
        <f t="shared" si="14"/>
        <v>45962</v>
      </c>
      <c r="K67" s="17">
        <v>44166</v>
      </c>
      <c r="L67" t="e">
        <f t="shared" si="8"/>
        <v>#DIV/0!</v>
      </c>
      <c r="M67" s="66" t="e">
        <f t="shared" si="9"/>
        <v>#DIV/0!</v>
      </c>
      <c r="O67">
        <f t="shared" si="10"/>
        <v>1</v>
      </c>
    </row>
    <row r="68" spans="1:15" x14ac:dyDescent="0.3">
      <c r="A68" s="17">
        <v>45964</v>
      </c>
      <c r="B68">
        <v>1.59</v>
      </c>
      <c r="D68">
        <f t="shared" si="11"/>
        <v>3</v>
      </c>
      <c r="E68">
        <v>1</v>
      </c>
      <c r="F68">
        <f t="shared" si="12"/>
        <v>11</v>
      </c>
      <c r="G68">
        <f t="shared" si="13"/>
        <v>2025</v>
      </c>
      <c r="I68" s="17">
        <f t="shared" si="14"/>
        <v>45962</v>
      </c>
      <c r="K68" s="17">
        <v>44136</v>
      </c>
      <c r="L68" t="e">
        <f t="shared" si="8"/>
        <v>#DIV/0!</v>
      </c>
      <c r="M68" s="66" t="e">
        <f t="shared" si="9"/>
        <v>#DIV/0!</v>
      </c>
      <c r="O68">
        <f t="shared" si="10"/>
        <v>1</v>
      </c>
    </row>
    <row r="69" spans="1:15" x14ac:dyDescent="0.3">
      <c r="A69" s="17">
        <v>45961</v>
      </c>
      <c r="B69">
        <v>2.4900000000000002</v>
      </c>
      <c r="D69">
        <f t="shared" si="11"/>
        <v>31</v>
      </c>
      <c r="E69">
        <v>1</v>
      </c>
      <c r="F69">
        <f t="shared" si="12"/>
        <v>10</v>
      </c>
      <c r="G69">
        <f t="shared" si="13"/>
        <v>2025</v>
      </c>
      <c r="I69" s="17">
        <f t="shared" si="14"/>
        <v>45931</v>
      </c>
      <c r="K69" s="17">
        <v>44105</v>
      </c>
      <c r="L69" t="e">
        <f t="shared" si="8"/>
        <v>#DIV/0!</v>
      </c>
      <c r="M69" s="66" t="e">
        <f t="shared" si="9"/>
        <v>#DIV/0!</v>
      </c>
      <c r="O69">
        <f t="shared" si="10"/>
        <v>0</v>
      </c>
    </row>
    <row r="70" spans="1:15" x14ac:dyDescent="0.3">
      <c r="A70" s="17">
        <v>45960</v>
      </c>
      <c r="B70">
        <v>1.9</v>
      </c>
      <c r="D70">
        <f t="shared" si="11"/>
        <v>30</v>
      </c>
      <c r="E70">
        <v>1</v>
      </c>
      <c r="F70">
        <f t="shared" si="12"/>
        <v>10</v>
      </c>
      <c r="G70">
        <f t="shared" si="13"/>
        <v>2025</v>
      </c>
      <c r="I70" s="17">
        <f t="shared" si="14"/>
        <v>45931</v>
      </c>
      <c r="K70" s="17">
        <v>44075</v>
      </c>
      <c r="L70" t="e">
        <f t="shared" si="8"/>
        <v>#DIV/0!</v>
      </c>
      <c r="M70" s="66" t="e">
        <f t="shared" si="9"/>
        <v>#DIV/0!</v>
      </c>
      <c r="O70">
        <f t="shared" si="10"/>
        <v>0</v>
      </c>
    </row>
    <row r="71" spans="1:15" x14ac:dyDescent="0.3">
      <c r="A71" s="17">
        <v>45959</v>
      </c>
      <c r="B71">
        <v>0.21</v>
      </c>
      <c r="D71">
        <f t="shared" si="11"/>
        <v>29</v>
      </c>
      <c r="E71">
        <v>1</v>
      </c>
      <c r="F71">
        <f t="shared" si="12"/>
        <v>10</v>
      </c>
      <c r="G71">
        <f t="shared" si="13"/>
        <v>2025</v>
      </c>
      <c r="I71" s="17">
        <f t="shared" si="14"/>
        <v>45931</v>
      </c>
      <c r="K71" s="17">
        <v>44044</v>
      </c>
      <c r="L71" t="e">
        <f t="shared" ref="L71:L134" si="15">+AVERAGEIFS($B$6:$B$928,$I$6:$I$928,$K71)</f>
        <v>#DIV/0!</v>
      </c>
      <c r="M71" s="66" t="e">
        <f t="shared" ref="M71:M134" si="16">+AVERAGEIFS($B$6:$B$928,$I$6:$I$928,$K71,$O$6:$O$928,1)</f>
        <v>#DIV/0!</v>
      </c>
      <c r="O71">
        <f t="shared" ref="O71:O134" si="17">IF(AND(D71&gt;=1, D71&lt;=4), 1, 0)</f>
        <v>0</v>
      </c>
    </row>
    <row r="72" spans="1:15" x14ac:dyDescent="0.3">
      <c r="A72" s="17">
        <v>45958</v>
      </c>
      <c r="B72">
        <v>0.65</v>
      </c>
      <c r="D72">
        <f t="shared" si="11"/>
        <v>28</v>
      </c>
      <c r="E72">
        <v>1</v>
      </c>
      <c r="F72">
        <f t="shared" si="12"/>
        <v>10</v>
      </c>
      <c r="G72">
        <f t="shared" si="13"/>
        <v>2025</v>
      </c>
      <c r="I72" s="17">
        <f t="shared" si="14"/>
        <v>45931</v>
      </c>
      <c r="K72" s="17">
        <v>44013</v>
      </c>
      <c r="L72" t="e">
        <f t="shared" si="15"/>
        <v>#DIV/0!</v>
      </c>
      <c r="M72" s="66" t="e">
        <f t="shared" si="16"/>
        <v>#DIV/0!</v>
      </c>
      <c r="O72">
        <f t="shared" si="17"/>
        <v>0</v>
      </c>
    </row>
    <row r="73" spans="1:15" x14ac:dyDescent="0.3">
      <c r="A73" s="17">
        <v>45957</v>
      </c>
      <c r="B73">
        <v>2.19</v>
      </c>
      <c r="D73">
        <f t="shared" si="11"/>
        <v>27</v>
      </c>
      <c r="E73">
        <v>1</v>
      </c>
      <c r="F73">
        <f t="shared" si="12"/>
        <v>10</v>
      </c>
      <c r="G73">
        <f t="shared" si="13"/>
        <v>2025</v>
      </c>
      <c r="I73" s="17">
        <f t="shared" si="14"/>
        <v>45931</v>
      </c>
      <c r="K73" s="17">
        <v>43983</v>
      </c>
      <c r="L73" t="e">
        <f t="shared" si="15"/>
        <v>#DIV/0!</v>
      </c>
      <c r="M73" s="66" t="e">
        <f t="shared" si="16"/>
        <v>#DIV/0!</v>
      </c>
      <c r="O73">
        <f t="shared" si="17"/>
        <v>0</v>
      </c>
    </row>
    <row r="74" spans="1:15" x14ac:dyDescent="0.3">
      <c r="A74" s="17">
        <v>45954</v>
      </c>
      <c r="B74">
        <v>2.46</v>
      </c>
      <c r="D74">
        <f t="shared" si="11"/>
        <v>24</v>
      </c>
      <c r="E74">
        <v>1</v>
      </c>
      <c r="F74">
        <f t="shared" si="12"/>
        <v>10</v>
      </c>
      <c r="G74">
        <f t="shared" si="13"/>
        <v>2025</v>
      </c>
      <c r="I74" s="17">
        <f t="shared" si="14"/>
        <v>45931</v>
      </c>
      <c r="K74" s="17">
        <v>43952</v>
      </c>
      <c r="L74" t="e">
        <f t="shared" si="15"/>
        <v>#DIV/0!</v>
      </c>
      <c r="M74" s="66" t="e">
        <f t="shared" si="16"/>
        <v>#DIV/0!</v>
      </c>
      <c r="O74">
        <f t="shared" si="17"/>
        <v>0</v>
      </c>
    </row>
    <row r="75" spans="1:15" x14ac:dyDescent="0.3">
      <c r="A75" s="17">
        <v>45953</v>
      </c>
      <c r="B75">
        <v>2.11</v>
      </c>
      <c r="D75">
        <f t="shared" si="11"/>
        <v>23</v>
      </c>
      <c r="E75">
        <v>1</v>
      </c>
      <c r="F75">
        <f t="shared" si="12"/>
        <v>10</v>
      </c>
      <c r="G75">
        <f t="shared" si="13"/>
        <v>2025</v>
      </c>
      <c r="I75" s="17">
        <f t="shared" si="14"/>
        <v>45931</v>
      </c>
      <c r="K75" s="17">
        <v>43922</v>
      </c>
      <c r="L75" t="e">
        <f t="shared" si="15"/>
        <v>#DIV/0!</v>
      </c>
      <c r="M75" s="66" t="e">
        <f t="shared" si="16"/>
        <v>#DIV/0!</v>
      </c>
      <c r="O75">
        <f t="shared" si="17"/>
        <v>0</v>
      </c>
    </row>
    <row r="76" spans="1:15" x14ac:dyDescent="0.3">
      <c r="A76" s="17">
        <v>45952</v>
      </c>
      <c r="B76">
        <v>0.65</v>
      </c>
      <c r="D76">
        <f t="shared" si="11"/>
        <v>22</v>
      </c>
      <c r="E76">
        <v>1</v>
      </c>
      <c r="F76">
        <f t="shared" si="12"/>
        <v>10</v>
      </c>
      <c r="G76">
        <f t="shared" si="13"/>
        <v>2025</v>
      </c>
      <c r="I76" s="17">
        <f t="shared" si="14"/>
        <v>45931</v>
      </c>
      <c r="K76" s="17">
        <v>43891</v>
      </c>
      <c r="L76" t="e">
        <f t="shared" si="15"/>
        <v>#DIV/0!</v>
      </c>
      <c r="M76" s="66" t="e">
        <f t="shared" si="16"/>
        <v>#DIV/0!</v>
      </c>
      <c r="O76">
        <f t="shared" si="17"/>
        <v>0</v>
      </c>
    </row>
    <row r="77" spans="1:15" x14ac:dyDescent="0.3">
      <c r="A77" s="17">
        <v>45951</v>
      </c>
      <c r="B77">
        <v>0.2</v>
      </c>
      <c r="D77">
        <f t="shared" si="11"/>
        <v>21</v>
      </c>
      <c r="E77">
        <v>1</v>
      </c>
      <c r="F77">
        <f t="shared" si="12"/>
        <v>10</v>
      </c>
      <c r="G77">
        <f t="shared" si="13"/>
        <v>2025</v>
      </c>
      <c r="I77" s="17">
        <f t="shared" si="14"/>
        <v>45931</v>
      </c>
      <c r="K77" s="17">
        <v>43862</v>
      </c>
      <c r="L77" t="e">
        <f t="shared" si="15"/>
        <v>#DIV/0!</v>
      </c>
      <c r="M77" s="66" t="e">
        <f t="shared" si="16"/>
        <v>#DIV/0!</v>
      </c>
      <c r="O77">
        <f t="shared" si="17"/>
        <v>0</v>
      </c>
    </row>
    <row r="78" spans="1:15" x14ac:dyDescent="0.3">
      <c r="A78" s="17">
        <v>45947</v>
      </c>
      <c r="B78">
        <v>-0.14000000000000001</v>
      </c>
      <c r="D78">
        <f t="shared" si="11"/>
        <v>17</v>
      </c>
      <c r="E78">
        <v>1</v>
      </c>
      <c r="F78">
        <f t="shared" si="12"/>
        <v>10</v>
      </c>
      <c r="G78">
        <f t="shared" si="13"/>
        <v>2025</v>
      </c>
      <c r="I78" s="17">
        <f t="shared" si="14"/>
        <v>45931</v>
      </c>
      <c r="K78" s="17">
        <v>43831</v>
      </c>
      <c r="L78" t="e">
        <f t="shared" si="15"/>
        <v>#DIV/0!</v>
      </c>
      <c r="M78" s="66" t="e">
        <f t="shared" si="16"/>
        <v>#DIV/0!</v>
      </c>
      <c r="O78">
        <f t="shared" si="17"/>
        <v>0</v>
      </c>
    </row>
    <row r="79" spans="1:15" x14ac:dyDescent="0.3">
      <c r="A79" s="17">
        <v>45946</v>
      </c>
      <c r="B79">
        <v>-0.15</v>
      </c>
      <c r="D79">
        <f t="shared" ref="D79:D142" si="18">+DAY(A79)</f>
        <v>16</v>
      </c>
      <c r="E79">
        <v>1</v>
      </c>
      <c r="F79">
        <f t="shared" ref="F79:F142" si="19">+MONTH(A79)</f>
        <v>10</v>
      </c>
      <c r="G79">
        <f t="shared" ref="G79:G142" si="20">+YEAR(A79)</f>
        <v>2025</v>
      </c>
      <c r="I79" s="17">
        <f t="shared" ref="I79:I142" si="21">+DATE(G79,F79,E79)</f>
        <v>45931</v>
      </c>
      <c r="K79" s="17">
        <v>43800</v>
      </c>
      <c r="L79" t="e">
        <f t="shared" si="15"/>
        <v>#DIV/0!</v>
      </c>
      <c r="M79" s="66" t="e">
        <f t="shared" si="16"/>
        <v>#DIV/0!</v>
      </c>
      <c r="O79">
        <f t="shared" si="17"/>
        <v>0</v>
      </c>
    </row>
    <row r="80" spans="1:15" x14ac:dyDescent="0.3">
      <c r="A80" s="17">
        <v>45945</v>
      </c>
      <c r="B80">
        <v>-0.15</v>
      </c>
      <c r="D80">
        <f t="shared" si="18"/>
        <v>15</v>
      </c>
      <c r="E80">
        <v>1</v>
      </c>
      <c r="F80">
        <f t="shared" si="19"/>
        <v>10</v>
      </c>
      <c r="G80">
        <f t="shared" si="20"/>
        <v>2025</v>
      </c>
      <c r="I80" s="17">
        <f t="shared" si="21"/>
        <v>45931</v>
      </c>
      <c r="K80" s="17">
        <v>43770</v>
      </c>
      <c r="L80" t="e">
        <f t="shared" si="15"/>
        <v>#DIV/0!</v>
      </c>
      <c r="M80" s="66" t="e">
        <f t="shared" si="16"/>
        <v>#DIV/0!</v>
      </c>
      <c r="O80">
        <f t="shared" si="17"/>
        <v>0</v>
      </c>
    </row>
    <row r="81" spans="1:15" x14ac:dyDescent="0.3">
      <c r="A81" s="17">
        <v>45944</v>
      </c>
      <c r="B81">
        <v>-0.21</v>
      </c>
      <c r="D81">
        <f t="shared" si="18"/>
        <v>14</v>
      </c>
      <c r="E81">
        <v>1</v>
      </c>
      <c r="F81">
        <f t="shared" si="19"/>
        <v>10</v>
      </c>
      <c r="G81">
        <f t="shared" si="20"/>
        <v>2025</v>
      </c>
      <c r="I81" s="17">
        <f t="shared" si="21"/>
        <v>45931</v>
      </c>
      <c r="K81" s="17">
        <v>43739</v>
      </c>
      <c r="L81" t="e">
        <f t="shared" si="15"/>
        <v>#DIV/0!</v>
      </c>
      <c r="M81" s="66" t="e">
        <f t="shared" si="16"/>
        <v>#DIV/0!</v>
      </c>
      <c r="O81">
        <f t="shared" si="17"/>
        <v>0</v>
      </c>
    </row>
    <row r="82" spans="1:15" x14ac:dyDescent="0.3">
      <c r="A82" s="17">
        <v>45943</v>
      </c>
      <c r="B82">
        <v>-0.06</v>
      </c>
      <c r="D82">
        <f t="shared" si="18"/>
        <v>13</v>
      </c>
      <c r="E82">
        <v>1</v>
      </c>
      <c r="F82">
        <f t="shared" si="19"/>
        <v>10</v>
      </c>
      <c r="G82">
        <f t="shared" si="20"/>
        <v>2025</v>
      </c>
      <c r="I82" s="17">
        <f t="shared" si="21"/>
        <v>45931</v>
      </c>
      <c r="K82" s="17">
        <v>43709</v>
      </c>
      <c r="L82" t="e">
        <f t="shared" si="15"/>
        <v>#DIV/0!</v>
      </c>
      <c r="M82" s="66" t="e">
        <f t="shared" si="16"/>
        <v>#DIV/0!</v>
      </c>
      <c r="O82">
        <f t="shared" si="17"/>
        <v>0</v>
      </c>
    </row>
    <row r="83" spans="1:15" x14ac:dyDescent="0.3">
      <c r="A83" s="17">
        <v>45940</v>
      </c>
      <c r="B83">
        <v>0.15</v>
      </c>
      <c r="D83">
        <f t="shared" si="18"/>
        <v>10</v>
      </c>
      <c r="E83">
        <v>1</v>
      </c>
      <c r="F83">
        <f t="shared" si="19"/>
        <v>10</v>
      </c>
      <c r="G83">
        <f t="shared" si="20"/>
        <v>2025</v>
      </c>
      <c r="I83" s="17">
        <f t="shared" si="21"/>
        <v>45931</v>
      </c>
      <c r="K83" s="17">
        <v>43678</v>
      </c>
      <c r="L83" t="e">
        <f t="shared" si="15"/>
        <v>#DIV/0!</v>
      </c>
      <c r="M83" s="66" t="e">
        <f t="shared" si="16"/>
        <v>#DIV/0!</v>
      </c>
      <c r="O83">
        <f t="shared" si="17"/>
        <v>0</v>
      </c>
    </row>
    <row r="84" spans="1:15" x14ac:dyDescent="0.3">
      <c r="A84" s="17">
        <v>45939</v>
      </c>
      <c r="B84">
        <v>0.57999999999999996</v>
      </c>
      <c r="D84">
        <f t="shared" si="18"/>
        <v>9</v>
      </c>
      <c r="E84">
        <v>1</v>
      </c>
      <c r="F84">
        <f t="shared" si="19"/>
        <v>10</v>
      </c>
      <c r="G84">
        <f t="shared" si="20"/>
        <v>2025</v>
      </c>
      <c r="I84" s="17">
        <f t="shared" si="21"/>
        <v>45931</v>
      </c>
      <c r="K84" s="17">
        <v>43647</v>
      </c>
      <c r="L84" t="e">
        <f t="shared" si="15"/>
        <v>#DIV/0!</v>
      </c>
      <c r="M84" s="66" t="e">
        <f t="shared" si="16"/>
        <v>#DIV/0!</v>
      </c>
      <c r="O84">
        <f t="shared" si="17"/>
        <v>0</v>
      </c>
    </row>
    <row r="85" spans="1:15" x14ac:dyDescent="0.3">
      <c r="A85" s="17">
        <v>45938</v>
      </c>
      <c r="B85">
        <v>0.19</v>
      </c>
      <c r="D85">
        <f t="shared" si="18"/>
        <v>8</v>
      </c>
      <c r="E85">
        <v>1</v>
      </c>
      <c r="F85">
        <f t="shared" si="19"/>
        <v>10</v>
      </c>
      <c r="G85">
        <f t="shared" si="20"/>
        <v>2025</v>
      </c>
      <c r="I85" s="17">
        <f t="shared" si="21"/>
        <v>45931</v>
      </c>
      <c r="K85" s="17">
        <v>43617</v>
      </c>
      <c r="L85" t="e">
        <f t="shared" si="15"/>
        <v>#DIV/0!</v>
      </c>
      <c r="M85" s="66" t="e">
        <f t="shared" si="16"/>
        <v>#DIV/0!</v>
      </c>
      <c r="O85">
        <f t="shared" si="17"/>
        <v>0</v>
      </c>
    </row>
    <row r="86" spans="1:15" x14ac:dyDescent="0.3">
      <c r="A86" s="17">
        <v>45937</v>
      </c>
      <c r="B86">
        <v>-0.03</v>
      </c>
      <c r="D86">
        <f t="shared" si="18"/>
        <v>7</v>
      </c>
      <c r="E86">
        <v>1</v>
      </c>
      <c r="F86">
        <f t="shared" si="19"/>
        <v>10</v>
      </c>
      <c r="G86">
        <f t="shared" si="20"/>
        <v>2025</v>
      </c>
      <c r="I86" s="17">
        <f t="shared" si="21"/>
        <v>45931</v>
      </c>
      <c r="K86" s="17">
        <v>43586</v>
      </c>
      <c r="L86" t="e">
        <f t="shared" si="15"/>
        <v>#DIV/0!</v>
      </c>
      <c r="M86" s="66" t="e">
        <f t="shared" si="16"/>
        <v>#DIV/0!</v>
      </c>
      <c r="O86">
        <f t="shared" si="17"/>
        <v>0</v>
      </c>
    </row>
    <row r="87" spans="1:15" x14ac:dyDescent="0.3">
      <c r="A87" s="17">
        <v>45936</v>
      </c>
      <c r="B87">
        <v>0.33</v>
      </c>
      <c r="D87">
        <f t="shared" si="18"/>
        <v>6</v>
      </c>
      <c r="E87">
        <v>1</v>
      </c>
      <c r="F87">
        <f t="shared" si="19"/>
        <v>10</v>
      </c>
      <c r="G87">
        <f t="shared" si="20"/>
        <v>2025</v>
      </c>
      <c r="I87" s="17">
        <f t="shared" si="21"/>
        <v>45931</v>
      </c>
      <c r="K87" s="17">
        <v>43556</v>
      </c>
      <c r="L87" t="e">
        <f t="shared" si="15"/>
        <v>#DIV/0!</v>
      </c>
      <c r="M87" s="66" t="e">
        <f t="shared" si="16"/>
        <v>#DIV/0!</v>
      </c>
      <c r="O87">
        <f t="shared" si="17"/>
        <v>0</v>
      </c>
    </row>
    <row r="88" spans="1:15" x14ac:dyDescent="0.3">
      <c r="A88" s="17">
        <v>45933</v>
      </c>
      <c r="B88">
        <v>0.01</v>
      </c>
      <c r="D88">
        <f t="shared" si="18"/>
        <v>3</v>
      </c>
      <c r="E88">
        <v>1</v>
      </c>
      <c r="F88">
        <f t="shared" si="19"/>
        <v>10</v>
      </c>
      <c r="G88">
        <f t="shared" si="20"/>
        <v>2025</v>
      </c>
      <c r="I88" s="17">
        <f t="shared" si="21"/>
        <v>45931</v>
      </c>
      <c r="K88" s="17">
        <v>43525</v>
      </c>
      <c r="L88" t="e">
        <f t="shared" si="15"/>
        <v>#DIV/0!</v>
      </c>
      <c r="M88" s="66" t="e">
        <f t="shared" si="16"/>
        <v>#DIV/0!</v>
      </c>
      <c r="O88">
        <f t="shared" si="17"/>
        <v>1</v>
      </c>
    </row>
    <row r="89" spans="1:15" x14ac:dyDescent="0.3">
      <c r="A89" s="17">
        <v>45932</v>
      </c>
      <c r="B89">
        <v>0.1</v>
      </c>
      <c r="D89">
        <f t="shared" si="18"/>
        <v>2</v>
      </c>
      <c r="E89">
        <v>1</v>
      </c>
      <c r="F89">
        <f t="shared" si="19"/>
        <v>10</v>
      </c>
      <c r="G89">
        <f t="shared" si="20"/>
        <v>2025</v>
      </c>
      <c r="I89" s="17">
        <f t="shared" si="21"/>
        <v>45931</v>
      </c>
      <c r="K89" s="17">
        <v>43497</v>
      </c>
      <c r="L89" t="e">
        <f t="shared" si="15"/>
        <v>#DIV/0!</v>
      </c>
      <c r="M89" s="66" t="e">
        <f t="shared" si="16"/>
        <v>#DIV/0!</v>
      </c>
      <c r="O89">
        <f t="shared" si="17"/>
        <v>1</v>
      </c>
    </row>
    <row r="90" spans="1:15" x14ac:dyDescent="0.3">
      <c r="A90" s="17">
        <v>45931</v>
      </c>
      <c r="B90">
        <v>0.21</v>
      </c>
      <c r="D90">
        <f t="shared" si="18"/>
        <v>1</v>
      </c>
      <c r="E90">
        <v>1</v>
      </c>
      <c r="F90">
        <f t="shared" si="19"/>
        <v>10</v>
      </c>
      <c r="G90">
        <f t="shared" si="20"/>
        <v>2025</v>
      </c>
      <c r="I90" s="17">
        <f t="shared" si="21"/>
        <v>45931</v>
      </c>
      <c r="K90" s="17">
        <v>43466</v>
      </c>
      <c r="L90" t="e">
        <f t="shared" si="15"/>
        <v>#DIV/0!</v>
      </c>
      <c r="M90" s="66" t="e">
        <f t="shared" si="16"/>
        <v>#DIV/0!</v>
      </c>
      <c r="O90">
        <f t="shared" si="17"/>
        <v>1</v>
      </c>
    </row>
    <row r="91" spans="1:15" x14ac:dyDescent="0.3">
      <c r="A91" s="17">
        <v>45930</v>
      </c>
      <c r="B91">
        <v>2.14</v>
      </c>
      <c r="D91">
        <f t="shared" si="18"/>
        <v>30</v>
      </c>
      <c r="E91">
        <v>1</v>
      </c>
      <c r="F91">
        <f t="shared" si="19"/>
        <v>9</v>
      </c>
      <c r="G91">
        <f t="shared" si="20"/>
        <v>2025</v>
      </c>
      <c r="I91" s="17">
        <f t="shared" si="21"/>
        <v>45901</v>
      </c>
      <c r="K91" s="17">
        <v>43435</v>
      </c>
      <c r="L91" t="e">
        <f t="shared" si="15"/>
        <v>#DIV/0!</v>
      </c>
      <c r="M91" s="66" t="e">
        <f t="shared" si="16"/>
        <v>#DIV/0!</v>
      </c>
      <c r="O91">
        <f t="shared" si="17"/>
        <v>0</v>
      </c>
    </row>
    <row r="92" spans="1:15" x14ac:dyDescent="0.3">
      <c r="A92" s="17">
        <v>45929</v>
      </c>
      <c r="B92">
        <v>0.04</v>
      </c>
      <c r="D92">
        <f t="shared" si="18"/>
        <v>29</v>
      </c>
      <c r="E92">
        <v>1</v>
      </c>
      <c r="F92">
        <f t="shared" si="19"/>
        <v>9</v>
      </c>
      <c r="G92">
        <f t="shared" si="20"/>
        <v>2025</v>
      </c>
      <c r="I92" s="17">
        <f t="shared" si="21"/>
        <v>45901</v>
      </c>
      <c r="K92" s="17">
        <v>43405</v>
      </c>
      <c r="L92" t="e">
        <f t="shared" si="15"/>
        <v>#DIV/0!</v>
      </c>
      <c r="M92" s="66" t="e">
        <f t="shared" si="16"/>
        <v>#DIV/0!</v>
      </c>
      <c r="O92">
        <f t="shared" si="17"/>
        <v>0</v>
      </c>
    </row>
    <row r="93" spans="1:15" x14ac:dyDescent="0.3">
      <c r="A93" s="17">
        <v>45926</v>
      </c>
      <c r="B93">
        <v>0.98</v>
      </c>
      <c r="D93">
        <f t="shared" si="18"/>
        <v>26</v>
      </c>
      <c r="E93">
        <v>1</v>
      </c>
      <c r="F93">
        <f t="shared" si="19"/>
        <v>9</v>
      </c>
      <c r="G93">
        <f t="shared" si="20"/>
        <v>2025</v>
      </c>
      <c r="I93" s="17">
        <f t="shared" si="21"/>
        <v>45901</v>
      </c>
      <c r="K93" s="17">
        <v>43374</v>
      </c>
      <c r="L93" t="e">
        <f t="shared" si="15"/>
        <v>#DIV/0!</v>
      </c>
      <c r="M93" s="66" t="e">
        <f t="shared" si="16"/>
        <v>#DIV/0!</v>
      </c>
      <c r="O93">
        <f t="shared" si="17"/>
        <v>0</v>
      </c>
    </row>
    <row r="94" spans="1:15" x14ac:dyDescent="0.3">
      <c r="A94" s="17">
        <v>45925</v>
      </c>
      <c r="B94">
        <v>1.47</v>
      </c>
      <c r="D94">
        <f t="shared" si="18"/>
        <v>25</v>
      </c>
      <c r="E94">
        <v>1</v>
      </c>
      <c r="F94">
        <f t="shared" si="19"/>
        <v>9</v>
      </c>
      <c r="G94">
        <f t="shared" si="20"/>
        <v>2025</v>
      </c>
      <c r="I94" s="17">
        <f t="shared" si="21"/>
        <v>45901</v>
      </c>
      <c r="K94" s="17">
        <v>43344</v>
      </c>
      <c r="L94" t="e">
        <f t="shared" si="15"/>
        <v>#DIV/0!</v>
      </c>
      <c r="M94" s="66" t="e">
        <f t="shared" si="16"/>
        <v>#DIV/0!</v>
      </c>
      <c r="O94">
        <f t="shared" si="17"/>
        <v>0</v>
      </c>
    </row>
    <row r="95" spans="1:15" x14ac:dyDescent="0.3">
      <c r="A95" s="17">
        <v>45924</v>
      </c>
      <c r="B95">
        <v>1.87</v>
      </c>
      <c r="D95">
        <f t="shared" si="18"/>
        <v>24</v>
      </c>
      <c r="E95">
        <v>1</v>
      </c>
      <c r="F95">
        <f t="shared" si="19"/>
        <v>9</v>
      </c>
      <c r="G95">
        <f t="shared" si="20"/>
        <v>2025</v>
      </c>
      <c r="I95" s="17">
        <f t="shared" si="21"/>
        <v>45901</v>
      </c>
      <c r="K95" s="17">
        <v>43313</v>
      </c>
      <c r="L95" t="e">
        <f t="shared" si="15"/>
        <v>#DIV/0!</v>
      </c>
      <c r="M95" s="66" t="e">
        <f t="shared" si="16"/>
        <v>#DIV/0!</v>
      </c>
      <c r="O95">
        <f t="shared" si="17"/>
        <v>0</v>
      </c>
    </row>
    <row r="96" spans="1:15" x14ac:dyDescent="0.3">
      <c r="A96" s="17">
        <v>45923</v>
      </c>
      <c r="B96">
        <v>1.53</v>
      </c>
      <c r="D96">
        <f t="shared" si="18"/>
        <v>23</v>
      </c>
      <c r="E96">
        <v>1</v>
      </c>
      <c r="F96">
        <f t="shared" si="19"/>
        <v>9</v>
      </c>
      <c r="G96">
        <f t="shared" si="20"/>
        <v>2025</v>
      </c>
      <c r="I96" s="17">
        <f t="shared" si="21"/>
        <v>45901</v>
      </c>
      <c r="K96" s="17">
        <v>43282</v>
      </c>
      <c r="L96" t="e">
        <f t="shared" si="15"/>
        <v>#DIV/0!</v>
      </c>
      <c r="M96" s="66" t="e">
        <f t="shared" si="16"/>
        <v>#DIV/0!</v>
      </c>
      <c r="O96">
        <f t="shared" si="17"/>
        <v>0</v>
      </c>
    </row>
    <row r="97" spans="1:15" x14ac:dyDescent="0.3">
      <c r="A97" s="17">
        <v>45922</v>
      </c>
      <c r="B97">
        <v>1.24</v>
      </c>
      <c r="D97">
        <f t="shared" si="18"/>
        <v>22</v>
      </c>
      <c r="E97">
        <v>1</v>
      </c>
      <c r="F97">
        <f t="shared" si="19"/>
        <v>9</v>
      </c>
      <c r="G97">
        <f t="shared" si="20"/>
        <v>2025</v>
      </c>
      <c r="I97" s="17">
        <f t="shared" si="21"/>
        <v>45901</v>
      </c>
      <c r="K97" s="17">
        <v>43252</v>
      </c>
      <c r="L97" t="e">
        <f t="shared" si="15"/>
        <v>#DIV/0!</v>
      </c>
      <c r="M97" s="66" t="e">
        <f t="shared" si="16"/>
        <v>#DIV/0!</v>
      </c>
      <c r="O97">
        <f t="shared" si="17"/>
        <v>0</v>
      </c>
    </row>
    <row r="98" spans="1:15" x14ac:dyDescent="0.3">
      <c r="A98" s="17">
        <v>45919</v>
      </c>
      <c r="B98">
        <v>1.81</v>
      </c>
      <c r="D98">
        <f t="shared" si="18"/>
        <v>19</v>
      </c>
      <c r="E98">
        <v>1</v>
      </c>
      <c r="F98">
        <f t="shared" si="19"/>
        <v>9</v>
      </c>
      <c r="G98">
        <f t="shared" si="20"/>
        <v>2025</v>
      </c>
      <c r="I98" s="17">
        <f t="shared" si="21"/>
        <v>45901</v>
      </c>
      <c r="K98" s="17">
        <v>43221</v>
      </c>
      <c r="L98" t="e">
        <f t="shared" si="15"/>
        <v>#DIV/0!</v>
      </c>
      <c r="M98" s="66" t="e">
        <f t="shared" si="16"/>
        <v>#DIV/0!</v>
      </c>
      <c r="O98">
        <f t="shared" si="17"/>
        <v>0</v>
      </c>
    </row>
    <row r="99" spans="1:15" x14ac:dyDescent="0.3">
      <c r="A99" s="17">
        <v>45918</v>
      </c>
      <c r="B99">
        <v>2.19</v>
      </c>
      <c r="D99">
        <f t="shared" si="18"/>
        <v>18</v>
      </c>
      <c r="E99">
        <v>1</v>
      </c>
      <c r="F99">
        <f t="shared" si="19"/>
        <v>9</v>
      </c>
      <c r="G99">
        <f t="shared" si="20"/>
        <v>2025</v>
      </c>
      <c r="I99" s="17">
        <f t="shared" si="21"/>
        <v>45901</v>
      </c>
      <c r="K99" s="17">
        <v>43191</v>
      </c>
      <c r="L99" t="e">
        <f t="shared" si="15"/>
        <v>#DIV/0!</v>
      </c>
      <c r="M99" s="66" t="e">
        <f t="shared" si="16"/>
        <v>#DIV/0!</v>
      </c>
      <c r="O99">
        <f t="shared" si="17"/>
        <v>0</v>
      </c>
    </row>
    <row r="100" spans="1:15" x14ac:dyDescent="0.3">
      <c r="A100" s="17">
        <v>45917</v>
      </c>
      <c r="B100">
        <v>2.4</v>
      </c>
      <c r="D100">
        <f t="shared" si="18"/>
        <v>17</v>
      </c>
      <c r="E100">
        <v>1</v>
      </c>
      <c r="F100">
        <f t="shared" si="19"/>
        <v>9</v>
      </c>
      <c r="G100">
        <f t="shared" si="20"/>
        <v>2025</v>
      </c>
      <c r="I100" s="17">
        <f t="shared" si="21"/>
        <v>45901</v>
      </c>
      <c r="K100" s="17">
        <v>43160</v>
      </c>
      <c r="L100" t="e">
        <f t="shared" si="15"/>
        <v>#DIV/0!</v>
      </c>
      <c r="M100" s="66" t="e">
        <f t="shared" si="16"/>
        <v>#DIV/0!</v>
      </c>
      <c r="O100">
        <f t="shared" si="17"/>
        <v>0</v>
      </c>
    </row>
    <row r="101" spans="1:15" x14ac:dyDescent="0.3">
      <c r="A101" s="17">
        <v>45916</v>
      </c>
      <c r="B101">
        <v>2.46</v>
      </c>
      <c r="D101">
        <f t="shared" si="18"/>
        <v>16</v>
      </c>
      <c r="E101">
        <v>1</v>
      </c>
      <c r="F101">
        <f t="shared" si="19"/>
        <v>9</v>
      </c>
      <c r="G101">
        <f t="shared" si="20"/>
        <v>2025</v>
      </c>
      <c r="I101" s="17">
        <f t="shared" si="21"/>
        <v>45901</v>
      </c>
      <c r="K101" s="17">
        <v>43132</v>
      </c>
      <c r="L101" t="e">
        <f t="shared" si="15"/>
        <v>#DIV/0!</v>
      </c>
      <c r="M101" s="66" t="e">
        <f t="shared" si="16"/>
        <v>#DIV/0!</v>
      </c>
      <c r="O101">
        <f t="shared" si="17"/>
        <v>0</v>
      </c>
    </row>
    <row r="102" spans="1:15" x14ac:dyDescent="0.3">
      <c r="A102" s="17">
        <v>45915</v>
      </c>
      <c r="B102">
        <v>2.97</v>
      </c>
      <c r="D102">
        <f t="shared" si="18"/>
        <v>15</v>
      </c>
      <c r="E102">
        <v>1</v>
      </c>
      <c r="F102">
        <f t="shared" si="19"/>
        <v>9</v>
      </c>
      <c r="G102">
        <f t="shared" si="20"/>
        <v>2025</v>
      </c>
      <c r="I102" s="17">
        <f t="shared" si="21"/>
        <v>45901</v>
      </c>
      <c r="K102" s="17">
        <v>43101</v>
      </c>
      <c r="L102" t="e">
        <f t="shared" si="15"/>
        <v>#DIV/0!</v>
      </c>
      <c r="M102" s="66" t="e">
        <f t="shared" si="16"/>
        <v>#DIV/0!</v>
      </c>
      <c r="O102">
        <f t="shared" si="17"/>
        <v>0</v>
      </c>
    </row>
    <row r="103" spans="1:15" x14ac:dyDescent="0.3">
      <c r="A103" s="17">
        <v>45912</v>
      </c>
      <c r="B103">
        <v>2.69</v>
      </c>
      <c r="D103">
        <f t="shared" si="18"/>
        <v>12</v>
      </c>
      <c r="E103">
        <v>1</v>
      </c>
      <c r="F103">
        <f t="shared" si="19"/>
        <v>9</v>
      </c>
      <c r="G103">
        <f t="shared" si="20"/>
        <v>2025</v>
      </c>
      <c r="I103" s="17">
        <f t="shared" si="21"/>
        <v>45901</v>
      </c>
      <c r="K103" s="17">
        <v>43070</v>
      </c>
      <c r="L103" t="e">
        <f t="shared" si="15"/>
        <v>#DIV/0!</v>
      </c>
      <c r="M103" s="66" t="e">
        <f t="shared" si="16"/>
        <v>#DIV/0!</v>
      </c>
      <c r="O103">
        <f t="shared" si="17"/>
        <v>0</v>
      </c>
    </row>
    <row r="104" spans="1:15" x14ac:dyDescent="0.3">
      <c r="A104" s="17">
        <v>45911</v>
      </c>
      <c r="B104">
        <v>2.88</v>
      </c>
      <c r="D104">
        <f t="shared" si="18"/>
        <v>11</v>
      </c>
      <c r="E104">
        <v>1</v>
      </c>
      <c r="F104">
        <f t="shared" si="19"/>
        <v>9</v>
      </c>
      <c r="G104">
        <f t="shared" si="20"/>
        <v>2025</v>
      </c>
      <c r="I104" s="17">
        <f t="shared" si="21"/>
        <v>45901</v>
      </c>
      <c r="K104" s="17">
        <v>43040</v>
      </c>
      <c r="L104" t="e">
        <f t="shared" si="15"/>
        <v>#DIV/0!</v>
      </c>
      <c r="M104" s="66" t="e">
        <f t="shared" si="16"/>
        <v>#DIV/0!</v>
      </c>
      <c r="O104">
        <f t="shared" si="17"/>
        <v>0</v>
      </c>
    </row>
    <row r="105" spans="1:15" x14ac:dyDescent="0.3">
      <c r="A105" s="17">
        <v>45910</v>
      </c>
      <c r="B105">
        <v>2.83</v>
      </c>
      <c r="D105">
        <f t="shared" si="18"/>
        <v>10</v>
      </c>
      <c r="E105">
        <v>1</v>
      </c>
      <c r="F105">
        <f t="shared" si="19"/>
        <v>9</v>
      </c>
      <c r="G105">
        <f t="shared" si="20"/>
        <v>2025</v>
      </c>
      <c r="I105" s="17">
        <f t="shared" si="21"/>
        <v>45901</v>
      </c>
      <c r="K105" s="17">
        <v>43009</v>
      </c>
      <c r="L105" t="e">
        <f t="shared" si="15"/>
        <v>#DIV/0!</v>
      </c>
      <c r="M105" s="66" t="e">
        <f t="shared" si="16"/>
        <v>#DIV/0!</v>
      </c>
      <c r="O105">
        <f t="shared" si="17"/>
        <v>0</v>
      </c>
    </row>
    <row r="106" spans="1:15" x14ac:dyDescent="0.3">
      <c r="A106" s="17">
        <v>45909</v>
      </c>
      <c r="B106">
        <v>2.6</v>
      </c>
      <c r="D106">
        <f t="shared" si="18"/>
        <v>9</v>
      </c>
      <c r="E106">
        <v>1</v>
      </c>
      <c r="F106">
        <f t="shared" si="19"/>
        <v>9</v>
      </c>
      <c r="G106">
        <f t="shared" si="20"/>
        <v>2025</v>
      </c>
      <c r="I106" s="17">
        <f t="shared" si="21"/>
        <v>45901</v>
      </c>
      <c r="K106" s="17">
        <v>42979</v>
      </c>
      <c r="L106" t="e">
        <f t="shared" si="15"/>
        <v>#DIV/0!</v>
      </c>
      <c r="M106" s="66" t="e">
        <f t="shared" si="16"/>
        <v>#DIV/0!</v>
      </c>
      <c r="O106">
        <f t="shared" si="17"/>
        <v>0</v>
      </c>
    </row>
    <row r="107" spans="1:15" x14ac:dyDescent="0.3">
      <c r="A107" s="17">
        <v>45908</v>
      </c>
      <c r="B107">
        <v>2.4900000000000002</v>
      </c>
      <c r="D107">
        <f t="shared" si="18"/>
        <v>8</v>
      </c>
      <c r="E107">
        <v>1</v>
      </c>
      <c r="F107">
        <f t="shared" si="19"/>
        <v>9</v>
      </c>
      <c r="G107">
        <f t="shared" si="20"/>
        <v>2025</v>
      </c>
      <c r="I107" s="17">
        <f t="shared" si="21"/>
        <v>45901</v>
      </c>
      <c r="K107" s="17">
        <v>42948</v>
      </c>
      <c r="L107" t="e">
        <f t="shared" si="15"/>
        <v>#DIV/0!</v>
      </c>
      <c r="M107" s="66" t="e">
        <f t="shared" si="16"/>
        <v>#DIV/0!</v>
      </c>
      <c r="O107">
        <f t="shared" si="17"/>
        <v>0</v>
      </c>
    </row>
    <row r="108" spans="1:15" x14ac:dyDescent="0.3">
      <c r="A108" s="17">
        <v>45905</v>
      </c>
      <c r="B108">
        <v>2.46</v>
      </c>
      <c r="D108">
        <f t="shared" si="18"/>
        <v>5</v>
      </c>
      <c r="E108">
        <v>1</v>
      </c>
      <c r="F108">
        <f t="shared" si="19"/>
        <v>9</v>
      </c>
      <c r="G108">
        <f t="shared" si="20"/>
        <v>2025</v>
      </c>
      <c r="I108" s="17">
        <f t="shared" si="21"/>
        <v>45901</v>
      </c>
      <c r="K108" s="17">
        <v>42917</v>
      </c>
      <c r="L108" t="e">
        <f t="shared" si="15"/>
        <v>#DIV/0!</v>
      </c>
      <c r="M108" s="66" t="e">
        <f t="shared" si="16"/>
        <v>#DIV/0!</v>
      </c>
      <c r="O108">
        <f t="shared" si="17"/>
        <v>0</v>
      </c>
    </row>
    <row r="109" spans="1:15" x14ac:dyDescent="0.3">
      <c r="A109" s="17">
        <v>45904</v>
      </c>
      <c r="B109">
        <v>2.52</v>
      </c>
      <c r="D109">
        <f t="shared" si="18"/>
        <v>4</v>
      </c>
      <c r="E109">
        <v>1</v>
      </c>
      <c r="F109">
        <f t="shared" si="19"/>
        <v>9</v>
      </c>
      <c r="G109">
        <f t="shared" si="20"/>
        <v>2025</v>
      </c>
      <c r="I109" s="17">
        <f t="shared" si="21"/>
        <v>45901</v>
      </c>
      <c r="K109" s="17">
        <v>42887</v>
      </c>
      <c r="L109" t="e">
        <f t="shared" si="15"/>
        <v>#DIV/0!</v>
      </c>
      <c r="M109" s="66" t="e">
        <f t="shared" si="16"/>
        <v>#DIV/0!</v>
      </c>
      <c r="O109">
        <f t="shared" si="17"/>
        <v>1</v>
      </c>
    </row>
    <row r="110" spans="1:15" x14ac:dyDescent="0.3">
      <c r="A110" s="17">
        <v>45903</v>
      </c>
      <c r="B110">
        <v>2.68</v>
      </c>
      <c r="D110">
        <f t="shared" si="18"/>
        <v>3</v>
      </c>
      <c r="E110">
        <v>1</v>
      </c>
      <c r="F110">
        <f t="shared" si="19"/>
        <v>9</v>
      </c>
      <c r="G110">
        <f t="shared" si="20"/>
        <v>2025</v>
      </c>
      <c r="I110" s="17">
        <f t="shared" si="21"/>
        <v>45901</v>
      </c>
      <c r="K110" s="17">
        <v>42856</v>
      </c>
      <c r="L110" t="e">
        <f t="shared" si="15"/>
        <v>#DIV/0!</v>
      </c>
      <c r="M110" s="66" t="e">
        <f t="shared" si="16"/>
        <v>#DIV/0!</v>
      </c>
      <c r="O110">
        <f t="shared" si="17"/>
        <v>1</v>
      </c>
    </row>
    <row r="111" spans="1:15" x14ac:dyDescent="0.3">
      <c r="A111" s="17">
        <v>45902</v>
      </c>
      <c r="B111">
        <v>2.85</v>
      </c>
      <c r="D111">
        <f t="shared" si="18"/>
        <v>2</v>
      </c>
      <c r="E111">
        <v>1</v>
      </c>
      <c r="F111">
        <f t="shared" si="19"/>
        <v>9</v>
      </c>
      <c r="G111">
        <f t="shared" si="20"/>
        <v>2025</v>
      </c>
      <c r="I111" s="17">
        <f t="shared" si="21"/>
        <v>45901</v>
      </c>
      <c r="K111" s="17">
        <v>42826</v>
      </c>
      <c r="L111" t="e">
        <f t="shared" si="15"/>
        <v>#DIV/0!</v>
      </c>
      <c r="M111" s="66" t="e">
        <f t="shared" si="16"/>
        <v>#DIV/0!</v>
      </c>
      <c r="O111">
        <f t="shared" si="17"/>
        <v>1</v>
      </c>
    </row>
    <row r="112" spans="1:15" x14ac:dyDescent="0.3">
      <c r="A112" s="17">
        <v>45901</v>
      </c>
      <c r="B112">
        <v>2.94</v>
      </c>
      <c r="D112">
        <f t="shared" si="18"/>
        <v>1</v>
      </c>
      <c r="E112">
        <v>1</v>
      </c>
      <c r="F112">
        <f t="shared" si="19"/>
        <v>9</v>
      </c>
      <c r="G112">
        <f t="shared" si="20"/>
        <v>2025</v>
      </c>
      <c r="I112" s="17">
        <f t="shared" si="21"/>
        <v>45901</v>
      </c>
      <c r="K112" s="17">
        <v>42795</v>
      </c>
      <c r="L112" t="e">
        <f t="shared" si="15"/>
        <v>#DIV/0!</v>
      </c>
      <c r="M112" s="66" t="e">
        <f t="shared" si="16"/>
        <v>#DIV/0!</v>
      </c>
      <c r="O112">
        <f t="shared" si="17"/>
        <v>1</v>
      </c>
    </row>
    <row r="113" spans="1:15" x14ac:dyDescent="0.3">
      <c r="A113" s="17">
        <v>45898</v>
      </c>
      <c r="B113">
        <v>1.93</v>
      </c>
      <c r="D113">
        <f t="shared" si="18"/>
        <v>29</v>
      </c>
      <c r="E113">
        <v>1</v>
      </c>
      <c r="F113">
        <f t="shared" si="19"/>
        <v>8</v>
      </c>
      <c r="G113">
        <f t="shared" si="20"/>
        <v>2025</v>
      </c>
      <c r="I113" s="17">
        <f t="shared" si="21"/>
        <v>45870</v>
      </c>
      <c r="K113" s="17">
        <v>42767</v>
      </c>
      <c r="L113" t="e">
        <f t="shared" si="15"/>
        <v>#DIV/0!</v>
      </c>
      <c r="M113" s="66" t="e">
        <f t="shared" si="16"/>
        <v>#DIV/0!</v>
      </c>
      <c r="O113">
        <f t="shared" si="17"/>
        <v>0</v>
      </c>
    </row>
    <row r="114" spans="1:15" x14ac:dyDescent="0.3">
      <c r="A114" s="17">
        <v>45897</v>
      </c>
      <c r="B114">
        <v>1.72</v>
      </c>
      <c r="D114">
        <f t="shared" si="18"/>
        <v>28</v>
      </c>
      <c r="E114">
        <v>1</v>
      </c>
      <c r="F114">
        <f t="shared" si="19"/>
        <v>8</v>
      </c>
      <c r="G114">
        <f t="shared" si="20"/>
        <v>2025</v>
      </c>
      <c r="I114" s="17">
        <f t="shared" si="21"/>
        <v>45870</v>
      </c>
      <c r="K114" s="17">
        <v>42736</v>
      </c>
      <c r="L114" t="e">
        <f t="shared" si="15"/>
        <v>#DIV/0!</v>
      </c>
      <c r="M114" s="66" t="e">
        <f t="shared" si="16"/>
        <v>#DIV/0!</v>
      </c>
      <c r="O114">
        <f t="shared" si="17"/>
        <v>0</v>
      </c>
    </row>
    <row r="115" spans="1:15" x14ac:dyDescent="0.3">
      <c r="A115" s="17">
        <v>45896</v>
      </c>
      <c r="B115">
        <v>1.59</v>
      </c>
      <c r="D115">
        <f t="shared" si="18"/>
        <v>27</v>
      </c>
      <c r="E115">
        <v>1</v>
      </c>
      <c r="F115">
        <f t="shared" si="19"/>
        <v>8</v>
      </c>
      <c r="G115">
        <f t="shared" si="20"/>
        <v>2025</v>
      </c>
      <c r="I115" s="17">
        <f t="shared" si="21"/>
        <v>45870</v>
      </c>
      <c r="K115" s="17">
        <v>42705</v>
      </c>
      <c r="L115" t="e">
        <f t="shared" si="15"/>
        <v>#DIV/0!</v>
      </c>
      <c r="M115" s="66" t="e">
        <f t="shared" si="16"/>
        <v>#DIV/0!</v>
      </c>
      <c r="O115">
        <f t="shared" si="17"/>
        <v>0</v>
      </c>
    </row>
    <row r="116" spans="1:15" x14ac:dyDescent="0.3">
      <c r="A116" s="17">
        <v>45895</v>
      </c>
      <c r="B116">
        <v>1.65</v>
      </c>
      <c r="D116">
        <f t="shared" si="18"/>
        <v>26</v>
      </c>
      <c r="E116">
        <v>1</v>
      </c>
      <c r="F116">
        <f t="shared" si="19"/>
        <v>8</v>
      </c>
      <c r="G116">
        <f t="shared" si="20"/>
        <v>2025</v>
      </c>
      <c r="I116" s="17">
        <f t="shared" si="21"/>
        <v>45870</v>
      </c>
      <c r="K116" s="17">
        <v>42675</v>
      </c>
      <c r="L116" t="e">
        <f t="shared" si="15"/>
        <v>#DIV/0!</v>
      </c>
      <c r="M116" s="66" t="e">
        <f t="shared" si="16"/>
        <v>#DIV/0!</v>
      </c>
      <c r="O116">
        <f t="shared" si="17"/>
        <v>0</v>
      </c>
    </row>
    <row r="117" spans="1:15" x14ac:dyDescent="0.3">
      <c r="A117" s="17">
        <v>45894</v>
      </c>
      <c r="B117">
        <v>1.57</v>
      </c>
      <c r="D117">
        <f t="shared" si="18"/>
        <v>25</v>
      </c>
      <c r="E117">
        <v>1</v>
      </c>
      <c r="F117">
        <f t="shared" si="19"/>
        <v>8</v>
      </c>
      <c r="G117">
        <f t="shared" si="20"/>
        <v>2025</v>
      </c>
      <c r="I117" s="17">
        <f t="shared" si="21"/>
        <v>45870</v>
      </c>
      <c r="K117" s="17">
        <v>42644</v>
      </c>
      <c r="L117" t="e">
        <f t="shared" si="15"/>
        <v>#DIV/0!</v>
      </c>
      <c r="M117" s="66" t="e">
        <f t="shared" si="16"/>
        <v>#DIV/0!</v>
      </c>
      <c r="O117">
        <f t="shared" si="17"/>
        <v>0</v>
      </c>
    </row>
    <row r="118" spans="1:15" x14ac:dyDescent="0.3">
      <c r="A118" s="17">
        <v>45891</v>
      </c>
      <c r="B118">
        <v>1.77</v>
      </c>
      <c r="D118">
        <f t="shared" si="18"/>
        <v>22</v>
      </c>
      <c r="E118">
        <v>1</v>
      </c>
      <c r="F118">
        <f t="shared" si="19"/>
        <v>8</v>
      </c>
      <c r="G118">
        <f t="shared" si="20"/>
        <v>2025</v>
      </c>
      <c r="I118" s="17">
        <f t="shared" si="21"/>
        <v>45870</v>
      </c>
      <c r="K118" s="17">
        <v>42614</v>
      </c>
      <c r="L118" t="e">
        <f t="shared" si="15"/>
        <v>#DIV/0!</v>
      </c>
      <c r="M118" s="66" t="e">
        <f t="shared" si="16"/>
        <v>#DIV/0!</v>
      </c>
      <c r="O118">
        <f t="shared" si="17"/>
        <v>0</v>
      </c>
    </row>
    <row r="119" spans="1:15" x14ac:dyDescent="0.3">
      <c r="A119" s="17">
        <v>45890</v>
      </c>
      <c r="B119">
        <v>1.96</v>
      </c>
      <c r="D119">
        <f t="shared" si="18"/>
        <v>21</v>
      </c>
      <c r="E119">
        <v>1</v>
      </c>
      <c r="F119">
        <f t="shared" si="19"/>
        <v>8</v>
      </c>
      <c r="G119">
        <f t="shared" si="20"/>
        <v>2025</v>
      </c>
      <c r="I119" s="17">
        <f t="shared" si="21"/>
        <v>45870</v>
      </c>
      <c r="K119" s="17">
        <v>42583</v>
      </c>
      <c r="L119" t="e">
        <f t="shared" si="15"/>
        <v>#DIV/0!</v>
      </c>
      <c r="M119" s="66" t="e">
        <f t="shared" si="16"/>
        <v>#DIV/0!</v>
      </c>
      <c r="O119">
        <f t="shared" si="17"/>
        <v>0</v>
      </c>
    </row>
    <row r="120" spans="1:15" x14ac:dyDescent="0.3">
      <c r="A120" s="17">
        <v>45889</v>
      </c>
      <c r="B120">
        <v>2.02</v>
      </c>
      <c r="D120">
        <f t="shared" si="18"/>
        <v>20</v>
      </c>
      <c r="E120">
        <v>1</v>
      </c>
      <c r="F120">
        <f t="shared" si="19"/>
        <v>8</v>
      </c>
      <c r="G120">
        <f t="shared" si="20"/>
        <v>2025</v>
      </c>
      <c r="I120" s="17">
        <f t="shared" si="21"/>
        <v>45870</v>
      </c>
      <c r="K120" s="17">
        <v>42552</v>
      </c>
      <c r="L120" t="e">
        <f t="shared" si="15"/>
        <v>#DIV/0!</v>
      </c>
      <c r="M120" s="66" t="e">
        <f t="shared" si="16"/>
        <v>#DIV/0!</v>
      </c>
      <c r="O120">
        <f t="shared" si="17"/>
        <v>0</v>
      </c>
    </row>
    <row r="121" spans="1:15" x14ac:dyDescent="0.3">
      <c r="A121" s="17">
        <v>45888</v>
      </c>
      <c r="B121">
        <v>1.89</v>
      </c>
      <c r="D121">
        <f t="shared" si="18"/>
        <v>19</v>
      </c>
      <c r="E121">
        <v>1</v>
      </c>
      <c r="F121">
        <f t="shared" si="19"/>
        <v>8</v>
      </c>
      <c r="G121">
        <f t="shared" si="20"/>
        <v>2025</v>
      </c>
      <c r="I121" s="17">
        <f t="shared" si="21"/>
        <v>45870</v>
      </c>
      <c r="K121" s="17">
        <v>42522</v>
      </c>
      <c r="L121" t="e">
        <f t="shared" si="15"/>
        <v>#DIV/0!</v>
      </c>
      <c r="M121" s="66" t="e">
        <f t="shared" si="16"/>
        <v>#DIV/0!</v>
      </c>
      <c r="O121">
        <f t="shared" si="17"/>
        <v>0</v>
      </c>
    </row>
    <row r="122" spans="1:15" x14ac:dyDescent="0.3">
      <c r="A122" s="17">
        <v>45887</v>
      </c>
      <c r="B122">
        <v>1.66</v>
      </c>
      <c r="D122">
        <f t="shared" si="18"/>
        <v>18</v>
      </c>
      <c r="E122">
        <v>1</v>
      </c>
      <c r="F122">
        <f t="shared" si="19"/>
        <v>8</v>
      </c>
      <c r="G122">
        <f t="shared" si="20"/>
        <v>2025</v>
      </c>
      <c r="I122" s="17">
        <f t="shared" si="21"/>
        <v>45870</v>
      </c>
      <c r="K122" s="17">
        <v>42491</v>
      </c>
      <c r="L122" t="e">
        <f t="shared" si="15"/>
        <v>#DIV/0!</v>
      </c>
      <c r="M122" s="66" t="e">
        <f t="shared" si="16"/>
        <v>#DIV/0!</v>
      </c>
      <c r="O122">
        <f t="shared" si="17"/>
        <v>0</v>
      </c>
    </row>
    <row r="123" spans="1:15" x14ac:dyDescent="0.3">
      <c r="A123" s="17">
        <v>45884</v>
      </c>
      <c r="B123">
        <v>1.89</v>
      </c>
      <c r="D123">
        <f t="shared" si="18"/>
        <v>15</v>
      </c>
      <c r="E123">
        <v>1</v>
      </c>
      <c r="F123">
        <f t="shared" si="19"/>
        <v>8</v>
      </c>
      <c r="G123">
        <f t="shared" si="20"/>
        <v>2025</v>
      </c>
      <c r="I123" s="17">
        <f t="shared" si="21"/>
        <v>45870</v>
      </c>
      <c r="K123" s="17">
        <v>42461</v>
      </c>
      <c r="L123" t="e">
        <f t="shared" si="15"/>
        <v>#DIV/0!</v>
      </c>
      <c r="M123" s="66" t="e">
        <f t="shared" si="16"/>
        <v>#DIV/0!</v>
      </c>
      <c r="O123">
        <f t="shared" si="17"/>
        <v>0</v>
      </c>
    </row>
    <row r="124" spans="1:15" x14ac:dyDescent="0.3">
      <c r="A124" s="17">
        <v>45883</v>
      </c>
      <c r="B124">
        <v>1.5</v>
      </c>
      <c r="D124">
        <f t="shared" si="18"/>
        <v>14</v>
      </c>
      <c r="E124">
        <v>1</v>
      </c>
      <c r="F124">
        <f t="shared" si="19"/>
        <v>8</v>
      </c>
      <c r="G124">
        <f t="shared" si="20"/>
        <v>2025</v>
      </c>
      <c r="I124" s="17">
        <f t="shared" si="21"/>
        <v>45870</v>
      </c>
      <c r="K124" s="17">
        <v>42430</v>
      </c>
      <c r="L124" t="e">
        <f t="shared" si="15"/>
        <v>#DIV/0!</v>
      </c>
      <c r="M124" s="66" t="e">
        <f t="shared" si="16"/>
        <v>#DIV/0!</v>
      </c>
      <c r="O124">
        <f t="shared" si="17"/>
        <v>0</v>
      </c>
    </row>
    <row r="125" spans="1:15" x14ac:dyDescent="0.3">
      <c r="A125" s="17">
        <v>45882</v>
      </c>
      <c r="B125">
        <v>1.46</v>
      </c>
      <c r="D125">
        <f t="shared" si="18"/>
        <v>13</v>
      </c>
      <c r="E125">
        <v>1</v>
      </c>
      <c r="F125">
        <f t="shared" si="19"/>
        <v>8</v>
      </c>
      <c r="G125">
        <f t="shared" si="20"/>
        <v>2025</v>
      </c>
      <c r="I125" s="17">
        <f t="shared" si="21"/>
        <v>45870</v>
      </c>
      <c r="K125" s="17">
        <v>42401</v>
      </c>
      <c r="L125" t="e">
        <f t="shared" si="15"/>
        <v>#DIV/0!</v>
      </c>
      <c r="M125" s="66" t="e">
        <f t="shared" si="16"/>
        <v>#DIV/0!</v>
      </c>
      <c r="O125">
        <f t="shared" si="17"/>
        <v>0</v>
      </c>
    </row>
    <row r="126" spans="1:15" x14ac:dyDescent="0.3">
      <c r="A126" s="17">
        <v>45881</v>
      </c>
      <c r="B126">
        <v>1.53</v>
      </c>
      <c r="D126">
        <f t="shared" si="18"/>
        <v>12</v>
      </c>
      <c r="E126">
        <v>1</v>
      </c>
      <c r="F126">
        <f t="shared" si="19"/>
        <v>8</v>
      </c>
      <c r="G126">
        <f t="shared" si="20"/>
        <v>2025</v>
      </c>
      <c r="I126" s="17">
        <f t="shared" si="21"/>
        <v>45870</v>
      </c>
      <c r="K126" s="17">
        <v>42370</v>
      </c>
      <c r="L126" t="e">
        <f t="shared" si="15"/>
        <v>#DIV/0!</v>
      </c>
      <c r="M126" s="66" t="e">
        <f t="shared" si="16"/>
        <v>#DIV/0!</v>
      </c>
      <c r="O126">
        <f t="shared" si="17"/>
        <v>0</v>
      </c>
    </row>
    <row r="127" spans="1:15" x14ac:dyDescent="0.3">
      <c r="A127" s="17">
        <v>45880</v>
      </c>
      <c r="B127">
        <v>1.68</v>
      </c>
      <c r="D127">
        <f t="shared" si="18"/>
        <v>11</v>
      </c>
      <c r="E127">
        <v>1</v>
      </c>
      <c r="F127">
        <f t="shared" si="19"/>
        <v>8</v>
      </c>
      <c r="G127">
        <f t="shared" si="20"/>
        <v>2025</v>
      </c>
      <c r="I127" s="17">
        <f t="shared" si="21"/>
        <v>45870</v>
      </c>
      <c r="K127" s="17">
        <v>42339</v>
      </c>
      <c r="L127" t="e">
        <f t="shared" si="15"/>
        <v>#DIV/0!</v>
      </c>
      <c r="M127" s="66" t="e">
        <f t="shared" si="16"/>
        <v>#DIV/0!</v>
      </c>
      <c r="O127">
        <f t="shared" si="17"/>
        <v>0</v>
      </c>
    </row>
    <row r="128" spans="1:15" x14ac:dyDescent="0.3">
      <c r="A128" s="17">
        <v>45877</v>
      </c>
      <c r="B128">
        <v>1.7</v>
      </c>
      <c r="D128">
        <f t="shared" si="18"/>
        <v>8</v>
      </c>
      <c r="E128">
        <v>1</v>
      </c>
      <c r="F128">
        <f t="shared" si="19"/>
        <v>8</v>
      </c>
      <c r="G128">
        <f t="shared" si="20"/>
        <v>2025</v>
      </c>
      <c r="I128" s="17">
        <f t="shared" si="21"/>
        <v>45870</v>
      </c>
      <c r="K128" s="17">
        <v>42309</v>
      </c>
      <c r="L128" t="e">
        <f t="shared" si="15"/>
        <v>#DIV/0!</v>
      </c>
      <c r="M128" s="66" t="e">
        <f t="shared" si="16"/>
        <v>#DIV/0!</v>
      </c>
      <c r="O128">
        <f t="shared" si="17"/>
        <v>0</v>
      </c>
    </row>
    <row r="129" spans="1:15" x14ac:dyDescent="0.3">
      <c r="A129" s="17">
        <v>45876</v>
      </c>
      <c r="B129">
        <v>2.08</v>
      </c>
      <c r="D129">
        <f t="shared" si="18"/>
        <v>7</v>
      </c>
      <c r="E129">
        <v>1</v>
      </c>
      <c r="F129">
        <f t="shared" si="19"/>
        <v>8</v>
      </c>
      <c r="G129">
        <f t="shared" si="20"/>
        <v>2025</v>
      </c>
      <c r="I129" s="17">
        <f t="shared" si="21"/>
        <v>45870</v>
      </c>
      <c r="K129" s="17">
        <v>42278</v>
      </c>
      <c r="L129" t="e">
        <f t="shared" si="15"/>
        <v>#DIV/0!</v>
      </c>
      <c r="M129" s="66" t="e">
        <f t="shared" si="16"/>
        <v>#DIV/0!</v>
      </c>
      <c r="O129">
        <f t="shared" si="17"/>
        <v>0</v>
      </c>
    </row>
    <row r="130" spans="1:15" x14ac:dyDescent="0.3">
      <c r="A130" s="17">
        <v>45875</v>
      </c>
      <c r="B130">
        <v>2.0099999999999998</v>
      </c>
      <c r="D130">
        <f t="shared" si="18"/>
        <v>6</v>
      </c>
      <c r="E130">
        <v>1</v>
      </c>
      <c r="F130">
        <f t="shared" si="19"/>
        <v>8</v>
      </c>
      <c r="G130">
        <f t="shared" si="20"/>
        <v>2025</v>
      </c>
      <c r="I130" s="17">
        <f t="shared" si="21"/>
        <v>45870</v>
      </c>
      <c r="K130" s="17">
        <v>42248</v>
      </c>
      <c r="L130" t="e">
        <f t="shared" si="15"/>
        <v>#DIV/0!</v>
      </c>
      <c r="M130" s="66" t="e">
        <f t="shared" si="16"/>
        <v>#DIV/0!</v>
      </c>
      <c r="O130">
        <f t="shared" si="17"/>
        <v>0</v>
      </c>
    </row>
    <row r="131" spans="1:15" x14ac:dyDescent="0.3">
      <c r="A131" s="17">
        <v>45874</v>
      </c>
      <c r="B131">
        <v>1.86</v>
      </c>
      <c r="D131">
        <f t="shared" si="18"/>
        <v>5</v>
      </c>
      <c r="E131">
        <v>1</v>
      </c>
      <c r="F131">
        <f t="shared" si="19"/>
        <v>8</v>
      </c>
      <c r="G131">
        <f t="shared" si="20"/>
        <v>2025</v>
      </c>
      <c r="I131" s="17">
        <f t="shared" si="21"/>
        <v>45870</v>
      </c>
      <c r="K131" s="17">
        <v>42217</v>
      </c>
      <c r="L131" t="e">
        <f t="shared" si="15"/>
        <v>#DIV/0!</v>
      </c>
      <c r="M131" s="66" t="e">
        <f t="shared" si="16"/>
        <v>#DIV/0!</v>
      </c>
      <c r="O131">
        <f t="shared" si="17"/>
        <v>0</v>
      </c>
    </row>
    <row r="132" spans="1:15" x14ac:dyDescent="0.3">
      <c r="A132" s="17">
        <v>45873</v>
      </c>
      <c r="B132">
        <v>2.2200000000000002</v>
      </c>
      <c r="D132">
        <f t="shared" si="18"/>
        <v>4</v>
      </c>
      <c r="E132">
        <v>1</v>
      </c>
      <c r="F132">
        <f t="shared" si="19"/>
        <v>8</v>
      </c>
      <c r="G132">
        <f t="shared" si="20"/>
        <v>2025</v>
      </c>
      <c r="I132" s="17">
        <f t="shared" si="21"/>
        <v>45870</v>
      </c>
      <c r="K132" s="17">
        <v>42186</v>
      </c>
      <c r="L132" t="e">
        <f t="shared" si="15"/>
        <v>#DIV/0!</v>
      </c>
      <c r="M132" s="66" t="e">
        <f t="shared" si="16"/>
        <v>#DIV/0!</v>
      </c>
      <c r="O132">
        <f t="shared" si="17"/>
        <v>1</v>
      </c>
    </row>
    <row r="133" spans="1:15" x14ac:dyDescent="0.3">
      <c r="A133" s="17">
        <v>45870</v>
      </c>
      <c r="B133">
        <v>2.36</v>
      </c>
      <c r="D133">
        <f t="shared" si="18"/>
        <v>1</v>
      </c>
      <c r="E133">
        <v>1</v>
      </c>
      <c r="F133">
        <f t="shared" si="19"/>
        <v>8</v>
      </c>
      <c r="G133">
        <f t="shared" si="20"/>
        <v>2025</v>
      </c>
      <c r="I133" s="17">
        <f t="shared" si="21"/>
        <v>45870</v>
      </c>
      <c r="K133" s="17">
        <v>42156</v>
      </c>
      <c r="L133" t="e">
        <f t="shared" si="15"/>
        <v>#DIV/0!</v>
      </c>
      <c r="M133" s="66" t="e">
        <f t="shared" si="16"/>
        <v>#DIV/0!</v>
      </c>
      <c r="O133">
        <f t="shared" si="17"/>
        <v>1</v>
      </c>
    </row>
    <row r="134" spans="1:15" x14ac:dyDescent="0.3">
      <c r="A134" s="17">
        <v>45869</v>
      </c>
      <c r="B134">
        <v>1.89</v>
      </c>
      <c r="D134">
        <f t="shared" si="18"/>
        <v>31</v>
      </c>
      <c r="E134">
        <v>1</v>
      </c>
      <c r="F134">
        <f t="shared" si="19"/>
        <v>7</v>
      </c>
      <c r="G134">
        <f t="shared" si="20"/>
        <v>2025</v>
      </c>
      <c r="I134" s="17">
        <f t="shared" si="21"/>
        <v>45839</v>
      </c>
      <c r="K134" s="17">
        <v>42125</v>
      </c>
      <c r="L134" t="e">
        <f t="shared" si="15"/>
        <v>#DIV/0!</v>
      </c>
      <c r="M134" s="66" t="e">
        <f t="shared" si="16"/>
        <v>#DIV/0!</v>
      </c>
      <c r="O134">
        <f t="shared" si="17"/>
        <v>0</v>
      </c>
    </row>
    <row r="135" spans="1:15" x14ac:dyDescent="0.3">
      <c r="A135" s="17">
        <v>45868</v>
      </c>
      <c r="B135">
        <v>2.34</v>
      </c>
      <c r="D135">
        <f t="shared" si="18"/>
        <v>30</v>
      </c>
      <c r="E135">
        <v>1</v>
      </c>
      <c r="F135">
        <f t="shared" si="19"/>
        <v>7</v>
      </c>
      <c r="G135">
        <f t="shared" si="20"/>
        <v>2025</v>
      </c>
      <c r="I135" s="17">
        <f t="shared" si="21"/>
        <v>45839</v>
      </c>
      <c r="K135" s="17">
        <v>42095</v>
      </c>
      <c r="L135" t="e">
        <f t="shared" ref="L135:L198" si="22">+AVERAGEIFS($B$6:$B$928,$I$6:$I$928,$K135)</f>
        <v>#DIV/0!</v>
      </c>
      <c r="M135" s="66" t="e">
        <f t="shared" ref="M135:M198" si="23">+AVERAGEIFS($B$6:$B$928,$I$6:$I$928,$K135,$O$6:$O$928,1)</f>
        <v>#DIV/0!</v>
      </c>
      <c r="O135">
        <f t="shared" ref="O135:O198" si="24">IF(AND(D135&gt;=1, D135&lt;=4), 1, 0)</f>
        <v>0</v>
      </c>
    </row>
    <row r="136" spans="1:15" x14ac:dyDescent="0.3">
      <c r="A136" s="17">
        <v>45867</v>
      </c>
      <c r="B136">
        <v>2.0699999999999998</v>
      </c>
      <c r="D136">
        <f t="shared" si="18"/>
        <v>29</v>
      </c>
      <c r="E136">
        <v>1</v>
      </c>
      <c r="F136">
        <f t="shared" si="19"/>
        <v>7</v>
      </c>
      <c r="G136">
        <f t="shared" si="20"/>
        <v>2025</v>
      </c>
      <c r="I136" s="17">
        <f t="shared" si="21"/>
        <v>45839</v>
      </c>
      <c r="K136" s="17">
        <v>42064</v>
      </c>
      <c r="L136" t="e">
        <f t="shared" si="22"/>
        <v>#DIV/0!</v>
      </c>
      <c r="M136" s="66" t="e">
        <f t="shared" si="23"/>
        <v>#DIV/0!</v>
      </c>
      <c r="O136">
        <f t="shared" si="24"/>
        <v>0</v>
      </c>
    </row>
    <row r="137" spans="1:15" x14ac:dyDescent="0.3">
      <c r="A137" s="17">
        <v>45866</v>
      </c>
      <c r="B137">
        <v>2.17</v>
      </c>
      <c r="D137">
        <f t="shared" si="18"/>
        <v>28</v>
      </c>
      <c r="E137">
        <v>1</v>
      </c>
      <c r="F137">
        <f t="shared" si="19"/>
        <v>7</v>
      </c>
      <c r="G137">
        <f t="shared" si="20"/>
        <v>2025</v>
      </c>
      <c r="I137" s="17">
        <f t="shared" si="21"/>
        <v>45839</v>
      </c>
      <c r="K137" s="17">
        <v>42036</v>
      </c>
      <c r="L137" t="e">
        <f t="shared" si="22"/>
        <v>#DIV/0!</v>
      </c>
      <c r="M137" s="66" t="e">
        <f t="shared" si="23"/>
        <v>#DIV/0!</v>
      </c>
      <c r="O137">
        <f t="shared" si="24"/>
        <v>0</v>
      </c>
    </row>
    <row r="138" spans="1:15" x14ac:dyDescent="0.3">
      <c r="A138" s="17">
        <v>45863</v>
      </c>
      <c r="B138">
        <v>2.2000000000000002</v>
      </c>
      <c r="D138">
        <f t="shared" si="18"/>
        <v>25</v>
      </c>
      <c r="E138">
        <v>1</v>
      </c>
      <c r="F138">
        <f t="shared" si="19"/>
        <v>7</v>
      </c>
      <c r="G138">
        <f t="shared" si="20"/>
        <v>2025</v>
      </c>
      <c r="I138" s="17">
        <f t="shared" si="21"/>
        <v>45839</v>
      </c>
      <c r="K138" s="17">
        <v>42005</v>
      </c>
      <c r="L138" t="e">
        <f t="shared" si="22"/>
        <v>#DIV/0!</v>
      </c>
      <c r="M138" s="66" t="e">
        <f t="shared" si="23"/>
        <v>#DIV/0!</v>
      </c>
      <c r="O138">
        <f t="shared" si="24"/>
        <v>0</v>
      </c>
    </row>
    <row r="139" spans="1:15" x14ac:dyDescent="0.3">
      <c r="A139" s="17">
        <v>45862</v>
      </c>
      <c r="B139">
        <v>2.13</v>
      </c>
      <c r="D139">
        <f t="shared" si="18"/>
        <v>24</v>
      </c>
      <c r="E139">
        <v>1</v>
      </c>
      <c r="F139">
        <f t="shared" si="19"/>
        <v>7</v>
      </c>
      <c r="G139">
        <f t="shared" si="20"/>
        <v>2025</v>
      </c>
      <c r="I139" s="17">
        <f t="shared" si="21"/>
        <v>45839</v>
      </c>
      <c r="K139" s="17">
        <v>41974</v>
      </c>
      <c r="L139" t="e">
        <f t="shared" si="22"/>
        <v>#DIV/0!</v>
      </c>
      <c r="M139" s="66" t="e">
        <f t="shared" si="23"/>
        <v>#DIV/0!</v>
      </c>
      <c r="O139">
        <f t="shared" si="24"/>
        <v>0</v>
      </c>
    </row>
    <row r="140" spans="1:15" x14ac:dyDescent="0.3">
      <c r="A140" s="17">
        <v>45861</v>
      </c>
      <c r="B140">
        <v>2.0299999999999998</v>
      </c>
      <c r="D140">
        <f t="shared" si="18"/>
        <v>23</v>
      </c>
      <c r="E140">
        <v>1</v>
      </c>
      <c r="F140">
        <f t="shared" si="19"/>
        <v>7</v>
      </c>
      <c r="G140">
        <f t="shared" si="20"/>
        <v>2025</v>
      </c>
      <c r="I140" s="17">
        <f t="shared" si="21"/>
        <v>45839</v>
      </c>
      <c r="K140" s="17">
        <v>41944</v>
      </c>
      <c r="L140" t="e">
        <f t="shared" si="22"/>
        <v>#DIV/0!</v>
      </c>
      <c r="M140" s="66" t="e">
        <f t="shared" si="23"/>
        <v>#DIV/0!</v>
      </c>
      <c r="O140">
        <f t="shared" si="24"/>
        <v>0</v>
      </c>
    </row>
    <row r="141" spans="1:15" x14ac:dyDescent="0.3">
      <c r="A141" s="17">
        <v>45860</v>
      </c>
      <c r="B141">
        <v>2.19</v>
      </c>
      <c r="D141">
        <f t="shared" si="18"/>
        <v>22</v>
      </c>
      <c r="E141">
        <v>1</v>
      </c>
      <c r="F141">
        <f t="shared" si="19"/>
        <v>7</v>
      </c>
      <c r="G141">
        <f t="shared" si="20"/>
        <v>2025</v>
      </c>
      <c r="I141" s="17">
        <f t="shared" si="21"/>
        <v>45839</v>
      </c>
      <c r="K141" s="17">
        <v>41913</v>
      </c>
      <c r="L141" t="e">
        <f t="shared" si="22"/>
        <v>#DIV/0!</v>
      </c>
      <c r="M141" s="66" t="e">
        <f t="shared" si="23"/>
        <v>#DIV/0!</v>
      </c>
      <c r="O141">
        <f t="shared" si="24"/>
        <v>0</v>
      </c>
    </row>
    <row r="142" spans="1:15" x14ac:dyDescent="0.3">
      <c r="A142" s="17">
        <v>45859</v>
      </c>
      <c r="B142">
        <v>2.2999999999999998</v>
      </c>
      <c r="D142">
        <f t="shared" si="18"/>
        <v>21</v>
      </c>
      <c r="E142">
        <v>1</v>
      </c>
      <c r="F142">
        <f t="shared" si="19"/>
        <v>7</v>
      </c>
      <c r="G142">
        <f t="shared" si="20"/>
        <v>2025</v>
      </c>
      <c r="I142" s="17">
        <f t="shared" si="21"/>
        <v>45839</v>
      </c>
      <c r="K142" s="17">
        <v>41883</v>
      </c>
      <c r="L142" t="e">
        <f t="shared" si="22"/>
        <v>#DIV/0!</v>
      </c>
      <c r="M142" s="66" t="e">
        <f t="shared" si="23"/>
        <v>#DIV/0!</v>
      </c>
      <c r="O142">
        <f t="shared" si="24"/>
        <v>0</v>
      </c>
    </row>
    <row r="143" spans="1:15" x14ac:dyDescent="0.3">
      <c r="A143" s="17">
        <v>45856</v>
      </c>
      <c r="B143">
        <v>2.16</v>
      </c>
      <c r="D143">
        <f t="shared" ref="D143:D206" si="25">+DAY(A143)</f>
        <v>18</v>
      </c>
      <c r="E143">
        <v>1</v>
      </c>
      <c r="F143">
        <f t="shared" ref="F143:F206" si="26">+MONTH(A143)</f>
        <v>7</v>
      </c>
      <c r="G143">
        <f t="shared" ref="G143:G206" si="27">+YEAR(A143)</f>
        <v>2025</v>
      </c>
      <c r="I143" s="17">
        <f t="shared" ref="I143:I206" si="28">+DATE(G143,F143,E143)</f>
        <v>45839</v>
      </c>
      <c r="K143" s="17">
        <v>41852</v>
      </c>
      <c r="L143" t="e">
        <f t="shared" si="22"/>
        <v>#DIV/0!</v>
      </c>
      <c r="M143" s="66" t="e">
        <f t="shared" si="23"/>
        <v>#DIV/0!</v>
      </c>
      <c r="O143">
        <f t="shared" si="24"/>
        <v>0</v>
      </c>
    </row>
    <row r="144" spans="1:15" x14ac:dyDescent="0.3">
      <c r="A144" s="17">
        <v>45855</v>
      </c>
      <c r="B144">
        <v>2.08</v>
      </c>
      <c r="D144">
        <f t="shared" si="25"/>
        <v>17</v>
      </c>
      <c r="E144">
        <v>1</v>
      </c>
      <c r="F144">
        <f t="shared" si="26"/>
        <v>7</v>
      </c>
      <c r="G144">
        <f t="shared" si="27"/>
        <v>2025</v>
      </c>
      <c r="I144" s="17">
        <f t="shared" si="28"/>
        <v>45839</v>
      </c>
      <c r="K144" s="17">
        <v>41821</v>
      </c>
      <c r="L144" t="e">
        <f t="shared" si="22"/>
        <v>#DIV/0!</v>
      </c>
      <c r="M144" s="66" t="e">
        <f t="shared" si="23"/>
        <v>#DIV/0!</v>
      </c>
      <c r="O144">
        <f t="shared" si="24"/>
        <v>0</v>
      </c>
    </row>
    <row r="145" spans="1:15" x14ac:dyDescent="0.3">
      <c r="A145" s="17">
        <v>45854</v>
      </c>
      <c r="B145">
        <v>2.66</v>
      </c>
      <c r="D145">
        <f t="shared" si="25"/>
        <v>16</v>
      </c>
      <c r="E145">
        <v>1</v>
      </c>
      <c r="F145">
        <f t="shared" si="26"/>
        <v>7</v>
      </c>
      <c r="G145">
        <f t="shared" si="27"/>
        <v>2025</v>
      </c>
      <c r="I145" s="17">
        <f t="shared" si="28"/>
        <v>45839</v>
      </c>
      <c r="K145" s="17">
        <v>41791</v>
      </c>
      <c r="L145" t="e">
        <f t="shared" si="22"/>
        <v>#DIV/0!</v>
      </c>
      <c r="M145" s="66" t="e">
        <f t="shared" si="23"/>
        <v>#DIV/0!</v>
      </c>
      <c r="O145">
        <f t="shared" si="24"/>
        <v>0</v>
      </c>
    </row>
    <row r="146" spans="1:15" x14ac:dyDescent="0.3">
      <c r="A146" s="17">
        <v>45853</v>
      </c>
      <c r="B146">
        <v>2.69</v>
      </c>
      <c r="D146">
        <f t="shared" si="25"/>
        <v>15</v>
      </c>
      <c r="E146">
        <v>1</v>
      </c>
      <c r="F146">
        <f t="shared" si="26"/>
        <v>7</v>
      </c>
      <c r="G146">
        <f t="shared" si="27"/>
        <v>2025</v>
      </c>
      <c r="I146" s="17">
        <f t="shared" si="28"/>
        <v>45839</v>
      </c>
      <c r="K146" s="17">
        <v>41760</v>
      </c>
      <c r="L146" t="e">
        <f t="shared" si="22"/>
        <v>#DIV/0!</v>
      </c>
      <c r="M146" s="66" t="e">
        <f t="shared" si="23"/>
        <v>#DIV/0!</v>
      </c>
      <c r="O146">
        <f t="shared" si="24"/>
        <v>0</v>
      </c>
    </row>
    <row r="147" spans="1:15" x14ac:dyDescent="0.3">
      <c r="A147" s="17">
        <v>45852</v>
      </c>
      <c r="B147">
        <v>3.05</v>
      </c>
      <c r="D147">
        <f t="shared" si="25"/>
        <v>14</v>
      </c>
      <c r="E147">
        <v>1</v>
      </c>
      <c r="F147">
        <f t="shared" si="26"/>
        <v>7</v>
      </c>
      <c r="G147">
        <f t="shared" si="27"/>
        <v>2025</v>
      </c>
      <c r="I147" s="17">
        <f t="shared" si="28"/>
        <v>45839</v>
      </c>
      <c r="K147" s="17">
        <v>41730</v>
      </c>
      <c r="L147" t="e">
        <f t="shared" si="22"/>
        <v>#DIV/0!</v>
      </c>
      <c r="M147" s="66" t="e">
        <f t="shared" si="23"/>
        <v>#DIV/0!</v>
      </c>
      <c r="O147">
        <f t="shared" si="24"/>
        <v>0</v>
      </c>
    </row>
    <row r="148" spans="1:15" x14ac:dyDescent="0.3">
      <c r="A148" s="17">
        <v>45849</v>
      </c>
      <c r="B148">
        <v>2.7</v>
      </c>
      <c r="D148">
        <f t="shared" si="25"/>
        <v>11</v>
      </c>
      <c r="E148">
        <v>1</v>
      </c>
      <c r="F148">
        <f t="shared" si="26"/>
        <v>7</v>
      </c>
      <c r="G148">
        <f t="shared" si="27"/>
        <v>2025</v>
      </c>
      <c r="I148" s="17">
        <f t="shared" si="28"/>
        <v>45839</v>
      </c>
      <c r="K148" s="17">
        <v>41699</v>
      </c>
      <c r="L148" t="e">
        <f t="shared" si="22"/>
        <v>#DIV/0!</v>
      </c>
      <c r="M148" s="66" t="e">
        <f t="shared" si="23"/>
        <v>#DIV/0!</v>
      </c>
      <c r="O148">
        <f t="shared" si="24"/>
        <v>0</v>
      </c>
    </row>
    <row r="149" spans="1:15" x14ac:dyDescent="0.3">
      <c r="A149" s="17">
        <v>45848</v>
      </c>
      <c r="B149">
        <v>2.81</v>
      </c>
      <c r="D149">
        <f t="shared" si="25"/>
        <v>10</v>
      </c>
      <c r="E149">
        <v>1</v>
      </c>
      <c r="F149">
        <f t="shared" si="26"/>
        <v>7</v>
      </c>
      <c r="G149">
        <f t="shared" si="27"/>
        <v>2025</v>
      </c>
      <c r="I149" s="17">
        <f t="shared" si="28"/>
        <v>45839</v>
      </c>
      <c r="K149" s="17">
        <v>41671</v>
      </c>
      <c r="L149" t="e">
        <f t="shared" si="22"/>
        <v>#DIV/0!</v>
      </c>
      <c r="M149" s="66" t="e">
        <f t="shared" si="23"/>
        <v>#DIV/0!</v>
      </c>
      <c r="O149">
        <f t="shared" si="24"/>
        <v>0</v>
      </c>
    </row>
    <row r="150" spans="1:15" x14ac:dyDescent="0.3">
      <c r="A150" s="17">
        <v>45847</v>
      </c>
      <c r="B150">
        <v>2.92</v>
      </c>
      <c r="D150">
        <f t="shared" si="25"/>
        <v>9</v>
      </c>
      <c r="E150">
        <v>1</v>
      </c>
      <c r="F150">
        <f t="shared" si="26"/>
        <v>7</v>
      </c>
      <c r="G150">
        <f t="shared" si="27"/>
        <v>2025</v>
      </c>
      <c r="I150" s="17">
        <f t="shared" si="28"/>
        <v>45839</v>
      </c>
      <c r="K150" s="17">
        <v>41640</v>
      </c>
      <c r="L150" t="e">
        <f t="shared" si="22"/>
        <v>#DIV/0!</v>
      </c>
      <c r="M150" s="66" t="e">
        <f t="shared" si="23"/>
        <v>#DIV/0!</v>
      </c>
      <c r="O150">
        <f t="shared" si="24"/>
        <v>0</v>
      </c>
    </row>
    <row r="151" spans="1:15" x14ac:dyDescent="0.3">
      <c r="A151" s="17">
        <v>45846</v>
      </c>
      <c r="B151">
        <v>2.87</v>
      </c>
      <c r="D151">
        <f t="shared" si="25"/>
        <v>8</v>
      </c>
      <c r="E151">
        <v>1</v>
      </c>
      <c r="F151">
        <f t="shared" si="26"/>
        <v>7</v>
      </c>
      <c r="G151">
        <f t="shared" si="27"/>
        <v>2025</v>
      </c>
      <c r="I151" s="17">
        <f t="shared" si="28"/>
        <v>45839</v>
      </c>
      <c r="K151" s="17">
        <v>41609</v>
      </c>
      <c r="L151" t="e">
        <f t="shared" si="22"/>
        <v>#DIV/0!</v>
      </c>
      <c r="M151" s="66" t="e">
        <f t="shared" si="23"/>
        <v>#DIV/0!</v>
      </c>
      <c r="O151">
        <f t="shared" si="24"/>
        <v>0</v>
      </c>
    </row>
    <row r="152" spans="1:15" x14ac:dyDescent="0.3">
      <c r="A152" s="17">
        <v>45845</v>
      </c>
      <c r="B152">
        <v>2.82</v>
      </c>
      <c r="D152">
        <f t="shared" si="25"/>
        <v>7</v>
      </c>
      <c r="E152">
        <v>1</v>
      </c>
      <c r="F152">
        <f t="shared" si="26"/>
        <v>7</v>
      </c>
      <c r="G152">
        <f t="shared" si="27"/>
        <v>2025</v>
      </c>
      <c r="I152" s="17">
        <f t="shared" si="28"/>
        <v>45839</v>
      </c>
      <c r="K152" s="17">
        <v>41579</v>
      </c>
      <c r="L152" t="e">
        <f t="shared" si="22"/>
        <v>#DIV/0!</v>
      </c>
      <c r="M152" s="66" t="e">
        <f t="shared" si="23"/>
        <v>#DIV/0!</v>
      </c>
      <c r="O152">
        <f t="shared" si="24"/>
        <v>0</v>
      </c>
    </row>
    <row r="153" spans="1:15" x14ac:dyDescent="0.3">
      <c r="A153" s="17">
        <v>45842</v>
      </c>
      <c r="B153">
        <v>2.82</v>
      </c>
      <c r="D153">
        <f t="shared" si="25"/>
        <v>4</v>
      </c>
      <c r="E153">
        <v>1</v>
      </c>
      <c r="F153">
        <f t="shared" si="26"/>
        <v>7</v>
      </c>
      <c r="G153">
        <f t="shared" si="27"/>
        <v>2025</v>
      </c>
      <c r="I153" s="17">
        <f t="shared" si="28"/>
        <v>45839</v>
      </c>
      <c r="K153" s="17">
        <v>41548</v>
      </c>
      <c r="L153" t="e">
        <f t="shared" si="22"/>
        <v>#DIV/0!</v>
      </c>
      <c r="M153" s="66" t="e">
        <f t="shared" si="23"/>
        <v>#DIV/0!</v>
      </c>
      <c r="O153">
        <f t="shared" si="24"/>
        <v>1</v>
      </c>
    </row>
    <row r="154" spans="1:15" x14ac:dyDescent="0.3">
      <c r="A154" s="17">
        <v>45841</v>
      </c>
      <c r="B154">
        <v>3</v>
      </c>
      <c r="D154">
        <f t="shared" si="25"/>
        <v>3</v>
      </c>
      <c r="E154">
        <v>1</v>
      </c>
      <c r="F154">
        <f t="shared" si="26"/>
        <v>7</v>
      </c>
      <c r="G154">
        <f t="shared" si="27"/>
        <v>2025</v>
      </c>
      <c r="I154" s="17">
        <f t="shared" si="28"/>
        <v>45839</v>
      </c>
      <c r="K154" s="17">
        <v>41518</v>
      </c>
      <c r="L154" t="e">
        <f t="shared" si="22"/>
        <v>#DIV/0!</v>
      </c>
      <c r="M154" s="66" t="e">
        <f t="shared" si="23"/>
        <v>#DIV/0!</v>
      </c>
      <c r="O154">
        <f t="shared" si="24"/>
        <v>1</v>
      </c>
    </row>
    <row r="155" spans="1:15" x14ac:dyDescent="0.3">
      <c r="A155" s="17">
        <v>45840</v>
      </c>
      <c r="B155">
        <v>2.88</v>
      </c>
      <c r="D155">
        <f t="shared" si="25"/>
        <v>2</v>
      </c>
      <c r="E155">
        <v>1</v>
      </c>
      <c r="F155">
        <f t="shared" si="26"/>
        <v>7</v>
      </c>
      <c r="G155">
        <f t="shared" si="27"/>
        <v>2025</v>
      </c>
      <c r="I155" s="17">
        <f t="shared" si="28"/>
        <v>45839</v>
      </c>
      <c r="K155" s="17">
        <v>41487</v>
      </c>
      <c r="L155" t="e">
        <f t="shared" si="22"/>
        <v>#DIV/0!</v>
      </c>
      <c r="M155" s="66" t="e">
        <f t="shared" si="23"/>
        <v>#DIV/0!</v>
      </c>
      <c r="O155">
        <f t="shared" si="24"/>
        <v>1</v>
      </c>
    </row>
    <row r="156" spans="1:15" x14ac:dyDescent="0.3">
      <c r="A156" s="17">
        <v>45839</v>
      </c>
      <c r="B156">
        <v>2.76</v>
      </c>
      <c r="D156">
        <f t="shared" si="25"/>
        <v>1</v>
      </c>
      <c r="E156">
        <v>1</v>
      </c>
      <c r="F156">
        <f t="shared" si="26"/>
        <v>7</v>
      </c>
      <c r="G156">
        <f t="shared" si="27"/>
        <v>2025</v>
      </c>
      <c r="I156" s="17">
        <f t="shared" si="28"/>
        <v>45839</v>
      </c>
      <c r="K156" s="17">
        <v>41456</v>
      </c>
      <c r="L156" t="e">
        <f t="shared" si="22"/>
        <v>#DIV/0!</v>
      </c>
      <c r="M156" s="66" t="e">
        <f t="shared" si="23"/>
        <v>#DIV/0!</v>
      </c>
      <c r="O156">
        <f t="shared" si="24"/>
        <v>1</v>
      </c>
    </row>
    <row r="157" spans="1:15" x14ac:dyDescent="0.3">
      <c r="A157" s="17">
        <v>45838</v>
      </c>
      <c r="B157">
        <v>2.4500000000000002</v>
      </c>
      <c r="D157">
        <f t="shared" si="25"/>
        <v>30</v>
      </c>
      <c r="E157">
        <v>1</v>
      </c>
      <c r="F157">
        <f t="shared" si="26"/>
        <v>6</v>
      </c>
      <c r="G157">
        <f t="shared" si="27"/>
        <v>2025</v>
      </c>
      <c r="I157" s="17">
        <f t="shared" si="28"/>
        <v>45809</v>
      </c>
      <c r="K157" s="17">
        <v>41426</v>
      </c>
      <c r="L157" t="e">
        <f t="shared" si="22"/>
        <v>#DIV/0!</v>
      </c>
      <c r="M157" s="66" t="e">
        <f t="shared" si="23"/>
        <v>#DIV/0!</v>
      </c>
      <c r="O157">
        <f t="shared" si="24"/>
        <v>0</v>
      </c>
    </row>
    <row r="158" spans="1:15" x14ac:dyDescent="0.3">
      <c r="A158" s="17">
        <v>45835</v>
      </c>
      <c r="B158">
        <v>2.21</v>
      </c>
      <c r="D158">
        <f t="shared" si="25"/>
        <v>27</v>
      </c>
      <c r="E158">
        <v>1</v>
      </c>
      <c r="F158">
        <f t="shared" si="26"/>
        <v>6</v>
      </c>
      <c r="G158">
        <f t="shared" si="27"/>
        <v>2025</v>
      </c>
      <c r="I158" s="17">
        <f t="shared" si="28"/>
        <v>45809</v>
      </c>
      <c r="K158" s="17">
        <v>41395</v>
      </c>
      <c r="L158" t="e">
        <f t="shared" si="22"/>
        <v>#DIV/0!</v>
      </c>
      <c r="M158" s="66" t="e">
        <f t="shared" si="23"/>
        <v>#DIV/0!</v>
      </c>
      <c r="O158">
        <f t="shared" si="24"/>
        <v>0</v>
      </c>
    </row>
    <row r="159" spans="1:15" x14ac:dyDescent="0.3">
      <c r="A159" s="17">
        <v>45834</v>
      </c>
      <c r="B159">
        <v>2.1</v>
      </c>
      <c r="D159">
        <f t="shared" si="25"/>
        <v>26</v>
      </c>
      <c r="E159">
        <v>1</v>
      </c>
      <c r="F159">
        <f t="shared" si="26"/>
        <v>6</v>
      </c>
      <c r="G159">
        <f t="shared" si="27"/>
        <v>2025</v>
      </c>
      <c r="I159" s="17">
        <f t="shared" si="28"/>
        <v>45809</v>
      </c>
      <c r="K159" s="17">
        <v>41365</v>
      </c>
      <c r="L159" t="e">
        <f t="shared" si="22"/>
        <v>#DIV/0!</v>
      </c>
      <c r="M159" s="66" t="e">
        <f t="shared" si="23"/>
        <v>#DIV/0!</v>
      </c>
      <c r="O159">
        <f t="shared" si="24"/>
        <v>0</v>
      </c>
    </row>
    <row r="160" spans="1:15" x14ac:dyDescent="0.3">
      <c r="A160" s="17">
        <v>45833</v>
      </c>
      <c r="B160">
        <v>1.77</v>
      </c>
      <c r="D160">
        <f t="shared" si="25"/>
        <v>25</v>
      </c>
      <c r="E160">
        <v>1</v>
      </c>
      <c r="F160">
        <f t="shared" si="26"/>
        <v>6</v>
      </c>
      <c r="G160">
        <f t="shared" si="27"/>
        <v>2025</v>
      </c>
      <c r="I160" s="17">
        <f t="shared" si="28"/>
        <v>45809</v>
      </c>
      <c r="K160" s="17">
        <v>41334</v>
      </c>
      <c r="L160" t="e">
        <f t="shared" si="22"/>
        <v>#DIV/0!</v>
      </c>
      <c r="M160" s="66" t="e">
        <f t="shared" si="23"/>
        <v>#DIV/0!</v>
      </c>
      <c r="O160">
        <f t="shared" si="24"/>
        <v>0</v>
      </c>
    </row>
    <row r="161" spans="1:15" x14ac:dyDescent="0.3">
      <c r="A161" s="17">
        <v>45832</v>
      </c>
      <c r="B161">
        <v>2.0099999999999998</v>
      </c>
      <c r="D161">
        <f t="shared" si="25"/>
        <v>24</v>
      </c>
      <c r="E161">
        <v>1</v>
      </c>
      <c r="F161">
        <f t="shared" si="26"/>
        <v>6</v>
      </c>
      <c r="G161">
        <f t="shared" si="27"/>
        <v>2025</v>
      </c>
      <c r="I161" s="17">
        <f t="shared" si="28"/>
        <v>45809</v>
      </c>
      <c r="K161" s="17">
        <v>41306</v>
      </c>
      <c r="L161" t="e">
        <f t="shared" si="22"/>
        <v>#DIV/0!</v>
      </c>
      <c r="M161" s="66" t="e">
        <f t="shared" si="23"/>
        <v>#DIV/0!</v>
      </c>
      <c r="O161">
        <f t="shared" si="24"/>
        <v>0</v>
      </c>
    </row>
    <row r="162" spans="1:15" x14ac:dyDescent="0.3">
      <c r="A162" s="17">
        <v>45831</v>
      </c>
      <c r="B162">
        <v>2.4500000000000002</v>
      </c>
      <c r="D162">
        <f t="shared" si="25"/>
        <v>23</v>
      </c>
      <c r="E162">
        <v>1</v>
      </c>
      <c r="F162">
        <f t="shared" si="26"/>
        <v>6</v>
      </c>
      <c r="G162">
        <f t="shared" si="27"/>
        <v>2025</v>
      </c>
      <c r="I162" s="17">
        <f t="shared" si="28"/>
        <v>45809</v>
      </c>
      <c r="K162" s="17">
        <v>41275</v>
      </c>
      <c r="L162" t="e">
        <f t="shared" si="22"/>
        <v>#DIV/0!</v>
      </c>
      <c r="M162" s="66" t="e">
        <f t="shared" si="23"/>
        <v>#DIV/0!</v>
      </c>
      <c r="O162">
        <f t="shared" si="24"/>
        <v>0</v>
      </c>
    </row>
    <row r="163" spans="1:15" x14ac:dyDescent="0.3">
      <c r="A163" s="17">
        <v>45828</v>
      </c>
      <c r="B163">
        <v>3.09</v>
      </c>
      <c r="D163">
        <f t="shared" si="25"/>
        <v>20</v>
      </c>
      <c r="E163">
        <v>1</v>
      </c>
      <c r="F163">
        <f t="shared" si="26"/>
        <v>6</v>
      </c>
      <c r="G163">
        <f t="shared" si="27"/>
        <v>2025</v>
      </c>
      <c r="I163" s="17">
        <f t="shared" si="28"/>
        <v>45809</v>
      </c>
      <c r="K163" s="17">
        <v>41244</v>
      </c>
      <c r="L163" t="e">
        <f t="shared" si="22"/>
        <v>#DIV/0!</v>
      </c>
      <c r="M163" s="66" t="e">
        <f t="shared" si="23"/>
        <v>#DIV/0!</v>
      </c>
      <c r="O163">
        <f t="shared" si="24"/>
        <v>0</v>
      </c>
    </row>
    <row r="164" spans="1:15" x14ac:dyDescent="0.3">
      <c r="A164" s="17">
        <v>45827</v>
      </c>
      <c r="B164">
        <v>3.09</v>
      </c>
      <c r="D164">
        <f t="shared" si="25"/>
        <v>19</v>
      </c>
      <c r="E164">
        <v>1</v>
      </c>
      <c r="F164">
        <f t="shared" si="26"/>
        <v>6</v>
      </c>
      <c r="G164">
        <f t="shared" si="27"/>
        <v>2025</v>
      </c>
      <c r="I164" s="17">
        <f t="shared" si="28"/>
        <v>45809</v>
      </c>
      <c r="K164" s="17">
        <v>41214</v>
      </c>
      <c r="L164" t="e">
        <f t="shared" si="22"/>
        <v>#DIV/0!</v>
      </c>
      <c r="M164" s="66" t="e">
        <f t="shared" si="23"/>
        <v>#DIV/0!</v>
      </c>
      <c r="O164">
        <f t="shared" si="24"/>
        <v>0</v>
      </c>
    </row>
    <row r="165" spans="1:15" x14ac:dyDescent="0.3">
      <c r="A165" s="17">
        <v>45826</v>
      </c>
      <c r="B165">
        <v>2.5499999999999998</v>
      </c>
      <c r="D165">
        <f t="shared" si="25"/>
        <v>18</v>
      </c>
      <c r="E165">
        <v>1</v>
      </c>
      <c r="F165">
        <f t="shared" si="26"/>
        <v>6</v>
      </c>
      <c r="G165">
        <f t="shared" si="27"/>
        <v>2025</v>
      </c>
      <c r="I165" s="17">
        <f t="shared" si="28"/>
        <v>45809</v>
      </c>
      <c r="K165" s="17">
        <v>41183</v>
      </c>
      <c r="L165" t="e">
        <f t="shared" si="22"/>
        <v>#DIV/0!</v>
      </c>
      <c r="M165" s="66" t="e">
        <f t="shared" si="23"/>
        <v>#DIV/0!</v>
      </c>
      <c r="O165">
        <f t="shared" si="24"/>
        <v>0</v>
      </c>
    </row>
    <row r="166" spans="1:15" x14ac:dyDescent="0.3">
      <c r="A166" s="17">
        <v>45825</v>
      </c>
      <c r="B166">
        <v>2.2200000000000002</v>
      </c>
      <c r="D166">
        <f t="shared" si="25"/>
        <v>17</v>
      </c>
      <c r="E166">
        <v>1</v>
      </c>
      <c r="F166">
        <f t="shared" si="26"/>
        <v>6</v>
      </c>
      <c r="G166">
        <f t="shared" si="27"/>
        <v>2025</v>
      </c>
      <c r="I166" s="17">
        <f t="shared" si="28"/>
        <v>45809</v>
      </c>
      <c r="K166" s="17">
        <v>41153</v>
      </c>
      <c r="L166" t="e">
        <f t="shared" si="22"/>
        <v>#DIV/0!</v>
      </c>
      <c r="M166" s="66" t="e">
        <f t="shared" si="23"/>
        <v>#DIV/0!</v>
      </c>
      <c r="O166">
        <f t="shared" si="24"/>
        <v>0</v>
      </c>
    </row>
    <row r="167" spans="1:15" x14ac:dyDescent="0.3">
      <c r="A167" s="17">
        <v>45824</v>
      </c>
      <c r="B167">
        <v>1.97</v>
      </c>
      <c r="D167">
        <f t="shared" si="25"/>
        <v>16</v>
      </c>
      <c r="E167">
        <v>1</v>
      </c>
      <c r="F167">
        <f t="shared" si="26"/>
        <v>6</v>
      </c>
      <c r="G167">
        <f t="shared" si="27"/>
        <v>2025</v>
      </c>
      <c r="I167" s="17">
        <f t="shared" si="28"/>
        <v>45809</v>
      </c>
      <c r="K167" s="17">
        <v>41122</v>
      </c>
      <c r="L167" t="e">
        <f t="shared" si="22"/>
        <v>#DIV/0!</v>
      </c>
      <c r="M167" s="66" t="e">
        <f t="shared" si="23"/>
        <v>#DIV/0!</v>
      </c>
      <c r="O167">
        <f t="shared" si="24"/>
        <v>0</v>
      </c>
    </row>
    <row r="168" spans="1:15" x14ac:dyDescent="0.3">
      <c r="A168" s="17">
        <v>45821</v>
      </c>
      <c r="B168">
        <v>1.49</v>
      </c>
      <c r="D168">
        <f t="shared" si="25"/>
        <v>13</v>
      </c>
      <c r="E168">
        <v>1</v>
      </c>
      <c r="F168">
        <f t="shared" si="26"/>
        <v>6</v>
      </c>
      <c r="G168">
        <f t="shared" si="27"/>
        <v>2025</v>
      </c>
      <c r="I168" s="17">
        <f t="shared" si="28"/>
        <v>45809</v>
      </c>
      <c r="K168" s="17">
        <v>41091</v>
      </c>
      <c r="L168" t="e">
        <f t="shared" si="22"/>
        <v>#DIV/0!</v>
      </c>
      <c r="M168" s="66" t="e">
        <f t="shared" si="23"/>
        <v>#DIV/0!</v>
      </c>
      <c r="O168">
        <f t="shared" si="24"/>
        <v>0</v>
      </c>
    </row>
    <row r="169" spans="1:15" x14ac:dyDescent="0.3">
      <c r="A169" s="17">
        <v>45820</v>
      </c>
      <c r="B169">
        <v>1.36</v>
      </c>
      <c r="D169">
        <f t="shared" si="25"/>
        <v>12</v>
      </c>
      <c r="E169">
        <v>1</v>
      </c>
      <c r="F169">
        <f t="shared" si="26"/>
        <v>6</v>
      </c>
      <c r="G169">
        <f t="shared" si="27"/>
        <v>2025</v>
      </c>
      <c r="I169" s="17">
        <f t="shared" si="28"/>
        <v>45809</v>
      </c>
      <c r="K169" s="17">
        <v>41061</v>
      </c>
      <c r="L169" t="e">
        <f t="shared" si="22"/>
        <v>#DIV/0!</v>
      </c>
      <c r="M169" s="66" t="e">
        <f t="shared" si="23"/>
        <v>#DIV/0!</v>
      </c>
      <c r="O169">
        <f t="shared" si="24"/>
        <v>0</v>
      </c>
    </row>
    <row r="170" spans="1:15" x14ac:dyDescent="0.3">
      <c r="A170" s="17">
        <v>45819</v>
      </c>
      <c r="B170">
        <v>0.95</v>
      </c>
      <c r="D170">
        <f t="shared" si="25"/>
        <v>11</v>
      </c>
      <c r="E170">
        <v>1</v>
      </c>
      <c r="F170">
        <f t="shared" si="26"/>
        <v>6</v>
      </c>
      <c r="G170">
        <f t="shared" si="27"/>
        <v>2025</v>
      </c>
      <c r="I170" s="17">
        <f t="shared" si="28"/>
        <v>45809</v>
      </c>
      <c r="K170" s="17">
        <v>41030</v>
      </c>
      <c r="L170" t="e">
        <f t="shared" si="22"/>
        <v>#DIV/0!</v>
      </c>
      <c r="M170" s="66" t="e">
        <f t="shared" si="23"/>
        <v>#DIV/0!</v>
      </c>
      <c r="O170">
        <f t="shared" si="24"/>
        <v>0</v>
      </c>
    </row>
    <row r="171" spans="1:15" x14ac:dyDescent="0.3">
      <c r="A171" s="17">
        <v>45818</v>
      </c>
      <c r="B171">
        <v>1.26</v>
      </c>
      <c r="D171">
        <f t="shared" si="25"/>
        <v>10</v>
      </c>
      <c r="E171">
        <v>1</v>
      </c>
      <c r="F171">
        <f t="shared" si="26"/>
        <v>6</v>
      </c>
      <c r="G171">
        <f t="shared" si="27"/>
        <v>2025</v>
      </c>
      <c r="I171" s="17">
        <f t="shared" si="28"/>
        <v>45809</v>
      </c>
      <c r="K171" s="17">
        <v>41000</v>
      </c>
      <c r="L171" t="e">
        <f t="shared" si="22"/>
        <v>#DIV/0!</v>
      </c>
      <c r="M171" s="66" t="e">
        <f t="shared" si="23"/>
        <v>#DIV/0!</v>
      </c>
      <c r="O171">
        <f t="shared" si="24"/>
        <v>0</v>
      </c>
    </row>
    <row r="172" spans="1:15" x14ac:dyDescent="0.3">
      <c r="A172" s="17">
        <v>45817</v>
      </c>
      <c r="B172">
        <v>1.1299999999999999</v>
      </c>
      <c r="D172">
        <f t="shared" si="25"/>
        <v>9</v>
      </c>
      <c r="E172">
        <v>1</v>
      </c>
      <c r="F172">
        <f t="shared" si="26"/>
        <v>6</v>
      </c>
      <c r="G172">
        <f t="shared" si="27"/>
        <v>2025</v>
      </c>
      <c r="I172" s="17">
        <f t="shared" si="28"/>
        <v>45809</v>
      </c>
      <c r="K172" s="17">
        <v>40969</v>
      </c>
      <c r="L172" t="e">
        <f t="shared" si="22"/>
        <v>#DIV/0!</v>
      </c>
      <c r="M172" s="66" t="e">
        <f t="shared" si="23"/>
        <v>#DIV/0!</v>
      </c>
      <c r="O172">
        <f t="shared" si="24"/>
        <v>0</v>
      </c>
    </row>
    <row r="173" spans="1:15" x14ac:dyDescent="0.3">
      <c r="A173" s="17">
        <v>45814</v>
      </c>
      <c r="B173">
        <v>0.85</v>
      </c>
      <c r="D173">
        <f t="shared" si="25"/>
        <v>6</v>
      </c>
      <c r="E173">
        <v>1</v>
      </c>
      <c r="F173">
        <f t="shared" si="26"/>
        <v>6</v>
      </c>
      <c r="G173">
        <f t="shared" si="27"/>
        <v>2025</v>
      </c>
      <c r="I173" s="17">
        <f t="shared" si="28"/>
        <v>45809</v>
      </c>
      <c r="K173" s="17">
        <v>40940</v>
      </c>
      <c r="L173" t="e">
        <f t="shared" si="22"/>
        <v>#DIV/0!</v>
      </c>
      <c r="M173" s="66" t="e">
        <f t="shared" si="23"/>
        <v>#DIV/0!</v>
      </c>
      <c r="O173">
        <f t="shared" si="24"/>
        <v>0</v>
      </c>
    </row>
    <row r="174" spans="1:15" x14ac:dyDescent="0.3">
      <c r="A174" s="17">
        <v>45813</v>
      </c>
      <c r="B174">
        <v>0.69</v>
      </c>
      <c r="D174">
        <f t="shared" si="25"/>
        <v>5</v>
      </c>
      <c r="E174">
        <v>1</v>
      </c>
      <c r="F174">
        <f t="shared" si="26"/>
        <v>6</v>
      </c>
      <c r="G174">
        <f t="shared" si="27"/>
        <v>2025</v>
      </c>
      <c r="I174" s="17">
        <f t="shared" si="28"/>
        <v>45809</v>
      </c>
      <c r="K174" s="17">
        <v>40909</v>
      </c>
      <c r="L174" t="e">
        <f t="shared" si="22"/>
        <v>#DIV/0!</v>
      </c>
      <c r="M174" s="66" t="e">
        <f t="shared" si="23"/>
        <v>#DIV/0!</v>
      </c>
      <c r="O174">
        <f t="shared" si="24"/>
        <v>0</v>
      </c>
    </row>
    <row r="175" spans="1:15" x14ac:dyDescent="0.3">
      <c r="A175" s="17">
        <v>45812</v>
      </c>
      <c r="B175">
        <v>0.71</v>
      </c>
      <c r="D175">
        <f t="shared" si="25"/>
        <v>4</v>
      </c>
      <c r="E175">
        <v>1</v>
      </c>
      <c r="F175">
        <f t="shared" si="26"/>
        <v>6</v>
      </c>
      <c r="G175">
        <f t="shared" si="27"/>
        <v>2025</v>
      </c>
      <c r="I175" s="17">
        <f t="shared" si="28"/>
        <v>45809</v>
      </c>
      <c r="K175" s="17">
        <v>40878</v>
      </c>
      <c r="L175" t="e">
        <f t="shared" si="22"/>
        <v>#DIV/0!</v>
      </c>
      <c r="M175" s="66" t="e">
        <f t="shared" si="23"/>
        <v>#DIV/0!</v>
      </c>
      <c r="O175">
        <f t="shared" si="24"/>
        <v>1</v>
      </c>
    </row>
    <row r="176" spans="1:15" x14ac:dyDescent="0.3">
      <c r="A176" s="17">
        <v>45811</v>
      </c>
      <c r="B176">
        <v>1.05</v>
      </c>
      <c r="D176">
        <f t="shared" si="25"/>
        <v>3</v>
      </c>
      <c r="E176">
        <v>1</v>
      </c>
      <c r="F176">
        <f t="shared" si="26"/>
        <v>6</v>
      </c>
      <c r="G176">
        <f t="shared" si="27"/>
        <v>2025</v>
      </c>
      <c r="I176" s="17">
        <f t="shared" si="28"/>
        <v>45809</v>
      </c>
      <c r="K176" s="17">
        <v>40848</v>
      </c>
      <c r="L176" t="e">
        <f t="shared" si="22"/>
        <v>#DIV/0!</v>
      </c>
      <c r="M176" s="66" t="e">
        <f t="shared" si="23"/>
        <v>#DIV/0!</v>
      </c>
      <c r="O176">
        <f t="shared" si="24"/>
        <v>1</v>
      </c>
    </row>
    <row r="177" spans="1:15" x14ac:dyDescent="0.3">
      <c r="A177" s="17">
        <v>45810</v>
      </c>
      <c r="B177">
        <v>1.2</v>
      </c>
      <c r="D177">
        <f t="shared" si="25"/>
        <v>2</v>
      </c>
      <c r="E177">
        <v>1</v>
      </c>
      <c r="F177">
        <f t="shared" si="26"/>
        <v>6</v>
      </c>
      <c r="G177">
        <f t="shared" si="27"/>
        <v>2025</v>
      </c>
      <c r="I177" s="17">
        <f t="shared" si="28"/>
        <v>45809</v>
      </c>
      <c r="K177" s="17">
        <v>40817</v>
      </c>
      <c r="L177" t="e">
        <f t="shared" si="22"/>
        <v>#DIV/0!</v>
      </c>
      <c r="M177" s="66" t="e">
        <f t="shared" si="23"/>
        <v>#DIV/0!</v>
      </c>
      <c r="O177">
        <f t="shared" si="24"/>
        <v>1</v>
      </c>
    </row>
    <row r="178" spans="1:15" x14ac:dyDescent="0.3">
      <c r="A178" s="17">
        <v>45807</v>
      </c>
      <c r="B178">
        <v>1.46</v>
      </c>
      <c r="D178">
        <f t="shared" si="25"/>
        <v>30</v>
      </c>
      <c r="E178">
        <v>1</v>
      </c>
      <c r="F178">
        <f t="shared" si="26"/>
        <v>5</v>
      </c>
      <c r="G178">
        <f t="shared" si="27"/>
        <v>2025</v>
      </c>
      <c r="I178" s="17">
        <f t="shared" si="28"/>
        <v>45778</v>
      </c>
      <c r="K178" s="17">
        <v>40787</v>
      </c>
      <c r="L178" t="e">
        <f t="shared" si="22"/>
        <v>#DIV/0!</v>
      </c>
      <c r="M178" s="66" t="e">
        <f t="shared" si="23"/>
        <v>#DIV/0!</v>
      </c>
      <c r="O178">
        <f t="shared" si="24"/>
        <v>0</v>
      </c>
    </row>
    <row r="179" spans="1:15" x14ac:dyDescent="0.3">
      <c r="A179" s="17">
        <v>45806</v>
      </c>
      <c r="B179">
        <v>1.54</v>
      </c>
      <c r="D179">
        <f t="shared" si="25"/>
        <v>29</v>
      </c>
      <c r="E179">
        <v>1</v>
      </c>
      <c r="F179">
        <f t="shared" si="26"/>
        <v>5</v>
      </c>
      <c r="G179">
        <f t="shared" si="27"/>
        <v>2025</v>
      </c>
      <c r="I179" s="17">
        <f t="shared" si="28"/>
        <v>45778</v>
      </c>
      <c r="K179" s="17">
        <v>40756</v>
      </c>
      <c r="L179" t="e">
        <f t="shared" si="22"/>
        <v>#DIV/0!</v>
      </c>
      <c r="M179" s="66" t="e">
        <f t="shared" si="23"/>
        <v>#DIV/0!</v>
      </c>
      <c r="O179">
        <f t="shared" si="24"/>
        <v>0</v>
      </c>
    </row>
    <row r="180" spans="1:15" x14ac:dyDescent="0.3">
      <c r="A180" s="17">
        <v>45805</v>
      </c>
      <c r="B180">
        <v>1.37</v>
      </c>
      <c r="D180">
        <f t="shared" si="25"/>
        <v>28</v>
      </c>
      <c r="E180">
        <v>1</v>
      </c>
      <c r="F180">
        <f t="shared" si="26"/>
        <v>5</v>
      </c>
      <c r="G180">
        <f t="shared" si="27"/>
        <v>2025</v>
      </c>
      <c r="I180" s="17">
        <f t="shared" si="28"/>
        <v>45778</v>
      </c>
      <c r="K180" s="17">
        <v>40725</v>
      </c>
      <c r="L180" t="e">
        <f t="shared" si="22"/>
        <v>#DIV/0!</v>
      </c>
      <c r="M180" s="66" t="e">
        <f t="shared" si="23"/>
        <v>#DIV/0!</v>
      </c>
      <c r="O180">
        <f t="shared" si="24"/>
        <v>0</v>
      </c>
    </row>
    <row r="181" spans="1:15" x14ac:dyDescent="0.3">
      <c r="A181" s="17">
        <v>45804</v>
      </c>
      <c r="B181">
        <v>1.2</v>
      </c>
      <c r="D181">
        <f t="shared" si="25"/>
        <v>27</v>
      </c>
      <c r="E181">
        <v>1</v>
      </c>
      <c r="F181">
        <f t="shared" si="26"/>
        <v>5</v>
      </c>
      <c r="G181">
        <f t="shared" si="27"/>
        <v>2025</v>
      </c>
      <c r="I181" s="17">
        <f t="shared" si="28"/>
        <v>45778</v>
      </c>
      <c r="K181" s="17">
        <v>40695</v>
      </c>
      <c r="L181" t="e">
        <f t="shared" si="22"/>
        <v>#DIV/0!</v>
      </c>
      <c r="M181" s="66" t="e">
        <f t="shared" si="23"/>
        <v>#DIV/0!</v>
      </c>
      <c r="O181">
        <f t="shared" si="24"/>
        <v>0</v>
      </c>
    </row>
    <row r="182" spans="1:15" x14ac:dyDescent="0.3">
      <c r="A182" s="17">
        <v>45803</v>
      </c>
      <c r="B182">
        <v>0.75</v>
      </c>
      <c r="D182">
        <f t="shared" si="25"/>
        <v>26</v>
      </c>
      <c r="E182">
        <v>1</v>
      </c>
      <c r="F182">
        <f t="shared" si="26"/>
        <v>5</v>
      </c>
      <c r="G182">
        <f t="shared" si="27"/>
        <v>2025</v>
      </c>
      <c r="I182" s="17">
        <f t="shared" si="28"/>
        <v>45778</v>
      </c>
      <c r="K182" s="17">
        <v>40664</v>
      </c>
      <c r="L182" t="e">
        <f t="shared" si="22"/>
        <v>#DIV/0!</v>
      </c>
      <c r="M182" s="66" t="e">
        <f t="shared" si="23"/>
        <v>#DIV/0!</v>
      </c>
      <c r="O182">
        <f t="shared" si="24"/>
        <v>0</v>
      </c>
    </row>
    <row r="183" spans="1:15" x14ac:dyDescent="0.3">
      <c r="A183" s="17">
        <v>45800</v>
      </c>
      <c r="B183">
        <v>0.99</v>
      </c>
      <c r="D183">
        <f t="shared" si="25"/>
        <v>23</v>
      </c>
      <c r="E183">
        <v>1</v>
      </c>
      <c r="F183">
        <f t="shared" si="26"/>
        <v>5</v>
      </c>
      <c r="G183">
        <f t="shared" si="27"/>
        <v>2025</v>
      </c>
      <c r="I183" s="17">
        <f t="shared" si="28"/>
        <v>45778</v>
      </c>
      <c r="K183" s="17">
        <v>40634</v>
      </c>
      <c r="L183" t="e">
        <f t="shared" si="22"/>
        <v>#DIV/0!</v>
      </c>
      <c r="M183" s="66" t="e">
        <f t="shared" si="23"/>
        <v>#DIV/0!</v>
      </c>
      <c r="O183">
        <f t="shared" si="24"/>
        <v>0</v>
      </c>
    </row>
    <row r="184" spans="1:15" x14ac:dyDescent="0.3">
      <c r="A184" s="17">
        <v>45799</v>
      </c>
      <c r="B184">
        <v>0.93</v>
      </c>
      <c r="D184">
        <f t="shared" si="25"/>
        <v>22</v>
      </c>
      <c r="E184">
        <v>1</v>
      </c>
      <c r="F184">
        <f t="shared" si="26"/>
        <v>5</v>
      </c>
      <c r="G184">
        <f t="shared" si="27"/>
        <v>2025</v>
      </c>
      <c r="I184" s="17">
        <f t="shared" si="28"/>
        <v>45778</v>
      </c>
      <c r="K184" s="17">
        <v>40603</v>
      </c>
      <c r="L184" t="e">
        <f t="shared" si="22"/>
        <v>#DIV/0!</v>
      </c>
      <c r="M184" s="66" t="e">
        <f t="shared" si="23"/>
        <v>#DIV/0!</v>
      </c>
      <c r="O184">
        <f t="shared" si="24"/>
        <v>0</v>
      </c>
    </row>
    <row r="185" spans="1:15" x14ac:dyDescent="0.3">
      <c r="A185" s="17">
        <v>45798</v>
      </c>
      <c r="B185">
        <v>1.39</v>
      </c>
      <c r="D185">
        <f t="shared" si="25"/>
        <v>21</v>
      </c>
      <c r="E185">
        <v>1</v>
      </c>
      <c r="F185">
        <f t="shared" si="26"/>
        <v>5</v>
      </c>
      <c r="G185">
        <f t="shared" si="27"/>
        <v>2025</v>
      </c>
      <c r="I185" s="17">
        <f t="shared" si="28"/>
        <v>45778</v>
      </c>
      <c r="K185" s="17">
        <v>40575</v>
      </c>
      <c r="L185" t="e">
        <f t="shared" si="22"/>
        <v>#DIV/0!</v>
      </c>
      <c r="M185" s="66" t="e">
        <f t="shared" si="23"/>
        <v>#DIV/0!</v>
      </c>
      <c r="O185">
        <f t="shared" si="24"/>
        <v>0</v>
      </c>
    </row>
    <row r="186" spans="1:15" x14ac:dyDescent="0.3">
      <c r="A186" s="17">
        <v>45797</v>
      </c>
      <c r="B186">
        <v>1.1100000000000001</v>
      </c>
      <c r="D186">
        <f t="shared" si="25"/>
        <v>20</v>
      </c>
      <c r="E186">
        <v>1</v>
      </c>
      <c r="F186">
        <f t="shared" si="26"/>
        <v>5</v>
      </c>
      <c r="G186">
        <f t="shared" si="27"/>
        <v>2025</v>
      </c>
      <c r="I186" s="17">
        <f t="shared" si="28"/>
        <v>45778</v>
      </c>
      <c r="K186" s="17">
        <v>40544</v>
      </c>
      <c r="L186" t="e">
        <f t="shared" si="22"/>
        <v>#DIV/0!</v>
      </c>
      <c r="M186" s="66" t="e">
        <f t="shared" si="23"/>
        <v>#DIV/0!</v>
      </c>
      <c r="O186">
        <f t="shared" si="24"/>
        <v>0</v>
      </c>
    </row>
    <row r="187" spans="1:15" x14ac:dyDescent="0.3">
      <c r="A187" s="17">
        <v>45796</v>
      </c>
      <c r="B187">
        <v>0.93</v>
      </c>
      <c r="D187">
        <f t="shared" si="25"/>
        <v>19</v>
      </c>
      <c r="E187">
        <v>1</v>
      </c>
      <c r="F187">
        <f t="shared" si="26"/>
        <v>5</v>
      </c>
      <c r="G187">
        <f t="shared" si="27"/>
        <v>2025</v>
      </c>
      <c r="I187" s="17">
        <f t="shared" si="28"/>
        <v>45778</v>
      </c>
      <c r="K187" s="17">
        <v>40513</v>
      </c>
      <c r="L187" t="e">
        <f t="shared" si="22"/>
        <v>#DIV/0!</v>
      </c>
      <c r="M187" s="66" t="e">
        <f t="shared" si="23"/>
        <v>#DIV/0!</v>
      </c>
      <c r="O187">
        <f t="shared" si="24"/>
        <v>0</v>
      </c>
    </row>
    <row r="188" spans="1:15" x14ac:dyDescent="0.3">
      <c r="A188" s="17">
        <v>45793</v>
      </c>
      <c r="B188">
        <v>0.93</v>
      </c>
      <c r="D188">
        <f t="shared" si="25"/>
        <v>16</v>
      </c>
      <c r="E188">
        <v>1</v>
      </c>
      <c r="F188">
        <f t="shared" si="26"/>
        <v>5</v>
      </c>
      <c r="G188">
        <f t="shared" si="27"/>
        <v>2025</v>
      </c>
      <c r="I188" s="17">
        <f t="shared" si="28"/>
        <v>45778</v>
      </c>
      <c r="K188" s="17">
        <v>40483</v>
      </c>
      <c r="L188" t="e">
        <f t="shared" si="22"/>
        <v>#DIV/0!</v>
      </c>
      <c r="M188" s="66" t="e">
        <f t="shared" si="23"/>
        <v>#DIV/0!</v>
      </c>
      <c r="O188">
        <f t="shared" si="24"/>
        <v>0</v>
      </c>
    </row>
    <row r="189" spans="1:15" x14ac:dyDescent="0.3">
      <c r="A189" s="17">
        <v>45792</v>
      </c>
      <c r="B189">
        <v>1.05</v>
      </c>
      <c r="D189">
        <f t="shared" si="25"/>
        <v>15</v>
      </c>
      <c r="E189">
        <v>1</v>
      </c>
      <c r="F189">
        <f t="shared" si="26"/>
        <v>5</v>
      </c>
      <c r="G189">
        <f t="shared" si="27"/>
        <v>2025</v>
      </c>
      <c r="I189" s="17">
        <f t="shared" si="28"/>
        <v>45778</v>
      </c>
      <c r="K189" s="17">
        <v>40452</v>
      </c>
      <c r="L189" t="e">
        <f t="shared" si="22"/>
        <v>#DIV/0!</v>
      </c>
      <c r="M189" s="66" t="e">
        <f t="shared" si="23"/>
        <v>#DIV/0!</v>
      </c>
      <c r="O189">
        <f t="shared" si="24"/>
        <v>0</v>
      </c>
    </row>
    <row r="190" spans="1:15" x14ac:dyDescent="0.3">
      <c r="A190" s="17">
        <v>45791</v>
      </c>
      <c r="B190">
        <v>0.42</v>
      </c>
      <c r="D190">
        <f t="shared" si="25"/>
        <v>14</v>
      </c>
      <c r="E190">
        <v>1</v>
      </c>
      <c r="F190">
        <f t="shared" si="26"/>
        <v>5</v>
      </c>
      <c r="G190">
        <f t="shared" si="27"/>
        <v>2025</v>
      </c>
      <c r="I190" s="17">
        <f t="shared" si="28"/>
        <v>45778</v>
      </c>
      <c r="K190" s="17">
        <v>40422</v>
      </c>
      <c r="L190" t="e">
        <f t="shared" si="22"/>
        <v>#DIV/0!</v>
      </c>
      <c r="M190" s="66" t="e">
        <f t="shared" si="23"/>
        <v>#DIV/0!</v>
      </c>
      <c r="O190">
        <f t="shared" si="24"/>
        <v>0</v>
      </c>
    </row>
    <row r="191" spans="1:15" x14ac:dyDescent="0.3">
      <c r="A191" s="17">
        <v>45790</v>
      </c>
      <c r="B191">
        <v>0.71</v>
      </c>
      <c r="D191">
        <f t="shared" si="25"/>
        <v>13</v>
      </c>
      <c r="E191">
        <v>1</v>
      </c>
      <c r="F191">
        <f t="shared" si="26"/>
        <v>5</v>
      </c>
      <c r="G191">
        <f t="shared" si="27"/>
        <v>2025</v>
      </c>
      <c r="I191" s="17">
        <f t="shared" si="28"/>
        <v>45778</v>
      </c>
      <c r="K191" s="17">
        <v>40391</v>
      </c>
      <c r="L191" t="e">
        <f t="shared" si="22"/>
        <v>#DIV/0!</v>
      </c>
      <c r="M191" s="66" t="e">
        <f t="shared" si="23"/>
        <v>#DIV/0!</v>
      </c>
      <c r="O191">
        <f t="shared" si="24"/>
        <v>0</v>
      </c>
    </row>
    <row r="192" spans="1:15" x14ac:dyDescent="0.3">
      <c r="A192" s="17">
        <v>45786</v>
      </c>
      <c r="B192">
        <v>0.83</v>
      </c>
      <c r="D192">
        <f t="shared" si="25"/>
        <v>9</v>
      </c>
      <c r="E192">
        <v>1</v>
      </c>
      <c r="F192">
        <f t="shared" si="26"/>
        <v>5</v>
      </c>
      <c r="G192">
        <f t="shared" si="27"/>
        <v>2025</v>
      </c>
      <c r="I192" s="17">
        <f t="shared" si="28"/>
        <v>45778</v>
      </c>
      <c r="K192" s="17">
        <v>40360</v>
      </c>
      <c r="L192" t="e">
        <f t="shared" si="22"/>
        <v>#DIV/0!</v>
      </c>
      <c r="M192" s="66" t="e">
        <f t="shared" si="23"/>
        <v>#DIV/0!</v>
      </c>
      <c r="O192">
        <f t="shared" si="24"/>
        <v>0</v>
      </c>
    </row>
    <row r="193" spans="1:15" x14ac:dyDescent="0.3">
      <c r="A193" s="17">
        <v>45785</v>
      </c>
      <c r="B193">
        <v>0.77</v>
      </c>
      <c r="D193">
        <f t="shared" si="25"/>
        <v>8</v>
      </c>
      <c r="E193">
        <v>1</v>
      </c>
      <c r="F193">
        <f t="shared" si="26"/>
        <v>5</v>
      </c>
      <c r="G193">
        <f t="shared" si="27"/>
        <v>2025</v>
      </c>
      <c r="I193" s="17">
        <f t="shared" si="28"/>
        <v>45778</v>
      </c>
      <c r="K193" s="17">
        <v>40330</v>
      </c>
      <c r="L193" t="e">
        <f t="shared" si="22"/>
        <v>#DIV/0!</v>
      </c>
      <c r="M193" s="66" t="e">
        <f t="shared" si="23"/>
        <v>#DIV/0!</v>
      </c>
      <c r="O193">
        <f t="shared" si="24"/>
        <v>0</v>
      </c>
    </row>
    <row r="194" spans="1:15" x14ac:dyDescent="0.3">
      <c r="A194" s="17">
        <v>45784</v>
      </c>
      <c r="B194">
        <v>0.89</v>
      </c>
      <c r="D194">
        <f t="shared" si="25"/>
        <v>7</v>
      </c>
      <c r="E194">
        <v>1</v>
      </c>
      <c r="F194">
        <f t="shared" si="26"/>
        <v>5</v>
      </c>
      <c r="G194">
        <f t="shared" si="27"/>
        <v>2025</v>
      </c>
      <c r="I194" s="17">
        <f t="shared" si="28"/>
        <v>45778</v>
      </c>
      <c r="K194" s="17">
        <v>40299</v>
      </c>
      <c r="L194" t="e">
        <f t="shared" si="22"/>
        <v>#DIV/0!</v>
      </c>
      <c r="M194" s="66" t="e">
        <f t="shared" si="23"/>
        <v>#DIV/0!</v>
      </c>
      <c r="O194">
        <f t="shared" si="24"/>
        <v>0</v>
      </c>
    </row>
    <row r="195" spans="1:15" x14ac:dyDescent="0.3">
      <c r="A195" s="17">
        <v>45783</v>
      </c>
      <c r="B195">
        <v>0.6</v>
      </c>
      <c r="D195">
        <f t="shared" si="25"/>
        <v>6</v>
      </c>
      <c r="E195">
        <v>1</v>
      </c>
      <c r="F195">
        <f t="shared" si="26"/>
        <v>5</v>
      </c>
      <c r="G195">
        <f t="shared" si="27"/>
        <v>2025</v>
      </c>
      <c r="I195" s="17">
        <f t="shared" si="28"/>
        <v>45778</v>
      </c>
      <c r="K195" s="17">
        <v>40269</v>
      </c>
      <c r="L195" t="e">
        <f t="shared" si="22"/>
        <v>#DIV/0!</v>
      </c>
      <c r="M195" s="66" t="e">
        <f t="shared" si="23"/>
        <v>#DIV/0!</v>
      </c>
      <c r="O195">
        <f t="shared" si="24"/>
        <v>0</v>
      </c>
    </row>
    <row r="196" spans="1:15" x14ac:dyDescent="0.3">
      <c r="A196" s="17">
        <v>45782</v>
      </c>
      <c r="B196">
        <v>0.23</v>
      </c>
      <c r="D196">
        <f t="shared" si="25"/>
        <v>5</v>
      </c>
      <c r="E196">
        <v>1</v>
      </c>
      <c r="F196">
        <f t="shared" si="26"/>
        <v>5</v>
      </c>
      <c r="G196">
        <f t="shared" si="27"/>
        <v>2025</v>
      </c>
      <c r="I196" s="17">
        <f t="shared" si="28"/>
        <v>45778</v>
      </c>
      <c r="K196" s="17">
        <v>40238</v>
      </c>
      <c r="L196" t="e">
        <f t="shared" si="22"/>
        <v>#DIV/0!</v>
      </c>
      <c r="M196" s="66" t="e">
        <f t="shared" si="23"/>
        <v>#DIV/0!</v>
      </c>
      <c r="O196">
        <f t="shared" si="24"/>
        <v>0</v>
      </c>
    </row>
    <row r="197" spans="1:15" x14ac:dyDescent="0.3">
      <c r="A197" s="17">
        <v>45779</v>
      </c>
      <c r="B197">
        <v>0.28000000000000003</v>
      </c>
      <c r="D197">
        <f t="shared" si="25"/>
        <v>2</v>
      </c>
      <c r="E197">
        <v>1</v>
      </c>
      <c r="F197">
        <f t="shared" si="26"/>
        <v>5</v>
      </c>
      <c r="G197">
        <f t="shared" si="27"/>
        <v>2025</v>
      </c>
      <c r="I197" s="17">
        <f t="shared" si="28"/>
        <v>45778</v>
      </c>
      <c r="K197" s="17">
        <v>40210</v>
      </c>
      <c r="L197" t="e">
        <f t="shared" si="22"/>
        <v>#DIV/0!</v>
      </c>
      <c r="M197" s="66" t="e">
        <f t="shared" si="23"/>
        <v>#DIV/0!</v>
      </c>
      <c r="O197">
        <f t="shared" si="24"/>
        <v>1</v>
      </c>
    </row>
    <row r="198" spans="1:15" x14ac:dyDescent="0.3">
      <c r="A198" s="17">
        <v>45777</v>
      </c>
      <c r="B198">
        <v>0</v>
      </c>
      <c r="D198">
        <f t="shared" si="25"/>
        <v>30</v>
      </c>
      <c r="E198">
        <v>1</v>
      </c>
      <c r="F198">
        <f t="shared" si="26"/>
        <v>4</v>
      </c>
      <c r="G198">
        <f t="shared" si="27"/>
        <v>2025</v>
      </c>
      <c r="I198" s="17">
        <f t="shared" si="28"/>
        <v>45748</v>
      </c>
      <c r="K198" s="17">
        <v>40179</v>
      </c>
      <c r="L198" t="e">
        <f t="shared" si="22"/>
        <v>#DIV/0!</v>
      </c>
      <c r="M198" s="66" t="e">
        <f t="shared" si="23"/>
        <v>#DIV/0!</v>
      </c>
      <c r="O198">
        <f t="shared" si="24"/>
        <v>0</v>
      </c>
    </row>
    <row r="199" spans="1:15" x14ac:dyDescent="0.3">
      <c r="A199" s="17">
        <v>45776</v>
      </c>
      <c r="B199">
        <v>-0.2</v>
      </c>
      <c r="D199">
        <f t="shared" si="25"/>
        <v>29</v>
      </c>
      <c r="E199">
        <v>1</v>
      </c>
      <c r="F199">
        <f t="shared" si="26"/>
        <v>4</v>
      </c>
      <c r="G199">
        <f t="shared" si="27"/>
        <v>2025</v>
      </c>
      <c r="I199" s="17">
        <f t="shared" si="28"/>
        <v>45748</v>
      </c>
      <c r="K199" s="17">
        <v>40148</v>
      </c>
      <c r="L199" t="e">
        <f t="shared" ref="L199:L262" si="29">+AVERAGEIFS($B$6:$B$928,$I$6:$I$928,$K199)</f>
        <v>#DIV/0!</v>
      </c>
      <c r="M199" s="66" t="e">
        <f t="shared" ref="M199:M262" si="30">+AVERAGEIFS($B$6:$B$928,$I$6:$I$928,$K199,$O$6:$O$928,1)</f>
        <v>#DIV/0!</v>
      </c>
      <c r="O199">
        <f t="shared" ref="O199:O262" si="31">IF(AND(D199&gt;=1, D199&lt;=4), 1, 0)</f>
        <v>0</v>
      </c>
    </row>
    <row r="200" spans="1:15" x14ac:dyDescent="0.3">
      <c r="A200" s="17">
        <v>45775</v>
      </c>
      <c r="B200">
        <v>0.49</v>
      </c>
      <c r="D200">
        <f t="shared" si="25"/>
        <v>28</v>
      </c>
      <c r="E200">
        <v>1</v>
      </c>
      <c r="F200">
        <f t="shared" si="26"/>
        <v>4</v>
      </c>
      <c r="G200">
        <f t="shared" si="27"/>
        <v>2025</v>
      </c>
      <c r="I200" s="17">
        <f t="shared" si="28"/>
        <v>45748</v>
      </c>
      <c r="K200" s="17">
        <v>40118</v>
      </c>
      <c r="L200" t="e">
        <f t="shared" si="29"/>
        <v>#DIV/0!</v>
      </c>
      <c r="M200" s="66" t="e">
        <f t="shared" si="30"/>
        <v>#DIV/0!</v>
      </c>
      <c r="O200">
        <f t="shared" si="31"/>
        <v>0</v>
      </c>
    </row>
    <row r="201" spans="1:15" x14ac:dyDescent="0.3">
      <c r="A201" s="17">
        <v>45772</v>
      </c>
      <c r="B201">
        <v>0.71</v>
      </c>
      <c r="D201">
        <f t="shared" si="25"/>
        <v>25</v>
      </c>
      <c r="E201">
        <v>1</v>
      </c>
      <c r="F201">
        <f t="shared" si="26"/>
        <v>4</v>
      </c>
      <c r="G201">
        <f t="shared" si="27"/>
        <v>2025</v>
      </c>
      <c r="I201" s="17">
        <f t="shared" si="28"/>
        <v>45748</v>
      </c>
      <c r="K201" s="17">
        <v>40087</v>
      </c>
      <c r="L201" t="e">
        <f t="shared" si="29"/>
        <v>#DIV/0!</v>
      </c>
      <c r="M201" s="66" t="e">
        <f t="shared" si="30"/>
        <v>#DIV/0!</v>
      </c>
      <c r="O201">
        <f t="shared" si="31"/>
        <v>0</v>
      </c>
    </row>
    <row r="202" spans="1:15" x14ac:dyDescent="0.3">
      <c r="A202" s="17">
        <v>45771</v>
      </c>
      <c r="B202">
        <v>1.1000000000000001</v>
      </c>
      <c r="D202">
        <f t="shared" si="25"/>
        <v>24</v>
      </c>
      <c r="E202">
        <v>1</v>
      </c>
      <c r="F202">
        <f t="shared" si="26"/>
        <v>4</v>
      </c>
      <c r="G202">
        <f t="shared" si="27"/>
        <v>2025</v>
      </c>
      <c r="I202" s="17">
        <f t="shared" si="28"/>
        <v>45748</v>
      </c>
      <c r="K202" s="17">
        <v>40057</v>
      </c>
      <c r="L202" t="e">
        <f t="shared" si="29"/>
        <v>#DIV/0!</v>
      </c>
      <c r="M202" s="66" t="e">
        <f t="shared" si="30"/>
        <v>#DIV/0!</v>
      </c>
      <c r="O202">
        <f t="shared" si="31"/>
        <v>0</v>
      </c>
    </row>
    <row r="203" spans="1:15" x14ac:dyDescent="0.3">
      <c r="A203" s="17">
        <v>45770</v>
      </c>
      <c r="B203">
        <v>1.03</v>
      </c>
      <c r="D203">
        <f t="shared" si="25"/>
        <v>23</v>
      </c>
      <c r="E203">
        <v>1</v>
      </c>
      <c r="F203">
        <f t="shared" si="26"/>
        <v>4</v>
      </c>
      <c r="G203">
        <f t="shared" si="27"/>
        <v>2025</v>
      </c>
      <c r="I203" s="17">
        <f t="shared" si="28"/>
        <v>45748</v>
      </c>
      <c r="K203" s="17">
        <v>40026</v>
      </c>
      <c r="L203" t="e">
        <f t="shared" si="29"/>
        <v>#DIV/0!</v>
      </c>
      <c r="M203" s="66" t="e">
        <f t="shared" si="30"/>
        <v>#DIV/0!</v>
      </c>
      <c r="O203">
        <f t="shared" si="31"/>
        <v>0</v>
      </c>
    </row>
    <row r="204" spans="1:15" x14ac:dyDescent="0.3">
      <c r="A204" s="17">
        <v>45769</v>
      </c>
      <c r="B204">
        <v>1.1299999999999999</v>
      </c>
      <c r="D204">
        <f t="shared" si="25"/>
        <v>22</v>
      </c>
      <c r="E204">
        <v>1</v>
      </c>
      <c r="F204">
        <f t="shared" si="26"/>
        <v>4</v>
      </c>
      <c r="G204">
        <f t="shared" si="27"/>
        <v>2025</v>
      </c>
      <c r="I204" s="17">
        <f t="shared" si="28"/>
        <v>45748</v>
      </c>
      <c r="K204" s="17">
        <v>39995</v>
      </c>
      <c r="L204" t="e">
        <f t="shared" si="29"/>
        <v>#DIV/0!</v>
      </c>
      <c r="M204" s="66" t="e">
        <f t="shared" si="30"/>
        <v>#DIV/0!</v>
      </c>
      <c r="O204">
        <f t="shared" si="31"/>
        <v>0</v>
      </c>
    </row>
    <row r="205" spans="1:15" x14ac:dyDescent="0.3">
      <c r="A205" s="17">
        <v>45768</v>
      </c>
      <c r="B205">
        <v>1.21</v>
      </c>
      <c r="D205">
        <f t="shared" si="25"/>
        <v>21</v>
      </c>
      <c r="E205">
        <v>1</v>
      </c>
      <c r="F205">
        <f t="shared" si="26"/>
        <v>4</v>
      </c>
      <c r="G205">
        <f t="shared" si="27"/>
        <v>2025</v>
      </c>
      <c r="I205" s="17">
        <f t="shared" si="28"/>
        <v>45748</v>
      </c>
      <c r="K205" s="17">
        <v>39965</v>
      </c>
      <c r="L205" t="e">
        <f t="shared" si="29"/>
        <v>#DIV/0!</v>
      </c>
      <c r="M205" s="66" t="e">
        <f t="shared" si="30"/>
        <v>#DIV/0!</v>
      </c>
      <c r="O205">
        <f t="shared" si="31"/>
        <v>0</v>
      </c>
    </row>
    <row r="206" spans="1:15" x14ac:dyDescent="0.3">
      <c r="A206" s="17">
        <v>45764</v>
      </c>
      <c r="B206">
        <v>1.1200000000000001</v>
      </c>
      <c r="D206">
        <f t="shared" si="25"/>
        <v>17</v>
      </c>
      <c r="E206">
        <v>1</v>
      </c>
      <c r="F206">
        <f t="shared" si="26"/>
        <v>4</v>
      </c>
      <c r="G206">
        <f t="shared" si="27"/>
        <v>2025</v>
      </c>
      <c r="I206" s="17">
        <f t="shared" si="28"/>
        <v>45748</v>
      </c>
      <c r="K206" s="17">
        <v>39934</v>
      </c>
      <c r="L206" t="e">
        <f t="shared" si="29"/>
        <v>#DIV/0!</v>
      </c>
      <c r="M206" s="66" t="e">
        <f t="shared" si="30"/>
        <v>#DIV/0!</v>
      </c>
      <c r="O206">
        <f t="shared" si="31"/>
        <v>0</v>
      </c>
    </row>
    <row r="207" spans="1:15" x14ac:dyDescent="0.3">
      <c r="A207" s="17">
        <v>45763</v>
      </c>
      <c r="B207">
        <v>1.1599999999999999</v>
      </c>
      <c r="D207">
        <f t="shared" ref="D207:D270" si="32">+DAY(A207)</f>
        <v>16</v>
      </c>
      <c r="E207">
        <v>1</v>
      </c>
      <c r="F207">
        <f t="shared" ref="F207:F270" si="33">+MONTH(A207)</f>
        <v>4</v>
      </c>
      <c r="G207">
        <f t="shared" ref="G207:G270" si="34">+YEAR(A207)</f>
        <v>2025</v>
      </c>
      <c r="I207" s="17">
        <f t="shared" ref="I207:I270" si="35">+DATE(G207,F207,E207)</f>
        <v>45748</v>
      </c>
      <c r="K207" s="17">
        <v>39904</v>
      </c>
      <c r="L207" t="e">
        <f t="shared" si="29"/>
        <v>#DIV/0!</v>
      </c>
      <c r="M207" s="66" t="e">
        <f t="shared" si="30"/>
        <v>#DIV/0!</v>
      </c>
      <c r="O207">
        <f t="shared" si="31"/>
        <v>0</v>
      </c>
    </row>
    <row r="208" spans="1:15" x14ac:dyDescent="0.3">
      <c r="A208" s="17">
        <v>45762</v>
      </c>
      <c r="B208">
        <v>0.96</v>
      </c>
      <c r="D208">
        <f t="shared" si="32"/>
        <v>15</v>
      </c>
      <c r="E208">
        <v>1</v>
      </c>
      <c r="F208">
        <f t="shared" si="33"/>
        <v>4</v>
      </c>
      <c r="G208">
        <f t="shared" si="34"/>
        <v>2025</v>
      </c>
      <c r="I208" s="17">
        <f t="shared" si="35"/>
        <v>45748</v>
      </c>
      <c r="K208" s="17">
        <v>39873</v>
      </c>
      <c r="L208" t="e">
        <f t="shared" si="29"/>
        <v>#DIV/0!</v>
      </c>
      <c r="M208" s="66" t="e">
        <f t="shared" si="30"/>
        <v>#DIV/0!</v>
      </c>
      <c r="O208">
        <f t="shared" si="31"/>
        <v>0</v>
      </c>
    </row>
    <row r="209" spans="1:15" x14ac:dyDescent="0.3">
      <c r="A209" s="17">
        <v>45761</v>
      </c>
      <c r="B209">
        <v>0.7</v>
      </c>
      <c r="D209">
        <f t="shared" si="32"/>
        <v>14</v>
      </c>
      <c r="E209">
        <v>1</v>
      </c>
      <c r="F209">
        <f t="shared" si="33"/>
        <v>4</v>
      </c>
      <c r="G209">
        <f t="shared" si="34"/>
        <v>2025</v>
      </c>
      <c r="I209" s="17">
        <f t="shared" si="35"/>
        <v>45748</v>
      </c>
      <c r="K209" s="17">
        <v>39845</v>
      </c>
      <c r="L209" t="e">
        <f t="shared" si="29"/>
        <v>#DIV/0!</v>
      </c>
      <c r="M209" s="66" t="e">
        <f t="shared" si="30"/>
        <v>#DIV/0!</v>
      </c>
      <c r="O209">
        <f t="shared" si="31"/>
        <v>0</v>
      </c>
    </row>
    <row r="210" spans="1:15" x14ac:dyDescent="0.3">
      <c r="A210" s="17">
        <v>45758</v>
      </c>
      <c r="B210">
        <v>0.59</v>
      </c>
      <c r="D210">
        <f t="shared" si="32"/>
        <v>11</v>
      </c>
      <c r="E210">
        <v>1</v>
      </c>
      <c r="F210">
        <f t="shared" si="33"/>
        <v>4</v>
      </c>
      <c r="G210">
        <f t="shared" si="34"/>
        <v>2025</v>
      </c>
      <c r="I210" s="17">
        <f t="shared" si="35"/>
        <v>45748</v>
      </c>
      <c r="K210" s="17">
        <v>39814</v>
      </c>
      <c r="L210" t="e">
        <f t="shared" si="29"/>
        <v>#DIV/0!</v>
      </c>
      <c r="M210" s="66" t="e">
        <f t="shared" si="30"/>
        <v>#DIV/0!</v>
      </c>
      <c r="O210">
        <f t="shared" si="31"/>
        <v>0</v>
      </c>
    </row>
    <row r="211" spans="1:15" x14ac:dyDescent="0.3">
      <c r="A211" s="17">
        <v>45757</v>
      </c>
      <c r="B211">
        <v>0.76</v>
      </c>
      <c r="D211">
        <f t="shared" si="32"/>
        <v>10</v>
      </c>
      <c r="E211">
        <v>1</v>
      </c>
      <c r="F211">
        <f t="shared" si="33"/>
        <v>4</v>
      </c>
      <c r="G211">
        <f t="shared" si="34"/>
        <v>2025</v>
      </c>
      <c r="I211" s="17">
        <f t="shared" si="35"/>
        <v>45748</v>
      </c>
      <c r="K211" s="17">
        <v>39783</v>
      </c>
      <c r="L211" t="e">
        <f t="shared" si="29"/>
        <v>#DIV/0!</v>
      </c>
      <c r="M211" s="66" t="e">
        <f t="shared" si="30"/>
        <v>#DIV/0!</v>
      </c>
      <c r="O211">
        <f t="shared" si="31"/>
        <v>0</v>
      </c>
    </row>
    <row r="212" spans="1:15" x14ac:dyDescent="0.3">
      <c r="A212" s="17">
        <v>45756</v>
      </c>
      <c r="B212">
        <v>0.4</v>
      </c>
      <c r="D212">
        <f t="shared" si="32"/>
        <v>9</v>
      </c>
      <c r="E212">
        <v>1</v>
      </c>
      <c r="F212">
        <f t="shared" si="33"/>
        <v>4</v>
      </c>
      <c r="G212">
        <f t="shared" si="34"/>
        <v>2025</v>
      </c>
      <c r="I212" s="17">
        <f t="shared" si="35"/>
        <v>45748</v>
      </c>
      <c r="K212" s="17">
        <v>39753</v>
      </c>
      <c r="L212" t="e">
        <f t="shared" si="29"/>
        <v>#DIV/0!</v>
      </c>
      <c r="M212" s="66" t="e">
        <f t="shared" si="30"/>
        <v>#DIV/0!</v>
      </c>
      <c r="O212">
        <f t="shared" si="31"/>
        <v>0</v>
      </c>
    </row>
    <row r="213" spans="1:15" x14ac:dyDescent="0.3">
      <c r="A213" s="17">
        <v>45755</v>
      </c>
      <c r="B213">
        <v>0.39</v>
      </c>
      <c r="D213">
        <f t="shared" si="32"/>
        <v>8</v>
      </c>
      <c r="E213">
        <v>1</v>
      </c>
      <c r="F213">
        <f t="shared" si="33"/>
        <v>4</v>
      </c>
      <c r="G213">
        <f t="shared" si="34"/>
        <v>2025</v>
      </c>
      <c r="I213" s="17">
        <f t="shared" si="35"/>
        <v>45748</v>
      </c>
      <c r="K213" s="17">
        <v>39722</v>
      </c>
      <c r="L213" t="e">
        <f t="shared" si="29"/>
        <v>#DIV/0!</v>
      </c>
      <c r="M213" s="66" t="e">
        <f t="shared" si="30"/>
        <v>#DIV/0!</v>
      </c>
      <c r="O213">
        <f t="shared" si="31"/>
        <v>0</v>
      </c>
    </row>
    <row r="214" spans="1:15" x14ac:dyDescent="0.3">
      <c r="A214" s="17">
        <v>45754</v>
      </c>
      <c r="B214">
        <v>0.52</v>
      </c>
      <c r="D214">
        <f t="shared" si="32"/>
        <v>7</v>
      </c>
      <c r="E214">
        <v>1</v>
      </c>
      <c r="F214">
        <f t="shared" si="33"/>
        <v>4</v>
      </c>
      <c r="G214">
        <f t="shared" si="34"/>
        <v>2025</v>
      </c>
      <c r="I214" s="17">
        <f t="shared" si="35"/>
        <v>45748</v>
      </c>
      <c r="K214" s="17">
        <v>39692</v>
      </c>
      <c r="L214" t="e">
        <f t="shared" si="29"/>
        <v>#DIV/0!</v>
      </c>
      <c r="M214" s="66" t="e">
        <f t="shared" si="30"/>
        <v>#DIV/0!</v>
      </c>
      <c r="O214">
        <f t="shared" si="31"/>
        <v>0</v>
      </c>
    </row>
    <row r="215" spans="1:15" x14ac:dyDescent="0.3">
      <c r="A215" s="17">
        <v>45751</v>
      </c>
      <c r="B215">
        <v>1.4</v>
      </c>
      <c r="D215">
        <f t="shared" si="32"/>
        <v>4</v>
      </c>
      <c r="E215">
        <v>1</v>
      </c>
      <c r="F215">
        <f t="shared" si="33"/>
        <v>4</v>
      </c>
      <c r="G215">
        <f t="shared" si="34"/>
        <v>2025</v>
      </c>
      <c r="I215" s="17">
        <f t="shared" si="35"/>
        <v>45748</v>
      </c>
      <c r="K215" s="17">
        <v>39661</v>
      </c>
      <c r="L215" t="e">
        <f t="shared" si="29"/>
        <v>#DIV/0!</v>
      </c>
      <c r="M215" s="66" t="e">
        <f t="shared" si="30"/>
        <v>#DIV/0!</v>
      </c>
      <c r="O215">
        <f t="shared" si="31"/>
        <v>1</v>
      </c>
    </row>
    <row r="216" spans="1:15" x14ac:dyDescent="0.3">
      <c r="A216" s="17">
        <v>45750</v>
      </c>
      <c r="B216">
        <v>1.68</v>
      </c>
      <c r="D216">
        <f t="shared" si="32"/>
        <v>3</v>
      </c>
      <c r="E216">
        <v>1</v>
      </c>
      <c r="F216">
        <f t="shared" si="33"/>
        <v>4</v>
      </c>
      <c r="G216">
        <f t="shared" si="34"/>
        <v>2025</v>
      </c>
      <c r="I216" s="17">
        <f t="shared" si="35"/>
        <v>45748</v>
      </c>
      <c r="K216" s="17">
        <v>39630</v>
      </c>
      <c r="L216" t="e">
        <f t="shared" si="29"/>
        <v>#DIV/0!</v>
      </c>
      <c r="M216" s="66" t="e">
        <f t="shared" si="30"/>
        <v>#DIV/0!</v>
      </c>
      <c r="O216">
        <f t="shared" si="31"/>
        <v>1</v>
      </c>
    </row>
    <row r="217" spans="1:15" x14ac:dyDescent="0.3">
      <c r="A217" s="17">
        <v>45749</v>
      </c>
      <c r="B217">
        <v>1.36</v>
      </c>
      <c r="D217">
        <f t="shared" si="32"/>
        <v>2</v>
      </c>
      <c r="E217">
        <v>1</v>
      </c>
      <c r="F217">
        <f t="shared" si="33"/>
        <v>4</v>
      </c>
      <c r="G217">
        <f t="shared" si="34"/>
        <v>2025</v>
      </c>
      <c r="I217" s="17">
        <f t="shared" si="35"/>
        <v>45748</v>
      </c>
      <c r="K217" s="17">
        <v>39600</v>
      </c>
      <c r="L217" t="e">
        <f t="shared" si="29"/>
        <v>#DIV/0!</v>
      </c>
      <c r="M217" s="66" t="e">
        <f t="shared" si="30"/>
        <v>#DIV/0!</v>
      </c>
      <c r="O217">
        <f t="shared" si="31"/>
        <v>1</v>
      </c>
    </row>
    <row r="218" spans="1:15" x14ac:dyDescent="0.3">
      <c r="A218" s="17">
        <v>45748</v>
      </c>
      <c r="B218">
        <v>1.03</v>
      </c>
      <c r="D218">
        <f t="shared" si="32"/>
        <v>1</v>
      </c>
      <c r="E218">
        <v>1</v>
      </c>
      <c r="F218">
        <f t="shared" si="33"/>
        <v>4</v>
      </c>
      <c r="G218">
        <f t="shared" si="34"/>
        <v>2025</v>
      </c>
      <c r="I218" s="17">
        <f t="shared" si="35"/>
        <v>45748</v>
      </c>
      <c r="K218" s="17">
        <v>39569</v>
      </c>
      <c r="L218" t="e">
        <f t="shared" si="29"/>
        <v>#DIV/0!</v>
      </c>
      <c r="M218" s="66" t="e">
        <f t="shared" si="30"/>
        <v>#DIV/0!</v>
      </c>
      <c r="O218">
        <f t="shared" si="31"/>
        <v>1</v>
      </c>
    </row>
    <row r="219" spans="1:15" x14ac:dyDescent="0.3">
      <c r="A219" s="17">
        <v>45744</v>
      </c>
      <c r="B219">
        <v>1.37</v>
      </c>
      <c r="D219">
        <f t="shared" si="32"/>
        <v>28</v>
      </c>
      <c r="E219">
        <v>1</v>
      </c>
      <c r="F219">
        <f t="shared" si="33"/>
        <v>3</v>
      </c>
      <c r="G219">
        <f t="shared" si="34"/>
        <v>2025</v>
      </c>
      <c r="I219" s="17">
        <f t="shared" si="35"/>
        <v>45717</v>
      </c>
      <c r="K219" s="17">
        <v>39539</v>
      </c>
      <c r="L219" t="e">
        <f t="shared" si="29"/>
        <v>#DIV/0!</v>
      </c>
      <c r="M219" s="66" t="e">
        <f t="shared" si="30"/>
        <v>#DIV/0!</v>
      </c>
      <c r="O219">
        <f t="shared" si="31"/>
        <v>0</v>
      </c>
    </row>
    <row r="220" spans="1:15" x14ac:dyDescent="0.3">
      <c r="A220" s="17">
        <v>45743</v>
      </c>
      <c r="B220">
        <v>0.73</v>
      </c>
      <c r="D220">
        <f t="shared" si="32"/>
        <v>27</v>
      </c>
      <c r="E220">
        <v>1</v>
      </c>
      <c r="F220">
        <f t="shared" si="33"/>
        <v>3</v>
      </c>
      <c r="G220">
        <f t="shared" si="34"/>
        <v>2025</v>
      </c>
      <c r="I220" s="17">
        <f t="shared" si="35"/>
        <v>45717</v>
      </c>
      <c r="K220" s="17">
        <v>39508</v>
      </c>
      <c r="L220" t="e">
        <f t="shared" si="29"/>
        <v>#DIV/0!</v>
      </c>
      <c r="M220" s="66" t="e">
        <f t="shared" si="30"/>
        <v>#DIV/0!</v>
      </c>
      <c r="O220">
        <f t="shared" si="31"/>
        <v>0</v>
      </c>
    </row>
    <row r="221" spans="1:15" x14ac:dyDescent="0.3">
      <c r="A221" s="17">
        <v>45742</v>
      </c>
      <c r="B221">
        <v>0.89</v>
      </c>
      <c r="D221">
        <f t="shared" si="32"/>
        <v>26</v>
      </c>
      <c r="E221">
        <v>1</v>
      </c>
      <c r="F221">
        <f t="shared" si="33"/>
        <v>3</v>
      </c>
      <c r="G221">
        <f t="shared" si="34"/>
        <v>2025</v>
      </c>
      <c r="I221" s="17">
        <f t="shared" si="35"/>
        <v>45717</v>
      </c>
      <c r="K221" s="17">
        <v>39479</v>
      </c>
      <c r="L221" t="e">
        <f t="shared" si="29"/>
        <v>#DIV/0!</v>
      </c>
      <c r="M221" s="66" t="e">
        <f t="shared" si="30"/>
        <v>#DIV/0!</v>
      </c>
      <c r="O221">
        <f t="shared" si="31"/>
        <v>0</v>
      </c>
    </row>
    <row r="222" spans="1:15" x14ac:dyDescent="0.3">
      <c r="A222" s="17">
        <v>45741</v>
      </c>
      <c r="B222">
        <v>0.72</v>
      </c>
      <c r="D222">
        <f t="shared" si="32"/>
        <v>25</v>
      </c>
      <c r="E222">
        <v>1</v>
      </c>
      <c r="F222">
        <f t="shared" si="33"/>
        <v>3</v>
      </c>
      <c r="G222">
        <f t="shared" si="34"/>
        <v>2025</v>
      </c>
      <c r="I222" s="17">
        <f t="shared" si="35"/>
        <v>45717</v>
      </c>
      <c r="K222" s="17">
        <v>39448</v>
      </c>
      <c r="L222" t="e">
        <f t="shared" si="29"/>
        <v>#DIV/0!</v>
      </c>
      <c r="M222" s="66" t="e">
        <f t="shared" si="30"/>
        <v>#DIV/0!</v>
      </c>
      <c r="O222">
        <f t="shared" si="31"/>
        <v>0</v>
      </c>
    </row>
    <row r="223" spans="1:15" x14ac:dyDescent="0.3">
      <c r="A223" s="17">
        <v>45740</v>
      </c>
      <c r="B223">
        <v>0.27</v>
      </c>
      <c r="D223">
        <f t="shared" si="32"/>
        <v>24</v>
      </c>
      <c r="E223">
        <v>1</v>
      </c>
      <c r="F223">
        <f t="shared" si="33"/>
        <v>3</v>
      </c>
      <c r="G223">
        <f t="shared" si="34"/>
        <v>2025</v>
      </c>
      <c r="I223" s="17">
        <f t="shared" si="35"/>
        <v>45717</v>
      </c>
      <c r="K223" s="17">
        <v>39417</v>
      </c>
      <c r="L223" t="e">
        <f t="shared" si="29"/>
        <v>#DIV/0!</v>
      </c>
      <c r="M223" s="66" t="e">
        <f t="shared" si="30"/>
        <v>#DIV/0!</v>
      </c>
      <c r="O223">
        <f t="shared" si="31"/>
        <v>0</v>
      </c>
    </row>
    <row r="224" spans="1:15" x14ac:dyDescent="0.3">
      <c r="A224" s="17">
        <v>45737</v>
      </c>
      <c r="B224">
        <v>0.71</v>
      </c>
      <c r="D224">
        <f t="shared" si="32"/>
        <v>21</v>
      </c>
      <c r="E224">
        <v>1</v>
      </c>
      <c r="F224">
        <f t="shared" si="33"/>
        <v>3</v>
      </c>
      <c r="G224">
        <f t="shared" si="34"/>
        <v>2025</v>
      </c>
      <c r="I224" s="17">
        <f t="shared" si="35"/>
        <v>45717</v>
      </c>
      <c r="K224" s="17">
        <v>39387</v>
      </c>
      <c r="L224" t="e">
        <f t="shared" si="29"/>
        <v>#DIV/0!</v>
      </c>
      <c r="M224" s="66" t="e">
        <f t="shared" si="30"/>
        <v>#DIV/0!</v>
      </c>
      <c r="O224">
        <f t="shared" si="31"/>
        <v>0</v>
      </c>
    </row>
    <row r="225" spans="1:15" x14ac:dyDescent="0.3">
      <c r="A225" s="17">
        <v>45736</v>
      </c>
      <c r="B225">
        <v>0.63</v>
      </c>
      <c r="D225">
        <f t="shared" si="32"/>
        <v>20</v>
      </c>
      <c r="E225">
        <v>1</v>
      </c>
      <c r="F225">
        <f t="shared" si="33"/>
        <v>3</v>
      </c>
      <c r="G225">
        <f t="shared" si="34"/>
        <v>2025</v>
      </c>
      <c r="I225" s="17">
        <f t="shared" si="35"/>
        <v>45717</v>
      </c>
      <c r="K225" s="17">
        <v>39356</v>
      </c>
      <c r="L225" t="e">
        <f t="shared" si="29"/>
        <v>#DIV/0!</v>
      </c>
      <c r="M225" s="66" t="e">
        <f t="shared" si="30"/>
        <v>#DIV/0!</v>
      </c>
      <c r="O225">
        <f t="shared" si="31"/>
        <v>0</v>
      </c>
    </row>
    <row r="226" spans="1:15" x14ac:dyDescent="0.3">
      <c r="A226" s="17">
        <v>45735</v>
      </c>
      <c r="B226">
        <v>0.84</v>
      </c>
      <c r="D226">
        <f t="shared" si="32"/>
        <v>19</v>
      </c>
      <c r="E226">
        <v>1</v>
      </c>
      <c r="F226">
        <f t="shared" si="33"/>
        <v>3</v>
      </c>
      <c r="G226">
        <f t="shared" si="34"/>
        <v>2025</v>
      </c>
      <c r="I226" s="17">
        <f t="shared" si="35"/>
        <v>45717</v>
      </c>
      <c r="K226" s="17">
        <v>39326</v>
      </c>
      <c r="L226" t="e">
        <f t="shared" si="29"/>
        <v>#DIV/0!</v>
      </c>
      <c r="M226" s="66" t="e">
        <f t="shared" si="30"/>
        <v>#DIV/0!</v>
      </c>
      <c r="O226">
        <f t="shared" si="31"/>
        <v>0</v>
      </c>
    </row>
    <row r="227" spans="1:15" x14ac:dyDescent="0.3">
      <c r="A227" s="17">
        <v>45734</v>
      </c>
      <c r="B227">
        <v>0.82</v>
      </c>
      <c r="D227">
        <f t="shared" si="32"/>
        <v>18</v>
      </c>
      <c r="E227">
        <v>1</v>
      </c>
      <c r="F227">
        <f t="shared" si="33"/>
        <v>3</v>
      </c>
      <c r="G227">
        <f t="shared" si="34"/>
        <v>2025</v>
      </c>
      <c r="I227" s="17">
        <f t="shared" si="35"/>
        <v>45717</v>
      </c>
      <c r="K227" s="17">
        <v>39295</v>
      </c>
      <c r="L227" t="e">
        <f t="shared" si="29"/>
        <v>#DIV/0!</v>
      </c>
      <c r="M227" s="66" t="e">
        <f t="shared" si="30"/>
        <v>#DIV/0!</v>
      </c>
      <c r="O227">
        <f t="shared" si="31"/>
        <v>0</v>
      </c>
    </row>
    <row r="228" spans="1:15" x14ac:dyDescent="0.3">
      <c r="A228" s="17">
        <v>45733</v>
      </c>
      <c r="B228">
        <v>0.71</v>
      </c>
      <c r="D228">
        <f t="shared" si="32"/>
        <v>17</v>
      </c>
      <c r="E228">
        <v>1</v>
      </c>
      <c r="F228">
        <f t="shared" si="33"/>
        <v>3</v>
      </c>
      <c r="G228">
        <f t="shared" si="34"/>
        <v>2025</v>
      </c>
      <c r="I228" s="17">
        <f t="shared" si="35"/>
        <v>45717</v>
      </c>
      <c r="K228" s="17">
        <v>39264</v>
      </c>
      <c r="L228" t="e">
        <f t="shared" si="29"/>
        <v>#DIV/0!</v>
      </c>
      <c r="M228" s="66" t="e">
        <f t="shared" si="30"/>
        <v>#DIV/0!</v>
      </c>
      <c r="O228">
        <f t="shared" si="31"/>
        <v>0</v>
      </c>
    </row>
    <row r="229" spans="1:15" x14ac:dyDescent="0.3">
      <c r="A229" s="17">
        <v>45730</v>
      </c>
      <c r="B229">
        <v>0.61</v>
      </c>
      <c r="D229">
        <f t="shared" si="32"/>
        <v>14</v>
      </c>
      <c r="E229">
        <v>1</v>
      </c>
      <c r="F229">
        <f t="shared" si="33"/>
        <v>3</v>
      </c>
      <c r="G229">
        <f t="shared" si="34"/>
        <v>2025</v>
      </c>
      <c r="I229" s="17">
        <f t="shared" si="35"/>
        <v>45717</v>
      </c>
      <c r="K229" s="17">
        <v>39234</v>
      </c>
      <c r="L229" t="e">
        <f t="shared" si="29"/>
        <v>#DIV/0!</v>
      </c>
      <c r="M229" s="66" t="e">
        <f t="shared" si="30"/>
        <v>#DIV/0!</v>
      </c>
      <c r="O229">
        <f t="shared" si="31"/>
        <v>0</v>
      </c>
    </row>
    <row r="230" spans="1:15" x14ac:dyDescent="0.3">
      <c r="A230" s="17">
        <v>45729</v>
      </c>
      <c r="B230">
        <v>0.19</v>
      </c>
      <c r="D230">
        <f t="shared" si="32"/>
        <v>13</v>
      </c>
      <c r="E230">
        <v>1</v>
      </c>
      <c r="F230">
        <f t="shared" si="33"/>
        <v>3</v>
      </c>
      <c r="G230">
        <f t="shared" si="34"/>
        <v>2025</v>
      </c>
      <c r="I230" s="17">
        <f t="shared" si="35"/>
        <v>45717</v>
      </c>
      <c r="K230" s="17">
        <v>39203</v>
      </c>
      <c r="L230" t="e">
        <f t="shared" si="29"/>
        <v>#DIV/0!</v>
      </c>
      <c r="M230" s="66" t="e">
        <f t="shared" si="30"/>
        <v>#DIV/0!</v>
      </c>
      <c r="O230">
        <f t="shared" si="31"/>
        <v>0</v>
      </c>
    </row>
    <row r="231" spans="1:15" x14ac:dyDescent="0.3">
      <c r="A231" s="17">
        <v>45728</v>
      </c>
      <c r="B231">
        <v>0.14000000000000001</v>
      </c>
      <c r="D231">
        <f t="shared" si="32"/>
        <v>12</v>
      </c>
      <c r="E231">
        <v>1</v>
      </c>
      <c r="F231">
        <f t="shared" si="33"/>
        <v>3</v>
      </c>
      <c r="G231">
        <f t="shared" si="34"/>
        <v>2025</v>
      </c>
      <c r="I231" s="17">
        <f t="shared" si="35"/>
        <v>45717</v>
      </c>
      <c r="K231" s="17">
        <v>39173</v>
      </c>
      <c r="L231" t="e">
        <f t="shared" si="29"/>
        <v>#DIV/0!</v>
      </c>
      <c r="M231" s="66" t="e">
        <f t="shared" si="30"/>
        <v>#DIV/0!</v>
      </c>
      <c r="O231">
        <f t="shared" si="31"/>
        <v>0</v>
      </c>
    </row>
    <row r="232" spans="1:15" x14ac:dyDescent="0.3">
      <c r="A232" s="17">
        <v>45727</v>
      </c>
      <c r="B232">
        <v>0.13</v>
      </c>
      <c r="D232">
        <f t="shared" si="32"/>
        <v>11</v>
      </c>
      <c r="E232">
        <v>1</v>
      </c>
      <c r="F232">
        <f t="shared" si="33"/>
        <v>3</v>
      </c>
      <c r="G232">
        <f t="shared" si="34"/>
        <v>2025</v>
      </c>
      <c r="I232" s="17">
        <f t="shared" si="35"/>
        <v>45717</v>
      </c>
      <c r="K232" s="17">
        <v>39142</v>
      </c>
      <c r="L232" t="e">
        <f t="shared" si="29"/>
        <v>#DIV/0!</v>
      </c>
      <c r="M232" s="66" t="e">
        <f t="shared" si="30"/>
        <v>#DIV/0!</v>
      </c>
      <c r="O232">
        <f t="shared" si="31"/>
        <v>0</v>
      </c>
    </row>
    <row r="233" spans="1:15" x14ac:dyDescent="0.3">
      <c r="A233" s="17">
        <v>45726</v>
      </c>
      <c r="B233">
        <v>0.26</v>
      </c>
      <c r="D233">
        <f t="shared" si="32"/>
        <v>10</v>
      </c>
      <c r="E233">
        <v>1</v>
      </c>
      <c r="F233">
        <f t="shared" si="33"/>
        <v>3</v>
      </c>
      <c r="G233">
        <f t="shared" si="34"/>
        <v>2025</v>
      </c>
      <c r="I233" s="17">
        <f t="shared" si="35"/>
        <v>45717</v>
      </c>
      <c r="K233" s="17">
        <v>39114</v>
      </c>
      <c r="L233" t="e">
        <f t="shared" si="29"/>
        <v>#DIV/0!</v>
      </c>
      <c r="M233" s="66" t="e">
        <f t="shared" si="30"/>
        <v>#DIV/0!</v>
      </c>
      <c r="O233">
        <f t="shared" si="31"/>
        <v>0</v>
      </c>
    </row>
    <row r="234" spans="1:15" x14ac:dyDescent="0.3">
      <c r="A234" s="17">
        <v>45723</v>
      </c>
      <c r="B234">
        <v>0.21</v>
      </c>
      <c r="D234">
        <f t="shared" si="32"/>
        <v>7</v>
      </c>
      <c r="E234">
        <v>1</v>
      </c>
      <c r="F234">
        <f t="shared" si="33"/>
        <v>3</v>
      </c>
      <c r="G234">
        <f t="shared" si="34"/>
        <v>2025</v>
      </c>
      <c r="I234" s="17">
        <f t="shared" si="35"/>
        <v>45717</v>
      </c>
      <c r="K234" s="17">
        <v>39083</v>
      </c>
      <c r="L234" t="e">
        <f t="shared" si="29"/>
        <v>#DIV/0!</v>
      </c>
      <c r="M234" s="66" t="e">
        <f t="shared" si="30"/>
        <v>#DIV/0!</v>
      </c>
      <c r="O234">
        <f t="shared" si="31"/>
        <v>0</v>
      </c>
    </row>
    <row r="235" spans="1:15" x14ac:dyDescent="0.3">
      <c r="A235" s="17">
        <v>45722</v>
      </c>
      <c r="B235">
        <v>0.04</v>
      </c>
      <c r="D235">
        <f t="shared" si="32"/>
        <v>6</v>
      </c>
      <c r="E235">
        <v>1</v>
      </c>
      <c r="F235">
        <f t="shared" si="33"/>
        <v>3</v>
      </c>
      <c r="G235">
        <f t="shared" si="34"/>
        <v>2025</v>
      </c>
      <c r="I235" s="17">
        <f t="shared" si="35"/>
        <v>45717</v>
      </c>
      <c r="K235" s="17">
        <v>39052</v>
      </c>
      <c r="L235" t="e">
        <f t="shared" si="29"/>
        <v>#DIV/0!</v>
      </c>
      <c r="M235" s="66" t="e">
        <f t="shared" si="30"/>
        <v>#DIV/0!</v>
      </c>
      <c r="O235">
        <f t="shared" si="31"/>
        <v>0</v>
      </c>
    </row>
    <row r="236" spans="1:15" x14ac:dyDescent="0.3">
      <c r="A236" s="17">
        <v>45721</v>
      </c>
      <c r="B236">
        <v>-0.01</v>
      </c>
      <c r="D236">
        <f t="shared" si="32"/>
        <v>5</v>
      </c>
      <c r="E236">
        <v>1</v>
      </c>
      <c r="F236">
        <f t="shared" si="33"/>
        <v>3</v>
      </c>
      <c r="G236">
        <f t="shared" si="34"/>
        <v>2025</v>
      </c>
      <c r="I236" s="17">
        <f t="shared" si="35"/>
        <v>45717</v>
      </c>
      <c r="K236" s="17">
        <v>39022</v>
      </c>
      <c r="L236" t="e">
        <f t="shared" si="29"/>
        <v>#DIV/0!</v>
      </c>
      <c r="M236" s="66" t="e">
        <f t="shared" si="30"/>
        <v>#DIV/0!</v>
      </c>
      <c r="O236">
        <f t="shared" si="31"/>
        <v>0</v>
      </c>
    </row>
    <row r="237" spans="1:15" x14ac:dyDescent="0.3">
      <c r="A237" s="17">
        <v>45720</v>
      </c>
      <c r="B237">
        <v>-0.44</v>
      </c>
      <c r="D237">
        <f t="shared" si="32"/>
        <v>4</v>
      </c>
      <c r="E237">
        <v>1</v>
      </c>
      <c r="F237">
        <f t="shared" si="33"/>
        <v>3</v>
      </c>
      <c r="G237">
        <f t="shared" si="34"/>
        <v>2025</v>
      </c>
      <c r="I237" s="17">
        <f t="shared" si="35"/>
        <v>45717</v>
      </c>
      <c r="K237" s="17">
        <v>38991</v>
      </c>
      <c r="L237" t="e">
        <f t="shared" si="29"/>
        <v>#DIV/0!</v>
      </c>
      <c r="M237" s="66" t="e">
        <f t="shared" si="30"/>
        <v>#DIV/0!</v>
      </c>
      <c r="O237">
        <f t="shared" si="31"/>
        <v>1</v>
      </c>
    </row>
    <row r="238" spans="1:15" x14ac:dyDescent="0.3">
      <c r="A238" s="17">
        <v>45719</v>
      </c>
      <c r="B238">
        <v>0.12</v>
      </c>
      <c r="D238">
        <f t="shared" si="32"/>
        <v>3</v>
      </c>
      <c r="E238">
        <v>1</v>
      </c>
      <c r="F238">
        <f t="shared" si="33"/>
        <v>3</v>
      </c>
      <c r="G238">
        <f t="shared" si="34"/>
        <v>2025</v>
      </c>
      <c r="I238" s="17">
        <f t="shared" si="35"/>
        <v>45717</v>
      </c>
      <c r="K238" s="17">
        <v>38961</v>
      </c>
      <c r="L238" t="e">
        <f t="shared" si="29"/>
        <v>#DIV/0!</v>
      </c>
      <c r="M238" s="66" t="e">
        <f t="shared" si="30"/>
        <v>#DIV/0!</v>
      </c>
      <c r="O238">
        <f t="shared" si="31"/>
        <v>1</v>
      </c>
    </row>
    <row r="239" spans="1:15" x14ac:dyDescent="0.3">
      <c r="A239" s="17">
        <v>45716</v>
      </c>
      <c r="B239">
        <v>3.09</v>
      </c>
      <c r="D239">
        <f t="shared" si="32"/>
        <v>28</v>
      </c>
      <c r="E239">
        <v>1</v>
      </c>
      <c r="F239">
        <f t="shared" si="33"/>
        <v>2</v>
      </c>
      <c r="G239">
        <f t="shared" si="34"/>
        <v>2025</v>
      </c>
      <c r="I239" s="17">
        <f t="shared" si="35"/>
        <v>45689</v>
      </c>
      <c r="K239" s="17">
        <v>38930</v>
      </c>
      <c r="L239" t="e">
        <f t="shared" si="29"/>
        <v>#DIV/0!</v>
      </c>
      <c r="M239" s="66" t="e">
        <f t="shared" si="30"/>
        <v>#DIV/0!</v>
      </c>
      <c r="O239">
        <f t="shared" si="31"/>
        <v>0</v>
      </c>
    </row>
    <row r="240" spans="1:15" x14ac:dyDescent="0.3">
      <c r="A240" s="17">
        <v>45715</v>
      </c>
      <c r="B240">
        <v>2.2799999999999998</v>
      </c>
      <c r="D240">
        <f t="shared" si="32"/>
        <v>27</v>
      </c>
      <c r="E240">
        <v>1</v>
      </c>
      <c r="F240">
        <f t="shared" si="33"/>
        <v>2</v>
      </c>
      <c r="G240">
        <f t="shared" si="34"/>
        <v>2025</v>
      </c>
      <c r="I240" s="17">
        <f t="shared" si="35"/>
        <v>45689</v>
      </c>
      <c r="K240" s="17">
        <v>38899</v>
      </c>
      <c r="L240" t="e">
        <f t="shared" si="29"/>
        <v>#DIV/0!</v>
      </c>
      <c r="M240" s="66" t="e">
        <f t="shared" si="30"/>
        <v>#DIV/0!</v>
      </c>
      <c r="O240">
        <f t="shared" si="31"/>
        <v>0</v>
      </c>
    </row>
    <row r="241" spans="1:15" x14ac:dyDescent="0.3">
      <c r="A241" s="17">
        <v>45714</v>
      </c>
      <c r="B241">
        <v>2.09</v>
      </c>
      <c r="D241">
        <f t="shared" si="32"/>
        <v>26</v>
      </c>
      <c r="E241">
        <v>1</v>
      </c>
      <c r="F241">
        <f t="shared" si="33"/>
        <v>2</v>
      </c>
      <c r="G241">
        <f t="shared" si="34"/>
        <v>2025</v>
      </c>
      <c r="I241" s="17">
        <f t="shared" si="35"/>
        <v>45689</v>
      </c>
      <c r="K241" s="17">
        <v>38869</v>
      </c>
      <c r="L241" t="e">
        <f t="shared" si="29"/>
        <v>#DIV/0!</v>
      </c>
      <c r="M241" s="66" t="e">
        <f t="shared" si="30"/>
        <v>#DIV/0!</v>
      </c>
      <c r="O241">
        <f t="shared" si="31"/>
        <v>0</v>
      </c>
    </row>
    <row r="242" spans="1:15" x14ac:dyDescent="0.3">
      <c r="A242" s="17">
        <v>45713</v>
      </c>
      <c r="B242">
        <v>2.08</v>
      </c>
      <c r="D242">
        <f t="shared" si="32"/>
        <v>25</v>
      </c>
      <c r="E242">
        <v>1</v>
      </c>
      <c r="F242">
        <f t="shared" si="33"/>
        <v>2</v>
      </c>
      <c r="G242">
        <f t="shared" si="34"/>
        <v>2025</v>
      </c>
      <c r="I242" s="17">
        <f t="shared" si="35"/>
        <v>45689</v>
      </c>
      <c r="K242" s="17">
        <v>38838</v>
      </c>
      <c r="L242" t="e">
        <f t="shared" si="29"/>
        <v>#DIV/0!</v>
      </c>
      <c r="M242" s="66" t="e">
        <f t="shared" si="30"/>
        <v>#DIV/0!</v>
      </c>
      <c r="O242">
        <f t="shared" si="31"/>
        <v>0</v>
      </c>
    </row>
    <row r="243" spans="1:15" x14ac:dyDescent="0.3">
      <c r="A243" s="17">
        <v>45712</v>
      </c>
      <c r="B243">
        <v>1.81</v>
      </c>
      <c r="D243">
        <f t="shared" si="32"/>
        <v>24</v>
      </c>
      <c r="E243">
        <v>1</v>
      </c>
      <c r="F243">
        <f t="shared" si="33"/>
        <v>2</v>
      </c>
      <c r="G243">
        <f t="shared" si="34"/>
        <v>2025</v>
      </c>
      <c r="I243" s="17">
        <f t="shared" si="35"/>
        <v>45689</v>
      </c>
      <c r="K243" s="17">
        <v>38808</v>
      </c>
      <c r="L243" t="e">
        <f t="shared" si="29"/>
        <v>#DIV/0!</v>
      </c>
      <c r="M243" s="66" t="e">
        <f t="shared" si="30"/>
        <v>#DIV/0!</v>
      </c>
      <c r="O243">
        <f t="shared" si="31"/>
        <v>0</v>
      </c>
    </row>
    <row r="244" spans="1:15" x14ac:dyDescent="0.3">
      <c r="A244" s="17">
        <v>45709</v>
      </c>
      <c r="B244">
        <v>1.97</v>
      </c>
      <c r="D244">
        <f t="shared" si="32"/>
        <v>21</v>
      </c>
      <c r="E244">
        <v>1</v>
      </c>
      <c r="F244">
        <f t="shared" si="33"/>
        <v>2</v>
      </c>
      <c r="G244">
        <f t="shared" si="34"/>
        <v>2025</v>
      </c>
      <c r="I244" s="17">
        <f t="shared" si="35"/>
        <v>45689</v>
      </c>
      <c r="K244" s="17">
        <v>38777</v>
      </c>
      <c r="L244" t="e">
        <f t="shared" si="29"/>
        <v>#DIV/0!</v>
      </c>
      <c r="M244" s="66" t="e">
        <f t="shared" si="30"/>
        <v>#DIV/0!</v>
      </c>
      <c r="O244">
        <f t="shared" si="31"/>
        <v>0</v>
      </c>
    </row>
    <row r="245" spans="1:15" x14ac:dyDescent="0.3">
      <c r="A245" s="17">
        <v>45708</v>
      </c>
      <c r="B245">
        <v>1.91</v>
      </c>
      <c r="D245">
        <f t="shared" si="32"/>
        <v>20</v>
      </c>
      <c r="E245">
        <v>1</v>
      </c>
      <c r="F245">
        <f t="shared" si="33"/>
        <v>2</v>
      </c>
      <c r="G245">
        <f t="shared" si="34"/>
        <v>2025</v>
      </c>
      <c r="I245" s="17">
        <f t="shared" si="35"/>
        <v>45689</v>
      </c>
      <c r="K245" s="17">
        <v>38749</v>
      </c>
      <c r="L245" t="e">
        <f t="shared" si="29"/>
        <v>#DIV/0!</v>
      </c>
      <c r="M245" s="66" t="e">
        <f t="shared" si="30"/>
        <v>#DIV/0!</v>
      </c>
      <c r="O245">
        <f t="shared" si="31"/>
        <v>0</v>
      </c>
    </row>
    <row r="246" spans="1:15" x14ac:dyDescent="0.3">
      <c r="A246" s="17">
        <v>45707</v>
      </c>
      <c r="B246">
        <v>2.29</v>
      </c>
      <c r="D246">
        <f t="shared" si="32"/>
        <v>19</v>
      </c>
      <c r="E246">
        <v>1</v>
      </c>
      <c r="F246">
        <f t="shared" si="33"/>
        <v>2</v>
      </c>
      <c r="G246">
        <f t="shared" si="34"/>
        <v>2025</v>
      </c>
      <c r="I246" s="17">
        <f t="shared" si="35"/>
        <v>45689</v>
      </c>
      <c r="K246" s="17">
        <v>38718</v>
      </c>
      <c r="L246" t="e">
        <f t="shared" si="29"/>
        <v>#DIV/0!</v>
      </c>
      <c r="M246" s="66" t="e">
        <f t="shared" si="30"/>
        <v>#DIV/0!</v>
      </c>
      <c r="O246">
        <f t="shared" si="31"/>
        <v>0</v>
      </c>
    </row>
    <row r="247" spans="1:15" x14ac:dyDescent="0.3">
      <c r="A247" s="17">
        <v>45706</v>
      </c>
      <c r="B247">
        <v>1.7</v>
      </c>
      <c r="D247">
        <f t="shared" si="32"/>
        <v>18</v>
      </c>
      <c r="E247">
        <v>1</v>
      </c>
      <c r="F247">
        <f t="shared" si="33"/>
        <v>2</v>
      </c>
      <c r="G247">
        <f t="shared" si="34"/>
        <v>2025</v>
      </c>
      <c r="I247" s="17">
        <f t="shared" si="35"/>
        <v>45689</v>
      </c>
      <c r="K247" s="17">
        <v>38687</v>
      </c>
      <c r="L247" t="e">
        <f t="shared" si="29"/>
        <v>#DIV/0!</v>
      </c>
      <c r="M247" s="66" t="e">
        <f t="shared" si="30"/>
        <v>#DIV/0!</v>
      </c>
      <c r="O247">
        <f t="shared" si="31"/>
        <v>0</v>
      </c>
    </row>
    <row r="248" spans="1:15" x14ac:dyDescent="0.3">
      <c r="A248" s="17">
        <v>45705</v>
      </c>
      <c r="B248">
        <v>1.83</v>
      </c>
      <c r="D248">
        <f t="shared" si="32"/>
        <v>17</v>
      </c>
      <c r="E248">
        <v>1</v>
      </c>
      <c r="F248">
        <f t="shared" si="33"/>
        <v>2</v>
      </c>
      <c r="G248">
        <f t="shared" si="34"/>
        <v>2025</v>
      </c>
      <c r="I248" s="17">
        <f t="shared" si="35"/>
        <v>45689</v>
      </c>
      <c r="K248" s="17">
        <v>38657</v>
      </c>
      <c r="L248" t="e">
        <f t="shared" si="29"/>
        <v>#DIV/0!</v>
      </c>
      <c r="M248" s="66" t="e">
        <f t="shared" si="30"/>
        <v>#DIV/0!</v>
      </c>
      <c r="O248">
        <f t="shared" si="31"/>
        <v>0</v>
      </c>
    </row>
    <row r="249" spans="1:15" x14ac:dyDescent="0.3">
      <c r="A249" s="17">
        <v>45702</v>
      </c>
      <c r="B249">
        <v>1.96</v>
      </c>
      <c r="D249">
        <f t="shared" si="32"/>
        <v>14</v>
      </c>
      <c r="E249">
        <v>1</v>
      </c>
      <c r="F249">
        <f t="shared" si="33"/>
        <v>2</v>
      </c>
      <c r="G249">
        <f t="shared" si="34"/>
        <v>2025</v>
      </c>
      <c r="I249" s="17">
        <f t="shared" si="35"/>
        <v>45689</v>
      </c>
      <c r="K249" s="17">
        <v>38626</v>
      </c>
      <c r="L249" t="e">
        <f t="shared" si="29"/>
        <v>#DIV/0!</v>
      </c>
      <c r="M249" s="66" t="e">
        <f t="shared" si="30"/>
        <v>#DIV/0!</v>
      </c>
      <c r="O249">
        <f t="shared" si="31"/>
        <v>0</v>
      </c>
    </row>
    <row r="250" spans="1:15" x14ac:dyDescent="0.3">
      <c r="A250" s="17">
        <v>45701</v>
      </c>
      <c r="B250">
        <v>2.5299999999999998</v>
      </c>
      <c r="D250">
        <f t="shared" si="32"/>
        <v>13</v>
      </c>
      <c r="E250">
        <v>1</v>
      </c>
      <c r="F250">
        <f t="shared" si="33"/>
        <v>2</v>
      </c>
      <c r="G250">
        <f t="shared" si="34"/>
        <v>2025</v>
      </c>
      <c r="I250" s="17">
        <f t="shared" si="35"/>
        <v>45689</v>
      </c>
      <c r="K250" s="17">
        <v>38596</v>
      </c>
      <c r="L250" t="e">
        <f t="shared" si="29"/>
        <v>#DIV/0!</v>
      </c>
      <c r="M250" s="66" t="e">
        <f t="shared" si="30"/>
        <v>#DIV/0!</v>
      </c>
      <c r="O250">
        <f t="shared" si="31"/>
        <v>0</v>
      </c>
    </row>
    <row r="251" spans="1:15" x14ac:dyDescent="0.3">
      <c r="A251" s="17">
        <v>45700</v>
      </c>
      <c r="B251">
        <v>2.7</v>
      </c>
      <c r="D251">
        <f t="shared" si="32"/>
        <v>12</v>
      </c>
      <c r="E251">
        <v>1</v>
      </c>
      <c r="F251">
        <f t="shared" si="33"/>
        <v>2</v>
      </c>
      <c r="G251">
        <f t="shared" si="34"/>
        <v>2025</v>
      </c>
      <c r="I251" s="17">
        <f t="shared" si="35"/>
        <v>45689</v>
      </c>
      <c r="K251" s="17">
        <v>38565</v>
      </c>
      <c r="L251" t="e">
        <f t="shared" si="29"/>
        <v>#DIV/0!</v>
      </c>
      <c r="M251" s="66" t="e">
        <f t="shared" si="30"/>
        <v>#DIV/0!</v>
      </c>
      <c r="O251">
        <f t="shared" si="31"/>
        <v>0</v>
      </c>
    </row>
    <row r="252" spans="1:15" x14ac:dyDescent="0.3">
      <c r="A252" s="17">
        <v>45699</v>
      </c>
      <c r="B252">
        <v>2.68</v>
      </c>
      <c r="D252">
        <f t="shared" si="32"/>
        <v>11</v>
      </c>
      <c r="E252">
        <v>1</v>
      </c>
      <c r="F252">
        <f t="shared" si="33"/>
        <v>2</v>
      </c>
      <c r="G252">
        <f t="shared" si="34"/>
        <v>2025</v>
      </c>
      <c r="I252" s="17">
        <f t="shared" si="35"/>
        <v>45689</v>
      </c>
      <c r="K252" s="17">
        <v>38534</v>
      </c>
      <c r="L252" t="e">
        <f t="shared" si="29"/>
        <v>#DIV/0!</v>
      </c>
      <c r="M252" s="66" t="e">
        <f t="shared" si="30"/>
        <v>#DIV/0!</v>
      </c>
      <c r="O252">
        <f t="shared" si="31"/>
        <v>0</v>
      </c>
    </row>
    <row r="253" spans="1:15" x14ac:dyDescent="0.3">
      <c r="A253" s="17">
        <v>45698</v>
      </c>
      <c r="B253">
        <v>2.7</v>
      </c>
      <c r="D253">
        <f t="shared" si="32"/>
        <v>10</v>
      </c>
      <c r="E253">
        <v>1</v>
      </c>
      <c r="F253">
        <f t="shared" si="33"/>
        <v>2</v>
      </c>
      <c r="G253">
        <f t="shared" si="34"/>
        <v>2025</v>
      </c>
      <c r="I253" s="17">
        <f t="shared" si="35"/>
        <v>45689</v>
      </c>
      <c r="K253" s="17">
        <v>38504</v>
      </c>
      <c r="L253" t="e">
        <f t="shared" si="29"/>
        <v>#DIV/0!</v>
      </c>
      <c r="M253" s="66" t="e">
        <f t="shared" si="30"/>
        <v>#DIV/0!</v>
      </c>
      <c r="O253">
        <f t="shared" si="31"/>
        <v>0</v>
      </c>
    </row>
    <row r="254" spans="1:15" x14ac:dyDescent="0.3">
      <c r="A254" s="17">
        <v>45695</v>
      </c>
      <c r="B254">
        <v>2.7</v>
      </c>
      <c r="D254">
        <f t="shared" si="32"/>
        <v>7</v>
      </c>
      <c r="E254">
        <v>1</v>
      </c>
      <c r="F254">
        <f t="shared" si="33"/>
        <v>2</v>
      </c>
      <c r="G254">
        <f t="shared" si="34"/>
        <v>2025</v>
      </c>
      <c r="I254" s="17">
        <f t="shared" si="35"/>
        <v>45689</v>
      </c>
      <c r="K254" s="17">
        <v>38473</v>
      </c>
      <c r="L254" t="e">
        <f t="shared" si="29"/>
        <v>#DIV/0!</v>
      </c>
      <c r="M254" s="66" t="e">
        <f t="shared" si="30"/>
        <v>#DIV/0!</v>
      </c>
      <c r="O254">
        <f t="shared" si="31"/>
        <v>0</v>
      </c>
    </row>
    <row r="255" spans="1:15" x14ac:dyDescent="0.3">
      <c r="A255" s="17">
        <v>45694</v>
      </c>
      <c r="B255">
        <v>2.9</v>
      </c>
      <c r="D255">
        <f t="shared" si="32"/>
        <v>6</v>
      </c>
      <c r="E255">
        <v>1</v>
      </c>
      <c r="F255">
        <f t="shared" si="33"/>
        <v>2</v>
      </c>
      <c r="G255">
        <f t="shared" si="34"/>
        <v>2025</v>
      </c>
      <c r="I255" s="17">
        <f t="shared" si="35"/>
        <v>45689</v>
      </c>
      <c r="K255" s="17">
        <v>38443</v>
      </c>
      <c r="L255" t="e">
        <f t="shared" si="29"/>
        <v>#DIV/0!</v>
      </c>
      <c r="M255" s="66" t="e">
        <f t="shared" si="30"/>
        <v>#DIV/0!</v>
      </c>
      <c r="O255">
        <f t="shared" si="31"/>
        <v>0</v>
      </c>
    </row>
    <row r="256" spans="1:15" x14ac:dyDescent="0.3">
      <c r="A256" s="17">
        <v>45693</v>
      </c>
      <c r="B256">
        <v>2.9</v>
      </c>
      <c r="D256">
        <f t="shared" si="32"/>
        <v>5</v>
      </c>
      <c r="E256">
        <v>1</v>
      </c>
      <c r="F256">
        <f t="shared" si="33"/>
        <v>2</v>
      </c>
      <c r="G256">
        <f t="shared" si="34"/>
        <v>2025</v>
      </c>
      <c r="I256" s="17">
        <f t="shared" si="35"/>
        <v>45689</v>
      </c>
      <c r="K256" s="17">
        <v>38412</v>
      </c>
      <c r="L256" t="e">
        <f t="shared" si="29"/>
        <v>#DIV/0!</v>
      </c>
      <c r="M256" s="66" t="e">
        <f t="shared" si="30"/>
        <v>#DIV/0!</v>
      </c>
      <c r="O256">
        <f t="shared" si="31"/>
        <v>0</v>
      </c>
    </row>
    <row r="257" spans="1:15" x14ac:dyDescent="0.3">
      <c r="A257" s="17">
        <v>45692</v>
      </c>
      <c r="B257">
        <v>2.76</v>
      </c>
      <c r="D257">
        <f t="shared" si="32"/>
        <v>4</v>
      </c>
      <c r="E257">
        <v>1</v>
      </c>
      <c r="F257">
        <f t="shared" si="33"/>
        <v>2</v>
      </c>
      <c r="G257">
        <f t="shared" si="34"/>
        <v>2025</v>
      </c>
      <c r="I257" s="17">
        <f t="shared" si="35"/>
        <v>45689</v>
      </c>
      <c r="K257" s="17">
        <v>38384</v>
      </c>
      <c r="L257" t="e">
        <f t="shared" si="29"/>
        <v>#DIV/0!</v>
      </c>
      <c r="M257" s="66" t="e">
        <f t="shared" si="30"/>
        <v>#DIV/0!</v>
      </c>
      <c r="O257">
        <f t="shared" si="31"/>
        <v>1</v>
      </c>
    </row>
    <row r="258" spans="1:15" x14ac:dyDescent="0.3">
      <c r="A258" s="17">
        <v>45691</v>
      </c>
      <c r="B258">
        <v>3.1</v>
      </c>
      <c r="D258">
        <f t="shared" si="32"/>
        <v>3</v>
      </c>
      <c r="E258">
        <v>1</v>
      </c>
      <c r="F258">
        <f t="shared" si="33"/>
        <v>2</v>
      </c>
      <c r="G258">
        <f t="shared" si="34"/>
        <v>2025</v>
      </c>
      <c r="I258" s="17">
        <f t="shared" si="35"/>
        <v>45689</v>
      </c>
      <c r="K258" s="17">
        <v>38353</v>
      </c>
      <c r="L258" t="e">
        <f t="shared" si="29"/>
        <v>#DIV/0!</v>
      </c>
      <c r="M258" s="66" t="e">
        <f t="shared" si="30"/>
        <v>#DIV/0!</v>
      </c>
      <c r="O258">
        <f t="shared" si="31"/>
        <v>1</v>
      </c>
    </row>
    <row r="259" spans="1:15" x14ac:dyDescent="0.3">
      <c r="A259" s="17">
        <v>45688</v>
      </c>
      <c r="B259">
        <v>3.63</v>
      </c>
      <c r="D259">
        <f t="shared" si="32"/>
        <v>31</v>
      </c>
      <c r="E259">
        <v>1</v>
      </c>
      <c r="F259">
        <f t="shared" si="33"/>
        <v>1</v>
      </c>
      <c r="G259">
        <f t="shared" si="34"/>
        <v>2025</v>
      </c>
      <c r="I259" s="17">
        <f t="shared" si="35"/>
        <v>45658</v>
      </c>
      <c r="K259" s="17">
        <v>38322</v>
      </c>
      <c r="L259" t="e">
        <f t="shared" si="29"/>
        <v>#DIV/0!</v>
      </c>
      <c r="M259" s="66" t="e">
        <f t="shared" si="30"/>
        <v>#DIV/0!</v>
      </c>
      <c r="O259">
        <f t="shared" si="31"/>
        <v>0</v>
      </c>
    </row>
    <row r="260" spans="1:15" x14ac:dyDescent="0.3">
      <c r="A260" s="17">
        <v>45685</v>
      </c>
      <c r="B260">
        <v>4.18</v>
      </c>
      <c r="D260">
        <f t="shared" si="32"/>
        <v>28</v>
      </c>
      <c r="E260">
        <v>1</v>
      </c>
      <c r="F260">
        <f t="shared" si="33"/>
        <v>1</v>
      </c>
      <c r="G260">
        <f t="shared" si="34"/>
        <v>2025</v>
      </c>
      <c r="I260" s="17">
        <f t="shared" si="35"/>
        <v>45658</v>
      </c>
      <c r="K260" s="17">
        <v>38292</v>
      </c>
      <c r="L260" t="e">
        <f t="shared" si="29"/>
        <v>#DIV/0!</v>
      </c>
      <c r="M260" s="66" t="e">
        <f t="shared" si="30"/>
        <v>#DIV/0!</v>
      </c>
      <c r="O260">
        <f t="shared" si="31"/>
        <v>0</v>
      </c>
    </row>
    <row r="261" spans="1:15" x14ac:dyDescent="0.3">
      <c r="A261" s="17">
        <v>45684</v>
      </c>
      <c r="B261">
        <v>3.95</v>
      </c>
      <c r="D261">
        <f t="shared" si="32"/>
        <v>27</v>
      </c>
      <c r="E261">
        <v>1</v>
      </c>
      <c r="F261">
        <f t="shared" si="33"/>
        <v>1</v>
      </c>
      <c r="G261">
        <f t="shared" si="34"/>
        <v>2025</v>
      </c>
      <c r="I261" s="17">
        <f t="shared" si="35"/>
        <v>45658</v>
      </c>
      <c r="K261" s="17">
        <v>38261</v>
      </c>
      <c r="L261" t="e">
        <f t="shared" si="29"/>
        <v>#DIV/0!</v>
      </c>
      <c r="M261" s="66" t="e">
        <f t="shared" si="30"/>
        <v>#DIV/0!</v>
      </c>
      <c r="O261">
        <f t="shared" si="31"/>
        <v>0</v>
      </c>
    </row>
    <row r="262" spans="1:15" x14ac:dyDescent="0.3">
      <c r="A262" s="17">
        <v>45681</v>
      </c>
      <c r="B262">
        <v>3.83</v>
      </c>
      <c r="D262">
        <f t="shared" si="32"/>
        <v>24</v>
      </c>
      <c r="E262">
        <v>1</v>
      </c>
      <c r="F262">
        <f t="shared" si="33"/>
        <v>1</v>
      </c>
      <c r="G262">
        <f t="shared" si="34"/>
        <v>2025</v>
      </c>
      <c r="I262" s="17">
        <f t="shared" si="35"/>
        <v>45658</v>
      </c>
      <c r="K262" s="17">
        <v>38231</v>
      </c>
      <c r="L262" t="e">
        <f t="shared" si="29"/>
        <v>#DIV/0!</v>
      </c>
      <c r="M262" s="66" t="e">
        <f t="shared" si="30"/>
        <v>#DIV/0!</v>
      </c>
      <c r="O262">
        <f t="shared" si="31"/>
        <v>0</v>
      </c>
    </row>
    <row r="263" spans="1:15" x14ac:dyDescent="0.3">
      <c r="A263" s="17">
        <v>45680</v>
      </c>
      <c r="B263">
        <v>3.6</v>
      </c>
      <c r="D263">
        <f t="shared" si="32"/>
        <v>23</v>
      </c>
      <c r="E263">
        <v>1</v>
      </c>
      <c r="F263">
        <f t="shared" si="33"/>
        <v>1</v>
      </c>
      <c r="G263">
        <f t="shared" si="34"/>
        <v>2025</v>
      </c>
      <c r="I263" s="17">
        <f t="shared" si="35"/>
        <v>45658</v>
      </c>
      <c r="K263" s="17">
        <v>38200</v>
      </c>
      <c r="L263" t="e">
        <f t="shared" ref="L263:L326" si="36">+AVERAGEIFS($B$6:$B$928,$I$6:$I$928,$K263)</f>
        <v>#DIV/0!</v>
      </c>
      <c r="M263" s="66" t="e">
        <f t="shared" ref="M263:M326" si="37">+AVERAGEIFS($B$6:$B$928,$I$6:$I$928,$K263,$O$6:$O$928,1)</f>
        <v>#DIV/0!</v>
      </c>
      <c r="O263">
        <f t="shared" ref="O263:O326" si="38">IF(AND(D263&gt;=1, D263&lt;=4), 1, 0)</f>
        <v>0</v>
      </c>
    </row>
    <row r="264" spans="1:15" x14ac:dyDescent="0.3">
      <c r="A264" s="17">
        <v>45679</v>
      </c>
      <c r="B264">
        <v>3.85</v>
      </c>
      <c r="D264">
        <f t="shared" si="32"/>
        <v>22</v>
      </c>
      <c r="E264">
        <v>1</v>
      </c>
      <c r="F264">
        <f t="shared" si="33"/>
        <v>1</v>
      </c>
      <c r="G264">
        <f t="shared" si="34"/>
        <v>2025</v>
      </c>
      <c r="I264" s="17">
        <f t="shared" si="35"/>
        <v>45658</v>
      </c>
      <c r="K264" s="17">
        <v>38169</v>
      </c>
      <c r="L264" t="e">
        <f t="shared" si="36"/>
        <v>#DIV/0!</v>
      </c>
      <c r="M264" s="66" t="e">
        <f t="shared" si="37"/>
        <v>#DIV/0!</v>
      </c>
      <c r="O264">
        <f t="shared" si="38"/>
        <v>0</v>
      </c>
    </row>
    <row r="265" spans="1:15" x14ac:dyDescent="0.3">
      <c r="A265" s="17">
        <v>45678</v>
      </c>
      <c r="B265">
        <v>4.01</v>
      </c>
      <c r="D265">
        <f t="shared" si="32"/>
        <v>21</v>
      </c>
      <c r="E265">
        <v>1</v>
      </c>
      <c r="F265">
        <f t="shared" si="33"/>
        <v>1</v>
      </c>
      <c r="G265">
        <f t="shared" si="34"/>
        <v>2025</v>
      </c>
      <c r="I265" s="17">
        <f t="shared" si="35"/>
        <v>45658</v>
      </c>
      <c r="K265" s="17">
        <v>38139</v>
      </c>
      <c r="L265" t="e">
        <f t="shared" si="36"/>
        <v>#DIV/0!</v>
      </c>
      <c r="M265" s="66" t="e">
        <f t="shared" si="37"/>
        <v>#DIV/0!</v>
      </c>
      <c r="O265">
        <f t="shared" si="38"/>
        <v>0</v>
      </c>
    </row>
    <row r="266" spans="1:15" x14ac:dyDescent="0.3">
      <c r="A266" s="17">
        <v>45677</v>
      </c>
      <c r="B266">
        <v>4.12</v>
      </c>
      <c r="D266">
        <f t="shared" si="32"/>
        <v>20</v>
      </c>
      <c r="E266">
        <v>1</v>
      </c>
      <c r="F266">
        <f t="shared" si="33"/>
        <v>1</v>
      </c>
      <c r="G266">
        <f t="shared" si="34"/>
        <v>2025</v>
      </c>
      <c r="I266" s="17">
        <f t="shared" si="35"/>
        <v>45658</v>
      </c>
      <c r="K266" s="17">
        <v>38108</v>
      </c>
      <c r="L266" t="e">
        <f t="shared" si="36"/>
        <v>#DIV/0!</v>
      </c>
      <c r="M266" s="66" t="e">
        <f t="shared" si="37"/>
        <v>#DIV/0!</v>
      </c>
      <c r="O266">
        <f t="shared" si="38"/>
        <v>0</v>
      </c>
    </row>
    <row r="267" spans="1:15" x14ac:dyDescent="0.3">
      <c r="A267" s="17">
        <v>45674</v>
      </c>
      <c r="B267">
        <v>4.4400000000000004</v>
      </c>
      <c r="D267">
        <f t="shared" si="32"/>
        <v>17</v>
      </c>
      <c r="E267">
        <v>1</v>
      </c>
      <c r="F267">
        <f t="shared" si="33"/>
        <v>1</v>
      </c>
      <c r="G267">
        <f t="shared" si="34"/>
        <v>2025</v>
      </c>
      <c r="I267" s="17">
        <f t="shared" si="35"/>
        <v>45658</v>
      </c>
      <c r="K267" s="17">
        <v>38078</v>
      </c>
      <c r="L267" t="e">
        <f t="shared" si="36"/>
        <v>#DIV/0!</v>
      </c>
      <c r="M267" s="66" t="e">
        <f t="shared" si="37"/>
        <v>#DIV/0!</v>
      </c>
      <c r="O267">
        <f t="shared" si="38"/>
        <v>0</v>
      </c>
    </row>
    <row r="268" spans="1:15" x14ac:dyDescent="0.3">
      <c r="A268" s="17">
        <v>45673</v>
      </c>
      <c r="B268">
        <v>4.13</v>
      </c>
      <c r="D268">
        <f t="shared" si="32"/>
        <v>16</v>
      </c>
      <c r="E268">
        <v>1</v>
      </c>
      <c r="F268">
        <f t="shared" si="33"/>
        <v>1</v>
      </c>
      <c r="G268">
        <f t="shared" si="34"/>
        <v>2025</v>
      </c>
      <c r="I268" s="17">
        <f t="shared" si="35"/>
        <v>45658</v>
      </c>
      <c r="K268" s="17">
        <v>38047</v>
      </c>
      <c r="L268" t="e">
        <f t="shared" si="36"/>
        <v>#DIV/0!</v>
      </c>
      <c r="M268" s="66" t="e">
        <f t="shared" si="37"/>
        <v>#DIV/0!</v>
      </c>
      <c r="O268">
        <f t="shared" si="38"/>
        <v>0</v>
      </c>
    </row>
    <row r="269" spans="1:15" x14ac:dyDescent="0.3">
      <c r="A269" s="17">
        <v>45672</v>
      </c>
      <c r="B269">
        <v>3.3</v>
      </c>
      <c r="D269">
        <f t="shared" si="32"/>
        <v>15</v>
      </c>
      <c r="E269">
        <v>1</v>
      </c>
      <c r="F269">
        <f t="shared" si="33"/>
        <v>1</v>
      </c>
      <c r="G269">
        <f t="shared" si="34"/>
        <v>2025</v>
      </c>
      <c r="I269" s="17">
        <f t="shared" si="35"/>
        <v>45658</v>
      </c>
      <c r="K269" s="17">
        <v>38018</v>
      </c>
      <c r="L269" t="e">
        <f t="shared" si="36"/>
        <v>#DIV/0!</v>
      </c>
      <c r="M269" s="66" t="e">
        <f t="shared" si="37"/>
        <v>#DIV/0!</v>
      </c>
      <c r="O269">
        <f t="shared" si="38"/>
        <v>0</v>
      </c>
    </row>
    <row r="270" spans="1:15" x14ac:dyDescent="0.3">
      <c r="A270" s="17">
        <v>45671</v>
      </c>
      <c r="B270">
        <v>3.15</v>
      </c>
      <c r="D270">
        <f t="shared" si="32"/>
        <v>14</v>
      </c>
      <c r="E270">
        <v>1</v>
      </c>
      <c r="F270">
        <f t="shared" si="33"/>
        <v>1</v>
      </c>
      <c r="G270">
        <f t="shared" si="34"/>
        <v>2025</v>
      </c>
      <c r="I270" s="17">
        <f t="shared" si="35"/>
        <v>45658</v>
      </c>
      <c r="K270" s="17">
        <v>37987</v>
      </c>
      <c r="L270" t="e">
        <f t="shared" si="36"/>
        <v>#DIV/0!</v>
      </c>
      <c r="M270" s="66" t="e">
        <f t="shared" si="37"/>
        <v>#DIV/0!</v>
      </c>
      <c r="O270">
        <f t="shared" si="38"/>
        <v>0</v>
      </c>
    </row>
    <row r="271" spans="1:15" x14ac:dyDescent="0.3">
      <c r="A271" s="17">
        <v>45670</v>
      </c>
      <c r="B271">
        <v>2.4700000000000002</v>
      </c>
      <c r="D271">
        <f t="shared" ref="D271:D334" si="39">+DAY(A271)</f>
        <v>13</v>
      </c>
      <c r="E271">
        <v>1</v>
      </c>
      <c r="F271">
        <f t="shared" ref="F271:F334" si="40">+MONTH(A271)</f>
        <v>1</v>
      </c>
      <c r="G271">
        <f t="shared" ref="G271:G334" si="41">+YEAR(A271)</f>
        <v>2025</v>
      </c>
      <c r="I271" s="17">
        <f t="shared" ref="I271:I334" si="42">+DATE(G271,F271,E271)</f>
        <v>45658</v>
      </c>
      <c r="K271" s="17">
        <v>37956</v>
      </c>
      <c r="L271" t="e">
        <f t="shared" si="36"/>
        <v>#DIV/0!</v>
      </c>
      <c r="M271" s="66" t="e">
        <f t="shared" si="37"/>
        <v>#DIV/0!</v>
      </c>
      <c r="O271">
        <f t="shared" si="38"/>
        <v>0</v>
      </c>
    </row>
    <row r="272" spans="1:15" x14ac:dyDescent="0.3">
      <c r="A272" s="17">
        <v>45667</v>
      </c>
      <c r="B272">
        <v>1.18</v>
      </c>
      <c r="D272">
        <f t="shared" si="39"/>
        <v>10</v>
      </c>
      <c r="E272">
        <v>1</v>
      </c>
      <c r="F272">
        <f t="shared" si="40"/>
        <v>1</v>
      </c>
      <c r="G272">
        <f t="shared" si="41"/>
        <v>2025</v>
      </c>
      <c r="I272" s="17">
        <f t="shared" si="42"/>
        <v>45658</v>
      </c>
      <c r="K272" s="17">
        <v>37926</v>
      </c>
      <c r="L272" t="e">
        <f t="shared" si="36"/>
        <v>#DIV/0!</v>
      </c>
      <c r="M272" s="66" t="e">
        <f t="shared" si="37"/>
        <v>#DIV/0!</v>
      </c>
      <c r="O272">
        <f t="shared" si="38"/>
        <v>0</v>
      </c>
    </row>
    <row r="273" spans="1:15" x14ac:dyDescent="0.3">
      <c r="A273" s="17">
        <v>45666</v>
      </c>
      <c r="B273">
        <v>1.07</v>
      </c>
      <c r="D273">
        <f t="shared" si="39"/>
        <v>9</v>
      </c>
      <c r="E273">
        <v>1</v>
      </c>
      <c r="F273">
        <f t="shared" si="40"/>
        <v>1</v>
      </c>
      <c r="G273">
        <f t="shared" si="41"/>
        <v>2025</v>
      </c>
      <c r="I273" s="17">
        <f t="shared" si="42"/>
        <v>45658</v>
      </c>
      <c r="K273" s="17">
        <v>37895</v>
      </c>
      <c r="L273" t="e">
        <f t="shared" si="36"/>
        <v>#DIV/0!</v>
      </c>
      <c r="M273" s="66" t="e">
        <f t="shared" si="37"/>
        <v>#DIV/0!</v>
      </c>
      <c r="O273">
        <f t="shared" si="38"/>
        <v>0</v>
      </c>
    </row>
    <row r="274" spans="1:15" x14ac:dyDescent="0.3">
      <c r="A274" s="17">
        <v>45665</v>
      </c>
      <c r="B274">
        <v>1.05</v>
      </c>
      <c r="D274">
        <f t="shared" si="39"/>
        <v>8</v>
      </c>
      <c r="E274">
        <v>1</v>
      </c>
      <c r="F274">
        <f t="shared" si="40"/>
        <v>1</v>
      </c>
      <c r="G274">
        <f t="shared" si="41"/>
        <v>2025</v>
      </c>
      <c r="I274" s="17">
        <f t="shared" si="42"/>
        <v>45658</v>
      </c>
      <c r="K274" s="17">
        <v>37865</v>
      </c>
      <c r="L274" t="e">
        <f t="shared" si="36"/>
        <v>#DIV/0!</v>
      </c>
      <c r="M274" s="66" t="e">
        <f t="shared" si="37"/>
        <v>#DIV/0!</v>
      </c>
      <c r="O274">
        <f t="shared" si="38"/>
        <v>0</v>
      </c>
    </row>
    <row r="275" spans="1:15" x14ac:dyDescent="0.3">
      <c r="A275" s="17">
        <v>45664</v>
      </c>
      <c r="B275">
        <v>1.03</v>
      </c>
      <c r="D275">
        <f t="shared" si="39"/>
        <v>7</v>
      </c>
      <c r="E275">
        <v>1</v>
      </c>
      <c r="F275">
        <f t="shared" si="40"/>
        <v>1</v>
      </c>
      <c r="G275">
        <f t="shared" si="41"/>
        <v>2025</v>
      </c>
      <c r="I275" s="17">
        <f t="shared" si="42"/>
        <v>45658</v>
      </c>
      <c r="K275" s="17">
        <v>37834</v>
      </c>
      <c r="L275" t="e">
        <f t="shared" si="36"/>
        <v>#DIV/0!</v>
      </c>
      <c r="M275" s="66" t="e">
        <f t="shared" si="37"/>
        <v>#DIV/0!</v>
      </c>
      <c r="O275">
        <f t="shared" si="38"/>
        <v>0</v>
      </c>
    </row>
    <row r="276" spans="1:15" x14ac:dyDescent="0.3">
      <c r="A276" s="17">
        <v>45663</v>
      </c>
      <c r="B276">
        <v>1.03</v>
      </c>
      <c r="D276">
        <f t="shared" si="39"/>
        <v>6</v>
      </c>
      <c r="E276">
        <v>1</v>
      </c>
      <c r="F276">
        <f t="shared" si="40"/>
        <v>1</v>
      </c>
      <c r="G276">
        <f t="shared" si="41"/>
        <v>2025</v>
      </c>
      <c r="I276" s="17">
        <f t="shared" si="42"/>
        <v>45658</v>
      </c>
      <c r="K276" s="17">
        <v>37803</v>
      </c>
      <c r="L276" t="e">
        <f t="shared" si="36"/>
        <v>#DIV/0!</v>
      </c>
      <c r="M276" s="66" t="e">
        <f t="shared" si="37"/>
        <v>#DIV/0!</v>
      </c>
      <c r="O276">
        <f t="shared" si="38"/>
        <v>0</v>
      </c>
    </row>
    <row r="277" spans="1:15" x14ac:dyDescent="0.3">
      <c r="A277" s="17">
        <v>45660</v>
      </c>
      <c r="B277">
        <v>1.0900000000000001</v>
      </c>
      <c r="D277">
        <f t="shared" si="39"/>
        <v>3</v>
      </c>
      <c r="E277">
        <v>1</v>
      </c>
      <c r="F277">
        <f t="shared" si="40"/>
        <v>1</v>
      </c>
      <c r="G277">
        <f t="shared" si="41"/>
        <v>2025</v>
      </c>
      <c r="I277" s="17">
        <f t="shared" si="42"/>
        <v>45658</v>
      </c>
      <c r="K277" s="17">
        <v>37773</v>
      </c>
      <c r="L277" t="e">
        <f t="shared" si="36"/>
        <v>#DIV/0!</v>
      </c>
      <c r="M277" s="66" t="e">
        <f t="shared" si="37"/>
        <v>#DIV/0!</v>
      </c>
      <c r="O277">
        <f t="shared" si="38"/>
        <v>1</v>
      </c>
    </row>
    <row r="278" spans="1:15" x14ac:dyDescent="0.3">
      <c r="A278" s="17">
        <v>45659</v>
      </c>
      <c r="B278">
        <v>0.93</v>
      </c>
      <c r="D278">
        <f t="shared" si="39"/>
        <v>2</v>
      </c>
      <c r="E278">
        <v>1</v>
      </c>
      <c r="F278">
        <f t="shared" si="40"/>
        <v>1</v>
      </c>
      <c r="G278">
        <f t="shared" si="41"/>
        <v>2025</v>
      </c>
      <c r="I278" s="17">
        <f t="shared" si="42"/>
        <v>45658</v>
      </c>
      <c r="K278" s="17">
        <v>37742</v>
      </c>
      <c r="L278" t="e">
        <f t="shared" si="36"/>
        <v>#DIV/0!</v>
      </c>
      <c r="M278" s="66" t="e">
        <f t="shared" si="37"/>
        <v>#DIV/0!</v>
      </c>
      <c r="O278">
        <f t="shared" si="38"/>
        <v>1</v>
      </c>
    </row>
    <row r="279" spans="1:15" x14ac:dyDescent="0.3">
      <c r="A279" s="17">
        <v>45657</v>
      </c>
      <c r="B279">
        <v>1.34</v>
      </c>
      <c r="D279">
        <f t="shared" si="39"/>
        <v>31</v>
      </c>
      <c r="E279">
        <v>1</v>
      </c>
      <c r="F279">
        <f t="shared" si="40"/>
        <v>12</v>
      </c>
      <c r="G279">
        <f t="shared" si="41"/>
        <v>2024</v>
      </c>
      <c r="I279" s="17">
        <f t="shared" si="42"/>
        <v>45627</v>
      </c>
      <c r="K279" s="17">
        <v>37712</v>
      </c>
      <c r="L279" t="e">
        <f t="shared" si="36"/>
        <v>#DIV/0!</v>
      </c>
      <c r="M279" s="66" t="e">
        <f t="shared" si="37"/>
        <v>#DIV/0!</v>
      </c>
      <c r="O279">
        <f t="shared" si="38"/>
        <v>0</v>
      </c>
    </row>
    <row r="280" spans="1:15" x14ac:dyDescent="0.3">
      <c r="A280" s="17">
        <v>45656</v>
      </c>
      <c r="B280">
        <v>1.66</v>
      </c>
      <c r="D280">
        <f t="shared" si="39"/>
        <v>30</v>
      </c>
      <c r="E280">
        <v>1</v>
      </c>
      <c r="F280">
        <f t="shared" si="40"/>
        <v>12</v>
      </c>
      <c r="G280">
        <f t="shared" si="41"/>
        <v>2024</v>
      </c>
      <c r="I280" s="17">
        <f t="shared" si="42"/>
        <v>45627</v>
      </c>
      <c r="K280" s="17">
        <v>37681</v>
      </c>
      <c r="L280" t="e">
        <f t="shared" si="36"/>
        <v>#DIV/0!</v>
      </c>
      <c r="M280" s="66" t="e">
        <f t="shared" si="37"/>
        <v>#DIV/0!</v>
      </c>
      <c r="O280">
        <f t="shared" si="38"/>
        <v>0</v>
      </c>
    </row>
    <row r="281" spans="1:15" x14ac:dyDescent="0.3">
      <c r="A281" s="17">
        <v>45653</v>
      </c>
      <c r="B281">
        <v>1.71</v>
      </c>
      <c r="D281">
        <f t="shared" si="39"/>
        <v>27</v>
      </c>
      <c r="E281">
        <v>1</v>
      </c>
      <c r="F281">
        <f t="shared" si="40"/>
        <v>12</v>
      </c>
      <c r="G281">
        <f t="shared" si="41"/>
        <v>2024</v>
      </c>
      <c r="I281" s="17">
        <f t="shared" si="42"/>
        <v>45627</v>
      </c>
      <c r="K281" s="17">
        <v>37653</v>
      </c>
      <c r="L281" t="e">
        <f t="shared" si="36"/>
        <v>#DIV/0!</v>
      </c>
      <c r="M281" s="66" t="e">
        <f t="shared" si="37"/>
        <v>#DIV/0!</v>
      </c>
      <c r="O281">
        <f t="shared" si="38"/>
        <v>0</v>
      </c>
    </row>
    <row r="282" spans="1:15" x14ac:dyDescent="0.3">
      <c r="A282" s="17">
        <v>45652</v>
      </c>
      <c r="B282">
        <v>1.01</v>
      </c>
      <c r="D282">
        <f t="shared" si="39"/>
        <v>26</v>
      </c>
      <c r="E282">
        <v>1</v>
      </c>
      <c r="F282">
        <f t="shared" si="40"/>
        <v>12</v>
      </c>
      <c r="G282">
        <f t="shared" si="41"/>
        <v>2024</v>
      </c>
      <c r="I282" s="17">
        <f t="shared" si="42"/>
        <v>45627</v>
      </c>
      <c r="K282" s="17">
        <v>37622</v>
      </c>
      <c r="L282" t="e">
        <f t="shared" si="36"/>
        <v>#DIV/0!</v>
      </c>
      <c r="M282" s="66" t="e">
        <f t="shared" si="37"/>
        <v>#DIV/0!</v>
      </c>
      <c r="O282">
        <f t="shared" si="38"/>
        <v>0</v>
      </c>
    </row>
    <row r="283" spans="1:15" x14ac:dyDescent="0.3">
      <c r="A283" s="17">
        <v>45650</v>
      </c>
      <c r="B283">
        <v>0.56999999999999995</v>
      </c>
      <c r="D283">
        <f t="shared" si="39"/>
        <v>24</v>
      </c>
      <c r="E283">
        <v>1</v>
      </c>
      <c r="F283">
        <f t="shared" si="40"/>
        <v>12</v>
      </c>
      <c r="G283">
        <f t="shared" si="41"/>
        <v>2024</v>
      </c>
      <c r="I283" s="17">
        <f t="shared" si="42"/>
        <v>45627</v>
      </c>
      <c r="K283" s="17">
        <v>37591</v>
      </c>
      <c r="L283" t="e">
        <f t="shared" si="36"/>
        <v>#DIV/0!</v>
      </c>
      <c r="M283" s="66" t="e">
        <f t="shared" si="37"/>
        <v>#DIV/0!</v>
      </c>
      <c r="O283">
        <f t="shared" si="38"/>
        <v>0</v>
      </c>
    </row>
    <row r="284" spans="1:15" x14ac:dyDescent="0.3">
      <c r="A284" s="17">
        <v>45649</v>
      </c>
      <c r="B284">
        <v>0.54</v>
      </c>
      <c r="D284">
        <f t="shared" si="39"/>
        <v>23</v>
      </c>
      <c r="E284">
        <v>1</v>
      </c>
      <c r="F284">
        <f t="shared" si="40"/>
        <v>12</v>
      </c>
      <c r="G284">
        <f t="shared" si="41"/>
        <v>2024</v>
      </c>
      <c r="I284" s="17">
        <f t="shared" si="42"/>
        <v>45627</v>
      </c>
      <c r="K284" s="17">
        <v>37561</v>
      </c>
      <c r="L284" t="e">
        <f t="shared" si="36"/>
        <v>#DIV/0!</v>
      </c>
      <c r="M284" s="66" t="e">
        <f t="shared" si="37"/>
        <v>#DIV/0!</v>
      </c>
      <c r="O284">
        <f t="shared" si="38"/>
        <v>0</v>
      </c>
    </row>
    <row r="285" spans="1:15" x14ac:dyDescent="0.3">
      <c r="A285" s="17">
        <v>45646</v>
      </c>
      <c r="B285">
        <v>0.41</v>
      </c>
      <c r="D285">
        <f t="shared" si="39"/>
        <v>20</v>
      </c>
      <c r="E285">
        <v>1</v>
      </c>
      <c r="F285">
        <f t="shared" si="40"/>
        <v>12</v>
      </c>
      <c r="G285">
        <f t="shared" si="41"/>
        <v>2024</v>
      </c>
      <c r="I285" s="17">
        <f t="shared" si="42"/>
        <v>45627</v>
      </c>
      <c r="K285" s="17">
        <v>37530</v>
      </c>
      <c r="L285" t="e">
        <f t="shared" si="36"/>
        <v>#DIV/0!</v>
      </c>
      <c r="M285" s="66" t="e">
        <f t="shared" si="37"/>
        <v>#DIV/0!</v>
      </c>
      <c r="O285">
        <f t="shared" si="38"/>
        <v>0</v>
      </c>
    </row>
    <row r="286" spans="1:15" x14ac:dyDescent="0.3">
      <c r="A286" s="17">
        <v>45645</v>
      </c>
      <c r="B286">
        <v>0.38</v>
      </c>
      <c r="D286">
        <f t="shared" si="39"/>
        <v>19</v>
      </c>
      <c r="E286">
        <v>1</v>
      </c>
      <c r="F286">
        <f t="shared" si="40"/>
        <v>12</v>
      </c>
      <c r="G286">
        <f t="shared" si="41"/>
        <v>2024</v>
      </c>
      <c r="I286" s="17">
        <f t="shared" si="42"/>
        <v>45627</v>
      </c>
      <c r="K286" s="17">
        <v>37500</v>
      </c>
      <c r="L286" t="e">
        <f t="shared" si="36"/>
        <v>#DIV/0!</v>
      </c>
      <c r="M286" s="66" t="e">
        <f t="shared" si="37"/>
        <v>#DIV/0!</v>
      </c>
      <c r="O286">
        <f t="shared" si="38"/>
        <v>0</v>
      </c>
    </row>
    <row r="287" spans="1:15" x14ac:dyDescent="0.3">
      <c r="A287" s="17">
        <v>45644</v>
      </c>
      <c r="B287">
        <v>0.41</v>
      </c>
      <c r="D287">
        <f t="shared" si="39"/>
        <v>18</v>
      </c>
      <c r="E287">
        <v>1</v>
      </c>
      <c r="F287">
        <f t="shared" si="40"/>
        <v>12</v>
      </c>
      <c r="G287">
        <f t="shared" si="41"/>
        <v>2024</v>
      </c>
      <c r="I287" s="17">
        <f t="shared" si="42"/>
        <v>45627</v>
      </c>
      <c r="K287" s="17">
        <v>37469</v>
      </c>
      <c r="L287" t="e">
        <f t="shared" si="36"/>
        <v>#DIV/0!</v>
      </c>
      <c r="M287" s="66" t="e">
        <f t="shared" si="37"/>
        <v>#DIV/0!</v>
      </c>
      <c r="O287">
        <f t="shared" si="38"/>
        <v>0</v>
      </c>
    </row>
    <row r="288" spans="1:15" x14ac:dyDescent="0.3">
      <c r="A288" s="17">
        <v>45643</v>
      </c>
      <c r="B288">
        <v>0.5</v>
      </c>
      <c r="D288">
        <f t="shared" si="39"/>
        <v>17</v>
      </c>
      <c r="E288">
        <v>1</v>
      </c>
      <c r="F288">
        <f t="shared" si="40"/>
        <v>12</v>
      </c>
      <c r="G288">
        <f t="shared" si="41"/>
        <v>2024</v>
      </c>
      <c r="I288" s="17">
        <f t="shared" si="42"/>
        <v>45627</v>
      </c>
      <c r="K288" s="17">
        <v>37438</v>
      </c>
      <c r="L288" t="e">
        <f t="shared" si="36"/>
        <v>#DIV/0!</v>
      </c>
      <c r="M288" s="66" t="e">
        <f t="shared" si="37"/>
        <v>#DIV/0!</v>
      </c>
      <c r="O288">
        <f t="shared" si="38"/>
        <v>0</v>
      </c>
    </row>
    <row r="289" spans="1:15" x14ac:dyDescent="0.3">
      <c r="A289" s="17">
        <v>45642</v>
      </c>
      <c r="B289">
        <v>0.49</v>
      </c>
      <c r="D289">
        <f t="shared" si="39"/>
        <v>16</v>
      </c>
      <c r="E289">
        <v>1</v>
      </c>
      <c r="F289">
        <f t="shared" si="40"/>
        <v>12</v>
      </c>
      <c r="G289">
        <f t="shared" si="41"/>
        <v>2024</v>
      </c>
      <c r="I289" s="17">
        <f t="shared" si="42"/>
        <v>45627</v>
      </c>
      <c r="K289" s="17">
        <v>37408</v>
      </c>
      <c r="L289" t="e">
        <f t="shared" si="36"/>
        <v>#DIV/0!</v>
      </c>
      <c r="M289" s="66" t="e">
        <f t="shared" si="37"/>
        <v>#DIV/0!</v>
      </c>
      <c r="O289">
        <f t="shared" si="38"/>
        <v>0</v>
      </c>
    </row>
    <row r="290" spans="1:15" x14ac:dyDescent="0.3">
      <c r="A290" s="17">
        <v>45639</v>
      </c>
      <c r="B290">
        <v>0.46</v>
      </c>
      <c r="D290">
        <f t="shared" si="39"/>
        <v>13</v>
      </c>
      <c r="E290">
        <v>1</v>
      </c>
      <c r="F290">
        <f t="shared" si="40"/>
        <v>12</v>
      </c>
      <c r="G290">
        <f t="shared" si="41"/>
        <v>2024</v>
      </c>
      <c r="I290" s="17">
        <f t="shared" si="42"/>
        <v>45627</v>
      </c>
      <c r="K290" s="17">
        <v>37377</v>
      </c>
      <c r="L290" t="e">
        <f t="shared" si="36"/>
        <v>#DIV/0!</v>
      </c>
      <c r="M290" s="66" t="e">
        <f t="shared" si="37"/>
        <v>#DIV/0!</v>
      </c>
      <c r="O290">
        <f t="shared" si="38"/>
        <v>0</v>
      </c>
    </row>
    <row r="291" spans="1:15" x14ac:dyDescent="0.3">
      <c r="A291" s="17">
        <v>45638</v>
      </c>
      <c r="B291">
        <v>0.51</v>
      </c>
      <c r="D291">
        <f t="shared" si="39"/>
        <v>12</v>
      </c>
      <c r="E291">
        <v>1</v>
      </c>
      <c r="F291">
        <f t="shared" si="40"/>
        <v>12</v>
      </c>
      <c r="G291">
        <f t="shared" si="41"/>
        <v>2024</v>
      </c>
      <c r="I291" s="17">
        <f t="shared" si="42"/>
        <v>45627</v>
      </c>
      <c r="K291" s="17">
        <v>37347</v>
      </c>
      <c r="L291" t="e">
        <f t="shared" si="36"/>
        <v>#DIV/0!</v>
      </c>
      <c r="M291" s="66" t="e">
        <f t="shared" si="37"/>
        <v>#DIV/0!</v>
      </c>
      <c r="O291">
        <f t="shared" si="38"/>
        <v>0</v>
      </c>
    </row>
    <row r="292" spans="1:15" x14ac:dyDescent="0.3">
      <c r="A292" s="17">
        <v>45637</v>
      </c>
      <c r="B292">
        <v>0.28000000000000003</v>
      </c>
      <c r="D292">
        <f t="shared" si="39"/>
        <v>11</v>
      </c>
      <c r="E292">
        <v>1</v>
      </c>
      <c r="F292">
        <f t="shared" si="40"/>
        <v>12</v>
      </c>
      <c r="G292">
        <f t="shared" si="41"/>
        <v>2024</v>
      </c>
      <c r="I292" s="17">
        <f t="shared" si="42"/>
        <v>45627</v>
      </c>
      <c r="K292" s="17">
        <v>37316</v>
      </c>
      <c r="L292" t="e">
        <f t="shared" si="36"/>
        <v>#DIV/0!</v>
      </c>
      <c r="M292" s="66" t="e">
        <f t="shared" si="37"/>
        <v>#DIV/0!</v>
      </c>
      <c r="O292">
        <f t="shared" si="38"/>
        <v>0</v>
      </c>
    </row>
    <row r="293" spans="1:15" x14ac:dyDescent="0.3">
      <c r="A293" s="17">
        <v>45636</v>
      </c>
      <c r="B293">
        <v>0.22</v>
      </c>
      <c r="D293">
        <f t="shared" si="39"/>
        <v>10</v>
      </c>
      <c r="E293">
        <v>1</v>
      </c>
      <c r="F293">
        <f t="shared" si="40"/>
        <v>12</v>
      </c>
      <c r="G293">
        <f t="shared" si="41"/>
        <v>2024</v>
      </c>
      <c r="I293" s="17">
        <f t="shared" si="42"/>
        <v>45627</v>
      </c>
      <c r="K293" s="17">
        <v>37288</v>
      </c>
      <c r="L293" t="e">
        <f t="shared" si="36"/>
        <v>#DIV/0!</v>
      </c>
      <c r="M293" s="66" t="e">
        <f t="shared" si="37"/>
        <v>#DIV/0!</v>
      </c>
      <c r="O293">
        <f t="shared" si="38"/>
        <v>0</v>
      </c>
    </row>
    <row r="294" spans="1:15" x14ac:dyDescent="0.3">
      <c r="A294" s="17">
        <v>45635</v>
      </c>
      <c r="B294">
        <v>0.32</v>
      </c>
      <c r="D294">
        <f t="shared" si="39"/>
        <v>9</v>
      </c>
      <c r="E294">
        <v>1</v>
      </c>
      <c r="F294">
        <f t="shared" si="40"/>
        <v>12</v>
      </c>
      <c r="G294">
        <f t="shared" si="41"/>
        <v>2024</v>
      </c>
      <c r="I294" s="17">
        <f t="shared" si="42"/>
        <v>45627</v>
      </c>
      <c r="K294" s="17">
        <v>37257</v>
      </c>
      <c r="L294" t="e">
        <f t="shared" si="36"/>
        <v>#DIV/0!</v>
      </c>
      <c r="M294" s="66" t="e">
        <f t="shared" si="37"/>
        <v>#DIV/0!</v>
      </c>
      <c r="O294">
        <f t="shared" si="38"/>
        <v>0</v>
      </c>
    </row>
    <row r="295" spans="1:15" x14ac:dyDescent="0.3">
      <c r="A295" s="17">
        <v>45632</v>
      </c>
      <c r="B295">
        <v>0.37</v>
      </c>
      <c r="D295">
        <f t="shared" si="39"/>
        <v>6</v>
      </c>
      <c r="E295">
        <v>1</v>
      </c>
      <c r="F295">
        <f t="shared" si="40"/>
        <v>12</v>
      </c>
      <c r="G295">
        <f t="shared" si="41"/>
        <v>2024</v>
      </c>
      <c r="I295" s="17">
        <f t="shared" si="42"/>
        <v>45627</v>
      </c>
      <c r="K295" s="17">
        <v>37226</v>
      </c>
      <c r="L295" t="e">
        <f t="shared" si="36"/>
        <v>#DIV/0!</v>
      </c>
      <c r="M295" s="66" t="e">
        <f t="shared" si="37"/>
        <v>#DIV/0!</v>
      </c>
      <c r="O295">
        <f t="shared" si="38"/>
        <v>0</v>
      </c>
    </row>
    <row r="296" spans="1:15" x14ac:dyDescent="0.3">
      <c r="A296" s="17">
        <v>45631</v>
      </c>
      <c r="B296">
        <v>0.43</v>
      </c>
      <c r="D296">
        <f t="shared" si="39"/>
        <v>5</v>
      </c>
      <c r="E296">
        <v>1</v>
      </c>
      <c r="F296">
        <f t="shared" si="40"/>
        <v>12</v>
      </c>
      <c r="G296">
        <f t="shared" si="41"/>
        <v>2024</v>
      </c>
      <c r="I296" s="17">
        <f t="shared" si="42"/>
        <v>45627</v>
      </c>
      <c r="K296" s="17">
        <v>37196</v>
      </c>
      <c r="L296" t="e">
        <f t="shared" si="36"/>
        <v>#DIV/0!</v>
      </c>
      <c r="M296" s="66" t="e">
        <f t="shared" si="37"/>
        <v>#DIV/0!</v>
      </c>
      <c r="O296">
        <f t="shared" si="38"/>
        <v>0</v>
      </c>
    </row>
    <row r="297" spans="1:15" x14ac:dyDescent="0.3">
      <c r="A297" s="17">
        <v>45630</v>
      </c>
      <c r="B297">
        <v>0.42</v>
      </c>
      <c r="D297">
        <f t="shared" si="39"/>
        <v>4</v>
      </c>
      <c r="E297">
        <v>1</v>
      </c>
      <c r="F297">
        <f t="shared" si="40"/>
        <v>12</v>
      </c>
      <c r="G297">
        <f t="shared" si="41"/>
        <v>2024</v>
      </c>
      <c r="I297" s="17">
        <f t="shared" si="42"/>
        <v>45627</v>
      </c>
      <c r="K297" s="17">
        <v>37165</v>
      </c>
      <c r="L297" t="e">
        <f t="shared" si="36"/>
        <v>#DIV/0!</v>
      </c>
      <c r="M297" s="66" t="e">
        <f t="shared" si="37"/>
        <v>#DIV/0!</v>
      </c>
      <c r="O297">
        <f t="shared" si="38"/>
        <v>1</v>
      </c>
    </row>
    <row r="298" spans="1:15" x14ac:dyDescent="0.3">
      <c r="A298" s="17">
        <v>45629</v>
      </c>
      <c r="B298">
        <v>0.32</v>
      </c>
      <c r="D298">
        <f t="shared" si="39"/>
        <v>3</v>
      </c>
      <c r="E298">
        <v>1</v>
      </c>
      <c r="F298">
        <f t="shared" si="40"/>
        <v>12</v>
      </c>
      <c r="G298">
        <f t="shared" si="41"/>
        <v>2024</v>
      </c>
      <c r="I298" s="17">
        <f t="shared" si="42"/>
        <v>45627</v>
      </c>
      <c r="K298" s="17">
        <v>37135</v>
      </c>
      <c r="L298" t="e">
        <f t="shared" si="36"/>
        <v>#DIV/0!</v>
      </c>
      <c r="M298" s="66" t="e">
        <f t="shared" si="37"/>
        <v>#DIV/0!</v>
      </c>
      <c r="O298">
        <f t="shared" si="38"/>
        <v>1</v>
      </c>
    </row>
    <row r="299" spans="1:15" x14ac:dyDescent="0.3">
      <c r="A299" s="17">
        <v>45628</v>
      </c>
      <c r="B299">
        <v>0.52</v>
      </c>
      <c r="D299">
        <f t="shared" si="39"/>
        <v>2</v>
      </c>
      <c r="E299">
        <v>1</v>
      </c>
      <c r="F299">
        <f t="shared" si="40"/>
        <v>12</v>
      </c>
      <c r="G299">
        <f t="shared" si="41"/>
        <v>2024</v>
      </c>
      <c r="I299" s="17">
        <f t="shared" si="42"/>
        <v>45627</v>
      </c>
      <c r="K299" s="17">
        <v>37104</v>
      </c>
      <c r="L299" t="e">
        <f t="shared" si="36"/>
        <v>#DIV/0!</v>
      </c>
      <c r="M299" s="66" t="e">
        <f t="shared" si="37"/>
        <v>#DIV/0!</v>
      </c>
      <c r="O299">
        <f t="shared" si="38"/>
        <v>1</v>
      </c>
    </row>
    <row r="300" spans="1:15" x14ac:dyDescent="0.3">
      <c r="A300" s="17">
        <v>45625</v>
      </c>
      <c r="B300">
        <v>7.0000000000000007E-2</v>
      </c>
      <c r="D300">
        <f t="shared" si="39"/>
        <v>29</v>
      </c>
      <c r="E300">
        <v>1</v>
      </c>
      <c r="F300">
        <f t="shared" si="40"/>
        <v>11</v>
      </c>
      <c r="G300">
        <f t="shared" si="41"/>
        <v>2024</v>
      </c>
      <c r="I300" s="17">
        <f t="shared" si="42"/>
        <v>45597</v>
      </c>
      <c r="K300" s="17">
        <v>37073</v>
      </c>
      <c r="L300" t="e">
        <f t="shared" si="36"/>
        <v>#DIV/0!</v>
      </c>
      <c r="M300" s="66" t="e">
        <f t="shared" si="37"/>
        <v>#DIV/0!</v>
      </c>
      <c r="O300">
        <f t="shared" si="38"/>
        <v>0</v>
      </c>
    </row>
    <row r="301" spans="1:15" x14ac:dyDescent="0.3">
      <c r="A301" s="17">
        <v>45624</v>
      </c>
      <c r="B301">
        <v>0.53</v>
      </c>
      <c r="D301">
        <f t="shared" si="39"/>
        <v>28</v>
      </c>
      <c r="E301">
        <v>1</v>
      </c>
      <c r="F301">
        <f t="shared" si="40"/>
        <v>11</v>
      </c>
      <c r="G301">
        <f t="shared" si="41"/>
        <v>2024</v>
      </c>
      <c r="I301" s="17">
        <f t="shared" si="42"/>
        <v>45597</v>
      </c>
      <c r="K301" s="17">
        <v>37043</v>
      </c>
      <c r="L301" t="e">
        <f t="shared" si="36"/>
        <v>#DIV/0!</v>
      </c>
      <c r="M301" s="66" t="e">
        <f t="shared" si="37"/>
        <v>#DIV/0!</v>
      </c>
      <c r="O301">
        <f t="shared" si="38"/>
        <v>0</v>
      </c>
    </row>
    <row r="302" spans="1:15" x14ac:dyDescent="0.3">
      <c r="A302" s="17">
        <v>45623</v>
      </c>
      <c r="B302">
        <v>0.23</v>
      </c>
      <c r="D302">
        <f t="shared" si="39"/>
        <v>27</v>
      </c>
      <c r="E302">
        <v>1</v>
      </c>
      <c r="F302">
        <f t="shared" si="40"/>
        <v>11</v>
      </c>
      <c r="G302">
        <f t="shared" si="41"/>
        <v>2024</v>
      </c>
      <c r="I302" s="17">
        <f t="shared" si="42"/>
        <v>45597</v>
      </c>
      <c r="K302" s="17">
        <v>37012</v>
      </c>
      <c r="L302" t="e">
        <f t="shared" si="36"/>
        <v>#DIV/0!</v>
      </c>
      <c r="M302" s="66" t="e">
        <f t="shared" si="37"/>
        <v>#DIV/0!</v>
      </c>
      <c r="O302">
        <f t="shared" si="38"/>
        <v>0</v>
      </c>
    </row>
    <row r="303" spans="1:15" x14ac:dyDescent="0.3">
      <c r="A303" s="17">
        <v>45622</v>
      </c>
      <c r="B303">
        <v>0.28999999999999998</v>
      </c>
      <c r="D303">
        <f t="shared" si="39"/>
        <v>26</v>
      </c>
      <c r="E303">
        <v>1</v>
      </c>
      <c r="F303">
        <f t="shared" si="40"/>
        <v>11</v>
      </c>
      <c r="G303">
        <f t="shared" si="41"/>
        <v>2024</v>
      </c>
      <c r="I303" s="17">
        <f t="shared" si="42"/>
        <v>45597</v>
      </c>
      <c r="K303" s="17">
        <v>36982</v>
      </c>
      <c r="L303" t="e">
        <f t="shared" si="36"/>
        <v>#DIV/0!</v>
      </c>
      <c r="M303" s="66" t="e">
        <f t="shared" si="37"/>
        <v>#DIV/0!</v>
      </c>
      <c r="O303">
        <f t="shared" si="38"/>
        <v>0</v>
      </c>
    </row>
    <row r="304" spans="1:15" x14ac:dyDescent="0.3">
      <c r="A304" s="17">
        <v>45621</v>
      </c>
      <c r="B304">
        <v>0.38</v>
      </c>
      <c r="D304">
        <f t="shared" si="39"/>
        <v>25</v>
      </c>
      <c r="E304">
        <v>1</v>
      </c>
      <c r="F304">
        <f t="shared" si="40"/>
        <v>11</v>
      </c>
      <c r="G304">
        <f t="shared" si="41"/>
        <v>2024</v>
      </c>
      <c r="I304" s="17">
        <f t="shared" si="42"/>
        <v>45597</v>
      </c>
      <c r="K304" s="17">
        <v>36951</v>
      </c>
      <c r="L304" t="e">
        <f t="shared" si="36"/>
        <v>#DIV/0!</v>
      </c>
      <c r="M304" s="66" t="e">
        <f t="shared" si="37"/>
        <v>#DIV/0!</v>
      </c>
      <c r="O304">
        <f t="shared" si="38"/>
        <v>0</v>
      </c>
    </row>
    <row r="305" spans="1:15" x14ac:dyDescent="0.3">
      <c r="A305" s="17">
        <v>45618</v>
      </c>
      <c r="B305">
        <v>0.45</v>
      </c>
      <c r="D305">
        <f t="shared" si="39"/>
        <v>22</v>
      </c>
      <c r="E305">
        <v>1</v>
      </c>
      <c r="F305">
        <f t="shared" si="40"/>
        <v>11</v>
      </c>
      <c r="G305">
        <f t="shared" si="41"/>
        <v>2024</v>
      </c>
      <c r="I305" s="17">
        <f t="shared" si="42"/>
        <v>45597</v>
      </c>
      <c r="K305" s="17">
        <v>36923</v>
      </c>
      <c r="L305" t="e">
        <f t="shared" si="36"/>
        <v>#DIV/0!</v>
      </c>
      <c r="M305" s="66" t="e">
        <f t="shared" si="37"/>
        <v>#DIV/0!</v>
      </c>
      <c r="O305">
        <f t="shared" si="38"/>
        <v>0</v>
      </c>
    </row>
    <row r="306" spans="1:15" x14ac:dyDescent="0.3">
      <c r="A306" s="17">
        <v>45617</v>
      </c>
      <c r="B306">
        <v>0.27</v>
      </c>
      <c r="D306">
        <f t="shared" si="39"/>
        <v>21</v>
      </c>
      <c r="E306">
        <v>1</v>
      </c>
      <c r="F306">
        <f t="shared" si="40"/>
        <v>11</v>
      </c>
      <c r="G306">
        <f t="shared" si="41"/>
        <v>2024</v>
      </c>
      <c r="I306" s="17">
        <f t="shared" si="42"/>
        <v>45597</v>
      </c>
      <c r="K306" s="17">
        <v>36892</v>
      </c>
      <c r="L306" t="e">
        <f t="shared" si="36"/>
        <v>#DIV/0!</v>
      </c>
      <c r="M306" s="66" t="e">
        <f t="shared" si="37"/>
        <v>#DIV/0!</v>
      </c>
      <c r="O306">
        <f t="shared" si="38"/>
        <v>0</v>
      </c>
    </row>
    <row r="307" spans="1:15" x14ac:dyDescent="0.3">
      <c r="A307" s="17">
        <v>45616</v>
      </c>
      <c r="B307">
        <v>0.32</v>
      </c>
      <c r="D307">
        <f t="shared" si="39"/>
        <v>20</v>
      </c>
      <c r="E307">
        <v>1</v>
      </c>
      <c r="F307">
        <f t="shared" si="40"/>
        <v>11</v>
      </c>
      <c r="G307">
        <f t="shared" si="41"/>
        <v>2024</v>
      </c>
      <c r="I307" s="17">
        <f t="shared" si="42"/>
        <v>45597</v>
      </c>
      <c r="K307" s="17">
        <v>36861</v>
      </c>
      <c r="L307" t="e">
        <f t="shared" si="36"/>
        <v>#DIV/0!</v>
      </c>
      <c r="M307" s="66" t="e">
        <f t="shared" si="37"/>
        <v>#DIV/0!</v>
      </c>
      <c r="O307">
        <f t="shared" si="38"/>
        <v>0</v>
      </c>
    </row>
    <row r="308" spans="1:15" x14ac:dyDescent="0.3">
      <c r="A308" s="17">
        <v>45615</v>
      </c>
      <c r="B308">
        <v>0.05</v>
      </c>
      <c r="D308">
        <f t="shared" si="39"/>
        <v>19</v>
      </c>
      <c r="E308">
        <v>1</v>
      </c>
      <c r="F308">
        <f t="shared" si="40"/>
        <v>11</v>
      </c>
      <c r="G308">
        <f t="shared" si="41"/>
        <v>2024</v>
      </c>
      <c r="I308" s="17">
        <f t="shared" si="42"/>
        <v>45597</v>
      </c>
      <c r="K308" s="17">
        <v>36831</v>
      </c>
      <c r="L308" t="e">
        <f t="shared" si="36"/>
        <v>#DIV/0!</v>
      </c>
      <c r="M308" s="66" t="e">
        <f t="shared" si="37"/>
        <v>#DIV/0!</v>
      </c>
      <c r="O308">
        <f t="shared" si="38"/>
        <v>0</v>
      </c>
    </row>
    <row r="309" spans="1:15" x14ac:dyDescent="0.3">
      <c r="A309" s="17">
        <v>45614</v>
      </c>
      <c r="B309">
        <v>7.0000000000000007E-2</v>
      </c>
      <c r="D309">
        <f t="shared" si="39"/>
        <v>18</v>
      </c>
      <c r="E309">
        <v>1</v>
      </c>
      <c r="F309">
        <f t="shared" si="40"/>
        <v>11</v>
      </c>
      <c r="G309">
        <f t="shared" si="41"/>
        <v>2024</v>
      </c>
      <c r="I309" s="17">
        <f t="shared" si="42"/>
        <v>45597</v>
      </c>
      <c r="K309" s="17">
        <v>36800</v>
      </c>
      <c r="L309" t="e">
        <f t="shared" si="36"/>
        <v>#DIV/0!</v>
      </c>
      <c r="M309" s="66" t="e">
        <f t="shared" si="37"/>
        <v>#DIV/0!</v>
      </c>
      <c r="O309">
        <f t="shared" si="38"/>
        <v>0</v>
      </c>
    </row>
    <row r="310" spans="1:15" x14ac:dyDescent="0.3">
      <c r="A310" s="17">
        <v>45611</v>
      </c>
      <c r="B310">
        <v>0.1</v>
      </c>
      <c r="D310">
        <f t="shared" si="39"/>
        <v>15</v>
      </c>
      <c r="E310">
        <v>1</v>
      </c>
      <c r="F310">
        <f t="shared" si="40"/>
        <v>11</v>
      </c>
      <c r="G310">
        <f t="shared" si="41"/>
        <v>2024</v>
      </c>
      <c r="I310" s="17">
        <f t="shared" si="42"/>
        <v>45597</v>
      </c>
      <c r="K310" s="17">
        <v>36770</v>
      </c>
      <c r="L310" t="e">
        <f t="shared" si="36"/>
        <v>#DIV/0!</v>
      </c>
      <c r="M310" s="66" t="e">
        <f t="shared" si="37"/>
        <v>#DIV/0!</v>
      </c>
      <c r="O310">
        <f t="shared" si="38"/>
        <v>0</v>
      </c>
    </row>
    <row r="311" spans="1:15" x14ac:dyDescent="0.3">
      <c r="A311" s="17">
        <v>45610</v>
      </c>
      <c r="B311">
        <v>-0.31</v>
      </c>
      <c r="D311">
        <f t="shared" si="39"/>
        <v>14</v>
      </c>
      <c r="E311">
        <v>1</v>
      </c>
      <c r="F311">
        <f t="shared" si="40"/>
        <v>11</v>
      </c>
      <c r="G311">
        <f t="shared" si="41"/>
        <v>2024</v>
      </c>
      <c r="I311" s="17">
        <f t="shared" si="42"/>
        <v>45597</v>
      </c>
      <c r="K311" s="17">
        <v>36739</v>
      </c>
      <c r="L311" t="e">
        <f t="shared" si="36"/>
        <v>#DIV/0!</v>
      </c>
      <c r="M311" s="66" t="e">
        <f t="shared" si="37"/>
        <v>#DIV/0!</v>
      </c>
      <c r="O311">
        <f t="shared" si="38"/>
        <v>0</v>
      </c>
    </row>
    <row r="312" spans="1:15" x14ac:dyDescent="0.3">
      <c r="A312" s="17">
        <v>45609</v>
      </c>
      <c r="B312">
        <v>-0.34</v>
      </c>
      <c r="D312">
        <f t="shared" si="39"/>
        <v>13</v>
      </c>
      <c r="E312">
        <v>1</v>
      </c>
      <c r="F312">
        <f t="shared" si="40"/>
        <v>11</v>
      </c>
      <c r="G312">
        <f t="shared" si="41"/>
        <v>2024</v>
      </c>
      <c r="I312" s="17">
        <f t="shared" si="42"/>
        <v>45597</v>
      </c>
      <c r="K312" s="17">
        <v>36708</v>
      </c>
      <c r="L312" t="e">
        <f t="shared" si="36"/>
        <v>#DIV/0!</v>
      </c>
      <c r="M312" s="66" t="e">
        <f t="shared" si="37"/>
        <v>#DIV/0!</v>
      </c>
      <c r="O312">
        <f t="shared" si="38"/>
        <v>0</v>
      </c>
    </row>
    <row r="313" spans="1:15" x14ac:dyDescent="0.3">
      <c r="A313" s="17">
        <v>45608</v>
      </c>
      <c r="B313">
        <v>-0.35</v>
      </c>
      <c r="D313">
        <f t="shared" si="39"/>
        <v>12</v>
      </c>
      <c r="E313">
        <v>1</v>
      </c>
      <c r="F313">
        <f t="shared" si="40"/>
        <v>11</v>
      </c>
      <c r="G313">
        <f t="shared" si="41"/>
        <v>2024</v>
      </c>
      <c r="I313" s="17">
        <f t="shared" si="42"/>
        <v>45597</v>
      </c>
      <c r="K313" s="17">
        <v>36678</v>
      </c>
      <c r="L313" t="e">
        <f t="shared" si="36"/>
        <v>#DIV/0!</v>
      </c>
      <c r="M313" s="66" t="e">
        <f t="shared" si="37"/>
        <v>#DIV/0!</v>
      </c>
      <c r="O313">
        <f t="shared" si="38"/>
        <v>0</v>
      </c>
    </row>
    <row r="314" spans="1:15" x14ac:dyDescent="0.3">
      <c r="A314" s="17">
        <v>45607</v>
      </c>
      <c r="B314">
        <v>-0.21</v>
      </c>
      <c r="D314">
        <f t="shared" si="39"/>
        <v>11</v>
      </c>
      <c r="E314">
        <v>1</v>
      </c>
      <c r="F314">
        <f t="shared" si="40"/>
        <v>11</v>
      </c>
      <c r="G314">
        <f t="shared" si="41"/>
        <v>2024</v>
      </c>
      <c r="I314" s="17">
        <f t="shared" si="42"/>
        <v>45597</v>
      </c>
      <c r="K314" s="17">
        <v>36647</v>
      </c>
      <c r="L314" t="e">
        <f t="shared" si="36"/>
        <v>#DIV/0!</v>
      </c>
      <c r="M314" s="66" t="e">
        <f t="shared" si="37"/>
        <v>#DIV/0!</v>
      </c>
      <c r="O314">
        <f t="shared" si="38"/>
        <v>0</v>
      </c>
    </row>
    <row r="315" spans="1:15" x14ac:dyDescent="0.3">
      <c r="A315" s="17">
        <v>45604</v>
      </c>
      <c r="B315">
        <v>-0.26</v>
      </c>
      <c r="D315">
        <f t="shared" si="39"/>
        <v>8</v>
      </c>
      <c r="E315">
        <v>1</v>
      </c>
      <c r="F315">
        <f t="shared" si="40"/>
        <v>11</v>
      </c>
      <c r="G315">
        <f t="shared" si="41"/>
        <v>2024</v>
      </c>
      <c r="I315" s="17">
        <f t="shared" si="42"/>
        <v>45597</v>
      </c>
      <c r="K315" s="17">
        <v>36617</v>
      </c>
      <c r="L315" t="e">
        <f t="shared" si="36"/>
        <v>#DIV/0!</v>
      </c>
      <c r="M315" s="66" t="e">
        <f t="shared" si="37"/>
        <v>#DIV/0!</v>
      </c>
      <c r="O315">
        <f t="shared" si="38"/>
        <v>0</v>
      </c>
    </row>
    <row r="316" spans="1:15" x14ac:dyDescent="0.3">
      <c r="A316" s="17">
        <v>45603</v>
      </c>
      <c r="B316">
        <v>-0.26</v>
      </c>
      <c r="D316">
        <f t="shared" si="39"/>
        <v>7</v>
      </c>
      <c r="E316">
        <v>1</v>
      </c>
      <c r="F316">
        <f t="shared" si="40"/>
        <v>11</v>
      </c>
      <c r="G316">
        <f t="shared" si="41"/>
        <v>2024</v>
      </c>
      <c r="I316" s="17">
        <f t="shared" si="42"/>
        <v>45597</v>
      </c>
      <c r="K316" s="17">
        <v>36586</v>
      </c>
      <c r="L316" t="e">
        <f t="shared" si="36"/>
        <v>#DIV/0!</v>
      </c>
      <c r="M316" s="66" t="e">
        <f t="shared" si="37"/>
        <v>#DIV/0!</v>
      </c>
      <c r="O316">
        <f t="shared" si="38"/>
        <v>0</v>
      </c>
    </row>
    <row r="317" spans="1:15" x14ac:dyDescent="0.3">
      <c r="A317" s="17">
        <v>45602</v>
      </c>
      <c r="B317">
        <v>-0.1</v>
      </c>
      <c r="D317">
        <f t="shared" si="39"/>
        <v>6</v>
      </c>
      <c r="E317">
        <v>1</v>
      </c>
      <c r="F317">
        <f t="shared" si="40"/>
        <v>11</v>
      </c>
      <c r="G317">
        <f t="shared" si="41"/>
        <v>2024</v>
      </c>
      <c r="I317" s="17">
        <f t="shared" si="42"/>
        <v>45597</v>
      </c>
      <c r="K317" s="17">
        <v>36557</v>
      </c>
      <c r="L317" t="e">
        <f t="shared" si="36"/>
        <v>#DIV/0!</v>
      </c>
      <c r="M317" s="66" t="e">
        <f t="shared" si="37"/>
        <v>#DIV/0!</v>
      </c>
      <c r="O317">
        <f t="shared" si="38"/>
        <v>0</v>
      </c>
    </row>
    <row r="318" spans="1:15" x14ac:dyDescent="0.3">
      <c r="A318" s="17">
        <v>45601</v>
      </c>
      <c r="B318">
        <v>-0.27</v>
      </c>
      <c r="D318">
        <f t="shared" si="39"/>
        <v>5</v>
      </c>
      <c r="E318">
        <v>1</v>
      </c>
      <c r="F318">
        <f t="shared" si="40"/>
        <v>11</v>
      </c>
      <c r="G318">
        <f t="shared" si="41"/>
        <v>2024</v>
      </c>
      <c r="I318" s="17">
        <f t="shared" si="42"/>
        <v>45597</v>
      </c>
      <c r="K318" s="17">
        <v>36526</v>
      </c>
      <c r="L318" t="e">
        <f t="shared" si="36"/>
        <v>#DIV/0!</v>
      </c>
      <c r="M318" s="66" t="e">
        <f t="shared" si="37"/>
        <v>#DIV/0!</v>
      </c>
      <c r="O318">
        <f t="shared" si="38"/>
        <v>0</v>
      </c>
    </row>
    <row r="319" spans="1:15" x14ac:dyDescent="0.3">
      <c r="A319" s="17">
        <v>45600</v>
      </c>
      <c r="B319">
        <v>-0.28999999999999998</v>
      </c>
      <c r="D319">
        <f t="shared" si="39"/>
        <v>4</v>
      </c>
      <c r="E319">
        <v>1</v>
      </c>
      <c r="F319">
        <f t="shared" si="40"/>
        <v>11</v>
      </c>
      <c r="G319">
        <f t="shared" si="41"/>
        <v>2024</v>
      </c>
      <c r="I319" s="17">
        <f t="shared" si="42"/>
        <v>45597</v>
      </c>
      <c r="K319" s="17">
        <v>36495</v>
      </c>
      <c r="L319" t="e">
        <f t="shared" si="36"/>
        <v>#DIV/0!</v>
      </c>
      <c r="M319" s="66" t="e">
        <f t="shared" si="37"/>
        <v>#DIV/0!</v>
      </c>
      <c r="O319">
        <f t="shared" si="38"/>
        <v>1</v>
      </c>
    </row>
    <row r="320" spans="1:15" x14ac:dyDescent="0.3">
      <c r="A320" s="17">
        <v>45597</v>
      </c>
      <c r="B320">
        <v>-0.15</v>
      </c>
      <c r="D320">
        <f t="shared" si="39"/>
        <v>1</v>
      </c>
      <c r="E320">
        <v>1</v>
      </c>
      <c r="F320">
        <f t="shared" si="40"/>
        <v>11</v>
      </c>
      <c r="G320">
        <f t="shared" si="41"/>
        <v>2024</v>
      </c>
      <c r="I320" s="17">
        <f t="shared" si="42"/>
        <v>45597</v>
      </c>
      <c r="K320" s="17">
        <v>36465</v>
      </c>
      <c r="L320" t="e">
        <f t="shared" si="36"/>
        <v>#DIV/0!</v>
      </c>
      <c r="M320" s="66" t="e">
        <f t="shared" si="37"/>
        <v>#DIV/0!</v>
      </c>
      <c r="O320">
        <f t="shared" si="38"/>
        <v>1</v>
      </c>
    </row>
    <row r="321" spans="1:15" x14ac:dyDescent="0.3">
      <c r="A321" s="17">
        <v>45595</v>
      </c>
      <c r="B321">
        <v>0.87</v>
      </c>
      <c r="D321">
        <f t="shared" si="39"/>
        <v>30</v>
      </c>
      <c r="E321">
        <v>1</v>
      </c>
      <c r="F321">
        <f t="shared" si="40"/>
        <v>10</v>
      </c>
      <c r="G321">
        <f t="shared" si="41"/>
        <v>2024</v>
      </c>
      <c r="I321" s="17">
        <f t="shared" si="42"/>
        <v>45566</v>
      </c>
      <c r="K321" s="17">
        <v>36434</v>
      </c>
      <c r="L321" t="e">
        <f t="shared" si="36"/>
        <v>#DIV/0!</v>
      </c>
      <c r="M321" s="66" t="e">
        <f t="shared" si="37"/>
        <v>#DIV/0!</v>
      </c>
      <c r="O321">
        <f t="shared" si="38"/>
        <v>0</v>
      </c>
    </row>
    <row r="322" spans="1:15" x14ac:dyDescent="0.3">
      <c r="A322" s="17">
        <v>45594</v>
      </c>
      <c r="B322">
        <v>-0.12</v>
      </c>
      <c r="D322">
        <f t="shared" si="39"/>
        <v>29</v>
      </c>
      <c r="E322">
        <v>1</v>
      </c>
      <c r="F322">
        <f t="shared" si="40"/>
        <v>10</v>
      </c>
      <c r="G322">
        <f t="shared" si="41"/>
        <v>2024</v>
      </c>
      <c r="I322" s="17">
        <f t="shared" si="42"/>
        <v>45566</v>
      </c>
      <c r="K322" s="17">
        <v>36404</v>
      </c>
      <c r="L322" t="e">
        <f t="shared" si="36"/>
        <v>#DIV/0!</v>
      </c>
      <c r="M322" s="66" t="e">
        <f t="shared" si="37"/>
        <v>#DIV/0!</v>
      </c>
      <c r="O322">
        <f t="shared" si="38"/>
        <v>0</v>
      </c>
    </row>
    <row r="323" spans="1:15" x14ac:dyDescent="0.3">
      <c r="A323" s="17">
        <v>45593</v>
      </c>
      <c r="B323">
        <v>0.38</v>
      </c>
      <c r="D323">
        <f t="shared" si="39"/>
        <v>28</v>
      </c>
      <c r="E323">
        <v>1</v>
      </c>
      <c r="F323">
        <f t="shared" si="40"/>
        <v>10</v>
      </c>
      <c r="G323">
        <f t="shared" si="41"/>
        <v>2024</v>
      </c>
      <c r="I323" s="17">
        <f t="shared" si="42"/>
        <v>45566</v>
      </c>
      <c r="K323" s="17">
        <v>36373</v>
      </c>
      <c r="L323" t="e">
        <f t="shared" si="36"/>
        <v>#DIV/0!</v>
      </c>
      <c r="M323" s="66" t="e">
        <f t="shared" si="37"/>
        <v>#DIV/0!</v>
      </c>
      <c r="O323">
        <f t="shared" si="38"/>
        <v>0</v>
      </c>
    </row>
    <row r="324" spans="1:15" x14ac:dyDescent="0.3">
      <c r="A324" s="17">
        <v>45590</v>
      </c>
      <c r="B324">
        <v>0.24</v>
      </c>
      <c r="D324">
        <f t="shared" si="39"/>
        <v>25</v>
      </c>
      <c r="E324">
        <v>1</v>
      </c>
      <c r="F324">
        <f t="shared" si="40"/>
        <v>10</v>
      </c>
      <c r="G324">
        <f t="shared" si="41"/>
        <v>2024</v>
      </c>
      <c r="I324" s="17">
        <f t="shared" si="42"/>
        <v>45566</v>
      </c>
      <c r="K324" s="17">
        <v>36342</v>
      </c>
      <c r="L324" t="e">
        <f t="shared" si="36"/>
        <v>#DIV/0!</v>
      </c>
      <c r="M324" s="66" t="e">
        <f t="shared" si="37"/>
        <v>#DIV/0!</v>
      </c>
      <c r="O324">
        <f t="shared" si="38"/>
        <v>0</v>
      </c>
    </row>
    <row r="325" spans="1:15" x14ac:dyDescent="0.3">
      <c r="A325" s="17">
        <v>45589</v>
      </c>
      <c r="B325">
        <v>0.66</v>
      </c>
      <c r="D325">
        <f t="shared" si="39"/>
        <v>24</v>
      </c>
      <c r="E325">
        <v>1</v>
      </c>
      <c r="F325">
        <f t="shared" si="40"/>
        <v>10</v>
      </c>
      <c r="G325">
        <f t="shared" si="41"/>
        <v>2024</v>
      </c>
      <c r="I325" s="17">
        <f t="shared" si="42"/>
        <v>45566</v>
      </c>
      <c r="K325" s="17">
        <v>36312</v>
      </c>
      <c r="L325" t="e">
        <f t="shared" si="36"/>
        <v>#DIV/0!</v>
      </c>
      <c r="M325" s="66" t="e">
        <f t="shared" si="37"/>
        <v>#DIV/0!</v>
      </c>
      <c r="O325">
        <f t="shared" si="38"/>
        <v>0</v>
      </c>
    </row>
    <row r="326" spans="1:15" x14ac:dyDescent="0.3">
      <c r="A326" s="17">
        <v>45588</v>
      </c>
      <c r="B326">
        <v>0.66</v>
      </c>
      <c r="D326">
        <f t="shared" si="39"/>
        <v>23</v>
      </c>
      <c r="E326">
        <v>1</v>
      </c>
      <c r="F326">
        <f t="shared" si="40"/>
        <v>10</v>
      </c>
      <c r="G326">
        <f t="shared" si="41"/>
        <v>2024</v>
      </c>
      <c r="I326" s="17">
        <f t="shared" si="42"/>
        <v>45566</v>
      </c>
      <c r="K326" s="17">
        <v>36281</v>
      </c>
      <c r="L326" t="e">
        <f t="shared" si="36"/>
        <v>#DIV/0!</v>
      </c>
      <c r="M326" s="66" t="e">
        <f t="shared" si="37"/>
        <v>#DIV/0!</v>
      </c>
      <c r="O326">
        <f t="shared" si="38"/>
        <v>0</v>
      </c>
    </row>
    <row r="327" spans="1:15" x14ac:dyDescent="0.3">
      <c r="A327" s="17">
        <v>45587</v>
      </c>
      <c r="B327">
        <v>0.72</v>
      </c>
      <c r="D327">
        <f t="shared" si="39"/>
        <v>22</v>
      </c>
      <c r="E327">
        <v>1</v>
      </c>
      <c r="F327">
        <f t="shared" si="40"/>
        <v>10</v>
      </c>
      <c r="G327">
        <f t="shared" si="41"/>
        <v>2024</v>
      </c>
      <c r="I327" s="17">
        <f t="shared" si="42"/>
        <v>45566</v>
      </c>
      <c r="K327" s="17">
        <v>36251</v>
      </c>
      <c r="L327" t="e">
        <f t="shared" ref="L327:L390" si="43">+AVERAGEIFS($B$6:$B$928,$I$6:$I$928,$K327)</f>
        <v>#DIV/0!</v>
      </c>
      <c r="M327" s="66" t="e">
        <f t="shared" ref="M327:M390" si="44">+AVERAGEIFS($B$6:$B$928,$I$6:$I$928,$K327,$O$6:$O$928,1)</f>
        <v>#DIV/0!</v>
      </c>
      <c r="O327">
        <f t="shared" ref="O327:O390" si="45">IF(AND(D327&gt;=1, D327&lt;=4), 1, 0)</f>
        <v>0</v>
      </c>
    </row>
    <row r="328" spans="1:15" x14ac:dyDescent="0.3">
      <c r="A328" s="17">
        <v>45586</v>
      </c>
      <c r="B328">
        <v>0.66</v>
      </c>
      <c r="D328">
        <f t="shared" si="39"/>
        <v>21</v>
      </c>
      <c r="E328">
        <v>1</v>
      </c>
      <c r="F328">
        <f t="shared" si="40"/>
        <v>10</v>
      </c>
      <c r="G328">
        <f t="shared" si="41"/>
        <v>2024</v>
      </c>
      <c r="I328" s="17">
        <f t="shared" si="42"/>
        <v>45566</v>
      </c>
      <c r="K328" s="17">
        <v>36220</v>
      </c>
      <c r="L328" t="e">
        <f t="shared" si="43"/>
        <v>#DIV/0!</v>
      </c>
      <c r="M328" s="66" t="e">
        <f t="shared" si="44"/>
        <v>#DIV/0!</v>
      </c>
      <c r="O328">
        <f t="shared" si="45"/>
        <v>0</v>
      </c>
    </row>
    <row r="329" spans="1:15" x14ac:dyDescent="0.3">
      <c r="A329" s="17">
        <v>45583</v>
      </c>
      <c r="B329">
        <v>0.84</v>
      </c>
      <c r="D329">
        <f t="shared" si="39"/>
        <v>18</v>
      </c>
      <c r="E329">
        <v>1</v>
      </c>
      <c r="F329">
        <f t="shared" si="40"/>
        <v>10</v>
      </c>
      <c r="G329">
        <f t="shared" si="41"/>
        <v>2024</v>
      </c>
      <c r="I329" s="17">
        <f t="shared" si="42"/>
        <v>45566</v>
      </c>
      <c r="K329" s="17">
        <v>36192</v>
      </c>
      <c r="L329" t="e">
        <f t="shared" si="43"/>
        <v>#DIV/0!</v>
      </c>
      <c r="M329" s="66" t="e">
        <f t="shared" si="44"/>
        <v>#DIV/0!</v>
      </c>
      <c r="O329">
        <f t="shared" si="45"/>
        <v>0</v>
      </c>
    </row>
    <row r="330" spans="1:15" x14ac:dyDescent="0.3">
      <c r="A330" s="17">
        <v>45582</v>
      </c>
      <c r="B330">
        <v>0.66</v>
      </c>
      <c r="D330">
        <f t="shared" si="39"/>
        <v>17</v>
      </c>
      <c r="E330">
        <v>1</v>
      </c>
      <c r="F330">
        <f t="shared" si="40"/>
        <v>10</v>
      </c>
      <c r="G330">
        <f t="shared" si="41"/>
        <v>2024</v>
      </c>
      <c r="I330" s="17">
        <f t="shared" si="42"/>
        <v>45566</v>
      </c>
      <c r="K330" s="17">
        <v>36161</v>
      </c>
      <c r="L330" t="e">
        <f t="shared" si="43"/>
        <v>#DIV/0!</v>
      </c>
      <c r="M330" s="66" t="e">
        <f t="shared" si="44"/>
        <v>#DIV/0!</v>
      </c>
      <c r="O330">
        <f t="shared" si="45"/>
        <v>0</v>
      </c>
    </row>
    <row r="331" spans="1:15" x14ac:dyDescent="0.3">
      <c r="A331" s="17">
        <v>45581</v>
      </c>
      <c r="B331">
        <v>0.7</v>
      </c>
      <c r="D331">
        <f t="shared" si="39"/>
        <v>16</v>
      </c>
      <c r="E331">
        <v>1</v>
      </c>
      <c r="F331">
        <f t="shared" si="40"/>
        <v>10</v>
      </c>
      <c r="G331">
        <f t="shared" si="41"/>
        <v>2024</v>
      </c>
      <c r="I331" s="17">
        <f t="shared" si="42"/>
        <v>45566</v>
      </c>
      <c r="K331" s="17">
        <v>36130</v>
      </c>
      <c r="L331" t="e">
        <f t="shared" si="43"/>
        <v>#DIV/0!</v>
      </c>
      <c r="M331" s="66" t="e">
        <f t="shared" si="44"/>
        <v>#DIV/0!</v>
      </c>
      <c r="O331">
        <f t="shared" si="45"/>
        <v>0</v>
      </c>
    </row>
    <row r="332" spans="1:15" x14ac:dyDescent="0.3">
      <c r="A332" s="17">
        <v>45580</v>
      </c>
      <c r="B332">
        <v>0.69</v>
      </c>
      <c r="D332">
        <f t="shared" si="39"/>
        <v>15</v>
      </c>
      <c r="E332">
        <v>1</v>
      </c>
      <c r="F332">
        <f t="shared" si="40"/>
        <v>10</v>
      </c>
      <c r="G332">
        <f t="shared" si="41"/>
        <v>2024</v>
      </c>
      <c r="I332" s="17">
        <f t="shared" si="42"/>
        <v>45566</v>
      </c>
      <c r="K332" s="17">
        <v>36100</v>
      </c>
      <c r="L332" t="e">
        <f t="shared" si="43"/>
        <v>#DIV/0!</v>
      </c>
      <c r="M332" s="66" t="e">
        <f t="shared" si="44"/>
        <v>#DIV/0!</v>
      </c>
      <c r="O332">
        <f t="shared" si="45"/>
        <v>0</v>
      </c>
    </row>
    <row r="333" spans="1:15" x14ac:dyDescent="0.3">
      <c r="A333" s="17">
        <v>45579</v>
      </c>
      <c r="B333">
        <v>0.78</v>
      </c>
      <c r="D333">
        <f t="shared" si="39"/>
        <v>14</v>
      </c>
      <c r="E333">
        <v>1</v>
      </c>
      <c r="F333">
        <f t="shared" si="40"/>
        <v>10</v>
      </c>
      <c r="G333">
        <f t="shared" si="41"/>
        <v>2024</v>
      </c>
      <c r="I333" s="17">
        <f t="shared" si="42"/>
        <v>45566</v>
      </c>
      <c r="K333" s="17">
        <v>36069</v>
      </c>
      <c r="L333" t="e">
        <f t="shared" si="43"/>
        <v>#DIV/0!</v>
      </c>
      <c r="M333" s="66" t="e">
        <f t="shared" si="44"/>
        <v>#DIV/0!</v>
      </c>
      <c r="O333">
        <f t="shared" si="45"/>
        <v>0</v>
      </c>
    </row>
    <row r="334" spans="1:15" x14ac:dyDescent="0.3">
      <c r="A334" s="17">
        <v>45576</v>
      </c>
      <c r="B334">
        <v>0.97</v>
      </c>
      <c r="D334">
        <f t="shared" si="39"/>
        <v>11</v>
      </c>
      <c r="E334">
        <v>1</v>
      </c>
      <c r="F334">
        <f t="shared" si="40"/>
        <v>10</v>
      </c>
      <c r="G334">
        <f t="shared" si="41"/>
        <v>2024</v>
      </c>
      <c r="I334" s="17">
        <f t="shared" si="42"/>
        <v>45566</v>
      </c>
      <c r="K334" s="17">
        <v>36039</v>
      </c>
      <c r="L334" t="e">
        <f t="shared" si="43"/>
        <v>#DIV/0!</v>
      </c>
      <c r="M334" s="66" t="e">
        <f t="shared" si="44"/>
        <v>#DIV/0!</v>
      </c>
      <c r="O334">
        <f t="shared" si="45"/>
        <v>0</v>
      </c>
    </row>
    <row r="335" spans="1:15" x14ac:dyDescent="0.3">
      <c r="A335" s="17">
        <v>45575</v>
      </c>
      <c r="B335">
        <v>0.89</v>
      </c>
      <c r="D335">
        <f t="shared" ref="D335:D398" si="46">+DAY(A335)</f>
        <v>10</v>
      </c>
      <c r="E335">
        <v>1</v>
      </c>
      <c r="F335">
        <f t="shared" ref="F335:F398" si="47">+MONTH(A335)</f>
        <v>10</v>
      </c>
      <c r="G335">
        <f t="shared" ref="G335:G398" si="48">+YEAR(A335)</f>
        <v>2024</v>
      </c>
      <c r="I335" s="17">
        <f t="shared" ref="I335:I398" si="49">+DATE(G335,F335,E335)</f>
        <v>45566</v>
      </c>
      <c r="K335" s="17">
        <v>36008</v>
      </c>
      <c r="L335" t="e">
        <f t="shared" si="43"/>
        <v>#DIV/0!</v>
      </c>
      <c r="M335" s="66" t="e">
        <f t="shared" si="44"/>
        <v>#DIV/0!</v>
      </c>
      <c r="O335">
        <f t="shared" si="45"/>
        <v>0</v>
      </c>
    </row>
    <row r="336" spans="1:15" x14ac:dyDescent="0.3">
      <c r="A336" s="17">
        <v>45574</v>
      </c>
      <c r="B336">
        <v>0.84</v>
      </c>
      <c r="D336">
        <f t="shared" si="46"/>
        <v>9</v>
      </c>
      <c r="E336">
        <v>1</v>
      </c>
      <c r="F336">
        <f t="shared" si="47"/>
        <v>10</v>
      </c>
      <c r="G336">
        <f t="shared" si="48"/>
        <v>2024</v>
      </c>
      <c r="I336" s="17">
        <f t="shared" si="49"/>
        <v>45566</v>
      </c>
      <c r="K336" s="17">
        <v>35977</v>
      </c>
      <c r="L336" t="e">
        <f t="shared" si="43"/>
        <v>#DIV/0!</v>
      </c>
      <c r="M336" s="66" t="e">
        <f t="shared" si="44"/>
        <v>#DIV/0!</v>
      </c>
      <c r="O336">
        <f t="shared" si="45"/>
        <v>0</v>
      </c>
    </row>
    <row r="337" spans="1:15" x14ac:dyDescent="0.3">
      <c r="A337" s="17">
        <v>45573</v>
      </c>
      <c r="B337">
        <v>0.95</v>
      </c>
      <c r="D337">
        <f t="shared" si="46"/>
        <v>8</v>
      </c>
      <c r="E337">
        <v>1</v>
      </c>
      <c r="F337">
        <f t="shared" si="47"/>
        <v>10</v>
      </c>
      <c r="G337">
        <f t="shared" si="48"/>
        <v>2024</v>
      </c>
      <c r="I337" s="17">
        <f t="shared" si="49"/>
        <v>45566</v>
      </c>
      <c r="K337" s="17">
        <v>35947</v>
      </c>
      <c r="L337" t="e">
        <f t="shared" si="43"/>
        <v>#DIV/0!</v>
      </c>
      <c r="M337" s="66" t="e">
        <f t="shared" si="44"/>
        <v>#DIV/0!</v>
      </c>
      <c r="O337">
        <f t="shared" si="45"/>
        <v>0</v>
      </c>
    </row>
    <row r="338" spans="1:15" x14ac:dyDescent="0.3">
      <c r="A338" s="17">
        <v>45572</v>
      </c>
      <c r="B338">
        <v>0.72</v>
      </c>
      <c r="D338">
        <f t="shared" si="46"/>
        <v>7</v>
      </c>
      <c r="E338">
        <v>1</v>
      </c>
      <c r="F338">
        <f t="shared" si="47"/>
        <v>10</v>
      </c>
      <c r="G338">
        <f t="shared" si="48"/>
        <v>2024</v>
      </c>
      <c r="I338" s="17">
        <f t="shared" si="49"/>
        <v>45566</v>
      </c>
      <c r="K338" s="17">
        <v>35916</v>
      </c>
      <c r="L338" t="e">
        <f t="shared" si="43"/>
        <v>#DIV/0!</v>
      </c>
      <c r="M338" s="66" t="e">
        <f t="shared" si="44"/>
        <v>#DIV/0!</v>
      </c>
      <c r="O338">
        <f t="shared" si="45"/>
        <v>0</v>
      </c>
    </row>
    <row r="339" spans="1:15" x14ac:dyDescent="0.3">
      <c r="A339" s="17">
        <v>45569</v>
      </c>
      <c r="B339">
        <v>0.97</v>
      </c>
      <c r="D339">
        <f t="shared" si="46"/>
        <v>4</v>
      </c>
      <c r="E339">
        <v>1</v>
      </c>
      <c r="F339">
        <f t="shared" si="47"/>
        <v>10</v>
      </c>
      <c r="G339">
        <f t="shared" si="48"/>
        <v>2024</v>
      </c>
      <c r="I339" s="17">
        <f t="shared" si="49"/>
        <v>45566</v>
      </c>
      <c r="K339" s="17">
        <v>35886</v>
      </c>
      <c r="L339" t="e">
        <f t="shared" si="43"/>
        <v>#DIV/0!</v>
      </c>
      <c r="M339" s="66" t="e">
        <f t="shared" si="44"/>
        <v>#DIV/0!</v>
      </c>
      <c r="O339">
        <f t="shared" si="45"/>
        <v>1</v>
      </c>
    </row>
    <row r="340" spans="1:15" x14ac:dyDescent="0.3">
      <c r="A340" s="17">
        <v>45568</v>
      </c>
      <c r="B340">
        <v>0.56000000000000005</v>
      </c>
      <c r="D340">
        <f t="shared" si="46"/>
        <v>3</v>
      </c>
      <c r="E340">
        <v>1</v>
      </c>
      <c r="F340">
        <f t="shared" si="47"/>
        <v>10</v>
      </c>
      <c r="G340">
        <f t="shared" si="48"/>
        <v>2024</v>
      </c>
      <c r="I340" s="17">
        <f t="shared" si="49"/>
        <v>45566</v>
      </c>
      <c r="K340" s="17">
        <v>35855</v>
      </c>
      <c r="L340" t="e">
        <f t="shared" si="43"/>
        <v>#DIV/0!</v>
      </c>
      <c r="M340" s="66" t="e">
        <f t="shared" si="44"/>
        <v>#DIV/0!</v>
      </c>
      <c r="O340">
        <f t="shared" si="45"/>
        <v>1</v>
      </c>
    </row>
    <row r="341" spans="1:15" x14ac:dyDescent="0.3">
      <c r="A341" s="17">
        <v>45567</v>
      </c>
      <c r="B341">
        <v>0.85</v>
      </c>
      <c r="D341">
        <f t="shared" si="46"/>
        <v>2</v>
      </c>
      <c r="E341">
        <v>1</v>
      </c>
      <c r="F341">
        <f t="shared" si="47"/>
        <v>10</v>
      </c>
      <c r="G341">
        <f t="shared" si="48"/>
        <v>2024</v>
      </c>
      <c r="I341" s="17">
        <f t="shared" si="49"/>
        <v>45566</v>
      </c>
      <c r="K341" s="17">
        <v>35827</v>
      </c>
      <c r="L341" t="e">
        <f t="shared" si="43"/>
        <v>#DIV/0!</v>
      </c>
      <c r="M341" s="66" t="e">
        <f t="shared" si="44"/>
        <v>#DIV/0!</v>
      </c>
      <c r="O341">
        <f t="shared" si="45"/>
        <v>1</v>
      </c>
    </row>
    <row r="342" spans="1:15" x14ac:dyDescent="0.3">
      <c r="A342" s="17">
        <v>45566</v>
      </c>
      <c r="B342">
        <v>0.59</v>
      </c>
      <c r="D342">
        <f t="shared" si="46"/>
        <v>1</v>
      </c>
      <c r="E342">
        <v>1</v>
      </c>
      <c r="F342">
        <f t="shared" si="47"/>
        <v>10</v>
      </c>
      <c r="G342">
        <f t="shared" si="48"/>
        <v>2024</v>
      </c>
      <c r="I342" s="17">
        <f t="shared" si="49"/>
        <v>45566</v>
      </c>
      <c r="K342" s="17">
        <v>35796</v>
      </c>
      <c r="L342" t="e">
        <f t="shared" si="43"/>
        <v>#DIV/0!</v>
      </c>
      <c r="M342" s="66" t="e">
        <f t="shared" si="44"/>
        <v>#DIV/0!</v>
      </c>
      <c r="O342">
        <f t="shared" si="45"/>
        <v>1</v>
      </c>
    </row>
    <row r="343" spans="1:15" x14ac:dyDescent="0.3">
      <c r="A343" s="17">
        <v>45565</v>
      </c>
      <c r="B343">
        <v>0.98</v>
      </c>
      <c r="D343">
        <f t="shared" si="46"/>
        <v>30</v>
      </c>
      <c r="E343">
        <v>1</v>
      </c>
      <c r="F343">
        <f t="shared" si="47"/>
        <v>9</v>
      </c>
      <c r="G343">
        <f t="shared" si="48"/>
        <v>2024</v>
      </c>
      <c r="I343" s="17">
        <f t="shared" si="49"/>
        <v>45536</v>
      </c>
      <c r="K343" s="17">
        <v>35765</v>
      </c>
      <c r="L343" t="e">
        <f t="shared" si="43"/>
        <v>#DIV/0!</v>
      </c>
      <c r="M343" s="66" t="e">
        <f t="shared" si="44"/>
        <v>#DIV/0!</v>
      </c>
      <c r="O343">
        <f t="shared" si="45"/>
        <v>0</v>
      </c>
    </row>
    <row r="344" spans="1:15" x14ac:dyDescent="0.3">
      <c r="A344" s="17">
        <v>45562</v>
      </c>
      <c r="B344">
        <v>1.54</v>
      </c>
      <c r="D344">
        <f t="shared" si="46"/>
        <v>27</v>
      </c>
      <c r="E344">
        <v>1</v>
      </c>
      <c r="F344">
        <f t="shared" si="47"/>
        <v>9</v>
      </c>
      <c r="G344">
        <f t="shared" si="48"/>
        <v>2024</v>
      </c>
      <c r="I344" s="17">
        <f t="shared" si="49"/>
        <v>45536</v>
      </c>
      <c r="K344" s="17">
        <v>35735</v>
      </c>
      <c r="L344" t="e">
        <f t="shared" si="43"/>
        <v>#DIV/0!</v>
      </c>
      <c r="M344" s="66" t="e">
        <f t="shared" si="44"/>
        <v>#DIV/0!</v>
      </c>
      <c r="O344">
        <f t="shared" si="45"/>
        <v>0</v>
      </c>
    </row>
    <row r="345" spans="1:15" x14ac:dyDescent="0.3">
      <c r="A345" s="17">
        <v>45561</v>
      </c>
      <c r="B345">
        <v>1.25</v>
      </c>
      <c r="D345">
        <f t="shared" si="46"/>
        <v>26</v>
      </c>
      <c r="E345">
        <v>1</v>
      </c>
      <c r="F345">
        <f t="shared" si="47"/>
        <v>9</v>
      </c>
      <c r="G345">
        <f t="shared" si="48"/>
        <v>2024</v>
      </c>
      <c r="I345" s="17">
        <f t="shared" si="49"/>
        <v>45536</v>
      </c>
      <c r="K345" s="17">
        <v>35704</v>
      </c>
      <c r="L345" t="e">
        <f t="shared" si="43"/>
        <v>#DIV/0!</v>
      </c>
      <c r="M345" s="66" t="e">
        <f t="shared" si="44"/>
        <v>#DIV/0!</v>
      </c>
      <c r="O345">
        <f t="shared" si="45"/>
        <v>0</v>
      </c>
    </row>
    <row r="346" spans="1:15" x14ac:dyDescent="0.3">
      <c r="A346" s="17">
        <v>45560</v>
      </c>
      <c r="B346">
        <v>1.0900000000000001</v>
      </c>
      <c r="D346">
        <f t="shared" si="46"/>
        <v>25</v>
      </c>
      <c r="E346">
        <v>1</v>
      </c>
      <c r="F346">
        <f t="shared" si="47"/>
        <v>9</v>
      </c>
      <c r="G346">
        <f t="shared" si="48"/>
        <v>2024</v>
      </c>
      <c r="I346" s="17">
        <f t="shared" si="49"/>
        <v>45536</v>
      </c>
      <c r="K346" s="17">
        <v>35674</v>
      </c>
      <c r="L346" t="e">
        <f t="shared" si="43"/>
        <v>#DIV/0!</v>
      </c>
      <c r="M346" s="66" t="e">
        <f t="shared" si="44"/>
        <v>#DIV/0!</v>
      </c>
      <c r="O346">
        <f t="shared" si="45"/>
        <v>0</v>
      </c>
    </row>
    <row r="347" spans="1:15" x14ac:dyDescent="0.3">
      <c r="A347" s="17">
        <v>45559</v>
      </c>
      <c r="B347">
        <v>0.93</v>
      </c>
      <c r="D347">
        <f t="shared" si="46"/>
        <v>24</v>
      </c>
      <c r="E347">
        <v>1</v>
      </c>
      <c r="F347">
        <f t="shared" si="47"/>
        <v>9</v>
      </c>
      <c r="G347">
        <f t="shared" si="48"/>
        <v>2024</v>
      </c>
      <c r="I347" s="17">
        <f t="shared" si="49"/>
        <v>45536</v>
      </c>
      <c r="K347" s="17">
        <v>35643</v>
      </c>
      <c r="L347" t="e">
        <f t="shared" si="43"/>
        <v>#DIV/0!</v>
      </c>
      <c r="M347" s="66" t="e">
        <f t="shared" si="44"/>
        <v>#DIV/0!</v>
      </c>
      <c r="O347">
        <f t="shared" si="45"/>
        <v>0</v>
      </c>
    </row>
    <row r="348" spans="1:15" x14ac:dyDescent="0.3">
      <c r="A348" s="17">
        <v>45558</v>
      </c>
      <c r="B348">
        <v>1.01</v>
      </c>
      <c r="D348">
        <f t="shared" si="46"/>
        <v>23</v>
      </c>
      <c r="E348">
        <v>1</v>
      </c>
      <c r="F348">
        <f t="shared" si="47"/>
        <v>9</v>
      </c>
      <c r="G348">
        <f t="shared" si="48"/>
        <v>2024</v>
      </c>
      <c r="I348" s="17">
        <f t="shared" si="49"/>
        <v>45536</v>
      </c>
      <c r="K348" s="17">
        <v>35612</v>
      </c>
      <c r="L348" t="e">
        <f t="shared" si="43"/>
        <v>#DIV/0!</v>
      </c>
      <c r="M348" s="66" t="e">
        <f t="shared" si="44"/>
        <v>#DIV/0!</v>
      </c>
      <c r="O348">
        <f t="shared" si="45"/>
        <v>0</v>
      </c>
    </row>
    <row r="349" spans="1:15" x14ac:dyDescent="0.3">
      <c r="A349" s="17">
        <v>45555</v>
      </c>
      <c r="B349">
        <v>0.9</v>
      </c>
      <c r="D349">
        <f t="shared" si="46"/>
        <v>20</v>
      </c>
      <c r="E349">
        <v>1</v>
      </c>
      <c r="F349">
        <f t="shared" si="47"/>
        <v>9</v>
      </c>
      <c r="G349">
        <f t="shared" si="48"/>
        <v>2024</v>
      </c>
      <c r="I349" s="17">
        <f t="shared" si="49"/>
        <v>45536</v>
      </c>
      <c r="K349" s="17">
        <v>35582</v>
      </c>
      <c r="L349" t="e">
        <f t="shared" si="43"/>
        <v>#DIV/0!</v>
      </c>
      <c r="M349" s="66" t="e">
        <f t="shared" si="44"/>
        <v>#DIV/0!</v>
      </c>
      <c r="O349">
        <f t="shared" si="45"/>
        <v>0</v>
      </c>
    </row>
    <row r="350" spans="1:15" x14ac:dyDescent="0.3">
      <c r="A350" s="17">
        <v>45554</v>
      </c>
      <c r="B350">
        <v>1.36</v>
      </c>
      <c r="D350">
        <f t="shared" si="46"/>
        <v>19</v>
      </c>
      <c r="E350">
        <v>1</v>
      </c>
      <c r="F350">
        <f t="shared" si="47"/>
        <v>9</v>
      </c>
      <c r="G350">
        <f t="shared" si="48"/>
        <v>2024</v>
      </c>
      <c r="I350" s="17">
        <f t="shared" si="49"/>
        <v>45536</v>
      </c>
      <c r="K350" s="17">
        <v>35551</v>
      </c>
      <c r="L350" t="e">
        <f t="shared" si="43"/>
        <v>#DIV/0!</v>
      </c>
      <c r="M350" s="66" t="e">
        <f t="shared" si="44"/>
        <v>#DIV/0!</v>
      </c>
      <c r="O350">
        <f t="shared" si="45"/>
        <v>0</v>
      </c>
    </row>
    <row r="351" spans="1:15" x14ac:dyDescent="0.3">
      <c r="A351" s="17">
        <v>45553</v>
      </c>
      <c r="B351">
        <v>1.49</v>
      </c>
      <c r="D351">
        <f t="shared" si="46"/>
        <v>18</v>
      </c>
      <c r="E351">
        <v>1</v>
      </c>
      <c r="F351">
        <f t="shared" si="47"/>
        <v>9</v>
      </c>
      <c r="G351">
        <f t="shared" si="48"/>
        <v>2024</v>
      </c>
      <c r="I351" s="17">
        <f t="shared" si="49"/>
        <v>45536</v>
      </c>
      <c r="K351" s="17">
        <v>35521</v>
      </c>
      <c r="L351" t="e">
        <f t="shared" si="43"/>
        <v>#DIV/0!</v>
      </c>
      <c r="M351" s="66" t="e">
        <f t="shared" si="44"/>
        <v>#DIV/0!</v>
      </c>
      <c r="O351">
        <f t="shared" si="45"/>
        <v>0</v>
      </c>
    </row>
    <row r="352" spans="1:15" x14ac:dyDescent="0.3">
      <c r="A352" s="17">
        <v>45552</v>
      </c>
      <c r="B352">
        <v>1.33</v>
      </c>
      <c r="D352">
        <f t="shared" si="46"/>
        <v>17</v>
      </c>
      <c r="E352">
        <v>1</v>
      </c>
      <c r="F352">
        <f t="shared" si="47"/>
        <v>9</v>
      </c>
      <c r="G352">
        <f t="shared" si="48"/>
        <v>2024</v>
      </c>
      <c r="I352" s="17">
        <f t="shared" si="49"/>
        <v>45536</v>
      </c>
      <c r="K352" s="17">
        <v>35490</v>
      </c>
      <c r="L352" t="e">
        <f t="shared" si="43"/>
        <v>#DIV/0!</v>
      </c>
      <c r="M352" s="66" t="e">
        <f t="shared" si="44"/>
        <v>#DIV/0!</v>
      </c>
      <c r="O352">
        <f t="shared" si="45"/>
        <v>0</v>
      </c>
    </row>
    <row r="353" spans="1:15" x14ac:dyDescent="0.3">
      <c r="A353" s="17">
        <v>45551</v>
      </c>
      <c r="B353">
        <v>1.22</v>
      </c>
      <c r="D353">
        <f t="shared" si="46"/>
        <v>16</v>
      </c>
      <c r="E353">
        <v>1</v>
      </c>
      <c r="F353">
        <f t="shared" si="47"/>
        <v>9</v>
      </c>
      <c r="G353">
        <f t="shared" si="48"/>
        <v>2024</v>
      </c>
      <c r="I353" s="17">
        <f t="shared" si="49"/>
        <v>45536</v>
      </c>
      <c r="K353" s="17">
        <v>35462</v>
      </c>
      <c r="L353" t="e">
        <f t="shared" si="43"/>
        <v>#DIV/0!</v>
      </c>
      <c r="M353" s="66" t="e">
        <f t="shared" si="44"/>
        <v>#DIV/0!</v>
      </c>
      <c r="O353">
        <f t="shared" si="45"/>
        <v>0</v>
      </c>
    </row>
    <row r="354" spans="1:15" x14ac:dyDescent="0.3">
      <c r="A354" s="17">
        <v>45548</v>
      </c>
      <c r="B354">
        <v>1.1499999999999999</v>
      </c>
      <c r="D354">
        <f t="shared" si="46"/>
        <v>13</v>
      </c>
      <c r="E354">
        <v>1</v>
      </c>
      <c r="F354">
        <f t="shared" si="47"/>
        <v>9</v>
      </c>
      <c r="G354">
        <f t="shared" si="48"/>
        <v>2024</v>
      </c>
      <c r="I354" s="17">
        <f t="shared" si="49"/>
        <v>45536</v>
      </c>
      <c r="K354" s="17">
        <v>35431</v>
      </c>
      <c r="L354" t="e">
        <f t="shared" si="43"/>
        <v>#DIV/0!</v>
      </c>
      <c r="M354" s="66" t="e">
        <f t="shared" si="44"/>
        <v>#DIV/0!</v>
      </c>
      <c r="O354">
        <f t="shared" si="45"/>
        <v>0</v>
      </c>
    </row>
    <row r="355" spans="1:15" x14ac:dyDescent="0.3">
      <c r="A355" s="17">
        <v>45547</v>
      </c>
      <c r="B355">
        <v>1.1499999999999999</v>
      </c>
      <c r="D355">
        <f t="shared" si="46"/>
        <v>12</v>
      </c>
      <c r="E355">
        <v>1</v>
      </c>
      <c r="F355">
        <f t="shared" si="47"/>
        <v>9</v>
      </c>
      <c r="G355">
        <f t="shared" si="48"/>
        <v>2024</v>
      </c>
      <c r="I355" s="17">
        <f t="shared" si="49"/>
        <v>45536</v>
      </c>
      <c r="K355" s="17">
        <v>35400</v>
      </c>
      <c r="L355" t="e">
        <f t="shared" si="43"/>
        <v>#DIV/0!</v>
      </c>
      <c r="M355" s="66" t="e">
        <f t="shared" si="44"/>
        <v>#DIV/0!</v>
      </c>
      <c r="O355">
        <f t="shared" si="45"/>
        <v>0</v>
      </c>
    </row>
    <row r="356" spans="1:15" x14ac:dyDescent="0.3">
      <c r="A356" s="17">
        <v>45546</v>
      </c>
      <c r="B356">
        <v>1.1100000000000001</v>
      </c>
      <c r="D356">
        <f t="shared" si="46"/>
        <v>11</v>
      </c>
      <c r="E356">
        <v>1</v>
      </c>
      <c r="F356">
        <f t="shared" si="47"/>
        <v>9</v>
      </c>
      <c r="G356">
        <f t="shared" si="48"/>
        <v>2024</v>
      </c>
      <c r="I356" s="17">
        <f t="shared" si="49"/>
        <v>45536</v>
      </c>
      <c r="K356" s="17">
        <v>35370</v>
      </c>
      <c r="L356" t="e">
        <f t="shared" si="43"/>
        <v>#DIV/0!</v>
      </c>
      <c r="M356" s="66" t="e">
        <f t="shared" si="44"/>
        <v>#DIV/0!</v>
      </c>
      <c r="O356">
        <f t="shared" si="45"/>
        <v>0</v>
      </c>
    </row>
    <row r="357" spans="1:15" x14ac:dyDescent="0.3">
      <c r="A357" s="17">
        <v>45545</v>
      </c>
      <c r="B357">
        <v>1.24</v>
      </c>
      <c r="D357">
        <f t="shared" si="46"/>
        <v>10</v>
      </c>
      <c r="E357">
        <v>1</v>
      </c>
      <c r="F357">
        <f t="shared" si="47"/>
        <v>9</v>
      </c>
      <c r="G357">
        <f t="shared" si="48"/>
        <v>2024</v>
      </c>
      <c r="I357" s="17">
        <f t="shared" si="49"/>
        <v>45536</v>
      </c>
      <c r="K357" s="17">
        <v>35339</v>
      </c>
      <c r="L357" t="e">
        <f t="shared" si="43"/>
        <v>#DIV/0!</v>
      </c>
      <c r="M357" s="66" t="e">
        <f t="shared" si="44"/>
        <v>#DIV/0!</v>
      </c>
      <c r="O357">
        <f t="shared" si="45"/>
        <v>0</v>
      </c>
    </row>
    <row r="358" spans="1:15" x14ac:dyDescent="0.3">
      <c r="A358" s="17">
        <v>45544</v>
      </c>
      <c r="B358">
        <v>1.1599999999999999</v>
      </c>
      <c r="D358">
        <f t="shared" si="46"/>
        <v>9</v>
      </c>
      <c r="E358">
        <v>1</v>
      </c>
      <c r="F358">
        <f t="shared" si="47"/>
        <v>9</v>
      </c>
      <c r="G358">
        <f t="shared" si="48"/>
        <v>2024</v>
      </c>
      <c r="I358" s="17">
        <f t="shared" si="49"/>
        <v>45536</v>
      </c>
      <c r="K358" s="17">
        <v>35309</v>
      </c>
      <c r="L358" t="e">
        <f t="shared" si="43"/>
        <v>#DIV/0!</v>
      </c>
      <c r="M358" s="66" t="e">
        <f t="shared" si="44"/>
        <v>#DIV/0!</v>
      </c>
      <c r="O358">
        <f t="shared" si="45"/>
        <v>0</v>
      </c>
    </row>
    <row r="359" spans="1:15" x14ac:dyDescent="0.3">
      <c r="A359" s="17">
        <v>45541</v>
      </c>
      <c r="B359">
        <v>1.2</v>
      </c>
      <c r="D359">
        <f t="shared" si="46"/>
        <v>6</v>
      </c>
      <c r="E359">
        <v>1</v>
      </c>
      <c r="F359">
        <f t="shared" si="47"/>
        <v>9</v>
      </c>
      <c r="G359">
        <f t="shared" si="48"/>
        <v>2024</v>
      </c>
      <c r="I359" s="17">
        <f t="shared" si="49"/>
        <v>45536</v>
      </c>
      <c r="K359" s="17">
        <v>35278</v>
      </c>
      <c r="L359" t="e">
        <f t="shared" si="43"/>
        <v>#DIV/0!</v>
      </c>
      <c r="M359" s="66" t="e">
        <f t="shared" si="44"/>
        <v>#DIV/0!</v>
      </c>
      <c r="O359">
        <f t="shared" si="45"/>
        <v>0</v>
      </c>
    </row>
    <row r="360" spans="1:15" x14ac:dyDescent="0.3">
      <c r="A360" s="17">
        <v>45540</v>
      </c>
      <c r="B360">
        <v>1.17</v>
      </c>
      <c r="D360">
        <f t="shared" si="46"/>
        <v>5</v>
      </c>
      <c r="E360">
        <v>1</v>
      </c>
      <c r="F360">
        <f t="shared" si="47"/>
        <v>9</v>
      </c>
      <c r="G360">
        <f t="shared" si="48"/>
        <v>2024</v>
      </c>
      <c r="I360" s="17">
        <f t="shared" si="49"/>
        <v>45536</v>
      </c>
      <c r="K360" s="17">
        <v>35247</v>
      </c>
      <c r="L360" t="e">
        <f t="shared" si="43"/>
        <v>#DIV/0!</v>
      </c>
      <c r="M360" s="66" t="e">
        <f t="shared" si="44"/>
        <v>#DIV/0!</v>
      </c>
      <c r="O360">
        <f t="shared" si="45"/>
        <v>0</v>
      </c>
    </row>
    <row r="361" spans="1:15" x14ac:dyDescent="0.3">
      <c r="A361" s="17">
        <v>45539</v>
      </c>
      <c r="B361">
        <v>1.21</v>
      </c>
      <c r="D361">
        <f t="shared" si="46"/>
        <v>4</v>
      </c>
      <c r="E361">
        <v>1</v>
      </c>
      <c r="F361">
        <f t="shared" si="47"/>
        <v>9</v>
      </c>
      <c r="G361">
        <f t="shared" si="48"/>
        <v>2024</v>
      </c>
      <c r="I361" s="17">
        <f t="shared" si="49"/>
        <v>45536</v>
      </c>
      <c r="K361" s="17">
        <v>35217</v>
      </c>
      <c r="L361" t="e">
        <f t="shared" si="43"/>
        <v>#DIV/0!</v>
      </c>
      <c r="M361" s="66" t="e">
        <f t="shared" si="44"/>
        <v>#DIV/0!</v>
      </c>
      <c r="O361">
        <f t="shared" si="45"/>
        <v>1</v>
      </c>
    </row>
    <row r="362" spans="1:15" x14ac:dyDescent="0.3">
      <c r="A362" s="17">
        <v>45538</v>
      </c>
      <c r="B362">
        <v>1.19</v>
      </c>
      <c r="D362">
        <f t="shared" si="46"/>
        <v>3</v>
      </c>
      <c r="E362">
        <v>1</v>
      </c>
      <c r="F362">
        <f t="shared" si="47"/>
        <v>9</v>
      </c>
      <c r="G362">
        <f t="shared" si="48"/>
        <v>2024</v>
      </c>
      <c r="I362" s="17">
        <f t="shared" si="49"/>
        <v>45536</v>
      </c>
      <c r="K362" s="17">
        <v>35186</v>
      </c>
      <c r="L362" t="e">
        <f t="shared" si="43"/>
        <v>#DIV/0!</v>
      </c>
      <c r="M362" s="66" t="e">
        <f t="shared" si="44"/>
        <v>#DIV/0!</v>
      </c>
      <c r="O362">
        <f t="shared" si="45"/>
        <v>1</v>
      </c>
    </row>
    <row r="363" spans="1:15" x14ac:dyDescent="0.3">
      <c r="A363" s="17">
        <v>45537</v>
      </c>
      <c r="B363">
        <v>1.24</v>
      </c>
      <c r="D363">
        <f t="shared" si="46"/>
        <v>2</v>
      </c>
      <c r="E363">
        <v>1</v>
      </c>
      <c r="F363">
        <f t="shared" si="47"/>
        <v>9</v>
      </c>
      <c r="G363">
        <f t="shared" si="48"/>
        <v>2024</v>
      </c>
      <c r="I363" s="17">
        <f t="shared" si="49"/>
        <v>45536</v>
      </c>
      <c r="K363" s="17">
        <v>35156</v>
      </c>
      <c r="L363" t="e">
        <f t="shared" si="43"/>
        <v>#DIV/0!</v>
      </c>
      <c r="M363" s="66" t="e">
        <f t="shared" si="44"/>
        <v>#DIV/0!</v>
      </c>
      <c r="O363">
        <f t="shared" si="45"/>
        <v>1</v>
      </c>
    </row>
    <row r="364" spans="1:15" x14ac:dyDescent="0.3">
      <c r="A364" s="17">
        <v>45534</v>
      </c>
      <c r="B364">
        <v>0.55000000000000004</v>
      </c>
      <c r="D364">
        <f t="shared" si="46"/>
        <v>30</v>
      </c>
      <c r="E364">
        <v>1</v>
      </c>
      <c r="F364">
        <f t="shared" si="47"/>
        <v>8</v>
      </c>
      <c r="G364">
        <f t="shared" si="48"/>
        <v>2024</v>
      </c>
      <c r="I364" s="17">
        <f t="shared" si="49"/>
        <v>45505</v>
      </c>
      <c r="K364" s="17">
        <v>35125</v>
      </c>
      <c r="L364" t="e">
        <f t="shared" si="43"/>
        <v>#DIV/0!</v>
      </c>
      <c r="M364" s="66" t="e">
        <f t="shared" si="44"/>
        <v>#DIV/0!</v>
      </c>
      <c r="O364">
        <f t="shared" si="45"/>
        <v>0</v>
      </c>
    </row>
    <row r="365" spans="1:15" x14ac:dyDescent="0.3">
      <c r="A365" s="17">
        <v>45533</v>
      </c>
      <c r="B365">
        <v>0.41</v>
      </c>
      <c r="D365">
        <f t="shared" si="46"/>
        <v>29</v>
      </c>
      <c r="E365">
        <v>1</v>
      </c>
      <c r="F365">
        <f t="shared" si="47"/>
        <v>8</v>
      </c>
      <c r="G365">
        <f t="shared" si="48"/>
        <v>2024</v>
      </c>
      <c r="I365" s="17">
        <f t="shared" si="49"/>
        <v>45505</v>
      </c>
      <c r="K365" s="17">
        <v>35096</v>
      </c>
      <c r="L365" t="e">
        <f t="shared" si="43"/>
        <v>#DIV/0!</v>
      </c>
      <c r="M365" s="66" t="e">
        <f t="shared" si="44"/>
        <v>#DIV/0!</v>
      </c>
      <c r="O365">
        <f t="shared" si="45"/>
        <v>0</v>
      </c>
    </row>
    <row r="366" spans="1:15" x14ac:dyDescent="0.3">
      <c r="A366" s="17">
        <v>45532</v>
      </c>
      <c r="B366">
        <v>0.89</v>
      </c>
      <c r="D366">
        <f t="shared" si="46"/>
        <v>28</v>
      </c>
      <c r="E366">
        <v>1</v>
      </c>
      <c r="F366">
        <f t="shared" si="47"/>
        <v>8</v>
      </c>
      <c r="G366">
        <f t="shared" si="48"/>
        <v>2024</v>
      </c>
      <c r="I366" s="17">
        <f t="shared" si="49"/>
        <v>45505</v>
      </c>
      <c r="K366" s="17">
        <v>35065</v>
      </c>
      <c r="L366" t="e">
        <f t="shared" si="43"/>
        <v>#DIV/0!</v>
      </c>
      <c r="M366" s="66" t="e">
        <f t="shared" si="44"/>
        <v>#DIV/0!</v>
      </c>
      <c r="O366">
        <f t="shared" si="45"/>
        <v>0</v>
      </c>
    </row>
    <row r="367" spans="1:15" x14ac:dyDescent="0.3">
      <c r="A367" s="17">
        <v>45531</v>
      </c>
      <c r="B367">
        <v>0.37</v>
      </c>
      <c r="D367">
        <f t="shared" si="46"/>
        <v>27</v>
      </c>
      <c r="E367">
        <v>1</v>
      </c>
      <c r="F367">
        <f t="shared" si="47"/>
        <v>8</v>
      </c>
      <c r="G367">
        <f t="shared" si="48"/>
        <v>2024</v>
      </c>
      <c r="I367" s="17">
        <f t="shared" si="49"/>
        <v>45505</v>
      </c>
      <c r="K367" s="17">
        <v>35034</v>
      </c>
      <c r="L367" t="e">
        <f t="shared" si="43"/>
        <v>#DIV/0!</v>
      </c>
      <c r="M367" s="66" t="e">
        <f t="shared" si="44"/>
        <v>#DIV/0!</v>
      </c>
      <c r="O367">
        <f t="shared" si="45"/>
        <v>0</v>
      </c>
    </row>
    <row r="368" spans="1:15" x14ac:dyDescent="0.3">
      <c r="A368" s="17">
        <v>45530</v>
      </c>
      <c r="B368">
        <v>0.24</v>
      </c>
      <c r="D368">
        <f t="shared" si="46"/>
        <v>26</v>
      </c>
      <c r="E368">
        <v>1</v>
      </c>
      <c r="F368">
        <f t="shared" si="47"/>
        <v>8</v>
      </c>
      <c r="G368">
        <f t="shared" si="48"/>
        <v>2024</v>
      </c>
      <c r="I368" s="17">
        <f t="shared" si="49"/>
        <v>45505</v>
      </c>
      <c r="K368" s="17">
        <v>35004</v>
      </c>
      <c r="L368" t="e">
        <f t="shared" si="43"/>
        <v>#DIV/0!</v>
      </c>
      <c r="M368" s="66" t="e">
        <f t="shared" si="44"/>
        <v>#DIV/0!</v>
      </c>
      <c r="O368">
        <f t="shared" si="45"/>
        <v>0</v>
      </c>
    </row>
    <row r="369" spans="1:15" x14ac:dyDescent="0.3">
      <c r="A369" s="17">
        <v>45527</v>
      </c>
      <c r="B369">
        <v>0.36</v>
      </c>
      <c r="D369">
        <f t="shared" si="46"/>
        <v>23</v>
      </c>
      <c r="E369">
        <v>1</v>
      </c>
      <c r="F369">
        <f t="shared" si="47"/>
        <v>8</v>
      </c>
      <c r="G369">
        <f t="shared" si="48"/>
        <v>2024</v>
      </c>
      <c r="I369" s="17">
        <f t="shared" si="49"/>
        <v>45505</v>
      </c>
      <c r="K369" s="17">
        <v>34973</v>
      </c>
      <c r="L369" t="e">
        <f t="shared" si="43"/>
        <v>#DIV/0!</v>
      </c>
      <c r="M369" s="66" t="e">
        <f t="shared" si="44"/>
        <v>#DIV/0!</v>
      </c>
      <c r="O369">
        <f t="shared" si="45"/>
        <v>0</v>
      </c>
    </row>
    <row r="370" spans="1:15" x14ac:dyDescent="0.3">
      <c r="A370" s="17">
        <v>45526</v>
      </c>
      <c r="B370">
        <v>0.08</v>
      </c>
      <c r="D370">
        <f t="shared" si="46"/>
        <v>22</v>
      </c>
      <c r="E370">
        <v>1</v>
      </c>
      <c r="F370">
        <f t="shared" si="47"/>
        <v>8</v>
      </c>
      <c r="G370">
        <f t="shared" si="48"/>
        <v>2024</v>
      </c>
      <c r="I370" s="17">
        <f t="shared" si="49"/>
        <v>45505</v>
      </c>
      <c r="K370" s="17">
        <v>34943</v>
      </c>
      <c r="L370" t="e">
        <f t="shared" si="43"/>
        <v>#DIV/0!</v>
      </c>
      <c r="M370" s="66" t="e">
        <f t="shared" si="44"/>
        <v>#DIV/0!</v>
      </c>
      <c r="O370">
        <f t="shared" si="45"/>
        <v>0</v>
      </c>
    </row>
    <row r="371" spans="1:15" x14ac:dyDescent="0.3">
      <c r="A371" s="17">
        <v>45525</v>
      </c>
      <c r="B371">
        <v>0.06</v>
      </c>
      <c r="D371">
        <f t="shared" si="46"/>
        <v>21</v>
      </c>
      <c r="E371">
        <v>1</v>
      </c>
      <c r="F371">
        <f t="shared" si="47"/>
        <v>8</v>
      </c>
      <c r="G371">
        <f t="shared" si="48"/>
        <v>2024</v>
      </c>
      <c r="I371" s="17">
        <f t="shared" si="49"/>
        <v>45505</v>
      </c>
      <c r="K371" s="17">
        <v>34912</v>
      </c>
      <c r="L371" t="e">
        <f t="shared" si="43"/>
        <v>#DIV/0!</v>
      </c>
      <c r="M371" s="66" t="e">
        <f t="shared" si="44"/>
        <v>#DIV/0!</v>
      </c>
      <c r="O371">
        <f t="shared" si="45"/>
        <v>0</v>
      </c>
    </row>
    <row r="372" spans="1:15" x14ac:dyDescent="0.3">
      <c r="A372" s="17">
        <v>45524</v>
      </c>
      <c r="B372">
        <v>-0.01</v>
      </c>
      <c r="D372">
        <f t="shared" si="46"/>
        <v>20</v>
      </c>
      <c r="E372">
        <v>1</v>
      </c>
      <c r="F372">
        <f t="shared" si="47"/>
        <v>8</v>
      </c>
      <c r="G372">
        <f t="shared" si="48"/>
        <v>2024</v>
      </c>
      <c r="I372" s="17">
        <f t="shared" si="49"/>
        <v>45505</v>
      </c>
      <c r="K372" s="17">
        <v>34881</v>
      </c>
      <c r="L372" t="e">
        <f t="shared" si="43"/>
        <v>#DIV/0!</v>
      </c>
      <c r="M372" s="66" t="e">
        <f t="shared" si="44"/>
        <v>#DIV/0!</v>
      </c>
      <c r="O372">
        <f t="shared" si="45"/>
        <v>0</v>
      </c>
    </row>
    <row r="373" spans="1:15" x14ac:dyDescent="0.3">
      <c r="A373" s="17">
        <v>45523</v>
      </c>
      <c r="B373">
        <v>0.14000000000000001</v>
      </c>
      <c r="D373">
        <f t="shared" si="46"/>
        <v>19</v>
      </c>
      <c r="E373">
        <v>1</v>
      </c>
      <c r="F373">
        <f t="shared" si="47"/>
        <v>8</v>
      </c>
      <c r="G373">
        <f t="shared" si="48"/>
        <v>2024</v>
      </c>
      <c r="I373" s="17">
        <f t="shared" si="49"/>
        <v>45505</v>
      </c>
      <c r="K373" s="17">
        <v>34851</v>
      </c>
      <c r="L373" t="e">
        <f t="shared" si="43"/>
        <v>#DIV/0!</v>
      </c>
      <c r="M373" s="66" t="e">
        <f t="shared" si="44"/>
        <v>#DIV/0!</v>
      </c>
      <c r="O373">
        <f t="shared" si="45"/>
        <v>0</v>
      </c>
    </row>
    <row r="374" spans="1:15" x14ac:dyDescent="0.3">
      <c r="A374" s="17">
        <v>45520</v>
      </c>
      <c r="B374">
        <v>0.04</v>
      </c>
      <c r="D374">
        <f t="shared" si="46"/>
        <v>16</v>
      </c>
      <c r="E374">
        <v>1</v>
      </c>
      <c r="F374">
        <f t="shared" si="47"/>
        <v>8</v>
      </c>
      <c r="G374">
        <f t="shared" si="48"/>
        <v>2024</v>
      </c>
      <c r="I374" s="17">
        <f t="shared" si="49"/>
        <v>45505</v>
      </c>
      <c r="K374" s="17">
        <v>34820</v>
      </c>
      <c r="L374" t="e">
        <f t="shared" si="43"/>
        <v>#DIV/0!</v>
      </c>
      <c r="M374" s="66" t="e">
        <f t="shared" si="44"/>
        <v>#DIV/0!</v>
      </c>
      <c r="O374">
        <f t="shared" si="45"/>
        <v>0</v>
      </c>
    </row>
    <row r="375" spans="1:15" x14ac:dyDescent="0.3">
      <c r="A375" s="17">
        <v>45519</v>
      </c>
      <c r="B375">
        <v>-0.09</v>
      </c>
      <c r="D375">
        <f t="shared" si="46"/>
        <v>15</v>
      </c>
      <c r="E375">
        <v>1</v>
      </c>
      <c r="F375">
        <f t="shared" si="47"/>
        <v>8</v>
      </c>
      <c r="G375">
        <f t="shared" si="48"/>
        <v>2024</v>
      </c>
      <c r="I375" s="17">
        <f t="shared" si="49"/>
        <v>45505</v>
      </c>
      <c r="K375" s="17">
        <v>34790</v>
      </c>
      <c r="L375" t="e">
        <f t="shared" si="43"/>
        <v>#DIV/0!</v>
      </c>
      <c r="M375" s="66" t="e">
        <f t="shared" si="44"/>
        <v>#DIV/0!</v>
      </c>
      <c r="O375">
        <f t="shared" si="45"/>
        <v>0</v>
      </c>
    </row>
    <row r="376" spans="1:15" x14ac:dyDescent="0.3">
      <c r="A376" s="17">
        <v>45518</v>
      </c>
      <c r="B376">
        <v>-0.23</v>
      </c>
      <c r="D376">
        <f t="shared" si="46"/>
        <v>14</v>
      </c>
      <c r="E376">
        <v>1</v>
      </c>
      <c r="F376">
        <f t="shared" si="47"/>
        <v>8</v>
      </c>
      <c r="G376">
        <f t="shared" si="48"/>
        <v>2024</v>
      </c>
      <c r="I376" s="17">
        <f t="shared" si="49"/>
        <v>45505</v>
      </c>
      <c r="K376" s="17">
        <v>34759</v>
      </c>
      <c r="L376" t="e">
        <f t="shared" si="43"/>
        <v>#DIV/0!</v>
      </c>
      <c r="M376" s="66" t="e">
        <f t="shared" si="44"/>
        <v>#DIV/0!</v>
      </c>
      <c r="O376">
        <f t="shared" si="45"/>
        <v>0</v>
      </c>
    </row>
    <row r="377" spans="1:15" x14ac:dyDescent="0.3">
      <c r="A377" s="17">
        <v>45517</v>
      </c>
      <c r="B377">
        <v>-7.0000000000000007E-2</v>
      </c>
      <c r="D377">
        <f t="shared" si="46"/>
        <v>13</v>
      </c>
      <c r="E377">
        <v>1</v>
      </c>
      <c r="F377">
        <f t="shared" si="47"/>
        <v>8</v>
      </c>
      <c r="G377">
        <f t="shared" si="48"/>
        <v>2024</v>
      </c>
      <c r="I377" s="17">
        <f t="shared" si="49"/>
        <v>45505</v>
      </c>
      <c r="K377" s="17">
        <v>34731</v>
      </c>
      <c r="L377" t="e">
        <f t="shared" si="43"/>
        <v>#DIV/0!</v>
      </c>
      <c r="M377" s="66" t="e">
        <f t="shared" si="44"/>
        <v>#DIV/0!</v>
      </c>
      <c r="O377">
        <f t="shared" si="45"/>
        <v>0</v>
      </c>
    </row>
    <row r="378" spans="1:15" x14ac:dyDescent="0.3">
      <c r="A378" s="17">
        <v>45516</v>
      </c>
      <c r="B378">
        <v>-0.14000000000000001</v>
      </c>
      <c r="D378">
        <f t="shared" si="46"/>
        <v>12</v>
      </c>
      <c r="E378">
        <v>1</v>
      </c>
      <c r="F378">
        <f t="shared" si="47"/>
        <v>8</v>
      </c>
      <c r="G378">
        <f t="shared" si="48"/>
        <v>2024</v>
      </c>
      <c r="I378" s="17">
        <f t="shared" si="49"/>
        <v>45505</v>
      </c>
      <c r="K378" s="17">
        <v>34700</v>
      </c>
      <c r="L378" t="e">
        <f t="shared" si="43"/>
        <v>#DIV/0!</v>
      </c>
      <c r="M378" s="66" t="e">
        <f t="shared" si="44"/>
        <v>#DIV/0!</v>
      </c>
      <c r="O378">
        <f t="shared" si="45"/>
        <v>0</v>
      </c>
    </row>
    <row r="379" spans="1:15" x14ac:dyDescent="0.3">
      <c r="A379" s="17">
        <v>45512</v>
      </c>
      <c r="B379">
        <v>0.13</v>
      </c>
      <c r="D379">
        <f t="shared" si="46"/>
        <v>8</v>
      </c>
      <c r="E379">
        <v>1</v>
      </c>
      <c r="F379">
        <f t="shared" si="47"/>
        <v>8</v>
      </c>
      <c r="G379">
        <f t="shared" si="48"/>
        <v>2024</v>
      </c>
      <c r="I379" s="17">
        <f t="shared" si="49"/>
        <v>45505</v>
      </c>
      <c r="K379" s="17">
        <v>34669</v>
      </c>
      <c r="L379" t="e">
        <f t="shared" si="43"/>
        <v>#DIV/0!</v>
      </c>
      <c r="M379" s="66" t="e">
        <f t="shared" si="44"/>
        <v>#DIV/0!</v>
      </c>
      <c r="O379">
        <f t="shared" si="45"/>
        <v>0</v>
      </c>
    </row>
    <row r="380" spans="1:15" x14ac:dyDescent="0.3">
      <c r="A380" s="17">
        <v>45511</v>
      </c>
      <c r="B380">
        <v>-0.25</v>
      </c>
      <c r="D380">
        <f t="shared" si="46"/>
        <v>7</v>
      </c>
      <c r="E380">
        <v>1</v>
      </c>
      <c r="F380">
        <f t="shared" si="47"/>
        <v>8</v>
      </c>
      <c r="G380">
        <f t="shared" si="48"/>
        <v>2024</v>
      </c>
      <c r="I380" s="17">
        <f t="shared" si="49"/>
        <v>45505</v>
      </c>
      <c r="K380" s="17">
        <v>34639</v>
      </c>
      <c r="L380" t="e">
        <f t="shared" si="43"/>
        <v>#DIV/0!</v>
      </c>
      <c r="M380" s="66" t="e">
        <f t="shared" si="44"/>
        <v>#DIV/0!</v>
      </c>
      <c r="O380">
        <f t="shared" si="45"/>
        <v>0</v>
      </c>
    </row>
    <row r="381" spans="1:15" x14ac:dyDescent="0.3">
      <c r="A381" s="17">
        <v>45510</v>
      </c>
      <c r="B381">
        <v>-0.4</v>
      </c>
      <c r="D381">
        <f t="shared" si="46"/>
        <v>6</v>
      </c>
      <c r="E381">
        <v>1</v>
      </c>
      <c r="F381">
        <f t="shared" si="47"/>
        <v>8</v>
      </c>
      <c r="G381">
        <f t="shared" si="48"/>
        <v>2024</v>
      </c>
      <c r="I381" s="17">
        <f t="shared" si="49"/>
        <v>45505</v>
      </c>
      <c r="K381" s="17">
        <v>34608</v>
      </c>
      <c r="L381" t="e">
        <f t="shared" si="43"/>
        <v>#DIV/0!</v>
      </c>
      <c r="M381" s="66" t="e">
        <f t="shared" si="44"/>
        <v>#DIV/0!</v>
      </c>
      <c r="O381">
        <f t="shared" si="45"/>
        <v>0</v>
      </c>
    </row>
    <row r="382" spans="1:15" x14ac:dyDescent="0.3">
      <c r="A382" s="17">
        <v>45509</v>
      </c>
      <c r="B382">
        <v>-0.28999999999999998</v>
      </c>
      <c r="D382">
        <f t="shared" si="46"/>
        <v>5</v>
      </c>
      <c r="E382">
        <v>1</v>
      </c>
      <c r="F382">
        <f t="shared" si="47"/>
        <v>8</v>
      </c>
      <c r="G382">
        <f t="shared" si="48"/>
        <v>2024</v>
      </c>
      <c r="I382" s="17">
        <f t="shared" si="49"/>
        <v>45505</v>
      </c>
      <c r="K382" s="17">
        <v>34578</v>
      </c>
      <c r="L382" t="e">
        <f t="shared" si="43"/>
        <v>#DIV/0!</v>
      </c>
      <c r="M382" s="66" t="e">
        <f t="shared" si="44"/>
        <v>#DIV/0!</v>
      </c>
      <c r="O382">
        <f t="shared" si="45"/>
        <v>0</v>
      </c>
    </row>
    <row r="383" spans="1:15" x14ac:dyDescent="0.3">
      <c r="A383" s="17">
        <v>45506</v>
      </c>
      <c r="B383">
        <v>0.03</v>
      </c>
      <c r="D383">
        <f t="shared" si="46"/>
        <v>2</v>
      </c>
      <c r="E383">
        <v>1</v>
      </c>
      <c r="F383">
        <f t="shared" si="47"/>
        <v>8</v>
      </c>
      <c r="G383">
        <f t="shared" si="48"/>
        <v>2024</v>
      </c>
      <c r="I383" s="17">
        <f t="shared" si="49"/>
        <v>45505</v>
      </c>
      <c r="K383" s="17">
        <v>34547</v>
      </c>
      <c r="L383" t="e">
        <f t="shared" si="43"/>
        <v>#DIV/0!</v>
      </c>
      <c r="M383" s="66" t="e">
        <f t="shared" si="44"/>
        <v>#DIV/0!</v>
      </c>
      <c r="O383">
        <f t="shared" si="45"/>
        <v>1</v>
      </c>
    </row>
    <row r="384" spans="1:15" x14ac:dyDescent="0.3">
      <c r="A384" s="17">
        <v>45505</v>
      </c>
      <c r="B384">
        <v>0.1</v>
      </c>
      <c r="D384">
        <f t="shared" si="46"/>
        <v>1</v>
      </c>
      <c r="E384">
        <v>1</v>
      </c>
      <c r="F384">
        <f t="shared" si="47"/>
        <v>8</v>
      </c>
      <c r="G384">
        <f t="shared" si="48"/>
        <v>2024</v>
      </c>
      <c r="I384" s="17">
        <f t="shared" si="49"/>
        <v>45505</v>
      </c>
      <c r="K384" s="17">
        <v>34516</v>
      </c>
      <c r="L384" t="e">
        <f t="shared" si="43"/>
        <v>#DIV/0!</v>
      </c>
      <c r="M384" s="66" t="e">
        <f t="shared" si="44"/>
        <v>#DIV/0!</v>
      </c>
      <c r="O384">
        <f t="shared" si="45"/>
        <v>1</v>
      </c>
    </row>
    <row r="385" spans="1:15" x14ac:dyDescent="0.3">
      <c r="A385" s="17">
        <v>45504</v>
      </c>
      <c r="B385">
        <v>0</v>
      </c>
      <c r="D385">
        <f t="shared" si="46"/>
        <v>31</v>
      </c>
      <c r="E385">
        <v>1</v>
      </c>
      <c r="F385">
        <f t="shared" si="47"/>
        <v>7</v>
      </c>
      <c r="G385">
        <f t="shared" si="48"/>
        <v>2024</v>
      </c>
      <c r="I385" s="17">
        <f t="shared" si="49"/>
        <v>45474</v>
      </c>
      <c r="K385" s="17">
        <v>34486</v>
      </c>
      <c r="L385" t="e">
        <f t="shared" si="43"/>
        <v>#DIV/0!</v>
      </c>
      <c r="M385" s="66" t="e">
        <f t="shared" si="44"/>
        <v>#DIV/0!</v>
      </c>
      <c r="O385">
        <f t="shared" si="45"/>
        <v>0</v>
      </c>
    </row>
    <row r="386" spans="1:15" x14ac:dyDescent="0.3">
      <c r="A386" s="17">
        <v>45503</v>
      </c>
      <c r="B386">
        <v>7.0000000000000007E-2</v>
      </c>
      <c r="D386">
        <f t="shared" si="46"/>
        <v>30</v>
      </c>
      <c r="E386">
        <v>1</v>
      </c>
      <c r="F386">
        <f t="shared" si="47"/>
        <v>7</v>
      </c>
      <c r="G386">
        <f t="shared" si="48"/>
        <v>2024</v>
      </c>
      <c r="I386" s="17">
        <f t="shared" si="49"/>
        <v>45474</v>
      </c>
      <c r="K386" s="17">
        <v>34455</v>
      </c>
      <c r="L386" t="e">
        <f t="shared" si="43"/>
        <v>#DIV/0!</v>
      </c>
      <c r="M386" s="66" t="e">
        <f t="shared" si="44"/>
        <v>#DIV/0!</v>
      </c>
      <c r="O386">
        <f t="shared" si="45"/>
        <v>0</v>
      </c>
    </row>
    <row r="387" spans="1:15" x14ac:dyDescent="0.3">
      <c r="A387" s="17">
        <v>45502</v>
      </c>
      <c r="B387">
        <v>-7.0000000000000007E-2</v>
      </c>
      <c r="D387">
        <f t="shared" si="46"/>
        <v>29</v>
      </c>
      <c r="E387">
        <v>1</v>
      </c>
      <c r="F387">
        <f t="shared" si="47"/>
        <v>7</v>
      </c>
      <c r="G387">
        <f t="shared" si="48"/>
        <v>2024</v>
      </c>
      <c r="I387" s="17">
        <f t="shared" si="49"/>
        <v>45474</v>
      </c>
      <c r="K387" s="17">
        <v>34425</v>
      </c>
      <c r="L387" t="e">
        <f t="shared" si="43"/>
        <v>#DIV/0!</v>
      </c>
      <c r="M387" s="66" t="e">
        <f t="shared" si="44"/>
        <v>#DIV/0!</v>
      </c>
      <c r="O387">
        <f t="shared" si="45"/>
        <v>0</v>
      </c>
    </row>
    <row r="388" spans="1:15" x14ac:dyDescent="0.3">
      <c r="A388" s="17">
        <v>45499</v>
      </c>
      <c r="B388">
        <v>0.38</v>
      </c>
      <c r="D388">
        <f t="shared" si="46"/>
        <v>26</v>
      </c>
      <c r="E388">
        <v>1</v>
      </c>
      <c r="F388">
        <f t="shared" si="47"/>
        <v>7</v>
      </c>
      <c r="G388">
        <f t="shared" si="48"/>
        <v>2024</v>
      </c>
      <c r="I388" s="17">
        <f t="shared" si="49"/>
        <v>45474</v>
      </c>
      <c r="K388" s="17">
        <v>34394</v>
      </c>
      <c r="L388" t="e">
        <f t="shared" si="43"/>
        <v>#DIV/0!</v>
      </c>
      <c r="M388" s="66" t="e">
        <f t="shared" si="44"/>
        <v>#DIV/0!</v>
      </c>
      <c r="O388">
        <f t="shared" si="45"/>
        <v>0</v>
      </c>
    </row>
    <row r="389" spans="1:15" x14ac:dyDescent="0.3">
      <c r="A389" s="17">
        <v>45498</v>
      </c>
      <c r="B389">
        <v>0.54</v>
      </c>
      <c r="D389">
        <f t="shared" si="46"/>
        <v>25</v>
      </c>
      <c r="E389">
        <v>1</v>
      </c>
      <c r="F389">
        <f t="shared" si="47"/>
        <v>7</v>
      </c>
      <c r="G389">
        <f t="shared" si="48"/>
        <v>2024</v>
      </c>
      <c r="I389" s="17">
        <f t="shared" si="49"/>
        <v>45474</v>
      </c>
      <c r="K389" s="17">
        <v>34366</v>
      </c>
      <c r="L389" t="e">
        <f t="shared" si="43"/>
        <v>#DIV/0!</v>
      </c>
      <c r="M389" s="66" t="e">
        <f t="shared" si="44"/>
        <v>#DIV/0!</v>
      </c>
      <c r="O389">
        <f t="shared" si="45"/>
        <v>0</v>
      </c>
    </row>
    <row r="390" spans="1:15" x14ac:dyDescent="0.3">
      <c r="A390" s="17">
        <v>45497</v>
      </c>
      <c r="B390">
        <v>0.62</v>
      </c>
      <c r="D390">
        <f t="shared" si="46"/>
        <v>24</v>
      </c>
      <c r="E390">
        <v>1</v>
      </c>
      <c r="F390">
        <f t="shared" si="47"/>
        <v>7</v>
      </c>
      <c r="G390">
        <f t="shared" si="48"/>
        <v>2024</v>
      </c>
      <c r="I390" s="17">
        <f t="shared" si="49"/>
        <v>45474</v>
      </c>
      <c r="K390" s="17">
        <v>34335</v>
      </c>
      <c r="L390" t="e">
        <f t="shared" si="43"/>
        <v>#DIV/0!</v>
      </c>
      <c r="M390" s="66" t="e">
        <f t="shared" si="44"/>
        <v>#DIV/0!</v>
      </c>
      <c r="O390">
        <f t="shared" si="45"/>
        <v>0</v>
      </c>
    </row>
    <row r="391" spans="1:15" x14ac:dyDescent="0.3">
      <c r="A391" s="17">
        <v>45496</v>
      </c>
      <c r="B391">
        <v>0.78</v>
      </c>
      <c r="D391">
        <f t="shared" si="46"/>
        <v>23</v>
      </c>
      <c r="E391">
        <v>1</v>
      </c>
      <c r="F391">
        <f t="shared" si="47"/>
        <v>7</v>
      </c>
      <c r="G391">
        <f t="shared" si="48"/>
        <v>2024</v>
      </c>
      <c r="I391" s="17">
        <f t="shared" si="49"/>
        <v>45474</v>
      </c>
      <c r="K391" s="17">
        <v>34304</v>
      </c>
      <c r="L391" t="e">
        <f t="shared" ref="L391:L450" si="50">+AVERAGEIFS($B$6:$B$928,$I$6:$I$928,$K391)</f>
        <v>#DIV/0!</v>
      </c>
      <c r="M391" s="66" t="e">
        <f t="shared" ref="M391:M450" si="51">+AVERAGEIFS($B$6:$B$928,$I$6:$I$928,$K391,$O$6:$O$928,1)</f>
        <v>#DIV/0!</v>
      </c>
      <c r="O391">
        <f t="shared" ref="O391:O454" si="52">IF(AND(D391&gt;=1, D391&lt;=4), 1, 0)</f>
        <v>0</v>
      </c>
    </row>
    <row r="392" spans="1:15" x14ac:dyDescent="0.3">
      <c r="A392" s="17">
        <v>45495</v>
      </c>
      <c r="B392">
        <v>0.78</v>
      </c>
      <c r="D392">
        <f t="shared" si="46"/>
        <v>22</v>
      </c>
      <c r="E392">
        <v>1</v>
      </c>
      <c r="F392">
        <f t="shared" si="47"/>
        <v>7</v>
      </c>
      <c r="G392">
        <f t="shared" si="48"/>
        <v>2024</v>
      </c>
      <c r="I392" s="17">
        <f t="shared" si="49"/>
        <v>45474</v>
      </c>
      <c r="K392" s="17">
        <v>34274</v>
      </c>
      <c r="L392" t="e">
        <f t="shared" si="50"/>
        <v>#DIV/0!</v>
      </c>
      <c r="M392" s="66" t="e">
        <f t="shared" si="51"/>
        <v>#DIV/0!</v>
      </c>
      <c r="O392">
        <f t="shared" si="52"/>
        <v>0</v>
      </c>
    </row>
    <row r="393" spans="1:15" x14ac:dyDescent="0.3">
      <c r="A393" s="17">
        <v>45492</v>
      </c>
      <c r="B393">
        <v>0.98</v>
      </c>
      <c r="D393">
        <f t="shared" si="46"/>
        <v>19</v>
      </c>
      <c r="E393">
        <v>1</v>
      </c>
      <c r="F393">
        <f t="shared" si="47"/>
        <v>7</v>
      </c>
      <c r="G393">
        <f t="shared" si="48"/>
        <v>2024</v>
      </c>
      <c r="I393" s="17">
        <f t="shared" si="49"/>
        <v>45474</v>
      </c>
      <c r="K393" s="17">
        <v>34243</v>
      </c>
      <c r="L393" t="e">
        <f t="shared" si="50"/>
        <v>#DIV/0!</v>
      </c>
      <c r="M393" s="66" t="e">
        <f t="shared" si="51"/>
        <v>#DIV/0!</v>
      </c>
      <c r="O393">
        <f t="shared" si="52"/>
        <v>0</v>
      </c>
    </row>
    <row r="394" spans="1:15" x14ac:dyDescent="0.3">
      <c r="A394" s="17">
        <v>45491</v>
      </c>
      <c r="B394">
        <v>0.96</v>
      </c>
      <c r="D394">
        <f t="shared" si="46"/>
        <v>18</v>
      </c>
      <c r="E394">
        <v>1</v>
      </c>
      <c r="F394">
        <f t="shared" si="47"/>
        <v>7</v>
      </c>
      <c r="G394">
        <f t="shared" si="48"/>
        <v>2024</v>
      </c>
      <c r="I394" s="17">
        <f t="shared" si="49"/>
        <v>45474</v>
      </c>
      <c r="K394" s="17">
        <v>34213</v>
      </c>
      <c r="L394" t="e">
        <f t="shared" si="50"/>
        <v>#DIV/0!</v>
      </c>
      <c r="M394" s="66" t="e">
        <f t="shared" si="51"/>
        <v>#DIV/0!</v>
      </c>
      <c r="O394">
        <f t="shared" si="52"/>
        <v>0</v>
      </c>
    </row>
    <row r="395" spans="1:15" x14ac:dyDescent="0.3">
      <c r="A395" s="17">
        <v>45490</v>
      </c>
      <c r="B395">
        <v>0.92</v>
      </c>
      <c r="D395">
        <f t="shared" si="46"/>
        <v>17</v>
      </c>
      <c r="E395">
        <v>1</v>
      </c>
      <c r="F395">
        <f t="shared" si="47"/>
        <v>7</v>
      </c>
      <c r="G395">
        <f t="shared" si="48"/>
        <v>2024</v>
      </c>
      <c r="I395" s="17">
        <f t="shared" si="49"/>
        <v>45474</v>
      </c>
      <c r="K395" s="17">
        <v>34182</v>
      </c>
      <c r="L395" t="e">
        <f t="shared" si="50"/>
        <v>#DIV/0!</v>
      </c>
      <c r="M395" s="66" t="e">
        <f t="shared" si="51"/>
        <v>#DIV/0!</v>
      </c>
      <c r="O395">
        <f t="shared" si="52"/>
        <v>0</v>
      </c>
    </row>
    <row r="396" spans="1:15" x14ac:dyDescent="0.3">
      <c r="A396" s="17">
        <v>45489</v>
      </c>
      <c r="B396">
        <v>1.03</v>
      </c>
      <c r="D396">
        <f t="shared" si="46"/>
        <v>16</v>
      </c>
      <c r="E396">
        <v>1</v>
      </c>
      <c r="F396">
        <f t="shared" si="47"/>
        <v>7</v>
      </c>
      <c r="G396">
        <f t="shared" si="48"/>
        <v>2024</v>
      </c>
      <c r="I396" s="17">
        <f t="shared" si="49"/>
        <v>45474</v>
      </c>
      <c r="K396" s="17">
        <v>34151</v>
      </c>
      <c r="L396" t="e">
        <f t="shared" si="50"/>
        <v>#DIV/0!</v>
      </c>
      <c r="M396" s="66" t="e">
        <f t="shared" si="51"/>
        <v>#DIV/0!</v>
      </c>
      <c r="O396">
        <f t="shared" si="52"/>
        <v>0</v>
      </c>
    </row>
    <row r="397" spans="1:15" x14ac:dyDescent="0.3">
      <c r="A397" s="17">
        <v>45488</v>
      </c>
      <c r="B397">
        <v>1.19</v>
      </c>
      <c r="D397">
        <f t="shared" si="46"/>
        <v>15</v>
      </c>
      <c r="E397">
        <v>1</v>
      </c>
      <c r="F397">
        <f t="shared" si="47"/>
        <v>7</v>
      </c>
      <c r="G397">
        <f t="shared" si="48"/>
        <v>2024</v>
      </c>
      <c r="I397" s="17">
        <f t="shared" si="49"/>
        <v>45474</v>
      </c>
      <c r="K397" s="17">
        <v>34121</v>
      </c>
      <c r="L397" t="e">
        <f t="shared" si="50"/>
        <v>#DIV/0!</v>
      </c>
      <c r="M397" s="66" t="e">
        <f t="shared" si="51"/>
        <v>#DIV/0!</v>
      </c>
      <c r="O397">
        <f t="shared" si="52"/>
        <v>0</v>
      </c>
    </row>
    <row r="398" spans="1:15" x14ac:dyDescent="0.3">
      <c r="A398" s="17">
        <v>45485</v>
      </c>
      <c r="B398">
        <v>1.17</v>
      </c>
      <c r="D398">
        <f t="shared" si="46"/>
        <v>12</v>
      </c>
      <c r="E398">
        <v>1</v>
      </c>
      <c r="F398">
        <f t="shared" si="47"/>
        <v>7</v>
      </c>
      <c r="G398">
        <f t="shared" si="48"/>
        <v>2024</v>
      </c>
      <c r="I398" s="17">
        <f t="shared" si="49"/>
        <v>45474</v>
      </c>
      <c r="K398" s="17">
        <v>34090</v>
      </c>
      <c r="L398" t="e">
        <f t="shared" si="50"/>
        <v>#DIV/0!</v>
      </c>
      <c r="M398" s="66" t="e">
        <f t="shared" si="51"/>
        <v>#DIV/0!</v>
      </c>
      <c r="O398">
        <f t="shared" si="52"/>
        <v>0</v>
      </c>
    </row>
    <row r="399" spans="1:15" x14ac:dyDescent="0.3">
      <c r="A399" s="17">
        <v>45484</v>
      </c>
      <c r="B399">
        <v>1.1100000000000001</v>
      </c>
      <c r="D399">
        <f t="shared" ref="D399:D462" si="53">+DAY(A399)</f>
        <v>11</v>
      </c>
      <c r="E399">
        <v>1</v>
      </c>
      <c r="F399">
        <f t="shared" ref="F399:F462" si="54">+MONTH(A399)</f>
        <v>7</v>
      </c>
      <c r="G399">
        <f t="shared" ref="G399:G462" si="55">+YEAR(A399)</f>
        <v>2024</v>
      </c>
      <c r="I399" s="17">
        <f t="shared" ref="I399:I462" si="56">+DATE(G399,F399,E399)</f>
        <v>45474</v>
      </c>
      <c r="K399" s="17">
        <v>34060</v>
      </c>
      <c r="L399" t="e">
        <f t="shared" si="50"/>
        <v>#DIV/0!</v>
      </c>
      <c r="M399" s="66" t="e">
        <f t="shared" si="51"/>
        <v>#DIV/0!</v>
      </c>
      <c r="O399">
        <f t="shared" si="52"/>
        <v>0</v>
      </c>
    </row>
    <row r="400" spans="1:15" x14ac:dyDescent="0.3">
      <c r="A400" s="17">
        <v>45483</v>
      </c>
      <c r="B400">
        <v>1.03</v>
      </c>
      <c r="D400">
        <f t="shared" si="53"/>
        <v>10</v>
      </c>
      <c r="E400">
        <v>1</v>
      </c>
      <c r="F400">
        <f t="shared" si="54"/>
        <v>7</v>
      </c>
      <c r="G400">
        <f t="shared" si="55"/>
        <v>2024</v>
      </c>
      <c r="I400" s="17">
        <f t="shared" si="56"/>
        <v>45474</v>
      </c>
      <c r="K400" s="17">
        <v>34029</v>
      </c>
      <c r="L400" t="e">
        <f t="shared" si="50"/>
        <v>#DIV/0!</v>
      </c>
      <c r="M400" s="66" t="e">
        <f t="shared" si="51"/>
        <v>#DIV/0!</v>
      </c>
      <c r="O400">
        <f t="shared" si="52"/>
        <v>0</v>
      </c>
    </row>
    <row r="401" spans="1:15" x14ac:dyDescent="0.3">
      <c r="A401" s="17">
        <v>45482</v>
      </c>
      <c r="B401">
        <v>1.05</v>
      </c>
      <c r="D401">
        <f t="shared" si="53"/>
        <v>9</v>
      </c>
      <c r="E401">
        <v>1</v>
      </c>
      <c r="F401">
        <f t="shared" si="54"/>
        <v>7</v>
      </c>
      <c r="G401">
        <f t="shared" si="55"/>
        <v>2024</v>
      </c>
      <c r="I401" s="17">
        <f t="shared" si="56"/>
        <v>45474</v>
      </c>
      <c r="K401" s="17">
        <v>34001</v>
      </c>
      <c r="L401" t="e">
        <f t="shared" si="50"/>
        <v>#DIV/0!</v>
      </c>
      <c r="M401" s="66" t="e">
        <f t="shared" si="51"/>
        <v>#DIV/0!</v>
      </c>
      <c r="O401">
        <f t="shared" si="52"/>
        <v>0</v>
      </c>
    </row>
    <row r="402" spans="1:15" x14ac:dyDescent="0.3">
      <c r="A402" s="17">
        <v>45481</v>
      </c>
      <c r="B402">
        <v>1.02</v>
      </c>
      <c r="D402">
        <f t="shared" si="53"/>
        <v>8</v>
      </c>
      <c r="E402">
        <v>1</v>
      </c>
      <c r="F402">
        <f t="shared" si="54"/>
        <v>7</v>
      </c>
      <c r="G402">
        <f t="shared" si="55"/>
        <v>2024</v>
      </c>
      <c r="I402" s="17">
        <f t="shared" si="56"/>
        <v>45474</v>
      </c>
      <c r="K402" s="17">
        <v>33970</v>
      </c>
      <c r="L402" t="e">
        <f t="shared" si="50"/>
        <v>#DIV/0!</v>
      </c>
      <c r="M402" s="66" t="e">
        <f t="shared" si="51"/>
        <v>#DIV/0!</v>
      </c>
      <c r="O402">
        <f t="shared" si="52"/>
        <v>0</v>
      </c>
    </row>
    <row r="403" spans="1:15" x14ac:dyDescent="0.3">
      <c r="A403" s="17">
        <v>45478</v>
      </c>
      <c r="B403">
        <v>1.18</v>
      </c>
      <c r="D403">
        <f t="shared" si="53"/>
        <v>5</v>
      </c>
      <c r="E403">
        <v>1</v>
      </c>
      <c r="F403">
        <f t="shared" si="54"/>
        <v>7</v>
      </c>
      <c r="G403">
        <f t="shared" si="55"/>
        <v>2024</v>
      </c>
      <c r="I403" s="17">
        <f t="shared" si="56"/>
        <v>45474</v>
      </c>
      <c r="K403" s="17">
        <v>33939</v>
      </c>
      <c r="L403" t="e">
        <f t="shared" si="50"/>
        <v>#DIV/0!</v>
      </c>
      <c r="M403" s="66" t="e">
        <f t="shared" si="51"/>
        <v>#DIV/0!</v>
      </c>
      <c r="O403">
        <f t="shared" si="52"/>
        <v>0</v>
      </c>
    </row>
    <row r="404" spans="1:15" x14ac:dyDescent="0.3">
      <c r="A404" s="17">
        <v>45477</v>
      </c>
      <c r="B404">
        <v>0.96</v>
      </c>
      <c r="D404">
        <f t="shared" si="53"/>
        <v>4</v>
      </c>
      <c r="E404">
        <v>1</v>
      </c>
      <c r="F404">
        <f t="shared" si="54"/>
        <v>7</v>
      </c>
      <c r="G404">
        <f t="shared" si="55"/>
        <v>2024</v>
      </c>
      <c r="I404" s="17">
        <f t="shared" si="56"/>
        <v>45474</v>
      </c>
      <c r="K404" s="17">
        <v>33909</v>
      </c>
      <c r="L404" t="e">
        <f t="shared" si="50"/>
        <v>#DIV/0!</v>
      </c>
      <c r="M404" s="66" t="e">
        <f t="shared" si="51"/>
        <v>#DIV/0!</v>
      </c>
      <c r="O404">
        <f t="shared" si="52"/>
        <v>1</v>
      </c>
    </row>
    <row r="405" spans="1:15" x14ac:dyDescent="0.3">
      <c r="A405" s="17">
        <v>45476</v>
      </c>
      <c r="B405">
        <v>0.96</v>
      </c>
      <c r="D405">
        <f t="shared" si="53"/>
        <v>3</v>
      </c>
      <c r="E405">
        <v>1</v>
      </c>
      <c r="F405">
        <f t="shared" si="54"/>
        <v>7</v>
      </c>
      <c r="G405">
        <f t="shared" si="55"/>
        <v>2024</v>
      </c>
      <c r="I405" s="17">
        <f t="shared" si="56"/>
        <v>45474</v>
      </c>
      <c r="K405" s="17">
        <v>33878</v>
      </c>
      <c r="L405" t="e">
        <f t="shared" si="50"/>
        <v>#DIV/0!</v>
      </c>
      <c r="M405" s="66" t="e">
        <f t="shared" si="51"/>
        <v>#DIV/0!</v>
      </c>
      <c r="O405">
        <f t="shared" si="52"/>
        <v>1</v>
      </c>
    </row>
    <row r="406" spans="1:15" x14ac:dyDescent="0.3">
      <c r="A406" s="17">
        <v>45475</v>
      </c>
      <c r="B406">
        <v>1.25</v>
      </c>
      <c r="D406">
        <f t="shared" si="53"/>
        <v>2</v>
      </c>
      <c r="E406">
        <v>1</v>
      </c>
      <c r="F406">
        <f t="shared" si="54"/>
        <v>7</v>
      </c>
      <c r="G406">
        <f t="shared" si="55"/>
        <v>2024</v>
      </c>
      <c r="I406" s="17">
        <f t="shared" si="56"/>
        <v>45474</v>
      </c>
      <c r="K406" s="17">
        <v>33848</v>
      </c>
      <c r="L406" t="e">
        <f t="shared" si="50"/>
        <v>#DIV/0!</v>
      </c>
      <c r="M406" s="66" t="e">
        <f t="shared" si="51"/>
        <v>#DIV/0!</v>
      </c>
      <c r="O406">
        <f t="shared" si="52"/>
        <v>1</v>
      </c>
    </row>
    <row r="407" spans="1:15" x14ac:dyDescent="0.3">
      <c r="A407" s="17">
        <v>45474</v>
      </c>
      <c r="B407">
        <v>0.68</v>
      </c>
      <c r="D407">
        <f t="shared" si="53"/>
        <v>1</v>
      </c>
      <c r="E407">
        <v>1</v>
      </c>
      <c r="F407">
        <f t="shared" si="54"/>
        <v>7</v>
      </c>
      <c r="G407">
        <f t="shared" si="55"/>
        <v>2024</v>
      </c>
      <c r="I407" s="17">
        <f t="shared" si="56"/>
        <v>45474</v>
      </c>
      <c r="K407" s="17">
        <v>33817</v>
      </c>
      <c r="L407" t="e">
        <f t="shared" si="50"/>
        <v>#DIV/0!</v>
      </c>
      <c r="M407" s="66" t="e">
        <f t="shared" si="51"/>
        <v>#DIV/0!</v>
      </c>
      <c r="O407">
        <f t="shared" si="52"/>
        <v>1</v>
      </c>
    </row>
    <row r="408" spans="1:15" x14ac:dyDescent="0.3">
      <c r="A408" s="17">
        <v>45471</v>
      </c>
      <c r="B408">
        <v>-0.2</v>
      </c>
      <c r="D408">
        <f t="shared" si="53"/>
        <v>28</v>
      </c>
      <c r="E408">
        <v>1</v>
      </c>
      <c r="F408">
        <f t="shared" si="54"/>
        <v>6</v>
      </c>
      <c r="G408">
        <f t="shared" si="55"/>
        <v>2024</v>
      </c>
      <c r="I408" s="17">
        <f t="shared" si="56"/>
        <v>45444</v>
      </c>
      <c r="K408" s="17">
        <v>33786</v>
      </c>
      <c r="L408" t="e">
        <f t="shared" si="50"/>
        <v>#DIV/0!</v>
      </c>
      <c r="M408" s="66" t="e">
        <f t="shared" si="51"/>
        <v>#DIV/0!</v>
      </c>
      <c r="O408">
        <f t="shared" si="52"/>
        <v>0</v>
      </c>
    </row>
    <row r="409" spans="1:15" x14ac:dyDescent="0.3">
      <c r="A409" s="17">
        <v>45470</v>
      </c>
      <c r="B409">
        <v>-0.08</v>
      </c>
      <c r="D409">
        <f t="shared" si="53"/>
        <v>27</v>
      </c>
      <c r="E409">
        <v>1</v>
      </c>
      <c r="F409">
        <f t="shared" si="54"/>
        <v>6</v>
      </c>
      <c r="G409">
        <f t="shared" si="55"/>
        <v>2024</v>
      </c>
      <c r="I409" s="17">
        <f t="shared" si="56"/>
        <v>45444</v>
      </c>
      <c r="K409" s="17">
        <v>33756</v>
      </c>
      <c r="L409" t="e">
        <f t="shared" si="50"/>
        <v>#DIV/0!</v>
      </c>
      <c r="M409" s="66" t="e">
        <f t="shared" si="51"/>
        <v>#DIV/0!</v>
      </c>
      <c r="O409">
        <f t="shared" si="52"/>
        <v>0</v>
      </c>
    </row>
    <row r="410" spans="1:15" x14ac:dyDescent="0.3">
      <c r="A410" s="17">
        <v>45469</v>
      </c>
      <c r="B410">
        <v>-0.19</v>
      </c>
      <c r="D410">
        <f t="shared" si="53"/>
        <v>26</v>
      </c>
      <c r="E410">
        <v>1</v>
      </c>
      <c r="F410">
        <f t="shared" si="54"/>
        <v>6</v>
      </c>
      <c r="G410">
        <f t="shared" si="55"/>
        <v>2024</v>
      </c>
      <c r="I410" s="17">
        <f t="shared" si="56"/>
        <v>45444</v>
      </c>
      <c r="K410" s="17">
        <v>33725</v>
      </c>
      <c r="L410" t="e">
        <f t="shared" si="50"/>
        <v>#DIV/0!</v>
      </c>
      <c r="M410" s="66" t="e">
        <f t="shared" si="51"/>
        <v>#DIV/0!</v>
      </c>
      <c r="O410">
        <f t="shared" si="52"/>
        <v>0</v>
      </c>
    </row>
    <row r="411" spans="1:15" x14ac:dyDescent="0.3">
      <c r="A411" s="17">
        <v>45468</v>
      </c>
      <c r="B411">
        <v>0.15</v>
      </c>
      <c r="D411">
        <f t="shared" si="53"/>
        <v>25</v>
      </c>
      <c r="E411">
        <v>1</v>
      </c>
      <c r="F411">
        <f t="shared" si="54"/>
        <v>6</v>
      </c>
      <c r="G411">
        <f t="shared" si="55"/>
        <v>2024</v>
      </c>
      <c r="I411" s="17">
        <f t="shared" si="56"/>
        <v>45444</v>
      </c>
      <c r="K411" s="17">
        <v>33695</v>
      </c>
      <c r="L411" t="e">
        <f t="shared" si="50"/>
        <v>#DIV/0!</v>
      </c>
      <c r="M411" s="66" t="e">
        <f t="shared" si="51"/>
        <v>#DIV/0!</v>
      </c>
      <c r="O411">
        <f t="shared" si="52"/>
        <v>0</v>
      </c>
    </row>
    <row r="412" spans="1:15" x14ac:dyDescent="0.3">
      <c r="A412" s="17">
        <v>45467</v>
      </c>
      <c r="B412">
        <v>-0.05</v>
      </c>
      <c r="D412">
        <f t="shared" si="53"/>
        <v>24</v>
      </c>
      <c r="E412">
        <v>1</v>
      </c>
      <c r="F412">
        <f t="shared" si="54"/>
        <v>6</v>
      </c>
      <c r="G412">
        <f t="shared" si="55"/>
        <v>2024</v>
      </c>
      <c r="I412" s="17">
        <f t="shared" si="56"/>
        <v>45444</v>
      </c>
      <c r="K412" s="17">
        <v>33664</v>
      </c>
      <c r="L412" t="e">
        <f t="shared" si="50"/>
        <v>#DIV/0!</v>
      </c>
      <c r="M412" s="66" t="e">
        <f t="shared" si="51"/>
        <v>#DIV/0!</v>
      </c>
      <c r="O412">
        <f t="shared" si="52"/>
        <v>0</v>
      </c>
    </row>
    <row r="413" spans="1:15" x14ac:dyDescent="0.3">
      <c r="A413" s="17">
        <v>45464</v>
      </c>
      <c r="B413">
        <v>0.14000000000000001</v>
      </c>
      <c r="D413">
        <f t="shared" si="53"/>
        <v>21</v>
      </c>
      <c r="E413">
        <v>1</v>
      </c>
      <c r="F413">
        <f t="shared" si="54"/>
        <v>6</v>
      </c>
      <c r="G413">
        <f t="shared" si="55"/>
        <v>2024</v>
      </c>
      <c r="I413" s="17">
        <f t="shared" si="56"/>
        <v>45444</v>
      </c>
      <c r="K413" s="17">
        <v>33635</v>
      </c>
      <c r="L413" t="e">
        <f t="shared" si="50"/>
        <v>#DIV/0!</v>
      </c>
      <c r="M413" s="66" t="e">
        <f t="shared" si="51"/>
        <v>#DIV/0!</v>
      </c>
      <c r="O413">
        <f t="shared" si="52"/>
        <v>0</v>
      </c>
    </row>
    <row r="414" spans="1:15" x14ac:dyDescent="0.3">
      <c r="A414" s="17">
        <v>45463</v>
      </c>
      <c r="B414">
        <v>0.22</v>
      </c>
      <c r="D414">
        <f t="shared" si="53"/>
        <v>20</v>
      </c>
      <c r="E414">
        <v>1</v>
      </c>
      <c r="F414">
        <f t="shared" si="54"/>
        <v>6</v>
      </c>
      <c r="G414">
        <f t="shared" si="55"/>
        <v>2024</v>
      </c>
      <c r="I414" s="17">
        <f t="shared" si="56"/>
        <v>45444</v>
      </c>
      <c r="K414" s="17">
        <v>33604</v>
      </c>
      <c r="L414" t="e">
        <f t="shared" si="50"/>
        <v>#DIV/0!</v>
      </c>
      <c r="M414" s="66" t="e">
        <f t="shared" si="51"/>
        <v>#DIV/0!</v>
      </c>
      <c r="O414">
        <f t="shared" si="52"/>
        <v>0</v>
      </c>
    </row>
    <row r="415" spans="1:15" x14ac:dyDescent="0.3">
      <c r="A415" s="17">
        <v>45462</v>
      </c>
      <c r="B415">
        <v>0.2</v>
      </c>
      <c r="D415">
        <f t="shared" si="53"/>
        <v>19</v>
      </c>
      <c r="E415">
        <v>1</v>
      </c>
      <c r="F415">
        <f t="shared" si="54"/>
        <v>6</v>
      </c>
      <c r="G415">
        <f t="shared" si="55"/>
        <v>2024</v>
      </c>
      <c r="I415" s="17">
        <f t="shared" si="56"/>
        <v>45444</v>
      </c>
      <c r="K415" s="17">
        <v>33573</v>
      </c>
      <c r="L415" t="e">
        <f t="shared" si="50"/>
        <v>#DIV/0!</v>
      </c>
      <c r="M415" s="66" t="e">
        <f t="shared" si="51"/>
        <v>#DIV/0!</v>
      </c>
      <c r="O415">
        <f t="shared" si="52"/>
        <v>0</v>
      </c>
    </row>
    <row r="416" spans="1:15" x14ac:dyDescent="0.3">
      <c r="A416" s="17">
        <v>45461</v>
      </c>
      <c r="B416">
        <v>0.43</v>
      </c>
      <c r="D416">
        <f t="shared" si="53"/>
        <v>18</v>
      </c>
      <c r="E416">
        <v>1</v>
      </c>
      <c r="F416">
        <f t="shared" si="54"/>
        <v>6</v>
      </c>
      <c r="G416">
        <f t="shared" si="55"/>
        <v>2024</v>
      </c>
      <c r="I416" s="17">
        <f t="shared" si="56"/>
        <v>45444</v>
      </c>
      <c r="K416" s="17">
        <v>33543</v>
      </c>
      <c r="L416" t="e">
        <f t="shared" si="50"/>
        <v>#DIV/0!</v>
      </c>
      <c r="M416" s="66" t="e">
        <f t="shared" si="51"/>
        <v>#DIV/0!</v>
      </c>
      <c r="O416">
        <f t="shared" si="52"/>
        <v>0</v>
      </c>
    </row>
    <row r="417" spans="1:15" x14ac:dyDescent="0.3">
      <c r="A417" s="17">
        <v>45457</v>
      </c>
      <c r="B417">
        <v>0.45</v>
      </c>
      <c r="D417">
        <f t="shared" si="53"/>
        <v>14</v>
      </c>
      <c r="E417">
        <v>1</v>
      </c>
      <c r="F417">
        <f t="shared" si="54"/>
        <v>6</v>
      </c>
      <c r="G417">
        <f t="shared" si="55"/>
        <v>2024</v>
      </c>
      <c r="I417" s="17">
        <f t="shared" si="56"/>
        <v>45444</v>
      </c>
      <c r="K417" s="17">
        <v>33512</v>
      </c>
      <c r="L417" t="e">
        <f t="shared" si="50"/>
        <v>#DIV/0!</v>
      </c>
      <c r="M417" s="66" t="e">
        <f t="shared" si="51"/>
        <v>#DIV/0!</v>
      </c>
      <c r="O417">
        <f t="shared" si="52"/>
        <v>0</v>
      </c>
    </row>
    <row r="418" spans="1:15" x14ac:dyDescent="0.3">
      <c r="A418" s="17">
        <v>45456</v>
      </c>
      <c r="B418">
        <v>0.23</v>
      </c>
      <c r="D418">
        <f t="shared" si="53"/>
        <v>13</v>
      </c>
      <c r="E418">
        <v>1</v>
      </c>
      <c r="F418">
        <f t="shared" si="54"/>
        <v>6</v>
      </c>
      <c r="G418">
        <f t="shared" si="55"/>
        <v>2024</v>
      </c>
      <c r="I418" s="17">
        <f t="shared" si="56"/>
        <v>45444</v>
      </c>
      <c r="K418" s="17">
        <v>33482</v>
      </c>
      <c r="L418" t="e">
        <f t="shared" si="50"/>
        <v>#DIV/0!</v>
      </c>
      <c r="M418" s="66" t="e">
        <f t="shared" si="51"/>
        <v>#DIV/0!</v>
      </c>
      <c r="O418">
        <f t="shared" si="52"/>
        <v>0</v>
      </c>
    </row>
    <row r="419" spans="1:15" x14ac:dyDescent="0.3">
      <c r="A419" s="17">
        <v>45455</v>
      </c>
      <c r="B419">
        <v>0.59</v>
      </c>
      <c r="D419">
        <f t="shared" si="53"/>
        <v>12</v>
      </c>
      <c r="E419">
        <v>1</v>
      </c>
      <c r="F419">
        <f t="shared" si="54"/>
        <v>6</v>
      </c>
      <c r="G419">
        <f t="shared" si="55"/>
        <v>2024</v>
      </c>
      <c r="I419" s="17">
        <f t="shared" si="56"/>
        <v>45444</v>
      </c>
      <c r="K419" s="17">
        <v>33451</v>
      </c>
      <c r="L419" t="e">
        <f t="shared" si="50"/>
        <v>#DIV/0!</v>
      </c>
      <c r="M419" s="66" t="e">
        <f t="shared" si="51"/>
        <v>#DIV/0!</v>
      </c>
      <c r="O419">
        <f t="shared" si="52"/>
        <v>0</v>
      </c>
    </row>
    <row r="420" spans="1:15" x14ac:dyDescent="0.3">
      <c r="A420" s="17">
        <v>45454</v>
      </c>
      <c r="B420">
        <v>0.52</v>
      </c>
      <c r="D420">
        <f t="shared" si="53"/>
        <v>11</v>
      </c>
      <c r="E420">
        <v>1</v>
      </c>
      <c r="F420">
        <f t="shared" si="54"/>
        <v>6</v>
      </c>
      <c r="G420">
        <f t="shared" si="55"/>
        <v>2024</v>
      </c>
      <c r="I420" s="17">
        <f t="shared" si="56"/>
        <v>45444</v>
      </c>
      <c r="K420" s="17">
        <v>33420</v>
      </c>
      <c r="L420" t="e">
        <f t="shared" si="50"/>
        <v>#DIV/0!</v>
      </c>
      <c r="M420" s="66" t="e">
        <f t="shared" si="51"/>
        <v>#DIV/0!</v>
      </c>
      <c r="O420">
        <f t="shared" si="52"/>
        <v>0</v>
      </c>
    </row>
    <row r="421" spans="1:15" x14ac:dyDescent="0.3">
      <c r="A421" s="17">
        <v>45453</v>
      </c>
      <c r="B421">
        <v>0.63</v>
      </c>
      <c r="D421">
        <f t="shared" si="53"/>
        <v>10</v>
      </c>
      <c r="E421">
        <v>1</v>
      </c>
      <c r="F421">
        <f t="shared" si="54"/>
        <v>6</v>
      </c>
      <c r="G421">
        <f t="shared" si="55"/>
        <v>2024</v>
      </c>
      <c r="I421" s="17">
        <f t="shared" si="56"/>
        <v>45444</v>
      </c>
      <c r="K421" s="17">
        <v>33390</v>
      </c>
      <c r="L421" t="e">
        <f t="shared" si="50"/>
        <v>#DIV/0!</v>
      </c>
      <c r="M421" s="66" t="e">
        <f t="shared" si="51"/>
        <v>#DIV/0!</v>
      </c>
      <c r="O421">
        <f t="shared" si="52"/>
        <v>0</v>
      </c>
    </row>
    <row r="422" spans="1:15" x14ac:dyDescent="0.3">
      <c r="A422" s="17">
        <v>45450</v>
      </c>
      <c r="B422">
        <v>0.67</v>
      </c>
      <c r="D422">
        <f t="shared" si="53"/>
        <v>7</v>
      </c>
      <c r="E422">
        <v>1</v>
      </c>
      <c r="F422">
        <f t="shared" si="54"/>
        <v>6</v>
      </c>
      <c r="G422">
        <f t="shared" si="55"/>
        <v>2024</v>
      </c>
      <c r="I422" s="17">
        <f t="shared" si="56"/>
        <v>45444</v>
      </c>
      <c r="K422" s="17">
        <v>33359</v>
      </c>
      <c r="L422" t="e">
        <f t="shared" si="50"/>
        <v>#DIV/0!</v>
      </c>
      <c r="M422" s="66" t="e">
        <f t="shared" si="51"/>
        <v>#DIV/0!</v>
      </c>
      <c r="O422">
        <f t="shared" si="52"/>
        <v>0</v>
      </c>
    </row>
    <row r="423" spans="1:15" x14ac:dyDescent="0.3">
      <c r="A423" s="17">
        <v>45449</v>
      </c>
      <c r="B423">
        <v>0.54</v>
      </c>
      <c r="D423">
        <f t="shared" si="53"/>
        <v>6</v>
      </c>
      <c r="E423">
        <v>1</v>
      </c>
      <c r="F423">
        <f t="shared" si="54"/>
        <v>6</v>
      </c>
      <c r="G423">
        <f t="shared" si="55"/>
        <v>2024</v>
      </c>
      <c r="I423" s="17">
        <f t="shared" si="56"/>
        <v>45444</v>
      </c>
      <c r="K423" s="17">
        <v>33329</v>
      </c>
      <c r="L423" t="e">
        <f t="shared" si="50"/>
        <v>#DIV/0!</v>
      </c>
      <c r="M423" s="66" t="e">
        <f t="shared" si="51"/>
        <v>#DIV/0!</v>
      </c>
      <c r="O423">
        <f t="shared" si="52"/>
        <v>0</v>
      </c>
    </row>
    <row r="424" spans="1:15" x14ac:dyDescent="0.3">
      <c r="A424" s="17">
        <v>45448</v>
      </c>
      <c r="B424">
        <v>0.59</v>
      </c>
      <c r="D424">
        <f t="shared" si="53"/>
        <v>5</v>
      </c>
      <c r="E424">
        <v>1</v>
      </c>
      <c r="F424">
        <f t="shared" si="54"/>
        <v>6</v>
      </c>
      <c r="G424">
        <f t="shared" si="55"/>
        <v>2024</v>
      </c>
      <c r="I424" s="17">
        <f t="shared" si="56"/>
        <v>45444</v>
      </c>
      <c r="K424" s="17">
        <v>33298</v>
      </c>
      <c r="L424" t="e">
        <f t="shared" si="50"/>
        <v>#DIV/0!</v>
      </c>
      <c r="M424" s="66" t="e">
        <f t="shared" si="51"/>
        <v>#DIV/0!</v>
      </c>
      <c r="O424">
        <f t="shared" si="52"/>
        <v>0</v>
      </c>
    </row>
    <row r="425" spans="1:15" x14ac:dyDescent="0.3">
      <c r="A425" s="17">
        <v>45447</v>
      </c>
      <c r="B425">
        <v>0.28000000000000003</v>
      </c>
      <c r="D425">
        <f t="shared" si="53"/>
        <v>4</v>
      </c>
      <c r="E425">
        <v>1</v>
      </c>
      <c r="F425">
        <f t="shared" si="54"/>
        <v>6</v>
      </c>
      <c r="G425">
        <f t="shared" si="55"/>
        <v>2024</v>
      </c>
      <c r="I425" s="17">
        <f t="shared" si="56"/>
        <v>45444</v>
      </c>
      <c r="K425" s="17">
        <v>33270</v>
      </c>
      <c r="L425" t="e">
        <f t="shared" si="50"/>
        <v>#DIV/0!</v>
      </c>
      <c r="M425" s="66" t="e">
        <f t="shared" si="51"/>
        <v>#DIV/0!</v>
      </c>
      <c r="O425">
        <f t="shared" si="52"/>
        <v>1</v>
      </c>
    </row>
    <row r="426" spans="1:15" x14ac:dyDescent="0.3">
      <c r="A426" s="17">
        <v>45446</v>
      </c>
      <c r="B426">
        <v>0.64</v>
      </c>
      <c r="D426">
        <f t="shared" si="53"/>
        <v>3</v>
      </c>
      <c r="E426">
        <v>1</v>
      </c>
      <c r="F426">
        <f t="shared" si="54"/>
        <v>6</v>
      </c>
      <c r="G426">
        <f t="shared" si="55"/>
        <v>2024</v>
      </c>
      <c r="I426" s="17">
        <f t="shared" si="56"/>
        <v>45444</v>
      </c>
      <c r="K426" s="17">
        <v>33239</v>
      </c>
      <c r="L426" t="e">
        <f t="shared" si="50"/>
        <v>#DIV/0!</v>
      </c>
      <c r="M426" s="66" t="e">
        <f t="shared" si="51"/>
        <v>#DIV/0!</v>
      </c>
      <c r="O426">
        <f t="shared" si="52"/>
        <v>1</v>
      </c>
    </row>
    <row r="427" spans="1:15" x14ac:dyDescent="0.3">
      <c r="A427" s="17">
        <v>45443</v>
      </c>
      <c r="B427">
        <v>1.27</v>
      </c>
      <c r="D427">
        <f t="shared" si="53"/>
        <v>31</v>
      </c>
      <c r="E427">
        <v>1</v>
      </c>
      <c r="F427">
        <f t="shared" si="54"/>
        <v>5</v>
      </c>
      <c r="G427">
        <f t="shared" si="55"/>
        <v>2024</v>
      </c>
      <c r="I427" s="17">
        <f t="shared" si="56"/>
        <v>45413</v>
      </c>
      <c r="K427" s="17">
        <v>33208</v>
      </c>
      <c r="L427" t="e">
        <f t="shared" si="50"/>
        <v>#DIV/0!</v>
      </c>
      <c r="M427" s="66" t="e">
        <f t="shared" si="51"/>
        <v>#DIV/0!</v>
      </c>
      <c r="O427">
        <f t="shared" si="52"/>
        <v>0</v>
      </c>
    </row>
    <row r="428" spans="1:15" x14ac:dyDescent="0.3">
      <c r="A428" s="17">
        <v>45442</v>
      </c>
      <c r="B428">
        <v>0.74</v>
      </c>
      <c r="D428">
        <f t="shared" si="53"/>
        <v>30</v>
      </c>
      <c r="E428">
        <v>1</v>
      </c>
      <c r="F428">
        <f t="shared" si="54"/>
        <v>5</v>
      </c>
      <c r="G428">
        <f t="shared" si="55"/>
        <v>2024</v>
      </c>
      <c r="I428" s="17">
        <f t="shared" si="56"/>
        <v>45413</v>
      </c>
      <c r="K428" s="17">
        <v>33178</v>
      </c>
      <c r="L428" t="e">
        <f t="shared" si="50"/>
        <v>#DIV/0!</v>
      </c>
      <c r="M428" s="66" t="e">
        <f t="shared" si="51"/>
        <v>#DIV/0!</v>
      </c>
      <c r="O428">
        <f t="shared" si="52"/>
        <v>0</v>
      </c>
    </row>
    <row r="429" spans="1:15" x14ac:dyDescent="0.3">
      <c r="A429" s="17">
        <v>45441</v>
      </c>
      <c r="B429">
        <v>0.93</v>
      </c>
      <c r="D429">
        <f t="shared" si="53"/>
        <v>29</v>
      </c>
      <c r="E429">
        <v>1</v>
      </c>
      <c r="F429">
        <f t="shared" si="54"/>
        <v>5</v>
      </c>
      <c r="G429">
        <f t="shared" si="55"/>
        <v>2024</v>
      </c>
      <c r="I429" s="17">
        <f t="shared" si="56"/>
        <v>45413</v>
      </c>
      <c r="K429" s="17">
        <v>33147</v>
      </c>
      <c r="L429" t="e">
        <f t="shared" si="50"/>
        <v>#DIV/0!</v>
      </c>
      <c r="M429" s="66" t="e">
        <f t="shared" si="51"/>
        <v>#DIV/0!</v>
      </c>
      <c r="O429">
        <f t="shared" si="52"/>
        <v>0</v>
      </c>
    </row>
    <row r="430" spans="1:15" x14ac:dyDescent="0.3">
      <c r="A430" s="17">
        <v>45440</v>
      </c>
      <c r="B430">
        <v>0.98</v>
      </c>
      <c r="D430">
        <f t="shared" si="53"/>
        <v>28</v>
      </c>
      <c r="E430">
        <v>1</v>
      </c>
      <c r="F430">
        <f t="shared" si="54"/>
        <v>5</v>
      </c>
      <c r="G430">
        <f t="shared" si="55"/>
        <v>2024</v>
      </c>
      <c r="I430" s="17">
        <f t="shared" si="56"/>
        <v>45413</v>
      </c>
      <c r="K430" s="17">
        <v>33117</v>
      </c>
      <c r="L430" t="e">
        <f t="shared" si="50"/>
        <v>#DIV/0!</v>
      </c>
      <c r="M430" s="66" t="e">
        <f t="shared" si="51"/>
        <v>#DIV/0!</v>
      </c>
      <c r="O430">
        <f t="shared" si="52"/>
        <v>0</v>
      </c>
    </row>
    <row r="431" spans="1:15" x14ac:dyDescent="0.3">
      <c r="A431" s="17">
        <v>45439</v>
      </c>
      <c r="B431">
        <v>1.04</v>
      </c>
      <c r="D431">
        <f t="shared" si="53"/>
        <v>27</v>
      </c>
      <c r="E431">
        <v>1</v>
      </c>
      <c r="F431">
        <f t="shared" si="54"/>
        <v>5</v>
      </c>
      <c r="G431">
        <f t="shared" si="55"/>
        <v>2024</v>
      </c>
      <c r="I431" s="17">
        <f t="shared" si="56"/>
        <v>45413</v>
      </c>
      <c r="K431" s="17">
        <v>33086</v>
      </c>
      <c r="L431" t="e">
        <f t="shared" si="50"/>
        <v>#DIV/0!</v>
      </c>
      <c r="M431" s="66" t="e">
        <f t="shared" si="51"/>
        <v>#DIV/0!</v>
      </c>
      <c r="O431">
        <f t="shared" si="52"/>
        <v>0</v>
      </c>
    </row>
    <row r="432" spans="1:15" x14ac:dyDescent="0.3">
      <c r="A432" s="17">
        <v>45436</v>
      </c>
      <c r="B432">
        <v>1.03</v>
      </c>
      <c r="D432">
        <f t="shared" si="53"/>
        <v>24</v>
      </c>
      <c r="E432">
        <v>1</v>
      </c>
      <c r="F432">
        <f t="shared" si="54"/>
        <v>5</v>
      </c>
      <c r="G432">
        <f t="shared" si="55"/>
        <v>2024</v>
      </c>
      <c r="I432" s="17">
        <f t="shared" si="56"/>
        <v>45413</v>
      </c>
      <c r="K432" s="17">
        <v>33055</v>
      </c>
      <c r="L432" t="e">
        <f t="shared" si="50"/>
        <v>#DIV/0!</v>
      </c>
      <c r="M432" s="66" t="e">
        <f t="shared" si="51"/>
        <v>#DIV/0!</v>
      </c>
      <c r="O432">
        <f t="shared" si="52"/>
        <v>0</v>
      </c>
    </row>
    <row r="433" spans="1:15" x14ac:dyDescent="0.3">
      <c r="A433" s="17">
        <v>45435</v>
      </c>
      <c r="B433">
        <v>1.21</v>
      </c>
      <c r="D433">
        <f t="shared" si="53"/>
        <v>23</v>
      </c>
      <c r="E433">
        <v>1</v>
      </c>
      <c r="F433">
        <f t="shared" si="54"/>
        <v>5</v>
      </c>
      <c r="G433">
        <f t="shared" si="55"/>
        <v>2024</v>
      </c>
      <c r="I433" s="17">
        <f t="shared" si="56"/>
        <v>45413</v>
      </c>
      <c r="K433" s="17">
        <v>33025</v>
      </c>
      <c r="L433" t="e">
        <f t="shared" si="50"/>
        <v>#DIV/0!</v>
      </c>
      <c r="M433" s="66" t="e">
        <f t="shared" si="51"/>
        <v>#DIV/0!</v>
      </c>
      <c r="O433">
        <f t="shared" si="52"/>
        <v>0</v>
      </c>
    </row>
    <row r="434" spans="1:15" x14ac:dyDescent="0.3">
      <c r="A434" s="17">
        <v>45433</v>
      </c>
      <c r="B434">
        <v>1.18</v>
      </c>
      <c r="D434">
        <f t="shared" si="53"/>
        <v>21</v>
      </c>
      <c r="E434">
        <v>1</v>
      </c>
      <c r="F434">
        <f t="shared" si="54"/>
        <v>5</v>
      </c>
      <c r="G434">
        <f t="shared" si="55"/>
        <v>2024</v>
      </c>
      <c r="I434" s="17">
        <f t="shared" si="56"/>
        <v>45413</v>
      </c>
      <c r="K434" s="17">
        <v>32994</v>
      </c>
      <c r="L434" t="e">
        <f t="shared" si="50"/>
        <v>#DIV/0!</v>
      </c>
      <c r="M434" s="66" t="e">
        <f t="shared" si="51"/>
        <v>#DIV/0!</v>
      </c>
      <c r="O434">
        <f t="shared" si="52"/>
        <v>0</v>
      </c>
    </row>
    <row r="435" spans="1:15" x14ac:dyDescent="0.3">
      <c r="A435" s="17">
        <v>45432</v>
      </c>
      <c r="B435">
        <v>1.27</v>
      </c>
      <c r="D435">
        <f t="shared" si="53"/>
        <v>20</v>
      </c>
      <c r="E435">
        <v>1</v>
      </c>
      <c r="F435">
        <f t="shared" si="54"/>
        <v>5</v>
      </c>
      <c r="G435">
        <f t="shared" si="55"/>
        <v>2024</v>
      </c>
      <c r="I435" s="17">
        <f t="shared" si="56"/>
        <v>45413</v>
      </c>
      <c r="K435" s="17">
        <v>32964</v>
      </c>
      <c r="L435" t="e">
        <f t="shared" si="50"/>
        <v>#DIV/0!</v>
      </c>
      <c r="M435" s="66" t="e">
        <f t="shared" si="51"/>
        <v>#DIV/0!</v>
      </c>
      <c r="O435">
        <f t="shared" si="52"/>
        <v>0</v>
      </c>
    </row>
    <row r="436" spans="1:15" x14ac:dyDescent="0.3">
      <c r="A436" s="17">
        <v>45429</v>
      </c>
      <c r="B436">
        <v>1.45</v>
      </c>
      <c r="D436">
        <f t="shared" si="53"/>
        <v>17</v>
      </c>
      <c r="E436">
        <v>1</v>
      </c>
      <c r="F436">
        <f t="shared" si="54"/>
        <v>5</v>
      </c>
      <c r="G436">
        <f t="shared" si="55"/>
        <v>2024</v>
      </c>
      <c r="I436" s="17">
        <f t="shared" si="56"/>
        <v>45413</v>
      </c>
      <c r="K436" s="17">
        <v>32933</v>
      </c>
      <c r="L436" t="e">
        <f t="shared" si="50"/>
        <v>#DIV/0!</v>
      </c>
      <c r="M436" s="66" t="e">
        <f t="shared" si="51"/>
        <v>#DIV/0!</v>
      </c>
      <c r="O436">
        <f t="shared" si="52"/>
        <v>0</v>
      </c>
    </row>
    <row r="437" spans="1:15" x14ac:dyDescent="0.3">
      <c r="A437" s="17">
        <v>45428</v>
      </c>
      <c r="B437">
        <v>1.35</v>
      </c>
      <c r="D437">
        <f t="shared" si="53"/>
        <v>16</v>
      </c>
      <c r="E437">
        <v>1</v>
      </c>
      <c r="F437">
        <f t="shared" si="54"/>
        <v>5</v>
      </c>
      <c r="G437">
        <f t="shared" si="55"/>
        <v>2024</v>
      </c>
      <c r="I437" s="17">
        <f t="shared" si="56"/>
        <v>45413</v>
      </c>
      <c r="K437" s="17">
        <v>32905</v>
      </c>
      <c r="L437" t="e">
        <f t="shared" si="50"/>
        <v>#DIV/0!</v>
      </c>
      <c r="M437" s="66" t="e">
        <f t="shared" si="51"/>
        <v>#DIV/0!</v>
      </c>
      <c r="O437">
        <f t="shared" si="52"/>
        <v>0</v>
      </c>
    </row>
    <row r="438" spans="1:15" x14ac:dyDescent="0.3">
      <c r="A438" s="17">
        <v>45427</v>
      </c>
      <c r="B438">
        <v>1.32</v>
      </c>
      <c r="D438">
        <f t="shared" si="53"/>
        <v>15</v>
      </c>
      <c r="E438">
        <v>1</v>
      </c>
      <c r="F438">
        <f t="shared" si="54"/>
        <v>5</v>
      </c>
      <c r="G438">
        <f t="shared" si="55"/>
        <v>2024</v>
      </c>
      <c r="I438" s="17">
        <f t="shared" si="56"/>
        <v>45413</v>
      </c>
      <c r="K438" s="17">
        <v>32874</v>
      </c>
      <c r="L438" t="e">
        <f t="shared" si="50"/>
        <v>#DIV/0!</v>
      </c>
      <c r="M438" s="66" t="e">
        <f t="shared" si="51"/>
        <v>#DIV/0!</v>
      </c>
      <c r="O438">
        <f t="shared" si="52"/>
        <v>0</v>
      </c>
    </row>
    <row r="439" spans="1:15" x14ac:dyDescent="0.3">
      <c r="A439" s="17">
        <v>45426</v>
      </c>
      <c r="B439">
        <v>1.32</v>
      </c>
      <c r="D439">
        <f t="shared" si="53"/>
        <v>14</v>
      </c>
      <c r="E439">
        <v>1</v>
      </c>
      <c r="F439">
        <f t="shared" si="54"/>
        <v>5</v>
      </c>
      <c r="G439">
        <f t="shared" si="55"/>
        <v>2024</v>
      </c>
      <c r="I439" s="17">
        <f t="shared" si="56"/>
        <v>45413</v>
      </c>
      <c r="K439" s="17">
        <v>32843</v>
      </c>
      <c r="L439" t="e">
        <f t="shared" si="50"/>
        <v>#DIV/0!</v>
      </c>
      <c r="M439" s="66" t="e">
        <f t="shared" si="51"/>
        <v>#DIV/0!</v>
      </c>
      <c r="O439">
        <f t="shared" si="52"/>
        <v>0</v>
      </c>
    </row>
    <row r="440" spans="1:15" x14ac:dyDescent="0.3">
      <c r="A440" s="17">
        <v>45425</v>
      </c>
      <c r="B440">
        <v>1.39</v>
      </c>
      <c r="D440">
        <f t="shared" si="53"/>
        <v>13</v>
      </c>
      <c r="E440">
        <v>1</v>
      </c>
      <c r="F440">
        <f t="shared" si="54"/>
        <v>5</v>
      </c>
      <c r="G440">
        <f t="shared" si="55"/>
        <v>2024</v>
      </c>
      <c r="I440" s="17">
        <f t="shared" si="56"/>
        <v>45413</v>
      </c>
      <c r="K440" s="17">
        <v>32813</v>
      </c>
      <c r="L440" t="e">
        <f t="shared" si="50"/>
        <v>#DIV/0!</v>
      </c>
      <c r="M440" s="66" t="e">
        <f t="shared" si="51"/>
        <v>#DIV/0!</v>
      </c>
      <c r="O440">
        <f t="shared" si="52"/>
        <v>0</v>
      </c>
    </row>
    <row r="441" spans="1:15" x14ac:dyDescent="0.3">
      <c r="A441" s="17">
        <v>45422</v>
      </c>
      <c r="B441">
        <v>1.51</v>
      </c>
      <c r="D441">
        <f t="shared" si="53"/>
        <v>10</v>
      </c>
      <c r="E441">
        <v>1</v>
      </c>
      <c r="F441">
        <f t="shared" si="54"/>
        <v>5</v>
      </c>
      <c r="G441">
        <f t="shared" si="55"/>
        <v>2024</v>
      </c>
      <c r="I441" s="17">
        <f t="shared" si="56"/>
        <v>45413</v>
      </c>
      <c r="K441" s="17">
        <v>32782</v>
      </c>
      <c r="L441" t="e">
        <f t="shared" si="50"/>
        <v>#DIV/0!</v>
      </c>
      <c r="M441" s="66" t="e">
        <f t="shared" si="51"/>
        <v>#DIV/0!</v>
      </c>
      <c r="O441">
        <f t="shared" si="52"/>
        <v>0</v>
      </c>
    </row>
    <row r="442" spans="1:15" x14ac:dyDescent="0.3">
      <c r="A442" s="17">
        <v>45421</v>
      </c>
      <c r="B442">
        <v>1.53</v>
      </c>
      <c r="D442">
        <f t="shared" si="53"/>
        <v>9</v>
      </c>
      <c r="E442">
        <v>1</v>
      </c>
      <c r="F442">
        <f t="shared" si="54"/>
        <v>5</v>
      </c>
      <c r="G442">
        <f t="shared" si="55"/>
        <v>2024</v>
      </c>
      <c r="I442" s="17">
        <f t="shared" si="56"/>
        <v>45413</v>
      </c>
      <c r="K442" s="17">
        <v>32752</v>
      </c>
      <c r="L442" t="e">
        <f t="shared" si="50"/>
        <v>#DIV/0!</v>
      </c>
      <c r="M442" s="66" t="e">
        <f t="shared" si="51"/>
        <v>#DIV/0!</v>
      </c>
      <c r="O442">
        <f t="shared" si="52"/>
        <v>0</v>
      </c>
    </row>
    <row r="443" spans="1:15" x14ac:dyDescent="0.3">
      <c r="A443" s="17">
        <v>45420</v>
      </c>
      <c r="B443">
        <v>1.36</v>
      </c>
      <c r="D443">
        <f t="shared" si="53"/>
        <v>8</v>
      </c>
      <c r="E443">
        <v>1</v>
      </c>
      <c r="F443">
        <f t="shared" si="54"/>
        <v>5</v>
      </c>
      <c r="G443">
        <f t="shared" si="55"/>
        <v>2024</v>
      </c>
      <c r="I443" s="17">
        <f t="shared" si="56"/>
        <v>45413</v>
      </c>
      <c r="K443" s="17">
        <v>32721</v>
      </c>
      <c r="L443" t="e">
        <f t="shared" si="50"/>
        <v>#DIV/0!</v>
      </c>
      <c r="M443" s="66" t="e">
        <f t="shared" si="51"/>
        <v>#DIV/0!</v>
      </c>
      <c r="O443">
        <f t="shared" si="52"/>
        <v>0</v>
      </c>
    </row>
    <row r="444" spans="1:15" x14ac:dyDescent="0.3">
      <c r="A444" s="17">
        <v>45419</v>
      </c>
      <c r="B444">
        <v>1.48</v>
      </c>
      <c r="D444">
        <f t="shared" si="53"/>
        <v>7</v>
      </c>
      <c r="E444">
        <v>1</v>
      </c>
      <c r="F444">
        <f t="shared" si="54"/>
        <v>5</v>
      </c>
      <c r="G444">
        <f t="shared" si="55"/>
        <v>2024</v>
      </c>
      <c r="I444" s="17">
        <f t="shared" si="56"/>
        <v>45413</v>
      </c>
      <c r="K444" s="17">
        <v>32690</v>
      </c>
      <c r="L444" t="e">
        <f t="shared" si="50"/>
        <v>#DIV/0!</v>
      </c>
      <c r="M444" s="66" t="e">
        <f t="shared" si="51"/>
        <v>#DIV/0!</v>
      </c>
      <c r="O444">
        <f t="shared" si="52"/>
        <v>0</v>
      </c>
    </row>
    <row r="445" spans="1:15" x14ac:dyDescent="0.3">
      <c r="A445" s="17">
        <v>45418</v>
      </c>
      <c r="B445">
        <v>1.37</v>
      </c>
      <c r="D445">
        <f t="shared" si="53"/>
        <v>6</v>
      </c>
      <c r="E445">
        <v>1</v>
      </c>
      <c r="F445">
        <f t="shared" si="54"/>
        <v>5</v>
      </c>
      <c r="G445">
        <f t="shared" si="55"/>
        <v>2024</v>
      </c>
      <c r="I445" s="17">
        <f t="shared" si="56"/>
        <v>45413</v>
      </c>
      <c r="K445" s="17">
        <v>32660</v>
      </c>
      <c r="L445" t="e">
        <f t="shared" si="50"/>
        <v>#DIV/0!</v>
      </c>
      <c r="M445" s="66" t="e">
        <f t="shared" si="51"/>
        <v>#DIV/0!</v>
      </c>
      <c r="O445">
        <f t="shared" si="52"/>
        <v>0</v>
      </c>
    </row>
    <row r="446" spans="1:15" x14ac:dyDescent="0.3">
      <c r="A446" s="17">
        <v>45415</v>
      </c>
      <c r="B446">
        <v>1.36</v>
      </c>
      <c r="D446">
        <f t="shared" si="53"/>
        <v>3</v>
      </c>
      <c r="E446">
        <v>1</v>
      </c>
      <c r="F446">
        <f t="shared" si="54"/>
        <v>5</v>
      </c>
      <c r="G446">
        <f t="shared" si="55"/>
        <v>2024</v>
      </c>
      <c r="I446" s="17">
        <f t="shared" si="56"/>
        <v>45413</v>
      </c>
      <c r="K446" s="17">
        <v>32629</v>
      </c>
      <c r="L446" t="e">
        <f t="shared" si="50"/>
        <v>#DIV/0!</v>
      </c>
      <c r="M446" s="66" t="e">
        <f t="shared" si="51"/>
        <v>#DIV/0!</v>
      </c>
      <c r="O446">
        <f t="shared" si="52"/>
        <v>1</v>
      </c>
    </row>
    <row r="447" spans="1:15" x14ac:dyDescent="0.3">
      <c r="A447" s="17">
        <v>45414</v>
      </c>
      <c r="B447">
        <v>1.41</v>
      </c>
      <c r="D447">
        <f t="shared" si="53"/>
        <v>2</v>
      </c>
      <c r="E447">
        <v>1</v>
      </c>
      <c r="F447">
        <f t="shared" si="54"/>
        <v>5</v>
      </c>
      <c r="G447">
        <f t="shared" si="55"/>
        <v>2024</v>
      </c>
      <c r="I447" s="17">
        <f t="shared" si="56"/>
        <v>45413</v>
      </c>
      <c r="K447" s="17">
        <v>32599</v>
      </c>
      <c r="L447" t="e">
        <f t="shared" si="50"/>
        <v>#DIV/0!</v>
      </c>
      <c r="M447" s="66" t="e">
        <f t="shared" si="51"/>
        <v>#DIV/0!</v>
      </c>
      <c r="O447">
        <f t="shared" si="52"/>
        <v>1</v>
      </c>
    </row>
    <row r="448" spans="1:15" x14ac:dyDescent="0.3">
      <c r="A448" s="17">
        <v>45412</v>
      </c>
      <c r="B448">
        <v>1.81</v>
      </c>
      <c r="D448">
        <f t="shared" si="53"/>
        <v>30</v>
      </c>
      <c r="E448">
        <v>1</v>
      </c>
      <c r="F448">
        <f t="shared" si="54"/>
        <v>4</v>
      </c>
      <c r="G448">
        <f t="shared" si="55"/>
        <v>2024</v>
      </c>
      <c r="I448" s="17">
        <f t="shared" si="56"/>
        <v>45383</v>
      </c>
      <c r="K448" s="17">
        <v>32568</v>
      </c>
      <c r="L448" t="e">
        <f t="shared" si="50"/>
        <v>#DIV/0!</v>
      </c>
      <c r="M448" s="66" t="e">
        <f t="shared" si="51"/>
        <v>#DIV/0!</v>
      </c>
      <c r="O448">
        <f t="shared" si="52"/>
        <v>0</v>
      </c>
    </row>
    <row r="449" spans="1:15" x14ac:dyDescent="0.3">
      <c r="A449" s="17">
        <v>45411</v>
      </c>
      <c r="B449">
        <v>1.85</v>
      </c>
      <c r="D449">
        <f t="shared" si="53"/>
        <v>29</v>
      </c>
      <c r="E449">
        <v>1</v>
      </c>
      <c r="F449">
        <f t="shared" si="54"/>
        <v>4</v>
      </c>
      <c r="G449">
        <f t="shared" si="55"/>
        <v>2024</v>
      </c>
      <c r="I449" s="17">
        <f t="shared" si="56"/>
        <v>45383</v>
      </c>
      <c r="K449" s="17">
        <v>32540</v>
      </c>
      <c r="L449" t="e">
        <f t="shared" si="50"/>
        <v>#DIV/0!</v>
      </c>
      <c r="M449" s="66" t="e">
        <f t="shared" si="51"/>
        <v>#DIV/0!</v>
      </c>
      <c r="O449">
        <f t="shared" si="52"/>
        <v>0</v>
      </c>
    </row>
    <row r="450" spans="1:15" x14ac:dyDescent="0.3">
      <c r="A450" s="17">
        <v>45408</v>
      </c>
      <c r="B450">
        <v>1.7</v>
      </c>
      <c r="D450">
        <f t="shared" si="53"/>
        <v>26</v>
      </c>
      <c r="E450">
        <v>1</v>
      </c>
      <c r="F450">
        <f t="shared" si="54"/>
        <v>4</v>
      </c>
      <c r="G450">
        <f t="shared" si="55"/>
        <v>2024</v>
      </c>
      <c r="I450" s="17">
        <f t="shared" si="56"/>
        <v>45383</v>
      </c>
      <c r="K450" s="17">
        <v>32509</v>
      </c>
      <c r="L450" t="e">
        <f t="shared" si="50"/>
        <v>#DIV/0!</v>
      </c>
      <c r="M450" s="66" t="e">
        <f t="shared" si="51"/>
        <v>#DIV/0!</v>
      </c>
      <c r="O450">
        <f t="shared" si="52"/>
        <v>0</v>
      </c>
    </row>
    <row r="451" spans="1:15" x14ac:dyDescent="0.3">
      <c r="A451" s="17">
        <v>45407</v>
      </c>
      <c r="B451">
        <v>1.84</v>
      </c>
      <c r="D451">
        <f t="shared" si="53"/>
        <v>25</v>
      </c>
      <c r="E451">
        <v>1</v>
      </c>
      <c r="F451">
        <f t="shared" si="54"/>
        <v>4</v>
      </c>
      <c r="G451">
        <f t="shared" si="55"/>
        <v>2024</v>
      </c>
      <c r="I451" s="17">
        <f t="shared" si="56"/>
        <v>45383</v>
      </c>
      <c r="O451">
        <f t="shared" si="52"/>
        <v>0</v>
      </c>
    </row>
    <row r="452" spans="1:15" x14ac:dyDescent="0.3">
      <c r="A452" s="17">
        <v>45406</v>
      </c>
      <c r="B452">
        <v>2.08</v>
      </c>
      <c r="D452">
        <f t="shared" si="53"/>
        <v>24</v>
      </c>
      <c r="E452">
        <v>1</v>
      </c>
      <c r="F452">
        <f t="shared" si="54"/>
        <v>4</v>
      </c>
      <c r="G452">
        <f t="shared" si="55"/>
        <v>2024</v>
      </c>
      <c r="I452" s="17">
        <f t="shared" si="56"/>
        <v>45383</v>
      </c>
      <c r="O452">
        <f t="shared" si="52"/>
        <v>0</v>
      </c>
    </row>
    <row r="453" spans="1:15" x14ac:dyDescent="0.3">
      <c r="A453" s="17">
        <v>45405</v>
      </c>
      <c r="B453">
        <v>1.79</v>
      </c>
      <c r="D453">
        <f t="shared" si="53"/>
        <v>23</v>
      </c>
      <c r="E453">
        <v>1</v>
      </c>
      <c r="F453">
        <f t="shared" si="54"/>
        <v>4</v>
      </c>
      <c r="G453">
        <f t="shared" si="55"/>
        <v>2024</v>
      </c>
      <c r="I453" s="17">
        <f t="shared" si="56"/>
        <v>45383</v>
      </c>
      <c r="O453">
        <f t="shared" si="52"/>
        <v>0</v>
      </c>
    </row>
    <row r="454" spans="1:15" x14ac:dyDescent="0.3">
      <c r="A454" s="17">
        <v>45404</v>
      </c>
      <c r="B454">
        <v>1.63</v>
      </c>
      <c r="D454">
        <f t="shared" si="53"/>
        <v>22</v>
      </c>
      <c r="E454">
        <v>1</v>
      </c>
      <c r="F454">
        <f t="shared" si="54"/>
        <v>4</v>
      </c>
      <c r="G454">
        <f t="shared" si="55"/>
        <v>2024</v>
      </c>
      <c r="I454" s="17">
        <f t="shared" si="56"/>
        <v>45383</v>
      </c>
      <c r="O454">
        <f t="shared" si="52"/>
        <v>0</v>
      </c>
    </row>
    <row r="455" spans="1:15" x14ac:dyDescent="0.3">
      <c r="A455" s="17">
        <v>45401</v>
      </c>
      <c r="B455">
        <v>1.69</v>
      </c>
      <c r="D455">
        <f t="shared" si="53"/>
        <v>19</v>
      </c>
      <c r="E455">
        <v>1</v>
      </c>
      <c r="F455">
        <f t="shared" si="54"/>
        <v>4</v>
      </c>
      <c r="G455">
        <f t="shared" si="55"/>
        <v>2024</v>
      </c>
      <c r="I455" s="17">
        <f t="shared" si="56"/>
        <v>45383</v>
      </c>
      <c r="O455">
        <f t="shared" ref="O455:O518" si="57">IF(AND(D455&gt;=1, D455&lt;=4), 1, 0)</f>
        <v>0</v>
      </c>
    </row>
    <row r="456" spans="1:15" x14ac:dyDescent="0.3">
      <c r="A456" s="17">
        <v>45400</v>
      </c>
      <c r="B456">
        <v>1.51</v>
      </c>
      <c r="D456">
        <f t="shared" si="53"/>
        <v>18</v>
      </c>
      <c r="E456">
        <v>1</v>
      </c>
      <c r="F456">
        <f t="shared" si="54"/>
        <v>4</v>
      </c>
      <c r="G456">
        <f t="shared" si="55"/>
        <v>2024</v>
      </c>
      <c r="I456" s="17">
        <f t="shared" si="56"/>
        <v>45383</v>
      </c>
      <c r="O456">
        <f t="shared" si="57"/>
        <v>0</v>
      </c>
    </row>
    <row r="457" spans="1:15" x14ac:dyDescent="0.3">
      <c r="A457" s="17">
        <v>45399</v>
      </c>
      <c r="B457">
        <v>1.35</v>
      </c>
      <c r="D457">
        <f t="shared" si="53"/>
        <v>17</v>
      </c>
      <c r="E457">
        <v>1</v>
      </c>
      <c r="F457">
        <f t="shared" si="54"/>
        <v>4</v>
      </c>
      <c r="G457">
        <f t="shared" si="55"/>
        <v>2024</v>
      </c>
      <c r="I457" s="17">
        <f t="shared" si="56"/>
        <v>45383</v>
      </c>
      <c r="O457">
        <f t="shared" si="57"/>
        <v>0</v>
      </c>
    </row>
    <row r="458" spans="1:15" x14ac:dyDescent="0.3">
      <c r="A458" s="17">
        <v>45398</v>
      </c>
      <c r="B458">
        <v>1.35</v>
      </c>
      <c r="D458">
        <f t="shared" si="53"/>
        <v>16</v>
      </c>
      <c r="E458">
        <v>1</v>
      </c>
      <c r="F458">
        <f t="shared" si="54"/>
        <v>4</v>
      </c>
      <c r="G458">
        <f t="shared" si="55"/>
        <v>2024</v>
      </c>
      <c r="I458" s="17">
        <f t="shared" si="56"/>
        <v>45383</v>
      </c>
      <c r="O458">
        <f t="shared" si="57"/>
        <v>0</v>
      </c>
    </row>
    <row r="459" spans="1:15" x14ac:dyDescent="0.3">
      <c r="A459" s="17">
        <v>45397</v>
      </c>
      <c r="B459">
        <v>1.38</v>
      </c>
      <c r="D459">
        <f t="shared" si="53"/>
        <v>15</v>
      </c>
      <c r="E459">
        <v>1</v>
      </c>
      <c r="F459">
        <f t="shared" si="54"/>
        <v>4</v>
      </c>
      <c r="G459">
        <f t="shared" si="55"/>
        <v>2024</v>
      </c>
      <c r="I459" s="17">
        <f t="shared" si="56"/>
        <v>45383</v>
      </c>
      <c r="O459">
        <f t="shared" si="57"/>
        <v>0</v>
      </c>
    </row>
    <row r="460" spans="1:15" x14ac:dyDescent="0.3">
      <c r="A460" s="17">
        <v>45394</v>
      </c>
      <c r="B460">
        <v>1.41</v>
      </c>
      <c r="D460">
        <f t="shared" si="53"/>
        <v>12</v>
      </c>
      <c r="E460">
        <v>1</v>
      </c>
      <c r="F460">
        <f t="shared" si="54"/>
        <v>4</v>
      </c>
      <c r="G460">
        <f t="shared" si="55"/>
        <v>2024</v>
      </c>
      <c r="I460" s="17">
        <f t="shared" si="56"/>
        <v>45383</v>
      </c>
      <c r="O460">
        <f t="shared" si="57"/>
        <v>0</v>
      </c>
    </row>
    <row r="461" spans="1:15" x14ac:dyDescent="0.3">
      <c r="A461" s="17">
        <v>45393</v>
      </c>
      <c r="B461">
        <v>1.62</v>
      </c>
      <c r="D461">
        <f t="shared" si="53"/>
        <v>11</v>
      </c>
      <c r="E461">
        <v>1</v>
      </c>
      <c r="F461">
        <f t="shared" si="54"/>
        <v>4</v>
      </c>
      <c r="G461">
        <f t="shared" si="55"/>
        <v>2024</v>
      </c>
      <c r="I461" s="17">
        <f t="shared" si="56"/>
        <v>45383</v>
      </c>
      <c r="O461">
        <f t="shared" si="57"/>
        <v>0</v>
      </c>
    </row>
    <row r="462" spans="1:15" x14ac:dyDescent="0.3">
      <c r="A462" s="17">
        <v>45391</v>
      </c>
      <c r="B462">
        <v>1.52</v>
      </c>
      <c r="D462">
        <f t="shared" si="53"/>
        <v>9</v>
      </c>
      <c r="E462">
        <v>1</v>
      </c>
      <c r="F462">
        <f t="shared" si="54"/>
        <v>4</v>
      </c>
      <c r="G462">
        <f t="shared" si="55"/>
        <v>2024</v>
      </c>
      <c r="I462" s="17">
        <f t="shared" si="56"/>
        <v>45383</v>
      </c>
      <c r="O462">
        <f t="shared" si="57"/>
        <v>0</v>
      </c>
    </row>
    <row r="463" spans="1:15" x14ac:dyDescent="0.3">
      <c r="A463" s="17">
        <v>45390</v>
      </c>
      <c r="B463">
        <v>1.46</v>
      </c>
      <c r="D463">
        <f t="shared" ref="D463:D526" si="58">+DAY(A463)</f>
        <v>8</v>
      </c>
      <c r="E463">
        <v>1</v>
      </c>
      <c r="F463">
        <f t="shared" ref="F463:F526" si="59">+MONTH(A463)</f>
        <v>4</v>
      </c>
      <c r="G463">
        <f t="shared" ref="G463:G526" si="60">+YEAR(A463)</f>
        <v>2024</v>
      </c>
      <c r="I463" s="17">
        <f t="shared" ref="I463:I526" si="61">+DATE(G463,F463,E463)</f>
        <v>45383</v>
      </c>
      <c r="O463">
        <f t="shared" si="57"/>
        <v>0</v>
      </c>
    </row>
    <row r="464" spans="1:15" x14ac:dyDescent="0.3">
      <c r="A464" s="17">
        <v>45387</v>
      </c>
      <c r="B464">
        <v>1.52</v>
      </c>
      <c r="D464">
        <f t="shared" si="58"/>
        <v>5</v>
      </c>
      <c r="E464">
        <v>1</v>
      </c>
      <c r="F464">
        <f t="shared" si="59"/>
        <v>4</v>
      </c>
      <c r="G464">
        <f t="shared" si="60"/>
        <v>2024</v>
      </c>
      <c r="I464" s="17">
        <f t="shared" si="61"/>
        <v>45383</v>
      </c>
      <c r="O464">
        <f t="shared" si="57"/>
        <v>0</v>
      </c>
    </row>
    <row r="465" spans="1:15" x14ac:dyDescent="0.3">
      <c r="A465" s="17">
        <v>45386</v>
      </c>
      <c r="B465">
        <v>1.71</v>
      </c>
      <c r="D465">
        <f t="shared" si="58"/>
        <v>4</v>
      </c>
      <c r="E465">
        <v>1</v>
      </c>
      <c r="F465">
        <f t="shared" si="59"/>
        <v>4</v>
      </c>
      <c r="G465">
        <f t="shared" si="60"/>
        <v>2024</v>
      </c>
      <c r="I465" s="17">
        <f t="shared" si="61"/>
        <v>45383</v>
      </c>
      <c r="O465">
        <f t="shared" si="57"/>
        <v>1</v>
      </c>
    </row>
    <row r="466" spans="1:15" x14ac:dyDescent="0.3">
      <c r="A466" s="17">
        <v>45385</v>
      </c>
      <c r="B466">
        <v>1.68</v>
      </c>
      <c r="D466">
        <f t="shared" si="58"/>
        <v>3</v>
      </c>
      <c r="E466">
        <v>1</v>
      </c>
      <c r="F466">
        <f t="shared" si="59"/>
        <v>4</v>
      </c>
      <c r="G466">
        <f t="shared" si="60"/>
        <v>2024</v>
      </c>
      <c r="I466" s="17">
        <f t="shared" si="61"/>
        <v>45383</v>
      </c>
      <c r="O466">
        <f t="shared" si="57"/>
        <v>1</v>
      </c>
    </row>
    <row r="467" spans="1:15" x14ac:dyDescent="0.3">
      <c r="A467" s="17">
        <v>45384</v>
      </c>
      <c r="B467">
        <v>1.8</v>
      </c>
      <c r="D467">
        <f t="shared" si="58"/>
        <v>2</v>
      </c>
      <c r="E467">
        <v>1</v>
      </c>
      <c r="F467">
        <f t="shared" si="59"/>
        <v>4</v>
      </c>
      <c r="G467">
        <f t="shared" si="60"/>
        <v>2024</v>
      </c>
      <c r="I467" s="17">
        <f t="shared" si="61"/>
        <v>45383</v>
      </c>
      <c r="O467">
        <f t="shared" si="57"/>
        <v>1</v>
      </c>
    </row>
    <row r="468" spans="1:15" x14ac:dyDescent="0.3">
      <c r="A468" s="17">
        <v>45383</v>
      </c>
      <c r="B468">
        <v>1.42</v>
      </c>
      <c r="D468">
        <f t="shared" si="58"/>
        <v>1</v>
      </c>
      <c r="E468">
        <v>1</v>
      </c>
      <c r="F468">
        <f t="shared" si="59"/>
        <v>4</v>
      </c>
      <c r="G468">
        <f t="shared" si="60"/>
        <v>2024</v>
      </c>
      <c r="I468" s="17">
        <f t="shared" si="61"/>
        <v>45383</v>
      </c>
      <c r="O468">
        <f t="shared" si="57"/>
        <v>1</v>
      </c>
    </row>
    <row r="469" spans="1:15" x14ac:dyDescent="0.3">
      <c r="A469" s="17">
        <v>45379</v>
      </c>
      <c r="B469">
        <v>0.63</v>
      </c>
      <c r="D469">
        <f t="shared" si="58"/>
        <v>28</v>
      </c>
      <c r="E469">
        <v>1</v>
      </c>
      <c r="F469">
        <f t="shared" si="59"/>
        <v>3</v>
      </c>
      <c r="G469">
        <f t="shared" si="60"/>
        <v>2024</v>
      </c>
      <c r="I469" s="17">
        <f t="shared" si="61"/>
        <v>45352</v>
      </c>
      <c r="O469">
        <f t="shared" si="57"/>
        <v>0</v>
      </c>
    </row>
    <row r="470" spans="1:15" x14ac:dyDescent="0.3">
      <c r="A470" s="17">
        <v>45378</v>
      </c>
      <c r="B470">
        <v>0.34</v>
      </c>
      <c r="D470">
        <f t="shared" si="58"/>
        <v>27</v>
      </c>
      <c r="E470">
        <v>1</v>
      </c>
      <c r="F470">
        <f t="shared" si="59"/>
        <v>3</v>
      </c>
      <c r="G470">
        <f t="shared" si="60"/>
        <v>2024</v>
      </c>
      <c r="I470" s="17">
        <f t="shared" si="61"/>
        <v>45352</v>
      </c>
      <c r="O470">
        <f t="shared" si="57"/>
        <v>0</v>
      </c>
    </row>
    <row r="471" spans="1:15" x14ac:dyDescent="0.3">
      <c r="A471" s="17">
        <v>45377</v>
      </c>
      <c r="B471">
        <v>0.5</v>
      </c>
      <c r="D471">
        <f t="shared" si="58"/>
        <v>26</v>
      </c>
      <c r="E471">
        <v>1</v>
      </c>
      <c r="F471">
        <f t="shared" si="59"/>
        <v>3</v>
      </c>
      <c r="G471">
        <f t="shared" si="60"/>
        <v>2024</v>
      </c>
      <c r="I471" s="17">
        <f t="shared" si="61"/>
        <v>45352</v>
      </c>
      <c r="O471">
        <f t="shared" si="57"/>
        <v>0</v>
      </c>
    </row>
    <row r="472" spans="1:15" x14ac:dyDescent="0.3">
      <c r="A472" s="17">
        <v>45376</v>
      </c>
      <c r="B472">
        <v>0.5</v>
      </c>
      <c r="D472">
        <f t="shared" si="58"/>
        <v>25</v>
      </c>
      <c r="E472">
        <v>1</v>
      </c>
      <c r="F472">
        <f t="shared" si="59"/>
        <v>3</v>
      </c>
      <c r="G472">
        <f t="shared" si="60"/>
        <v>2024</v>
      </c>
      <c r="I472" s="17">
        <f t="shared" si="61"/>
        <v>45352</v>
      </c>
      <c r="O472">
        <f t="shared" si="57"/>
        <v>0</v>
      </c>
    </row>
    <row r="473" spans="1:15" x14ac:dyDescent="0.3">
      <c r="A473" s="17">
        <v>45373</v>
      </c>
      <c r="B473">
        <v>0.46</v>
      </c>
      <c r="D473">
        <f t="shared" si="58"/>
        <v>22</v>
      </c>
      <c r="E473">
        <v>1</v>
      </c>
      <c r="F473">
        <f t="shared" si="59"/>
        <v>3</v>
      </c>
      <c r="G473">
        <f t="shared" si="60"/>
        <v>2024</v>
      </c>
      <c r="I473" s="17">
        <f t="shared" si="61"/>
        <v>45352</v>
      </c>
      <c r="O473">
        <f t="shared" si="57"/>
        <v>0</v>
      </c>
    </row>
    <row r="474" spans="1:15" x14ac:dyDescent="0.3">
      <c r="A474" s="17">
        <v>45372</v>
      </c>
      <c r="B474">
        <v>0.53</v>
      </c>
      <c r="D474">
        <f t="shared" si="58"/>
        <v>21</v>
      </c>
      <c r="E474">
        <v>1</v>
      </c>
      <c r="F474">
        <f t="shared" si="59"/>
        <v>3</v>
      </c>
      <c r="G474">
        <f t="shared" si="60"/>
        <v>2024</v>
      </c>
      <c r="I474" s="17">
        <f t="shared" si="61"/>
        <v>45352</v>
      </c>
      <c r="O474">
        <f t="shared" si="57"/>
        <v>0</v>
      </c>
    </row>
    <row r="475" spans="1:15" x14ac:dyDescent="0.3">
      <c r="A475" s="17">
        <v>45371</v>
      </c>
      <c r="B475">
        <v>0.69</v>
      </c>
      <c r="D475">
        <f t="shared" si="58"/>
        <v>20</v>
      </c>
      <c r="E475">
        <v>1</v>
      </c>
      <c r="F475">
        <f t="shared" si="59"/>
        <v>3</v>
      </c>
      <c r="G475">
        <f t="shared" si="60"/>
        <v>2024</v>
      </c>
      <c r="I475" s="17">
        <f t="shared" si="61"/>
        <v>45352</v>
      </c>
      <c r="O475">
        <f t="shared" si="57"/>
        <v>0</v>
      </c>
    </row>
    <row r="476" spans="1:15" x14ac:dyDescent="0.3">
      <c r="A476" s="17">
        <v>45370</v>
      </c>
      <c r="B476">
        <v>0.56999999999999995</v>
      </c>
      <c r="D476">
        <f t="shared" si="58"/>
        <v>19</v>
      </c>
      <c r="E476">
        <v>1</v>
      </c>
      <c r="F476">
        <f t="shared" si="59"/>
        <v>3</v>
      </c>
      <c r="G476">
        <f t="shared" si="60"/>
        <v>2024</v>
      </c>
      <c r="I476" s="17">
        <f t="shared" si="61"/>
        <v>45352</v>
      </c>
      <c r="O476">
        <f t="shared" si="57"/>
        <v>0</v>
      </c>
    </row>
    <row r="477" spans="1:15" x14ac:dyDescent="0.3">
      <c r="A477" s="17">
        <v>45369</v>
      </c>
      <c r="B477">
        <v>0.55000000000000004</v>
      </c>
      <c r="D477">
        <f t="shared" si="58"/>
        <v>18</v>
      </c>
      <c r="E477">
        <v>1</v>
      </c>
      <c r="F477">
        <f t="shared" si="59"/>
        <v>3</v>
      </c>
      <c r="G477">
        <f t="shared" si="60"/>
        <v>2024</v>
      </c>
      <c r="I477" s="17">
        <f t="shared" si="61"/>
        <v>45352</v>
      </c>
      <c r="O477">
        <f t="shared" si="57"/>
        <v>0</v>
      </c>
    </row>
    <row r="478" spans="1:15" x14ac:dyDescent="0.3">
      <c r="A478" s="17">
        <v>45366</v>
      </c>
      <c r="B478">
        <v>0.76</v>
      </c>
      <c r="D478">
        <f t="shared" si="58"/>
        <v>15</v>
      </c>
      <c r="E478">
        <v>1</v>
      </c>
      <c r="F478">
        <f t="shared" si="59"/>
        <v>3</v>
      </c>
      <c r="G478">
        <f t="shared" si="60"/>
        <v>2024</v>
      </c>
      <c r="I478" s="17">
        <f t="shared" si="61"/>
        <v>45352</v>
      </c>
      <c r="O478">
        <f t="shared" si="57"/>
        <v>0</v>
      </c>
    </row>
    <row r="479" spans="1:15" x14ac:dyDescent="0.3">
      <c r="A479" s="17">
        <v>45365</v>
      </c>
      <c r="B479">
        <v>0.56000000000000005</v>
      </c>
      <c r="D479">
        <f t="shared" si="58"/>
        <v>14</v>
      </c>
      <c r="E479">
        <v>1</v>
      </c>
      <c r="F479">
        <f t="shared" si="59"/>
        <v>3</v>
      </c>
      <c r="G479">
        <f t="shared" si="60"/>
        <v>2024</v>
      </c>
      <c r="I479" s="17">
        <f t="shared" si="61"/>
        <v>45352</v>
      </c>
      <c r="O479">
        <f t="shared" si="57"/>
        <v>0</v>
      </c>
    </row>
    <row r="480" spans="1:15" x14ac:dyDescent="0.3">
      <c r="A480" s="17">
        <v>45364</v>
      </c>
      <c r="B480">
        <v>0.38</v>
      </c>
      <c r="D480">
        <f t="shared" si="58"/>
        <v>13</v>
      </c>
      <c r="E480">
        <v>1</v>
      </c>
      <c r="F480">
        <f t="shared" si="59"/>
        <v>3</v>
      </c>
      <c r="G480">
        <f t="shared" si="60"/>
        <v>2024</v>
      </c>
      <c r="I480" s="17">
        <f t="shared" si="61"/>
        <v>45352</v>
      </c>
      <c r="O480">
        <f t="shared" si="57"/>
        <v>0</v>
      </c>
    </row>
    <row r="481" spans="1:15" x14ac:dyDescent="0.3">
      <c r="A481" s="17">
        <v>45363</v>
      </c>
      <c r="B481">
        <v>0.52</v>
      </c>
      <c r="D481">
        <f t="shared" si="58"/>
        <v>12</v>
      </c>
      <c r="E481">
        <v>1</v>
      </c>
      <c r="F481">
        <f t="shared" si="59"/>
        <v>3</v>
      </c>
      <c r="G481">
        <f t="shared" si="60"/>
        <v>2024</v>
      </c>
      <c r="I481" s="17">
        <f t="shared" si="61"/>
        <v>45352</v>
      </c>
      <c r="O481">
        <f t="shared" si="57"/>
        <v>0</v>
      </c>
    </row>
    <row r="482" spans="1:15" x14ac:dyDescent="0.3">
      <c r="A482" s="17">
        <v>45362</v>
      </c>
      <c r="B482">
        <v>0.55000000000000004</v>
      </c>
      <c r="D482">
        <f t="shared" si="58"/>
        <v>11</v>
      </c>
      <c r="E482">
        <v>1</v>
      </c>
      <c r="F482">
        <f t="shared" si="59"/>
        <v>3</v>
      </c>
      <c r="G482">
        <f t="shared" si="60"/>
        <v>2024</v>
      </c>
      <c r="I482" s="17">
        <f t="shared" si="61"/>
        <v>45352</v>
      </c>
      <c r="O482">
        <f t="shared" si="57"/>
        <v>0</v>
      </c>
    </row>
    <row r="483" spans="1:15" x14ac:dyDescent="0.3">
      <c r="A483" s="17">
        <v>45359</v>
      </c>
      <c r="B483">
        <v>0.74</v>
      </c>
      <c r="D483">
        <f t="shared" si="58"/>
        <v>8</v>
      </c>
      <c r="E483">
        <v>1</v>
      </c>
      <c r="F483">
        <f t="shared" si="59"/>
        <v>3</v>
      </c>
      <c r="G483">
        <f t="shared" si="60"/>
        <v>2024</v>
      </c>
      <c r="I483" s="17">
        <f t="shared" si="61"/>
        <v>45352</v>
      </c>
      <c r="O483">
        <f t="shared" si="57"/>
        <v>0</v>
      </c>
    </row>
    <row r="484" spans="1:15" x14ac:dyDescent="0.3">
      <c r="A484" s="17">
        <v>45358</v>
      </c>
      <c r="B484">
        <v>0.75</v>
      </c>
      <c r="D484">
        <f t="shared" si="58"/>
        <v>7</v>
      </c>
      <c r="E484">
        <v>1</v>
      </c>
      <c r="F484">
        <f t="shared" si="59"/>
        <v>3</v>
      </c>
      <c r="G484">
        <f t="shared" si="60"/>
        <v>2024</v>
      </c>
      <c r="I484" s="17">
        <f t="shared" si="61"/>
        <v>45352</v>
      </c>
      <c r="O484">
        <f t="shared" si="57"/>
        <v>0</v>
      </c>
    </row>
    <row r="485" spans="1:15" x14ac:dyDescent="0.3">
      <c r="A485" s="17">
        <v>45357</v>
      </c>
      <c r="B485">
        <v>0.76</v>
      </c>
      <c r="D485">
        <f t="shared" si="58"/>
        <v>6</v>
      </c>
      <c r="E485">
        <v>1</v>
      </c>
      <c r="F485">
        <f t="shared" si="59"/>
        <v>3</v>
      </c>
      <c r="G485">
        <f t="shared" si="60"/>
        <v>2024</v>
      </c>
      <c r="I485" s="17">
        <f t="shared" si="61"/>
        <v>45352</v>
      </c>
      <c r="O485">
        <f t="shared" si="57"/>
        <v>0</v>
      </c>
    </row>
    <row r="486" spans="1:15" x14ac:dyDescent="0.3">
      <c r="A486" s="17">
        <v>45356</v>
      </c>
      <c r="B486">
        <v>0.56999999999999995</v>
      </c>
      <c r="D486">
        <f t="shared" si="58"/>
        <v>5</v>
      </c>
      <c r="E486">
        <v>1</v>
      </c>
      <c r="F486">
        <f t="shared" si="59"/>
        <v>3</v>
      </c>
      <c r="G486">
        <f t="shared" si="60"/>
        <v>2024</v>
      </c>
      <c r="I486" s="17">
        <f t="shared" si="61"/>
        <v>45352</v>
      </c>
      <c r="O486">
        <f t="shared" si="57"/>
        <v>0</v>
      </c>
    </row>
    <row r="487" spans="1:15" x14ac:dyDescent="0.3">
      <c r="A487" s="17">
        <v>45355</v>
      </c>
      <c r="B487">
        <v>0.98</v>
      </c>
      <c r="D487">
        <f t="shared" si="58"/>
        <v>4</v>
      </c>
      <c r="E487">
        <v>1</v>
      </c>
      <c r="F487">
        <f t="shared" si="59"/>
        <v>3</v>
      </c>
      <c r="G487">
        <f t="shared" si="60"/>
        <v>2024</v>
      </c>
      <c r="I487" s="17">
        <f t="shared" si="61"/>
        <v>45352</v>
      </c>
      <c r="O487">
        <f t="shared" si="57"/>
        <v>1</v>
      </c>
    </row>
    <row r="488" spans="1:15" x14ac:dyDescent="0.3">
      <c r="A488" s="17">
        <v>45352</v>
      </c>
      <c r="B488">
        <v>0.55000000000000004</v>
      </c>
      <c r="D488">
        <f t="shared" si="58"/>
        <v>1</v>
      </c>
      <c r="E488">
        <v>1</v>
      </c>
      <c r="F488">
        <f t="shared" si="59"/>
        <v>3</v>
      </c>
      <c r="G488">
        <f t="shared" si="60"/>
        <v>2024</v>
      </c>
      <c r="I488" s="17">
        <f t="shared" si="61"/>
        <v>45352</v>
      </c>
      <c r="O488">
        <f t="shared" si="57"/>
        <v>1</v>
      </c>
    </row>
    <row r="489" spans="1:15" x14ac:dyDescent="0.3">
      <c r="A489" s="17">
        <v>45351</v>
      </c>
      <c r="B489">
        <v>0.25</v>
      </c>
      <c r="D489">
        <f t="shared" si="58"/>
        <v>29</v>
      </c>
      <c r="E489">
        <v>1</v>
      </c>
      <c r="F489">
        <f t="shared" si="59"/>
        <v>2</v>
      </c>
      <c r="G489">
        <f t="shared" si="60"/>
        <v>2024</v>
      </c>
      <c r="I489" s="17">
        <f t="shared" si="61"/>
        <v>45323</v>
      </c>
      <c r="O489">
        <f t="shared" si="57"/>
        <v>0</v>
      </c>
    </row>
    <row r="490" spans="1:15" x14ac:dyDescent="0.3">
      <c r="A490" s="17">
        <v>45350</v>
      </c>
      <c r="B490">
        <v>7.0000000000000007E-2</v>
      </c>
      <c r="D490">
        <f t="shared" si="58"/>
        <v>28</v>
      </c>
      <c r="E490">
        <v>1</v>
      </c>
      <c r="F490">
        <f t="shared" si="59"/>
        <v>2</v>
      </c>
      <c r="G490">
        <f t="shared" si="60"/>
        <v>2024</v>
      </c>
      <c r="I490" s="17">
        <f t="shared" si="61"/>
        <v>45323</v>
      </c>
      <c r="O490">
        <f t="shared" si="57"/>
        <v>0</v>
      </c>
    </row>
    <row r="491" spans="1:15" x14ac:dyDescent="0.3">
      <c r="A491" s="17">
        <v>45349</v>
      </c>
      <c r="B491">
        <v>0.49</v>
      </c>
      <c r="D491">
        <f t="shared" si="58"/>
        <v>27</v>
      </c>
      <c r="E491">
        <v>1</v>
      </c>
      <c r="F491">
        <f t="shared" si="59"/>
        <v>2</v>
      </c>
      <c r="G491">
        <f t="shared" si="60"/>
        <v>2024</v>
      </c>
      <c r="I491" s="17">
        <f t="shared" si="61"/>
        <v>45323</v>
      </c>
      <c r="O491">
        <f t="shared" si="57"/>
        <v>0</v>
      </c>
    </row>
    <row r="492" spans="1:15" x14ac:dyDescent="0.3">
      <c r="A492" s="17">
        <v>45348</v>
      </c>
      <c r="B492">
        <v>0.19</v>
      </c>
      <c r="D492">
        <f t="shared" si="58"/>
        <v>26</v>
      </c>
      <c r="E492">
        <v>1</v>
      </c>
      <c r="F492">
        <f t="shared" si="59"/>
        <v>2</v>
      </c>
      <c r="G492">
        <f t="shared" si="60"/>
        <v>2024</v>
      </c>
      <c r="I492" s="17">
        <f t="shared" si="61"/>
        <v>45323</v>
      </c>
      <c r="O492">
        <f t="shared" si="57"/>
        <v>0</v>
      </c>
    </row>
    <row r="493" spans="1:15" x14ac:dyDescent="0.3">
      <c r="A493" s="17">
        <v>45345</v>
      </c>
      <c r="B493">
        <v>0.19</v>
      </c>
      <c r="D493">
        <f t="shared" si="58"/>
        <v>23</v>
      </c>
      <c r="E493">
        <v>1</v>
      </c>
      <c r="F493">
        <f t="shared" si="59"/>
        <v>2</v>
      </c>
      <c r="G493">
        <f t="shared" si="60"/>
        <v>2024</v>
      </c>
      <c r="I493" s="17">
        <f t="shared" si="61"/>
        <v>45323</v>
      </c>
      <c r="O493">
        <f t="shared" si="57"/>
        <v>0</v>
      </c>
    </row>
    <row r="494" spans="1:15" x14ac:dyDescent="0.3">
      <c r="A494" s="17">
        <v>45344</v>
      </c>
      <c r="B494">
        <v>0.53</v>
      </c>
      <c r="D494">
        <f t="shared" si="58"/>
        <v>22</v>
      </c>
      <c r="E494">
        <v>1</v>
      </c>
      <c r="F494">
        <f t="shared" si="59"/>
        <v>2</v>
      </c>
      <c r="G494">
        <f t="shared" si="60"/>
        <v>2024</v>
      </c>
      <c r="I494" s="17">
        <f t="shared" si="61"/>
        <v>45323</v>
      </c>
      <c r="O494">
        <f t="shared" si="57"/>
        <v>0</v>
      </c>
    </row>
    <row r="495" spans="1:15" x14ac:dyDescent="0.3">
      <c r="A495" s="17">
        <v>45343</v>
      </c>
      <c r="B495">
        <v>0.41</v>
      </c>
      <c r="D495">
        <f t="shared" si="58"/>
        <v>21</v>
      </c>
      <c r="E495">
        <v>1</v>
      </c>
      <c r="F495">
        <f t="shared" si="59"/>
        <v>2</v>
      </c>
      <c r="G495">
        <f t="shared" si="60"/>
        <v>2024</v>
      </c>
      <c r="I495" s="17">
        <f t="shared" si="61"/>
        <v>45323</v>
      </c>
      <c r="O495">
        <f t="shared" si="57"/>
        <v>0</v>
      </c>
    </row>
    <row r="496" spans="1:15" x14ac:dyDescent="0.3">
      <c r="A496" s="17">
        <v>45342</v>
      </c>
      <c r="B496">
        <v>0.32</v>
      </c>
      <c r="D496">
        <f t="shared" si="58"/>
        <v>20</v>
      </c>
      <c r="E496">
        <v>1</v>
      </c>
      <c r="F496">
        <f t="shared" si="59"/>
        <v>2</v>
      </c>
      <c r="G496">
        <f t="shared" si="60"/>
        <v>2024</v>
      </c>
      <c r="I496" s="17">
        <f t="shared" si="61"/>
        <v>45323</v>
      </c>
      <c r="O496">
        <f t="shared" si="57"/>
        <v>0</v>
      </c>
    </row>
    <row r="497" spans="1:15" x14ac:dyDescent="0.3">
      <c r="A497" s="17">
        <v>45341</v>
      </c>
      <c r="B497">
        <v>0.26</v>
      </c>
      <c r="D497">
        <f t="shared" si="58"/>
        <v>19</v>
      </c>
      <c r="E497">
        <v>1</v>
      </c>
      <c r="F497">
        <f t="shared" si="59"/>
        <v>2</v>
      </c>
      <c r="G497">
        <f t="shared" si="60"/>
        <v>2024</v>
      </c>
      <c r="I497" s="17">
        <f t="shared" si="61"/>
        <v>45323</v>
      </c>
      <c r="O497">
        <f t="shared" si="57"/>
        <v>0</v>
      </c>
    </row>
    <row r="498" spans="1:15" x14ac:dyDescent="0.3">
      <c r="A498" s="17">
        <v>45338</v>
      </c>
      <c r="B498">
        <v>0.22</v>
      </c>
      <c r="D498">
        <f t="shared" si="58"/>
        <v>16</v>
      </c>
      <c r="E498">
        <v>1</v>
      </c>
      <c r="F498">
        <f t="shared" si="59"/>
        <v>2</v>
      </c>
      <c r="G498">
        <f t="shared" si="60"/>
        <v>2024</v>
      </c>
      <c r="I498" s="17">
        <f t="shared" si="61"/>
        <v>45323</v>
      </c>
      <c r="O498">
        <f t="shared" si="57"/>
        <v>0</v>
      </c>
    </row>
    <row r="499" spans="1:15" x14ac:dyDescent="0.3">
      <c r="A499" s="17">
        <v>45337</v>
      </c>
      <c r="B499">
        <v>-0.22</v>
      </c>
      <c r="D499">
        <f t="shared" si="58"/>
        <v>15</v>
      </c>
      <c r="E499">
        <v>1</v>
      </c>
      <c r="F499">
        <f t="shared" si="59"/>
        <v>2</v>
      </c>
      <c r="G499">
        <f t="shared" si="60"/>
        <v>2024</v>
      </c>
      <c r="I499" s="17">
        <f t="shared" si="61"/>
        <v>45323</v>
      </c>
      <c r="O499">
        <f t="shared" si="57"/>
        <v>0</v>
      </c>
    </row>
    <row r="500" spans="1:15" x14ac:dyDescent="0.3">
      <c r="A500" s="17">
        <v>45336</v>
      </c>
      <c r="B500">
        <v>0.04</v>
      </c>
      <c r="D500">
        <f t="shared" si="58"/>
        <v>14</v>
      </c>
      <c r="E500">
        <v>1</v>
      </c>
      <c r="F500">
        <f t="shared" si="59"/>
        <v>2</v>
      </c>
      <c r="G500">
        <f t="shared" si="60"/>
        <v>2024</v>
      </c>
      <c r="I500" s="17">
        <f t="shared" si="61"/>
        <v>45323</v>
      </c>
      <c r="O500">
        <f t="shared" si="57"/>
        <v>0</v>
      </c>
    </row>
    <row r="501" spans="1:15" x14ac:dyDescent="0.3">
      <c r="A501" s="17">
        <v>45335</v>
      </c>
      <c r="B501">
        <v>-0.12</v>
      </c>
      <c r="D501">
        <f t="shared" si="58"/>
        <v>13</v>
      </c>
      <c r="E501">
        <v>1</v>
      </c>
      <c r="F501">
        <f t="shared" si="59"/>
        <v>2</v>
      </c>
      <c r="G501">
        <f t="shared" si="60"/>
        <v>2024</v>
      </c>
      <c r="I501" s="17">
        <f t="shared" si="61"/>
        <v>45323</v>
      </c>
      <c r="O501">
        <f t="shared" si="57"/>
        <v>0</v>
      </c>
    </row>
    <row r="502" spans="1:15" x14ac:dyDescent="0.3">
      <c r="A502" s="17">
        <v>45331</v>
      </c>
      <c r="B502">
        <v>-0.17</v>
      </c>
      <c r="D502">
        <f t="shared" si="58"/>
        <v>9</v>
      </c>
      <c r="E502">
        <v>1</v>
      </c>
      <c r="F502">
        <f t="shared" si="59"/>
        <v>2</v>
      </c>
      <c r="G502">
        <f t="shared" si="60"/>
        <v>2024</v>
      </c>
      <c r="I502" s="17">
        <f t="shared" si="61"/>
        <v>45323</v>
      </c>
      <c r="O502">
        <f t="shared" si="57"/>
        <v>0</v>
      </c>
    </row>
    <row r="503" spans="1:15" x14ac:dyDescent="0.3">
      <c r="A503" s="17">
        <v>45330</v>
      </c>
      <c r="B503">
        <v>-0.38</v>
      </c>
      <c r="D503">
        <f t="shared" si="58"/>
        <v>8</v>
      </c>
      <c r="E503">
        <v>1</v>
      </c>
      <c r="F503">
        <f t="shared" si="59"/>
        <v>2</v>
      </c>
      <c r="G503">
        <f t="shared" si="60"/>
        <v>2024</v>
      </c>
      <c r="I503" s="17">
        <f t="shared" si="61"/>
        <v>45323</v>
      </c>
      <c r="O503">
        <f t="shared" si="57"/>
        <v>0</v>
      </c>
    </row>
    <row r="504" spans="1:15" x14ac:dyDescent="0.3">
      <c r="A504" s="17">
        <v>45329</v>
      </c>
      <c r="B504">
        <v>-0.4</v>
      </c>
      <c r="D504">
        <f t="shared" si="58"/>
        <v>7</v>
      </c>
      <c r="E504">
        <v>1</v>
      </c>
      <c r="F504">
        <f t="shared" si="59"/>
        <v>2</v>
      </c>
      <c r="G504">
        <f t="shared" si="60"/>
        <v>2024</v>
      </c>
      <c r="I504" s="17">
        <f t="shared" si="61"/>
        <v>45323</v>
      </c>
      <c r="O504">
        <f t="shared" si="57"/>
        <v>0</v>
      </c>
    </row>
    <row r="505" spans="1:15" x14ac:dyDescent="0.3">
      <c r="A505" s="17">
        <v>45328</v>
      </c>
      <c r="B505">
        <v>-0.38</v>
      </c>
      <c r="D505">
        <f t="shared" si="58"/>
        <v>6</v>
      </c>
      <c r="E505">
        <v>1</v>
      </c>
      <c r="F505">
        <f t="shared" si="59"/>
        <v>2</v>
      </c>
      <c r="G505">
        <f t="shared" si="60"/>
        <v>2024</v>
      </c>
      <c r="I505" s="17">
        <f t="shared" si="61"/>
        <v>45323</v>
      </c>
      <c r="O505">
        <f t="shared" si="57"/>
        <v>0</v>
      </c>
    </row>
    <row r="506" spans="1:15" x14ac:dyDescent="0.3">
      <c r="A506" s="17">
        <v>45327</v>
      </c>
      <c r="B506">
        <v>-0.43</v>
      </c>
      <c r="D506">
        <f t="shared" si="58"/>
        <v>5</v>
      </c>
      <c r="E506">
        <v>1</v>
      </c>
      <c r="F506">
        <f t="shared" si="59"/>
        <v>2</v>
      </c>
      <c r="G506">
        <f t="shared" si="60"/>
        <v>2024</v>
      </c>
      <c r="I506" s="17">
        <f t="shared" si="61"/>
        <v>45323</v>
      </c>
      <c r="O506">
        <f t="shared" si="57"/>
        <v>0</v>
      </c>
    </row>
    <row r="507" spans="1:15" x14ac:dyDescent="0.3">
      <c r="A507" s="17">
        <v>45324</v>
      </c>
      <c r="B507">
        <v>-0.36</v>
      </c>
      <c r="D507">
        <f t="shared" si="58"/>
        <v>2</v>
      </c>
      <c r="E507">
        <v>1</v>
      </c>
      <c r="F507">
        <f t="shared" si="59"/>
        <v>2</v>
      </c>
      <c r="G507">
        <f t="shared" si="60"/>
        <v>2024</v>
      </c>
      <c r="I507" s="17">
        <f t="shared" si="61"/>
        <v>45323</v>
      </c>
      <c r="O507">
        <f t="shared" si="57"/>
        <v>1</v>
      </c>
    </row>
    <row r="508" spans="1:15" x14ac:dyDescent="0.3">
      <c r="A508" s="17">
        <v>45323</v>
      </c>
      <c r="B508">
        <v>-0.16</v>
      </c>
      <c r="D508">
        <f t="shared" si="58"/>
        <v>1</v>
      </c>
      <c r="E508">
        <v>1</v>
      </c>
      <c r="F508">
        <f t="shared" si="59"/>
        <v>2</v>
      </c>
      <c r="G508">
        <f t="shared" si="60"/>
        <v>2024</v>
      </c>
      <c r="I508" s="17">
        <f t="shared" si="61"/>
        <v>45323</v>
      </c>
      <c r="O508">
        <f t="shared" si="57"/>
        <v>1</v>
      </c>
    </row>
    <row r="509" spans="1:15" x14ac:dyDescent="0.3">
      <c r="A509" s="17">
        <v>45322</v>
      </c>
      <c r="B509">
        <v>-0.2</v>
      </c>
      <c r="D509">
        <f t="shared" si="58"/>
        <v>31</v>
      </c>
      <c r="E509">
        <v>1</v>
      </c>
      <c r="F509">
        <f t="shared" si="59"/>
        <v>1</v>
      </c>
      <c r="G509">
        <f t="shared" si="60"/>
        <v>2024</v>
      </c>
      <c r="I509" s="17">
        <f t="shared" si="61"/>
        <v>45292</v>
      </c>
      <c r="O509">
        <f t="shared" si="57"/>
        <v>0</v>
      </c>
    </row>
    <row r="510" spans="1:15" x14ac:dyDescent="0.3">
      <c r="A510" s="17">
        <v>45321</v>
      </c>
      <c r="B510">
        <v>0.13</v>
      </c>
      <c r="D510">
        <f t="shared" si="58"/>
        <v>30</v>
      </c>
      <c r="E510">
        <v>1</v>
      </c>
      <c r="F510">
        <f t="shared" si="59"/>
        <v>1</v>
      </c>
      <c r="G510">
        <f t="shared" si="60"/>
        <v>2024</v>
      </c>
      <c r="I510" s="17">
        <f t="shared" si="61"/>
        <v>45292</v>
      </c>
      <c r="O510">
        <f t="shared" si="57"/>
        <v>0</v>
      </c>
    </row>
    <row r="511" spans="1:15" x14ac:dyDescent="0.3">
      <c r="A511" s="17">
        <v>45320</v>
      </c>
      <c r="B511">
        <v>7.0000000000000007E-2</v>
      </c>
      <c r="D511">
        <f t="shared" si="58"/>
        <v>29</v>
      </c>
      <c r="E511">
        <v>1</v>
      </c>
      <c r="F511">
        <f t="shared" si="59"/>
        <v>1</v>
      </c>
      <c r="G511">
        <f t="shared" si="60"/>
        <v>2024</v>
      </c>
      <c r="I511" s="17">
        <f t="shared" si="61"/>
        <v>45292</v>
      </c>
      <c r="O511">
        <f t="shared" si="57"/>
        <v>0</v>
      </c>
    </row>
    <row r="512" spans="1:15" x14ac:dyDescent="0.3">
      <c r="A512" s="17">
        <v>45317</v>
      </c>
      <c r="B512">
        <v>-0.12</v>
      </c>
      <c r="D512">
        <f t="shared" si="58"/>
        <v>26</v>
      </c>
      <c r="E512">
        <v>1</v>
      </c>
      <c r="F512">
        <f t="shared" si="59"/>
        <v>1</v>
      </c>
      <c r="G512">
        <f t="shared" si="60"/>
        <v>2024</v>
      </c>
      <c r="I512" s="17">
        <f t="shared" si="61"/>
        <v>45292</v>
      </c>
      <c r="O512">
        <f t="shared" si="57"/>
        <v>0</v>
      </c>
    </row>
    <row r="513" spans="1:15" x14ac:dyDescent="0.3">
      <c r="A513" s="17">
        <v>45316</v>
      </c>
      <c r="B513">
        <v>-0.22</v>
      </c>
      <c r="D513">
        <f t="shared" si="58"/>
        <v>25</v>
      </c>
      <c r="E513">
        <v>1</v>
      </c>
      <c r="F513">
        <f t="shared" si="59"/>
        <v>1</v>
      </c>
      <c r="G513">
        <f t="shared" si="60"/>
        <v>2024</v>
      </c>
      <c r="I513" s="17">
        <f t="shared" si="61"/>
        <v>45292</v>
      </c>
      <c r="O513">
        <f t="shared" si="57"/>
        <v>0</v>
      </c>
    </row>
    <row r="514" spans="1:15" x14ac:dyDescent="0.3">
      <c r="A514" s="17">
        <v>45315</v>
      </c>
      <c r="B514">
        <v>-0.21</v>
      </c>
      <c r="D514">
        <f t="shared" si="58"/>
        <v>24</v>
      </c>
      <c r="E514">
        <v>1</v>
      </c>
      <c r="F514">
        <f t="shared" si="59"/>
        <v>1</v>
      </c>
      <c r="G514">
        <f t="shared" si="60"/>
        <v>2024</v>
      </c>
      <c r="I514" s="17">
        <f t="shared" si="61"/>
        <v>45292</v>
      </c>
      <c r="O514">
        <f t="shared" si="57"/>
        <v>0</v>
      </c>
    </row>
    <row r="515" spans="1:15" x14ac:dyDescent="0.3">
      <c r="A515" s="17">
        <v>45314</v>
      </c>
      <c r="B515">
        <v>-0.18</v>
      </c>
      <c r="D515">
        <f t="shared" si="58"/>
        <v>23</v>
      </c>
      <c r="E515">
        <v>1</v>
      </c>
      <c r="F515">
        <f t="shared" si="59"/>
        <v>1</v>
      </c>
      <c r="G515">
        <f t="shared" si="60"/>
        <v>2024</v>
      </c>
      <c r="I515" s="17">
        <f t="shared" si="61"/>
        <v>45292</v>
      </c>
      <c r="O515">
        <f t="shared" si="57"/>
        <v>0</v>
      </c>
    </row>
    <row r="516" spans="1:15" x14ac:dyDescent="0.3">
      <c r="A516" s="17">
        <v>45313</v>
      </c>
      <c r="B516">
        <v>-0.23</v>
      </c>
      <c r="D516">
        <f t="shared" si="58"/>
        <v>22</v>
      </c>
      <c r="E516">
        <v>1</v>
      </c>
      <c r="F516">
        <f t="shared" si="59"/>
        <v>1</v>
      </c>
      <c r="G516">
        <f t="shared" si="60"/>
        <v>2024</v>
      </c>
      <c r="I516" s="17">
        <f t="shared" si="61"/>
        <v>45292</v>
      </c>
      <c r="O516">
        <f t="shared" si="57"/>
        <v>0</v>
      </c>
    </row>
    <row r="517" spans="1:15" x14ac:dyDescent="0.3">
      <c r="A517" s="17">
        <v>45310</v>
      </c>
      <c r="B517">
        <v>-0.28000000000000003</v>
      </c>
      <c r="D517">
        <f t="shared" si="58"/>
        <v>19</v>
      </c>
      <c r="E517">
        <v>1</v>
      </c>
      <c r="F517">
        <f t="shared" si="59"/>
        <v>1</v>
      </c>
      <c r="G517">
        <f t="shared" si="60"/>
        <v>2024</v>
      </c>
      <c r="I517" s="17">
        <f t="shared" si="61"/>
        <v>45292</v>
      </c>
      <c r="O517">
        <f t="shared" si="57"/>
        <v>0</v>
      </c>
    </row>
    <row r="518" spans="1:15" x14ac:dyDescent="0.3">
      <c r="A518" s="17">
        <v>45309</v>
      </c>
      <c r="B518">
        <v>-0.43</v>
      </c>
      <c r="D518">
        <f t="shared" si="58"/>
        <v>18</v>
      </c>
      <c r="E518">
        <v>1</v>
      </c>
      <c r="F518">
        <f t="shared" si="59"/>
        <v>1</v>
      </c>
      <c r="G518">
        <f t="shared" si="60"/>
        <v>2024</v>
      </c>
      <c r="I518" s="17">
        <f t="shared" si="61"/>
        <v>45292</v>
      </c>
      <c r="O518">
        <f t="shared" si="57"/>
        <v>0</v>
      </c>
    </row>
    <row r="519" spans="1:15" x14ac:dyDescent="0.3">
      <c r="A519" s="17">
        <v>45308</v>
      </c>
      <c r="B519">
        <v>-0.18</v>
      </c>
      <c r="D519">
        <f t="shared" si="58"/>
        <v>17</v>
      </c>
      <c r="E519">
        <v>1</v>
      </c>
      <c r="F519">
        <f t="shared" si="59"/>
        <v>1</v>
      </c>
      <c r="G519">
        <f t="shared" si="60"/>
        <v>2024</v>
      </c>
      <c r="I519" s="17">
        <f t="shared" si="61"/>
        <v>45292</v>
      </c>
      <c r="O519">
        <f t="shared" ref="O519:O582" si="62">IF(AND(D519&gt;=1, D519&lt;=4), 1, 0)</f>
        <v>0</v>
      </c>
    </row>
    <row r="520" spans="1:15" x14ac:dyDescent="0.3">
      <c r="A520" s="17">
        <v>45307</v>
      </c>
      <c r="B520">
        <v>-0.19</v>
      </c>
      <c r="D520">
        <f t="shared" si="58"/>
        <v>16</v>
      </c>
      <c r="E520">
        <v>1</v>
      </c>
      <c r="F520">
        <f t="shared" si="59"/>
        <v>1</v>
      </c>
      <c r="G520">
        <f t="shared" si="60"/>
        <v>2024</v>
      </c>
      <c r="I520" s="17">
        <f t="shared" si="61"/>
        <v>45292</v>
      </c>
      <c r="O520">
        <f t="shared" si="62"/>
        <v>0</v>
      </c>
    </row>
    <row r="521" spans="1:15" x14ac:dyDescent="0.3">
      <c r="A521" s="17">
        <v>45306</v>
      </c>
      <c r="B521">
        <v>-0.15</v>
      </c>
      <c r="D521">
        <f t="shared" si="58"/>
        <v>15</v>
      </c>
      <c r="E521">
        <v>1</v>
      </c>
      <c r="F521">
        <f t="shared" si="59"/>
        <v>1</v>
      </c>
      <c r="G521">
        <f t="shared" si="60"/>
        <v>2024</v>
      </c>
      <c r="I521" s="17">
        <f t="shared" si="61"/>
        <v>45292</v>
      </c>
      <c r="O521">
        <f t="shared" si="62"/>
        <v>0</v>
      </c>
    </row>
    <row r="522" spans="1:15" x14ac:dyDescent="0.3">
      <c r="A522" s="17">
        <v>45303</v>
      </c>
      <c r="B522">
        <v>-0.08</v>
      </c>
      <c r="D522">
        <f t="shared" si="58"/>
        <v>12</v>
      </c>
      <c r="E522">
        <v>1</v>
      </c>
      <c r="F522">
        <f t="shared" si="59"/>
        <v>1</v>
      </c>
      <c r="G522">
        <f t="shared" si="60"/>
        <v>2024</v>
      </c>
      <c r="I522" s="17">
        <f t="shared" si="61"/>
        <v>45292</v>
      </c>
      <c r="O522">
        <f t="shared" si="62"/>
        <v>0</v>
      </c>
    </row>
    <row r="523" spans="1:15" x14ac:dyDescent="0.3">
      <c r="A523" s="17">
        <v>45302</v>
      </c>
      <c r="B523">
        <v>-0.06</v>
      </c>
      <c r="D523">
        <f t="shared" si="58"/>
        <v>11</v>
      </c>
      <c r="E523">
        <v>1</v>
      </c>
      <c r="F523">
        <f t="shared" si="59"/>
        <v>1</v>
      </c>
      <c r="G523">
        <f t="shared" si="60"/>
        <v>2024</v>
      </c>
      <c r="I523" s="17">
        <f t="shared" si="61"/>
        <v>45292</v>
      </c>
      <c r="O523">
        <f t="shared" si="62"/>
        <v>0</v>
      </c>
    </row>
    <row r="524" spans="1:15" x14ac:dyDescent="0.3">
      <c r="A524" s="17">
        <v>45301</v>
      </c>
      <c r="B524">
        <v>-7.0000000000000007E-2</v>
      </c>
      <c r="D524">
        <f t="shared" si="58"/>
        <v>10</v>
      </c>
      <c r="E524">
        <v>1</v>
      </c>
      <c r="F524">
        <f t="shared" si="59"/>
        <v>1</v>
      </c>
      <c r="G524">
        <f t="shared" si="60"/>
        <v>2024</v>
      </c>
      <c r="I524" s="17">
        <f t="shared" si="61"/>
        <v>45292</v>
      </c>
      <c r="O524">
        <f t="shared" si="62"/>
        <v>0</v>
      </c>
    </row>
    <row r="525" spans="1:15" x14ac:dyDescent="0.3">
      <c r="A525" s="17">
        <v>45300</v>
      </c>
      <c r="B525">
        <v>-0.16</v>
      </c>
      <c r="D525">
        <f t="shared" si="58"/>
        <v>9</v>
      </c>
      <c r="E525">
        <v>1</v>
      </c>
      <c r="F525">
        <f t="shared" si="59"/>
        <v>1</v>
      </c>
      <c r="G525">
        <f t="shared" si="60"/>
        <v>2024</v>
      </c>
      <c r="I525" s="17">
        <f t="shared" si="61"/>
        <v>45292</v>
      </c>
      <c r="O525">
        <f t="shared" si="62"/>
        <v>0</v>
      </c>
    </row>
    <row r="526" spans="1:15" x14ac:dyDescent="0.3">
      <c r="A526" s="17">
        <v>45299</v>
      </c>
      <c r="B526">
        <v>-0.43</v>
      </c>
      <c r="D526">
        <f t="shared" si="58"/>
        <v>8</v>
      </c>
      <c r="E526">
        <v>1</v>
      </c>
      <c r="F526">
        <f t="shared" si="59"/>
        <v>1</v>
      </c>
      <c r="G526">
        <f t="shared" si="60"/>
        <v>2024</v>
      </c>
      <c r="I526" s="17">
        <f t="shared" si="61"/>
        <v>45292</v>
      </c>
      <c r="O526">
        <f t="shared" si="62"/>
        <v>0</v>
      </c>
    </row>
    <row r="527" spans="1:15" x14ac:dyDescent="0.3">
      <c r="A527" s="17">
        <v>45296</v>
      </c>
      <c r="B527">
        <v>-0.55000000000000004</v>
      </c>
      <c r="D527">
        <f t="shared" ref="D527:D590" si="63">+DAY(A527)</f>
        <v>5</v>
      </c>
      <c r="E527">
        <v>1</v>
      </c>
      <c r="F527">
        <f t="shared" ref="F527:F590" si="64">+MONTH(A527)</f>
        <v>1</v>
      </c>
      <c r="G527">
        <f t="shared" ref="G527:G590" si="65">+YEAR(A527)</f>
        <v>2024</v>
      </c>
      <c r="I527" s="17">
        <f t="shared" ref="I527:I590" si="66">+DATE(G527,F527,E527)</f>
        <v>45292</v>
      </c>
      <c r="O527">
        <f t="shared" si="62"/>
        <v>0</v>
      </c>
    </row>
    <row r="528" spans="1:15" x14ac:dyDescent="0.3">
      <c r="A528" s="17">
        <v>45295</v>
      </c>
      <c r="B528">
        <v>-0.6</v>
      </c>
      <c r="D528">
        <f t="shared" si="63"/>
        <v>4</v>
      </c>
      <c r="E528">
        <v>1</v>
      </c>
      <c r="F528">
        <f t="shared" si="64"/>
        <v>1</v>
      </c>
      <c r="G528">
        <f t="shared" si="65"/>
        <v>2024</v>
      </c>
      <c r="I528" s="17">
        <f t="shared" si="66"/>
        <v>45292</v>
      </c>
      <c r="O528">
        <f t="shared" si="62"/>
        <v>1</v>
      </c>
    </row>
    <row r="529" spans="1:15" x14ac:dyDescent="0.3">
      <c r="A529" s="17">
        <v>45294</v>
      </c>
      <c r="B529">
        <v>-0.82</v>
      </c>
      <c r="D529">
        <f t="shared" si="63"/>
        <v>3</v>
      </c>
      <c r="E529">
        <v>1</v>
      </c>
      <c r="F529">
        <f t="shared" si="64"/>
        <v>1</v>
      </c>
      <c r="G529">
        <f t="shared" si="65"/>
        <v>2024</v>
      </c>
      <c r="I529" s="17">
        <f t="shared" si="66"/>
        <v>45292</v>
      </c>
      <c r="O529">
        <f t="shared" si="62"/>
        <v>1</v>
      </c>
    </row>
    <row r="530" spans="1:15" x14ac:dyDescent="0.3">
      <c r="A530" s="17">
        <v>45293</v>
      </c>
      <c r="B530">
        <v>-0.68</v>
      </c>
      <c r="D530">
        <f t="shared" si="63"/>
        <v>2</v>
      </c>
      <c r="E530">
        <v>1</v>
      </c>
      <c r="F530">
        <f t="shared" si="64"/>
        <v>1</v>
      </c>
      <c r="G530">
        <f t="shared" si="65"/>
        <v>2024</v>
      </c>
      <c r="I530" s="17">
        <f t="shared" si="66"/>
        <v>45292</v>
      </c>
      <c r="O530">
        <f t="shared" si="62"/>
        <v>1</v>
      </c>
    </row>
    <row r="531" spans="1:15" x14ac:dyDescent="0.3">
      <c r="A531" s="17">
        <v>45289</v>
      </c>
      <c r="B531">
        <v>-1.1499999999999999</v>
      </c>
      <c r="D531">
        <f t="shared" si="63"/>
        <v>29</v>
      </c>
      <c r="E531">
        <v>1</v>
      </c>
      <c r="F531">
        <f t="shared" si="64"/>
        <v>12</v>
      </c>
      <c r="G531">
        <f t="shared" si="65"/>
        <v>2023</v>
      </c>
      <c r="I531" s="17">
        <f t="shared" si="66"/>
        <v>45261</v>
      </c>
      <c r="O531">
        <f t="shared" si="62"/>
        <v>0</v>
      </c>
    </row>
    <row r="532" spans="1:15" x14ac:dyDescent="0.3">
      <c r="A532" s="17">
        <v>45288</v>
      </c>
      <c r="B532">
        <v>-0.54</v>
      </c>
      <c r="D532">
        <f t="shared" si="63"/>
        <v>28</v>
      </c>
      <c r="E532">
        <v>1</v>
      </c>
      <c r="F532">
        <f t="shared" si="64"/>
        <v>12</v>
      </c>
      <c r="G532">
        <f t="shared" si="65"/>
        <v>2023</v>
      </c>
      <c r="I532" s="17">
        <f t="shared" si="66"/>
        <v>45261</v>
      </c>
      <c r="O532">
        <f t="shared" si="62"/>
        <v>0</v>
      </c>
    </row>
    <row r="533" spans="1:15" x14ac:dyDescent="0.3">
      <c r="A533" s="17">
        <v>45287</v>
      </c>
      <c r="B533">
        <v>-1.1000000000000001</v>
      </c>
      <c r="D533">
        <f t="shared" si="63"/>
        <v>27</v>
      </c>
      <c r="E533">
        <v>1</v>
      </c>
      <c r="F533">
        <f t="shared" si="64"/>
        <v>12</v>
      </c>
      <c r="G533">
        <f t="shared" si="65"/>
        <v>2023</v>
      </c>
      <c r="I533" s="17">
        <f t="shared" si="66"/>
        <v>45261</v>
      </c>
      <c r="O533">
        <f t="shared" si="62"/>
        <v>0</v>
      </c>
    </row>
    <row r="534" spans="1:15" x14ac:dyDescent="0.3">
      <c r="A534" s="17">
        <v>45286</v>
      </c>
      <c r="B534">
        <v>-0.53</v>
      </c>
      <c r="D534">
        <f t="shared" si="63"/>
        <v>26</v>
      </c>
      <c r="E534">
        <v>1</v>
      </c>
      <c r="F534">
        <f t="shared" si="64"/>
        <v>12</v>
      </c>
      <c r="G534">
        <f t="shared" si="65"/>
        <v>2023</v>
      </c>
      <c r="I534" s="17">
        <f t="shared" si="66"/>
        <v>45261</v>
      </c>
      <c r="O534">
        <f t="shared" si="62"/>
        <v>0</v>
      </c>
    </row>
    <row r="535" spans="1:15" x14ac:dyDescent="0.3">
      <c r="A535" s="17">
        <v>45282</v>
      </c>
      <c r="B535">
        <v>-0.94</v>
      </c>
      <c r="D535">
        <f t="shared" si="63"/>
        <v>22</v>
      </c>
      <c r="E535">
        <v>1</v>
      </c>
      <c r="F535">
        <f t="shared" si="64"/>
        <v>12</v>
      </c>
      <c r="G535">
        <f t="shared" si="65"/>
        <v>2023</v>
      </c>
      <c r="I535" s="17">
        <f t="shared" si="66"/>
        <v>45261</v>
      </c>
      <c r="O535">
        <f t="shared" si="62"/>
        <v>0</v>
      </c>
    </row>
    <row r="536" spans="1:15" x14ac:dyDescent="0.3">
      <c r="A536" s="17">
        <v>45281</v>
      </c>
      <c r="B536">
        <v>-1</v>
      </c>
      <c r="D536">
        <f t="shared" si="63"/>
        <v>21</v>
      </c>
      <c r="E536">
        <v>1</v>
      </c>
      <c r="F536">
        <f t="shared" si="64"/>
        <v>12</v>
      </c>
      <c r="G536">
        <f t="shared" si="65"/>
        <v>2023</v>
      </c>
      <c r="I536" s="17">
        <f t="shared" si="66"/>
        <v>45261</v>
      </c>
      <c r="O536">
        <f t="shared" si="62"/>
        <v>0</v>
      </c>
    </row>
    <row r="537" spans="1:15" x14ac:dyDescent="0.3">
      <c r="A537" s="17">
        <v>45280</v>
      </c>
      <c r="B537">
        <v>-0.96</v>
      </c>
      <c r="D537">
        <f t="shared" si="63"/>
        <v>20</v>
      </c>
      <c r="E537">
        <v>1</v>
      </c>
      <c r="F537">
        <f t="shared" si="64"/>
        <v>12</v>
      </c>
      <c r="G537">
        <f t="shared" si="65"/>
        <v>2023</v>
      </c>
      <c r="I537" s="17">
        <f t="shared" si="66"/>
        <v>45261</v>
      </c>
      <c r="O537">
        <f t="shared" si="62"/>
        <v>0</v>
      </c>
    </row>
    <row r="538" spans="1:15" x14ac:dyDescent="0.3">
      <c r="A538" s="17">
        <v>45279</v>
      </c>
      <c r="B538">
        <v>-0.78</v>
      </c>
      <c r="D538">
        <f t="shared" si="63"/>
        <v>19</v>
      </c>
      <c r="E538">
        <v>1</v>
      </c>
      <c r="F538">
        <f t="shared" si="64"/>
        <v>12</v>
      </c>
      <c r="G538">
        <f t="shared" si="65"/>
        <v>2023</v>
      </c>
      <c r="I538" s="17">
        <f t="shared" si="66"/>
        <v>45261</v>
      </c>
      <c r="O538">
        <f t="shared" si="62"/>
        <v>0</v>
      </c>
    </row>
    <row r="539" spans="1:15" x14ac:dyDescent="0.3">
      <c r="A539" s="17">
        <v>45278</v>
      </c>
      <c r="B539">
        <v>-0.97</v>
      </c>
      <c r="D539">
        <f t="shared" si="63"/>
        <v>18</v>
      </c>
      <c r="E539">
        <v>1</v>
      </c>
      <c r="F539">
        <f t="shared" si="64"/>
        <v>12</v>
      </c>
      <c r="G539">
        <f t="shared" si="65"/>
        <v>2023</v>
      </c>
      <c r="I539" s="17">
        <f t="shared" si="66"/>
        <v>45261</v>
      </c>
      <c r="O539">
        <f t="shared" si="62"/>
        <v>0</v>
      </c>
    </row>
    <row r="540" spans="1:15" x14ac:dyDescent="0.3">
      <c r="A540" s="17">
        <v>45275</v>
      </c>
      <c r="B540">
        <v>-1.1000000000000001</v>
      </c>
      <c r="D540">
        <f t="shared" si="63"/>
        <v>15</v>
      </c>
      <c r="E540">
        <v>1</v>
      </c>
      <c r="F540">
        <f t="shared" si="64"/>
        <v>12</v>
      </c>
      <c r="G540">
        <f t="shared" si="65"/>
        <v>2023</v>
      </c>
      <c r="I540" s="17">
        <f t="shared" si="66"/>
        <v>45261</v>
      </c>
      <c r="O540">
        <f t="shared" si="62"/>
        <v>0</v>
      </c>
    </row>
    <row r="541" spans="1:15" x14ac:dyDescent="0.3">
      <c r="A541" s="17">
        <v>45274</v>
      </c>
      <c r="B541">
        <v>-1.18</v>
      </c>
      <c r="D541">
        <f t="shared" si="63"/>
        <v>14</v>
      </c>
      <c r="E541">
        <v>1</v>
      </c>
      <c r="F541">
        <f t="shared" si="64"/>
        <v>12</v>
      </c>
      <c r="G541">
        <f t="shared" si="65"/>
        <v>2023</v>
      </c>
      <c r="I541" s="17">
        <f t="shared" si="66"/>
        <v>45261</v>
      </c>
      <c r="O541">
        <f t="shared" si="62"/>
        <v>0</v>
      </c>
    </row>
    <row r="542" spans="1:15" x14ac:dyDescent="0.3">
      <c r="A542" s="17">
        <v>45273</v>
      </c>
      <c r="B542">
        <v>-1.03</v>
      </c>
      <c r="D542">
        <f t="shared" si="63"/>
        <v>13</v>
      </c>
      <c r="E542">
        <v>1</v>
      </c>
      <c r="F542">
        <f t="shared" si="64"/>
        <v>12</v>
      </c>
      <c r="G542">
        <f t="shared" si="65"/>
        <v>2023</v>
      </c>
      <c r="I542" s="17">
        <f t="shared" si="66"/>
        <v>45261</v>
      </c>
      <c r="O542">
        <f t="shared" si="62"/>
        <v>0</v>
      </c>
    </row>
    <row r="543" spans="1:15" x14ac:dyDescent="0.3">
      <c r="A543" s="17">
        <v>45272</v>
      </c>
      <c r="B543">
        <v>-0.4</v>
      </c>
      <c r="D543">
        <f t="shared" si="63"/>
        <v>12</v>
      </c>
      <c r="E543">
        <v>1</v>
      </c>
      <c r="F543">
        <f t="shared" si="64"/>
        <v>12</v>
      </c>
      <c r="G543">
        <f t="shared" si="65"/>
        <v>2023</v>
      </c>
      <c r="I543" s="17">
        <f t="shared" si="66"/>
        <v>45261</v>
      </c>
      <c r="O543">
        <f t="shared" si="62"/>
        <v>0</v>
      </c>
    </row>
    <row r="544" spans="1:15" x14ac:dyDescent="0.3">
      <c r="A544" s="17">
        <v>45271</v>
      </c>
      <c r="B544">
        <v>-0.12</v>
      </c>
      <c r="D544">
        <f t="shared" si="63"/>
        <v>11</v>
      </c>
      <c r="E544">
        <v>1</v>
      </c>
      <c r="F544">
        <f t="shared" si="64"/>
        <v>12</v>
      </c>
      <c r="G544">
        <f t="shared" si="65"/>
        <v>2023</v>
      </c>
      <c r="I544" s="17">
        <f t="shared" si="66"/>
        <v>45261</v>
      </c>
      <c r="O544">
        <f t="shared" si="62"/>
        <v>0</v>
      </c>
    </row>
    <row r="545" spans="1:15" x14ac:dyDescent="0.3">
      <c r="A545" s="17">
        <v>45268</v>
      </c>
      <c r="B545">
        <v>-0.08</v>
      </c>
      <c r="D545">
        <f t="shared" si="63"/>
        <v>8</v>
      </c>
      <c r="E545">
        <v>1</v>
      </c>
      <c r="F545">
        <f t="shared" si="64"/>
        <v>12</v>
      </c>
      <c r="G545">
        <f t="shared" si="65"/>
        <v>2023</v>
      </c>
      <c r="I545" s="17">
        <f t="shared" si="66"/>
        <v>45261</v>
      </c>
      <c r="O545">
        <f t="shared" si="62"/>
        <v>0</v>
      </c>
    </row>
    <row r="546" spans="1:15" x14ac:dyDescent="0.3">
      <c r="A546" s="17">
        <v>45267</v>
      </c>
      <c r="B546">
        <v>-0.17</v>
      </c>
      <c r="D546">
        <f t="shared" si="63"/>
        <v>7</v>
      </c>
      <c r="E546">
        <v>1</v>
      </c>
      <c r="F546">
        <f t="shared" si="64"/>
        <v>12</v>
      </c>
      <c r="G546">
        <f t="shared" si="65"/>
        <v>2023</v>
      </c>
      <c r="I546" s="17">
        <f t="shared" si="66"/>
        <v>45261</v>
      </c>
      <c r="O546">
        <f t="shared" si="62"/>
        <v>0</v>
      </c>
    </row>
    <row r="547" spans="1:15" x14ac:dyDescent="0.3">
      <c r="A547" s="17">
        <v>45266</v>
      </c>
      <c r="B547">
        <v>0.02</v>
      </c>
      <c r="D547">
        <f t="shared" si="63"/>
        <v>6</v>
      </c>
      <c r="E547">
        <v>1</v>
      </c>
      <c r="F547">
        <f t="shared" si="64"/>
        <v>12</v>
      </c>
      <c r="G547">
        <f t="shared" si="65"/>
        <v>2023</v>
      </c>
      <c r="I547" s="17">
        <f t="shared" si="66"/>
        <v>45261</v>
      </c>
      <c r="O547">
        <f t="shared" si="62"/>
        <v>0</v>
      </c>
    </row>
    <row r="548" spans="1:15" x14ac:dyDescent="0.3">
      <c r="A548" s="17">
        <v>45265</v>
      </c>
      <c r="B548">
        <v>-0.11</v>
      </c>
      <c r="D548">
        <f t="shared" si="63"/>
        <v>5</v>
      </c>
      <c r="E548">
        <v>1</v>
      </c>
      <c r="F548">
        <f t="shared" si="64"/>
        <v>12</v>
      </c>
      <c r="G548">
        <f t="shared" si="65"/>
        <v>2023</v>
      </c>
      <c r="I548" s="17">
        <f t="shared" si="66"/>
        <v>45261</v>
      </c>
      <c r="O548">
        <f t="shared" si="62"/>
        <v>0</v>
      </c>
    </row>
    <row r="549" spans="1:15" x14ac:dyDescent="0.3">
      <c r="A549" s="17">
        <v>45264</v>
      </c>
      <c r="B549">
        <v>-0.06</v>
      </c>
      <c r="D549">
        <f t="shared" si="63"/>
        <v>4</v>
      </c>
      <c r="E549">
        <v>1</v>
      </c>
      <c r="F549">
        <f t="shared" si="64"/>
        <v>12</v>
      </c>
      <c r="G549">
        <f t="shared" si="65"/>
        <v>2023</v>
      </c>
      <c r="I549" s="17">
        <f t="shared" si="66"/>
        <v>45261</v>
      </c>
      <c r="O549">
        <f t="shared" si="62"/>
        <v>1</v>
      </c>
    </row>
    <row r="550" spans="1:15" x14ac:dyDescent="0.3">
      <c r="A550" s="17">
        <v>45261</v>
      </c>
      <c r="B550">
        <v>0.59</v>
      </c>
      <c r="D550">
        <f t="shared" si="63"/>
        <v>1</v>
      </c>
      <c r="E550">
        <v>1</v>
      </c>
      <c r="F550">
        <f t="shared" si="64"/>
        <v>12</v>
      </c>
      <c r="G550">
        <f t="shared" si="65"/>
        <v>2023</v>
      </c>
      <c r="I550" s="17">
        <f t="shared" si="66"/>
        <v>45261</v>
      </c>
      <c r="O550">
        <f t="shared" si="62"/>
        <v>1</v>
      </c>
    </row>
    <row r="551" spans="1:15" x14ac:dyDescent="0.3">
      <c r="A551" s="17">
        <v>45260</v>
      </c>
      <c r="B551">
        <v>1.39</v>
      </c>
      <c r="D551">
        <f t="shared" si="63"/>
        <v>30</v>
      </c>
      <c r="E551">
        <v>1</v>
      </c>
      <c r="F551">
        <f t="shared" si="64"/>
        <v>11</v>
      </c>
      <c r="G551">
        <f t="shared" si="65"/>
        <v>2023</v>
      </c>
      <c r="I551" s="17">
        <f t="shared" si="66"/>
        <v>45231</v>
      </c>
      <c r="O551">
        <f t="shared" si="62"/>
        <v>0</v>
      </c>
    </row>
    <row r="552" spans="1:15" x14ac:dyDescent="0.3">
      <c r="A552" s="17">
        <v>45259</v>
      </c>
      <c r="B552">
        <v>0.99</v>
      </c>
      <c r="D552">
        <f t="shared" si="63"/>
        <v>29</v>
      </c>
      <c r="E552">
        <v>1</v>
      </c>
      <c r="F552">
        <f t="shared" si="64"/>
        <v>11</v>
      </c>
      <c r="G552">
        <f t="shared" si="65"/>
        <v>2023</v>
      </c>
      <c r="I552" s="17">
        <f t="shared" si="66"/>
        <v>45231</v>
      </c>
      <c r="O552">
        <f t="shared" si="62"/>
        <v>0</v>
      </c>
    </row>
    <row r="553" spans="1:15" x14ac:dyDescent="0.3">
      <c r="A553" s="17">
        <v>45258</v>
      </c>
      <c r="B553">
        <v>1.18</v>
      </c>
      <c r="D553">
        <f t="shared" si="63"/>
        <v>28</v>
      </c>
      <c r="E553">
        <v>1</v>
      </c>
      <c r="F553">
        <f t="shared" si="64"/>
        <v>11</v>
      </c>
      <c r="G553">
        <f t="shared" si="65"/>
        <v>2023</v>
      </c>
      <c r="I553" s="17">
        <f t="shared" si="66"/>
        <v>45231</v>
      </c>
      <c r="O553">
        <f t="shared" si="62"/>
        <v>0</v>
      </c>
    </row>
    <row r="554" spans="1:15" x14ac:dyDescent="0.3">
      <c r="A554" s="17">
        <v>45257</v>
      </c>
      <c r="B554">
        <v>0.91</v>
      </c>
      <c r="D554">
        <f t="shared" si="63"/>
        <v>27</v>
      </c>
      <c r="E554">
        <v>1</v>
      </c>
      <c r="F554">
        <f t="shared" si="64"/>
        <v>11</v>
      </c>
      <c r="G554">
        <f t="shared" si="65"/>
        <v>2023</v>
      </c>
      <c r="I554" s="17">
        <f t="shared" si="66"/>
        <v>45231</v>
      </c>
      <c r="O554">
        <f t="shared" si="62"/>
        <v>0</v>
      </c>
    </row>
    <row r="555" spans="1:15" x14ac:dyDescent="0.3">
      <c r="A555" s="17">
        <v>45254</v>
      </c>
      <c r="B555">
        <v>1.1499999999999999</v>
      </c>
      <c r="D555">
        <f t="shared" si="63"/>
        <v>24</v>
      </c>
      <c r="E555">
        <v>1</v>
      </c>
      <c r="F555">
        <f t="shared" si="64"/>
        <v>11</v>
      </c>
      <c r="G555">
        <f t="shared" si="65"/>
        <v>2023</v>
      </c>
      <c r="I555" s="17">
        <f t="shared" si="66"/>
        <v>45231</v>
      </c>
      <c r="O555">
        <f t="shared" si="62"/>
        <v>0</v>
      </c>
    </row>
    <row r="556" spans="1:15" x14ac:dyDescent="0.3">
      <c r="A556" s="17">
        <v>45253</v>
      </c>
      <c r="B556">
        <v>1.1000000000000001</v>
      </c>
      <c r="D556">
        <f t="shared" si="63"/>
        <v>23</v>
      </c>
      <c r="E556">
        <v>1</v>
      </c>
      <c r="F556">
        <f t="shared" si="64"/>
        <v>11</v>
      </c>
      <c r="G556">
        <f t="shared" si="65"/>
        <v>2023</v>
      </c>
      <c r="I556" s="17">
        <f t="shared" si="66"/>
        <v>45231</v>
      </c>
      <c r="O556">
        <f t="shared" si="62"/>
        <v>0</v>
      </c>
    </row>
    <row r="557" spans="1:15" x14ac:dyDescent="0.3">
      <c r="A557" s="17">
        <v>45252</v>
      </c>
      <c r="B557">
        <v>1</v>
      </c>
      <c r="D557">
        <f t="shared" si="63"/>
        <v>22</v>
      </c>
      <c r="E557">
        <v>1</v>
      </c>
      <c r="F557">
        <f t="shared" si="64"/>
        <v>11</v>
      </c>
      <c r="G557">
        <f t="shared" si="65"/>
        <v>2023</v>
      </c>
      <c r="I557" s="17">
        <f t="shared" si="66"/>
        <v>45231</v>
      </c>
      <c r="O557">
        <f t="shared" si="62"/>
        <v>0</v>
      </c>
    </row>
    <row r="558" spans="1:15" x14ac:dyDescent="0.3">
      <c r="A558" s="17">
        <v>45251</v>
      </c>
      <c r="B558">
        <v>1</v>
      </c>
      <c r="D558">
        <f t="shared" si="63"/>
        <v>21</v>
      </c>
      <c r="E558">
        <v>1</v>
      </c>
      <c r="F558">
        <f t="shared" si="64"/>
        <v>11</v>
      </c>
      <c r="G558">
        <f t="shared" si="65"/>
        <v>2023</v>
      </c>
      <c r="I558" s="17">
        <f t="shared" si="66"/>
        <v>45231</v>
      </c>
      <c r="O558">
        <f t="shared" si="62"/>
        <v>0</v>
      </c>
    </row>
    <row r="559" spans="1:15" x14ac:dyDescent="0.3">
      <c r="A559" s="17">
        <v>45250</v>
      </c>
      <c r="B559">
        <v>1.2</v>
      </c>
      <c r="D559">
        <f t="shared" si="63"/>
        <v>20</v>
      </c>
      <c r="E559">
        <v>1</v>
      </c>
      <c r="F559">
        <f t="shared" si="64"/>
        <v>11</v>
      </c>
      <c r="G559">
        <f t="shared" si="65"/>
        <v>2023</v>
      </c>
      <c r="I559" s="17">
        <f t="shared" si="66"/>
        <v>45231</v>
      </c>
      <c r="O559">
        <f t="shared" si="62"/>
        <v>0</v>
      </c>
    </row>
    <row r="560" spans="1:15" x14ac:dyDescent="0.3">
      <c r="A560" s="17">
        <v>45247</v>
      </c>
      <c r="B560">
        <v>0.95</v>
      </c>
      <c r="D560">
        <f t="shared" si="63"/>
        <v>17</v>
      </c>
      <c r="E560">
        <v>1</v>
      </c>
      <c r="F560">
        <f t="shared" si="64"/>
        <v>11</v>
      </c>
      <c r="G560">
        <f t="shared" si="65"/>
        <v>2023</v>
      </c>
      <c r="I560" s="17">
        <f t="shared" si="66"/>
        <v>45231</v>
      </c>
      <c r="O560">
        <f t="shared" si="62"/>
        <v>0</v>
      </c>
    </row>
    <row r="561" spans="1:15" x14ac:dyDescent="0.3">
      <c r="A561" s="17">
        <v>45246</v>
      </c>
      <c r="B561">
        <v>1.0900000000000001</v>
      </c>
      <c r="D561">
        <f t="shared" si="63"/>
        <v>16</v>
      </c>
      <c r="E561">
        <v>1</v>
      </c>
      <c r="F561">
        <f t="shared" si="64"/>
        <v>11</v>
      </c>
      <c r="G561">
        <f t="shared" si="65"/>
        <v>2023</v>
      </c>
      <c r="I561" s="17">
        <f t="shared" si="66"/>
        <v>45231</v>
      </c>
      <c r="O561">
        <f t="shared" si="62"/>
        <v>0</v>
      </c>
    </row>
    <row r="562" spans="1:15" x14ac:dyDescent="0.3">
      <c r="A562" s="17">
        <v>45245</v>
      </c>
      <c r="B562">
        <v>1.1000000000000001</v>
      </c>
      <c r="D562">
        <f t="shared" si="63"/>
        <v>15</v>
      </c>
      <c r="E562">
        <v>1</v>
      </c>
      <c r="F562">
        <f t="shared" si="64"/>
        <v>11</v>
      </c>
      <c r="G562">
        <f t="shared" si="65"/>
        <v>2023</v>
      </c>
      <c r="I562" s="17">
        <f t="shared" si="66"/>
        <v>45231</v>
      </c>
      <c r="O562">
        <f t="shared" si="62"/>
        <v>0</v>
      </c>
    </row>
    <row r="563" spans="1:15" x14ac:dyDescent="0.3">
      <c r="A563" s="17">
        <v>45244</v>
      </c>
      <c r="B563">
        <v>1</v>
      </c>
      <c r="D563">
        <f t="shared" si="63"/>
        <v>14</v>
      </c>
      <c r="E563">
        <v>1</v>
      </c>
      <c r="F563">
        <f t="shared" si="64"/>
        <v>11</v>
      </c>
      <c r="G563">
        <f t="shared" si="65"/>
        <v>2023</v>
      </c>
      <c r="I563" s="17">
        <f t="shared" si="66"/>
        <v>45231</v>
      </c>
      <c r="O563">
        <f t="shared" si="62"/>
        <v>0</v>
      </c>
    </row>
    <row r="564" spans="1:15" x14ac:dyDescent="0.3">
      <c r="A564" s="17">
        <v>45240</v>
      </c>
      <c r="B564">
        <v>0.98</v>
      </c>
      <c r="D564">
        <f t="shared" si="63"/>
        <v>10</v>
      </c>
      <c r="E564">
        <v>1</v>
      </c>
      <c r="F564">
        <f t="shared" si="64"/>
        <v>11</v>
      </c>
      <c r="G564">
        <f t="shared" si="65"/>
        <v>2023</v>
      </c>
      <c r="I564" s="17">
        <f t="shared" si="66"/>
        <v>45231</v>
      </c>
      <c r="O564">
        <f t="shared" si="62"/>
        <v>0</v>
      </c>
    </row>
    <row r="565" spans="1:15" x14ac:dyDescent="0.3">
      <c r="A565" s="17">
        <v>45239</v>
      </c>
      <c r="B565">
        <v>0.98</v>
      </c>
      <c r="D565">
        <f t="shared" si="63"/>
        <v>9</v>
      </c>
      <c r="E565">
        <v>1</v>
      </c>
      <c r="F565">
        <f t="shared" si="64"/>
        <v>11</v>
      </c>
      <c r="G565">
        <f t="shared" si="65"/>
        <v>2023</v>
      </c>
      <c r="I565" s="17">
        <f t="shared" si="66"/>
        <v>45231</v>
      </c>
      <c r="O565">
        <f t="shared" si="62"/>
        <v>0</v>
      </c>
    </row>
    <row r="566" spans="1:15" x14ac:dyDescent="0.3">
      <c r="A566" s="17">
        <v>45238</v>
      </c>
      <c r="B566">
        <v>1.01</v>
      </c>
      <c r="D566">
        <f t="shared" si="63"/>
        <v>8</v>
      </c>
      <c r="E566">
        <v>1</v>
      </c>
      <c r="F566">
        <f t="shared" si="64"/>
        <v>11</v>
      </c>
      <c r="G566">
        <f t="shared" si="65"/>
        <v>2023</v>
      </c>
      <c r="I566" s="17">
        <f t="shared" si="66"/>
        <v>45231</v>
      </c>
      <c r="O566">
        <f t="shared" si="62"/>
        <v>0</v>
      </c>
    </row>
    <row r="567" spans="1:15" x14ac:dyDescent="0.3">
      <c r="A567" s="17">
        <v>45237</v>
      </c>
      <c r="B567">
        <v>1.25</v>
      </c>
      <c r="D567">
        <f t="shared" si="63"/>
        <v>7</v>
      </c>
      <c r="E567">
        <v>1</v>
      </c>
      <c r="F567">
        <f t="shared" si="64"/>
        <v>11</v>
      </c>
      <c r="G567">
        <f t="shared" si="65"/>
        <v>2023</v>
      </c>
      <c r="I567" s="17">
        <f t="shared" si="66"/>
        <v>45231</v>
      </c>
      <c r="O567">
        <f t="shared" si="62"/>
        <v>0</v>
      </c>
    </row>
    <row r="568" spans="1:15" x14ac:dyDescent="0.3">
      <c r="A568" s="17">
        <v>45236</v>
      </c>
      <c r="B568">
        <v>1.2</v>
      </c>
      <c r="D568">
        <f t="shared" si="63"/>
        <v>6</v>
      </c>
      <c r="E568">
        <v>1</v>
      </c>
      <c r="F568">
        <f t="shared" si="64"/>
        <v>11</v>
      </c>
      <c r="G568">
        <f t="shared" si="65"/>
        <v>2023</v>
      </c>
      <c r="I568" s="17">
        <f t="shared" si="66"/>
        <v>45231</v>
      </c>
      <c r="O568">
        <f t="shared" si="62"/>
        <v>0</v>
      </c>
    </row>
    <row r="569" spans="1:15" x14ac:dyDescent="0.3">
      <c r="A569" s="17">
        <v>45233</v>
      </c>
      <c r="B569">
        <v>1.42</v>
      </c>
      <c r="D569">
        <f t="shared" si="63"/>
        <v>3</v>
      </c>
      <c r="E569">
        <v>1</v>
      </c>
      <c r="F569">
        <f t="shared" si="64"/>
        <v>11</v>
      </c>
      <c r="G569">
        <f t="shared" si="65"/>
        <v>2023</v>
      </c>
      <c r="I569" s="17">
        <f t="shared" si="66"/>
        <v>45231</v>
      </c>
      <c r="O569">
        <f t="shared" si="62"/>
        <v>1</v>
      </c>
    </row>
    <row r="570" spans="1:15" x14ac:dyDescent="0.3">
      <c r="A570" s="17">
        <v>45232</v>
      </c>
      <c r="B570">
        <v>1.29</v>
      </c>
      <c r="D570">
        <f t="shared" si="63"/>
        <v>2</v>
      </c>
      <c r="E570">
        <v>1</v>
      </c>
      <c r="F570">
        <f t="shared" si="64"/>
        <v>11</v>
      </c>
      <c r="G570">
        <f t="shared" si="65"/>
        <v>2023</v>
      </c>
      <c r="I570" s="17">
        <f t="shared" si="66"/>
        <v>45231</v>
      </c>
      <c r="O570">
        <f t="shared" si="62"/>
        <v>1</v>
      </c>
    </row>
    <row r="571" spans="1:15" x14ac:dyDescent="0.3">
      <c r="A571" s="17">
        <v>45231</v>
      </c>
      <c r="B571">
        <v>1.33</v>
      </c>
      <c r="D571">
        <f t="shared" si="63"/>
        <v>1</v>
      </c>
      <c r="E571">
        <v>1</v>
      </c>
      <c r="F571">
        <f t="shared" si="64"/>
        <v>11</v>
      </c>
      <c r="G571">
        <f t="shared" si="65"/>
        <v>2023</v>
      </c>
      <c r="I571" s="17">
        <f t="shared" si="66"/>
        <v>45231</v>
      </c>
      <c r="O571">
        <f t="shared" si="62"/>
        <v>1</v>
      </c>
    </row>
    <row r="572" spans="1:15" x14ac:dyDescent="0.3">
      <c r="A572" s="17">
        <v>45230</v>
      </c>
      <c r="B572">
        <v>0.86</v>
      </c>
      <c r="D572">
        <f t="shared" si="63"/>
        <v>31</v>
      </c>
      <c r="E572">
        <v>1</v>
      </c>
      <c r="F572">
        <f t="shared" si="64"/>
        <v>10</v>
      </c>
      <c r="G572">
        <f t="shared" si="65"/>
        <v>2023</v>
      </c>
      <c r="I572" s="17">
        <f t="shared" si="66"/>
        <v>45200</v>
      </c>
      <c r="O572">
        <f t="shared" si="62"/>
        <v>0</v>
      </c>
    </row>
    <row r="573" spans="1:15" x14ac:dyDescent="0.3">
      <c r="A573" s="17">
        <v>45229</v>
      </c>
      <c r="B573">
        <v>2.0299999999999998</v>
      </c>
      <c r="D573">
        <f t="shared" si="63"/>
        <v>30</v>
      </c>
      <c r="E573">
        <v>1</v>
      </c>
      <c r="F573">
        <f t="shared" si="64"/>
        <v>10</v>
      </c>
      <c r="G573">
        <f t="shared" si="65"/>
        <v>2023</v>
      </c>
      <c r="I573" s="17">
        <f t="shared" si="66"/>
        <v>45200</v>
      </c>
      <c r="O573">
        <f t="shared" si="62"/>
        <v>0</v>
      </c>
    </row>
    <row r="574" spans="1:15" x14ac:dyDescent="0.3">
      <c r="A574" s="17">
        <v>45226</v>
      </c>
      <c r="B574">
        <v>1.18</v>
      </c>
      <c r="D574">
        <f t="shared" si="63"/>
        <v>27</v>
      </c>
      <c r="E574">
        <v>1</v>
      </c>
      <c r="F574">
        <f t="shared" si="64"/>
        <v>10</v>
      </c>
      <c r="G574">
        <f t="shared" si="65"/>
        <v>2023</v>
      </c>
      <c r="I574" s="17">
        <f t="shared" si="66"/>
        <v>45200</v>
      </c>
      <c r="O574">
        <f t="shared" si="62"/>
        <v>0</v>
      </c>
    </row>
    <row r="575" spans="1:15" x14ac:dyDescent="0.3">
      <c r="A575" s="17">
        <v>45225</v>
      </c>
      <c r="B575">
        <v>1.32</v>
      </c>
      <c r="D575">
        <f t="shared" si="63"/>
        <v>26</v>
      </c>
      <c r="E575">
        <v>1</v>
      </c>
      <c r="F575">
        <f t="shared" si="64"/>
        <v>10</v>
      </c>
      <c r="G575">
        <f t="shared" si="65"/>
        <v>2023</v>
      </c>
      <c r="I575" s="17">
        <f t="shared" si="66"/>
        <v>45200</v>
      </c>
      <c r="O575">
        <f t="shared" si="62"/>
        <v>0</v>
      </c>
    </row>
    <row r="576" spans="1:15" x14ac:dyDescent="0.3">
      <c r="A576" s="17">
        <v>45224</v>
      </c>
      <c r="B576">
        <v>1.35</v>
      </c>
      <c r="D576">
        <f t="shared" si="63"/>
        <v>25</v>
      </c>
      <c r="E576">
        <v>1</v>
      </c>
      <c r="F576">
        <f t="shared" si="64"/>
        <v>10</v>
      </c>
      <c r="G576">
        <f t="shared" si="65"/>
        <v>2023</v>
      </c>
      <c r="I576" s="17">
        <f t="shared" si="66"/>
        <v>45200</v>
      </c>
      <c r="O576">
        <f t="shared" si="62"/>
        <v>0</v>
      </c>
    </row>
    <row r="577" spans="1:15" x14ac:dyDescent="0.3">
      <c r="A577" s="17">
        <v>45223</v>
      </c>
      <c r="B577">
        <v>1.68</v>
      </c>
      <c r="D577">
        <f t="shared" si="63"/>
        <v>24</v>
      </c>
      <c r="E577">
        <v>1</v>
      </c>
      <c r="F577">
        <f t="shared" si="64"/>
        <v>10</v>
      </c>
      <c r="G577">
        <f t="shared" si="65"/>
        <v>2023</v>
      </c>
      <c r="I577" s="17">
        <f t="shared" si="66"/>
        <v>45200</v>
      </c>
      <c r="O577">
        <f t="shared" si="62"/>
        <v>0</v>
      </c>
    </row>
    <row r="578" spans="1:15" x14ac:dyDescent="0.3">
      <c r="A578" s="17">
        <v>45222</v>
      </c>
      <c r="B578">
        <v>1.46</v>
      </c>
      <c r="D578">
        <f t="shared" si="63"/>
        <v>23</v>
      </c>
      <c r="E578">
        <v>1</v>
      </c>
      <c r="F578">
        <f t="shared" si="64"/>
        <v>10</v>
      </c>
      <c r="G578">
        <f t="shared" si="65"/>
        <v>2023</v>
      </c>
      <c r="I578" s="17">
        <f t="shared" si="66"/>
        <v>45200</v>
      </c>
      <c r="O578">
        <f t="shared" si="62"/>
        <v>0</v>
      </c>
    </row>
    <row r="579" spans="1:15" x14ac:dyDescent="0.3">
      <c r="A579" s="17">
        <v>45219</v>
      </c>
      <c r="B579">
        <v>1.64</v>
      </c>
      <c r="D579">
        <f t="shared" si="63"/>
        <v>20</v>
      </c>
      <c r="E579">
        <v>1</v>
      </c>
      <c r="F579">
        <f t="shared" si="64"/>
        <v>10</v>
      </c>
      <c r="G579">
        <f t="shared" si="65"/>
        <v>2023</v>
      </c>
      <c r="I579" s="17">
        <f t="shared" si="66"/>
        <v>45200</v>
      </c>
      <c r="O579">
        <f t="shared" si="62"/>
        <v>0</v>
      </c>
    </row>
    <row r="580" spans="1:15" x14ac:dyDescent="0.3">
      <c r="A580" s="17">
        <v>45218</v>
      </c>
      <c r="B580">
        <v>1.77</v>
      </c>
      <c r="D580">
        <f t="shared" si="63"/>
        <v>19</v>
      </c>
      <c r="E580">
        <v>1</v>
      </c>
      <c r="F580">
        <f t="shared" si="64"/>
        <v>10</v>
      </c>
      <c r="G580">
        <f t="shared" si="65"/>
        <v>2023</v>
      </c>
      <c r="I580" s="17">
        <f t="shared" si="66"/>
        <v>45200</v>
      </c>
      <c r="O580">
        <f t="shared" si="62"/>
        <v>0</v>
      </c>
    </row>
    <row r="581" spans="1:15" x14ac:dyDescent="0.3">
      <c r="A581" s="17">
        <v>45217</v>
      </c>
      <c r="B581">
        <v>2.23</v>
      </c>
      <c r="D581">
        <f t="shared" si="63"/>
        <v>18</v>
      </c>
      <c r="E581">
        <v>1</v>
      </c>
      <c r="F581">
        <f t="shared" si="64"/>
        <v>10</v>
      </c>
      <c r="G581">
        <f t="shared" si="65"/>
        <v>2023</v>
      </c>
      <c r="I581" s="17">
        <f t="shared" si="66"/>
        <v>45200</v>
      </c>
      <c r="O581">
        <f t="shared" si="62"/>
        <v>0</v>
      </c>
    </row>
    <row r="582" spans="1:15" x14ac:dyDescent="0.3">
      <c r="A582" s="17">
        <v>45216</v>
      </c>
      <c r="B582">
        <v>2.3199999999999998</v>
      </c>
      <c r="D582">
        <f t="shared" si="63"/>
        <v>17</v>
      </c>
      <c r="E582">
        <v>1</v>
      </c>
      <c r="F582">
        <f t="shared" si="64"/>
        <v>10</v>
      </c>
      <c r="G582">
        <f t="shared" si="65"/>
        <v>2023</v>
      </c>
      <c r="I582" s="17">
        <f t="shared" si="66"/>
        <v>45200</v>
      </c>
      <c r="O582">
        <f t="shared" si="62"/>
        <v>0</v>
      </c>
    </row>
    <row r="583" spans="1:15" x14ac:dyDescent="0.3">
      <c r="A583" s="17">
        <v>45215</v>
      </c>
      <c r="B583">
        <v>2.1</v>
      </c>
      <c r="D583">
        <f t="shared" si="63"/>
        <v>16</v>
      </c>
      <c r="E583">
        <v>1</v>
      </c>
      <c r="F583">
        <f t="shared" si="64"/>
        <v>10</v>
      </c>
      <c r="G583">
        <f t="shared" si="65"/>
        <v>2023</v>
      </c>
      <c r="I583" s="17">
        <f t="shared" si="66"/>
        <v>45200</v>
      </c>
      <c r="O583">
        <f t="shared" ref="O583:O646" si="67">IF(AND(D583&gt;=1, D583&lt;=4), 1, 0)</f>
        <v>0</v>
      </c>
    </row>
    <row r="584" spans="1:15" x14ac:dyDescent="0.3">
      <c r="A584" s="17">
        <v>45212</v>
      </c>
      <c r="B584">
        <v>2</v>
      </c>
      <c r="D584">
        <f t="shared" si="63"/>
        <v>13</v>
      </c>
      <c r="E584">
        <v>1</v>
      </c>
      <c r="F584">
        <f t="shared" si="64"/>
        <v>10</v>
      </c>
      <c r="G584">
        <f t="shared" si="65"/>
        <v>2023</v>
      </c>
      <c r="I584" s="17">
        <f t="shared" si="66"/>
        <v>45200</v>
      </c>
      <c r="O584">
        <f t="shared" si="67"/>
        <v>0</v>
      </c>
    </row>
    <row r="585" spans="1:15" x14ac:dyDescent="0.3">
      <c r="A585" s="17">
        <v>45211</v>
      </c>
      <c r="B585">
        <v>1.8</v>
      </c>
      <c r="D585">
        <f t="shared" si="63"/>
        <v>12</v>
      </c>
      <c r="E585">
        <v>1</v>
      </c>
      <c r="F585">
        <f t="shared" si="64"/>
        <v>10</v>
      </c>
      <c r="G585">
        <f t="shared" si="65"/>
        <v>2023</v>
      </c>
      <c r="I585" s="17">
        <f t="shared" si="66"/>
        <v>45200</v>
      </c>
      <c r="O585">
        <f t="shared" si="67"/>
        <v>0</v>
      </c>
    </row>
    <row r="586" spans="1:15" x14ac:dyDescent="0.3">
      <c r="A586" s="17">
        <v>45210</v>
      </c>
      <c r="B586">
        <v>1.96</v>
      </c>
      <c r="D586">
        <f t="shared" si="63"/>
        <v>11</v>
      </c>
      <c r="E586">
        <v>1</v>
      </c>
      <c r="F586">
        <f t="shared" si="64"/>
        <v>10</v>
      </c>
      <c r="G586">
        <f t="shared" si="65"/>
        <v>2023</v>
      </c>
      <c r="I586" s="17">
        <f t="shared" si="66"/>
        <v>45200</v>
      </c>
      <c r="O586">
        <f t="shared" si="67"/>
        <v>0</v>
      </c>
    </row>
    <row r="587" spans="1:15" x14ac:dyDescent="0.3">
      <c r="A587" s="17">
        <v>45209</v>
      </c>
      <c r="B587">
        <v>2.27</v>
      </c>
      <c r="D587">
        <f t="shared" si="63"/>
        <v>10</v>
      </c>
      <c r="E587">
        <v>1</v>
      </c>
      <c r="F587">
        <f t="shared" si="64"/>
        <v>10</v>
      </c>
      <c r="G587">
        <f t="shared" si="65"/>
        <v>2023</v>
      </c>
      <c r="I587" s="17">
        <f t="shared" si="66"/>
        <v>45200</v>
      </c>
      <c r="O587">
        <f t="shared" si="67"/>
        <v>0</v>
      </c>
    </row>
    <row r="588" spans="1:15" x14ac:dyDescent="0.3">
      <c r="A588" s="17">
        <v>45208</v>
      </c>
      <c r="B588">
        <v>2.06</v>
      </c>
      <c r="D588">
        <f t="shared" si="63"/>
        <v>9</v>
      </c>
      <c r="E588">
        <v>1</v>
      </c>
      <c r="F588">
        <f t="shared" si="64"/>
        <v>10</v>
      </c>
      <c r="G588">
        <f t="shared" si="65"/>
        <v>2023</v>
      </c>
      <c r="I588" s="17">
        <f t="shared" si="66"/>
        <v>45200</v>
      </c>
      <c r="O588">
        <f t="shared" si="67"/>
        <v>0</v>
      </c>
    </row>
    <row r="589" spans="1:15" x14ac:dyDescent="0.3">
      <c r="A589" s="17">
        <v>45205</v>
      </c>
      <c r="B589">
        <v>2.09</v>
      </c>
      <c r="D589">
        <f t="shared" si="63"/>
        <v>6</v>
      </c>
      <c r="E589">
        <v>1</v>
      </c>
      <c r="F589">
        <f t="shared" si="64"/>
        <v>10</v>
      </c>
      <c r="G589">
        <f t="shared" si="65"/>
        <v>2023</v>
      </c>
      <c r="I589" s="17">
        <f t="shared" si="66"/>
        <v>45200</v>
      </c>
      <c r="O589">
        <f t="shared" si="67"/>
        <v>0</v>
      </c>
    </row>
    <row r="590" spans="1:15" x14ac:dyDescent="0.3">
      <c r="A590" s="17">
        <v>45204</v>
      </c>
      <c r="B590">
        <v>2.2999999999999998</v>
      </c>
      <c r="D590">
        <f t="shared" si="63"/>
        <v>5</v>
      </c>
      <c r="E590">
        <v>1</v>
      </c>
      <c r="F590">
        <f t="shared" si="64"/>
        <v>10</v>
      </c>
      <c r="G590">
        <f t="shared" si="65"/>
        <v>2023</v>
      </c>
      <c r="I590" s="17">
        <f t="shared" si="66"/>
        <v>45200</v>
      </c>
      <c r="O590">
        <f t="shared" si="67"/>
        <v>0</v>
      </c>
    </row>
    <row r="591" spans="1:15" x14ac:dyDescent="0.3">
      <c r="A591" s="17">
        <v>45203</v>
      </c>
      <c r="B591">
        <v>2.52</v>
      </c>
      <c r="D591">
        <f t="shared" ref="D591:D654" si="68">+DAY(A591)</f>
        <v>4</v>
      </c>
      <c r="E591">
        <v>1</v>
      </c>
      <c r="F591">
        <f t="shared" ref="F591:F654" si="69">+MONTH(A591)</f>
        <v>10</v>
      </c>
      <c r="G591">
        <f t="shared" ref="G591:G654" si="70">+YEAR(A591)</f>
        <v>2023</v>
      </c>
      <c r="I591" s="17">
        <f t="shared" ref="I591:I654" si="71">+DATE(G591,F591,E591)</f>
        <v>45200</v>
      </c>
      <c r="O591">
        <f t="shared" si="67"/>
        <v>1</v>
      </c>
    </row>
    <row r="592" spans="1:15" x14ac:dyDescent="0.3">
      <c r="A592" s="17">
        <v>45202</v>
      </c>
      <c r="B592">
        <v>2.54</v>
      </c>
      <c r="D592">
        <f t="shared" si="68"/>
        <v>3</v>
      </c>
      <c r="E592">
        <v>1</v>
      </c>
      <c r="F592">
        <f t="shared" si="69"/>
        <v>10</v>
      </c>
      <c r="G592">
        <f t="shared" si="70"/>
        <v>2023</v>
      </c>
      <c r="I592" s="17">
        <f t="shared" si="71"/>
        <v>45200</v>
      </c>
      <c r="O592">
        <f t="shared" si="67"/>
        <v>1</v>
      </c>
    </row>
    <row r="593" spans="1:15" x14ac:dyDescent="0.3">
      <c r="A593" s="17">
        <v>45201</v>
      </c>
      <c r="B593">
        <v>2.82</v>
      </c>
      <c r="D593">
        <f t="shared" si="68"/>
        <v>2</v>
      </c>
      <c r="E593">
        <v>1</v>
      </c>
      <c r="F593">
        <f t="shared" si="69"/>
        <v>10</v>
      </c>
      <c r="G593">
        <f t="shared" si="70"/>
        <v>2023</v>
      </c>
      <c r="I593" s="17">
        <f t="shared" si="71"/>
        <v>45200</v>
      </c>
      <c r="O593">
        <f t="shared" si="67"/>
        <v>1</v>
      </c>
    </row>
    <row r="594" spans="1:15" x14ac:dyDescent="0.3">
      <c r="A594" s="17">
        <v>45198</v>
      </c>
      <c r="B594">
        <v>3.77</v>
      </c>
      <c r="D594">
        <f t="shared" si="68"/>
        <v>29</v>
      </c>
      <c r="E594">
        <v>1</v>
      </c>
      <c r="F594">
        <f t="shared" si="69"/>
        <v>9</v>
      </c>
      <c r="G594">
        <f t="shared" si="70"/>
        <v>2023</v>
      </c>
      <c r="I594" s="17">
        <f t="shared" si="71"/>
        <v>45170</v>
      </c>
      <c r="O594">
        <f t="shared" si="67"/>
        <v>0</v>
      </c>
    </row>
    <row r="595" spans="1:15" x14ac:dyDescent="0.3">
      <c r="A595" s="17">
        <v>45197</v>
      </c>
      <c r="B595">
        <v>3.36</v>
      </c>
      <c r="D595">
        <f t="shared" si="68"/>
        <v>28</v>
      </c>
      <c r="E595">
        <v>1</v>
      </c>
      <c r="F595">
        <f t="shared" si="69"/>
        <v>9</v>
      </c>
      <c r="G595">
        <f t="shared" si="70"/>
        <v>2023</v>
      </c>
      <c r="I595" s="17">
        <f t="shared" si="71"/>
        <v>45170</v>
      </c>
      <c r="O595">
        <f t="shared" si="67"/>
        <v>0</v>
      </c>
    </row>
    <row r="596" spans="1:15" x14ac:dyDescent="0.3">
      <c r="A596" s="17">
        <v>45196</v>
      </c>
      <c r="B596">
        <v>2.56</v>
      </c>
      <c r="D596">
        <f t="shared" si="68"/>
        <v>27</v>
      </c>
      <c r="E596">
        <v>1</v>
      </c>
      <c r="F596">
        <f t="shared" si="69"/>
        <v>9</v>
      </c>
      <c r="G596">
        <f t="shared" si="70"/>
        <v>2023</v>
      </c>
      <c r="I596" s="17">
        <f t="shared" si="71"/>
        <v>45170</v>
      </c>
      <c r="O596">
        <f t="shared" si="67"/>
        <v>0</v>
      </c>
    </row>
    <row r="597" spans="1:15" x14ac:dyDescent="0.3">
      <c r="A597" s="17">
        <v>45195</v>
      </c>
      <c r="B597">
        <v>2.17</v>
      </c>
      <c r="D597">
        <f t="shared" si="68"/>
        <v>26</v>
      </c>
      <c r="E597">
        <v>1</v>
      </c>
      <c r="F597">
        <f t="shared" si="69"/>
        <v>9</v>
      </c>
      <c r="G597">
        <f t="shared" si="70"/>
        <v>2023</v>
      </c>
      <c r="I597" s="17">
        <f t="shared" si="71"/>
        <v>45170</v>
      </c>
      <c r="O597">
        <f t="shared" si="67"/>
        <v>0</v>
      </c>
    </row>
    <row r="598" spans="1:15" x14ac:dyDescent="0.3">
      <c r="A598" s="17">
        <v>45194</v>
      </c>
      <c r="B598">
        <v>2.2200000000000002</v>
      </c>
      <c r="D598">
        <f t="shared" si="68"/>
        <v>25</v>
      </c>
      <c r="E598">
        <v>1</v>
      </c>
      <c r="F598">
        <f t="shared" si="69"/>
        <v>9</v>
      </c>
      <c r="G598">
        <f t="shared" si="70"/>
        <v>2023</v>
      </c>
      <c r="I598" s="17">
        <f t="shared" si="71"/>
        <v>45170</v>
      </c>
      <c r="O598">
        <f t="shared" si="67"/>
        <v>0</v>
      </c>
    </row>
    <row r="599" spans="1:15" x14ac:dyDescent="0.3">
      <c r="A599" s="17">
        <v>45191</v>
      </c>
      <c r="B599">
        <v>1.86</v>
      </c>
      <c r="D599">
        <f t="shared" si="68"/>
        <v>22</v>
      </c>
      <c r="E599">
        <v>1</v>
      </c>
      <c r="F599">
        <f t="shared" si="69"/>
        <v>9</v>
      </c>
      <c r="G599">
        <f t="shared" si="70"/>
        <v>2023</v>
      </c>
      <c r="I599" s="17">
        <f t="shared" si="71"/>
        <v>45170</v>
      </c>
      <c r="O599">
        <f t="shared" si="67"/>
        <v>0</v>
      </c>
    </row>
    <row r="600" spans="1:15" x14ac:dyDescent="0.3">
      <c r="A600" s="17">
        <v>45190</v>
      </c>
      <c r="B600">
        <v>1.91</v>
      </c>
      <c r="D600">
        <f t="shared" si="68"/>
        <v>21</v>
      </c>
      <c r="E600">
        <v>1</v>
      </c>
      <c r="F600">
        <f t="shared" si="69"/>
        <v>9</v>
      </c>
      <c r="G600">
        <f t="shared" si="70"/>
        <v>2023</v>
      </c>
      <c r="I600" s="17">
        <f t="shared" si="71"/>
        <v>45170</v>
      </c>
      <c r="O600">
        <f t="shared" si="67"/>
        <v>0</v>
      </c>
    </row>
    <row r="601" spans="1:15" x14ac:dyDescent="0.3">
      <c r="A601" s="17">
        <v>45189</v>
      </c>
      <c r="B601">
        <v>1.96</v>
      </c>
      <c r="D601">
        <f t="shared" si="68"/>
        <v>20</v>
      </c>
      <c r="E601">
        <v>1</v>
      </c>
      <c r="F601">
        <f t="shared" si="69"/>
        <v>9</v>
      </c>
      <c r="G601">
        <f t="shared" si="70"/>
        <v>2023</v>
      </c>
      <c r="I601" s="17">
        <f t="shared" si="71"/>
        <v>45170</v>
      </c>
      <c r="O601">
        <f t="shared" si="67"/>
        <v>0</v>
      </c>
    </row>
    <row r="602" spans="1:15" x14ac:dyDescent="0.3">
      <c r="A602" s="17">
        <v>45188</v>
      </c>
      <c r="B602">
        <v>2.0699999999999998</v>
      </c>
      <c r="D602">
        <f t="shared" si="68"/>
        <v>19</v>
      </c>
      <c r="E602">
        <v>1</v>
      </c>
      <c r="F602">
        <f t="shared" si="69"/>
        <v>9</v>
      </c>
      <c r="G602">
        <f t="shared" si="70"/>
        <v>2023</v>
      </c>
      <c r="I602" s="17">
        <f t="shared" si="71"/>
        <v>45170</v>
      </c>
      <c r="O602">
        <f t="shared" si="67"/>
        <v>0</v>
      </c>
    </row>
    <row r="603" spans="1:15" x14ac:dyDescent="0.3">
      <c r="A603" s="17">
        <v>45187</v>
      </c>
      <c r="B603">
        <v>1.69</v>
      </c>
      <c r="D603">
        <f t="shared" si="68"/>
        <v>18</v>
      </c>
      <c r="E603">
        <v>1</v>
      </c>
      <c r="F603">
        <f t="shared" si="69"/>
        <v>9</v>
      </c>
      <c r="G603">
        <f t="shared" si="70"/>
        <v>2023</v>
      </c>
      <c r="I603" s="17">
        <f t="shared" si="71"/>
        <v>45170</v>
      </c>
      <c r="O603">
        <f t="shared" si="67"/>
        <v>0</v>
      </c>
    </row>
    <row r="604" spans="1:15" x14ac:dyDescent="0.3">
      <c r="A604" s="17">
        <v>45184</v>
      </c>
      <c r="B604">
        <v>1.64</v>
      </c>
      <c r="D604">
        <f t="shared" si="68"/>
        <v>15</v>
      </c>
      <c r="E604">
        <v>1</v>
      </c>
      <c r="F604">
        <f t="shared" si="69"/>
        <v>9</v>
      </c>
      <c r="G604">
        <f t="shared" si="70"/>
        <v>2023</v>
      </c>
      <c r="I604" s="17">
        <f t="shared" si="71"/>
        <v>45170</v>
      </c>
      <c r="O604">
        <f t="shared" si="67"/>
        <v>0</v>
      </c>
    </row>
    <row r="605" spans="1:15" x14ac:dyDescent="0.3">
      <c r="A605" s="17">
        <v>45183</v>
      </c>
      <c r="B605">
        <v>1.3</v>
      </c>
      <c r="D605">
        <f t="shared" si="68"/>
        <v>14</v>
      </c>
      <c r="E605">
        <v>1</v>
      </c>
      <c r="F605">
        <f t="shared" si="69"/>
        <v>9</v>
      </c>
      <c r="G605">
        <f t="shared" si="70"/>
        <v>2023</v>
      </c>
      <c r="I605" s="17">
        <f t="shared" si="71"/>
        <v>45170</v>
      </c>
      <c r="O605">
        <f t="shared" si="67"/>
        <v>0</v>
      </c>
    </row>
    <row r="606" spans="1:15" x14ac:dyDescent="0.3">
      <c r="A606" s="17">
        <v>45182</v>
      </c>
      <c r="B606">
        <v>1.52</v>
      </c>
      <c r="D606">
        <f t="shared" si="68"/>
        <v>13</v>
      </c>
      <c r="E606">
        <v>1</v>
      </c>
      <c r="F606">
        <f t="shared" si="69"/>
        <v>9</v>
      </c>
      <c r="G606">
        <f t="shared" si="70"/>
        <v>2023</v>
      </c>
      <c r="I606" s="17">
        <f t="shared" si="71"/>
        <v>45170</v>
      </c>
      <c r="O606">
        <f t="shared" si="67"/>
        <v>0</v>
      </c>
    </row>
    <row r="607" spans="1:15" x14ac:dyDescent="0.3">
      <c r="A607" s="17">
        <v>45181</v>
      </c>
      <c r="B607">
        <v>1.28</v>
      </c>
      <c r="D607">
        <f t="shared" si="68"/>
        <v>12</v>
      </c>
      <c r="E607">
        <v>1</v>
      </c>
      <c r="F607">
        <f t="shared" si="69"/>
        <v>9</v>
      </c>
      <c r="G607">
        <f t="shared" si="70"/>
        <v>2023</v>
      </c>
      <c r="I607" s="17">
        <f t="shared" si="71"/>
        <v>45170</v>
      </c>
      <c r="O607">
        <f t="shared" si="67"/>
        <v>0</v>
      </c>
    </row>
    <row r="608" spans="1:15" x14ac:dyDescent="0.3">
      <c r="A608" s="17">
        <v>45180</v>
      </c>
      <c r="B608">
        <v>1.27</v>
      </c>
      <c r="D608">
        <f t="shared" si="68"/>
        <v>11</v>
      </c>
      <c r="E608">
        <v>1</v>
      </c>
      <c r="F608">
        <f t="shared" si="69"/>
        <v>9</v>
      </c>
      <c r="G608">
        <f t="shared" si="70"/>
        <v>2023</v>
      </c>
      <c r="I608" s="17">
        <f t="shared" si="71"/>
        <v>45170</v>
      </c>
      <c r="O608">
        <f t="shared" si="67"/>
        <v>0</v>
      </c>
    </row>
    <row r="609" spans="1:15" x14ac:dyDescent="0.3">
      <c r="A609" s="17">
        <v>45177</v>
      </c>
      <c r="B609">
        <v>1.32</v>
      </c>
      <c r="D609">
        <f t="shared" si="68"/>
        <v>8</v>
      </c>
      <c r="E609">
        <v>1</v>
      </c>
      <c r="F609">
        <f t="shared" si="69"/>
        <v>9</v>
      </c>
      <c r="G609">
        <f t="shared" si="70"/>
        <v>2023</v>
      </c>
      <c r="I609" s="17">
        <f t="shared" si="71"/>
        <v>45170</v>
      </c>
      <c r="O609">
        <f t="shared" si="67"/>
        <v>0</v>
      </c>
    </row>
    <row r="610" spans="1:15" x14ac:dyDescent="0.3">
      <c r="A610" s="17">
        <v>45176</v>
      </c>
      <c r="B610">
        <v>1.34</v>
      </c>
      <c r="D610">
        <f t="shared" si="68"/>
        <v>7</v>
      </c>
      <c r="E610">
        <v>1</v>
      </c>
      <c r="F610">
        <f t="shared" si="69"/>
        <v>9</v>
      </c>
      <c r="G610">
        <f t="shared" si="70"/>
        <v>2023</v>
      </c>
      <c r="I610" s="17">
        <f t="shared" si="71"/>
        <v>45170</v>
      </c>
      <c r="O610">
        <f t="shared" si="67"/>
        <v>0</v>
      </c>
    </row>
    <row r="611" spans="1:15" x14ac:dyDescent="0.3">
      <c r="A611" s="17">
        <v>45175</v>
      </c>
      <c r="B611">
        <v>1.23</v>
      </c>
      <c r="D611">
        <f t="shared" si="68"/>
        <v>6</v>
      </c>
      <c r="E611">
        <v>1</v>
      </c>
      <c r="F611">
        <f t="shared" si="69"/>
        <v>9</v>
      </c>
      <c r="G611">
        <f t="shared" si="70"/>
        <v>2023</v>
      </c>
      <c r="I611" s="17">
        <f t="shared" si="71"/>
        <v>45170</v>
      </c>
      <c r="O611">
        <f t="shared" si="67"/>
        <v>0</v>
      </c>
    </row>
    <row r="612" spans="1:15" x14ac:dyDescent="0.3">
      <c r="A612" s="17">
        <v>45174</v>
      </c>
      <c r="B612">
        <v>1.02</v>
      </c>
      <c r="D612">
        <f t="shared" si="68"/>
        <v>5</v>
      </c>
      <c r="E612">
        <v>1</v>
      </c>
      <c r="F612">
        <f t="shared" si="69"/>
        <v>9</v>
      </c>
      <c r="G612">
        <f t="shared" si="70"/>
        <v>2023</v>
      </c>
      <c r="I612" s="17">
        <f t="shared" si="71"/>
        <v>45170</v>
      </c>
      <c r="O612">
        <f t="shared" si="67"/>
        <v>0</v>
      </c>
    </row>
    <row r="613" spans="1:15" x14ac:dyDescent="0.3">
      <c r="A613" s="17">
        <v>45173</v>
      </c>
      <c r="B613">
        <v>1</v>
      </c>
      <c r="D613">
        <f t="shared" si="68"/>
        <v>4</v>
      </c>
      <c r="E613">
        <v>1</v>
      </c>
      <c r="F613">
        <f t="shared" si="69"/>
        <v>9</v>
      </c>
      <c r="G613">
        <f t="shared" si="70"/>
        <v>2023</v>
      </c>
      <c r="I613" s="17">
        <f t="shared" si="71"/>
        <v>45170</v>
      </c>
      <c r="O613">
        <f t="shared" si="67"/>
        <v>1</v>
      </c>
    </row>
    <row r="614" spans="1:15" x14ac:dyDescent="0.3">
      <c r="A614" s="17">
        <v>45169</v>
      </c>
      <c r="B614">
        <v>0.98</v>
      </c>
      <c r="D614">
        <f t="shared" si="68"/>
        <v>31</v>
      </c>
      <c r="E614">
        <v>1</v>
      </c>
      <c r="F614">
        <f t="shared" si="69"/>
        <v>8</v>
      </c>
      <c r="G614">
        <f t="shared" si="70"/>
        <v>2023</v>
      </c>
      <c r="I614" s="17">
        <f t="shared" si="71"/>
        <v>45139</v>
      </c>
      <c r="O614">
        <f t="shared" si="67"/>
        <v>0</v>
      </c>
    </row>
    <row r="615" spans="1:15" x14ac:dyDescent="0.3">
      <c r="A615" s="17">
        <v>45168</v>
      </c>
      <c r="B615">
        <v>0.86</v>
      </c>
      <c r="D615">
        <f t="shared" si="68"/>
        <v>30</v>
      </c>
      <c r="E615">
        <v>1</v>
      </c>
      <c r="F615">
        <f t="shared" si="69"/>
        <v>8</v>
      </c>
      <c r="G615">
        <f t="shared" si="70"/>
        <v>2023</v>
      </c>
      <c r="I615" s="17">
        <f t="shared" si="71"/>
        <v>45139</v>
      </c>
      <c r="O615">
        <f t="shared" si="67"/>
        <v>0</v>
      </c>
    </row>
    <row r="616" spans="1:15" x14ac:dyDescent="0.3">
      <c r="A616" s="17">
        <v>45167</v>
      </c>
      <c r="B616">
        <v>1.04</v>
      </c>
      <c r="D616">
        <f t="shared" si="68"/>
        <v>29</v>
      </c>
      <c r="E616">
        <v>1</v>
      </c>
      <c r="F616">
        <f t="shared" si="69"/>
        <v>8</v>
      </c>
      <c r="G616">
        <f t="shared" si="70"/>
        <v>2023</v>
      </c>
      <c r="I616" s="17">
        <f t="shared" si="71"/>
        <v>45139</v>
      </c>
      <c r="O616">
        <f t="shared" si="67"/>
        <v>0</v>
      </c>
    </row>
    <row r="617" spans="1:15" x14ac:dyDescent="0.3">
      <c r="A617" s="17">
        <v>45166</v>
      </c>
      <c r="B617">
        <v>0.95</v>
      </c>
      <c r="D617">
        <f t="shared" si="68"/>
        <v>28</v>
      </c>
      <c r="E617">
        <v>1</v>
      </c>
      <c r="F617">
        <f t="shared" si="69"/>
        <v>8</v>
      </c>
      <c r="G617">
        <f t="shared" si="70"/>
        <v>2023</v>
      </c>
      <c r="I617" s="17">
        <f t="shared" si="71"/>
        <v>45139</v>
      </c>
      <c r="O617">
        <f t="shared" si="67"/>
        <v>0</v>
      </c>
    </row>
    <row r="618" spans="1:15" x14ac:dyDescent="0.3">
      <c r="A618" s="17">
        <v>45163</v>
      </c>
      <c r="B618">
        <v>0.98</v>
      </c>
      <c r="D618">
        <f t="shared" si="68"/>
        <v>25</v>
      </c>
      <c r="E618">
        <v>1</v>
      </c>
      <c r="F618">
        <f t="shared" si="69"/>
        <v>8</v>
      </c>
      <c r="G618">
        <f t="shared" si="70"/>
        <v>2023</v>
      </c>
      <c r="I618" s="17">
        <f t="shared" si="71"/>
        <v>45139</v>
      </c>
      <c r="O618">
        <f t="shared" si="67"/>
        <v>0</v>
      </c>
    </row>
    <row r="619" spans="1:15" x14ac:dyDescent="0.3">
      <c r="A619" s="17">
        <v>45162</v>
      </c>
      <c r="B619">
        <v>1.04</v>
      </c>
      <c r="D619">
        <f t="shared" si="68"/>
        <v>24</v>
      </c>
      <c r="E619">
        <v>1</v>
      </c>
      <c r="F619">
        <f t="shared" si="69"/>
        <v>8</v>
      </c>
      <c r="G619">
        <f t="shared" si="70"/>
        <v>2023</v>
      </c>
      <c r="I619" s="17">
        <f t="shared" si="71"/>
        <v>45139</v>
      </c>
      <c r="O619">
        <f t="shared" si="67"/>
        <v>0</v>
      </c>
    </row>
    <row r="620" spans="1:15" x14ac:dyDescent="0.3">
      <c r="A620" s="17">
        <v>45161</v>
      </c>
      <c r="B620">
        <v>0.92</v>
      </c>
      <c r="D620">
        <f t="shared" si="68"/>
        <v>23</v>
      </c>
      <c r="E620">
        <v>1</v>
      </c>
      <c r="F620">
        <f t="shared" si="69"/>
        <v>8</v>
      </c>
      <c r="G620">
        <f t="shared" si="70"/>
        <v>2023</v>
      </c>
      <c r="I620" s="17">
        <f t="shared" si="71"/>
        <v>45139</v>
      </c>
      <c r="O620">
        <f t="shared" si="67"/>
        <v>0</v>
      </c>
    </row>
    <row r="621" spans="1:15" x14ac:dyDescent="0.3">
      <c r="A621" s="17">
        <v>45160</v>
      </c>
      <c r="B621">
        <v>0.91</v>
      </c>
      <c r="D621">
        <f t="shared" si="68"/>
        <v>22</v>
      </c>
      <c r="E621">
        <v>1</v>
      </c>
      <c r="F621">
        <f t="shared" si="69"/>
        <v>8</v>
      </c>
      <c r="G621">
        <f t="shared" si="70"/>
        <v>2023</v>
      </c>
      <c r="I621" s="17">
        <f t="shared" si="71"/>
        <v>45139</v>
      </c>
      <c r="O621">
        <f t="shared" si="67"/>
        <v>0</v>
      </c>
    </row>
    <row r="622" spans="1:15" x14ac:dyDescent="0.3">
      <c r="A622" s="17">
        <v>45159</v>
      </c>
      <c r="B622">
        <v>0.99</v>
      </c>
      <c r="D622">
        <f t="shared" si="68"/>
        <v>21</v>
      </c>
      <c r="E622">
        <v>1</v>
      </c>
      <c r="F622">
        <f t="shared" si="69"/>
        <v>8</v>
      </c>
      <c r="G622">
        <f t="shared" si="70"/>
        <v>2023</v>
      </c>
      <c r="I622" s="17">
        <f t="shared" si="71"/>
        <v>45139</v>
      </c>
      <c r="O622">
        <f t="shared" si="67"/>
        <v>0</v>
      </c>
    </row>
    <row r="623" spans="1:15" x14ac:dyDescent="0.3">
      <c r="A623" s="17">
        <v>45156</v>
      </c>
      <c r="B623">
        <v>0.99</v>
      </c>
      <c r="D623">
        <f t="shared" si="68"/>
        <v>18</v>
      </c>
      <c r="E623">
        <v>1</v>
      </c>
      <c r="F623">
        <f t="shared" si="69"/>
        <v>8</v>
      </c>
      <c r="G623">
        <f t="shared" si="70"/>
        <v>2023</v>
      </c>
      <c r="I623" s="17">
        <f t="shared" si="71"/>
        <v>45139</v>
      </c>
      <c r="O623">
        <f t="shared" si="67"/>
        <v>0</v>
      </c>
    </row>
    <row r="624" spans="1:15" x14ac:dyDescent="0.3">
      <c r="A624" s="17">
        <v>45155</v>
      </c>
      <c r="B624">
        <v>0.98</v>
      </c>
      <c r="D624">
        <f t="shared" si="68"/>
        <v>17</v>
      </c>
      <c r="E624">
        <v>1</v>
      </c>
      <c r="F624">
        <f t="shared" si="69"/>
        <v>8</v>
      </c>
      <c r="G624">
        <f t="shared" si="70"/>
        <v>2023</v>
      </c>
      <c r="I624" s="17">
        <f t="shared" si="71"/>
        <v>45139</v>
      </c>
      <c r="O624">
        <f t="shared" si="67"/>
        <v>0</v>
      </c>
    </row>
    <row r="625" spans="1:15" x14ac:dyDescent="0.3">
      <c r="A625" s="17">
        <v>45154</v>
      </c>
      <c r="B625">
        <v>0.94</v>
      </c>
      <c r="D625">
        <f t="shared" si="68"/>
        <v>16</v>
      </c>
      <c r="E625">
        <v>1</v>
      </c>
      <c r="F625">
        <f t="shared" si="69"/>
        <v>8</v>
      </c>
      <c r="G625">
        <f t="shared" si="70"/>
        <v>2023</v>
      </c>
      <c r="I625" s="17">
        <f t="shared" si="71"/>
        <v>45139</v>
      </c>
      <c r="O625">
        <f t="shared" si="67"/>
        <v>0</v>
      </c>
    </row>
    <row r="626" spans="1:15" x14ac:dyDescent="0.3">
      <c r="A626" s="17">
        <v>45153</v>
      </c>
      <c r="B626">
        <v>1.1399999999999999</v>
      </c>
      <c r="D626">
        <f t="shared" si="68"/>
        <v>15</v>
      </c>
      <c r="E626">
        <v>1</v>
      </c>
      <c r="F626">
        <f t="shared" si="69"/>
        <v>8</v>
      </c>
      <c r="G626">
        <f t="shared" si="70"/>
        <v>2023</v>
      </c>
      <c r="I626" s="17">
        <f t="shared" si="71"/>
        <v>45139</v>
      </c>
      <c r="O626">
        <f t="shared" si="67"/>
        <v>0</v>
      </c>
    </row>
    <row r="627" spans="1:15" x14ac:dyDescent="0.3">
      <c r="A627" s="17">
        <v>45152</v>
      </c>
      <c r="B627">
        <v>1.08</v>
      </c>
      <c r="D627">
        <f t="shared" si="68"/>
        <v>14</v>
      </c>
      <c r="E627">
        <v>1</v>
      </c>
      <c r="F627">
        <f t="shared" si="69"/>
        <v>8</v>
      </c>
      <c r="G627">
        <f t="shared" si="70"/>
        <v>2023</v>
      </c>
      <c r="I627" s="17">
        <f t="shared" si="71"/>
        <v>45139</v>
      </c>
      <c r="O627">
        <f t="shared" si="67"/>
        <v>0</v>
      </c>
    </row>
    <row r="628" spans="1:15" x14ac:dyDescent="0.3">
      <c r="A628" s="17">
        <v>45149</v>
      </c>
      <c r="B628">
        <v>1.1299999999999999</v>
      </c>
      <c r="D628">
        <f t="shared" si="68"/>
        <v>11</v>
      </c>
      <c r="E628">
        <v>1</v>
      </c>
      <c r="F628">
        <f t="shared" si="69"/>
        <v>8</v>
      </c>
      <c r="G628">
        <f t="shared" si="70"/>
        <v>2023</v>
      </c>
      <c r="I628" s="17">
        <f t="shared" si="71"/>
        <v>45139</v>
      </c>
      <c r="O628">
        <f t="shared" si="67"/>
        <v>0</v>
      </c>
    </row>
    <row r="629" spans="1:15" x14ac:dyDescent="0.3">
      <c r="A629" s="17">
        <v>45148</v>
      </c>
      <c r="B629">
        <v>1.18</v>
      </c>
      <c r="D629">
        <f t="shared" si="68"/>
        <v>10</v>
      </c>
      <c r="E629">
        <v>1</v>
      </c>
      <c r="F629">
        <f t="shared" si="69"/>
        <v>8</v>
      </c>
      <c r="G629">
        <f t="shared" si="70"/>
        <v>2023</v>
      </c>
      <c r="I629" s="17">
        <f t="shared" si="71"/>
        <v>45139</v>
      </c>
      <c r="O629">
        <f t="shared" si="67"/>
        <v>0</v>
      </c>
    </row>
    <row r="630" spans="1:15" x14ac:dyDescent="0.3">
      <c r="A630" s="17">
        <v>45146</v>
      </c>
      <c r="B630">
        <v>1.08</v>
      </c>
      <c r="D630">
        <f t="shared" si="68"/>
        <v>8</v>
      </c>
      <c r="E630">
        <v>1</v>
      </c>
      <c r="F630">
        <f t="shared" si="69"/>
        <v>8</v>
      </c>
      <c r="G630">
        <f t="shared" si="70"/>
        <v>2023</v>
      </c>
      <c r="I630" s="17">
        <f t="shared" si="71"/>
        <v>45139</v>
      </c>
      <c r="O630">
        <f t="shared" si="67"/>
        <v>0</v>
      </c>
    </row>
    <row r="631" spans="1:15" x14ac:dyDescent="0.3">
      <c r="A631" s="17">
        <v>45145</v>
      </c>
      <c r="B631">
        <v>1.22</v>
      </c>
      <c r="D631">
        <f t="shared" si="68"/>
        <v>7</v>
      </c>
      <c r="E631">
        <v>1</v>
      </c>
      <c r="F631">
        <f t="shared" si="69"/>
        <v>8</v>
      </c>
      <c r="G631">
        <f t="shared" si="70"/>
        <v>2023</v>
      </c>
      <c r="I631" s="17">
        <f t="shared" si="71"/>
        <v>45139</v>
      </c>
      <c r="O631">
        <f t="shared" si="67"/>
        <v>0</v>
      </c>
    </row>
    <row r="632" spans="1:15" x14ac:dyDescent="0.3">
      <c r="A632" s="17">
        <v>45142</v>
      </c>
      <c r="B632">
        <v>1.21</v>
      </c>
      <c r="D632">
        <f t="shared" si="68"/>
        <v>4</v>
      </c>
      <c r="E632">
        <v>1</v>
      </c>
      <c r="F632">
        <f t="shared" si="69"/>
        <v>8</v>
      </c>
      <c r="G632">
        <f t="shared" si="70"/>
        <v>2023</v>
      </c>
      <c r="I632" s="17">
        <f t="shared" si="71"/>
        <v>45139</v>
      </c>
      <c r="O632">
        <f t="shared" si="67"/>
        <v>1</v>
      </c>
    </row>
    <row r="633" spans="1:15" x14ac:dyDescent="0.3">
      <c r="A633" s="17">
        <v>45141</v>
      </c>
      <c r="B633">
        <v>0.91</v>
      </c>
      <c r="D633">
        <f t="shared" si="68"/>
        <v>3</v>
      </c>
      <c r="E633">
        <v>1</v>
      </c>
      <c r="F633">
        <f t="shared" si="69"/>
        <v>8</v>
      </c>
      <c r="G633">
        <f t="shared" si="70"/>
        <v>2023</v>
      </c>
      <c r="I633" s="17">
        <f t="shared" si="71"/>
        <v>45139</v>
      </c>
      <c r="O633">
        <f t="shared" si="67"/>
        <v>1</v>
      </c>
    </row>
    <row r="634" spans="1:15" x14ac:dyDescent="0.3">
      <c r="A634" s="17">
        <v>45140</v>
      </c>
      <c r="B634">
        <v>1.04</v>
      </c>
      <c r="D634">
        <f t="shared" si="68"/>
        <v>2</v>
      </c>
      <c r="E634">
        <v>1</v>
      </c>
      <c r="F634">
        <f t="shared" si="69"/>
        <v>8</v>
      </c>
      <c r="G634">
        <f t="shared" si="70"/>
        <v>2023</v>
      </c>
      <c r="I634" s="17">
        <f t="shared" si="71"/>
        <v>45139</v>
      </c>
      <c r="O634">
        <f t="shared" si="67"/>
        <v>1</v>
      </c>
    </row>
    <row r="635" spans="1:15" x14ac:dyDescent="0.3">
      <c r="A635" s="17">
        <v>45139</v>
      </c>
      <c r="B635">
        <v>0.92</v>
      </c>
      <c r="D635">
        <f t="shared" si="68"/>
        <v>1</v>
      </c>
      <c r="E635">
        <v>1</v>
      </c>
      <c r="F635">
        <f t="shared" si="69"/>
        <v>8</v>
      </c>
      <c r="G635">
        <f t="shared" si="70"/>
        <v>2023</v>
      </c>
      <c r="I635" s="17">
        <f t="shared" si="71"/>
        <v>45139</v>
      </c>
      <c r="O635">
        <f t="shared" si="67"/>
        <v>1</v>
      </c>
    </row>
    <row r="636" spans="1:15" x14ac:dyDescent="0.3">
      <c r="A636" s="17">
        <v>45138</v>
      </c>
      <c r="B636">
        <v>0.68</v>
      </c>
      <c r="D636">
        <f t="shared" si="68"/>
        <v>31</v>
      </c>
      <c r="E636">
        <v>1</v>
      </c>
      <c r="F636">
        <f t="shared" si="69"/>
        <v>7</v>
      </c>
      <c r="G636">
        <f t="shared" si="70"/>
        <v>2023</v>
      </c>
      <c r="I636" s="17">
        <f t="shared" si="71"/>
        <v>45108</v>
      </c>
      <c r="O636">
        <f t="shared" si="67"/>
        <v>0</v>
      </c>
    </row>
    <row r="637" spans="1:15" x14ac:dyDescent="0.3">
      <c r="A637" s="17">
        <v>45135</v>
      </c>
      <c r="B637">
        <v>0.39</v>
      </c>
      <c r="D637">
        <f t="shared" si="68"/>
        <v>28</v>
      </c>
      <c r="E637">
        <v>1</v>
      </c>
      <c r="F637">
        <f t="shared" si="69"/>
        <v>7</v>
      </c>
      <c r="G637">
        <f t="shared" si="70"/>
        <v>2023</v>
      </c>
      <c r="I637" s="17">
        <f t="shared" si="71"/>
        <v>45108</v>
      </c>
      <c r="O637">
        <f t="shared" si="67"/>
        <v>0</v>
      </c>
    </row>
    <row r="638" spans="1:15" x14ac:dyDescent="0.3">
      <c r="A638" s="17">
        <v>45134</v>
      </c>
      <c r="B638">
        <v>0.38</v>
      </c>
      <c r="D638">
        <f t="shared" si="68"/>
        <v>27</v>
      </c>
      <c r="E638">
        <v>1</v>
      </c>
      <c r="F638">
        <f t="shared" si="69"/>
        <v>7</v>
      </c>
      <c r="G638">
        <f t="shared" si="70"/>
        <v>2023</v>
      </c>
      <c r="I638" s="17">
        <f t="shared" si="71"/>
        <v>45108</v>
      </c>
      <c r="O638">
        <f t="shared" si="67"/>
        <v>0</v>
      </c>
    </row>
    <row r="639" spans="1:15" x14ac:dyDescent="0.3">
      <c r="A639" s="17">
        <v>45133</v>
      </c>
      <c r="B639">
        <v>0.92</v>
      </c>
      <c r="D639">
        <f t="shared" si="68"/>
        <v>26</v>
      </c>
      <c r="E639">
        <v>1</v>
      </c>
      <c r="F639">
        <f t="shared" si="69"/>
        <v>7</v>
      </c>
      <c r="G639">
        <f t="shared" si="70"/>
        <v>2023</v>
      </c>
      <c r="I639" s="17">
        <f t="shared" si="71"/>
        <v>45108</v>
      </c>
      <c r="O639">
        <f t="shared" si="67"/>
        <v>0</v>
      </c>
    </row>
    <row r="640" spans="1:15" x14ac:dyDescent="0.3">
      <c r="A640" s="17">
        <v>45132</v>
      </c>
      <c r="B640">
        <v>0.82</v>
      </c>
      <c r="D640">
        <f t="shared" si="68"/>
        <v>25</v>
      </c>
      <c r="E640">
        <v>1</v>
      </c>
      <c r="F640">
        <f t="shared" si="69"/>
        <v>7</v>
      </c>
      <c r="G640">
        <f t="shared" si="70"/>
        <v>2023</v>
      </c>
      <c r="I640" s="17">
        <f t="shared" si="71"/>
        <v>45108</v>
      </c>
      <c r="O640">
        <f t="shared" si="67"/>
        <v>0</v>
      </c>
    </row>
    <row r="641" spans="1:15" x14ac:dyDescent="0.3">
      <c r="A641" s="17">
        <v>45131</v>
      </c>
      <c r="B641">
        <v>0.74</v>
      </c>
      <c r="D641">
        <f t="shared" si="68"/>
        <v>24</v>
      </c>
      <c r="E641">
        <v>1</v>
      </c>
      <c r="F641">
        <f t="shared" si="69"/>
        <v>7</v>
      </c>
      <c r="G641">
        <f t="shared" si="70"/>
        <v>2023</v>
      </c>
      <c r="I641" s="17">
        <f t="shared" si="71"/>
        <v>45108</v>
      </c>
      <c r="O641">
        <f t="shared" si="67"/>
        <v>0</v>
      </c>
    </row>
    <row r="642" spans="1:15" x14ac:dyDescent="0.3">
      <c r="A642" s="17">
        <v>45128</v>
      </c>
      <c r="B642">
        <v>0.79</v>
      </c>
      <c r="D642">
        <f t="shared" si="68"/>
        <v>21</v>
      </c>
      <c r="E642">
        <v>1</v>
      </c>
      <c r="F642">
        <f t="shared" si="69"/>
        <v>7</v>
      </c>
      <c r="G642">
        <f t="shared" si="70"/>
        <v>2023</v>
      </c>
      <c r="I642" s="17">
        <f t="shared" si="71"/>
        <v>45108</v>
      </c>
      <c r="O642">
        <f t="shared" si="67"/>
        <v>0</v>
      </c>
    </row>
    <row r="643" spans="1:15" x14ac:dyDescent="0.3">
      <c r="A643" s="17">
        <v>45127</v>
      </c>
      <c r="B643">
        <v>0.53</v>
      </c>
      <c r="D643">
        <f t="shared" si="68"/>
        <v>20</v>
      </c>
      <c r="E643">
        <v>1</v>
      </c>
      <c r="F643">
        <f t="shared" si="69"/>
        <v>7</v>
      </c>
      <c r="G643">
        <f t="shared" si="70"/>
        <v>2023</v>
      </c>
      <c r="I643" s="17">
        <f t="shared" si="71"/>
        <v>45108</v>
      </c>
      <c r="O643">
        <f t="shared" si="67"/>
        <v>0</v>
      </c>
    </row>
    <row r="644" spans="1:15" x14ac:dyDescent="0.3">
      <c r="A644" s="17">
        <v>45126</v>
      </c>
      <c r="B644">
        <v>0.53</v>
      </c>
      <c r="D644">
        <f t="shared" si="68"/>
        <v>19</v>
      </c>
      <c r="E644">
        <v>1</v>
      </c>
      <c r="F644">
        <f t="shared" si="69"/>
        <v>7</v>
      </c>
      <c r="G644">
        <f t="shared" si="70"/>
        <v>2023</v>
      </c>
      <c r="I644" s="17">
        <f t="shared" si="71"/>
        <v>45108</v>
      </c>
      <c r="O644">
        <f t="shared" si="67"/>
        <v>0</v>
      </c>
    </row>
    <row r="645" spans="1:15" x14ac:dyDescent="0.3">
      <c r="A645" s="17">
        <v>45125</v>
      </c>
      <c r="B645">
        <v>0.45</v>
      </c>
      <c r="D645">
        <f t="shared" si="68"/>
        <v>18</v>
      </c>
      <c r="E645">
        <v>1</v>
      </c>
      <c r="F645">
        <f t="shared" si="69"/>
        <v>7</v>
      </c>
      <c r="G645">
        <f t="shared" si="70"/>
        <v>2023</v>
      </c>
      <c r="I645" s="17">
        <f t="shared" si="71"/>
        <v>45108</v>
      </c>
      <c r="O645">
        <f t="shared" si="67"/>
        <v>0</v>
      </c>
    </row>
    <row r="646" spans="1:15" x14ac:dyDescent="0.3">
      <c r="A646" s="17">
        <v>45124</v>
      </c>
      <c r="B646">
        <v>0.44</v>
      </c>
      <c r="D646">
        <f t="shared" si="68"/>
        <v>17</v>
      </c>
      <c r="E646">
        <v>1</v>
      </c>
      <c r="F646">
        <f t="shared" si="69"/>
        <v>7</v>
      </c>
      <c r="G646">
        <f t="shared" si="70"/>
        <v>2023</v>
      </c>
      <c r="I646" s="17">
        <f t="shared" si="71"/>
        <v>45108</v>
      </c>
      <c r="O646">
        <f t="shared" si="67"/>
        <v>0</v>
      </c>
    </row>
    <row r="647" spans="1:15" x14ac:dyDescent="0.3">
      <c r="A647" s="17">
        <v>45121</v>
      </c>
      <c r="B647">
        <v>0.79</v>
      </c>
      <c r="D647">
        <f t="shared" si="68"/>
        <v>14</v>
      </c>
      <c r="E647">
        <v>1</v>
      </c>
      <c r="F647">
        <f t="shared" si="69"/>
        <v>7</v>
      </c>
      <c r="G647">
        <f t="shared" si="70"/>
        <v>2023</v>
      </c>
      <c r="I647" s="17">
        <f t="shared" si="71"/>
        <v>45108</v>
      </c>
      <c r="O647">
        <f t="shared" ref="O647:O710" si="72">IF(AND(D647&gt;=1, D647&lt;=4), 1, 0)</f>
        <v>0</v>
      </c>
    </row>
    <row r="648" spans="1:15" x14ac:dyDescent="0.3">
      <c r="A648" s="17">
        <v>45120</v>
      </c>
      <c r="B648">
        <v>0.68</v>
      </c>
      <c r="D648">
        <f t="shared" si="68"/>
        <v>13</v>
      </c>
      <c r="E648">
        <v>1</v>
      </c>
      <c r="F648">
        <f t="shared" si="69"/>
        <v>7</v>
      </c>
      <c r="G648">
        <f t="shared" si="70"/>
        <v>2023</v>
      </c>
      <c r="I648" s="17">
        <f t="shared" si="71"/>
        <v>45108</v>
      </c>
      <c r="O648">
        <f t="shared" si="72"/>
        <v>0</v>
      </c>
    </row>
    <row r="649" spans="1:15" x14ac:dyDescent="0.3">
      <c r="A649" s="17">
        <v>45119</v>
      </c>
      <c r="B649">
        <v>0.55000000000000004</v>
      </c>
      <c r="D649">
        <f t="shared" si="68"/>
        <v>12</v>
      </c>
      <c r="E649">
        <v>1</v>
      </c>
      <c r="F649">
        <f t="shared" si="69"/>
        <v>7</v>
      </c>
      <c r="G649">
        <f t="shared" si="70"/>
        <v>2023</v>
      </c>
      <c r="I649" s="17">
        <f t="shared" si="71"/>
        <v>45108</v>
      </c>
      <c r="O649">
        <f t="shared" si="72"/>
        <v>0</v>
      </c>
    </row>
    <row r="650" spans="1:15" x14ac:dyDescent="0.3">
      <c r="A650" s="17">
        <v>45118</v>
      </c>
      <c r="B650">
        <v>0.44</v>
      </c>
      <c r="D650">
        <f t="shared" si="68"/>
        <v>11</v>
      </c>
      <c r="E650">
        <v>1</v>
      </c>
      <c r="F650">
        <f t="shared" si="69"/>
        <v>7</v>
      </c>
      <c r="G650">
        <f t="shared" si="70"/>
        <v>2023</v>
      </c>
      <c r="I650" s="17">
        <f t="shared" si="71"/>
        <v>45108</v>
      </c>
      <c r="O650">
        <f t="shared" si="72"/>
        <v>0</v>
      </c>
    </row>
    <row r="651" spans="1:15" x14ac:dyDescent="0.3">
      <c r="A651" s="17">
        <v>45117</v>
      </c>
      <c r="B651">
        <v>0.44</v>
      </c>
      <c r="D651">
        <f t="shared" si="68"/>
        <v>10</v>
      </c>
      <c r="E651">
        <v>1</v>
      </c>
      <c r="F651">
        <f t="shared" si="69"/>
        <v>7</v>
      </c>
      <c r="G651">
        <f t="shared" si="70"/>
        <v>2023</v>
      </c>
      <c r="I651" s="17">
        <f t="shared" si="71"/>
        <v>45108</v>
      </c>
      <c r="O651">
        <f t="shared" si="72"/>
        <v>0</v>
      </c>
    </row>
    <row r="652" spans="1:15" x14ac:dyDescent="0.3">
      <c r="A652" s="17">
        <v>45114</v>
      </c>
      <c r="B652">
        <v>0.71</v>
      </c>
      <c r="D652">
        <f t="shared" si="68"/>
        <v>7</v>
      </c>
      <c r="E652">
        <v>1</v>
      </c>
      <c r="F652">
        <f t="shared" si="69"/>
        <v>7</v>
      </c>
      <c r="G652">
        <f t="shared" si="70"/>
        <v>2023</v>
      </c>
      <c r="I652" s="17">
        <f t="shared" si="71"/>
        <v>45108</v>
      </c>
      <c r="O652">
        <f t="shared" si="72"/>
        <v>0</v>
      </c>
    </row>
    <row r="653" spans="1:15" x14ac:dyDescent="0.3">
      <c r="A653" s="17">
        <v>45113</v>
      </c>
      <c r="B653">
        <v>0.38</v>
      </c>
      <c r="D653">
        <f t="shared" si="68"/>
        <v>6</v>
      </c>
      <c r="E653">
        <v>1</v>
      </c>
      <c r="F653">
        <f t="shared" si="69"/>
        <v>7</v>
      </c>
      <c r="G653">
        <f t="shared" si="70"/>
        <v>2023</v>
      </c>
      <c r="I653" s="17">
        <f t="shared" si="71"/>
        <v>45108</v>
      </c>
      <c r="O653">
        <f t="shared" si="72"/>
        <v>0</v>
      </c>
    </row>
    <row r="654" spans="1:15" x14ac:dyDescent="0.3">
      <c r="A654" s="17">
        <v>45112</v>
      </c>
      <c r="B654">
        <v>0.05</v>
      </c>
      <c r="D654">
        <f t="shared" si="68"/>
        <v>5</v>
      </c>
      <c r="E654">
        <v>1</v>
      </c>
      <c r="F654">
        <f t="shared" si="69"/>
        <v>7</v>
      </c>
      <c r="G654">
        <f t="shared" si="70"/>
        <v>2023</v>
      </c>
      <c r="I654" s="17">
        <f t="shared" si="71"/>
        <v>45108</v>
      </c>
      <c r="O654">
        <f t="shared" si="72"/>
        <v>0</v>
      </c>
    </row>
    <row r="655" spans="1:15" x14ac:dyDescent="0.3">
      <c r="A655" s="17">
        <v>45111</v>
      </c>
      <c r="B655">
        <v>0.02</v>
      </c>
      <c r="D655">
        <f t="shared" ref="D655:D718" si="73">+DAY(A655)</f>
        <v>4</v>
      </c>
      <c r="E655">
        <v>1</v>
      </c>
      <c r="F655">
        <f t="shared" ref="F655:F718" si="74">+MONTH(A655)</f>
        <v>7</v>
      </c>
      <c r="G655">
        <f t="shared" ref="G655:G718" si="75">+YEAR(A655)</f>
        <v>2023</v>
      </c>
      <c r="I655" s="17">
        <f t="shared" ref="I655:I718" si="76">+DATE(G655,F655,E655)</f>
        <v>45108</v>
      </c>
      <c r="O655">
        <f t="shared" si="72"/>
        <v>1</v>
      </c>
    </row>
    <row r="656" spans="1:15" x14ac:dyDescent="0.3">
      <c r="A656" s="17">
        <v>45110</v>
      </c>
      <c r="B656">
        <v>0</v>
      </c>
      <c r="D656">
        <f t="shared" si="73"/>
        <v>3</v>
      </c>
      <c r="E656">
        <v>1</v>
      </c>
      <c r="F656">
        <f t="shared" si="74"/>
        <v>7</v>
      </c>
      <c r="G656">
        <f t="shared" si="75"/>
        <v>2023</v>
      </c>
      <c r="I656" s="17">
        <f t="shared" si="76"/>
        <v>45108</v>
      </c>
      <c r="O656">
        <f t="shared" si="72"/>
        <v>1</v>
      </c>
    </row>
    <row r="657" spans="1:15" x14ac:dyDescent="0.3">
      <c r="A657" s="17">
        <v>45107</v>
      </c>
      <c r="B657">
        <v>1.01</v>
      </c>
      <c r="D657">
        <f t="shared" si="73"/>
        <v>30</v>
      </c>
      <c r="E657">
        <v>1</v>
      </c>
      <c r="F657">
        <f t="shared" si="74"/>
        <v>6</v>
      </c>
      <c r="G657">
        <f t="shared" si="75"/>
        <v>2023</v>
      </c>
      <c r="I657" s="17">
        <f t="shared" si="76"/>
        <v>45078</v>
      </c>
      <c r="O657">
        <f t="shared" si="72"/>
        <v>0</v>
      </c>
    </row>
    <row r="658" spans="1:15" x14ac:dyDescent="0.3">
      <c r="A658" s="17">
        <v>45105</v>
      </c>
      <c r="B658">
        <v>0.12</v>
      </c>
      <c r="D658">
        <f t="shared" si="73"/>
        <v>28</v>
      </c>
      <c r="E658">
        <v>1</v>
      </c>
      <c r="F658">
        <f t="shared" si="74"/>
        <v>6</v>
      </c>
      <c r="G658">
        <f t="shared" si="75"/>
        <v>2023</v>
      </c>
      <c r="I658" s="17">
        <f t="shared" si="76"/>
        <v>45078</v>
      </c>
      <c r="O658">
        <f t="shared" si="72"/>
        <v>0</v>
      </c>
    </row>
    <row r="659" spans="1:15" x14ac:dyDescent="0.3">
      <c r="A659" s="17">
        <v>45104</v>
      </c>
      <c r="B659">
        <v>0.39</v>
      </c>
      <c r="D659">
        <f t="shared" si="73"/>
        <v>27</v>
      </c>
      <c r="E659">
        <v>1</v>
      </c>
      <c r="F659">
        <f t="shared" si="74"/>
        <v>6</v>
      </c>
      <c r="G659">
        <f t="shared" si="75"/>
        <v>2023</v>
      </c>
      <c r="I659" s="17">
        <f t="shared" si="76"/>
        <v>45078</v>
      </c>
      <c r="O659">
        <f t="shared" si="72"/>
        <v>0</v>
      </c>
    </row>
    <row r="660" spans="1:15" x14ac:dyDescent="0.3">
      <c r="A660" s="17">
        <v>45103</v>
      </c>
      <c r="B660">
        <v>0.45</v>
      </c>
      <c r="D660">
        <f t="shared" si="73"/>
        <v>26</v>
      </c>
      <c r="E660">
        <v>1</v>
      </c>
      <c r="F660">
        <f t="shared" si="74"/>
        <v>6</v>
      </c>
      <c r="G660">
        <f t="shared" si="75"/>
        <v>2023</v>
      </c>
      <c r="I660" s="17">
        <f t="shared" si="76"/>
        <v>45078</v>
      </c>
      <c r="O660">
        <f t="shared" si="72"/>
        <v>0</v>
      </c>
    </row>
    <row r="661" spans="1:15" x14ac:dyDescent="0.3">
      <c r="A661" s="17">
        <v>45100</v>
      </c>
      <c r="B661">
        <v>0.6</v>
      </c>
      <c r="D661">
        <f t="shared" si="73"/>
        <v>23</v>
      </c>
      <c r="E661">
        <v>1</v>
      </c>
      <c r="F661">
        <f t="shared" si="74"/>
        <v>6</v>
      </c>
      <c r="G661">
        <f t="shared" si="75"/>
        <v>2023</v>
      </c>
      <c r="I661" s="17">
        <f t="shared" si="76"/>
        <v>45078</v>
      </c>
      <c r="O661">
        <f t="shared" si="72"/>
        <v>0</v>
      </c>
    </row>
    <row r="662" spans="1:15" x14ac:dyDescent="0.3">
      <c r="A662" s="17">
        <v>45099</v>
      </c>
      <c r="B662">
        <v>0.62</v>
      </c>
      <c r="D662">
        <f t="shared" si="73"/>
        <v>22</v>
      </c>
      <c r="E662">
        <v>1</v>
      </c>
      <c r="F662">
        <f t="shared" si="74"/>
        <v>6</v>
      </c>
      <c r="G662">
        <f t="shared" si="75"/>
        <v>2023</v>
      </c>
      <c r="I662" s="17">
        <f t="shared" si="76"/>
        <v>45078</v>
      </c>
      <c r="O662">
        <f t="shared" si="72"/>
        <v>0</v>
      </c>
    </row>
    <row r="663" spans="1:15" x14ac:dyDescent="0.3">
      <c r="A663" s="17">
        <v>45098</v>
      </c>
      <c r="B663">
        <v>0.97</v>
      </c>
      <c r="D663">
        <f t="shared" si="73"/>
        <v>21</v>
      </c>
      <c r="E663">
        <v>1</v>
      </c>
      <c r="F663">
        <f t="shared" si="74"/>
        <v>6</v>
      </c>
      <c r="G663">
        <f t="shared" si="75"/>
        <v>2023</v>
      </c>
      <c r="I663" s="17">
        <f t="shared" si="76"/>
        <v>45078</v>
      </c>
      <c r="O663">
        <f t="shared" si="72"/>
        <v>0</v>
      </c>
    </row>
    <row r="664" spans="1:15" x14ac:dyDescent="0.3">
      <c r="A664" s="17">
        <v>45097</v>
      </c>
      <c r="B664">
        <v>0.86</v>
      </c>
      <c r="D664">
        <f t="shared" si="73"/>
        <v>20</v>
      </c>
      <c r="E664">
        <v>1</v>
      </c>
      <c r="F664">
        <f t="shared" si="74"/>
        <v>6</v>
      </c>
      <c r="G664">
        <f t="shared" si="75"/>
        <v>2023</v>
      </c>
      <c r="I664" s="17">
        <f t="shared" si="76"/>
        <v>45078</v>
      </c>
      <c r="O664">
        <f t="shared" si="72"/>
        <v>0</v>
      </c>
    </row>
    <row r="665" spans="1:15" x14ac:dyDescent="0.3">
      <c r="A665" s="17">
        <v>45096</v>
      </c>
      <c r="B665">
        <v>0.37</v>
      </c>
      <c r="D665">
        <f t="shared" si="73"/>
        <v>19</v>
      </c>
      <c r="E665">
        <v>1</v>
      </c>
      <c r="F665">
        <f t="shared" si="74"/>
        <v>6</v>
      </c>
      <c r="G665">
        <f t="shared" si="75"/>
        <v>2023</v>
      </c>
      <c r="I665" s="17">
        <f t="shared" si="76"/>
        <v>45078</v>
      </c>
      <c r="O665">
        <f t="shared" si="72"/>
        <v>0</v>
      </c>
    </row>
    <row r="666" spans="1:15" x14ac:dyDescent="0.3">
      <c r="A666" s="17">
        <v>45093</v>
      </c>
      <c r="B666">
        <v>0.21</v>
      </c>
      <c r="D666">
        <f t="shared" si="73"/>
        <v>16</v>
      </c>
      <c r="E666">
        <v>1</v>
      </c>
      <c r="F666">
        <f t="shared" si="74"/>
        <v>6</v>
      </c>
      <c r="G666">
        <f t="shared" si="75"/>
        <v>2023</v>
      </c>
      <c r="I666" s="17">
        <f t="shared" si="76"/>
        <v>45078</v>
      </c>
      <c r="O666">
        <f t="shared" si="72"/>
        <v>0</v>
      </c>
    </row>
    <row r="667" spans="1:15" x14ac:dyDescent="0.3">
      <c r="A667" s="17">
        <v>45092</v>
      </c>
      <c r="B667">
        <v>0.17</v>
      </c>
      <c r="D667">
        <f t="shared" si="73"/>
        <v>15</v>
      </c>
      <c r="E667">
        <v>1</v>
      </c>
      <c r="F667">
        <f t="shared" si="74"/>
        <v>6</v>
      </c>
      <c r="G667">
        <f t="shared" si="75"/>
        <v>2023</v>
      </c>
      <c r="I667" s="17">
        <f t="shared" si="76"/>
        <v>45078</v>
      </c>
      <c r="O667">
        <f t="shared" si="72"/>
        <v>0</v>
      </c>
    </row>
    <row r="668" spans="1:15" x14ac:dyDescent="0.3">
      <c r="A668" s="17">
        <v>45091</v>
      </c>
      <c r="B668">
        <v>7.0000000000000007E-2</v>
      </c>
      <c r="D668">
        <f t="shared" si="73"/>
        <v>14</v>
      </c>
      <c r="E668">
        <v>1</v>
      </c>
      <c r="F668">
        <f t="shared" si="74"/>
        <v>6</v>
      </c>
      <c r="G668">
        <f t="shared" si="75"/>
        <v>2023</v>
      </c>
      <c r="I668" s="17">
        <f t="shared" si="76"/>
        <v>45078</v>
      </c>
      <c r="O668">
        <f t="shared" si="72"/>
        <v>0</v>
      </c>
    </row>
    <row r="669" spans="1:15" x14ac:dyDescent="0.3">
      <c r="A669" s="17">
        <v>45090</v>
      </c>
      <c r="B669">
        <v>0.09</v>
      </c>
      <c r="D669">
        <f t="shared" si="73"/>
        <v>13</v>
      </c>
      <c r="E669">
        <v>1</v>
      </c>
      <c r="F669">
        <f t="shared" si="74"/>
        <v>6</v>
      </c>
      <c r="G669">
        <f t="shared" si="75"/>
        <v>2023</v>
      </c>
      <c r="I669" s="17">
        <f t="shared" si="76"/>
        <v>45078</v>
      </c>
      <c r="O669">
        <f t="shared" si="72"/>
        <v>0</v>
      </c>
    </row>
    <row r="670" spans="1:15" x14ac:dyDescent="0.3">
      <c r="A670" s="17">
        <v>45089</v>
      </c>
      <c r="B670">
        <v>0.09</v>
      </c>
      <c r="D670">
        <f t="shared" si="73"/>
        <v>12</v>
      </c>
      <c r="E670">
        <v>1</v>
      </c>
      <c r="F670">
        <f t="shared" si="74"/>
        <v>6</v>
      </c>
      <c r="G670">
        <f t="shared" si="75"/>
        <v>2023</v>
      </c>
      <c r="I670" s="17">
        <f t="shared" si="76"/>
        <v>45078</v>
      </c>
      <c r="O670">
        <f t="shared" si="72"/>
        <v>0</v>
      </c>
    </row>
    <row r="671" spans="1:15" x14ac:dyDescent="0.3">
      <c r="A671" s="17">
        <v>45086</v>
      </c>
      <c r="B671">
        <v>0.27</v>
      </c>
      <c r="D671">
        <f t="shared" si="73"/>
        <v>9</v>
      </c>
      <c r="E671">
        <v>1</v>
      </c>
      <c r="F671">
        <f t="shared" si="74"/>
        <v>6</v>
      </c>
      <c r="G671">
        <f t="shared" si="75"/>
        <v>2023</v>
      </c>
      <c r="I671" s="17">
        <f t="shared" si="76"/>
        <v>45078</v>
      </c>
      <c r="O671">
        <f t="shared" si="72"/>
        <v>0</v>
      </c>
    </row>
    <row r="672" spans="1:15" x14ac:dyDescent="0.3">
      <c r="A672" s="17">
        <v>45085</v>
      </c>
      <c r="B672">
        <v>0.25</v>
      </c>
      <c r="D672">
        <f t="shared" si="73"/>
        <v>8</v>
      </c>
      <c r="E672">
        <v>1</v>
      </c>
      <c r="F672">
        <f t="shared" si="74"/>
        <v>6</v>
      </c>
      <c r="G672">
        <f t="shared" si="75"/>
        <v>2023</v>
      </c>
      <c r="I672" s="17">
        <f t="shared" si="76"/>
        <v>45078</v>
      </c>
      <c r="O672">
        <f t="shared" si="72"/>
        <v>0</v>
      </c>
    </row>
    <row r="673" spans="1:15" x14ac:dyDescent="0.3">
      <c r="A673" s="17">
        <v>45084</v>
      </c>
      <c r="B673">
        <v>0.34</v>
      </c>
      <c r="D673">
        <f t="shared" si="73"/>
        <v>7</v>
      </c>
      <c r="E673">
        <v>1</v>
      </c>
      <c r="F673">
        <f t="shared" si="74"/>
        <v>6</v>
      </c>
      <c r="G673">
        <f t="shared" si="75"/>
        <v>2023</v>
      </c>
      <c r="I673" s="17">
        <f t="shared" si="76"/>
        <v>45078</v>
      </c>
      <c r="O673">
        <f t="shared" si="72"/>
        <v>0</v>
      </c>
    </row>
    <row r="674" spans="1:15" x14ac:dyDescent="0.3">
      <c r="A674" s="17">
        <v>45083</v>
      </c>
      <c r="B674">
        <v>0.15</v>
      </c>
      <c r="D674">
        <f t="shared" si="73"/>
        <v>6</v>
      </c>
      <c r="E674">
        <v>1</v>
      </c>
      <c r="F674">
        <f t="shared" si="74"/>
        <v>6</v>
      </c>
      <c r="G674">
        <f t="shared" si="75"/>
        <v>2023</v>
      </c>
      <c r="I674" s="17">
        <f t="shared" si="76"/>
        <v>45078</v>
      </c>
      <c r="O674">
        <f t="shared" si="72"/>
        <v>0</v>
      </c>
    </row>
    <row r="675" spans="1:15" x14ac:dyDescent="0.3">
      <c r="A675" s="17">
        <v>45082</v>
      </c>
      <c r="B675">
        <v>0.22</v>
      </c>
      <c r="D675">
        <f t="shared" si="73"/>
        <v>5</v>
      </c>
      <c r="E675">
        <v>1</v>
      </c>
      <c r="F675">
        <f t="shared" si="74"/>
        <v>6</v>
      </c>
      <c r="G675">
        <f t="shared" si="75"/>
        <v>2023</v>
      </c>
      <c r="I675" s="17">
        <f t="shared" si="76"/>
        <v>45078</v>
      </c>
      <c r="O675">
        <f t="shared" si="72"/>
        <v>0</v>
      </c>
    </row>
    <row r="676" spans="1:15" x14ac:dyDescent="0.3">
      <c r="A676" s="17">
        <v>45078</v>
      </c>
      <c r="B676">
        <v>-0.02</v>
      </c>
      <c r="D676">
        <f t="shared" si="73"/>
        <v>1</v>
      </c>
      <c r="E676">
        <v>1</v>
      </c>
      <c r="F676">
        <f t="shared" si="74"/>
        <v>6</v>
      </c>
      <c r="G676">
        <f t="shared" si="75"/>
        <v>2023</v>
      </c>
      <c r="I676" s="17">
        <f t="shared" si="76"/>
        <v>45078</v>
      </c>
      <c r="O676">
        <f t="shared" si="72"/>
        <v>1</v>
      </c>
    </row>
    <row r="677" spans="1:15" x14ac:dyDescent="0.3">
      <c r="A677" s="17">
        <v>45077</v>
      </c>
      <c r="B677">
        <v>-0.14000000000000001</v>
      </c>
      <c r="D677">
        <f t="shared" si="73"/>
        <v>31</v>
      </c>
      <c r="E677">
        <v>1</v>
      </c>
      <c r="F677">
        <f t="shared" si="74"/>
        <v>5</v>
      </c>
      <c r="G677">
        <f t="shared" si="75"/>
        <v>2023</v>
      </c>
      <c r="I677" s="17">
        <f t="shared" si="76"/>
        <v>45047</v>
      </c>
      <c r="O677">
        <f t="shared" si="72"/>
        <v>0</v>
      </c>
    </row>
    <row r="678" spans="1:15" x14ac:dyDescent="0.3">
      <c r="A678" s="17">
        <v>45076</v>
      </c>
      <c r="B678">
        <v>-0.02</v>
      </c>
      <c r="D678">
        <f t="shared" si="73"/>
        <v>30</v>
      </c>
      <c r="E678">
        <v>1</v>
      </c>
      <c r="F678">
        <f t="shared" si="74"/>
        <v>5</v>
      </c>
      <c r="G678">
        <f t="shared" si="75"/>
        <v>2023</v>
      </c>
      <c r="I678" s="17">
        <f t="shared" si="76"/>
        <v>45047</v>
      </c>
      <c r="O678">
        <f t="shared" si="72"/>
        <v>0</v>
      </c>
    </row>
    <row r="679" spans="1:15" x14ac:dyDescent="0.3">
      <c r="A679" s="17">
        <v>45075</v>
      </c>
      <c r="B679">
        <v>0</v>
      </c>
      <c r="D679">
        <f t="shared" si="73"/>
        <v>29</v>
      </c>
      <c r="E679">
        <v>1</v>
      </c>
      <c r="F679">
        <f t="shared" si="74"/>
        <v>5</v>
      </c>
      <c r="G679">
        <f t="shared" si="75"/>
        <v>2023</v>
      </c>
      <c r="I679" s="17">
        <f t="shared" si="76"/>
        <v>45047</v>
      </c>
      <c r="O679">
        <f t="shared" si="72"/>
        <v>0</v>
      </c>
    </row>
    <row r="680" spans="1:15" x14ac:dyDescent="0.3">
      <c r="A680" s="17">
        <v>45072</v>
      </c>
      <c r="B680">
        <v>0.02</v>
      </c>
      <c r="D680">
        <f t="shared" si="73"/>
        <v>26</v>
      </c>
      <c r="E680">
        <v>1</v>
      </c>
      <c r="F680">
        <f t="shared" si="74"/>
        <v>5</v>
      </c>
      <c r="G680">
        <f t="shared" si="75"/>
        <v>2023</v>
      </c>
      <c r="I680" s="17">
        <f t="shared" si="76"/>
        <v>45047</v>
      </c>
      <c r="O680">
        <f t="shared" si="72"/>
        <v>0</v>
      </c>
    </row>
    <row r="681" spans="1:15" x14ac:dyDescent="0.3">
      <c r="A681" s="17">
        <v>45071</v>
      </c>
      <c r="B681">
        <v>0.15</v>
      </c>
      <c r="D681">
        <f t="shared" si="73"/>
        <v>25</v>
      </c>
      <c r="E681">
        <v>1</v>
      </c>
      <c r="F681">
        <f t="shared" si="74"/>
        <v>5</v>
      </c>
      <c r="G681">
        <f t="shared" si="75"/>
        <v>2023</v>
      </c>
      <c r="I681" s="17">
        <f t="shared" si="76"/>
        <v>45047</v>
      </c>
      <c r="O681">
        <f t="shared" si="72"/>
        <v>0</v>
      </c>
    </row>
    <row r="682" spans="1:15" x14ac:dyDescent="0.3">
      <c r="A682" s="17">
        <v>45070</v>
      </c>
      <c r="B682">
        <v>0.15</v>
      </c>
      <c r="D682">
        <f t="shared" si="73"/>
        <v>24</v>
      </c>
      <c r="E682">
        <v>1</v>
      </c>
      <c r="F682">
        <f t="shared" si="74"/>
        <v>5</v>
      </c>
      <c r="G682">
        <f t="shared" si="75"/>
        <v>2023</v>
      </c>
      <c r="I682" s="17">
        <f t="shared" si="76"/>
        <v>45047</v>
      </c>
      <c r="O682">
        <f t="shared" si="72"/>
        <v>0</v>
      </c>
    </row>
    <row r="683" spans="1:15" x14ac:dyDescent="0.3">
      <c r="A683" s="17">
        <v>45069</v>
      </c>
      <c r="B683">
        <v>0.13</v>
      </c>
      <c r="D683">
        <f t="shared" si="73"/>
        <v>23</v>
      </c>
      <c r="E683">
        <v>1</v>
      </c>
      <c r="F683">
        <f t="shared" si="74"/>
        <v>5</v>
      </c>
      <c r="G683">
        <f t="shared" si="75"/>
        <v>2023</v>
      </c>
      <c r="I683" s="17">
        <f t="shared" si="76"/>
        <v>45047</v>
      </c>
      <c r="O683">
        <f t="shared" si="72"/>
        <v>0</v>
      </c>
    </row>
    <row r="684" spans="1:15" x14ac:dyDescent="0.3">
      <c r="A684" s="17">
        <v>45068</v>
      </c>
      <c r="B684">
        <v>-0.1</v>
      </c>
      <c r="D684">
        <f t="shared" si="73"/>
        <v>22</v>
      </c>
      <c r="E684">
        <v>1</v>
      </c>
      <c r="F684">
        <f t="shared" si="74"/>
        <v>5</v>
      </c>
      <c r="G684">
        <f t="shared" si="75"/>
        <v>2023</v>
      </c>
      <c r="I684" s="17">
        <f t="shared" si="76"/>
        <v>45047</v>
      </c>
      <c r="O684">
        <f t="shared" si="72"/>
        <v>0</v>
      </c>
    </row>
    <row r="685" spans="1:15" x14ac:dyDescent="0.3">
      <c r="A685" s="17">
        <v>45065</v>
      </c>
      <c r="B685">
        <v>0.01</v>
      </c>
      <c r="D685">
        <f t="shared" si="73"/>
        <v>19</v>
      </c>
      <c r="E685">
        <v>1</v>
      </c>
      <c r="F685">
        <f t="shared" si="74"/>
        <v>5</v>
      </c>
      <c r="G685">
        <f t="shared" si="75"/>
        <v>2023</v>
      </c>
      <c r="I685" s="17">
        <f t="shared" si="76"/>
        <v>45047</v>
      </c>
      <c r="O685">
        <f t="shared" si="72"/>
        <v>0</v>
      </c>
    </row>
    <row r="686" spans="1:15" x14ac:dyDescent="0.3">
      <c r="A686" s="17">
        <v>45064</v>
      </c>
      <c r="B686">
        <v>-0.24</v>
      </c>
      <c r="D686">
        <f t="shared" si="73"/>
        <v>18</v>
      </c>
      <c r="E686">
        <v>1</v>
      </c>
      <c r="F686">
        <f t="shared" si="74"/>
        <v>5</v>
      </c>
      <c r="G686">
        <f t="shared" si="75"/>
        <v>2023</v>
      </c>
      <c r="I686" s="17">
        <f t="shared" si="76"/>
        <v>45047</v>
      </c>
      <c r="O686">
        <f t="shared" si="72"/>
        <v>0</v>
      </c>
    </row>
    <row r="687" spans="1:15" x14ac:dyDescent="0.3">
      <c r="A687" s="17">
        <v>45063</v>
      </c>
      <c r="B687">
        <v>-0.05</v>
      </c>
      <c r="D687">
        <f t="shared" si="73"/>
        <v>17</v>
      </c>
      <c r="E687">
        <v>1</v>
      </c>
      <c r="F687">
        <f t="shared" si="74"/>
        <v>5</v>
      </c>
      <c r="G687">
        <f t="shared" si="75"/>
        <v>2023</v>
      </c>
      <c r="I687" s="17">
        <f t="shared" si="76"/>
        <v>45047</v>
      </c>
      <c r="O687">
        <f t="shared" si="72"/>
        <v>0</v>
      </c>
    </row>
    <row r="688" spans="1:15" x14ac:dyDescent="0.3">
      <c r="A688" s="17">
        <v>45062</v>
      </c>
      <c r="B688">
        <v>0.23</v>
      </c>
      <c r="D688">
        <f t="shared" si="73"/>
        <v>16</v>
      </c>
      <c r="E688">
        <v>1</v>
      </c>
      <c r="F688">
        <f t="shared" si="74"/>
        <v>5</v>
      </c>
      <c r="G688">
        <f t="shared" si="75"/>
        <v>2023</v>
      </c>
      <c r="I688" s="17">
        <f t="shared" si="76"/>
        <v>45047</v>
      </c>
      <c r="O688">
        <f t="shared" si="72"/>
        <v>0</v>
      </c>
    </row>
    <row r="689" spans="1:15" x14ac:dyDescent="0.3">
      <c r="A689" s="17">
        <v>45061</v>
      </c>
      <c r="B689">
        <v>-0.02</v>
      </c>
      <c r="D689">
        <f t="shared" si="73"/>
        <v>15</v>
      </c>
      <c r="E689">
        <v>1</v>
      </c>
      <c r="F689">
        <f t="shared" si="74"/>
        <v>5</v>
      </c>
      <c r="G689">
        <f t="shared" si="75"/>
        <v>2023</v>
      </c>
      <c r="I689" s="17">
        <f t="shared" si="76"/>
        <v>45047</v>
      </c>
      <c r="O689">
        <f t="shared" si="72"/>
        <v>0</v>
      </c>
    </row>
    <row r="690" spans="1:15" x14ac:dyDescent="0.3">
      <c r="A690" s="17">
        <v>45058</v>
      </c>
      <c r="B690">
        <v>0.04</v>
      </c>
      <c r="D690">
        <f t="shared" si="73"/>
        <v>12</v>
      </c>
      <c r="E690">
        <v>1</v>
      </c>
      <c r="F690">
        <f t="shared" si="74"/>
        <v>5</v>
      </c>
      <c r="G690">
        <f t="shared" si="75"/>
        <v>2023</v>
      </c>
      <c r="I690" s="17">
        <f t="shared" si="76"/>
        <v>45047</v>
      </c>
      <c r="O690">
        <f t="shared" si="72"/>
        <v>0</v>
      </c>
    </row>
    <row r="691" spans="1:15" x14ac:dyDescent="0.3">
      <c r="A691" s="17">
        <v>45057</v>
      </c>
      <c r="B691">
        <v>0.12</v>
      </c>
      <c r="D691">
        <f t="shared" si="73"/>
        <v>11</v>
      </c>
      <c r="E691">
        <v>1</v>
      </c>
      <c r="F691">
        <f t="shared" si="74"/>
        <v>5</v>
      </c>
      <c r="G691">
        <f t="shared" si="75"/>
        <v>2023</v>
      </c>
      <c r="I691" s="17">
        <f t="shared" si="76"/>
        <v>45047</v>
      </c>
      <c r="O691">
        <f t="shared" si="72"/>
        <v>0</v>
      </c>
    </row>
    <row r="692" spans="1:15" x14ac:dyDescent="0.3">
      <c r="A692" s="17">
        <v>45056</v>
      </c>
      <c r="B692">
        <v>0.27</v>
      </c>
      <c r="D692">
        <f t="shared" si="73"/>
        <v>10</v>
      </c>
      <c r="E692">
        <v>1</v>
      </c>
      <c r="F692">
        <f t="shared" si="74"/>
        <v>5</v>
      </c>
      <c r="G692">
        <f t="shared" si="75"/>
        <v>2023</v>
      </c>
      <c r="I692" s="17">
        <f t="shared" si="76"/>
        <v>45047</v>
      </c>
      <c r="O692">
        <f t="shared" si="72"/>
        <v>0</v>
      </c>
    </row>
    <row r="693" spans="1:15" x14ac:dyDescent="0.3">
      <c r="A693" s="17">
        <v>45055</v>
      </c>
      <c r="B693">
        <v>0.64</v>
      </c>
      <c r="D693">
        <f t="shared" si="73"/>
        <v>9</v>
      </c>
      <c r="E693">
        <v>1</v>
      </c>
      <c r="F693">
        <f t="shared" si="74"/>
        <v>5</v>
      </c>
      <c r="G693">
        <f t="shared" si="75"/>
        <v>2023</v>
      </c>
      <c r="I693" s="17">
        <f t="shared" si="76"/>
        <v>45047</v>
      </c>
      <c r="O693">
        <f t="shared" si="72"/>
        <v>0</v>
      </c>
    </row>
    <row r="694" spans="1:15" x14ac:dyDescent="0.3">
      <c r="A694" s="17">
        <v>45054</v>
      </c>
      <c r="B694">
        <v>0.71</v>
      </c>
      <c r="D694">
        <f t="shared" si="73"/>
        <v>8</v>
      </c>
      <c r="E694">
        <v>1</v>
      </c>
      <c r="F694">
        <f t="shared" si="74"/>
        <v>5</v>
      </c>
      <c r="G694">
        <f t="shared" si="75"/>
        <v>2023</v>
      </c>
      <c r="I694" s="17">
        <f t="shared" si="76"/>
        <v>45047</v>
      </c>
      <c r="O694">
        <f t="shared" si="72"/>
        <v>0</v>
      </c>
    </row>
    <row r="695" spans="1:15" x14ac:dyDescent="0.3">
      <c r="A695" s="17">
        <v>45051</v>
      </c>
      <c r="B695">
        <v>0.65</v>
      </c>
      <c r="D695">
        <f t="shared" si="73"/>
        <v>5</v>
      </c>
      <c r="E695">
        <v>1</v>
      </c>
      <c r="F695">
        <f t="shared" si="74"/>
        <v>5</v>
      </c>
      <c r="G695">
        <f t="shared" si="75"/>
        <v>2023</v>
      </c>
      <c r="I695" s="17">
        <f t="shared" si="76"/>
        <v>45047</v>
      </c>
      <c r="O695">
        <f t="shared" si="72"/>
        <v>0</v>
      </c>
    </row>
    <row r="696" spans="1:15" x14ac:dyDescent="0.3">
      <c r="A696" s="17">
        <v>45050</v>
      </c>
      <c r="B696">
        <v>0.61</v>
      </c>
      <c r="D696">
        <f t="shared" si="73"/>
        <v>4</v>
      </c>
      <c r="E696">
        <v>1</v>
      </c>
      <c r="F696">
        <f t="shared" si="74"/>
        <v>5</v>
      </c>
      <c r="G696">
        <f t="shared" si="75"/>
        <v>2023</v>
      </c>
      <c r="I696" s="17">
        <f t="shared" si="76"/>
        <v>45047</v>
      </c>
      <c r="O696">
        <f t="shared" si="72"/>
        <v>1</v>
      </c>
    </row>
    <row r="697" spans="1:15" x14ac:dyDescent="0.3">
      <c r="A697" s="17">
        <v>45049</v>
      </c>
      <c r="B697">
        <v>0.59</v>
      </c>
      <c r="D697">
        <f t="shared" si="73"/>
        <v>3</v>
      </c>
      <c r="E697">
        <v>1</v>
      </c>
      <c r="F697">
        <f t="shared" si="74"/>
        <v>5</v>
      </c>
      <c r="G697">
        <f t="shared" si="75"/>
        <v>2023</v>
      </c>
      <c r="I697" s="17">
        <f t="shared" si="76"/>
        <v>45047</v>
      </c>
      <c r="O697">
        <f t="shared" si="72"/>
        <v>1</v>
      </c>
    </row>
    <row r="698" spans="1:15" x14ac:dyDescent="0.3">
      <c r="A698" s="17">
        <v>45048</v>
      </c>
      <c r="B698">
        <v>0.69</v>
      </c>
      <c r="D698">
        <f t="shared" si="73"/>
        <v>2</v>
      </c>
      <c r="E698">
        <v>1</v>
      </c>
      <c r="F698">
        <f t="shared" si="74"/>
        <v>5</v>
      </c>
      <c r="G698">
        <f t="shared" si="75"/>
        <v>2023</v>
      </c>
      <c r="I698" s="17">
        <f t="shared" si="76"/>
        <v>45047</v>
      </c>
      <c r="O698">
        <f t="shared" si="72"/>
        <v>1</v>
      </c>
    </row>
    <row r="699" spans="1:15" x14ac:dyDescent="0.3">
      <c r="A699" s="17">
        <v>45044</v>
      </c>
      <c r="B699">
        <v>0.99</v>
      </c>
      <c r="D699">
        <f t="shared" si="73"/>
        <v>28</v>
      </c>
      <c r="E699">
        <v>1</v>
      </c>
      <c r="F699">
        <f t="shared" si="74"/>
        <v>4</v>
      </c>
      <c r="G699">
        <f t="shared" si="75"/>
        <v>2023</v>
      </c>
      <c r="I699" s="17">
        <f t="shared" si="76"/>
        <v>45017</v>
      </c>
      <c r="O699">
        <f t="shared" si="72"/>
        <v>0</v>
      </c>
    </row>
    <row r="700" spans="1:15" x14ac:dyDescent="0.3">
      <c r="A700" s="17">
        <v>45043</v>
      </c>
      <c r="B700">
        <v>0.25</v>
      </c>
      <c r="D700">
        <f t="shared" si="73"/>
        <v>27</v>
      </c>
      <c r="E700">
        <v>1</v>
      </c>
      <c r="F700">
        <f t="shared" si="74"/>
        <v>4</v>
      </c>
      <c r="G700">
        <f t="shared" si="75"/>
        <v>2023</v>
      </c>
      <c r="I700" s="17">
        <f t="shared" si="76"/>
        <v>45017</v>
      </c>
      <c r="O700">
        <f t="shared" si="72"/>
        <v>0</v>
      </c>
    </row>
    <row r="701" spans="1:15" x14ac:dyDescent="0.3">
      <c r="A701" s="17">
        <v>45042</v>
      </c>
      <c r="B701">
        <v>0.18</v>
      </c>
      <c r="D701">
        <f t="shared" si="73"/>
        <v>26</v>
      </c>
      <c r="E701">
        <v>1</v>
      </c>
      <c r="F701">
        <f t="shared" si="74"/>
        <v>4</v>
      </c>
      <c r="G701">
        <f t="shared" si="75"/>
        <v>2023</v>
      </c>
      <c r="I701" s="17">
        <f t="shared" si="76"/>
        <v>45017</v>
      </c>
      <c r="O701">
        <f t="shared" si="72"/>
        <v>0</v>
      </c>
    </row>
    <row r="702" spans="1:15" x14ac:dyDescent="0.3">
      <c r="A702" s="17">
        <v>45041</v>
      </c>
      <c r="B702">
        <v>0.45</v>
      </c>
      <c r="D702">
        <f t="shared" si="73"/>
        <v>25</v>
      </c>
      <c r="E702">
        <v>1</v>
      </c>
      <c r="F702">
        <f t="shared" si="74"/>
        <v>4</v>
      </c>
      <c r="G702">
        <f t="shared" si="75"/>
        <v>2023</v>
      </c>
      <c r="I702" s="17">
        <f t="shared" si="76"/>
        <v>45017</v>
      </c>
      <c r="O702">
        <f t="shared" si="72"/>
        <v>0</v>
      </c>
    </row>
    <row r="703" spans="1:15" x14ac:dyDescent="0.3">
      <c r="A703" s="17">
        <v>45040</v>
      </c>
      <c r="B703">
        <v>0.49</v>
      </c>
      <c r="D703">
        <f t="shared" si="73"/>
        <v>24</v>
      </c>
      <c r="E703">
        <v>1</v>
      </c>
      <c r="F703">
        <f t="shared" si="74"/>
        <v>4</v>
      </c>
      <c r="G703">
        <f t="shared" si="75"/>
        <v>2023</v>
      </c>
      <c r="I703" s="17">
        <f t="shared" si="76"/>
        <v>45017</v>
      </c>
      <c r="O703">
        <f t="shared" si="72"/>
        <v>0</v>
      </c>
    </row>
    <row r="704" spans="1:15" x14ac:dyDescent="0.3">
      <c r="A704" s="17">
        <v>45037</v>
      </c>
      <c r="B704">
        <v>0.5</v>
      </c>
      <c r="D704">
        <f t="shared" si="73"/>
        <v>21</v>
      </c>
      <c r="E704">
        <v>1</v>
      </c>
      <c r="F704">
        <f t="shared" si="74"/>
        <v>4</v>
      </c>
      <c r="G704">
        <f t="shared" si="75"/>
        <v>2023</v>
      </c>
      <c r="I704" s="17">
        <f t="shared" si="76"/>
        <v>45017</v>
      </c>
      <c r="O704">
        <f t="shared" si="72"/>
        <v>0</v>
      </c>
    </row>
    <row r="705" spans="1:15" x14ac:dyDescent="0.3">
      <c r="A705" s="17">
        <v>45036</v>
      </c>
      <c r="B705">
        <v>0.71</v>
      </c>
      <c r="D705">
        <f t="shared" si="73"/>
        <v>20</v>
      </c>
      <c r="E705">
        <v>1</v>
      </c>
      <c r="F705">
        <f t="shared" si="74"/>
        <v>4</v>
      </c>
      <c r="G705">
        <f t="shared" si="75"/>
        <v>2023</v>
      </c>
      <c r="I705" s="17">
        <f t="shared" si="76"/>
        <v>45017</v>
      </c>
      <c r="O705">
        <f t="shared" si="72"/>
        <v>0</v>
      </c>
    </row>
    <row r="706" spans="1:15" x14ac:dyDescent="0.3">
      <c r="A706" s="17">
        <v>45035</v>
      </c>
      <c r="B706">
        <v>0.7</v>
      </c>
      <c r="D706">
        <f t="shared" si="73"/>
        <v>19</v>
      </c>
      <c r="E706">
        <v>1</v>
      </c>
      <c r="F706">
        <f t="shared" si="74"/>
        <v>4</v>
      </c>
      <c r="G706">
        <f t="shared" si="75"/>
        <v>2023</v>
      </c>
      <c r="I706" s="17">
        <f t="shared" si="76"/>
        <v>45017</v>
      </c>
      <c r="O706">
        <f t="shared" si="72"/>
        <v>0</v>
      </c>
    </row>
    <row r="707" spans="1:15" x14ac:dyDescent="0.3">
      <c r="A707" s="17">
        <v>45034</v>
      </c>
      <c r="B707">
        <v>0.87</v>
      </c>
      <c r="D707">
        <f t="shared" si="73"/>
        <v>18</v>
      </c>
      <c r="E707">
        <v>1</v>
      </c>
      <c r="F707">
        <f t="shared" si="74"/>
        <v>4</v>
      </c>
      <c r="G707">
        <f t="shared" si="75"/>
        <v>2023</v>
      </c>
      <c r="I707" s="17">
        <f t="shared" si="76"/>
        <v>45017</v>
      </c>
      <c r="O707">
        <f t="shared" si="72"/>
        <v>0</v>
      </c>
    </row>
    <row r="708" spans="1:15" x14ac:dyDescent="0.3">
      <c r="A708" s="17">
        <v>45033</v>
      </c>
      <c r="B708">
        <v>0.93</v>
      </c>
      <c r="D708">
        <f t="shared" si="73"/>
        <v>17</v>
      </c>
      <c r="E708">
        <v>1</v>
      </c>
      <c r="F708">
        <f t="shared" si="74"/>
        <v>4</v>
      </c>
      <c r="G708">
        <f t="shared" si="75"/>
        <v>2023</v>
      </c>
      <c r="I708" s="17">
        <f t="shared" si="76"/>
        <v>45017</v>
      </c>
      <c r="O708">
        <f t="shared" si="72"/>
        <v>0</v>
      </c>
    </row>
    <row r="709" spans="1:15" x14ac:dyDescent="0.3">
      <c r="A709" s="17">
        <v>45030</v>
      </c>
      <c r="B709">
        <v>1</v>
      </c>
      <c r="D709">
        <f t="shared" si="73"/>
        <v>14</v>
      </c>
      <c r="E709">
        <v>1</v>
      </c>
      <c r="F709">
        <f t="shared" si="74"/>
        <v>4</v>
      </c>
      <c r="G709">
        <f t="shared" si="75"/>
        <v>2023</v>
      </c>
      <c r="I709" s="17">
        <f t="shared" si="76"/>
        <v>45017</v>
      </c>
      <c r="O709">
        <f t="shared" si="72"/>
        <v>0</v>
      </c>
    </row>
    <row r="710" spans="1:15" x14ac:dyDescent="0.3">
      <c r="A710" s="17">
        <v>45029</v>
      </c>
      <c r="B710">
        <v>1.1000000000000001</v>
      </c>
      <c r="D710">
        <f t="shared" si="73"/>
        <v>13</v>
      </c>
      <c r="E710">
        <v>1</v>
      </c>
      <c r="F710">
        <f t="shared" si="74"/>
        <v>4</v>
      </c>
      <c r="G710">
        <f t="shared" si="75"/>
        <v>2023</v>
      </c>
      <c r="I710" s="17">
        <f t="shared" si="76"/>
        <v>45017</v>
      </c>
      <c r="O710">
        <f t="shared" si="72"/>
        <v>0</v>
      </c>
    </row>
    <row r="711" spans="1:15" x14ac:dyDescent="0.3">
      <c r="A711" s="17">
        <v>45028</v>
      </c>
      <c r="B711">
        <v>0.97</v>
      </c>
      <c r="D711">
        <f t="shared" si="73"/>
        <v>12</v>
      </c>
      <c r="E711">
        <v>1</v>
      </c>
      <c r="F711">
        <f t="shared" si="74"/>
        <v>4</v>
      </c>
      <c r="G711">
        <f t="shared" si="75"/>
        <v>2023</v>
      </c>
      <c r="I711" s="17">
        <f t="shared" si="76"/>
        <v>45017</v>
      </c>
      <c r="O711">
        <f t="shared" ref="O711:O774" si="77">IF(AND(D711&gt;=1, D711&lt;=4), 1, 0)</f>
        <v>0</v>
      </c>
    </row>
    <row r="712" spans="1:15" x14ac:dyDescent="0.3">
      <c r="A712" s="17">
        <v>45027</v>
      </c>
      <c r="B712">
        <v>0.85</v>
      </c>
      <c r="D712">
        <f t="shared" si="73"/>
        <v>11</v>
      </c>
      <c r="E712">
        <v>1</v>
      </c>
      <c r="F712">
        <f t="shared" si="74"/>
        <v>4</v>
      </c>
      <c r="G712">
        <f t="shared" si="75"/>
        <v>2023</v>
      </c>
      <c r="I712" s="17">
        <f t="shared" si="76"/>
        <v>45017</v>
      </c>
      <c r="O712">
        <f t="shared" si="77"/>
        <v>0</v>
      </c>
    </row>
    <row r="713" spans="1:15" x14ac:dyDescent="0.3">
      <c r="A713" s="17">
        <v>45026</v>
      </c>
      <c r="B713">
        <v>0.87</v>
      </c>
      <c r="D713">
        <f t="shared" si="73"/>
        <v>10</v>
      </c>
      <c r="E713">
        <v>1</v>
      </c>
      <c r="F713">
        <f t="shared" si="74"/>
        <v>4</v>
      </c>
      <c r="G713">
        <f t="shared" si="75"/>
        <v>2023</v>
      </c>
      <c r="I713" s="17">
        <f t="shared" si="76"/>
        <v>45017</v>
      </c>
      <c r="O713">
        <f t="shared" si="77"/>
        <v>0</v>
      </c>
    </row>
    <row r="714" spans="1:15" x14ac:dyDescent="0.3">
      <c r="A714" s="17">
        <v>45022</v>
      </c>
      <c r="B714">
        <v>0.73</v>
      </c>
      <c r="D714">
        <f t="shared" si="73"/>
        <v>6</v>
      </c>
      <c r="E714">
        <v>1</v>
      </c>
      <c r="F714">
        <f t="shared" si="74"/>
        <v>4</v>
      </c>
      <c r="G714">
        <f t="shared" si="75"/>
        <v>2023</v>
      </c>
      <c r="I714" s="17">
        <f t="shared" si="76"/>
        <v>45017</v>
      </c>
      <c r="O714">
        <f t="shared" si="77"/>
        <v>0</v>
      </c>
    </row>
    <row r="715" spans="1:15" x14ac:dyDescent="0.3">
      <c r="A715" s="17">
        <v>45021</v>
      </c>
      <c r="B715">
        <v>0.82</v>
      </c>
      <c r="D715">
        <f t="shared" si="73"/>
        <v>5</v>
      </c>
      <c r="E715">
        <v>1</v>
      </c>
      <c r="F715">
        <f t="shared" si="74"/>
        <v>4</v>
      </c>
      <c r="G715">
        <f t="shared" si="75"/>
        <v>2023</v>
      </c>
      <c r="I715" s="17">
        <f t="shared" si="76"/>
        <v>45017</v>
      </c>
      <c r="O715">
        <f t="shared" si="77"/>
        <v>0</v>
      </c>
    </row>
    <row r="716" spans="1:15" x14ac:dyDescent="0.3">
      <c r="A716" s="17">
        <v>45020</v>
      </c>
      <c r="B716">
        <v>0.99</v>
      </c>
      <c r="D716">
        <f t="shared" si="73"/>
        <v>4</v>
      </c>
      <c r="E716">
        <v>1</v>
      </c>
      <c r="F716">
        <f t="shared" si="74"/>
        <v>4</v>
      </c>
      <c r="G716">
        <f t="shared" si="75"/>
        <v>2023</v>
      </c>
      <c r="I716" s="17">
        <f t="shared" si="76"/>
        <v>45017</v>
      </c>
      <c r="O716">
        <f t="shared" si="77"/>
        <v>1</v>
      </c>
    </row>
    <row r="717" spans="1:15" x14ac:dyDescent="0.3">
      <c r="A717" s="17">
        <v>45019</v>
      </c>
      <c r="B717">
        <v>1.04</v>
      </c>
      <c r="D717">
        <f t="shared" si="73"/>
        <v>3</v>
      </c>
      <c r="E717">
        <v>1</v>
      </c>
      <c r="F717">
        <f t="shared" si="74"/>
        <v>4</v>
      </c>
      <c r="G717">
        <f t="shared" si="75"/>
        <v>2023</v>
      </c>
      <c r="I717" s="17">
        <f t="shared" si="76"/>
        <v>45017</v>
      </c>
      <c r="O717">
        <f t="shared" si="77"/>
        <v>1</v>
      </c>
    </row>
    <row r="718" spans="1:15" x14ac:dyDescent="0.3">
      <c r="A718" s="17">
        <v>45016</v>
      </c>
      <c r="B718">
        <v>0.47</v>
      </c>
      <c r="D718">
        <f t="shared" si="73"/>
        <v>31</v>
      </c>
      <c r="E718">
        <v>1</v>
      </c>
      <c r="F718">
        <f t="shared" si="74"/>
        <v>3</v>
      </c>
      <c r="G718">
        <f t="shared" si="75"/>
        <v>2023</v>
      </c>
      <c r="I718" s="17">
        <f t="shared" si="76"/>
        <v>44986</v>
      </c>
      <c r="O718">
        <f t="shared" si="77"/>
        <v>0</v>
      </c>
    </row>
    <row r="719" spans="1:15" x14ac:dyDescent="0.3">
      <c r="A719" s="17">
        <v>45015</v>
      </c>
      <c r="B719">
        <v>0.37</v>
      </c>
      <c r="D719">
        <f t="shared" ref="D719:D782" si="78">+DAY(A719)</f>
        <v>30</v>
      </c>
      <c r="E719">
        <v>1</v>
      </c>
      <c r="F719">
        <f t="shared" ref="F719:F782" si="79">+MONTH(A719)</f>
        <v>3</v>
      </c>
      <c r="G719">
        <f t="shared" ref="G719:G782" si="80">+YEAR(A719)</f>
        <v>2023</v>
      </c>
      <c r="I719" s="17">
        <f t="shared" ref="I719:I782" si="81">+DATE(G719,F719,E719)</f>
        <v>44986</v>
      </c>
      <c r="O719">
        <f t="shared" si="77"/>
        <v>0</v>
      </c>
    </row>
    <row r="720" spans="1:15" x14ac:dyDescent="0.3">
      <c r="A720" s="17">
        <v>45014</v>
      </c>
      <c r="B720">
        <v>0.37</v>
      </c>
      <c r="D720">
        <f t="shared" si="78"/>
        <v>29</v>
      </c>
      <c r="E720">
        <v>1</v>
      </c>
      <c r="F720">
        <f t="shared" si="79"/>
        <v>3</v>
      </c>
      <c r="G720">
        <f t="shared" si="80"/>
        <v>2023</v>
      </c>
      <c r="I720" s="17">
        <f t="shared" si="81"/>
        <v>44986</v>
      </c>
      <c r="O720">
        <f t="shared" si="77"/>
        <v>0</v>
      </c>
    </row>
    <row r="721" spans="1:15" x14ac:dyDescent="0.3">
      <c r="A721" s="17">
        <v>45013</v>
      </c>
      <c r="B721">
        <v>0.35</v>
      </c>
      <c r="D721">
        <f t="shared" si="78"/>
        <v>28</v>
      </c>
      <c r="E721">
        <v>1</v>
      </c>
      <c r="F721">
        <f t="shared" si="79"/>
        <v>3</v>
      </c>
      <c r="G721">
        <f t="shared" si="80"/>
        <v>2023</v>
      </c>
      <c r="I721" s="17">
        <f t="shared" si="81"/>
        <v>44986</v>
      </c>
      <c r="O721">
        <f t="shared" si="77"/>
        <v>0</v>
      </c>
    </row>
    <row r="722" spans="1:15" x14ac:dyDescent="0.3">
      <c r="A722" s="17">
        <v>45012</v>
      </c>
      <c r="B722">
        <v>0.03</v>
      </c>
      <c r="D722">
        <f t="shared" si="78"/>
        <v>27</v>
      </c>
      <c r="E722">
        <v>1</v>
      </c>
      <c r="F722">
        <f t="shared" si="79"/>
        <v>3</v>
      </c>
      <c r="G722">
        <f t="shared" si="80"/>
        <v>2023</v>
      </c>
      <c r="I722" s="17">
        <f t="shared" si="81"/>
        <v>44986</v>
      </c>
      <c r="O722">
        <f t="shared" si="77"/>
        <v>0</v>
      </c>
    </row>
    <row r="723" spans="1:15" x14ac:dyDescent="0.3">
      <c r="A723" s="17">
        <v>45009</v>
      </c>
      <c r="B723">
        <v>0.24</v>
      </c>
      <c r="D723">
        <f t="shared" si="78"/>
        <v>24</v>
      </c>
      <c r="E723">
        <v>1</v>
      </c>
      <c r="F723">
        <f t="shared" si="79"/>
        <v>3</v>
      </c>
      <c r="G723">
        <f t="shared" si="80"/>
        <v>2023</v>
      </c>
      <c r="I723" s="17">
        <f t="shared" si="81"/>
        <v>44986</v>
      </c>
      <c r="O723">
        <f t="shared" si="77"/>
        <v>0</v>
      </c>
    </row>
    <row r="724" spans="1:15" x14ac:dyDescent="0.3">
      <c r="A724" s="17">
        <v>45008</v>
      </c>
      <c r="B724">
        <v>0.25</v>
      </c>
      <c r="D724">
        <f t="shared" si="78"/>
        <v>23</v>
      </c>
      <c r="E724">
        <v>1</v>
      </c>
      <c r="F724">
        <f t="shared" si="79"/>
        <v>3</v>
      </c>
      <c r="G724">
        <f t="shared" si="80"/>
        <v>2023</v>
      </c>
      <c r="I724" s="17">
        <f t="shared" si="81"/>
        <v>44986</v>
      </c>
      <c r="O724">
        <f t="shared" si="77"/>
        <v>0</v>
      </c>
    </row>
    <row r="725" spans="1:15" x14ac:dyDescent="0.3">
      <c r="A725" s="17">
        <v>45007</v>
      </c>
      <c r="B725">
        <v>0.25</v>
      </c>
      <c r="D725">
        <f t="shared" si="78"/>
        <v>22</v>
      </c>
      <c r="E725">
        <v>1</v>
      </c>
      <c r="F725">
        <f t="shared" si="79"/>
        <v>3</v>
      </c>
      <c r="G725">
        <f t="shared" si="80"/>
        <v>2023</v>
      </c>
      <c r="I725" s="17">
        <f t="shared" si="81"/>
        <v>44986</v>
      </c>
      <c r="O725">
        <f t="shared" si="77"/>
        <v>0</v>
      </c>
    </row>
    <row r="726" spans="1:15" x14ac:dyDescent="0.3">
      <c r="A726" s="17">
        <v>45006</v>
      </c>
      <c r="B726">
        <v>0.24</v>
      </c>
      <c r="D726">
        <f t="shared" si="78"/>
        <v>21</v>
      </c>
      <c r="E726">
        <v>1</v>
      </c>
      <c r="F726">
        <f t="shared" si="79"/>
        <v>3</v>
      </c>
      <c r="G726">
        <f t="shared" si="80"/>
        <v>2023</v>
      </c>
      <c r="I726" s="17">
        <f t="shared" si="81"/>
        <v>44986</v>
      </c>
      <c r="O726">
        <f t="shared" si="77"/>
        <v>0</v>
      </c>
    </row>
    <row r="727" spans="1:15" x14ac:dyDescent="0.3">
      <c r="A727" s="17">
        <v>45005</v>
      </c>
      <c r="B727">
        <v>0.46</v>
      </c>
      <c r="D727">
        <f t="shared" si="78"/>
        <v>20</v>
      </c>
      <c r="E727">
        <v>1</v>
      </c>
      <c r="F727">
        <f t="shared" si="79"/>
        <v>3</v>
      </c>
      <c r="G727">
        <f t="shared" si="80"/>
        <v>2023</v>
      </c>
      <c r="I727" s="17">
        <f t="shared" si="81"/>
        <v>44986</v>
      </c>
      <c r="O727">
        <f t="shared" si="77"/>
        <v>0</v>
      </c>
    </row>
    <row r="728" spans="1:15" x14ac:dyDescent="0.3">
      <c r="A728" s="17">
        <v>45002</v>
      </c>
      <c r="B728">
        <v>0.84</v>
      </c>
      <c r="D728">
        <f t="shared" si="78"/>
        <v>17</v>
      </c>
      <c r="E728">
        <v>1</v>
      </c>
      <c r="F728">
        <f t="shared" si="79"/>
        <v>3</v>
      </c>
      <c r="G728">
        <f t="shared" si="80"/>
        <v>2023</v>
      </c>
      <c r="I728" s="17">
        <f t="shared" si="81"/>
        <v>44986</v>
      </c>
      <c r="O728">
        <f t="shared" si="77"/>
        <v>0</v>
      </c>
    </row>
    <row r="729" spans="1:15" x14ac:dyDescent="0.3">
      <c r="A729" s="17">
        <v>45001</v>
      </c>
      <c r="B729">
        <v>0.72</v>
      </c>
      <c r="D729">
        <f t="shared" si="78"/>
        <v>16</v>
      </c>
      <c r="E729">
        <v>1</v>
      </c>
      <c r="F729">
        <f t="shared" si="79"/>
        <v>3</v>
      </c>
      <c r="G729">
        <f t="shared" si="80"/>
        <v>2023</v>
      </c>
      <c r="I729" s="17">
        <f t="shared" si="81"/>
        <v>44986</v>
      </c>
      <c r="O729">
        <f t="shared" si="77"/>
        <v>0</v>
      </c>
    </row>
    <row r="730" spans="1:15" x14ac:dyDescent="0.3">
      <c r="A730" s="17">
        <v>45000</v>
      </c>
      <c r="B730">
        <v>0.75</v>
      </c>
      <c r="D730">
        <f t="shared" si="78"/>
        <v>15</v>
      </c>
      <c r="E730">
        <v>1</v>
      </c>
      <c r="F730">
        <f t="shared" si="79"/>
        <v>3</v>
      </c>
      <c r="G730">
        <f t="shared" si="80"/>
        <v>2023</v>
      </c>
      <c r="I730" s="17">
        <f t="shared" si="81"/>
        <v>44986</v>
      </c>
      <c r="O730">
        <f t="shared" si="77"/>
        <v>0</v>
      </c>
    </row>
    <row r="731" spans="1:15" x14ac:dyDescent="0.3">
      <c r="A731" s="17">
        <v>44999</v>
      </c>
      <c r="B731">
        <v>0.88</v>
      </c>
      <c r="D731">
        <f t="shared" si="78"/>
        <v>14</v>
      </c>
      <c r="E731">
        <v>1</v>
      </c>
      <c r="F731">
        <f t="shared" si="79"/>
        <v>3</v>
      </c>
      <c r="G731">
        <f t="shared" si="80"/>
        <v>2023</v>
      </c>
      <c r="I731" s="17">
        <f t="shared" si="81"/>
        <v>44986</v>
      </c>
      <c r="O731">
        <f t="shared" si="77"/>
        <v>0</v>
      </c>
    </row>
    <row r="732" spans="1:15" x14ac:dyDescent="0.3">
      <c r="A732" s="17">
        <v>44998</v>
      </c>
      <c r="B732">
        <v>0.77</v>
      </c>
      <c r="D732">
        <f t="shared" si="78"/>
        <v>13</v>
      </c>
      <c r="E732">
        <v>1</v>
      </c>
      <c r="F732">
        <f t="shared" si="79"/>
        <v>3</v>
      </c>
      <c r="G732">
        <f t="shared" si="80"/>
        <v>2023</v>
      </c>
      <c r="I732" s="17">
        <f t="shared" si="81"/>
        <v>44986</v>
      </c>
      <c r="O732">
        <f t="shared" si="77"/>
        <v>0</v>
      </c>
    </row>
    <row r="733" spans="1:15" x14ac:dyDescent="0.3">
      <c r="A733" s="17">
        <v>44995</v>
      </c>
      <c r="B733">
        <v>0.67</v>
      </c>
      <c r="D733">
        <f t="shared" si="78"/>
        <v>10</v>
      </c>
      <c r="E733">
        <v>1</v>
      </c>
      <c r="F733">
        <f t="shared" si="79"/>
        <v>3</v>
      </c>
      <c r="G733">
        <f t="shared" si="80"/>
        <v>2023</v>
      </c>
      <c r="I733" s="17">
        <f t="shared" si="81"/>
        <v>44986</v>
      </c>
      <c r="O733">
        <f t="shared" si="77"/>
        <v>0</v>
      </c>
    </row>
    <row r="734" spans="1:15" x14ac:dyDescent="0.3">
      <c r="A734" s="17">
        <v>44994</v>
      </c>
      <c r="B734">
        <v>0.72</v>
      </c>
      <c r="D734">
        <f t="shared" si="78"/>
        <v>9</v>
      </c>
      <c r="E734">
        <v>1</v>
      </c>
      <c r="F734">
        <f t="shared" si="79"/>
        <v>3</v>
      </c>
      <c r="G734">
        <f t="shared" si="80"/>
        <v>2023</v>
      </c>
      <c r="I734" s="17">
        <f t="shared" si="81"/>
        <v>44986</v>
      </c>
      <c r="O734">
        <f t="shared" si="77"/>
        <v>0</v>
      </c>
    </row>
    <row r="735" spans="1:15" x14ac:dyDescent="0.3">
      <c r="A735" s="17">
        <v>44993</v>
      </c>
      <c r="B735">
        <v>0.78</v>
      </c>
      <c r="D735">
        <f t="shared" si="78"/>
        <v>8</v>
      </c>
      <c r="E735">
        <v>1</v>
      </c>
      <c r="F735">
        <f t="shared" si="79"/>
        <v>3</v>
      </c>
      <c r="G735">
        <f t="shared" si="80"/>
        <v>2023</v>
      </c>
      <c r="I735" s="17">
        <f t="shared" si="81"/>
        <v>44986</v>
      </c>
      <c r="O735">
        <f t="shared" si="77"/>
        <v>0</v>
      </c>
    </row>
    <row r="736" spans="1:15" x14ac:dyDescent="0.3">
      <c r="A736" s="17">
        <v>44992</v>
      </c>
      <c r="B736">
        <v>0.92</v>
      </c>
      <c r="D736">
        <f t="shared" si="78"/>
        <v>7</v>
      </c>
      <c r="E736">
        <v>1</v>
      </c>
      <c r="F736">
        <f t="shared" si="79"/>
        <v>3</v>
      </c>
      <c r="G736">
        <f t="shared" si="80"/>
        <v>2023</v>
      </c>
      <c r="I736" s="17">
        <f t="shared" si="81"/>
        <v>44986</v>
      </c>
      <c r="O736">
        <f t="shared" si="77"/>
        <v>0</v>
      </c>
    </row>
    <row r="737" spans="1:15" x14ac:dyDescent="0.3">
      <c r="A737" s="17">
        <v>44991</v>
      </c>
      <c r="B737">
        <v>0.98</v>
      </c>
      <c r="D737">
        <f t="shared" si="78"/>
        <v>6</v>
      </c>
      <c r="E737">
        <v>1</v>
      </c>
      <c r="F737">
        <f t="shared" si="79"/>
        <v>3</v>
      </c>
      <c r="G737">
        <f t="shared" si="80"/>
        <v>2023</v>
      </c>
      <c r="I737" s="17">
        <f t="shared" si="81"/>
        <v>44986</v>
      </c>
      <c r="O737">
        <f t="shared" si="77"/>
        <v>0</v>
      </c>
    </row>
    <row r="738" spans="1:15" x14ac:dyDescent="0.3">
      <c r="A738" s="17">
        <v>44988</v>
      </c>
      <c r="B738">
        <v>1.05</v>
      </c>
      <c r="D738">
        <f t="shared" si="78"/>
        <v>3</v>
      </c>
      <c r="E738">
        <v>1</v>
      </c>
      <c r="F738">
        <f t="shared" si="79"/>
        <v>3</v>
      </c>
      <c r="G738">
        <f t="shared" si="80"/>
        <v>2023</v>
      </c>
      <c r="I738" s="17">
        <f t="shared" si="81"/>
        <v>44986</v>
      </c>
      <c r="O738">
        <f t="shared" si="77"/>
        <v>1</v>
      </c>
    </row>
    <row r="739" spans="1:15" x14ac:dyDescent="0.3">
      <c r="A739" s="17">
        <v>44987</v>
      </c>
      <c r="B739">
        <v>1.4</v>
      </c>
      <c r="D739">
        <f t="shared" si="78"/>
        <v>2</v>
      </c>
      <c r="E739">
        <v>1</v>
      </c>
      <c r="F739">
        <f t="shared" si="79"/>
        <v>3</v>
      </c>
      <c r="G739">
        <f t="shared" si="80"/>
        <v>2023</v>
      </c>
      <c r="I739" s="17">
        <f t="shared" si="81"/>
        <v>44986</v>
      </c>
      <c r="O739">
        <f t="shared" si="77"/>
        <v>1</v>
      </c>
    </row>
    <row r="740" spans="1:15" x14ac:dyDescent="0.3">
      <c r="A740" s="17">
        <v>44986</v>
      </c>
      <c r="B740">
        <v>1.3</v>
      </c>
      <c r="D740">
        <f t="shared" si="78"/>
        <v>1</v>
      </c>
      <c r="E740">
        <v>1</v>
      </c>
      <c r="F740">
        <f t="shared" si="79"/>
        <v>3</v>
      </c>
      <c r="G740">
        <f t="shared" si="80"/>
        <v>2023</v>
      </c>
      <c r="I740" s="17">
        <f t="shared" si="81"/>
        <v>44986</v>
      </c>
      <c r="O740">
        <f t="shared" si="77"/>
        <v>1</v>
      </c>
    </row>
    <row r="741" spans="1:15" x14ac:dyDescent="0.3">
      <c r="A741" s="17">
        <v>44985</v>
      </c>
      <c r="B741">
        <v>1.47</v>
      </c>
      <c r="D741">
        <f t="shared" si="78"/>
        <v>28</v>
      </c>
      <c r="E741">
        <v>1</v>
      </c>
      <c r="F741">
        <f t="shared" si="79"/>
        <v>2</v>
      </c>
      <c r="G741">
        <f t="shared" si="80"/>
        <v>2023</v>
      </c>
      <c r="I741" s="17">
        <f t="shared" si="81"/>
        <v>44958</v>
      </c>
      <c r="O741">
        <f t="shared" si="77"/>
        <v>0</v>
      </c>
    </row>
    <row r="742" spans="1:15" x14ac:dyDescent="0.3">
      <c r="A742" s="17">
        <v>44984</v>
      </c>
      <c r="B742">
        <v>0.93</v>
      </c>
      <c r="D742">
        <f t="shared" si="78"/>
        <v>27</v>
      </c>
      <c r="E742">
        <v>1</v>
      </c>
      <c r="F742">
        <f t="shared" si="79"/>
        <v>2</v>
      </c>
      <c r="G742">
        <f t="shared" si="80"/>
        <v>2023</v>
      </c>
      <c r="I742" s="17">
        <f t="shared" si="81"/>
        <v>44958</v>
      </c>
      <c r="O742">
        <f t="shared" si="77"/>
        <v>0</v>
      </c>
    </row>
    <row r="743" spans="1:15" x14ac:dyDescent="0.3">
      <c r="A743" s="17">
        <v>44981</v>
      </c>
      <c r="B743">
        <v>0.7</v>
      </c>
      <c r="D743">
        <f t="shared" si="78"/>
        <v>24</v>
      </c>
      <c r="E743">
        <v>1</v>
      </c>
      <c r="F743">
        <f t="shared" si="79"/>
        <v>2</v>
      </c>
      <c r="G743">
        <f t="shared" si="80"/>
        <v>2023</v>
      </c>
      <c r="I743" s="17">
        <f t="shared" si="81"/>
        <v>44958</v>
      </c>
      <c r="O743">
        <f t="shared" si="77"/>
        <v>0</v>
      </c>
    </row>
    <row r="744" spans="1:15" x14ac:dyDescent="0.3">
      <c r="A744" s="17">
        <v>44980</v>
      </c>
      <c r="B744">
        <v>0.92</v>
      </c>
      <c r="D744">
        <f t="shared" si="78"/>
        <v>23</v>
      </c>
      <c r="E744">
        <v>1</v>
      </c>
      <c r="F744">
        <f t="shared" si="79"/>
        <v>2</v>
      </c>
      <c r="G744">
        <f t="shared" si="80"/>
        <v>2023</v>
      </c>
      <c r="I744" s="17">
        <f t="shared" si="81"/>
        <v>44958</v>
      </c>
      <c r="O744">
        <f t="shared" si="77"/>
        <v>0</v>
      </c>
    </row>
    <row r="745" spans="1:15" x14ac:dyDescent="0.3">
      <c r="A745" s="17">
        <v>44979</v>
      </c>
      <c r="B745">
        <v>0.6</v>
      </c>
      <c r="D745">
        <f t="shared" si="78"/>
        <v>22</v>
      </c>
      <c r="E745">
        <v>1</v>
      </c>
      <c r="F745">
        <f t="shared" si="79"/>
        <v>2</v>
      </c>
      <c r="G745">
        <f t="shared" si="80"/>
        <v>2023</v>
      </c>
      <c r="I745" s="17">
        <f t="shared" si="81"/>
        <v>44958</v>
      </c>
      <c r="O745">
        <f t="shared" si="77"/>
        <v>0</v>
      </c>
    </row>
    <row r="746" spans="1:15" x14ac:dyDescent="0.3">
      <c r="A746" s="17">
        <v>44978</v>
      </c>
      <c r="B746">
        <v>0.66</v>
      </c>
      <c r="D746">
        <f t="shared" si="78"/>
        <v>21</v>
      </c>
      <c r="E746">
        <v>1</v>
      </c>
      <c r="F746">
        <f t="shared" si="79"/>
        <v>2</v>
      </c>
      <c r="G746">
        <f t="shared" si="80"/>
        <v>2023</v>
      </c>
      <c r="I746" s="17">
        <f t="shared" si="81"/>
        <v>44958</v>
      </c>
      <c r="O746">
        <f t="shared" si="77"/>
        <v>0</v>
      </c>
    </row>
    <row r="747" spans="1:15" x14ac:dyDescent="0.3">
      <c r="A747" s="17">
        <v>44977</v>
      </c>
      <c r="B747">
        <v>1.0900000000000001</v>
      </c>
      <c r="D747">
        <f t="shared" si="78"/>
        <v>20</v>
      </c>
      <c r="E747">
        <v>1</v>
      </c>
      <c r="F747">
        <f t="shared" si="79"/>
        <v>2</v>
      </c>
      <c r="G747">
        <f t="shared" si="80"/>
        <v>2023</v>
      </c>
      <c r="I747" s="17">
        <f t="shared" si="81"/>
        <v>44958</v>
      </c>
      <c r="O747">
        <f t="shared" si="77"/>
        <v>0</v>
      </c>
    </row>
    <row r="748" spans="1:15" x14ac:dyDescent="0.3">
      <c r="A748" s="17">
        <v>44974</v>
      </c>
      <c r="B748">
        <v>1.1100000000000001</v>
      </c>
      <c r="D748">
        <f t="shared" si="78"/>
        <v>17</v>
      </c>
      <c r="E748">
        <v>1</v>
      </c>
      <c r="F748">
        <f t="shared" si="79"/>
        <v>2</v>
      </c>
      <c r="G748">
        <f t="shared" si="80"/>
        <v>2023</v>
      </c>
      <c r="I748" s="17">
        <f t="shared" si="81"/>
        <v>44958</v>
      </c>
      <c r="O748">
        <f t="shared" si="77"/>
        <v>0</v>
      </c>
    </row>
    <row r="749" spans="1:15" x14ac:dyDescent="0.3">
      <c r="A749" s="17">
        <v>44973</v>
      </c>
      <c r="B749">
        <v>1.28</v>
      </c>
      <c r="D749">
        <f t="shared" si="78"/>
        <v>16</v>
      </c>
      <c r="E749">
        <v>1</v>
      </c>
      <c r="F749">
        <f t="shared" si="79"/>
        <v>2</v>
      </c>
      <c r="G749">
        <f t="shared" si="80"/>
        <v>2023</v>
      </c>
      <c r="I749" s="17">
        <f t="shared" si="81"/>
        <v>44958</v>
      </c>
      <c r="O749">
        <f t="shared" si="77"/>
        <v>0</v>
      </c>
    </row>
    <row r="750" spans="1:15" x14ac:dyDescent="0.3">
      <c r="A750" s="17">
        <v>44972</v>
      </c>
      <c r="B750">
        <v>1.68</v>
      </c>
      <c r="D750">
        <f t="shared" si="78"/>
        <v>15</v>
      </c>
      <c r="E750">
        <v>1</v>
      </c>
      <c r="F750">
        <f t="shared" si="79"/>
        <v>2</v>
      </c>
      <c r="G750">
        <f t="shared" si="80"/>
        <v>2023</v>
      </c>
      <c r="I750" s="17">
        <f t="shared" si="81"/>
        <v>44958</v>
      </c>
      <c r="O750">
        <f t="shared" si="77"/>
        <v>0</v>
      </c>
    </row>
    <row r="751" spans="1:15" x14ac:dyDescent="0.3">
      <c r="A751" s="17">
        <v>44971</v>
      </c>
      <c r="B751">
        <v>1.44</v>
      </c>
      <c r="D751">
        <f t="shared" si="78"/>
        <v>14</v>
      </c>
      <c r="E751">
        <v>1</v>
      </c>
      <c r="F751">
        <f t="shared" si="79"/>
        <v>2</v>
      </c>
      <c r="G751">
        <f t="shared" si="80"/>
        <v>2023</v>
      </c>
      <c r="I751" s="17">
        <f t="shared" si="81"/>
        <v>44958</v>
      </c>
      <c r="O751">
        <f t="shared" si="77"/>
        <v>0</v>
      </c>
    </row>
    <row r="752" spans="1:15" x14ac:dyDescent="0.3">
      <c r="A752" s="17">
        <v>44970</v>
      </c>
      <c r="B752">
        <v>1.54</v>
      </c>
      <c r="D752">
        <f t="shared" si="78"/>
        <v>13</v>
      </c>
      <c r="E752">
        <v>1</v>
      </c>
      <c r="F752">
        <f t="shared" si="79"/>
        <v>2</v>
      </c>
      <c r="G752">
        <f t="shared" si="80"/>
        <v>2023</v>
      </c>
      <c r="I752" s="17">
        <f t="shared" si="81"/>
        <v>44958</v>
      </c>
      <c r="O752">
        <f t="shared" si="77"/>
        <v>0</v>
      </c>
    </row>
    <row r="753" spans="1:15" x14ac:dyDescent="0.3">
      <c r="A753" s="17">
        <v>44967</v>
      </c>
      <c r="B753">
        <v>1.48</v>
      </c>
      <c r="D753">
        <f t="shared" si="78"/>
        <v>10</v>
      </c>
      <c r="E753">
        <v>1</v>
      </c>
      <c r="F753">
        <f t="shared" si="79"/>
        <v>2</v>
      </c>
      <c r="G753">
        <f t="shared" si="80"/>
        <v>2023</v>
      </c>
      <c r="I753" s="17">
        <f t="shared" si="81"/>
        <v>44958</v>
      </c>
      <c r="O753">
        <f t="shared" si="77"/>
        <v>0</v>
      </c>
    </row>
    <row r="754" spans="1:15" x14ac:dyDescent="0.3">
      <c r="A754" s="17">
        <v>44966</v>
      </c>
      <c r="B754">
        <v>1.1599999999999999</v>
      </c>
      <c r="D754">
        <f t="shared" si="78"/>
        <v>9</v>
      </c>
      <c r="E754">
        <v>1</v>
      </c>
      <c r="F754">
        <f t="shared" si="79"/>
        <v>2</v>
      </c>
      <c r="G754">
        <f t="shared" si="80"/>
        <v>2023</v>
      </c>
      <c r="I754" s="17">
        <f t="shared" si="81"/>
        <v>44958</v>
      </c>
      <c r="O754">
        <f t="shared" si="77"/>
        <v>0</v>
      </c>
    </row>
    <row r="755" spans="1:15" x14ac:dyDescent="0.3">
      <c r="A755" s="17">
        <v>44965</v>
      </c>
      <c r="B755">
        <v>1.06</v>
      </c>
      <c r="D755">
        <f t="shared" si="78"/>
        <v>8</v>
      </c>
      <c r="E755">
        <v>1</v>
      </c>
      <c r="F755">
        <f t="shared" si="79"/>
        <v>2</v>
      </c>
      <c r="G755">
        <f t="shared" si="80"/>
        <v>2023</v>
      </c>
      <c r="I755" s="17">
        <f t="shared" si="81"/>
        <v>44958</v>
      </c>
      <c r="O755">
        <f t="shared" si="77"/>
        <v>0</v>
      </c>
    </row>
    <row r="756" spans="1:15" x14ac:dyDescent="0.3">
      <c r="A756" s="17">
        <v>44964</v>
      </c>
      <c r="B756">
        <v>0.86</v>
      </c>
      <c r="D756">
        <f t="shared" si="78"/>
        <v>7</v>
      </c>
      <c r="E756">
        <v>1</v>
      </c>
      <c r="F756">
        <f t="shared" si="79"/>
        <v>2</v>
      </c>
      <c r="G756">
        <f t="shared" si="80"/>
        <v>2023</v>
      </c>
      <c r="I756" s="17">
        <f t="shared" si="81"/>
        <v>44958</v>
      </c>
      <c r="O756">
        <f t="shared" si="77"/>
        <v>0</v>
      </c>
    </row>
    <row r="757" spans="1:15" x14ac:dyDescent="0.3">
      <c r="A757" s="17">
        <v>44963</v>
      </c>
      <c r="B757">
        <v>1.06</v>
      </c>
      <c r="D757">
        <f t="shared" si="78"/>
        <v>6</v>
      </c>
      <c r="E757">
        <v>1</v>
      </c>
      <c r="F757">
        <f t="shared" si="79"/>
        <v>2</v>
      </c>
      <c r="G757">
        <f t="shared" si="80"/>
        <v>2023</v>
      </c>
      <c r="I757" s="17">
        <f t="shared" si="81"/>
        <v>44958</v>
      </c>
      <c r="O757">
        <f t="shared" si="77"/>
        <v>0</v>
      </c>
    </row>
    <row r="758" spans="1:15" x14ac:dyDescent="0.3">
      <c r="A758" s="17">
        <v>44960</v>
      </c>
      <c r="B758">
        <v>0.89</v>
      </c>
      <c r="D758">
        <f t="shared" si="78"/>
        <v>3</v>
      </c>
      <c r="E758">
        <v>1</v>
      </c>
      <c r="F758">
        <f t="shared" si="79"/>
        <v>2</v>
      </c>
      <c r="G758">
        <f t="shared" si="80"/>
        <v>2023</v>
      </c>
      <c r="I758" s="17">
        <f t="shared" si="81"/>
        <v>44958</v>
      </c>
      <c r="O758">
        <f t="shared" si="77"/>
        <v>1</v>
      </c>
    </row>
    <row r="759" spans="1:15" x14ac:dyDescent="0.3">
      <c r="A759" s="17">
        <v>44959</v>
      </c>
      <c r="B759">
        <v>0.82</v>
      </c>
      <c r="D759">
        <f t="shared" si="78"/>
        <v>2</v>
      </c>
      <c r="E759">
        <v>1</v>
      </c>
      <c r="F759">
        <f t="shared" si="79"/>
        <v>2</v>
      </c>
      <c r="G759">
        <f t="shared" si="80"/>
        <v>2023</v>
      </c>
      <c r="I759" s="17">
        <f t="shared" si="81"/>
        <v>44958</v>
      </c>
      <c r="O759">
        <f t="shared" si="77"/>
        <v>1</v>
      </c>
    </row>
    <row r="760" spans="1:15" x14ac:dyDescent="0.3">
      <c r="A760" s="17">
        <v>44958</v>
      </c>
      <c r="B760">
        <v>0.8</v>
      </c>
      <c r="D760">
        <f t="shared" si="78"/>
        <v>1</v>
      </c>
      <c r="E760">
        <v>1</v>
      </c>
      <c r="F760">
        <f t="shared" si="79"/>
        <v>2</v>
      </c>
      <c r="G760">
        <f t="shared" si="80"/>
        <v>2023</v>
      </c>
      <c r="I760" s="17">
        <f t="shared" si="81"/>
        <v>44958</v>
      </c>
      <c r="O760">
        <f t="shared" si="77"/>
        <v>1</v>
      </c>
    </row>
    <row r="761" spans="1:15" x14ac:dyDescent="0.3">
      <c r="A761" s="17">
        <v>44957</v>
      </c>
      <c r="B761">
        <v>0.1</v>
      </c>
      <c r="D761">
        <f t="shared" si="78"/>
        <v>31</v>
      </c>
      <c r="E761">
        <v>1</v>
      </c>
      <c r="F761">
        <f t="shared" si="79"/>
        <v>1</v>
      </c>
      <c r="G761">
        <f t="shared" si="80"/>
        <v>2023</v>
      </c>
      <c r="I761" s="17">
        <f t="shared" si="81"/>
        <v>44927</v>
      </c>
      <c r="O761">
        <f t="shared" si="77"/>
        <v>0</v>
      </c>
    </row>
    <row r="762" spans="1:15" x14ac:dyDescent="0.3">
      <c r="A762" s="17">
        <v>44956</v>
      </c>
      <c r="B762">
        <v>0.1</v>
      </c>
      <c r="D762">
        <f t="shared" si="78"/>
        <v>30</v>
      </c>
      <c r="E762">
        <v>1</v>
      </c>
      <c r="F762">
        <f t="shared" si="79"/>
        <v>1</v>
      </c>
      <c r="G762">
        <f t="shared" si="80"/>
        <v>2023</v>
      </c>
      <c r="I762" s="17">
        <f t="shared" si="81"/>
        <v>44927</v>
      </c>
      <c r="O762">
        <f t="shared" si="77"/>
        <v>0</v>
      </c>
    </row>
    <row r="763" spans="1:15" x14ac:dyDescent="0.3">
      <c r="A763" s="17">
        <v>44953</v>
      </c>
      <c r="B763">
        <v>-0.22</v>
      </c>
      <c r="D763">
        <f t="shared" si="78"/>
        <v>27</v>
      </c>
      <c r="E763">
        <v>1</v>
      </c>
      <c r="F763">
        <f t="shared" si="79"/>
        <v>1</v>
      </c>
      <c r="G763">
        <f t="shared" si="80"/>
        <v>2023</v>
      </c>
      <c r="I763" s="17">
        <f t="shared" si="81"/>
        <v>44927</v>
      </c>
      <c r="O763">
        <f t="shared" si="77"/>
        <v>0</v>
      </c>
    </row>
    <row r="764" spans="1:15" x14ac:dyDescent="0.3">
      <c r="A764" s="17">
        <v>44952</v>
      </c>
      <c r="B764">
        <v>0.16</v>
      </c>
      <c r="D764">
        <f t="shared" si="78"/>
        <v>26</v>
      </c>
      <c r="E764">
        <v>1</v>
      </c>
      <c r="F764">
        <f t="shared" si="79"/>
        <v>1</v>
      </c>
      <c r="G764">
        <f t="shared" si="80"/>
        <v>2023</v>
      </c>
      <c r="I764" s="17">
        <f t="shared" si="81"/>
        <v>44927</v>
      </c>
      <c r="O764">
        <f t="shared" si="77"/>
        <v>0</v>
      </c>
    </row>
    <row r="765" spans="1:15" x14ac:dyDescent="0.3">
      <c r="A765" s="17">
        <v>44951</v>
      </c>
      <c r="B765">
        <v>0.25</v>
      </c>
      <c r="D765">
        <f t="shared" si="78"/>
        <v>25</v>
      </c>
      <c r="E765">
        <v>1</v>
      </c>
      <c r="F765">
        <f t="shared" si="79"/>
        <v>1</v>
      </c>
      <c r="G765">
        <f t="shared" si="80"/>
        <v>2023</v>
      </c>
      <c r="I765" s="17">
        <f t="shared" si="81"/>
        <v>44927</v>
      </c>
      <c r="O765">
        <f t="shared" si="77"/>
        <v>0</v>
      </c>
    </row>
    <row r="766" spans="1:15" x14ac:dyDescent="0.3">
      <c r="A766" s="17">
        <v>44946</v>
      </c>
      <c r="B766">
        <v>0.22</v>
      </c>
      <c r="D766">
        <f t="shared" si="78"/>
        <v>20</v>
      </c>
      <c r="E766">
        <v>1</v>
      </c>
      <c r="F766">
        <f t="shared" si="79"/>
        <v>1</v>
      </c>
      <c r="G766">
        <f t="shared" si="80"/>
        <v>2023</v>
      </c>
      <c r="I766" s="17">
        <f t="shared" si="81"/>
        <v>44927</v>
      </c>
      <c r="O766">
        <f t="shared" si="77"/>
        <v>0</v>
      </c>
    </row>
    <row r="767" spans="1:15" x14ac:dyDescent="0.3">
      <c r="A767" s="17">
        <v>44945</v>
      </c>
      <c r="B767">
        <v>0.26</v>
      </c>
      <c r="D767">
        <f t="shared" si="78"/>
        <v>19</v>
      </c>
      <c r="E767">
        <v>1</v>
      </c>
      <c r="F767">
        <f t="shared" si="79"/>
        <v>1</v>
      </c>
      <c r="G767">
        <f t="shared" si="80"/>
        <v>2023</v>
      </c>
      <c r="I767" s="17">
        <f t="shared" si="81"/>
        <v>44927</v>
      </c>
      <c r="O767">
        <f t="shared" si="77"/>
        <v>0</v>
      </c>
    </row>
    <row r="768" spans="1:15" x14ac:dyDescent="0.3">
      <c r="A768" s="17">
        <v>44944</v>
      </c>
      <c r="B768">
        <v>0.28000000000000003</v>
      </c>
      <c r="D768">
        <f t="shared" si="78"/>
        <v>18</v>
      </c>
      <c r="E768">
        <v>1</v>
      </c>
      <c r="F768">
        <f t="shared" si="79"/>
        <v>1</v>
      </c>
      <c r="G768">
        <f t="shared" si="80"/>
        <v>2023</v>
      </c>
      <c r="I768" s="17">
        <f t="shared" si="81"/>
        <v>44927</v>
      </c>
      <c r="O768">
        <f t="shared" si="77"/>
        <v>0</v>
      </c>
    </row>
    <row r="769" spans="1:15" x14ac:dyDescent="0.3">
      <c r="A769" s="17">
        <v>44943</v>
      </c>
      <c r="B769">
        <v>0.42</v>
      </c>
      <c r="D769">
        <f t="shared" si="78"/>
        <v>17</v>
      </c>
      <c r="E769">
        <v>1</v>
      </c>
      <c r="F769">
        <f t="shared" si="79"/>
        <v>1</v>
      </c>
      <c r="G769">
        <f t="shared" si="80"/>
        <v>2023</v>
      </c>
      <c r="I769" s="17">
        <f t="shared" si="81"/>
        <v>44927</v>
      </c>
      <c r="O769">
        <f t="shared" si="77"/>
        <v>0</v>
      </c>
    </row>
    <row r="770" spans="1:15" x14ac:dyDescent="0.3">
      <c r="A770" s="17">
        <v>44942</v>
      </c>
      <c r="B770">
        <v>0.48</v>
      </c>
      <c r="D770">
        <f t="shared" si="78"/>
        <v>16</v>
      </c>
      <c r="E770">
        <v>1</v>
      </c>
      <c r="F770">
        <f t="shared" si="79"/>
        <v>1</v>
      </c>
      <c r="G770">
        <f t="shared" si="80"/>
        <v>2023</v>
      </c>
      <c r="I770" s="17">
        <f t="shared" si="81"/>
        <v>44927</v>
      </c>
      <c r="O770">
        <f t="shared" si="77"/>
        <v>0</v>
      </c>
    </row>
    <row r="771" spans="1:15" x14ac:dyDescent="0.3">
      <c r="A771" s="17">
        <v>44939</v>
      </c>
      <c r="B771">
        <v>0.38</v>
      </c>
      <c r="D771">
        <f t="shared" si="78"/>
        <v>13</v>
      </c>
      <c r="E771">
        <v>1</v>
      </c>
      <c r="F771">
        <f t="shared" si="79"/>
        <v>1</v>
      </c>
      <c r="G771">
        <f t="shared" si="80"/>
        <v>2023</v>
      </c>
      <c r="I771" s="17">
        <f t="shared" si="81"/>
        <v>44927</v>
      </c>
      <c r="O771">
        <f t="shared" si="77"/>
        <v>0</v>
      </c>
    </row>
    <row r="772" spans="1:15" x14ac:dyDescent="0.3">
      <c r="A772" s="17">
        <v>44938</v>
      </c>
      <c r="B772">
        <v>0.27</v>
      </c>
      <c r="D772">
        <f t="shared" si="78"/>
        <v>12</v>
      </c>
      <c r="E772">
        <v>1</v>
      </c>
      <c r="F772">
        <f t="shared" si="79"/>
        <v>1</v>
      </c>
      <c r="G772">
        <f t="shared" si="80"/>
        <v>2023</v>
      </c>
      <c r="I772" s="17">
        <f t="shared" si="81"/>
        <v>44927</v>
      </c>
      <c r="O772">
        <f t="shared" si="77"/>
        <v>0</v>
      </c>
    </row>
    <row r="773" spans="1:15" x14ac:dyDescent="0.3">
      <c r="A773" s="17">
        <v>44937</v>
      </c>
      <c r="B773">
        <v>0</v>
      </c>
      <c r="D773">
        <f t="shared" si="78"/>
        <v>11</v>
      </c>
      <c r="E773">
        <v>1</v>
      </c>
      <c r="F773">
        <f t="shared" si="79"/>
        <v>1</v>
      </c>
      <c r="G773">
        <f t="shared" si="80"/>
        <v>2023</v>
      </c>
      <c r="I773" s="17">
        <f t="shared" si="81"/>
        <v>44927</v>
      </c>
      <c r="O773">
        <f t="shared" si="77"/>
        <v>0</v>
      </c>
    </row>
    <row r="774" spans="1:15" x14ac:dyDescent="0.3">
      <c r="A774" s="17">
        <v>44936</v>
      </c>
      <c r="B774">
        <v>0.1</v>
      </c>
      <c r="D774">
        <f t="shared" si="78"/>
        <v>10</v>
      </c>
      <c r="E774">
        <v>1</v>
      </c>
      <c r="F774">
        <f t="shared" si="79"/>
        <v>1</v>
      </c>
      <c r="G774">
        <f t="shared" si="80"/>
        <v>2023</v>
      </c>
      <c r="I774" s="17">
        <f t="shared" si="81"/>
        <v>44927</v>
      </c>
      <c r="O774">
        <f t="shared" si="77"/>
        <v>0</v>
      </c>
    </row>
    <row r="775" spans="1:15" x14ac:dyDescent="0.3">
      <c r="A775" s="17">
        <v>44935</v>
      </c>
      <c r="B775">
        <v>0.37</v>
      </c>
      <c r="D775">
        <f t="shared" si="78"/>
        <v>9</v>
      </c>
      <c r="E775">
        <v>1</v>
      </c>
      <c r="F775">
        <f t="shared" si="79"/>
        <v>1</v>
      </c>
      <c r="G775">
        <f t="shared" si="80"/>
        <v>2023</v>
      </c>
      <c r="I775" s="17">
        <f t="shared" si="81"/>
        <v>44927</v>
      </c>
      <c r="O775">
        <f t="shared" ref="O775:O838" si="82">IF(AND(D775&gt;=1, D775&lt;=4), 1, 0)</f>
        <v>0</v>
      </c>
    </row>
    <row r="776" spans="1:15" x14ac:dyDescent="0.3">
      <c r="A776" s="17">
        <v>44932</v>
      </c>
      <c r="B776">
        <v>0.35</v>
      </c>
      <c r="D776">
        <f t="shared" si="78"/>
        <v>6</v>
      </c>
      <c r="E776">
        <v>1</v>
      </c>
      <c r="F776">
        <f t="shared" si="79"/>
        <v>1</v>
      </c>
      <c r="G776">
        <f t="shared" si="80"/>
        <v>2023</v>
      </c>
      <c r="I776" s="17">
        <f t="shared" si="81"/>
        <v>44927</v>
      </c>
      <c r="O776">
        <f t="shared" si="82"/>
        <v>0</v>
      </c>
    </row>
    <row r="777" spans="1:15" x14ac:dyDescent="0.3">
      <c r="A777" s="17">
        <v>44931</v>
      </c>
      <c r="B777">
        <v>0.54</v>
      </c>
      <c r="D777">
        <f t="shared" si="78"/>
        <v>5</v>
      </c>
      <c r="E777">
        <v>1</v>
      </c>
      <c r="F777">
        <f t="shared" si="79"/>
        <v>1</v>
      </c>
      <c r="G777">
        <f t="shared" si="80"/>
        <v>2023</v>
      </c>
      <c r="I777" s="17">
        <f t="shared" si="81"/>
        <v>44927</v>
      </c>
      <c r="O777">
        <f t="shared" si="82"/>
        <v>0</v>
      </c>
    </row>
    <row r="778" spans="1:15" x14ac:dyDescent="0.3">
      <c r="A778" s="17">
        <v>44930</v>
      </c>
      <c r="B778">
        <v>0.81</v>
      </c>
      <c r="D778">
        <f t="shared" si="78"/>
        <v>4</v>
      </c>
      <c r="E778">
        <v>1</v>
      </c>
      <c r="F778">
        <f t="shared" si="79"/>
        <v>1</v>
      </c>
      <c r="G778">
        <f t="shared" si="80"/>
        <v>2023</v>
      </c>
      <c r="I778" s="17">
        <f t="shared" si="81"/>
        <v>44927</v>
      </c>
      <c r="O778">
        <f t="shared" si="82"/>
        <v>1</v>
      </c>
    </row>
    <row r="779" spans="1:15" x14ac:dyDescent="0.3">
      <c r="A779" s="17">
        <v>44929</v>
      </c>
      <c r="B779">
        <v>1.21</v>
      </c>
      <c r="D779">
        <f t="shared" si="78"/>
        <v>3</v>
      </c>
      <c r="E779">
        <v>1</v>
      </c>
      <c r="F779">
        <f t="shared" si="79"/>
        <v>1</v>
      </c>
      <c r="G779">
        <f t="shared" si="80"/>
        <v>2023</v>
      </c>
      <c r="I779" s="17">
        <f t="shared" si="81"/>
        <v>44927</v>
      </c>
      <c r="O779">
        <f t="shared" si="82"/>
        <v>1</v>
      </c>
    </row>
    <row r="780" spans="1:15" x14ac:dyDescent="0.3">
      <c r="A780" s="17">
        <v>44925</v>
      </c>
      <c r="B780">
        <v>0.01</v>
      </c>
      <c r="D780">
        <f t="shared" si="78"/>
        <v>30</v>
      </c>
      <c r="E780">
        <v>1</v>
      </c>
      <c r="F780">
        <f t="shared" si="79"/>
        <v>12</v>
      </c>
      <c r="G780">
        <f t="shared" si="80"/>
        <v>2022</v>
      </c>
      <c r="I780" s="17">
        <f t="shared" si="81"/>
        <v>44896</v>
      </c>
      <c r="O780">
        <f t="shared" si="82"/>
        <v>0</v>
      </c>
    </row>
    <row r="781" spans="1:15" x14ac:dyDescent="0.3">
      <c r="A781" s="17">
        <v>44924</v>
      </c>
      <c r="B781">
        <v>0.04</v>
      </c>
      <c r="D781">
        <f t="shared" si="78"/>
        <v>29</v>
      </c>
      <c r="E781">
        <v>1</v>
      </c>
      <c r="F781">
        <f t="shared" si="79"/>
        <v>12</v>
      </c>
      <c r="G781">
        <f t="shared" si="80"/>
        <v>2022</v>
      </c>
      <c r="I781" s="17">
        <f t="shared" si="81"/>
        <v>44896</v>
      </c>
      <c r="O781">
        <f t="shared" si="82"/>
        <v>0</v>
      </c>
    </row>
    <row r="782" spans="1:15" x14ac:dyDescent="0.3">
      <c r="A782" s="17">
        <v>44923</v>
      </c>
      <c r="B782">
        <v>0.15</v>
      </c>
      <c r="D782">
        <f t="shared" si="78"/>
        <v>28</v>
      </c>
      <c r="E782">
        <v>1</v>
      </c>
      <c r="F782">
        <f t="shared" si="79"/>
        <v>12</v>
      </c>
      <c r="G782">
        <f t="shared" si="80"/>
        <v>2022</v>
      </c>
      <c r="I782" s="17">
        <f t="shared" si="81"/>
        <v>44896</v>
      </c>
      <c r="O782">
        <f t="shared" si="82"/>
        <v>0</v>
      </c>
    </row>
    <row r="783" spans="1:15" x14ac:dyDescent="0.3">
      <c r="A783" s="17">
        <v>44922</v>
      </c>
      <c r="B783">
        <v>0.33</v>
      </c>
      <c r="D783">
        <f t="shared" ref="D783:D846" si="83">+DAY(A783)</f>
        <v>27</v>
      </c>
      <c r="E783">
        <v>1</v>
      </c>
      <c r="F783">
        <f t="shared" ref="F783:F846" si="84">+MONTH(A783)</f>
        <v>12</v>
      </c>
      <c r="G783">
        <f t="shared" ref="G783:G846" si="85">+YEAR(A783)</f>
        <v>2022</v>
      </c>
      <c r="I783" s="17">
        <f t="shared" ref="I783:I846" si="86">+DATE(G783,F783,E783)</f>
        <v>44896</v>
      </c>
      <c r="O783">
        <f t="shared" si="82"/>
        <v>0</v>
      </c>
    </row>
    <row r="784" spans="1:15" x14ac:dyDescent="0.3">
      <c r="A784" s="17">
        <v>44918</v>
      </c>
      <c r="B784">
        <v>0.38</v>
      </c>
      <c r="D784">
        <f t="shared" si="83"/>
        <v>23</v>
      </c>
      <c r="E784">
        <v>1</v>
      </c>
      <c r="F784">
        <f t="shared" si="84"/>
        <v>12</v>
      </c>
      <c r="G784">
        <f t="shared" si="85"/>
        <v>2022</v>
      </c>
      <c r="I784" s="17">
        <f t="shared" si="86"/>
        <v>44896</v>
      </c>
      <c r="O784">
        <f t="shared" si="82"/>
        <v>0</v>
      </c>
    </row>
    <row r="785" spans="1:15" x14ac:dyDescent="0.3">
      <c r="A785" s="17">
        <v>44917</v>
      </c>
      <c r="B785">
        <v>0.22</v>
      </c>
      <c r="D785">
        <f t="shared" si="83"/>
        <v>22</v>
      </c>
      <c r="E785">
        <v>1</v>
      </c>
      <c r="F785">
        <f t="shared" si="84"/>
        <v>12</v>
      </c>
      <c r="G785">
        <f t="shared" si="85"/>
        <v>2022</v>
      </c>
      <c r="I785" s="17">
        <f t="shared" si="86"/>
        <v>44896</v>
      </c>
      <c r="O785">
        <f t="shared" si="82"/>
        <v>0</v>
      </c>
    </row>
    <row r="786" spans="1:15" x14ac:dyDescent="0.3">
      <c r="A786" s="17">
        <v>44916</v>
      </c>
      <c r="B786">
        <v>0.38</v>
      </c>
      <c r="D786">
        <f t="shared" si="83"/>
        <v>21</v>
      </c>
      <c r="E786">
        <v>1</v>
      </c>
      <c r="F786">
        <f t="shared" si="84"/>
        <v>12</v>
      </c>
      <c r="G786">
        <f t="shared" si="85"/>
        <v>2022</v>
      </c>
      <c r="I786" s="17">
        <f t="shared" si="86"/>
        <v>44896</v>
      </c>
      <c r="O786">
        <f t="shared" si="82"/>
        <v>0</v>
      </c>
    </row>
    <row r="787" spans="1:15" x14ac:dyDescent="0.3">
      <c r="A787" s="17">
        <v>44915</v>
      </c>
      <c r="B787">
        <v>0.43</v>
      </c>
      <c r="D787">
        <f t="shared" si="83"/>
        <v>20</v>
      </c>
      <c r="E787">
        <v>1</v>
      </c>
      <c r="F787">
        <f t="shared" si="84"/>
        <v>12</v>
      </c>
      <c r="G787">
        <f t="shared" si="85"/>
        <v>2022</v>
      </c>
      <c r="I787" s="17">
        <f t="shared" si="86"/>
        <v>44896</v>
      </c>
      <c r="O787">
        <f t="shared" si="82"/>
        <v>0</v>
      </c>
    </row>
    <row r="788" spans="1:15" x14ac:dyDescent="0.3">
      <c r="A788" s="17">
        <v>44914</v>
      </c>
      <c r="B788">
        <v>0.48</v>
      </c>
      <c r="D788">
        <f t="shared" si="83"/>
        <v>19</v>
      </c>
      <c r="E788">
        <v>1</v>
      </c>
      <c r="F788">
        <f t="shared" si="84"/>
        <v>12</v>
      </c>
      <c r="G788">
        <f t="shared" si="85"/>
        <v>2022</v>
      </c>
      <c r="I788" s="17">
        <f t="shared" si="86"/>
        <v>44896</v>
      </c>
      <c r="O788">
        <f t="shared" si="82"/>
        <v>0</v>
      </c>
    </row>
    <row r="789" spans="1:15" x14ac:dyDescent="0.3">
      <c r="A789" s="17">
        <v>44911</v>
      </c>
      <c r="B789">
        <v>0.46</v>
      </c>
      <c r="D789">
        <f t="shared" si="83"/>
        <v>16</v>
      </c>
      <c r="E789">
        <v>1</v>
      </c>
      <c r="F789">
        <f t="shared" si="84"/>
        <v>12</v>
      </c>
      <c r="G789">
        <f t="shared" si="85"/>
        <v>2022</v>
      </c>
      <c r="I789" s="17">
        <f t="shared" si="86"/>
        <v>44896</v>
      </c>
      <c r="O789">
        <f t="shared" si="82"/>
        <v>0</v>
      </c>
    </row>
    <row r="790" spans="1:15" x14ac:dyDescent="0.3">
      <c r="A790" s="17">
        <v>44910</v>
      </c>
      <c r="B790">
        <v>0.14000000000000001</v>
      </c>
      <c r="D790">
        <f t="shared" si="83"/>
        <v>15</v>
      </c>
      <c r="E790">
        <v>1</v>
      </c>
      <c r="F790">
        <f t="shared" si="84"/>
        <v>12</v>
      </c>
      <c r="G790">
        <f t="shared" si="85"/>
        <v>2022</v>
      </c>
      <c r="I790" s="17">
        <f t="shared" si="86"/>
        <v>44896</v>
      </c>
      <c r="O790">
        <f t="shared" si="82"/>
        <v>0</v>
      </c>
    </row>
    <row r="791" spans="1:15" x14ac:dyDescent="0.3">
      <c r="A791" s="17">
        <v>44909</v>
      </c>
      <c r="B791">
        <v>0.17</v>
      </c>
      <c r="D791">
        <f t="shared" si="83"/>
        <v>14</v>
      </c>
      <c r="E791">
        <v>1</v>
      </c>
      <c r="F791">
        <f t="shared" si="84"/>
        <v>12</v>
      </c>
      <c r="G791">
        <f t="shared" si="85"/>
        <v>2022</v>
      </c>
      <c r="I791" s="17">
        <f t="shared" si="86"/>
        <v>44896</v>
      </c>
      <c r="O791">
        <f t="shared" si="82"/>
        <v>0</v>
      </c>
    </row>
    <row r="792" spans="1:15" x14ac:dyDescent="0.3">
      <c r="A792" s="17">
        <v>44908</v>
      </c>
      <c r="B792">
        <v>0.21</v>
      </c>
      <c r="D792">
        <f t="shared" si="83"/>
        <v>13</v>
      </c>
      <c r="E792">
        <v>1</v>
      </c>
      <c r="F792">
        <f t="shared" si="84"/>
        <v>12</v>
      </c>
      <c r="G792">
        <f t="shared" si="85"/>
        <v>2022</v>
      </c>
      <c r="I792" s="17">
        <f t="shared" si="86"/>
        <v>44896</v>
      </c>
      <c r="O792">
        <f t="shared" si="82"/>
        <v>0</v>
      </c>
    </row>
    <row r="793" spans="1:15" x14ac:dyDescent="0.3">
      <c r="A793" s="17">
        <v>44907</v>
      </c>
      <c r="B793">
        <v>-0.05</v>
      </c>
      <c r="D793">
        <f t="shared" si="83"/>
        <v>12</v>
      </c>
      <c r="E793">
        <v>1</v>
      </c>
      <c r="F793">
        <f t="shared" si="84"/>
        <v>12</v>
      </c>
      <c r="G793">
        <f t="shared" si="85"/>
        <v>2022</v>
      </c>
      <c r="I793" s="17">
        <f t="shared" si="86"/>
        <v>44896</v>
      </c>
      <c r="O793">
        <f t="shared" si="82"/>
        <v>0</v>
      </c>
    </row>
    <row r="794" spans="1:15" x14ac:dyDescent="0.3">
      <c r="A794" s="17">
        <v>44904</v>
      </c>
      <c r="B794">
        <v>-7.0000000000000007E-2</v>
      </c>
      <c r="D794">
        <f t="shared" si="83"/>
        <v>9</v>
      </c>
      <c r="E794">
        <v>1</v>
      </c>
      <c r="F794">
        <f t="shared" si="84"/>
        <v>12</v>
      </c>
      <c r="G794">
        <f t="shared" si="85"/>
        <v>2022</v>
      </c>
      <c r="I794" s="17">
        <f t="shared" si="86"/>
        <v>44896</v>
      </c>
      <c r="O794">
        <f t="shared" si="82"/>
        <v>0</v>
      </c>
    </row>
    <row r="795" spans="1:15" x14ac:dyDescent="0.3">
      <c r="A795" s="17">
        <v>44903</v>
      </c>
      <c r="B795">
        <v>0.06</v>
      </c>
      <c r="D795">
        <f t="shared" si="83"/>
        <v>8</v>
      </c>
      <c r="E795">
        <v>1</v>
      </c>
      <c r="F795">
        <f t="shared" si="84"/>
        <v>12</v>
      </c>
      <c r="G795">
        <f t="shared" si="85"/>
        <v>2022</v>
      </c>
      <c r="I795" s="17">
        <f t="shared" si="86"/>
        <v>44896</v>
      </c>
      <c r="O795">
        <f t="shared" si="82"/>
        <v>0</v>
      </c>
    </row>
    <row r="796" spans="1:15" x14ac:dyDescent="0.3">
      <c r="A796" s="17">
        <v>44902</v>
      </c>
      <c r="B796">
        <v>0.06</v>
      </c>
      <c r="D796">
        <f t="shared" si="83"/>
        <v>7</v>
      </c>
      <c r="E796">
        <v>1</v>
      </c>
      <c r="F796">
        <f t="shared" si="84"/>
        <v>12</v>
      </c>
      <c r="G796">
        <f t="shared" si="85"/>
        <v>2022</v>
      </c>
      <c r="I796" s="17">
        <f t="shared" si="86"/>
        <v>44896</v>
      </c>
      <c r="O796">
        <f t="shared" si="82"/>
        <v>0</v>
      </c>
    </row>
    <row r="797" spans="1:15" x14ac:dyDescent="0.3">
      <c r="A797" s="17">
        <v>44901</v>
      </c>
      <c r="B797">
        <v>0.34</v>
      </c>
      <c r="D797">
        <f t="shared" si="83"/>
        <v>6</v>
      </c>
      <c r="E797">
        <v>1</v>
      </c>
      <c r="F797">
        <f t="shared" si="84"/>
        <v>12</v>
      </c>
      <c r="G797">
        <f t="shared" si="85"/>
        <v>2022</v>
      </c>
      <c r="I797" s="17">
        <f t="shared" si="86"/>
        <v>44896</v>
      </c>
      <c r="O797">
        <f t="shared" si="82"/>
        <v>0</v>
      </c>
    </row>
    <row r="798" spans="1:15" x14ac:dyDescent="0.3">
      <c r="A798" s="17">
        <v>44900</v>
      </c>
      <c r="B798">
        <v>0.34</v>
      </c>
      <c r="D798">
        <f t="shared" si="83"/>
        <v>5</v>
      </c>
      <c r="E798">
        <v>1</v>
      </c>
      <c r="F798">
        <f t="shared" si="84"/>
        <v>12</v>
      </c>
      <c r="G798">
        <f t="shared" si="85"/>
        <v>2022</v>
      </c>
      <c r="I798" s="17">
        <f t="shared" si="86"/>
        <v>44896</v>
      </c>
      <c r="O798">
        <f t="shared" si="82"/>
        <v>0</v>
      </c>
    </row>
    <row r="799" spans="1:15" x14ac:dyDescent="0.3">
      <c r="A799" s="17">
        <v>44897</v>
      </c>
      <c r="B799">
        <v>0.2</v>
      </c>
      <c r="D799">
        <f t="shared" si="83"/>
        <v>2</v>
      </c>
      <c r="E799">
        <v>1</v>
      </c>
      <c r="F799">
        <f t="shared" si="84"/>
        <v>12</v>
      </c>
      <c r="G799">
        <f t="shared" si="85"/>
        <v>2022</v>
      </c>
      <c r="I799" s="17">
        <f t="shared" si="86"/>
        <v>44896</v>
      </c>
      <c r="O799">
        <f t="shared" si="82"/>
        <v>1</v>
      </c>
    </row>
    <row r="800" spans="1:15" x14ac:dyDescent="0.3">
      <c r="A800" s="17">
        <v>44896</v>
      </c>
      <c r="B800">
        <v>0.48</v>
      </c>
      <c r="D800">
        <f t="shared" si="83"/>
        <v>1</v>
      </c>
      <c r="E800">
        <v>1</v>
      </c>
      <c r="F800">
        <f t="shared" si="84"/>
        <v>12</v>
      </c>
      <c r="G800">
        <f t="shared" si="85"/>
        <v>2022</v>
      </c>
      <c r="I800" s="17">
        <f t="shared" si="86"/>
        <v>44896</v>
      </c>
      <c r="O800">
        <f t="shared" si="82"/>
        <v>1</v>
      </c>
    </row>
    <row r="801" spans="1:15" x14ac:dyDescent="0.3">
      <c r="A801" s="17">
        <v>44895</v>
      </c>
      <c r="B801">
        <v>0.93</v>
      </c>
      <c r="D801">
        <f t="shared" si="83"/>
        <v>30</v>
      </c>
      <c r="E801">
        <v>1</v>
      </c>
      <c r="F801">
        <f t="shared" si="84"/>
        <v>11</v>
      </c>
      <c r="G801">
        <f t="shared" si="85"/>
        <v>2022</v>
      </c>
      <c r="I801" s="17">
        <f t="shared" si="86"/>
        <v>44866</v>
      </c>
      <c r="O801">
        <f t="shared" si="82"/>
        <v>0</v>
      </c>
    </row>
    <row r="802" spans="1:15" x14ac:dyDescent="0.3">
      <c r="A802" s="17">
        <v>44894</v>
      </c>
      <c r="B802">
        <v>1.08</v>
      </c>
      <c r="D802">
        <f t="shared" si="83"/>
        <v>29</v>
      </c>
      <c r="E802">
        <v>1</v>
      </c>
      <c r="F802">
        <f t="shared" si="84"/>
        <v>11</v>
      </c>
      <c r="G802">
        <f t="shared" si="85"/>
        <v>2022</v>
      </c>
      <c r="I802" s="17">
        <f t="shared" si="86"/>
        <v>44866</v>
      </c>
      <c r="O802">
        <f t="shared" si="82"/>
        <v>0</v>
      </c>
    </row>
    <row r="803" spans="1:15" x14ac:dyDescent="0.3">
      <c r="A803" s="17">
        <v>44893</v>
      </c>
      <c r="B803">
        <v>1.03</v>
      </c>
      <c r="D803">
        <f t="shared" si="83"/>
        <v>28</v>
      </c>
      <c r="E803">
        <v>1</v>
      </c>
      <c r="F803">
        <f t="shared" si="84"/>
        <v>11</v>
      </c>
      <c r="G803">
        <f t="shared" si="85"/>
        <v>2022</v>
      </c>
      <c r="I803" s="17">
        <f t="shared" si="86"/>
        <v>44866</v>
      </c>
      <c r="O803">
        <f t="shared" si="82"/>
        <v>0</v>
      </c>
    </row>
    <row r="804" spans="1:15" x14ac:dyDescent="0.3">
      <c r="A804" s="17">
        <v>44890</v>
      </c>
      <c r="B804">
        <v>0.63</v>
      </c>
      <c r="D804">
        <f t="shared" si="83"/>
        <v>25</v>
      </c>
      <c r="E804">
        <v>1</v>
      </c>
      <c r="F804">
        <f t="shared" si="84"/>
        <v>11</v>
      </c>
      <c r="G804">
        <f t="shared" si="85"/>
        <v>2022</v>
      </c>
      <c r="I804" s="17">
        <f t="shared" si="86"/>
        <v>44866</v>
      </c>
      <c r="O804">
        <f t="shared" si="82"/>
        <v>0</v>
      </c>
    </row>
    <row r="805" spans="1:15" x14ac:dyDescent="0.3">
      <c r="A805" s="17">
        <v>44889</v>
      </c>
      <c r="B805">
        <v>0.24</v>
      </c>
      <c r="D805">
        <f t="shared" si="83"/>
        <v>24</v>
      </c>
      <c r="E805">
        <v>1</v>
      </c>
      <c r="F805">
        <f t="shared" si="84"/>
        <v>11</v>
      </c>
      <c r="G805">
        <f t="shared" si="85"/>
        <v>2022</v>
      </c>
      <c r="I805" s="17">
        <f t="shared" si="86"/>
        <v>44866</v>
      </c>
      <c r="O805">
        <f t="shared" si="82"/>
        <v>0</v>
      </c>
    </row>
    <row r="806" spans="1:15" x14ac:dyDescent="0.3">
      <c r="A806" s="17">
        <v>44888</v>
      </c>
      <c r="B806">
        <v>0.38</v>
      </c>
      <c r="D806">
        <f t="shared" si="83"/>
        <v>23</v>
      </c>
      <c r="E806">
        <v>1</v>
      </c>
      <c r="F806">
        <f t="shared" si="84"/>
        <v>11</v>
      </c>
      <c r="G806">
        <f t="shared" si="85"/>
        <v>2022</v>
      </c>
      <c r="I806" s="17">
        <f t="shared" si="86"/>
        <v>44866</v>
      </c>
      <c r="O806">
        <f t="shared" si="82"/>
        <v>0</v>
      </c>
    </row>
    <row r="807" spans="1:15" x14ac:dyDescent="0.3">
      <c r="A807" s="17">
        <v>44887</v>
      </c>
      <c r="B807">
        <v>0.62</v>
      </c>
      <c r="D807">
        <f t="shared" si="83"/>
        <v>22</v>
      </c>
      <c r="E807">
        <v>1</v>
      </c>
      <c r="F807">
        <f t="shared" si="84"/>
        <v>11</v>
      </c>
      <c r="G807">
        <f t="shared" si="85"/>
        <v>2022</v>
      </c>
      <c r="I807" s="17">
        <f t="shared" si="86"/>
        <v>44866</v>
      </c>
      <c r="O807">
        <f t="shared" si="82"/>
        <v>0</v>
      </c>
    </row>
    <row r="808" spans="1:15" x14ac:dyDescent="0.3">
      <c r="A808" s="17">
        <v>44886</v>
      </c>
      <c r="B808">
        <v>0.57999999999999996</v>
      </c>
      <c r="D808">
        <f t="shared" si="83"/>
        <v>21</v>
      </c>
      <c r="E808">
        <v>1</v>
      </c>
      <c r="F808">
        <f t="shared" si="84"/>
        <v>11</v>
      </c>
      <c r="G808">
        <f t="shared" si="85"/>
        <v>2022</v>
      </c>
      <c r="I808" s="17">
        <f t="shared" si="86"/>
        <v>44866</v>
      </c>
      <c r="O808">
        <f t="shared" si="82"/>
        <v>0</v>
      </c>
    </row>
    <row r="809" spans="1:15" x14ac:dyDescent="0.3">
      <c r="A809" s="17">
        <v>44883</v>
      </c>
      <c r="B809">
        <v>1.49</v>
      </c>
      <c r="D809">
        <f t="shared" si="83"/>
        <v>18</v>
      </c>
      <c r="E809">
        <v>1</v>
      </c>
      <c r="F809">
        <f t="shared" si="84"/>
        <v>11</v>
      </c>
      <c r="G809">
        <f t="shared" si="85"/>
        <v>2022</v>
      </c>
      <c r="I809" s="17">
        <f t="shared" si="86"/>
        <v>44866</v>
      </c>
      <c r="O809">
        <f t="shared" si="82"/>
        <v>0</v>
      </c>
    </row>
    <row r="810" spans="1:15" x14ac:dyDescent="0.3">
      <c r="A810" s="17">
        <v>44882</v>
      </c>
      <c r="B810">
        <v>1.83</v>
      </c>
      <c r="D810">
        <f t="shared" si="83"/>
        <v>17</v>
      </c>
      <c r="E810">
        <v>1</v>
      </c>
      <c r="F810">
        <f t="shared" si="84"/>
        <v>11</v>
      </c>
      <c r="G810">
        <f t="shared" si="85"/>
        <v>2022</v>
      </c>
      <c r="I810" s="17">
        <f t="shared" si="86"/>
        <v>44866</v>
      </c>
      <c r="O810">
        <f t="shared" si="82"/>
        <v>0</v>
      </c>
    </row>
    <row r="811" spans="1:15" x14ac:dyDescent="0.3">
      <c r="A811" s="17">
        <v>44881</v>
      </c>
      <c r="B811">
        <v>1.82</v>
      </c>
      <c r="D811">
        <f t="shared" si="83"/>
        <v>16</v>
      </c>
      <c r="E811">
        <v>1</v>
      </c>
      <c r="F811">
        <f t="shared" si="84"/>
        <v>11</v>
      </c>
      <c r="G811">
        <f t="shared" si="85"/>
        <v>2022</v>
      </c>
      <c r="I811" s="17">
        <f t="shared" si="86"/>
        <v>44866</v>
      </c>
      <c r="O811">
        <f t="shared" si="82"/>
        <v>0</v>
      </c>
    </row>
    <row r="812" spans="1:15" x14ac:dyDescent="0.3">
      <c r="A812" s="17">
        <v>44880</v>
      </c>
      <c r="B812">
        <v>1.96</v>
      </c>
      <c r="D812">
        <f t="shared" si="83"/>
        <v>15</v>
      </c>
      <c r="E812">
        <v>1</v>
      </c>
      <c r="F812">
        <f t="shared" si="84"/>
        <v>11</v>
      </c>
      <c r="G812">
        <f t="shared" si="85"/>
        <v>2022</v>
      </c>
      <c r="I812" s="17">
        <f t="shared" si="86"/>
        <v>44866</v>
      </c>
      <c r="O812">
        <f t="shared" si="82"/>
        <v>0</v>
      </c>
    </row>
    <row r="813" spans="1:15" x14ac:dyDescent="0.3">
      <c r="A813" s="17">
        <v>44879</v>
      </c>
      <c r="B813">
        <v>2.74</v>
      </c>
      <c r="D813">
        <f t="shared" si="83"/>
        <v>14</v>
      </c>
      <c r="E813">
        <v>1</v>
      </c>
      <c r="F813">
        <f t="shared" si="84"/>
        <v>11</v>
      </c>
      <c r="G813">
        <f t="shared" si="85"/>
        <v>2022</v>
      </c>
      <c r="I813" s="17">
        <f t="shared" si="86"/>
        <v>44866</v>
      </c>
      <c r="O813">
        <f t="shared" si="82"/>
        <v>0</v>
      </c>
    </row>
    <row r="814" spans="1:15" x14ac:dyDescent="0.3">
      <c r="A814" s="17">
        <v>44876</v>
      </c>
      <c r="B814">
        <v>3.04</v>
      </c>
      <c r="D814">
        <f t="shared" si="83"/>
        <v>11</v>
      </c>
      <c r="E814">
        <v>1</v>
      </c>
      <c r="F814">
        <f t="shared" si="84"/>
        <v>11</v>
      </c>
      <c r="G814">
        <f t="shared" si="85"/>
        <v>2022</v>
      </c>
      <c r="I814" s="17">
        <f t="shared" si="86"/>
        <v>44866</v>
      </c>
      <c r="O814">
        <f t="shared" si="82"/>
        <v>0</v>
      </c>
    </row>
    <row r="815" spans="1:15" x14ac:dyDescent="0.3">
      <c r="A815" s="17">
        <v>44875</v>
      </c>
      <c r="B815">
        <v>2.97</v>
      </c>
      <c r="D815">
        <f t="shared" si="83"/>
        <v>10</v>
      </c>
      <c r="E815">
        <v>1</v>
      </c>
      <c r="F815">
        <f t="shared" si="84"/>
        <v>11</v>
      </c>
      <c r="G815">
        <f t="shared" si="85"/>
        <v>2022</v>
      </c>
      <c r="I815" s="17">
        <f t="shared" si="86"/>
        <v>44866</v>
      </c>
      <c r="O815">
        <f t="shared" si="82"/>
        <v>0</v>
      </c>
    </row>
    <row r="816" spans="1:15" x14ac:dyDescent="0.3">
      <c r="A816" s="17">
        <v>44874</v>
      </c>
      <c r="B816">
        <v>3.18</v>
      </c>
      <c r="D816">
        <f t="shared" si="83"/>
        <v>9</v>
      </c>
      <c r="E816">
        <v>1</v>
      </c>
      <c r="F816">
        <f t="shared" si="84"/>
        <v>11</v>
      </c>
      <c r="G816">
        <f t="shared" si="85"/>
        <v>2022</v>
      </c>
      <c r="I816" s="17">
        <f t="shared" si="86"/>
        <v>44866</v>
      </c>
      <c r="O816">
        <f t="shared" si="82"/>
        <v>0</v>
      </c>
    </row>
    <row r="817" spans="1:15" x14ac:dyDescent="0.3">
      <c r="A817" s="17">
        <v>44873</v>
      </c>
      <c r="B817">
        <v>3.5</v>
      </c>
      <c r="D817">
        <f t="shared" si="83"/>
        <v>8</v>
      </c>
      <c r="E817">
        <v>1</v>
      </c>
      <c r="F817">
        <f t="shared" si="84"/>
        <v>11</v>
      </c>
      <c r="G817">
        <f t="shared" si="85"/>
        <v>2022</v>
      </c>
      <c r="I817" s="17">
        <f t="shared" si="86"/>
        <v>44866</v>
      </c>
      <c r="O817">
        <f t="shared" si="82"/>
        <v>0</v>
      </c>
    </row>
    <row r="818" spans="1:15" x14ac:dyDescent="0.3">
      <c r="A818" s="17">
        <v>44872</v>
      </c>
      <c r="B818">
        <v>3.44</v>
      </c>
      <c r="D818">
        <f t="shared" si="83"/>
        <v>7</v>
      </c>
      <c r="E818">
        <v>1</v>
      </c>
      <c r="F818">
        <f t="shared" si="84"/>
        <v>11</v>
      </c>
      <c r="G818">
        <f t="shared" si="85"/>
        <v>2022</v>
      </c>
      <c r="I818" s="17">
        <f t="shared" si="86"/>
        <v>44866</v>
      </c>
      <c r="O818">
        <f t="shared" si="82"/>
        <v>0</v>
      </c>
    </row>
    <row r="819" spans="1:15" x14ac:dyDescent="0.3">
      <c r="A819" s="17">
        <v>44869</v>
      </c>
      <c r="B819">
        <v>3.55</v>
      </c>
      <c r="D819">
        <f t="shared" si="83"/>
        <v>4</v>
      </c>
      <c r="E819">
        <v>1</v>
      </c>
      <c r="F819">
        <f t="shared" si="84"/>
        <v>11</v>
      </c>
      <c r="G819">
        <f t="shared" si="85"/>
        <v>2022</v>
      </c>
      <c r="I819" s="17">
        <f t="shared" si="86"/>
        <v>44866</v>
      </c>
      <c r="O819">
        <f t="shared" si="82"/>
        <v>1</v>
      </c>
    </row>
    <row r="820" spans="1:15" x14ac:dyDescent="0.3">
      <c r="A820" s="17">
        <v>44868</v>
      </c>
      <c r="B820">
        <v>3.29</v>
      </c>
      <c r="D820">
        <f t="shared" si="83"/>
        <v>3</v>
      </c>
      <c r="E820">
        <v>1</v>
      </c>
      <c r="F820">
        <f t="shared" si="84"/>
        <v>11</v>
      </c>
      <c r="G820">
        <f t="shared" si="85"/>
        <v>2022</v>
      </c>
      <c r="I820" s="17">
        <f t="shared" si="86"/>
        <v>44866</v>
      </c>
      <c r="O820">
        <f t="shared" si="82"/>
        <v>1</v>
      </c>
    </row>
    <row r="821" spans="1:15" x14ac:dyDescent="0.3">
      <c r="A821" s="17">
        <v>44867</v>
      </c>
      <c r="B821">
        <v>3.57</v>
      </c>
      <c r="D821">
        <f t="shared" si="83"/>
        <v>2</v>
      </c>
      <c r="E821">
        <v>1</v>
      </c>
      <c r="F821">
        <f t="shared" si="84"/>
        <v>11</v>
      </c>
      <c r="G821">
        <f t="shared" si="85"/>
        <v>2022</v>
      </c>
      <c r="I821" s="17">
        <f t="shared" si="86"/>
        <v>44866</v>
      </c>
      <c r="O821">
        <f t="shared" si="82"/>
        <v>1</v>
      </c>
    </row>
    <row r="822" spans="1:15" x14ac:dyDescent="0.3">
      <c r="A822" s="17">
        <v>44866</v>
      </c>
      <c r="B822">
        <v>4.05</v>
      </c>
      <c r="D822">
        <f t="shared" si="83"/>
        <v>1</v>
      </c>
      <c r="E822">
        <v>1</v>
      </c>
      <c r="F822">
        <f t="shared" si="84"/>
        <v>11</v>
      </c>
      <c r="G822">
        <f t="shared" si="85"/>
        <v>2022</v>
      </c>
      <c r="I822" s="17">
        <f t="shared" si="86"/>
        <v>44866</v>
      </c>
      <c r="O822">
        <f t="shared" si="82"/>
        <v>1</v>
      </c>
    </row>
    <row r="823" spans="1:15" x14ac:dyDescent="0.3">
      <c r="A823" s="17">
        <v>44865</v>
      </c>
      <c r="B823">
        <v>3.05</v>
      </c>
      <c r="D823">
        <f t="shared" si="83"/>
        <v>31</v>
      </c>
      <c r="E823">
        <v>1</v>
      </c>
      <c r="F823">
        <f t="shared" si="84"/>
        <v>10</v>
      </c>
      <c r="G823">
        <f t="shared" si="85"/>
        <v>2022</v>
      </c>
      <c r="I823" s="17">
        <f t="shared" si="86"/>
        <v>44835</v>
      </c>
      <c r="O823">
        <f t="shared" si="82"/>
        <v>0</v>
      </c>
    </row>
    <row r="824" spans="1:15" x14ac:dyDescent="0.3">
      <c r="A824" s="17">
        <v>44862</v>
      </c>
      <c r="B824">
        <v>3.36</v>
      </c>
      <c r="D824">
        <f t="shared" si="83"/>
        <v>28</v>
      </c>
      <c r="E824">
        <v>1</v>
      </c>
      <c r="F824">
        <f t="shared" si="84"/>
        <v>10</v>
      </c>
      <c r="G824">
        <f t="shared" si="85"/>
        <v>2022</v>
      </c>
      <c r="I824" s="17">
        <f t="shared" si="86"/>
        <v>44835</v>
      </c>
      <c r="O824">
        <f t="shared" si="82"/>
        <v>0</v>
      </c>
    </row>
    <row r="825" spans="1:15" x14ac:dyDescent="0.3">
      <c r="A825" s="17">
        <v>44861</v>
      </c>
      <c r="B825">
        <v>3.16</v>
      </c>
      <c r="D825">
        <f t="shared" si="83"/>
        <v>27</v>
      </c>
      <c r="E825">
        <v>1</v>
      </c>
      <c r="F825">
        <f t="shared" si="84"/>
        <v>10</v>
      </c>
      <c r="G825">
        <f t="shared" si="85"/>
        <v>2022</v>
      </c>
      <c r="I825" s="17">
        <f t="shared" si="86"/>
        <v>44835</v>
      </c>
      <c r="O825">
        <f t="shared" si="82"/>
        <v>0</v>
      </c>
    </row>
    <row r="826" spans="1:15" x14ac:dyDescent="0.3">
      <c r="A826" s="17">
        <v>44860</v>
      </c>
      <c r="B826">
        <v>3.5</v>
      </c>
      <c r="D826">
        <f t="shared" si="83"/>
        <v>26</v>
      </c>
      <c r="E826">
        <v>1</v>
      </c>
      <c r="F826">
        <f t="shared" si="84"/>
        <v>10</v>
      </c>
      <c r="G826">
        <f t="shared" si="85"/>
        <v>2022</v>
      </c>
      <c r="I826" s="17">
        <f t="shared" si="86"/>
        <v>44835</v>
      </c>
      <c r="O826">
        <f t="shared" si="82"/>
        <v>0</v>
      </c>
    </row>
    <row r="827" spans="1:15" x14ac:dyDescent="0.3">
      <c r="A827" s="17">
        <v>44859</v>
      </c>
      <c r="B827">
        <v>3.27</v>
      </c>
      <c r="D827">
        <f t="shared" si="83"/>
        <v>25</v>
      </c>
      <c r="E827">
        <v>1</v>
      </c>
      <c r="F827">
        <f t="shared" si="84"/>
        <v>10</v>
      </c>
      <c r="G827">
        <f t="shared" si="85"/>
        <v>2022</v>
      </c>
      <c r="I827" s="17">
        <f t="shared" si="86"/>
        <v>44835</v>
      </c>
      <c r="O827">
        <f t="shared" si="82"/>
        <v>0</v>
      </c>
    </row>
    <row r="828" spans="1:15" x14ac:dyDescent="0.3">
      <c r="A828" s="17">
        <v>44855</v>
      </c>
      <c r="B828">
        <v>3.72</v>
      </c>
      <c r="D828">
        <f t="shared" si="83"/>
        <v>21</v>
      </c>
      <c r="E828">
        <v>1</v>
      </c>
      <c r="F828">
        <f t="shared" si="84"/>
        <v>10</v>
      </c>
      <c r="G828">
        <f t="shared" si="85"/>
        <v>2022</v>
      </c>
      <c r="I828" s="17">
        <f t="shared" si="86"/>
        <v>44835</v>
      </c>
      <c r="O828">
        <f t="shared" si="82"/>
        <v>0</v>
      </c>
    </row>
    <row r="829" spans="1:15" x14ac:dyDescent="0.3">
      <c r="A829" s="17">
        <v>44854</v>
      </c>
      <c r="B829">
        <v>3.68</v>
      </c>
      <c r="D829">
        <f t="shared" si="83"/>
        <v>20</v>
      </c>
      <c r="E829">
        <v>1</v>
      </c>
      <c r="F829">
        <f t="shared" si="84"/>
        <v>10</v>
      </c>
      <c r="G829">
        <f t="shared" si="85"/>
        <v>2022</v>
      </c>
      <c r="I829" s="17">
        <f t="shared" si="86"/>
        <v>44835</v>
      </c>
      <c r="O829">
        <f t="shared" si="82"/>
        <v>0</v>
      </c>
    </row>
    <row r="830" spans="1:15" x14ac:dyDescent="0.3">
      <c r="A830" s="17">
        <v>44853</v>
      </c>
      <c r="B830">
        <v>2.75</v>
      </c>
      <c r="D830">
        <f t="shared" si="83"/>
        <v>19</v>
      </c>
      <c r="E830">
        <v>1</v>
      </c>
      <c r="F830">
        <f t="shared" si="84"/>
        <v>10</v>
      </c>
      <c r="G830">
        <f t="shared" si="85"/>
        <v>2022</v>
      </c>
      <c r="I830" s="17">
        <f t="shared" si="86"/>
        <v>44835</v>
      </c>
      <c r="O830">
        <f t="shared" si="82"/>
        <v>0</v>
      </c>
    </row>
    <row r="831" spans="1:15" x14ac:dyDescent="0.3">
      <c r="A831" s="17">
        <v>44852</v>
      </c>
      <c r="B831">
        <v>3.49</v>
      </c>
      <c r="D831">
        <f t="shared" si="83"/>
        <v>18</v>
      </c>
      <c r="E831">
        <v>1</v>
      </c>
      <c r="F831">
        <f t="shared" si="84"/>
        <v>10</v>
      </c>
      <c r="G831">
        <f t="shared" si="85"/>
        <v>2022</v>
      </c>
      <c r="I831" s="17">
        <f t="shared" si="86"/>
        <v>44835</v>
      </c>
      <c r="O831">
        <f t="shared" si="82"/>
        <v>0</v>
      </c>
    </row>
    <row r="832" spans="1:15" x14ac:dyDescent="0.3">
      <c r="A832" s="17">
        <v>44851</v>
      </c>
      <c r="B832">
        <v>3.95</v>
      </c>
      <c r="D832">
        <f t="shared" si="83"/>
        <v>17</v>
      </c>
      <c r="E832">
        <v>1</v>
      </c>
      <c r="F832">
        <f t="shared" si="84"/>
        <v>10</v>
      </c>
      <c r="G832">
        <f t="shared" si="85"/>
        <v>2022</v>
      </c>
      <c r="I832" s="17">
        <f t="shared" si="86"/>
        <v>44835</v>
      </c>
      <c r="O832">
        <f t="shared" si="82"/>
        <v>0</v>
      </c>
    </row>
    <row r="833" spans="1:15" x14ac:dyDescent="0.3">
      <c r="A833" s="17">
        <v>44848</v>
      </c>
      <c r="B833">
        <v>4.3899999999999997</v>
      </c>
      <c r="D833">
        <f t="shared" si="83"/>
        <v>14</v>
      </c>
      <c r="E833">
        <v>1</v>
      </c>
      <c r="F833">
        <f t="shared" si="84"/>
        <v>10</v>
      </c>
      <c r="G833">
        <f t="shared" si="85"/>
        <v>2022</v>
      </c>
      <c r="I833" s="17">
        <f t="shared" si="86"/>
        <v>44835</v>
      </c>
      <c r="O833">
        <f t="shared" si="82"/>
        <v>0</v>
      </c>
    </row>
    <row r="834" spans="1:15" x14ac:dyDescent="0.3">
      <c r="A834" s="17">
        <v>44847</v>
      </c>
      <c r="B834">
        <v>4.4000000000000004</v>
      </c>
      <c r="D834">
        <f t="shared" si="83"/>
        <v>13</v>
      </c>
      <c r="E834">
        <v>1</v>
      </c>
      <c r="F834">
        <f t="shared" si="84"/>
        <v>10</v>
      </c>
      <c r="G834">
        <f t="shared" si="85"/>
        <v>2022</v>
      </c>
      <c r="I834" s="17">
        <f t="shared" si="86"/>
        <v>44835</v>
      </c>
      <c r="O834">
        <f t="shared" si="82"/>
        <v>0</v>
      </c>
    </row>
    <row r="835" spans="1:15" x14ac:dyDescent="0.3">
      <c r="A835" s="17">
        <v>44846</v>
      </c>
      <c r="B835">
        <v>4.16</v>
      </c>
      <c r="D835">
        <f t="shared" si="83"/>
        <v>12</v>
      </c>
      <c r="E835">
        <v>1</v>
      </c>
      <c r="F835">
        <f t="shared" si="84"/>
        <v>10</v>
      </c>
      <c r="G835">
        <f t="shared" si="85"/>
        <v>2022</v>
      </c>
      <c r="I835" s="17">
        <f t="shared" si="86"/>
        <v>44835</v>
      </c>
      <c r="O835">
        <f t="shared" si="82"/>
        <v>0</v>
      </c>
    </row>
    <row r="836" spans="1:15" x14ac:dyDescent="0.3">
      <c r="A836" s="17">
        <v>44845</v>
      </c>
      <c r="B836">
        <v>4.68</v>
      </c>
      <c r="D836">
        <f t="shared" si="83"/>
        <v>11</v>
      </c>
      <c r="E836">
        <v>1</v>
      </c>
      <c r="F836">
        <f t="shared" si="84"/>
        <v>10</v>
      </c>
      <c r="G836">
        <f t="shared" si="85"/>
        <v>2022</v>
      </c>
      <c r="I836" s="17">
        <f t="shared" si="86"/>
        <v>44835</v>
      </c>
      <c r="O836">
        <f t="shared" si="82"/>
        <v>0</v>
      </c>
    </row>
    <row r="837" spans="1:15" x14ac:dyDescent="0.3">
      <c r="A837" s="17">
        <v>44844</v>
      </c>
      <c r="B837">
        <v>4.84</v>
      </c>
      <c r="D837">
        <f t="shared" si="83"/>
        <v>10</v>
      </c>
      <c r="E837">
        <v>1</v>
      </c>
      <c r="F837">
        <f t="shared" si="84"/>
        <v>10</v>
      </c>
      <c r="G837">
        <f t="shared" si="85"/>
        <v>2022</v>
      </c>
      <c r="I837" s="17">
        <f t="shared" si="86"/>
        <v>44835</v>
      </c>
      <c r="O837">
        <f t="shared" si="82"/>
        <v>0</v>
      </c>
    </row>
    <row r="838" spans="1:15" x14ac:dyDescent="0.3">
      <c r="A838" s="17">
        <v>44841</v>
      </c>
      <c r="B838">
        <v>5.0199999999999996</v>
      </c>
      <c r="D838">
        <f t="shared" si="83"/>
        <v>7</v>
      </c>
      <c r="E838">
        <v>1</v>
      </c>
      <c r="F838">
        <f t="shared" si="84"/>
        <v>10</v>
      </c>
      <c r="G838">
        <f t="shared" si="85"/>
        <v>2022</v>
      </c>
      <c r="I838" s="17">
        <f t="shared" si="86"/>
        <v>44835</v>
      </c>
      <c r="O838">
        <f t="shared" si="82"/>
        <v>0</v>
      </c>
    </row>
    <row r="839" spans="1:15" x14ac:dyDescent="0.3">
      <c r="A839" s="17">
        <v>44840</v>
      </c>
      <c r="B839">
        <v>5.35</v>
      </c>
      <c r="D839">
        <f t="shared" si="83"/>
        <v>6</v>
      </c>
      <c r="E839">
        <v>1</v>
      </c>
      <c r="F839">
        <f t="shared" si="84"/>
        <v>10</v>
      </c>
      <c r="G839">
        <f t="shared" si="85"/>
        <v>2022</v>
      </c>
      <c r="I839" s="17">
        <f t="shared" si="86"/>
        <v>44835</v>
      </c>
      <c r="O839">
        <f t="shared" ref="O839:O902" si="87">IF(AND(D839&gt;=1, D839&lt;=4), 1, 0)</f>
        <v>0</v>
      </c>
    </row>
    <row r="840" spans="1:15" x14ac:dyDescent="0.3">
      <c r="A840" s="17">
        <v>44839</v>
      </c>
      <c r="B840">
        <v>4.97</v>
      </c>
      <c r="D840">
        <f t="shared" si="83"/>
        <v>5</v>
      </c>
      <c r="E840">
        <v>1</v>
      </c>
      <c r="F840">
        <f t="shared" si="84"/>
        <v>10</v>
      </c>
      <c r="G840">
        <f t="shared" si="85"/>
        <v>2022</v>
      </c>
      <c r="I840" s="17">
        <f t="shared" si="86"/>
        <v>44835</v>
      </c>
      <c r="O840">
        <f t="shared" si="87"/>
        <v>0</v>
      </c>
    </row>
    <row r="841" spans="1:15" x14ac:dyDescent="0.3">
      <c r="A841" s="17">
        <v>44838</v>
      </c>
      <c r="B841">
        <v>4.72</v>
      </c>
      <c r="D841">
        <f t="shared" si="83"/>
        <v>4</v>
      </c>
      <c r="E841">
        <v>1</v>
      </c>
      <c r="F841">
        <f t="shared" si="84"/>
        <v>10</v>
      </c>
      <c r="G841">
        <f t="shared" si="85"/>
        <v>2022</v>
      </c>
      <c r="I841" s="17">
        <f t="shared" si="86"/>
        <v>44835</v>
      </c>
      <c r="O841">
        <f t="shared" si="87"/>
        <v>1</v>
      </c>
    </row>
    <row r="842" spans="1:15" x14ac:dyDescent="0.3">
      <c r="A842" s="17">
        <v>44837</v>
      </c>
      <c r="B842">
        <v>4.92</v>
      </c>
      <c r="D842">
        <f t="shared" si="83"/>
        <v>3</v>
      </c>
      <c r="E842">
        <v>1</v>
      </c>
      <c r="F842">
        <f t="shared" si="84"/>
        <v>10</v>
      </c>
      <c r="G842">
        <f t="shared" si="85"/>
        <v>2022</v>
      </c>
      <c r="I842" s="17">
        <f t="shared" si="86"/>
        <v>44835</v>
      </c>
      <c r="O842">
        <f t="shared" si="87"/>
        <v>1</v>
      </c>
    </row>
    <row r="843" spans="1:15" x14ac:dyDescent="0.3">
      <c r="A843" s="17">
        <v>44834</v>
      </c>
      <c r="B843">
        <v>4.33</v>
      </c>
      <c r="D843">
        <f t="shared" si="83"/>
        <v>30</v>
      </c>
      <c r="E843">
        <v>1</v>
      </c>
      <c r="F843">
        <f t="shared" si="84"/>
        <v>9</v>
      </c>
      <c r="G843">
        <f t="shared" si="85"/>
        <v>2022</v>
      </c>
      <c r="I843" s="17">
        <f t="shared" si="86"/>
        <v>44805</v>
      </c>
      <c r="O843">
        <f t="shared" si="87"/>
        <v>0</v>
      </c>
    </row>
    <row r="844" spans="1:15" x14ac:dyDescent="0.3">
      <c r="A844" s="17">
        <v>44833</v>
      </c>
      <c r="B844">
        <v>3.93</v>
      </c>
      <c r="D844">
        <f t="shared" si="83"/>
        <v>29</v>
      </c>
      <c r="E844">
        <v>1</v>
      </c>
      <c r="F844">
        <f t="shared" si="84"/>
        <v>9</v>
      </c>
      <c r="G844">
        <f t="shared" si="85"/>
        <v>2022</v>
      </c>
      <c r="I844" s="17">
        <f t="shared" si="86"/>
        <v>44805</v>
      </c>
      <c r="O844">
        <f t="shared" si="87"/>
        <v>0</v>
      </c>
    </row>
    <row r="845" spans="1:15" x14ac:dyDescent="0.3">
      <c r="A845" s="17">
        <v>44832</v>
      </c>
      <c r="B845">
        <v>3.01</v>
      </c>
      <c r="D845">
        <f t="shared" si="83"/>
        <v>28</v>
      </c>
      <c r="E845">
        <v>1</v>
      </c>
      <c r="F845">
        <f t="shared" si="84"/>
        <v>9</v>
      </c>
      <c r="G845">
        <f t="shared" si="85"/>
        <v>2022</v>
      </c>
      <c r="I845" s="17">
        <f t="shared" si="86"/>
        <v>44805</v>
      </c>
      <c r="O845">
        <f t="shared" si="87"/>
        <v>0</v>
      </c>
    </row>
    <row r="846" spans="1:15" x14ac:dyDescent="0.3">
      <c r="A846" s="17">
        <v>44831</v>
      </c>
      <c r="B846">
        <v>2.54</v>
      </c>
      <c r="D846">
        <f t="shared" si="83"/>
        <v>27</v>
      </c>
      <c r="E846">
        <v>1</v>
      </c>
      <c r="F846">
        <f t="shared" si="84"/>
        <v>9</v>
      </c>
      <c r="G846">
        <f t="shared" si="85"/>
        <v>2022</v>
      </c>
      <c r="I846" s="17">
        <f t="shared" si="86"/>
        <v>44805</v>
      </c>
      <c r="O846">
        <f t="shared" si="87"/>
        <v>0</v>
      </c>
    </row>
    <row r="847" spans="1:15" x14ac:dyDescent="0.3">
      <c r="A847" s="17">
        <v>44830</v>
      </c>
      <c r="B847">
        <v>2.97</v>
      </c>
      <c r="D847">
        <f t="shared" ref="D847:D910" si="88">+DAY(A847)</f>
        <v>26</v>
      </c>
      <c r="E847">
        <v>1</v>
      </c>
      <c r="F847">
        <f t="shared" ref="F847:F910" si="89">+MONTH(A847)</f>
        <v>9</v>
      </c>
      <c r="G847">
        <f t="shared" ref="G847:G910" si="90">+YEAR(A847)</f>
        <v>2022</v>
      </c>
      <c r="I847" s="17">
        <f t="shared" ref="I847:I910" si="91">+DATE(G847,F847,E847)</f>
        <v>44805</v>
      </c>
      <c r="O847">
        <f t="shared" si="87"/>
        <v>0</v>
      </c>
    </row>
    <row r="848" spans="1:15" x14ac:dyDescent="0.3">
      <c r="A848" s="17">
        <v>44827</v>
      </c>
      <c r="B848">
        <v>3.45</v>
      </c>
      <c r="D848">
        <f t="shared" si="88"/>
        <v>23</v>
      </c>
      <c r="E848">
        <v>1</v>
      </c>
      <c r="F848">
        <f t="shared" si="89"/>
        <v>9</v>
      </c>
      <c r="G848">
        <f t="shared" si="90"/>
        <v>2022</v>
      </c>
      <c r="I848" s="17">
        <f t="shared" si="91"/>
        <v>44805</v>
      </c>
      <c r="O848">
        <f t="shared" si="87"/>
        <v>0</v>
      </c>
    </row>
    <row r="849" spans="1:15" x14ac:dyDescent="0.3">
      <c r="A849" s="17">
        <v>44826</v>
      </c>
      <c r="B849">
        <v>3.85</v>
      </c>
      <c r="D849">
        <f t="shared" si="88"/>
        <v>22</v>
      </c>
      <c r="E849">
        <v>1</v>
      </c>
      <c r="F849">
        <f t="shared" si="89"/>
        <v>9</v>
      </c>
      <c r="G849">
        <f t="shared" si="90"/>
        <v>2022</v>
      </c>
      <c r="I849" s="17">
        <f t="shared" si="91"/>
        <v>44805</v>
      </c>
      <c r="O849">
        <f t="shared" si="87"/>
        <v>0</v>
      </c>
    </row>
    <row r="850" spans="1:15" x14ac:dyDescent="0.3">
      <c r="A850" s="17">
        <v>44825</v>
      </c>
      <c r="B850">
        <v>4.58</v>
      </c>
      <c r="D850">
        <f t="shared" si="88"/>
        <v>21</v>
      </c>
      <c r="E850">
        <v>1</v>
      </c>
      <c r="F850">
        <f t="shared" si="89"/>
        <v>9</v>
      </c>
      <c r="G850">
        <f t="shared" si="90"/>
        <v>2022</v>
      </c>
      <c r="I850" s="17">
        <f t="shared" si="91"/>
        <v>44805</v>
      </c>
      <c r="O850">
        <f t="shared" si="87"/>
        <v>0</v>
      </c>
    </row>
    <row r="851" spans="1:15" x14ac:dyDescent="0.3">
      <c r="A851" s="17">
        <v>44824</v>
      </c>
      <c r="B851">
        <v>4.8899999999999997</v>
      </c>
      <c r="D851">
        <f t="shared" si="88"/>
        <v>20</v>
      </c>
      <c r="E851">
        <v>1</v>
      </c>
      <c r="F851">
        <f t="shared" si="89"/>
        <v>9</v>
      </c>
      <c r="G851">
        <f t="shared" si="90"/>
        <v>2022</v>
      </c>
      <c r="I851" s="17">
        <f t="shared" si="91"/>
        <v>44805</v>
      </c>
      <c r="O851">
        <f t="shared" si="87"/>
        <v>0</v>
      </c>
    </row>
    <row r="852" spans="1:15" x14ac:dyDescent="0.3">
      <c r="A852" s="17">
        <v>44823</v>
      </c>
      <c r="B852">
        <v>5.28</v>
      </c>
      <c r="D852">
        <f t="shared" si="88"/>
        <v>19</v>
      </c>
      <c r="E852">
        <v>1</v>
      </c>
      <c r="F852">
        <f t="shared" si="89"/>
        <v>9</v>
      </c>
      <c r="G852">
        <f t="shared" si="90"/>
        <v>2022</v>
      </c>
      <c r="I852" s="17">
        <f t="shared" si="91"/>
        <v>44805</v>
      </c>
      <c r="O852">
        <f t="shared" si="87"/>
        <v>0</v>
      </c>
    </row>
    <row r="853" spans="1:15" x14ac:dyDescent="0.3">
      <c r="A853" s="17">
        <v>44820</v>
      </c>
      <c r="B853">
        <v>5.37</v>
      </c>
      <c r="D853">
        <f t="shared" si="88"/>
        <v>16</v>
      </c>
      <c r="E853">
        <v>1</v>
      </c>
      <c r="F853">
        <f t="shared" si="89"/>
        <v>9</v>
      </c>
      <c r="G853">
        <f t="shared" si="90"/>
        <v>2022</v>
      </c>
      <c r="I853" s="17">
        <f t="shared" si="91"/>
        <v>44805</v>
      </c>
      <c r="O853">
        <f t="shared" si="87"/>
        <v>0</v>
      </c>
    </row>
    <row r="854" spans="1:15" x14ac:dyDescent="0.3">
      <c r="A854" s="17">
        <v>44819</v>
      </c>
      <c r="B854">
        <v>5.07</v>
      </c>
      <c r="D854">
        <f t="shared" si="88"/>
        <v>15</v>
      </c>
      <c r="E854">
        <v>1</v>
      </c>
      <c r="F854">
        <f t="shared" si="89"/>
        <v>9</v>
      </c>
      <c r="G854">
        <f t="shared" si="90"/>
        <v>2022</v>
      </c>
      <c r="I854" s="17">
        <f t="shared" si="91"/>
        <v>44805</v>
      </c>
      <c r="O854">
        <f t="shared" si="87"/>
        <v>0</v>
      </c>
    </row>
    <row r="855" spans="1:15" x14ac:dyDescent="0.3">
      <c r="A855" s="17">
        <v>44818</v>
      </c>
      <c r="B855">
        <v>4.9000000000000004</v>
      </c>
      <c r="D855">
        <f t="shared" si="88"/>
        <v>14</v>
      </c>
      <c r="E855">
        <v>1</v>
      </c>
      <c r="F855">
        <f t="shared" si="89"/>
        <v>9</v>
      </c>
      <c r="G855">
        <f t="shared" si="90"/>
        <v>2022</v>
      </c>
      <c r="I855" s="17">
        <f t="shared" si="91"/>
        <v>44805</v>
      </c>
      <c r="O855">
        <f t="shared" si="87"/>
        <v>0</v>
      </c>
    </row>
    <row r="856" spans="1:15" x14ac:dyDescent="0.3">
      <c r="A856" s="17">
        <v>44817</v>
      </c>
      <c r="B856">
        <v>4.68</v>
      </c>
      <c r="D856">
        <f t="shared" si="88"/>
        <v>13</v>
      </c>
      <c r="E856">
        <v>1</v>
      </c>
      <c r="F856">
        <f t="shared" si="89"/>
        <v>9</v>
      </c>
      <c r="G856">
        <f t="shared" si="90"/>
        <v>2022</v>
      </c>
      <c r="I856" s="17">
        <f t="shared" si="91"/>
        <v>44805</v>
      </c>
      <c r="O856">
        <f t="shared" si="87"/>
        <v>0</v>
      </c>
    </row>
    <row r="857" spans="1:15" x14ac:dyDescent="0.3">
      <c r="A857" s="17">
        <v>44816</v>
      </c>
      <c r="B857">
        <v>4.38</v>
      </c>
      <c r="D857">
        <f t="shared" si="88"/>
        <v>12</v>
      </c>
      <c r="E857">
        <v>1</v>
      </c>
      <c r="F857">
        <f t="shared" si="89"/>
        <v>9</v>
      </c>
      <c r="G857">
        <f t="shared" si="90"/>
        <v>2022</v>
      </c>
      <c r="I857" s="17">
        <f t="shared" si="91"/>
        <v>44805</v>
      </c>
      <c r="O857">
        <f t="shared" si="87"/>
        <v>0</v>
      </c>
    </row>
    <row r="858" spans="1:15" x14ac:dyDescent="0.3">
      <c r="A858" s="17">
        <v>44813</v>
      </c>
      <c r="B858">
        <v>4.6100000000000003</v>
      </c>
      <c r="D858">
        <f t="shared" si="88"/>
        <v>9</v>
      </c>
      <c r="E858">
        <v>1</v>
      </c>
      <c r="F858">
        <f t="shared" si="89"/>
        <v>9</v>
      </c>
      <c r="G858">
        <f t="shared" si="90"/>
        <v>2022</v>
      </c>
      <c r="I858" s="17">
        <f t="shared" si="91"/>
        <v>44805</v>
      </c>
      <c r="O858">
        <f t="shared" si="87"/>
        <v>0</v>
      </c>
    </row>
    <row r="859" spans="1:15" x14ac:dyDescent="0.3">
      <c r="A859" s="17">
        <v>44812</v>
      </c>
      <c r="B859">
        <v>4.46</v>
      </c>
      <c r="D859">
        <f t="shared" si="88"/>
        <v>8</v>
      </c>
      <c r="E859">
        <v>1</v>
      </c>
      <c r="F859">
        <f t="shared" si="89"/>
        <v>9</v>
      </c>
      <c r="G859">
        <f t="shared" si="90"/>
        <v>2022</v>
      </c>
      <c r="I859" s="17">
        <f t="shared" si="91"/>
        <v>44805</v>
      </c>
      <c r="O859">
        <f t="shared" si="87"/>
        <v>0</v>
      </c>
    </row>
    <row r="860" spans="1:15" x14ac:dyDescent="0.3">
      <c r="A860" s="17">
        <v>44811</v>
      </c>
      <c r="B860">
        <v>4.43</v>
      </c>
      <c r="D860">
        <f t="shared" si="88"/>
        <v>7</v>
      </c>
      <c r="E860">
        <v>1</v>
      </c>
      <c r="F860">
        <f t="shared" si="89"/>
        <v>9</v>
      </c>
      <c r="G860">
        <f t="shared" si="90"/>
        <v>2022</v>
      </c>
      <c r="I860" s="17">
        <f t="shared" si="91"/>
        <v>44805</v>
      </c>
      <c r="O860">
        <f t="shared" si="87"/>
        <v>0</v>
      </c>
    </row>
    <row r="861" spans="1:15" x14ac:dyDescent="0.3">
      <c r="A861" s="17">
        <v>44810</v>
      </c>
      <c r="B861">
        <v>3.98</v>
      </c>
      <c r="D861">
        <f t="shared" si="88"/>
        <v>6</v>
      </c>
      <c r="E861">
        <v>1</v>
      </c>
      <c r="F861">
        <f t="shared" si="89"/>
        <v>9</v>
      </c>
      <c r="G861">
        <f t="shared" si="90"/>
        <v>2022</v>
      </c>
      <c r="I861" s="17">
        <f t="shared" si="91"/>
        <v>44805</v>
      </c>
      <c r="O861">
        <f t="shared" si="87"/>
        <v>0</v>
      </c>
    </row>
    <row r="862" spans="1:15" x14ac:dyDescent="0.3">
      <c r="A862" s="17">
        <v>44809</v>
      </c>
      <c r="B862">
        <v>4.32</v>
      </c>
      <c r="D862">
        <f t="shared" si="88"/>
        <v>5</v>
      </c>
      <c r="E862">
        <v>1</v>
      </c>
      <c r="F862">
        <f t="shared" si="89"/>
        <v>9</v>
      </c>
      <c r="G862">
        <f t="shared" si="90"/>
        <v>2022</v>
      </c>
      <c r="I862" s="17">
        <f t="shared" si="91"/>
        <v>44805</v>
      </c>
      <c r="O862">
        <f t="shared" si="87"/>
        <v>0</v>
      </c>
    </row>
    <row r="863" spans="1:15" x14ac:dyDescent="0.3">
      <c r="A863" s="17">
        <v>44806</v>
      </c>
      <c r="B863">
        <v>4.38</v>
      </c>
      <c r="D863">
        <f t="shared" si="88"/>
        <v>2</v>
      </c>
      <c r="E863">
        <v>1</v>
      </c>
      <c r="F863">
        <f t="shared" si="89"/>
        <v>9</v>
      </c>
      <c r="G863">
        <f t="shared" si="90"/>
        <v>2022</v>
      </c>
      <c r="I863" s="17">
        <f t="shared" si="91"/>
        <v>44805</v>
      </c>
      <c r="O863">
        <f t="shared" si="87"/>
        <v>1</v>
      </c>
    </row>
    <row r="864" spans="1:15" x14ac:dyDescent="0.3">
      <c r="A864" s="17">
        <v>44805</v>
      </c>
      <c r="B864">
        <v>4.3899999999999997</v>
      </c>
      <c r="D864">
        <f t="shared" si="88"/>
        <v>1</v>
      </c>
      <c r="E864">
        <v>1</v>
      </c>
      <c r="F864">
        <f t="shared" si="89"/>
        <v>9</v>
      </c>
      <c r="G864">
        <f t="shared" si="90"/>
        <v>2022</v>
      </c>
      <c r="I864" s="17">
        <f t="shared" si="91"/>
        <v>44805</v>
      </c>
      <c r="O864">
        <f t="shared" si="87"/>
        <v>1</v>
      </c>
    </row>
    <row r="865" spans="1:15" x14ac:dyDescent="0.3">
      <c r="A865" s="17">
        <v>44804</v>
      </c>
      <c r="B865">
        <v>5.35</v>
      </c>
      <c r="D865">
        <f t="shared" si="88"/>
        <v>31</v>
      </c>
      <c r="E865">
        <v>1</v>
      </c>
      <c r="F865">
        <f t="shared" si="89"/>
        <v>8</v>
      </c>
      <c r="G865">
        <f t="shared" si="90"/>
        <v>2022</v>
      </c>
      <c r="I865" s="17">
        <f t="shared" si="91"/>
        <v>44774</v>
      </c>
      <c r="O865">
        <f t="shared" si="87"/>
        <v>0</v>
      </c>
    </row>
    <row r="866" spans="1:15" x14ac:dyDescent="0.3">
      <c r="A866" s="17">
        <v>44803</v>
      </c>
      <c r="B866">
        <v>4.95</v>
      </c>
      <c r="D866">
        <f t="shared" si="88"/>
        <v>30</v>
      </c>
      <c r="E866">
        <v>1</v>
      </c>
      <c r="F866">
        <f t="shared" si="89"/>
        <v>8</v>
      </c>
      <c r="G866">
        <f t="shared" si="90"/>
        <v>2022</v>
      </c>
      <c r="I866" s="17">
        <f t="shared" si="91"/>
        <v>44774</v>
      </c>
      <c r="O866">
        <f t="shared" si="87"/>
        <v>0</v>
      </c>
    </row>
    <row r="867" spans="1:15" x14ac:dyDescent="0.3">
      <c r="A867" s="17">
        <v>44802</v>
      </c>
      <c r="B867">
        <v>4.3600000000000003</v>
      </c>
      <c r="D867">
        <f t="shared" si="88"/>
        <v>29</v>
      </c>
      <c r="E867">
        <v>1</v>
      </c>
      <c r="F867">
        <f t="shared" si="89"/>
        <v>8</v>
      </c>
      <c r="G867">
        <f t="shared" si="90"/>
        <v>2022</v>
      </c>
      <c r="I867" s="17">
        <f t="shared" si="91"/>
        <v>44774</v>
      </c>
      <c r="O867">
        <f t="shared" si="87"/>
        <v>0</v>
      </c>
    </row>
    <row r="868" spans="1:15" x14ac:dyDescent="0.3">
      <c r="A868" s="17">
        <v>44799</v>
      </c>
      <c r="B868">
        <v>4.2300000000000004</v>
      </c>
      <c r="D868">
        <f t="shared" si="88"/>
        <v>26</v>
      </c>
      <c r="E868">
        <v>1</v>
      </c>
      <c r="F868">
        <f t="shared" si="89"/>
        <v>8</v>
      </c>
      <c r="G868">
        <f t="shared" si="90"/>
        <v>2022</v>
      </c>
      <c r="I868" s="17">
        <f t="shared" si="91"/>
        <v>44774</v>
      </c>
      <c r="O868">
        <f t="shared" si="87"/>
        <v>0</v>
      </c>
    </row>
    <row r="869" spans="1:15" x14ac:dyDescent="0.3">
      <c r="A869" s="17">
        <v>44798</v>
      </c>
      <c r="B869">
        <v>3.32</v>
      </c>
      <c r="D869">
        <f t="shared" si="88"/>
        <v>25</v>
      </c>
      <c r="E869">
        <v>1</v>
      </c>
      <c r="F869">
        <f t="shared" si="89"/>
        <v>8</v>
      </c>
      <c r="G869">
        <f t="shared" si="90"/>
        <v>2022</v>
      </c>
      <c r="I869" s="17">
        <f t="shared" si="91"/>
        <v>44774</v>
      </c>
      <c r="O869">
        <f t="shared" si="87"/>
        <v>0</v>
      </c>
    </row>
    <row r="870" spans="1:15" x14ac:dyDescent="0.3">
      <c r="A870" s="17">
        <v>44797</v>
      </c>
      <c r="B870">
        <v>3.55</v>
      </c>
      <c r="D870">
        <f t="shared" si="88"/>
        <v>24</v>
      </c>
      <c r="E870">
        <v>1</v>
      </c>
      <c r="F870">
        <f t="shared" si="89"/>
        <v>8</v>
      </c>
      <c r="G870">
        <f t="shared" si="90"/>
        <v>2022</v>
      </c>
      <c r="I870" s="17">
        <f t="shared" si="91"/>
        <v>44774</v>
      </c>
      <c r="O870">
        <f t="shared" si="87"/>
        <v>0</v>
      </c>
    </row>
    <row r="871" spans="1:15" x14ac:dyDescent="0.3">
      <c r="A871" s="17">
        <v>44796</v>
      </c>
      <c r="B871">
        <v>3.29</v>
      </c>
      <c r="D871">
        <f t="shared" si="88"/>
        <v>23</v>
      </c>
      <c r="E871">
        <v>1</v>
      </c>
      <c r="F871">
        <f t="shared" si="89"/>
        <v>8</v>
      </c>
      <c r="G871">
        <f t="shared" si="90"/>
        <v>2022</v>
      </c>
      <c r="I871" s="17">
        <f t="shared" si="91"/>
        <v>44774</v>
      </c>
      <c r="O871">
        <f t="shared" si="87"/>
        <v>0</v>
      </c>
    </row>
    <row r="872" spans="1:15" x14ac:dyDescent="0.3">
      <c r="A872" s="17">
        <v>44795</v>
      </c>
      <c r="B872">
        <v>3.41</v>
      </c>
      <c r="D872">
        <f t="shared" si="88"/>
        <v>22</v>
      </c>
      <c r="E872">
        <v>1</v>
      </c>
      <c r="F872">
        <f t="shared" si="89"/>
        <v>8</v>
      </c>
      <c r="G872">
        <f t="shared" si="90"/>
        <v>2022</v>
      </c>
      <c r="I872" s="17">
        <f t="shared" si="91"/>
        <v>44774</v>
      </c>
      <c r="O872">
        <f t="shared" si="87"/>
        <v>0</v>
      </c>
    </row>
    <row r="873" spans="1:15" x14ac:dyDescent="0.3">
      <c r="A873" s="17">
        <v>44792</v>
      </c>
      <c r="B873">
        <v>3.68</v>
      </c>
      <c r="D873">
        <f t="shared" si="88"/>
        <v>19</v>
      </c>
      <c r="E873">
        <v>1</v>
      </c>
      <c r="F873">
        <f t="shared" si="89"/>
        <v>8</v>
      </c>
      <c r="G873">
        <f t="shared" si="90"/>
        <v>2022</v>
      </c>
      <c r="I873" s="17">
        <f t="shared" si="91"/>
        <v>44774</v>
      </c>
      <c r="O873">
        <f t="shared" si="87"/>
        <v>0</v>
      </c>
    </row>
    <row r="874" spans="1:15" x14ac:dyDescent="0.3">
      <c r="A874" s="17">
        <v>44791</v>
      </c>
      <c r="B874">
        <v>3.76</v>
      </c>
      <c r="D874">
        <f t="shared" si="88"/>
        <v>18</v>
      </c>
      <c r="E874">
        <v>1</v>
      </c>
      <c r="F874">
        <f t="shared" si="89"/>
        <v>8</v>
      </c>
      <c r="G874">
        <f t="shared" si="90"/>
        <v>2022</v>
      </c>
      <c r="I874" s="17">
        <f t="shared" si="91"/>
        <v>44774</v>
      </c>
      <c r="O874">
        <f t="shared" si="87"/>
        <v>0</v>
      </c>
    </row>
    <row r="875" spans="1:15" x14ac:dyDescent="0.3">
      <c r="A875" s="17">
        <v>44790</v>
      </c>
      <c r="B875">
        <v>3.03</v>
      </c>
      <c r="D875">
        <f t="shared" si="88"/>
        <v>17</v>
      </c>
      <c r="E875">
        <v>1</v>
      </c>
      <c r="F875">
        <f t="shared" si="89"/>
        <v>8</v>
      </c>
      <c r="G875">
        <f t="shared" si="90"/>
        <v>2022</v>
      </c>
      <c r="I875" s="17">
        <f t="shared" si="91"/>
        <v>44774</v>
      </c>
      <c r="O875">
        <f t="shared" si="87"/>
        <v>0</v>
      </c>
    </row>
    <row r="876" spans="1:15" x14ac:dyDescent="0.3">
      <c r="A876" s="17">
        <v>44789</v>
      </c>
      <c r="B876">
        <v>3.37</v>
      </c>
      <c r="D876">
        <f t="shared" si="88"/>
        <v>16</v>
      </c>
      <c r="E876">
        <v>1</v>
      </c>
      <c r="F876">
        <f t="shared" si="89"/>
        <v>8</v>
      </c>
      <c r="G876">
        <f t="shared" si="90"/>
        <v>2022</v>
      </c>
      <c r="I876" s="17">
        <f t="shared" si="91"/>
        <v>44774</v>
      </c>
      <c r="O876">
        <f t="shared" si="87"/>
        <v>0</v>
      </c>
    </row>
    <row r="877" spans="1:15" x14ac:dyDescent="0.3">
      <c r="A877" s="17">
        <v>44788</v>
      </c>
      <c r="B877">
        <v>3.72</v>
      </c>
      <c r="D877">
        <f t="shared" si="88"/>
        <v>15</v>
      </c>
      <c r="E877">
        <v>1</v>
      </c>
      <c r="F877">
        <f t="shared" si="89"/>
        <v>8</v>
      </c>
      <c r="G877">
        <f t="shared" si="90"/>
        <v>2022</v>
      </c>
      <c r="I877" s="17">
        <f t="shared" si="91"/>
        <v>44774</v>
      </c>
      <c r="O877">
        <f t="shared" si="87"/>
        <v>0</v>
      </c>
    </row>
    <row r="878" spans="1:15" x14ac:dyDescent="0.3">
      <c r="A878" s="17">
        <v>44785</v>
      </c>
      <c r="B878">
        <v>4.29</v>
      </c>
      <c r="D878">
        <f t="shared" si="88"/>
        <v>12</v>
      </c>
      <c r="E878">
        <v>1</v>
      </c>
      <c r="F878">
        <f t="shared" si="89"/>
        <v>8</v>
      </c>
      <c r="G878">
        <f t="shared" si="90"/>
        <v>2022</v>
      </c>
      <c r="I878" s="17">
        <f t="shared" si="91"/>
        <v>44774</v>
      </c>
      <c r="O878">
        <f t="shared" si="87"/>
        <v>0</v>
      </c>
    </row>
    <row r="879" spans="1:15" x14ac:dyDescent="0.3">
      <c r="A879" s="17">
        <v>44784</v>
      </c>
      <c r="B879">
        <v>3.95</v>
      </c>
      <c r="D879">
        <f t="shared" si="88"/>
        <v>11</v>
      </c>
      <c r="E879">
        <v>1</v>
      </c>
      <c r="F879">
        <f t="shared" si="89"/>
        <v>8</v>
      </c>
      <c r="G879">
        <f t="shared" si="90"/>
        <v>2022</v>
      </c>
      <c r="I879" s="17">
        <f t="shared" si="91"/>
        <v>44774</v>
      </c>
      <c r="O879">
        <f t="shared" si="87"/>
        <v>0</v>
      </c>
    </row>
    <row r="880" spans="1:15" x14ac:dyDescent="0.3">
      <c r="A880" s="17">
        <v>44783</v>
      </c>
      <c r="B880">
        <v>4.88</v>
      </c>
      <c r="D880">
        <f t="shared" si="88"/>
        <v>10</v>
      </c>
      <c r="E880">
        <v>1</v>
      </c>
      <c r="F880">
        <f t="shared" si="89"/>
        <v>8</v>
      </c>
      <c r="G880">
        <f t="shared" si="90"/>
        <v>2022</v>
      </c>
      <c r="I880" s="17">
        <f t="shared" si="91"/>
        <v>44774</v>
      </c>
      <c r="O880">
        <f t="shared" si="87"/>
        <v>0</v>
      </c>
    </row>
    <row r="881" spans="1:15" x14ac:dyDescent="0.3">
      <c r="A881" s="17">
        <v>44781</v>
      </c>
      <c r="B881">
        <v>4.47</v>
      </c>
      <c r="D881">
        <f t="shared" si="88"/>
        <v>8</v>
      </c>
      <c r="E881">
        <v>1</v>
      </c>
      <c r="F881">
        <f t="shared" si="89"/>
        <v>8</v>
      </c>
      <c r="G881">
        <f t="shared" si="90"/>
        <v>2022</v>
      </c>
      <c r="I881" s="17">
        <f t="shared" si="91"/>
        <v>44774</v>
      </c>
      <c r="O881">
        <f t="shared" si="87"/>
        <v>0</v>
      </c>
    </row>
    <row r="882" spans="1:15" x14ac:dyDescent="0.3">
      <c r="A882" s="17">
        <v>44778</v>
      </c>
      <c r="B882">
        <v>5.96</v>
      </c>
      <c r="D882">
        <f t="shared" si="88"/>
        <v>5</v>
      </c>
      <c r="E882">
        <v>1</v>
      </c>
      <c r="F882">
        <f t="shared" si="89"/>
        <v>8</v>
      </c>
      <c r="G882">
        <f t="shared" si="90"/>
        <v>2022</v>
      </c>
      <c r="I882" s="17">
        <f t="shared" si="91"/>
        <v>44774</v>
      </c>
      <c r="O882">
        <f t="shared" si="87"/>
        <v>0</v>
      </c>
    </row>
    <row r="883" spans="1:15" x14ac:dyDescent="0.3">
      <c r="A883" s="17">
        <v>44777</v>
      </c>
      <c r="B883">
        <v>5.0199999999999996</v>
      </c>
      <c r="D883">
        <f t="shared" si="88"/>
        <v>4</v>
      </c>
      <c r="E883">
        <v>1</v>
      </c>
      <c r="F883">
        <f t="shared" si="89"/>
        <v>8</v>
      </c>
      <c r="G883">
        <f t="shared" si="90"/>
        <v>2022</v>
      </c>
      <c r="I883" s="17">
        <f t="shared" si="91"/>
        <v>44774</v>
      </c>
      <c r="O883">
        <f t="shared" si="87"/>
        <v>1</v>
      </c>
    </row>
    <row r="884" spans="1:15" x14ac:dyDescent="0.3">
      <c r="A884" s="17">
        <v>44776</v>
      </c>
      <c r="B884">
        <v>5.6</v>
      </c>
      <c r="D884">
        <f t="shared" si="88"/>
        <v>3</v>
      </c>
      <c r="E884">
        <v>1</v>
      </c>
      <c r="F884">
        <f t="shared" si="89"/>
        <v>8</v>
      </c>
      <c r="G884">
        <f t="shared" si="90"/>
        <v>2022</v>
      </c>
      <c r="I884" s="17">
        <f t="shared" si="91"/>
        <v>44774</v>
      </c>
      <c r="O884">
        <f t="shared" si="87"/>
        <v>1</v>
      </c>
    </row>
    <row r="885" spans="1:15" x14ac:dyDescent="0.3">
      <c r="A885" s="17">
        <v>44775</v>
      </c>
      <c r="B885">
        <v>5.27</v>
      </c>
      <c r="D885">
        <f t="shared" si="88"/>
        <v>2</v>
      </c>
      <c r="E885">
        <v>1</v>
      </c>
      <c r="F885">
        <f t="shared" si="89"/>
        <v>8</v>
      </c>
      <c r="G885">
        <f t="shared" si="90"/>
        <v>2022</v>
      </c>
      <c r="I885" s="17">
        <f t="shared" si="91"/>
        <v>44774</v>
      </c>
      <c r="O885">
        <f t="shared" si="87"/>
        <v>1</v>
      </c>
    </row>
    <row r="886" spans="1:15" x14ac:dyDescent="0.3">
      <c r="A886" s="17">
        <v>44774</v>
      </c>
      <c r="B886">
        <v>6.73</v>
      </c>
      <c r="D886">
        <f t="shared" si="88"/>
        <v>1</v>
      </c>
      <c r="E886">
        <v>1</v>
      </c>
      <c r="F886">
        <f t="shared" si="89"/>
        <v>8</v>
      </c>
      <c r="G886">
        <f t="shared" si="90"/>
        <v>2022</v>
      </c>
      <c r="I886" s="17">
        <f t="shared" si="91"/>
        <v>44774</v>
      </c>
      <c r="O886">
        <f t="shared" si="87"/>
        <v>1</v>
      </c>
    </row>
    <row r="887" spans="1:15" x14ac:dyDescent="0.3">
      <c r="A887" s="17">
        <v>44771</v>
      </c>
      <c r="B887">
        <v>8.99</v>
      </c>
      <c r="D887">
        <f t="shared" si="88"/>
        <v>29</v>
      </c>
      <c r="E887">
        <v>1</v>
      </c>
      <c r="F887">
        <f t="shared" si="89"/>
        <v>7</v>
      </c>
      <c r="G887">
        <f t="shared" si="90"/>
        <v>2022</v>
      </c>
      <c r="I887" s="17">
        <f t="shared" si="91"/>
        <v>44743</v>
      </c>
      <c r="O887">
        <f t="shared" si="87"/>
        <v>0</v>
      </c>
    </row>
    <row r="888" spans="1:15" x14ac:dyDescent="0.3">
      <c r="A888" s="17">
        <v>44770</v>
      </c>
      <c r="B888">
        <v>6.75</v>
      </c>
      <c r="D888">
        <f t="shared" si="88"/>
        <v>28</v>
      </c>
      <c r="E888">
        <v>1</v>
      </c>
      <c r="F888">
        <f t="shared" si="89"/>
        <v>7</v>
      </c>
      <c r="G888">
        <f t="shared" si="90"/>
        <v>2022</v>
      </c>
      <c r="I888" s="17">
        <f t="shared" si="91"/>
        <v>44743</v>
      </c>
      <c r="O888">
        <f t="shared" si="87"/>
        <v>0</v>
      </c>
    </row>
    <row r="889" spans="1:15" x14ac:dyDescent="0.3">
      <c r="A889" s="17">
        <v>44769</v>
      </c>
      <c r="B889">
        <v>6.04</v>
      </c>
      <c r="D889">
        <f t="shared" si="88"/>
        <v>27</v>
      </c>
      <c r="E889">
        <v>1</v>
      </c>
      <c r="F889">
        <f t="shared" si="89"/>
        <v>7</v>
      </c>
      <c r="G889">
        <f t="shared" si="90"/>
        <v>2022</v>
      </c>
      <c r="I889" s="17">
        <f t="shared" si="91"/>
        <v>44743</v>
      </c>
      <c r="O889">
        <f t="shared" si="87"/>
        <v>0</v>
      </c>
    </row>
    <row r="890" spans="1:15" x14ac:dyDescent="0.3">
      <c r="A890" s="17">
        <v>44768</v>
      </c>
      <c r="B890">
        <v>8.24</v>
      </c>
      <c r="D890">
        <f t="shared" si="88"/>
        <v>26</v>
      </c>
      <c r="E890">
        <v>1</v>
      </c>
      <c r="F890">
        <f t="shared" si="89"/>
        <v>7</v>
      </c>
      <c r="G890">
        <f t="shared" si="90"/>
        <v>2022</v>
      </c>
      <c r="I890" s="17">
        <f t="shared" si="91"/>
        <v>44743</v>
      </c>
      <c r="O890">
        <f t="shared" si="87"/>
        <v>0</v>
      </c>
    </row>
    <row r="891" spans="1:15" x14ac:dyDescent="0.3">
      <c r="A891" s="17">
        <v>44767</v>
      </c>
      <c r="B891">
        <v>8.69</v>
      </c>
      <c r="D891">
        <f t="shared" si="88"/>
        <v>25</v>
      </c>
      <c r="E891">
        <v>1</v>
      </c>
      <c r="F891">
        <f t="shared" si="89"/>
        <v>7</v>
      </c>
      <c r="G891">
        <f t="shared" si="90"/>
        <v>2022</v>
      </c>
      <c r="I891" s="17">
        <f t="shared" si="91"/>
        <v>44743</v>
      </c>
      <c r="O891">
        <f t="shared" si="87"/>
        <v>0</v>
      </c>
    </row>
    <row r="892" spans="1:15" x14ac:dyDescent="0.3">
      <c r="A892" s="17">
        <v>44764</v>
      </c>
      <c r="B892">
        <v>8.6300000000000008</v>
      </c>
      <c r="D892">
        <f t="shared" si="88"/>
        <v>22</v>
      </c>
      <c r="E892">
        <v>1</v>
      </c>
      <c r="F892">
        <f t="shared" si="89"/>
        <v>7</v>
      </c>
      <c r="G892">
        <f t="shared" si="90"/>
        <v>2022</v>
      </c>
      <c r="I892" s="17">
        <f t="shared" si="91"/>
        <v>44743</v>
      </c>
      <c r="O892">
        <f t="shared" si="87"/>
        <v>0</v>
      </c>
    </row>
    <row r="893" spans="1:15" x14ac:dyDescent="0.3">
      <c r="A893" s="17">
        <v>44763</v>
      </c>
      <c r="B893">
        <v>8.52</v>
      </c>
      <c r="D893">
        <f t="shared" si="88"/>
        <v>21</v>
      </c>
      <c r="E893">
        <v>1</v>
      </c>
      <c r="F893">
        <f t="shared" si="89"/>
        <v>7</v>
      </c>
      <c r="G893">
        <f t="shared" si="90"/>
        <v>2022</v>
      </c>
      <c r="I893" s="17">
        <f t="shared" si="91"/>
        <v>44743</v>
      </c>
      <c r="O893">
        <f t="shared" si="87"/>
        <v>0</v>
      </c>
    </row>
    <row r="894" spans="1:15" x14ac:dyDescent="0.3">
      <c r="A894" s="17">
        <v>44762</v>
      </c>
      <c r="B894">
        <v>9.08</v>
      </c>
      <c r="D894">
        <f t="shared" si="88"/>
        <v>20</v>
      </c>
      <c r="E894">
        <v>1</v>
      </c>
      <c r="F894">
        <f t="shared" si="89"/>
        <v>7</v>
      </c>
      <c r="G894">
        <f t="shared" si="90"/>
        <v>2022</v>
      </c>
      <c r="I894" s="17">
        <f t="shared" si="91"/>
        <v>44743</v>
      </c>
      <c r="O894">
        <f t="shared" si="87"/>
        <v>0</v>
      </c>
    </row>
    <row r="895" spans="1:15" x14ac:dyDescent="0.3">
      <c r="A895" s="17">
        <v>44761</v>
      </c>
      <c r="B895">
        <v>9.48</v>
      </c>
      <c r="D895">
        <f t="shared" si="88"/>
        <v>19</v>
      </c>
      <c r="E895">
        <v>1</v>
      </c>
      <c r="F895">
        <f t="shared" si="89"/>
        <v>7</v>
      </c>
      <c r="G895">
        <f t="shared" si="90"/>
        <v>2022</v>
      </c>
      <c r="I895" s="17">
        <f t="shared" si="91"/>
        <v>44743</v>
      </c>
      <c r="O895">
        <f t="shared" si="87"/>
        <v>0</v>
      </c>
    </row>
    <row r="896" spans="1:15" x14ac:dyDescent="0.3">
      <c r="A896" s="17">
        <v>44760</v>
      </c>
      <c r="B896">
        <v>9.3800000000000008</v>
      </c>
      <c r="D896">
        <f t="shared" si="88"/>
        <v>18</v>
      </c>
      <c r="E896">
        <v>1</v>
      </c>
      <c r="F896">
        <f t="shared" si="89"/>
        <v>7</v>
      </c>
      <c r="G896">
        <f t="shared" si="90"/>
        <v>2022</v>
      </c>
      <c r="I896" s="17">
        <f t="shared" si="91"/>
        <v>44743</v>
      </c>
      <c r="O896">
        <f t="shared" si="87"/>
        <v>0</v>
      </c>
    </row>
    <row r="897" spans="1:15" x14ac:dyDescent="0.3">
      <c r="A897" s="17">
        <v>44757</v>
      </c>
      <c r="B897">
        <v>9.58</v>
      </c>
      <c r="D897">
        <f t="shared" si="88"/>
        <v>15</v>
      </c>
      <c r="E897">
        <v>1</v>
      </c>
      <c r="F897">
        <f t="shared" si="89"/>
        <v>7</v>
      </c>
      <c r="G897">
        <f t="shared" si="90"/>
        <v>2022</v>
      </c>
      <c r="I897" s="17">
        <f t="shared" si="91"/>
        <v>44743</v>
      </c>
      <c r="O897">
        <f t="shared" si="87"/>
        <v>0</v>
      </c>
    </row>
    <row r="898" spans="1:15" x14ac:dyDescent="0.3">
      <c r="A898" s="17">
        <v>44756</v>
      </c>
      <c r="B898">
        <v>9.18</v>
      </c>
      <c r="D898">
        <f t="shared" si="88"/>
        <v>14</v>
      </c>
      <c r="E898">
        <v>1</v>
      </c>
      <c r="F898">
        <f t="shared" si="89"/>
        <v>7</v>
      </c>
      <c r="G898">
        <f t="shared" si="90"/>
        <v>2022</v>
      </c>
      <c r="I898" s="17">
        <f t="shared" si="91"/>
        <v>44743</v>
      </c>
      <c r="O898">
        <f t="shared" si="87"/>
        <v>0</v>
      </c>
    </row>
    <row r="899" spans="1:15" x14ac:dyDescent="0.3">
      <c r="A899" s="17">
        <v>44755</v>
      </c>
      <c r="B899">
        <v>8.65</v>
      </c>
      <c r="D899">
        <f t="shared" si="88"/>
        <v>13</v>
      </c>
      <c r="E899">
        <v>1</v>
      </c>
      <c r="F899">
        <f t="shared" si="89"/>
        <v>7</v>
      </c>
      <c r="G899">
        <f t="shared" si="90"/>
        <v>2022</v>
      </c>
      <c r="I899" s="17">
        <f t="shared" si="91"/>
        <v>44743</v>
      </c>
      <c r="O899">
        <f t="shared" si="87"/>
        <v>0</v>
      </c>
    </row>
    <row r="900" spans="1:15" x14ac:dyDescent="0.3">
      <c r="A900" s="17">
        <v>44754</v>
      </c>
      <c r="B900">
        <v>9.18</v>
      </c>
      <c r="D900">
        <f t="shared" si="88"/>
        <v>12</v>
      </c>
      <c r="E900">
        <v>1</v>
      </c>
      <c r="F900">
        <f t="shared" si="89"/>
        <v>7</v>
      </c>
      <c r="G900">
        <f t="shared" si="90"/>
        <v>2022</v>
      </c>
      <c r="I900" s="17">
        <f t="shared" si="91"/>
        <v>44743</v>
      </c>
      <c r="O900">
        <f t="shared" si="87"/>
        <v>0</v>
      </c>
    </row>
    <row r="901" spans="1:15" x14ac:dyDescent="0.3">
      <c r="A901" s="17">
        <v>44750</v>
      </c>
      <c r="B901">
        <v>9.68</v>
      </c>
      <c r="D901">
        <f t="shared" si="88"/>
        <v>8</v>
      </c>
      <c r="E901">
        <v>1</v>
      </c>
      <c r="F901">
        <f t="shared" si="89"/>
        <v>7</v>
      </c>
      <c r="G901">
        <f t="shared" si="90"/>
        <v>2022</v>
      </c>
      <c r="I901" s="17">
        <f t="shared" si="91"/>
        <v>44743</v>
      </c>
      <c r="O901">
        <f t="shared" si="87"/>
        <v>0</v>
      </c>
    </row>
    <row r="902" spans="1:15" x14ac:dyDescent="0.3">
      <c r="A902" s="17">
        <v>44749</v>
      </c>
      <c r="B902">
        <v>9.15</v>
      </c>
      <c r="D902">
        <f t="shared" si="88"/>
        <v>7</v>
      </c>
      <c r="E902">
        <v>1</v>
      </c>
      <c r="F902">
        <f t="shared" si="89"/>
        <v>7</v>
      </c>
      <c r="G902">
        <f t="shared" si="90"/>
        <v>2022</v>
      </c>
      <c r="I902" s="17">
        <f t="shared" si="91"/>
        <v>44743</v>
      </c>
      <c r="O902">
        <f t="shared" si="87"/>
        <v>0</v>
      </c>
    </row>
    <row r="903" spans="1:15" x14ac:dyDescent="0.3">
      <c r="A903" s="17">
        <v>44748</v>
      </c>
      <c r="B903">
        <v>9.19</v>
      </c>
      <c r="D903">
        <f t="shared" si="88"/>
        <v>6</v>
      </c>
      <c r="E903">
        <v>1</v>
      </c>
      <c r="F903">
        <f t="shared" si="89"/>
        <v>7</v>
      </c>
      <c r="G903">
        <f t="shared" si="90"/>
        <v>2022</v>
      </c>
      <c r="I903" s="17">
        <f t="shared" si="91"/>
        <v>44743</v>
      </c>
      <c r="O903">
        <f t="shared" ref="O903:O928" si="92">IF(AND(D903&gt;=1, D903&lt;=4), 1, 0)</f>
        <v>0</v>
      </c>
    </row>
    <row r="904" spans="1:15" x14ac:dyDescent="0.3">
      <c r="A904" s="17">
        <v>44747</v>
      </c>
      <c r="B904">
        <v>9.7100000000000009</v>
      </c>
      <c r="D904">
        <f t="shared" si="88"/>
        <v>5</v>
      </c>
      <c r="E904">
        <v>1</v>
      </c>
      <c r="F904">
        <f t="shared" si="89"/>
        <v>7</v>
      </c>
      <c r="G904">
        <f t="shared" si="90"/>
        <v>2022</v>
      </c>
      <c r="I904" s="17">
        <f t="shared" si="91"/>
        <v>44743</v>
      </c>
      <c r="O904">
        <f t="shared" si="92"/>
        <v>0</v>
      </c>
    </row>
    <row r="905" spans="1:15" x14ac:dyDescent="0.3">
      <c r="A905" s="17">
        <v>44746</v>
      </c>
      <c r="B905">
        <v>9.42</v>
      </c>
      <c r="D905">
        <f t="shared" si="88"/>
        <v>4</v>
      </c>
      <c r="E905">
        <v>1</v>
      </c>
      <c r="F905">
        <f t="shared" si="89"/>
        <v>7</v>
      </c>
      <c r="G905">
        <f t="shared" si="90"/>
        <v>2022</v>
      </c>
      <c r="I905" s="17">
        <f t="shared" si="91"/>
        <v>44743</v>
      </c>
      <c r="O905">
        <f t="shared" si="92"/>
        <v>1</v>
      </c>
    </row>
    <row r="906" spans="1:15" x14ac:dyDescent="0.3">
      <c r="A906" s="17">
        <v>44743</v>
      </c>
      <c r="B906">
        <v>8.6999999999999993</v>
      </c>
      <c r="D906">
        <f t="shared" si="88"/>
        <v>1</v>
      </c>
      <c r="E906">
        <v>1</v>
      </c>
      <c r="F906">
        <f t="shared" si="89"/>
        <v>7</v>
      </c>
      <c r="G906">
        <f t="shared" si="90"/>
        <v>2022</v>
      </c>
      <c r="I906" s="17">
        <f t="shared" si="91"/>
        <v>44743</v>
      </c>
      <c r="O906">
        <f t="shared" si="92"/>
        <v>1</v>
      </c>
    </row>
    <row r="907" spans="1:15" x14ac:dyDescent="0.3">
      <c r="A907" s="17">
        <v>44742</v>
      </c>
      <c r="B907">
        <v>8.66</v>
      </c>
      <c r="D907">
        <f t="shared" si="88"/>
        <v>30</v>
      </c>
      <c r="E907">
        <v>1</v>
      </c>
      <c r="F907">
        <f t="shared" si="89"/>
        <v>6</v>
      </c>
      <c r="G907">
        <f t="shared" si="90"/>
        <v>2022</v>
      </c>
      <c r="I907" s="17">
        <f t="shared" si="91"/>
        <v>44713</v>
      </c>
      <c r="O907">
        <f t="shared" si="92"/>
        <v>0</v>
      </c>
    </row>
    <row r="908" spans="1:15" x14ac:dyDescent="0.3">
      <c r="A908" s="17">
        <v>44741</v>
      </c>
      <c r="B908">
        <v>8.48</v>
      </c>
      <c r="D908">
        <f t="shared" si="88"/>
        <v>29</v>
      </c>
      <c r="E908">
        <v>1</v>
      </c>
      <c r="F908">
        <f t="shared" si="89"/>
        <v>6</v>
      </c>
      <c r="G908">
        <f t="shared" si="90"/>
        <v>2022</v>
      </c>
      <c r="I908" s="17">
        <f t="shared" si="91"/>
        <v>44713</v>
      </c>
      <c r="O908">
        <f t="shared" si="92"/>
        <v>0</v>
      </c>
    </row>
    <row r="909" spans="1:15" x14ac:dyDescent="0.3">
      <c r="A909" s="17">
        <v>44740</v>
      </c>
      <c r="B909">
        <v>8.35</v>
      </c>
      <c r="D909">
        <f t="shared" si="88"/>
        <v>28</v>
      </c>
      <c r="E909">
        <v>1</v>
      </c>
      <c r="F909">
        <f t="shared" si="89"/>
        <v>6</v>
      </c>
      <c r="G909">
        <f t="shared" si="90"/>
        <v>2022</v>
      </c>
      <c r="I909" s="17">
        <f t="shared" si="91"/>
        <v>44713</v>
      </c>
      <c r="O909">
        <f t="shared" si="92"/>
        <v>0</v>
      </c>
    </row>
    <row r="910" spans="1:15" x14ac:dyDescent="0.3">
      <c r="A910" s="17">
        <v>44739</v>
      </c>
      <c r="B910">
        <v>8.6199999999999992</v>
      </c>
      <c r="D910">
        <f t="shared" si="88"/>
        <v>27</v>
      </c>
      <c r="E910">
        <v>1</v>
      </c>
      <c r="F910">
        <f t="shared" si="89"/>
        <v>6</v>
      </c>
      <c r="G910">
        <f t="shared" si="90"/>
        <v>2022</v>
      </c>
      <c r="I910" s="17">
        <f t="shared" si="91"/>
        <v>44713</v>
      </c>
      <c r="O910">
        <f t="shared" si="92"/>
        <v>0</v>
      </c>
    </row>
    <row r="911" spans="1:15" x14ac:dyDescent="0.3">
      <c r="A911" s="17">
        <v>44736</v>
      </c>
      <c r="B911">
        <v>7.71</v>
      </c>
      <c r="D911">
        <f t="shared" ref="D911:D928" si="93">+DAY(A911)</f>
        <v>24</v>
      </c>
      <c r="E911">
        <v>1</v>
      </c>
      <c r="F911">
        <f t="shared" ref="F911:F928" si="94">+MONTH(A911)</f>
        <v>6</v>
      </c>
      <c r="G911">
        <f t="shared" ref="G911:G928" si="95">+YEAR(A911)</f>
        <v>2022</v>
      </c>
      <c r="I911" s="17">
        <f t="shared" ref="I911:I928" si="96">+DATE(G911,F911,E911)</f>
        <v>44713</v>
      </c>
      <c r="O911">
        <f t="shared" si="92"/>
        <v>0</v>
      </c>
    </row>
    <row r="912" spans="1:15" x14ac:dyDescent="0.3">
      <c r="A912" s="17">
        <v>44735</v>
      </c>
      <c r="B912">
        <v>7.63</v>
      </c>
      <c r="D912">
        <f t="shared" si="93"/>
        <v>23</v>
      </c>
      <c r="E912">
        <v>1</v>
      </c>
      <c r="F912">
        <f t="shared" si="94"/>
        <v>6</v>
      </c>
      <c r="G912">
        <f t="shared" si="95"/>
        <v>2022</v>
      </c>
      <c r="I912" s="17">
        <f t="shared" si="96"/>
        <v>44713</v>
      </c>
      <c r="O912">
        <f t="shared" si="92"/>
        <v>0</v>
      </c>
    </row>
    <row r="913" spans="1:15" x14ac:dyDescent="0.3">
      <c r="A913" s="17">
        <v>44734</v>
      </c>
      <c r="B913">
        <v>7.13</v>
      </c>
      <c r="D913">
        <f t="shared" si="93"/>
        <v>22</v>
      </c>
      <c r="E913">
        <v>1</v>
      </c>
      <c r="F913">
        <f t="shared" si="94"/>
        <v>6</v>
      </c>
      <c r="G913">
        <f t="shared" si="95"/>
        <v>2022</v>
      </c>
      <c r="I913" s="17">
        <f t="shared" si="96"/>
        <v>44713</v>
      </c>
      <c r="O913">
        <f t="shared" si="92"/>
        <v>0</v>
      </c>
    </row>
    <row r="914" spans="1:15" x14ac:dyDescent="0.3">
      <c r="A914" s="17">
        <v>44733</v>
      </c>
      <c r="B914">
        <v>7.08</v>
      </c>
      <c r="D914">
        <f t="shared" si="93"/>
        <v>21</v>
      </c>
      <c r="E914">
        <v>1</v>
      </c>
      <c r="F914">
        <f t="shared" si="94"/>
        <v>6</v>
      </c>
      <c r="G914">
        <f t="shared" si="95"/>
        <v>2022</v>
      </c>
      <c r="I914" s="17">
        <f t="shared" si="96"/>
        <v>44713</v>
      </c>
      <c r="O914">
        <f t="shared" si="92"/>
        <v>0</v>
      </c>
    </row>
    <row r="915" spans="1:15" x14ac:dyDescent="0.3">
      <c r="A915" s="17">
        <v>44732</v>
      </c>
      <c r="B915">
        <v>6.84</v>
      </c>
      <c r="D915">
        <f t="shared" si="93"/>
        <v>20</v>
      </c>
      <c r="E915">
        <v>1</v>
      </c>
      <c r="F915">
        <f t="shared" si="94"/>
        <v>6</v>
      </c>
      <c r="G915">
        <f t="shared" si="95"/>
        <v>2022</v>
      </c>
      <c r="I915" s="17">
        <f t="shared" si="96"/>
        <v>44713</v>
      </c>
      <c r="O915">
        <f t="shared" si="92"/>
        <v>0</v>
      </c>
    </row>
    <row r="916" spans="1:15" x14ac:dyDescent="0.3">
      <c r="A916" s="17">
        <v>44729</v>
      </c>
      <c r="B916">
        <v>6.97</v>
      </c>
      <c r="D916">
        <f t="shared" si="93"/>
        <v>17</v>
      </c>
      <c r="E916">
        <v>1</v>
      </c>
      <c r="F916">
        <f t="shared" si="94"/>
        <v>6</v>
      </c>
      <c r="G916">
        <f t="shared" si="95"/>
        <v>2022</v>
      </c>
      <c r="I916" s="17">
        <f t="shared" si="96"/>
        <v>44713</v>
      </c>
      <c r="O916">
        <f t="shared" si="92"/>
        <v>0</v>
      </c>
    </row>
    <row r="917" spans="1:15" x14ac:dyDescent="0.3">
      <c r="A917" s="17">
        <v>44728</v>
      </c>
      <c r="B917">
        <v>7.45</v>
      </c>
      <c r="D917">
        <f t="shared" si="93"/>
        <v>16</v>
      </c>
      <c r="E917">
        <v>1</v>
      </c>
      <c r="F917">
        <f t="shared" si="94"/>
        <v>6</v>
      </c>
      <c r="G917">
        <f t="shared" si="95"/>
        <v>2022</v>
      </c>
      <c r="I917" s="17">
        <f t="shared" si="96"/>
        <v>44713</v>
      </c>
      <c r="O917">
        <f t="shared" si="92"/>
        <v>0</v>
      </c>
    </row>
    <row r="918" spans="1:15" x14ac:dyDescent="0.3">
      <c r="A918" s="17">
        <v>44727</v>
      </c>
      <c r="B918">
        <v>7.5</v>
      </c>
      <c r="D918">
        <f t="shared" si="93"/>
        <v>15</v>
      </c>
      <c r="E918">
        <v>1</v>
      </c>
      <c r="F918">
        <f t="shared" si="94"/>
        <v>6</v>
      </c>
      <c r="G918">
        <f t="shared" si="95"/>
        <v>2022</v>
      </c>
      <c r="I918" s="17">
        <f t="shared" si="96"/>
        <v>44713</v>
      </c>
      <c r="O918">
        <f t="shared" si="92"/>
        <v>0</v>
      </c>
    </row>
    <row r="919" spans="1:15" x14ac:dyDescent="0.3">
      <c r="A919" s="17">
        <v>44726</v>
      </c>
      <c r="B919">
        <v>7.35</v>
      </c>
      <c r="D919">
        <f t="shared" si="93"/>
        <v>14</v>
      </c>
      <c r="E919">
        <v>1</v>
      </c>
      <c r="F919">
        <f t="shared" si="94"/>
        <v>6</v>
      </c>
      <c r="G919">
        <f t="shared" si="95"/>
        <v>2022</v>
      </c>
      <c r="I919" s="17">
        <f t="shared" si="96"/>
        <v>44713</v>
      </c>
      <c r="O919">
        <f t="shared" si="92"/>
        <v>0</v>
      </c>
    </row>
    <row r="920" spans="1:15" x14ac:dyDescent="0.3">
      <c r="A920" s="17">
        <v>44725</v>
      </c>
      <c r="B920">
        <v>7.46</v>
      </c>
      <c r="D920">
        <f t="shared" si="93"/>
        <v>13</v>
      </c>
      <c r="E920">
        <v>1</v>
      </c>
      <c r="F920">
        <f t="shared" si="94"/>
        <v>6</v>
      </c>
      <c r="G920">
        <f t="shared" si="95"/>
        <v>2022</v>
      </c>
      <c r="I920" s="17">
        <f t="shared" si="96"/>
        <v>44713</v>
      </c>
      <c r="O920">
        <f t="shared" si="92"/>
        <v>0</v>
      </c>
    </row>
    <row r="921" spans="1:15" x14ac:dyDescent="0.3">
      <c r="A921" s="17">
        <v>44722</v>
      </c>
      <c r="B921">
        <v>7.27</v>
      </c>
      <c r="D921">
        <f t="shared" si="93"/>
        <v>10</v>
      </c>
      <c r="E921">
        <v>1</v>
      </c>
      <c r="F921">
        <f t="shared" si="94"/>
        <v>6</v>
      </c>
      <c r="G921">
        <f t="shared" si="95"/>
        <v>2022</v>
      </c>
      <c r="I921" s="17">
        <f t="shared" si="96"/>
        <v>44713</v>
      </c>
      <c r="O921">
        <f t="shared" si="92"/>
        <v>0</v>
      </c>
    </row>
    <row r="922" spans="1:15" x14ac:dyDescent="0.3">
      <c r="A922" s="17">
        <v>44721</v>
      </c>
      <c r="B922">
        <v>6.99</v>
      </c>
      <c r="D922">
        <f t="shared" si="93"/>
        <v>9</v>
      </c>
      <c r="E922">
        <v>1</v>
      </c>
      <c r="F922">
        <f t="shared" si="94"/>
        <v>6</v>
      </c>
      <c r="G922">
        <f t="shared" si="95"/>
        <v>2022</v>
      </c>
      <c r="I922" s="17">
        <f t="shared" si="96"/>
        <v>44713</v>
      </c>
      <c r="O922">
        <f t="shared" si="92"/>
        <v>0</v>
      </c>
    </row>
    <row r="923" spans="1:15" x14ac:dyDescent="0.3">
      <c r="A923" s="17">
        <v>44720</v>
      </c>
      <c r="B923">
        <v>6.92</v>
      </c>
      <c r="D923">
        <f t="shared" si="93"/>
        <v>8</v>
      </c>
      <c r="E923">
        <v>1</v>
      </c>
      <c r="F923">
        <f t="shared" si="94"/>
        <v>6</v>
      </c>
      <c r="G923">
        <f t="shared" si="95"/>
        <v>2022</v>
      </c>
      <c r="I923" s="17">
        <f t="shared" si="96"/>
        <v>44713</v>
      </c>
      <c r="O923">
        <f t="shared" si="92"/>
        <v>0</v>
      </c>
    </row>
    <row r="924" spans="1:15" x14ac:dyDescent="0.3">
      <c r="A924" s="17">
        <v>44719</v>
      </c>
      <c r="B924">
        <v>6.95</v>
      </c>
      <c r="D924">
        <f t="shared" si="93"/>
        <v>7</v>
      </c>
      <c r="E924">
        <v>1</v>
      </c>
      <c r="F924">
        <f t="shared" si="94"/>
        <v>6</v>
      </c>
      <c r="G924">
        <f t="shared" si="95"/>
        <v>2022</v>
      </c>
      <c r="I924" s="17">
        <f t="shared" si="96"/>
        <v>44713</v>
      </c>
      <c r="O924">
        <f t="shared" si="92"/>
        <v>0</v>
      </c>
    </row>
    <row r="925" spans="1:15" x14ac:dyDescent="0.3">
      <c r="A925" s="17">
        <v>44718</v>
      </c>
      <c r="B925">
        <v>7.18</v>
      </c>
      <c r="D925">
        <f t="shared" si="93"/>
        <v>6</v>
      </c>
      <c r="E925">
        <v>1</v>
      </c>
      <c r="F925">
        <f t="shared" si="94"/>
        <v>6</v>
      </c>
      <c r="G925">
        <f t="shared" si="95"/>
        <v>2022</v>
      </c>
      <c r="I925" s="17">
        <f t="shared" si="96"/>
        <v>44713</v>
      </c>
      <c r="O925">
        <f t="shared" si="92"/>
        <v>0</v>
      </c>
    </row>
    <row r="926" spans="1:15" x14ac:dyDescent="0.3">
      <c r="A926" s="17">
        <v>44715</v>
      </c>
      <c r="B926">
        <v>6.32</v>
      </c>
      <c r="D926">
        <f t="shared" si="93"/>
        <v>3</v>
      </c>
      <c r="E926">
        <v>1</v>
      </c>
      <c r="F926">
        <f t="shared" si="94"/>
        <v>6</v>
      </c>
      <c r="G926">
        <f t="shared" si="95"/>
        <v>2022</v>
      </c>
      <c r="I926" s="17">
        <f t="shared" si="96"/>
        <v>44713</v>
      </c>
      <c r="O926">
        <f t="shared" si="92"/>
        <v>1</v>
      </c>
    </row>
    <row r="927" spans="1:15" x14ac:dyDescent="0.3">
      <c r="A927" s="17">
        <v>44714</v>
      </c>
      <c r="B927">
        <v>6.62</v>
      </c>
      <c r="D927">
        <f t="shared" si="93"/>
        <v>2</v>
      </c>
      <c r="E927">
        <v>1</v>
      </c>
      <c r="F927">
        <f t="shared" si="94"/>
        <v>6</v>
      </c>
      <c r="G927">
        <f t="shared" si="95"/>
        <v>2022</v>
      </c>
      <c r="I927" s="17">
        <f t="shared" si="96"/>
        <v>44713</v>
      </c>
      <c r="O927">
        <f t="shared" si="92"/>
        <v>1</v>
      </c>
    </row>
    <row r="928" spans="1:15" x14ac:dyDescent="0.3">
      <c r="A928" s="17">
        <v>44713</v>
      </c>
      <c r="B928">
        <v>7.02</v>
      </c>
      <c r="D928">
        <f t="shared" si="93"/>
        <v>1</v>
      </c>
      <c r="E928">
        <v>1</v>
      </c>
      <c r="F928">
        <f t="shared" si="94"/>
        <v>6</v>
      </c>
      <c r="G928">
        <f t="shared" si="95"/>
        <v>2022</v>
      </c>
      <c r="I928" s="17">
        <f t="shared" si="96"/>
        <v>44713</v>
      </c>
      <c r="O928">
        <f t="shared" si="9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88D4-B9B3-406C-8968-0B355A023AE6}">
  <dimension ref="A1:DA97"/>
  <sheetViews>
    <sheetView showGridLines="0" topLeftCell="A85" workbookViewId="0">
      <selection activeCell="B76" sqref="B76"/>
    </sheetView>
  </sheetViews>
  <sheetFormatPr defaultRowHeight="14.4" x14ac:dyDescent="0.3"/>
  <cols>
    <col min="1" max="1" width="6.88671875" bestFit="1" customWidth="1"/>
    <col min="2" max="2" width="12" style="55" bestFit="1" customWidth="1"/>
    <col min="4" max="4" width="5" bestFit="1" customWidth="1"/>
    <col min="5" max="5" width="6" bestFit="1" customWidth="1"/>
    <col min="7" max="7" width="9.44140625" bestFit="1" customWidth="1"/>
  </cols>
  <sheetData>
    <row r="1" spans="1:105" x14ac:dyDescent="0.3">
      <c r="B1" s="54" t="s">
        <v>152</v>
      </c>
      <c r="D1" t="s">
        <v>153</v>
      </c>
      <c r="E1" t="s">
        <v>154</v>
      </c>
      <c r="F1" t="s">
        <v>181</v>
      </c>
      <c r="G1" t="s">
        <v>128</v>
      </c>
    </row>
    <row r="2" spans="1:105" x14ac:dyDescent="0.3">
      <c r="A2" s="31">
        <v>43831</v>
      </c>
      <c r="B2" s="55">
        <v>31286.883168433425</v>
      </c>
      <c r="D2">
        <f>+YEAR(A2)</f>
        <v>2020</v>
      </c>
      <c r="E2">
        <f>+MONTH(A2)</f>
        <v>1</v>
      </c>
      <c r="F2">
        <v>1</v>
      </c>
      <c r="G2" s="17">
        <f>+DATE(D2,E2,F2)</f>
        <v>43831</v>
      </c>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row>
    <row r="3" spans="1:105" x14ac:dyDescent="0.3">
      <c r="A3" s="31">
        <v>43862</v>
      </c>
      <c r="B3" s="55">
        <v>27448.855733054221</v>
      </c>
      <c r="D3">
        <f t="shared" ref="D3:D66" si="0">+YEAR(A3)</f>
        <v>2020</v>
      </c>
      <c r="E3">
        <f t="shared" ref="E3:E66" si="1">+MONTH(A3)</f>
        <v>2</v>
      </c>
      <c r="F3">
        <v>1</v>
      </c>
      <c r="G3" s="17">
        <f t="shared" ref="G3:G66" si="2">+DATE(D3,E3,F3)</f>
        <v>43862</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row>
    <row r="4" spans="1:105" x14ac:dyDescent="0.3">
      <c r="A4" s="31">
        <v>43891</v>
      </c>
      <c r="B4" s="55">
        <v>28237.40497612306</v>
      </c>
      <c r="C4" s="32"/>
      <c r="D4">
        <f t="shared" si="0"/>
        <v>2020</v>
      </c>
      <c r="E4">
        <f t="shared" si="1"/>
        <v>3</v>
      </c>
      <c r="F4">
        <v>1</v>
      </c>
      <c r="G4" s="17">
        <f t="shared" si="2"/>
        <v>43891</v>
      </c>
    </row>
    <row r="5" spans="1:105" x14ac:dyDescent="0.3">
      <c r="A5" s="31">
        <v>43922</v>
      </c>
      <c r="B5" s="55">
        <v>27243.655889957568</v>
      </c>
      <c r="D5">
        <f t="shared" si="0"/>
        <v>2020</v>
      </c>
      <c r="E5">
        <f t="shared" si="1"/>
        <v>4</v>
      </c>
      <c r="F5">
        <v>1</v>
      </c>
      <c r="G5" s="17">
        <f t="shared" si="2"/>
        <v>43922</v>
      </c>
    </row>
    <row r="6" spans="1:105" x14ac:dyDescent="0.3">
      <c r="A6" s="31">
        <v>43952</v>
      </c>
      <c r="B6" s="55">
        <v>27432.993687794878</v>
      </c>
      <c r="D6">
        <f t="shared" si="0"/>
        <v>2020</v>
      </c>
      <c r="E6">
        <f t="shared" si="1"/>
        <v>5</v>
      </c>
      <c r="F6">
        <v>1</v>
      </c>
      <c r="G6" s="17">
        <f t="shared" si="2"/>
        <v>43952</v>
      </c>
    </row>
    <row r="7" spans="1:105" x14ac:dyDescent="0.3">
      <c r="A7" s="31">
        <v>43983</v>
      </c>
      <c r="B7" s="55">
        <v>28511.269179678522</v>
      </c>
      <c r="D7">
        <f t="shared" si="0"/>
        <v>2020</v>
      </c>
      <c r="E7">
        <f t="shared" si="1"/>
        <v>6</v>
      </c>
      <c r="F7">
        <v>1</v>
      </c>
      <c r="G7" s="17">
        <f t="shared" si="2"/>
        <v>43983</v>
      </c>
    </row>
    <row r="8" spans="1:105" x14ac:dyDescent="0.3">
      <c r="A8" s="31">
        <v>44013</v>
      </c>
      <c r="B8" s="55">
        <v>28096.593010330911</v>
      </c>
      <c r="D8">
        <f t="shared" si="0"/>
        <v>2020</v>
      </c>
      <c r="E8">
        <f t="shared" si="1"/>
        <v>7</v>
      </c>
      <c r="F8">
        <v>1</v>
      </c>
      <c r="G8" s="17">
        <f t="shared" si="2"/>
        <v>44013</v>
      </c>
    </row>
    <row r="9" spans="1:105" x14ac:dyDescent="0.3">
      <c r="A9" s="31">
        <v>44044</v>
      </c>
      <c r="B9" s="55">
        <v>27895.524194044236</v>
      </c>
      <c r="D9">
        <f t="shared" si="0"/>
        <v>2020</v>
      </c>
      <c r="E9">
        <f t="shared" si="1"/>
        <v>8</v>
      </c>
      <c r="F9">
        <v>1</v>
      </c>
      <c r="G9" s="17">
        <f t="shared" si="2"/>
        <v>44044</v>
      </c>
    </row>
    <row r="10" spans="1:105" x14ac:dyDescent="0.3">
      <c r="A10" s="31">
        <v>44075</v>
      </c>
      <c r="B10" s="55">
        <v>28385.18682846722</v>
      </c>
      <c r="D10">
        <f t="shared" si="0"/>
        <v>2020</v>
      </c>
      <c r="E10">
        <f t="shared" si="1"/>
        <v>9</v>
      </c>
      <c r="F10">
        <v>1</v>
      </c>
      <c r="G10" s="17">
        <f t="shared" si="2"/>
        <v>44075</v>
      </c>
    </row>
    <row r="11" spans="1:105" x14ac:dyDescent="0.3">
      <c r="A11" s="31">
        <v>44105</v>
      </c>
      <c r="B11" s="55">
        <v>28376.806405900141</v>
      </c>
      <c r="D11">
        <f t="shared" si="0"/>
        <v>2020</v>
      </c>
      <c r="E11">
        <f t="shared" si="1"/>
        <v>10</v>
      </c>
      <c r="F11">
        <v>1</v>
      </c>
      <c r="G11" s="17">
        <f t="shared" si="2"/>
        <v>44105</v>
      </c>
    </row>
    <row r="12" spans="1:105" x14ac:dyDescent="0.3">
      <c r="A12" s="31">
        <v>44136</v>
      </c>
      <c r="B12" s="55">
        <v>29576.269200705112</v>
      </c>
      <c r="D12">
        <f t="shared" si="0"/>
        <v>2020</v>
      </c>
      <c r="E12">
        <f t="shared" si="1"/>
        <v>11</v>
      </c>
      <c r="F12">
        <v>1</v>
      </c>
      <c r="G12" s="17">
        <f t="shared" si="2"/>
        <v>44136</v>
      </c>
    </row>
    <row r="13" spans="1:105" x14ac:dyDescent="0.3">
      <c r="A13" s="31">
        <v>44166</v>
      </c>
      <c r="B13" s="55">
        <v>30338.462405267117</v>
      </c>
      <c r="D13">
        <f t="shared" si="0"/>
        <v>2020</v>
      </c>
      <c r="E13">
        <f t="shared" si="1"/>
        <v>12</v>
      </c>
      <c r="F13">
        <v>1</v>
      </c>
      <c r="G13" s="17">
        <f t="shared" si="2"/>
        <v>44166</v>
      </c>
    </row>
    <row r="14" spans="1:105" x14ac:dyDescent="0.3">
      <c r="A14" s="31">
        <v>44197</v>
      </c>
      <c r="B14" s="55">
        <v>29820.629970841128</v>
      </c>
      <c r="D14">
        <f t="shared" si="0"/>
        <v>2021</v>
      </c>
      <c r="E14">
        <f t="shared" si="1"/>
        <v>1</v>
      </c>
      <c r="F14">
        <v>1</v>
      </c>
      <c r="G14" s="17">
        <f t="shared" si="2"/>
        <v>44197</v>
      </c>
    </row>
    <row r="15" spans="1:105" x14ac:dyDescent="0.3">
      <c r="A15" s="31">
        <v>44228</v>
      </c>
      <c r="B15" s="55">
        <v>29438.077220071718</v>
      </c>
      <c r="D15">
        <f t="shared" si="0"/>
        <v>2021</v>
      </c>
      <c r="E15">
        <f t="shared" si="1"/>
        <v>2</v>
      </c>
      <c r="F15">
        <v>1</v>
      </c>
      <c r="G15" s="17">
        <f t="shared" si="2"/>
        <v>44228</v>
      </c>
    </row>
    <row r="16" spans="1:105" x14ac:dyDescent="0.3">
      <c r="A16" s="31">
        <v>44256</v>
      </c>
      <c r="B16" s="55">
        <v>29167.325307943549</v>
      </c>
      <c r="D16">
        <f t="shared" si="0"/>
        <v>2021</v>
      </c>
      <c r="E16">
        <f t="shared" si="1"/>
        <v>3</v>
      </c>
      <c r="F16">
        <v>1</v>
      </c>
      <c r="G16" s="17">
        <f t="shared" si="2"/>
        <v>44256</v>
      </c>
    </row>
    <row r="17" spans="1:7" x14ac:dyDescent="0.3">
      <c r="A17" s="31">
        <v>44287</v>
      </c>
      <c r="B17" s="55">
        <v>29398.072528695349</v>
      </c>
      <c r="D17">
        <f t="shared" si="0"/>
        <v>2021</v>
      </c>
      <c r="E17">
        <f t="shared" si="1"/>
        <v>4</v>
      </c>
      <c r="F17">
        <v>1</v>
      </c>
      <c r="G17" s="17">
        <f t="shared" si="2"/>
        <v>44287</v>
      </c>
    </row>
    <row r="18" spans="1:7" x14ac:dyDescent="0.3">
      <c r="A18" s="31">
        <v>44317</v>
      </c>
      <c r="B18" s="55">
        <v>28851.878116494445</v>
      </c>
      <c r="D18">
        <f t="shared" si="0"/>
        <v>2021</v>
      </c>
      <c r="E18">
        <f t="shared" si="1"/>
        <v>5</v>
      </c>
      <c r="F18">
        <v>1</v>
      </c>
      <c r="G18" s="17">
        <f t="shared" si="2"/>
        <v>44317</v>
      </c>
    </row>
    <row r="19" spans="1:7" x14ac:dyDescent="0.3">
      <c r="A19" s="31">
        <v>44348</v>
      </c>
      <c r="B19" s="55">
        <v>29142.889309348484</v>
      </c>
      <c r="D19">
        <f t="shared" si="0"/>
        <v>2021</v>
      </c>
      <c r="E19">
        <f t="shared" si="1"/>
        <v>6</v>
      </c>
      <c r="F19">
        <v>1</v>
      </c>
      <c r="G19" s="17">
        <f t="shared" si="2"/>
        <v>44348</v>
      </c>
    </row>
    <row r="20" spans="1:7" x14ac:dyDescent="0.3">
      <c r="A20" s="31">
        <v>44378</v>
      </c>
      <c r="B20" s="55">
        <v>29111.441511446359</v>
      </c>
      <c r="D20">
        <f t="shared" si="0"/>
        <v>2021</v>
      </c>
      <c r="E20">
        <f t="shared" si="1"/>
        <v>7</v>
      </c>
      <c r="F20">
        <v>1</v>
      </c>
      <c r="G20" s="17">
        <f t="shared" si="2"/>
        <v>44378</v>
      </c>
    </row>
    <row r="21" spans="1:7" x14ac:dyDescent="0.3">
      <c r="A21" s="31">
        <v>44409</v>
      </c>
      <c r="B21" s="55">
        <v>29232.449509819206</v>
      </c>
      <c r="D21">
        <f t="shared" si="0"/>
        <v>2021</v>
      </c>
      <c r="E21">
        <f t="shared" si="1"/>
        <v>8</v>
      </c>
      <c r="F21">
        <v>1</v>
      </c>
      <c r="G21" s="17">
        <f t="shared" si="2"/>
        <v>44409</v>
      </c>
    </row>
    <row r="22" spans="1:7" x14ac:dyDescent="0.3">
      <c r="A22" s="31">
        <v>44440</v>
      </c>
      <c r="B22" s="55">
        <v>28850.59722651192</v>
      </c>
      <c r="D22">
        <f t="shared" si="0"/>
        <v>2021</v>
      </c>
      <c r="E22">
        <f t="shared" si="1"/>
        <v>9</v>
      </c>
      <c r="F22">
        <v>1</v>
      </c>
      <c r="G22" s="17">
        <f t="shared" si="2"/>
        <v>44440</v>
      </c>
    </row>
    <row r="23" spans="1:7" x14ac:dyDescent="0.3">
      <c r="A23" s="31">
        <v>44470</v>
      </c>
      <c r="B23" s="55">
        <v>29619.797114354969</v>
      </c>
      <c r="D23">
        <f t="shared" si="0"/>
        <v>2021</v>
      </c>
      <c r="E23">
        <f t="shared" si="1"/>
        <v>10</v>
      </c>
      <c r="F23">
        <v>1</v>
      </c>
      <c r="G23" s="17">
        <f t="shared" si="2"/>
        <v>44470</v>
      </c>
    </row>
    <row r="24" spans="1:7" x14ac:dyDescent="0.3">
      <c r="A24" s="31">
        <v>44501</v>
      </c>
      <c r="B24" s="55">
        <v>30410.702211705437</v>
      </c>
      <c r="D24">
        <f t="shared" si="0"/>
        <v>2021</v>
      </c>
      <c r="E24">
        <f t="shared" si="1"/>
        <v>11</v>
      </c>
      <c r="F24">
        <v>1</v>
      </c>
      <c r="G24" s="17">
        <f t="shared" si="2"/>
        <v>44501</v>
      </c>
    </row>
    <row r="25" spans="1:7" x14ac:dyDescent="0.3">
      <c r="A25" s="31">
        <v>44531</v>
      </c>
      <c r="B25" s="55">
        <v>30310.825988685228</v>
      </c>
      <c r="D25">
        <f t="shared" si="0"/>
        <v>2021</v>
      </c>
      <c r="E25">
        <f t="shared" si="1"/>
        <v>12</v>
      </c>
      <c r="F25">
        <v>1</v>
      </c>
      <c r="G25" s="17">
        <f t="shared" si="2"/>
        <v>44531</v>
      </c>
    </row>
    <row r="26" spans="1:7" x14ac:dyDescent="0.3">
      <c r="A26" s="31">
        <v>44562</v>
      </c>
      <c r="B26" s="55">
        <v>30426.175643239596</v>
      </c>
      <c r="D26">
        <f t="shared" si="0"/>
        <v>2022</v>
      </c>
      <c r="E26">
        <f t="shared" si="1"/>
        <v>1</v>
      </c>
      <c r="F26">
        <v>1</v>
      </c>
      <c r="G26" s="17">
        <f t="shared" si="2"/>
        <v>44562</v>
      </c>
    </row>
    <row r="27" spans="1:7" x14ac:dyDescent="0.3">
      <c r="A27" s="31">
        <v>44593</v>
      </c>
      <c r="B27" s="55">
        <v>30616.095659623828</v>
      </c>
      <c r="D27">
        <f t="shared" si="0"/>
        <v>2022</v>
      </c>
      <c r="E27">
        <f t="shared" si="1"/>
        <v>2</v>
      </c>
      <c r="F27">
        <v>1</v>
      </c>
      <c r="G27" s="17">
        <f t="shared" si="2"/>
        <v>44593</v>
      </c>
    </row>
    <row r="28" spans="1:7" x14ac:dyDescent="0.3">
      <c r="A28" s="31">
        <v>44621</v>
      </c>
      <c r="B28" s="55">
        <v>30199.052162117121</v>
      </c>
      <c r="D28">
        <f t="shared" si="0"/>
        <v>2022</v>
      </c>
      <c r="E28">
        <f t="shared" si="1"/>
        <v>3</v>
      </c>
      <c r="F28">
        <v>1</v>
      </c>
      <c r="G28" s="17">
        <f t="shared" si="2"/>
        <v>44621</v>
      </c>
    </row>
    <row r="29" spans="1:7" x14ac:dyDescent="0.3">
      <c r="A29" s="31">
        <v>44652</v>
      </c>
      <c r="B29" s="55">
        <v>29010.354532837158</v>
      </c>
      <c r="D29">
        <f t="shared" si="0"/>
        <v>2022</v>
      </c>
      <c r="E29">
        <f t="shared" si="1"/>
        <v>4</v>
      </c>
      <c r="F29">
        <v>1</v>
      </c>
      <c r="G29" s="17">
        <f t="shared" si="2"/>
        <v>44652</v>
      </c>
    </row>
    <row r="30" spans="1:7" x14ac:dyDescent="0.3">
      <c r="A30" s="31">
        <v>44682</v>
      </c>
      <c r="B30" s="55">
        <v>29127.602808662763</v>
      </c>
      <c r="D30">
        <f t="shared" si="0"/>
        <v>2022</v>
      </c>
      <c r="E30">
        <f t="shared" si="1"/>
        <v>5</v>
      </c>
      <c r="F30">
        <v>1</v>
      </c>
      <c r="G30" s="17">
        <f t="shared" si="2"/>
        <v>44682</v>
      </c>
    </row>
    <row r="31" spans="1:7" x14ac:dyDescent="0.3">
      <c r="A31" s="31">
        <v>44713</v>
      </c>
      <c r="B31" s="55">
        <v>29176.626395100098</v>
      </c>
      <c r="D31">
        <f t="shared" si="0"/>
        <v>2022</v>
      </c>
      <c r="E31">
        <f t="shared" si="1"/>
        <v>6</v>
      </c>
      <c r="F31">
        <v>1</v>
      </c>
      <c r="G31" s="17">
        <f t="shared" si="2"/>
        <v>44713</v>
      </c>
    </row>
    <row r="32" spans="1:7" x14ac:dyDescent="0.3">
      <c r="A32" s="31">
        <v>44743</v>
      </c>
      <c r="B32" s="55">
        <v>29232.065531687473</v>
      </c>
      <c r="D32">
        <f t="shared" si="0"/>
        <v>2022</v>
      </c>
      <c r="E32">
        <f t="shared" si="1"/>
        <v>7</v>
      </c>
      <c r="F32">
        <v>1</v>
      </c>
      <c r="G32" s="17">
        <f t="shared" si="2"/>
        <v>44743</v>
      </c>
    </row>
    <row r="33" spans="1:7" x14ac:dyDescent="0.3">
      <c r="A33" s="31">
        <v>44774</v>
      </c>
      <c r="B33" s="55">
        <v>29033.849604187748</v>
      </c>
      <c r="D33">
        <f t="shared" si="0"/>
        <v>2022</v>
      </c>
      <c r="E33">
        <f t="shared" si="1"/>
        <v>8</v>
      </c>
      <c r="F33">
        <v>1</v>
      </c>
      <c r="G33" s="17">
        <f t="shared" si="2"/>
        <v>44774</v>
      </c>
    </row>
    <row r="34" spans="1:7" x14ac:dyDescent="0.3">
      <c r="A34" s="31">
        <v>44805</v>
      </c>
      <c r="B34" s="55">
        <v>29723.417567450368</v>
      </c>
      <c r="D34">
        <f t="shared" si="0"/>
        <v>2022</v>
      </c>
      <c r="E34">
        <f t="shared" si="1"/>
        <v>9</v>
      </c>
      <c r="F34">
        <v>1</v>
      </c>
      <c r="G34" s="17">
        <f t="shared" si="2"/>
        <v>44805</v>
      </c>
    </row>
    <row r="35" spans="1:7" x14ac:dyDescent="0.3">
      <c r="A35" s="31">
        <v>44835</v>
      </c>
      <c r="B35" s="55">
        <v>29408.101906146061</v>
      </c>
      <c r="D35">
        <f t="shared" si="0"/>
        <v>2022</v>
      </c>
      <c r="E35">
        <f t="shared" si="1"/>
        <v>10</v>
      </c>
      <c r="F35">
        <v>1</v>
      </c>
      <c r="G35" s="17">
        <f t="shared" si="2"/>
        <v>44835</v>
      </c>
    </row>
    <row r="36" spans="1:7" x14ac:dyDescent="0.3">
      <c r="A36" s="31">
        <v>44866</v>
      </c>
      <c r="B36" s="55">
        <v>29775.092536071694</v>
      </c>
      <c r="D36">
        <f t="shared" si="0"/>
        <v>2022</v>
      </c>
      <c r="E36">
        <f t="shared" si="1"/>
        <v>11</v>
      </c>
      <c r="F36">
        <v>1</v>
      </c>
      <c r="G36" s="17">
        <f t="shared" si="2"/>
        <v>44866</v>
      </c>
    </row>
    <row r="37" spans="1:7" x14ac:dyDescent="0.3">
      <c r="A37" s="31">
        <v>44896</v>
      </c>
      <c r="B37" s="55">
        <v>30678.928148259263</v>
      </c>
      <c r="D37">
        <f t="shared" si="0"/>
        <v>2022</v>
      </c>
      <c r="E37">
        <f t="shared" si="1"/>
        <v>12</v>
      </c>
      <c r="F37">
        <v>1</v>
      </c>
      <c r="G37" s="17">
        <f t="shared" si="2"/>
        <v>44896</v>
      </c>
    </row>
    <row r="38" spans="1:7" x14ac:dyDescent="0.3">
      <c r="A38" s="31">
        <v>44927</v>
      </c>
      <c r="B38" s="55">
        <v>30858.769464365039</v>
      </c>
      <c r="D38">
        <f t="shared" si="0"/>
        <v>2023</v>
      </c>
      <c r="E38">
        <f t="shared" si="1"/>
        <v>1</v>
      </c>
      <c r="F38">
        <v>1</v>
      </c>
      <c r="G38" s="17">
        <f t="shared" si="2"/>
        <v>44927</v>
      </c>
    </row>
    <row r="39" spans="1:7" x14ac:dyDescent="0.3">
      <c r="A39" s="31">
        <v>44958</v>
      </c>
      <c r="B39" s="55">
        <v>31659.698437367686</v>
      </c>
      <c r="D39">
        <f t="shared" si="0"/>
        <v>2023</v>
      </c>
      <c r="E39">
        <f t="shared" si="1"/>
        <v>2</v>
      </c>
      <c r="F39">
        <v>1</v>
      </c>
      <c r="G39" s="17">
        <f t="shared" si="2"/>
        <v>44958</v>
      </c>
    </row>
    <row r="40" spans="1:7" x14ac:dyDescent="0.3">
      <c r="A40" s="31">
        <v>44986</v>
      </c>
      <c r="B40" s="55">
        <v>31151.078711222803</v>
      </c>
      <c r="D40">
        <f t="shared" si="0"/>
        <v>2023</v>
      </c>
      <c r="E40">
        <f t="shared" si="1"/>
        <v>3</v>
      </c>
      <c r="F40">
        <v>1</v>
      </c>
      <c r="G40" s="17">
        <f t="shared" si="2"/>
        <v>44986</v>
      </c>
    </row>
    <row r="41" spans="1:7" x14ac:dyDescent="0.3">
      <c r="A41" s="31">
        <v>45017</v>
      </c>
      <c r="B41" s="55">
        <v>31016.261016686127</v>
      </c>
      <c r="D41">
        <f t="shared" si="0"/>
        <v>2023</v>
      </c>
      <c r="E41">
        <f t="shared" si="1"/>
        <v>4</v>
      </c>
      <c r="F41">
        <v>1</v>
      </c>
      <c r="G41" s="17">
        <f t="shared" si="2"/>
        <v>45017</v>
      </c>
    </row>
    <row r="42" spans="1:7" x14ac:dyDescent="0.3">
      <c r="A42" s="31">
        <v>45047</v>
      </c>
      <c r="B42" s="55">
        <v>30997.629575825453</v>
      </c>
      <c r="D42">
        <f t="shared" si="0"/>
        <v>2023</v>
      </c>
      <c r="E42">
        <f t="shared" si="1"/>
        <v>5</v>
      </c>
      <c r="F42">
        <v>1</v>
      </c>
      <c r="G42" s="17">
        <f t="shared" si="2"/>
        <v>45047</v>
      </c>
    </row>
    <row r="43" spans="1:7" x14ac:dyDescent="0.3">
      <c r="A43" s="31">
        <v>45078</v>
      </c>
      <c r="B43" s="55">
        <v>30038.307925465939</v>
      </c>
      <c r="D43">
        <f t="shared" si="0"/>
        <v>2023</v>
      </c>
      <c r="E43">
        <f t="shared" si="1"/>
        <v>6</v>
      </c>
      <c r="F43">
        <v>1</v>
      </c>
      <c r="G43" s="17">
        <f t="shared" si="2"/>
        <v>45078</v>
      </c>
    </row>
    <row r="44" spans="1:7" x14ac:dyDescent="0.3">
      <c r="A44" s="31">
        <v>45108</v>
      </c>
      <c r="B44" s="55">
        <v>30654.258608638451</v>
      </c>
      <c r="D44">
        <f t="shared" si="0"/>
        <v>2023</v>
      </c>
      <c r="E44">
        <f t="shared" si="1"/>
        <v>7</v>
      </c>
      <c r="F44">
        <v>1</v>
      </c>
      <c r="G44" s="17">
        <f t="shared" si="2"/>
        <v>45108</v>
      </c>
    </row>
    <row r="45" spans="1:7" x14ac:dyDescent="0.3">
      <c r="A45" s="31">
        <v>45139</v>
      </c>
      <c r="B45" s="55">
        <v>31088.422910995003</v>
      </c>
      <c r="D45">
        <f t="shared" si="0"/>
        <v>2023</v>
      </c>
      <c r="E45">
        <f t="shared" si="1"/>
        <v>8</v>
      </c>
      <c r="F45">
        <v>1</v>
      </c>
      <c r="G45" s="17">
        <f t="shared" si="2"/>
        <v>45139</v>
      </c>
    </row>
    <row r="46" spans="1:7" x14ac:dyDescent="0.3">
      <c r="A46" s="31">
        <v>45170</v>
      </c>
      <c r="B46" s="55">
        <v>31315.646380230472</v>
      </c>
      <c r="D46">
        <f t="shared" si="0"/>
        <v>2023</v>
      </c>
      <c r="E46">
        <f t="shared" si="1"/>
        <v>9</v>
      </c>
      <c r="F46">
        <v>1</v>
      </c>
      <c r="G46" s="17">
        <f t="shared" si="2"/>
        <v>45170</v>
      </c>
    </row>
    <row r="47" spans="1:7" x14ac:dyDescent="0.3">
      <c r="A47" s="31">
        <v>45200</v>
      </c>
      <c r="B47" s="55">
        <v>30672.712175201879</v>
      </c>
      <c r="D47">
        <f t="shared" si="0"/>
        <v>2023</v>
      </c>
      <c r="E47">
        <f t="shared" si="1"/>
        <v>10</v>
      </c>
      <c r="F47">
        <v>1</v>
      </c>
      <c r="G47" s="17">
        <f t="shared" si="2"/>
        <v>45200</v>
      </c>
    </row>
    <row r="48" spans="1:7" x14ac:dyDescent="0.3">
      <c r="A48" s="31">
        <v>45231</v>
      </c>
      <c r="B48" s="55">
        <v>30512.474287702666</v>
      </c>
      <c r="D48">
        <f t="shared" si="0"/>
        <v>2023</v>
      </c>
      <c r="E48">
        <f t="shared" si="1"/>
        <v>11</v>
      </c>
      <c r="F48">
        <v>1</v>
      </c>
      <c r="G48" s="17">
        <f t="shared" si="2"/>
        <v>45231</v>
      </c>
    </row>
    <row r="49" spans="1:7" x14ac:dyDescent="0.3">
      <c r="A49" s="31">
        <v>45261</v>
      </c>
      <c r="B49" s="55">
        <v>30755.76365277898</v>
      </c>
      <c r="D49">
        <f t="shared" si="0"/>
        <v>2023</v>
      </c>
      <c r="E49">
        <f t="shared" si="1"/>
        <v>12</v>
      </c>
      <c r="F49">
        <v>1</v>
      </c>
      <c r="G49" s="17">
        <f t="shared" si="2"/>
        <v>45261</v>
      </c>
    </row>
    <row r="50" spans="1:7" x14ac:dyDescent="0.3">
      <c r="A50" s="31">
        <v>45292</v>
      </c>
      <c r="B50" s="55">
        <v>30935.020357247915</v>
      </c>
      <c r="D50">
        <f t="shared" si="0"/>
        <v>2024</v>
      </c>
      <c r="E50">
        <f t="shared" si="1"/>
        <v>1</v>
      </c>
      <c r="F50">
        <v>1</v>
      </c>
      <c r="G50" s="17">
        <f t="shared" si="2"/>
        <v>45292</v>
      </c>
    </row>
    <row r="51" spans="1:7" x14ac:dyDescent="0.3">
      <c r="A51" s="31">
        <v>45323</v>
      </c>
      <c r="B51" s="55">
        <v>30830.676947208587</v>
      </c>
      <c r="D51">
        <f t="shared" si="0"/>
        <v>2024</v>
      </c>
      <c r="E51">
        <f t="shared" si="1"/>
        <v>2</v>
      </c>
      <c r="F51">
        <v>1</v>
      </c>
      <c r="G51" s="17">
        <f t="shared" si="2"/>
        <v>45323</v>
      </c>
    </row>
    <row r="52" spans="1:7" x14ac:dyDescent="0.3">
      <c r="A52" s="31">
        <v>45352</v>
      </c>
      <c r="B52" s="55">
        <v>31198.511760129499</v>
      </c>
      <c r="D52">
        <f t="shared" si="0"/>
        <v>2024</v>
      </c>
      <c r="E52">
        <f t="shared" si="1"/>
        <v>3</v>
      </c>
      <c r="F52">
        <v>1</v>
      </c>
      <c r="G52" s="17">
        <f t="shared" si="2"/>
        <v>45352</v>
      </c>
    </row>
    <row r="53" spans="1:7" x14ac:dyDescent="0.3">
      <c r="A53" s="31">
        <v>45383</v>
      </c>
      <c r="B53" s="55">
        <v>30697.947128994383</v>
      </c>
      <c r="D53">
        <f t="shared" si="0"/>
        <v>2024</v>
      </c>
      <c r="E53">
        <f t="shared" si="1"/>
        <v>4</v>
      </c>
      <c r="F53">
        <v>1</v>
      </c>
      <c r="G53" s="17">
        <f t="shared" si="2"/>
        <v>45383</v>
      </c>
    </row>
    <row r="54" spans="1:7" x14ac:dyDescent="0.3">
      <c r="A54" s="31">
        <v>45413</v>
      </c>
      <c r="B54" s="55">
        <v>30466.38013595554</v>
      </c>
      <c r="D54">
        <f t="shared" si="0"/>
        <v>2024</v>
      </c>
      <c r="E54">
        <f t="shared" si="1"/>
        <v>5</v>
      </c>
      <c r="F54">
        <v>1</v>
      </c>
      <c r="G54" s="17">
        <f t="shared" si="2"/>
        <v>45413</v>
      </c>
    </row>
    <row r="55" spans="1:7" x14ac:dyDescent="0.3">
      <c r="A55" s="31">
        <v>45444</v>
      </c>
      <c r="B55" s="55">
        <v>29817.884321779642</v>
      </c>
      <c r="D55">
        <f t="shared" si="0"/>
        <v>2024</v>
      </c>
      <c r="E55">
        <f t="shared" si="1"/>
        <v>6</v>
      </c>
      <c r="F55">
        <v>1</v>
      </c>
      <c r="G55" s="17">
        <f t="shared" si="2"/>
        <v>45444</v>
      </c>
    </row>
    <row r="56" spans="1:7" x14ac:dyDescent="0.3">
      <c r="A56" s="31">
        <v>45474</v>
      </c>
      <c r="B56" s="55">
        <v>29952.534523759899</v>
      </c>
      <c r="D56">
        <f t="shared" si="0"/>
        <v>2024</v>
      </c>
      <c r="E56">
        <f t="shared" si="1"/>
        <v>7</v>
      </c>
      <c r="F56">
        <v>1</v>
      </c>
      <c r="G56" s="17">
        <f t="shared" si="2"/>
        <v>45474</v>
      </c>
    </row>
    <row r="57" spans="1:7" x14ac:dyDescent="0.3">
      <c r="A57" s="31">
        <v>45505</v>
      </c>
      <c r="B57" s="55">
        <v>30021.627222035488</v>
      </c>
      <c r="D57">
        <f t="shared" si="0"/>
        <v>2024</v>
      </c>
      <c r="E57">
        <f t="shared" si="1"/>
        <v>8</v>
      </c>
      <c r="F57">
        <v>1</v>
      </c>
      <c r="G57" s="17">
        <f t="shared" si="2"/>
        <v>45505</v>
      </c>
    </row>
    <row r="58" spans="1:7" x14ac:dyDescent="0.3">
      <c r="A58" s="31">
        <v>45536</v>
      </c>
      <c r="B58" s="55">
        <v>30122.683558000575</v>
      </c>
      <c r="D58">
        <f t="shared" si="0"/>
        <v>2024</v>
      </c>
      <c r="E58">
        <f t="shared" si="1"/>
        <v>9</v>
      </c>
      <c r="F58">
        <v>1</v>
      </c>
      <c r="G58" s="17">
        <f t="shared" si="2"/>
        <v>45536</v>
      </c>
    </row>
    <row r="59" spans="1:7" x14ac:dyDescent="0.3">
      <c r="A59" s="31">
        <v>45566</v>
      </c>
      <c r="B59" s="55">
        <v>29749.657087715961</v>
      </c>
      <c r="D59">
        <f t="shared" si="0"/>
        <v>2024</v>
      </c>
      <c r="E59">
        <f t="shared" si="1"/>
        <v>10</v>
      </c>
      <c r="F59">
        <v>1</v>
      </c>
      <c r="G59" s="17">
        <f t="shared" si="2"/>
        <v>45566</v>
      </c>
    </row>
    <row r="60" spans="1:7" x14ac:dyDescent="0.3">
      <c r="A60" s="31">
        <v>45597</v>
      </c>
      <c r="B60" s="55">
        <v>30565.658496640386</v>
      </c>
      <c r="D60">
        <f t="shared" si="0"/>
        <v>2024</v>
      </c>
      <c r="E60">
        <f t="shared" si="1"/>
        <v>11</v>
      </c>
      <c r="F60">
        <v>1</v>
      </c>
      <c r="G60" s="17">
        <f t="shared" si="2"/>
        <v>45597</v>
      </c>
    </row>
    <row r="61" spans="1:7" x14ac:dyDescent="0.3">
      <c r="A61" s="31">
        <v>45627</v>
      </c>
      <c r="B61" s="55">
        <v>31102.56147594042</v>
      </c>
      <c r="D61">
        <f t="shared" si="0"/>
        <v>2024</v>
      </c>
      <c r="E61">
        <f t="shared" si="1"/>
        <v>12</v>
      </c>
      <c r="F61">
        <v>1</v>
      </c>
      <c r="G61" s="17">
        <f t="shared" si="2"/>
        <v>45627</v>
      </c>
    </row>
    <row r="62" spans="1:7" x14ac:dyDescent="0.3">
      <c r="A62" s="31">
        <v>45658</v>
      </c>
      <c r="B62" s="55">
        <v>30773.367465331456</v>
      </c>
      <c r="D62">
        <f t="shared" si="0"/>
        <v>2025</v>
      </c>
      <c r="E62">
        <f t="shared" si="1"/>
        <v>1</v>
      </c>
      <c r="F62">
        <v>1</v>
      </c>
      <c r="G62" s="17">
        <f t="shared" si="2"/>
        <v>45658</v>
      </c>
    </row>
    <row r="63" spans="1:7" x14ac:dyDescent="0.3">
      <c r="A63" s="31">
        <v>45689</v>
      </c>
      <c r="B63" s="55">
        <v>31036.319894862791</v>
      </c>
      <c r="D63">
        <f t="shared" si="0"/>
        <v>2025</v>
      </c>
      <c r="E63">
        <f t="shared" si="1"/>
        <v>2</v>
      </c>
      <c r="F63">
        <v>1</v>
      </c>
      <c r="G63" s="17">
        <f t="shared" si="2"/>
        <v>45689</v>
      </c>
    </row>
    <row r="64" spans="1:7" x14ac:dyDescent="0.3">
      <c r="A64" s="31">
        <v>45717</v>
      </c>
      <c r="B64" s="55">
        <v>30565.084999751856</v>
      </c>
      <c r="D64">
        <f t="shared" si="0"/>
        <v>2025</v>
      </c>
      <c r="E64">
        <f t="shared" si="1"/>
        <v>3</v>
      </c>
      <c r="F64">
        <v>1</v>
      </c>
      <c r="G64" s="17">
        <f t="shared" si="2"/>
        <v>45717</v>
      </c>
    </row>
    <row r="65" spans="1:7" x14ac:dyDescent="0.3">
      <c r="A65" s="31">
        <v>45748</v>
      </c>
      <c r="B65" s="55">
        <v>30319.64593357022</v>
      </c>
      <c r="D65">
        <f t="shared" si="0"/>
        <v>2025</v>
      </c>
      <c r="E65">
        <f t="shared" si="1"/>
        <v>4</v>
      </c>
      <c r="F65">
        <v>1</v>
      </c>
      <c r="G65" s="17">
        <f t="shared" si="2"/>
        <v>45748</v>
      </c>
    </row>
    <row r="66" spans="1:7" x14ac:dyDescent="0.3">
      <c r="A66" s="31">
        <v>45778</v>
      </c>
      <c r="B66" s="55">
        <v>30317.79303324773</v>
      </c>
      <c r="D66">
        <f t="shared" si="0"/>
        <v>2025</v>
      </c>
      <c r="E66">
        <f t="shared" si="1"/>
        <v>5</v>
      </c>
      <c r="F66">
        <v>1</v>
      </c>
      <c r="G66" s="17">
        <f t="shared" si="2"/>
        <v>45778</v>
      </c>
    </row>
    <row r="67" spans="1:7" x14ac:dyDescent="0.3">
      <c r="A67" s="31">
        <v>45809</v>
      </c>
      <c r="B67" s="55">
        <v>30999.171816987524</v>
      </c>
      <c r="D67">
        <f t="shared" ref="D67:D97" si="3">+YEAR(A67)</f>
        <v>2025</v>
      </c>
      <c r="E67">
        <f t="shared" ref="E67:E97" si="4">+MONTH(A67)</f>
        <v>6</v>
      </c>
      <c r="F67">
        <v>1</v>
      </c>
      <c r="G67" s="17">
        <f t="shared" ref="G67:G97" si="5">+DATE(D67,E67,F67)</f>
        <v>45809</v>
      </c>
    </row>
    <row r="68" spans="1:7" x14ac:dyDescent="0.3">
      <c r="A68" s="31">
        <v>45839</v>
      </c>
      <c r="B68" s="55">
        <v>31627.298277005091</v>
      </c>
      <c r="D68">
        <f t="shared" si="3"/>
        <v>2025</v>
      </c>
      <c r="E68">
        <f t="shared" si="4"/>
        <v>7</v>
      </c>
      <c r="F68">
        <v>1</v>
      </c>
      <c r="G68" s="17">
        <f t="shared" si="5"/>
        <v>45839</v>
      </c>
    </row>
    <row r="69" spans="1:7" x14ac:dyDescent="0.3">
      <c r="A69" s="31">
        <v>45870</v>
      </c>
      <c r="B69" s="55">
        <v>31155.42408418487</v>
      </c>
      <c r="D69">
        <f t="shared" si="3"/>
        <v>2025</v>
      </c>
      <c r="E69">
        <f t="shared" si="4"/>
        <v>8</v>
      </c>
      <c r="F69">
        <v>1</v>
      </c>
      <c r="G69" s="17">
        <f t="shared" si="5"/>
        <v>45870</v>
      </c>
    </row>
    <row r="70" spans="1:7" x14ac:dyDescent="0.3">
      <c r="A70" s="31">
        <v>45901</v>
      </c>
      <c r="B70" s="55">
        <v>31227.354620147518</v>
      </c>
      <c r="D70">
        <f t="shared" si="3"/>
        <v>2025</v>
      </c>
      <c r="E70">
        <f t="shared" si="4"/>
        <v>9</v>
      </c>
      <c r="F70">
        <v>1</v>
      </c>
      <c r="G70" s="17">
        <f t="shared" si="5"/>
        <v>45901</v>
      </c>
    </row>
    <row r="71" spans="1:7" x14ac:dyDescent="0.3">
      <c r="A71" s="31">
        <v>45931</v>
      </c>
      <c r="B71" s="55">
        <v>30615.136872021838</v>
      </c>
      <c r="D71">
        <f t="shared" si="3"/>
        <v>2025</v>
      </c>
      <c r="E71">
        <f t="shared" si="4"/>
        <v>10</v>
      </c>
      <c r="F71">
        <v>1</v>
      </c>
      <c r="G71" s="17">
        <f t="shared" si="5"/>
        <v>45931</v>
      </c>
    </row>
    <row r="72" spans="1:7" x14ac:dyDescent="0.3">
      <c r="A72" s="31">
        <v>45962</v>
      </c>
      <c r="B72" s="55">
        <v>31102.499985894658</v>
      </c>
      <c r="D72">
        <f t="shared" si="3"/>
        <v>2025</v>
      </c>
      <c r="E72">
        <f t="shared" si="4"/>
        <v>11</v>
      </c>
      <c r="F72">
        <v>1</v>
      </c>
      <c r="G72" s="17">
        <f t="shared" si="5"/>
        <v>45962</v>
      </c>
    </row>
    <row r="73" spans="1:7" x14ac:dyDescent="0.3">
      <c r="A73" s="31">
        <v>45992</v>
      </c>
      <c r="B73" s="55">
        <v>31658.25323268538</v>
      </c>
      <c r="D73">
        <f t="shared" si="3"/>
        <v>2025</v>
      </c>
      <c r="E73">
        <f t="shared" si="4"/>
        <v>12</v>
      </c>
      <c r="F73">
        <v>1</v>
      </c>
      <c r="G73" s="17">
        <f t="shared" si="5"/>
        <v>45992</v>
      </c>
    </row>
    <row r="74" spans="1:7" x14ac:dyDescent="0.3">
      <c r="A74" s="31">
        <v>46023</v>
      </c>
      <c r="B74" s="55">
        <v>31493.581652259014</v>
      </c>
      <c r="D74">
        <f t="shared" si="3"/>
        <v>2026</v>
      </c>
      <c r="E74">
        <f t="shared" si="4"/>
        <v>1</v>
      </c>
      <c r="F74">
        <v>1</v>
      </c>
      <c r="G74" s="17">
        <f t="shared" si="5"/>
        <v>46023</v>
      </c>
    </row>
    <row r="75" spans="1:7" x14ac:dyDescent="0.3">
      <c r="A75" s="31">
        <v>46054</v>
      </c>
      <c r="B75" s="55">
        <v>31682.67018657643</v>
      </c>
      <c r="D75">
        <f t="shared" si="3"/>
        <v>2026</v>
      </c>
      <c r="E75">
        <f t="shared" si="4"/>
        <v>2</v>
      </c>
      <c r="F75">
        <v>1</v>
      </c>
      <c r="G75" s="17">
        <f t="shared" si="5"/>
        <v>46054</v>
      </c>
    </row>
    <row r="76" spans="1:7" x14ac:dyDescent="0.3">
      <c r="A76" s="31">
        <v>46082</v>
      </c>
      <c r="B76" s="55">
        <v>31318.745044882537</v>
      </c>
      <c r="D76">
        <f t="shared" si="3"/>
        <v>2026</v>
      </c>
      <c r="E76">
        <f t="shared" si="4"/>
        <v>3</v>
      </c>
      <c r="F76">
        <v>1</v>
      </c>
      <c r="G76" s="17">
        <f t="shared" si="5"/>
        <v>46082</v>
      </c>
    </row>
    <row r="77" spans="1:7" x14ac:dyDescent="0.3">
      <c r="A77" s="31">
        <v>46113</v>
      </c>
      <c r="B77" s="55">
        <v>31315.442434032862</v>
      </c>
      <c r="D77">
        <f t="shared" si="3"/>
        <v>2026</v>
      </c>
      <c r="E77">
        <f t="shared" si="4"/>
        <v>4</v>
      </c>
      <c r="F77">
        <v>1</v>
      </c>
      <c r="G77" s="17">
        <f t="shared" si="5"/>
        <v>46113</v>
      </c>
    </row>
    <row r="78" spans="1:7" x14ac:dyDescent="0.3">
      <c r="A78" s="31">
        <v>46143</v>
      </c>
      <c r="B78" s="55">
        <v>30973.075390843191</v>
      </c>
      <c r="D78">
        <f t="shared" si="3"/>
        <v>2026</v>
      </c>
      <c r="E78">
        <f t="shared" si="4"/>
        <v>5</v>
      </c>
      <c r="F78">
        <v>1</v>
      </c>
      <c r="G78" s="17">
        <f t="shared" si="5"/>
        <v>46143</v>
      </c>
    </row>
    <row r="79" spans="1:7" x14ac:dyDescent="0.3">
      <c r="A79" s="31">
        <v>46174</v>
      </c>
      <c r="B79" s="55">
        <v>31076.26789198945</v>
      </c>
      <c r="D79">
        <f t="shared" si="3"/>
        <v>2026</v>
      </c>
      <c r="E79">
        <f t="shared" si="4"/>
        <v>6</v>
      </c>
      <c r="F79">
        <v>1</v>
      </c>
      <c r="G79" s="17">
        <f t="shared" si="5"/>
        <v>46174</v>
      </c>
    </row>
    <row r="80" spans="1:7" x14ac:dyDescent="0.3">
      <c r="A80" s="31">
        <v>46204</v>
      </c>
      <c r="B80" s="55">
        <v>31180.257048932348</v>
      </c>
      <c r="D80">
        <f t="shared" si="3"/>
        <v>2026</v>
      </c>
      <c r="E80">
        <f t="shared" si="4"/>
        <v>7</v>
      </c>
      <c r="F80">
        <v>1</v>
      </c>
      <c r="G80" s="17">
        <f t="shared" si="5"/>
        <v>46204</v>
      </c>
    </row>
    <row r="81" spans="1:7" x14ac:dyDescent="0.3">
      <c r="A81" s="31">
        <v>46235</v>
      </c>
      <c r="B81" s="55">
        <v>31278.6399807091</v>
      </c>
      <c r="D81">
        <f t="shared" si="3"/>
        <v>2026</v>
      </c>
      <c r="E81">
        <f t="shared" si="4"/>
        <v>8</v>
      </c>
      <c r="F81">
        <v>1</v>
      </c>
      <c r="G81" s="17">
        <f t="shared" si="5"/>
        <v>46235</v>
      </c>
    </row>
    <row r="82" spans="1:7" x14ac:dyDescent="0.3">
      <c r="A82" s="31">
        <v>46266</v>
      </c>
      <c r="B82" s="55">
        <v>31746.116675712328</v>
      </c>
      <c r="D82">
        <f t="shared" si="3"/>
        <v>2026</v>
      </c>
      <c r="E82">
        <f t="shared" si="4"/>
        <v>9</v>
      </c>
      <c r="F82">
        <v>1</v>
      </c>
      <c r="G82" s="17">
        <f t="shared" si="5"/>
        <v>46266</v>
      </c>
    </row>
    <row r="83" spans="1:7" x14ac:dyDescent="0.3">
      <c r="A83" s="31">
        <v>46296</v>
      </c>
      <c r="B83" s="55">
        <v>31740.940070261451</v>
      </c>
      <c r="D83">
        <f t="shared" si="3"/>
        <v>2026</v>
      </c>
      <c r="E83">
        <f t="shared" si="4"/>
        <v>10</v>
      </c>
      <c r="F83">
        <v>1</v>
      </c>
      <c r="G83" s="17">
        <f t="shared" si="5"/>
        <v>46296</v>
      </c>
    </row>
    <row r="84" spans="1:7" x14ac:dyDescent="0.3">
      <c r="A84" s="31">
        <v>46327</v>
      </c>
      <c r="B84" s="55">
        <v>31861.58774282279</v>
      </c>
      <c r="D84">
        <f t="shared" si="3"/>
        <v>2026</v>
      </c>
      <c r="E84">
        <f t="shared" si="4"/>
        <v>11</v>
      </c>
      <c r="F84">
        <v>1</v>
      </c>
      <c r="G84" s="17">
        <f t="shared" si="5"/>
        <v>46327</v>
      </c>
    </row>
    <row r="85" spans="1:7" x14ac:dyDescent="0.3">
      <c r="A85" s="31">
        <v>46357</v>
      </c>
      <c r="B85" s="55">
        <v>32274.390568988085</v>
      </c>
      <c r="D85">
        <f t="shared" si="3"/>
        <v>2026</v>
      </c>
      <c r="E85">
        <f t="shared" si="4"/>
        <v>12</v>
      </c>
      <c r="F85">
        <v>1</v>
      </c>
      <c r="G85" s="17">
        <f t="shared" si="5"/>
        <v>46357</v>
      </c>
    </row>
    <row r="86" spans="1:7" x14ac:dyDescent="0.3">
      <c r="A86" s="31">
        <v>46388</v>
      </c>
      <c r="B86" s="55">
        <v>31914.738698801793</v>
      </c>
      <c r="D86">
        <f t="shared" si="3"/>
        <v>2027</v>
      </c>
      <c r="E86">
        <f t="shared" si="4"/>
        <v>1</v>
      </c>
      <c r="F86">
        <v>1</v>
      </c>
      <c r="G86" s="17">
        <f t="shared" si="5"/>
        <v>46388</v>
      </c>
    </row>
    <row r="87" spans="1:7" x14ac:dyDescent="0.3">
      <c r="A87" s="31">
        <v>46419</v>
      </c>
      <c r="B87" s="55">
        <v>32050.870101267061</v>
      </c>
      <c r="D87">
        <f t="shared" si="3"/>
        <v>2027</v>
      </c>
      <c r="E87">
        <f t="shared" si="4"/>
        <v>2</v>
      </c>
      <c r="F87">
        <v>1</v>
      </c>
      <c r="G87" s="17">
        <f t="shared" si="5"/>
        <v>46419</v>
      </c>
    </row>
    <row r="88" spans="1:7" x14ac:dyDescent="0.3">
      <c r="A88" s="31">
        <v>46447</v>
      </c>
      <c r="B88" s="55">
        <v>31722.48232625064</v>
      </c>
      <c r="D88">
        <f t="shared" si="3"/>
        <v>2027</v>
      </c>
      <c r="E88">
        <f t="shared" si="4"/>
        <v>3</v>
      </c>
      <c r="F88">
        <v>1</v>
      </c>
      <c r="G88" s="17">
        <f t="shared" si="5"/>
        <v>46447</v>
      </c>
    </row>
    <row r="89" spans="1:7" x14ac:dyDescent="0.3">
      <c r="A89" s="31">
        <v>46478</v>
      </c>
      <c r="B89" s="55">
        <v>31815.676722792719</v>
      </c>
      <c r="D89">
        <f t="shared" si="3"/>
        <v>2027</v>
      </c>
      <c r="E89">
        <f t="shared" si="4"/>
        <v>4</v>
      </c>
      <c r="F89">
        <v>1</v>
      </c>
      <c r="G89" s="17">
        <f t="shared" si="5"/>
        <v>46478</v>
      </c>
    </row>
    <row r="90" spans="1:7" x14ac:dyDescent="0.3">
      <c r="A90" s="31">
        <v>46508</v>
      </c>
      <c r="B90" s="55">
        <v>31629.778281816838</v>
      </c>
      <c r="D90">
        <f t="shared" si="3"/>
        <v>2027</v>
      </c>
      <c r="E90">
        <f t="shared" si="4"/>
        <v>5</v>
      </c>
      <c r="F90">
        <v>1</v>
      </c>
      <c r="G90" s="17">
        <f t="shared" si="5"/>
        <v>46508</v>
      </c>
    </row>
    <row r="91" spans="1:7" x14ac:dyDescent="0.3">
      <c r="A91" s="31">
        <v>46539</v>
      </c>
      <c r="B91" s="55">
        <v>31509.389868276281</v>
      </c>
      <c r="D91">
        <f t="shared" si="3"/>
        <v>2027</v>
      </c>
      <c r="E91">
        <f t="shared" si="4"/>
        <v>6</v>
      </c>
      <c r="F91">
        <v>1</v>
      </c>
      <c r="G91" s="17">
        <f t="shared" si="5"/>
        <v>46539</v>
      </c>
    </row>
    <row r="92" spans="1:7" x14ac:dyDescent="0.3">
      <c r="A92" s="31">
        <v>46569</v>
      </c>
      <c r="B92" s="55">
        <v>31642.39842036878</v>
      </c>
      <c r="D92">
        <f t="shared" si="3"/>
        <v>2027</v>
      </c>
      <c r="E92">
        <f t="shared" si="4"/>
        <v>7</v>
      </c>
      <c r="F92">
        <v>1</v>
      </c>
      <c r="G92" s="17">
        <f t="shared" si="5"/>
        <v>46569</v>
      </c>
    </row>
    <row r="93" spans="1:7" x14ac:dyDescent="0.3">
      <c r="A93" s="31">
        <v>46600</v>
      </c>
      <c r="B93" s="55">
        <v>31760.477191308379</v>
      </c>
      <c r="D93">
        <f t="shared" si="3"/>
        <v>2027</v>
      </c>
      <c r="E93">
        <f t="shared" si="4"/>
        <v>8</v>
      </c>
      <c r="F93">
        <v>1</v>
      </c>
      <c r="G93" s="17">
        <f t="shared" si="5"/>
        <v>46600</v>
      </c>
    </row>
    <row r="94" spans="1:7" x14ac:dyDescent="0.3">
      <c r="A94" s="31">
        <v>46631</v>
      </c>
      <c r="B94" s="55">
        <v>31956.089827955224</v>
      </c>
      <c r="D94">
        <f t="shared" si="3"/>
        <v>2027</v>
      </c>
      <c r="E94">
        <f t="shared" si="4"/>
        <v>9</v>
      </c>
      <c r="F94">
        <v>1</v>
      </c>
      <c r="G94" s="17">
        <f t="shared" si="5"/>
        <v>46631</v>
      </c>
    </row>
    <row r="95" spans="1:7" x14ac:dyDescent="0.3">
      <c r="A95" s="31">
        <v>46661</v>
      </c>
      <c r="B95" s="55">
        <v>31810.741553977106</v>
      </c>
      <c r="D95">
        <f t="shared" si="3"/>
        <v>2027</v>
      </c>
      <c r="E95">
        <f t="shared" si="4"/>
        <v>10</v>
      </c>
      <c r="F95">
        <v>1</v>
      </c>
      <c r="G95" s="17">
        <f t="shared" si="5"/>
        <v>46661</v>
      </c>
    </row>
    <row r="96" spans="1:7" x14ac:dyDescent="0.3">
      <c r="A96" s="31">
        <v>46692</v>
      </c>
      <c r="B96" s="55">
        <v>32023.81146292049</v>
      </c>
      <c r="D96">
        <f t="shared" si="3"/>
        <v>2027</v>
      </c>
      <c r="E96">
        <f t="shared" si="4"/>
        <v>11</v>
      </c>
      <c r="F96">
        <v>1</v>
      </c>
      <c r="G96" s="17">
        <f t="shared" si="5"/>
        <v>46692</v>
      </c>
    </row>
    <row r="97" spans="1:7" x14ac:dyDescent="0.3">
      <c r="A97" s="31">
        <v>46722</v>
      </c>
      <c r="B97" s="55">
        <v>32520.060581467365</v>
      </c>
      <c r="D97">
        <f t="shared" si="3"/>
        <v>2027</v>
      </c>
      <c r="E97">
        <f t="shared" si="4"/>
        <v>12</v>
      </c>
      <c r="F97">
        <v>1</v>
      </c>
      <c r="G97" s="17">
        <f t="shared" si="5"/>
        <v>46722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C94E-E1DF-48D0-BC83-5994DF385A02}">
  <dimension ref="A1:M74"/>
  <sheetViews>
    <sheetView showGridLines="0" topLeftCell="A33" workbookViewId="0">
      <selection activeCell="K71" sqref="K71:K74"/>
    </sheetView>
  </sheetViews>
  <sheetFormatPr defaultRowHeight="14.4" x14ac:dyDescent="0.3"/>
  <cols>
    <col min="1" max="1" width="9.44140625" bestFit="1" customWidth="1"/>
    <col min="2" max="2" width="10.109375" bestFit="1" customWidth="1"/>
    <col min="3" max="3" width="13.88671875" bestFit="1" customWidth="1"/>
    <col min="4" max="4" width="12.109375" bestFit="1" customWidth="1"/>
    <col min="5" max="6" width="13.88671875" bestFit="1" customWidth="1"/>
    <col min="8" max="8" width="8.88671875" style="63"/>
    <col min="11" max="11" width="8.88671875" style="64"/>
  </cols>
  <sheetData>
    <row r="1" spans="1:11" ht="15" thickBot="1" x14ac:dyDescent="0.35">
      <c r="A1" s="33" t="s">
        <v>128</v>
      </c>
      <c r="B1" s="33" t="s">
        <v>155</v>
      </c>
      <c r="C1" s="33" t="s">
        <v>156</v>
      </c>
      <c r="D1" s="33" t="s">
        <v>157</v>
      </c>
      <c r="E1" s="33" t="s">
        <v>158</v>
      </c>
      <c r="F1" s="33" t="s">
        <v>159</v>
      </c>
      <c r="H1" s="57" t="s">
        <v>160</v>
      </c>
      <c r="I1" s="58" t="s">
        <v>161</v>
      </c>
      <c r="J1" s="58" t="s">
        <v>162</v>
      </c>
      <c r="K1" s="59" t="s">
        <v>163</v>
      </c>
    </row>
    <row r="2" spans="1:11" ht="15" thickTop="1" x14ac:dyDescent="0.3">
      <c r="A2" s="17">
        <v>43831</v>
      </c>
      <c r="B2" s="34">
        <v>2673751</v>
      </c>
      <c r="C2" s="34">
        <v>25695979</v>
      </c>
      <c r="D2" s="34">
        <v>151646935</v>
      </c>
      <c r="E2" s="34">
        <v>46867899</v>
      </c>
      <c r="F2" s="34">
        <v>51205450</v>
      </c>
      <c r="H2" s="60">
        <f>+B2/D2</f>
        <v>1.7631421301063554E-2</v>
      </c>
      <c r="I2" s="61">
        <f>+C2/D2</f>
        <v>0.16944608211171561</v>
      </c>
      <c r="J2" s="61">
        <f>+E2/D2</f>
        <v>0.30905932256395424</v>
      </c>
      <c r="K2" s="62">
        <f>+F2/D2</f>
        <v>0.33766228114007052</v>
      </c>
    </row>
    <row r="3" spans="1:11" x14ac:dyDescent="0.3">
      <c r="A3" s="17">
        <v>43862</v>
      </c>
      <c r="B3" s="34">
        <v>2590753</v>
      </c>
      <c r="C3" s="34">
        <v>34567509</v>
      </c>
      <c r="D3" s="34">
        <v>130200749</v>
      </c>
      <c r="E3" s="34">
        <v>39020363</v>
      </c>
      <c r="F3" s="34">
        <v>40477184</v>
      </c>
      <c r="H3" s="60">
        <f t="shared" ref="H3:H66" si="0">+B3/D3</f>
        <v>1.9898142060611339E-2</v>
      </c>
      <c r="I3" s="61">
        <f t="shared" ref="I3:I66" si="1">+C3/D3</f>
        <v>0.26549393352568196</v>
      </c>
      <c r="J3" s="61">
        <f t="shared" ref="J3:J66" si="2">+E3/D3</f>
        <v>0.29969384431114138</v>
      </c>
      <c r="K3" s="62">
        <f t="shared" ref="K3:K66" si="3">+F3/D3</f>
        <v>0.31088288132658898</v>
      </c>
    </row>
    <row r="4" spans="1:11" x14ac:dyDescent="0.3">
      <c r="A4" s="17">
        <v>43891</v>
      </c>
      <c r="B4" s="34">
        <v>2681421</v>
      </c>
      <c r="C4" s="34">
        <v>34739072</v>
      </c>
      <c r="D4" s="34">
        <v>124349513</v>
      </c>
      <c r="E4" s="34">
        <v>32460548</v>
      </c>
      <c r="F4" s="34">
        <v>54581630</v>
      </c>
      <c r="H4" s="60">
        <f t="shared" si="0"/>
        <v>2.156358264145353E-2</v>
      </c>
      <c r="I4" s="61">
        <f t="shared" si="1"/>
        <v>0.27936636953294702</v>
      </c>
      <c r="J4" s="61">
        <f t="shared" si="2"/>
        <v>0.26104282370611293</v>
      </c>
      <c r="K4" s="62">
        <f t="shared" si="3"/>
        <v>0.43893722366246823</v>
      </c>
    </row>
    <row r="5" spans="1:11" x14ac:dyDescent="0.3">
      <c r="A5" s="17">
        <v>43922</v>
      </c>
      <c r="B5" s="34">
        <v>2755524</v>
      </c>
      <c r="C5" s="34">
        <v>48026447</v>
      </c>
      <c r="D5" s="34">
        <v>168814927</v>
      </c>
      <c r="E5" s="34">
        <v>49186604</v>
      </c>
      <c r="F5" s="34">
        <v>62076145</v>
      </c>
      <c r="H5" s="60">
        <f t="shared" si="0"/>
        <v>1.6322750890387792E-2</v>
      </c>
      <c r="I5" s="61">
        <f t="shared" si="1"/>
        <v>0.28449170848499672</v>
      </c>
      <c r="J5" s="61">
        <f t="shared" si="2"/>
        <v>0.2913640687710039</v>
      </c>
      <c r="K5" s="62">
        <f t="shared" si="3"/>
        <v>0.36771715690757606</v>
      </c>
    </row>
    <row r="6" spans="1:11" x14ac:dyDescent="0.3">
      <c r="A6" s="17">
        <v>43952</v>
      </c>
      <c r="B6" s="34">
        <v>2053865</v>
      </c>
      <c r="C6" s="34">
        <v>27943341</v>
      </c>
      <c r="D6" s="34">
        <v>135547198</v>
      </c>
      <c r="E6" s="34">
        <v>43129045</v>
      </c>
      <c r="F6" s="34">
        <v>47645826</v>
      </c>
      <c r="H6" s="60">
        <f t="shared" si="0"/>
        <v>1.5152397322148998E-2</v>
      </c>
      <c r="I6" s="61">
        <f t="shared" si="1"/>
        <v>0.20615211094219743</v>
      </c>
      <c r="J6" s="61">
        <f t="shared" si="2"/>
        <v>0.31818470345657751</v>
      </c>
      <c r="K6" s="62">
        <f t="shared" si="3"/>
        <v>0.35150727350335931</v>
      </c>
    </row>
    <row r="7" spans="1:11" x14ac:dyDescent="0.3">
      <c r="A7" s="17">
        <v>43983</v>
      </c>
      <c r="B7" s="34">
        <v>2416828</v>
      </c>
      <c r="C7" s="34">
        <v>25687353</v>
      </c>
      <c r="D7" s="34">
        <v>98640223</v>
      </c>
      <c r="E7" s="34">
        <v>38298793</v>
      </c>
      <c r="F7" s="34">
        <v>46682124</v>
      </c>
      <c r="H7" s="60">
        <f t="shared" si="0"/>
        <v>2.4501445013967577E-2</v>
      </c>
      <c r="I7" s="61">
        <f t="shared" si="1"/>
        <v>0.26041458766775094</v>
      </c>
      <c r="J7" s="61">
        <f t="shared" si="2"/>
        <v>0.38826750219329897</v>
      </c>
      <c r="K7" s="62">
        <f t="shared" si="3"/>
        <v>0.47325647266632803</v>
      </c>
    </row>
    <row r="8" spans="1:11" x14ac:dyDescent="0.3">
      <c r="A8" s="17">
        <v>44013</v>
      </c>
      <c r="B8" s="34">
        <v>1858140</v>
      </c>
      <c r="C8" s="34">
        <v>30608903</v>
      </c>
      <c r="D8" s="34">
        <v>113654764</v>
      </c>
      <c r="E8" s="34">
        <v>34238085</v>
      </c>
      <c r="F8" s="34">
        <v>44603910</v>
      </c>
      <c r="H8" s="60">
        <f t="shared" si="0"/>
        <v>1.6348984720077373E-2</v>
      </c>
      <c r="I8" s="61">
        <f t="shared" si="1"/>
        <v>0.26931473809580037</v>
      </c>
      <c r="J8" s="61">
        <f t="shared" si="2"/>
        <v>0.30124636922390691</v>
      </c>
      <c r="K8" s="62">
        <f t="shared" si="3"/>
        <v>0.3924508611007278</v>
      </c>
    </row>
    <row r="9" spans="1:11" x14ac:dyDescent="0.3">
      <c r="A9" s="17">
        <v>44044</v>
      </c>
      <c r="B9" s="34">
        <v>2321208</v>
      </c>
      <c r="C9" s="34">
        <v>27093036</v>
      </c>
      <c r="D9" s="34">
        <v>131567893</v>
      </c>
      <c r="E9" s="34">
        <v>37006263</v>
      </c>
      <c r="F9" s="34">
        <v>42788063</v>
      </c>
      <c r="H9" s="60">
        <f t="shared" si="0"/>
        <v>1.7642663016576545E-2</v>
      </c>
      <c r="I9" s="61">
        <f t="shared" si="1"/>
        <v>0.20592437396561486</v>
      </c>
      <c r="J9" s="61">
        <f t="shared" si="2"/>
        <v>0.28127122929604109</v>
      </c>
      <c r="K9" s="62">
        <f t="shared" si="3"/>
        <v>0.32521660128736729</v>
      </c>
    </row>
    <row r="10" spans="1:11" x14ac:dyDescent="0.3">
      <c r="A10" s="17">
        <v>44075</v>
      </c>
      <c r="B10" s="34">
        <v>2237011</v>
      </c>
      <c r="C10" s="34">
        <v>26126133</v>
      </c>
      <c r="D10" s="34">
        <v>128241628</v>
      </c>
      <c r="E10" s="34">
        <v>32364067</v>
      </c>
      <c r="F10" s="34">
        <v>43826822</v>
      </c>
      <c r="H10" s="60">
        <f t="shared" si="0"/>
        <v>1.7443719600939565E-2</v>
      </c>
      <c r="I10" s="61">
        <f t="shared" si="1"/>
        <v>0.20372583698017308</v>
      </c>
      <c r="J10" s="61">
        <f t="shared" si="2"/>
        <v>0.25236787387009779</v>
      </c>
      <c r="K10" s="62">
        <f t="shared" si="3"/>
        <v>0.34175191537649535</v>
      </c>
    </row>
    <row r="11" spans="1:11" x14ac:dyDescent="0.3">
      <c r="A11" s="17">
        <v>44105</v>
      </c>
      <c r="B11" s="34">
        <v>1721586</v>
      </c>
      <c r="C11" s="34">
        <v>36438680</v>
      </c>
      <c r="D11" s="34">
        <v>131818181</v>
      </c>
      <c r="E11" s="34">
        <v>39884777</v>
      </c>
      <c r="F11" s="34">
        <v>36899533</v>
      </c>
      <c r="H11" s="60">
        <f t="shared" si="0"/>
        <v>1.3060307667270876E-2</v>
      </c>
      <c r="I11" s="61">
        <f t="shared" si="1"/>
        <v>0.27643136723302231</v>
      </c>
      <c r="J11" s="61">
        <f t="shared" si="2"/>
        <v>0.30257417222287419</v>
      </c>
      <c r="K11" s="62">
        <f t="shared" si="3"/>
        <v>0.27992749346161894</v>
      </c>
    </row>
    <row r="12" spans="1:11" x14ac:dyDescent="0.3">
      <c r="A12" s="17">
        <v>44136</v>
      </c>
      <c r="B12" s="34">
        <v>2643137</v>
      </c>
      <c r="C12" s="34">
        <v>36897253</v>
      </c>
      <c r="D12" s="34">
        <v>137241113</v>
      </c>
      <c r="E12" s="34">
        <v>38047941</v>
      </c>
      <c r="F12" s="34">
        <v>27749077</v>
      </c>
      <c r="H12" s="60">
        <f t="shared" si="0"/>
        <v>1.925907581352827E-2</v>
      </c>
      <c r="I12" s="61">
        <f t="shared" si="1"/>
        <v>0.26884985259482702</v>
      </c>
      <c r="J12" s="61">
        <f t="shared" si="2"/>
        <v>0.2772342789146573</v>
      </c>
      <c r="K12" s="62">
        <f t="shared" si="3"/>
        <v>0.20219215942966012</v>
      </c>
    </row>
    <row r="13" spans="1:11" x14ac:dyDescent="0.3">
      <c r="A13" s="17">
        <v>44166</v>
      </c>
      <c r="B13" s="34">
        <v>1700452</v>
      </c>
      <c r="C13" s="34">
        <v>40701765</v>
      </c>
      <c r="D13" s="34">
        <v>138077971</v>
      </c>
      <c r="E13" s="34">
        <v>44413216</v>
      </c>
      <c r="F13" s="34">
        <v>30327349</v>
      </c>
      <c r="H13" s="60">
        <f t="shared" si="0"/>
        <v>1.2315157788638131E-2</v>
      </c>
      <c r="I13" s="61">
        <f t="shared" si="1"/>
        <v>0.29477377676704131</v>
      </c>
      <c r="J13" s="61">
        <f t="shared" si="2"/>
        <v>0.32165316218327106</v>
      </c>
      <c r="K13" s="62">
        <f t="shared" si="3"/>
        <v>0.21963930075420937</v>
      </c>
    </row>
    <row r="14" spans="1:11" x14ac:dyDescent="0.3">
      <c r="A14" s="17">
        <v>44197</v>
      </c>
      <c r="B14" s="34">
        <v>3159643</v>
      </c>
      <c r="C14" s="34">
        <v>28737063</v>
      </c>
      <c r="D14" s="34">
        <v>141454632</v>
      </c>
      <c r="E14" s="34">
        <v>44023016</v>
      </c>
      <c r="F14" s="34">
        <v>36137411</v>
      </c>
      <c r="H14" s="60">
        <f t="shared" si="0"/>
        <v>2.2336794174403565E-2</v>
      </c>
      <c r="I14" s="61">
        <f t="shared" si="1"/>
        <v>0.20315392004978672</v>
      </c>
      <c r="J14" s="61">
        <f t="shared" si="2"/>
        <v>0.31121650367730624</v>
      </c>
      <c r="K14" s="62">
        <f t="shared" si="3"/>
        <v>0.25546997287441248</v>
      </c>
    </row>
    <row r="15" spans="1:11" x14ac:dyDescent="0.3">
      <c r="A15" s="17">
        <v>44228</v>
      </c>
      <c r="B15" s="34">
        <v>1175399</v>
      </c>
      <c r="C15" s="34">
        <v>30270552</v>
      </c>
      <c r="D15" s="34">
        <v>104527290</v>
      </c>
      <c r="E15" s="34">
        <v>26178850</v>
      </c>
      <c r="F15" s="34">
        <v>38212186</v>
      </c>
      <c r="H15" s="60">
        <f t="shared" si="0"/>
        <v>1.1244900733578762E-2</v>
      </c>
      <c r="I15" s="61">
        <f t="shared" si="1"/>
        <v>0.28959472688902582</v>
      </c>
      <c r="J15" s="61">
        <f t="shared" si="2"/>
        <v>0.25044990643113391</v>
      </c>
      <c r="K15" s="62">
        <f t="shared" si="3"/>
        <v>0.36557138332008798</v>
      </c>
    </row>
    <row r="16" spans="1:11" x14ac:dyDescent="0.3">
      <c r="A16" s="17">
        <v>44256</v>
      </c>
      <c r="B16" s="34">
        <v>2650743</v>
      </c>
      <c r="C16" s="34">
        <v>32783729</v>
      </c>
      <c r="D16" s="34">
        <v>102500686</v>
      </c>
      <c r="E16" s="34">
        <v>34524787</v>
      </c>
      <c r="F16" s="34">
        <v>45264131</v>
      </c>
      <c r="H16" s="60">
        <f t="shared" si="0"/>
        <v>2.5860734239378652E-2</v>
      </c>
      <c r="I16" s="61">
        <f t="shared" si="1"/>
        <v>0.31983911795478132</v>
      </c>
      <c r="J16" s="61">
        <f t="shared" si="2"/>
        <v>0.33682493598140406</v>
      </c>
      <c r="K16" s="62">
        <f t="shared" si="3"/>
        <v>0.4415983225712265</v>
      </c>
    </row>
    <row r="17" spans="1:11" x14ac:dyDescent="0.3">
      <c r="A17" s="17">
        <v>44287</v>
      </c>
      <c r="B17" s="34">
        <v>2306461</v>
      </c>
      <c r="C17" s="34">
        <v>30065150</v>
      </c>
      <c r="D17" s="34">
        <v>100948029</v>
      </c>
      <c r="E17" s="34">
        <v>27524671</v>
      </c>
      <c r="F17" s="34">
        <v>51692685</v>
      </c>
      <c r="H17" s="60">
        <f t="shared" si="0"/>
        <v>2.2848004293377536E-2</v>
      </c>
      <c r="I17" s="61">
        <f t="shared" si="1"/>
        <v>0.29782800415053173</v>
      </c>
      <c r="J17" s="61">
        <f t="shared" si="2"/>
        <v>0.27266179709165</v>
      </c>
      <c r="K17" s="62">
        <f t="shared" si="3"/>
        <v>0.51207225650735588</v>
      </c>
    </row>
    <row r="18" spans="1:11" x14ac:dyDescent="0.3">
      <c r="A18" s="17">
        <v>44317</v>
      </c>
      <c r="B18" s="34">
        <v>1941747</v>
      </c>
      <c r="C18" s="34">
        <v>39305759</v>
      </c>
      <c r="D18" s="34">
        <v>103640441</v>
      </c>
      <c r="E18" s="34">
        <v>35979780</v>
      </c>
      <c r="F18" s="34">
        <v>49341987</v>
      </c>
      <c r="H18" s="60">
        <f t="shared" si="0"/>
        <v>1.8735418155930078E-2</v>
      </c>
      <c r="I18" s="61">
        <f t="shared" si="1"/>
        <v>0.37925117474172076</v>
      </c>
      <c r="J18" s="61">
        <f t="shared" si="2"/>
        <v>0.34715965749315947</v>
      </c>
      <c r="K18" s="62">
        <f t="shared" si="3"/>
        <v>0.47608816137708254</v>
      </c>
    </row>
    <row r="19" spans="1:11" x14ac:dyDescent="0.3">
      <c r="A19" s="17">
        <v>44348</v>
      </c>
      <c r="B19" s="34">
        <v>2755000</v>
      </c>
      <c r="C19" s="34">
        <v>28231831</v>
      </c>
      <c r="D19" s="34">
        <v>116525680</v>
      </c>
      <c r="E19" s="34">
        <v>37173765</v>
      </c>
      <c r="F19" s="34">
        <v>45293346</v>
      </c>
      <c r="H19" s="60">
        <f t="shared" si="0"/>
        <v>2.364285709381829E-2</v>
      </c>
      <c r="I19" s="61">
        <f t="shared" si="1"/>
        <v>0.24227990774222471</v>
      </c>
      <c r="J19" s="61">
        <f t="shared" si="2"/>
        <v>0.31901779075650966</v>
      </c>
      <c r="K19" s="62">
        <f t="shared" si="3"/>
        <v>0.38869840536437977</v>
      </c>
    </row>
    <row r="20" spans="1:11" x14ac:dyDescent="0.3">
      <c r="A20" s="17">
        <v>44378</v>
      </c>
      <c r="B20" s="34">
        <v>1457131</v>
      </c>
      <c r="C20" s="34">
        <v>38406837</v>
      </c>
      <c r="D20" s="34">
        <v>125782536</v>
      </c>
      <c r="E20" s="34">
        <v>30415436</v>
      </c>
      <c r="F20" s="34">
        <v>58045245</v>
      </c>
      <c r="H20" s="60">
        <f t="shared" si="0"/>
        <v>1.1584525533814964E-2</v>
      </c>
      <c r="I20" s="61">
        <f t="shared" si="1"/>
        <v>0.30534315988031918</v>
      </c>
      <c r="J20" s="61">
        <f t="shared" si="2"/>
        <v>0.24180968970127936</v>
      </c>
      <c r="K20" s="62">
        <f t="shared" si="3"/>
        <v>0.46147300607772768</v>
      </c>
    </row>
    <row r="21" spans="1:11" x14ac:dyDescent="0.3">
      <c r="A21" s="17">
        <v>44409</v>
      </c>
      <c r="B21" s="34">
        <v>2558569</v>
      </c>
      <c r="C21" s="34">
        <v>43504390</v>
      </c>
      <c r="D21" s="34">
        <v>120600555</v>
      </c>
      <c r="E21" s="34">
        <v>25473595</v>
      </c>
      <c r="F21" s="34">
        <v>59331511</v>
      </c>
      <c r="H21" s="60">
        <f t="shared" si="0"/>
        <v>2.1215234042662574E-2</v>
      </c>
      <c r="I21" s="61">
        <f t="shared" si="1"/>
        <v>0.36073125865797218</v>
      </c>
      <c r="J21" s="61">
        <f t="shared" si="2"/>
        <v>0.21122286709211247</v>
      </c>
      <c r="K21" s="62">
        <f t="shared" si="3"/>
        <v>0.49196714724903212</v>
      </c>
    </row>
    <row r="22" spans="1:11" x14ac:dyDescent="0.3">
      <c r="A22" s="17">
        <v>44440</v>
      </c>
      <c r="B22" s="34">
        <v>2041800</v>
      </c>
      <c r="C22" s="34">
        <v>41729371</v>
      </c>
      <c r="D22" s="34">
        <v>118878735</v>
      </c>
      <c r="E22" s="34">
        <v>32088745</v>
      </c>
      <c r="F22" s="34">
        <v>54049091</v>
      </c>
      <c r="H22" s="60">
        <f t="shared" si="0"/>
        <v>1.7175485590421195E-2</v>
      </c>
      <c r="I22" s="61">
        <f t="shared" si="1"/>
        <v>0.35102468915067109</v>
      </c>
      <c r="J22" s="61">
        <f t="shared" si="2"/>
        <v>0.26992838542570291</v>
      </c>
      <c r="K22" s="62">
        <f t="shared" si="3"/>
        <v>0.4546573531422588</v>
      </c>
    </row>
    <row r="23" spans="1:11" x14ac:dyDescent="0.3">
      <c r="A23" s="17">
        <v>44470</v>
      </c>
      <c r="B23" s="34">
        <v>2225192</v>
      </c>
      <c r="C23" s="34">
        <v>44613102</v>
      </c>
      <c r="D23" s="34">
        <v>132019410</v>
      </c>
      <c r="E23" s="34">
        <v>29461623</v>
      </c>
      <c r="F23" s="34">
        <v>59806056</v>
      </c>
      <c r="H23" s="60">
        <f t="shared" si="0"/>
        <v>1.6855036694982957E-2</v>
      </c>
      <c r="I23" s="61">
        <f t="shared" si="1"/>
        <v>0.33792835462603565</v>
      </c>
      <c r="J23" s="61">
        <f t="shared" si="2"/>
        <v>0.22316129878174731</v>
      </c>
      <c r="K23" s="62">
        <f t="shared" si="3"/>
        <v>0.4530095688202212</v>
      </c>
    </row>
    <row r="24" spans="1:11" x14ac:dyDescent="0.3">
      <c r="A24" s="17">
        <v>44501</v>
      </c>
      <c r="B24" s="34">
        <v>2625786</v>
      </c>
      <c r="C24" s="34">
        <v>33175863</v>
      </c>
      <c r="D24" s="34">
        <v>143644441</v>
      </c>
      <c r="E24" s="34">
        <v>26263852</v>
      </c>
      <c r="F24" s="34">
        <v>58032721</v>
      </c>
      <c r="H24" s="60">
        <f t="shared" si="0"/>
        <v>1.8279760648725697E-2</v>
      </c>
      <c r="I24" s="61">
        <f t="shared" si="1"/>
        <v>0.23095821021016749</v>
      </c>
      <c r="J24" s="61">
        <f t="shared" si="2"/>
        <v>0.18283932059716812</v>
      </c>
      <c r="K24" s="62">
        <f t="shared" si="3"/>
        <v>0.40400255377790778</v>
      </c>
    </row>
    <row r="25" spans="1:11" x14ac:dyDescent="0.3">
      <c r="A25" s="17">
        <v>44531</v>
      </c>
      <c r="B25" s="34">
        <v>2129864</v>
      </c>
      <c r="C25" s="34">
        <v>34441642</v>
      </c>
      <c r="D25" s="34">
        <v>146205086</v>
      </c>
      <c r="E25" s="34">
        <v>28848517</v>
      </c>
      <c r="F25" s="34">
        <v>55721205</v>
      </c>
      <c r="H25" s="60">
        <f t="shared" si="0"/>
        <v>1.4567646436048059E-2</v>
      </c>
      <c r="I25" s="61">
        <f t="shared" si="1"/>
        <v>0.23557075162214261</v>
      </c>
      <c r="J25" s="61">
        <f t="shared" si="2"/>
        <v>0.19731541350073142</v>
      </c>
      <c r="K25" s="62">
        <f t="shared" si="3"/>
        <v>0.38111673488567971</v>
      </c>
    </row>
    <row r="26" spans="1:11" x14ac:dyDescent="0.3">
      <c r="A26" s="17">
        <v>44562</v>
      </c>
      <c r="B26" s="34">
        <v>2373746</v>
      </c>
      <c r="C26" s="34">
        <v>33513096</v>
      </c>
      <c r="D26" s="34">
        <v>143751133</v>
      </c>
      <c r="E26" s="34">
        <v>32127894</v>
      </c>
      <c r="F26" s="34">
        <v>53407508</v>
      </c>
      <c r="H26" s="60">
        <f t="shared" si="0"/>
        <v>1.6512885501918095E-2</v>
      </c>
      <c r="I26" s="61">
        <f t="shared" si="1"/>
        <v>0.23313274337809914</v>
      </c>
      <c r="J26" s="61">
        <f t="shared" si="2"/>
        <v>0.22349663150133223</v>
      </c>
      <c r="K26" s="62">
        <f t="shared" si="3"/>
        <v>0.37152756215145799</v>
      </c>
    </row>
    <row r="27" spans="1:11" x14ac:dyDescent="0.3">
      <c r="A27" s="17">
        <v>44593</v>
      </c>
      <c r="B27" s="34">
        <v>2435934</v>
      </c>
      <c r="C27" s="34">
        <v>39725888</v>
      </c>
      <c r="D27" s="34">
        <v>141273161</v>
      </c>
      <c r="E27" s="34">
        <v>22140585</v>
      </c>
      <c r="F27" s="34">
        <v>43975130</v>
      </c>
      <c r="H27" s="60">
        <f t="shared" si="0"/>
        <v>1.7242723124175015E-2</v>
      </c>
      <c r="I27" s="61">
        <f t="shared" si="1"/>
        <v>0.28119911608688364</v>
      </c>
      <c r="J27" s="61">
        <f t="shared" si="2"/>
        <v>0.1567218064866546</v>
      </c>
      <c r="K27" s="62">
        <f t="shared" si="3"/>
        <v>0.31127731331784952</v>
      </c>
    </row>
    <row r="28" spans="1:11" x14ac:dyDescent="0.3">
      <c r="A28" s="17">
        <v>44621</v>
      </c>
      <c r="B28" s="34">
        <v>2354230</v>
      </c>
      <c r="C28" s="34">
        <v>36651933</v>
      </c>
      <c r="D28" s="34">
        <v>147408854</v>
      </c>
      <c r="E28" s="34">
        <v>27100129</v>
      </c>
      <c r="F28" s="34">
        <v>59564863</v>
      </c>
      <c r="H28" s="60">
        <f t="shared" si="0"/>
        <v>1.5970750305134316E-2</v>
      </c>
      <c r="I28" s="61">
        <f t="shared" si="1"/>
        <v>0.24864132652438911</v>
      </c>
      <c r="J28" s="61">
        <f t="shared" si="2"/>
        <v>0.18384329207253725</v>
      </c>
      <c r="K28" s="62">
        <f t="shared" si="3"/>
        <v>0.404079275997899</v>
      </c>
    </row>
    <row r="29" spans="1:11" x14ac:dyDescent="0.3">
      <c r="A29" s="17">
        <v>44652</v>
      </c>
      <c r="B29" s="34">
        <v>2531080</v>
      </c>
      <c r="C29" s="34">
        <v>37233437</v>
      </c>
      <c r="D29" s="34">
        <v>153326360</v>
      </c>
      <c r="E29" s="34">
        <v>25547527</v>
      </c>
      <c r="F29" s="34">
        <v>52954253</v>
      </c>
      <c r="H29" s="60">
        <f t="shared" si="0"/>
        <v>1.6507794224032972E-2</v>
      </c>
      <c r="I29" s="61">
        <f t="shared" si="1"/>
        <v>0.24283780688460876</v>
      </c>
      <c r="J29" s="61">
        <f t="shared" si="2"/>
        <v>0.16662188419525514</v>
      </c>
      <c r="K29" s="62">
        <f t="shared" si="3"/>
        <v>0.34536953071865789</v>
      </c>
    </row>
    <row r="30" spans="1:11" x14ac:dyDescent="0.3">
      <c r="A30" s="17">
        <v>44682</v>
      </c>
      <c r="B30" s="34">
        <v>1856928</v>
      </c>
      <c r="C30" s="34">
        <v>35646958</v>
      </c>
      <c r="D30" s="34">
        <v>146184457</v>
      </c>
      <c r="E30" s="34">
        <v>30247122</v>
      </c>
      <c r="F30" s="34">
        <v>54030711</v>
      </c>
      <c r="H30" s="60">
        <f t="shared" si="0"/>
        <v>1.270263636851625E-2</v>
      </c>
      <c r="I30" s="61">
        <f t="shared" si="1"/>
        <v>0.24384916653622074</v>
      </c>
      <c r="J30" s="61">
        <f t="shared" si="2"/>
        <v>0.20691065671913397</v>
      </c>
      <c r="K30" s="62">
        <f t="shared" si="3"/>
        <v>0.36960640076803786</v>
      </c>
    </row>
    <row r="31" spans="1:11" x14ac:dyDescent="0.3">
      <c r="A31" s="17">
        <v>44713</v>
      </c>
      <c r="B31" s="34">
        <v>1975488</v>
      </c>
      <c r="C31" s="34">
        <v>35605828</v>
      </c>
      <c r="D31" s="34">
        <v>152769737</v>
      </c>
      <c r="E31" s="34">
        <v>19530370</v>
      </c>
      <c r="F31" s="34">
        <v>54502748</v>
      </c>
      <c r="H31" s="60">
        <f t="shared" si="0"/>
        <v>1.2931147482436263E-2</v>
      </c>
      <c r="I31" s="61">
        <f t="shared" si="1"/>
        <v>0.2330685952545693</v>
      </c>
      <c r="J31" s="61">
        <f t="shared" si="2"/>
        <v>0.12784187747865272</v>
      </c>
      <c r="K31" s="62">
        <f t="shared" si="3"/>
        <v>0.35676403632219383</v>
      </c>
    </row>
    <row r="32" spans="1:11" x14ac:dyDescent="0.3">
      <c r="A32" s="17">
        <v>44743</v>
      </c>
      <c r="B32" s="34">
        <v>3258617</v>
      </c>
      <c r="C32" s="34">
        <v>40823987</v>
      </c>
      <c r="D32" s="34">
        <v>143972092</v>
      </c>
      <c r="E32" s="34">
        <v>37825852</v>
      </c>
      <c r="F32" s="34">
        <v>56117544</v>
      </c>
      <c r="H32" s="60">
        <f t="shared" si="0"/>
        <v>2.2633671253453759E-2</v>
      </c>
      <c r="I32" s="61">
        <f t="shared" si="1"/>
        <v>0.28355486423021486</v>
      </c>
      <c r="J32" s="61">
        <f t="shared" si="2"/>
        <v>0.26273044639790327</v>
      </c>
      <c r="K32" s="62">
        <f t="shared" si="3"/>
        <v>0.38978070833339007</v>
      </c>
    </row>
    <row r="33" spans="1:11" x14ac:dyDescent="0.3">
      <c r="A33" s="17">
        <v>44774</v>
      </c>
      <c r="B33" s="34">
        <v>2092936</v>
      </c>
      <c r="C33" s="34">
        <v>36673481</v>
      </c>
      <c r="D33" s="34">
        <v>147510602</v>
      </c>
      <c r="E33" s="34">
        <v>36808536</v>
      </c>
      <c r="F33" s="34">
        <v>57919616</v>
      </c>
      <c r="H33" s="60">
        <f t="shared" si="0"/>
        <v>1.4188376778504368E-2</v>
      </c>
      <c r="I33" s="61">
        <f t="shared" si="1"/>
        <v>0.24861589948632981</v>
      </c>
      <c r="J33" s="61">
        <f t="shared" si="2"/>
        <v>0.24953146079628907</v>
      </c>
      <c r="K33" s="62">
        <f t="shared" si="3"/>
        <v>0.39264714003404311</v>
      </c>
    </row>
    <row r="34" spans="1:11" x14ac:dyDescent="0.3">
      <c r="A34" s="17">
        <v>44805</v>
      </c>
      <c r="B34" s="34">
        <v>2156528</v>
      </c>
      <c r="C34" s="34">
        <v>31313760</v>
      </c>
      <c r="D34" s="34">
        <v>148632335</v>
      </c>
      <c r="E34" s="34">
        <v>38464706</v>
      </c>
      <c r="F34" s="34">
        <v>53080590</v>
      </c>
      <c r="H34" s="60">
        <f t="shared" si="0"/>
        <v>1.4509144325829235E-2</v>
      </c>
      <c r="I34" s="61">
        <f t="shared" si="1"/>
        <v>0.21067932492616764</v>
      </c>
      <c r="J34" s="61">
        <f t="shared" si="2"/>
        <v>0.25879096900415377</v>
      </c>
      <c r="K34" s="62">
        <f t="shared" si="3"/>
        <v>0.35712679882207327</v>
      </c>
    </row>
    <row r="35" spans="1:11" x14ac:dyDescent="0.3">
      <c r="A35" s="17">
        <v>44835</v>
      </c>
      <c r="B35" s="34">
        <v>2169907</v>
      </c>
      <c r="C35" s="34">
        <v>33635478</v>
      </c>
      <c r="D35" s="34">
        <v>144866841</v>
      </c>
      <c r="E35" s="34">
        <v>42467198</v>
      </c>
      <c r="F35" s="34">
        <v>53445282</v>
      </c>
      <c r="H35" s="60">
        <f t="shared" si="0"/>
        <v>1.4978631307353489E-2</v>
      </c>
      <c r="I35" s="61">
        <f t="shared" si="1"/>
        <v>0.23218203536308216</v>
      </c>
      <c r="J35" s="61">
        <f t="shared" si="2"/>
        <v>0.29314643507688554</v>
      </c>
      <c r="K35" s="62">
        <f t="shared" si="3"/>
        <v>0.36892695133733194</v>
      </c>
    </row>
    <row r="36" spans="1:11" x14ac:dyDescent="0.3">
      <c r="A36" s="17">
        <v>44866</v>
      </c>
      <c r="B36" s="34">
        <v>2369049</v>
      </c>
      <c r="C36" s="34">
        <v>34734571</v>
      </c>
      <c r="D36" s="34">
        <v>143358226</v>
      </c>
      <c r="E36" s="34">
        <v>37215565</v>
      </c>
      <c r="F36" s="34">
        <v>51765888</v>
      </c>
      <c r="H36" s="60">
        <f t="shared" si="0"/>
        <v>1.6525378878502583E-2</v>
      </c>
      <c r="I36" s="61">
        <f t="shared" si="1"/>
        <v>0.24229213745990411</v>
      </c>
      <c r="J36" s="61">
        <f t="shared" si="2"/>
        <v>0.25959839235175802</v>
      </c>
      <c r="K36" s="62">
        <f t="shared" si="3"/>
        <v>0.36109464691618043</v>
      </c>
    </row>
    <row r="37" spans="1:11" x14ac:dyDescent="0.3">
      <c r="A37" s="17">
        <v>44896</v>
      </c>
      <c r="B37" s="34">
        <v>2527640</v>
      </c>
      <c r="C37" s="34">
        <v>49013631</v>
      </c>
      <c r="D37" s="34">
        <v>126733425</v>
      </c>
      <c r="E37" s="34">
        <v>40389450</v>
      </c>
      <c r="F37" s="34">
        <v>59644900</v>
      </c>
      <c r="H37" s="60">
        <f t="shared" si="0"/>
        <v>1.9944541071149936E-2</v>
      </c>
      <c r="I37" s="61">
        <f t="shared" si="1"/>
        <v>0.38674588807175375</v>
      </c>
      <c r="J37" s="61">
        <f t="shared" si="2"/>
        <v>0.31869611351543603</v>
      </c>
      <c r="K37" s="62">
        <f t="shared" si="3"/>
        <v>0.47063274743817585</v>
      </c>
    </row>
    <row r="38" spans="1:11" x14ac:dyDescent="0.3">
      <c r="A38" s="17">
        <v>44927</v>
      </c>
      <c r="B38" s="34">
        <v>2769528</v>
      </c>
      <c r="C38" s="34">
        <v>28192245</v>
      </c>
      <c r="D38" s="34">
        <v>146464899</v>
      </c>
      <c r="E38" s="34">
        <v>29385425</v>
      </c>
      <c r="F38" s="34">
        <v>56121901</v>
      </c>
      <c r="H38" s="60">
        <f t="shared" si="0"/>
        <v>1.890915856911218E-2</v>
      </c>
      <c r="I38" s="61">
        <f t="shared" si="1"/>
        <v>0.19248465122008515</v>
      </c>
      <c r="J38" s="61">
        <f t="shared" si="2"/>
        <v>0.20063117648413495</v>
      </c>
      <c r="K38" s="62">
        <f t="shared" si="3"/>
        <v>0.38317645649692489</v>
      </c>
    </row>
    <row r="39" spans="1:11" x14ac:dyDescent="0.3">
      <c r="A39" s="17">
        <v>44958</v>
      </c>
      <c r="B39" s="34">
        <v>2024155</v>
      </c>
      <c r="C39" s="34">
        <v>30334997</v>
      </c>
      <c r="D39" s="34">
        <v>128632694</v>
      </c>
      <c r="E39" s="34">
        <v>28476696</v>
      </c>
      <c r="F39" s="34">
        <v>55826561</v>
      </c>
      <c r="H39" s="60">
        <f t="shared" si="0"/>
        <v>1.5735929467511581E-2</v>
      </c>
      <c r="I39" s="61">
        <f t="shared" si="1"/>
        <v>0.23582649213581736</v>
      </c>
      <c r="J39" s="61">
        <f t="shared" si="2"/>
        <v>0.22137992383180594</v>
      </c>
      <c r="K39" s="62">
        <f t="shared" si="3"/>
        <v>0.43399978080222745</v>
      </c>
    </row>
    <row r="40" spans="1:11" x14ac:dyDescent="0.3">
      <c r="A40" s="17">
        <v>44986</v>
      </c>
      <c r="B40" s="34">
        <v>2743058</v>
      </c>
      <c r="C40" s="34">
        <v>46081681</v>
      </c>
      <c r="D40" s="34">
        <v>138966555</v>
      </c>
      <c r="E40" s="34">
        <v>31480786</v>
      </c>
      <c r="F40" s="34">
        <v>56816199</v>
      </c>
      <c r="H40" s="60">
        <f t="shared" si="0"/>
        <v>1.973897964154037E-2</v>
      </c>
      <c r="I40" s="61">
        <f t="shared" si="1"/>
        <v>0.33160267231205381</v>
      </c>
      <c r="J40" s="61">
        <f t="shared" si="2"/>
        <v>0.2265349817443485</v>
      </c>
      <c r="K40" s="62">
        <f t="shared" si="3"/>
        <v>0.40884800663008447</v>
      </c>
    </row>
    <row r="41" spans="1:11" x14ac:dyDescent="0.3">
      <c r="A41" s="17">
        <v>45017</v>
      </c>
      <c r="B41" s="34">
        <v>2157261</v>
      </c>
      <c r="C41" s="34">
        <v>44336417</v>
      </c>
      <c r="D41" s="34">
        <v>138800363</v>
      </c>
      <c r="E41" s="34">
        <v>21003187</v>
      </c>
      <c r="F41" s="34">
        <v>60707917</v>
      </c>
      <c r="H41" s="60">
        <f t="shared" si="0"/>
        <v>1.5542185577713511E-2</v>
      </c>
      <c r="I41" s="61">
        <f t="shared" si="1"/>
        <v>0.31942580006076787</v>
      </c>
      <c r="J41" s="61">
        <f t="shared" si="2"/>
        <v>0.15131939532463615</v>
      </c>
      <c r="K41" s="62">
        <f t="shared" si="3"/>
        <v>0.43737577977371717</v>
      </c>
    </row>
    <row r="42" spans="1:11" x14ac:dyDescent="0.3">
      <c r="A42" s="17">
        <v>45047</v>
      </c>
      <c r="B42" s="34">
        <v>1812387</v>
      </c>
      <c r="C42" s="34">
        <v>40218451</v>
      </c>
      <c r="D42" s="34">
        <v>128640575</v>
      </c>
      <c r="E42" s="34">
        <v>18089905</v>
      </c>
      <c r="F42" s="34">
        <v>62898669</v>
      </c>
      <c r="H42" s="60">
        <f t="shared" si="0"/>
        <v>1.4088766316537375E-2</v>
      </c>
      <c r="I42" s="61">
        <f t="shared" si="1"/>
        <v>0.31264203382175493</v>
      </c>
      <c r="J42" s="61">
        <f t="shared" si="2"/>
        <v>0.14062363294007355</v>
      </c>
      <c r="K42" s="62">
        <f t="shared" si="3"/>
        <v>0.48894891055951828</v>
      </c>
    </row>
    <row r="43" spans="1:11" x14ac:dyDescent="0.3">
      <c r="A43" s="17">
        <v>45078</v>
      </c>
      <c r="B43" s="34">
        <v>899621</v>
      </c>
      <c r="C43" s="34">
        <v>37264463</v>
      </c>
      <c r="D43" s="34">
        <v>124674863</v>
      </c>
      <c r="E43" s="34">
        <v>30367836</v>
      </c>
      <c r="F43" s="34">
        <v>57117652</v>
      </c>
      <c r="H43" s="60">
        <f t="shared" si="0"/>
        <v>7.2157368241904541E-3</v>
      </c>
      <c r="I43" s="61">
        <f t="shared" si="1"/>
        <v>0.29889315378674208</v>
      </c>
      <c r="J43" s="61">
        <f t="shared" si="2"/>
        <v>0.24357625321794016</v>
      </c>
      <c r="K43" s="62">
        <f t="shared" si="3"/>
        <v>0.45813286355887151</v>
      </c>
    </row>
    <row r="44" spans="1:11" x14ac:dyDescent="0.3">
      <c r="A44" s="17">
        <v>45108</v>
      </c>
      <c r="B44" s="34">
        <v>2561109</v>
      </c>
      <c r="C44" s="34">
        <v>41760368</v>
      </c>
      <c r="D44" s="34">
        <v>114373182</v>
      </c>
      <c r="E44" s="34">
        <v>23995267</v>
      </c>
      <c r="F44" s="34">
        <v>54849351</v>
      </c>
      <c r="H44" s="60">
        <f t="shared" si="0"/>
        <v>2.2392565767733907E-2</v>
      </c>
      <c r="I44" s="61">
        <f t="shared" si="1"/>
        <v>0.36512377525703532</v>
      </c>
      <c r="J44" s="61">
        <f t="shared" si="2"/>
        <v>0.20979801890971259</v>
      </c>
      <c r="K44" s="62">
        <f t="shared" si="3"/>
        <v>0.47956478993475937</v>
      </c>
    </row>
    <row r="45" spans="1:11" x14ac:dyDescent="0.3">
      <c r="A45" s="17">
        <v>45139</v>
      </c>
      <c r="B45" s="34">
        <v>2126823</v>
      </c>
      <c r="C45" s="34">
        <v>34241880</v>
      </c>
      <c r="D45" s="34">
        <v>126489716</v>
      </c>
      <c r="E45" s="34">
        <v>25818199</v>
      </c>
      <c r="F45" s="34">
        <v>47605821</v>
      </c>
      <c r="H45" s="60">
        <f t="shared" si="0"/>
        <v>1.6814196973926322E-2</v>
      </c>
      <c r="I45" s="61">
        <f t="shared" si="1"/>
        <v>0.27070880608191106</v>
      </c>
      <c r="J45" s="61">
        <f t="shared" si="2"/>
        <v>0.20411302844572757</v>
      </c>
      <c r="K45" s="62">
        <f t="shared" si="3"/>
        <v>0.37636119761704578</v>
      </c>
    </row>
    <row r="46" spans="1:11" x14ac:dyDescent="0.3">
      <c r="A46" s="17">
        <v>45170</v>
      </c>
      <c r="B46" s="34">
        <v>2929741</v>
      </c>
      <c r="C46" s="34">
        <v>44673437</v>
      </c>
      <c r="D46" s="34">
        <v>119130319</v>
      </c>
      <c r="E46" s="34">
        <v>16644387</v>
      </c>
      <c r="F46" s="34">
        <v>55668199</v>
      </c>
      <c r="H46" s="60">
        <f t="shared" si="0"/>
        <v>2.4592740324988132E-2</v>
      </c>
      <c r="I46" s="61">
        <f t="shared" si="1"/>
        <v>0.37499636847274792</v>
      </c>
      <c r="J46" s="61">
        <f t="shared" si="2"/>
        <v>0.13971579308874343</v>
      </c>
      <c r="K46" s="62">
        <f t="shared" si="3"/>
        <v>0.46728825598125023</v>
      </c>
    </row>
    <row r="47" spans="1:11" x14ac:dyDescent="0.3">
      <c r="A47" s="17">
        <v>45200</v>
      </c>
      <c r="B47" s="34">
        <v>2244769</v>
      </c>
      <c r="C47" s="34">
        <v>44936049</v>
      </c>
      <c r="D47" s="34">
        <v>117583400</v>
      </c>
      <c r="E47" s="34">
        <v>18217918</v>
      </c>
      <c r="F47" s="34">
        <v>51956645</v>
      </c>
      <c r="H47" s="60">
        <f t="shared" si="0"/>
        <v>1.9090866567899892E-2</v>
      </c>
      <c r="I47" s="61">
        <f t="shared" si="1"/>
        <v>0.38216320501023104</v>
      </c>
      <c r="J47" s="61">
        <f t="shared" si="2"/>
        <v>0.15493613894478303</v>
      </c>
      <c r="K47" s="62">
        <f t="shared" si="3"/>
        <v>0.44187057867011842</v>
      </c>
    </row>
    <row r="48" spans="1:11" x14ac:dyDescent="0.3">
      <c r="A48" s="17">
        <v>45231</v>
      </c>
      <c r="B48" s="34">
        <v>2539560</v>
      </c>
      <c r="C48" s="34">
        <v>32598735</v>
      </c>
      <c r="D48" s="34">
        <v>124339822</v>
      </c>
      <c r="E48" s="34">
        <v>27913873</v>
      </c>
      <c r="F48" s="34">
        <v>40910527</v>
      </c>
      <c r="H48" s="60">
        <f t="shared" si="0"/>
        <v>2.0424349650428164E-2</v>
      </c>
      <c r="I48" s="61">
        <f t="shared" si="1"/>
        <v>0.2621745348807078</v>
      </c>
      <c r="J48" s="61">
        <f t="shared" si="2"/>
        <v>0.2244966459739664</v>
      </c>
      <c r="K48" s="62">
        <f t="shared" si="3"/>
        <v>0.32902192026622012</v>
      </c>
    </row>
    <row r="49" spans="1:11" x14ac:dyDescent="0.3">
      <c r="A49" s="17">
        <v>45261</v>
      </c>
      <c r="B49" s="34">
        <v>1251116</v>
      </c>
      <c r="C49" s="34">
        <v>42690725</v>
      </c>
      <c r="D49" s="34">
        <v>122685551</v>
      </c>
      <c r="E49" s="34">
        <v>27707793</v>
      </c>
      <c r="F49" s="34">
        <v>51725630</v>
      </c>
      <c r="H49" s="60">
        <f t="shared" si="0"/>
        <v>1.0197745291130494E-2</v>
      </c>
      <c r="I49" s="61">
        <f t="shared" si="1"/>
        <v>0.34796864546828338</v>
      </c>
      <c r="J49" s="61">
        <f t="shared" si="2"/>
        <v>0.22584397897027012</v>
      </c>
      <c r="K49" s="62">
        <f t="shared" si="3"/>
        <v>0.42161142513025024</v>
      </c>
    </row>
    <row r="50" spans="1:11" x14ac:dyDescent="0.3">
      <c r="A50" s="17">
        <v>45292</v>
      </c>
      <c r="B50" s="34">
        <v>2717381</v>
      </c>
      <c r="C50" s="34">
        <v>36220687</v>
      </c>
      <c r="D50" s="34">
        <v>122740904</v>
      </c>
      <c r="E50" s="34">
        <v>23005413</v>
      </c>
      <c r="F50" s="34">
        <v>56115541</v>
      </c>
      <c r="H50" s="60">
        <f t="shared" si="0"/>
        <v>2.2139163974220038E-2</v>
      </c>
      <c r="I50" s="61">
        <f t="shared" si="1"/>
        <v>0.29509874719514856</v>
      </c>
      <c r="J50" s="61">
        <f t="shared" si="2"/>
        <v>0.18743069547540567</v>
      </c>
      <c r="K50" s="62">
        <f t="shared" si="3"/>
        <v>0.45718696189495234</v>
      </c>
    </row>
    <row r="51" spans="1:11" x14ac:dyDescent="0.3">
      <c r="A51" s="17">
        <v>45323</v>
      </c>
      <c r="B51" s="34">
        <v>1615985</v>
      </c>
      <c r="C51" s="34">
        <v>34810267</v>
      </c>
      <c r="D51" s="34">
        <v>123645765</v>
      </c>
      <c r="E51" s="34">
        <v>23228772</v>
      </c>
      <c r="F51" s="34">
        <v>53130352</v>
      </c>
      <c r="H51" s="60">
        <f t="shared" si="0"/>
        <v>1.3069473103263989E-2</v>
      </c>
      <c r="I51" s="61">
        <f t="shared" si="1"/>
        <v>0.28153222231266878</v>
      </c>
      <c r="J51" s="61">
        <f t="shared" si="2"/>
        <v>0.18786548815481063</v>
      </c>
      <c r="K51" s="62">
        <f t="shared" si="3"/>
        <v>0.42969811380114797</v>
      </c>
    </row>
    <row r="52" spans="1:11" x14ac:dyDescent="0.3">
      <c r="A52" s="17">
        <v>45352</v>
      </c>
      <c r="B52" s="34">
        <v>927731</v>
      </c>
      <c r="C52" s="34">
        <v>35128259</v>
      </c>
      <c r="D52" s="34">
        <v>140739323</v>
      </c>
      <c r="E52" s="34">
        <v>28297569</v>
      </c>
      <c r="F52" s="34">
        <v>52987958</v>
      </c>
      <c r="H52" s="60">
        <f t="shared" si="0"/>
        <v>6.5918392971095934E-3</v>
      </c>
      <c r="I52" s="61">
        <f t="shared" si="1"/>
        <v>0.24959803877982276</v>
      </c>
      <c r="J52" s="61">
        <f t="shared" si="2"/>
        <v>0.20106369987299144</v>
      </c>
      <c r="K52" s="62">
        <f t="shared" si="3"/>
        <v>0.37649717840407687</v>
      </c>
    </row>
    <row r="53" spans="1:11" x14ac:dyDescent="0.3">
      <c r="A53" s="17">
        <v>45383</v>
      </c>
      <c r="B53" s="34">
        <v>2853251</v>
      </c>
      <c r="C53" s="34">
        <v>33650477</v>
      </c>
      <c r="D53" s="34">
        <v>125389763</v>
      </c>
      <c r="E53" s="34">
        <v>37394038</v>
      </c>
      <c r="F53" s="34">
        <v>40070051</v>
      </c>
      <c r="H53" s="60">
        <f t="shared" si="0"/>
        <v>2.2755055370828E-2</v>
      </c>
      <c r="I53" s="61">
        <f t="shared" si="1"/>
        <v>0.26836701972233573</v>
      </c>
      <c r="J53" s="61">
        <f t="shared" si="2"/>
        <v>0.29822241549336048</v>
      </c>
      <c r="K53" s="62">
        <f t="shared" si="3"/>
        <v>0.31956397429349953</v>
      </c>
    </row>
    <row r="54" spans="1:11" x14ac:dyDescent="0.3">
      <c r="A54" s="17">
        <v>45413</v>
      </c>
      <c r="B54" s="34">
        <v>0</v>
      </c>
      <c r="C54" s="34">
        <v>39561011</v>
      </c>
      <c r="D54" s="34">
        <v>118958395</v>
      </c>
      <c r="E54" s="34">
        <v>26896302</v>
      </c>
      <c r="F54" s="34">
        <v>56799319</v>
      </c>
      <c r="H54" s="60">
        <f t="shared" si="0"/>
        <v>0</v>
      </c>
      <c r="I54" s="61">
        <f t="shared" si="1"/>
        <v>0.33256174143909728</v>
      </c>
      <c r="J54" s="61">
        <f t="shared" si="2"/>
        <v>0.22609839347613928</v>
      </c>
      <c r="K54" s="62">
        <f t="shared" si="3"/>
        <v>0.47747213637171215</v>
      </c>
    </row>
    <row r="55" spans="1:11" x14ac:dyDescent="0.3">
      <c r="A55" s="17">
        <v>45444</v>
      </c>
      <c r="B55" s="34">
        <v>1891149</v>
      </c>
      <c r="C55" s="34">
        <v>33793712</v>
      </c>
      <c r="D55" s="34">
        <v>106137808</v>
      </c>
      <c r="E55" s="34">
        <v>23929941</v>
      </c>
      <c r="F55" s="34">
        <v>49819356</v>
      </c>
      <c r="H55" s="60">
        <f t="shared" si="0"/>
        <v>1.7817863734287787E-2</v>
      </c>
      <c r="I55" s="61">
        <f t="shared" si="1"/>
        <v>0.31839466667711847</v>
      </c>
      <c r="J55" s="61">
        <f t="shared" si="2"/>
        <v>0.22546104400422515</v>
      </c>
      <c r="K55" s="62">
        <f t="shared" si="3"/>
        <v>0.4693836903057203</v>
      </c>
    </row>
    <row r="56" spans="1:11" x14ac:dyDescent="0.3">
      <c r="A56" s="17">
        <v>45474</v>
      </c>
      <c r="B56" s="34">
        <v>2959414</v>
      </c>
      <c r="C56" s="34">
        <v>28820762</v>
      </c>
      <c r="D56" s="34">
        <v>118114708</v>
      </c>
      <c r="E56" s="34">
        <v>32257430</v>
      </c>
      <c r="F56" s="34">
        <v>47303145</v>
      </c>
      <c r="H56" s="60">
        <f t="shared" si="0"/>
        <v>2.5055423241616956E-2</v>
      </c>
      <c r="I56" s="61">
        <f t="shared" si="1"/>
        <v>0.24400654658520596</v>
      </c>
      <c r="J56" s="61">
        <f t="shared" si="2"/>
        <v>0.27310256737882299</v>
      </c>
      <c r="K56" s="62">
        <f t="shared" si="3"/>
        <v>0.40048479821835564</v>
      </c>
    </row>
    <row r="57" spans="1:11" x14ac:dyDescent="0.3">
      <c r="A57" s="17">
        <v>45505</v>
      </c>
      <c r="B57" s="34">
        <v>2760132</v>
      </c>
      <c r="C57" s="34">
        <v>35651774</v>
      </c>
      <c r="D57" s="34">
        <v>106027898</v>
      </c>
      <c r="E57" s="34">
        <v>31870930</v>
      </c>
      <c r="F57" s="34">
        <v>54522458</v>
      </c>
      <c r="H57" s="60">
        <f t="shared" si="0"/>
        <v>2.6032129770223306E-2</v>
      </c>
      <c r="I57" s="61">
        <f t="shared" si="1"/>
        <v>0.33624899363750471</v>
      </c>
      <c r="J57" s="61">
        <f t="shared" si="2"/>
        <v>0.30059003904802489</v>
      </c>
      <c r="K57" s="62">
        <f t="shared" si="3"/>
        <v>0.51422747247144329</v>
      </c>
    </row>
    <row r="58" spans="1:11" x14ac:dyDescent="0.3">
      <c r="A58" s="17">
        <v>45536</v>
      </c>
      <c r="B58" s="34">
        <v>2186467</v>
      </c>
      <c r="C58" s="34">
        <v>35252481</v>
      </c>
      <c r="D58" s="34">
        <v>113199270</v>
      </c>
      <c r="E58" s="34">
        <v>30871816</v>
      </c>
      <c r="F58" s="34">
        <v>46601421</v>
      </c>
      <c r="H58" s="60">
        <f t="shared" si="0"/>
        <v>1.9315204064478508E-2</v>
      </c>
      <c r="I58" s="61">
        <f t="shared" si="1"/>
        <v>0.31141968495026512</v>
      </c>
      <c r="J58" s="61">
        <f t="shared" si="2"/>
        <v>0.27272098132788314</v>
      </c>
      <c r="K58" s="62">
        <f t="shared" si="3"/>
        <v>0.41167598518965715</v>
      </c>
    </row>
    <row r="59" spans="1:11" x14ac:dyDescent="0.3">
      <c r="A59" s="17">
        <v>45566</v>
      </c>
      <c r="B59" s="34">
        <v>2611277</v>
      </c>
      <c r="C59" s="34">
        <v>35202030</v>
      </c>
      <c r="D59" s="34">
        <v>121867434</v>
      </c>
      <c r="E59" s="34">
        <v>37195950</v>
      </c>
      <c r="F59" s="34">
        <v>47281483</v>
      </c>
      <c r="H59" s="60">
        <f t="shared" si="0"/>
        <v>2.1427192764229368E-2</v>
      </c>
      <c r="I59" s="61">
        <f t="shared" si="1"/>
        <v>0.28885510135546139</v>
      </c>
      <c r="J59" s="61">
        <f t="shared" si="2"/>
        <v>0.30521648630100801</v>
      </c>
      <c r="K59" s="62">
        <f t="shared" si="3"/>
        <v>0.38797471521391025</v>
      </c>
    </row>
    <row r="60" spans="1:11" x14ac:dyDescent="0.3">
      <c r="A60" s="17">
        <v>45597</v>
      </c>
      <c r="B60" s="34">
        <v>1350641</v>
      </c>
      <c r="C60" s="34">
        <v>43371898</v>
      </c>
      <c r="D60" s="34">
        <v>114386519</v>
      </c>
      <c r="E60" s="34">
        <v>25082767</v>
      </c>
      <c r="F60" s="34">
        <v>45012266</v>
      </c>
      <c r="H60" s="60">
        <f t="shared" si="0"/>
        <v>1.1807693876933173E-2</v>
      </c>
      <c r="I60" s="61">
        <f t="shared" si="1"/>
        <v>0.37916966421541337</v>
      </c>
      <c r="J60" s="61">
        <f t="shared" si="2"/>
        <v>0.21928079654211699</v>
      </c>
      <c r="K60" s="62">
        <f t="shared" si="3"/>
        <v>0.39351023524022094</v>
      </c>
    </row>
    <row r="61" spans="1:11" x14ac:dyDescent="0.3">
      <c r="A61" s="17">
        <v>45627</v>
      </c>
      <c r="B61" s="34">
        <v>1399025</v>
      </c>
      <c r="C61" s="34">
        <v>38681491</v>
      </c>
      <c r="D61" s="34">
        <v>123397537</v>
      </c>
      <c r="E61" s="34">
        <v>27072465</v>
      </c>
      <c r="F61" s="34">
        <v>50481091</v>
      </c>
      <c r="H61" s="60">
        <f t="shared" si="0"/>
        <v>1.1337543957623725E-2</v>
      </c>
      <c r="I61" s="61">
        <f t="shared" si="1"/>
        <v>0.31347052737365416</v>
      </c>
      <c r="J61" s="61">
        <f t="shared" si="2"/>
        <v>0.21939226388286825</v>
      </c>
      <c r="K61" s="62">
        <f t="shared" si="3"/>
        <v>0.40909318149518659</v>
      </c>
    </row>
    <row r="62" spans="1:11" x14ac:dyDescent="0.3">
      <c r="A62" s="17">
        <v>45658</v>
      </c>
      <c r="B62" s="34">
        <v>2286459</v>
      </c>
      <c r="C62" s="34">
        <v>45373012</v>
      </c>
      <c r="D62" s="34">
        <v>133201816</v>
      </c>
      <c r="E62" s="34">
        <v>28451903</v>
      </c>
      <c r="F62" s="34">
        <v>53119920</v>
      </c>
      <c r="H62" s="60">
        <f t="shared" si="0"/>
        <v>1.7165374081686693E-2</v>
      </c>
      <c r="I62" s="61">
        <f t="shared" si="1"/>
        <v>0.34063358415473854</v>
      </c>
      <c r="J62" s="61">
        <f t="shared" si="2"/>
        <v>0.21359996323173253</v>
      </c>
      <c r="K62" s="62">
        <f t="shared" si="3"/>
        <v>0.3987927612037962</v>
      </c>
    </row>
    <row r="63" spans="1:11" x14ac:dyDescent="0.3">
      <c r="A63" s="17">
        <v>45689</v>
      </c>
      <c r="B63" s="34">
        <v>1812997</v>
      </c>
      <c r="C63" s="34">
        <v>34523525</v>
      </c>
      <c r="D63" s="34">
        <v>117900293</v>
      </c>
      <c r="E63" s="34">
        <v>22149648</v>
      </c>
      <c r="F63" s="34">
        <v>46773862</v>
      </c>
      <c r="H63" s="60">
        <f t="shared" si="0"/>
        <v>1.5377374846727481E-2</v>
      </c>
      <c r="I63" s="61">
        <f t="shared" si="1"/>
        <v>0.29281967094008832</v>
      </c>
      <c r="J63" s="61">
        <f t="shared" si="2"/>
        <v>0.18786762472252719</v>
      </c>
      <c r="K63" s="62">
        <f t="shared" si="3"/>
        <v>0.3967238826115555</v>
      </c>
    </row>
    <row r="64" spans="1:11" x14ac:dyDescent="0.3">
      <c r="A64" s="17">
        <v>45717</v>
      </c>
      <c r="B64" s="34">
        <v>1945602</v>
      </c>
      <c r="C64" s="34">
        <v>36597399</v>
      </c>
      <c r="D64" s="34">
        <v>119740289</v>
      </c>
      <c r="E64" s="34">
        <v>23915263</v>
      </c>
      <c r="F64" s="34">
        <v>58450410</v>
      </c>
      <c r="H64" s="60">
        <f t="shared" si="0"/>
        <v>1.6248515986127275E-2</v>
      </c>
      <c r="I64" s="61">
        <f t="shared" si="1"/>
        <v>0.30563980850255007</v>
      </c>
      <c r="J64" s="61">
        <f t="shared" si="2"/>
        <v>0.1997261172469694</v>
      </c>
      <c r="K64" s="62">
        <f t="shared" si="3"/>
        <v>0.48814321802747612</v>
      </c>
    </row>
    <row r="65" spans="1:13" x14ac:dyDescent="0.3">
      <c r="A65" s="17">
        <v>45748</v>
      </c>
      <c r="B65" s="34">
        <v>2182552</v>
      </c>
      <c r="C65" s="34">
        <v>32450358</v>
      </c>
      <c r="D65" s="34">
        <v>107878028</v>
      </c>
      <c r="E65" s="34">
        <v>22804581</v>
      </c>
      <c r="F65" s="34">
        <v>57466780</v>
      </c>
      <c r="H65" s="60">
        <f t="shared" si="0"/>
        <v>2.0231663856517659E-2</v>
      </c>
      <c r="I65" s="61">
        <f t="shared" si="1"/>
        <v>0.30080599916045925</v>
      </c>
      <c r="J65" s="61">
        <f t="shared" si="2"/>
        <v>0.21139226794171653</v>
      </c>
      <c r="K65" s="62">
        <f t="shared" si="3"/>
        <v>0.53270143202840159</v>
      </c>
    </row>
    <row r="66" spans="1:13" x14ac:dyDescent="0.3">
      <c r="A66" s="17">
        <v>45778</v>
      </c>
      <c r="B66" s="34">
        <v>2356420</v>
      </c>
      <c r="C66" s="34">
        <v>36212192</v>
      </c>
      <c r="D66" s="34">
        <v>105319006</v>
      </c>
      <c r="E66" s="34">
        <v>27626226</v>
      </c>
      <c r="F66" s="34">
        <v>59406228</v>
      </c>
      <c r="H66" s="60">
        <f t="shared" si="0"/>
        <v>2.2374119254410737E-2</v>
      </c>
      <c r="I66" s="61">
        <f t="shared" si="1"/>
        <v>0.34383340078238112</v>
      </c>
      <c r="J66" s="61">
        <f t="shared" si="2"/>
        <v>0.26230997660574201</v>
      </c>
      <c r="K66" s="62">
        <f t="shared" si="3"/>
        <v>0.56405990007159768</v>
      </c>
    </row>
    <row r="67" spans="1:13" x14ac:dyDescent="0.3">
      <c r="A67" s="17">
        <v>45809</v>
      </c>
      <c r="B67" s="34">
        <v>2184140</v>
      </c>
      <c r="C67" s="34">
        <v>40205181</v>
      </c>
      <c r="D67" s="34">
        <v>109763339</v>
      </c>
      <c r="E67" s="34">
        <v>29610048</v>
      </c>
      <c r="F67" s="34">
        <v>54655257</v>
      </c>
      <c r="H67" s="60">
        <f t="shared" ref="H67:H70" si="4">+B67/D67</f>
        <v>1.9898629359298189E-2</v>
      </c>
      <c r="I67" s="61">
        <f t="shared" ref="I67:I70" si="5">+C67/D67</f>
        <v>0.3662897044340096</v>
      </c>
      <c r="J67" s="61">
        <f t="shared" ref="J67:J70" si="6">+E67/D67</f>
        <v>0.26976263905382836</v>
      </c>
      <c r="K67" s="62">
        <f t="shared" ref="K67:K70" si="7">+F67/D67</f>
        <v>0.49793726664965976</v>
      </c>
    </row>
    <row r="68" spans="1:13" x14ac:dyDescent="0.3">
      <c r="A68" s="17">
        <v>45839</v>
      </c>
      <c r="B68" s="34">
        <v>2355839</v>
      </c>
      <c r="C68" s="34">
        <v>36899742</v>
      </c>
      <c r="D68" s="34">
        <v>118873858</v>
      </c>
      <c r="E68" s="34">
        <v>34754408</v>
      </c>
      <c r="F68" s="34">
        <v>52704863</v>
      </c>
      <c r="H68" s="60">
        <f t="shared" si="4"/>
        <v>1.9817973771827948E-2</v>
      </c>
      <c r="I68" s="61">
        <f t="shared" si="5"/>
        <v>0.31041090632391188</v>
      </c>
      <c r="J68" s="61">
        <f t="shared" si="6"/>
        <v>0.29236375923796465</v>
      </c>
      <c r="K68" s="62">
        <f t="shared" si="7"/>
        <v>0.44336798591999932</v>
      </c>
    </row>
    <row r="69" spans="1:13" x14ac:dyDescent="0.3">
      <c r="A69" s="17">
        <v>45870</v>
      </c>
      <c r="B69" s="34">
        <v>2640782</v>
      </c>
      <c r="C69" s="34">
        <v>39795296</v>
      </c>
      <c r="D69" s="34">
        <v>128917238</v>
      </c>
      <c r="E69" s="34">
        <v>28417099</v>
      </c>
      <c r="F69" s="34">
        <v>47774030</v>
      </c>
      <c r="H69" s="60">
        <f t="shared" si="4"/>
        <v>2.0484320335811105E-2</v>
      </c>
      <c r="I69" s="61">
        <f t="shared" si="5"/>
        <v>0.30868871081460802</v>
      </c>
      <c r="J69" s="61">
        <f t="shared" si="6"/>
        <v>0.22042900888087597</v>
      </c>
      <c r="K69" s="62">
        <f t="shared" si="7"/>
        <v>0.37057906872004193</v>
      </c>
    </row>
    <row r="70" spans="1:13" x14ac:dyDescent="0.3">
      <c r="A70" s="17">
        <v>45901</v>
      </c>
      <c r="B70" s="34">
        <v>1942791</v>
      </c>
      <c r="C70" s="34">
        <v>34350190</v>
      </c>
      <c r="D70" s="34">
        <v>128531866</v>
      </c>
      <c r="E70" s="34">
        <v>28465394</v>
      </c>
      <c r="F70" s="34">
        <v>53760051</v>
      </c>
      <c r="H70" s="60">
        <f t="shared" si="4"/>
        <v>1.5115247762761026E-2</v>
      </c>
      <c r="I70" s="61">
        <f t="shared" si="5"/>
        <v>0.26725037976185612</v>
      </c>
      <c r="J70" s="61">
        <f t="shared" si="6"/>
        <v>0.2214656558397744</v>
      </c>
      <c r="K70" s="62">
        <f t="shared" si="7"/>
        <v>0.41826243306854349</v>
      </c>
    </row>
    <row r="71" spans="1:13" x14ac:dyDescent="0.3">
      <c r="A71" s="42">
        <v>45931</v>
      </c>
      <c r="B71" s="43"/>
      <c r="C71" s="48">
        <v>37853289.691551901</v>
      </c>
      <c r="D71" s="48">
        <v>122907967.7878239</v>
      </c>
      <c r="E71" s="48">
        <v>29193006.78509295</v>
      </c>
      <c r="F71" s="48">
        <v>16603335.490069918</v>
      </c>
      <c r="G71" s="43"/>
      <c r="H71" s="77">
        <v>0</v>
      </c>
      <c r="I71" s="72">
        <v>0.30881950468251756</v>
      </c>
      <c r="J71" s="72">
        <v>0.24209043291933205</v>
      </c>
      <c r="K71" s="78">
        <v>0.14013179550073679</v>
      </c>
      <c r="M71" s="49" t="s">
        <v>182</v>
      </c>
    </row>
    <row r="72" spans="1:13" x14ac:dyDescent="0.3">
      <c r="A72" s="42">
        <v>45962</v>
      </c>
      <c r="B72" s="43"/>
      <c r="C72" s="48">
        <v>45458953.884204611</v>
      </c>
      <c r="D72" s="48">
        <v>101407975.30578989</v>
      </c>
      <c r="E72" s="48">
        <v>25102712.243018009</v>
      </c>
      <c r="F72" s="48">
        <v>24844767.876251824</v>
      </c>
      <c r="G72" s="43"/>
      <c r="H72" s="77">
        <v>0</v>
      </c>
      <c r="I72" s="72">
        <v>0.44216178417093899</v>
      </c>
      <c r="J72" s="72">
        <v>0.26517282177576268</v>
      </c>
      <c r="K72" s="78">
        <v>0.24809166589160081</v>
      </c>
    </row>
    <row r="73" spans="1:13" x14ac:dyDescent="0.3">
      <c r="A73" s="42">
        <v>45992</v>
      </c>
      <c r="B73" s="43"/>
      <c r="C73" s="48">
        <v>37412992.2720327</v>
      </c>
      <c r="D73" s="48">
        <v>124090500.0463299</v>
      </c>
      <c r="E73" s="48">
        <v>29642505.494938202</v>
      </c>
      <c r="F73" s="48">
        <v>9635496.7777910102</v>
      </c>
      <c r="G73" s="43"/>
      <c r="H73" s="77">
        <v>0</v>
      </c>
      <c r="I73" s="72">
        <v>0.4287139135255395</v>
      </c>
      <c r="J73" s="72">
        <v>0.31009302261350019</v>
      </c>
      <c r="K73" s="78">
        <v>0.14258218433667108</v>
      </c>
    </row>
    <row r="74" spans="1:13" x14ac:dyDescent="0.3">
      <c r="A74" s="42">
        <v>46023</v>
      </c>
      <c r="B74" s="43"/>
      <c r="C74" s="48">
        <v>15984990.005968111</v>
      </c>
      <c r="D74" s="48">
        <v>116178584.55950491</v>
      </c>
      <c r="E74" s="48">
        <v>19976124.201006599</v>
      </c>
      <c r="F74" s="48">
        <v>2043400.6459242061</v>
      </c>
      <c r="G74" s="43"/>
      <c r="H74" s="77">
        <v>0</v>
      </c>
      <c r="I74" s="72">
        <v>0.24465360851175807</v>
      </c>
      <c r="J74" s="72">
        <v>0.18339446019771263</v>
      </c>
      <c r="K74" s="78">
        <v>4.9879716956868943E-2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1963-FE1D-43A5-B71D-5B4AC3122D3D}">
  <dimension ref="A1:U1231"/>
  <sheetViews>
    <sheetView showGridLines="0" topLeftCell="A49" workbookViewId="0">
      <selection activeCell="S77" sqref="S77"/>
    </sheetView>
  </sheetViews>
  <sheetFormatPr defaultRowHeight="14.4" x14ac:dyDescent="0.3"/>
  <cols>
    <col min="1" max="1" width="10.44140625" bestFit="1" customWidth="1"/>
    <col min="2" max="3" width="13.5546875" bestFit="1" customWidth="1"/>
    <col min="4" max="4" width="10.44140625" bestFit="1" customWidth="1"/>
    <col min="5" max="5" width="15.33203125" bestFit="1" customWidth="1"/>
    <col min="14" max="14" width="9.44140625" bestFit="1" customWidth="1"/>
    <col min="15" max="15" width="9.109375" bestFit="1" customWidth="1"/>
    <col min="16" max="16" width="5.88671875" bestFit="1" customWidth="1"/>
    <col min="17" max="17" width="9.44140625" style="55" bestFit="1" customWidth="1"/>
    <col min="18" max="18" width="10.44140625" bestFit="1" customWidth="1"/>
    <col min="19" max="19" width="8.88671875" style="55"/>
    <col min="20" max="20" width="10.33203125" bestFit="1" customWidth="1"/>
    <col min="21" max="21" width="8.88671875" style="55"/>
  </cols>
  <sheetData>
    <row r="1" spans="1:21" x14ac:dyDescent="0.3">
      <c r="A1" s="50" t="s">
        <v>183</v>
      </c>
      <c r="B1" s="51"/>
      <c r="C1" s="52"/>
      <c r="Q1" s="54"/>
      <c r="S1" s="54"/>
      <c r="U1" s="54"/>
    </row>
    <row r="2" spans="1:21" x14ac:dyDescent="0.3">
      <c r="A2" s="35"/>
      <c r="B2" s="36" t="s">
        <v>51</v>
      </c>
      <c r="C2" s="36" t="s">
        <v>170</v>
      </c>
      <c r="D2" s="36" t="s">
        <v>171</v>
      </c>
      <c r="E2" s="36" t="s">
        <v>212</v>
      </c>
    </row>
    <row r="3" spans="1:21" x14ac:dyDescent="0.3">
      <c r="A3" s="37"/>
      <c r="B3" s="37" t="s">
        <v>172</v>
      </c>
      <c r="C3" s="37" t="s">
        <v>172</v>
      </c>
      <c r="D3" s="37" t="s">
        <v>173</v>
      </c>
      <c r="E3" s="37" t="s">
        <v>213</v>
      </c>
      <c r="H3" s="79" t="s">
        <v>174</v>
      </c>
      <c r="I3" s="79" t="s">
        <v>154</v>
      </c>
      <c r="J3" s="79" t="s">
        <v>153</v>
      </c>
      <c r="K3" s="79" t="s">
        <v>128</v>
      </c>
      <c r="L3" s="79" t="s">
        <v>175</v>
      </c>
      <c r="O3" s="36" t="s">
        <v>51</v>
      </c>
      <c r="P3" s="36" t="s">
        <v>170</v>
      </c>
      <c r="Q3" s="65" t="s">
        <v>176</v>
      </c>
      <c r="R3" s="36" t="s">
        <v>171</v>
      </c>
      <c r="S3" s="65" t="s">
        <v>184</v>
      </c>
      <c r="T3" s="36" t="s">
        <v>212</v>
      </c>
      <c r="U3" s="65" t="s">
        <v>214</v>
      </c>
    </row>
    <row r="4" spans="1:21" x14ac:dyDescent="0.3">
      <c r="A4" s="38">
        <v>46055</v>
      </c>
      <c r="B4" s="39">
        <v>5.4804617783632779</v>
      </c>
      <c r="C4" s="39">
        <v>5.2907166466024051</v>
      </c>
      <c r="D4" s="39">
        <v>2.8392719697698396</v>
      </c>
      <c r="E4" s="39">
        <v>6.7120808603972648</v>
      </c>
      <c r="G4">
        <f>+DAY(A4)</f>
        <v>2</v>
      </c>
      <c r="H4">
        <v>1</v>
      </c>
      <c r="I4">
        <f>+MONTH(A4)</f>
        <v>2</v>
      </c>
      <c r="J4">
        <f>+YEAR(A4)</f>
        <v>2026</v>
      </c>
      <c r="K4" s="17">
        <f>+DATE(J4,I4,H4)</f>
        <v>46054</v>
      </c>
      <c r="L4">
        <f>IF(AND(G4&gt;=1, G4&lt;=4), 1, 0)</f>
        <v>1</v>
      </c>
      <c r="N4" s="21">
        <v>43831</v>
      </c>
      <c r="O4" t="str">
        <f>+IFERROR(AVERAGEIFS($B$4:$B$1231,$K$4:$K$1231,$N4,$L$4:$L$1231,1),"")</f>
        <v/>
      </c>
      <c r="P4" s="19" t="str">
        <f>+IFERROR(AVERAGEIFS($C$4:$C$1231,$K$4:$K$1231,$N4,$L$4:$L$1231,1),"")</f>
        <v/>
      </c>
      <c r="R4" s="19" t="str">
        <f>+IFERROR(AVERAGEIFS($D$4:$D$1231,$K$4:$K$1231,$N4,$L$4:$L$1231,1),"")</f>
        <v/>
      </c>
    </row>
    <row r="5" spans="1:21" x14ac:dyDescent="0.3">
      <c r="A5" s="38">
        <v>46052</v>
      </c>
      <c r="B5" s="39">
        <v>6.275896548997423</v>
      </c>
      <c r="C5" s="39">
        <v>6.3323170683207621</v>
      </c>
      <c r="D5" s="39">
        <v>3.699599609732303</v>
      </c>
      <c r="E5" s="39">
        <v>7.3944810398120637</v>
      </c>
      <c r="G5">
        <f t="shared" ref="G5:G68" si="0">+DAY(A5)</f>
        <v>30</v>
      </c>
      <c r="H5">
        <v>1</v>
      </c>
      <c r="I5">
        <f t="shared" ref="I5:I68" si="1">+MONTH(A5)</f>
        <v>1</v>
      </c>
      <c r="J5">
        <f t="shared" ref="J5:J68" si="2">+YEAR(A5)</f>
        <v>2026</v>
      </c>
      <c r="K5" s="17">
        <f t="shared" ref="K5:K68" si="3">+DATE(J5,I5,H5)</f>
        <v>46023</v>
      </c>
      <c r="L5">
        <f t="shared" ref="L5:L68" si="4">IF(AND(G5&gt;=1, G5&lt;=4), 1, 0)</f>
        <v>0</v>
      </c>
      <c r="N5" s="21">
        <v>43862</v>
      </c>
      <c r="O5" t="str">
        <f t="shared" ref="O5:O68" si="5">+IFERROR(AVERAGEIFS($B$4:$B$1231,$K$4:$K$1231,$N5,$L$4:$L$1231,1),"")</f>
        <v/>
      </c>
      <c r="P5" s="19" t="str">
        <f t="shared" ref="P5:P68" si="6">+IFERROR(AVERAGEIFS($C$4:$C$1231,$K$4:$K$1231,$N5,$L$4:$L$1231,1),"")</f>
        <v/>
      </c>
      <c r="R5" s="19" t="str">
        <f t="shared" ref="R5:R68" si="7">+IFERROR(AVERAGEIFS($D$4:$D$1231,$K$4:$K$1231,$N5,$L$4:$L$1231,1),"")</f>
        <v/>
      </c>
    </row>
    <row r="6" spans="1:21" x14ac:dyDescent="0.3">
      <c r="A6" s="38">
        <v>46051</v>
      </c>
      <c r="B6" s="39">
        <v>6.6217668612624436</v>
      </c>
      <c r="C6" s="39">
        <v>6.6843197548327282</v>
      </c>
      <c r="D6" s="39">
        <v>3.9957261166561011</v>
      </c>
      <c r="E6" s="39">
        <v>7.7158542205928029</v>
      </c>
      <c r="G6">
        <f t="shared" si="0"/>
        <v>29</v>
      </c>
      <c r="H6">
        <v>1</v>
      </c>
      <c r="I6">
        <f t="shared" si="1"/>
        <v>1</v>
      </c>
      <c r="J6">
        <f t="shared" si="2"/>
        <v>2026</v>
      </c>
      <c r="K6" s="17">
        <f t="shared" si="3"/>
        <v>46023</v>
      </c>
      <c r="L6">
        <f t="shared" si="4"/>
        <v>0</v>
      </c>
      <c r="N6" s="21">
        <v>43891</v>
      </c>
      <c r="O6" t="str">
        <f t="shared" si="5"/>
        <v/>
      </c>
      <c r="P6" s="19" t="str">
        <f t="shared" si="6"/>
        <v/>
      </c>
      <c r="R6" s="19" t="str">
        <f t="shared" si="7"/>
        <v/>
      </c>
    </row>
    <row r="7" spans="1:21" x14ac:dyDescent="0.3">
      <c r="A7" s="38">
        <v>46050</v>
      </c>
      <c r="B7" s="39">
        <v>6.6482338856489775</v>
      </c>
      <c r="C7" s="39">
        <v>6.6805636959516761</v>
      </c>
      <c r="D7" s="39">
        <v>3.8473647818101142</v>
      </c>
      <c r="E7" s="39">
        <v>7.9164789683492742</v>
      </c>
      <c r="G7">
        <f t="shared" si="0"/>
        <v>28</v>
      </c>
      <c r="H7">
        <v>1</v>
      </c>
      <c r="I7">
        <f t="shared" si="1"/>
        <v>1</v>
      </c>
      <c r="J7">
        <f t="shared" si="2"/>
        <v>2026</v>
      </c>
      <c r="K7" s="17">
        <f t="shared" si="3"/>
        <v>46023</v>
      </c>
      <c r="L7">
        <f t="shared" si="4"/>
        <v>0</v>
      </c>
      <c r="N7" s="21">
        <v>43922</v>
      </c>
      <c r="O7" t="str">
        <f t="shared" si="5"/>
        <v/>
      </c>
      <c r="P7" s="19" t="str">
        <f t="shared" si="6"/>
        <v/>
      </c>
      <c r="R7" s="19" t="str">
        <f t="shared" si="7"/>
        <v/>
      </c>
    </row>
    <row r="8" spans="1:21" x14ac:dyDescent="0.3">
      <c r="A8" s="38">
        <v>46049</v>
      </c>
      <c r="B8" s="39">
        <v>6.1004461387862463</v>
      </c>
      <c r="C8" s="39">
        <v>6.157445820693944</v>
      </c>
      <c r="D8" s="39">
        <v>3.2449837807793287</v>
      </c>
      <c r="E8" s="39">
        <v>7.5247756361502312</v>
      </c>
      <c r="G8">
        <f t="shared" si="0"/>
        <v>27</v>
      </c>
      <c r="H8">
        <v>1</v>
      </c>
      <c r="I8">
        <f t="shared" si="1"/>
        <v>1</v>
      </c>
      <c r="J8">
        <f t="shared" si="2"/>
        <v>2026</v>
      </c>
      <c r="K8" s="17">
        <f t="shared" si="3"/>
        <v>46023</v>
      </c>
      <c r="L8">
        <f t="shared" si="4"/>
        <v>0</v>
      </c>
      <c r="N8" s="21">
        <v>43952</v>
      </c>
      <c r="O8" t="str">
        <f t="shared" si="5"/>
        <v/>
      </c>
      <c r="P8" s="19" t="str">
        <f t="shared" si="6"/>
        <v/>
      </c>
      <c r="R8" s="19" t="str">
        <f t="shared" si="7"/>
        <v/>
      </c>
    </row>
    <row r="9" spans="1:21" x14ac:dyDescent="0.3">
      <c r="A9" s="38">
        <v>46048</v>
      </c>
      <c r="B9" s="39">
        <v>6.8008196464337374</v>
      </c>
      <c r="C9" s="39">
        <v>6.9501608462055131</v>
      </c>
      <c r="D9" s="39">
        <v>4.1235084211189559</v>
      </c>
      <c r="E9" s="39">
        <v>8.0394747874069878</v>
      </c>
      <c r="G9">
        <f t="shared" si="0"/>
        <v>26</v>
      </c>
      <c r="H9">
        <v>1</v>
      </c>
      <c r="I9">
        <f t="shared" si="1"/>
        <v>1</v>
      </c>
      <c r="J9">
        <f t="shared" si="2"/>
        <v>2026</v>
      </c>
      <c r="K9" s="17">
        <f t="shared" si="3"/>
        <v>46023</v>
      </c>
      <c r="L9">
        <f t="shared" si="4"/>
        <v>0</v>
      </c>
      <c r="N9" s="21">
        <v>43983</v>
      </c>
      <c r="O9" t="str">
        <f t="shared" si="5"/>
        <v/>
      </c>
      <c r="P9" s="19" t="str">
        <f t="shared" si="6"/>
        <v/>
      </c>
      <c r="R9" s="19" t="str">
        <f t="shared" si="7"/>
        <v/>
      </c>
    </row>
    <row r="10" spans="1:21" x14ac:dyDescent="0.3">
      <c r="A10" s="38">
        <v>46045</v>
      </c>
      <c r="B10" s="39">
        <v>6.3164427923064252</v>
      </c>
      <c r="C10" s="39">
        <v>6.5600391083548644</v>
      </c>
      <c r="D10" s="39">
        <v>3.3245011011855539</v>
      </c>
      <c r="E10" s="39">
        <v>7.7542838306445319</v>
      </c>
      <c r="G10">
        <f t="shared" si="0"/>
        <v>23</v>
      </c>
      <c r="H10">
        <v>1</v>
      </c>
      <c r="I10">
        <f t="shared" si="1"/>
        <v>1</v>
      </c>
      <c r="J10">
        <f t="shared" si="2"/>
        <v>2026</v>
      </c>
      <c r="K10" s="17">
        <f t="shared" si="3"/>
        <v>46023</v>
      </c>
      <c r="L10">
        <f t="shared" si="4"/>
        <v>0</v>
      </c>
      <c r="N10" s="21">
        <v>44013</v>
      </c>
      <c r="O10" t="str">
        <f t="shared" si="5"/>
        <v/>
      </c>
      <c r="P10" s="19" t="str">
        <f t="shared" si="6"/>
        <v/>
      </c>
      <c r="R10" s="19" t="str">
        <f t="shared" si="7"/>
        <v/>
      </c>
    </row>
    <row r="11" spans="1:21" x14ac:dyDescent="0.3">
      <c r="A11" s="38">
        <v>46044</v>
      </c>
      <c r="B11" s="39">
        <v>5.9548234985164399</v>
      </c>
      <c r="C11" s="39">
        <v>6.0984724513357165</v>
      </c>
      <c r="D11" s="39">
        <v>2.4748327414267379</v>
      </c>
      <c r="E11" s="39">
        <v>7.6230254919589768</v>
      </c>
      <c r="G11">
        <f t="shared" si="0"/>
        <v>22</v>
      </c>
      <c r="H11">
        <v>1</v>
      </c>
      <c r="I11">
        <f t="shared" si="1"/>
        <v>1</v>
      </c>
      <c r="J11">
        <f t="shared" si="2"/>
        <v>2026</v>
      </c>
      <c r="K11" s="17">
        <f t="shared" si="3"/>
        <v>46023</v>
      </c>
      <c r="L11">
        <f t="shared" si="4"/>
        <v>0</v>
      </c>
      <c r="N11" s="21">
        <v>44044</v>
      </c>
      <c r="O11" t="str">
        <f t="shared" si="5"/>
        <v/>
      </c>
      <c r="P11" s="19" t="str">
        <f t="shared" si="6"/>
        <v/>
      </c>
      <c r="R11" s="19" t="str">
        <f t="shared" si="7"/>
        <v/>
      </c>
    </row>
    <row r="12" spans="1:21" x14ac:dyDescent="0.3">
      <c r="A12" s="38">
        <v>46043</v>
      </c>
      <c r="B12" s="39">
        <v>5.7565019749973416</v>
      </c>
      <c r="C12" s="39">
        <v>5.9235211106022803</v>
      </c>
      <c r="D12" s="39">
        <v>1.9722910493748387</v>
      </c>
      <c r="E12" s="39">
        <v>7.5349427597661318</v>
      </c>
      <c r="G12">
        <f t="shared" si="0"/>
        <v>21</v>
      </c>
      <c r="H12">
        <v>1</v>
      </c>
      <c r="I12">
        <f t="shared" si="1"/>
        <v>1</v>
      </c>
      <c r="J12">
        <f t="shared" si="2"/>
        <v>2026</v>
      </c>
      <c r="K12" s="17">
        <f t="shared" si="3"/>
        <v>46023</v>
      </c>
      <c r="L12">
        <f t="shared" si="4"/>
        <v>0</v>
      </c>
      <c r="N12" s="21">
        <v>44075</v>
      </c>
      <c r="O12" t="str">
        <f t="shared" si="5"/>
        <v/>
      </c>
      <c r="P12" s="19" t="str">
        <f t="shared" si="6"/>
        <v/>
      </c>
      <c r="R12" s="19" t="str">
        <f t="shared" si="7"/>
        <v/>
      </c>
    </row>
    <row r="13" spans="1:21" x14ac:dyDescent="0.3">
      <c r="A13" s="38">
        <v>46042</v>
      </c>
      <c r="B13" s="39">
        <v>4.9756119895267119</v>
      </c>
      <c r="C13" s="39">
        <v>5.3025099856387641</v>
      </c>
      <c r="D13" s="39">
        <v>1.1622977678498927</v>
      </c>
      <c r="E13" s="39">
        <v>6.7953363831964566</v>
      </c>
      <c r="G13">
        <f t="shared" si="0"/>
        <v>20</v>
      </c>
      <c r="H13">
        <v>1</v>
      </c>
      <c r="I13">
        <f t="shared" si="1"/>
        <v>1</v>
      </c>
      <c r="J13">
        <f t="shared" si="2"/>
        <v>2026</v>
      </c>
      <c r="K13" s="17">
        <f t="shared" si="3"/>
        <v>46023</v>
      </c>
      <c r="L13">
        <f t="shared" si="4"/>
        <v>0</v>
      </c>
      <c r="N13" s="21">
        <v>44105</v>
      </c>
      <c r="O13" t="str">
        <f t="shared" si="5"/>
        <v/>
      </c>
      <c r="P13" s="19" t="str">
        <f t="shared" si="6"/>
        <v/>
      </c>
      <c r="R13" s="19" t="str">
        <f t="shared" si="7"/>
        <v/>
      </c>
    </row>
    <row r="14" spans="1:21" x14ac:dyDescent="0.3">
      <c r="A14" s="38">
        <v>46041</v>
      </c>
      <c r="B14" s="39">
        <v>4.6397094514300292</v>
      </c>
      <c r="C14" s="39">
        <v>4.9761243108478368</v>
      </c>
      <c r="D14" s="39">
        <v>0.97736085937464878</v>
      </c>
      <c r="E14" s="39">
        <v>6.3716958933203998</v>
      </c>
      <c r="G14">
        <f t="shared" si="0"/>
        <v>19</v>
      </c>
      <c r="H14">
        <v>1</v>
      </c>
      <c r="I14">
        <f t="shared" si="1"/>
        <v>1</v>
      </c>
      <c r="J14">
        <f t="shared" si="2"/>
        <v>2026</v>
      </c>
      <c r="K14" s="17">
        <f t="shared" si="3"/>
        <v>46023</v>
      </c>
      <c r="L14">
        <f t="shared" si="4"/>
        <v>0</v>
      </c>
      <c r="N14" s="21">
        <v>44136</v>
      </c>
      <c r="O14" t="str">
        <f t="shared" si="5"/>
        <v/>
      </c>
      <c r="P14" s="19" t="str">
        <f t="shared" si="6"/>
        <v/>
      </c>
      <c r="R14" s="19" t="str">
        <f t="shared" si="7"/>
        <v/>
      </c>
    </row>
    <row r="15" spans="1:21" x14ac:dyDescent="0.3">
      <c r="A15" s="38">
        <v>46038</v>
      </c>
      <c r="B15" s="39">
        <v>4.2820603658602749</v>
      </c>
      <c r="C15" s="39">
        <v>4.6116995121580118</v>
      </c>
      <c r="D15" s="39">
        <v>0.58831990242215682</v>
      </c>
      <c r="E15" s="39">
        <v>6.0354383373606026</v>
      </c>
      <c r="G15">
        <f t="shared" si="0"/>
        <v>16</v>
      </c>
      <c r="H15">
        <v>1</v>
      </c>
      <c r="I15">
        <f t="shared" si="1"/>
        <v>1</v>
      </c>
      <c r="J15">
        <f t="shared" si="2"/>
        <v>2026</v>
      </c>
      <c r="K15" s="17">
        <f t="shared" si="3"/>
        <v>46023</v>
      </c>
      <c r="L15">
        <f t="shared" si="4"/>
        <v>0</v>
      </c>
      <c r="N15" s="21">
        <v>44166</v>
      </c>
      <c r="O15" s="19" t="str">
        <f t="shared" si="5"/>
        <v/>
      </c>
      <c r="P15" s="19" t="str">
        <f t="shared" si="6"/>
        <v/>
      </c>
      <c r="Q15" s="66"/>
      <c r="R15" s="19" t="str">
        <f t="shared" si="7"/>
        <v/>
      </c>
    </row>
    <row r="16" spans="1:21" x14ac:dyDescent="0.3">
      <c r="A16" s="38">
        <v>46037</v>
      </c>
      <c r="B16" s="39">
        <v>4.5567619341543022</v>
      </c>
      <c r="C16" s="39">
        <v>4.890322848569312</v>
      </c>
      <c r="D16" s="39">
        <v>0.66008918998674204</v>
      </c>
      <c r="E16" s="39">
        <v>6.3735860753755347</v>
      </c>
      <c r="G16">
        <f t="shared" si="0"/>
        <v>15</v>
      </c>
      <c r="H16">
        <v>1</v>
      </c>
      <c r="I16">
        <f t="shared" si="1"/>
        <v>1</v>
      </c>
      <c r="J16">
        <f t="shared" si="2"/>
        <v>2026</v>
      </c>
      <c r="K16" s="17">
        <f t="shared" si="3"/>
        <v>46023</v>
      </c>
      <c r="L16">
        <f t="shared" si="4"/>
        <v>0</v>
      </c>
      <c r="N16" s="21">
        <v>44197</v>
      </c>
      <c r="O16" s="19" t="str">
        <f t="shared" si="5"/>
        <v/>
      </c>
      <c r="P16" s="19" t="str">
        <f t="shared" si="6"/>
        <v/>
      </c>
      <c r="Q16" s="66"/>
      <c r="R16" s="19" t="str">
        <f t="shared" si="7"/>
        <v/>
      </c>
    </row>
    <row r="17" spans="1:21" x14ac:dyDescent="0.3">
      <c r="A17" s="38">
        <v>46036</v>
      </c>
      <c r="B17" s="39">
        <v>5.5117711282075561</v>
      </c>
      <c r="C17" s="39">
        <v>5.7587648841639805</v>
      </c>
      <c r="D17" s="39">
        <v>1.5139354327547352</v>
      </c>
      <c r="E17" s="39">
        <v>7.3587022167444758</v>
      </c>
      <c r="G17">
        <f t="shared" si="0"/>
        <v>14</v>
      </c>
      <c r="H17">
        <v>1</v>
      </c>
      <c r="I17">
        <f t="shared" si="1"/>
        <v>1</v>
      </c>
      <c r="J17">
        <f t="shared" si="2"/>
        <v>2026</v>
      </c>
      <c r="K17" s="17">
        <f t="shared" si="3"/>
        <v>46023</v>
      </c>
      <c r="L17">
        <f t="shared" si="4"/>
        <v>0</v>
      </c>
      <c r="N17" s="21">
        <v>44228</v>
      </c>
      <c r="O17" s="19">
        <f t="shared" si="5"/>
        <v>-0.51429293561164968</v>
      </c>
      <c r="P17" s="19">
        <f t="shared" si="6"/>
        <v>-9.516640206687299E-2</v>
      </c>
      <c r="Q17" s="66">
        <f>+P17-O17</f>
        <v>0.41912653354477669</v>
      </c>
      <c r="R17" s="19">
        <f t="shared" si="7"/>
        <v>-1.3685236504749909</v>
      </c>
      <c r="S17" s="66">
        <f>+R17-O17</f>
        <v>-0.85423071486334123</v>
      </c>
      <c r="T17" s="19">
        <f>+IFERROR(AVERAGEIFS($E$4:$E$1231,$K$4:$K$1231,$N17,$L$4:$L$1231,1),"")</f>
        <v>-1.0594986098539145</v>
      </c>
      <c r="U17" s="66">
        <f>+T17-O17</f>
        <v>-0.54520567424226485</v>
      </c>
    </row>
    <row r="18" spans="1:21" x14ac:dyDescent="0.3">
      <c r="A18" s="38">
        <v>46035</v>
      </c>
      <c r="B18" s="39">
        <v>5.5838513749693988</v>
      </c>
      <c r="C18" s="39">
        <v>5.7490076090569247</v>
      </c>
      <c r="D18" s="39">
        <v>1.1648146638615913</v>
      </c>
      <c r="E18" s="39">
        <v>7.6331858361645004</v>
      </c>
      <c r="G18">
        <f t="shared" si="0"/>
        <v>13</v>
      </c>
      <c r="H18">
        <v>1</v>
      </c>
      <c r="I18">
        <f t="shared" si="1"/>
        <v>1</v>
      </c>
      <c r="J18">
        <f t="shared" si="2"/>
        <v>2026</v>
      </c>
      <c r="K18" s="17">
        <f t="shared" si="3"/>
        <v>46023</v>
      </c>
      <c r="L18">
        <f t="shared" si="4"/>
        <v>0</v>
      </c>
      <c r="N18" s="21">
        <v>44256</v>
      </c>
      <c r="O18" s="19">
        <f t="shared" si="5"/>
        <v>-0.10544694680428002</v>
      </c>
      <c r="P18" s="19">
        <f t="shared" si="6"/>
        <v>0.19203095648257573</v>
      </c>
      <c r="Q18" s="66">
        <f>+P18-O18</f>
        <v>0.29747790328685575</v>
      </c>
      <c r="R18" s="19">
        <f t="shared" si="7"/>
        <v>-1.4524107357215144</v>
      </c>
      <c r="S18" s="66">
        <f t="shared" ref="S18:S77" si="8">+R18-O18</f>
        <v>-1.3469637889172343</v>
      </c>
      <c r="T18" s="19">
        <f t="shared" ref="T18:T77" si="9">+IFERROR(AVERAGEIFS($E$4:$E$1231,$K$4:$K$1231,$N18,$L$4:$L$1231,1),"")</f>
        <v>-0.87562050519399648</v>
      </c>
      <c r="U18" s="66">
        <f t="shared" ref="U18:U77" si="10">+T18-O18</f>
        <v>-0.77017355838971646</v>
      </c>
    </row>
    <row r="19" spans="1:21" x14ac:dyDescent="0.3">
      <c r="A19" s="38">
        <v>46034</v>
      </c>
      <c r="B19" s="39">
        <v>5.186998549922258</v>
      </c>
      <c r="C19" s="39">
        <v>5.2590210753430142</v>
      </c>
      <c r="D19" s="39">
        <v>0.58130380126563352</v>
      </c>
      <c r="E19" s="39">
        <v>7.2978013099684702</v>
      </c>
      <c r="G19">
        <f t="shared" si="0"/>
        <v>12</v>
      </c>
      <c r="H19">
        <v>1</v>
      </c>
      <c r="I19">
        <f t="shared" si="1"/>
        <v>1</v>
      </c>
      <c r="J19">
        <f t="shared" si="2"/>
        <v>2026</v>
      </c>
      <c r="K19" s="17">
        <f t="shared" si="3"/>
        <v>46023</v>
      </c>
      <c r="L19">
        <f t="shared" si="4"/>
        <v>0</v>
      </c>
      <c r="N19" s="21">
        <v>44287</v>
      </c>
      <c r="O19" s="19">
        <f t="shared" si="5"/>
        <v>-1.9136762868793298</v>
      </c>
      <c r="P19" s="19">
        <f t="shared" si="6"/>
        <v>-1.0516648258755055</v>
      </c>
      <c r="Q19" s="66">
        <f t="shared" ref="Q19:Q77" si="11">+P19-O19</f>
        <v>0.86201146100382431</v>
      </c>
      <c r="R19" s="19">
        <f t="shared" si="7"/>
        <v>-3.7144377540047273</v>
      </c>
      <c r="S19" s="66">
        <f t="shared" si="8"/>
        <v>-1.8007614671253975</v>
      </c>
      <c r="T19" s="19">
        <f t="shared" si="9"/>
        <v>-2.2773072057922974</v>
      </c>
      <c r="U19" s="66">
        <f t="shared" si="10"/>
        <v>-0.36363091891296762</v>
      </c>
    </row>
    <row r="20" spans="1:21" x14ac:dyDescent="0.3">
      <c r="A20" s="38">
        <v>46031</v>
      </c>
      <c r="B20" s="39">
        <v>5.6206143697201085</v>
      </c>
      <c r="C20" s="39">
        <v>5.7786825390424923</v>
      </c>
      <c r="D20" s="39">
        <v>1.0728102511927347</v>
      </c>
      <c r="E20" s="39">
        <v>7.6451389814074204</v>
      </c>
      <c r="G20">
        <f t="shared" si="0"/>
        <v>9</v>
      </c>
      <c r="H20">
        <v>1</v>
      </c>
      <c r="I20">
        <f t="shared" si="1"/>
        <v>1</v>
      </c>
      <c r="J20">
        <f t="shared" si="2"/>
        <v>2026</v>
      </c>
      <c r="K20" s="17">
        <f t="shared" si="3"/>
        <v>46023</v>
      </c>
      <c r="L20">
        <f t="shared" si="4"/>
        <v>0</v>
      </c>
      <c r="N20" s="21">
        <v>44317</v>
      </c>
      <c r="O20" s="19">
        <f t="shared" si="5"/>
        <v>-1.1767255790404079</v>
      </c>
      <c r="P20" s="19">
        <f t="shared" si="6"/>
        <v>6.393535525887728E-2</v>
      </c>
      <c r="Q20" s="66">
        <f t="shared" si="11"/>
        <v>1.2406609342992851</v>
      </c>
      <c r="R20" s="19">
        <f t="shared" si="7"/>
        <v>-3.2031405469433878</v>
      </c>
      <c r="S20" s="66">
        <f t="shared" si="8"/>
        <v>-2.0264149679029799</v>
      </c>
      <c r="T20" s="19">
        <f t="shared" si="9"/>
        <v>-1.8918484265720963</v>
      </c>
      <c r="U20" s="66">
        <f t="shared" si="10"/>
        <v>-0.71512284753168842</v>
      </c>
    </row>
    <row r="21" spans="1:21" x14ac:dyDescent="0.3">
      <c r="A21" s="38">
        <v>46030</v>
      </c>
      <c r="B21" s="39">
        <v>6.6071921570042775</v>
      </c>
      <c r="C21" s="39">
        <v>6.7858070541728281</v>
      </c>
      <c r="D21" s="39">
        <v>2.3132895146405659</v>
      </c>
      <c r="E21" s="39">
        <v>8.6294327918782727</v>
      </c>
      <c r="G21">
        <f t="shared" si="0"/>
        <v>8</v>
      </c>
      <c r="H21">
        <v>1</v>
      </c>
      <c r="I21">
        <f t="shared" si="1"/>
        <v>1</v>
      </c>
      <c r="J21">
        <f t="shared" si="2"/>
        <v>2026</v>
      </c>
      <c r="K21" s="17">
        <f t="shared" si="3"/>
        <v>46023</v>
      </c>
      <c r="L21">
        <f t="shared" si="4"/>
        <v>0</v>
      </c>
      <c r="N21" s="21">
        <v>44348</v>
      </c>
      <c r="O21" s="19">
        <f t="shared" si="5"/>
        <v>-2.1745601739531324</v>
      </c>
      <c r="P21" s="19">
        <f t="shared" si="6"/>
        <v>-1.1505073598621536</v>
      </c>
      <c r="Q21" s="66">
        <f t="shared" si="11"/>
        <v>1.0240528140909788</v>
      </c>
      <c r="R21" s="19">
        <f t="shared" si="7"/>
        <v>-4.1611076739893207</v>
      </c>
      <c r="S21" s="66">
        <f t="shared" si="8"/>
        <v>-1.9865475000361883</v>
      </c>
      <c r="T21" s="19">
        <f t="shared" si="9"/>
        <v>-2.4674598231423737</v>
      </c>
      <c r="U21" s="66">
        <f t="shared" si="10"/>
        <v>-0.29289964918924127</v>
      </c>
    </row>
    <row r="22" spans="1:21" x14ac:dyDescent="0.3">
      <c r="A22" s="38">
        <v>46029</v>
      </c>
      <c r="B22" s="39">
        <v>6.8985904083731171</v>
      </c>
      <c r="C22" s="39">
        <v>7.2100327490688016</v>
      </c>
      <c r="D22" s="39">
        <v>2.7796363319719788</v>
      </c>
      <c r="E22" s="39">
        <v>8.8073879807505122</v>
      </c>
      <c r="G22">
        <f t="shared" si="0"/>
        <v>7</v>
      </c>
      <c r="H22">
        <v>1</v>
      </c>
      <c r="I22">
        <f t="shared" si="1"/>
        <v>1</v>
      </c>
      <c r="J22">
        <f t="shared" si="2"/>
        <v>2026</v>
      </c>
      <c r="K22" s="17">
        <f t="shared" si="3"/>
        <v>46023</v>
      </c>
      <c r="L22">
        <f t="shared" si="4"/>
        <v>0</v>
      </c>
      <c r="N22" s="21">
        <v>44378</v>
      </c>
      <c r="O22" s="19">
        <f t="shared" si="5"/>
        <v>-1.7992024901971249</v>
      </c>
      <c r="P22" s="19">
        <f t="shared" si="6"/>
        <v>-0.57347167159137058</v>
      </c>
      <c r="Q22" s="66">
        <f t="shared" si="11"/>
        <v>1.2257308186057543</v>
      </c>
      <c r="R22" s="19">
        <f t="shared" si="7"/>
        <v>-4.5167041866460522</v>
      </c>
      <c r="S22" s="66">
        <f t="shared" si="8"/>
        <v>-2.7175016964489274</v>
      </c>
      <c r="T22" s="19">
        <f t="shared" si="9"/>
        <v>-1.7071166012370753</v>
      </c>
      <c r="U22" s="66">
        <f t="shared" si="10"/>
        <v>9.2085888960049544E-2</v>
      </c>
    </row>
    <row r="23" spans="1:21" x14ac:dyDescent="0.3">
      <c r="A23" s="38">
        <v>46028</v>
      </c>
      <c r="B23" s="39">
        <v>7.1433974259455937</v>
      </c>
      <c r="C23" s="39">
        <v>7.3863883615990815</v>
      </c>
      <c r="D23" s="39">
        <v>2.6384080830337453</v>
      </c>
      <c r="E23" s="39">
        <v>9.1624408688356311</v>
      </c>
      <c r="G23">
        <f t="shared" si="0"/>
        <v>6</v>
      </c>
      <c r="H23">
        <v>1</v>
      </c>
      <c r="I23">
        <f t="shared" si="1"/>
        <v>1</v>
      </c>
      <c r="J23">
        <f t="shared" si="2"/>
        <v>2026</v>
      </c>
      <c r="K23" s="17">
        <f t="shared" si="3"/>
        <v>46023</v>
      </c>
      <c r="L23">
        <f t="shared" si="4"/>
        <v>0</v>
      </c>
      <c r="N23" s="21">
        <v>44409</v>
      </c>
      <c r="O23" s="19">
        <f t="shared" si="5"/>
        <v>-1.556617558966811</v>
      </c>
      <c r="P23" s="19">
        <f t="shared" si="6"/>
        <v>0.34337002526973964</v>
      </c>
      <c r="Q23" s="66">
        <f t="shared" si="11"/>
        <v>1.8999875842365506</v>
      </c>
      <c r="R23" s="19">
        <f t="shared" si="7"/>
        <v>-4.335903914968033</v>
      </c>
      <c r="S23" s="66">
        <f t="shared" si="8"/>
        <v>-2.7792863560012222</v>
      </c>
      <c r="T23" s="19">
        <f t="shared" si="9"/>
        <v>-1.252160630500299</v>
      </c>
      <c r="U23" s="66">
        <f t="shared" si="10"/>
        <v>0.30445692846651196</v>
      </c>
    </row>
    <row r="24" spans="1:21" x14ac:dyDescent="0.3">
      <c r="A24" s="38">
        <v>46027</v>
      </c>
      <c r="B24" s="39">
        <v>7.0978379330989512</v>
      </c>
      <c r="C24" s="39">
        <v>7.2512675012238788</v>
      </c>
      <c r="D24" s="39">
        <v>2.4651644894010758</v>
      </c>
      <c r="E24" s="39">
        <v>9.1716472802481022</v>
      </c>
      <c r="G24">
        <f t="shared" si="0"/>
        <v>5</v>
      </c>
      <c r="H24">
        <v>1</v>
      </c>
      <c r="I24">
        <f t="shared" si="1"/>
        <v>1</v>
      </c>
      <c r="J24">
        <f t="shared" si="2"/>
        <v>2026</v>
      </c>
      <c r="K24" s="17">
        <f t="shared" si="3"/>
        <v>46023</v>
      </c>
      <c r="L24">
        <f t="shared" si="4"/>
        <v>0</v>
      </c>
      <c r="N24" s="21">
        <v>44440</v>
      </c>
      <c r="O24" s="19">
        <f t="shared" si="5"/>
        <v>-1.3155908150039199</v>
      </c>
      <c r="P24" s="19">
        <f t="shared" si="6"/>
        <v>1.1639964307495252</v>
      </c>
      <c r="Q24" s="66">
        <f t="shared" si="11"/>
        <v>2.4795872457534451</v>
      </c>
      <c r="R24" s="19">
        <f t="shared" si="7"/>
        <v>-3.4483561895460988</v>
      </c>
      <c r="S24" s="66">
        <f t="shared" si="8"/>
        <v>-2.1327653745421786</v>
      </c>
      <c r="T24" s="19">
        <f t="shared" si="9"/>
        <v>-1.0604091087331871</v>
      </c>
      <c r="U24" s="66">
        <f t="shared" si="10"/>
        <v>0.25518170627073289</v>
      </c>
    </row>
    <row r="25" spans="1:21" x14ac:dyDescent="0.3">
      <c r="A25" s="38">
        <v>46024</v>
      </c>
      <c r="B25" s="39">
        <v>5.9646240483697142</v>
      </c>
      <c r="C25" s="39">
        <v>6.1902632356400176</v>
      </c>
      <c r="D25" s="39">
        <v>1.3270136052887196</v>
      </c>
      <c r="E25" s="39">
        <v>8.0278678395300176</v>
      </c>
      <c r="G25">
        <f t="shared" si="0"/>
        <v>2</v>
      </c>
      <c r="H25">
        <v>1</v>
      </c>
      <c r="I25">
        <f t="shared" si="1"/>
        <v>1</v>
      </c>
      <c r="J25">
        <f t="shared" si="2"/>
        <v>2026</v>
      </c>
      <c r="K25" s="17">
        <f t="shared" si="3"/>
        <v>46023</v>
      </c>
      <c r="L25">
        <f t="shared" si="4"/>
        <v>1</v>
      </c>
      <c r="N25" s="21">
        <v>44470</v>
      </c>
      <c r="O25" s="19">
        <f t="shared" si="5"/>
        <v>2.5068238348433027</v>
      </c>
      <c r="P25" s="19">
        <f t="shared" si="6"/>
        <v>3.582045283609645</v>
      </c>
      <c r="Q25" s="66">
        <f t="shared" si="11"/>
        <v>1.0752214487663423</v>
      </c>
      <c r="R25" s="19">
        <f t="shared" si="7"/>
        <v>-0.15121254212306212</v>
      </c>
      <c r="S25" s="66">
        <f t="shared" si="8"/>
        <v>-2.6580363769663649</v>
      </c>
      <c r="T25" s="19">
        <f t="shared" si="9"/>
        <v>2.6795269219633866</v>
      </c>
      <c r="U25" s="66">
        <f t="shared" si="10"/>
        <v>0.17270308712008386</v>
      </c>
    </row>
    <row r="26" spans="1:21" x14ac:dyDescent="0.3">
      <c r="A26" s="38">
        <v>46022</v>
      </c>
      <c r="B26" s="39">
        <v>5.1084156100951148</v>
      </c>
      <c r="C26" s="39">
        <v>5.5879031572429128</v>
      </c>
      <c r="D26" s="39">
        <v>0.56977373127907072</v>
      </c>
      <c r="E26" s="39">
        <v>6.9489135848194294</v>
      </c>
      <c r="G26">
        <f t="shared" si="0"/>
        <v>31</v>
      </c>
      <c r="H26">
        <v>1</v>
      </c>
      <c r="I26">
        <f t="shared" si="1"/>
        <v>12</v>
      </c>
      <c r="J26">
        <f t="shared" si="2"/>
        <v>2025</v>
      </c>
      <c r="K26" s="17">
        <f t="shared" si="3"/>
        <v>45992</v>
      </c>
      <c r="L26">
        <f t="shared" si="4"/>
        <v>0</v>
      </c>
      <c r="N26" s="21">
        <v>44501</v>
      </c>
      <c r="O26" s="19">
        <f t="shared" si="5"/>
        <v>3.8262787062931429</v>
      </c>
      <c r="P26" s="19">
        <f t="shared" si="6"/>
        <v>4.0897292810576191</v>
      </c>
      <c r="Q26" s="66">
        <f t="shared" si="11"/>
        <v>0.2634505747644762</v>
      </c>
      <c r="R26" s="19">
        <f t="shared" si="7"/>
        <v>-1.7386858945537018</v>
      </c>
      <c r="S26" s="66">
        <f t="shared" si="8"/>
        <v>-5.564964600846845</v>
      </c>
      <c r="T26" s="19">
        <f t="shared" si="9"/>
        <v>4.9435372769410391</v>
      </c>
      <c r="U26" s="66">
        <f t="shared" si="10"/>
        <v>1.1172585706478961</v>
      </c>
    </row>
    <row r="27" spans="1:21" x14ac:dyDescent="0.3">
      <c r="A27" s="38">
        <v>46021</v>
      </c>
      <c r="B27" s="39">
        <v>4.5582421838250511</v>
      </c>
      <c r="C27" s="39">
        <v>5.0476217298985162</v>
      </c>
      <c r="D27" s="39">
        <v>7.963414387589296E-3</v>
      </c>
      <c r="E27" s="39">
        <v>6.3842919878679751</v>
      </c>
      <c r="G27">
        <f t="shared" si="0"/>
        <v>30</v>
      </c>
      <c r="H27">
        <v>1</v>
      </c>
      <c r="I27">
        <f t="shared" si="1"/>
        <v>12</v>
      </c>
      <c r="J27">
        <f t="shared" si="2"/>
        <v>2025</v>
      </c>
      <c r="K27" s="17">
        <f t="shared" si="3"/>
        <v>45992</v>
      </c>
      <c r="L27">
        <f t="shared" si="4"/>
        <v>0</v>
      </c>
      <c r="N27" s="21">
        <v>44531</v>
      </c>
      <c r="O27" s="19">
        <f t="shared" si="5"/>
        <v>6.1532167566795692E-2</v>
      </c>
      <c r="P27" s="19">
        <f t="shared" si="6"/>
        <v>1.6989762191851792</v>
      </c>
      <c r="Q27" s="66">
        <f t="shared" si="11"/>
        <v>1.6374440516183835</v>
      </c>
      <c r="R27" s="19">
        <f t="shared" si="7"/>
        <v>-4.3805644049568384</v>
      </c>
      <c r="S27" s="66">
        <f t="shared" si="8"/>
        <v>-4.4420965725236341</v>
      </c>
      <c r="T27" s="19">
        <f t="shared" si="9"/>
        <v>1.2559608866466903</v>
      </c>
      <c r="U27" s="66">
        <f t="shared" si="10"/>
        <v>1.1944287190798946</v>
      </c>
    </row>
    <row r="28" spans="1:21" x14ac:dyDescent="0.3">
      <c r="A28" s="38">
        <v>46020</v>
      </c>
      <c r="B28" s="39">
        <v>4.582505978780631</v>
      </c>
      <c r="C28" s="39">
        <v>5.0868380903380199</v>
      </c>
      <c r="D28" s="39">
        <v>5.4212518104108653E-3</v>
      </c>
      <c r="E28" s="39">
        <v>6.3892344608618998</v>
      </c>
      <c r="G28">
        <f t="shared" si="0"/>
        <v>29</v>
      </c>
      <c r="H28">
        <v>1</v>
      </c>
      <c r="I28">
        <f t="shared" si="1"/>
        <v>12</v>
      </c>
      <c r="J28">
        <f t="shared" si="2"/>
        <v>2025</v>
      </c>
      <c r="K28" s="17">
        <f t="shared" si="3"/>
        <v>45992</v>
      </c>
      <c r="L28">
        <f t="shared" si="4"/>
        <v>0</v>
      </c>
      <c r="N28" s="21">
        <v>44562</v>
      </c>
      <c r="O28" s="19">
        <f t="shared" si="5"/>
        <v>1.0139817813162324</v>
      </c>
      <c r="P28" s="19">
        <f t="shared" si="6"/>
        <v>3.2526276153975999</v>
      </c>
      <c r="Q28" s="66">
        <f t="shared" si="11"/>
        <v>2.2386458340813675</v>
      </c>
      <c r="R28" s="19">
        <f t="shared" si="7"/>
        <v>-3.8179920368796587</v>
      </c>
      <c r="S28" s="66">
        <f t="shared" si="8"/>
        <v>-4.8319738181958911</v>
      </c>
      <c r="T28" s="19">
        <f t="shared" si="9"/>
        <v>1.793091379410285</v>
      </c>
      <c r="U28" s="66">
        <f t="shared" si="10"/>
        <v>0.77910959809405256</v>
      </c>
    </row>
    <row r="29" spans="1:21" x14ac:dyDescent="0.3">
      <c r="A29" s="38">
        <v>46015</v>
      </c>
      <c r="B29" s="39">
        <v>4.6381561935959255</v>
      </c>
      <c r="C29" s="39">
        <v>5.1562455728142069</v>
      </c>
      <c r="D29" s="39">
        <v>-2.2708814664184729E-2</v>
      </c>
      <c r="E29" s="39">
        <v>6.4468046044739111</v>
      </c>
      <c r="G29">
        <f t="shared" si="0"/>
        <v>24</v>
      </c>
      <c r="H29">
        <v>1</v>
      </c>
      <c r="I29">
        <f t="shared" si="1"/>
        <v>12</v>
      </c>
      <c r="J29">
        <f t="shared" si="2"/>
        <v>2025</v>
      </c>
      <c r="K29" s="17">
        <f t="shared" si="3"/>
        <v>45992</v>
      </c>
      <c r="L29">
        <f t="shared" si="4"/>
        <v>0</v>
      </c>
      <c r="N29" s="21">
        <v>44593</v>
      </c>
      <c r="O29" s="19">
        <f t="shared" si="5"/>
        <v>3.9636351958507063</v>
      </c>
      <c r="P29" s="19">
        <f t="shared" si="6"/>
        <v>5.2043182045852276</v>
      </c>
      <c r="Q29" s="66">
        <f t="shared" si="11"/>
        <v>1.2406830087345213</v>
      </c>
      <c r="R29" s="19">
        <f t="shared" si="7"/>
        <v>-1.2255218049277516</v>
      </c>
      <c r="S29" s="66">
        <f t="shared" si="8"/>
        <v>-5.189157000778458</v>
      </c>
      <c r="T29" s="19">
        <f t="shared" si="9"/>
        <v>4.3034698984558162</v>
      </c>
      <c r="U29" s="66">
        <f t="shared" si="10"/>
        <v>0.33983470260510984</v>
      </c>
    </row>
    <row r="30" spans="1:21" x14ac:dyDescent="0.3">
      <c r="A30" s="38">
        <v>46014</v>
      </c>
      <c r="B30" s="39">
        <v>3.9441751148971136</v>
      </c>
      <c r="C30" s="39">
        <v>4.5396205788250015</v>
      </c>
      <c r="D30" s="39">
        <v>-0.61410481573820164</v>
      </c>
      <c r="E30" s="39">
        <v>5.6609998016365566</v>
      </c>
      <c r="G30">
        <f t="shared" si="0"/>
        <v>23</v>
      </c>
      <c r="H30">
        <v>1</v>
      </c>
      <c r="I30">
        <f t="shared" si="1"/>
        <v>12</v>
      </c>
      <c r="J30">
        <f t="shared" si="2"/>
        <v>2025</v>
      </c>
      <c r="K30" s="17">
        <f t="shared" si="3"/>
        <v>45992</v>
      </c>
      <c r="L30">
        <f t="shared" si="4"/>
        <v>0</v>
      </c>
      <c r="N30" s="21">
        <v>44621</v>
      </c>
      <c r="O30" s="19">
        <f t="shared" si="5"/>
        <v>3.3458458020139723</v>
      </c>
      <c r="P30" s="19">
        <f t="shared" si="6"/>
        <v>3.9243768901970668</v>
      </c>
      <c r="Q30" s="66">
        <f t="shared" si="11"/>
        <v>0.57853108818309451</v>
      </c>
      <c r="R30" s="19">
        <f t="shared" si="7"/>
        <v>-2.4407310841601237</v>
      </c>
      <c r="S30" s="66">
        <f t="shared" si="8"/>
        <v>-5.786576886174096</v>
      </c>
      <c r="T30" s="19">
        <f t="shared" si="9"/>
        <v>4.0638035012845215</v>
      </c>
      <c r="U30" s="66">
        <f t="shared" si="10"/>
        <v>0.7179576992705492</v>
      </c>
    </row>
    <row r="31" spans="1:21" x14ac:dyDescent="0.3">
      <c r="A31" s="38">
        <v>46013</v>
      </c>
      <c r="B31" s="39">
        <v>3.8260549044191023</v>
      </c>
      <c r="C31" s="39">
        <v>4.5049983894703871</v>
      </c>
      <c r="D31" s="39">
        <v>-0.76897551191081703</v>
      </c>
      <c r="E31" s="39">
        <v>5.5722237332307785</v>
      </c>
      <c r="G31">
        <f t="shared" si="0"/>
        <v>22</v>
      </c>
      <c r="H31">
        <v>1</v>
      </c>
      <c r="I31">
        <f t="shared" si="1"/>
        <v>12</v>
      </c>
      <c r="J31">
        <f t="shared" si="2"/>
        <v>2025</v>
      </c>
      <c r="K31" s="17">
        <f t="shared" si="3"/>
        <v>45992</v>
      </c>
      <c r="L31">
        <f t="shared" si="4"/>
        <v>0</v>
      </c>
      <c r="N31" s="21">
        <v>44652</v>
      </c>
      <c r="O31" s="19">
        <f t="shared" si="5"/>
        <v>9.7566587582224571</v>
      </c>
      <c r="P31" s="19">
        <f t="shared" si="6"/>
        <v>14.233714107877937</v>
      </c>
      <c r="Q31" s="66">
        <f t="shared" si="11"/>
        <v>4.4770553496554797</v>
      </c>
      <c r="R31" s="19">
        <f t="shared" si="7"/>
        <v>5.3387049629582961</v>
      </c>
      <c r="S31" s="66">
        <f t="shared" si="8"/>
        <v>-4.417953795264161</v>
      </c>
      <c r="T31" s="19">
        <f t="shared" si="9"/>
        <v>9.6104536672075866</v>
      </c>
      <c r="U31" s="66">
        <f t="shared" si="10"/>
        <v>-0.14620509101487045</v>
      </c>
    </row>
    <row r="32" spans="1:21" x14ac:dyDescent="0.3">
      <c r="A32" s="38">
        <v>46010</v>
      </c>
      <c r="B32" s="39">
        <v>4.4293040617942694</v>
      </c>
      <c r="C32" s="39">
        <v>5.0632707070695133</v>
      </c>
      <c r="D32" s="39">
        <v>-0.2093110665369835</v>
      </c>
      <c r="E32" s="39">
        <v>6.2152614624471525</v>
      </c>
      <c r="G32">
        <f t="shared" si="0"/>
        <v>19</v>
      </c>
      <c r="H32">
        <v>1</v>
      </c>
      <c r="I32">
        <f t="shared" si="1"/>
        <v>12</v>
      </c>
      <c r="J32">
        <f t="shared" si="2"/>
        <v>2025</v>
      </c>
      <c r="K32" s="17">
        <f t="shared" si="3"/>
        <v>45992</v>
      </c>
      <c r="L32">
        <f t="shared" si="4"/>
        <v>0</v>
      </c>
      <c r="N32" s="21">
        <v>44682</v>
      </c>
      <c r="O32" s="19">
        <f t="shared" si="5"/>
        <v>14.275911723308766</v>
      </c>
      <c r="P32" s="19">
        <f t="shared" si="6"/>
        <v>23.30803770894876</v>
      </c>
      <c r="Q32" s="66">
        <f t="shared" si="11"/>
        <v>9.0321259856399934</v>
      </c>
      <c r="R32" s="19">
        <f t="shared" si="7"/>
        <v>8.7712875301299675</v>
      </c>
      <c r="S32" s="66">
        <f t="shared" si="8"/>
        <v>-5.5046241931787989</v>
      </c>
      <c r="T32" s="19">
        <f t="shared" si="9"/>
        <v>13.923432880849646</v>
      </c>
      <c r="U32" s="66">
        <f t="shared" si="10"/>
        <v>-0.35247884245912076</v>
      </c>
    </row>
    <row r="33" spans="1:21" x14ac:dyDescent="0.3">
      <c r="A33" s="38">
        <v>46009</v>
      </c>
      <c r="B33" s="39">
        <v>5.015357260001629</v>
      </c>
      <c r="C33" s="39">
        <v>5.6656340457595391</v>
      </c>
      <c r="D33" s="39">
        <v>0.32243425348525534</v>
      </c>
      <c r="E33" s="39">
        <v>6.742456313067251</v>
      </c>
      <c r="G33">
        <f t="shared" si="0"/>
        <v>18</v>
      </c>
      <c r="H33">
        <v>1</v>
      </c>
      <c r="I33">
        <f t="shared" si="1"/>
        <v>12</v>
      </c>
      <c r="J33">
        <f t="shared" si="2"/>
        <v>2025</v>
      </c>
      <c r="K33" s="17">
        <f t="shared" si="3"/>
        <v>45992</v>
      </c>
      <c r="L33">
        <f t="shared" si="4"/>
        <v>0</v>
      </c>
      <c r="N33" s="21">
        <v>44713</v>
      </c>
      <c r="O33" s="19">
        <f t="shared" si="5"/>
        <v>14.506301107411474</v>
      </c>
      <c r="P33" s="19">
        <f t="shared" si="6"/>
        <v>18.307006823173339</v>
      </c>
      <c r="Q33" s="66">
        <f t="shared" si="11"/>
        <v>3.8007057157618647</v>
      </c>
      <c r="R33" s="19">
        <f t="shared" si="7"/>
        <v>4.3335153952901919</v>
      </c>
      <c r="S33" s="66">
        <f t="shared" si="8"/>
        <v>-10.172785712121282</v>
      </c>
      <c r="T33" s="19">
        <f t="shared" si="9"/>
        <v>15.794489308453649</v>
      </c>
      <c r="U33" s="66">
        <f t="shared" si="10"/>
        <v>1.2881882010421748</v>
      </c>
    </row>
    <row r="34" spans="1:21" x14ac:dyDescent="0.3">
      <c r="A34" s="38">
        <v>46008</v>
      </c>
      <c r="B34" s="39">
        <v>5.1229465427668899</v>
      </c>
      <c r="C34" s="39">
        <v>5.7590146374770796</v>
      </c>
      <c r="D34" s="39">
        <v>0.21556824410311037</v>
      </c>
      <c r="E34" s="39">
        <v>6.9476408991860836</v>
      </c>
      <c r="G34">
        <f t="shared" si="0"/>
        <v>17</v>
      </c>
      <c r="H34">
        <v>1</v>
      </c>
      <c r="I34">
        <f t="shared" si="1"/>
        <v>12</v>
      </c>
      <c r="J34">
        <f t="shared" si="2"/>
        <v>2025</v>
      </c>
      <c r="K34" s="17">
        <f t="shared" si="3"/>
        <v>45992</v>
      </c>
      <c r="L34">
        <f t="shared" si="4"/>
        <v>0</v>
      </c>
      <c r="N34" s="21">
        <v>44743</v>
      </c>
      <c r="O34" s="19">
        <f t="shared" si="5"/>
        <v>12.251407142642122</v>
      </c>
      <c r="P34" s="19">
        <f t="shared" si="6"/>
        <v>17.515460561072253</v>
      </c>
      <c r="Q34" s="66">
        <f t="shared" si="11"/>
        <v>5.2640534184301302</v>
      </c>
      <c r="R34" s="19">
        <f t="shared" si="7"/>
        <v>-0.56084759935561124</v>
      </c>
      <c r="S34" s="66">
        <f t="shared" si="8"/>
        <v>-12.812254741997734</v>
      </c>
      <c r="T34" s="19">
        <f t="shared" si="9"/>
        <v>14.97757254166082</v>
      </c>
      <c r="U34" s="66">
        <f t="shared" si="10"/>
        <v>2.7261653990186971</v>
      </c>
    </row>
    <row r="35" spans="1:21" x14ac:dyDescent="0.3">
      <c r="A35" s="38">
        <v>46007</v>
      </c>
      <c r="B35" s="39">
        <v>5.2964104516665884</v>
      </c>
      <c r="C35" s="39">
        <v>5.8771098607834844</v>
      </c>
      <c r="D35" s="39">
        <v>5.5718931832878127E-2</v>
      </c>
      <c r="E35" s="39">
        <v>7.2620458155226686</v>
      </c>
      <c r="G35">
        <f t="shared" si="0"/>
        <v>16</v>
      </c>
      <c r="H35">
        <v>1</v>
      </c>
      <c r="I35">
        <f t="shared" si="1"/>
        <v>12</v>
      </c>
      <c r="J35">
        <f t="shared" si="2"/>
        <v>2025</v>
      </c>
      <c r="K35" s="17">
        <f t="shared" si="3"/>
        <v>45992</v>
      </c>
      <c r="L35">
        <f t="shared" si="4"/>
        <v>0</v>
      </c>
      <c r="N35" s="21">
        <v>44774</v>
      </c>
      <c r="O35" s="19">
        <f t="shared" si="5"/>
        <v>-4.1658250168461493</v>
      </c>
      <c r="P35" s="19">
        <f t="shared" si="6"/>
        <v>4.2512328118299507</v>
      </c>
      <c r="Q35" s="66">
        <f t="shared" si="11"/>
        <v>8.4170578286761</v>
      </c>
      <c r="R35" s="19">
        <f t="shared" si="7"/>
        <v>-12.826967357898621</v>
      </c>
      <c r="S35" s="66">
        <f t="shared" si="8"/>
        <v>-8.6611423410524715</v>
      </c>
      <c r="T35" s="19">
        <f t="shared" si="9"/>
        <v>1.9502466982785904E-3</v>
      </c>
      <c r="U35" s="66">
        <f t="shared" si="10"/>
        <v>4.1677752635444278</v>
      </c>
    </row>
    <row r="36" spans="1:21" x14ac:dyDescent="0.3">
      <c r="A36" s="38">
        <v>46006</v>
      </c>
      <c r="B36" s="39">
        <v>5.4500293998624656</v>
      </c>
      <c r="C36" s="39">
        <v>6.054686189729253</v>
      </c>
      <c r="D36" s="39">
        <v>-0.29593920405993401</v>
      </c>
      <c r="E36" s="39">
        <v>7.4377721658680187</v>
      </c>
      <c r="G36">
        <f t="shared" si="0"/>
        <v>15</v>
      </c>
      <c r="H36">
        <v>1</v>
      </c>
      <c r="I36">
        <f t="shared" si="1"/>
        <v>12</v>
      </c>
      <c r="J36">
        <f t="shared" si="2"/>
        <v>2025</v>
      </c>
      <c r="K36" s="17">
        <f t="shared" si="3"/>
        <v>45992</v>
      </c>
      <c r="L36">
        <f t="shared" si="4"/>
        <v>0</v>
      </c>
      <c r="N36" s="21">
        <v>44805</v>
      </c>
      <c r="O36" s="19">
        <f t="shared" si="5"/>
        <v>-2.671072399581746</v>
      </c>
      <c r="P36" s="19">
        <f t="shared" si="6"/>
        <v>5.8391237414187884</v>
      </c>
      <c r="Q36" s="66">
        <f t="shared" si="11"/>
        <v>8.5101961410005345</v>
      </c>
      <c r="R36" s="19">
        <f t="shared" si="7"/>
        <v>-11.011726942410903</v>
      </c>
      <c r="S36" s="66">
        <f t="shared" si="8"/>
        <v>-8.3406545428291565</v>
      </c>
      <c r="T36" s="19">
        <f t="shared" si="9"/>
        <v>2.4107878332718329</v>
      </c>
      <c r="U36" s="66">
        <f t="shared" si="10"/>
        <v>5.0818602328535789</v>
      </c>
    </row>
    <row r="37" spans="1:21" x14ac:dyDescent="0.3">
      <c r="A37" s="38">
        <v>46003</v>
      </c>
      <c r="B37" s="39">
        <v>5.598731248469818</v>
      </c>
      <c r="C37" s="39">
        <v>6.1623263791937859</v>
      </c>
      <c r="D37" s="39">
        <v>-0.26556586062082488</v>
      </c>
      <c r="E37" s="39">
        <v>7.6838513734698708</v>
      </c>
      <c r="G37">
        <f t="shared" si="0"/>
        <v>12</v>
      </c>
      <c r="H37">
        <v>1</v>
      </c>
      <c r="I37">
        <f t="shared" si="1"/>
        <v>12</v>
      </c>
      <c r="J37">
        <f t="shared" si="2"/>
        <v>2025</v>
      </c>
      <c r="K37" s="17">
        <f t="shared" si="3"/>
        <v>45992</v>
      </c>
      <c r="L37">
        <f t="shared" si="4"/>
        <v>0</v>
      </c>
      <c r="N37" s="21">
        <v>44835</v>
      </c>
      <c r="O37" s="19">
        <f t="shared" si="5"/>
        <v>-1.4915039561808001</v>
      </c>
      <c r="P37" s="19">
        <f t="shared" si="6"/>
        <v>2.308400746163322</v>
      </c>
      <c r="Q37" s="66">
        <f t="shared" si="11"/>
        <v>3.7999047023441221</v>
      </c>
      <c r="R37" s="19">
        <f t="shared" si="7"/>
        <v>-7.9480939978704868</v>
      </c>
      <c r="S37" s="66">
        <f t="shared" si="8"/>
        <v>-6.4565900416896866</v>
      </c>
      <c r="T37" s="19">
        <f t="shared" si="9"/>
        <v>3.9996372203000945</v>
      </c>
      <c r="U37" s="66">
        <f t="shared" si="10"/>
        <v>5.4911411764808946</v>
      </c>
    </row>
    <row r="38" spans="1:21" x14ac:dyDescent="0.3">
      <c r="A38" s="38">
        <v>46002</v>
      </c>
      <c r="B38" s="39">
        <v>5.6951918258185827</v>
      </c>
      <c r="C38" s="39">
        <v>6.2224945176044955</v>
      </c>
      <c r="D38" s="39">
        <v>-7.9634276431107764E-2</v>
      </c>
      <c r="E38" s="39">
        <v>7.8459967078716488</v>
      </c>
      <c r="G38">
        <f t="shared" si="0"/>
        <v>11</v>
      </c>
      <c r="H38">
        <v>1</v>
      </c>
      <c r="I38">
        <f t="shared" si="1"/>
        <v>12</v>
      </c>
      <c r="J38">
        <f t="shared" si="2"/>
        <v>2025</v>
      </c>
      <c r="K38" s="17">
        <f t="shared" si="3"/>
        <v>45992</v>
      </c>
      <c r="L38">
        <f t="shared" si="4"/>
        <v>0</v>
      </c>
      <c r="N38" s="21">
        <v>44866</v>
      </c>
      <c r="O38" s="19">
        <f t="shared" si="5"/>
        <v>2.2079084071991062</v>
      </c>
      <c r="P38" s="19">
        <f t="shared" si="6"/>
        <v>6.0990828568818607</v>
      </c>
      <c r="Q38" s="66">
        <f t="shared" si="11"/>
        <v>3.8911744496827545</v>
      </c>
      <c r="R38" s="19">
        <f t="shared" si="7"/>
        <v>-4.7699911369466435</v>
      </c>
      <c r="S38" s="66">
        <f t="shared" si="8"/>
        <v>-6.9778995441457496</v>
      </c>
      <c r="T38" s="19">
        <f t="shared" si="9"/>
        <v>7.5640222108969368</v>
      </c>
      <c r="U38" s="66">
        <f t="shared" si="10"/>
        <v>5.3561138036978306</v>
      </c>
    </row>
    <row r="39" spans="1:21" x14ac:dyDescent="0.3">
      <c r="A39" s="38">
        <v>46001</v>
      </c>
      <c r="B39" s="39">
        <v>5.7751900571038135</v>
      </c>
      <c r="C39" s="39">
        <v>6.218849952783259</v>
      </c>
      <c r="D39" s="39">
        <v>8.8467159774609172E-2</v>
      </c>
      <c r="E39" s="39">
        <v>7.9021828881086904</v>
      </c>
      <c r="G39">
        <f t="shared" si="0"/>
        <v>10</v>
      </c>
      <c r="H39">
        <v>1</v>
      </c>
      <c r="I39">
        <f t="shared" si="1"/>
        <v>12</v>
      </c>
      <c r="J39">
        <f t="shared" si="2"/>
        <v>2025</v>
      </c>
      <c r="K39" s="17">
        <f t="shared" si="3"/>
        <v>45992</v>
      </c>
      <c r="L39">
        <f t="shared" si="4"/>
        <v>0</v>
      </c>
      <c r="N39" s="21">
        <v>44896</v>
      </c>
      <c r="O39" s="19">
        <f t="shared" si="5"/>
        <v>4.4211546912197051</v>
      </c>
      <c r="P39" s="19">
        <f t="shared" si="6"/>
        <v>8.1757744121712577</v>
      </c>
      <c r="Q39" s="66">
        <f t="shared" si="11"/>
        <v>3.7546197209515526</v>
      </c>
      <c r="R39" s="19">
        <f t="shared" si="7"/>
        <v>-3.5131818737032674</v>
      </c>
      <c r="S39" s="66">
        <f t="shared" si="8"/>
        <v>-7.9343365649229725</v>
      </c>
      <c r="T39" s="19">
        <f t="shared" si="9"/>
        <v>10.425236248433997</v>
      </c>
      <c r="U39" s="66">
        <f t="shared" si="10"/>
        <v>6.0040815572142918</v>
      </c>
    </row>
    <row r="40" spans="1:21" x14ac:dyDescent="0.3">
      <c r="A40" s="38">
        <v>46000</v>
      </c>
      <c r="B40" s="39">
        <v>5.7709472184920614</v>
      </c>
      <c r="C40" s="39">
        <v>6.2096590678428143</v>
      </c>
      <c r="D40" s="39">
        <v>0.16029932891414944</v>
      </c>
      <c r="E40" s="39">
        <v>7.8741733911004701</v>
      </c>
      <c r="G40">
        <f t="shared" si="0"/>
        <v>9</v>
      </c>
      <c r="H40">
        <v>1</v>
      </c>
      <c r="I40">
        <f t="shared" si="1"/>
        <v>12</v>
      </c>
      <c r="J40">
        <f t="shared" si="2"/>
        <v>2025</v>
      </c>
      <c r="K40" s="17">
        <f t="shared" si="3"/>
        <v>45992</v>
      </c>
      <c r="L40">
        <f t="shared" si="4"/>
        <v>0</v>
      </c>
      <c r="N40" s="21">
        <v>44927</v>
      </c>
      <c r="O40" s="19">
        <f t="shared" si="5"/>
        <v>4.9724126651790073</v>
      </c>
      <c r="P40" s="19">
        <f t="shared" si="6"/>
        <v>7.1988876253155851</v>
      </c>
      <c r="Q40" s="66">
        <f t="shared" si="11"/>
        <v>2.2264749601365779</v>
      </c>
      <c r="R40" s="19">
        <f t="shared" si="7"/>
        <v>-6.1217752740257865</v>
      </c>
      <c r="S40" s="66">
        <f t="shared" si="8"/>
        <v>-11.094187939204794</v>
      </c>
      <c r="T40" s="19">
        <f t="shared" si="9"/>
        <v>10.852745115125714</v>
      </c>
      <c r="U40" s="66">
        <f t="shared" si="10"/>
        <v>5.8803324499467067</v>
      </c>
    </row>
    <row r="41" spans="1:21" x14ac:dyDescent="0.3">
      <c r="A41" s="38">
        <v>45999</v>
      </c>
      <c r="B41" s="39">
        <v>5.6943042574987857</v>
      </c>
      <c r="C41" s="39">
        <v>6.1332314249384865</v>
      </c>
      <c r="D41" s="39">
        <v>0.11130876043580429</v>
      </c>
      <c r="E41" s="39">
        <v>7.6934870382980094</v>
      </c>
      <c r="G41">
        <f t="shared" si="0"/>
        <v>8</v>
      </c>
      <c r="H41">
        <v>1</v>
      </c>
      <c r="I41">
        <f t="shared" si="1"/>
        <v>12</v>
      </c>
      <c r="J41">
        <f t="shared" si="2"/>
        <v>2025</v>
      </c>
      <c r="K41" s="17">
        <f t="shared" si="3"/>
        <v>45992</v>
      </c>
      <c r="L41">
        <f t="shared" si="4"/>
        <v>0</v>
      </c>
      <c r="N41" s="21">
        <v>44958</v>
      </c>
      <c r="O41" s="19">
        <f t="shared" si="5"/>
        <v>7.7790091560548875</v>
      </c>
      <c r="P41" s="19">
        <f t="shared" si="6"/>
        <v>8.4636132313904309</v>
      </c>
      <c r="Q41" s="66">
        <f t="shared" si="11"/>
        <v>0.68460407533554335</v>
      </c>
      <c r="R41" s="19">
        <f t="shared" si="7"/>
        <v>-3.5901397558963501</v>
      </c>
      <c r="S41" s="66">
        <f t="shared" si="8"/>
        <v>-11.369148911951237</v>
      </c>
      <c r="T41" s="19">
        <f t="shared" si="9"/>
        <v>13.746948092121073</v>
      </c>
      <c r="U41" s="66">
        <f t="shared" si="10"/>
        <v>5.9679389360661856</v>
      </c>
    </row>
    <row r="42" spans="1:21" x14ac:dyDescent="0.3">
      <c r="A42" s="38">
        <v>45996</v>
      </c>
      <c r="B42" s="39">
        <v>5.4893479974147681</v>
      </c>
      <c r="C42" s="39">
        <v>5.9416267745856572</v>
      </c>
      <c r="D42" s="39">
        <v>-0.10004670970685936</v>
      </c>
      <c r="E42" s="39">
        <v>7.4790977557257534</v>
      </c>
      <c r="G42">
        <f t="shared" si="0"/>
        <v>5</v>
      </c>
      <c r="H42">
        <v>1</v>
      </c>
      <c r="I42">
        <f t="shared" si="1"/>
        <v>12</v>
      </c>
      <c r="J42">
        <f t="shared" si="2"/>
        <v>2025</v>
      </c>
      <c r="K42" s="17">
        <f t="shared" si="3"/>
        <v>45992</v>
      </c>
      <c r="L42">
        <f t="shared" si="4"/>
        <v>0</v>
      </c>
      <c r="N42" s="21">
        <v>44986</v>
      </c>
      <c r="O42" s="19">
        <f t="shared" si="5"/>
        <v>3.8059597918279784</v>
      </c>
      <c r="P42" s="19">
        <f t="shared" si="6"/>
        <v>4.9516288647049338</v>
      </c>
      <c r="Q42" s="66">
        <f t="shared" si="11"/>
        <v>1.1456690728769554</v>
      </c>
      <c r="R42" s="19">
        <f t="shared" si="7"/>
        <v>-2.347564082974742</v>
      </c>
      <c r="S42" s="66">
        <f t="shared" si="8"/>
        <v>-6.1535238748027208</v>
      </c>
      <c r="T42" s="19">
        <f t="shared" si="9"/>
        <v>7.6544207885479905</v>
      </c>
      <c r="U42" s="66">
        <f t="shared" si="10"/>
        <v>3.8484609967200121</v>
      </c>
    </row>
    <row r="43" spans="1:21" x14ac:dyDescent="0.3">
      <c r="A43" s="38">
        <v>45995</v>
      </c>
      <c r="B43" s="39">
        <v>5.5314761617507457</v>
      </c>
      <c r="C43" s="39">
        <v>5.9812910549147205</v>
      </c>
      <c r="D43" s="39">
        <v>-0.3058816902281194</v>
      </c>
      <c r="E43" s="39">
        <v>7.5849130856362308</v>
      </c>
      <c r="G43">
        <f t="shared" si="0"/>
        <v>4</v>
      </c>
      <c r="H43">
        <v>1</v>
      </c>
      <c r="I43">
        <f t="shared" si="1"/>
        <v>12</v>
      </c>
      <c r="J43">
        <f t="shared" si="2"/>
        <v>2025</v>
      </c>
      <c r="K43" s="17">
        <f t="shared" si="3"/>
        <v>45992</v>
      </c>
      <c r="L43">
        <f t="shared" si="4"/>
        <v>1</v>
      </c>
      <c r="N43" s="21">
        <v>45017</v>
      </c>
      <c r="O43" s="19">
        <f t="shared" si="5"/>
        <v>-0.15037945817400811</v>
      </c>
      <c r="P43" s="19">
        <f t="shared" si="6"/>
        <v>2.1187469123337976</v>
      </c>
      <c r="Q43" s="66">
        <f t="shared" si="11"/>
        <v>2.2691263705078057</v>
      </c>
      <c r="R43" s="19">
        <f t="shared" si="7"/>
        <v>-7.5043668555356859</v>
      </c>
      <c r="S43" s="66">
        <f t="shared" si="8"/>
        <v>-7.3539873973616778</v>
      </c>
      <c r="T43" s="19">
        <f t="shared" si="9"/>
        <v>0.57880760306872503</v>
      </c>
      <c r="U43" s="66">
        <f t="shared" si="10"/>
        <v>0.72918706124273314</v>
      </c>
    </row>
    <row r="44" spans="1:21" x14ac:dyDescent="0.3">
      <c r="A44" s="38">
        <v>45994</v>
      </c>
      <c r="B44" s="39">
        <v>5.8187711584163111</v>
      </c>
      <c r="C44" s="39">
        <v>6.2533019482766363</v>
      </c>
      <c r="D44" s="39">
        <v>-0.17494642160208684</v>
      </c>
      <c r="E44" s="39">
        <v>7.8895838011955064</v>
      </c>
      <c r="G44">
        <f t="shared" si="0"/>
        <v>3</v>
      </c>
      <c r="H44">
        <v>1</v>
      </c>
      <c r="I44">
        <f t="shared" si="1"/>
        <v>12</v>
      </c>
      <c r="J44">
        <f t="shared" si="2"/>
        <v>2025</v>
      </c>
      <c r="K44" s="17">
        <f t="shared" si="3"/>
        <v>45992</v>
      </c>
      <c r="L44">
        <f t="shared" si="4"/>
        <v>1</v>
      </c>
      <c r="N44" s="21">
        <v>45047</v>
      </c>
      <c r="O44" s="19">
        <f t="shared" si="5"/>
        <v>-3.4058645764089355</v>
      </c>
      <c r="P44" s="19">
        <f t="shared" si="6"/>
        <v>-0.44995616744604661</v>
      </c>
      <c r="Q44" s="66">
        <f t="shared" si="11"/>
        <v>2.9559084089628889</v>
      </c>
      <c r="R44" s="19">
        <f t="shared" si="7"/>
        <v>-8.0730269084490178</v>
      </c>
      <c r="S44" s="66">
        <f t="shared" si="8"/>
        <v>-4.6671623320400819</v>
      </c>
      <c r="T44" s="19">
        <f t="shared" si="9"/>
        <v>-3.3248110817302936</v>
      </c>
      <c r="U44" s="66">
        <f t="shared" si="10"/>
        <v>8.1053494678641869E-2</v>
      </c>
    </row>
    <row r="45" spans="1:21" x14ac:dyDescent="0.3">
      <c r="A45" s="38">
        <v>45993</v>
      </c>
      <c r="B45" s="39">
        <v>6.4657435672609438</v>
      </c>
      <c r="C45" s="39">
        <v>6.8881600477350773</v>
      </c>
      <c r="D45" s="39">
        <v>0.34327872511057933</v>
      </c>
      <c r="E45" s="39">
        <v>8.5329669717091718</v>
      </c>
      <c r="G45">
        <f t="shared" si="0"/>
        <v>2</v>
      </c>
      <c r="H45">
        <v>1</v>
      </c>
      <c r="I45">
        <f t="shared" si="1"/>
        <v>12</v>
      </c>
      <c r="J45">
        <f t="shared" si="2"/>
        <v>2025</v>
      </c>
      <c r="K45" s="17">
        <f t="shared" si="3"/>
        <v>45992</v>
      </c>
      <c r="L45">
        <f t="shared" si="4"/>
        <v>1</v>
      </c>
      <c r="N45" s="21">
        <v>45078</v>
      </c>
      <c r="O45" s="19">
        <f t="shared" si="5"/>
        <v>-0.42598470128905319</v>
      </c>
      <c r="P45" s="19">
        <f t="shared" si="6"/>
        <v>2.0411205890462298</v>
      </c>
      <c r="Q45" s="66">
        <f t="shared" si="11"/>
        <v>2.467105290335283</v>
      </c>
      <c r="R45" s="19">
        <f t="shared" si="7"/>
        <v>-4.500838805634217</v>
      </c>
      <c r="S45" s="66">
        <f t="shared" si="8"/>
        <v>-4.0748541043451638</v>
      </c>
      <c r="T45" s="19">
        <f t="shared" si="9"/>
        <v>0.14221305626925584</v>
      </c>
      <c r="U45" s="66">
        <f t="shared" si="10"/>
        <v>0.56819775755830904</v>
      </c>
    </row>
    <row r="46" spans="1:21" x14ac:dyDescent="0.3">
      <c r="A46" s="38">
        <v>45992</v>
      </c>
      <c r="B46" s="39">
        <v>6.2579031031430787</v>
      </c>
      <c r="C46" s="39">
        <v>6.6431078666471564</v>
      </c>
      <c r="D46" s="39">
        <v>0.13876994124954933</v>
      </c>
      <c r="E46" s="39">
        <v>8.3481866386364345</v>
      </c>
      <c r="G46">
        <f t="shared" si="0"/>
        <v>1</v>
      </c>
      <c r="H46">
        <v>1</v>
      </c>
      <c r="I46">
        <f t="shared" si="1"/>
        <v>12</v>
      </c>
      <c r="J46">
        <f t="shared" si="2"/>
        <v>2025</v>
      </c>
      <c r="K46" s="17">
        <f t="shared" si="3"/>
        <v>45992</v>
      </c>
      <c r="L46">
        <f t="shared" si="4"/>
        <v>1</v>
      </c>
      <c r="N46" s="21">
        <v>45108</v>
      </c>
      <c r="O46" s="19">
        <f t="shared" si="5"/>
        <v>-1.4566197416941336</v>
      </c>
      <c r="P46" s="19">
        <f t="shared" si="6"/>
        <v>1.8694142184741978</v>
      </c>
      <c r="Q46" s="66">
        <f t="shared" si="11"/>
        <v>3.3260339601683313</v>
      </c>
      <c r="R46" s="19">
        <f t="shared" si="7"/>
        <v>-4.7002752648942376</v>
      </c>
      <c r="S46" s="66">
        <f t="shared" si="8"/>
        <v>-3.2436555232001041</v>
      </c>
      <c r="T46" s="19">
        <f t="shared" si="9"/>
        <v>-1.3757037392788689</v>
      </c>
      <c r="U46" s="66">
        <f t="shared" si="10"/>
        <v>8.0916002415264643E-2</v>
      </c>
    </row>
    <row r="47" spans="1:21" x14ac:dyDescent="0.3">
      <c r="A47" s="38">
        <v>45989</v>
      </c>
      <c r="B47" s="39">
        <v>4.9112865446863765</v>
      </c>
      <c r="C47" s="39">
        <v>6.5052090113697858</v>
      </c>
      <c r="D47" s="39">
        <v>-0.82489859053063697</v>
      </c>
      <c r="E47" s="39">
        <v>6.7491199972304941</v>
      </c>
      <c r="G47">
        <f t="shared" si="0"/>
        <v>28</v>
      </c>
      <c r="H47">
        <v>1</v>
      </c>
      <c r="I47">
        <f t="shared" si="1"/>
        <v>11</v>
      </c>
      <c r="J47">
        <f t="shared" si="2"/>
        <v>2025</v>
      </c>
      <c r="K47" s="17">
        <f t="shared" si="3"/>
        <v>45962</v>
      </c>
      <c r="L47">
        <f t="shared" si="4"/>
        <v>0</v>
      </c>
      <c r="N47" s="21">
        <v>45139</v>
      </c>
      <c r="O47" s="19">
        <f t="shared" si="5"/>
        <v>6.9734370637348739</v>
      </c>
      <c r="P47" s="19">
        <f t="shared" si="6"/>
        <v>10.157137246003138</v>
      </c>
      <c r="Q47" s="66">
        <f t="shared" si="11"/>
        <v>3.1837001822682645</v>
      </c>
      <c r="R47" s="19">
        <f t="shared" si="7"/>
        <v>4.0572920512630901</v>
      </c>
      <c r="S47" s="66">
        <f t="shared" si="8"/>
        <v>-2.9161450124717838</v>
      </c>
      <c r="T47" s="19">
        <f t="shared" si="9"/>
        <v>6.8762238415808596</v>
      </c>
      <c r="U47" s="66">
        <f t="shared" si="10"/>
        <v>-9.7213222154014289E-2</v>
      </c>
    </row>
    <row r="48" spans="1:21" x14ac:dyDescent="0.3">
      <c r="A48" s="38">
        <v>45988</v>
      </c>
      <c r="B48" s="39">
        <v>4.1816155296107098</v>
      </c>
      <c r="C48" s="39">
        <v>5.7953264273315099</v>
      </c>
      <c r="D48" s="39">
        <v>-1.5981918737751926</v>
      </c>
      <c r="E48" s="39">
        <v>5.979128634113124</v>
      </c>
      <c r="G48">
        <f t="shared" si="0"/>
        <v>27</v>
      </c>
      <c r="H48">
        <v>1</v>
      </c>
      <c r="I48">
        <f t="shared" si="1"/>
        <v>11</v>
      </c>
      <c r="J48">
        <f t="shared" si="2"/>
        <v>2025</v>
      </c>
      <c r="K48" s="17">
        <f t="shared" si="3"/>
        <v>45962</v>
      </c>
      <c r="L48">
        <f t="shared" si="4"/>
        <v>0</v>
      </c>
      <c r="N48" s="21">
        <v>45170</v>
      </c>
      <c r="O48" s="19">
        <f t="shared" si="5"/>
        <v>4.6614871796915054</v>
      </c>
      <c r="P48" s="19">
        <f t="shared" si="6"/>
        <v>8.0167863952168972</v>
      </c>
      <c r="Q48" s="66">
        <f t="shared" si="11"/>
        <v>3.3552992155253918</v>
      </c>
      <c r="R48" s="19">
        <f t="shared" si="7"/>
        <v>-0.51269590118722874</v>
      </c>
      <c r="S48" s="66">
        <f t="shared" si="8"/>
        <v>-5.1741830808787341</v>
      </c>
      <c r="T48" s="19">
        <f t="shared" si="9"/>
        <v>5.1813270576619601</v>
      </c>
      <c r="U48" s="66">
        <f t="shared" si="10"/>
        <v>0.51983987797045472</v>
      </c>
    </row>
    <row r="49" spans="1:21" x14ac:dyDescent="0.3">
      <c r="A49" s="38">
        <v>45987</v>
      </c>
      <c r="B49" s="39">
        <v>4.8365195519978386</v>
      </c>
      <c r="C49" s="39">
        <v>6.4779177317144843</v>
      </c>
      <c r="D49" s="39">
        <v>-1.0513615530396692</v>
      </c>
      <c r="E49" s="39">
        <v>6.6342792108311386</v>
      </c>
      <c r="G49">
        <f t="shared" si="0"/>
        <v>26</v>
      </c>
      <c r="H49">
        <v>1</v>
      </c>
      <c r="I49">
        <f t="shared" si="1"/>
        <v>11</v>
      </c>
      <c r="J49">
        <f t="shared" si="2"/>
        <v>2025</v>
      </c>
      <c r="K49" s="17">
        <f t="shared" si="3"/>
        <v>45962</v>
      </c>
      <c r="L49">
        <f t="shared" si="4"/>
        <v>0</v>
      </c>
      <c r="N49" s="21">
        <v>45200</v>
      </c>
      <c r="O49" s="19">
        <f t="shared" si="5"/>
        <v>2.0003020617755189</v>
      </c>
      <c r="P49" s="19">
        <f t="shared" si="6"/>
        <v>4.7308218440489611</v>
      </c>
      <c r="Q49" s="66">
        <f t="shared" si="11"/>
        <v>2.7305197822734422</v>
      </c>
      <c r="R49" s="19">
        <f t="shared" si="7"/>
        <v>-2.0303488496150948</v>
      </c>
      <c r="S49" s="66">
        <f t="shared" si="8"/>
        <v>-4.0306509113906142</v>
      </c>
      <c r="T49" s="19">
        <f t="shared" si="9"/>
        <v>3.3026131514260393</v>
      </c>
      <c r="U49" s="66">
        <f t="shared" si="10"/>
        <v>1.3023110896505203</v>
      </c>
    </row>
    <row r="50" spans="1:21" x14ac:dyDescent="0.3">
      <c r="A50" s="38">
        <v>45986</v>
      </c>
      <c r="B50" s="39">
        <v>4.858663590816704</v>
      </c>
      <c r="C50" s="39">
        <v>6.4529666407679755</v>
      </c>
      <c r="D50" s="39">
        <v>-0.61924837754305884</v>
      </c>
      <c r="E50" s="39">
        <v>6.5884396349145078</v>
      </c>
      <c r="G50">
        <f t="shared" si="0"/>
        <v>25</v>
      </c>
      <c r="H50">
        <v>1</v>
      </c>
      <c r="I50">
        <f t="shared" si="1"/>
        <v>11</v>
      </c>
      <c r="J50">
        <f t="shared" si="2"/>
        <v>2025</v>
      </c>
      <c r="K50" s="17">
        <f t="shared" si="3"/>
        <v>45962</v>
      </c>
      <c r="L50">
        <f t="shared" si="4"/>
        <v>0</v>
      </c>
      <c r="N50" s="21">
        <v>45231</v>
      </c>
      <c r="O50" s="19">
        <f t="shared" si="5"/>
        <v>-0.74529437939676768</v>
      </c>
      <c r="P50" s="19">
        <f t="shared" si="6"/>
        <v>2.7994326737657786</v>
      </c>
      <c r="Q50" s="66">
        <f t="shared" si="11"/>
        <v>3.5447270531625463</v>
      </c>
      <c r="R50" s="19">
        <f t="shared" si="7"/>
        <v>-5.9163243976710618</v>
      </c>
      <c r="S50" s="66">
        <f t="shared" si="8"/>
        <v>-5.1710300182742941</v>
      </c>
      <c r="T50" s="19">
        <f t="shared" si="9"/>
        <v>0.93968933157139622</v>
      </c>
      <c r="U50" s="66">
        <f t="shared" si="10"/>
        <v>1.6849837109681638</v>
      </c>
    </row>
    <row r="51" spans="1:21" x14ac:dyDescent="0.3">
      <c r="A51" s="38">
        <v>45985</v>
      </c>
      <c r="B51" s="39">
        <v>5.665716089294051</v>
      </c>
      <c r="C51" s="39">
        <v>7.2740933084146135</v>
      </c>
      <c r="D51" s="39">
        <v>0.11314793439642301</v>
      </c>
      <c r="E51" s="39">
        <v>7.3342538873996119</v>
      </c>
      <c r="G51">
        <f t="shared" si="0"/>
        <v>24</v>
      </c>
      <c r="H51">
        <v>1</v>
      </c>
      <c r="I51">
        <f t="shared" si="1"/>
        <v>11</v>
      </c>
      <c r="J51">
        <f t="shared" si="2"/>
        <v>2025</v>
      </c>
      <c r="K51" s="17">
        <f t="shared" si="3"/>
        <v>45962</v>
      </c>
      <c r="L51">
        <f t="shared" si="4"/>
        <v>0</v>
      </c>
      <c r="N51" s="21">
        <v>45261</v>
      </c>
      <c r="O51" s="19">
        <f t="shared" si="5"/>
        <v>0.6204671767862493</v>
      </c>
      <c r="P51" s="19">
        <f t="shared" si="6"/>
        <v>4.1421542610647535</v>
      </c>
      <c r="Q51" s="66">
        <f t="shared" si="11"/>
        <v>3.5216870842785042</v>
      </c>
      <c r="R51" s="19">
        <f t="shared" si="7"/>
        <v>-3.8792455195266484</v>
      </c>
      <c r="S51" s="66">
        <f t="shared" si="8"/>
        <v>-4.4997126963128977</v>
      </c>
      <c r="T51" s="19">
        <f t="shared" si="9"/>
        <v>1.3146342909432462</v>
      </c>
      <c r="U51" s="66">
        <f t="shared" si="10"/>
        <v>0.69416711415699694</v>
      </c>
    </row>
    <row r="52" spans="1:21" x14ac:dyDescent="0.3">
      <c r="A52" s="38">
        <v>45982</v>
      </c>
      <c r="B52" s="39">
        <v>6.8109342122412926</v>
      </c>
      <c r="C52" s="39">
        <v>8.3782367973942939</v>
      </c>
      <c r="D52" s="39">
        <v>0.90831888756244439</v>
      </c>
      <c r="E52" s="39">
        <v>8.6216586587382338</v>
      </c>
      <c r="G52">
        <f t="shared" si="0"/>
        <v>21</v>
      </c>
      <c r="H52">
        <v>1</v>
      </c>
      <c r="I52">
        <f t="shared" si="1"/>
        <v>11</v>
      </c>
      <c r="J52">
        <f t="shared" si="2"/>
        <v>2025</v>
      </c>
      <c r="K52" s="17">
        <f t="shared" si="3"/>
        <v>45962</v>
      </c>
      <c r="L52">
        <f t="shared" si="4"/>
        <v>0</v>
      </c>
      <c r="N52" s="21">
        <v>45292</v>
      </c>
      <c r="O52" s="19">
        <f t="shared" si="5"/>
        <v>2.8761477766805874</v>
      </c>
      <c r="P52" s="19">
        <f t="shared" si="6"/>
        <v>5.8181389535638699</v>
      </c>
      <c r="Q52" s="66">
        <f t="shared" si="11"/>
        <v>2.9419911768832825</v>
      </c>
      <c r="R52" s="19">
        <f t="shared" si="7"/>
        <v>-1.4641614082751602</v>
      </c>
      <c r="S52" s="66">
        <f t="shared" si="8"/>
        <v>-4.340309184955748</v>
      </c>
      <c r="T52" s="19">
        <f t="shared" si="9"/>
        <v>3.1811662806349403</v>
      </c>
      <c r="U52" s="66">
        <f t="shared" si="10"/>
        <v>0.30501850395435293</v>
      </c>
    </row>
    <row r="53" spans="1:21" x14ac:dyDescent="0.3">
      <c r="A53" s="38">
        <v>45981</v>
      </c>
      <c r="B53" s="39">
        <v>8.7950776958296615</v>
      </c>
      <c r="C53" s="39">
        <v>10.16628235662256</v>
      </c>
      <c r="D53" s="39">
        <v>2.6695708455449392</v>
      </c>
      <c r="E53" s="39">
        <v>10.842658388972538</v>
      </c>
      <c r="G53">
        <f t="shared" si="0"/>
        <v>20</v>
      </c>
      <c r="H53">
        <v>1</v>
      </c>
      <c r="I53">
        <f t="shared" si="1"/>
        <v>11</v>
      </c>
      <c r="J53">
        <f t="shared" si="2"/>
        <v>2025</v>
      </c>
      <c r="K53" s="17">
        <f t="shared" si="3"/>
        <v>45962</v>
      </c>
      <c r="L53">
        <f t="shared" si="4"/>
        <v>0</v>
      </c>
      <c r="N53" s="21">
        <v>45323</v>
      </c>
      <c r="O53" s="19">
        <f t="shared" si="5"/>
        <v>5.7939316695481438</v>
      </c>
      <c r="P53" s="19">
        <f t="shared" si="6"/>
        <v>6.4659819875103608</v>
      </c>
      <c r="Q53" s="66">
        <f t="shared" si="11"/>
        <v>0.67205031796221704</v>
      </c>
      <c r="R53" s="19">
        <f t="shared" si="7"/>
        <v>0.32588451106035166</v>
      </c>
      <c r="S53" s="66">
        <f t="shared" si="8"/>
        <v>-5.4680471584877921</v>
      </c>
      <c r="T53" s="19">
        <f t="shared" si="9"/>
        <v>6.9697603486507518</v>
      </c>
      <c r="U53" s="66">
        <f t="shared" si="10"/>
        <v>1.175828679102608</v>
      </c>
    </row>
    <row r="54" spans="1:21" x14ac:dyDescent="0.3">
      <c r="A54" s="38">
        <v>45980</v>
      </c>
      <c r="B54" s="39">
        <v>9.6254950918977613</v>
      </c>
      <c r="C54" s="39">
        <v>10.998094429727317</v>
      </c>
      <c r="D54" s="39">
        <v>3.2252010046219226</v>
      </c>
      <c r="E54" s="39">
        <v>11.739196222547349</v>
      </c>
      <c r="G54">
        <f t="shared" si="0"/>
        <v>19</v>
      </c>
      <c r="H54">
        <v>1</v>
      </c>
      <c r="I54">
        <f t="shared" si="1"/>
        <v>11</v>
      </c>
      <c r="J54">
        <f t="shared" si="2"/>
        <v>2025</v>
      </c>
      <c r="K54" s="17">
        <f t="shared" si="3"/>
        <v>45962</v>
      </c>
      <c r="L54">
        <f t="shared" si="4"/>
        <v>0</v>
      </c>
      <c r="N54" s="21">
        <v>45352</v>
      </c>
      <c r="O54" s="19">
        <f t="shared" si="5"/>
        <v>2.9973911734582046</v>
      </c>
      <c r="P54" s="19">
        <f t="shared" si="6"/>
        <v>3.657540961062054</v>
      </c>
      <c r="Q54" s="66">
        <f t="shared" si="11"/>
        <v>0.66014978760384935</v>
      </c>
      <c r="R54" s="19">
        <f t="shared" si="7"/>
        <v>-1.7748258984969638</v>
      </c>
      <c r="S54" s="66">
        <f t="shared" si="8"/>
        <v>-4.7722170719551684</v>
      </c>
      <c r="T54" s="19">
        <f t="shared" si="9"/>
        <v>3.7794015696386651</v>
      </c>
      <c r="U54" s="66">
        <f t="shared" si="10"/>
        <v>0.78201039618046053</v>
      </c>
    </row>
    <row r="55" spans="1:21" x14ac:dyDescent="0.3">
      <c r="A55" s="38">
        <v>45979</v>
      </c>
      <c r="B55" s="39">
        <v>8.7985812604319307</v>
      </c>
      <c r="C55" s="39">
        <v>10.284686174355244</v>
      </c>
      <c r="D55" s="39">
        <v>2.2609216294925716</v>
      </c>
      <c r="E55" s="39">
        <v>10.812515806892236</v>
      </c>
      <c r="G55">
        <f t="shared" si="0"/>
        <v>18</v>
      </c>
      <c r="H55">
        <v>1</v>
      </c>
      <c r="I55">
        <f t="shared" si="1"/>
        <v>11</v>
      </c>
      <c r="J55">
        <f t="shared" si="2"/>
        <v>2025</v>
      </c>
      <c r="K55" s="17">
        <f t="shared" si="3"/>
        <v>45962</v>
      </c>
      <c r="L55">
        <f t="shared" si="4"/>
        <v>0</v>
      </c>
      <c r="N55" s="21">
        <v>45383</v>
      </c>
      <c r="O55" s="19">
        <f t="shared" si="5"/>
        <v>-0.68126434234540056</v>
      </c>
      <c r="P55" s="19">
        <f t="shared" si="6"/>
        <v>0.65135930339392212</v>
      </c>
      <c r="Q55" s="66">
        <f t="shared" si="11"/>
        <v>1.3326236457393228</v>
      </c>
      <c r="R55" s="19">
        <f t="shared" si="7"/>
        <v>-5.8287360551384255</v>
      </c>
      <c r="S55" s="66">
        <f t="shared" si="8"/>
        <v>-5.147471712793025</v>
      </c>
      <c r="T55" s="19">
        <f t="shared" si="9"/>
        <v>-0.67420488220678487</v>
      </c>
      <c r="U55" s="66">
        <f t="shared" si="10"/>
        <v>7.0594601386156919E-3</v>
      </c>
    </row>
    <row r="56" spans="1:21" x14ac:dyDescent="0.3">
      <c r="A56" s="38">
        <v>45978</v>
      </c>
      <c r="B56" s="39">
        <v>8.1962750477940887</v>
      </c>
      <c r="C56" s="39">
        <v>9.7941075676576617</v>
      </c>
      <c r="D56" s="39">
        <v>1.9045026343644196</v>
      </c>
      <c r="E56" s="39">
        <v>10.018796958258562</v>
      </c>
      <c r="G56">
        <f t="shared" si="0"/>
        <v>17</v>
      </c>
      <c r="H56">
        <v>1</v>
      </c>
      <c r="I56">
        <f t="shared" si="1"/>
        <v>11</v>
      </c>
      <c r="J56">
        <f t="shared" si="2"/>
        <v>2025</v>
      </c>
      <c r="K56" s="17">
        <f t="shared" si="3"/>
        <v>45962</v>
      </c>
      <c r="L56">
        <f t="shared" si="4"/>
        <v>0</v>
      </c>
      <c r="N56" s="21">
        <v>45413</v>
      </c>
      <c r="O56" s="19">
        <f t="shared" si="5"/>
        <v>-1.6930489122122836</v>
      </c>
      <c r="P56" s="19">
        <f t="shared" si="6"/>
        <v>0.29145008935876859</v>
      </c>
      <c r="Q56" s="66">
        <f t="shared" si="11"/>
        <v>1.9844990015710522</v>
      </c>
      <c r="R56" s="19">
        <f t="shared" si="7"/>
        <v>-4.9483309885315876</v>
      </c>
      <c r="S56" s="66">
        <f t="shared" si="8"/>
        <v>-3.255282076319304</v>
      </c>
      <c r="T56" s="19">
        <f t="shared" si="9"/>
        <v>-2.9194296222322507</v>
      </c>
      <c r="U56" s="66">
        <f t="shared" si="10"/>
        <v>-1.2263807100199671</v>
      </c>
    </row>
    <row r="57" spans="1:21" x14ac:dyDescent="0.3">
      <c r="A57" s="38">
        <v>45975</v>
      </c>
      <c r="B57" s="39">
        <v>7.9862293724154512</v>
      </c>
      <c r="C57" s="39">
        <v>9.538230659605432</v>
      </c>
      <c r="D57" s="39">
        <v>1.7915411611688228</v>
      </c>
      <c r="E57" s="39">
        <v>9.774542736700738</v>
      </c>
      <c r="G57">
        <f t="shared" si="0"/>
        <v>14</v>
      </c>
      <c r="H57">
        <v>1</v>
      </c>
      <c r="I57">
        <f t="shared" si="1"/>
        <v>11</v>
      </c>
      <c r="J57">
        <f t="shared" si="2"/>
        <v>2025</v>
      </c>
      <c r="K57" s="17">
        <f t="shared" si="3"/>
        <v>45962</v>
      </c>
      <c r="L57">
        <f t="shared" si="4"/>
        <v>0</v>
      </c>
      <c r="N57" s="21">
        <v>45444</v>
      </c>
      <c r="O57" s="19">
        <f t="shared" si="5"/>
        <v>-1.9489224662860778</v>
      </c>
      <c r="P57" s="19">
        <f t="shared" si="6"/>
        <v>0.99052014508038155</v>
      </c>
      <c r="Q57" s="66">
        <f t="shared" si="11"/>
        <v>2.9394426113664593</v>
      </c>
      <c r="R57" s="19">
        <f t="shared" si="7"/>
        <v>-3.4582308649644915</v>
      </c>
      <c r="S57" s="66">
        <f t="shared" si="8"/>
        <v>-1.5093083986784137</v>
      </c>
      <c r="T57" s="19">
        <f t="shared" si="9"/>
        <v>-3.4265450667068933</v>
      </c>
      <c r="U57" s="66">
        <f t="shared" si="10"/>
        <v>-1.4776226004208155</v>
      </c>
    </row>
    <row r="58" spans="1:21" x14ac:dyDescent="0.3">
      <c r="A58" s="38">
        <v>45974</v>
      </c>
      <c r="B58" s="39">
        <v>8.5582095134082437</v>
      </c>
      <c r="C58" s="39">
        <v>10.044987150042559</v>
      </c>
      <c r="D58" s="39">
        <v>2.4594283424694652</v>
      </c>
      <c r="E58" s="39">
        <v>10.40497515640407</v>
      </c>
      <c r="G58">
        <f t="shared" si="0"/>
        <v>13</v>
      </c>
      <c r="H58">
        <v>1</v>
      </c>
      <c r="I58">
        <f t="shared" si="1"/>
        <v>11</v>
      </c>
      <c r="J58">
        <f t="shared" si="2"/>
        <v>2025</v>
      </c>
      <c r="K58" s="17">
        <f t="shared" si="3"/>
        <v>45962</v>
      </c>
      <c r="L58">
        <f t="shared" si="4"/>
        <v>0</v>
      </c>
      <c r="N58" s="21">
        <v>45474</v>
      </c>
      <c r="O58" s="19">
        <f t="shared" si="5"/>
        <v>1.2494878820042743E-2</v>
      </c>
      <c r="P58" s="19">
        <f t="shared" si="6"/>
        <v>2.0241548423249611</v>
      </c>
      <c r="Q58" s="66">
        <f t="shared" si="11"/>
        <v>2.0116599635049184</v>
      </c>
      <c r="R58" s="19">
        <f t="shared" si="7"/>
        <v>-2.6659424919735635</v>
      </c>
      <c r="S58" s="66">
        <f t="shared" si="8"/>
        <v>-2.6784373707936062</v>
      </c>
      <c r="T58" s="19">
        <f t="shared" si="9"/>
        <v>-1.3530528982025665</v>
      </c>
      <c r="U58" s="66">
        <f t="shared" si="10"/>
        <v>-1.3655477770226092</v>
      </c>
    </row>
    <row r="59" spans="1:21" x14ac:dyDescent="0.3">
      <c r="A59" s="38">
        <v>45973</v>
      </c>
      <c r="B59" s="39">
        <v>9.3842603277894909</v>
      </c>
      <c r="C59" s="39">
        <v>10.801297221926518</v>
      </c>
      <c r="D59" s="39">
        <v>3.2122901141499511</v>
      </c>
      <c r="E59" s="39">
        <v>11.159530153595782</v>
      </c>
      <c r="G59">
        <f t="shared" si="0"/>
        <v>12</v>
      </c>
      <c r="H59">
        <v>1</v>
      </c>
      <c r="I59">
        <f t="shared" si="1"/>
        <v>11</v>
      </c>
      <c r="J59">
        <f t="shared" si="2"/>
        <v>2025</v>
      </c>
      <c r="K59" s="17">
        <f t="shared" si="3"/>
        <v>45962</v>
      </c>
      <c r="L59">
        <f t="shared" si="4"/>
        <v>0</v>
      </c>
      <c r="N59" s="21">
        <v>45505</v>
      </c>
      <c r="O59" s="19">
        <f t="shared" si="5"/>
        <v>1.3850605464887025</v>
      </c>
      <c r="P59" s="19">
        <f t="shared" si="6"/>
        <v>2.7631448500178664</v>
      </c>
      <c r="Q59" s="66">
        <f t="shared" si="11"/>
        <v>1.3780843035291639</v>
      </c>
      <c r="R59" s="19">
        <f t="shared" si="7"/>
        <v>-1.4072516418765488</v>
      </c>
      <c r="S59" s="66">
        <f t="shared" si="8"/>
        <v>-2.7923121883652513</v>
      </c>
      <c r="T59" s="19">
        <f t="shared" si="9"/>
        <v>0.55657489994064946</v>
      </c>
      <c r="U59" s="66">
        <f t="shared" si="10"/>
        <v>-0.82848564654805301</v>
      </c>
    </row>
    <row r="60" spans="1:21" x14ac:dyDescent="0.3">
      <c r="A60" s="38">
        <v>45972</v>
      </c>
      <c r="B60" s="39">
        <v>8.8553718712406209</v>
      </c>
      <c r="C60" s="39">
        <v>10.282670492692574</v>
      </c>
      <c r="D60" s="39">
        <v>2.9614552825857885</v>
      </c>
      <c r="E60" s="39">
        <v>10.546821557811271</v>
      </c>
      <c r="G60">
        <f t="shared" si="0"/>
        <v>11</v>
      </c>
      <c r="H60">
        <v>1</v>
      </c>
      <c r="I60">
        <f t="shared" si="1"/>
        <v>11</v>
      </c>
      <c r="J60">
        <f t="shared" si="2"/>
        <v>2025</v>
      </c>
      <c r="K60" s="17">
        <f t="shared" si="3"/>
        <v>45962</v>
      </c>
      <c r="L60">
        <f t="shared" si="4"/>
        <v>0</v>
      </c>
      <c r="N60" s="21">
        <v>45536</v>
      </c>
      <c r="O60" s="19">
        <f t="shared" si="5"/>
        <v>-0.82572931901883828</v>
      </c>
      <c r="P60" s="19">
        <f t="shared" si="6"/>
        <v>0.55842860835205477</v>
      </c>
      <c r="Q60" s="66">
        <f t="shared" si="11"/>
        <v>1.384157927370893</v>
      </c>
      <c r="R60" s="19">
        <f t="shared" si="7"/>
        <v>-3.7455008586866732</v>
      </c>
      <c r="S60" s="66">
        <f t="shared" si="8"/>
        <v>-2.9197715396678348</v>
      </c>
      <c r="T60" s="19">
        <f t="shared" si="9"/>
        <v>-0.98314254551459612</v>
      </c>
      <c r="U60" s="66">
        <f t="shared" si="10"/>
        <v>-0.15741322649575784</v>
      </c>
    </row>
    <row r="61" spans="1:21" x14ac:dyDescent="0.3">
      <c r="A61" s="38">
        <v>45971</v>
      </c>
      <c r="B61" s="39">
        <v>8.3530461755281209</v>
      </c>
      <c r="C61" s="39">
        <v>9.7902517711957699</v>
      </c>
      <c r="D61" s="39">
        <v>2.5953046737596992</v>
      </c>
      <c r="E61" s="39">
        <v>9.9893933343448964</v>
      </c>
      <c r="G61">
        <f t="shared" si="0"/>
        <v>10</v>
      </c>
      <c r="H61">
        <v>1</v>
      </c>
      <c r="I61">
        <f t="shared" si="1"/>
        <v>11</v>
      </c>
      <c r="J61">
        <f t="shared" si="2"/>
        <v>2025</v>
      </c>
      <c r="K61" s="17">
        <f t="shared" si="3"/>
        <v>45962</v>
      </c>
      <c r="L61">
        <f t="shared" si="4"/>
        <v>0</v>
      </c>
      <c r="N61" s="21">
        <v>45566</v>
      </c>
      <c r="O61" s="19">
        <f t="shared" si="5"/>
        <v>0.11687935906996572</v>
      </c>
      <c r="P61" s="19">
        <f t="shared" si="6"/>
        <v>0.58401148279487458</v>
      </c>
      <c r="Q61" s="66">
        <f t="shared" si="11"/>
        <v>0.46713212372490887</v>
      </c>
      <c r="R61" s="19">
        <f t="shared" si="7"/>
        <v>-1.2440158640265935</v>
      </c>
      <c r="S61" s="66">
        <f t="shared" si="8"/>
        <v>-1.3608952230965592</v>
      </c>
      <c r="T61" s="19">
        <f t="shared" si="9"/>
        <v>0.36569525650336487</v>
      </c>
      <c r="U61" s="66">
        <f t="shared" si="10"/>
        <v>0.24881589743339916</v>
      </c>
    </row>
    <row r="62" spans="1:21" x14ac:dyDescent="0.3">
      <c r="A62" s="38">
        <v>45968</v>
      </c>
      <c r="B62" s="39">
        <v>8.9146072088066006</v>
      </c>
      <c r="C62" s="39">
        <v>10.295562471359986</v>
      </c>
      <c r="D62" s="39">
        <v>3.3688657866879339</v>
      </c>
      <c r="E62" s="39">
        <v>10.543245192709321</v>
      </c>
      <c r="G62">
        <f t="shared" si="0"/>
        <v>7</v>
      </c>
      <c r="H62">
        <v>1</v>
      </c>
      <c r="I62">
        <f t="shared" si="1"/>
        <v>11</v>
      </c>
      <c r="J62">
        <f t="shared" si="2"/>
        <v>2025</v>
      </c>
      <c r="K62" s="17">
        <f t="shared" si="3"/>
        <v>45962</v>
      </c>
      <c r="L62">
        <f t="shared" si="4"/>
        <v>0</v>
      </c>
      <c r="N62" s="21">
        <v>45597</v>
      </c>
      <c r="O62" s="19">
        <f t="shared" si="5"/>
        <v>3.1940205317865491</v>
      </c>
      <c r="P62" s="19">
        <f t="shared" si="6"/>
        <v>4.6849720869127367</v>
      </c>
      <c r="Q62" s="66">
        <f t="shared" si="11"/>
        <v>1.4909515551261876</v>
      </c>
      <c r="R62" s="19">
        <f t="shared" si="7"/>
        <v>2.1450812117236708</v>
      </c>
      <c r="S62" s="66">
        <f t="shared" si="8"/>
        <v>-1.0489393200628783</v>
      </c>
      <c r="T62" s="19">
        <f t="shared" si="9"/>
        <v>3.1042807804205736</v>
      </c>
      <c r="U62" s="66">
        <f t="shared" si="10"/>
        <v>-8.9739751365975451E-2</v>
      </c>
    </row>
    <row r="63" spans="1:21" x14ac:dyDescent="0.3">
      <c r="A63" s="38">
        <v>45967</v>
      </c>
      <c r="B63" s="39">
        <v>8.2086994096901691</v>
      </c>
      <c r="C63" s="39">
        <v>9.5749265734085895</v>
      </c>
      <c r="D63" s="39">
        <v>3.1718793727281707</v>
      </c>
      <c r="E63" s="39">
        <v>9.6290209381050715</v>
      </c>
      <c r="G63">
        <f t="shared" si="0"/>
        <v>6</v>
      </c>
      <c r="H63">
        <v>1</v>
      </c>
      <c r="I63">
        <f t="shared" si="1"/>
        <v>11</v>
      </c>
      <c r="J63">
        <f t="shared" si="2"/>
        <v>2025</v>
      </c>
      <c r="K63" s="17">
        <f t="shared" si="3"/>
        <v>45962</v>
      </c>
      <c r="L63">
        <f t="shared" si="4"/>
        <v>0</v>
      </c>
      <c r="N63" s="21">
        <v>45627</v>
      </c>
      <c r="O63" s="19">
        <f t="shared" si="5"/>
        <v>2.6062119038274765</v>
      </c>
      <c r="P63" s="19">
        <f t="shared" si="6"/>
        <v>3.9598229115039771</v>
      </c>
      <c r="Q63" s="66">
        <f t="shared" si="11"/>
        <v>1.3536110076765007</v>
      </c>
      <c r="R63" s="19">
        <f t="shared" si="7"/>
        <v>0.79391485500923886</v>
      </c>
      <c r="S63" s="66">
        <f t="shared" si="8"/>
        <v>-1.8122970488182375</v>
      </c>
      <c r="T63" s="19">
        <f t="shared" si="9"/>
        <v>2.4081908299738566</v>
      </c>
      <c r="U63" s="66">
        <f t="shared" si="10"/>
        <v>-0.19802107385361989</v>
      </c>
    </row>
    <row r="64" spans="1:21" x14ac:dyDescent="0.3">
      <c r="A64" s="38">
        <v>45966</v>
      </c>
      <c r="B64" s="39">
        <v>6.9584900779080101</v>
      </c>
      <c r="C64" s="39">
        <v>8.3363694579115446</v>
      </c>
      <c r="D64" s="39">
        <v>2.1221409013709547</v>
      </c>
      <c r="E64" s="39">
        <v>8.3670570045220245</v>
      </c>
      <c r="G64">
        <f t="shared" si="0"/>
        <v>5</v>
      </c>
      <c r="H64">
        <v>1</v>
      </c>
      <c r="I64">
        <f t="shared" si="1"/>
        <v>11</v>
      </c>
      <c r="J64">
        <f t="shared" si="2"/>
        <v>2025</v>
      </c>
      <c r="K64" s="17">
        <f t="shared" si="3"/>
        <v>45962</v>
      </c>
      <c r="L64">
        <f t="shared" si="4"/>
        <v>0</v>
      </c>
      <c r="N64" s="21">
        <v>45658</v>
      </c>
      <c r="O64" s="19">
        <f t="shared" si="5"/>
        <v>3.3250790741991878</v>
      </c>
      <c r="P64" s="19">
        <f t="shared" si="6"/>
        <v>3.4966825629686795</v>
      </c>
      <c r="Q64" s="66">
        <f t="shared" si="11"/>
        <v>0.17160348876949172</v>
      </c>
      <c r="R64" s="19">
        <f t="shared" si="7"/>
        <v>1.1846067650259968</v>
      </c>
      <c r="S64" s="66">
        <f t="shared" si="8"/>
        <v>-2.140472309173191</v>
      </c>
      <c r="T64" s="19">
        <f t="shared" si="9"/>
        <v>3.114924073765323</v>
      </c>
      <c r="U64" s="66">
        <f t="shared" si="10"/>
        <v>-0.21015500043386481</v>
      </c>
    </row>
    <row r="65" spans="1:21" x14ac:dyDescent="0.3">
      <c r="A65" s="38">
        <v>45965</v>
      </c>
      <c r="B65" s="39">
        <v>6.3718607233175391</v>
      </c>
      <c r="C65" s="39">
        <v>7.8420583898303846</v>
      </c>
      <c r="D65" s="39">
        <v>1.6271568330788284</v>
      </c>
      <c r="E65" s="39">
        <v>7.6552817064012117</v>
      </c>
      <c r="G65">
        <f t="shared" si="0"/>
        <v>4</v>
      </c>
      <c r="H65">
        <v>1</v>
      </c>
      <c r="I65">
        <f t="shared" si="1"/>
        <v>11</v>
      </c>
      <c r="J65">
        <f t="shared" si="2"/>
        <v>2025</v>
      </c>
      <c r="K65" s="17">
        <f t="shared" si="3"/>
        <v>45962</v>
      </c>
      <c r="L65">
        <f t="shared" si="4"/>
        <v>1</v>
      </c>
      <c r="N65" s="21">
        <v>45689</v>
      </c>
      <c r="O65" s="19">
        <f t="shared" si="5"/>
        <v>0.50117618985213852</v>
      </c>
      <c r="P65" s="19">
        <f t="shared" si="6"/>
        <v>1.7774921086560838</v>
      </c>
      <c r="Q65" s="66">
        <f t="shared" si="11"/>
        <v>1.2763159188039452</v>
      </c>
      <c r="R65" s="19">
        <f t="shared" si="7"/>
        <v>-1.5136430447099087</v>
      </c>
      <c r="S65" s="66">
        <f t="shared" si="8"/>
        <v>-2.0148192345620473</v>
      </c>
      <c r="T65" s="19">
        <f t="shared" si="9"/>
        <v>0.14536386992610062</v>
      </c>
      <c r="U65" s="66">
        <f t="shared" si="10"/>
        <v>-0.3558123199260379</v>
      </c>
    </row>
    <row r="66" spans="1:21" x14ac:dyDescent="0.3">
      <c r="A66" s="38">
        <v>45964</v>
      </c>
      <c r="B66" s="39">
        <v>6.0312317106411513</v>
      </c>
      <c r="C66" s="39">
        <v>7.4933327791140272</v>
      </c>
      <c r="D66" s="39">
        <v>1.0948615876253172</v>
      </c>
      <c r="E66" s="39">
        <v>7.3261138753984909</v>
      </c>
      <c r="G66">
        <f t="shared" si="0"/>
        <v>3</v>
      </c>
      <c r="H66">
        <v>1</v>
      </c>
      <c r="I66">
        <f t="shared" si="1"/>
        <v>11</v>
      </c>
      <c r="J66">
        <f t="shared" si="2"/>
        <v>2025</v>
      </c>
      <c r="K66" s="17">
        <f t="shared" si="3"/>
        <v>45962</v>
      </c>
      <c r="L66">
        <f t="shared" si="4"/>
        <v>1</v>
      </c>
      <c r="N66" s="21">
        <v>45717</v>
      </c>
      <c r="O66" s="19">
        <f t="shared" si="5"/>
        <v>0.5474504708397987</v>
      </c>
      <c r="P66" s="19">
        <f t="shared" si="6"/>
        <v>4.1398836767315927</v>
      </c>
      <c r="Q66" s="66">
        <f t="shared" si="11"/>
        <v>3.592433205891794</v>
      </c>
      <c r="R66" s="19">
        <f t="shared" si="7"/>
        <v>-0.86255339450029567</v>
      </c>
      <c r="S66" s="66">
        <f t="shared" si="8"/>
        <v>-1.4100038653400944</v>
      </c>
      <c r="T66" s="19">
        <f t="shared" si="9"/>
        <v>-4.2718202844262976E-2</v>
      </c>
      <c r="U66" s="66">
        <f t="shared" si="10"/>
        <v>-0.59016867368406167</v>
      </c>
    </row>
    <row r="67" spans="1:21" x14ac:dyDescent="0.3">
      <c r="A67" s="38">
        <v>45961</v>
      </c>
      <c r="B67" s="39">
        <v>4.8910449199063493</v>
      </c>
      <c r="C67" s="39">
        <v>6.3466215542573252</v>
      </c>
      <c r="D67" s="39">
        <v>6.0591574993608788E-2</v>
      </c>
      <c r="E67" s="39">
        <v>5.8402028980028575</v>
      </c>
      <c r="G67">
        <f t="shared" si="0"/>
        <v>31</v>
      </c>
      <c r="H67">
        <v>1</v>
      </c>
      <c r="I67">
        <f t="shared" si="1"/>
        <v>10</v>
      </c>
      <c r="J67">
        <f t="shared" si="2"/>
        <v>2025</v>
      </c>
      <c r="K67" s="17">
        <f t="shared" si="3"/>
        <v>45931</v>
      </c>
      <c r="L67">
        <f t="shared" si="4"/>
        <v>0</v>
      </c>
      <c r="N67" s="21">
        <v>45748</v>
      </c>
      <c r="O67" s="19">
        <f t="shared" si="5"/>
        <v>-2.4334038976161949</v>
      </c>
      <c r="P67" s="19">
        <f t="shared" si="6"/>
        <v>0.75785900783560223</v>
      </c>
      <c r="Q67" s="66">
        <f t="shared" si="11"/>
        <v>3.1912629054517971</v>
      </c>
      <c r="R67" s="19">
        <f t="shared" si="7"/>
        <v>-4.0873489439081361</v>
      </c>
      <c r="S67" s="66">
        <f t="shared" si="8"/>
        <v>-1.6539450462919412</v>
      </c>
      <c r="T67" s="19">
        <f t="shared" si="9"/>
        <v>-2.7148927593699419</v>
      </c>
      <c r="U67" s="66">
        <f t="shared" si="10"/>
        <v>-0.28148886175374699</v>
      </c>
    </row>
    <row r="68" spans="1:21" x14ac:dyDescent="0.3">
      <c r="A68" s="38">
        <v>45960</v>
      </c>
      <c r="B68" s="39">
        <v>5.2831444839163453</v>
      </c>
      <c r="C68" s="39">
        <v>6.856451158091744</v>
      </c>
      <c r="D68" s="39">
        <v>0.21307236834253729</v>
      </c>
      <c r="E68" s="39">
        <v>6.2359173261150005</v>
      </c>
      <c r="G68">
        <f t="shared" si="0"/>
        <v>30</v>
      </c>
      <c r="H68">
        <v>1</v>
      </c>
      <c r="I68">
        <f t="shared" si="1"/>
        <v>10</v>
      </c>
      <c r="J68">
        <f t="shared" si="2"/>
        <v>2025</v>
      </c>
      <c r="K68" s="17">
        <f t="shared" si="3"/>
        <v>45931</v>
      </c>
      <c r="L68">
        <f t="shared" si="4"/>
        <v>0</v>
      </c>
      <c r="N68" s="21">
        <v>45778</v>
      </c>
      <c r="O68" s="19">
        <f t="shared" si="5"/>
        <v>4.230494658551109</v>
      </c>
      <c r="P68" s="19">
        <f t="shared" si="6"/>
        <v>5.1989227928815396</v>
      </c>
      <c r="Q68" s="66">
        <f t="shared" si="11"/>
        <v>0.96842813433043062</v>
      </c>
      <c r="R68" s="19">
        <f t="shared" si="7"/>
        <v>2.512020220379604</v>
      </c>
      <c r="S68" s="66">
        <f t="shared" si="8"/>
        <v>-1.7184744381715049</v>
      </c>
      <c r="T68" s="19">
        <f t="shared" si="9"/>
        <v>4.0032746925973939</v>
      </c>
      <c r="U68" s="66">
        <f t="shared" si="10"/>
        <v>-0.22721996595371508</v>
      </c>
    </row>
    <row r="69" spans="1:21" x14ac:dyDescent="0.3">
      <c r="A69" s="38">
        <v>45959</v>
      </c>
      <c r="B69" s="39">
        <v>7.5290616769704002</v>
      </c>
      <c r="C69" s="39">
        <v>9.2489255852927386</v>
      </c>
      <c r="D69" s="39">
        <v>2.5501392662701932</v>
      </c>
      <c r="E69" s="39">
        <v>8.490243583378998</v>
      </c>
      <c r="G69">
        <f t="shared" ref="G69:G132" si="12">+DAY(A69)</f>
        <v>29</v>
      </c>
      <c r="H69">
        <v>1</v>
      </c>
      <c r="I69">
        <f t="shared" ref="I69:I132" si="13">+MONTH(A69)</f>
        <v>10</v>
      </c>
      <c r="J69">
        <f t="shared" ref="J69:J132" si="14">+YEAR(A69)</f>
        <v>2025</v>
      </c>
      <c r="K69" s="17">
        <f t="shared" ref="K69:K132" si="15">+DATE(J69,I69,H69)</f>
        <v>45931</v>
      </c>
      <c r="L69">
        <f t="shared" ref="L69:L132" si="16">IF(AND(G69&gt;=1, G69&lt;=4), 1, 0)</f>
        <v>0</v>
      </c>
      <c r="N69" s="21">
        <v>45809</v>
      </c>
      <c r="O69" s="19">
        <f t="shared" ref="O69:O77" si="17">+IFERROR(AVERAGEIFS($B$4:$B$1231,$K$4:$K$1231,$N69,$L$4:$L$1231,1),"")</f>
        <v>4.3086361802069364</v>
      </c>
      <c r="P69" s="19">
        <f t="shared" ref="P69:P77" si="18">+IFERROR(AVERAGEIFS($C$4:$C$1231,$K$4:$K$1231,$N69,$L$4:$L$1231,1),"")</f>
        <v>5.6411894628681809</v>
      </c>
      <c r="Q69" s="66">
        <f t="shared" si="11"/>
        <v>1.3325532826612445</v>
      </c>
      <c r="R69" s="19">
        <f t="shared" ref="R69:R77" si="19">+IFERROR(AVERAGEIFS($D$4:$D$1231,$K$4:$K$1231,$N69,$L$4:$L$1231,1),"")</f>
        <v>2.4017341493464293</v>
      </c>
      <c r="S69" s="66">
        <f t="shared" si="8"/>
        <v>-1.9069020308605071</v>
      </c>
      <c r="T69" s="19">
        <f t="shared" si="9"/>
        <v>3.8685217472982365</v>
      </c>
      <c r="U69" s="66">
        <f t="shared" si="10"/>
        <v>-0.44011443290869989</v>
      </c>
    </row>
    <row r="70" spans="1:21" x14ac:dyDescent="0.3">
      <c r="A70" s="38">
        <v>45958</v>
      </c>
      <c r="B70" s="39">
        <v>7.8027216182868955</v>
      </c>
      <c r="C70" s="39">
        <v>9.5788912479953865</v>
      </c>
      <c r="D70" s="39">
        <v>3.0997611776976441</v>
      </c>
      <c r="E70" s="39">
        <v>8.5464728621729478</v>
      </c>
      <c r="G70">
        <f t="shared" si="12"/>
        <v>28</v>
      </c>
      <c r="H70">
        <v>1</v>
      </c>
      <c r="I70">
        <f t="shared" si="13"/>
        <v>10</v>
      </c>
      <c r="J70">
        <f t="shared" si="14"/>
        <v>2025</v>
      </c>
      <c r="K70" s="17">
        <f t="shared" si="15"/>
        <v>45931</v>
      </c>
      <c r="L70">
        <f t="shared" si="16"/>
        <v>0</v>
      </c>
      <c r="N70" s="21">
        <v>45839</v>
      </c>
      <c r="O70" s="19">
        <f t="shared" si="17"/>
        <v>3.6852726860796885</v>
      </c>
      <c r="P70" s="19">
        <f t="shared" si="18"/>
        <v>4.4564223283090811</v>
      </c>
      <c r="Q70" s="66">
        <f t="shared" si="11"/>
        <v>0.77114964222939264</v>
      </c>
      <c r="R70" s="19">
        <f t="shared" si="19"/>
        <v>0.97340648788394546</v>
      </c>
      <c r="S70" s="66">
        <f t="shared" si="8"/>
        <v>-2.711866198195743</v>
      </c>
      <c r="T70" s="19">
        <f t="shared" si="9"/>
        <v>3.6420310656629802</v>
      </c>
      <c r="U70" s="66">
        <f t="shared" si="10"/>
        <v>-4.3241620416708315E-2</v>
      </c>
    </row>
    <row r="71" spans="1:21" x14ac:dyDescent="0.3">
      <c r="A71" s="38">
        <v>45957</v>
      </c>
      <c r="B71" s="39">
        <v>5.5502228472422388</v>
      </c>
      <c r="C71" s="39">
        <v>7.1246105325726177</v>
      </c>
      <c r="D71" s="39">
        <v>0.93132053680514559</v>
      </c>
      <c r="E71" s="39">
        <v>6.2069020152039371</v>
      </c>
      <c r="G71">
        <f t="shared" si="12"/>
        <v>27</v>
      </c>
      <c r="H71">
        <v>1</v>
      </c>
      <c r="I71">
        <f t="shared" si="13"/>
        <v>10</v>
      </c>
      <c r="J71">
        <f t="shared" si="14"/>
        <v>2025</v>
      </c>
      <c r="K71" s="17">
        <f t="shared" si="15"/>
        <v>45931</v>
      </c>
      <c r="L71">
        <f t="shared" si="16"/>
        <v>0</v>
      </c>
      <c r="N71" s="21">
        <v>45870</v>
      </c>
      <c r="O71" s="19">
        <f t="shared" si="17"/>
        <v>0.55298885919970786</v>
      </c>
      <c r="P71" s="19">
        <f t="shared" si="18"/>
        <v>2.1767694937880435</v>
      </c>
      <c r="Q71" s="66">
        <f t="shared" si="11"/>
        <v>1.6237806345883357</v>
      </c>
      <c r="R71" s="19">
        <f t="shared" si="19"/>
        <v>-2.2023473729870702</v>
      </c>
      <c r="S71" s="66">
        <f t="shared" si="8"/>
        <v>-2.755336232186778</v>
      </c>
      <c r="T71" s="19">
        <f t="shared" si="9"/>
        <v>0.5509498373521069</v>
      </c>
      <c r="U71" s="66">
        <f t="shared" si="10"/>
        <v>-2.0390218476009636E-3</v>
      </c>
    </row>
    <row r="72" spans="1:21" x14ac:dyDescent="0.3">
      <c r="A72" s="38">
        <v>45954</v>
      </c>
      <c r="B72" s="39">
        <v>4.3969323146275201</v>
      </c>
      <c r="C72" s="39">
        <v>6.0259462211293595</v>
      </c>
      <c r="D72" s="39">
        <v>0.11135783277826761</v>
      </c>
      <c r="E72" s="39">
        <v>4.9031417860666409</v>
      </c>
      <c r="G72">
        <f t="shared" si="12"/>
        <v>24</v>
      </c>
      <c r="H72">
        <v>1</v>
      </c>
      <c r="I72">
        <f t="shared" si="13"/>
        <v>10</v>
      </c>
      <c r="J72">
        <f t="shared" si="14"/>
        <v>2025</v>
      </c>
      <c r="K72" s="17">
        <f t="shared" si="15"/>
        <v>45931</v>
      </c>
      <c r="L72">
        <f t="shared" si="16"/>
        <v>0</v>
      </c>
      <c r="N72" s="21">
        <v>45901</v>
      </c>
      <c r="O72" s="19">
        <f t="shared" si="17"/>
        <v>3.6110883351916812E-2</v>
      </c>
      <c r="P72" s="19">
        <f t="shared" si="18"/>
        <v>2.6322207493720136</v>
      </c>
      <c r="Q72" s="66">
        <f t="shared" si="11"/>
        <v>2.5961098660200967</v>
      </c>
      <c r="R72" s="19">
        <f t="shared" si="19"/>
        <v>-3.5057250987856818</v>
      </c>
      <c r="S72" s="66">
        <f t="shared" si="8"/>
        <v>-3.5418359821375986</v>
      </c>
      <c r="T72" s="19">
        <f t="shared" si="9"/>
        <v>0.59212389928732634</v>
      </c>
      <c r="U72" s="66">
        <f t="shared" si="10"/>
        <v>0.55601301593540953</v>
      </c>
    </row>
    <row r="73" spans="1:21" x14ac:dyDescent="0.3">
      <c r="A73" s="38">
        <v>45953</v>
      </c>
      <c r="B73" s="39">
        <v>3.7723981754869556</v>
      </c>
      <c r="C73" s="39">
        <v>5.4497447903962382</v>
      </c>
      <c r="D73" s="39">
        <v>-0.49786087825913228</v>
      </c>
      <c r="E73" s="39">
        <v>4.3900943362314706</v>
      </c>
      <c r="G73">
        <f t="shared" si="12"/>
        <v>23</v>
      </c>
      <c r="H73">
        <v>1</v>
      </c>
      <c r="I73">
        <f t="shared" si="13"/>
        <v>10</v>
      </c>
      <c r="J73">
        <f t="shared" si="14"/>
        <v>2025</v>
      </c>
      <c r="K73" s="17">
        <f t="shared" si="15"/>
        <v>45931</v>
      </c>
      <c r="L73">
        <f t="shared" si="16"/>
        <v>0</v>
      </c>
      <c r="N73" s="21">
        <v>45931</v>
      </c>
      <c r="O73" s="19">
        <f t="shared" si="17"/>
        <v>5.4736998557924847</v>
      </c>
      <c r="P73" s="19">
        <f t="shared" si="18"/>
        <v>7.0302476112487584</v>
      </c>
      <c r="Q73" s="66">
        <f t="shared" si="11"/>
        <v>1.5565477554562737</v>
      </c>
      <c r="R73" s="19">
        <f t="shared" si="19"/>
        <v>1.9327903894364862</v>
      </c>
      <c r="S73" s="66">
        <f t="shared" si="8"/>
        <v>-3.5409094663559983</v>
      </c>
      <c r="T73" s="19">
        <f t="shared" si="9"/>
        <v>5.9186194640108409</v>
      </c>
      <c r="U73" s="66">
        <f t="shared" si="10"/>
        <v>0.44491960821835619</v>
      </c>
    </row>
    <row r="74" spans="1:21" x14ac:dyDescent="0.3">
      <c r="A74" s="38">
        <v>45952</v>
      </c>
      <c r="B74" s="39">
        <v>4.7007752624005406</v>
      </c>
      <c r="C74" s="39">
        <v>6.359981738388818</v>
      </c>
      <c r="D74" s="39">
        <v>0.52898135339373198</v>
      </c>
      <c r="E74" s="39">
        <v>5.3634143007355206</v>
      </c>
      <c r="G74">
        <f t="shared" si="12"/>
        <v>22</v>
      </c>
      <c r="H74">
        <v>1</v>
      </c>
      <c r="I74">
        <f t="shared" si="13"/>
        <v>10</v>
      </c>
      <c r="J74">
        <f t="shared" si="14"/>
        <v>2025</v>
      </c>
      <c r="K74" s="17">
        <f t="shared" si="15"/>
        <v>45931</v>
      </c>
      <c r="L74">
        <f t="shared" si="16"/>
        <v>0</v>
      </c>
      <c r="N74" s="21">
        <v>45962</v>
      </c>
      <c r="O74" s="19">
        <f t="shared" si="17"/>
        <v>6.2015462169793452</v>
      </c>
      <c r="P74" s="19">
        <f t="shared" si="18"/>
        <v>7.6676955844722059</v>
      </c>
      <c r="Q74" s="66">
        <f t="shared" si="11"/>
        <v>1.4661493674928607</v>
      </c>
      <c r="R74" s="19">
        <f t="shared" si="19"/>
        <v>1.3610092103520728</v>
      </c>
      <c r="S74" s="66">
        <f t="shared" si="8"/>
        <v>-4.8405370066272724</v>
      </c>
      <c r="T74" s="19">
        <f t="shared" si="9"/>
        <v>7.4906977908998513</v>
      </c>
      <c r="U74" s="66">
        <f t="shared" si="10"/>
        <v>1.2891515739205062</v>
      </c>
    </row>
    <row r="75" spans="1:21" x14ac:dyDescent="0.3">
      <c r="A75" s="38">
        <v>45951</v>
      </c>
      <c r="B75" s="39">
        <v>4.7900125819922721</v>
      </c>
      <c r="C75" s="39">
        <v>6.7595462103292192</v>
      </c>
      <c r="D75" s="39">
        <v>0.68556986502051132</v>
      </c>
      <c r="E75" s="39">
        <v>5.3694805173168589</v>
      </c>
      <c r="G75">
        <f t="shared" si="12"/>
        <v>21</v>
      </c>
      <c r="H75">
        <v>1</v>
      </c>
      <c r="I75">
        <f t="shared" si="13"/>
        <v>10</v>
      </c>
      <c r="J75">
        <f t="shared" si="14"/>
        <v>2025</v>
      </c>
      <c r="K75" s="17">
        <f t="shared" si="15"/>
        <v>45931</v>
      </c>
      <c r="L75">
        <f t="shared" si="16"/>
        <v>0</v>
      </c>
      <c r="N75" s="17">
        <v>45992</v>
      </c>
      <c r="O75" s="19">
        <f t="shared" si="17"/>
        <v>6.0184734976427698</v>
      </c>
      <c r="P75" s="19">
        <f t="shared" si="18"/>
        <v>6.4414652293933976</v>
      </c>
      <c r="Q75" s="66">
        <f t="shared" si="11"/>
        <v>0.42299173175062776</v>
      </c>
      <c r="R75" s="19">
        <f t="shared" si="19"/>
        <v>3.0513863248060602E-4</v>
      </c>
      <c r="S75" s="66">
        <f t="shared" si="8"/>
        <v>-6.0181683590102892</v>
      </c>
      <c r="T75" s="19">
        <f t="shared" si="9"/>
        <v>8.0889126242943359</v>
      </c>
      <c r="U75" s="66">
        <f t="shared" si="10"/>
        <v>2.070439126651566</v>
      </c>
    </row>
    <row r="76" spans="1:21" x14ac:dyDescent="0.3">
      <c r="A76" s="38">
        <v>45947</v>
      </c>
      <c r="B76" s="39">
        <v>4.8811281933179345</v>
      </c>
      <c r="C76" s="39">
        <v>6.9281929625107992</v>
      </c>
      <c r="D76" s="39">
        <v>0.8160459062746952</v>
      </c>
      <c r="E76" s="39">
        <v>5.4598465717177405</v>
      </c>
      <c r="G76">
        <f t="shared" si="12"/>
        <v>17</v>
      </c>
      <c r="H76">
        <v>1</v>
      </c>
      <c r="I76">
        <f t="shared" si="13"/>
        <v>10</v>
      </c>
      <c r="J76">
        <f t="shared" si="14"/>
        <v>2025</v>
      </c>
      <c r="K76" s="17">
        <f t="shared" si="15"/>
        <v>45931</v>
      </c>
      <c r="L76">
        <f t="shared" si="16"/>
        <v>0</v>
      </c>
      <c r="N76" s="17">
        <v>46023</v>
      </c>
      <c r="O76" s="19">
        <f t="shared" si="17"/>
        <v>5.9646240483697142</v>
      </c>
      <c r="P76" s="19">
        <f t="shared" si="18"/>
        <v>6.1902632356400176</v>
      </c>
      <c r="Q76" s="66">
        <f t="shared" si="11"/>
        <v>0.22563918727030341</v>
      </c>
      <c r="R76" s="19">
        <f t="shared" si="19"/>
        <v>1.3270136052887196</v>
      </c>
      <c r="S76" s="66">
        <f t="shared" si="8"/>
        <v>-4.6376104430809946</v>
      </c>
      <c r="T76" s="19">
        <f t="shared" si="9"/>
        <v>8.0278678395300176</v>
      </c>
      <c r="U76" s="66">
        <f t="shared" si="10"/>
        <v>2.0632437911603034</v>
      </c>
    </row>
    <row r="77" spans="1:21" x14ac:dyDescent="0.3">
      <c r="A77" s="38">
        <v>45946</v>
      </c>
      <c r="B77" s="39">
        <v>5.0049126353600712</v>
      </c>
      <c r="C77" s="39">
        <v>7.0514089407625846</v>
      </c>
      <c r="D77" s="39">
        <v>0.94910974344330157</v>
      </c>
      <c r="E77" s="39">
        <v>5.4884823161209439</v>
      </c>
      <c r="G77">
        <f t="shared" si="12"/>
        <v>16</v>
      </c>
      <c r="H77">
        <v>1</v>
      </c>
      <c r="I77">
        <f t="shared" si="13"/>
        <v>10</v>
      </c>
      <c r="J77">
        <f t="shared" si="14"/>
        <v>2025</v>
      </c>
      <c r="K77" s="17">
        <f t="shared" si="15"/>
        <v>45931</v>
      </c>
      <c r="L77">
        <f t="shared" si="16"/>
        <v>0</v>
      </c>
      <c r="N77" s="17">
        <v>46054</v>
      </c>
      <c r="O77" s="19">
        <f t="shared" si="17"/>
        <v>5.4804617783632779</v>
      </c>
      <c r="P77" s="19">
        <f t="shared" si="18"/>
        <v>5.2907166466024051</v>
      </c>
      <c r="Q77" s="66">
        <f t="shared" si="11"/>
        <v>-0.18974513176087271</v>
      </c>
      <c r="R77" s="19">
        <f t="shared" si="19"/>
        <v>2.8392719697698396</v>
      </c>
      <c r="S77" s="66">
        <f t="shared" si="8"/>
        <v>-2.6411898085934382</v>
      </c>
      <c r="T77" s="19">
        <f t="shared" si="9"/>
        <v>6.7120808603972648</v>
      </c>
      <c r="U77" s="66">
        <f t="shared" si="10"/>
        <v>1.231619082033987</v>
      </c>
    </row>
    <row r="78" spans="1:21" x14ac:dyDescent="0.3">
      <c r="A78" s="38">
        <v>45945</v>
      </c>
      <c r="B78" s="39">
        <v>5.2288558446736886</v>
      </c>
      <c r="C78" s="39">
        <v>7.0642675756261326</v>
      </c>
      <c r="D78" s="39">
        <v>1.1682039151225183</v>
      </c>
      <c r="E78" s="39">
        <v>5.7479702180823011</v>
      </c>
      <c r="G78">
        <f t="shared" si="12"/>
        <v>15</v>
      </c>
      <c r="H78">
        <v>1</v>
      </c>
      <c r="I78">
        <f t="shared" si="13"/>
        <v>10</v>
      </c>
      <c r="J78">
        <f t="shared" si="14"/>
        <v>2025</v>
      </c>
      <c r="K78" s="17">
        <f t="shared" si="15"/>
        <v>45931</v>
      </c>
      <c r="L78">
        <f t="shared" si="16"/>
        <v>0</v>
      </c>
    </row>
    <row r="79" spans="1:21" x14ac:dyDescent="0.3">
      <c r="A79" s="38">
        <v>45944</v>
      </c>
      <c r="B79" s="39">
        <v>5.1972158800503792</v>
      </c>
      <c r="C79" s="39">
        <v>6.9531105122270347</v>
      </c>
      <c r="D79" s="39">
        <v>0.99137065281469461</v>
      </c>
      <c r="E79" s="39">
        <v>5.8147374112020174</v>
      </c>
      <c r="G79">
        <f t="shared" si="12"/>
        <v>14</v>
      </c>
      <c r="H79">
        <v>1</v>
      </c>
      <c r="I79">
        <f t="shared" si="13"/>
        <v>10</v>
      </c>
      <c r="J79">
        <f t="shared" si="14"/>
        <v>2025</v>
      </c>
      <c r="K79" s="17">
        <f t="shared" si="15"/>
        <v>45931</v>
      </c>
      <c r="L79">
        <f t="shared" si="16"/>
        <v>0</v>
      </c>
    </row>
    <row r="80" spans="1:21" x14ac:dyDescent="0.3">
      <c r="A80" s="38">
        <v>45943</v>
      </c>
      <c r="B80" s="39">
        <v>5.4491956947731524</v>
      </c>
      <c r="C80" s="39">
        <v>7.2044671241492182</v>
      </c>
      <c r="D80" s="39">
        <v>1.5352303730303021</v>
      </c>
      <c r="E80" s="39">
        <v>5.9366394028734248</v>
      </c>
      <c r="G80">
        <f t="shared" si="12"/>
        <v>13</v>
      </c>
      <c r="H80">
        <v>1</v>
      </c>
      <c r="I80">
        <f t="shared" si="13"/>
        <v>10</v>
      </c>
      <c r="J80">
        <f t="shared" si="14"/>
        <v>2025</v>
      </c>
      <c r="K80" s="17">
        <f t="shared" si="15"/>
        <v>45931</v>
      </c>
      <c r="L80">
        <f t="shared" si="16"/>
        <v>0</v>
      </c>
    </row>
    <row r="81" spans="1:12" x14ac:dyDescent="0.3">
      <c r="A81" s="38">
        <v>45940</v>
      </c>
      <c r="B81" s="39">
        <v>5.3848874172949479</v>
      </c>
      <c r="C81" s="39">
        <v>7.0986989200693955</v>
      </c>
      <c r="D81" s="39">
        <v>1.6256023399503334</v>
      </c>
      <c r="E81" s="39">
        <v>5.8583522558092795</v>
      </c>
      <c r="G81">
        <f t="shared" si="12"/>
        <v>10</v>
      </c>
      <c r="H81">
        <v>1</v>
      </c>
      <c r="I81">
        <f t="shared" si="13"/>
        <v>10</v>
      </c>
      <c r="J81">
        <f t="shared" si="14"/>
        <v>2025</v>
      </c>
      <c r="K81" s="17">
        <f t="shared" si="15"/>
        <v>45931</v>
      </c>
      <c r="L81">
        <f t="shared" si="16"/>
        <v>0</v>
      </c>
    </row>
    <row r="82" spans="1:12" x14ac:dyDescent="0.3">
      <c r="A82" s="38">
        <v>45939</v>
      </c>
      <c r="B82" s="39">
        <v>5.2349236702608408</v>
      </c>
      <c r="C82" s="39">
        <v>6.8853883633986044</v>
      </c>
      <c r="D82" s="39">
        <v>1.7169648601408483</v>
      </c>
      <c r="E82" s="39">
        <v>5.5347123847059976</v>
      </c>
      <c r="G82">
        <f t="shared" si="12"/>
        <v>9</v>
      </c>
      <c r="H82">
        <v>1</v>
      </c>
      <c r="I82">
        <f t="shared" si="13"/>
        <v>10</v>
      </c>
      <c r="J82">
        <f t="shared" si="14"/>
        <v>2025</v>
      </c>
      <c r="K82" s="17">
        <f t="shared" si="15"/>
        <v>45931</v>
      </c>
      <c r="L82">
        <f t="shared" si="16"/>
        <v>0</v>
      </c>
    </row>
    <row r="83" spans="1:12" x14ac:dyDescent="0.3">
      <c r="A83" s="38">
        <v>45938</v>
      </c>
      <c r="B83" s="39">
        <v>5.3406999017159222</v>
      </c>
      <c r="C83" s="39">
        <v>7.0453210379062625</v>
      </c>
      <c r="D83" s="39">
        <v>2.1520494983264342</v>
      </c>
      <c r="E83" s="39">
        <v>5.5928920985785453</v>
      </c>
      <c r="G83">
        <f t="shared" si="12"/>
        <v>8</v>
      </c>
      <c r="H83">
        <v>1</v>
      </c>
      <c r="I83">
        <f t="shared" si="13"/>
        <v>10</v>
      </c>
      <c r="J83">
        <f t="shared" si="14"/>
        <v>2025</v>
      </c>
      <c r="K83" s="17">
        <f t="shared" si="15"/>
        <v>45931</v>
      </c>
      <c r="L83">
        <f t="shared" si="16"/>
        <v>0</v>
      </c>
    </row>
    <row r="84" spans="1:12" x14ac:dyDescent="0.3">
      <c r="A84" s="38">
        <v>45937</v>
      </c>
      <c r="B84" s="39">
        <v>4.8683321025557689</v>
      </c>
      <c r="C84" s="39">
        <v>6.6178013489073209</v>
      </c>
      <c r="D84" s="39">
        <v>1.6421463547658703</v>
      </c>
      <c r="E84" s="39">
        <v>5.1418421478502125</v>
      </c>
      <c r="G84">
        <f t="shared" si="12"/>
        <v>7</v>
      </c>
      <c r="H84">
        <v>1</v>
      </c>
      <c r="I84">
        <f t="shared" si="13"/>
        <v>10</v>
      </c>
      <c r="J84">
        <f t="shared" si="14"/>
        <v>2025</v>
      </c>
      <c r="K84" s="17">
        <f t="shared" si="15"/>
        <v>45931</v>
      </c>
      <c r="L84">
        <f t="shared" si="16"/>
        <v>0</v>
      </c>
    </row>
    <row r="85" spans="1:12" x14ac:dyDescent="0.3">
      <c r="A85" s="38">
        <v>45936</v>
      </c>
      <c r="B85" s="39">
        <v>4.8106825910116982</v>
      </c>
      <c r="C85" s="39">
        <v>6.352090075774484</v>
      </c>
      <c r="D85" s="39">
        <v>1.5208330851125424</v>
      </c>
      <c r="E85" s="39">
        <v>5.2069369592142607</v>
      </c>
      <c r="G85">
        <f t="shared" si="12"/>
        <v>6</v>
      </c>
      <c r="H85">
        <v>1</v>
      </c>
      <c r="I85">
        <f t="shared" si="13"/>
        <v>10</v>
      </c>
      <c r="J85">
        <f t="shared" si="14"/>
        <v>2025</v>
      </c>
      <c r="K85" s="17">
        <f t="shared" si="15"/>
        <v>45931</v>
      </c>
      <c r="L85">
        <f t="shared" si="16"/>
        <v>0</v>
      </c>
    </row>
    <row r="86" spans="1:12" x14ac:dyDescent="0.3">
      <c r="A86" s="38">
        <v>45933</v>
      </c>
      <c r="B86" s="39">
        <v>5.4114175358214425</v>
      </c>
      <c r="C86" s="39">
        <v>6.9686433115423654</v>
      </c>
      <c r="D86" s="39">
        <v>1.8997029068463291</v>
      </c>
      <c r="E86" s="39">
        <v>5.9378162119362372</v>
      </c>
      <c r="G86">
        <f t="shared" si="12"/>
        <v>3</v>
      </c>
      <c r="H86">
        <v>1</v>
      </c>
      <c r="I86">
        <f t="shared" si="13"/>
        <v>10</v>
      </c>
      <c r="J86">
        <f t="shared" si="14"/>
        <v>2025</v>
      </c>
      <c r="K86" s="17">
        <f t="shared" si="15"/>
        <v>45931</v>
      </c>
      <c r="L86">
        <f t="shared" si="16"/>
        <v>1</v>
      </c>
    </row>
    <row r="87" spans="1:12" x14ac:dyDescent="0.3">
      <c r="A87" s="38">
        <v>45932</v>
      </c>
      <c r="B87" s="39">
        <v>5.8161195289872722</v>
      </c>
      <c r="C87" s="39">
        <v>7.3565016246282227</v>
      </c>
      <c r="D87" s="39">
        <v>2.2572057067234965</v>
      </c>
      <c r="E87" s="39">
        <v>6.230756894715114</v>
      </c>
      <c r="G87">
        <f t="shared" si="12"/>
        <v>2</v>
      </c>
      <c r="H87">
        <v>1</v>
      </c>
      <c r="I87">
        <f t="shared" si="13"/>
        <v>10</v>
      </c>
      <c r="J87">
        <f t="shared" si="14"/>
        <v>2025</v>
      </c>
      <c r="K87" s="17">
        <f t="shared" si="15"/>
        <v>45931</v>
      </c>
      <c r="L87">
        <f t="shared" si="16"/>
        <v>1</v>
      </c>
    </row>
    <row r="88" spans="1:12" x14ac:dyDescent="0.3">
      <c r="A88" s="38">
        <v>45931</v>
      </c>
      <c r="B88" s="39">
        <v>5.1935625025687386</v>
      </c>
      <c r="C88" s="39">
        <v>6.7655978975756881</v>
      </c>
      <c r="D88" s="39">
        <v>1.6414625547396327</v>
      </c>
      <c r="E88" s="39">
        <v>5.5872852853811708</v>
      </c>
      <c r="G88">
        <f t="shared" si="12"/>
        <v>1</v>
      </c>
      <c r="H88">
        <v>1</v>
      </c>
      <c r="I88">
        <f t="shared" si="13"/>
        <v>10</v>
      </c>
      <c r="J88">
        <f t="shared" si="14"/>
        <v>2025</v>
      </c>
      <c r="K88" s="17">
        <f t="shared" si="15"/>
        <v>45931</v>
      </c>
      <c r="L88">
        <f t="shared" si="16"/>
        <v>1</v>
      </c>
    </row>
    <row r="89" spans="1:12" x14ac:dyDescent="0.3">
      <c r="A89" s="38">
        <v>45930</v>
      </c>
      <c r="B89" s="39">
        <v>0.74119580890746306</v>
      </c>
      <c r="C89" s="39">
        <v>3.397626722848841</v>
      </c>
      <c r="D89" s="39">
        <v>-2.4549643222398885</v>
      </c>
      <c r="E89" s="39">
        <v>1.1030771035264735</v>
      </c>
      <c r="G89">
        <f t="shared" si="12"/>
        <v>30</v>
      </c>
      <c r="H89">
        <v>1</v>
      </c>
      <c r="I89">
        <f t="shared" si="13"/>
        <v>9</v>
      </c>
      <c r="J89">
        <f t="shared" si="14"/>
        <v>2025</v>
      </c>
      <c r="K89" s="17">
        <f t="shared" si="15"/>
        <v>45901</v>
      </c>
      <c r="L89">
        <f t="shared" si="16"/>
        <v>0</v>
      </c>
    </row>
    <row r="90" spans="1:12" x14ac:dyDescent="0.3">
      <c r="A90" s="38">
        <v>45929</v>
      </c>
      <c r="B90" s="39">
        <v>3.1858088105170879</v>
      </c>
      <c r="C90" s="39">
        <v>5.8392336408059577</v>
      </c>
      <c r="D90" s="39">
        <v>-0.25328262350966213</v>
      </c>
      <c r="E90" s="39">
        <v>3.5351203839226315</v>
      </c>
      <c r="G90">
        <f t="shared" si="12"/>
        <v>29</v>
      </c>
      <c r="H90">
        <v>1</v>
      </c>
      <c r="I90">
        <f t="shared" si="13"/>
        <v>9</v>
      </c>
      <c r="J90">
        <f t="shared" si="14"/>
        <v>2025</v>
      </c>
      <c r="K90" s="17">
        <f t="shared" si="15"/>
        <v>45901</v>
      </c>
      <c r="L90">
        <f t="shared" si="16"/>
        <v>0</v>
      </c>
    </row>
    <row r="91" spans="1:12" x14ac:dyDescent="0.3">
      <c r="A91" s="38">
        <v>45926</v>
      </c>
      <c r="B91" s="39">
        <v>2.2538334788532097</v>
      </c>
      <c r="C91" s="39">
        <v>4.9156155396880621</v>
      </c>
      <c r="D91" s="39">
        <v>-1.1942993534444355</v>
      </c>
      <c r="E91" s="39">
        <v>2.621041207096539</v>
      </c>
      <c r="G91">
        <f t="shared" si="12"/>
        <v>26</v>
      </c>
      <c r="H91">
        <v>1</v>
      </c>
      <c r="I91">
        <f t="shared" si="13"/>
        <v>9</v>
      </c>
      <c r="J91">
        <f t="shared" si="14"/>
        <v>2025</v>
      </c>
      <c r="K91" s="17">
        <f t="shared" si="15"/>
        <v>45901</v>
      </c>
      <c r="L91">
        <f t="shared" si="16"/>
        <v>0</v>
      </c>
    </row>
    <row r="92" spans="1:12" x14ac:dyDescent="0.3">
      <c r="A92" s="38">
        <v>45925</v>
      </c>
      <c r="B92" s="39">
        <v>1.1577218157831766</v>
      </c>
      <c r="C92" s="39">
        <v>3.8143046889319976</v>
      </c>
      <c r="D92" s="39">
        <v>-2.2195333356108193</v>
      </c>
      <c r="E92" s="39">
        <v>1.563791130447683</v>
      </c>
      <c r="G92">
        <f t="shared" si="12"/>
        <v>25</v>
      </c>
      <c r="H92">
        <v>1</v>
      </c>
      <c r="I92">
        <f t="shared" si="13"/>
        <v>9</v>
      </c>
      <c r="J92">
        <f t="shared" si="14"/>
        <v>2025</v>
      </c>
      <c r="K92" s="17">
        <f t="shared" si="15"/>
        <v>45901</v>
      </c>
      <c r="L92">
        <f t="shared" si="16"/>
        <v>0</v>
      </c>
    </row>
    <row r="93" spans="1:12" x14ac:dyDescent="0.3">
      <c r="A93" s="38">
        <v>45924</v>
      </c>
      <c r="B93" s="39">
        <v>1.0576796098036283</v>
      </c>
      <c r="C93" s="39">
        <v>3.7163751415636312</v>
      </c>
      <c r="D93" s="39">
        <v>-2.1459187892495777</v>
      </c>
      <c r="E93" s="39">
        <v>1.4584051726504725</v>
      </c>
      <c r="G93">
        <f t="shared" si="12"/>
        <v>24</v>
      </c>
      <c r="H93">
        <v>1</v>
      </c>
      <c r="I93">
        <f t="shared" si="13"/>
        <v>9</v>
      </c>
      <c r="J93">
        <f t="shared" si="14"/>
        <v>2025</v>
      </c>
      <c r="K93" s="17">
        <f t="shared" si="15"/>
        <v>45901</v>
      </c>
      <c r="L93">
        <f t="shared" si="16"/>
        <v>0</v>
      </c>
    </row>
    <row r="94" spans="1:12" x14ac:dyDescent="0.3">
      <c r="A94" s="38">
        <v>45923</v>
      </c>
      <c r="B94" s="39">
        <v>1.1891736701105629</v>
      </c>
      <c r="C94" s="39">
        <v>3.8810858185423172</v>
      </c>
      <c r="D94" s="39">
        <v>-2.0717481889966365</v>
      </c>
      <c r="E94" s="39">
        <v>1.7332570128941285</v>
      </c>
      <c r="G94">
        <f t="shared" si="12"/>
        <v>23</v>
      </c>
      <c r="H94">
        <v>1</v>
      </c>
      <c r="I94">
        <f t="shared" si="13"/>
        <v>9</v>
      </c>
      <c r="J94">
        <f t="shared" si="14"/>
        <v>2025</v>
      </c>
      <c r="K94" s="17">
        <f t="shared" si="15"/>
        <v>45901</v>
      </c>
      <c r="L94">
        <f t="shared" si="16"/>
        <v>0</v>
      </c>
    </row>
    <row r="95" spans="1:12" x14ac:dyDescent="0.3">
      <c r="A95" s="38">
        <v>45922</v>
      </c>
      <c r="B95" s="39">
        <v>0.94196753333484651</v>
      </c>
      <c r="C95" s="39">
        <v>3.7348104506986743</v>
      </c>
      <c r="D95" s="39">
        <v>-2.4732960294858088</v>
      </c>
      <c r="E95" s="39">
        <v>1.5470517347336283</v>
      </c>
      <c r="G95">
        <f t="shared" si="12"/>
        <v>22</v>
      </c>
      <c r="H95">
        <v>1</v>
      </c>
      <c r="I95">
        <f t="shared" si="13"/>
        <v>9</v>
      </c>
      <c r="J95">
        <f t="shared" si="14"/>
        <v>2025</v>
      </c>
      <c r="K95" s="17">
        <f t="shared" si="15"/>
        <v>45901</v>
      </c>
      <c r="L95">
        <f t="shared" si="16"/>
        <v>0</v>
      </c>
    </row>
    <row r="96" spans="1:12" x14ac:dyDescent="0.3">
      <c r="A96" s="38">
        <v>45919</v>
      </c>
      <c r="B96" s="39">
        <v>0.74224283134682878</v>
      </c>
      <c r="C96" s="39">
        <v>3.4129868239603667</v>
      </c>
      <c r="D96" s="39">
        <v>-2.9933823423948098</v>
      </c>
      <c r="E96" s="39">
        <v>1.4071969255832499</v>
      </c>
      <c r="G96">
        <f t="shared" si="12"/>
        <v>19</v>
      </c>
      <c r="H96">
        <v>1</v>
      </c>
      <c r="I96">
        <f t="shared" si="13"/>
        <v>9</v>
      </c>
      <c r="J96">
        <f t="shared" si="14"/>
        <v>2025</v>
      </c>
      <c r="K96" s="17">
        <f t="shared" si="15"/>
        <v>45901</v>
      </c>
      <c r="L96">
        <f t="shared" si="16"/>
        <v>0</v>
      </c>
    </row>
    <row r="97" spans="1:12" x14ac:dyDescent="0.3">
      <c r="A97" s="38">
        <v>45918</v>
      </c>
      <c r="B97" s="39">
        <v>0.32948635458359377</v>
      </c>
      <c r="C97" s="39">
        <v>3.0253894832694215</v>
      </c>
      <c r="D97" s="39">
        <v>-3.4861557815363255</v>
      </c>
      <c r="E97" s="39">
        <v>0.91532596671395083</v>
      </c>
      <c r="G97">
        <f t="shared" si="12"/>
        <v>18</v>
      </c>
      <c r="H97">
        <v>1</v>
      </c>
      <c r="I97">
        <f t="shared" si="13"/>
        <v>9</v>
      </c>
      <c r="J97">
        <f t="shared" si="14"/>
        <v>2025</v>
      </c>
      <c r="K97" s="17">
        <f t="shared" si="15"/>
        <v>45901</v>
      </c>
      <c r="L97">
        <f t="shared" si="16"/>
        <v>0</v>
      </c>
    </row>
    <row r="98" spans="1:12" x14ac:dyDescent="0.3">
      <c r="A98" s="38">
        <v>45917</v>
      </c>
      <c r="B98" s="39">
        <v>0.89290251427173928</v>
      </c>
      <c r="C98" s="39">
        <v>3.619938932196348</v>
      </c>
      <c r="D98" s="39">
        <v>-3.0707641085392083</v>
      </c>
      <c r="E98" s="39">
        <v>1.5173847703638756</v>
      </c>
      <c r="G98">
        <f t="shared" si="12"/>
        <v>17</v>
      </c>
      <c r="H98">
        <v>1</v>
      </c>
      <c r="I98">
        <f t="shared" si="13"/>
        <v>9</v>
      </c>
      <c r="J98">
        <f t="shared" si="14"/>
        <v>2025</v>
      </c>
      <c r="K98" s="17">
        <f t="shared" si="15"/>
        <v>45901</v>
      </c>
      <c r="L98">
        <f t="shared" si="16"/>
        <v>0</v>
      </c>
    </row>
    <row r="99" spans="1:12" x14ac:dyDescent="0.3">
      <c r="A99" s="38">
        <v>45916</v>
      </c>
      <c r="B99" s="39">
        <v>0.42540622673838868</v>
      </c>
      <c r="C99" s="39">
        <v>3.1283773071194503</v>
      </c>
      <c r="D99" s="39">
        <v>-3.5025287130296192</v>
      </c>
      <c r="E99" s="39">
        <v>1.0857163306209969</v>
      </c>
      <c r="G99">
        <f t="shared" si="12"/>
        <v>16</v>
      </c>
      <c r="H99">
        <v>1</v>
      </c>
      <c r="I99">
        <f t="shared" si="13"/>
        <v>9</v>
      </c>
      <c r="J99">
        <f t="shared" si="14"/>
        <v>2025</v>
      </c>
      <c r="K99" s="17">
        <f t="shared" si="15"/>
        <v>45901</v>
      </c>
      <c r="L99">
        <f t="shared" si="16"/>
        <v>0</v>
      </c>
    </row>
    <row r="100" spans="1:12" x14ac:dyDescent="0.3">
      <c r="A100" s="38">
        <v>45915</v>
      </c>
      <c r="B100" s="39">
        <v>-0.18798581099684952</v>
      </c>
      <c r="C100" s="39">
        <v>2.418233018339194</v>
      </c>
      <c r="D100" s="39">
        <v>-4.1329965827776505</v>
      </c>
      <c r="E100" s="39">
        <v>0.48086226474924842</v>
      </c>
      <c r="G100">
        <f t="shared" si="12"/>
        <v>15</v>
      </c>
      <c r="H100">
        <v>1</v>
      </c>
      <c r="I100">
        <f t="shared" si="13"/>
        <v>9</v>
      </c>
      <c r="J100">
        <f t="shared" si="14"/>
        <v>2025</v>
      </c>
      <c r="K100" s="17">
        <f t="shared" si="15"/>
        <v>45901</v>
      </c>
      <c r="L100">
        <f t="shared" si="16"/>
        <v>0</v>
      </c>
    </row>
    <row r="101" spans="1:12" x14ac:dyDescent="0.3">
      <c r="A101" s="38">
        <v>45912</v>
      </c>
      <c r="B101" s="39">
        <v>0.18749153010935515</v>
      </c>
      <c r="C101" s="39">
        <v>2.7920852168684718</v>
      </c>
      <c r="D101" s="39">
        <v>-3.682666407531471</v>
      </c>
      <c r="E101" s="39">
        <v>0.9567511703519358</v>
      </c>
      <c r="G101">
        <f t="shared" si="12"/>
        <v>12</v>
      </c>
      <c r="H101">
        <v>1</v>
      </c>
      <c r="I101">
        <f t="shared" si="13"/>
        <v>9</v>
      </c>
      <c r="J101">
        <f t="shared" si="14"/>
        <v>2025</v>
      </c>
      <c r="K101" s="17">
        <f t="shared" si="15"/>
        <v>45901</v>
      </c>
      <c r="L101">
        <f t="shared" si="16"/>
        <v>0</v>
      </c>
    </row>
    <row r="102" spans="1:12" x14ac:dyDescent="0.3">
      <c r="A102" s="38">
        <v>45911</v>
      </c>
      <c r="B102" s="39">
        <v>0.14814531760535488</v>
      </c>
      <c r="C102" s="39">
        <v>2.7397193208175992</v>
      </c>
      <c r="D102" s="39">
        <v>-3.6363800056792854</v>
      </c>
      <c r="E102" s="39">
        <v>0.81378079899539557</v>
      </c>
      <c r="G102">
        <f t="shared" si="12"/>
        <v>11</v>
      </c>
      <c r="H102">
        <v>1</v>
      </c>
      <c r="I102">
        <f t="shared" si="13"/>
        <v>9</v>
      </c>
      <c r="J102">
        <f t="shared" si="14"/>
        <v>2025</v>
      </c>
      <c r="K102" s="17">
        <f t="shared" si="15"/>
        <v>45901</v>
      </c>
      <c r="L102">
        <f t="shared" si="16"/>
        <v>0</v>
      </c>
    </row>
    <row r="103" spans="1:12" x14ac:dyDescent="0.3">
      <c r="A103" s="38">
        <v>45910</v>
      </c>
      <c r="B103" s="39">
        <v>0.52429957922026915</v>
      </c>
      <c r="C103" s="39">
        <v>3.0993099662853467</v>
      </c>
      <c r="D103" s="39">
        <v>-3.1203842924403773</v>
      </c>
      <c r="E103" s="39">
        <v>1.1004962318522331</v>
      </c>
      <c r="G103">
        <f t="shared" si="12"/>
        <v>10</v>
      </c>
      <c r="H103">
        <v>1</v>
      </c>
      <c r="I103">
        <f t="shared" si="13"/>
        <v>9</v>
      </c>
      <c r="J103">
        <f t="shared" si="14"/>
        <v>2025</v>
      </c>
      <c r="K103" s="17">
        <f t="shared" si="15"/>
        <v>45901</v>
      </c>
      <c r="L103">
        <f t="shared" si="16"/>
        <v>0</v>
      </c>
    </row>
    <row r="104" spans="1:12" x14ac:dyDescent="0.3">
      <c r="A104" s="38">
        <v>45909</v>
      </c>
      <c r="B104" s="39">
        <v>0.907465615818694</v>
      </c>
      <c r="C104" s="39">
        <v>3.5471406489947412</v>
      </c>
      <c r="D104" s="39">
        <v>-2.6861523403097038</v>
      </c>
      <c r="E104" s="39">
        <v>1.4575609432565955</v>
      </c>
      <c r="G104">
        <f t="shared" si="12"/>
        <v>9</v>
      </c>
      <c r="H104">
        <v>1</v>
      </c>
      <c r="I104">
        <f t="shared" si="13"/>
        <v>9</v>
      </c>
      <c r="J104">
        <f t="shared" si="14"/>
        <v>2025</v>
      </c>
      <c r="K104" s="17">
        <f t="shared" si="15"/>
        <v>45901</v>
      </c>
      <c r="L104">
        <f t="shared" si="16"/>
        <v>0</v>
      </c>
    </row>
    <row r="105" spans="1:12" x14ac:dyDescent="0.3">
      <c r="A105" s="38">
        <v>45908</v>
      </c>
      <c r="B105" s="39">
        <v>0.73709371873630403</v>
      </c>
      <c r="C105" s="39">
        <v>3.3845242631211221</v>
      </c>
      <c r="D105" s="39">
        <v>-3.0159883400296366</v>
      </c>
      <c r="E105" s="39">
        <v>1.3948853728571748</v>
      </c>
      <c r="G105">
        <f t="shared" si="12"/>
        <v>8</v>
      </c>
      <c r="H105">
        <v>1</v>
      </c>
      <c r="I105">
        <f t="shared" si="13"/>
        <v>9</v>
      </c>
      <c r="J105">
        <f t="shared" si="14"/>
        <v>2025</v>
      </c>
      <c r="K105" s="17">
        <f t="shared" si="15"/>
        <v>45901</v>
      </c>
      <c r="L105">
        <f t="shared" si="16"/>
        <v>0</v>
      </c>
    </row>
    <row r="106" spans="1:12" x14ac:dyDescent="0.3">
      <c r="A106" s="38">
        <v>45905</v>
      </c>
      <c r="B106" s="39">
        <v>1.2164552557328108</v>
      </c>
      <c r="C106" s="39">
        <v>3.7767761546739393</v>
      </c>
      <c r="D106" s="39">
        <v>-2.599677914268554</v>
      </c>
      <c r="E106" s="39">
        <v>1.9170052458532325</v>
      </c>
      <c r="G106">
        <f t="shared" si="12"/>
        <v>5</v>
      </c>
      <c r="H106">
        <v>1</v>
      </c>
      <c r="I106">
        <f t="shared" si="13"/>
        <v>9</v>
      </c>
      <c r="J106">
        <f t="shared" si="14"/>
        <v>2025</v>
      </c>
      <c r="K106" s="17">
        <f t="shared" si="15"/>
        <v>45901</v>
      </c>
      <c r="L106">
        <f t="shared" si="16"/>
        <v>0</v>
      </c>
    </row>
    <row r="107" spans="1:12" x14ac:dyDescent="0.3">
      <c r="A107" s="38">
        <v>45904</v>
      </c>
      <c r="B107" s="39">
        <v>1.0328778653618684</v>
      </c>
      <c r="C107" s="39">
        <v>3.5765371836620261</v>
      </c>
      <c r="D107" s="39">
        <v>-2.7176126399595688</v>
      </c>
      <c r="E107" s="39">
        <v>1.7580949798560965</v>
      </c>
      <c r="G107">
        <f t="shared" si="12"/>
        <v>4</v>
      </c>
      <c r="H107">
        <v>1</v>
      </c>
      <c r="I107">
        <f t="shared" si="13"/>
        <v>9</v>
      </c>
      <c r="J107">
        <f t="shared" si="14"/>
        <v>2025</v>
      </c>
      <c r="K107" s="17">
        <f t="shared" si="15"/>
        <v>45901</v>
      </c>
      <c r="L107">
        <f t="shared" si="16"/>
        <v>1</v>
      </c>
    </row>
    <row r="108" spans="1:12" x14ac:dyDescent="0.3">
      <c r="A108" s="38">
        <v>45903</v>
      </c>
      <c r="B108" s="39">
        <v>0.41628955689265013</v>
      </c>
      <c r="C108" s="39">
        <v>2.9571691117635339</v>
      </c>
      <c r="D108" s="39">
        <v>-3.2520681010380343</v>
      </c>
      <c r="E108" s="39">
        <v>1.0572701199521219</v>
      </c>
      <c r="G108">
        <f t="shared" si="12"/>
        <v>3</v>
      </c>
      <c r="H108">
        <v>1</v>
      </c>
      <c r="I108">
        <f t="shared" si="13"/>
        <v>9</v>
      </c>
      <c r="J108">
        <f t="shared" si="14"/>
        <v>2025</v>
      </c>
      <c r="K108" s="17">
        <f t="shared" si="15"/>
        <v>45901</v>
      </c>
      <c r="L108">
        <f t="shared" si="16"/>
        <v>1</v>
      </c>
    </row>
    <row r="109" spans="1:12" x14ac:dyDescent="0.3">
      <c r="A109" s="38">
        <v>45902</v>
      </c>
      <c r="B109" s="39">
        <v>-0.53450694960399403</v>
      </c>
      <c r="C109" s="39">
        <v>2.1007148878498896</v>
      </c>
      <c r="D109" s="39">
        <v>-4.0277035439490163</v>
      </c>
      <c r="E109" s="39">
        <v>-8.177562557108331E-2</v>
      </c>
      <c r="G109">
        <f t="shared" si="12"/>
        <v>2</v>
      </c>
      <c r="H109">
        <v>1</v>
      </c>
      <c r="I109">
        <f t="shared" si="13"/>
        <v>9</v>
      </c>
      <c r="J109">
        <f t="shared" si="14"/>
        <v>2025</v>
      </c>
      <c r="K109" s="17">
        <f t="shared" si="15"/>
        <v>45901</v>
      </c>
      <c r="L109">
        <f t="shared" si="16"/>
        <v>1</v>
      </c>
    </row>
    <row r="110" spans="1:12" x14ac:dyDescent="0.3">
      <c r="A110" s="38">
        <v>45901</v>
      </c>
      <c r="B110" s="39">
        <v>-0.77021693924285728</v>
      </c>
      <c r="C110" s="39">
        <v>1.8944618142126046</v>
      </c>
      <c r="D110" s="39">
        <v>-4.0255161101961079</v>
      </c>
      <c r="E110" s="39">
        <v>-0.36509387708782981</v>
      </c>
      <c r="G110">
        <f t="shared" si="12"/>
        <v>1</v>
      </c>
      <c r="H110">
        <v>1</v>
      </c>
      <c r="I110">
        <f t="shared" si="13"/>
        <v>9</v>
      </c>
      <c r="J110">
        <f t="shared" si="14"/>
        <v>2025</v>
      </c>
      <c r="K110" s="17">
        <f t="shared" si="15"/>
        <v>45901</v>
      </c>
      <c r="L110">
        <f t="shared" si="16"/>
        <v>1</v>
      </c>
    </row>
    <row r="111" spans="1:12" x14ac:dyDescent="0.3">
      <c r="A111" s="38">
        <v>45898</v>
      </c>
      <c r="B111" s="39">
        <v>0.43368659457605929</v>
      </c>
      <c r="C111" s="39">
        <v>2.130041056712912</v>
      </c>
      <c r="D111" s="39">
        <v>-2.3822103946265401</v>
      </c>
      <c r="E111" s="39">
        <v>0.47526838225124379</v>
      </c>
      <c r="G111">
        <f t="shared" si="12"/>
        <v>29</v>
      </c>
      <c r="H111">
        <v>1</v>
      </c>
      <c r="I111">
        <f t="shared" si="13"/>
        <v>8</v>
      </c>
      <c r="J111">
        <f t="shared" si="14"/>
        <v>2025</v>
      </c>
      <c r="K111" s="17">
        <f t="shared" si="15"/>
        <v>45870</v>
      </c>
      <c r="L111">
        <f t="shared" si="16"/>
        <v>0</v>
      </c>
    </row>
    <row r="112" spans="1:12" x14ac:dyDescent="0.3">
      <c r="A112" s="38">
        <v>45897</v>
      </c>
      <c r="B112" s="39">
        <v>0.53026252448877642</v>
      </c>
      <c r="C112" s="39">
        <v>2.1839109540478745</v>
      </c>
      <c r="D112" s="39">
        <v>-2.3955819609210494</v>
      </c>
      <c r="E112" s="39">
        <v>0.69588581091699098</v>
      </c>
      <c r="G112">
        <f t="shared" si="12"/>
        <v>28</v>
      </c>
      <c r="H112">
        <v>1</v>
      </c>
      <c r="I112">
        <f t="shared" si="13"/>
        <v>8</v>
      </c>
      <c r="J112">
        <f t="shared" si="14"/>
        <v>2025</v>
      </c>
      <c r="K112" s="17">
        <f t="shared" si="15"/>
        <v>45870</v>
      </c>
      <c r="L112">
        <f t="shared" si="16"/>
        <v>0</v>
      </c>
    </row>
    <row r="113" spans="1:12" x14ac:dyDescent="0.3">
      <c r="A113" s="38">
        <v>45896</v>
      </c>
      <c r="B113" s="39">
        <v>0.64961928771224109</v>
      </c>
      <c r="C113" s="39">
        <v>2.3109335848833155</v>
      </c>
      <c r="D113" s="39">
        <v>-2.1936816925783234</v>
      </c>
      <c r="E113" s="39">
        <v>0.78802497342458366</v>
      </c>
      <c r="G113">
        <f t="shared" si="12"/>
        <v>27</v>
      </c>
      <c r="H113">
        <v>1</v>
      </c>
      <c r="I113">
        <f t="shared" si="13"/>
        <v>8</v>
      </c>
      <c r="J113">
        <f t="shared" si="14"/>
        <v>2025</v>
      </c>
      <c r="K113" s="17">
        <f t="shared" si="15"/>
        <v>45870</v>
      </c>
      <c r="L113">
        <f t="shared" si="16"/>
        <v>0</v>
      </c>
    </row>
    <row r="114" spans="1:12" x14ac:dyDescent="0.3">
      <c r="A114" s="38">
        <v>45895</v>
      </c>
      <c r="B114" s="39">
        <v>0.71481384751567134</v>
      </c>
      <c r="C114" s="39">
        <v>2.3729569175636271</v>
      </c>
      <c r="D114" s="39">
        <v>-2.2987672464565634</v>
      </c>
      <c r="E114" s="39">
        <v>0.86880057832426871</v>
      </c>
      <c r="G114">
        <f t="shared" si="12"/>
        <v>26</v>
      </c>
      <c r="H114">
        <v>1</v>
      </c>
      <c r="I114">
        <f t="shared" si="13"/>
        <v>8</v>
      </c>
      <c r="J114">
        <f t="shared" si="14"/>
        <v>2025</v>
      </c>
      <c r="K114" s="17">
        <f t="shared" si="15"/>
        <v>45870</v>
      </c>
      <c r="L114">
        <f t="shared" si="16"/>
        <v>0</v>
      </c>
    </row>
    <row r="115" spans="1:12" x14ac:dyDescent="0.3">
      <c r="A115" s="38">
        <v>45891</v>
      </c>
      <c r="B115" s="39">
        <v>0.9784325887785883</v>
      </c>
      <c r="C115" s="39">
        <v>2.6864795219376845</v>
      </c>
      <c r="D115" s="39">
        <v>-2.4222250616375618</v>
      </c>
      <c r="E115" s="39">
        <v>1.2646785336795858</v>
      </c>
      <c r="G115">
        <f t="shared" si="12"/>
        <v>22</v>
      </c>
      <c r="H115">
        <v>1</v>
      </c>
      <c r="I115">
        <f t="shared" si="13"/>
        <v>8</v>
      </c>
      <c r="J115">
        <f t="shared" si="14"/>
        <v>2025</v>
      </c>
      <c r="K115" s="17">
        <f t="shared" si="15"/>
        <v>45870</v>
      </c>
      <c r="L115">
        <f t="shared" si="16"/>
        <v>0</v>
      </c>
    </row>
    <row r="116" spans="1:12" x14ac:dyDescent="0.3">
      <c r="A116" s="38">
        <v>45890</v>
      </c>
      <c r="B116" s="39">
        <v>0.57767376822071981</v>
      </c>
      <c r="C116" s="39">
        <v>2.2727703790507974</v>
      </c>
      <c r="D116" s="39">
        <v>-2.6685366201671172</v>
      </c>
      <c r="E116" s="39">
        <v>0.87404114931514698</v>
      </c>
      <c r="G116">
        <f t="shared" si="12"/>
        <v>21</v>
      </c>
      <c r="H116">
        <v>1</v>
      </c>
      <c r="I116">
        <f t="shared" si="13"/>
        <v>8</v>
      </c>
      <c r="J116">
        <f t="shared" si="14"/>
        <v>2025</v>
      </c>
      <c r="K116" s="17">
        <f t="shared" si="15"/>
        <v>45870</v>
      </c>
      <c r="L116">
        <f t="shared" si="16"/>
        <v>0</v>
      </c>
    </row>
    <row r="117" spans="1:12" x14ac:dyDescent="0.3">
      <c r="A117" s="38">
        <v>45889</v>
      </c>
      <c r="B117" s="39">
        <v>1.0075671768973393</v>
      </c>
      <c r="C117" s="39">
        <v>2.7224811990036528</v>
      </c>
      <c r="D117" s="39">
        <v>-2.0704471760431034</v>
      </c>
      <c r="E117" s="39">
        <v>1.2800220098739317</v>
      </c>
      <c r="G117">
        <f t="shared" si="12"/>
        <v>20</v>
      </c>
      <c r="H117">
        <v>1</v>
      </c>
      <c r="I117">
        <f t="shared" si="13"/>
        <v>8</v>
      </c>
      <c r="J117">
        <f t="shared" si="14"/>
        <v>2025</v>
      </c>
      <c r="K117" s="17">
        <f t="shared" si="15"/>
        <v>45870</v>
      </c>
      <c r="L117">
        <f t="shared" si="16"/>
        <v>0</v>
      </c>
    </row>
    <row r="118" spans="1:12" x14ac:dyDescent="0.3">
      <c r="A118" s="38">
        <v>45888</v>
      </c>
      <c r="B118" s="39">
        <v>0.74525611779388612</v>
      </c>
      <c r="C118" s="39">
        <v>2.4500234047059593</v>
      </c>
      <c r="D118" s="39">
        <v>-2.1195111270695577</v>
      </c>
      <c r="E118" s="39">
        <v>0.98339026716115541</v>
      </c>
      <c r="G118">
        <f t="shared" si="12"/>
        <v>19</v>
      </c>
      <c r="H118">
        <v>1</v>
      </c>
      <c r="I118">
        <f t="shared" si="13"/>
        <v>8</v>
      </c>
      <c r="J118">
        <f t="shared" si="14"/>
        <v>2025</v>
      </c>
      <c r="K118" s="17">
        <f t="shared" si="15"/>
        <v>45870</v>
      </c>
      <c r="L118">
        <f t="shared" si="16"/>
        <v>0</v>
      </c>
    </row>
    <row r="119" spans="1:12" x14ac:dyDescent="0.3">
      <c r="A119" s="38">
        <v>45887</v>
      </c>
      <c r="B119" s="39">
        <v>0.87779288578362014</v>
      </c>
      <c r="C119" s="39">
        <v>2.6375526129699836</v>
      </c>
      <c r="D119" s="39">
        <v>-1.8328023225417951</v>
      </c>
      <c r="E119" s="39">
        <v>0.99783962679987326</v>
      </c>
      <c r="G119">
        <f t="shared" si="12"/>
        <v>18</v>
      </c>
      <c r="H119">
        <v>1</v>
      </c>
      <c r="I119">
        <f t="shared" si="13"/>
        <v>8</v>
      </c>
      <c r="J119">
        <f t="shared" si="14"/>
        <v>2025</v>
      </c>
      <c r="K119" s="17">
        <f t="shared" si="15"/>
        <v>45870</v>
      </c>
      <c r="L119">
        <f t="shared" si="16"/>
        <v>0</v>
      </c>
    </row>
    <row r="120" spans="1:12" x14ac:dyDescent="0.3">
      <c r="A120" s="38">
        <v>45884</v>
      </c>
      <c r="B120" s="39">
        <v>0.76948646967434797</v>
      </c>
      <c r="C120" s="39">
        <v>2.5630038965483664</v>
      </c>
      <c r="D120" s="39">
        <v>-2.3107507666565539</v>
      </c>
      <c r="E120" s="39">
        <v>0.94025980378994234</v>
      </c>
      <c r="G120">
        <f t="shared" si="12"/>
        <v>15</v>
      </c>
      <c r="H120">
        <v>1</v>
      </c>
      <c r="I120">
        <f t="shared" si="13"/>
        <v>8</v>
      </c>
      <c r="J120">
        <f t="shared" si="14"/>
        <v>2025</v>
      </c>
      <c r="K120" s="17">
        <f t="shared" si="15"/>
        <v>45870</v>
      </c>
      <c r="L120">
        <f t="shared" si="16"/>
        <v>0</v>
      </c>
    </row>
    <row r="121" spans="1:12" x14ac:dyDescent="0.3">
      <c r="A121" s="38">
        <v>45883</v>
      </c>
      <c r="B121" s="39">
        <v>1.4523190628627134</v>
      </c>
      <c r="C121" s="39">
        <v>3.2183679533876699</v>
      </c>
      <c r="D121" s="39">
        <v>-1.6214781264110627</v>
      </c>
      <c r="E121" s="39">
        <v>1.6479936541414872</v>
      </c>
      <c r="G121">
        <f t="shared" si="12"/>
        <v>14</v>
      </c>
      <c r="H121">
        <v>1</v>
      </c>
      <c r="I121">
        <f t="shared" si="13"/>
        <v>8</v>
      </c>
      <c r="J121">
        <f t="shared" si="14"/>
        <v>2025</v>
      </c>
      <c r="K121" s="17">
        <f t="shared" si="15"/>
        <v>45870</v>
      </c>
      <c r="L121">
        <f t="shared" si="16"/>
        <v>0</v>
      </c>
    </row>
    <row r="122" spans="1:12" x14ac:dyDescent="0.3">
      <c r="A122" s="38">
        <v>45882</v>
      </c>
      <c r="B122" s="39">
        <v>1.6419259345539245</v>
      </c>
      <c r="C122" s="39">
        <v>3.4425617756103719</v>
      </c>
      <c r="D122" s="39">
        <v>-1.4621735089755106</v>
      </c>
      <c r="E122" s="39">
        <v>1.7979965140259679</v>
      </c>
      <c r="G122">
        <f t="shared" si="12"/>
        <v>13</v>
      </c>
      <c r="H122">
        <v>1</v>
      </c>
      <c r="I122">
        <f t="shared" si="13"/>
        <v>8</v>
      </c>
      <c r="J122">
        <f t="shared" si="14"/>
        <v>2025</v>
      </c>
      <c r="K122" s="17">
        <f t="shared" si="15"/>
        <v>45870</v>
      </c>
      <c r="L122">
        <f t="shared" si="16"/>
        <v>0</v>
      </c>
    </row>
    <row r="123" spans="1:12" x14ac:dyDescent="0.3">
      <c r="A123" s="38">
        <v>45881</v>
      </c>
      <c r="B123" s="39">
        <v>1.8852043987929079</v>
      </c>
      <c r="C123" s="39">
        <v>3.6927813361104</v>
      </c>
      <c r="D123" s="39">
        <v>-1.2764360803647463</v>
      </c>
      <c r="E123" s="39">
        <v>1.9665650866530768</v>
      </c>
      <c r="G123">
        <f t="shared" si="12"/>
        <v>12</v>
      </c>
      <c r="H123">
        <v>1</v>
      </c>
      <c r="I123">
        <f t="shared" si="13"/>
        <v>8</v>
      </c>
      <c r="J123">
        <f t="shared" si="14"/>
        <v>2025</v>
      </c>
      <c r="K123" s="17">
        <f t="shared" si="15"/>
        <v>45870</v>
      </c>
      <c r="L123">
        <f t="shared" si="16"/>
        <v>0</v>
      </c>
    </row>
    <row r="124" spans="1:12" x14ac:dyDescent="0.3">
      <c r="A124" s="38">
        <v>45880</v>
      </c>
      <c r="B124" s="39">
        <v>1.3003674611151865</v>
      </c>
      <c r="C124" s="39">
        <v>3.0891428829810934</v>
      </c>
      <c r="D124" s="39">
        <v>-1.777531370345045</v>
      </c>
      <c r="E124" s="39">
        <v>1.3822393270045694</v>
      </c>
      <c r="G124">
        <f t="shared" si="12"/>
        <v>11</v>
      </c>
      <c r="H124">
        <v>1</v>
      </c>
      <c r="I124">
        <f t="shared" si="13"/>
        <v>8</v>
      </c>
      <c r="J124">
        <f t="shared" si="14"/>
        <v>2025</v>
      </c>
      <c r="K124" s="17">
        <f t="shared" si="15"/>
        <v>45870</v>
      </c>
      <c r="L124">
        <f t="shared" si="16"/>
        <v>0</v>
      </c>
    </row>
    <row r="125" spans="1:12" x14ac:dyDescent="0.3">
      <c r="A125" s="38">
        <v>45877</v>
      </c>
      <c r="B125" s="39">
        <v>1.4455463622987423</v>
      </c>
      <c r="C125" s="39">
        <v>3.2698694277973175</v>
      </c>
      <c r="D125" s="39">
        <v>-1.1763790429703107</v>
      </c>
      <c r="E125" s="39">
        <v>1.3729885896952823</v>
      </c>
      <c r="G125">
        <f t="shared" si="12"/>
        <v>8</v>
      </c>
      <c r="H125">
        <v>1</v>
      </c>
      <c r="I125">
        <f t="shared" si="13"/>
        <v>8</v>
      </c>
      <c r="J125">
        <f t="shared" si="14"/>
        <v>2025</v>
      </c>
      <c r="K125" s="17">
        <f t="shared" si="15"/>
        <v>45870</v>
      </c>
      <c r="L125">
        <f t="shared" si="16"/>
        <v>0</v>
      </c>
    </row>
    <row r="126" spans="1:12" x14ac:dyDescent="0.3">
      <c r="A126" s="38">
        <v>45876</v>
      </c>
      <c r="B126" s="39">
        <v>0.50692467365803395</v>
      </c>
      <c r="C126" s="39">
        <v>2.3474572068641208</v>
      </c>
      <c r="D126" s="39">
        <v>-2.0705805039008709</v>
      </c>
      <c r="E126" s="39">
        <v>0.36710946905995456</v>
      </c>
      <c r="G126">
        <f t="shared" si="12"/>
        <v>7</v>
      </c>
      <c r="H126">
        <v>1</v>
      </c>
      <c r="I126">
        <f t="shared" si="13"/>
        <v>8</v>
      </c>
      <c r="J126">
        <f t="shared" si="14"/>
        <v>2025</v>
      </c>
      <c r="K126" s="17">
        <f t="shared" si="15"/>
        <v>45870</v>
      </c>
      <c r="L126">
        <f t="shared" si="16"/>
        <v>0</v>
      </c>
    </row>
    <row r="127" spans="1:12" x14ac:dyDescent="0.3">
      <c r="A127" s="38">
        <v>45875</v>
      </c>
      <c r="B127" s="39">
        <v>0.69686439632336317</v>
      </c>
      <c r="C127" s="39">
        <v>2.4901590124248543</v>
      </c>
      <c r="D127" s="39">
        <v>-1.906980572988985</v>
      </c>
      <c r="E127" s="39">
        <v>0.59762598300964953</v>
      </c>
      <c r="G127">
        <f t="shared" si="12"/>
        <v>6</v>
      </c>
      <c r="H127">
        <v>1</v>
      </c>
      <c r="I127">
        <f t="shared" si="13"/>
        <v>8</v>
      </c>
      <c r="J127">
        <f t="shared" si="14"/>
        <v>2025</v>
      </c>
      <c r="K127" s="17">
        <f t="shared" si="15"/>
        <v>45870</v>
      </c>
      <c r="L127">
        <f t="shared" si="16"/>
        <v>0</v>
      </c>
    </row>
    <row r="128" spans="1:12" x14ac:dyDescent="0.3">
      <c r="A128" s="38">
        <v>45874</v>
      </c>
      <c r="B128" s="39">
        <v>1.4877311562900815</v>
      </c>
      <c r="C128" s="39">
        <v>3.1831257261764137</v>
      </c>
      <c r="D128" s="39">
        <v>-1.1884891820910326</v>
      </c>
      <c r="E128" s="39">
        <v>1.4345956951677579</v>
      </c>
      <c r="G128">
        <f t="shared" si="12"/>
        <v>5</v>
      </c>
      <c r="H128">
        <v>1</v>
      </c>
      <c r="I128">
        <f t="shared" si="13"/>
        <v>8</v>
      </c>
      <c r="J128">
        <f t="shared" si="14"/>
        <v>2025</v>
      </c>
      <c r="K128" s="17">
        <f t="shared" si="15"/>
        <v>45870</v>
      </c>
      <c r="L128">
        <f t="shared" si="16"/>
        <v>0</v>
      </c>
    </row>
    <row r="129" spans="1:12" x14ac:dyDescent="0.3">
      <c r="A129" s="38">
        <v>45873</v>
      </c>
      <c r="B129" s="39">
        <v>0.58905155192900338</v>
      </c>
      <c r="C129" s="39">
        <v>2.2583833868025778</v>
      </c>
      <c r="D129" s="39">
        <v>-2.1426016779128361</v>
      </c>
      <c r="E129" s="39">
        <v>0.56144275578118652</v>
      </c>
      <c r="G129">
        <f t="shared" si="12"/>
        <v>4</v>
      </c>
      <c r="H129">
        <v>1</v>
      </c>
      <c r="I129">
        <f t="shared" si="13"/>
        <v>8</v>
      </c>
      <c r="J129">
        <f t="shared" si="14"/>
        <v>2025</v>
      </c>
      <c r="K129" s="17">
        <f t="shared" si="15"/>
        <v>45870</v>
      </c>
      <c r="L129">
        <f t="shared" si="16"/>
        <v>1</v>
      </c>
    </row>
    <row r="130" spans="1:12" x14ac:dyDescent="0.3">
      <c r="A130" s="38">
        <v>45870</v>
      </c>
      <c r="B130" s="39">
        <v>0.51692616647041234</v>
      </c>
      <c r="C130" s="39">
        <v>2.0951556007735093</v>
      </c>
      <c r="D130" s="39">
        <v>-2.2620930680613043</v>
      </c>
      <c r="E130" s="39">
        <v>0.54045691892302727</v>
      </c>
      <c r="G130">
        <f t="shared" si="12"/>
        <v>1</v>
      </c>
      <c r="H130">
        <v>1</v>
      </c>
      <c r="I130">
        <f t="shared" si="13"/>
        <v>8</v>
      </c>
      <c r="J130">
        <f t="shared" si="14"/>
        <v>2025</v>
      </c>
      <c r="K130" s="17">
        <f t="shared" si="15"/>
        <v>45870</v>
      </c>
      <c r="L130">
        <f t="shared" si="16"/>
        <v>1</v>
      </c>
    </row>
    <row r="131" spans="1:12" x14ac:dyDescent="0.3">
      <c r="A131" s="38">
        <v>45869</v>
      </c>
      <c r="B131" s="39">
        <v>0.4909922828008888</v>
      </c>
      <c r="C131" s="39">
        <v>1.1656779908000203</v>
      </c>
      <c r="D131" s="39">
        <v>-2.233598118982087</v>
      </c>
      <c r="E131" s="39">
        <v>0.43825791152519855</v>
      </c>
      <c r="G131">
        <f t="shared" si="12"/>
        <v>31</v>
      </c>
      <c r="H131">
        <v>1</v>
      </c>
      <c r="I131">
        <f t="shared" si="13"/>
        <v>7</v>
      </c>
      <c r="J131">
        <f t="shared" si="14"/>
        <v>2025</v>
      </c>
      <c r="K131" s="17">
        <f t="shared" si="15"/>
        <v>45839</v>
      </c>
      <c r="L131">
        <f t="shared" si="16"/>
        <v>0</v>
      </c>
    </row>
    <row r="132" spans="1:12" x14ac:dyDescent="0.3">
      <c r="A132" s="38">
        <v>45868</v>
      </c>
      <c r="B132" s="39">
        <v>0.39587153445860679</v>
      </c>
      <c r="C132" s="39">
        <v>1.1044178709513517</v>
      </c>
      <c r="D132" s="39">
        <v>-2.1518930908494838</v>
      </c>
      <c r="E132" s="39">
        <v>0.33595690155561897</v>
      </c>
      <c r="G132">
        <f t="shared" si="12"/>
        <v>30</v>
      </c>
      <c r="H132">
        <v>1</v>
      </c>
      <c r="I132">
        <f t="shared" si="13"/>
        <v>7</v>
      </c>
      <c r="J132">
        <f t="shared" si="14"/>
        <v>2025</v>
      </c>
      <c r="K132" s="17">
        <f t="shared" si="15"/>
        <v>45839</v>
      </c>
      <c r="L132">
        <f t="shared" si="16"/>
        <v>0</v>
      </c>
    </row>
    <row r="133" spans="1:12" x14ac:dyDescent="0.3">
      <c r="A133" s="38">
        <v>45867</v>
      </c>
      <c r="B133" s="39">
        <v>1.4699814370703734</v>
      </c>
      <c r="C133" s="39">
        <v>2.2048202782555251</v>
      </c>
      <c r="D133" s="39">
        <v>-1.0179981076124847</v>
      </c>
      <c r="E133" s="39">
        <v>1.5287296483121935</v>
      </c>
      <c r="G133">
        <f t="shared" ref="G133:G196" si="20">+DAY(A133)</f>
        <v>29</v>
      </c>
      <c r="H133">
        <v>1</v>
      </c>
      <c r="I133">
        <f t="shared" ref="I133:I196" si="21">+MONTH(A133)</f>
        <v>7</v>
      </c>
      <c r="J133">
        <f t="shared" ref="J133:J196" si="22">+YEAR(A133)</f>
        <v>2025</v>
      </c>
      <c r="K133" s="17">
        <f t="shared" ref="K133:K196" si="23">+DATE(J133,I133,H133)</f>
        <v>45839</v>
      </c>
      <c r="L133">
        <f t="shared" ref="L133:L196" si="24">IF(AND(G133&gt;=1, G133&lt;=4), 1, 0)</f>
        <v>0</v>
      </c>
    </row>
    <row r="134" spans="1:12" x14ac:dyDescent="0.3">
      <c r="A134" s="38">
        <v>45866</v>
      </c>
      <c r="B134" s="39">
        <v>1.8001646031781888</v>
      </c>
      <c r="C134" s="39">
        <v>2.5392274920454554</v>
      </c>
      <c r="D134" s="39">
        <v>-0.56330438474242328</v>
      </c>
      <c r="E134" s="39">
        <v>1.9224281412132456</v>
      </c>
      <c r="G134">
        <f t="shared" si="20"/>
        <v>28</v>
      </c>
      <c r="H134">
        <v>1</v>
      </c>
      <c r="I134">
        <f t="shared" si="21"/>
        <v>7</v>
      </c>
      <c r="J134">
        <f t="shared" si="22"/>
        <v>2025</v>
      </c>
      <c r="K134" s="17">
        <f t="shared" si="23"/>
        <v>45839</v>
      </c>
      <c r="L134">
        <f t="shared" si="24"/>
        <v>0</v>
      </c>
    </row>
    <row r="135" spans="1:12" x14ac:dyDescent="0.3">
      <c r="A135" s="38">
        <v>45863</v>
      </c>
      <c r="B135" s="39">
        <v>1.8125225886547724</v>
      </c>
      <c r="C135" s="39">
        <v>2.4445647288099508</v>
      </c>
      <c r="D135" s="39">
        <v>-0.4444623888217194</v>
      </c>
      <c r="E135" s="39">
        <v>1.8811304324247544</v>
      </c>
      <c r="G135">
        <f t="shared" si="20"/>
        <v>25</v>
      </c>
      <c r="H135">
        <v>1</v>
      </c>
      <c r="I135">
        <f t="shared" si="21"/>
        <v>7</v>
      </c>
      <c r="J135">
        <f t="shared" si="22"/>
        <v>2025</v>
      </c>
      <c r="K135" s="17">
        <f t="shared" si="23"/>
        <v>45839</v>
      </c>
      <c r="L135">
        <f t="shared" si="24"/>
        <v>0</v>
      </c>
    </row>
    <row r="136" spans="1:12" x14ac:dyDescent="0.3">
      <c r="A136" s="38">
        <v>45862</v>
      </c>
      <c r="B136" s="39">
        <v>2.329325462565123</v>
      </c>
      <c r="C136" s="39">
        <v>2.985477485387392</v>
      </c>
      <c r="D136" s="39">
        <v>-6.0395573472362685E-3</v>
      </c>
      <c r="E136" s="39">
        <v>2.4171534237263756</v>
      </c>
      <c r="G136">
        <f t="shared" si="20"/>
        <v>24</v>
      </c>
      <c r="H136">
        <v>1</v>
      </c>
      <c r="I136">
        <f t="shared" si="21"/>
        <v>7</v>
      </c>
      <c r="J136">
        <f t="shared" si="22"/>
        <v>2025</v>
      </c>
      <c r="K136" s="17">
        <f t="shared" si="23"/>
        <v>45839</v>
      </c>
      <c r="L136">
        <f t="shared" si="24"/>
        <v>0</v>
      </c>
    </row>
    <row r="137" spans="1:12" x14ac:dyDescent="0.3">
      <c r="A137" s="38">
        <v>45861</v>
      </c>
      <c r="B137" s="39">
        <v>2.2958896875545491</v>
      </c>
      <c r="C137" s="39">
        <v>3.0210741694519498</v>
      </c>
      <c r="D137" s="39">
        <v>-2.9949191483297E-2</v>
      </c>
      <c r="E137" s="39">
        <v>2.3776304667140238</v>
      </c>
      <c r="G137">
        <f t="shared" si="20"/>
        <v>23</v>
      </c>
      <c r="H137">
        <v>1</v>
      </c>
      <c r="I137">
        <f t="shared" si="21"/>
        <v>7</v>
      </c>
      <c r="J137">
        <f t="shared" si="22"/>
        <v>2025</v>
      </c>
      <c r="K137" s="17">
        <f t="shared" si="23"/>
        <v>45839</v>
      </c>
      <c r="L137">
        <f t="shared" si="24"/>
        <v>0</v>
      </c>
    </row>
    <row r="138" spans="1:12" x14ac:dyDescent="0.3">
      <c r="A138" s="38">
        <v>45860</v>
      </c>
      <c r="B138" s="39">
        <v>2.9664340883686151</v>
      </c>
      <c r="C138" s="39">
        <v>3.7174707914525555</v>
      </c>
      <c r="D138" s="39">
        <v>0.51644510906983498</v>
      </c>
      <c r="E138" s="39">
        <v>3.0596691641407148</v>
      </c>
      <c r="G138">
        <f t="shared" si="20"/>
        <v>22</v>
      </c>
      <c r="H138">
        <v>1</v>
      </c>
      <c r="I138">
        <f t="shared" si="21"/>
        <v>7</v>
      </c>
      <c r="J138">
        <f t="shared" si="22"/>
        <v>2025</v>
      </c>
      <c r="K138" s="17">
        <f t="shared" si="23"/>
        <v>45839</v>
      </c>
      <c r="L138">
        <f t="shared" si="24"/>
        <v>0</v>
      </c>
    </row>
    <row r="139" spans="1:12" x14ac:dyDescent="0.3">
      <c r="A139" s="38">
        <v>45859</v>
      </c>
      <c r="B139" s="39">
        <v>2.6847893408251622</v>
      </c>
      <c r="C139" s="39">
        <v>3.3664134435508686</v>
      </c>
      <c r="D139" s="39">
        <v>0.28844550784367584</v>
      </c>
      <c r="E139" s="39">
        <v>2.7266383686771434</v>
      </c>
      <c r="G139">
        <f t="shared" si="20"/>
        <v>21</v>
      </c>
      <c r="H139">
        <v>1</v>
      </c>
      <c r="I139">
        <f t="shared" si="21"/>
        <v>7</v>
      </c>
      <c r="J139">
        <f t="shared" si="22"/>
        <v>2025</v>
      </c>
      <c r="K139" s="17">
        <f t="shared" si="23"/>
        <v>45839</v>
      </c>
      <c r="L139">
        <f t="shared" si="24"/>
        <v>0</v>
      </c>
    </row>
    <row r="140" spans="1:12" x14ac:dyDescent="0.3">
      <c r="A140" s="38">
        <v>45856</v>
      </c>
      <c r="B140" s="39">
        <v>3.7874891288749382</v>
      </c>
      <c r="C140" s="39">
        <v>4.4359029991190226</v>
      </c>
      <c r="D140" s="39">
        <v>1.1305669926504436</v>
      </c>
      <c r="E140" s="39">
        <v>3.9408419013945348</v>
      </c>
      <c r="G140">
        <f t="shared" si="20"/>
        <v>18</v>
      </c>
      <c r="H140">
        <v>1</v>
      </c>
      <c r="I140">
        <f t="shared" si="21"/>
        <v>7</v>
      </c>
      <c r="J140">
        <f t="shared" si="22"/>
        <v>2025</v>
      </c>
      <c r="K140" s="17">
        <f t="shared" si="23"/>
        <v>45839</v>
      </c>
      <c r="L140">
        <f t="shared" si="24"/>
        <v>0</v>
      </c>
    </row>
    <row r="141" spans="1:12" x14ac:dyDescent="0.3">
      <c r="A141" s="38">
        <v>45855</v>
      </c>
      <c r="B141" s="39">
        <v>3.1414943102163022</v>
      </c>
      <c r="C141" s="39">
        <v>3.8142137898479263</v>
      </c>
      <c r="D141" s="39">
        <v>0.36146954459751157</v>
      </c>
      <c r="E141" s="39">
        <v>3.3142361879174871</v>
      </c>
      <c r="G141">
        <f t="shared" si="20"/>
        <v>17</v>
      </c>
      <c r="H141">
        <v>1</v>
      </c>
      <c r="I141">
        <f t="shared" si="21"/>
        <v>7</v>
      </c>
      <c r="J141">
        <f t="shared" si="22"/>
        <v>2025</v>
      </c>
      <c r="K141" s="17">
        <f t="shared" si="23"/>
        <v>45839</v>
      </c>
      <c r="L141">
        <f t="shared" si="24"/>
        <v>0</v>
      </c>
    </row>
    <row r="142" spans="1:12" x14ac:dyDescent="0.3">
      <c r="A142" s="38">
        <v>45854</v>
      </c>
      <c r="B142" s="39">
        <v>2.8665570544274175</v>
      </c>
      <c r="C142" s="39">
        <v>3.5199335698707301</v>
      </c>
      <c r="D142" s="39">
        <v>0.23563657733369325</v>
      </c>
      <c r="E142" s="39">
        <v>2.9710008986911873</v>
      </c>
      <c r="G142">
        <f t="shared" si="20"/>
        <v>16</v>
      </c>
      <c r="H142">
        <v>1</v>
      </c>
      <c r="I142">
        <f t="shared" si="21"/>
        <v>7</v>
      </c>
      <c r="J142">
        <f t="shared" si="22"/>
        <v>2025</v>
      </c>
      <c r="K142" s="17">
        <f t="shared" si="23"/>
        <v>45839</v>
      </c>
      <c r="L142">
        <f t="shared" si="24"/>
        <v>0</v>
      </c>
    </row>
    <row r="143" spans="1:12" x14ac:dyDescent="0.3">
      <c r="A143" s="38">
        <v>45853</v>
      </c>
      <c r="B143" s="39">
        <v>2.480880204603551</v>
      </c>
      <c r="C143" s="39">
        <v>3.1491367844815272</v>
      </c>
      <c r="D143" s="39">
        <v>-0.1298231668548766</v>
      </c>
      <c r="E143" s="39">
        <v>2.5885450291326464</v>
      </c>
      <c r="G143">
        <f t="shared" si="20"/>
        <v>15</v>
      </c>
      <c r="H143">
        <v>1</v>
      </c>
      <c r="I143">
        <f t="shared" si="21"/>
        <v>7</v>
      </c>
      <c r="J143">
        <f t="shared" si="22"/>
        <v>2025</v>
      </c>
      <c r="K143" s="17">
        <f t="shared" si="23"/>
        <v>45839</v>
      </c>
      <c r="L143">
        <f t="shared" si="24"/>
        <v>0</v>
      </c>
    </row>
    <row r="144" spans="1:12" x14ac:dyDescent="0.3">
      <c r="A144" s="38">
        <v>45852</v>
      </c>
      <c r="B144" s="39">
        <v>2.4989724909671907</v>
      </c>
      <c r="C144" s="39">
        <v>3.0561816967332049</v>
      </c>
      <c r="D144" s="39">
        <v>-0.40975472135733071</v>
      </c>
      <c r="E144" s="39">
        <v>2.6773569277897167</v>
      </c>
      <c r="G144">
        <f t="shared" si="20"/>
        <v>14</v>
      </c>
      <c r="H144">
        <v>1</v>
      </c>
      <c r="I144">
        <f t="shared" si="21"/>
        <v>7</v>
      </c>
      <c r="J144">
        <f t="shared" si="22"/>
        <v>2025</v>
      </c>
      <c r="K144" s="17">
        <f t="shared" si="23"/>
        <v>45839</v>
      </c>
      <c r="L144">
        <f t="shared" si="24"/>
        <v>0</v>
      </c>
    </row>
    <row r="145" spans="1:12" x14ac:dyDescent="0.3">
      <c r="A145" s="38">
        <v>45849</v>
      </c>
      <c r="B145" s="39">
        <v>2.7578807228475313</v>
      </c>
      <c r="C145" s="39">
        <v>3.5115541654908924</v>
      </c>
      <c r="D145" s="39">
        <v>0.24817546871896923</v>
      </c>
      <c r="E145" s="39">
        <v>2.7866699128489643</v>
      </c>
      <c r="G145">
        <f t="shared" si="20"/>
        <v>11</v>
      </c>
      <c r="H145">
        <v>1</v>
      </c>
      <c r="I145">
        <f t="shared" si="21"/>
        <v>7</v>
      </c>
      <c r="J145">
        <f t="shared" si="22"/>
        <v>2025</v>
      </c>
      <c r="K145" s="17">
        <f t="shared" si="23"/>
        <v>45839</v>
      </c>
      <c r="L145">
        <f t="shared" si="24"/>
        <v>0</v>
      </c>
    </row>
    <row r="146" spans="1:12" x14ac:dyDescent="0.3">
      <c r="A146" s="38">
        <v>45848</v>
      </c>
      <c r="B146" s="39">
        <v>2.662512672991312</v>
      </c>
      <c r="C146" s="39">
        <v>3.4727563080347608</v>
      </c>
      <c r="D146" s="39">
        <v>0.39490671000190503</v>
      </c>
      <c r="E146" s="39">
        <v>2.4815739716940186</v>
      </c>
      <c r="G146">
        <f t="shared" si="20"/>
        <v>10</v>
      </c>
      <c r="H146">
        <v>1</v>
      </c>
      <c r="I146">
        <f t="shared" si="21"/>
        <v>7</v>
      </c>
      <c r="J146">
        <f t="shared" si="22"/>
        <v>2025</v>
      </c>
      <c r="K146" s="17">
        <f t="shared" si="23"/>
        <v>45839</v>
      </c>
      <c r="L146">
        <f t="shared" si="24"/>
        <v>0</v>
      </c>
    </row>
    <row r="147" spans="1:12" x14ac:dyDescent="0.3">
      <c r="A147" s="38">
        <v>45847</v>
      </c>
      <c r="B147" s="39">
        <v>3.2261082497719258</v>
      </c>
      <c r="C147" s="39">
        <v>3.9478746596139871</v>
      </c>
      <c r="D147" s="39">
        <v>0.80530730560110442</v>
      </c>
      <c r="E147" s="39">
        <v>3.1068562494063912</v>
      </c>
      <c r="G147">
        <f t="shared" si="20"/>
        <v>9</v>
      </c>
      <c r="H147">
        <v>1</v>
      </c>
      <c r="I147">
        <f t="shared" si="21"/>
        <v>7</v>
      </c>
      <c r="J147">
        <f t="shared" si="22"/>
        <v>2025</v>
      </c>
      <c r="K147" s="17">
        <f t="shared" si="23"/>
        <v>45839</v>
      </c>
      <c r="L147">
        <f t="shared" si="24"/>
        <v>0</v>
      </c>
    </row>
    <row r="148" spans="1:12" x14ac:dyDescent="0.3">
      <c r="A148" s="38">
        <v>45846</v>
      </c>
      <c r="B148" s="39">
        <v>3.0226508456749883</v>
      </c>
      <c r="C148" s="39">
        <v>3.833761781971404</v>
      </c>
      <c r="D148" s="39">
        <v>0.57707280185002219</v>
      </c>
      <c r="E148" s="39">
        <v>2.8710671336126126</v>
      </c>
      <c r="G148">
        <f t="shared" si="20"/>
        <v>8</v>
      </c>
      <c r="H148">
        <v>1</v>
      </c>
      <c r="I148">
        <f t="shared" si="21"/>
        <v>7</v>
      </c>
      <c r="J148">
        <f t="shared" si="22"/>
        <v>2025</v>
      </c>
      <c r="K148" s="17">
        <f t="shared" si="23"/>
        <v>45839</v>
      </c>
      <c r="L148">
        <f t="shared" si="24"/>
        <v>0</v>
      </c>
    </row>
    <row r="149" spans="1:12" x14ac:dyDescent="0.3">
      <c r="A149" s="38">
        <v>45845</v>
      </c>
      <c r="B149" s="39">
        <v>3.8555290084997154</v>
      </c>
      <c r="C149" s="39">
        <v>4.6959302316757032</v>
      </c>
      <c r="D149" s="39">
        <v>1.0936606705630822</v>
      </c>
      <c r="E149" s="39">
        <v>3.8820709625420591</v>
      </c>
      <c r="G149">
        <f t="shared" si="20"/>
        <v>7</v>
      </c>
      <c r="H149">
        <v>1</v>
      </c>
      <c r="I149">
        <f t="shared" si="21"/>
        <v>7</v>
      </c>
      <c r="J149">
        <f t="shared" si="22"/>
        <v>2025</v>
      </c>
      <c r="K149" s="17">
        <f t="shared" si="23"/>
        <v>45839</v>
      </c>
      <c r="L149">
        <f t="shared" si="24"/>
        <v>0</v>
      </c>
    </row>
    <row r="150" spans="1:12" x14ac:dyDescent="0.3">
      <c r="A150" s="38">
        <v>45842</v>
      </c>
      <c r="B150" s="39">
        <v>3.4741494366370205</v>
      </c>
      <c r="C150" s="39">
        <v>4.2906377226855597</v>
      </c>
      <c r="D150" s="39">
        <v>0.59557912616745057</v>
      </c>
      <c r="E150" s="39">
        <v>3.4249389741421368</v>
      </c>
      <c r="G150">
        <f t="shared" si="20"/>
        <v>4</v>
      </c>
      <c r="H150">
        <v>1</v>
      </c>
      <c r="I150">
        <f t="shared" si="21"/>
        <v>7</v>
      </c>
      <c r="J150">
        <f t="shared" si="22"/>
        <v>2025</v>
      </c>
      <c r="K150" s="17">
        <f t="shared" si="23"/>
        <v>45839</v>
      </c>
      <c r="L150">
        <f t="shared" si="24"/>
        <v>1</v>
      </c>
    </row>
    <row r="151" spans="1:12" x14ac:dyDescent="0.3">
      <c r="A151" s="38">
        <v>45841</v>
      </c>
      <c r="B151" s="39">
        <v>3.5627674951320785</v>
      </c>
      <c r="C151" s="39">
        <v>4.3193777212463544</v>
      </c>
      <c r="D151" s="39">
        <v>0.72955567458760129</v>
      </c>
      <c r="E151" s="39">
        <v>3.5256499993542576</v>
      </c>
      <c r="G151">
        <f t="shared" si="20"/>
        <v>3</v>
      </c>
      <c r="H151">
        <v>1</v>
      </c>
      <c r="I151">
        <f t="shared" si="21"/>
        <v>7</v>
      </c>
      <c r="J151">
        <f t="shared" si="22"/>
        <v>2025</v>
      </c>
      <c r="K151" s="17">
        <f t="shared" si="23"/>
        <v>45839</v>
      </c>
      <c r="L151">
        <f t="shared" si="24"/>
        <v>1</v>
      </c>
    </row>
    <row r="152" spans="1:12" x14ac:dyDescent="0.3">
      <c r="A152" s="38">
        <v>45840</v>
      </c>
      <c r="B152" s="39">
        <v>4.0338649873770152</v>
      </c>
      <c r="C152" s="39">
        <v>4.7768853753698153</v>
      </c>
      <c r="D152" s="39">
        <v>1.470528729236122</v>
      </c>
      <c r="E152" s="39">
        <v>3.9789352821028672</v>
      </c>
      <c r="G152">
        <f t="shared" si="20"/>
        <v>2</v>
      </c>
      <c r="H152">
        <v>1</v>
      </c>
      <c r="I152">
        <f t="shared" si="21"/>
        <v>7</v>
      </c>
      <c r="J152">
        <f t="shared" si="22"/>
        <v>2025</v>
      </c>
      <c r="K152" s="17">
        <f t="shared" si="23"/>
        <v>45839</v>
      </c>
      <c r="L152">
        <f t="shared" si="24"/>
        <v>1</v>
      </c>
    </row>
    <row r="153" spans="1:12" x14ac:dyDescent="0.3">
      <c r="A153" s="38">
        <v>45839</v>
      </c>
      <c r="B153" s="39">
        <v>3.6703088251726399</v>
      </c>
      <c r="C153" s="39">
        <v>4.4387884939345952</v>
      </c>
      <c r="D153" s="39">
        <v>1.097962421544608</v>
      </c>
      <c r="E153" s="39">
        <v>3.6386000070526592</v>
      </c>
      <c r="G153">
        <f t="shared" si="20"/>
        <v>1</v>
      </c>
      <c r="H153">
        <v>1</v>
      </c>
      <c r="I153">
        <f t="shared" si="21"/>
        <v>7</v>
      </c>
      <c r="J153">
        <f t="shared" si="22"/>
        <v>2025</v>
      </c>
      <c r="K153" s="17">
        <f t="shared" si="23"/>
        <v>45839</v>
      </c>
      <c r="L153">
        <f t="shared" si="24"/>
        <v>1</v>
      </c>
    </row>
    <row r="154" spans="1:12" x14ac:dyDescent="0.3">
      <c r="A154" s="38">
        <v>45838</v>
      </c>
      <c r="B154" s="39">
        <v>2.906485777904507</v>
      </c>
      <c r="C154" s="39">
        <v>4.2487658751501272</v>
      </c>
      <c r="D154" s="39">
        <v>0.58121904789800283</v>
      </c>
      <c r="E154" s="39">
        <v>2.7710917569735045</v>
      </c>
      <c r="G154">
        <f t="shared" si="20"/>
        <v>30</v>
      </c>
      <c r="H154">
        <v>1</v>
      </c>
      <c r="I154">
        <f t="shared" si="21"/>
        <v>6</v>
      </c>
      <c r="J154">
        <f t="shared" si="22"/>
        <v>2025</v>
      </c>
      <c r="K154" s="17">
        <f t="shared" si="23"/>
        <v>45809</v>
      </c>
      <c r="L154">
        <f t="shared" si="24"/>
        <v>0</v>
      </c>
    </row>
    <row r="155" spans="1:12" x14ac:dyDescent="0.3">
      <c r="A155" s="38">
        <v>45835</v>
      </c>
      <c r="B155" s="39">
        <v>3.8031660373084009</v>
      </c>
      <c r="C155" s="39">
        <v>4.9312654565716372</v>
      </c>
      <c r="D155" s="39">
        <v>1.250821055098271</v>
      </c>
      <c r="E155" s="39">
        <v>3.7564085970663683</v>
      </c>
      <c r="G155">
        <f t="shared" si="20"/>
        <v>27</v>
      </c>
      <c r="H155">
        <v>1</v>
      </c>
      <c r="I155">
        <f t="shared" si="21"/>
        <v>6</v>
      </c>
      <c r="J155">
        <f t="shared" si="22"/>
        <v>2025</v>
      </c>
      <c r="K155" s="17">
        <f t="shared" si="23"/>
        <v>45809</v>
      </c>
      <c r="L155">
        <f t="shared" si="24"/>
        <v>0</v>
      </c>
    </row>
    <row r="156" spans="1:12" x14ac:dyDescent="0.3">
      <c r="A156" s="38">
        <v>45834</v>
      </c>
      <c r="B156" s="39">
        <v>4.2529859789974012</v>
      </c>
      <c r="C156" s="39">
        <v>5.4849037588339229</v>
      </c>
      <c r="D156" s="39">
        <v>1.9654720076491117</v>
      </c>
      <c r="E156" s="39">
        <v>3.9513736871054306</v>
      </c>
      <c r="G156">
        <f t="shared" si="20"/>
        <v>26</v>
      </c>
      <c r="H156">
        <v>1</v>
      </c>
      <c r="I156">
        <f t="shared" si="21"/>
        <v>6</v>
      </c>
      <c r="J156">
        <f t="shared" si="22"/>
        <v>2025</v>
      </c>
      <c r="K156" s="17">
        <f t="shared" si="23"/>
        <v>45809</v>
      </c>
      <c r="L156">
        <f t="shared" si="24"/>
        <v>0</v>
      </c>
    </row>
    <row r="157" spans="1:12" x14ac:dyDescent="0.3">
      <c r="A157" s="38">
        <v>45833</v>
      </c>
      <c r="B157" s="39">
        <v>4.2511204977649726</v>
      </c>
      <c r="C157" s="39">
        <v>5.4271676181012793</v>
      </c>
      <c r="D157" s="39">
        <v>1.66510022636038</v>
      </c>
      <c r="E157" s="39">
        <v>4.0951116404689003</v>
      </c>
      <c r="G157">
        <f t="shared" si="20"/>
        <v>25</v>
      </c>
      <c r="H157">
        <v>1</v>
      </c>
      <c r="I157">
        <f t="shared" si="21"/>
        <v>6</v>
      </c>
      <c r="J157">
        <f t="shared" si="22"/>
        <v>2025</v>
      </c>
      <c r="K157" s="17">
        <f t="shared" si="23"/>
        <v>45809</v>
      </c>
      <c r="L157">
        <f t="shared" si="24"/>
        <v>0</v>
      </c>
    </row>
    <row r="158" spans="1:12" x14ac:dyDescent="0.3">
      <c r="A158" s="38">
        <v>45832</v>
      </c>
      <c r="B158" s="39">
        <v>3.1825490220617496</v>
      </c>
      <c r="C158" s="39">
        <v>4.450261631530509</v>
      </c>
      <c r="D158" s="39">
        <v>0.60251912541856711</v>
      </c>
      <c r="E158" s="39">
        <v>2.8792068258724726</v>
      </c>
      <c r="G158">
        <f t="shared" si="20"/>
        <v>24</v>
      </c>
      <c r="H158">
        <v>1</v>
      </c>
      <c r="I158">
        <f t="shared" si="21"/>
        <v>6</v>
      </c>
      <c r="J158">
        <f t="shared" si="22"/>
        <v>2025</v>
      </c>
      <c r="K158" s="17">
        <f t="shared" si="23"/>
        <v>45809</v>
      </c>
      <c r="L158">
        <f t="shared" si="24"/>
        <v>0</v>
      </c>
    </row>
    <row r="159" spans="1:12" x14ac:dyDescent="0.3">
      <c r="A159" s="38">
        <v>45831</v>
      </c>
      <c r="B159" s="39">
        <v>3.2582650213397812</v>
      </c>
      <c r="C159" s="39">
        <v>4.5038241242139776</v>
      </c>
      <c r="D159" s="39">
        <v>0.77423646125393475</v>
      </c>
      <c r="E159" s="39">
        <v>2.5365273901108338</v>
      </c>
      <c r="G159">
        <f t="shared" si="20"/>
        <v>23</v>
      </c>
      <c r="H159">
        <v>1</v>
      </c>
      <c r="I159">
        <f t="shared" si="21"/>
        <v>6</v>
      </c>
      <c r="J159">
        <f t="shared" si="22"/>
        <v>2025</v>
      </c>
      <c r="K159" s="17">
        <f t="shared" si="23"/>
        <v>45809</v>
      </c>
      <c r="L159">
        <f t="shared" si="24"/>
        <v>0</v>
      </c>
    </row>
    <row r="160" spans="1:12" x14ac:dyDescent="0.3">
      <c r="A160" s="38">
        <v>45828</v>
      </c>
      <c r="B160" s="39">
        <v>3.795244819518004</v>
      </c>
      <c r="C160" s="39">
        <v>5.2070596062043251</v>
      </c>
      <c r="D160" s="39">
        <v>1.3755085669323677</v>
      </c>
      <c r="E160" s="39">
        <v>3.1445387816605148</v>
      </c>
      <c r="G160">
        <f t="shared" si="20"/>
        <v>20</v>
      </c>
      <c r="H160">
        <v>1</v>
      </c>
      <c r="I160">
        <f t="shared" si="21"/>
        <v>6</v>
      </c>
      <c r="J160">
        <f t="shared" si="22"/>
        <v>2025</v>
      </c>
      <c r="K160" s="17">
        <f t="shared" si="23"/>
        <v>45809</v>
      </c>
      <c r="L160">
        <f t="shared" si="24"/>
        <v>0</v>
      </c>
    </row>
    <row r="161" spans="1:12" x14ac:dyDescent="0.3">
      <c r="A161" s="38">
        <v>45827</v>
      </c>
      <c r="B161" s="39">
        <v>4.0889804302009622</v>
      </c>
      <c r="C161" s="39">
        <v>5.3280729312955657</v>
      </c>
      <c r="D161" s="39">
        <v>2.0005470301692299</v>
      </c>
      <c r="E161" s="39">
        <v>3.3132842300652356</v>
      </c>
      <c r="G161">
        <f t="shared" si="20"/>
        <v>19</v>
      </c>
      <c r="H161">
        <v>1</v>
      </c>
      <c r="I161">
        <f t="shared" si="21"/>
        <v>6</v>
      </c>
      <c r="J161">
        <f t="shared" si="22"/>
        <v>2025</v>
      </c>
      <c r="K161" s="17">
        <f t="shared" si="23"/>
        <v>45809</v>
      </c>
      <c r="L161">
        <f t="shared" si="24"/>
        <v>0</v>
      </c>
    </row>
    <row r="162" spans="1:12" x14ac:dyDescent="0.3">
      <c r="A162" s="38">
        <v>45826</v>
      </c>
      <c r="B162" s="39">
        <v>3.5040786168029285</v>
      </c>
      <c r="C162" s="39">
        <v>4.8668761655028447</v>
      </c>
      <c r="D162" s="39">
        <v>1.5813763184954013</v>
      </c>
      <c r="E162" s="39">
        <v>2.5473239184323688</v>
      </c>
      <c r="G162">
        <f t="shared" si="20"/>
        <v>18</v>
      </c>
      <c r="H162">
        <v>1</v>
      </c>
      <c r="I162">
        <f t="shared" si="21"/>
        <v>6</v>
      </c>
      <c r="J162">
        <f t="shared" si="22"/>
        <v>2025</v>
      </c>
      <c r="K162" s="17">
        <f t="shared" si="23"/>
        <v>45809</v>
      </c>
      <c r="L162">
        <f t="shared" si="24"/>
        <v>0</v>
      </c>
    </row>
    <row r="163" spans="1:12" x14ac:dyDescent="0.3">
      <c r="A163" s="38">
        <v>45825</v>
      </c>
      <c r="B163" s="39">
        <v>3.603861617907981</v>
      </c>
      <c r="C163" s="39">
        <v>4.9590263510752237</v>
      </c>
      <c r="D163" s="39">
        <v>2.0386248070306436</v>
      </c>
      <c r="E163" s="39">
        <v>2.5153060030193757</v>
      </c>
      <c r="G163">
        <f t="shared" si="20"/>
        <v>17</v>
      </c>
      <c r="H163">
        <v>1</v>
      </c>
      <c r="I163">
        <f t="shared" si="21"/>
        <v>6</v>
      </c>
      <c r="J163">
        <f t="shared" si="22"/>
        <v>2025</v>
      </c>
      <c r="K163" s="17">
        <f t="shared" si="23"/>
        <v>45809</v>
      </c>
      <c r="L163">
        <f t="shared" si="24"/>
        <v>0</v>
      </c>
    </row>
    <row r="164" spans="1:12" x14ac:dyDescent="0.3">
      <c r="A164" s="38">
        <v>45824</v>
      </c>
      <c r="B164" s="39">
        <v>3.92489352422254</v>
      </c>
      <c r="C164" s="39">
        <v>5.2725072555216315</v>
      </c>
      <c r="D164" s="39">
        <v>2.5028638765283091</v>
      </c>
      <c r="E164" s="39">
        <v>2.8656659688385275</v>
      </c>
      <c r="G164">
        <f t="shared" si="20"/>
        <v>16</v>
      </c>
      <c r="H164">
        <v>1</v>
      </c>
      <c r="I164">
        <f t="shared" si="21"/>
        <v>6</v>
      </c>
      <c r="J164">
        <f t="shared" si="22"/>
        <v>2025</v>
      </c>
      <c r="K164" s="17">
        <f t="shared" si="23"/>
        <v>45809</v>
      </c>
      <c r="L164">
        <f t="shared" si="24"/>
        <v>0</v>
      </c>
    </row>
    <row r="165" spans="1:12" x14ac:dyDescent="0.3">
      <c r="A165" s="38">
        <v>45821</v>
      </c>
      <c r="B165" s="39">
        <v>3.1318005831682427</v>
      </c>
      <c r="C165" s="39">
        <v>4.5219397326645776</v>
      </c>
      <c r="D165" s="39">
        <v>1.437966662580564</v>
      </c>
      <c r="E165" s="39">
        <v>2.1362076359363584</v>
      </c>
      <c r="G165">
        <f t="shared" si="20"/>
        <v>13</v>
      </c>
      <c r="H165">
        <v>1</v>
      </c>
      <c r="I165">
        <f t="shared" si="21"/>
        <v>6</v>
      </c>
      <c r="J165">
        <f t="shared" si="22"/>
        <v>2025</v>
      </c>
      <c r="K165" s="17">
        <f t="shared" si="23"/>
        <v>45809</v>
      </c>
      <c r="L165">
        <f t="shared" si="24"/>
        <v>0</v>
      </c>
    </row>
    <row r="166" spans="1:12" x14ac:dyDescent="0.3">
      <c r="A166" s="38">
        <v>45820</v>
      </c>
      <c r="B166" s="39">
        <v>3.4725359271954517</v>
      </c>
      <c r="C166" s="39">
        <v>4.8124038289108171</v>
      </c>
      <c r="D166" s="39">
        <v>1.8166573702744842</v>
      </c>
      <c r="E166" s="39">
        <v>2.7672692439131339</v>
      </c>
      <c r="G166">
        <f t="shared" si="20"/>
        <v>12</v>
      </c>
      <c r="H166">
        <v>1</v>
      </c>
      <c r="I166">
        <f t="shared" si="21"/>
        <v>6</v>
      </c>
      <c r="J166">
        <f t="shared" si="22"/>
        <v>2025</v>
      </c>
      <c r="K166" s="17">
        <f t="shared" si="23"/>
        <v>45809</v>
      </c>
      <c r="L166">
        <f t="shared" si="24"/>
        <v>0</v>
      </c>
    </row>
    <row r="167" spans="1:12" x14ac:dyDescent="0.3">
      <c r="A167" s="38">
        <v>45819</v>
      </c>
      <c r="B167" s="39">
        <v>3.5946316687653308</v>
      </c>
      <c r="C167" s="39">
        <v>5.0285208506123809</v>
      </c>
      <c r="D167" s="39">
        <v>1.7228774387746597</v>
      </c>
      <c r="E167" s="39">
        <v>2.9790231232711335</v>
      </c>
      <c r="G167">
        <f t="shared" si="20"/>
        <v>11</v>
      </c>
      <c r="H167">
        <v>1</v>
      </c>
      <c r="I167">
        <f t="shared" si="21"/>
        <v>6</v>
      </c>
      <c r="J167">
        <f t="shared" si="22"/>
        <v>2025</v>
      </c>
      <c r="K167" s="17">
        <f t="shared" si="23"/>
        <v>45809</v>
      </c>
      <c r="L167">
        <f t="shared" si="24"/>
        <v>0</v>
      </c>
    </row>
    <row r="168" spans="1:12" x14ac:dyDescent="0.3">
      <c r="A168" s="38">
        <v>45818</v>
      </c>
      <c r="B168" s="39">
        <v>3.7850216979488636</v>
      </c>
      <c r="C168" s="39">
        <v>5.1813468607667374</v>
      </c>
      <c r="D168" s="39">
        <v>2.0478449523903919</v>
      </c>
      <c r="E168" s="39">
        <v>3.0479966645114445</v>
      </c>
      <c r="G168">
        <f t="shared" si="20"/>
        <v>10</v>
      </c>
      <c r="H168">
        <v>1</v>
      </c>
      <c r="I168">
        <f t="shared" si="21"/>
        <v>6</v>
      </c>
      <c r="J168">
        <f t="shared" si="22"/>
        <v>2025</v>
      </c>
      <c r="K168" s="17">
        <f t="shared" si="23"/>
        <v>45809</v>
      </c>
      <c r="L168">
        <f t="shared" si="24"/>
        <v>0</v>
      </c>
    </row>
    <row r="169" spans="1:12" x14ac:dyDescent="0.3">
      <c r="A169" s="38">
        <v>45817</v>
      </c>
      <c r="B169" s="39">
        <v>4.139842799166729</v>
      </c>
      <c r="C169" s="39">
        <v>5.5368480084919725</v>
      </c>
      <c r="D169" s="39">
        <v>2.3631185807862352</v>
      </c>
      <c r="E169" s="39">
        <v>3.5284773327509384</v>
      </c>
      <c r="G169">
        <f t="shared" si="20"/>
        <v>9</v>
      </c>
      <c r="H169">
        <v>1</v>
      </c>
      <c r="I169">
        <f t="shared" si="21"/>
        <v>6</v>
      </c>
      <c r="J169">
        <f t="shared" si="22"/>
        <v>2025</v>
      </c>
      <c r="K169" s="17">
        <f t="shared" si="23"/>
        <v>45809</v>
      </c>
      <c r="L169">
        <f t="shared" si="24"/>
        <v>0</v>
      </c>
    </row>
    <row r="170" spans="1:12" x14ac:dyDescent="0.3">
      <c r="A170" s="38">
        <v>45814</v>
      </c>
      <c r="B170" s="39">
        <v>4.4435301840328805</v>
      </c>
      <c r="C170" s="39">
        <v>5.8219949759609619</v>
      </c>
      <c r="D170" s="39">
        <v>2.8093563915290076</v>
      </c>
      <c r="E170" s="39">
        <v>3.8314932365622241</v>
      </c>
      <c r="G170">
        <f t="shared" si="20"/>
        <v>6</v>
      </c>
      <c r="H170">
        <v>1</v>
      </c>
      <c r="I170">
        <f t="shared" si="21"/>
        <v>6</v>
      </c>
      <c r="J170">
        <f t="shared" si="22"/>
        <v>2025</v>
      </c>
      <c r="K170" s="17">
        <f t="shared" si="23"/>
        <v>45809</v>
      </c>
      <c r="L170">
        <f t="shared" si="24"/>
        <v>0</v>
      </c>
    </row>
    <row r="171" spans="1:12" x14ac:dyDescent="0.3">
      <c r="A171" s="38">
        <v>45813</v>
      </c>
      <c r="B171" s="39">
        <v>4.4618364496501357</v>
      </c>
      <c r="C171" s="39">
        <v>5.9274297512610588</v>
      </c>
      <c r="D171" s="39">
        <v>3.0414864952190896</v>
      </c>
      <c r="E171" s="39">
        <v>3.7595464206539901</v>
      </c>
      <c r="G171">
        <f t="shared" si="20"/>
        <v>5</v>
      </c>
      <c r="H171">
        <v>1</v>
      </c>
      <c r="I171">
        <f t="shared" si="21"/>
        <v>6</v>
      </c>
      <c r="J171">
        <f t="shared" si="22"/>
        <v>2025</v>
      </c>
      <c r="K171" s="17">
        <f t="shared" si="23"/>
        <v>45809</v>
      </c>
      <c r="L171">
        <f t="shared" si="24"/>
        <v>0</v>
      </c>
    </row>
    <row r="172" spans="1:12" x14ac:dyDescent="0.3">
      <c r="A172" s="38">
        <v>45812</v>
      </c>
      <c r="B172" s="39">
        <v>4.6184919261782227</v>
      </c>
      <c r="C172" s="39">
        <v>6.0229748277434112</v>
      </c>
      <c r="D172" s="39">
        <v>2.9334614896314548</v>
      </c>
      <c r="E172" s="39">
        <v>4.0216456437226782</v>
      </c>
      <c r="G172">
        <f t="shared" si="20"/>
        <v>4</v>
      </c>
      <c r="H172">
        <v>1</v>
      </c>
      <c r="I172">
        <f t="shared" si="21"/>
        <v>6</v>
      </c>
      <c r="J172">
        <f t="shared" si="22"/>
        <v>2025</v>
      </c>
      <c r="K172" s="17">
        <f t="shared" si="23"/>
        <v>45809</v>
      </c>
      <c r="L172">
        <f t="shared" si="24"/>
        <v>1</v>
      </c>
    </row>
    <row r="173" spans="1:12" x14ac:dyDescent="0.3">
      <c r="A173" s="38">
        <v>45811</v>
      </c>
      <c r="B173" s="39">
        <v>4.2010982993169108</v>
      </c>
      <c r="C173" s="39">
        <v>5.5277092771958394</v>
      </c>
      <c r="D173" s="39">
        <v>2.2772648608857935</v>
      </c>
      <c r="E173" s="39">
        <v>3.7648338887330368</v>
      </c>
      <c r="G173">
        <f t="shared" si="20"/>
        <v>3</v>
      </c>
      <c r="H173">
        <v>1</v>
      </c>
      <c r="I173">
        <f t="shared" si="21"/>
        <v>6</v>
      </c>
      <c r="J173">
        <f t="shared" si="22"/>
        <v>2025</v>
      </c>
      <c r="K173" s="17">
        <f t="shared" si="23"/>
        <v>45809</v>
      </c>
      <c r="L173">
        <f t="shared" si="24"/>
        <v>1</v>
      </c>
    </row>
    <row r="174" spans="1:12" x14ac:dyDescent="0.3">
      <c r="A174" s="38">
        <v>45810</v>
      </c>
      <c r="B174" s="39">
        <v>4.1063183151256766</v>
      </c>
      <c r="C174" s="39">
        <v>5.372884283665293</v>
      </c>
      <c r="D174" s="39">
        <v>1.994476097522039</v>
      </c>
      <c r="E174" s="39">
        <v>3.8190857094389941</v>
      </c>
      <c r="G174">
        <f t="shared" si="20"/>
        <v>2</v>
      </c>
      <c r="H174">
        <v>1</v>
      </c>
      <c r="I174">
        <f t="shared" si="21"/>
        <v>6</v>
      </c>
      <c r="J174">
        <f t="shared" si="22"/>
        <v>2025</v>
      </c>
      <c r="K174" s="17">
        <f t="shared" si="23"/>
        <v>45809</v>
      </c>
      <c r="L174">
        <f t="shared" si="24"/>
        <v>1</v>
      </c>
    </row>
    <row r="175" spans="1:12" x14ac:dyDescent="0.3">
      <c r="A175" s="38">
        <v>45807</v>
      </c>
      <c r="B175" s="39">
        <v>3.7393177648118581</v>
      </c>
      <c r="C175" s="39">
        <v>4.9065807026546082</v>
      </c>
      <c r="D175" s="39">
        <v>2.0443842849333578</v>
      </c>
      <c r="E175" s="39">
        <v>3.3284688467483363</v>
      </c>
      <c r="G175">
        <f t="shared" si="20"/>
        <v>30</v>
      </c>
      <c r="H175">
        <v>1</v>
      </c>
      <c r="I175">
        <f t="shared" si="21"/>
        <v>5</v>
      </c>
      <c r="J175">
        <f t="shared" si="22"/>
        <v>2025</v>
      </c>
      <c r="K175" s="17">
        <f t="shared" si="23"/>
        <v>45778</v>
      </c>
      <c r="L175">
        <f t="shared" si="24"/>
        <v>0</v>
      </c>
    </row>
    <row r="176" spans="1:12" x14ac:dyDescent="0.3">
      <c r="A176" s="38">
        <v>45806</v>
      </c>
      <c r="B176" s="39">
        <v>3.8469320312164541</v>
      </c>
      <c r="C176" s="39">
        <v>5.0520870012337724</v>
      </c>
      <c r="D176" s="39">
        <v>2.3367563151236652</v>
      </c>
      <c r="E176" s="39">
        <v>3.2392484666481636</v>
      </c>
      <c r="G176">
        <f t="shared" si="20"/>
        <v>29</v>
      </c>
      <c r="H176">
        <v>1</v>
      </c>
      <c r="I176">
        <f t="shared" si="21"/>
        <v>5</v>
      </c>
      <c r="J176">
        <f t="shared" si="22"/>
        <v>2025</v>
      </c>
      <c r="K176" s="17">
        <f t="shared" si="23"/>
        <v>45778</v>
      </c>
      <c r="L176">
        <f t="shared" si="24"/>
        <v>0</v>
      </c>
    </row>
    <row r="177" spans="1:12" x14ac:dyDescent="0.3">
      <c r="A177" s="38">
        <v>45805</v>
      </c>
      <c r="B177" s="39">
        <v>4.1056792051065969</v>
      </c>
      <c r="C177" s="39">
        <v>5.3217630129142535</v>
      </c>
      <c r="D177" s="39">
        <v>2.6728896637588093</v>
      </c>
      <c r="E177" s="39">
        <v>3.5339386627385281</v>
      </c>
      <c r="G177">
        <f t="shared" si="20"/>
        <v>28</v>
      </c>
      <c r="H177">
        <v>1</v>
      </c>
      <c r="I177">
        <f t="shared" si="21"/>
        <v>5</v>
      </c>
      <c r="J177">
        <f t="shared" si="22"/>
        <v>2025</v>
      </c>
      <c r="K177" s="17">
        <f t="shared" si="23"/>
        <v>45778</v>
      </c>
      <c r="L177">
        <f t="shared" si="24"/>
        <v>0</v>
      </c>
    </row>
    <row r="178" spans="1:12" x14ac:dyDescent="0.3">
      <c r="A178" s="38">
        <v>45804</v>
      </c>
      <c r="B178" s="39">
        <v>3.8632979262460481</v>
      </c>
      <c r="C178" s="39">
        <v>4.997813495816672</v>
      </c>
      <c r="D178" s="39">
        <v>2.0332769439749114</v>
      </c>
      <c r="E178" s="39">
        <v>3.4514757792907673</v>
      </c>
      <c r="G178">
        <f t="shared" si="20"/>
        <v>27</v>
      </c>
      <c r="H178">
        <v>1</v>
      </c>
      <c r="I178">
        <f t="shared" si="21"/>
        <v>5</v>
      </c>
      <c r="J178">
        <f t="shared" si="22"/>
        <v>2025</v>
      </c>
      <c r="K178" s="17">
        <f t="shared" si="23"/>
        <v>45778</v>
      </c>
      <c r="L178">
        <f t="shared" si="24"/>
        <v>0</v>
      </c>
    </row>
    <row r="179" spans="1:12" x14ac:dyDescent="0.3">
      <c r="A179" s="38">
        <v>45800</v>
      </c>
      <c r="B179" s="39">
        <v>4.386184284690188</v>
      </c>
      <c r="C179" s="39">
        <v>5.6756843223536748</v>
      </c>
      <c r="D179" s="39">
        <v>2.9670260799312729</v>
      </c>
      <c r="E179" s="39">
        <v>3.7077919494272464</v>
      </c>
      <c r="G179">
        <f t="shared" si="20"/>
        <v>23</v>
      </c>
      <c r="H179">
        <v>1</v>
      </c>
      <c r="I179">
        <f t="shared" si="21"/>
        <v>5</v>
      </c>
      <c r="J179">
        <f t="shared" si="22"/>
        <v>2025</v>
      </c>
      <c r="K179" s="17">
        <f t="shared" si="23"/>
        <v>45778</v>
      </c>
      <c r="L179">
        <f t="shared" si="24"/>
        <v>0</v>
      </c>
    </row>
    <row r="180" spans="1:12" x14ac:dyDescent="0.3">
      <c r="A180" s="38">
        <v>45799</v>
      </c>
      <c r="B180" s="39">
        <v>4.2360061413426138</v>
      </c>
      <c r="C180" s="39">
        <v>5.4888020761166416</v>
      </c>
      <c r="D180" s="39">
        <v>2.8121745124626756</v>
      </c>
      <c r="E180" s="39">
        <v>3.5912037775039209</v>
      </c>
      <c r="G180">
        <f t="shared" si="20"/>
        <v>22</v>
      </c>
      <c r="H180">
        <v>1</v>
      </c>
      <c r="I180">
        <f t="shared" si="21"/>
        <v>5</v>
      </c>
      <c r="J180">
        <f t="shared" si="22"/>
        <v>2025</v>
      </c>
      <c r="K180" s="17">
        <f t="shared" si="23"/>
        <v>45778</v>
      </c>
      <c r="L180">
        <f t="shared" si="24"/>
        <v>0</v>
      </c>
    </row>
    <row r="181" spans="1:12" x14ac:dyDescent="0.3">
      <c r="A181" s="38">
        <v>45798</v>
      </c>
      <c r="B181" s="39">
        <v>3.2649409408694794</v>
      </c>
      <c r="C181" s="39">
        <v>4.4886864166783198</v>
      </c>
      <c r="D181" s="39">
        <v>2.2290107152123824</v>
      </c>
      <c r="E181" s="39">
        <v>2.4620691243920447</v>
      </c>
      <c r="G181">
        <f t="shared" si="20"/>
        <v>21</v>
      </c>
      <c r="H181">
        <v>1</v>
      </c>
      <c r="I181">
        <f t="shared" si="21"/>
        <v>5</v>
      </c>
      <c r="J181">
        <f t="shared" si="22"/>
        <v>2025</v>
      </c>
      <c r="K181" s="17">
        <f t="shared" si="23"/>
        <v>45778</v>
      </c>
      <c r="L181">
        <f t="shared" si="24"/>
        <v>0</v>
      </c>
    </row>
    <row r="182" spans="1:12" x14ac:dyDescent="0.3">
      <c r="A182" s="38">
        <v>45797</v>
      </c>
      <c r="B182" s="39">
        <v>3.5315538113049172</v>
      </c>
      <c r="C182" s="39">
        <v>4.7161269774046986</v>
      </c>
      <c r="D182" s="39">
        <v>2.4386168069770093</v>
      </c>
      <c r="E182" s="39">
        <v>2.8546935723204143</v>
      </c>
      <c r="G182">
        <f t="shared" si="20"/>
        <v>20</v>
      </c>
      <c r="H182">
        <v>1</v>
      </c>
      <c r="I182">
        <f t="shared" si="21"/>
        <v>5</v>
      </c>
      <c r="J182">
        <f t="shared" si="22"/>
        <v>2025</v>
      </c>
      <c r="K182" s="17">
        <f t="shared" si="23"/>
        <v>45778</v>
      </c>
      <c r="L182">
        <f t="shared" si="24"/>
        <v>0</v>
      </c>
    </row>
    <row r="183" spans="1:12" x14ac:dyDescent="0.3">
      <c r="A183" s="38">
        <v>45796</v>
      </c>
      <c r="B183" s="39">
        <v>4.2271251729761303</v>
      </c>
      <c r="C183" s="39">
        <v>5.3896116419456348</v>
      </c>
      <c r="D183" s="39">
        <v>3.0339418955716297</v>
      </c>
      <c r="E183" s="39">
        <v>3.6283474023860904</v>
      </c>
      <c r="G183">
        <f t="shared" si="20"/>
        <v>19</v>
      </c>
      <c r="H183">
        <v>1</v>
      </c>
      <c r="I183">
        <f t="shared" si="21"/>
        <v>5</v>
      </c>
      <c r="J183">
        <f t="shared" si="22"/>
        <v>2025</v>
      </c>
      <c r="K183" s="17">
        <f t="shared" si="23"/>
        <v>45778</v>
      </c>
      <c r="L183">
        <f t="shared" si="24"/>
        <v>0</v>
      </c>
    </row>
    <row r="184" spans="1:12" x14ac:dyDescent="0.3">
      <c r="A184" s="38">
        <v>45793</v>
      </c>
      <c r="B184" s="39">
        <v>4.7580023621777343</v>
      </c>
      <c r="C184" s="39">
        <v>5.9274237972272843</v>
      </c>
      <c r="D184" s="39">
        <v>3.5839712651344939</v>
      </c>
      <c r="E184" s="39">
        <v>4.1711090171643477</v>
      </c>
      <c r="G184">
        <f t="shared" si="20"/>
        <v>16</v>
      </c>
      <c r="H184">
        <v>1</v>
      </c>
      <c r="I184">
        <f t="shared" si="21"/>
        <v>5</v>
      </c>
      <c r="J184">
        <f t="shared" si="22"/>
        <v>2025</v>
      </c>
      <c r="K184" s="17">
        <f t="shared" si="23"/>
        <v>45778</v>
      </c>
      <c r="L184">
        <f t="shared" si="24"/>
        <v>0</v>
      </c>
    </row>
    <row r="185" spans="1:12" x14ac:dyDescent="0.3">
      <c r="A185" s="38">
        <v>45792</v>
      </c>
      <c r="B185" s="39">
        <v>4.9646105012156454</v>
      </c>
      <c r="C185" s="39">
        <v>6.0698594297159829</v>
      </c>
      <c r="D185" s="39">
        <v>3.6054218041908115</v>
      </c>
      <c r="E185" s="39">
        <v>4.5029044797993194</v>
      </c>
      <c r="G185">
        <f t="shared" si="20"/>
        <v>15</v>
      </c>
      <c r="H185">
        <v>1</v>
      </c>
      <c r="I185">
        <f t="shared" si="21"/>
        <v>5</v>
      </c>
      <c r="J185">
        <f t="shared" si="22"/>
        <v>2025</v>
      </c>
      <c r="K185" s="17">
        <f t="shared" si="23"/>
        <v>45778</v>
      </c>
      <c r="L185">
        <f t="shared" si="24"/>
        <v>0</v>
      </c>
    </row>
    <row r="186" spans="1:12" x14ac:dyDescent="0.3">
      <c r="A186" s="38">
        <v>45791</v>
      </c>
      <c r="B186" s="39">
        <v>4.3788940550866045</v>
      </c>
      <c r="C186" s="39">
        <v>5.429383523900313</v>
      </c>
      <c r="D186" s="39">
        <v>2.8828934004842068</v>
      </c>
      <c r="E186" s="39">
        <v>3.8778313791005559</v>
      </c>
      <c r="G186">
        <f t="shared" si="20"/>
        <v>14</v>
      </c>
      <c r="H186">
        <v>1</v>
      </c>
      <c r="I186">
        <f t="shared" si="21"/>
        <v>5</v>
      </c>
      <c r="J186">
        <f t="shared" si="22"/>
        <v>2025</v>
      </c>
      <c r="K186" s="17">
        <f t="shared" si="23"/>
        <v>45778</v>
      </c>
      <c r="L186">
        <f t="shared" si="24"/>
        <v>0</v>
      </c>
    </row>
    <row r="187" spans="1:12" x14ac:dyDescent="0.3">
      <c r="A187" s="38">
        <v>45790</v>
      </c>
      <c r="B187" s="39">
        <v>3.8057485160708069</v>
      </c>
      <c r="C187" s="39">
        <v>4.923711658249772</v>
      </c>
      <c r="D187" s="39">
        <v>2.2736097266989503</v>
      </c>
      <c r="E187" s="39">
        <v>3.3057820093092261</v>
      </c>
      <c r="G187">
        <f t="shared" si="20"/>
        <v>13</v>
      </c>
      <c r="H187">
        <v>1</v>
      </c>
      <c r="I187">
        <f t="shared" si="21"/>
        <v>5</v>
      </c>
      <c r="J187">
        <f t="shared" si="22"/>
        <v>2025</v>
      </c>
      <c r="K187" s="17">
        <f t="shared" si="23"/>
        <v>45778</v>
      </c>
      <c r="L187">
        <f t="shared" si="24"/>
        <v>0</v>
      </c>
    </row>
    <row r="188" spans="1:12" x14ac:dyDescent="0.3">
      <c r="A188" s="38">
        <v>45786</v>
      </c>
      <c r="B188" s="39">
        <v>3.5012174705879886</v>
      </c>
      <c r="C188" s="39">
        <v>4.5456776582351637</v>
      </c>
      <c r="D188" s="39">
        <v>1.8141514454156464</v>
      </c>
      <c r="E188" s="39">
        <v>3.0864698387110678</v>
      </c>
      <c r="G188">
        <f t="shared" si="20"/>
        <v>9</v>
      </c>
      <c r="H188">
        <v>1</v>
      </c>
      <c r="I188">
        <f t="shared" si="21"/>
        <v>5</v>
      </c>
      <c r="J188">
        <f t="shared" si="22"/>
        <v>2025</v>
      </c>
      <c r="K188" s="17">
        <f t="shared" si="23"/>
        <v>45778</v>
      </c>
      <c r="L188">
        <f t="shared" si="24"/>
        <v>0</v>
      </c>
    </row>
    <row r="189" spans="1:12" x14ac:dyDescent="0.3">
      <c r="A189" s="38">
        <v>45785</v>
      </c>
      <c r="B189" s="39">
        <v>3.617840593885937</v>
      </c>
      <c r="C189" s="39">
        <v>4.6794347270370267</v>
      </c>
      <c r="D189" s="39">
        <v>2.0202813017570165</v>
      </c>
      <c r="E189" s="39">
        <v>3.2934813020903775</v>
      </c>
      <c r="G189">
        <f t="shared" si="20"/>
        <v>8</v>
      </c>
      <c r="H189">
        <v>1</v>
      </c>
      <c r="I189">
        <f t="shared" si="21"/>
        <v>5</v>
      </c>
      <c r="J189">
        <f t="shared" si="22"/>
        <v>2025</v>
      </c>
      <c r="K189" s="17">
        <f t="shared" si="23"/>
        <v>45778</v>
      </c>
      <c r="L189">
        <f t="shared" si="24"/>
        <v>0</v>
      </c>
    </row>
    <row r="190" spans="1:12" x14ac:dyDescent="0.3">
      <c r="A190" s="38">
        <v>45784</v>
      </c>
      <c r="B190" s="39">
        <v>3.261292050093445</v>
      </c>
      <c r="C190" s="39">
        <v>4.2959164830564447</v>
      </c>
      <c r="D190" s="39">
        <v>1.4933069449782579</v>
      </c>
      <c r="E190" s="39">
        <v>2.9731123371618509</v>
      </c>
      <c r="G190">
        <f t="shared" si="20"/>
        <v>7</v>
      </c>
      <c r="H190">
        <v>1</v>
      </c>
      <c r="I190">
        <f t="shared" si="21"/>
        <v>5</v>
      </c>
      <c r="J190">
        <f t="shared" si="22"/>
        <v>2025</v>
      </c>
      <c r="K190" s="17">
        <f t="shared" si="23"/>
        <v>45778</v>
      </c>
      <c r="L190">
        <f t="shared" si="24"/>
        <v>0</v>
      </c>
    </row>
    <row r="191" spans="1:12" x14ac:dyDescent="0.3">
      <c r="A191" s="38">
        <v>45783</v>
      </c>
      <c r="B191" s="39">
        <v>4.1418089150614179</v>
      </c>
      <c r="C191" s="39">
        <v>5.1552030455778066</v>
      </c>
      <c r="D191" s="39">
        <v>2.3398505766907505</v>
      </c>
      <c r="E191" s="39">
        <v>3.9652399362238668</v>
      </c>
      <c r="G191">
        <f t="shared" si="20"/>
        <v>6</v>
      </c>
      <c r="H191">
        <v>1</v>
      </c>
      <c r="I191">
        <f t="shared" si="21"/>
        <v>5</v>
      </c>
      <c r="J191">
        <f t="shared" si="22"/>
        <v>2025</v>
      </c>
      <c r="K191" s="17">
        <f t="shared" si="23"/>
        <v>45778</v>
      </c>
      <c r="L191">
        <f t="shared" si="24"/>
        <v>0</v>
      </c>
    </row>
    <row r="192" spans="1:12" x14ac:dyDescent="0.3">
      <c r="A192" s="38">
        <v>45779</v>
      </c>
      <c r="B192" s="39">
        <v>4.230494658551109</v>
      </c>
      <c r="C192" s="39">
        <v>5.1989227928815396</v>
      </c>
      <c r="D192" s="39">
        <v>2.512020220379604</v>
      </c>
      <c r="E192" s="39">
        <v>4.0032746925973939</v>
      </c>
      <c r="G192">
        <f t="shared" si="20"/>
        <v>2</v>
      </c>
      <c r="H192">
        <v>1</v>
      </c>
      <c r="I192">
        <f t="shared" si="21"/>
        <v>5</v>
      </c>
      <c r="J192">
        <f t="shared" si="22"/>
        <v>2025</v>
      </c>
      <c r="K192" s="17">
        <f t="shared" si="23"/>
        <v>45778</v>
      </c>
      <c r="L192">
        <f t="shared" si="24"/>
        <v>1</v>
      </c>
    </row>
    <row r="193" spans="1:12" x14ac:dyDescent="0.3">
      <c r="A193" s="38">
        <v>45777</v>
      </c>
      <c r="B193" s="39">
        <v>1.9245362628394247</v>
      </c>
      <c r="C193" s="39">
        <v>5.2661296427463782</v>
      </c>
      <c r="D193" s="39">
        <v>0.46106551522308337</v>
      </c>
      <c r="E193" s="39">
        <v>1.5623779980111152</v>
      </c>
      <c r="G193">
        <f t="shared" si="20"/>
        <v>30</v>
      </c>
      <c r="H193">
        <v>1</v>
      </c>
      <c r="I193">
        <f t="shared" si="21"/>
        <v>4</v>
      </c>
      <c r="J193">
        <f t="shared" si="22"/>
        <v>2025</v>
      </c>
      <c r="K193" s="17">
        <f t="shared" si="23"/>
        <v>45748</v>
      </c>
      <c r="L193">
        <f t="shared" si="24"/>
        <v>0</v>
      </c>
    </row>
    <row r="194" spans="1:12" x14ac:dyDescent="0.3">
      <c r="A194" s="38">
        <v>45776</v>
      </c>
      <c r="B194" s="39">
        <v>1.6445326126825677</v>
      </c>
      <c r="C194" s="39">
        <v>4.9639086953313978</v>
      </c>
      <c r="D194" s="39">
        <v>0.26485636439058169</v>
      </c>
      <c r="E194" s="39">
        <v>1.2436387974427419</v>
      </c>
      <c r="G194">
        <f t="shared" si="20"/>
        <v>29</v>
      </c>
      <c r="H194">
        <v>1</v>
      </c>
      <c r="I194">
        <f t="shared" si="21"/>
        <v>4</v>
      </c>
      <c r="J194">
        <f t="shared" si="22"/>
        <v>2025</v>
      </c>
      <c r="K194" s="17">
        <f t="shared" si="23"/>
        <v>45748</v>
      </c>
      <c r="L194">
        <f t="shared" si="24"/>
        <v>0</v>
      </c>
    </row>
    <row r="195" spans="1:12" x14ac:dyDescent="0.3">
      <c r="A195" s="38">
        <v>45775</v>
      </c>
      <c r="B195" s="39">
        <v>0.49807173863976573</v>
      </c>
      <c r="C195" s="39">
        <v>3.8214760508124499</v>
      </c>
      <c r="D195" s="39">
        <v>-0.87288049080909502</v>
      </c>
      <c r="E195" s="39">
        <v>3.2786431023978935E-2</v>
      </c>
      <c r="G195">
        <f t="shared" si="20"/>
        <v>28</v>
      </c>
      <c r="H195">
        <v>1</v>
      </c>
      <c r="I195">
        <f t="shared" si="21"/>
        <v>4</v>
      </c>
      <c r="J195">
        <f t="shared" si="22"/>
        <v>2025</v>
      </c>
      <c r="K195" s="17">
        <f t="shared" si="23"/>
        <v>45748</v>
      </c>
      <c r="L195">
        <f t="shared" si="24"/>
        <v>0</v>
      </c>
    </row>
    <row r="196" spans="1:12" x14ac:dyDescent="0.3">
      <c r="A196" s="38">
        <v>45772</v>
      </c>
      <c r="B196" s="39">
        <v>0.31650718697538593</v>
      </c>
      <c r="C196" s="39">
        <v>3.6451720369357474</v>
      </c>
      <c r="D196" s="39">
        <v>-0.92158390511077926</v>
      </c>
      <c r="E196" s="39">
        <v>-0.19405132061288555</v>
      </c>
      <c r="G196">
        <f t="shared" si="20"/>
        <v>25</v>
      </c>
      <c r="H196">
        <v>1</v>
      </c>
      <c r="I196">
        <f t="shared" si="21"/>
        <v>4</v>
      </c>
      <c r="J196">
        <f t="shared" si="22"/>
        <v>2025</v>
      </c>
      <c r="K196" s="17">
        <f t="shared" si="23"/>
        <v>45748</v>
      </c>
      <c r="L196">
        <f t="shared" si="24"/>
        <v>0</v>
      </c>
    </row>
    <row r="197" spans="1:12" x14ac:dyDescent="0.3">
      <c r="A197" s="38">
        <v>45771</v>
      </c>
      <c r="B197" s="39">
        <v>-0.62451462035686234</v>
      </c>
      <c r="C197" s="39">
        <v>2.679915236775031</v>
      </c>
      <c r="D197" s="39">
        <v>-1.6718575031288907</v>
      </c>
      <c r="E197" s="39">
        <v>-1.203686851806637</v>
      </c>
      <c r="G197">
        <f t="shared" ref="G197:G260" si="25">+DAY(A197)</f>
        <v>24</v>
      </c>
      <c r="H197">
        <v>1</v>
      </c>
      <c r="I197">
        <f t="shared" ref="I197:I260" si="26">+MONTH(A197)</f>
        <v>4</v>
      </c>
      <c r="J197">
        <f t="shared" ref="J197:J260" si="27">+YEAR(A197)</f>
        <v>2025</v>
      </c>
      <c r="K197" s="17">
        <f t="shared" ref="K197:K260" si="28">+DATE(J197,I197,H197)</f>
        <v>45748</v>
      </c>
      <c r="L197">
        <f t="shared" ref="L197:L260" si="29">IF(AND(G197&gt;=1, G197&lt;=4), 1, 0)</f>
        <v>0</v>
      </c>
    </row>
    <row r="198" spans="1:12" x14ac:dyDescent="0.3">
      <c r="A198" s="38">
        <v>45770</v>
      </c>
      <c r="B198" s="39">
        <v>-1.0275015273727064</v>
      </c>
      <c r="C198" s="39">
        <v>2.3212514701726548</v>
      </c>
      <c r="D198" s="39">
        <v>-1.9188359960156163</v>
      </c>
      <c r="E198" s="39">
        <v>-1.7888820811512716</v>
      </c>
      <c r="G198">
        <f t="shared" si="25"/>
        <v>23</v>
      </c>
      <c r="H198">
        <v>1</v>
      </c>
      <c r="I198">
        <f t="shared" si="26"/>
        <v>4</v>
      </c>
      <c r="J198">
        <f t="shared" si="27"/>
        <v>2025</v>
      </c>
      <c r="K198" s="17">
        <f t="shared" si="28"/>
        <v>45748</v>
      </c>
      <c r="L198">
        <f t="shared" si="29"/>
        <v>0</v>
      </c>
    </row>
    <row r="199" spans="1:12" x14ac:dyDescent="0.3">
      <c r="A199" s="38">
        <v>45769</v>
      </c>
      <c r="B199" s="39">
        <v>-1.5055733480986646</v>
      </c>
      <c r="C199" s="39">
        <v>1.812103193217169</v>
      </c>
      <c r="D199" s="39">
        <v>-2.4802030851212464</v>
      </c>
      <c r="E199" s="39">
        <v>-2.0605312921171901</v>
      </c>
      <c r="G199">
        <f t="shared" si="25"/>
        <v>22</v>
      </c>
      <c r="H199">
        <v>1</v>
      </c>
      <c r="I199">
        <f t="shared" si="26"/>
        <v>4</v>
      </c>
      <c r="J199">
        <f t="shared" si="27"/>
        <v>2025</v>
      </c>
      <c r="K199" s="17">
        <f t="shared" si="28"/>
        <v>45748</v>
      </c>
      <c r="L199">
        <f t="shared" si="29"/>
        <v>0</v>
      </c>
    </row>
    <row r="200" spans="1:12" x14ac:dyDescent="0.3">
      <c r="A200" s="38">
        <v>45764</v>
      </c>
      <c r="B200" s="39">
        <v>-1.5228421011088642</v>
      </c>
      <c r="C200" s="39">
        <v>1.7820780757106718</v>
      </c>
      <c r="D200" s="39">
        <v>-2.3251447882874885</v>
      </c>
      <c r="E200" s="39">
        <v>-2.0148258968568911</v>
      </c>
      <c r="G200">
        <f t="shared" si="25"/>
        <v>17</v>
      </c>
      <c r="H200">
        <v>1</v>
      </c>
      <c r="I200">
        <f t="shared" si="26"/>
        <v>4</v>
      </c>
      <c r="J200">
        <f t="shared" si="27"/>
        <v>2025</v>
      </c>
      <c r="K200" s="17">
        <f t="shared" si="28"/>
        <v>45748</v>
      </c>
      <c r="L200">
        <f t="shared" si="29"/>
        <v>0</v>
      </c>
    </row>
    <row r="201" spans="1:12" x14ac:dyDescent="0.3">
      <c r="A201" s="38">
        <v>45763</v>
      </c>
      <c r="B201" s="39">
        <v>-1.0252996112140664</v>
      </c>
      <c r="C201" s="39">
        <v>2.3140375882063609</v>
      </c>
      <c r="D201" s="39">
        <v>-1.7552221566678696</v>
      </c>
      <c r="E201" s="39">
        <v>-1.4709059551802142</v>
      </c>
      <c r="G201">
        <f t="shared" si="25"/>
        <v>16</v>
      </c>
      <c r="H201">
        <v>1</v>
      </c>
      <c r="I201">
        <f t="shared" si="26"/>
        <v>4</v>
      </c>
      <c r="J201">
        <f t="shared" si="27"/>
        <v>2025</v>
      </c>
      <c r="K201" s="17">
        <f t="shared" si="28"/>
        <v>45748</v>
      </c>
      <c r="L201">
        <f t="shared" si="29"/>
        <v>0</v>
      </c>
    </row>
    <row r="202" spans="1:12" x14ac:dyDescent="0.3">
      <c r="A202" s="38">
        <v>45762</v>
      </c>
      <c r="B202" s="39">
        <v>-0.93482728270386417</v>
      </c>
      <c r="C202" s="39">
        <v>2.3768002594567719</v>
      </c>
      <c r="D202" s="39">
        <v>-1.6437337518423192</v>
      </c>
      <c r="E202" s="39">
        <v>-1.5135994552753544</v>
      </c>
      <c r="G202">
        <f t="shared" si="25"/>
        <v>15</v>
      </c>
      <c r="H202">
        <v>1</v>
      </c>
      <c r="I202">
        <f t="shared" si="26"/>
        <v>4</v>
      </c>
      <c r="J202">
        <f t="shared" si="27"/>
        <v>2025</v>
      </c>
      <c r="K202" s="17">
        <f t="shared" si="28"/>
        <v>45748</v>
      </c>
      <c r="L202">
        <f t="shared" si="29"/>
        <v>0</v>
      </c>
    </row>
    <row r="203" spans="1:12" x14ac:dyDescent="0.3">
      <c r="A203" s="38">
        <v>45761</v>
      </c>
      <c r="B203" s="39">
        <v>-1.0829256016256608</v>
      </c>
      <c r="C203" s="39">
        <v>2.1835244080985916</v>
      </c>
      <c r="D203" s="39">
        <v>-1.7694972489904899</v>
      </c>
      <c r="E203" s="39">
        <v>-1.6306814389526636</v>
      </c>
      <c r="G203">
        <f t="shared" si="25"/>
        <v>14</v>
      </c>
      <c r="H203">
        <v>1</v>
      </c>
      <c r="I203">
        <f t="shared" si="26"/>
        <v>4</v>
      </c>
      <c r="J203">
        <f t="shared" si="27"/>
        <v>2025</v>
      </c>
      <c r="K203" s="17">
        <f t="shared" si="28"/>
        <v>45748</v>
      </c>
      <c r="L203">
        <f t="shared" si="29"/>
        <v>0</v>
      </c>
    </row>
    <row r="204" spans="1:12" x14ac:dyDescent="0.3">
      <c r="A204" s="38">
        <v>45758</v>
      </c>
      <c r="B204" s="39">
        <v>-1.6011638890074806</v>
      </c>
      <c r="C204" s="39">
        <v>1.7203135578614877</v>
      </c>
      <c r="D204" s="39">
        <v>-2.2482604941584015</v>
      </c>
      <c r="E204" s="39">
        <v>-2.0134848759494304</v>
      </c>
      <c r="G204">
        <f t="shared" si="25"/>
        <v>11</v>
      </c>
      <c r="H204">
        <v>1</v>
      </c>
      <c r="I204">
        <f t="shared" si="26"/>
        <v>4</v>
      </c>
      <c r="J204">
        <f t="shared" si="27"/>
        <v>2025</v>
      </c>
      <c r="K204" s="17">
        <f t="shared" si="28"/>
        <v>45748</v>
      </c>
      <c r="L204">
        <f t="shared" si="29"/>
        <v>0</v>
      </c>
    </row>
    <row r="205" spans="1:12" x14ac:dyDescent="0.3">
      <c r="A205" s="38">
        <v>45757</v>
      </c>
      <c r="B205" s="39">
        <v>-1.8458113175740181</v>
      </c>
      <c r="C205" s="39">
        <v>1.3580015846668232</v>
      </c>
      <c r="D205" s="39">
        <v>-2.7715979553707371</v>
      </c>
      <c r="E205" s="39">
        <v>-2.1004015903948243</v>
      </c>
      <c r="G205">
        <f t="shared" si="25"/>
        <v>10</v>
      </c>
      <c r="H205">
        <v>1</v>
      </c>
      <c r="I205">
        <f t="shared" si="26"/>
        <v>4</v>
      </c>
      <c r="J205">
        <f t="shared" si="27"/>
        <v>2025</v>
      </c>
      <c r="K205" s="17">
        <f t="shared" si="28"/>
        <v>45748</v>
      </c>
      <c r="L205">
        <f t="shared" si="29"/>
        <v>0</v>
      </c>
    </row>
    <row r="206" spans="1:12" x14ac:dyDescent="0.3">
      <c r="A206" s="38">
        <v>45756</v>
      </c>
      <c r="B206" s="39">
        <v>-1.0642993016227678</v>
      </c>
      <c r="C206" s="39">
        <v>2.2580007993378715</v>
      </c>
      <c r="D206" s="39">
        <v>-2.1153262236507899</v>
      </c>
      <c r="E206" s="39">
        <v>-1.1454746755845875</v>
      </c>
      <c r="G206">
        <f t="shared" si="25"/>
        <v>9</v>
      </c>
      <c r="H206">
        <v>1</v>
      </c>
      <c r="I206">
        <f t="shared" si="26"/>
        <v>4</v>
      </c>
      <c r="J206">
        <f t="shared" si="27"/>
        <v>2025</v>
      </c>
      <c r="K206" s="17">
        <f t="shared" si="28"/>
        <v>45748</v>
      </c>
      <c r="L206">
        <f t="shared" si="29"/>
        <v>0</v>
      </c>
    </row>
    <row r="207" spans="1:12" x14ac:dyDescent="0.3">
      <c r="A207" s="38">
        <v>45755</v>
      </c>
      <c r="B207" s="39">
        <v>-1.0413759040480386</v>
      </c>
      <c r="C207" s="39">
        <v>2.3108343740185404</v>
      </c>
      <c r="D207" s="39">
        <v>-2.347830374567792</v>
      </c>
      <c r="E207" s="39">
        <v>-1.1853284121620931</v>
      </c>
      <c r="G207">
        <f t="shared" si="25"/>
        <v>8</v>
      </c>
      <c r="H207">
        <v>1</v>
      </c>
      <c r="I207">
        <f t="shared" si="26"/>
        <v>4</v>
      </c>
      <c r="J207">
        <f t="shared" si="27"/>
        <v>2025</v>
      </c>
      <c r="K207" s="17">
        <f t="shared" si="28"/>
        <v>45748</v>
      </c>
      <c r="L207">
        <f t="shared" si="29"/>
        <v>0</v>
      </c>
    </row>
    <row r="208" spans="1:12" x14ac:dyDescent="0.3">
      <c r="A208" s="38">
        <v>45754</v>
      </c>
      <c r="B208" s="39">
        <v>-1.3903915655949248</v>
      </c>
      <c r="C208" s="39">
        <v>2.0210804748057569</v>
      </c>
      <c r="D208" s="39">
        <v>-2.7959693855765977</v>
      </c>
      <c r="E208" s="39">
        <v>-1.3286378260641953</v>
      </c>
      <c r="G208">
        <f t="shared" si="25"/>
        <v>7</v>
      </c>
      <c r="H208">
        <v>1</v>
      </c>
      <c r="I208">
        <f t="shared" si="26"/>
        <v>4</v>
      </c>
      <c r="J208">
        <f t="shared" si="27"/>
        <v>2025</v>
      </c>
      <c r="K208" s="17">
        <f t="shared" si="28"/>
        <v>45748</v>
      </c>
      <c r="L208">
        <f t="shared" si="29"/>
        <v>0</v>
      </c>
    </row>
    <row r="209" spans="1:12" x14ac:dyDescent="0.3">
      <c r="A209" s="38">
        <v>45751</v>
      </c>
      <c r="B209" s="39">
        <v>-2.7199395654540837</v>
      </c>
      <c r="C209" s="39">
        <v>0.5178370286841556</v>
      </c>
      <c r="D209" s="39">
        <v>-4.2564859573932665</v>
      </c>
      <c r="E209" s="39">
        <v>-2.7725525617239839</v>
      </c>
      <c r="G209">
        <f t="shared" si="25"/>
        <v>4</v>
      </c>
      <c r="H209">
        <v>1</v>
      </c>
      <c r="I209">
        <f t="shared" si="26"/>
        <v>4</v>
      </c>
      <c r="J209">
        <f t="shared" si="27"/>
        <v>2025</v>
      </c>
      <c r="K209" s="17">
        <f t="shared" si="28"/>
        <v>45748</v>
      </c>
      <c r="L209">
        <f t="shared" si="29"/>
        <v>1</v>
      </c>
    </row>
    <row r="210" spans="1:12" x14ac:dyDescent="0.3">
      <c r="A210" s="38">
        <v>45750</v>
      </c>
      <c r="B210" s="39">
        <v>-3.0225239033705265</v>
      </c>
      <c r="C210" s="39">
        <v>0.23955439601365924</v>
      </c>
      <c r="D210" s="39">
        <v>-4.6617233859096388</v>
      </c>
      <c r="E210" s="39">
        <v>-3.4104220435235533</v>
      </c>
      <c r="G210">
        <f t="shared" si="25"/>
        <v>3</v>
      </c>
      <c r="H210">
        <v>1</v>
      </c>
      <c r="I210">
        <f t="shared" si="26"/>
        <v>4</v>
      </c>
      <c r="J210">
        <f t="shared" si="27"/>
        <v>2025</v>
      </c>
      <c r="K210" s="17">
        <f t="shared" si="28"/>
        <v>45748</v>
      </c>
      <c r="L210">
        <f t="shared" si="29"/>
        <v>1</v>
      </c>
    </row>
    <row r="211" spans="1:12" x14ac:dyDescent="0.3">
      <c r="A211" s="38">
        <v>45749</v>
      </c>
      <c r="B211" s="39">
        <v>-2.272231289601379</v>
      </c>
      <c r="C211" s="39">
        <v>0.90424165234982468</v>
      </c>
      <c r="D211" s="39">
        <v>-4.0964199097947898</v>
      </c>
      <c r="E211" s="39">
        <v>-2.6205760057346339</v>
      </c>
      <c r="G211">
        <f t="shared" si="25"/>
        <v>2</v>
      </c>
      <c r="H211">
        <v>1</v>
      </c>
      <c r="I211">
        <f t="shared" si="26"/>
        <v>4</v>
      </c>
      <c r="J211">
        <f t="shared" si="27"/>
        <v>2025</v>
      </c>
      <c r="K211" s="17">
        <f t="shared" si="28"/>
        <v>45748</v>
      </c>
      <c r="L211">
        <f t="shared" si="29"/>
        <v>1</v>
      </c>
    </row>
    <row r="212" spans="1:12" x14ac:dyDescent="0.3">
      <c r="A212" s="38">
        <v>45748</v>
      </c>
      <c r="B212" s="39">
        <v>-1.7189208320387905</v>
      </c>
      <c r="C212" s="39">
        <v>1.3698029542947694</v>
      </c>
      <c r="D212" s="39">
        <v>-3.3347665225348493</v>
      </c>
      <c r="E212" s="39">
        <v>-2.0560204264975965</v>
      </c>
      <c r="G212">
        <f t="shared" si="25"/>
        <v>1</v>
      </c>
      <c r="H212">
        <v>1</v>
      </c>
      <c r="I212">
        <f t="shared" si="26"/>
        <v>4</v>
      </c>
      <c r="J212">
        <f t="shared" si="27"/>
        <v>2025</v>
      </c>
      <c r="K212" s="17">
        <f t="shared" si="28"/>
        <v>45748</v>
      </c>
      <c r="L212">
        <f t="shared" si="29"/>
        <v>1</v>
      </c>
    </row>
    <row r="213" spans="1:12" x14ac:dyDescent="0.3">
      <c r="A213" s="38">
        <v>45744</v>
      </c>
      <c r="B213" s="39">
        <v>-2.6909625870231935</v>
      </c>
      <c r="C213" s="39">
        <v>0.83305756647310147</v>
      </c>
      <c r="D213" s="39">
        <v>-4.6862878677658131</v>
      </c>
      <c r="E213" s="39">
        <v>-3.0367935080134316</v>
      </c>
      <c r="G213">
        <f t="shared" si="25"/>
        <v>28</v>
      </c>
      <c r="H213">
        <v>1</v>
      </c>
      <c r="I213">
        <f t="shared" si="26"/>
        <v>3</v>
      </c>
      <c r="J213">
        <f t="shared" si="27"/>
        <v>2025</v>
      </c>
      <c r="K213" s="17">
        <f t="shared" si="28"/>
        <v>45717</v>
      </c>
      <c r="L213">
        <f t="shared" si="29"/>
        <v>0</v>
      </c>
    </row>
    <row r="214" spans="1:12" x14ac:dyDescent="0.3">
      <c r="A214" s="38">
        <v>45743</v>
      </c>
      <c r="B214" s="39">
        <v>-1.9076411120543071</v>
      </c>
      <c r="C214" s="39">
        <v>1.6412143822021648</v>
      </c>
      <c r="D214" s="39">
        <v>-3.9472919596613565</v>
      </c>
      <c r="E214" s="39">
        <v>-2.2666709263258156</v>
      </c>
      <c r="G214">
        <f t="shared" si="25"/>
        <v>27</v>
      </c>
      <c r="H214">
        <v>1</v>
      </c>
      <c r="I214">
        <f t="shared" si="26"/>
        <v>3</v>
      </c>
      <c r="J214">
        <f t="shared" si="27"/>
        <v>2025</v>
      </c>
      <c r="K214" s="17">
        <f t="shared" si="28"/>
        <v>45717</v>
      </c>
      <c r="L214">
        <f t="shared" si="29"/>
        <v>0</v>
      </c>
    </row>
    <row r="215" spans="1:12" x14ac:dyDescent="0.3">
      <c r="A215" s="38">
        <v>45742</v>
      </c>
      <c r="B215" s="39">
        <v>-1.7914432956025905</v>
      </c>
      <c r="C215" s="39">
        <v>1.7924192734401601</v>
      </c>
      <c r="D215" s="39">
        <v>-3.8019934242511226</v>
      </c>
      <c r="E215" s="39">
        <v>-2.1862303047152096</v>
      </c>
      <c r="G215">
        <f t="shared" si="25"/>
        <v>26</v>
      </c>
      <c r="H215">
        <v>1</v>
      </c>
      <c r="I215">
        <f t="shared" si="26"/>
        <v>3</v>
      </c>
      <c r="J215">
        <f t="shared" si="27"/>
        <v>2025</v>
      </c>
      <c r="K215" s="17">
        <f t="shared" si="28"/>
        <v>45717</v>
      </c>
      <c r="L215">
        <f t="shared" si="29"/>
        <v>0</v>
      </c>
    </row>
    <row r="216" spans="1:12" x14ac:dyDescent="0.3">
      <c r="A216" s="38">
        <v>45741</v>
      </c>
      <c r="B216" s="39">
        <v>-2.2439562324952362</v>
      </c>
      <c r="C216" s="39">
        <v>1.3759428534957152</v>
      </c>
      <c r="D216" s="39">
        <v>-4.0959034923482278</v>
      </c>
      <c r="E216" s="39">
        <v>-2.7143812509767855</v>
      </c>
      <c r="G216">
        <f t="shared" si="25"/>
        <v>25</v>
      </c>
      <c r="H216">
        <v>1</v>
      </c>
      <c r="I216">
        <f t="shared" si="26"/>
        <v>3</v>
      </c>
      <c r="J216">
        <f t="shared" si="27"/>
        <v>2025</v>
      </c>
      <c r="K216" s="17">
        <f t="shared" si="28"/>
        <v>45717</v>
      </c>
      <c r="L216">
        <f t="shared" si="29"/>
        <v>0</v>
      </c>
    </row>
    <row r="217" spans="1:12" x14ac:dyDescent="0.3">
      <c r="A217" s="38">
        <v>45740</v>
      </c>
      <c r="B217" s="39">
        <v>-1.5126552488786729</v>
      </c>
      <c r="C217" s="39">
        <v>2.0693846409265859</v>
      </c>
      <c r="D217" s="39">
        <v>-3.3303486793207639</v>
      </c>
      <c r="E217" s="39">
        <v>-1.9159685820108763</v>
      </c>
      <c r="G217">
        <f t="shared" si="25"/>
        <v>24</v>
      </c>
      <c r="H217">
        <v>1</v>
      </c>
      <c r="I217">
        <f t="shared" si="26"/>
        <v>3</v>
      </c>
      <c r="J217">
        <f t="shared" si="27"/>
        <v>2025</v>
      </c>
      <c r="K217" s="17">
        <f t="shared" si="28"/>
        <v>45717</v>
      </c>
      <c r="L217">
        <f t="shared" si="29"/>
        <v>0</v>
      </c>
    </row>
    <row r="218" spans="1:12" x14ac:dyDescent="0.3">
      <c r="A218" s="38">
        <v>45737</v>
      </c>
      <c r="B218" s="39">
        <v>-1.9919003687234351</v>
      </c>
      <c r="C218" s="39">
        <v>1.5863545940390225</v>
      </c>
      <c r="D218" s="39">
        <v>-3.7544839371521164</v>
      </c>
      <c r="E218" s="39">
        <v>-2.4050231211360398</v>
      </c>
      <c r="G218">
        <f t="shared" si="25"/>
        <v>21</v>
      </c>
      <c r="H218">
        <v>1</v>
      </c>
      <c r="I218">
        <f t="shared" si="26"/>
        <v>3</v>
      </c>
      <c r="J218">
        <f t="shared" si="27"/>
        <v>2025</v>
      </c>
      <c r="K218" s="17">
        <f t="shared" si="28"/>
        <v>45717</v>
      </c>
      <c r="L218">
        <f t="shared" si="29"/>
        <v>0</v>
      </c>
    </row>
    <row r="219" spans="1:12" x14ac:dyDescent="0.3">
      <c r="A219" s="38">
        <v>45736</v>
      </c>
      <c r="B219" s="39">
        <v>-1.7675093120528658</v>
      </c>
      <c r="C219" s="39">
        <v>1.7765369228272334</v>
      </c>
      <c r="D219" s="39">
        <v>-3.2296437018461006</v>
      </c>
      <c r="E219" s="39">
        <v>-2.2039009182536944</v>
      </c>
      <c r="G219">
        <f t="shared" si="25"/>
        <v>20</v>
      </c>
      <c r="H219">
        <v>1</v>
      </c>
      <c r="I219">
        <f t="shared" si="26"/>
        <v>3</v>
      </c>
      <c r="J219">
        <f t="shared" si="27"/>
        <v>2025</v>
      </c>
      <c r="K219" s="17">
        <f t="shared" si="28"/>
        <v>45717</v>
      </c>
      <c r="L219">
        <f t="shared" si="29"/>
        <v>0</v>
      </c>
    </row>
    <row r="220" spans="1:12" x14ac:dyDescent="0.3">
      <c r="A220" s="38">
        <v>45735</v>
      </c>
      <c r="B220" s="39">
        <v>-1.6125153444580178</v>
      </c>
      <c r="C220" s="39">
        <v>1.8842849459701938</v>
      </c>
      <c r="D220" s="39">
        <v>-2.9625054474333723</v>
      </c>
      <c r="E220" s="39">
        <v>-1.9728313386924015</v>
      </c>
      <c r="G220">
        <f t="shared" si="25"/>
        <v>19</v>
      </c>
      <c r="H220">
        <v>1</v>
      </c>
      <c r="I220">
        <f t="shared" si="26"/>
        <v>3</v>
      </c>
      <c r="J220">
        <f t="shared" si="27"/>
        <v>2025</v>
      </c>
      <c r="K220" s="17">
        <f t="shared" si="28"/>
        <v>45717</v>
      </c>
      <c r="L220">
        <f t="shared" si="29"/>
        <v>0</v>
      </c>
    </row>
    <row r="221" spans="1:12" x14ac:dyDescent="0.3">
      <c r="A221" s="38">
        <v>45734</v>
      </c>
      <c r="B221" s="39">
        <v>-1.4641991352409178</v>
      </c>
      <c r="C221" s="39">
        <v>2.034911902255601</v>
      </c>
      <c r="D221" s="39">
        <v>-2.7984689716552538</v>
      </c>
      <c r="E221" s="39">
        <v>-1.9530280736813808</v>
      </c>
      <c r="G221">
        <f t="shared" si="25"/>
        <v>18</v>
      </c>
      <c r="H221">
        <v>1</v>
      </c>
      <c r="I221">
        <f t="shared" si="26"/>
        <v>3</v>
      </c>
      <c r="J221">
        <f t="shared" si="27"/>
        <v>2025</v>
      </c>
      <c r="K221" s="17">
        <f t="shared" si="28"/>
        <v>45717</v>
      </c>
      <c r="L221">
        <f t="shared" si="29"/>
        <v>0</v>
      </c>
    </row>
    <row r="222" spans="1:12" x14ac:dyDescent="0.3">
      <c r="A222" s="38">
        <v>45733</v>
      </c>
      <c r="B222" s="39">
        <v>-1.0106259342100401</v>
      </c>
      <c r="C222" s="39">
        <v>2.5151980959442426</v>
      </c>
      <c r="D222" s="39">
        <v>-2.0691068810146476</v>
      </c>
      <c r="E222" s="39">
        <v>-1.5449161469780393</v>
      </c>
      <c r="G222">
        <f t="shared" si="25"/>
        <v>17</v>
      </c>
      <c r="H222">
        <v>1</v>
      </c>
      <c r="I222">
        <f t="shared" si="26"/>
        <v>3</v>
      </c>
      <c r="J222">
        <f t="shared" si="27"/>
        <v>2025</v>
      </c>
      <c r="K222" s="17">
        <f t="shared" si="28"/>
        <v>45717</v>
      </c>
      <c r="L222">
        <f t="shared" si="29"/>
        <v>0</v>
      </c>
    </row>
    <row r="223" spans="1:12" x14ac:dyDescent="0.3">
      <c r="A223" s="38">
        <v>45730</v>
      </c>
      <c r="B223" s="39">
        <v>-0.80147015396136112</v>
      </c>
      <c r="C223" s="39">
        <v>2.7774851417087945</v>
      </c>
      <c r="D223" s="39">
        <v>-1.887772270434553</v>
      </c>
      <c r="E223" s="39">
        <v>-1.3847067314692652</v>
      </c>
      <c r="G223">
        <f t="shared" si="25"/>
        <v>14</v>
      </c>
      <c r="H223">
        <v>1</v>
      </c>
      <c r="I223">
        <f t="shared" si="26"/>
        <v>3</v>
      </c>
      <c r="J223">
        <f t="shared" si="27"/>
        <v>2025</v>
      </c>
      <c r="K223" s="17">
        <f t="shared" si="28"/>
        <v>45717</v>
      </c>
      <c r="L223">
        <f t="shared" si="29"/>
        <v>0</v>
      </c>
    </row>
    <row r="224" spans="1:12" x14ac:dyDescent="0.3">
      <c r="A224" s="38">
        <v>45729</v>
      </c>
      <c r="B224" s="39">
        <v>-0.78508305424558955</v>
      </c>
      <c r="C224" s="39">
        <v>2.8372256923205725</v>
      </c>
      <c r="D224" s="39">
        <v>-1.9209103997865498</v>
      </c>
      <c r="E224" s="39">
        <v>-1.3969799459128751</v>
      </c>
      <c r="G224">
        <f t="shared" si="25"/>
        <v>13</v>
      </c>
      <c r="H224">
        <v>1</v>
      </c>
      <c r="I224">
        <f t="shared" si="26"/>
        <v>3</v>
      </c>
      <c r="J224">
        <f t="shared" si="27"/>
        <v>2025</v>
      </c>
      <c r="K224" s="17">
        <f t="shared" si="28"/>
        <v>45717</v>
      </c>
      <c r="L224">
        <f t="shared" si="29"/>
        <v>0</v>
      </c>
    </row>
    <row r="225" spans="1:12" x14ac:dyDescent="0.3">
      <c r="A225" s="38">
        <v>45728</v>
      </c>
      <c r="B225" s="39">
        <v>-7.9019116175700788E-2</v>
      </c>
      <c r="C225" s="39">
        <v>3.5119863359382464</v>
      </c>
      <c r="D225" s="39">
        <v>-1.2049128384453383</v>
      </c>
      <c r="E225" s="39">
        <v>-0.65130383888094912</v>
      </c>
      <c r="G225">
        <f t="shared" si="25"/>
        <v>12</v>
      </c>
      <c r="H225">
        <v>1</v>
      </c>
      <c r="I225">
        <f t="shared" si="26"/>
        <v>3</v>
      </c>
      <c r="J225">
        <f t="shared" si="27"/>
        <v>2025</v>
      </c>
      <c r="K225" s="17">
        <f t="shared" si="28"/>
        <v>45717</v>
      </c>
      <c r="L225">
        <f t="shared" si="29"/>
        <v>0</v>
      </c>
    </row>
    <row r="226" spans="1:12" x14ac:dyDescent="0.3">
      <c r="A226" s="38">
        <v>45727</v>
      </c>
      <c r="B226" s="39">
        <v>-0.33282490899811989</v>
      </c>
      <c r="C226" s="39">
        <v>3.2511591840787162</v>
      </c>
      <c r="D226" s="39">
        <v>-1.1759671032966992</v>
      </c>
      <c r="E226" s="39">
        <v>-0.94833916483177916</v>
      </c>
      <c r="G226">
        <f t="shared" si="25"/>
        <v>11</v>
      </c>
      <c r="H226">
        <v>1</v>
      </c>
      <c r="I226">
        <f t="shared" si="26"/>
        <v>3</v>
      </c>
      <c r="J226">
        <f t="shared" si="27"/>
        <v>2025</v>
      </c>
      <c r="K226" s="17">
        <f t="shared" si="28"/>
        <v>45717</v>
      </c>
      <c r="L226">
        <f t="shared" si="29"/>
        <v>0</v>
      </c>
    </row>
    <row r="227" spans="1:12" x14ac:dyDescent="0.3">
      <c r="A227" s="38">
        <v>45726</v>
      </c>
      <c r="B227" s="39">
        <v>-0.42708556057249325</v>
      </c>
      <c r="C227" s="39">
        <v>3.2396257064802398</v>
      </c>
      <c r="D227" s="39">
        <v>-1.0647705866647073</v>
      </c>
      <c r="E227" s="39">
        <v>-1.2107127233945505</v>
      </c>
      <c r="G227">
        <f t="shared" si="25"/>
        <v>10</v>
      </c>
      <c r="H227">
        <v>1</v>
      </c>
      <c r="I227">
        <f t="shared" si="26"/>
        <v>3</v>
      </c>
      <c r="J227">
        <f t="shared" si="27"/>
        <v>2025</v>
      </c>
      <c r="K227" s="17">
        <f t="shared" si="28"/>
        <v>45717</v>
      </c>
      <c r="L227">
        <f t="shared" si="29"/>
        <v>0</v>
      </c>
    </row>
    <row r="228" spans="1:12" x14ac:dyDescent="0.3">
      <c r="A228" s="38">
        <v>45723</v>
      </c>
      <c r="B228" s="39">
        <v>-0.16256855555585048</v>
      </c>
      <c r="C228" s="39">
        <v>3.5289997993767201</v>
      </c>
      <c r="D228" s="39">
        <v>-0.90764584775455148</v>
      </c>
      <c r="E228" s="39">
        <v>-0.87783490156900257</v>
      </c>
      <c r="G228">
        <f t="shared" si="25"/>
        <v>7</v>
      </c>
      <c r="H228">
        <v>1</v>
      </c>
      <c r="I228">
        <f t="shared" si="26"/>
        <v>3</v>
      </c>
      <c r="J228">
        <f t="shared" si="27"/>
        <v>2025</v>
      </c>
      <c r="K228" s="17">
        <f t="shared" si="28"/>
        <v>45717</v>
      </c>
      <c r="L228">
        <f t="shared" si="29"/>
        <v>0</v>
      </c>
    </row>
    <row r="229" spans="1:12" x14ac:dyDescent="0.3">
      <c r="A229" s="38">
        <v>45722</v>
      </c>
      <c r="B229" s="39">
        <v>0.27496331494056392</v>
      </c>
      <c r="C229" s="39">
        <v>3.8766378890898494</v>
      </c>
      <c r="D229" s="39">
        <v>-0.77338798278060494</v>
      </c>
      <c r="E229" s="39">
        <v>-0.22151353251226169</v>
      </c>
      <c r="G229">
        <f t="shared" si="25"/>
        <v>6</v>
      </c>
      <c r="H229">
        <v>1</v>
      </c>
      <c r="I229">
        <f t="shared" si="26"/>
        <v>3</v>
      </c>
      <c r="J229">
        <f t="shared" si="27"/>
        <v>2025</v>
      </c>
      <c r="K229" s="17">
        <f t="shared" si="28"/>
        <v>45717</v>
      </c>
      <c r="L229">
        <f t="shared" si="29"/>
        <v>0</v>
      </c>
    </row>
    <row r="230" spans="1:12" x14ac:dyDescent="0.3">
      <c r="A230" s="38">
        <v>45721</v>
      </c>
      <c r="B230" s="39">
        <v>-0.37486546485048677</v>
      </c>
      <c r="C230" s="39">
        <v>3.1365363411771767</v>
      </c>
      <c r="D230" s="39">
        <v>-2.0591374073890591</v>
      </c>
      <c r="E230" s="39">
        <v>-0.65670588691318699</v>
      </c>
      <c r="G230">
        <f t="shared" si="25"/>
        <v>5</v>
      </c>
      <c r="H230">
        <v>1</v>
      </c>
      <c r="I230">
        <f t="shared" si="26"/>
        <v>3</v>
      </c>
      <c r="J230">
        <f t="shared" si="27"/>
        <v>2025</v>
      </c>
      <c r="K230" s="17">
        <f t="shared" si="28"/>
        <v>45717</v>
      </c>
      <c r="L230">
        <f t="shared" si="29"/>
        <v>0</v>
      </c>
    </row>
    <row r="231" spans="1:12" x14ac:dyDescent="0.3">
      <c r="A231" s="38">
        <v>45720</v>
      </c>
      <c r="B231" s="39">
        <v>0.74517615134418236</v>
      </c>
      <c r="C231" s="39">
        <v>4.2356600869343595</v>
      </c>
      <c r="D231" s="39">
        <v>-0.8473632175015382</v>
      </c>
      <c r="E231" s="39">
        <v>0.40775853978219345</v>
      </c>
      <c r="G231">
        <f t="shared" si="25"/>
        <v>4</v>
      </c>
      <c r="H231">
        <v>1</v>
      </c>
      <c r="I231">
        <f t="shared" si="26"/>
        <v>3</v>
      </c>
      <c r="J231">
        <f t="shared" si="27"/>
        <v>2025</v>
      </c>
      <c r="K231" s="17">
        <f t="shared" si="28"/>
        <v>45717</v>
      </c>
      <c r="L231">
        <f t="shared" si="29"/>
        <v>1</v>
      </c>
    </row>
    <row r="232" spans="1:12" x14ac:dyDescent="0.3">
      <c r="A232" s="38">
        <v>45719</v>
      </c>
      <c r="B232" s="39">
        <v>0.34972479033541504</v>
      </c>
      <c r="C232" s="39">
        <v>4.044107266528826</v>
      </c>
      <c r="D232" s="39">
        <v>-0.87774357149905313</v>
      </c>
      <c r="E232" s="39">
        <v>-0.4931949454707194</v>
      </c>
      <c r="G232">
        <f t="shared" si="25"/>
        <v>3</v>
      </c>
      <c r="H232">
        <v>1</v>
      </c>
      <c r="I232">
        <f t="shared" si="26"/>
        <v>3</v>
      </c>
      <c r="J232">
        <f t="shared" si="27"/>
        <v>2025</v>
      </c>
      <c r="K232" s="17">
        <f t="shared" si="28"/>
        <v>45717</v>
      </c>
      <c r="L232">
        <f t="shared" si="29"/>
        <v>1</v>
      </c>
    </row>
    <row r="233" spans="1:12" x14ac:dyDescent="0.3">
      <c r="A233" s="38">
        <v>45716</v>
      </c>
      <c r="B233" s="39">
        <v>-0.97148646830758878</v>
      </c>
      <c r="C233" s="39">
        <v>0.21840797013295798</v>
      </c>
      <c r="D233" s="39">
        <v>-2.3947988949070123</v>
      </c>
      <c r="E233" s="39">
        <v>-1.4904015818568013</v>
      </c>
      <c r="G233">
        <f t="shared" si="25"/>
        <v>28</v>
      </c>
      <c r="H233">
        <v>1</v>
      </c>
      <c r="I233">
        <f t="shared" si="26"/>
        <v>2</v>
      </c>
      <c r="J233">
        <f t="shared" si="27"/>
        <v>2025</v>
      </c>
      <c r="K233" s="17">
        <f t="shared" si="28"/>
        <v>45689</v>
      </c>
      <c r="L233">
        <f t="shared" si="29"/>
        <v>0</v>
      </c>
    </row>
    <row r="234" spans="1:12" x14ac:dyDescent="0.3">
      <c r="A234" s="38">
        <v>45715</v>
      </c>
      <c r="B234" s="39">
        <v>1.0383988416649004E-2</v>
      </c>
      <c r="C234" s="39">
        <v>1.2716914806048152</v>
      </c>
      <c r="D234" s="39">
        <v>-1.1195564504973134</v>
      </c>
      <c r="E234" s="39">
        <v>-0.62095288463957843</v>
      </c>
      <c r="G234">
        <f t="shared" si="25"/>
        <v>27</v>
      </c>
      <c r="H234">
        <v>1</v>
      </c>
      <c r="I234">
        <f t="shared" si="26"/>
        <v>2</v>
      </c>
      <c r="J234">
        <f t="shared" si="27"/>
        <v>2025</v>
      </c>
      <c r="K234" s="17">
        <f t="shared" si="28"/>
        <v>45689</v>
      </c>
      <c r="L234">
        <f t="shared" si="29"/>
        <v>0</v>
      </c>
    </row>
    <row r="235" spans="1:12" x14ac:dyDescent="0.3">
      <c r="A235" s="38">
        <v>45714</v>
      </c>
      <c r="B235" s="39">
        <v>0.19733468823542921</v>
      </c>
      <c r="C235" s="39">
        <v>1.3602952083620181</v>
      </c>
      <c r="D235" s="39">
        <v>-1.4668851311895708</v>
      </c>
      <c r="E235" s="39">
        <v>-0.24696440374245299</v>
      </c>
      <c r="G235">
        <f t="shared" si="25"/>
        <v>26</v>
      </c>
      <c r="H235">
        <v>1</v>
      </c>
      <c r="I235">
        <f t="shared" si="26"/>
        <v>2</v>
      </c>
      <c r="J235">
        <f t="shared" si="27"/>
        <v>2025</v>
      </c>
      <c r="K235" s="17">
        <f t="shared" si="28"/>
        <v>45689</v>
      </c>
      <c r="L235">
        <f t="shared" si="29"/>
        <v>0</v>
      </c>
    </row>
    <row r="236" spans="1:12" x14ac:dyDescent="0.3">
      <c r="A236" s="38">
        <v>45713</v>
      </c>
      <c r="B236" s="39">
        <v>0.43792433127629238</v>
      </c>
      <c r="C236" s="39">
        <v>1.649761638009096</v>
      </c>
      <c r="D236" s="39">
        <v>-1.2854260649308458</v>
      </c>
      <c r="E236" s="39">
        <v>-0.11546121284480648</v>
      </c>
      <c r="G236">
        <f t="shared" si="25"/>
        <v>25</v>
      </c>
      <c r="H236">
        <v>1</v>
      </c>
      <c r="I236">
        <f t="shared" si="26"/>
        <v>2</v>
      </c>
      <c r="J236">
        <f t="shared" si="27"/>
        <v>2025</v>
      </c>
      <c r="K236" s="17">
        <f t="shared" si="28"/>
        <v>45689</v>
      </c>
      <c r="L236">
        <f t="shared" si="29"/>
        <v>0</v>
      </c>
    </row>
    <row r="237" spans="1:12" x14ac:dyDescent="0.3">
      <c r="A237" s="38">
        <v>45712</v>
      </c>
      <c r="B237" s="39">
        <v>0.78630715797112316</v>
      </c>
      <c r="C237" s="39">
        <v>2.0427651437985332</v>
      </c>
      <c r="D237" s="39">
        <v>-0.92667238242822236</v>
      </c>
      <c r="E237" s="39">
        <v>0.24201715631251375</v>
      </c>
      <c r="G237">
        <f t="shared" si="25"/>
        <v>24</v>
      </c>
      <c r="H237">
        <v>1</v>
      </c>
      <c r="I237">
        <f t="shared" si="26"/>
        <v>2</v>
      </c>
      <c r="J237">
        <f t="shared" si="27"/>
        <v>2025</v>
      </c>
      <c r="K237" s="17">
        <f t="shared" si="28"/>
        <v>45689</v>
      </c>
      <c r="L237">
        <f t="shared" si="29"/>
        <v>0</v>
      </c>
    </row>
    <row r="238" spans="1:12" x14ac:dyDescent="0.3">
      <c r="A238" s="38">
        <v>45709</v>
      </c>
      <c r="B238" s="39">
        <v>0.62182372221744231</v>
      </c>
      <c r="C238" s="39">
        <v>1.8915685339702293</v>
      </c>
      <c r="D238" s="39">
        <v>-1.0512857531081323</v>
      </c>
      <c r="E238" s="39">
        <v>-3.386959034187953E-2</v>
      </c>
      <c r="G238">
        <f t="shared" si="25"/>
        <v>21</v>
      </c>
      <c r="H238">
        <v>1</v>
      </c>
      <c r="I238">
        <f t="shared" si="26"/>
        <v>2</v>
      </c>
      <c r="J238">
        <f t="shared" si="27"/>
        <v>2025</v>
      </c>
      <c r="K238" s="17">
        <f t="shared" si="28"/>
        <v>45689</v>
      </c>
      <c r="L238">
        <f t="shared" si="29"/>
        <v>0</v>
      </c>
    </row>
    <row r="239" spans="1:12" x14ac:dyDescent="0.3">
      <c r="A239" s="38">
        <v>45708</v>
      </c>
      <c r="B239" s="39">
        <v>0.6372389027830252</v>
      </c>
      <c r="C239" s="39">
        <v>1.9351066417486891</v>
      </c>
      <c r="D239" s="39">
        <v>-1.2961256939247789</v>
      </c>
      <c r="E239" s="39">
        <v>3.0676789174606256E-2</v>
      </c>
      <c r="G239">
        <f t="shared" si="25"/>
        <v>20</v>
      </c>
      <c r="H239">
        <v>1</v>
      </c>
      <c r="I239">
        <f t="shared" si="26"/>
        <v>2</v>
      </c>
      <c r="J239">
        <f t="shared" si="27"/>
        <v>2025</v>
      </c>
      <c r="K239" s="17">
        <f t="shared" si="28"/>
        <v>45689</v>
      </c>
      <c r="L239">
        <f t="shared" si="29"/>
        <v>0</v>
      </c>
    </row>
    <row r="240" spans="1:12" x14ac:dyDescent="0.3">
      <c r="A240" s="38">
        <v>45707</v>
      </c>
      <c r="B240" s="39">
        <v>3.3011319976878895E-3</v>
      </c>
      <c r="C240" s="39">
        <v>1.3059771683446257</v>
      </c>
      <c r="D240" s="39">
        <v>-2.1558826848999217</v>
      </c>
      <c r="E240" s="39">
        <v>-0.52316677778888732</v>
      </c>
      <c r="G240">
        <f t="shared" si="25"/>
        <v>19</v>
      </c>
      <c r="H240">
        <v>1</v>
      </c>
      <c r="I240">
        <f t="shared" si="26"/>
        <v>2</v>
      </c>
      <c r="J240">
        <f t="shared" si="27"/>
        <v>2025</v>
      </c>
      <c r="K240" s="17">
        <f t="shared" si="28"/>
        <v>45689</v>
      </c>
      <c r="L240">
        <f t="shared" si="29"/>
        <v>0</v>
      </c>
    </row>
    <row r="241" spans="1:12" x14ac:dyDescent="0.3">
      <c r="A241" s="38">
        <v>45706</v>
      </c>
      <c r="B241" s="39">
        <v>1.1347420175444256</v>
      </c>
      <c r="C241" s="39">
        <v>2.4180500065551342</v>
      </c>
      <c r="D241" s="39">
        <v>-1.0397199117306002</v>
      </c>
      <c r="E241" s="39">
        <v>0.67544267274503511</v>
      </c>
      <c r="G241">
        <f t="shared" si="25"/>
        <v>18</v>
      </c>
      <c r="H241">
        <v>1</v>
      </c>
      <c r="I241">
        <f t="shared" si="26"/>
        <v>2</v>
      </c>
      <c r="J241">
        <f t="shared" si="27"/>
        <v>2025</v>
      </c>
      <c r="K241" s="17">
        <f t="shared" si="28"/>
        <v>45689</v>
      </c>
      <c r="L241">
        <f t="shared" si="29"/>
        <v>0</v>
      </c>
    </row>
    <row r="242" spans="1:12" x14ac:dyDescent="0.3">
      <c r="A242" s="38">
        <v>45705</v>
      </c>
      <c r="B242" s="39">
        <v>1.3178259707295013</v>
      </c>
      <c r="C242" s="39">
        <v>2.4861857158494445</v>
      </c>
      <c r="D242" s="39">
        <v>-0.8086795149762338</v>
      </c>
      <c r="E242" s="39">
        <v>0.91581933444049923</v>
      </c>
      <c r="G242">
        <f t="shared" si="25"/>
        <v>17</v>
      </c>
      <c r="H242">
        <v>1</v>
      </c>
      <c r="I242">
        <f t="shared" si="26"/>
        <v>2</v>
      </c>
      <c r="J242">
        <f t="shared" si="27"/>
        <v>2025</v>
      </c>
      <c r="K242" s="17">
        <f t="shared" si="28"/>
        <v>45689</v>
      </c>
      <c r="L242">
        <f t="shared" si="29"/>
        <v>0</v>
      </c>
    </row>
    <row r="243" spans="1:12" x14ac:dyDescent="0.3">
      <c r="A243" s="38">
        <v>45702</v>
      </c>
      <c r="B243" s="39">
        <v>1.4553131411321232</v>
      </c>
      <c r="C243" s="39">
        <v>2.6226100465106725</v>
      </c>
      <c r="D243" s="39">
        <v>-0.30107842527633011</v>
      </c>
      <c r="E243" s="39">
        <v>0.90247559017657863</v>
      </c>
      <c r="G243">
        <f t="shared" si="25"/>
        <v>14</v>
      </c>
      <c r="H243">
        <v>1</v>
      </c>
      <c r="I243">
        <f t="shared" si="26"/>
        <v>2</v>
      </c>
      <c r="J243">
        <f t="shared" si="27"/>
        <v>2025</v>
      </c>
      <c r="K243" s="17">
        <f t="shared" si="28"/>
        <v>45689</v>
      </c>
      <c r="L243">
        <f t="shared" si="29"/>
        <v>0</v>
      </c>
    </row>
    <row r="244" spans="1:12" x14ac:dyDescent="0.3">
      <c r="A244" s="38">
        <v>45701</v>
      </c>
      <c r="B244" s="39">
        <v>1.6126721161685396</v>
      </c>
      <c r="C244" s="39">
        <v>2.8343775974785501</v>
      </c>
      <c r="D244" s="39">
        <v>-7.9087618162958506E-2</v>
      </c>
      <c r="E244" s="39">
        <v>1.0537931527181286</v>
      </c>
      <c r="G244">
        <f t="shared" si="25"/>
        <v>13</v>
      </c>
      <c r="H244">
        <v>1</v>
      </c>
      <c r="I244">
        <f t="shared" si="26"/>
        <v>2</v>
      </c>
      <c r="J244">
        <f t="shared" si="27"/>
        <v>2025</v>
      </c>
      <c r="K244" s="17">
        <f t="shared" si="28"/>
        <v>45689</v>
      </c>
      <c r="L244">
        <f t="shared" si="29"/>
        <v>0</v>
      </c>
    </row>
    <row r="245" spans="1:12" x14ac:dyDescent="0.3">
      <c r="A245" s="38">
        <v>45700</v>
      </c>
      <c r="B245" s="39">
        <v>1.3162561009752096</v>
      </c>
      <c r="C245" s="39">
        <v>2.5513549544507157</v>
      </c>
      <c r="D245" s="39">
        <v>-0.28335678136679121</v>
      </c>
      <c r="E245" s="39">
        <v>0.58648942241480029</v>
      </c>
      <c r="G245">
        <f t="shared" si="25"/>
        <v>12</v>
      </c>
      <c r="H245">
        <v>1</v>
      </c>
      <c r="I245">
        <f t="shared" si="26"/>
        <v>2</v>
      </c>
      <c r="J245">
        <f t="shared" si="27"/>
        <v>2025</v>
      </c>
      <c r="K245" s="17">
        <f t="shared" si="28"/>
        <v>45689</v>
      </c>
      <c r="L245">
        <f t="shared" si="29"/>
        <v>0</v>
      </c>
    </row>
    <row r="246" spans="1:12" x14ac:dyDescent="0.3">
      <c r="A246" s="38">
        <v>45699</v>
      </c>
      <c r="B246" s="39">
        <v>0.77632126167593185</v>
      </c>
      <c r="C246" s="39">
        <v>2.0695785824294859</v>
      </c>
      <c r="D246" s="39">
        <v>-0.61189540477165849</v>
      </c>
      <c r="E246" s="39">
        <v>-4.7047575088797089E-2</v>
      </c>
      <c r="G246">
        <f t="shared" si="25"/>
        <v>11</v>
      </c>
      <c r="H246">
        <v>1</v>
      </c>
      <c r="I246">
        <f t="shared" si="26"/>
        <v>2</v>
      </c>
      <c r="J246">
        <f t="shared" si="27"/>
        <v>2025</v>
      </c>
      <c r="K246" s="17">
        <f t="shared" si="28"/>
        <v>45689</v>
      </c>
      <c r="L246">
        <f t="shared" si="29"/>
        <v>0</v>
      </c>
    </row>
    <row r="247" spans="1:12" x14ac:dyDescent="0.3">
      <c r="A247" s="38">
        <v>45698</v>
      </c>
      <c r="B247" s="39">
        <v>0.82630405694577291</v>
      </c>
      <c r="C247" s="39">
        <v>2.0864843869559024</v>
      </c>
      <c r="D247" s="39">
        <v>-0.63553590776099611</v>
      </c>
      <c r="E247" s="39">
        <v>0.11440089503363993</v>
      </c>
      <c r="G247">
        <f t="shared" si="25"/>
        <v>10</v>
      </c>
      <c r="H247">
        <v>1</v>
      </c>
      <c r="I247">
        <f t="shared" si="26"/>
        <v>2</v>
      </c>
      <c r="J247">
        <f t="shared" si="27"/>
        <v>2025</v>
      </c>
      <c r="K247" s="17">
        <f t="shared" si="28"/>
        <v>45689</v>
      </c>
      <c r="L247">
        <f t="shared" si="29"/>
        <v>0</v>
      </c>
    </row>
    <row r="248" spans="1:12" x14ac:dyDescent="0.3">
      <c r="A248" s="38">
        <v>45695</v>
      </c>
      <c r="B248" s="39">
        <v>0.62420433865642622</v>
      </c>
      <c r="C248" s="39">
        <v>1.861366091203422</v>
      </c>
      <c r="D248" s="39">
        <v>-0.77023653500420153</v>
      </c>
      <c r="E248" s="39">
        <v>-4.6316195543582239E-2</v>
      </c>
      <c r="G248">
        <f t="shared" si="25"/>
        <v>7</v>
      </c>
      <c r="H248">
        <v>1</v>
      </c>
      <c r="I248">
        <f t="shared" si="26"/>
        <v>2</v>
      </c>
      <c r="J248">
        <f t="shared" si="27"/>
        <v>2025</v>
      </c>
      <c r="K248" s="17">
        <f t="shared" si="28"/>
        <v>45689</v>
      </c>
      <c r="L248">
        <f t="shared" si="29"/>
        <v>0</v>
      </c>
    </row>
    <row r="249" spans="1:12" x14ac:dyDescent="0.3">
      <c r="A249" s="38">
        <v>45694</v>
      </c>
      <c r="B249" s="39">
        <v>9.7239433448535806E-2</v>
      </c>
      <c r="C249" s="39">
        <v>1.3367917074136386</v>
      </c>
      <c r="D249" s="39">
        <v>-1.4562981905760353</v>
      </c>
      <c r="E249" s="39">
        <v>-0.43698431859091613</v>
      </c>
      <c r="G249">
        <f t="shared" si="25"/>
        <v>6</v>
      </c>
      <c r="H249">
        <v>1</v>
      </c>
      <c r="I249">
        <f t="shared" si="26"/>
        <v>2</v>
      </c>
      <c r="J249">
        <f t="shared" si="27"/>
        <v>2025</v>
      </c>
      <c r="K249" s="17">
        <f t="shared" si="28"/>
        <v>45689</v>
      </c>
      <c r="L249">
        <f t="shared" si="29"/>
        <v>0</v>
      </c>
    </row>
    <row r="250" spans="1:12" x14ac:dyDescent="0.3">
      <c r="A250" s="38">
        <v>45693</v>
      </c>
      <c r="B250" s="39">
        <v>0.1772293276835768</v>
      </c>
      <c r="C250" s="39">
        <v>1.4244950019456581</v>
      </c>
      <c r="D250" s="39">
        <v>-1.4396234035270226</v>
      </c>
      <c r="E250" s="39">
        <v>-0.37021655732738168</v>
      </c>
      <c r="G250">
        <f t="shared" si="25"/>
        <v>5</v>
      </c>
      <c r="H250">
        <v>1</v>
      </c>
      <c r="I250">
        <f t="shared" si="26"/>
        <v>2</v>
      </c>
      <c r="J250">
        <f t="shared" si="27"/>
        <v>2025</v>
      </c>
      <c r="K250" s="17">
        <f t="shared" si="28"/>
        <v>45689</v>
      </c>
      <c r="L250">
        <f t="shared" si="29"/>
        <v>0</v>
      </c>
    </row>
    <row r="251" spans="1:12" x14ac:dyDescent="0.3">
      <c r="A251" s="38">
        <v>45692</v>
      </c>
      <c r="B251" s="39">
        <v>0.2863720419048974</v>
      </c>
      <c r="C251" s="39">
        <v>1.5668595452096667</v>
      </c>
      <c r="D251" s="39">
        <v>-1.6348686489499187</v>
      </c>
      <c r="E251" s="39">
        <v>-4.1702784328805365E-3</v>
      </c>
      <c r="G251">
        <f t="shared" si="25"/>
        <v>4</v>
      </c>
      <c r="H251">
        <v>1</v>
      </c>
      <c r="I251">
        <f t="shared" si="26"/>
        <v>2</v>
      </c>
      <c r="J251">
        <f t="shared" si="27"/>
        <v>2025</v>
      </c>
      <c r="K251" s="17">
        <f t="shared" si="28"/>
        <v>45689</v>
      </c>
      <c r="L251">
        <f t="shared" si="29"/>
        <v>1</v>
      </c>
    </row>
    <row r="252" spans="1:12" x14ac:dyDescent="0.3">
      <c r="A252" s="38">
        <v>45691</v>
      </c>
      <c r="B252" s="39">
        <v>0.71598033779937964</v>
      </c>
      <c r="C252" s="39">
        <v>1.9881246721025008</v>
      </c>
      <c r="D252" s="39">
        <v>-1.3924174404698988</v>
      </c>
      <c r="E252" s="39">
        <v>0.29489801828508178</v>
      </c>
      <c r="G252">
        <f t="shared" si="25"/>
        <v>3</v>
      </c>
      <c r="H252">
        <v>1</v>
      </c>
      <c r="I252">
        <f t="shared" si="26"/>
        <v>2</v>
      </c>
      <c r="J252">
        <f t="shared" si="27"/>
        <v>2025</v>
      </c>
      <c r="K252" s="17">
        <f t="shared" si="28"/>
        <v>45689</v>
      </c>
      <c r="L252">
        <f t="shared" si="29"/>
        <v>1</v>
      </c>
    </row>
    <row r="253" spans="1:12" x14ac:dyDescent="0.3">
      <c r="A253" s="38">
        <v>45688</v>
      </c>
      <c r="B253" s="39">
        <v>-2.7708818885372466E-3</v>
      </c>
      <c r="C253" s="39">
        <v>0.60488518251383994</v>
      </c>
      <c r="D253" s="39">
        <v>-1.6659869362393636</v>
      </c>
      <c r="E253" s="39">
        <v>-0.68011916813051698</v>
      </c>
      <c r="G253">
        <f t="shared" si="25"/>
        <v>31</v>
      </c>
      <c r="H253">
        <v>1</v>
      </c>
      <c r="I253">
        <f t="shared" si="26"/>
        <v>1</v>
      </c>
      <c r="J253">
        <f t="shared" si="27"/>
        <v>2025</v>
      </c>
      <c r="K253" s="17">
        <f t="shared" si="28"/>
        <v>45658</v>
      </c>
      <c r="L253">
        <f t="shared" si="29"/>
        <v>0</v>
      </c>
    </row>
    <row r="254" spans="1:12" x14ac:dyDescent="0.3">
      <c r="A254" s="38">
        <v>45685</v>
      </c>
      <c r="B254" s="39">
        <v>-1.1135747947968895</v>
      </c>
      <c r="C254" s="39">
        <v>-0.57679399690415778</v>
      </c>
      <c r="D254" s="39">
        <v>-2.8092028271458958</v>
      </c>
      <c r="E254" s="39">
        <v>-1.735368098405587</v>
      </c>
      <c r="G254">
        <f t="shared" si="25"/>
        <v>28</v>
      </c>
      <c r="H254">
        <v>1</v>
      </c>
      <c r="I254">
        <f t="shared" si="26"/>
        <v>1</v>
      </c>
      <c r="J254">
        <f t="shared" si="27"/>
        <v>2025</v>
      </c>
      <c r="K254" s="17">
        <f t="shared" si="28"/>
        <v>45658</v>
      </c>
      <c r="L254">
        <f t="shared" si="29"/>
        <v>0</v>
      </c>
    </row>
    <row r="255" spans="1:12" x14ac:dyDescent="0.3">
      <c r="A255" s="38">
        <v>45684</v>
      </c>
      <c r="B255" s="39">
        <v>-1.1283062535380282</v>
      </c>
      <c r="C255" s="39">
        <v>-0.62233149142062416</v>
      </c>
      <c r="D255" s="39">
        <v>-2.8238210535886878</v>
      </c>
      <c r="E255" s="39">
        <v>-1.7681898033851695</v>
      </c>
      <c r="G255">
        <f t="shared" si="25"/>
        <v>27</v>
      </c>
      <c r="H255">
        <v>1</v>
      </c>
      <c r="I255">
        <f t="shared" si="26"/>
        <v>1</v>
      </c>
      <c r="J255">
        <f t="shared" si="27"/>
        <v>2025</v>
      </c>
      <c r="K255" s="17">
        <f t="shared" si="28"/>
        <v>45658</v>
      </c>
      <c r="L255">
        <f t="shared" si="29"/>
        <v>0</v>
      </c>
    </row>
    <row r="256" spans="1:12" x14ac:dyDescent="0.3">
      <c r="A256" s="38">
        <v>45681</v>
      </c>
      <c r="B256" s="39">
        <v>-0.76171187214343661</v>
      </c>
      <c r="C256" s="39">
        <v>-0.27322837482216755</v>
      </c>
      <c r="D256" s="39">
        <v>-2.1771179878282112</v>
      </c>
      <c r="E256" s="39">
        <v>-1.4840235533426522</v>
      </c>
      <c r="G256">
        <f t="shared" si="25"/>
        <v>24</v>
      </c>
      <c r="H256">
        <v>1</v>
      </c>
      <c r="I256">
        <f t="shared" si="26"/>
        <v>1</v>
      </c>
      <c r="J256">
        <f t="shared" si="27"/>
        <v>2025</v>
      </c>
      <c r="K256" s="17">
        <f t="shared" si="28"/>
        <v>45658</v>
      </c>
      <c r="L256">
        <f t="shared" si="29"/>
        <v>0</v>
      </c>
    </row>
    <row r="257" spans="1:12" x14ac:dyDescent="0.3">
      <c r="A257" s="38">
        <v>45680</v>
      </c>
      <c r="B257" s="39">
        <v>-0.97611278969165483</v>
      </c>
      <c r="C257" s="39">
        <v>-0.50301942308139758</v>
      </c>
      <c r="D257" s="39">
        <v>-2.392412349726925</v>
      </c>
      <c r="E257" s="39">
        <v>-1.6736987760747013</v>
      </c>
      <c r="G257">
        <f t="shared" si="25"/>
        <v>23</v>
      </c>
      <c r="H257">
        <v>1</v>
      </c>
      <c r="I257">
        <f t="shared" si="26"/>
        <v>1</v>
      </c>
      <c r="J257">
        <f t="shared" si="27"/>
        <v>2025</v>
      </c>
      <c r="K257" s="17">
        <f t="shared" si="28"/>
        <v>45658</v>
      </c>
      <c r="L257">
        <f t="shared" si="29"/>
        <v>0</v>
      </c>
    </row>
    <row r="258" spans="1:12" x14ac:dyDescent="0.3">
      <c r="A258" s="38">
        <v>45679</v>
      </c>
      <c r="B258" s="39">
        <v>-0.80397374468600447</v>
      </c>
      <c r="C258" s="39">
        <v>-0.37572611474352868</v>
      </c>
      <c r="D258" s="39">
        <v>-2.1760357353000472</v>
      </c>
      <c r="E258" s="39">
        <v>-1.4002655274096298</v>
      </c>
      <c r="G258">
        <f t="shared" si="25"/>
        <v>22</v>
      </c>
      <c r="H258">
        <v>1</v>
      </c>
      <c r="I258">
        <f t="shared" si="26"/>
        <v>1</v>
      </c>
      <c r="J258">
        <f t="shared" si="27"/>
        <v>2025</v>
      </c>
      <c r="K258" s="17">
        <f t="shared" si="28"/>
        <v>45658</v>
      </c>
      <c r="L258">
        <f t="shared" si="29"/>
        <v>0</v>
      </c>
    </row>
    <row r="259" spans="1:12" x14ac:dyDescent="0.3">
      <c r="A259" s="38">
        <v>45678</v>
      </c>
      <c r="B259" s="39">
        <v>-1.1817702732298159</v>
      </c>
      <c r="C259" s="39">
        <v>-0.74729146106577105</v>
      </c>
      <c r="D259" s="39">
        <v>-2.421077617578888</v>
      </c>
      <c r="E259" s="39">
        <v>-1.89528549984081</v>
      </c>
      <c r="G259">
        <f t="shared" si="25"/>
        <v>21</v>
      </c>
      <c r="H259">
        <v>1</v>
      </c>
      <c r="I259">
        <f t="shared" si="26"/>
        <v>1</v>
      </c>
      <c r="J259">
        <f t="shared" si="27"/>
        <v>2025</v>
      </c>
      <c r="K259" s="17">
        <f t="shared" si="28"/>
        <v>45658</v>
      </c>
      <c r="L259">
        <f t="shared" si="29"/>
        <v>0</v>
      </c>
    </row>
    <row r="260" spans="1:12" x14ac:dyDescent="0.3">
      <c r="A260" s="38">
        <v>45677</v>
      </c>
      <c r="B260" s="39">
        <v>-0.64821436022923251</v>
      </c>
      <c r="C260" s="39">
        <v>-0.18163777994526242</v>
      </c>
      <c r="D260" s="39">
        <v>-2.0755270728990922</v>
      </c>
      <c r="E260" s="39">
        <v>-1.2913575758906148</v>
      </c>
      <c r="G260">
        <f t="shared" si="25"/>
        <v>20</v>
      </c>
      <c r="H260">
        <v>1</v>
      </c>
      <c r="I260">
        <f t="shared" si="26"/>
        <v>1</v>
      </c>
      <c r="J260">
        <f t="shared" si="27"/>
        <v>2025</v>
      </c>
      <c r="K260" s="17">
        <f t="shared" si="28"/>
        <v>45658</v>
      </c>
      <c r="L260">
        <f t="shared" si="29"/>
        <v>0</v>
      </c>
    </row>
    <row r="261" spans="1:12" x14ac:dyDescent="0.3">
      <c r="A261" s="38">
        <v>45674</v>
      </c>
      <c r="B261" s="39">
        <v>-1.1262103594596198</v>
      </c>
      <c r="C261" s="39">
        <v>-0.73707386282623588</v>
      </c>
      <c r="D261" s="39">
        <v>-2.8173732720735103</v>
      </c>
      <c r="E261" s="39">
        <v>-1.7171803366116762</v>
      </c>
      <c r="G261">
        <f t="shared" ref="G261:G324" si="30">+DAY(A261)</f>
        <v>17</v>
      </c>
      <c r="H261">
        <v>1</v>
      </c>
      <c r="I261">
        <f t="shared" ref="I261:I324" si="31">+MONTH(A261)</f>
        <v>1</v>
      </c>
      <c r="J261">
        <f t="shared" ref="J261:J324" si="32">+YEAR(A261)</f>
        <v>2025</v>
      </c>
      <c r="K261" s="17">
        <f t="shared" ref="K261:K324" si="33">+DATE(J261,I261,H261)</f>
        <v>45658</v>
      </c>
      <c r="L261">
        <f t="shared" ref="L261:L324" si="34">IF(AND(G261&gt;=1, G261&lt;=4), 1, 0)</f>
        <v>0</v>
      </c>
    </row>
    <row r="262" spans="1:12" x14ac:dyDescent="0.3">
      <c r="A262" s="38">
        <v>45673</v>
      </c>
      <c r="B262" s="39">
        <v>-1.0562809273416889</v>
      </c>
      <c r="C262" s="39">
        <v>-0.65815596981362035</v>
      </c>
      <c r="D262" s="39">
        <v>-2.9221793739215087</v>
      </c>
      <c r="E262" s="39">
        <v>-1.5869333781276964</v>
      </c>
      <c r="G262">
        <f t="shared" si="30"/>
        <v>16</v>
      </c>
      <c r="H262">
        <v>1</v>
      </c>
      <c r="I262">
        <f t="shared" si="31"/>
        <v>1</v>
      </c>
      <c r="J262">
        <f t="shared" si="32"/>
        <v>2025</v>
      </c>
      <c r="K262" s="17">
        <f t="shared" si="33"/>
        <v>45658</v>
      </c>
      <c r="L262">
        <f t="shared" si="34"/>
        <v>0</v>
      </c>
    </row>
    <row r="263" spans="1:12" x14ac:dyDescent="0.3">
      <c r="A263" s="38">
        <v>45672</v>
      </c>
      <c r="B263" s="39">
        <v>-0.15040184662653644</v>
      </c>
      <c r="C263" s="39">
        <v>0.18587609137760808</v>
      </c>
      <c r="D263" s="39">
        <v>-2.416243373364523</v>
      </c>
      <c r="E263" s="39">
        <v>-0.48331403787027227</v>
      </c>
      <c r="G263">
        <f t="shared" si="30"/>
        <v>15</v>
      </c>
      <c r="H263">
        <v>1</v>
      </c>
      <c r="I263">
        <f t="shared" si="31"/>
        <v>1</v>
      </c>
      <c r="J263">
        <f t="shared" si="32"/>
        <v>2025</v>
      </c>
      <c r="K263" s="17">
        <f t="shared" si="33"/>
        <v>45658</v>
      </c>
      <c r="L263">
        <f t="shared" si="34"/>
        <v>0</v>
      </c>
    </row>
    <row r="264" spans="1:12" x14ac:dyDescent="0.3">
      <c r="A264" s="38">
        <v>45671</v>
      </c>
      <c r="B264" s="39">
        <v>-0.35610882364082386</v>
      </c>
      <c r="C264" s="39">
        <v>-5.9634024585619727E-3</v>
      </c>
      <c r="D264" s="39">
        <v>-2.5812728563197851</v>
      </c>
      <c r="E264" s="39">
        <v>-0.74463356764613309</v>
      </c>
      <c r="G264">
        <f t="shared" si="30"/>
        <v>14</v>
      </c>
      <c r="H264">
        <v>1</v>
      </c>
      <c r="I264">
        <f t="shared" si="31"/>
        <v>1</v>
      </c>
      <c r="J264">
        <f t="shared" si="32"/>
        <v>2025</v>
      </c>
      <c r="K264" s="17">
        <f t="shared" si="33"/>
        <v>45658</v>
      </c>
      <c r="L264">
        <f t="shared" si="34"/>
        <v>0</v>
      </c>
    </row>
    <row r="265" spans="1:12" x14ac:dyDescent="0.3">
      <c r="A265" s="38">
        <v>45670</v>
      </c>
      <c r="B265" s="39">
        <v>1.1309966141535313</v>
      </c>
      <c r="C265" s="39">
        <v>1.4804974658178338</v>
      </c>
      <c r="D265" s="39">
        <v>-0.89433418575404744</v>
      </c>
      <c r="E265" s="39">
        <v>0.66109672151640098</v>
      </c>
      <c r="G265">
        <f t="shared" si="30"/>
        <v>13</v>
      </c>
      <c r="H265">
        <v>1</v>
      </c>
      <c r="I265">
        <f t="shared" si="31"/>
        <v>1</v>
      </c>
      <c r="J265">
        <f t="shared" si="32"/>
        <v>2025</v>
      </c>
      <c r="K265" s="17">
        <f t="shared" si="33"/>
        <v>45658</v>
      </c>
      <c r="L265">
        <f t="shared" si="34"/>
        <v>0</v>
      </c>
    </row>
    <row r="266" spans="1:12" x14ac:dyDescent="0.3">
      <c r="A266" s="38">
        <v>45667</v>
      </c>
      <c r="B266" s="39">
        <v>1.9186064266098413</v>
      </c>
      <c r="C266" s="39">
        <v>2.191573453867548</v>
      </c>
      <c r="D266" s="39">
        <v>-0.35954795951138863</v>
      </c>
      <c r="E266" s="39">
        <v>1.7588654050100416</v>
      </c>
      <c r="G266">
        <f t="shared" si="30"/>
        <v>10</v>
      </c>
      <c r="H266">
        <v>1</v>
      </c>
      <c r="I266">
        <f t="shared" si="31"/>
        <v>1</v>
      </c>
      <c r="J266">
        <f t="shared" si="32"/>
        <v>2025</v>
      </c>
      <c r="K266" s="17">
        <f t="shared" si="33"/>
        <v>45658</v>
      </c>
      <c r="L266">
        <f t="shared" si="34"/>
        <v>0</v>
      </c>
    </row>
    <row r="267" spans="1:12" x14ac:dyDescent="0.3">
      <c r="A267" s="38">
        <v>45666</v>
      </c>
      <c r="B267" s="39">
        <v>2.2030046296416828</v>
      </c>
      <c r="C267" s="39">
        <v>2.4549608100778357</v>
      </c>
      <c r="D267" s="39">
        <v>6.7897031279429143E-2</v>
      </c>
      <c r="E267" s="39">
        <v>2.1088856377975418</v>
      </c>
      <c r="G267">
        <f t="shared" si="30"/>
        <v>9</v>
      </c>
      <c r="H267">
        <v>1</v>
      </c>
      <c r="I267">
        <f t="shared" si="31"/>
        <v>1</v>
      </c>
      <c r="J267">
        <f t="shared" si="32"/>
        <v>2025</v>
      </c>
      <c r="K267" s="17">
        <f t="shared" si="33"/>
        <v>45658</v>
      </c>
      <c r="L267">
        <f t="shared" si="34"/>
        <v>0</v>
      </c>
    </row>
    <row r="268" spans="1:12" x14ac:dyDescent="0.3">
      <c r="A268" s="38">
        <v>45665</v>
      </c>
      <c r="B268" s="39">
        <v>1.8756527742443154</v>
      </c>
      <c r="C268" s="39">
        <v>2.096955223822107</v>
      </c>
      <c r="D268" s="39">
        <v>-0.49140619593849522</v>
      </c>
      <c r="E268" s="39">
        <v>1.7527209475497187</v>
      </c>
      <c r="G268">
        <f t="shared" si="30"/>
        <v>8</v>
      </c>
      <c r="H268">
        <v>1</v>
      </c>
      <c r="I268">
        <f t="shared" si="31"/>
        <v>1</v>
      </c>
      <c r="J268">
        <f t="shared" si="32"/>
        <v>2025</v>
      </c>
      <c r="K268" s="17">
        <f t="shared" si="33"/>
        <v>45658</v>
      </c>
      <c r="L268">
        <f t="shared" si="34"/>
        <v>0</v>
      </c>
    </row>
    <row r="269" spans="1:12" x14ac:dyDescent="0.3">
      <c r="A269" s="38">
        <v>45664</v>
      </c>
      <c r="B269" s="39">
        <v>2.2965123488157815</v>
      </c>
      <c r="C269" s="39">
        <v>2.4901077101891644</v>
      </c>
      <c r="D269" s="39">
        <v>-0.23590715634128401</v>
      </c>
      <c r="E269" s="39">
        <v>2.2419411780688989</v>
      </c>
      <c r="G269">
        <f t="shared" si="30"/>
        <v>7</v>
      </c>
      <c r="H269">
        <v>1</v>
      </c>
      <c r="I269">
        <f t="shared" si="31"/>
        <v>1</v>
      </c>
      <c r="J269">
        <f t="shared" si="32"/>
        <v>2025</v>
      </c>
      <c r="K269" s="17">
        <f t="shared" si="33"/>
        <v>45658</v>
      </c>
      <c r="L269">
        <f t="shared" si="34"/>
        <v>0</v>
      </c>
    </row>
    <row r="270" spans="1:12" x14ac:dyDescent="0.3">
      <c r="A270" s="38">
        <v>45663</v>
      </c>
      <c r="B270" s="39">
        <v>2.4882930123496578</v>
      </c>
      <c r="C270" s="39">
        <v>2.7154809450285171</v>
      </c>
      <c r="D270" s="39">
        <v>0.15004059077836018</v>
      </c>
      <c r="E270" s="39">
        <v>2.3116828802146898</v>
      </c>
      <c r="G270">
        <f t="shared" si="30"/>
        <v>6</v>
      </c>
      <c r="H270">
        <v>1</v>
      </c>
      <c r="I270">
        <f t="shared" si="31"/>
        <v>1</v>
      </c>
      <c r="J270">
        <f t="shared" si="32"/>
        <v>2025</v>
      </c>
      <c r="K270" s="17">
        <f t="shared" si="33"/>
        <v>45658</v>
      </c>
      <c r="L270">
        <f t="shared" si="34"/>
        <v>0</v>
      </c>
    </row>
    <row r="271" spans="1:12" x14ac:dyDescent="0.3">
      <c r="A271" s="38">
        <v>45660</v>
      </c>
      <c r="B271" s="39">
        <v>3.151480727882813</v>
      </c>
      <c r="C271" s="39">
        <v>3.2972630921384933</v>
      </c>
      <c r="D271" s="39">
        <v>1.0801721553962267</v>
      </c>
      <c r="E271" s="39">
        <v>2.9272837299875079</v>
      </c>
      <c r="G271">
        <f t="shared" si="30"/>
        <v>3</v>
      </c>
      <c r="H271">
        <v>1</v>
      </c>
      <c r="I271">
        <f t="shared" si="31"/>
        <v>1</v>
      </c>
      <c r="J271">
        <f t="shared" si="32"/>
        <v>2025</v>
      </c>
      <c r="K271" s="17">
        <f t="shared" si="33"/>
        <v>45658</v>
      </c>
      <c r="L271">
        <f t="shared" si="34"/>
        <v>1</v>
      </c>
    </row>
    <row r="272" spans="1:12" x14ac:dyDescent="0.3">
      <c r="A272" s="38">
        <v>45659</v>
      </c>
      <c r="B272" s="39">
        <v>3.4986774205155626</v>
      </c>
      <c r="C272" s="39">
        <v>3.6961020337988657</v>
      </c>
      <c r="D272" s="39">
        <v>1.289041374655767</v>
      </c>
      <c r="E272" s="39">
        <v>3.3025644175431381</v>
      </c>
      <c r="G272">
        <f t="shared" si="30"/>
        <v>2</v>
      </c>
      <c r="H272">
        <v>1</v>
      </c>
      <c r="I272">
        <f t="shared" si="31"/>
        <v>1</v>
      </c>
      <c r="J272">
        <f t="shared" si="32"/>
        <v>2025</v>
      </c>
      <c r="K272" s="17">
        <f t="shared" si="33"/>
        <v>45658</v>
      </c>
      <c r="L272">
        <f t="shared" si="34"/>
        <v>1</v>
      </c>
    </row>
    <row r="273" spans="1:12" x14ac:dyDescent="0.3">
      <c r="A273" s="38">
        <v>45657</v>
      </c>
      <c r="B273" s="39">
        <v>1.6090663298431167</v>
      </c>
      <c r="C273" s="39">
        <v>2.6572050718411759</v>
      </c>
      <c r="D273" s="39">
        <v>-0.26045347467241697</v>
      </c>
      <c r="E273" s="39">
        <v>1.3973331399788549</v>
      </c>
      <c r="G273">
        <f t="shared" si="30"/>
        <v>31</v>
      </c>
      <c r="H273">
        <v>1</v>
      </c>
      <c r="I273">
        <f t="shared" si="31"/>
        <v>12</v>
      </c>
      <c r="J273">
        <f t="shared" si="32"/>
        <v>2024</v>
      </c>
      <c r="K273" s="17">
        <f t="shared" si="33"/>
        <v>45627</v>
      </c>
      <c r="L273">
        <f t="shared" si="34"/>
        <v>0</v>
      </c>
    </row>
    <row r="274" spans="1:12" x14ac:dyDescent="0.3">
      <c r="A274" s="38">
        <v>45656</v>
      </c>
      <c r="B274" s="39">
        <v>1.1889398933139006</v>
      </c>
      <c r="C274" s="39">
        <v>2.2803356085727984</v>
      </c>
      <c r="D274" s="39">
        <v>-0.61990369880503238</v>
      </c>
      <c r="E274" s="39">
        <v>1.0553311685264219</v>
      </c>
      <c r="G274">
        <f t="shared" si="30"/>
        <v>30</v>
      </c>
      <c r="H274">
        <v>1</v>
      </c>
      <c r="I274">
        <f t="shared" si="31"/>
        <v>12</v>
      </c>
      <c r="J274">
        <f t="shared" si="32"/>
        <v>2024</v>
      </c>
      <c r="K274" s="17">
        <f t="shared" si="33"/>
        <v>45627</v>
      </c>
      <c r="L274">
        <f t="shared" si="34"/>
        <v>0</v>
      </c>
    </row>
    <row r="275" spans="1:12" x14ac:dyDescent="0.3">
      <c r="A275" s="38">
        <v>45653</v>
      </c>
      <c r="B275" s="39">
        <v>0.73100675541854798</v>
      </c>
      <c r="C275" s="39">
        <v>1.8469515623738459</v>
      </c>
      <c r="D275" s="39">
        <v>-0.87950223994826615</v>
      </c>
      <c r="E275" s="39">
        <v>0.51549121260383401</v>
      </c>
      <c r="G275">
        <f t="shared" si="30"/>
        <v>27</v>
      </c>
      <c r="H275">
        <v>1</v>
      </c>
      <c r="I275">
        <f t="shared" si="31"/>
        <v>12</v>
      </c>
      <c r="J275">
        <f t="shared" si="32"/>
        <v>2024</v>
      </c>
      <c r="K275" s="17">
        <f t="shared" si="33"/>
        <v>45627</v>
      </c>
      <c r="L275">
        <f t="shared" si="34"/>
        <v>0</v>
      </c>
    </row>
    <row r="276" spans="1:12" x14ac:dyDescent="0.3">
      <c r="A276" s="38">
        <v>45650</v>
      </c>
      <c r="B276" s="39">
        <v>2.0164584577574658</v>
      </c>
      <c r="C276" s="39">
        <v>3.098780102259866</v>
      </c>
      <c r="D276" s="39">
        <v>0.32534765202093752</v>
      </c>
      <c r="E276" s="39">
        <v>1.8529096024977463</v>
      </c>
      <c r="G276">
        <f t="shared" si="30"/>
        <v>24</v>
      </c>
      <c r="H276">
        <v>1</v>
      </c>
      <c r="I276">
        <f t="shared" si="31"/>
        <v>12</v>
      </c>
      <c r="J276">
        <f t="shared" si="32"/>
        <v>2024</v>
      </c>
      <c r="K276" s="17">
        <f t="shared" si="33"/>
        <v>45627</v>
      </c>
      <c r="L276">
        <f t="shared" si="34"/>
        <v>0</v>
      </c>
    </row>
    <row r="277" spans="1:12" x14ac:dyDescent="0.3">
      <c r="A277" s="38">
        <v>45649</v>
      </c>
      <c r="B277" s="39">
        <v>2.5249684242375281</v>
      </c>
      <c r="C277" s="39">
        <v>3.5941828247400309</v>
      </c>
      <c r="D277" s="39">
        <v>0.75031808182512805</v>
      </c>
      <c r="E277" s="39">
        <v>2.4133945047527163</v>
      </c>
      <c r="G277">
        <f t="shared" si="30"/>
        <v>23</v>
      </c>
      <c r="H277">
        <v>1</v>
      </c>
      <c r="I277">
        <f t="shared" si="31"/>
        <v>12</v>
      </c>
      <c r="J277">
        <f t="shared" si="32"/>
        <v>2024</v>
      </c>
      <c r="K277" s="17">
        <f t="shared" si="33"/>
        <v>45627</v>
      </c>
      <c r="L277">
        <f t="shared" si="34"/>
        <v>0</v>
      </c>
    </row>
    <row r="278" spans="1:12" x14ac:dyDescent="0.3">
      <c r="A278" s="38">
        <v>45646</v>
      </c>
      <c r="B278" s="39">
        <v>2.4683491118189949</v>
      </c>
      <c r="C278" s="39">
        <v>3.5879433699728622</v>
      </c>
      <c r="D278" s="39">
        <v>0.84371674562848398</v>
      </c>
      <c r="E278" s="39">
        <v>2.3513869954137334</v>
      </c>
      <c r="G278">
        <f t="shared" si="30"/>
        <v>20</v>
      </c>
      <c r="H278">
        <v>1</v>
      </c>
      <c r="I278">
        <f t="shared" si="31"/>
        <v>12</v>
      </c>
      <c r="J278">
        <f t="shared" si="32"/>
        <v>2024</v>
      </c>
      <c r="K278" s="17">
        <f t="shared" si="33"/>
        <v>45627</v>
      </c>
      <c r="L278">
        <f t="shared" si="34"/>
        <v>0</v>
      </c>
    </row>
    <row r="279" spans="1:12" x14ac:dyDescent="0.3">
      <c r="A279" s="38">
        <v>45645</v>
      </c>
      <c r="B279" s="39">
        <v>2.9888515372260684</v>
      </c>
      <c r="C279" s="39">
        <v>4.1063597787397583</v>
      </c>
      <c r="D279" s="39">
        <v>1.2651008209855661</v>
      </c>
      <c r="E279" s="39">
        <v>2.9092803649613757</v>
      </c>
      <c r="G279">
        <f t="shared" si="30"/>
        <v>19</v>
      </c>
      <c r="H279">
        <v>1</v>
      </c>
      <c r="I279">
        <f t="shared" si="31"/>
        <v>12</v>
      </c>
      <c r="J279">
        <f t="shared" si="32"/>
        <v>2024</v>
      </c>
      <c r="K279" s="17">
        <f t="shared" si="33"/>
        <v>45627</v>
      </c>
      <c r="L279">
        <f t="shared" si="34"/>
        <v>0</v>
      </c>
    </row>
    <row r="280" spans="1:12" x14ac:dyDescent="0.3">
      <c r="A280" s="38">
        <v>45644</v>
      </c>
      <c r="B280" s="39">
        <v>2.58052565519273</v>
      </c>
      <c r="C280" s="39">
        <v>3.7462795055017466</v>
      </c>
      <c r="D280" s="39">
        <v>0.62572394239144558</v>
      </c>
      <c r="E280" s="39">
        <v>2.5009656472331727</v>
      </c>
      <c r="G280">
        <f t="shared" si="30"/>
        <v>18</v>
      </c>
      <c r="H280">
        <v>1</v>
      </c>
      <c r="I280">
        <f t="shared" si="31"/>
        <v>12</v>
      </c>
      <c r="J280">
        <f t="shared" si="32"/>
        <v>2024</v>
      </c>
      <c r="K280" s="17">
        <f t="shared" si="33"/>
        <v>45627</v>
      </c>
      <c r="L280">
        <f t="shared" si="34"/>
        <v>0</v>
      </c>
    </row>
    <row r="281" spans="1:12" x14ac:dyDescent="0.3">
      <c r="A281" s="38">
        <v>45643</v>
      </c>
      <c r="B281" s="39">
        <v>2.6409469876611098</v>
      </c>
      <c r="C281" s="39">
        <v>3.7689106526887883</v>
      </c>
      <c r="D281" s="39">
        <v>0.49350262694844105</v>
      </c>
      <c r="E281" s="39">
        <v>2.6592227015304672</v>
      </c>
      <c r="G281">
        <f t="shared" si="30"/>
        <v>17</v>
      </c>
      <c r="H281">
        <v>1</v>
      </c>
      <c r="I281">
        <f t="shared" si="31"/>
        <v>12</v>
      </c>
      <c r="J281">
        <f t="shared" si="32"/>
        <v>2024</v>
      </c>
      <c r="K281" s="17">
        <f t="shared" si="33"/>
        <v>45627</v>
      </c>
      <c r="L281">
        <f t="shared" si="34"/>
        <v>0</v>
      </c>
    </row>
    <row r="282" spans="1:12" x14ac:dyDescent="0.3">
      <c r="A282" s="38">
        <v>45642</v>
      </c>
      <c r="B282" s="39">
        <v>2.8680082011684789</v>
      </c>
      <c r="C282" s="39">
        <v>4.0126669564360782</v>
      </c>
      <c r="D282" s="39">
        <v>0.6626192885722304</v>
      </c>
      <c r="E282" s="39">
        <v>2.8168330184375492</v>
      </c>
      <c r="G282">
        <f t="shared" si="30"/>
        <v>16</v>
      </c>
      <c r="H282">
        <v>1</v>
      </c>
      <c r="I282">
        <f t="shared" si="31"/>
        <v>12</v>
      </c>
      <c r="J282">
        <f t="shared" si="32"/>
        <v>2024</v>
      </c>
      <c r="K282" s="17">
        <f t="shared" si="33"/>
        <v>45627</v>
      </c>
      <c r="L282">
        <f t="shared" si="34"/>
        <v>0</v>
      </c>
    </row>
    <row r="283" spans="1:12" x14ac:dyDescent="0.3">
      <c r="A283" s="38">
        <v>45639</v>
      </c>
      <c r="B283" s="39">
        <v>3.1204812898860865</v>
      </c>
      <c r="C283" s="39">
        <v>4.2379938892110687</v>
      </c>
      <c r="D283" s="39">
        <v>0.53707210418045292</v>
      </c>
      <c r="E283" s="39">
        <v>3.21996607158502</v>
      </c>
      <c r="G283">
        <f t="shared" si="30"/>
        <v>13</v>
      </c>
      <c r="H283">
        <v>1</v>
      </c>
      <c r="I283">
        <f t="shared" si="31"/>
        <v>12</v>
      </c>
      <c r="J283">
        <f t="shared" si="32"/>
        <v>2024</v>
      </c>
      <c r="K283" s="17">
        <f t="shared" si="33"/>
        <v>45627</v>
      </c>
      <c r="L283">
        <f t="shared" si="34"/>
        <v>0</v>
      </c>
    </row>
    <row r="284" spans="1:12" x14ac:dyDescent="0.3">
      <c r="A284" s="38">
        <v>45638</v>
      </c>
      <c r="B284" s="39">
        <v>2.8558585485183414</v>
      </c>
      <c r="C284" s="39">
        <v>3.9553352916237259</v>
      </c>
      <c r="D284" s="39">
        <v>0.41372103308043506</v>
      </c>
      <c r="E284" s="39">
        <v>2.9594502107590017</v>
      </c>
      <c r="G284">
        <f t="shared" si="30"/>
        <v>12</v>
      </c>
      <c r="H284">
        <v>1</v>
      </c>
      <c r="I284">
        <f t="shared" si="31"/>
        <v>12</v>
      </c>
      <c r="J284">
        <f t="shared" si="32"/>
        <v>2024</v>
      </c>
      <c r="K284" s="17">
        <f t="shared" si="33"/>
        <v>45627</v>
      </c>
      <c r="L284">
        <f t="shared" si="34"/>
        <v>0</v>
      </c>
    </row>
    <row r="285" spans="1:12" x14ac:dyDescent="0.3">
      <c r="A285" s="38">
        <v>45637</v>
      </c>
      <c r="B285" s="39">
        <v>2.6005519128326711</v>
      </c>
      <c r="C285" s="39">
        <v>3.7501637476634215</v>
      </c>
      <c r="D285" s="39">
        <v>5.9113958291163726E-3</v>
      </c>
      <c r="E285" s="39">
        <v>2.7975953186751923</v>
      </c>
      <c r="G285">
        <f t="shared" si="30"/>
        <v>11</v>
      </c>
      <c r="H285">
        <v>1</v>
      </c>
      <c r="I285">
        <f t="shared" si="31"/>
        <v>12</v>
      </c>
      <c r="J285">
        <f t="shared" si="32"/>
        <v>2024</v>
      </c>
      <c r="K285" s="17">
        <f t="shared" si="33"/>
        <v>45627</v>
      </c>
      <c r="L285">
        <f t="shared" si="34"/>
        <v>0</v>
      </c>
    </row>
    <row r="286" spans="1:12" x14ac:dyDescent="0.3">
      <c r="A286" s="38">
        <v>45636</v>
      </c>
      <c r="B286" s="39">
        <v>2.6963900225019444</v>
      </c>
      <c r="C286" s="39">
        <v>3.8706734206613902</v>
      </c>
      <c r="D286" s="39">
        <v>0.44609448899707616</v>
      </c>
      <c r="E286" s="39">
        <v>2.8856960211643923</v>
      </c>
      <c r="G286">
        <f t="shared" si="30"/>
        <v>10</v>
      </c>
      <c r="H286">
        <v>1</v>
      </c>
      <c r="I286">
        <f t="shared" si="31"/>
        <v>12</v>
      </c>
      <c r="J286">
        <f t="shared" si="32"/>
        <v>2024</v>
      </c>
      <c r="K286" s="17">
        <f t="shared" si="33"/>
        <v>45627</v>
      </c>
      <c r="L286">
        <f t="shared" si="34"/>
        <v>0</v>
      </c>
    </row>
    <row r="287" spans="1:12" x14ac:dyDescent="0.3">
      <c r="A287" s="38">
        <v>45635</v>
      </c>
      <c r="B287" s="39">
        <v>2.2517843149494468</v>
      </c>
      <c r="C287" s="39">
        <v>3.4262033378171282</v>
      </c>
      <c r="D287" s="39">
        <v>0.23855532748362407</v>
      </c>
      <c r="E287" s="39">
        <v>2.3608171933707638</v>
      </c>
      <c r="G287">
        <f t="shared" si="30"/>
        <v>9</v>
      </c>
      <c r="H287">
        <v>1</v>
      </c>
      <c r="I287">
        <f t="shared" si="31"/>
        <v>12</v>
      </c>
      <c r="J287">
        <f t="shared" si="32"/>
        <v>2024</v>
      </c>
      <c r="K287" s="17">
        <f t="shared" si="33"/>
        <v>45627</v>
      </c>
      <c r="L287">
        <f t="shared" si="34"/>
        <v>0</v>
      </c>
    </row>
    <row r="288" spans="1:12" x14ac:dyDescent="0.3">
      <c r="A288" s="38">
        <v>45632</v>
      </c>
      <c r="B288" s="39">
        <v>2.0381737347840527</v>
      </c>
      <c r="C288" s="39">
        <v>3.2859803003588866</v>
      </c>
      <c r="D288" s="39">
        <v>5.3293746510419737E-2</v>
      </c>
      <c r="E288" s="39">
        <v>2.0911581334558065</v>
      </c>
      <c r="G288">
        <f t="shared" si="30"/>
        <v>6</v>
      </c>
      <c r="H288">
        <v>1</v>
      </c>
      <c r="I288">
        <f t="shared" si="31"/>
        <v>12</v>
      </c>
      <c r="J288">
        <f t="shared" si="32"/>
        <v>2024</v>
      </c>
      <c r="K288" s="17">
        <f t="shared" si="33"/>
        <v>45627</v>
      </c>
      <c r="L288">
        <f t="shared" si="34"/>
        <v>0</v>
      </c>
    </row>
    <row r="289" spans="1:12" x14ac:dyDescent="0.3">
      <c r="A289" s="38">
        <v>45631</v>
      </c>
      <c r="B289" s="39">
        <v>2.0939248691066865</v>
      </c>
      <c r="C289" s="39">
        <v>3.3625616256258013</v>
      </c>
      <c r="D289" s="39">
        <v>-7.0943459999199376E-2</v>
      </c>
      <c r="E289" s="39">
        <v>2.1470002486572497</v>
      </c>
      <c r="G289">
        <f t="shared" si="30"/>
        <v>5</v>
      </c>
      <c r="H289">
        <v>1</v>
      </c>
      <c r="I289">
        <f t="shared" si="31"/>
        <v>12</v>
      </c>
      <c r="J289">
        <f t="shared" si="32"/>
        <v>2024</v>
      </c>
      <c r="K289" s="17">
        <f t="shared" si="33"/>
        <v>45627</v>
      </c>
      <c r="L289">
        <f t="shared" si="34"/>
        <v>0</v>
      </c>
    </row>
    <row r="290" spans="1:12" x14ac:dyDescent="0.3">
      <c r="A290" s="38">
        <v>45630</v>
      </c>
      <c r="B290" s="39">
        <v>2.0902440795087074</v>
      </c>
      <c r="C290" s="39">
        <v>3.4093700059107732</v>
      </c>
      <c r="D290" s="39">
        <v>-4.8709469994250298E-2</v>
      </c>
      <c r="E290" s="39">
        <v>1.9753361661231423</v>
      </c>
      <c r="G290">
        <f t="shared" si="30"/>
        <v>4</v>
      </c>
      <c r="H290">
        <v>1</v>
      </c>
      <c r="I290">
        <f t="shared" si="31"/>
        <v>12</v>
      </c>
      <c r="J290">
        <f t="shared" si="32"/>
        <v>2024</v>
      </c>
      <c r="K290" s="17">
        <f t="shared" si="33"/>
        <v>45627</v>
      </c>
      <c r="L290">
        <f t="shared" si="34"/>
        <v>1</v>
      </c>
    </row>
    <row r="291" spans="1:12" x14ac:dyDescent="0.3">
      <c r="A291" s="38">
        <v>45629</v>
      </c>
      <c r="B291" s="39">
        <v>2.7282662614685051</v>
      </c>
      <c r="C291" s="39">
        <v>4.0919352009773036</v>
      </c>
      <c r="D291" s="39">
        <v>0.88875479455727202</v>
      </c>
      <c r="E291" s="39">
        <v>2.5711951779244941</v>
      </c>
      <c r="G291">
        <f t="shared" si="30"/>
        <v>3</v>
      </c>
      <c r="H291">
        <v>1</v>
      </c>
      <c r="I291">
        <f t="shared" si="31"/>
        <v>12</v>
      </c>
      <c r="J291">
        <f t="shared" si="32"/>
        <v>2024</v>
      </c>
      <c r="K291" s="17">
        <f t="shared" si="33"/>
        <v>45627</v>
      </c>
      <c r="L291">
        <f t="shared" si="34"/>
        <v>1</v>
      </c>
    </row>
    <row r="292" spans="1:12" x14ac:dyDescent="0.3">
      <c r="A292" s="38">
        <v>45628</v>
      </c>
      <c r="B292" s="39">
        <v>3.0001253705052164</v>
      </c>
      <c r="C292" s="39">
        <v>4.3781635276238546</v>
      </c>
      <c r="D292" s="39">
        <v>1.5416992404646948</v>
      </c>
      <c r="E292" s="39">
        <v>2.6780411458739337</v>
      </c>
      <c r="G292">
        <f t="shared" si="30"/>
        <v>2</v>
      </c>
      <c r="H292">
        <v>1</v>
      </c>
      <c r="I292">
        <f t="shared" si="31"/>
        <v>12</v>
      </c>
      <c r="J292">
        <f t="shared" si="32"/>
        <v>2024</v>
      </c>
      <c r="K292" s="17">
        <f t="shared" si="33"/>
        <v>45627</v>
      </c>
      <c r="L292">
        <f t="shared" si="34"/>
        <v>1</v>
      </c>
    </row>
    <row r="293" spans="1:12" x14ac:dyDescent="0.3">
      <c r="A293" s="38">
        <v>45625</v>
      </c>
      <c r="B293" s="39">
        <v>2.5235164102749792</v>
      </c>
      <c r="C293" s="39">
        <v>4.3781536835417825</v>
      </c>
      <c r="D293" s="39">
        <v>1.1019727689288459</v>
      </c>
      <c r="E293" s="39">
        <v>2.288727475789841</v>
      </c>
      <c r="G293">
        <f t="shared" si="30"/>
        <v>29</v>
      </c>
      <c r="H293">
        <v>1</v>
      </c>
      <c r="I293">
        <f t="shared" si="31"/>
        <v>11</v>
      </c>
      <c r="J293">
        <f t="shared" si="32"/>
        <v>2024</v>
      </c>
      <c r="K293" s="17">
        <f t="shared" si="33"/>
        <v>45597</v>
      </c>
      <c r="L293">
        <f t="shared" si="34"/>
        <v>0</v>
      </c>
    </row>
    <row r="294" spans="1:12" x14ac:dyDescent="0.3">
      <c r="A294" s="38">
        <v>45624</v>
      </c>
      <c r="B294" s="39">
        <v>2.3797016517640088</v>
      </c>
      <c r="C294" s="39">
        <v>4.2333930761359539</v>
      </c>
      <c r="D294" s="39">
        <v>0.93344042850122833</v>
      </c>
      <c r="E294" s="39">
        <v>2.2129756641554792</v>
      </c>
      <c r="G294">
        <f t="shared" si="30"/>
        <v>28</v>
      </c>
      <c r="H294">
        <v>1</v>
      </c>
      <c r="I294">
        <f t="shared" si="31"/>
        <v>11</v>
      </c>
      <c r="J294">
        <f t="shared" si="32"/>
        <v>2024</v>
      </c>
      <c r="K294" s="17">
        <f t="shared" si="33"/>
        <v>45597</v>
      </c>
      <c r="L294">
        <f t="shared" si="34"/>
        <v>0</v>
      </c>
    </row>
    <row r="295" spans="1:12" x14ac:dyDescent="0.3">
      <c r="A295" s="38">
        <v>45623</v>
      </c>
      <c r="B295" s="39">
        <v>2.5234725777554274</v>
      </c>
      <c r="C295" s="39">
        <v>4.3590508753167967</v>
      </c>
      <c r="D295" s="39">
        <v>0.99514091924491765</v>
      </c>
      <c r="E295" s="39">
        <v>2.3561040997733187</v>
      </c>
      <c r="G295">
        <f t="shared" si="30"/>
        <v>27</v>
      </c>
      <c r="H295">
        <v>1</v>
      </c>
      <c r="I295">
        <f t="shared" si="31"/>
        <v>11</v>
      </c>
      <c r="J295">
        <f t="shared" si="32"/>
        <v>2024</v>
      </c>
      <c r="K295" s="17">
        <f t="shared" si="33"/>
        <v>45597</v>
      </c>
      <c r="L295">
        <f t="shared" si="34"/>
        <v>0</v>
      </c>
    </row>
    <row r="296" spans="1:12" x14ac:dyDescent="0.3">
      <c r="A296" s="38">
        <v>45622</v>
      </c>
      <c r="B296" s="39">
        <v>2.7131607565294189</v>
      </c>
      <c r="C296" s="39">
        <v>4.4861195816561832</v>
      </c>
      <c r="D296" s="39">
        <v>0.95310286890547502</v>
      </c>
      <c r="E296" s="39">
        <v>2.6820658434175613</v>
      </c>
      <c r="G296">
        <f t="shared" si="30"/>
        <v>26</v>
      </c>
      <c r="H296">
        <v>1</v>
      </c>
      <c r="I296">
        <f t="shared" si="31"/>
        <v>11</v>
      </c>
      <c r="J296">
        <f t="shared" si="32"/>
        <v>2024</v>
      </c>
      <c r="K296" s="17">
        <f t="shared" si="33"/>
        <v>45597</v>
      </c>
      <c r="L296">
        <f t="shared" si="34"/>
        <v>0</v>
      </c>
    </row>
    <row r="297" spans="1:12" x14ac:dyDescent="0.3">
      <c r="A297" s="38">
        <v>45621</v>
      </c>
      <c r="B297" s="39">
        <v>2.4068114545154202</v>
      </c>
      <c r="C297" s="39">
        <v>4.1352459795912324</v>
      </c>
      <c r="D297" s="39">
        <v>0.47657118654093722</v>
      </c>
      <c r="E297" s="39">
        <v>2.4018491166015394</v>
      </c>
      <c r="G297">
        <f t="shared" si="30"/>
        <v>25</v>
      </c>
      <c r="H297">
        <v>1</v>
      </c>
      <c r="I297">
        <f t="shared" si="31"/>
        <v>11</v>
      </c>
      <c r="J297">
        <f t="shared" si="32"/>
        <v>2024</v>
      </c>
      <c r="K297" s="17">
        <f t="shared" si="33"/>
        <v>45597</v>
      </c>
      <c r="L297">
        <f t="shared" si="34"/>
        <v>0</v>
      </c>
    </row>
    <row r="298" spans="1:12" x14ac:dyDescent="0.3">
      <c r="A298" s="38">
        <v>45618</v>
      </c>
      <c r="B298" s="39">
        <v>2.5161314417872376</v>
      </c>
      <c r="C298" s="39">
        <v>4.2125738051289119</v>
      </c>
      <c r="D298" s="39">
        <v>0.87424114423970423</v>
      </c>
      <c r="E298" s="39">
        <v>2.4394742117708859</v>
      </c>
      <c r="G298">
        <f t="shared" si="30"/>
        <v>22</v>
      </c>
      <c r="H298">
        <v>1</v>
      </c>
      <c r="I298">
        <f t="shared" si="31"/>
        <v>11</v>
      </c>
      <c r="J298">
        <f t="shared" si="32"/>
        <v>2024</v>
      </c>
      <c r="K298" s="17">
        <f t="shared" si="33"/>
        <v>45597</v>
      </c>
      <c r="L298">
        <f t="shared" si="34"/>
        <v>0</v>
      </c>
    </row>
    <row r="299" spans="1:12" x14ac:dyDescent="0.3">
      <c r="A299" s="38">
        <v>45617</v>
      </c>
      <c r="B299" s="39">
        <v>2.690471664078359</v>
      </c>
      <c r="C299" s="39">
        <v>4.3327444842663425</v>
      </c>
      <c r="D299" s="39">
        <v>0.93294169937753679</v>
      </c>
      <c r="E299" s="39">
        <v>2.7945916321954059</v>
      </c>
      <c r="G299">
        <f t="shared" si="30"/>
        <v>21</v>
      </c>
      <c r="H299">
        <v>1</v>
      </c>
      <c r="I299">
        <f t="shared" si="31"/>
        <v>11</v>
      </c>
      <c r="J299">
        <f t="shared" si="32"/>
        <v>2024</v>
      </c>
      <c r="K299" s="17">
        <f t="shared" si="33"/>
        <v>45597</v>
      </c>
      <c r="L299">
        <f t="shared" si="34"/>
        <v>0</v>
      </c>
    </row>
    <row r="300" spans="1:12" x14ac:dyDescent="0.3">
      <c r="A300" s="38">
        <v>45616</v>
      </c>
      <c r="B300" s="39">
        <v>2.4048808140618831</v>
      </c>
      <c r="C300" s="39">
        <v>4.1016051178603306</v>
      </c>
      <c r="D300" s="39">
        <v>0.8803204931997044</v>
      </c>
      <c r="E300" s="39">
        <v>2.4247545033023385</v>
      </c>
      <c r="G300">
        <f t="shared" si="30"/>
        <v>20</v>
      </c>
      <c r="H300">
        <v>1</v>
      </c>
      <c r="I300">
        <f t="shared" si="31"/>
        <v>11</v>
      </c>
      <c r="J300">
        <f t="shared" si="32"/>
        <v>2024</v>
      </c>
      <c r="K300" s="17">
        <f t="shared" si="33"/>
        <v>45597</v>
      </c>
      <c r="L300">
        <f t="shared" si="34"/>
        <v>0</v>
      </c>
    </row>
    <row r="301" spans="1:12" x14ac:dyDescent="0.3">
      <c r="A301" s="38">
        <v>45615</v>
      </c>
      <c r="B301" s="39">
        <v>2.6330094915062858</v>
      </c>
      <c r="C301" s="39">
        <v>4.3200342327070587</v>
      </c>
      <c r="D301" s="39">
        <v>1.1289141425523468</v>
      </c>
      <c r="E301" s="39">
        <v>2.7319995730748019</v>
      </c>
      <c r="G301">
        <f t="shared" si="30"/>
        <v>19</v>
      </c>
      <c r="H301">
        <v>1</v>
      </c>
      <c r="I301">
        <f t="shared" si="31"/>
        <v>11</v>
      </c>
      <c r="J301">
        <f t="shared" si="32"/>
        <v>2024</v>
      </c>
      <c r="K301" s="17">
        <f t="shared" si="33"/>
        <v>45597</v>
      </c>
      <c r="L301">
        <f t="shared" si="34"/>
        <v>0</v>
      </c>
    </row>
    <row r="302" spans="1:12" x14ac:dyDescent="0.3">
      <c r="A302" s="38">
        <v>45614</v>
      </c>
      <c r="B302" s="39">
        <v>2.4875786077624014</v>
      </c>
      <c r="C302" s="39">
        <v>4.2521666894564447</v>
      </c>
      <c r="D302" s="39">
        <v>1.060159917440842</v>
      </c>
      <c r="E302" s="39">
        <v>2.5654733378198102</v>
      </c>
      <c r="G302">
        <f t="shared" si="30"/>
        <v>18</v>
      </c>
      <c r="H302">
        <v>1</v>
      </c>
      <c r="I302">
        <f t="shared" si="31"/>
        <v>11</v>
      </c>
      <c r="J302">
        <f t="shared" si="32"/>
        <v>2024</v>
      </c>
      <c r="K302" s="17">
        <f t="shared" si="33"/>
        <v>45597</v>
      </c>
      <c r="L302">
        <f t="shared" si="34"/>
        <v>0</v>
      </c>
    </row>
    <row r="303" spans="1:12" x14ac:dyDescent="0.3">
      <c r="A303" s="38">
        <v>45611</v>
      </c>
      <c r="B303" s="39">
        <v>1.9572722823671</v>
      </c>
      <c r="C303" s="39">
        <v>3.7805281063954084</v>
      </c>
      <c r="D303" s="39">
        <v>0.85878821426892671</v>
      </c>
      <c r="E303" s="39">
        <v>1.9401153327200547</v>
      </c>
      <c r="G303">
        <f t="shared" si="30"/>
        <v>15</v>
      </c>
      <c r="H303">
        <v>1</v>
      </c>
      <c r="I303">
        <f t="shared" si="31"/>
        <v>11</v>
      </c>
      <c r="J303">
        <f t="shared" si="32"/>
        <v>2024</v>
      </c>
      <c r="K303" s="17">
        <f t="shared" si="33"/>
        <v>45597</v>
      </c>
      <c r="L303">
        <f t="shared" si="34"/>
        <v>0</v>
      </c>
    </row>
    <row r="304" spans="1:12" x14ac:dyDescent="0.3">
      <c r="A304" s="38">
        <v>45610</v>
      </c>
      <c r="B304" s="39">
        <v>2.416926542341713</v>
      </c>
      <c r="C304" s="39">
        <v>4.2180637006418635</v>
      </c>
      <c r="D304" s="39">
        <v>1.455226259524153</v>
      </c>
      <c r="E304" s="39">
        <v>2.2862058464622379</v>
      </c>
      <c r="G304">
        <f t="shared" si="30"/>
        <v>14</v>
      </c>
      <c r="H304">
        <v>1</v>
      </c>
      <c r="I304">
        <f t="shared" si="31"/>
        <v>11</v>
      </c>
      <c r="J304">
        <f t="shared" si="32"/>
        <v>2024</v>
      </c>
      <c r="K304" s="17">
        <f t="shared" si="33"/>
        <v>45597</v>
      </c>
      <c r="L304">
        <f t="shared" si="34"/>
        <v>0</v>
      </c>
    </row>
    <row r="305" spans="1:12" x14ac:dyDescent="0.3">
      <c r="A305" s="38">
        <v>45609</v>
      </c>
      <c r="B305" s="39">
        <v>2.4632207894712934</v>
      </c>
      <c r="C305" s="39">
        <v>4.1750239550833044</v>
      </c>
      <c r="D305" s="39">
        <v>1.2076041848463603</v>
      </c>
      <c r="E305" s="39">
        <v>2.3631662311512969</v>
      </c>
      <c r="G305">
        <f t="shared" si="30"/>
        <v>13</v>
      </c>
      <c r="H305">
        <v>1</v>
      </c>
      <c r="I305">
        <f t="shared" si="31"/>
        <v>11</v>
      </c>
      <c r="J305">
        <f t="shared" si="32"/>
        <v>2024</v>
      </c>
      <c r="K305" s="17">
        <f t="shared" si="33"/>
        <v>45597</v>
      </c>
      <c r="L305">
        <f t="shared" si="34"/>
        <v>0</v>
      </c>
    </row>
    <row r="306" spans="1:12" x14ac:dyDescent="0.3">
      <c r="A306" s="38">
        <v>45608</v>
      </c>
      <c r="B306" s="39">
        <v>2.5116620486647037</v>
      </c>
      <c r="C306" s="39">
        <v>4.188170407773427</v>
      </c>
      <c r="D306" s="39">
        <v>0.87866920299958906</v>
      </c>
      <c r="E306" s="39">
        <v>2.5156007727137109</v>
      </c>
      <c r="G306">
        <f t="shared" si="30"/>
        <v>12</v>
      </c>
      <c r="H306">
        <v>1</v>
      </c>
      <c r="I306">
        <f t="shared" si="31"/>
        <v>11</v>
      </c>
      <c r="J306">
        <f t="shared" si="32"/>
        <v>2024</v>
      </c>
      <c r="K306" s="17">
        <f t="shared" si="33"/>
        <v>45597</v>
      </c>
      <c r="L306">
        <f t="shared" si="34"/>
        <v>0</v>
      </c>
    </row>
    <row r="307" spans="1:12" x14ac:dyDescent="0.3">
      <c r="A307" s="38">
        <v>45607</v>
      </c>
      <c r="B307" s="39">
        <v>2.2810607098412561</v>
      </c>
      <c r="C307" s="39">
        <v>3.9055697856312719</v>
      </c>
      <c r="D307" s="39">
        <v>0.72036189832360265</v>
      </c>
      <c r="E307" s="39">
        <v>2.2055844841827508</v>
      </c>
      <c r="G307">
        <f t="shared" si="30"/>
        <v>11</v>
      </c>
      <c r="H307">
        <v>1</v>
      </c>
      <c r="I307">
        <f t="shared" si="31"/>
        <v>11</v>
      </c>
      <c r="J307">
        <f t="shared" si="32"/>
        <v>2024</v>
      </c>
      <c r="K307" s="17">
        <f t="shared" si="33"/>
        <v>45597</v>
      </c>
      <c r="L307">
        <f t="shared" si="34"/>
        <v>0</v>
      </c>
    </row>
    <row r="308" spans="1:12" x14ac:dyDescent="0.3">
      <c r="A308" s="38">
        <v>45604</v>
      </c>
      <c r="B308" s="39">
        <v>2.3600708723236039</v>
      </c>
      <c r="C308" s="39">
        <v>3.9330203484163206</v>
      </c>
      <c r="D308" s="39">
        <v>0.76325037293091214</v>
      </c>
      <c r="E308" s="39">
        <v>2.3361686711999141</v>
      </c>
      <c r="G308">
        <f t="shared" si="30"/>
        <v>8</v>
      </c>
      <c r="H308">
        <v>1</v>
      </c>
      <c r="I308">
        <f t="shared" si="31"/>
        <v>11</v>
      </c>
      <c r="J308">
        <f t="shared" si="32"/>
        <v>2024</v>
      </c>
      <c r="K308" s="17">
        <f t="shared" si="33"/>
        <v>45597</v>
      </c>
      <c r="L308">
        <f t="shared" si="34"/>
        <v>0</v>
      </c>
    </row>
    <row r="309" spans="1:12" x14ac:dyDescent="0.3">
      <c r="A309" s="38">
        <v>45603</v>
      </c>
      <c r="B309" s="39">
        <v>2.1888442419141967</v>
      </c>
      <c r="C309" s="39">
        <v>3.6958114214454554</v>
      </c>
      <c r="D309" s="39">
        <v>0.83294965754880934</v>
      </c>
      <c r="E309" s="39">
        <v>2.211837043349604</v>
      </c>
      <c r="G309">
        <f t="shared" si="30"/>
        <v>7</v>
      </c>
      <c r="H309">
        <v>1</v>
      </c>
      <c r="I309">
        <f t="shared" si="31"/>
        <v>11</v>
      </c>
      <c r="J309">
        <f t="shared" si="32"/>
        <v>2024</v>
      </c>
      <c r="K309" s="17">
        <f t="shared" si="33"/>
        <v>45597</v>
      </c>
      <c r="L309">
        <f t="shared" si="34"/>
        <v>0</v>
      </c>
    </row>
    <row r="310" spans="1:12" x14ac:dyDescent="0.3">
      <c r="A310" s="38">
        <v>45602</v>
      </c>
      <c r="B310" s="39">
        <v>2.8677790096599551</v>
      </c>
      <c r="C310" s="39">
        <v>4.3754540872050569</v>
      </c>
      <c r="D310" s="39">
        <v>1.8659490381579218</v>
      </c>
      <c r="E310" s="39">
        <v>2.8686082899787806</v>
      </c>
      <c r="G310">
        <f t="shared" si="30"/>
        <v>6</v>
      </c>
      <c r="H310">
        <v>1</v>
      </c>
      <c r="I310">
        <f t="shared" si="31"/>
        <v>11</v>
      </c>
      <c r="J310">
        <f t="shared" si="32"/>
        <v>2024</v>
      </c>
      <c r="K310" s="17">
        <f t="shared" si="33"/>
        <v>45597</v>
      </c>
      <c r="L310">
        <f t="shared" si="34"/>
        <v>0</v>
      </c>
    </row>
    <row r="311" spans="1:12" x14ac:dyDescent="0.3">
      <c r="A311" s="38">
        <v>45601</v>
      </c>
      <c r="B311" s="39">
        <v>3.0417585477305664</v>
      </c>
      <c r="C311" s="39">
        <v>4.574253292821254</v>
      </c>
      <c r="D311" s="39">
        <v>1.8236785095017325</v>
      </c>
      <c r="E311" s="39">
        <v>2.9550305058275654</v>
      </c>
      <c r="G311">
        <f t="shared" si="30"/>
        <v>5</v>
      </c>
      <c r="H311">
        <v>1</v>
      </c>
      <c r="I311">
        <f t="shared" si="31"/>
        <v>11</v>
      </c>
      <c r="J311">
        <f t="shared" si="32"/>
        <v>2024</v>
      </c>
      <c r="K311" s="17">
        <f t="shared" si="33"/>
        <v>45597</v>
      </c>
      <c r="L311">
        <f t="shared" si="34"/>
        <v>0</v>
      </c>
    </row>
    <row r="312" spans="1:12" x14ac:dyDescent="0.3">
      <c r="A312" s="38">
        <v>45600</v>
      </c>
      <c r="B312" s="39">
        <v>3.1977389832756273</v>
      </c>
      <c r="C312" s="39">
        <v>4.6565090853727895</v>
      </c>
      <c r="D312" s="39">
        <v>1.9393910177951312</v>
      </c>
      <c r="E312" s="39">
        <v>3.1720057776215356</v>
      </c>
      <c r="G312">
        <f t="shared" si="30"/>
        <v>4</v>
      </c>
      <c r="H312">
        <v>1</v>
      </c>
      <c r="I312">
        <f t="shared" si="31"/>
        <v>11</v>
      </c>
      <c r="J312">
        <f t="shared" si="32"/>
        <v>2024</v>
      </c>
      <c r="K312" s="17">
        <f t="shared" si="33"/>
        <v>45597</v>
      </c>
      <c r="L312">
        <f t="shared" si="34"/>
        <v>1</v>
      </c>
    </row>
    <row r="313" spans="1:12" x14ac:dyDescent="0.3">
      <c r="A313" s="38">
        <v>45597</v>
      </c>
      <c r="B313" s="39">
        <v>3.1903020802974709</v>
      </c>
      <c r="C313" s="39">
        <v>4.7134350884526839</v>
      </c>
      <c r="D313" s="39">
        <v>2.3507714056522104</v>
      </c>
      <c r="E313" s="39">
        <v>3.0365557832196117</v>
      </c>
      <c r="G313">
        <f t="shared" si="30"/>
        <v>1</v>
      </c>
      <c r="H313">
        <v>1</v>
      </c>
      <c r="I313">
        <f t="shared" si="31"/>
        <v>11</v>
      </c>
      <c r="J313">
        <f t="shared" si="32"/>
        <v>2024</v>
      </c>
      <c r="K313" s="17">
        <f t="shared" si="33"/>
        <v>45597</v>
      </c>
      <c r="L313">
        <f t="shared" si="34"/>
        <v>1</v>
      </c>
    </row>
    <row r="314" spans="1:12" x14ac:dyDescent="0.3">
      <c r="A314" s="38">
        <v>45595</v>
      </c>
      <c r="B314" s="39">
        <v>2.5612607207818883</v>
      </c>
      <c r="C314" s="39">
        <v>3.329097829012241</v>
      </c>
      <c r="D314" s="39">
        <v>1.9111722266551965</v>
      </c>
      <c r="E314" s="39">
        <v>2.1129738833034253</v>
      </c>
      <c r="G314">
        <f t="shared" si="30"/>
        <v>30</v>
      </c>
      <c r="H314">
        <v>1</v>
      </c>
      <c r="I314">
        <f t="shared" si="31"/>
        <v>10</v>
      </c>
      <c r="J314">
        <f t="shared" si="32"/>
        <v>2024</v>
      </c>
      <c r="K314" s="17">
        <f t="shared" si="33"/>
        <v>45566</v>
      </c>
      <c r="L314">
        <f t="shared" si="34"/>
        <v>0</v>
      </c>
    </row>
    <row r="315" spans="1:12" x14ac:dyDescent="0.3">
      <c r="A315" s="38">
        <v>45594</v>
      </c>
      <c r="B315" s="39">
        <v>3.1022109125274397</v>
      </c>
      <c r="C315" s="39">
        <v>3.9072553365207625</v>
      </c>
      <c r="D315" s="39">
        <v>2.5836069531695642</v>
      </c>
      <c r="E315" s="39">
        <v>2.6909529934426644</v>
      </c>
      <c r="G315">
        <f t="shared" si="30"/>
        <v>29</v>
      </c>
      <c r="H315">
        <v>1</v>
      </c>
      <c r="I315">
        <f t="shared" si="31"/>
        <v>10</v>
      </c>
      <c r="J315">
        <f t="shared" si="32"/>
        <v>2024</v>
      </c>
      <c r="K315" s="17">
        <f t="shared" si="33"/>
        <v>45566</v>
      </c>
      <c r="L315">
        <f t="shared" si="34"/>
        <v>0</v>
      </c>
    </row>
    <row r="316" spans="1:12" x14ac:dyDescent="0.3">
      <c r="A316" s="38">
        <v>45593</v>
      </c>
      <c r="B316" s="39">
        <v>2.3542691784675611</v>
      </c>
      <c r="C316" s="39">
        <v>3.2333421136780487</v>
      </c>
      <c r="D316" s="39">
        <v>1.5777427914391069</v>
      </c>
      <c r="E316" s="39">
        <v>1.9691591106900148</v>
      </c>
      <c r="G316">
        <f t="shared" si="30"/>
        <v>28</v>
      </c>
      <c r="H316">
        <v>1</v>
      </c>
      <c r="I316">
        <f t="shared" si="31"/>
        <v>10</v>
      </c>
      <c r="J316">
        <f t="shared" si="32"/>
        <v>2024</v>
      </c>
      <c r="K316" s="17">
        <f t="shared" si="33"/>
        <v>45566</v>
      </c>
      <c r="L316">
        <f t="shared" si="34"/>
        <v>0</v>
      </c>
    </row>
    <row r="317" spans="1:12" x14ac:dyDescent="0.3">
      <c r="A317" s="38">
        <v>45590</v>
      </c>
      <c r="B317" s="39">
        <v>2.1090524413588128</v>
      </c>
      <c r="C317" s="39">
        <v>2.9511204351852314</v>
      </c>
      <c r="D317" s="39">
        <v>1.40483832613603</v>
      </c>
      <c r="E317" s="39">
        <v>1.5636919577471673</v>
      </c>
      <c r="G317">
        <f t="shared" si="30"/>
        <v>25</v>
      </c>
      <c r="H317">
        <v>1</v>
      </c>
      <c r="I317">
        <f t="shared" si="31"/>
        <v>10</v>
      </c>
      <c r="J317">
        <f t="shared" si="32"/>
        <v>2024</v>
      </c>
      <c r="K317" s="17">
        <f t="shared" si="33"/>
        <v>45566</v>
      </c>
      <c r="L317">
        <f t="shared" si="34"/>
        <v>0</v>
      </c>
    </row>
    <row r="318" spans="1:12" x14ac:dyDescent="0.3">
      <c r="A318" s="38">
        <v>45589</v>
      </c>
      <c r="B318" s="39">
        <v>1.5358063126752057</v>
      </c>
      <c r="C318" s="39">
        <v>2.3260770701000837</v>
      </c>
      <c r="D318" s="39">
        <v>0.68674570810067337</v>
      </c>
      <c r="E318" s="39">
        <v>0.94499574728097002</v>
      </c>
      <c r="G318">
        <f t="shared" si="30"/>
        <v>24</v>
      </c>
      <c r="H318">
        <v>1</v>
      </c>
      <c r="I318">
        <f t="shared" si="31"/>
        <v>10</v>
      </c>
      <c r="J318">
        <f t="shared" si="32"/>
        <v>2024</v>
      </c>
      <c r="K318" s="17">
        <f t="shared" si="33"/>
        <v>45566</v>
      </c>
      <c r="L318">
        <f t="shared" si="34"/>
        <v>0</v>
      </c>
    </row>
    <row r="319" spans="1:12" x14ac:dyDescent="0.3">
      <c r="A319" s="38">
        <v>45588</v>
      </c>
      <c r="B319" s="39">
        <v>1.351965337333354</v>
      </c>
      <c r="C319" s="39">
        <v>2.1647375227649093</v>
      </c>
      <c r="D319" s="39">
        <v>0.50335372940851641</v>
      </c>
      <c r="E319" s="39">
        <v>0.81339910519095326</v>
      </c>
      <c r="G319">
        <f t="shared" si="30"/>
        <v>23</v>
      </c>
      <c r="H319">
        <v>1</v>
      </c>
      <c r="I319">
        <f t="shared" si="31"/>
        <v>10</v>
      </c>
      <c r="J319">
        <f t="shared" si="32"/>
        <v>2024</v>
      </c>
      <c r="K319" s="17">
        <f t="shared" si="33"/>
        <v>45566</v>
      </c>
      <c r="L319">
        <f t="shared" si="34"/>
        <v>0</v>
      </c>
    </row>
    <row r="320" spans="1:12" x14ac:dyDescent="0.3">
      <c r="A320" s="38">
        <v>45587</v>
      </c>
      <c r="B320" s="39">
        <v>0.89001700713855314</v>
      </c>
      <c r="C320" s="39">
        <v>1.6947613430342585</v>
      </c>
      <c r="D320" s="39">
        <v>-0.10145857413994008</v>
      </c>
      <c r="E320" s="39">
        <v>0.5871855967635895</v>
      </c>
      <c r="G320">
        <f t="shared" si="30"/>
        <v>22</v>
      </c>
      <c r="H320">
        <v>1</v>
      </c>
      <c r="I320">
        <f t="shared" si="31"/>
        <v>10</v>
      </c>
      <c r="J320">
        <f t="shared" si="32"/>
        <v>2024</v>
      </c>
      <c r="K320" s="17">
        <f t="shared" si="33"/>
        <v>45566</v>
      </c>
      <c r="L320">
        <f t="shared" si="34"/>
        <v>0</v>
      </c>
    </row>
    <row r="321" spans="1:12" x14ac:dyDescent="0.3">
      <c r="A321" s="38">
        <v>45586</v>
      </c>
      <c r="B321" s="39">
        <v>0.88067569596587703</v>
      </c>
      <c r="C321" s="39">
        <v>1.6615660179068925</v>
      </c>
      <c r="D321" s="39">
        <v>-0.61542241377284768</v>
      </c>
      <c r="E321" s="39">
        <v>0.70794476563439446</v>
      </c>
      <c r="G321">
        <f t="shared" si="30"/>
        <v>21</v>
      </c>
      <c r="H321">
        <v>1</v>
      </c>
      <c r="I321">
        <f t="shared" si="31"/>
        <v>10</v>
      </c>
      <c r="J321">
        <f t="shared" si="32"/>
        <v>2024</v>
      </c>
      <c r="K321" s="17">
        <f t="shared" si="33"/>
        <v>45566</v>
      </c>
      <c r="L321">
        <f t="shared" si="34"/>
        <v>0</v>
      </c>
    </row>
    <row r="322" spans="1:12" x14ac:dyDescent="0.3">
      <c r="A322" s="38">
        <v>45583</v>
      </c>
      <c r="B322" s="39">
        <v>0.95846398852070536</v>
      </c>
      <c r="C322" s="39">
        <v>1.7721748835777333</v>
      </c>
      <c r="D322" s="39">
        <v>-0.6369361724526641</v>
      </c>
      <c r="E322" s="39">
        <v>0.72510292202598237</v>
      </c>
      <c r="G322">
        <f t="shared" si="30"/>
        <v>18</v>
      </c>
      <c r="H322">
        <v>1</v>
      </c>
      <c r="I322">
        <f t="shared" si="31"/>
        <v>10</v>
      </c>
      <c r="J322">
        <f t="shared" si="32"/>
        <v>2024</v>
      </c>
      <c r="K322" s="17">
        <f t="shared" si="33"/>
        <v>45566</v>
      </c>
      <c r="L322">
        <f t="shared" si="34"/>
        <v>0</v>
      </c>
    </row>
    <row r="323" spans="1:12" x14ac:dyDescent="0.3">
      <c r="A323" s="38">
        <v>45582</v>
      </c>
      <c r="B323" s="39">
        <v>0.66700283612529176</v>
      </c>
      <c r="C323" s="39">
        <v>1.4108144394556632</v>
      </c>
      <c r="D323" s="39">
        <v>-0.75924859486599416</v>
      </c>
      <c r="E323" s="39">
        <v>0.49458548251081424</v>
      </c>
      <c r="G323">
        <f t="shared" si="30"/>
        <v>17</v>
      </c>
      <c r="H323">
        <v>1</v>
      </c>
      <c r="I323">
        <f t="shared" si="31"/>
        <v>10</v>
      </c>
      <c r="J323">
        <f t="shared" si="32"/>
        <v>2024</v>
      </c>
      <c r="K323" s="17">
        <f t="shared" si="33"/>
        <v>45566</v>
      </c>
      <c r="L323">
        <f t="shared" si="34"/>
        <v>0</v>
      </c>
    </row>
    <row r="324" spans="1:12" x14ac:dyDescent="0.3">
      <c r="A324" s="38">
        <v>45581</v>
      </c>
      <c r="B324" s="39">
        <v>0.45235586188958621</v>
      </c>
      <c r="C324" s="39">
        <v>1.1395783239551918</v>
      </c>
      <c r="D324" s="39">
        <v>-0.7987845207432116</v>
      </c>
      <c r="E324" s="39">
        <v>0.30272846467826753</v>
      </c>
      <c r="G324">
        <f t="shared" si="30"/>
        <v>16</v>
      </c>
      <c r="H324">
        <v>1</v>
      </c>
      <c r="I324">
        <f t="shared" si="31"/>
        <v>10</v>
      </c>
      <c r="J324">
        <f t="shared" si="32"/>
        <v>2024</v>
      </c>
      <c r="K324" s="17">
        <f t="shared" si="33"/>
        <v>45566</v>
      </c>
      <c r="L324">
        <f t="shared" si="34"/>
        <v>0</v>
      </c>
    </row>
    <row r="325" spans="1:12" x14ac:dyDescent="0.3">
      <c r="A325" s="38">
        <v>45580</v>
      </c>
      <c r="B325" s="39">
        <v>0.54311999134603184</v>
      </c>
      <c r="C325" s="39">
        <v>1.167604158028368</v>
      </c>
      <c r="D325" s="39">
        <v>-0.87658875387330681</v>
      </c>
      <c r="E325" s="39">
        <v>0.45244861895372424</v>
      </c>
      <c r="G325">
        <f t="shared" ref="G325:G388" si="35">+DAY(A325)</f>
        <v>15</v>
      </c>
      <c r="H325">
        <v>1</v>
      </c>
      <c r="I325">
        <f t="shared" ref="I325:I388" si="36">+MONTH(A325)</f>
        <v>10</v>
      </c>
      <c r="J325">
        <f t="shared" ref="J325:J388" si="37">+YEAR(A325)</f>
        <v>2024</v>
      </c>
      <c r="K325" s="17">
        <f t="shared" ref="K325:K388" si="38">+DATE(J325,I325,H325)</f>
        <v>45566</v>
      </c>
      <c r="L325">
        <f t="shared" ref="L325:L388" si="39">IF(AND(G325&gt;=1, G325&lt;=4), 1, 0)</f>
        <v>0</v>
      </c>
    </row>
    <row r="326" spans="1:12" x14ac:dyDescent="0.3">
      <c r="A326" s="38">
        <v>45579</v>
      </c>
      <c r="B326" s="39">
        <v>0.82779474678315523</v>
      </c>
      <c r="C326" s="39">
        <v>1.4407702648066731</v>
      </c>
      <c r="D326" s="39">
        <v>-0.71885633273453209</v>
      </c>
      <c r="E326" s="39">
        <v>0.54050596267040873</v>
      </c>
      <c r="G326">
        <f t="shared" si="35"/>
        <v>14</v>
      </c>
      <c r="H326">
        <v>1</v>
      </c>
      <c r="I326">
        <f t="shared" si="36"/>
        <v>10</v>
      </c>
      <c r="J326">
        <f t="shared" si="37"/>
        <v>2024</v>
      </c>
      <c r="K326" s="17">
        <f t="shared" si="38"/>
        <v>45566</v>
      </c>
      <c r="L326">
        <f t="shared" si="39"/>
        <v>0</v>
      </c>
    </row>
    <row r="327" spans="1:12" x14ac:dyDescent="0.3">
      <c r="A327" s="38">
        <v>45576</v>
      </c>
      <c r="B327" s="39">
        <v>0.49492433103839062</v>
      </c>
      <c r="C327" s="39">
        <v>1.073609064993633</v>
      </c>
      <c r="D327" s="39">
        <v>-1.1256391858485557</v>
      </c>
      <c r="E327" s="39">
        <v>0.25938886097661396</v>
      </c>
      <c r="G327">
        <f t="shared" si="35"/>
        <v>11</v>
      </c>
      <c r="H327">
        <v>1</v>
      </c>
      <c r="I327">
        <f t="shared" si="36"/>
        <v>10</v>
      </c>
      <c r="J327">
        <f t="shared" si="37"/>
        <v>2024</v>
      </c>
      <c r="K327" s="17">
        <f t="shared" si="38"/>
        <v>45566</v>
      </c>
      <c r="L327">
        <f t="shared" si="39"/>
        <v>0</v>
      </c>
    </row>
    <row r="328" spans="1:12" x14ac:dyDescent="0.3">
      <c r="A328" s="38">
        <v>45575</v>
      </c>
      <c r="B328" s="39">
        <v>0.6171163247842486</v>
      </c>
      <c r="C328" s="39">
        <v>1.1919028878136118</v>
      </c>
      <c r="D328" s="39">
        <v>-0.90663240811836943</v>
      </c>
      <c r="E328" s="39">
        <v>0.49833074261987065</v>
      </c>
      <c r="G328">
        <f t="shared" si="35"/>
        <v>10</v>
      </c>
      <c r="H328">
        <v>1</v>
      </c>
      <c r="I328">
        <f t="shared" si="36"/>
        <v>10</v>
      </c>
      <c r="J328">
        <f t="shared" si="37"/>
        <v>2024</v>
      </c>
      <c r="K328" s="17">
        <f t="shared" si="38"/>
        <v>45566</v>
      </c>
      <c r="L328">
        <f t="shared" si="39"/>
        <v>0</v>
      </c>
    </row>
    <row r="329" spans="1:12" x14ac:dyDescent="0.3">
      <c r="A329" s="38">
        <v>45574</v>
      </c>
      <c r="B329" s="39">
        <v>0.4133437148696828</v>
      </c>
      <c r="C329" s="39">
        <v>1.0411263177753796</v>
      </c>
      <c r="D329" s="39">
        <v>-1.3206787160921039</v>
      </c>
      <c r="E329" s="39">
        <v>0.38872891819917754</v>
      </c>
      <c r="G329">
        <f t="shared" si="35"/>
        <v>9</v>
      </c>
      <c r="H329">
        <v>1</v>
      </c>
      <c r="I329">
        <f t="shared" si="36"/>
        <v>10</v>
      </c>
      <c r="J329">
        <f t="shared" si="37"/>
        <v>2024</v>
      </c>
      <c r="K329" s="17">
        <f t="shared" si="38"/>
        <v>45566</v>
      </c>
      <c r="L329">
        <f t="shared" si="39"/>
        <v>0</v>
      </c>
    </row>
    <row r="330" spans="1:12" x14ac:dyDescent="0.3">
      <c r="A330" s="38">
        <v>45573</v>
      </c>
      <c r="B330" s="39">
        <v>0.25189304372518961</v>
      </c>
      <c r="C330" s="39">
        <v>0.75394505166680403</v>
      </c>
      <c r="D330" s="39">
        <v>-1.740246961477439</v>
      </c>
      <c r="E330" s="39">
        <v>0.30151425349933447</v>
      </c>
      <c r="G330">
        <f t="shared" si="35"/>
        <v>8</v>
      </c>
      <c r="H330">
        <v>1</v>
      </c>
      <c r="I330">
        <f t="shared" si="36"/>
        <v>10</v>
      </c>
      <c r="J330">
        <f t="shared" si="37"/>
        <v>2024</v>
      </c>
      <c r="K330" s="17">
        <f t="shared" si="38"/>
        <v>45566</v>
      </c>
      <c r="L330">
        <f t="shared" si="39"/>
        <v>0</v>
      </c>
    </row>
    <row r="331" spans="1:12" x14ac:dyDescent="0.3">
      <c r="A331" s="38">
        <v>45572</v>
      </c>
      <c r="B331" s="39">
        <v>0.57578621555347809</v>
      </c>
      <c r="C331" s="39">
        <v>1.0844354883734582</v>
      </c>
      <c r="D331" s="39">
        <v>-1.182364126273157</v>
      </c>
      <c r="E331" s="39">
        <v>0.59620317834347247</v>
      </c>
      <c r="G331">
        <f t="shared" si="35"/>
        <v>7</v>
      </c>
      <c r="H331">
        <v>1</v>
      </c>
      <c r="I331">
        <f t="shared" si="36"/>
        <v>10</v>
      </c>
      <c r="J331">
        <f t="shared" si="37"/>
        <v>2024</v>
      </c>
      <c r="K331" s="17">
        <f t="shared" si="38"/>
        <v>45566</v>
      </c>
      <c r="L331">
        <f t="shared" si="39"/>
        <v>0</v>
      </c>
    </row>
    <row r="332" spans="1:12" x14ac:dyDescent="0.3">
      <c r="A332" s="38">
        <v>45569</v>
      </c>
      <c r="B332" s="39">
        <v>0.60304006841747082</v>
      </c>
      <c r="C332" s="39">
        <v>1.0881357132282261</v>
      </c>
      <c r="D332" s="39">
        <v>-1.1277543869384203</v>
      </c>
      <c r="E332" s="39">
        <v>0.6002401134864499</v>
      </c>
      <c r="G332">
        <f t="shared" si="35"/>
        <v>4</v>
      </c>
      <c r="H332">
        <v>1</v>
      </c>
      <c r="I332">
        <f t="shared" si="36"/>
        <v>10</v>
      </c>
      <c r="J332">
        <f t="shared" si="37"/>
        <v>2024</v>
      </c>
      <c r="K332" s="17">
        <f t="shared" si="38"/>
        <v>45566</v>
      </c>
      <c r="L332">
        <f t="shared" si="39"/>
        <v>1</v>
      </c>
    </row>
    <row r="333" spans="1:12" x14ac:dyDescent="0.3">
      <c r="A333" s="38">
        <v>45568</v>
      </c>
      <c r="B333" s="39">
        <v>3.7364026770703163E-2</v>
      </c>
      <c r="C333" s="39">
        <v>0.51962893657685072</v>
      </c>
      <c r="D333" s="39">
        <v>-1.8292857931537583</v>
      </c>
      <c r="E333" s="39">
        <v>0.307456870146396</v>
      </c>
      <c r="G333">
        <f t="shared" si="35"/>
        <v>3</v>
      </c>
      <c r="H333">
        <v>1</v>
      </c>
      <c r="I333">
        <f t="shared" si="36"/>
        <v>10</v>
      </c>
      <c r="J333">
        <f t="shared" si="37"/>
        <v>2024</v>
      </c>
      <c r="K333" s="17">
        <f t="shared" si="38"/>
        <v>45566</v>
      </c>
      <c r="L333">
        <f t="shared" si="39"/>
        <v>1</v>
      </c>
    </row>
    <row r="334" spans="1:12" x14ac:dyDescent="0.3">
      <c r="A334" s="38">
        <v>45567</v>
      </c>
      <c r="B334" s="39">
        <v>-0.18173804919683789</v>
      </c>
      <c r="C334" s="39">
        <v>0.3090591698062326</v>
      </c>
      <c r="D334" s="39">
        <v>-1.3195667294348539</v>
      </c>
      <c r="E334" s="39">
        <v>-1.4336301236866689E-2</v>
      </c>
      <c r="G334">
        <f t="shared" si="35"/>
        <v>2</v>
      </c>
      <c r="H334">
        <v>1</v>
      </c>
      <c r="I334">
        <f t="shared" si="36"/>
        <v>10</v>
      </c>
      <c r="J334">
        <f t="shared" si="37"/>
        <v>2024</v>
      </c>
      <c r="K334" s="17">
        <f t="shared" si="38"/>
        <v>45566</v>
      </c>
      <c r="L334">
        <f t="shared" si="39"/>
        <v>1</v>
      </c>
    </row>
    <row r="335" spans="1:12" x14ac:dyDescent="0.3">
      <c r="A335" s="38">
        <v>45566</v>
      </c>
      <c r="B335" s="39">
        <v>8.8513902885267726E-3</v>
      </c>
      <c r="C335" s="39">
        <v>0.41922211156818889</v>
      </c>
      <c r="D335" s="39">
        <v>-0.69945654657934142</v>
      </c>
      <c r="E335" s="39">
        <v>0.56942034361748028</v>
      </c>
      <c r="G335">
        <f t="shared" si="35"/>
        <v>1</v>
      </c>
      <c r="H335">
        <v>1</v>
      </c>
      <c r="I335">
        <f t="shared" si="36"/>
        <v>10</v>
      </c>
      <c r="J335">
        <f t="shared" si="37"/>
        <v>2024</v>
      </c>
      <c r="K335" s="17">
        <f t="shared" si="38"/>
        <v>45566</v>
      </c>
      <c r="L335">
        <f t="shared" si="39"/>
        <v>1</v>
      </c>
    </row>
    <row r="336" spans="1:12" x14ac:dyDescent="0.3">
      <c r="A336" s="38">
        <v>45565</v>
      </c>
      <c r="B336" s="39">
        <v>-1.2563214280037158</v>
      </c>
      <c r="C336" s="39">
        <v>-1.6675281687753341E-2</v>
      </c>
      <c r="D336" s="39">
        <v>-2.3811715351993143</v>
      </c>
      <c r="E336" s="39">
        <v>-1.3336153293751636</v>
      </c>
      <c r="G336">
        <f t="shared" si="35"/>
        <v>30</v>
      </c>
      <c r="H336">
        <v>1</v>
      </c>
      <c r="I336">
        <f t="shared" si="36"/>
        <v>9</v>
      </c>
      <c r="J336">
        <f t="shared" si="37"/>
        <v>2024</v>
      </c>
      <c r="K336" s="17">
        <f t="shared" si="38"/>
        <v>45536</v>
      </c>
      <c r="L336">
        <f t="shared" si="39"/>
        <v>0</v>
      </c>
    </row>
    <row r="337" spans="1:12" x14ac:dyDescent="0.3">
      <c r="A337" s="38">
        <v>45562</v>
      </c>
      <c r="B337" s="39">
        <v>-1.1350353812920133</v>
      </c>
      <c r="C337" s="39">
        <v>0.16211746986340358</v>
      </c>
      <c r="D337" s="39">
        <v>-2.5692041457638339</v>
      </c>
      <c r="E337" s="39">
        <v>-1.1279553967448521</v>
      </c>
      <c r="G337">
        <f t="shared" si="35"/>
        <v>27</v>
      </c>
      <c r="H337">
        <v>1</v>
      </c>
      <c r="I337">
        <f t="shared" si="36"/>
        <v>9</v>
      </c>
      <c r="J337">
        <f t="shared" si="37"/>
        <v>2024</v>
      </c>
      <c r="K337" s="17">
        <f t="shared" si="38"/>
        <v>45536</v>
      </c>
      <c r="L337">
        <f t="shared" si="39"/>
        <v>0</v>
      </c>
    </row>
    <row r="338" spans="1:12" x14ac:dyDescent="0.3">
      <c r="A338" s="38">
        <v>45561</v>
      </c>
      <c r="B338" s="39">
        <v>-1.1860815796758999</v>
      </c>
      <c r="C338" s="39">
        <v>0.14467195151735268</v>
      </c>
      <c r="D338" s="39">
        <v>-2.7452378542465681</v>
      </c>
      <c r="E338" s="39">
        <v>-1.2211589151199718</v>
      </c>
      <c r="G338">
        <f t="shared" si="35"/>
        <v>26</v>
      </c>
      <c r="H338">
        <v>1</v>
      </c>
      <c r="I338">
        <f t="shared" si="36"/>
        <v>9</v>
      </c>
      <c r="J338">
        <f t="shared" si="37"/>
        <v>2024</v>
      </c>
      <c r="K338" s="17">
        <f t="shared" si="38"/>
        <v>45536</v>
      </c>
      <c r="L338">
        <f t="shared" si="39"/>
        <v>0</v>
      </c>
    </row>
    <row r="339" spans="1:12" x14ac:dyDescent="0.3">
      <c r="A339" s="38">
        <v>45560</v>
      </c>
      <c r="B339" s="39">
        <v>-1.383733764648909</v>
      </c>
      <c r="C339" s="39">
        <v>-3.8936035204926611E-2</v>
      </c>
      <c r="D339" s="39">
        <v>-3.0011753773893446</v>
      </c>
      <c r="E339" s="39">
        <v>-1.5631565509752647</v>
      </c>
      <c r="G339">
        <f t="shared" si="35"/>
        <v>25</v>
      </c>
      <c r="H339">
        <v>1</v>
      </c>
      <c r="I339">
        <f t="shared" si="36"/>
        <v>9</v>
      </c>
      <c r="J339">
        <f t="shared" si="37"/>
        <v>2024</v>
      </c>
      <c r="K339" s="17">
        <f t="shared" si="38"/>
        <v>45536</v>
      </c>
      <c r="L339">
        <f t="shared" si="39"/>
        <v>0</v>
      </c>
    </row>
    <row r="340" spans="1:12" x14ac:dyDescent="0.3">
      <c r="A340" s="38">
        <v>45559</v>
      </c>
      <c r="B340" s="39">
        <v>-1.6956956064075257</v>
      </c>
      <c r="C340" s="39">
        <v>-0.27974093370342246</v>
      </c>
      <c r="D340" s="39">
        <v>-3.1576314042546585</v>
      </c>
      <c r="E340" s="39">
        <v>-2.0143954444081942</v>
      </c>
      <c r="G340">
        <f t="shared" si="35"/>
        <v>24</v>
      </c>
      <c r="H340">
        <v>1</v>
      </c>
      <c r="I340">
        <f t="shared" si="36"/>
        <v>9</v>
      </c>
      <c r="J340">
        <f t="shared" si="37"/>
        <v>2024</v>
      </c>
      <c r="K340" s="17">
        <f t="shared" si="38"/>
        <v>45536</v>
      </c>
      <c r="L340">
        <f t="shared" si="39"/>
        <v>0</v>
      </c>
    </row>
    <row r="341" spans="1:12" x14ac:dyDescent="0.3">
      <c r="A341" s="38">
        <v>45558</v>
      </c>
      <c r="B341" s="39">
        <v>-1.3255129305922395</v>
      </c>
      <c r="C341" s="39">
        <v>0.20749505052222617</v>
      </c>
      <c r="D341" s="39">
        <v>-2.8479020336062746</v>
      </c>
      <c r="E341" s="39">
        <v>-1.8758112178427808</v>
      </c>
      <c r="G341">
        <f t="shared" si="35"/>
        <v>23</v>
      </c>
      <c r="H341">
        <v>1</v>
      </c>
      <c r="I341">
        <f t="shared" si="36"/>
        <v>9</v>
      </c>
      <c r="J341">
        <f t="shared" si="37"/>
        <v>2024</v>
      </c>
      <c r="K341" s="17">
        <f t="shared" si="38"/>
        <v>45536</v>
      </c>
      <c r="L341">
        <f t="shared" si="39"/>
        <v>0</v>
      </c>
    </row>
    <row r="342" spans="1:12" x14ac:dyDescent="0.3">
      <c r="A342" s="38">
        <v>45555</v>
      </c>
      <c r="B342" s="39">
        <v>-1.1541749001210349</v>
      </c>
      <c r="C342" s="39">
        <v>0.39636456844567647</v>
      </c>
      <c r="D342" s="39">
        <v>-2.6514203367260762</v>
      </c>
      <c r="E342" s="39">
        <v>-1.7666180159499447</v>
      </c>
      <c r="G342">
        <f t="shared" si="35"/>
        <v>20</v>
      </c>
      <c r="H342">
        <v>1</v>
      </c>
      <c r="I342">
        <f t="shared" si="36"/>
        <v>9</v>
      </c>
      <c r="J342">
        <f t="shared" si="37"/>
        <v>2024</v>
      </c>
      <c r="K342" s="17">
        <f t="shared" si="38"/>
        <v>45536</v>
      </c>
      <c r="L342">
        <f t="shared" si="39"/>
        <v>0</v>
      </c>
    </row>
    <row r="343" spans="1:12" x14ac:dyDescent="0.3">
      <c r="A343" s="38">
        <v>45554</v>
      </c>
      <c r="B343" s="39">
        <v>-1.3290493185496928</v>
      </c>
      <c r="C343" s="39">
        <v>0.12248864943168769</v>
      </c>
      <c r="D343" s="39">
        <v>-3.2976699678841328</v>
      </c>
      <c r="E343" s="39">
        <v>-1.7270341139591068</v>
      </c>
      <c r="G343">
        <f t="shared" si="35"/>
        <v>19</v>
      </c>
      <c r="H343">
        <v>1</v>
      </c>
      <c r="I343">
        <f t="shared" si="36"/>
        <v>9</v>
      </c>
      <c r="J343">
        <f t="shared" si="37"/>
        <v>2024</v>
      </c>
      <c r="K343" s="17">
        <f t="shared" si="38"/>
        <v>45536</v>
      </c>
      <c r="L343">
        <f t="shared" si="39"/>
        <v>0</v>
      </c>
    </row>
    <row r="344" spans="1:12" x14ac:dyDescent="0.3">
      <c r="A344" s="38">
        <v>45553</v>
      </c>
      <c r="B344" s="39">
        <v>-1.2961066698432404</v>
      </c>
      <c r="C344" s="39">
        <v>0.13387455802555337</v>
      </c>
      <c r="D344" s="39">
        <v>-3.1896432046932546</v>
      </c>
      <c r="E344" s="39">
        <v>-1.5754095895529048</v>
      </c>
      <c r="G344">
        <f t="shared" si="35"/>
        <v>18</v>
      </c>
      <c r="H344">
        <v>1</v>
      </c>
      <c r="I344">
        <f t="shared" si="36"/>
        <v>9</v>
      </c>
      <c r="J344">
        <f t="shared" si="37"/>
        <v>2024</v>
      </c>
      <c r="K344" s="17">
        <f t="shared" si="38"/>
        <v>45536</v>
      </c>
      <c r="L344">
        <f t="shared" si="39"/>
        <v>0</v>
      </c>
    </row>
    <row r="345" spans="1:12" x14ac:dyDescent="0.3">
      <c r="A345" s="38">
        <v>45552</v>
      </c>
      <c r="B345" s="39">
        <v>-2.0889861804886323</v>
      </c>
      <c r="C345" s="39">
        <v>-0.65611975974090342</v>
      </c>
      <c r="D345" s="39">
        <v>-3.7886593863566134</v>
      </c>
      <c r="E345" s="39">
        <v>-2.4059444593025603</v>
      </c>
      <c r="G345">
        <f t="shared" si="35"/>
        <v>17</v>
      </c>
      <c r="H345">
        <v>1</v>
      </c>
      <c r="I345">
        <f t="shared" si="36"/>
        <v>9</v>
      </c>
      <c r="J345">
        <f t="shared" si="37"/>
        <v>2024</v>
      </c>
      <c r="K345" s="17">
        <f t="shared" si="38"/>
        <v>45536</v>
      </c>
      <c r="L345">
        <f t="shared" si="39"/>
        <v>0</v>
      </c>
    </row>
    <row r="346" spans="1:12" x14ac:dyDescent="0.3">
      <c r="A346" s="38">
        <v>45551</v>
      </c>
      <c r="B346" s="39">
        <v>-1.9287465255364538</v>
      </c>
      <c r="C346" s="39">
        <v>-0.53717654162190343</v>
      </c>
      <c r="D346" s="39">
        <v>-3.6297938758611679</v>
      </c>
      <c r="E346" s="39">
        <v>-2.1587798814017276</v>
      </c>
      <c r="G346">
        <f t="shared" si="35"/>
        <v>16</v>
      </c>
      <c r="H346">
        <v>1</v>
      </c>
      <c r="I346">
        <f t="shared" si="36"/>
        <v>9</v>
      </c>
      <c r="J346">
        <f t="shared" si="37"/>
        <v>2024</v>
      </c>
      <c r="K346" s="17">
        <f t="shared" si="38"/>
        <v>45536</v>
      </c>
      <c r="L346">
        <f t="shared" si="39"/>
        <v>0</v>
      </c>
    </row>
    <row r="347" spans="1:12" x14ac:dyDescent="0.3">
      <c r="A347" s="38">
        <v>45548</v>
      </c>
      <c r="B347" s="39">
        <v>-1.8262446473918885</v>
      </c>
      <c r="C347" s="39">
        <v>-0.38407826308548465</v>
      </c>
      <c r="D347" s="39">
        <v>-3.5283945046343206</v>
      </c>
      <c r="E347" s="39">
        <v>-2.1382888805698457</v>
      </c>
      <c r="G347">
        <f t="shared" si="35"/>
        <v>13</v>
      </c>
      <c r="H347">
        <v>1</v>
      </c>
      <c r="I347">
        <f t="shared" si="36"/>
        <v>9</v>
      </c>
      <c r="J347">
        <f t="shared" si="37"/>
        <v>2024</v>
      </c>
      <c r="K347" s="17">
        <f t="shared" si="38"/>
        <v>45536</v>
      </c>
      <c r="L347">
        <f t="shared" si="39"/>
        <v>0</v>
      </c>
    </row>
    <row r="348" spans="1:12" x14ac:dyDescent="0.3">
      <c r="A348" s="38">
        <v>45547</v>
      </c>
      <c r="B348" s="39">
        <v>-1.3116464073572018</v>
      </c>
      <c r="C348" s="39">
        <v>0.16759805852086629</v>
      </c>
      <c r="D348" s="39">
        <v>-3.2572406964088003</v>
      </c>
      <c r="E348" s="39">
        <v>-1.6128043629896212</v>
      </c>
      <c r="G348">
        <f t="shared" si="35"/>
        <v>12</v>
      </c>
      <c r="H348">
        <v>1</v>
      </c>
      <c r="I348">
        <f t="shared" si="36"/>
        <v>9</v>
      </c>
      <c r="J348">
        <f t="shared" si="37"/>
        <v>2024</v>
      </c>
      <c r="K348" s="17">
        <f t="shared" si="38"/>
        <v>45536</v>
      </c>
      <c r="L348">
        <f t="shared" si="39"/>
        <v>0</v>
      </c>
    </row>
    <row r="349" spans="1:12" x14ac:dyDescent="0.3">
      <c r="A349" s="38">
        <v>45546</v>
      </c>
      <c r="B349" s="39">
        <v>-1.502089798464425</v>
      </c>
      <c r="C349" s="39">
        <v>5.1345094210518027E-2</v>
      </c>
      <c r="D349" s="39">
        <v>-3.4237989451187474</v>
      </c>
      <c r="E349" s="39">
        <v>-1.7777518110693649</v>
      </c>
      <c r="G349">
        <f t="shared" si="35"/>
        <v>11</v>
      </c>
      <c r="H349">
        <v>1</v>
      </c>
      <c r="I349">
        <f t="shared" si="36"/>
        <v>9</v>
      </c>
      <c r="J349">
        <f t="shared" si="37"/>
        <v>2024</v>
      </c>
      <c r="K349" s="17">
        <f t="shared" si="38"/>
        <v>45536</v>
      </c>
      <c r="L349">
        <f t="shared" si="39"/>
        <v>0</v>
      </c>
    </row>
    <row r="350" spans="1:12" x14ac:dyDescent="0.3">
      <c r="A350" s="38">
        <v>45545</v>
      </c>
      <c r="B350" s="39">
        <v>-1.4173731472683926</v>
      </c>
      <c r="C350" s="39">
        <v>4.5737618164224614E-2</v>
      </c>
      <c r="D350" s="39">
        <v>-3.7661401759112323</v>
      </c>
      <c r="E350" s="39">
        <v>-1.5382152989764961</v>
      </c>
      <c r="G350">
        <f t="shared" si="35"/>
        <v>10</v>
      </c>
      <c r="H350">
        <v>1</v>
      </c>
      <c r="I350">
        <f t="shared" si="36"/>
        <v>9</v>
      </c>
      <c r="J350">
        <f t="shared" si="37"/>
        <v>2024</v>
      </c>
      <c r="K350" s="17">
        <f t="shared" si="38"/>
        <v>45536</v>
      </c>
      <c r="L350">
        <f t="shared" si="39"/>
        <v>0</v>
      </c>
    </row>
    <row r="351" spans="1:12" x14ac:dyDescent="0.3">
      <c r="A351" s="38">
        <v>45544</v>
      </c>
      <c r="B351" s="39">
        <v>-0.96204838622645639</v>
      </c>
      <c r="C351" s="39">
        <v>0.49752429344873406</v>
      </c>
      <c r="D351" s="39">
        <v>-3.6406231294526776</v>
      </c>
      <c r="E351" s="39">
        <v>-0.98324958280299768</v>
      </c>
      <c r="G351">
        <f t="shared" si="35"/>
        <v>9</v>
      </c>
      <c r="H351">
        <v>1</v>
      </c>
      <c r="I351">
        <f t="shared" si="36"/>
        <v>9</v>
      </c>
      <c r="J351">
        <f t="shared" si="37"/>
        <v>2024</v>
      </c>
      <c r="K351" s="17">
        <f t="shared" si="38"/>
        <v>45536</v>
      </c>
      <c r="L351">
        <f t="shared" si="39"/>
        <v>0</v>
      </c>
    </row>
    <row r="352" spans="1:12" x14ac:dyDescent="0.3">
      <c r="A352" s="38">
        <v>45541</v>
      </c>
      <c r="B352" s="39">
        <v>-1.7565553032854524</v>
      </c>
      <c r="C352" s="39">
        <v>-0.40322097740948948</v>
      </c>
      <c r="D352" s="39">
        <v>-4.3280419148950813</v>
      </c>
      <c r="E352" s="39">
        <v>-1.7180351761885078</v>
      </c>
      <c r="G352">
        <f t="shared" si="35"/>
        <v>6</v>
      </c>
      <c r="H352">
        <v>1</v>
      </c>
      <c r="I352">
        <f t="shared" si="36"/>
        <v>9</v>
      </c>
      <c r="J352">
        <f t="shared" si="37"/>
        <v>2024</v>
      </c>
      <c r="K352" s="17">
        <f t="shared" si="38"/>
        <v>45536</v>
      </c>
      <c r="L352">
        <f t="shared" si="39"/>
        <v>0</v>
      </c>
    </row>
    <row r="353" spans="1:12" x14ac:dyDescent="0.3">
      <c r="A353" s="38">
        <v>45540</v>
      </c>
      <c r="B353" s="39">
        <v>-1.1764439023337445</v>
      </c>
      <c r="C353" s="39">
        <v>0.13992353712494321</v>
      </c>
      <c r="D353" s="39">
        <v>-3.8065686849494114</v>
      </c>
      <c r="E353" s="39">
        <v>-1.1514291351503658</v>
      </c>
      <c r="G353">
        <f t="shared" si="35"/>
        <v>5</v>
      </c>
      <c r="H353">
        <v>1</v>
      </c>
      <c r="I353">
        <f t="shared" si="36"/>
        <v>9</v>
      </c>
      <c r="J353">
        <f t="shared" si="37"/>
        <v>2024</v>
      </c>
      <c r="K353" s="17">
        <f t="shared" si="38"/>
        <v>45536</v>
      </c>
      <c r="L353">
        <f t="shared" si="39"/>
        <v>0</v>
      </c>
    </row>
    <row r="354" spans="1:12" x14ac:dyDescent="0.3">
      <c r="A354" s="38">
        <v>45539</v>
      </c>
      <c r="B354" s="39">
        <v>-0.73371740768028815</v>
      </c>
      <c r="C354" s="39">
        <v>0.60052422332786648</v>
      </c>
      <c r="D354" s="39">
        <v>-3.3410450839836727</v>
      </c>
      <c r="E354" s="39">
        <v>-0.77881371878980588</v>
      </c>
      <c r="G354">
        <f t="shared" si="35"/>
        <v>4</v>
      </c>
      <c r="H354">
        <v>1</v>
      </c>
      <c r="I354">
        <f t="shared" si="36"/>
        <v>9</v>
      </c>
      <c r="J354">
        <f t="shared" si="37"/>
        <v>2024</v>
      </c>
      <c r="K354" s="17">
        <f t="shared" si="38"/>
        <v>45536</v>
      </c>
      <c r="L354">
        <f t="shared" si="39"/>
        <v>1</v>
      </c>
    </row>
    <row r="355" spans="1:12" x14ac:dyDescent="0.3">
      <c r="A355" s="38">
        <v>45538</v>
      </c>
      <c r="B355" s="39">
        <v>-0.62883031179197246</v>
      </c>
      <c r="C355" s="39">
        <v>0.75910581807866606</v>
      </c>
      <c r="D355" s="39">
        <v>-3.8584261064533507</v>
      </c>
      <c r="E355" s="39">
        <v>-0.79582265512296146</v>
      </c>
      <c r="G355">
        <f t="shared" si="35"/>
        <v>3</v>
      </c>
      <c r="H355">
        <v>1</v>
      </c>
      <c r="I355">
        <f t="shared" si="36"/>
        <v>9</v>
      </c>
      <c r="J355">
        <f t="shared" si="37"/>
        <v>2024</v>
      </c>
      <c r="K355" s="17">
        <f t="shared" si="38"/>
        <v>45536</v>
      </c>
      <c r="L355">
        <f t="shared" si="39"/>
        <v>1</v>
      </c>
    </row>
    <row r="356" spans="1:12" x14ac:dyDescent="0.3">
      <c r="A356" s="38">
        <v>45537</v>
      </c>
      <c r="B356" s="39">
        <v>-1.1146402375842541</v>
      </c>
      <c r="C356" s="39">
        <v>0.31565578364963187</v>
      </c>
      <c r="D356" s="39">
        <v>-4.0370313856229956</v>
      </c>
      <c r="E356" s="39">
        <v>-1.374791262631021</v>
      </c>
      <c r="G356">
        <f t="shared" si="35"/>
        <v>2</v>
      </c>
      <c r="H356">
        <v>1</v>
      </c>
      <c r="I356">
        <f t="shared" si="36"/>
        <v>9</v>
      </c>
      <c r="J356">
        <f t="shared" si="37"/>
        <v>2024</v>
      </c>
      <c r="K356" s="17">
        <f t="shared" si="38"/>
        <v>45536</v>
      </c>
      <c r="L356">
        <f t="shared" si="39"/>
        <v>1</v>
      </c>
    </row>
    <row r="357" spans="1:12" x14ac:dyDescent="0.3">
      <c r="A357" s="38">
        <v>45534</v>
      </c>
      <c r="B357" s="39">
        <v>-0.50855424986292519</v>
      </c>
      <c r="C357" s="39">
        <v>0.70132049193732371</v>
      </c>
      <c r="D357" s="39">
        <v>-3.5610510855695594</v>
      </c>
      <c r="E357" s="39">
        <v>-1.0792158662754616</v>
      </c>
      <c r="G357">
        <f t="shared" si="35"/>
        <v>30</v>
      </c>
      <c r="H357">
        <v>1</v>
      </c>
      <c r="I357">
        <f t="shared" si="36"/>
        <v>8</v>
      </c>
      <c r="J357">
        <f t="shared" si="37"/>
        <v>2024</v>
      </c>
      <c r="K357" s="17">
        <f t="shared" si="38"/>
        <v>45505</v>
      </c>
      <c r="L357">
        <f t="shared" si="39"/>
        <v>0</v>
      </c>
    </row>
    <row r="358" spans="1:12" x14ac:dyDescent="0.3">
      <c r="A358" s="38">
        <v>45533</v>
      </c>
      <c r="B358" s="39">
        <v>-1.1057195438550025</v>
      </c>
      <c r="C358" s="39">
        <v>0.17904290069110118</v>
      </c>
      <c r="D358" s="39">
        <v>-3.7888974219523277</v>
      </c>
      <c r="E358" s="39">
        <v>-1.7305018720667533</v>
      </c>
      <c r="G358">
        <f t="shared" si="35"/>
        <v>29</v>
      </c>
      <c r="H358">
        <v>1</v>
      </c>
      <c r="I358">
        <f t="shared" si="36"/>
        <v>8</v>
      </c>
      <c r="J358">
        <f t="shared" si="37"/>
        <v>2024</v>
      </c>
      <c r="K358" s="17">
        <f t="shared" si="38"/>
        <v>45505</v>
      </c>
      <c r="L358">
        <f t="shared" si="39"/>
        <v>0</v>
      </c>
    </row>
    <row r="359" spans="1:12" x14ac:dyDescent="0.3">
      <c r="A359" s="38">
        <v>45532</v>
      </c>
      <c r="B359" s="39">
        <v>-1.5124821638881656</v>
      </c>
      <c r="C359" s="39">
        <v>-0.22790760915968633</v>
      </c>
      <c r="D359" s="39">
        <v>-4.2682394058221291</v>
      </c>
      <c r="E359" s="39">
        <v>-2.0884638594821041</v>
      </c>
      <c r="G359">
        <f t="shared" si="35"/>
        <v>28</v>
      </c>
      <c r="H359">
        <v>1</v>
      </c>
      <c r="I359">
        <f t="shared" si="36"/>
        <v>8</v>
      </c>
      <c r="J359">
        <f t="shared" si="37"/>
        <v>2024</v>
      </c>
      <c r="K359" s="17">
        <f t="shared" si="38"/>
        <v>45505</v>
      </c>
      <c r="L359">
        <f t="shared" si="39"/>
        <v>0</v>
      </c>
    </row>
    <row r="360" spans="1:12" x14ac:dyDescent="0.3">
      <c r="A360" s="38">
        <v>45531</v>
      </c>
      <c r="B360" s="39">
        <v>-0.11575223706148563</v>
      </c>
      <c r="C360" s="39">
        <v>1.1832203367452792</v>
      </c>
      <c r="D360" s="39">
        <v>-3.0198477836347166</v>
      </c>
      <c r="E360" s="39">
        <v>-0.76216045127716825</v>
      </c>
      <c r="G360">
        <f t="shared" si="35"/>
        <v>27</v>
      </c>
      <c r="H360">
        <v>1</v>
      </c>
      <c r="I360">
        <f t="shared" si="36"/>
        <v>8</v>
      </c>
      <c r="J360">
        <f t="shared" si="37"/>
        <v>2024</v>
      </c>
      <c r="K360" s="17">
        <f t="shared" si="38"/>
        <v>45505</v>
      </c>
      <c r="L360">
        <f t="shared" si="39"/>
        <v>0</v>
      </c>
    </row>
    <row r="361" spans="1:12" x14ac:dyDescent="0.3">
      <c r="A361" s="38">
        <v>45527</v>
      </c>
      <c r="B361" s="39">
        <v>-8.060219036948979E-3</v>
      </c>
      <c r="C361" s="39">
        <v>1.2096333511013455</v>
      </c>
      <c r="D361" s="39">
        <v>-2.7770262718710654</v>
      </c>
      <c r="E361" s="39">
        <v>-0.55374821602308089</v>
      </c>
      <c r="G361">
        <f t="shared" si="35"/>
        <v>23</v>
      </c>
      <c r="H361">
        <v>1</v>
      </c>
      <c r="I361">
        <f t="shared" si="36"/>
        <v>8</v>
      </c>
      <c r="J361">
        <f t="shared" si="37"/>
        <v>2024</v>
      </c>
      <c r="K361" s="17">
        <f t="shared" si="38"/>
        <v>45505</v>
      </c>
      <c r="L361">
        <f t="shared" si="39"/>
        <v>0</v>
      </c>
    </row>
    <row r="362" spans="1:12" x14ac:dyDescent="0.3">
      <c r="A362" s="38">
        <v>45526</v>
      </c>
      <c r="B362" s="39">
        <v>0.19533783831073492</v>
      </c>
      <c r="C362" s="39">
        <v>1.4041425630864666</v>
      </c>
      <c r="D362" s="39">
        <v>-2.4172163611893183</v>
      </c>
      <c r="E362" s="39">
        <v>-0.2957561899655019</v>
      </c>
      <c r="G362">
        <f t="shared" si="35"/>
        <v>22</v>
      </c>
      <c r="H362">
        <v>1</v>
      </c>
      <c r="I362">
        <f t="shared" si="36"/>
        <v>8</v>
      </c>
      <c r="J362">
        <f t="shared" si="37"/>
        <v>2024</v>
      </c>
      <c r="K362" s="17">
        <f t="shared" si="38"/>
        <v>45505</v>
      </c>
      <c r="L362">
        <f t="shared" si="39"/>
        <v>0</v>
      </c>
    </row>
    <row r="363" spans="1:12" x14ac:dyDescent="0.3">
      <c r="A363" s="38">
        <v>45525</v>
      </c>
      <c r="B363" s="39">
        <v>0.28196777539756113</v>
      </c>
      <c r="C363" s="39">
        <v>1.521517823074646</v>
      </c>
      <c r="D363" s="39">
        <v>-2.5184307996813828</v>
      </c>
      <c r="E363" s="39">
        <v>-0.22654454950227887</v>
      </c>
      <c r="G363">
        <f t="shared" si="35"/>
        <v>21</v>
      </c>
      <c r="H363">
        <v>1</v>
      </c>
      <c r="I363">
        <f t="shared" si="36"/>
        <v>8</v>
      </c>
      <c r="J363">
        <f t="shared" si="37"/>
        <v>2024</v>
      </c>
      <c r="K363" s="17">
        <f t="shared" si="38"/>
        <v>45505</v>
      </c>
      <c r="L363">
        <f t="shared" si="39"/>
        <v>0</v>
      </c>
    </row>
    <row r="364" spans="1:12" x14ac:dyDescent="0.3">
      <c r="A364" s="38">
        <v>45524</v>
      </c>
      <c r="B364" s="39">
        <v>-0.24534466279354206</v>
      </c>
      <c r="C364" s="39">
        <v>1.0455404307389813</v>
      </c>
      <c r="D364" s="39">
        <v>-3.0539777194242248</v>
      </c>
      <c r="E364" s="39">
        <v>-0.75673259389294856</v>
      </c>
      <c r="G364">
        <f t="shared" si="35"/>
        <v>20</v>
      </c>
      <c r="H364">
        <v>1</v>
      </c>
      <c r="I364">
        <f t="shared" si="36"/>
        <v>8</v>
      </c>
      <c r="J364">
        <f t="shared" si="37"/>
        <v>2024</v>
      </c>
      <c r="K364" s="17">
        <f t="shared" si="38"/>
        <v>45505</v>
      </c>
      <c r="L364">
        <f t="shared" si="39"/>
        <v>0</v>
      </c>
    </row>
    <row r="365" spans="1:12" x14ac:dyDescent="0.3">
      <c r="A365" s="38">
        <v>45523</v>
      </c>
      <c r="B365" s="39">
        <v>-0.35650304792356735</v>
      </c>
      <c r="C365" s="39">
        <v>0.94550231281630204</v>
      </c>
      <c r="D365" s="39">
        <v>-3.1260060171028954</v>
      </c>
      <c r="E365" s="39">
        <v>-0.97196421281144296</v>
      </c>
      <c r="G365">
        <f t="shared" si="35"/>
        <v>19</v>
      </c>
      <c r="H365">
        <v>1</v>
      </c>
      <c r="I365">
        <f t="shared" si="36"/>
        <v>8</v>
      </c>
      <c r="J365">
        <f t="shared" si="37"/>
        <v>2024</v>
      </c>
      <c r="K365" s="17">
        <f t="shared" si="38"/>
        <v>45505</v>
      </c>
      <c r="L365">
        <f t="shared" si="39"/>
        <v>0</v>
      </c>
    </row>
    <row r="366" spans="1:12" x14ac:dyDescent="0.3">
      <c r="A366" s="38">
        <v>45520</v>
      </c>
      <c r="B366" s="39">
        <v>9.5609295880407785E-2</v>
      </c>
      <c r="C366" s="39">
        <v>1.4133949471330709</v>
      </c>
      <c r="D366" s="39">
        <v>-2.6385843246098659</v>
      </c>
      <c r="E366" s="39">
        <v>-0.62498160227106325</v>
      </c>
      <c r="G366">
        <f t="shared" si="35"/>
        <v>16</v>
      </c>
      <c r="H366">
        <v>1</v>
      </c>
      <c r="I366">
        <f t="shared" si="36"/>
        <v>8</v>
      </c>
      <c r="J366">
        <f t="shared" si="37"/>
        <v>2024</v>
      </c>
      <c r="K366" s="17">
        <f t="shared" si="38"/>
        <v>45505</v>
      </c>
      <c r="L366">
        <f t="shared" si="39"/>
        <v>0</v>
      </c>
    </row>
    <row r="367" spans="1:12" x14ac:dyDescent="0.3">
      <c r="A367" s="38">
        <v>45519</v>
      </c>
      <c r="B367" s="39">
        <v>0.26010189327334388</v>
      </c>
      <c r="C367" s="39">
        <v>1.4997947421605176</v>
      </c>
      <c r="D367" s="39">
        <v>-2.1566885641075118</v>
      </c>
      <c r="E367" s="39">
        <v>-0.44386232482285948</v>
      </c>
      <c r="G367">
        <f t="shared" si="35"/>
        <v>15</v>
      </c>
      <c r="H367">
        <v>1</v>
      </c>
      <c r="I367">
        <f t="shared" si="36"/>
        <v>8</v>
      </c>
      <c r="J367">
        <f t="shared" si="37"/>
        <v>2024</v>
      </c>
      <c r="K367" s="17">
        <f t="shared" si="38"/>
        <v>45505</v>
      </c>
      <c r="L367">
        <f t="shared" si="39"/>
        <v>0</v>
      </c>
    </row>
    <row r="368" spans="1:12" x14ac:dyDescent="0.3">
      <c r="A368" s="38">
        <v>45518</v>
      </c>
      <c r="B368" s="39">
        <v>0.85731455557559855</v>
      </c>
      <c r="C368" s="39">
        <v>2.12937853248377</v>
      </c>
      <c r="D368" s="39">
        <v>-1.8013228797200895</v>
      </c>
      <c r="E368" s="39">
        <v>0.14247428607018264</v>
      </c>
      <c r="G368">
        <f t="shared" si="35"/>
        <v>14</v>
      </c>
      <c r="H368">
        <v>1</v>
      </c>
      <c r="I368">
        <f t="shared" si="36"/>
        <v>8</v>
      </c>
      <c r="J368">
        <f t="shared" si="37"/>
        <v>2024</v>
      </c>
      <c r="K368" s="17">
        <f t="shared" si="38"/>
        <v>45505</v>
      </c>
      <c r="L368">
        <f t="shared" si="39"/>
        <v>0</v>
      </c>
    </row>
    <row r="369" spans="1:12" x14ac:dyDescent="0.3">
      <c r="A369" s="38">
        <v>45517</v>
      </c>
      <c r="B369" s="39">
        <v>0.86452304072589925</v>
      </c>
      <c r="C369" s="39">
        <v>2.1342511026020787</v>
      </c>
      <c r="D369" s="39">
        <v>-1.8792077949478596</v>
      </c>
      <c r="E369" s="39">
        <v>5.225493534595671E-2</v>
      </c>
      <c r="G369">
        <f t="shared" si="35"/>
        <v>13</v>
      </c>
      <c r="H369">
        <v>1</v>
      </c>
      <c r="I369">
        <f t="shared" si="36"/>
        <v>8</v>
      </c>
      <c r="J369">
        <f t="shared" si="37"/>
        <v>2024</v>
      </c>
      <c r="K369" s="17">
        <f t="shared" si="38"/>
        <v>45505</v>
      </c>
      <c r="L369">
        <f t="shared" si="39"/>
        <v>0</v>
      </c>
    </row>
    <row r="370" spans="1:12" x14ac:dyDescent="0.3">
      <c r="A370" s="38">
        <v>45516</v>
      </c>
      <c r="B370" s="39">
        <v>0.75270469327885792</v>
      </c>
      <c r="C370" s="39">
        <v>2.1105135006249043</v>
      </c>
      <c r="D370" s="39">
        <v>-1.9242198713752003</v>
      </c>
      <c r="E370" s="39">
        <v>-0.14117675706899036</v>
      </c>
      <c r="G370">
        <f t="shared" si="35"/>
        <v>12</v>
      </c>
      <c r="H370">
        <v>1</v>
      </c>
      <c r="I370">
        <f t="shared" si="36"/>
        <v>8</v>
      </c>
      <c r="J370">
        <f t="shared" si="37"/>
        <v>2024</v>
      </c>
      <c r="K370" s="17">
        <f t="shared" si="38"/>
        <v>45505</v>
      </c>
      <c r="L370">
        <f t="shared" si="39"/>
        <v>0</v>
      </c>
    </row>
    <row r="371" spans="1:12" x14ac:dyDescent="0.3">
      <c r="A371" s="38">
        <v>45512</v>
      </c>
      <c r="B371" s="39">
        <v>1.4914727850238734</v>
      </c>
      <c r="C371" s="39">
        <v>2.7991736698005667</v>
      </c>
      <c r="D371" s="39">
        <v>-1.0965799292835499</v>
      </c>
      <c r="E371" s="39">
        <v>0.67180247633847046</v>
      </c>
      <c r="G371">
        <f t="shared" si="35"/>
        <v>8</v>
      </c>
      <c r="H371">
        <v>1</v>
      </c>
      <c r="I371">
        <f t="shared" si="36"/>
        <v>8</v>
      </c>
      <c r="J371">
        <f t="shared" si="37"/>
        <v>2024</v>
      </c>
      <c r="K371" s="17">
        <f t="shared" si="38"/>
        <v>45505</v>
      </c>
      <c r="L371">
        <f t="shared" si="39"/>
        <v>0</v>
      </c>
    </row>
    <row r="372" spans="1:12" x14ac:dyDescent="0.3">
      <c r="A372" s="38">
        <v>45511</v>
      </c>
      <c r="B372" s="39">
        <v>1.4730417244505389</v>
      </c>
      <c r="C372" s="39">
        <v>2.7640887594096171</v>
      </c>
      <c r="D372" s="39">
        <v>-1.0357769507623118</v>
      </c>
      <c r="E372" s="39">
        <v>0.73262641384037863</v>
      </c>
      <c r="G372">
        <f t="shared" si="35"/>
        <v>7</v>
      </c>
      <c r="H372">
        <v>1</v>
      </c>
      <c r="I372">
        <f t="shared" si="36"/>
        <v>8</v>
      </c>
      <c r="J372">
        <f t="shared" si="37"/>
        <v>2024</v>
      </c>
      <c r="K372" s="17">
        <f t="shared" si="38"/>
        <v>45505</v>
      </c>
      <c r="L372">
        <f t="shared" si="39"/>
        <v>0</v>
      </c>
    </row>
    <row r="373" spans="1:12" x14ac:dyDescent="0.3">
      <c r="A373" s="38">
        <v>45510</v>
      </c>
      <c r="B373" s="39">
        <v>2.1277537109045568</v>
      </c>
      <c r="C373" s="39">
        <v>3.3532101990339527</v>
      </c>
      <c r="D373" s="39">
        <v>-0.51687658419302807</v>
      </c>
      <c r="E373" s="39">
        <v>1.5146391354348339</v>
      </c>
      <c r="G373">
        <f t="shared" si="35"/>
        <v>6</v>
      </c>
      <c r="H373">
        <v>1</v>
      </c>
      <c r="I373">
        <f t="shared" si="36"/>
        <v>8</v>
      </c>
      <c r="J373">
        <f t="shared" si="37"/>
        <v>2024</v>
      </c>
      <c r="K373" s="17">
        <f t="shared" si="38"/>
        <v>45505</v>
      </c>
      <c r="L373">
        <f t="shared" si="39"/>
        <v>0</v>
      </c>
    </row>
    <row r="374" spans="1:12" x14ac:dyDescent="0.3">
      <c r="A374" s="38">
        <v>45509</v>
      </c>
      <c r="B374" s="39">
        <v>2.2774697761445566</v>
      </c>
      <c r="C374" s="39">
        <v>3.5235602451091239</v>
      </c>
      <c r="D374" s="39">
        <v>-0.38740684764333366</v>
      </c>
      <c r="E374" s="39">
        <v>1.6854640727284362</v>
      </c>
      <c r="G374">
        <f t="shared" si="35"/>
        <v>5</v>
      </c>
      <c r="H374">
        <v>1</v>
      </c>
      <c r="I374">
        <f t="shared" si="36"/>
        <v>8</v>
      </c>
      <c r="J374">
        <f t="shared" si="37"/>
        <v>2024</v>
      </c>
      <c r="K374" s="17">
        <f t="shared" si="38"/>
        <v>45505</v>
      </c>
      <c r="L374">
        <f t="shared" si="39"/>
        <v>0</v>
      </c>
    </row>
    <row r="375" spans="1:12" x14ac:dyDescent="0.3">
      <c r="A375" s="38">
        <v>45506</v>
      </c>
      <c r="B375" s="39">
        <v>1.3646355184522321</v>
      </c>
      <c r="C375" s="39">
        <v>2.7169586852714929</v>
      </c>
      <c r="D375" s="39">
        <v>-1.535672387332184</v>
      </c>
      <c r="E375" s="39">
        <v>0.58944719747262297</v>
      </c>
      <c r="G375">
        <f t="shared" si="35"/>
        <v>2</v>
      </c>
      <c r="H375">
        <v>1</v>
      </c>
      <c r="I375">
        <f t="shared" si="36"/>
        <v>8</v>
      </c>
      <c r="J375">
        <f t="shared" si="37"/>
        <v>2024</v>
      </c>
      <c r="K375" s="17">
        <f t="shared" si="38"/>
        <v>45505</v>
      </c>
      <c r="L375">
        <f t="shared" si="39"/>
        <v>1</v>
      </c>
    </row>
    <row r="376" spans="1:12" x14ac:dyDescent="0.3">
      <c r="A376" s="38">
        <v>45505</v>
      </c>
      <c r="B376" s="39">
        <v>1.4054855745251729</v>
      </c>
      <c r="C376" s="39">
        <v>2.8093310147642399</v>
      </c>
      <c r="D376" s="39">
        <v>-1.2788308964209136</v>
      </c>
      <c r="E376" s="39">
        <v>0.52370260240867594</v>
      </c>
      <c r="G376">
        <f t="shared" si="35"/>
        <v>1</v>
      </c>
      <c r="H376">
        <v>1</v>
      </c>
      <c r="I376">
        <f t="shared" si="36"/>
        <v>8</v>
      </c>
      <c r="J376">
        <f t="shared" si="37"/>
        <v>2024</v>
      </c>
      <c r="K376" s="17">
        <f t="shared" si="38"/>
        <v>45505</v>
      </c>
      <c r="L376">
        <f t="shared" si="39"/>
        <v>1</v>
      </c>
    </row>
    <row r="377" spans="1:12" x14ac:dyDescent="0.3">
      <c r="A377" s="38">
        <v>45504</v>
      </c>
      <c r="B377" s="39">
        <v>0.72275327527687239</v>
      </c>
      <c r="C377" s="39">
        <v>2.8518116635721924</v>
      </c>
      <c r="D377" s="39">
        <v>-1.8913687460596407</v>
      </c>
      <c r="E377" s="39">
        <v>-0.32300395713920693</v>
      </c>
      <c r="G377">
        <f t="shared" si="35"/>
        <v>31</v>
      </c>
      <c r="H377">
        <v>1</v>
      </c>
      <c r="I377">
        <f t="shared" si="36"/>
        <v>7</v>
      </c>
      <c r="J377">
        <f t="shared" si="37"/>
        <v>2024</v>
      </c>
      <c r="K377" s="17">
        <f t="shared" si="38"/>
        <v>45474</v>
      </c>
      <c r="L377">
        <f t="shared" si="39"/>
        <v>0</v>
      </c>
    </row>
    <row r="378" spans="1:12" x14ac:dyDescent="0.3">
      <c r="A378" s="38">
        <v>45503</v>
      </c>
      <c r="B378" s="39">
        <v>0.76072656835120256</v>
      </c>
      <c r="C378" s="39">
        <v>2.9581734161718316</v>
      </c>
      <c r="D378" s="39">
        <v>-1.7132411827343361</v>
      </c>
      <c r="E378" s="39">
        <v>-0.34744587196422572</v>
      </c>
      <c r="G378">
        <f t="shared" si="35"/>
        <v>30</v>
      </c>
      <c r="H378">
        <v>1</v>
      </c>
      <c r="I378">
        <f t="shared" si="36"/>
        <v>7</v>
      </c>
      <c r="J378">
        <f t="shared" si="37"/>
        <v>2024</v>
      </c>
      <c r="K378" s="17">
        <f t="shared" si="38"/>
        <v>45474</v>
      </c>
      <c r="L378">
        <f t="shared" si="39"/>
        <v>0</v>
      </c>
    </row>
    <row r="379" spans="1:12" x14ac:dyDescent="0.3">
      <c r="A379" s="38">
        <v>45502</v>
      </c>
      <c r="B379" s="39">
        <v>1.5928313256939504</v>
      </c>
      <c r="C379" s="39">
        <v>3.7254654139755985</v>
      </c>
      <c r="D379" s="39">
        <v>-1.0116690082018636</v>
      </c>
      <c r="E379" s="39">
        <v>0.46642669290436345</v>
      </c>
      <c r="G379">
        <f t="shared" si="35"/>
        <v>29</v>
      </c>
      <c r="H379">
        <v>1</v>
      </c>
      <c r="I379">
        <f t="shared" si="36"/>
        <v>7</v>
      </c>
      <c r="J379">
        <f t="shared" si="37"/>
        <v>2024</v>
      </c>
      <c r="K379" s="17">
        <f t="shared" si="38"/>
        <v>45474</v>
      </c>
      <c r="L379">
        <f t="shared" si="39"/>
        <v>0</v>
      </c>
    </row>
    <row r="380" spans="1:12" x14ac:dyDescent="0.3">
      <c r="A380" s="38">
        <v>45499</v>
      </c>
      <c r="B380" s="39">
        <v>0.93194636719245239</v>
      </c>
      <c r="C380" s="39">
        <v>3.0486780182861963</v>
      </c>
      <c r="D380" s="39">
        <v>-1.5821125542619541</v>
      </c>
      <c r="E380" s="39">
        <v>-0.25027191795891213</v>
      </c>
      <c r="G380">
        <f t="shared" si="35"/>
        <v>26</v>
      </c>
      <c r="H380">
        <v>1</v>
      </c>
      <c r="I380">
        <f t="shared" si="36"/>
        <v>7</v>
      </c>
      <c r="J380">
        <f t="shared" si="37"/>
        <v>2024</v>
      </c>
      <c r="K380" s="17">
        <f t="shared" si="38"/>
        <v>45474</v>
      </c>
      <c r="L380">
        <f t="shared" si="39"/>
        <v>0</v>
      </c>
    </row>
    <row r="381" spans="1:12" x14ac:dyDescent="0.3">
      <c r="A381" s="38">
        <v>45498</v>
      </c>
      <c r="B381" s="39">
        <v>0.61513247909624624</v>
      </c>
      <c r="C381" s="39">
        <v>2.6929195881136536</v>
      </c>
      <c r="D381" s="39">
        <v>-1.824589393398611</v>
      </c>
      <c r="E381" s="39">
        <v>-0.54203452152317766</v>
      </c>
      <c r="G381">
        <f t="shared" si="35"/>
        <v>25</v>
      </c>
      <c r="H381">
        <v>1</v>
      </c>
      <c r="I381">
        <f t="shared" si="36"/>
        <v>7</v>
      </c>
      <c r="J381">
        <f t="shared" si="37"/>
        <v>2024</v>
      </c>
      <c r="K381" s="17">
        <f t="shared" si="38"/>
        <v>45474</v>
      </c>
      <c r="L381">
        <f t="shared" si="39"/>
        <v>0</v>
      </c>
    </row>
    <row r="382" spans="1:12" x14ac:dyDescent="0.3">
      <c r="A382" s="38">
        <v>45497</v>
      </c>
      <c r="B382" s="39">
        <v>0.42539685822882234</v>
      </c>
      <c r="C382" s="39">
        <v>2.509052704178643</v>
      </c>
      <c r="D382" s="39">
        <v>-1.8293297685053744</v>
      </c>
      <c r="E382" s="39">
        <v>-0.8222266233859159</v>
      </c>
      <c r="G382">
        <f t="shared" si="35"/>
        <v>24</v>
      </c>
      <c r="H382">
        <v>1</v>
      </c>
      <c r="I382">
        <f t="shared" si="36"/>
        <v>7</v>
      </c>
      <c r="J382">
        <f t="shared" si="37"/>
        <v>2024</v>
      </c>
      <c r="K382" s="17">
        <f t="shared" si="38"/>
        <v>45474</v>
      </c>
      <c r="L382">
        <f t="shared" si="39"/>
        <v>0</v>
      </c>
    </row>
    <row r="383" spans="1:12" x14ac:dyDescent="0.3">
      <c r="A383" s="38">
        <v>45496</v>
      </c>
      <c r="B383" s="39">
        <v>1.1097377116470852E-2</v>
      </c>
      <c r="C383" s="39">
        <v>2.0662262774837501</v>
      </c>
      <c r="D383" s="39">
        <v>-2.4410575616989973</v>
      </c>
      <c r="E383" s="39">
        <v>-1.2548617895624403</v>
      </c>
      <c r="G383">
        <f t="shared" si="35"/>
        <v>23</v>
      </c>
      <c r="H383">
        <v>1</v>
      </c>
      <c r="I383">
        <f t="shared" si="36"/>
        <v>7</v>
      </c>
      <c r="J383">
        <f t="shared" si="37"/>
        <v>2024</v>
      </c>
      <c r="K383" s="17">
        <f t="shared" si="38"/>
        <v>45474</v>
      </c>
      <c r="L383">
        <f t="shared" si="39"/>
        <v>0</v>
      </c>
    </row>
    <row r="384" spans="1:12" x14ac:dyDescent="0.3">
      <c r="A384" s="38">
        <v>45495</v>
      </c>
      <c r="B384" s="39">
        <v>-0.68768089140735356</v>
      </c>
      <c r="C384" s="39">
        <v>1.3436713117950632</v>
      </c>
      <c r="D384" s="39">
        <v>-3.2549695363796332</v>
      </c>
      <c r="E384" s="39">
        <v>-1.889893846565414</v>
      </c>
      <c r="G384">
        <f t="shared" si="35"/>
        <v>22</v>
      </c>
      <c r="H384">
        <v>1</v>
      </c>
      <c r="I384">
        <f t="shared" si="36"/>
        <v>7</v>
      </c>
      <c r="J384">
        <f t="shared" si="37"/>
        <v>2024</v>
      </c>
      <c r="K384" s="17">
        <f t="shared" si="38"/>
        <v>45474</v>
      </c>
      <c r="L384">
        <f t="shared" si="39"/>
        <v>0</v>
      </c>
    </row>
    <row r="385" spans="1:12" x14ac:dyDescent="0.3">
      <c r="A385" s="38">
        <v>45492</v>
      </c>
      <c r="B385" s="39">
        <v>-0.77493601911758958</v>
      </c>
      <c r="C385" s="39">
        <v>1.3018305149494722</v>
      </c>
      <c r="D385" s="39">
        <v>-3.0197914991033628</v>
      </c>
      <c r="E385" s="39">
        <v>-2.2257990555582126</v>
      </c>
      <c r="G385">
        <f t="shared" si="35"/>
        <v>19</v>
      </c>
      <c r="H385">
        <v>1</v>
      </c>
      <c r="I385">
        <f t="shared" si="36"/>
        <v>7</v>
      </c>
      <c r="J385">
        <f t="shared" si="37"/>
        <v>2024</v>
      </c>
      <c r="K385" s="17">
        <f t="shared" si="38"/>
        <v>45474</v>
      </c>
      <c r="L385">
        <f t="shared" si="39"/>
        <v>0</v>
      </c>
    </row>
    <row r="386" spans="1:12" x14ac:dyDescent="0.3">
      <c r="A386" s="38">
        <v>45491</v>
      </c>
      <c r="B386" s="39">
        <v>-0.31458950316817891</v>
      </c>
      <c r="C386" s="39">
        <v>1.7278746254570336</v>
      </c>
      <c r="D386" s="39">
        <v>-2.7468876403843012</v>
      </c>
      <c r="E386" s="39">
        <v>-1.7336270978862132</v>
      </c>
      <c r="G386">
        <f t="shared" si="35"/>
        <v>18</v>
      </c>
      <c r="H386">
        <v>1</v>
      </c>
      <c r="I386">
        <f t="shared" si="36"/>
        <v>7</v>
      </c>
      <c r="J386">
        <f t="shared" si="37"/>
        <v>2024</v>
      </c>
      <c r="K386" s="17">
        <f t="shared" si="38"/>
        <v>45474</v>
      </c>
      <c r="L386">
        <f t="shared" si="39"/>
        <v>0</v>
      </c>
    </row>
    <row r="387" spans="1:12" x14ac:dyDescent="0.3">
      <c r="A387" s="38">
        <v>45490</v>
      </c>
      <c r="B387" s="39">
        <v>-0.44895948295868493</v>
      </c>
      <c r="C387" s="39">
        <v>1.6769166480953714</v>
      </c>
      <c r="D387" s="39">
        <v>-2.6268119039012561</v>
      </c>
      <c r="E387" s="39">
        <v>-1.9516134179032036</v>
      </c>
      <c r="G387">
        <f t="shared" si="35"/>
        <v>17</v>
      </c>
      <c r="H387">
        <v>1</v>
      </c>
      <c r="I387">
        <f t="shared" si="36"/>
        <v>7</v>
      </c>
      <c r="J387">
        <f t="shared" si="37"/>
        <v>2024</v>
      </c>
      <c r="K387" s="17">
        <f t="shared" si="38"/>
        <v>45474</v>
      </c>
      <c r="L387">
        <f t="shared" si="39"/>
        <v>0</v>
      </c>
    </row>
    <row r="388" spans="1:12" x14ac:dyDescent="0.3">
      <c r="A388" s="38">
        <v>45489</v>
      </c>
      <c r="B388" s="39">
        <v>-9.7806585330857843E-2</v>
      </c>
      <c r="C388" s="39">
        <v>2.0289911723513825</v>
      </c>
      <c r="D388" s="39">
        <v>-2.3485960259276908</v>
      </c>
      <c r="E388" s="39">
        <v>-1.572390874398522</v>
      </c>
      <c r="G388">
        <f t="shared" si="35"/>
        <v>16</v>
      </c>
      <c r="H388">
        <v>1</v>
      </c>
      <c r="I388">
        <f t="shared" si="36"/>
        <v>7</v>
      </c>
      <c r="J388">
        <f t="shared" si="37"/>
        <v>2024</v>
      </c>
      <c r="K388" s="17">
        <f t="shared" si="38"/>
        <v>45474</v>
      </c>
      <c r="L388">
        <f t="shared" si="39"/>
        <v>0</v>
      </c>
    </row>
    <row r="389" spans="1:12" x14ac:dyDescent="0.3">
      <c r="A389" s="38">
        <v>45488</v>
      </c>
      <c r="B389" s="39">
        <v>-0.28391904266875656</v>
      </c>
      <c r="C389" s="39">
        <v>1.8658838736147487</v>
      </c>
      <c r="D389" s="39">
        <v>-2.7288060128285423</v>
      </c>
      <c r="E389" s="39">
        <v>-1.7610644624071767</v>
      </c>
      <c r="G389">
        <f t="shared" ref="G389:G452" si="40">+DAY(A389)</f>
        <v>15</v>
      </c>
      <c r="H389">
        <v>1</v>
      </c>
      <c r="I389">
        <f t="shared" ref="I389:I452" si="41">+MONTH(A389)</f>
        <v>7</v>
      </c>
      <c r="J389">
        <f t="shared" ref="J389:J452" si="42">+YEAR(A389)</f>
        <v>2024</v>
      </c>
      <c r="K389" s="17">
        <f t="shared" ref="K389:K452" si="43">+DATE(J389,I389,H389)</f>
        <v>45474</v>
      </c>
      <c r="L389">
        <f t="shared" ref="L389:L452" si="44">IF(AND(G389&gt;=1, G389&lt;=4), 1, 0)</f>
        <v>0</v>
      </c>
    </row>
    <row r="390" spans="1:12" x14ac:dyDescent="0.3">
      <c r="A390" s="38">
        <v>45485</v>
      </c>
      <c r="B390" s="39">
        <v>-0.44607016969061419</v>
      </c>
      <c r="C390" s="39">
        <v>1.7329043830196724</v>
      </c>
      <c r="D390" s="39">
        <v>-2.7772222610834945</v>
      </c>
      <c r="E390" s="39">
        <v>-2.0135744026894145</v>
      </c>
      <c r="G390">
        <f t="shared" si="40"/>
        <v>12</v>
      </c>
      <c r="H390">
        <v>1</v>
      </c>
      <c r="I390">
        <f t="shared" si="41"/>
        <v>7</v>
      </c>
      <c r="J390">
        <f t="shared" si="42"/>
        <v>2024</v>
      </c>
      <c r="K390" s="17">
        <f t="shared" si="43"/>
        <v>45474</v>
      </c>
      <c r="L390">
        <f t="shared" si="44"/>
        <v>0</v>
      </c>
    </row>
    <row r="391" spans="1:12" x14ac:dyDescent="0.3">
      <c r="A391" s="38">
        <v>45484</v>
      </c>
      <c r="B391" s="39">
        <v>-0.87052602936886103</v>
      </c>
      <c r="C391" s="39">
        <v>1.293663612400735</v>
      </c>
      <c r="D391" s="39">
        <v>-2.9065707341650295</v>
      </c>
      <c r="E391" s="39">
        <v>-2.4567725528594337</v>
      </c>
      <c r="G391">
        <f t="shared" si="40"/>
        <v>11</v>
      </c>
      <c r="H391">
        <v>1</v>
      </c>
      <c r="I391">
        <f t="shared" si="41"/>
        <v>7</v>
      </c>
      <c r="J391">
        <f t="shared" si="42"/>
        <v>2024</v>
      </c>
      <c r="K391" s="17">
        <f t="shared" si="43"/>
        <v>45474</v>
      </c>
      <c r="L391">
        <f t="shared" si="44"/>
        <v>0</v>
      </c>
    </row>
    <row r="392" spans="1:12" x14ac:dyDescent="0.3">
      <c r="A392" s="38">
        <v>45483</v>
      </c>
      <c r="B392" s="39">
        <v>-0.7941997824585485</v>
      </c>
      <c r="C392" s="39">
        <v>1.3906595847881249</v>
      </c>
      <c r="D392" s="39">
        <v>-2.7978771204611803</v>
      </c>
      <c r="E392" s="39">
        <v>-2.3073992187725167</v>
      </c>
      <c r="G392">
        <f t="shared" si="40"/>
        <v>10</v>
      </c>
      <c r="H392">
        <v>1</v>
      </c>
      <c r="I392">
        <f t="shared" si="41"/>
        <v>7</v>
      </c>
      <c r="J392">
        <f t="shared" si="42"/>
        <v>2024</v>
      </c>
      <c r="K392" s="17">
        <f t="shared" si="43"/>
        <v>45474</v>
      </c>
      <c r="L392">
        <f t="shared" si="44"/>
        <v>0</v>
      </c>
    </row>
    <row r="393" spans="1:12" x14ac:dyDescent="0.3">
      <c r="A393" s="38">
        <v>45482</v>
      </c>
      <c r="B393" s="39">
        <v>-0.56073899004219641</v>
      </c>
      <c r="C393" s="39">
        <v>1.5670449148497312</v>
      </c>
      <c r="D393" s="39">
        <v>-2.7523794021303303</v>
      </c>
      <c r="E393" s="39">
        <v>-2.1073653517842104</v>
      </c>
      <c r="G393">
        <f t="shared" si="40"/>
        <v>9</v>
      </c>
      <c r="H393">
        <v>1</v>
      </c>
      <c r="I393">
        <f t="shared" si="41"/>
        <v>7</v>
      </c>
      <c r="J393">
        <f t="shared" si="42"/>
        <v>2024</v>
      </c>
      <c r="K393" s="17">
        <f t="shared" si="43"/>
        <v>45474</v>
      </c>
      <c r="L393">
        <f t="shared" si="44"/>
        <v>0</v>
      </c>
    </row>
    <row r="394" spans="1:12" x14ac:dyDescent="0.3">
      <c r="A394" s="38">
        <v>45481</v>
      </c>
      <c r="B394" s="39">
        <v>-0.34887169444952804</v>
      </c>
      <c r="C394" s="39">
        <v>1.776683988564173</v>
      </c>
      <c r="D394" s="39">
        <v>-2.7544247303695357</v>
      </c>
      <c r="E394" s="39">
        <v>-1.9466449099404883</v>
      </c>
      <c r="G394">
        <f t="shared" si="40"/>
        <v>8</v>
      </c>
      <c r="H394">
        <v>1</v>
      </c>
      <c r="I394">
        <f t="shared" si="41"/>
        <v>7</v>
      </c>
      <c r="J394">
        <f t="shared" si="42"/>
        <v>2024</v>
      </c>
      <c r="K394" s="17">
        <f t="shared" si="43"/>
        <v>45474</v>
      </c>
      <c r="L394">
        <f t="shared" si="44"/>
        <v>0</v>
      </c>
    </row>
    <row r="395" spans="1:12" x14ac:dyDescent="0.3">
      <c r="A395" s="38">
        <v>45478</v>
      </c>
      <c r="B395" s="39">
        <v>-0.43601153407497861</v>
      </c>
      <c r="C395" s="39">
        <v>1.6712526561877894</v>
      </c>
      <c r="D395" s="39">
        <v>-2.7878589579917303</v>
      </c>
      <c r="E395" s="39">
        <v>-2.0605645635474588</v>
      </c>
      <c r="G395">
        <f t="shared" si="40"/>
        <v>5</v>
      </c>
      <c r="H395">
        <v>1</v>
      </c>
      <c r="I395">
        <f t="shared" si="41"/>
        <v>7</v>
      </c>
      <c r="J395">
        <f t="shared" si="42"/>
        <v>2024</v>
      </c>
      <c r="K395" s="17">
        <f t="shared" si="43"/>
        <v>45474</v>
      </c>
      <c r="L395">
        <f t="shared" si="44"/>
        <v>0</v>
      </c>
    </row>
    <row r="396" spans="1:12" x14ac:dyDescent="0.3">
      <c r="A396" s="38">
        <v>45477</v>
      </c>
      <c r="B396" s="39">
        <v>-0.29400781752980265</v>
      </c>
      <c r="C396" s="39">
        <v>1.8181361712202033</v>
      </c>
      <c r="D396" s="39">
        <v>-2.8652201677262923</v>
      </c>
      <c r="E396" s="39">
        <v>-1.7738074566131701</v>
      </c>
      <c r="G396">
        <f t="shared" si="40"/>
        <v>4</v>
      </c>
      <c r="H396">
        <v>1</v>
      </c>
      <c r="I396">
        <f t="shared" si="41"/>
        <v>7</v>
      </c>
      <c r="J396">
        <f t="shared" si="42"/>
        <v>2024</v>
      </c>
      <c r="K396" s="17">
        <f t="shared" si="43"/>
        <v>45474</v>
      </c>
      <c r="L396">
        <f t="shared" si="44"/>
        <v>1</v>
      </c>
    </row>
    <row r="397" spans="1:12" x14ac:dyDescent="0.3">
      <c r="A397" s="38">
        <v>45476</v>
      </c>
      <c r="B397" s="39">
        <v>0.1605279897861891</v>
      </c>
      <c r="C397" s="39">
        <v>2.1767710223203096</v>
      </c>
      <c r="D397" s="39">
        <v>-2.6293929537104646</v>
      </c>
      <c r="E397" s="39">
        <v>-1.1636974770806034</v>
      </c>
      <c r="G397">
        <f t="shared" si="40"/>
        <v>3</v>
      </c>
      <c r="H397">
        <v>1</v>
      </c>
      <c r="I397">
        <f t="shared" si="41"/>
        <v>7</v>
      </c>
      <c r="J397">
        <f t="shared" si="42"/>
        <v>2024</v>
      </c>
      <c r="K397" s="17">
        <f t="shared" si="43"/>
        <v>45474</v>
      </c>
      <c r="L397">
        <f t="shared" si="44"/>
        <v>1</v>
      </c>
    </row>
    <row r="398" spans="1:12" x14ac:dyDescent="0.3">
      <c r="A398" s="38">
        <v>45475</v>
      </c>
      <c r="B398" s="39">
        <v>0.19879782941058011</v>
      </c>
      <c r="C398" s="39">
        <v>2.1566319592812135</v>
      </c>
      <c r="D398" s="39">
        <v>-2.5988931512227254</v>
      </c>
      <c r="E398" s="39">
        <v>-1.1089356438776719</v>
      </c>
      <c r="G398">
        <f t="shared" si="40"/>
        <v>2</v>
      </c>
      <c r="H398">
        <v>1</v>
      </c>
      <c r="I398">
        <f t="shared" si="41"/>
        <v>7</v>
      </c>
      <c r="J398">
        <f t="shared" si="42"/>
        <v>2024</v>
      </c>
      <c r="K398" s="17">
        <f t="shared" si="43"/>
        <v>45474</v>
      </c>
      <c r="L398">
        <f t="shared" si="44"/>
        <v>1</v>
      </c>
    </row>
    <row r="399" spans="1:12" x14ac:dyDescent="0.3">
      <c r="A399" s="38">
        <v>45474</v>
      </c>
      <c r="B399" s="39">
        <v>-1.533848638679558E-2</v>
      </c>
      <c r="C399" s="39">
        <v>1.945080216478118</v>
      </c>
      <c r="D399" s="39">
        <v>-2.5702636952347717</v>
      </c>
      <c r="E399" s="39">
        <v>-1.3657710152388205</v>
      </c>
      <c r="G399">
        <f t="shared" si="40"/>
        <v>1</v>
      </c>
      <c r="H399">
        <v>1</v>
      </c>
      <c r="I399">
        <f t="shared" si="41"/>
        <v>7</v>
      </c>
      <c r="J399">
        <f t="shared" si="42"/>
        <v>2024</v>
      </c>
      <c r="K399" s="17">
        <f t="shared" si="43"/>
        <v>45474</v>
      </c>
      <c r="L399">
        <f t="shared" si="44"/>
        <v>1</v>
      </c>
    </row>
    <row r="400" spans="1:12" x14ac:dyDescent="0.3">
      <c r="A400" s="38">
        <v>45471</v>
      </c>
      <c r="B400" s="39">
        <v>1.2806432235279885E-2</v>
      </c>
      <c r="C400" s="39">
        <v>2.4836010655460683</v>
      </c>
      <c r="D400" s="39">
        <v>-2.518593960401347</v>
      </c>
      <c r="E400" s="39">
        <v>-1.2543738221684322</v>
      </c>
      <c r="G400">
        <f t="shared" si="40"/>
        <v>28</v>
      </c>
      <c r="H400">
        <v>1</v>
      </c>
      <c r="I400">
        <f t="shared" si="41"/>
        <v>6</v>
      </c>
      <c r="J400">
        <f t="shared" si="42"/>
        <v>2024</v>
      </c>
      <c r="K400" s="17">
        <f t="shared" si="43"/>
        <v>45444</v>
      </c>
      <c r="L400">
        <f t="shared" si="44"/>
        <v>0</v>
      </c>
    </row>
    <row r="401" spans="1:12" x14ac:dyDescent="0.3">
      <c r="A401" s="38">
        <v>45470</v>
      </c>
      <c r="B401" s="39">
        <v>0.1565267330597635</v>
      </c>
      <c r="C401" s="39">
        <v>2.620256472503911</v>
      </c>
      <c r="D401" s="39">
        <v>-2.2605747141542452</v>
      </c>
      <c r="E401" s="39">
        <v>-1.114232370270301</v>
      </c>
      <c r="G401">
        <f t="shared" si="40"/>
        <v>27</v>
      </c>
      <c r="H401">
        <v>1</v>
      </c>
      <c r="I401">
        <f t="shared" si="41"/>
        <v>6</v>
      </c>
      <c r="J401">
        <f t="shared" si="42"/>
        <v>2024</v>
      </c>
      <c r="K401" s="17">
        <f t="shared" si="43"/>
        <v>45444</v>
      </c>
      <c r="L401">
        <f t="shared" si="44"/>
        <v>0</v>
      </c>
    </row>
    <row r="402" spans="1:12" x14ac:dyDescent="0.3">
      <c r="A402" s="38">
        <v>45469</v>
      </c>
      <c r="B402" s="39">
        <v>-0.45245324481447824</v>
      </c>
      <c r="C402" s="39">
        <v>2.0457081170501681</v>
      </c>
      <c r="D402" s="39">
        <v>-2.7491842667732698</v>
      </c>
      <c r="E402" s="39">
        <v>-1.6996823400047418</v>
      </c>
      <c r="G402">
        <f t="shared" si="40"/>
        <v>26</v>
      </c>
      <c r="H402">
        <v>1</v>
      </c>
      <c r="I402">
        <f t="shared" si="41"/>
        <v>6</v>
      </c>
      <c r="J402">
        <f t="shared" si="42"/>
        <v>2024</v>
      </c>
      <c r="K402" s="17">
        <f t="shared" si="43"/>
        <v>45444</v>
      </c>
      <c r="L402">
        <f t="shared" si="44"/>
        <v>0</v>
      </c>
    </row>
    <row r="403" spans="1:12" x14ac:dyDescent="0.3">
      <c r="A403" s="38">
        <v>45468</v>
      </c>
      <c r="B403" s="39">
        <v>-1.2594019874129572</v>
      </c>
      <c r="C403" s="39">
        <v>1.2936067213021829</v>
      </c>
      <c r="D403" s="39">
        <v>-3.368405038614668</v>
      </c>
      <c r="E403" s="39">
        <v>-2.610605183669378</v>
      </c>
      <c r="G403">
        <f t="shared" si="40"/>
        <v>25</v>
      </c>
      <c r="H403">
        <v>1</v>
      </c>
      <c r="I403">
        <f t="shared" si="41"/>
        <v>6</v>
      </c>
      <c r="J403">
        <f t="shared" si="42"/>
        <v>2024</v>
      </c>
      <c r="K403" s="17">
        <f t="shared" si="43"/>
        <v>45444</v>
      </c>
      <c r="L403">
        <f t="shared" si="44"/>
        <v>0</v>
      </c>
    </row>
    <row r="404" spans="1:12" x14ac:dyDescent="0.3">
      <c r="A404" s="38">
        <v>45467</v>
      </c>
      <c r="B404" s="39">
        <v>-0.99274924460071645</v>
      </c>
      <c r="C404" s="39">
        <v>1.6149387383926239</v>
      </c>
      <c r="D404" s="39">
        <v>-3.1693414270714584</v>
      </c>
      <c r="E404" s="39">
        <v>-2.3535168502279618</v>
      </c>
      <c r="G404">
        <f t="shared" si="40"/>
        <v>24</v>
      </c>
      <c r="H404">
        <v>1</v>
      </c>
      <c r="I404">
        <f t="shared" si="41"/>
        <v>6</v>
      </c>
      <c r="J404">
        <f t="shared" si="42"/>
        <v>2024</v>
      </c>
      <c r="K404" s="17">
        <f t="shared" si="43"/>
        <v>45444</v>
      </c>
      <c r="L404">
        <f t="shared" si="44"/>
        <v>0</v>
      </c>
    </row>
    <row r="405" spans="1:12" x14ac:dyDescent="0.3">
      <c r="A405" s="38">
        <v>45464</v>
      </c>
      <c r="B405" s="39">
        <v>-0.87124364447437586</v>
      </c>
      <c r="C405" s="39">
        <v>1.7500645559533297</v>
      </c>
      <c r="D405" s="39">
        <v>-3.1974185118403113</v>
      </c>
      <c r="E405" s="39">
        <v>-2.2550538264344624</v>
      </c>
      <c r="G405">
        <f t="shared" si="40"/>
        <v>21</v>
      </c>
      <c r="H405">
        <v>1</v>
      </c>
      <c r="I405">
        <f t="shared" si="41"/>
        <v>6</v>
      </c>
      <c r="J405">
        <f t="shared" si="42"/>
        <v>2024</v>
      </c>
      <c r="K405" s="17">
        <f t="shared" si="43"/>
        <v>45444</v>
      </c>
      <c r="L405">
        <f t="shared" si="44"/>
        <v>0</v>
      </c>
    </row>
    <row r="406" spans="1:12" x14ac:dyDescent="0.3">
      <c r="A406" s="38">
        <v>45463</v>
      </c>
      <c r="B406" s="39">
        <v>-0.29556366664166944</v>
      </c>
      <c r="C406" s="39">
        <v>2.3480530124125067</v>
      </c>
      <c r="D406" s="39">
        <v>-2.3672929195956129</v>
      </c>
      <c r="E406" s="39">
        <v>-1.7177618327400523</v>
      </c>
      <c r="G406">
        <f t="shared" si="40"/>
        <v>20</v>
      </c>
      <c r="H406">
        <v>1</v>
      </c>
      <c r="I406">
        <f t="shared" si="41"/>
        <v>6</v>
      </c>
      <c r="J406">
        <f t="shared" si="42"/>
        <v>2024</v>
      </c>
      <c r="K406" s="17">
        <f t="shared" si="43"/>
        <v>45444</v>
      </c>
      <c r="L406">
        <f t="shared" si="44"/>
        <v>0</v>
      </c>
    </row>
    <row r="407" spans="1:12" x14ac:dyDescent="0.3">
      <c r="A407" s="38">
        <v>45462</v>
      </c>
      <c r="B407" s="39">
        <v>-0.59388279646519493</v>
      </c>
      <c r="C407" s="39">
        <v>2.0984787910071248</v>
      </c>
      <c r="D407" s="39">
        <v>-2.6389680112819605</v>
      </c>
      <c r="E407" s="39">
        <v>-2.0428316222458704</v>
      </c>
      <c r="G407">
        <f t="shared" si="40"/>
        <v>19</v>
      </c>
      <c r="H407">
        <v>1</v>
      </c>
      <c r="I407">
        <f t="shared" si="41"/>
        <v>6</v>
      </c>
      <c r="J407">
        <f t="shared" si="42"/>
        <v>2024</v>
      </c>
      <c r="K407" s="17">
        <f t="shared" si="43"/>
        <v>45444</v>
      </c>
      <c r="L407">
        <f t="shared" si="44"/>
        <v>0</v>
      </c>
    </row>
    <row r="408" spans="1:12" x14ac:dyDescent="0.3">
      <c r="A408" s="38">
        <v>45461</v>
      </c>
      <c r="B408" s="39">
        <v>-1.2887151230695508</v>
      </c>
      <c r="C408" s="39">
        <v>1.4021421584024978</v>
      </c>
      <c r="D408" s="39">
        <v>-3.415455969028514</v>
      </c>
      <c r="E408" s="39">
        <v>-2.5722634912338833</v>
      </c>
      <c r="G408">
        <f t="shared" si="40"/>
        <v>18</v>
      </c>
      <c r="H408">
        <v>1</v>
      </c>
      <c r="I408">
        <f t="shared" si="41"/>
        <v>6</v>
      </c>
      <c r="J408">
        <f t="shared" si="42"/>
        <v>2024</v>
      </c>
      <c r="K408" s="17">
        <f t="shared" si="43"/>
        <v>45444</v>
      </c>
      <c r="L408">
        <f t="shared" si="44"/>
        <v>0</v>
      </c>
    </row>
    <row r="409" spans="1:12" x14ac:dyDescent="0.3">
      <c r="A409" s="38">
        <v>45457</v>
      </c>
      <c r="B409" s="39">
        <v>-1.1000716911352839</v>
      </c>
      <c r="C409" s="39">
        <v>1.5892922305127399</v>
      </c>
      <c r="D409" s="39">
        <v>-3.1928725266759415</v>
      </c>
      <c r="E409" s="39">
        <v>-2.3146063176649392</v>
      </c>
      <c r="G409">
        <f t="shared" si="40"/>
        <v>14</v>
      </c>
      <c r="H409">
        <v>1</v>
      </c>
      <c r="I409">
        <f t="shared" si="41"/>
        <v>6</v>
      </c>
      <c r="J409">
        <f t="shared" si="42"/>
        <v>2024</v>
      </c>
      <c r="K409" s="17">
        <f t="shared" si="43"/>
        <v>45444</v>
      </c>
      <c r="L409">
        <f t="shared" si="44"/>
        <v>0</v>
      </c>
    </row>
    <row r="410" spans="1:12" x14ac:dyDescent="0.3">
      <c r="A410" s="38">
        <v>45456</v>
      </c>
      <c r="B410" s="39">
        <v>-1.272532841335746</v>
      </c>
      <c r="C410" s="39">
        <v>1.4363802514473605</v>
      </c>
      <c r="D410" s="39">
        <v>-3.2215121114934959</v>
      </c>
      <c r="E410" s="39">
        <v>-2.558618812294938</v>
      </c>
      <c r="G410">
        <f t="shared" si="40"/>
        <v>13</v>
      </c>
      <c r="H410">
        <v>1</v>
      </c>
      <c r="I410">
        <f t="shared" si="41"/>
        <v>6</v>
      </c>
      <c r="J410">
        <f t="shared" si="42"/>
        <v>2024</v>
      </c>
      <c r="K410" s="17">
        <f t="shared" si="43"/>
        <v>45444</v>
      </c>
      <c r="L410">
        <f t="shared" si="44"/>
        <v>0</v>
      </c>
    </row>
    <row r="411" spans="1:12" x14ac:dyDescent="0.3">
      <c r="A411" s="38">
        <v>45455</v>
      </c>
      <c r="B411" s="39">
        <v>-1.3622209521670499</v>
      </c>
      <c r="C411" s="39">
        <v>1.4225627079194396</v>
      </c>
      <c r="D411" s="39">
        <v>-3.4601645344863812</v>
      </c>
      <c r="E411" s="39">
        <v>-2.7162589848252878</v>
      </c>
      <c r="G411">
        <f t="shared" si="40"/>
        <v>12</v>
      </c>
      <c r="H411">
        <v>1</v>
      </c>
      <c r="I411">
        <f t="shared" si="41"/>
        <v>6</v>
      </c>
      <c r="J411">
        <f t="shared" si="42"/>
        <v>2024</v>
      </c>
      <c r="K411" s="17">
        <f t="shared" si="43"/>
        <v>45444</v>
      </c>
      <c r="L411">
        <f t="shared" si="44"/>
        <v>0</v>
      </c>
    </row>
    <row r="412" spans="1:12" x14ac:dyDescent="0.3">
      <c r="A412" s="38">
        <v>45454</v>
      </c>
      <c r="B412" s="39">
        <v>-1.4427809874286339</v>
      </c>
      <c r="C412" s="39">
        <v>1.4405506062320939</v>
      </c>
      <c r="D412" s="39">
        <v>-3.7266260562591356</v>
      </c>
      <c r="E412" s="39">
        <v>-2.7729424387555497</v>
      </c>
      <c r="G412">
        <f t="shared" si="40"/>
        <v>11</v>
      </c>
      <c r="H412">
        <v>1</v>
      </c>
      <c r="I412">
        <f t="shared" si="41"/>
        <v>6</v>
      </c>
      <c r="J412">
        <f t="shared" si="42"/>
        <v>2024</v>
      </c>
      <c r="K412" s="17">
        <f t="shared" si="43"/>
        <v>45444</v>
      </c>
      <c r="L412">
        <f t="shared" si="44"/>
        <v>0</v>
      </c>
    </row>
    <row r="413" spans="1:12" x14ac:dyDescent="0.3">
      <c r="A413" s="38">
        <v>45453</v>
      </c>
      <c r="B413" s="39">
        <v>-1.5878907467101158</v>
      </c>
      <c r="C413" s="39">
        <v>1.2817345853423348</v>
      </c>
      <c r="D413" s="39">
        <v>-4.1225198307863167</v>
      </c>
      <c r="E413" s="39">
        <v>-2.7041855434524393</v>
      </c>
      <c r="G413">
        <f t="shared" si="40"/>
        <v>10</v>
      </c>
      <c r="H413">
        <v>1</v>
      </c>
      <c r="I413">
        <f t="shared" si="41"/>
        <v>6</v>
      </c>
      <c r="J413">
        <f t="shared" si="42"/>
        <v>2024</v>
      </c>
      <c r="K413" s="17">
        <f t="shared" si="43"/>
        <v>45444</v>
      </c>
      <c r="L413">
        <f t="shared" si="44"/>
        <v>0</v>
      </c>
    </row>
    <row r="414" spans="1:12" x14ac:dyDescent="0.3">
      <c r="A414" s="38">
        <v>45450</v>
      </c>
      <c r="B414" s="39">
        <v>-1.9221174624323538</v>
      </c>
      <c r="C414" s="39">
        <v>0.94628581395913614</v>
      </c>
      <c r="D414" s="39">
        <v>-4.3346180807045727</v>
      </c>
      <c r="E414" s="39">
        <v>-3.063479272766088</v>
      </c>
      <c r="G414">
        <f t="shared" si="40"/>
        <v>7</v>
      </c>
      <c r="H414">
        <v>1</v>
      </c>
      <c r="I414">
        <f t="shared" si="41"/>
        <v>6</v>
      </c>
      <c r="J414">
        <f t="shared" si="42"/>
        <v>2024</v>
      </c>
      <c r="K414" s="17">
        <f t="shared" si="43"/>
        <v>45444</v>
      </c>
      <c r="L414">
        <f t="shared" si="44"/>
        <v>0</v>
      </c>
    </row>
    <row r="415" spans="1:12" x14ac:dyDescent="0.3">
      <c r="A415" s="38">
        <v>45449</v>
      </c>
      <c r="B415" s="39">
        <v>-2.0961239987097144</v>
      </c>
      <c r="C415" s="39">
        <v>0.79170116162922</v>
      </c>
      <c r="D415" s="39">
        <v>-4.2438096924340982</v>
      </c>
      <c r="E415" s="39">
        <v>-3.3208719316155992</v>
      </c>
      <c r="G415">
        <f t="shared" si="40"/>
        <v>6</v>
      </c>
      <c r="H415">
        <v>1</v>
      </c>
      <c r="I415">
        <f t="shared" si="41"/>
        <v>6</v>
      </c>
      <c r="J415">
        <f t="shared" si="42"/>
        <v>2024</v>
      </c>
      <c r="K415" s="17">
        <f t="shared" si="43"/>
        <v>45444</v>
      </c>
      <c r="L415">
        <f t="shared" si="44"/>
        <v>0</v>
      </c>
    </row>
    <row r="416" spans="1:12" x14ac:dyDescent="0.3">
      <c r="A416" s="38">
        <v>45448</v>
      </c>
      <c r="B416" s="39">
        <v>-1.2929039123897468</v>
      </c>
      <c r="C416" s="39">
        <v>1.6041881667214</v>
      </c>
      <c r="D416" s="39">
        <v>-3.2320265591461492</v>
      </c>
      <c r="E416" s="39">
        <v>-2.526554891491017</v>
      </c>
      <c r="G416">
        <f t="shared" si="40"/>
        <v>5</v>
      </c>
      <c r="H416">
        <v>1</v>
      </c>
      <c r="I416">
        <f t="shared" si="41"/>
        <v>6</v>
      </c>
      <c r="J416">
        <f t="shared" si="42"/>
        <v>2024</v>
      </c>
      <c r="K416" s="17">
        <f t="shared" si="43"/>
        <v>45444</v>
      </c>
      <c r="L416">
        <f t="shared" si="44"/>
        <v>0</v>
      </c>
    </row>
    <row r="417" spans="1:12" x14ac:dyDescent="0.3">
      <c r="A417" s="38">
        <v>45447</v>
      </c>
      <c r="B417" s="39">
        <v>-1.4225633930225001</v>
      </c>
      <c r="C417" s="39">
        <v>1.5559745357514032</v>
      </c>
      <c r="D417" s="39">
        <v>-2.8385614834244421</v>
      </c>
      <c r="E417" s="39">
        <v>-2.8912566975290304</v>
      </c>
      <c r="G417">
        <f t="shared" si="40"/>
        <v>4</v>
      </c>
      <c r="H417">
        <v>1</v>
      </c>
      <c r="I417">
        <f t="shared" si="41"/>
        <v>6</v>
      </c>
      <c r="J417">
        <f t="shared" si="42"/>
        <v>2024</v>
      </c>
      <c r="K417" s="17">
        <f t="shared" si="43"/>
        <v>45444</v>
      </c>
      <c r="L417">
        <f t="shared" si="44"/>
        <v>1</v>
      </c>
    </row>
    <row r="418" spans="1:12" x14ac:dyDescent="0.3">
      <c r="A418" s="38">
        <v>45446</v>
      </c>
      <c r="B418" s="39">
        <v>-2.4752815395496555</v>
      </c>
      <c r="C418" s="39">
        <v>0.4250657544093599</v>
      </c>
      <c r="D418" s="39">
        <v>-4.0779002465045409</v>
      </c>
      <c r="E418" s="39">
        <v>-3.9618334358847562</v>
      </c>
      <c r="G418">
        <f t="shared" si="40"/>
        <v>3</v>
      </c>
      <c r="H418">
        <v>1</v>
      </c>
      <c r="I418">
        <f t="shared" si="41"/>
        <v>6</v>
      </c>
      <c r="J418">
        <f t="shared" si="42"/>
        <v>2024</v>
      </c>
      <c r="K418" s="17">
        <f t="shared" si="43"/>
        <v>45444</v>
      </c>
      <c r="L418">
        <f t="shared" si="44"/>
        <v>1</v>
      </c>
    </row>
    <row r="419" spans="1:12" x14ac:dyDescent="0.3">
      <c r="A419" s="38">
        <v>45443</v>
      </c>
      <c r="B419" s="39">
        <v>-2.9446630605704769</v>
      </c>
      <c r="C419" s="39">
        <v>-1.0016025625676974</v>
      </c>
      <c r="D419" s="39">
        <v>-4.631505516798569</v>
      </c>
      <c r="E419" s="39">
        <v>-4.1876305918547558</v>
      </c>
      <c r="G419">
        <f t="shared" si="40"/>
        <v>31</v>
      </c>
      <c r="H419">
        <v>1</v>
      </c>
      <c r="I419">
        <f t="shared" si="41"/>
        <v>5</v>
      </c>
      <c r="J419">
        <f t="shared" si="42"/>
        <v>2024</v>
      </c>
      <c r="K419" s="17">
        <f t="shared" si="43"/>
        <v>45413</v>
      </c>
      <c r="L419">
        <f t="shared" si="44"/>
        <v>0</v>
      </c>
    </row>
    <row r="420" spans="1:12" x14ac:dyDescent="0.3">
      <c r="A420" s="38">
        <v>45442</v>
      </c>
      <c r="B420" s="39">
        <v>-2.9248007322375287</v>
      </c>
      <c r="C420" s="39">
        <v>-1.0015365868119375</v>
      </c>
      <c r="D420" s="39">
        <v>-4.5686726474219341</v>
      </c>
      <c r="E420" s="39">
        <v>-4.2191257293251851</v>
      </c>
      <c r="G420">
        <f t="shared" si="40"/>
        <v>30</v>
      </c>
      <c r="H420">
        <v>1</v>
      </c>
      <c r="I420">
        <f t="shared" si="41"/>
        <v>5</v>
      </c>
      <c r="J420">
        <f t="shared" si="42"/>
        <v>2024</v>
      </c>
      <c r="K420" s="17">
        <f t="shared" si="43"/>
        <v>45413</v>
      </c>
      <c r="L420">
        <f t="shared" si="44"/>
        <v>0</v>
      </c>
    </row>
    <row r="421" spans="1:12" x14ac:dyDescent="0.3">
      <c r="A421" s="38">
        <v>45441</v>
      </c>
      <c r="B421" s="39">
        <v>-2.3879482616207355</v>
      </c>
      <c r="C421" s="39">
        <v>-0.42784060265421431</v>
      </c>
      <c r="D421" s="39">
        <v>-4.2281840755150029</v>
      </c>
      <c r="E421" s="39">
        <v>-3.7532738607092995</v>
      </c>
      <c r="G421">
        <f t="shared" si="40"/>
        <v>29</v>
      </c>
      <c r="H421">
        <v>1</v>
      </c>
      <c r="I421">
        <f t="shared" si="41"/>
        <v>5</v>
      </c>
      <c r="J421">
        <f t="shared" si="42"/>
        <v>2024</v>
      </c>
      <c r="K421" s="17">
        <f t="shared" si="43"/>
        <v>45413</v>
      </c>
      <c r="L421">
        <f t="shared" si="44"/>
        <v>0</v>
      </c>
    </row>
    <row r="422" spans="1:12" x14ac:dyDescent="0.3">
      <c r="A422" s="38">
        <v>45440</v>
      </c>
      <c r="B422" s="39">
        <v>-2.3590465446634283</v>
      </c>
      <c r="C422" s="39">
        <v>-0.40967808876928302</v>
      </c>
      <c r="D422" s="39">
        <v>-4.1761870419652638</v>
      </c>
      <c r="E422" s="39">
        <v>-3.6632564017636753</v>
      </c>
      <c r="G422">
        <f t="shared" si="40"/>
        <v>28</v>
      </c>
      <c r="H422">
        <v>1</v>
      </c>
      <c r="I422">
        <f t="shared" si="41"/>
        <v>5</v>
      </c>
      <c r="J422">
        <f t="shared" si="42"/>
        <v>2024</v>
      </c>
      <c r="K422" s="17">
        <f t="shared" si="43"/>
        <v>45413</v>
      </c>
      <c r="L422">
        <f t="shared" si="44"/>
        <v>0</v>
      </c>
    </row>
    <row r="423" spans="1:12" x14ac:dyDescent="0.3">
      <c r="A423" s="38">
        <v>45436</v>
      </c>
      <c r="B423" s="39">
        <v>-2.5355754193826812</v>
      </c>
      <c r="C423" s="39">
        <v>-0.50920990565958846</v>
      </c>
      <c r="D423" s="39">
        <v>-4.9785046566039597</v>
      </c>
      <c r="E423" s="39">
        <v>-3.5146377114345739</v>
      </c>
      <c r="G423">
        <f t="shared" si="40"/>
        <v>24</v>
      </c>
      <c r="H423">
        <v>1</v>
      </c>
      <c r="I423">
        <f t="shared" si="41"/>
        <v>5</v>
      </c>
      <c r="J423">
        <f t="shared" si="42"/>
        <v>2024</v>
      </c>
      <c r="K423" s="17">
        <f t="shared" si="43"/>
        <v>45413</v>
      </c>
      <c r="L423">
        <f t="shared" si="44"/>
        <v>0</v>
      </c>
    </row>
    <row r="424" spans="1:12" x14ac:dyDescent="0.3">
      <c r="A424" s="38">
        <v>45435</v>
      </c>
      <c r="B424" s="39">
        <v>-2.6610512672489648</v>
      </c>
      <c r="C424" s="39">
        <v>-0.63826562020959443</v>
      </c>
      <c r="D424" s="39">
        <v>-5.337783634174329</v>
      </c>
      <c r="E424" s="39">
        <v>-3.6523384826004275</v>
      </c>
      <c r="G424">
        <f t="shared" si="40"/>
        <v>23</v>
      </c>
      <c r="H424">
        <v>1</v>
      </c>
      <c r="I424">
        <f t="shared" si="41"/>
        <v>5</v>
      </c>
      <c r="J424">
        <f t="shared" si="42"/>
        <v>2024</v>
      </c>
      <c r="K424" s="17">
        <f t="shared" si="43"/>
        <v>45413</v>
      </c>
      <c r="L424">
        <f t="shared" si="44"/>
        <v>0</v>
      </c>
    </row>
    <row r="425" spans="1:12" x14ac:dyDescent="0.3">
      <c r="A425" s="38">
        <v>45433</v>
      </c>
      <c r="B425" s="39">
        <v>-2.3335833692338781</v>
      </c>
      <c r="C425" s="39">
        <v>-0.17944094318552573</v>
      </c>
      <c r="D425" s="39">
        <v>-4.672264538508955</v>
      </c>
      <c r="E425" s="39">
        <v>-3.5661045868016998</v>
      </c>
      <c r="G425">
        <f t="shared" si="40"/>
        <v>21</v>
      </c>
      <c r="H425">
        <v>1</v>
      </c>
      <c r="I425">
        <f t="shared" si="41"/>
        <v>5</v>
      </c>
      <c r="J425">
        <f t="shared" si="42"/>
        <v>2024</v>
      </c>
      <c r="K425" s="17">
        <f t="shared" si="43"/>
        <v>45413</v>
      </c>
      <c r="L425">
        <f t="shared" si="44"/>
        <v>0</v>
      </c>
    </row>
    <row r="426" spans="1:12" x14ac:dyDescent="0.3">
      <c r="A426" s="38">
        <v>45432</v>
      </c>
      <c r="B426" s="39">
        <v>-2.4257480288066233</v>
      </c>
      <c r="C426" s="39">
        <v>-0.37315180962822581</v>
      </c>
      <c r="D426" s="39">
        <v>-5.2959353689219455</v>
      </c>
      <c r="E426" s="39">
        <v>-3.500973286081063</v>
      </c>
      <c r="G426">
        <f t="shared" si="40"/>
        <v>20</v>
      </c>
      <c r="H426">
        <v>1</v>
      </c>
      <c r="I426">
        <f t="shared" si="41"/>
        <v>5</v>
      </c>
      <c r="J426">
        <f t="shared" si="42"/>
        <v>2024</v>
      </c>
      <c r="K426" s="17">
        <f t="shared" si="43"/>
        <v>45413</v>
      </c>
      <c r="L426">
        <f t="shared" si="44"/>
        <v>0</v>
      </c>
    </row>
    <row r="427" spans="1:12" x14ac:dyDescent="0.3">
      <c r="A427" s="38">
        <v>45429</v>
      </c>
      <c r="B427" s="39">
        <v>-2.7483724119691288</v>
      </c>
      <c r="C427" s="39">
        <v>-0.76375715970608837</v>
      </c>
      <c r="D427" s="39">
        <v>-5.8019445069499795</v>
      </c>
      <c r="E427" s="39">
        <v>-3.7430139260155215</v>
      </c>
      <c r="G427">
        <f t="shared" si="40"/>
        <v>17</v>
      </c>
      <c r="H427">
        <v>1</v>
      </c>
      <c r="I427">
        <f t="shared" si="41"/>
        <v>5</v>
      </c>
      <c r="J427">
        <f t="shared" si="42"/>
        <v>2024</v>
      </c>
      <c r="K427" s="17">
        <f t="shared" si="43"/>
        <v>45413</v>
      </c>
      <c r="L427">
        <f t="shared" si="44"/>
        <v>0</v>
      </c>
    </row>
    <row r="428" spans="1:12" x14ac:dyDescent="0.3">
      <c r="A428" s="38">
        <v>45428</v>
      </c>
      <c r="B428" s="39">
        <v>-2.8803286818786944</v>
      </c>
      <c r="C428" s="39">
        <v>-0.86326218216956363</v>
      </c>
      <c r="D428" s="39">
        <v>-5.8469849372726515</v>
      </c>
      <c r="E428" s="39">
        <v>-3.9192130075406766</v>
      </c>
      <c r="G428">
        <f t="shared" si="40"/>
        <v>16</v>
      </c>
      <c r="H428">
        <v>1</v>
      </c>
      <c r="I428">
        <f t="shared" si="41"/>
        <v>5</v>
      </c>
      <c r="J428">
        <f t="shared" si="42"/>
        <v>2024</v>
      </c>
      <c r="K428" s="17">
        <f t="shared" si="43"/>
        <v>45413</v>
      </c>
      <c r="L428">
        <f t="shared" si="44"/>
        <v>0</v>
      </c>
    </row>
    <row r="429" spans="1:12" x14ac:dyDescent="0.3">
      <c r="A429" s="38">
        <v>45427</v>
      </c>
      <c r="B429" s="39">
        <v>-3.0519634695793059</v>
      </c>
      <c r="C429" s="39">
        <v>-0.94981991104461372</v>
      </c>
      <c r="D429" s="39">
        <v>-5.8362865781973454</v>
      </c>
      <c r="E429" s="39">
        <v>-4.1074536619523911</v>
      </c>
      <c r="G429">
        <f t="shared" si="40"/>
        <v>15</v>
      </c>
      <c r="H429">
        <v>1</v>
      </c>
      <c r="I429">
        <f t="shared" si="41"/>
        <v>5</v>
      </c>
      <c r="J429">
        <f t="shared" si="42"/>
        <v>2024</v>
      </c>
      <c r="K429" s="17">
        <f t="shared" si="43"/>
        <v>45413</v>
      </c>
      <c r="L429">
        <f t="shared" si="44"/>
        <v>0</v>
      </c>
    </row>
    <row r="430" spans="1:12" x14ac:dyDescent="0.3">
      <c r="A430" s="38">
        <v>45426</v>
      </c>
      <c r="B430" s="39">
        <v>-3.2172806422897651</v>
      </c>
      <c r="C430" s="39">
        <v>-1.1912389446134455</v>
      </c>
      <c r="D430" s="39">
        <v>-6.1592841917764076</v>
      </c>
      <c r="E430" s="39">
        <v>-4.2110737570135655</v>
      </c>
      <c r="G430">
        <f t="shared" si="40"/>
        <v>14</v>
      </c>
      <c r="H430">
        <v>1</v>
      </c>
      <c r="I430">
        <f t="shared" si="41"/>
        <v>5</v>
      </c>
      <c r="J430">
        <f t="shared" si="42"/>
        <v>2024</v>
      </c>
      <c r="K430" s="17">
        <f t="shared" si="43"/>
        <v>45413</v>
      </c>
      <c r="L430">
        <f t="shared" si="44"/>
        <v>0</v>
      </c>
    </row>
    <row r="431" spans="1:12" x14ac:dyDescent="0.3">
      <c r="A431" s="38">
        <v>45425</v>
      </c>
      <c r="B431" s="39">
        <v>-2.7952013282589974</v>
      </c>
      <c r="C431" s="39">
        <v>-0.77759020529273926</v>
      </c>
      <c r="D431" s="39">
        <v>-5.7368115987280532</v>
      </c>
      <c r="E431" s="39">
        <v>-3.7981026237085302</v>
      </c>
      <c r="G431">
        <f t="shared" si="40"/>
        <v>13</v>
      </c>
      <c r="H431">
        <v>1</v>
      </c>
      <c r="I431">
        <f t="shared" si="41"/>
        <v>5</v>
      </c>
      <c r="J431">
        <f t="shared" si="42"/>
        <v>2024</v>
      </c>
      <c r="K431" s="17">
        <f t="shared" si="43"/>
        <v>45413</v>
      </c>
      <c r="L431">
        <f t="shared" si="44"/>
        <v>0</v>
      </c>
    </row>
    <row r="432" spans="1:12" x14ac:dyDescent="0.3">
      <c r="A432" s="38">
        <v>45422</v>
      </c>
      <c r="B432" s="39">
        <v>-2.5277663408897979</v>
      </c>
      <c r="C432" s="39">
        <v>-0.50919741640346672</v>
      </c>
      <c r="D432" s="39">
        <v>-5.1900551913441575</v>
      </c>
      <c r="E432" s="39">
        <v>-3.7242977864237758</v>
      </c>
      <c r="G432">
        <f t="shared" si="40"/>
        <v>10</v>
      </c>
      <c r="H432">
        <v>1</v>
      </c>
      <c r="I432">
        <f t="shared" si="41"/>
        <v>5</v>
      </c>
      <c r="J432">
        <f t="shared" si="42"/>
        <v>2024</v>
      </c>
      <c r="K432" s="17">
        <f t="shared" si="43"/>
        <v>45413</v>
      </c>
      <c r="L432">
        <f t="shared" si="44"/>
        <v>0</v>
      </c>
    </row>
    <row r="433" spans="1:12" x14ac:dyDescent="0.3">
      <c r="A433" s="38">
        <v>45421</v>
      </c>
      <c r="B433" s="39">
        <v>-2.1592482433101594</v>
      </c>
      <c r="C433" s="39">
        <v>-0.1784505132015255</v>
      </c>
      <c r="D433" s="39">
        <v>-4.8200375774288915</v>
      </c>
      <c r="E433" s="39">
        <v>-3.2425011713367837</v>
      </c>
      <c r="G433">
        <f t="shared" si="40"/>
        <v>9</v>
      </c>
      <c r="H433">
        <v>1</v>
      </c>
      <c r="I433">
        <f t="shared" si="41"/>
        <v>5</v>
      </c>
      <c r="J433">
        <f t="shared" si="42"/>
        <v>2024</v>
      </c>
      <c r="K433" s="17">
        <f t="shared" si="43"/>
        <v>45413</v>
      </c>
      <c r="L433">
        <f t="shared" si="44"/>
        <v>0</v>
      </c>
    </row>
    <row r="434" spans="1:12" x14ac:dyDescent="0.3">
      <c r="A434" s="38">
        <v>45420</v>
      </c>
      <c r="B434" s="39">
        <v>-2.1299158031960559</v>
      </c>
      <c r="C434" s="39">
        <v>-0.12372525679462854</v>
      </c>
      <c r="D434" s="39">
        <v>-4.7729943514255808</v>
      </c>
      <c r="E434" s="39">
        <v>-3.2193552856764853</v>
      </c>
      <c r="G434">
        <f t="shared" si="40"/>
        <v>8</v>
      </c>
      <c r="H434">
        <v>1</v>
      </c>
      <c r="I434">
        <f t="shared" si="41"/>
        <v>5</v>
      </c>
      <c r="J434">
        <f t="shared" si="42"/>
        <v>2024</v>
      </c>
      <c r="K434" s="17">
        <f t="shared" si="43"/>
        <v>45413</v>
      </c>
      <c r="L434">
        <f t="shared" si="44"/>
        <v>0</v>
      </c>
    </row>
    <row r="435" spans="1:12" x14ac:dyDescent="0.3">
      <c r="A435" s="38">
        <v>45419</v>
      </c>
      <c r="B435" s="39">
        <v>-1.7278410401458899</v>
      </c>
      <c r="C435" s="39">
        <v>0.307007557953213</v>
      </c>
      <c r="D435" s="39">
        <v>-4.5450329894513715</v>
      </c>
      <c r="E435" s="39">
        <v>-2.9204064521164952</v>
      </c>
      <c r="G435">
        <f t="shared" si="40"/>
        <v>7</v>
      </c>
      <c r="H435">
        <v>1</v>
      </c>
      <c r="I435">
        <f t="shared" si="41"/>
        <v>5</v>
      </c>
      <c r="J435">
        <f t="shared" si="42"/>
        <v>2024</v>
      </c>
      <c r="K435" s="17">
        <f t="shared" si="43"/>
        <v>45413</v>
      </c>
      <c r="L435">
        <f t="shared" si="44"/>
        <v>0</v>
      </c>
    </row>
    <row r="436" spans="1:12" x14ac:dyDescent="0.3">
      <c r="A436" s="38">
        <v>45415</v>
      </c>
      <c r="B436" s="39">
        <v>-1.947875135453657</v>
      </c>
      <c r="C436" s="39">
        <v>2.6095572375297138E-2</v>
      </c>
      <c r="D436" s="39">
        <v>-5.3277784682469473</v>
      </c>
      <c r="E436" s="39">
        <v>-3.0899940235426158</v>
      </c>
      <c r="G436">
        <f t="shared" si="40"/>
        <v>3</v>
      </c>
      <c r="H436">
        <v>1</v>
      </c>
      <c r="I436">
        <f t="shared" si="41"/>
        <v>5</v>
      </c>
      <c r="J436">
        <f t="shared" si="42"/>
        <v>2024</v>
      </c>
      <c r="K436" s="17">
        <f t="shared" si="43"/>
        <v>45413</v>
      </c>
      <c r="L436">
        <f t="shared" si="44"/>
        <v>1</v>
      </c>
    </row>
    <row r="437" spans="1:12" x14ac:dyDescent="0.3">
      <c r="A437" s="38">
        <v>45414</v>
      </c>
      <c r="B437" s="39">
        <v>-1.4382226889709102</v>
      </c>
      <c r="C437" s="39">
        <v>0.55680460634224005</v>
      </c>
      <c r="D437" s="39">
        <v>-4.5688835088162278</v>
      </c>
      <c r="E437" s="39">
        <v>-2.7488652209218856</v>
      </c>
      <c r="G437">
        <f t="shared" si="40"/>
        <v>2</v>
      </c>
      <c r="H437">
        <v>1</v>
      </c>
      <c r="I437">
        <f t="shared" si="41"/>
        <v>5</v>
      </c>
      <c r="J437">
        <f t="shared" si="42"/>
        <v>2024</v>
      </c>
      <c r="K437" s="17">
        <f t="shared" si="43"/>
        <v>45413</v>
      </c>
      <c r="L437">
        <f t="shared" si="44"/>
        <v>1</v>
      </c>
    </row>
    <row r="438" spans="1:12" x14ac:dyDescent="0.3">
      <c r="A438" s="38">
        <v>45412</v>
      </c>
      <c r="B438" s="39">
        <v>-2.1981047309965192</v>
      </c>
      <c r="C438" s="39">
        <v>-0.54007236859895613</v>
      </c>
      <c r="D438" s="39">
        <v>-5.9056799438468914</v>
      </c>
      <c r="E438" s="39">
        <v>-3.1193795565606024</v>
      </c>
      <c r="G438">
        <f t="shared" si="40"/>
        <v>30</v>
      </c>
      <c r="H438">
        <v>1</v>
      </c>
      <c r="I438">
        <f t="shared" si="41"/>
        <v>4</v>
      </c>
      <c r="J438">
        <f t="shared" si="42"/>
        <v>2024</v>
      </c>
      <c r="K438" s="17">
        <f t="shared" si="43"/>
        <v>45383</v>
      </c>
      <c r="L438">
        <f t="shared" si="44"/>
        <v>0</v>
      </c>
    </row>
    <row r="439" spans="1:12" x14ac:dyDescent="0.3">
      <c r="A439" s="38">
        <v>45411</v>
      </c>
      <c r="B439" s="39">
        <v>-2.4529231334035728</v>
      </c>
      <c r="C439" s="39">
        <v>-0.83147825950290155</v>
      </c>
      <c r="D439" s="39">
        <v>-6.6790090422564106</v>
      </c>
      <c r="E439" s="39">
        <v>-3.2133298927880247</v>
      </c>
      <c r="G439">
        <f t="shared" si="40"/>
        <v>29</v>
      </c>
      <c r="H439">
        <v>1</v>
      </c>
      <c r="I439">
        <f t="shared" si="41"/>
        <v>4</v>
      </c>
      <c r="J439">
        <f t="shared" si="42"/>
        <v>2024</v>
      </c>
      <c r="K439" s="17">
        <f t="shared" si="43"/>
        <v>45383</v>
      </c>
      <c r="L439">
        <f t="shared" si="44"/>
        <v>0</v>
      </c>
    </row>
    <row r="440" spans="1:12" x14ac:dyDescent="0.3">
      <c r="A440" s="38">
        <v>45408</v>
      </c>
      <c r="B440" s="39">
        <v>-2.162047638929721</v>
      </c>
      <c r="C440" s="39">
        <v>-0.55156815687978167</v>
      </c>
      <c r="D440" s="39">
        <v>-6.5083915683939892</v>
      </c>
      <c r="E440" s="39">
        <v>-2.9496135003589501</v>
      </c>
      <c r="G440">
        <f t="shared" si="40"/>
        <v>26</v>
      </c>
      <c r="H440">
        <v>1</v>
      </c>
      <c r="I440">
        <f t="shared" si="41"/>
        <v>4</v>
      </c>
      <c r="J440">
        <f t="shared" si="42"/>
        <v>2024</v>
      </c>
      <c r="K440" s="17">
        <f t="shared" si="43"/>
        <v>45383</v>
      </c>
      <c r="L440">
        <f t="shared" si="44"/>
        <v>0</v>
      </c>
    </row>
    <row r="441" spans="1:12" x14ac:dyDescent="0.3">
      <c r="A441" s="38">
        <v>45407</v>
      </c>
      <c r="B441" s="39">
        <v>-1.7935930446784027</v>
      </c>
      <c r="C441" s="39">
        <v>-0.20420769545302164</v>
      </c>
      <c r="D441" s="39">
        <v>-6.0953081690771995</v>
      </c>
      <c r="E441" s="39">
        <v>-2.4715294955153411</v>
      </c>
      <c r="G441">
        <f t="shared" si="40"/>
        <v>25</v>
      </c>
      <c r="H441">
        <v>1</v>
      </c>
      <c r="I441">
        <f t="shared" si="41"/>
        <v>4</v>
      </c>
      <c r="J441">
        <f t="shared" si="42"/>
        <v>2024</v>
      </c>
      <c r="K441" s="17">
        <f t="shared" si="43"/>
        <v>45383</v>
      </c>
      <c r="L441">
        <f t="shared" si="44"/>
        <v>0</v>
      </c>
    </row>
    <row r="442" spans="1:12" x14ac:dyDescent="0.3">
      <c r="A442" s="38">
        <v>45406</v>
      </c>
      <c r="B442" s="39">
        <v>-2.3193179969037345</v>
      </c>
      <c r="C442" s="39">
        <v>-0.82064083563103907</v>
      </c>
      <c r="D442" s="39">
        <v>-6.7789799100329304</v>
      </c>
      <c r="E442" s="39">
        <v>-2.8143629339877663</v>
      </c>
      <c r="G442">
        <f t="shared" si="40"/>
        <v>24</v>
      </c>
      <c r="H442">
        <v>1</v>
      </c>
      <c r="I442">
        <f t="shared" si="41"/>
        <v>4</v>
      </c>
      <c r="J442">
        <f t="shared" si="42"/>
        <v>2024</v>
      </c>
      <c r="K442" s="17">
        <f t="shared" si="43"/>
        <v>45383</v>
      </c>
      <c r="L442">
        <f t="shared" si="44"/>
        <v>0</v>
      </c>
    </row>
    <row r="443" spans="1:12" x14ac:dyDescent="0.3">
      <c r="A443" s="38">
        <v>45405</v>
      </c>
      <c r="B443" s="39">
        <v>-1.9203863539177917</v>
      </c>
      <c r="C443" s="39">
        <v>-0.2758642979867858</v>
      </c>
      <c r="D443" s="39">
        <v>-6.2494315733755172</v>
      </c>
      <c r="E443" s="39">
        <v>-2.4358406602560621</v>
      </c>
      <c r="G443">
        <f t="shared" si="40"/>
        <v>23</v>
      </c>
      <c r="H443">
        <v>1</v>
      </c>
      <c r="I443">
        <f t="shared" si="41"/>
        <v>4</v>
      </c>
      <c r="J443">
        <f t="shared" si="42"/>
        <v>2024</v>
      </c>
      <c r="K443" s="17">
        <f t="shared" si="43"/>
        <v>45383</v>
      </c>
      <c r="L443">
        <f t="shared" si="44"/>
        <v>0</v>
      </c>
    </row>
    <row r="444" spans="1:12" x14ac:dyDescent="0.3">
      <c r="A444" s="38">
        <v>45404</v>
      </c>
      <c r="B444" s="39">
        <v>-1.3170529049820345</v>
      </c>
      <c r="C444" s="39">
        <v>0.28961500942354235</v>
      </c>
      <c r="D444" s="39">
        <v>-5.7217944979432076</v>
      </c>
      <c r="E444" s="39">
        <v>-1.782534539193847</v>
      </c>
      <c r="G444">
        <f t="shared" si="40"/>
        <v>22</v>
      </c>
      <c r="H444">
        <v>1</v>
      </c>
      <c r="I444">
        <f t="shared" si="41"/>
        <v>4</v>
      </c>
      <c r="J444">
        <f t="shared" si="42"/>
        <v>2024</v>
      </c>
      <c r="K444" s="17">
        <f t="shared" si="43"/>
        <v>45383</v>
      </c>
      <c r="L444">
        <f t="shared" si="44"/>
        <v>0</v>
      </c>
    </row>
    <row r="445" spans="1:12" x14ac:dyDescent="0.3">
      <c r="A445" s="38">
        <v>45401</v>
      </c>
      <c r="B445" s="39">
        <v>-2.0599216768729605</v>
      </c>
      <c r="C445" s="39">
        <v>-0.37872159468281552</v>
      </c>
      <c r="D445" s="39">
        <v>-6.2447067148683999</v>
      </c>
      <c r="E445" s="39">
        <v>-2.6924265606995164</v>
      </c>
      <c r="G445">
        <f t="shared" si="40"/>
        <v>19</v>
      </c>
      <c r="H445">
        <v>1</v>
      </c>
      <c r="I445">
        <f t="shared" si="41"/>
        <v>4</v>
      </c>
      <c r="J445">
        <f t="shared" si="42"/>
        <v>2024</v>
      </c>
      <c r="K445" s="17">
        <f t="shared" si="43"/>
        <v>45383</v>
      </c>
      <c r="L445">
        <f t="shared" si="44"/>
        <v>0</v>
      </c>
    </row>
    <row r="446" spans="1:12" x14ac:dyDescent="0.3">
      <c r="A446" s="38">
        <v>45400</v>
      </c>
      <c r="B446" s="39">
        <v>-1.3663579792847713</v>
      </c>
      <c r="C446" s="39">
        <v>0.29008882429668859</v>
      </c>
      <c r="D446" s="39">
        <v>-5.7537084804525875</v>
      </c>
      <c r="E446" s="39">
        <v>-1.8819037271366881</v>
      </c>
      <c r="G446">
        <f t="shared" si="40"/>
        <v>18</v>
      </c>
      <c r="H446">
        <v>1</v>
      </c>
      <c r="I446">
        <f t="shared" si="41"/>
        <v>4</v>
      </c>
      <c r="J446">
        <f t="shared" si="42"/>
        <v>2024</v>
      </c>
      <c r="K446" s="17">
        <f t="shared" si="43"/>
        <v>45383</v>
      </c>
      <c r="L446">
        <f t="shared" si="44"/>
        <v>0</v>
      </c>
    </row>
    <row r="447" spans="1:12" x14ac:dyDescent="0.3">
      <c r="A447" s="38">
        <v>45399</v>
      </c>
      <c r="B447" s="39">
        <v>-1.0760327204222762</v>
      </c>
      <c r="C447" s="39">
        <v>0.48287071862853281</v>
      </c>
      <c r="D447" s="39">
        <v>-5.9439897249606588</v>
      </c>
      <c r="E447" s="39">
        <v>-1.5022315086772124</v>
      </c>
      <c r="G447">
        <f t="shared" si="40"/>
        <v>17</v>
      </c>
      <c r="H447">
        <v>1</v>
      </c>
      <c r="I447">
        <f t="shared" si="41"/>
        <v>4</v>
      </c>
      <c r="J447">
        <f t="shared" si="42"/>
        <v>2024</v>
      </c>
      <c r="K447" s="17">
        <f t="shared" si="43"/>
        <v>45383</v>
      </c>
      <c r="L447">
        <f t="shared" si="44"/>
        <v>0</v>
      </c>
    </row>
    <row r="448" spans="1:12" x14ac:dyDescent="0.3">
      <c r="A448" s="38">
        <v>45398</v>
      </c>
      <c r="B448" s="39">
        <v>-1.0427210140359477</v>
      </c>
      <c r="C448" s="39">
        <v>0.53245761381852219</v>
      </c>
      <c r="D448" s="39">
        <v>-5.9283121299345254</v>
      </c>
      <c r="E448" s="39">
        <v>-1.4546802764830602</v>
      </c>
      <c r="G448">
        <f t="shared" si="40"/>
        <v>16</v>
      </c>
      <c r="H448">
        <v>1</v>
      </c>
      <c r="I448">
        <f t="shared" si="41"/>
        <v>4</v>
      </c>
      <c r="J448">
        <f t="shared" si="42"/>
        <v>2024</v>
      </c>
      <c r="K448" s="17">
        <f t="shared" si="43"/>
        <v>45383</v>
      </c>
      <c r="L448">
        <f t="shared" si="44"/>
        <v>0</v>
      </c>
    </row>
    <row r="449" spans="1:12" x14ac:dyDescent="0.3">
      <c r="A449" s="38">
        <v>45397</v>
      </c>
      <c r="B449" s="39">
        <v>-0.92581966041161934</v>
      </c>
      <c r="C449" s="39">
        <v>0.61912183936843235</v>
      </c>
      <c r="D449" s="39">
        <v>-6.1713319605092494</v>
      </c>
      <c r="E449" s="39">
        <v>-1.171313338176418</v>
      </c>
      <c r="G449">
        <f t="shared" si="40"/>
        <v>15</v>
      </c>
      <c r="H449">
        <v>1</v>
      </c>
      <c r="I449">
        <f t="shared" si="41"/>
        <v>4</v>
      </c>
      <c r="J449">
        <f t="shared" si="42"/>
        <v>2024</v>
      </c>
      <c r="K449" s="17">
        <f t="shared" si="43"/>
        <v>45383</v>
      </c>
      <c r="L449">
        <f t="shared" si="44"/>
        <v>0</v>
      </c>
    </row>
    <row r="450" spans="1:12" x14ac:dyDescent="0.3">
      <c r="A450" s="38">
        <v>45394</v>
      </c>
      <c r="B450" s="39">
        <v>-0.90701187212184209</v>
      </c>
      <c r="C450" s="39">
        <v>0.58320970872240707</v>
      </c>
      <c r="D450" s="39">
        <v>-6.2307166342611993</v>
      </c>
      <c r="E450" s="39">
        <v>-1.1189572061502417</v>
      </c>
      <c r="G450">
        <f t="shared" si="40"/>
        <v>12</v>
      </c>
      <c r="H450">
        <v>1</v>
      </c>
      <c r="I450">
        <f t="shared" si="41"/>
        <v>4</v>
      </c>
      <c r="J450">
        <f t="shared" si="42"/>
        <v>2024</v>
      </c>
      <c r="K450" s="17">
        <f t="shared" si="43"/>
        <v>45383</v>
      </c>
      <c r="L450">
        <f t="shared" si="44"/>
        <v>0</v>
      </c>
    </row>
    <row r="451" spans="1:12" x14ac:dyDescent="0.3">
      <c r="A451" s="38">
        <v>45393</v>
      </c>
      <c r="B451" s="39">
        <v>-1.1168678592474635</v>
      </c>
      <c r="C451" s="39">
        <v>0.27134300759939833</v>
      </c>
      <c r="D451" s="39">
        <v>-6.298941252039981</v>
      </c>
      <c r="E451" s="39">
        <v>-1.2344035725591596</v>
      </c>
      <c r="G451">
        <f t="shared" si="40"/>
        <v>11</v>
      </c>
      <c r="H451">
        <v>1</v>
      </c>
      <c r="I451">
        <f t="shared" si="41"/>
        <v>4</v>
      </c>
      <c r="J451">
        <f t="shared" si="42"/>
        <v>2024</v>
      </c>
      <c r="K451" s="17">
        <f t="shared" si="43"/>
        <v>45383</v>
      </c>
      <c r="L451">
        <f t="shared" si="44"/>
        <v>0</v>
      </c>
    </row>
    <row r="452" spans="1:12" x14ac:dyDescent="0.3">
      <c r="A452" s="38">
        <v>45391</v>
      </c>
      <c r="B452" s="39">
        <v>-1.0618578046353235</v>
      </c>
      <c r="C452" s="39">
        <v>0.33362686346511339</v>
      </c>
      <c r="D452" s="39">
        <v>-5.9927056660088738</v>
      </c>
      <c r="E452" s="39">
        <v>-1.1695439069486611</v>
      </c>
      <c r="G452">
        <f t="shared" si="40"/>
        <v>9</v>
      </c>
      <c r="H452">
        <v>1</v>
      </c>
      <c r="I452">
        <f t="shared" si="41"/>
        <v>4</v>
      </c>
      <c r="J452">
        <f t="shared" si="42"/>
        <v>2024</v>
      </c>
      <c r="K452" s="17">
        <f t="shared" si="43"/>
        <v>45383</v>
      </c>
      <c r="L452">
        <f t="shared" si="44"/>
        <v>0</v>
      </c>
    </row>
    <row r="453" spans="1:12" x14ac:dyDescent="0.3">
      <c r="A453" s="38">
        <v>45390</v>
      </c>
      <c r="B453" s="39">
        <v>-0.26021387230056803</v>
      </c>
      <c r="C453" s="39">
        <v>1.1365398016105672</v>
      </c>
      <c r="D453" s="39">
        <v>-5.3085950409831639</v>
      </c>
      <c r="E453" s="39">
        <v>-0.29000315852579206</v>
      </c>
      <c r="G453">
        <f t="shared" ref="G453:G516" si="45">+DAY(A453)</f>
        <v>8</v>
      </c>
      <c r="H453">
        <v>1</v>
      </c>
      <c r="I453">
        <f t="shared" ref="I453:I516" si="46">+MONTH(A453)</f>
        <v>4</v>
      </c>
      <c r="J453">
        <f t="shared" ref="J453:J516" si="47">+YEAR(A453)</f>
        <v>2024</v>
      </c>
      <c r="K453" s="17">
        <f t="shared" ref="K453:K516" si="48">+DATE(J453,I453,H453)</f>
        <v>45383</v>
      </c>
      <c r="L453">
        <f t="shared" ref="L453:L516" si="49">IF(AND(G453&gt;=1, G453&lt;=4), 1, 0)</f>
        <v>0</v>
      </c>
    </row>
    <row r="454" spans="1:12" x14ac:dyDescent="0.3">
      <c r="A454" s="38">
        <v>45387</v>
      </c>
      <c r="B454" s="39">
        <v>-0.64206002290707431</v>
      </c>
      <c r="C454" s="39">
        <v>0.76040996812444916</v>
      </c>
      <c r="D454" s="39">
        <v>-5.7796961717606763</v>
      </c>
      <c r="E454" s="39">
        <v>-0.6841066650739549</v>
      </c>
      <c r="G454">
        <f t="shared" si="45"/>
        <v>5</v>
      </c>
      <c r="H454">
        <v>1</v>
      </c>
      <c r="I454">
        <f t="shared" si="46"/>
        <v>4</v>
      </c>
      <c r="J454">
        <f t="shared" si="47"/>
        <v>2024</v>
      </c>
      <c r="K454" s="17">
        <f t="shared" si="48"/>
        <v>45383</v>
      </c>
      <c r="L454">
        <f t="shared" si="49"/>
        <v>0</v>
      </c>
    </row>
    <row r="455" spans="1:12" x14ac:dyDescent="0.3">
      <c r="A455" s="38">
        <v>45386</v>
      </c>
      <c r="B455" s="39">
        <v>-0.69330992116204015</v>
      </c>
      <c r="C455" s="39">
        <v>0.68818330415643914</v>
      </c>
      <c r="D455" s="39">
        <v>-5.8905641390886672</v>
      </c>
      <c r="E455" s="39">
        <v>-0.62454659521775113</v>
      </c>
      <c r="G455">
        <f t="shared" si="45"/>
        <v>4</v>
      </c>
      <c r="H455">
        <v>1</v>
      </c>
      <c r="I455">
        <f t="shared" si="46"/>
        <v>4</v>
      </c>
      <c r="J455">
        <f t="shared" si="47"/>
        <v>2024</v>
      </c>
      <c r="K455" s="17">
        <f t="shared" si="48"/>
        <v>45383</v>
      </c>
      <c r="L455">
        <f t="shared" si="49"/>
        <v>1</v>
      </c>
    </row>
    <row r="456" spans="1:12" x14ac:dyDescent="0.3">
      <c r="A456" s="38">
        <v>45385</v>
      </c>
      <c r="B456" s="39">
        <v>-0.37908396407617317</v>
      </c>
      <c r="C456" s="39">
        <v>0.95782785521626579</v>
      </c>
      <c r="D456" s="39">
        <v>-5.5901364487268523</v>
      </c>
      <c r="E456" s="39">
        <v>-0.37105429426597425</v>
      </c>
      <c r="G456">
        <f t="shared" si="45"/>
        <v>3</v>
      </c>
      <c r="H456">
        <v>1</v>
      </c>
      <c r="I456">
        <f t="shared" si="46"/>
        <v>4</v>
      </c>
      <c r="J456">
        <f t="shared" si="47"/>
        <v>2024</v>
      </c>
      <c r="K456" s="17">
        <f t="shared" si="48"/>
        <v>45383</v>
      </c>
      <c r="L456">
        <f t="shared" si="49"/>
        <v>1</v>
      </c>
    </row>
    <row r="457" spans="1:12" x14ac:dyDescent="0.3">
      <c r="A457" s="38">
        <v>45384</v>
      </c>
      <c r="B457" s="39">
        <v>-0.97139914179798836</v>
      </c>
      <c r="C457" s="39">
        <v>0.30806675080906132</v>
      </c>
      <c r="D457" s="39">
        <v>-6.005507577599758</v>
      </c>
      <c r="E457" s="39">
        <v>-1.0270137571366291</v>
      </c>
      <c r="G457">
        <f t="shared" si="45"/>
        <v>2</v>
      </c>
      <c r="H457">
        <v>1</v>
      </c>
      <c r="I457">
        <f t="shared" si="46"/>
        <v>4</v>
      </c>
      <c r="J457">
        <f t="shared" si="47"/>
        <v>2024</v>
      </c>
      <c r="K457" s="17">
        <f t="shared" si="48"/>
        <v>45383</v>
      </c>
      <c r="L457">
        <f t="shared" si="49"/>
        <v>1</v>
      </c>
    </row>
    <row r="458" spans="1:12" x14ac:dyDescent="0.3">
      <c r="A458" s="38">
        <v>45379</v>
      </c>
      <c r="B458" s="39">
        <v>0.37690777694733413</v>
      </c>
      <c r="C458" s="39">
        <v>1.4125580461902416</v>
      </c>
      <c r="D458" s="39">
        <v>-3.9782023173303713</v>
      </c>
      <c r="E458" s="39">
        <v>0.38966665161596836</v>
      </c>
      <c r="G458">
        <f t="shared" si="45"/>
        <v>28</v>
      </c>
      <c r="H458">
        <v>1</v>
      </c>
      <c r="I458">
        <f t="shared" si="46"/>
        <v>3</v>
      </c>
      <c r="J458">
        <f t="shared" si="47"/>
        <v>2024</v>
      </c>
      <c r="K458" s="17">
        <f t="shared" si="48"/>
        <v>45352</v>
      </c>
      <c r="L458">
        <f t="shared" si="49"/>
        <v>0</v>
      </c>
    </row>
    <row r="459" spans="1:12" x14ac:dyDescent="0.3">
      <c r="A459" s="38">
        <v>45378</v>
      </c>
      <c r="B459" s="39">
        <v>0.97880783779869773</v>
      </c>
      <c r="C459" s="39">
        <v>2.0234278431600075</v>
      </c>
      <c r="D459" s="39">
        <v>-3.4535407498269848</v>
      </c>
      <c r="E459" s="39">
        <v>0.96092266981256103</v>
      </c>
      <c r="G459">
        <f t="shared" si="45"/>
        <v>27</v>
      </c>
      <c r="H459">
        <v>1</v>
      </c>
      <c r="I459">
        <f t="shared" si="46"/>
        <v>3</v>
      </c>
      <c r="J459">
        <f t="shared" si="47"/>
        <v>2024</v>
      </c>
      <c r="K459" s="17">
        <f t="shared" si="48"/>
        <v>45352</v>
      </c>
      <c r="L459">
        <f t="shared" si="49"/>
        <v>0</v>
      </c>
    </row>
    <row r="460" spans="1:12" x14ac:dyDescent="0.3">
      <c r="A460" s="38">
        <v>45377</v>
      </c>
      <c r="B460" s="39">
        <v>1.3894421095065326</v>
      </c>
      <c r="C460" s="39">
        <v>2.4048790561188298</v>
      </c>
      <c r="D460" s="39">
        <v>-3.4358975568711827</v>
      </c>
      <c r="E460" s="39">
        <v>1.3369211084375365</v>
      </c>
      <c r="G460">
        <f t="shared" si="45"/>
        <v>26</v>
      </c>
      <c r="H460">
        <v>1</v>
      </c>
      <c r="I460">
        <f t="shared" si="46"/>
        <v>3</v>
      </c>
      <c r="J460">
        <f t="shared" si="47"/>
        <v>2024</v>
      </c>
      <c r="K460" s="17">
        <f t="shared" si="48"/>
        <v>45352</v>
      </c>
      <c r="L460">
        <f t="shared" si="49"/>
        <v>0</v>
      </c>
    </row>
    <row r="461" spans="1:12" x14ac:dyDescent="0.3">
      <c r="A461" s="38">
        <v>45376</v>
      </c>
      <c r="B461" s="39">
        <v>1.926614043402779</v>
      </c>
      <c r="C461" s="39">
        <v>2.958015381132725</v>
      </c>
      <c r="D461" s="39">
        <v>-3.0160182769954673</v>
      </c>
      <c r="E461" s="39">
        <v>1.9197026553752892</v>
      </c>
      <c r="G461">
        <f t="shared" si="45"/>
        <v>25</v>
      </c>
      <c r="H461">
        <v>1</v>
      </c>
      <c r="I461">
        <f t="shared" si="46"/>
        <v>3</v>
      </c>
      <c r="J461">
        <f t="shared" si="47"/>
        <v>2024</v>
      </c>
      <c r="K461" s="17">
        <f t="shared" si="48"/>
        <v>45352</v>
      </c>
      <c r="L461">
        <f t="shared" si="49"/>
        <v>0</v>
      </c>
    </row>
    <row r="462" spans="1:12" x14ac:dyDescent="0.3">
      <c r="A462" s="38">
        <v>45373</v>
      </c>
      <c r="B462" s="39">
        <v>2.3131406727938355</v>
      </c>
      <c r="C462" s="39">
        <v>3.3506019113721379</v>
      </c>
      <c r="D462" s="39">
        <v>-2.6619752230575244</v>
      </c>
      <c r="E462" s="39">
        <v>2.3926328028057497</v>
      </c>
      <c r="G462">
        <f t="shared" si="45"/>
        <v>22</v>
      </c>
      <c r="H462">
        <v>1</v>
      </c>
      <c r="I462">
        <f t="shared" si="46"/>
        <v>3</v>
      </c>
      <c r="J462">
        <f t="shared" si="47"/>
        <v>2024</v>
      </c>
      <c r="K462" s="17">
        <f t="shared" si="48"/>
        <v>45352</v>
      </c>
      <c r="L462">
        <f t="shared" si="49"/>
        <v>0</v>
      </c>
    </row>
    <row r="463" spans="1:12" x14ac:dyDescent="0.3">
      <c r="A463" s="38">
        <v>45372</v>
      </c>
      <c r="B463" s="39">
        <v>1.6825493566079643</v>
      </c>
      <c r="C463" s="39">
        <v>2.6848523744000232</v>
      </c>
      <c r="D463" s="39">
        <v>-3.2919461443818392</v>
      </c>
      <c r="E463" s="39">
        <v>1.7870867551476834</v>
      </c>
      <c r="G463">
        <f t="shared" si="45"/>
        <v>21</v>
      </c>
      <c r="H463">
        <v>1</v>
      </c>
      <c r="I463">
        <f t="shared" si="46"/>
        <v>3</v>
      </c>
      <c r="J463">
        <f t="shared" si="47"/>
        <v>2024</v>
      </c>
      <c r="K463" s="17">
        <f t="shared" si="48"/>
        <v>45352</v>
      </c>
      <c r="L463">
        <f t="shared" si="49"/>
        <v>0</v>
      </c>
    </row>
    <row r="464" spans="1:12" x14ac:dyDescent="0.3">
      <c r="A464" s="38">
        <v>45371</v>
      </c>
      <c r="B464" s="39">
        <v>1.5546080477324011</v>
      </c>
      <c r="C464" s="39">
        <v>2.5443231983047667</v>
      </c>
      <c r="D464" s="39">
        <v>-3.3701491706969762</v>
      </c>
      <c r="E464" s="39">
        <v>1.6120505543722459</v>
      </c>
      <c r="G464">
        <f t="shared" si="45"/>
        <v>20</v>
      </c>
      <c r="H464">
        <v>1</v>
      </c>
      <c r="I464">
        <f t="shared" si="46"/>
        <v>3</v>
      </c>
      <c r="J464">
        <f t="shared" si="47"/>
        <v>2024</v>
      </c>
      <c r="K464" s="17">
        <f t="shared" si="48"/>
        <v>45352</v>
      </c>
      <c r="L464">
        <f t="shared" si="49"/>
        <v>0</v>
      </c>
    </row>
    <row r="465" spans="1:12" x14ac:dyDescent="0.3">
      <c r="A465" s="38">
        <v>45370</v>
      </c>
      <c r="B465" s="39">
        <v>2.6146513991751732</v>
      </c>
      <c r="C465" s="39">
        <v>3.4654379578198871</v>
      </c>
      <c r="D465" s="39">
        <v>-2.0903403980258304</v>
      </c>
      <c r="E465" s="39">
        <v>2.7624695439914433</v>
      </c>
      <c r="G465">
        <f t="shared" si="45"/>
        <v>19</v>
      </c>
      <c r="H465">
        <v>1</v>
      </c>
      <c r="I465">
        <f t="shared" si="46"/>
        <v>3</v>
      </c>
      <c r="J465">
        <f t="shared" si="47"/>
        <v>2024</v>
      </c>
      <c r="K465" s="17">
        <f t="shared" si="48"/>
        <v>45352</v>
      </c>
      <c r="L465">
        <f t="shared" si="49"/>
        <v>0</v>
      </c>
    </row>
    <row r="466" spans="1:12" x14ac:dyDescent="0.3">
      <c r="A466" s="38">
        <v>45369</v>
      </c>
      <c r="B466" s="39">
        <v>2.9005746127964187</v>
      </c>
      <c r="C466" s="39">
        <v>3.7938412367145276</v>
      </c>
      <c r="D466" s="39">
        <v>-1.5727707709912409</v>
      </c>
      <c r="E466" s="39">
        <v>3.0145585216049113</v>
      </c>
      <c r="G466">
        <f t="shared" si="45"/>
        <v>18</v>
      </c>
      <c r="H466">
        <v>1</v>
      </c>
      <c r="I466">
        <f t="shared" si="46"/>
        <v>3</v>
      </c>
      <c r="J466">
        <f t="shared" si="47"/>
        <v>2024</v>
      </c>
      <c r="K466" s="17">
        <f t="shared" si="48"/>
        <v>45352</v>
      </c>
      <c r="L466">
        <f t="shared" si="49"/>
        <v>0</v>
      </c>
    </row>
    <row r="467" spans="1:12" x14ac:dyDescent="0.3">
      <c r="A467" s="38">
        <v>45366</v>
      </c>
      <c r="B467" s="39">
        <v>2.1410586154457434</v>
      </c>
      <c r="C467" s="39">
        <v>2.9758960794815437</v>
      </c>
      <c r="D467" s="39">
        <v>-2.1938502442421282</v>
      </c>
      <c r="E467" s="39">
        <v>2.3131986452258957</v>
      </c>
      <c r="G467">
        <f t="shared" si="45"/>
        <v>15</v>
      </c>
      <c r="H467">
        <v>1</v>
      </c>
      <c r="I467">
        <f t="shared" si="46"/>
        <v>3</v>
      </c>
      <c r="J467">
        <f t="shared" si="47"/>
        <v>2024</v>
      </c>
      <c r="K467" s="17">
        <f t="shared" si="48"/>
        <v>45352</v>
      </c>
      <c r="L467">
        <f t="shared" si="49"/>
        <v>0</v>
      </c>
    </row>
    <row r="468" spans="1:12" x14ac:dyDescent="0.3">
      <c r="A468" s="38">
        <v>45365</v>
      </c>
      <c r="B468" s="39">
        <v>2.6585267486517949</v>
      </c>
      <c r="C468" s="39">
        <v>3.5159786443449121</v>
      </c>
      <c r="D468" s="39">
        <v>-1.5448769531259359</v>
      </c>
      <c r="E468" s="39">
        <v>2.8797744741261653</v>
      </c>
      <c r="G468">
        <f t="shared" si="45"/>
        <v>14</v>
      </c>
      <c r="H468">
        <v>1</v>
      </c>
      <c r="I468">
        <f t="shared" si="46"/>
        <v>3</v>
      </c>
      <c r="J468">
        <f t="shared" si="47"/>
        <v>2024</v>
      </c>
      <c r="K468" s="17">
        <f t="shared" si="48"/>
        <v>45352</v>
      </c>
      <c r="L468">
        <f t="shared" si="49"/>
        <v>0</v>
      </c>
    </row>
    <row r="469" spans="1:12" x14ac:dyDescent="0.3">
      <c r="A469" s="38">
        <v>45364</v>
      </c>
      <c r="B469" s="39">
        <v>2.5288437041615879</v>
      </c>
      <c r="C469" s="39">
        <v>3.3946168508287684</v>
      </c>
      <c r="D469" s="39">
        <v>-1.851430028740964</v>
      </c>
      <c r="E469" s="39">
        <v>2.8800156974628379</v>
      </c>
      <c r="G469">
        <f t="shared" si="45"/>
        <v>13</v>
      </c>
      <c r="H469">
        <v>1</v>
      </c>
      <c r="I469">
        <f t="shared" si="46"/>
        <v>3</v>
      </c>
      <c r="J469">
        <f t="shared" si="47"/>
        <v>2024</v>
      </c>
      <c r="K469" s="17">
        <f t="shared" si="48"/>
        <v>45352</v>
      </c>
      <c r="L469">
        <f t="shared" si="49"/>
        <v>0</v>
      </c>
    </row>
    <row r="470" spans="1:12" x14ac:dyDescent="0.3">
      <c r="A470" s="38">
        <v>45363</v>
      </c>
      <c r="B470" s="39">
        <v>2.7980549537823691</v>
      </c>
      <c r="C470" s="39">
        <v>3.554032952740755</v>
      </c>
      <c r="D470" s="39">
        <v>-1.8037323664440237</v>
      </c>
      <c r="E470" s="39">
        <v>3.231348268661975</v>
      </c>
      <c r="G470">
        <f t="shared" si="45"/>
        <v>12</v>
      </c>
      <c r="H470">
        <v>1</v>
      </c>
      <c r="I470">
        <f t="shared" si="46"/>
        <v>3</v>
      </c>
      <c r="J470">
        <f t="shared" si="47"/>
        <v>2024</v>
      </c>
      <c r="K470" s="17">
        <f t="shared" si="48"/>
        <v>45352</v>
      </c>
      <c r="L470">
        <f t="shared" si="49"/>
        <v>0</v>
      </c>
    </row>
    <row r="471" spans="1:12" x14ac:dyDescent="0.3">
      <c r="A471" s="38">
        <v>45362</v>
      </c>
      <c r="B471" s="39">
        <v>2.6852388489401733</v>
      </c>
      <c r="C471" s="39">
        <v>3.4487189160644363</v>
      </c>
      <c r="D471" s="39">
        <v>-2.0108864171490524</v>
      </c>
      <c r="E471" s="39">
        <v>3.2069278147489513</v>
      </c>
      <c r="G471">
        <f t="shared" si="45"/>
        <v>11</v>
      </c>
      <c r="H471">
        <v>1</v>
      </c>
      <c r="I471">
        <f t="shared" si="46"/>
        <v>3</v>
      </c>
      <c r="J471">
        <f t="shared" si="47"/>
        <v>2024</v>
      </c>
      <c r="K471" s="17">
        <f t="shared" si="48"/>
        <v>45352</v>
      </c>
      <c r="L471">
        <f t="shared" si="49"/>
        <v>0</v>
      </c>
    </row>
    <row r="472" spans="1:12" x14ac:dyDescent="0.3">
      <c r="A472" s="38">
        <v>45359</v>
      </c>
      <c r="B472" s="39">
        <v>3.0882351559852452</v>
      </c>
      <c r="C472" s="39">
        <v>3.8996909339877561</v>
      </c>
      <c r="D472" s="39">
        <v>-1.5598928435180994</v>
      </c>
      <c r="E472" s="39">
        <v>3.5062505749300215</v>
      </c>
      <c r="G472">
        <f t="shared" si="45"/>
        <v>8</v>
      </c>
      <c r="H472">
        <v>1</v>
      </c>
      <c r="I472">
        <f t="shared" si="46"/>
        <v>3</v>
      </c>
      <c r="J472">
        <f t="shared" si="47"/>
        <v>2024</v>
      </c>
      <c r="K472" s="17">
        <f t="shared" si="48"/>
        <v>45352</v>
      </c>
      <c r="L472">
        <f t="shared" si="49"/>
        <v>0</v>
      </c>
    </row>
    <row r="473" spans="1:12" x14ac:dyDescent="0.3">
      <c r="A473" s="38">
        <v>45358</v>
      </c>
      <c r="B473" s="39">
        <v>2.4441044548384383</v>
      </c>
      <c r="C473" s="39">
        <v>3.2775129792996864</v>
      </c>
      <c r="D473" s="39">
        <v>-1.9400928917853832</v>
      </c>
      <c r="E473" s="39">
        <v>2.8890755864749735</v>
      </c>
      <c r="G473">
        <f t="shared" si="45"/>
        <v>7</v>
      </c>
      <c r="H473">
        <v>1</v>
      </c>
      <c r="I473">
        <f t="shared" si="46"/>
        <v>3</v>
      </c>
      <c r="J473">
        <f t="shared" si="47"/>
        <v>2024</v>
      </c>
      <c r="K473" s="17">
        <f t="shared" si="48"/>
        <v>45352</v>
      </c>
      <c r="L473">
        <f t="shared" si="49"/>
        <v>0</v>
      </c>
    </row>
    <row r="474" spans="1:12" x14ac:dyDescent="0.3">
      <c r="A474" s="38">
        <v>45357</v>
      </c>
      <c r="B474" s="39">
        <v>1.7614527722782043</v>
      </c>
      <c r="C474" s="39">
        <v>2.6798357753273905</v>
      </c>
      <c r="D474" s="39">
        <v>-2.7164145439010099</v>
      </c>
      <c r="E474" s="39">
        <v>2.2627604282731966</v>
      </c>
      <c r="G474">
        <f t="shared" si="45"/>
        <v>6</v>
      </c>
      <c r="H474">
        <v>1</v>
      </c>
      <c r="I474">
        <f t="shared" si="46"/>
        <v>3</v>
      </c>
      <c r="J474">
        <f t="shared" si="47"/>
        <v>2024</v>
      </c>
      <c r="K474" s="17">
        <f t="shared" si="48"/>
        <v>45352</v>
      </c>
      <c r="L474">
        <f t="shared" si="49"/>
        <v>0</v>
      </c>
    </row>
    <row r="475" spans="1:12" x14ac:dyDescent="0.3">
      <c r="A475" s="38">
        <v>45356</v>
      </c>
      <c r="B475" s="39">
        <v>2.4745019953959257</v>
      </c>
      <c r="C475" s="39">
        <v>3.2827418382025257</v>
      </c>
      <c r="D475" s="39">
        <v>-2.2877963079382795</v>
      </c>
      <c r="E475" s="39">
        <v>3.0997705848800905</v>
      </c>
      <c r="G475">
        <f t="shared" si="45"/>
        <v>5</v>
      </c>
      <c r="H475">
        <v>1</v>
      </c>
      <c r="I475">
        <f t="shared" si="46"/>
        <v>3</v>
      </c>
      <c r="J475">
        <f t="shared" si="47"/>
        <v>2024</v>
      </c>
      <c r="K475" s="17">
        <f t="shared" si="48"/>
        <v>45352</v>
      </c>
      <c r="L475">
        <f t="shared" si="49"/>
        <v>0</v>
      </c>
    </row>
    <row r="476" spans="1:12" x14ac:dyDescent="0.3">
      <c r="A476" s="38">
        <v>45355</v>
      </c>
      <c r="B476" s="39">
        <v>2.614825168175031</v>
      </c>
      <c r="C476" s="39">
        <v>3.2593831693121018</v>
      </c>
      <c r="D476" s="39">
        <v>-1.8505715651942296</v>
      </c>
      <c r="E476" s="39">
        <v>3.3301754462373054</v>
      </c>
      <c r="G476">
        <f t="shared" si="45"/>
        <v>4</v>
      </c>
      <c r="H476">
        <v>1</v>
      </c>
      <c r="I476">
        <f t="shared" si="46"/>
        <v>3</v>
      </c>
      <c r="J476">
        <f t="shared" si="47"/>
        <v>2024</v>
      </c>
      <c r="K476" s="17">
        <f t="shared" si="48"/>
        <v>45352</v>
      </c>
      <c r="L476">
        <f t="shared" si="49"/>
        <v>1</v>
      </c>
    </row>
    <row r="477" spans="1:12" x14ac:dyDescent="0.3">
      <c r="A477" s="38">
        <v>45352</v>
      </c>
      <c r="B477" s="39">
        <v>3.3799571787413782</v>
      </c>
      <c r="C477" s="39">
        <v>4.0556987528120061</v>
      </c>
      <c r="D477" s="39">
        <v>-1.699080231799698</v>
      </c>
      <c r="E477" s="39">
        <v>4.2286276930400248</v>
      </c>
      <c r="G477">
        <f t="shared" si="45"/>
        <v>1</v>
      </c>
      <c r="H477">
        <v>1</v>
      </c>
      <c r="I477">
        <f t="shared" si="46"/>
        <v>3</v>
      </c>
      <c r="J477">
        <f t="shared" si="47"/>
        <v>2024</v>
      </c>
      <c r="K477" s="17">
        <f t="shared" si="48"/>
        <v>45352</v>
      </c>
      <c r="L477">
        <f t="shared" si="49"/>
        <v>1</v>
      </c>
    </row>
    <row r="478" spans="1:12" x14ac:dyDescent="0.3">
      <c r="A478" s="38">
        <v>45351</v>
      </c>
      <c r="B478" s="39">
        <v>2.9663574370977699</v>
      </c>
      <c r="C478" s="39">
        <v>3.6320657441850273</v>
      </c>
      <c r="D478" s="39">
        <v>-2.3416393872018233</v>
      </c>
      <c r="E478" s="39">
        <v>3.8794703001220654</v>
      </c>
      <c r="G478">
        <f t="shared" si="45"/>
        <v>29</v>
      </c>
      <c r="H478">
        <v>1</v>
      </c>
      <c r="I478">
        <f t="shared" si="46"/>
        <v>2</v>
      </c>
      <c r="J478">
        <f t="shared" si="47"/>
        <v>2024</v>
      </c>
      <c r="K478" s="17">
        <f t="shared" si="48"/>
        <v>45323</v>
      </c>
      <c r="L478">
        <f t="shared" si="49"/>
        <v>0</v>
      </c>
    </row>
    <row r="479" spans="1:12" x14ac:dyDescent="0.3">
      <c r="A479" s="38">
        <v>45350</v>
      </c>
      <c r="B479" s="39">
        <v>3.6009912418226548</v>
      </c>
      <c r="C479" s="39">
        <v>4.3213192819877975</v>
      </c>
      <c r="D479" s="39">
        <v>-1.9665024272823359</v>
      </c>
      <c r="E479" s="39">
        <v>4.5802382480194979</v>
      </c>
      <c r="G479">
        <f t="shared" si="45"/>
        <v>28</v>
      </c>
      <c r="H479">
        <v>1</v>
      </c>
      <c r="I479">
        <f t="shared" si="46"/>
        <v>2</v>
      </c>
      <c r="J479">
        <f t="shared" si="47"/>
        <v>2024</v>
      </c>
      <c r="K479" s="17">
        <f t="shared" si="48"/>
        <v>45323</v>
      </c>
      <c r="L479">
        <f t="shared" si="49"/>
        <v>0</v>
      </c>
    </row>
    <row r="480" spans="1:12" x14ac:dyDescent="0.3">
      <c r="A480" s="38">
        <v>45349</v>
      </c>
      <c r="B480" s="39">
        <v>4.0849799490280532</v>
      </c>
      <c r="C480" s="39">
        <v>4.8157591530049615</v>
      </c>
      <c r="D480" s="39">
        <v>-1.3515039763811103</v>
      </c>
      <c r="E480" s="39">
        <v>5.0392153847266883</v>
      </c>
      <c r="G480">
        <f t="shared" si="45"/>
        <v>27</v>
      </c>
      <c r="H480">
        <v>1</v>
      </c>
      <c r="I480">
        <f t="shared" si="46"/>
        <v>2</v>
      </c>
      <c r="J480">
        <f t="shared" si="47"/>
        <v>2024</v>
      </c>
      <c r="K480" s="17">
        <f t="shared" si="48"/>
        <v>45323</v>
      </c>
      <c r="L480">
        <f t="shared" si="49"/>
        <v>0</v>
      </c>
    </row>
    <row r="481" spans="1:12" x14ac:dyDescent="0.3">
      <c r="A481" s="38">
        <v>45348</v>
      </c>
      <c r="B481" s="39">
        <v>3.8119907258248418</v>
      </c>
      <c r="C481" s="39">
        <v>4.56904827460842</v>
      </c>
      <c r="D481" s="39">
        <v>-1.3612530671701393</v>
      </c>
      <c r="E481" s="39">
        <v>4.7465399390368788</v>
      </c>
      <c r="G481">
        <f t="shared" si="45"/>
        <v>26</v>
      </c>
      <c r="H481">
        <v>1</v>
      </c>
      <c r="I481">
        <f t="shared" si="46"/>
        <v>2</v>
      </c>
      <c r="J481">
        <f t="shared" si="47"/>
        <v>2024</v>
      </c>
      <c r="K481" s="17">
        <f t="shared" si="48"/>
        <v>45323</v>
      </c>
      <c r="L481">
        <f t="shared" si="49"/>
        <v>0</v>
      </c>
    </row>
    <row r="482" spans="1:12" x14ac:dyDescent="0.3">
      <c r="A482" s="38">
        <v>45345</v>
      </c>
      <c r="B482" s="39">
        <v>3.9585361633717184</v>
      </c>
      <c r="C482" s="39">
        <v>4.6567908439486985</v>
      </c>
      <c r="D482" s="39">
        <v>-1.5977688614761121</v>
      </c>
      <c r="E482" s="39">
        <v>4.9670085431211675</v>
      </c>
      <c r="G482">
        <f t="shared" si="45"/>
        <v>23</v>
      </c>
      <c r="H482">
        <v>1</v>
      </c>
      <c r="I482">
        <f t="shared" si="46"/>
        <v>2</v>
      </c>
      <c r="J482">
        <f t="shared" si="47"/>
        <v>2024</v>
      </c>
      <c r="K482" s="17">
        <f t="shared" si="48"/>
        <v>45323</v>
      </c>
      <c r="L482">
        <f t="shared" si="49"/>
        <v>0</v>
      </c>
    </row>
    <row r="483" spans="1:12" x14ac:dyDescent="0.3">
      <c r="A483" s="38">
        <v>45344</v>
      </c>
      <c r="B483" s="39">
        <v>3.184344156931175</v>
      </c>
      <c r="C483" s="39">
        <v>3.9455371385242444</v>
      </c>
      <c r="D483" s="39">
        <v>-2.0514143232878865</v>
      </c>
      <c r="E483" s="39">
        <v>4.0434219628492087</v>
      </c>
      <c r="G483">
        <f t="shared" si="45"/>
        <v>22</v>
      </c>
      <c r="H483">
        <v>1</v>
      </c>
      <c r="I483">
        <f t="shared" si="46"/>
        <v>2</v>
      </c>
      <c r="J483">
        <f t="shared" si="47"/>
        <v>2024</v>
      </c>
      <c r="K483" s="17">
        <f t="shared" si="48"/>
        <v>45323</v>
      </c>
      <c r="L483">
        <f t="shared" si="49"/>
        <v>0</v>
      </c>
    </row>
    <row r="484" spans="1:12" x14ac:dyDescent="0.3">
      <c r="A484" s="38">
        <v>45343</v>
      </c>
      <c r="B484" s="39">
        <v>3.181985163277588</v>
      </c>
      <c r="C484" s="39">
        <v>3.9354679646646531</v>
      </c>
      <c r="D484" s="39">
        <v>-1.8698936019977026</v>
      </c>
      <c r="E484" s="39">
        <v>4.1210209080690703</v>
      </c>
      <c r="G484">
        <f t="shared" si="45"/>
        <v>21</v>
      </c>
      <c r="H484">
        <v>1</v>
      </c>
      <c r="I484">
        <f t="shared" si="46"/>
        <v>2</v>
      </c>
      <c r="J484">
        <f t="shared" si="47"/>
        <v>2024</v>
      </c>
      <c r="K484" s="17">
        <f t="shared" si="48"/>
        <v>45323</v>
      </c>
      <c r="L484">
        <f t="shared" si="49"/>
        <v>0</v>
      </c>
    </row>
    <row r="485" spans="1:12" x14ac:dyDescent="0.3">
      <c r="A485" s="38">
        <v>45342</v>
      </c>
      <c r="B485" s="39">
        <v>2.9893656752898892</v>
      </c>
      <c r="C485" s="39">
        <v>3.7202951298107507</v>
      </c>
      <c r="D485" s="39">
        <v>-2.2076097694216799</v>
      </c>
      <c r="E485" s="39">
        <v>4.010921331919505</v>
      </c>
      <c r="G485">
        <f t="shared" si="45"/>
        <v>20</v>
      </c>
      <c r="H485">
        <v>1</v>
      </c>
      <c r="I485">
        <f t="shared" si="46"/>
        <v>2</v>
      </c>
      <c r="J485">
        <f t="shared" si="47"/>
        <v>2024</v>
      </c>
      <c r="K485" s="17">
        <f t="shared" si="48"/>
        <v>45323</v>
      </c>
      <c r="L485">
        <f t="shared" si="49"/>
        <v>0</v>
      </c>
    </row>
    <row r="486" spans="1:12" x14ac:dyDescent="0.3">
      <c r="A486" s="38">
        <v>45341</v>
      </c>
      <c r="B486" s="39">
        <v>3.3047219107264425</v>
      </c>
      <c r="C486" s="39">
        <v>4.0507998398970813</v>
      </c>
      <c r="D486" s="39">
        <v>-1.8795330134216215</v>
      </c>
      <c r="E486" s="39">
        <v>4.3173061799366934</v>
      </c>
      <c r="G486">
        <f t="shared" si="45"/>
        <v>19</v>
      </c>
      <c r="H486">
        <v>1</v>
      </c>
      <c r="I486">
        <f t="shared" si="46"/>
        <v>2</v>
      </c>
      <c r="J486">
        <f t="shared" si="47"/>
        <v>2024</v>
      </c>
      <c r="K486" s="17">
        <f t="shared" si="48"/>
        <v>45323</v>
      </c>
      <c r="L486">
        <f t="shared" si="49"/>
        <v>0</v>
      </c>
    </row>
    <row r="487" spans="1:12" x14ac:dyDescent="0.3">
      <c r="A487" s="38">
        <v>45338</v>
      </c>
      <c r="B487" s="39">
        <v>4.2850232506041124</v>
      </c>
      <c r="C487" s="39">
        <v>4.9281043372947693</v>
      </c>
      <c r="D487" s="39">
        <v>-0.8887837200715154</v>
      </c>
      <c r="E487" s="39">
        <v>5.3032875783121938</v>
      </c>
      <c r="G487">
        <f t="shared" si="45"/>
        <v>16</v>
      </c>
      <c r="H487">
        <v>1</v>
      </c>
      <c r="I487">
        <f t="shared" si="46"/>
        <v>2</v>
      </c>
      <c r="J487">
        <f t="shared" si="47"/>
        <v>2024</v>
      </c>
      <c r="K487" s="17">
        <f t="shared" si="48"/>
        <v>45323</v>
      </c>
      <c r="L487">
        <f t="shared" si="49"/>
        <v>0</v>
      </c>
    </row>
    <row r="488" spans="1:12" x14ac:dyDescent="0.3">
      <c r="A488" s="38">
        <v>45337</v>
      </c>
      <c r="B488" s="39">
        <v>5.5814088462144866</v>
      </c>
      <c r="C488" s="39">
        <v>6.1681321877097872</v>
      </c>
      <c r="D488" s="39">
        <v>-6.9558208152699308E-2</v>
      </c>
      <c r="E488" s="39">
        <v>6.8225040266425196</v>
      </c>
      <c r="G488">
        <f t="shared" si="45"/>
        <v>15</v>
      </c>
      <c r="H488">
        <v>1</v>
      </c>
      <c r="I488">
        <f t="shared" si="46"/>
        <v>2</v>
      </c>
      <c r="J488">
        <f t="shared" si="47"/>
        <v>2024</v>
      </c>
      <c r="K488" s="17">
        <f t="shared" si="48"/>
        <v>45323</v>
      </c>
      <c r="L488">
        <f t="shared" si="49"/>
        <v>0</v>
      </c>
    </row>
    <row r="489" spans="1:12" x14ac:dyDescent="0.3">
      <c r="A489" s="38">
        <v>45336</v>
      </c>
      <c r="B489" s="39">
        <v>6.6648432526151993</v>
      </c>
      <c r="C489" s="39">
        <v>7.2465022594946333</v>
      </c>
      <c r="D489" s="39">
        <v>0.56861436710754276</v>
      </c>
      <c r="E489" s="39">
        <v>7.7527079842766682</v>
      </c>
      <c r="G489">
        <f t="shared" si="45"/>
        <v>14</v>
      </c>
      <c r="H489">
        <v>1</v>
      </c>
      <c r="I489">
        <f t="shared" si="46"/>
        <v>2</v>
      </c>
      <c r="J489">
        <f t="shared" si="47"/>
        <v>2024</v>
      </c>
      <c r="K489" s="17">
        <f t="shared" si="48"/>
        <v>45323</v>
      </c>
      <c r="L489">
        <f t="shared" si="49"/>
        <v>0</v>
      </c>
    </row>
    <row r="490" spans="1:12" x14ac:dyDescent="0.3">
      <c r="A490" s="38">
        <v>45335</v>
      </c>
      <c r="B490" s="39">
        <v>7.6110274168690921</v>
      </c>
      <c r="C490" s="39">
        <v>8.1205635530299816</v>
      </c>
      <c r="D490" s="39">
        <v>1.6240844455831507</v>
      </c>
      <c r="E490" s="39">
        <v>8.7296786175219836</v>
      </c>
      <c r="G490">
        <f t="shared" si="45"/>
        <v>13</v>
      </c>
      <c r="H490">
        <v>1</v>
      </c>
      <c r="I490">
        <f t="shared" si="46"/>
        <v>2</v>
      </c>
      <c r="J490">
        <f t="shared" si="47"/>
        <v>2024</v>
      </c>
      <c r="K490" s="17">
        <f t="shared" si="48"/>
        <v>45323</v>
      </c>
      <c r="L490">
        <f t="shared" si="49"/>
        <v>0</v>
      </c>
    </row>
    <row r="491" spans="1:12" x14ac:dyDescent="0.3">
      <c r="A491" s="38">
        <v>45331</v>
      </c>
      <c r="B491" s="39">
        <v>6.7680899853920096</v>
      </c>
      <c r="C491" s="39">
        <v>7.3851355679570503</v>
      </c>
      <c r="D491" s="39">
        <v>1.2898852228934743</v>
      </c>
      <c r="E491" s="39">
        <v>7.6925550446378281</v>
      </c>
      <c r="G491">
        <f t="shared" si="45"/>
        <v>9</v>
      </c>
      <c r="H491">
        <v>1</v>
      </c>
      <c r="I491">
        <f t="shared" si="46"/>
        <v>2</v>
      </c>
      <c r="J491">
        <f t="shared" si="47"/>
        <v>2024</v>
      </c>
      <c r="K491" s="17">
        <f t="shared" si="48"/>
        <v>45323</v>
      </c>
      <c r="L491">
        <f t="shared" si="49"/>
        <v>0</v>
      </c>
    </row>
    <row r="492" spans="1:12" x14ac:dyDescent="0.3">
      <c r="A492" s="38">
        <v>45330</v>
      </c>
      <c r="B492" s="39">
        <v>7.2537715205907887</v>
      </c>
      <c r="C492" s="39">
        <v>7.8630358651653438</v>
      </c>
      <c r="D492" s="39">
        <v>1.684250331695182</v>
      </c>
      <c r="E492" s="39">
        <v>8.3330385627428711</v>
      </c>
      <c r="G492">
        <f t="shared" si="45"/>
        <v>8</v>
      </c>
      <c r="H492">
        <v>1</v>
      </c>
      <c r="I492">
        <f t="shared" si="46"/>
        <v>2</v>
      </c>
      <c r="J492">
        <f t="shared" si="47"/>
        <v>2024</v>
      </c>
      <c r="K492" s="17">
        <f t="shared" si="48"/>
        <v>45323</v>
      </c>
      <c r="L492">
        <f t="shared" si="49"/>
        <v>0</v>
      </c>
    </row>
    <row r="493" spans="1:12" x14ac:dyDescent="0.3">
      <c r="A493" s="38">
        <v>45329</v>
      </c>
      <c r="B493" s="39">
        <v>6.95698654088838</v>
      </c>
      <c r="C493" s="39">
        <v>7.5991046462271186</v>
      </c>
      <c r="D493" s="39">
        <v>1.5441551095217534</v>
      </c>
      <c r="E493" s="39">
        <v>8.1148455861439288</v>
      </c>
      <c r="G493">
        <f t="shared" si="45"/>
        <v>7</v>
      </c>
      <c r="H493">
        <v>1</v>
      </c>
      <c r="I493">
        <f t="shared" si="46"/>
        <v>2</v>
      </c>
      <c r="J493">
        <f t="shared" si="47"/>
        <v>2024</v>
      </c>
      <c r="K493" s="17">
        <f t="shared" si="48"/>
        <v>45323</v>
      </c>
      <c r="L493">
        <f t="shared" si="49"/>
        <v>0</v>
      </c>
    </row>
    <row r="494" spans="1:12" x14ac:dyDescent="0.3">
      <c r="A494" s="38">
        <v>45328</v>
      </c>
      <c r="B494" s="39">
        <v>7.0449685160058237</v>
      </c>
      <c r="C494" s="39">
        <v>7.7629913297480897</v>
      </c>
      <c r="D494" s="39">
        <v>1.7162623806937347</v>
      </c>
      <c r="E494" s="39">
        <v>8.150603423372786</v>
      </c>
      <c r="G494">
        <f t="shared" si="45"/>
        <v>6</v>
      </c>
      <c r="H494">
        <v>1</v>
      </c>
      <c r="I494">
        <f t="shared" si="46"/>
        <v>2</v>
      </c>
      <c r="J494">
        <f t="shared" si="47"/>
        <v>2024</v>
      </c>
      <c r="K494" s="17">
        <f t="shared" si="48"/>
        <v>45323</v>
      </c>
      <c r="L494">
        <f t="shared" si="49"/>
        <v>0</v>
      </c>
    </row>
    <row r="495" spans="1:12" x14ac:dyDescent="0.3">
      <c r="A495" s="38">
        <v>45327</v>
      </c>
      <c r="B495" s="39">
        <v>6.1434290144103585</v>
      </c>
      <c r="C495" s="39">
        <v>6.9548654704860269</v>
      </c>
      <c r="D495" s="39">
        <v>1.0503367716115974</v>
      </c>
      <c r="E495" s="39">
        <v>7.1812174514716105</v>
      </c>
      <c r="G495">
        <f t="shared" si="45"/>
        <v>5</v>
      </c>
      <c r="H495">
        <v>1</v>
      </c>
      <c r="I495">
        <f t="shared" si="46"/>
        <v>2</v>
      </c>
      <c r="J495">
        <f t="shared" si="47"/>
        <v>2024</v>
      </c>
      <c r="K495" s="17">
        <f t="shared" si="48"/>
        <v>45323</v>
      </c>
      <c r="L495">
        <f t="shared" si="49"/>
        <v>0</v>
      </c>
    </row>
    <row r="496" spans="1:12" x14ac:dyDescent="0.3">
      <c r="A496" s="38">
        <v>45324</v>
      </c>
      <c r="B496" s="39">
        <v>5.5442677571558079</v>
      </c>
      <c r="C496" s="39">
        <v>6.2890236700309146</v>
      </c>
      <c r="D496" s="39">
        <v>0.30214838674724831</v>
      </c>
      <c r="E496" s="39">
        <v>6.6614304122801826</v>
      </c>
      <c r="G496">
        <f t="shared" si="45"/>
        <v>2</v>
      </c>
      <c r="H496">
        <v>1</v>
      </c>
      <c r="I496">
        <f t="shared" si="46"/>
        <v>2</v>
      </c>
      <c r="J496">
        <f t="shared" si="47"/>
        <v>2024</v>
      </c>
      <c r="K496" s="17">
        <f t="shared" si="48"/>
        <v>45323</v>
      </c>
      <c r="L496">
        <f t="shared" si="49"/>
        <v>1</v>
      </c>
    </row>
    <row r="497" spans="1:12" x14ac:dyDescent="0.3">
      <c r="A497" s="38">
        <v>45323</v>
      </c>
      <c r="B497" s="39">
        <v>6.0435955819404796</v>
      </c>
      <c r="C497" s="39">
        <v>6.642940304989807</v>
      </c>
      <c r="D497" s="39">
        <v>0.349620635373455</v>
      </c>
      <c r="E497" s="39">
        <v>7.2780902850213209</v>
      </c>
      <c r="G497">
        <f t="shared" si="45"/>
        <v>1</v>
      </c>
      <c r="H497">
        <v>1</v>
      </c>
      <c r="I497">
        <f t="shared" si="46"/>
        <v>2</v>
      </c>
      <c r="J497">
        <f t="shared" si="47"/>
        <v>2024</v>
      </c>
      <c r="K497" s="17">
        <f t="shared" si="48"/>
        <v>45323</v>
      </c>
      <c r="L497">
        <f t="shared" si="49"/>
        <v>1</v>
      </c>
    </row>
    <row r="498" spans="1:12" x14ac:dyDescent="0.3">
      <c r="A498" s="38">
        <v>45322</v>
      </c>
      <c r="B498" s="39">
        <v>3.1498264285351638</v>
      </c>
      <c r="C498" s="39">
        <v>5.8499292891437449</v>
      </c>
      <c r="D498" s="39">
        <v>-2.2821094343190396</v>
      </c>
      <c r="E498" s="39">
        <v>4.0478599520086078</v>
      </c>
      <c r="G498">
        <f t="shared" si="45"/>
        <v>31</v>
      </c>
      <c r="H498">
        <v>1</v>
      </c>
      <c r="I498">
        <f t="shared" si="46"/>
        <v>1</v>
      </c>
      <c r="J498">
        <f t="shared" si="47"/>
        <v>2024</v>
      </c>
      <c r="K498" s="17">
        <f t="shared" si="48"/>
        <v>45292</v>
      </c>
      <c r="L498">
        <f t="shared" si="49"/>
        <v>0</v>
      </c>
    </row>
    <row r="499" spans="1:12" x14ac:dyDescent="0.3">
      <c r="A499" s="38">
        <v>45321</v>
      </c>
      <c r="B499" s="39">
        <v>4.1012456199291449</v>
      </c>
      <c r="C499" s="39">
        <v>6.7280716681580088</v>
      </c>
      <c r="D499" s="39">
        <v>-1.249785917366907</v>
      </c>
      <c r="E499" s="39">
        <v>4.9067092150287976</v>
      </c>
      <c r="G499">
        <f t="shared" si="45"/>
        <v>30</v>
      </c>
      <c r="H499">
        <v>1</v>
      </c>
      <c r="I499">
        <f t="shared" si="46"/>
        <v>1</v>
      </c>
      <c r="J499">
        <f t="shared" si="47"/>
        <v>2024</v>
      </c>
      <c r="K499" s="17">
        <f t="shared" si="48"/>
        <v>45292</v>
      </c>
      <c r="L499">
        <f t="shared" si="49"/>
        <v>0</v>
      </c>
    </row>
    <row r="500" spans="1:12" x14ac:dyDescent="0.3">
      <c r="A500" s="38">
        <v>45320</v>
      </c>
      <c r="B500" s="39">
        <v>4.1169713177524869</v>
      </c>
      <c r="C500" s="39">
        <v>6.5938421509835479</v>
      </c>
      <c r="D500" s="39">
        <v>-1.4247118756420178</v>
      </c>
      <c r="E500" s="39">
        <v>4.9121121950101241</v>
      </c>
      <c r="G500">
        <f t="shared" si="45"/>
        <v>29</v>
      </c>
      <c r="H500">
        <v>1</v>
      </c>
      <c r="I500">
        <f t="shared" si="46"/>
        <v>1</v>
      </c>
      <c r="J500">
        <f t="shared" si="47"/>
        <v>2024</v>
      </c>
      <c r="K500" s="17">
        <f t="shared" si="48"/>
        <v>45292</v>
      </c>
      <c r="L500">
        <f t="shared" si="49"/>
        <v>0</v>
      </c>
    </row>
    <row r="501" spans="1:12" x14ac:dyDescent="0.3">
      <c r="A501" s="38">
        <v>45317</v>
      </c>
      <c r="B501" s="39">
        <v>3.9191479472168425</v>
      </c>
      <c r="C501" s="39">
        <v>6.5203546808049282</v>
      </c>
      <c r="D501" s="39">
        <v>-1.8323515080038248</v>
      </c>
      <c r="E501" s="39">
        <v>4.8636184189478939</v>
      </c>
      <c r="G501">
        <f t="shared" si="45"/>
        <v>26</v>
      </c>
      <c r="H501">
        <v>1</v>
      </c>
      <c r="I501">
        <f t="shared" si="46"/>
        <v>1</v>
      </c>
      <c r="J501">
        <f t="shared" si="47"/>
        <v>2024</v>
      </c>
      <c r="K501" s="17">
        <f t="shared" si="48"/>
        <v>45292</v>
      </c>
      <c r="L501">
        <f t="shared" si="49"/>
        <v>0</v>
      </c>
    </row>
    <row r="502" spans="1:12" x14ac:dyDescent="0.3">
      <c r="A502" s="38">
        <v>45316</v>
      </c>
      <c r="B502" s="39">
        <v>3.302874077131662</v>
      </c>
      <c r="C502" s="39">
        <v>5.9942041474511143</v>
      </c>
      <c r="D502" s="39">
        <v>-2.7193933101462591</v>
      </c>
      <c r="E502" s="39">
        <v>4.3321091802882847</v>
      </c>
      <c r="G502">
        <f t="shared" si="45"/>
        <v>25</v>
      </c>
      <c r="H502">
        <v>1</v>
      </c>
      <c r="I502">
        <f t="shared" si="46"/>
        <v>1</v>
      </c>
      <c r="J502">
        <f t="shared" si="47"/>
        <v>2024</v>
      </c>
      <c r="K502" s="17">
        <f t="shared" si="48"/>
        <v>45292</v>
      </c>
      <c r="L502">
        <f t="shared" si="49"/>
        <v>0</v>
      </c>
    </row>
    <row r="503" spans="1:12" x14ac:dyDescent="0.3">
      <c r="A503" s="38">
        <v>45315</v>
      </c>
      <c r="B503" s="39">
        <v>3.1098193826504001</v>
      </c>
      <c r="C503" s="39">
        <v>5.8308541927992508</v>
      </c>
      <c r="D503" s="39">
        <v>-2.9472650051893083</v>
      </c>
      <c r="E503" s="39">
        <v>4.1801147666761267</v>
      </c>
      <c r="G503">
        <f t="shared" si="45"/>
        <v>24</v>
      </c>
      <c r="H503">
        <v>1</v>
      </c>
      <c r="I503">
        <f t="shared" si="46"/>
        <v>1</v>
      </c>
      <c r="J503">
        <f t="shared" si="47"/>
        <v>2024</v>
      </c>
      <c r="K503" s="17">
        <f t="shared" si="48"/>
        <v>45292</v>
      </c>
      <c r="L503">
        <f t="shared" si="49"/>
        <v>0</v>
      </c>
    </row>
    <row r="504" spans="1:12" x14ac:dyDescent="0.3">
      <c r="A504" s="38">
        <v>45314</v>
      </c>
      <c r="B504" s="39">
        <v>3.5091749934370995</v>
      </c>
      <c r="C504" s="39">
        <v>6.2227332070982868</v>
      </c>
      <c r="D504" s="39">
        <v>-2.4446284937830711</v>
      </c>
      <c r="E504" s="39">
        <v>4.4079000283995384</v>
      </c>
      <c r="G504">
        <f t="shared" si="45"/>
        <v>23</v>
      </c>
      <c r="H504">
        <v>1</v>
      </c>
      <c r="I504">
        <f t="shared" si="46"/>
        <v>1</v>
      </c>
      <c r="J504">
        <f t="shared" si="47"/>
        <v>2024</v>
      </c>
      <c r="K504" s="17">
        <f t="shared" si="48"/>
        <v>45292</v>
      </c>
      <c r="L504">
        <f t="shared" si="49"/>
        <v>0</v>
      </c>
    </row>
    <row r="505" spans="1:12" x14ac:dyDescent="0.3">
      <c r="A505" s="38">
        <v>45313</v>
      </c>
      <c r="B505" s="39">
        <v>3.1347376475890769</v>
      </c>
      <c r="C505" s="39">
        <v>5.8812071327504611</v>
      </c>
      <c r="D505" s="39">
        <v>-2.4933636444475553</v>
      </c>
      <c r="E505" s="39">
        <v>4.1267800214728823</v>
      </c>
      <c r="G505">
        <f t="shared" si="45"/>
        <v>22</v>
      </c>
      <c r="H505">
        <v>1</v>
      </c>
      <c r="I505">
        <f t="shared" si="46"/>
        <v>1</v>
      </c>
      <c r="J505">
        <f t="shared" si="47"/>
        <v>2024</v>
      </c>
      <c r="K505" s="17">
        <f t="shared" si="48"/>
        <v>45292</v>
      </c>
      <c r="L505">
        <f t="shared" si="49"/>
        <v>0</v>
      </c>
    </row>
    <row r="506" spans="1:12" x14ac:dyDescent="0.3">
      <c r="A506" s="38">
        <v>45310</v>
      </c>
      <c r="B506" s="39">
        <v>3.4466279475610548</v>
      </c>
      <c r="C506" s="39">
        <v>6.1976874484703046</v>
      </c>
      <c r="D506" s="39">
        <v>-2.0017608115719554</v>
      </c>
      <c r="E506" s="39">
        <v>4.3346101785896849</v>
      </c>
      <c r="G506">
        <f t="shared" si="45"/>
        <v>19</v>
      </c>
      <c r="H506">
        <v>1</v>
      </c>
      <c r="I506">
        <f t="shared" si="46"/>
        <v>1</v>
      </c>
      <c r="J506">
        <f t="shared" si="47"/>
        <v>2024</v>
      </c>
      <c r="K506" s="17">
        <f t="shared" si="48"/>
        <v>45292</v>
      </c>
      <c r="L506">
        <f t="shared" si="49"/>
        <v>0</v>
      </c>
    </row>
    <row r="507" spans="1:12" x14ac:dyDescent="0.3">
      <c r="A507" s="38">
        <v>45309</v>
      </c>
      <c r="B507" s="39">
        <v>3.7659908477153294</v>
      </c>
      <c r="C507" s="39">
        <v>6.5010918926883647</v>
      </c>
      <c r="D507" s="39">
        <v>-1.4996760306413535</v>
      </c>
      <c r="E507" s="39">
        <v>4.6498390005156409</v>
      </c>
      <c r="G507">
        <f t="shared" si="45"/>
        <v>18</v>
      </c>
      <c r="H507">
        <v>1</v>
      </c>
      <c r="I507">
        <f t="shared" si="46"/>
        <v>1</v>
      </c>
      <c r="J507">
        <f t="shared" si="47"/>
        <v>2024</v>
      </c>
      <c r="K507" s="17">
        <f t="shared" si="48"/>
        <v>45292</v>
      </c>
      <c r="L507">
        <f t="shared" si="49"/>
        <v>0</v>
      </c>
    </row>
    <row r="508" spans="1:12" x14ac:dyDescent="0.3">
      <c r="A508" s="38">
        <v>45308</v>
      </c>
      <c r="B508" s="39">
        <v>3.7495718162193299</v>
      </c>
      <c r="C508" s="39">
        <v>6.4270087505533127</v>
      </c>
      <c r="D508" s="39">
        <v>-0.94684371435725723</v>
      </c>
      <c r="E508" s="39">
        <v>4.4479397086492014</v>
      </c>
      <c r="G508">
        <f t="shared" si="45"/>
        <v>17</v>
      </c>
      <c r="H508">
        <v>1</v>
      </c>
      <c r="I508">
        <f t="shared" si="46"/>
        <v>1</v>
      </c>
      <c r="J508">
        <f t="shared" si="47"/>
        <v>2024</v>
      </c>
      <c r="K508" s="17">
        <f t="shared" si="48"/>
        <v>45292</v>
      </c>
      <c r="L508">
        <f t="shared" si="49"/>
        <v>0</v>
      </c>
    </row>
    <row r="509" spans="1:12" x14ac:dyDescent="0.3">
      <c r="A509" s="38">
        <v>45307</v>
      </c>
      <c r="B509" s="39">
        <v>4.1234628504812036</v>
      </c>
      <c r="C509" s="39">
        <v>6.6489208415266035</v>
      </c>
      <c r="D509" s="39">
        <v>-0.74063821444107703</v>
      </c>
      <c r="E509" s="39">
        <v>4.9676593012122225</v>
      </c>
      <c r="G509">
        <f t="shared" si="45"/>
        <v>16</v>
      </c>
      <c r="H509">
        <v>1</v>
      </c>
      <c r="I509">
        <f t="shared" si="46"/>
        <v>1</v>
      </c>
      <c r="J509">
        <f t="shared" si="47"/>
        <v>2024</v>
      </c>
      <c r="K509" s="17">
        <f t="shared" si="48"/>
        <v>45292</v>
      </c>
      <c r="L509">
        <f t="shared" si="49"/>
        <v>0</v>
      </c>
    </row>
    <row r="510" spans="1:12" x14ac:dyDescent="0.3">
      <c r="A510" s="38">
        <v>45306</v>
      </c>
      <c r="B510" s="39">
        <v>3.1942067199308184</v>
      </c>
      <c r="C510" s="39">
        <v>5.7933701924517322</v>
      </c>
      <c r="D510" s="39">
        <v>-1.3732362905352602</v>
      </c>
      <c r="E510" s="39">
        <v>3.9481726957837253</v>
      </c>
      <c r="G510">
        <f t="shared" si="45"/>
        <v>15</v>
      </c>
      <c r="H510">
        <v>1</v>
      </c>
      <c r="I510">
        <f t="shared" si="46"/>
        <v>1</v>
      </c>
      <c r="J510">
        <f t="shared" si="47"/>
        <v>2024</v>
      </c>
      <c r="K510" s="17">
        <f t="shared" si="48"/>
        <v>45292</v>
      </c>
      <c r="L510">
        <f t="shared" si="49"/>
        <v>0</v>
      </c>
    </row>
    <row r="511" spans="1:12" x14ac:dyDescent="0.3">
      <c r="A511" s="38">
        <v>45303</v>
      </c>
      <c r="B511" s="39">
        <v>3.3014829859850465</v>
      </c>
      <c r="C511" s="39">
        <v>5.9645367926950286</v>
      </c>
      <c r="D511" s="39">
        <v>-1.8185348047678218</v>
      </c>
      <c r="E511" s="39">
        <v>4.2227533588414587</v>
      </c>
      <c r="G511">
        <f t="shared" si="45"/>
        <v>12</v>
      </c>
      <c r="H511">
        <v>1</v>
      </c>
      <c r="I511">
        <f t="shared" si="46"/>
        <v>1</v>
      </c>
      <c r="J511">
        <f t="shared" si="47"/>
        <v>2024</v>
      </c>
      <c r="K511" s="17">
        <f t="shared" si="48"/>
        <v>45292</v>
      </c>
      <c r="L511">
        <f t="shared" si="49"/>
        <v>0</v>
      </c>
    </row>
    <row r="512" spans="1:12" x14ac:dyDescent="0.3">
      <c r="A512" s="38">
        <v>45302</v>
      </c>
      <c r="B512" s="39">
        <v>2.2397213810834984</v>
      </c>
      <c r="C512" s="39">
        <v>5.046399573350925</v>
      </c>
      <c r="D512" s="39">
        <v>-2.1652723852320719</v>
      </c>
      <c r="E512" s="39">
        <v>2.8705667991475963</v>
      </c>
      <c r="G512">
        <f t="shared" si="45"/>
        <v>11</v>
      </c>
      <c r="H512">
        <v>1</v>
      </c>
      <c r="I512">
        <f t="shared" si="46"/>
        <v>1</v>
      </c>
      <c r="J512">
        <f t="shared" si="47"/>
        <v>2024</v>
      </c>
      <c r="K512" s="17">
        <f t="shared" si="48"/>
        <v>45292</v>
      </c>
      <c r="L512">
        <f t="shared" si="49"/>
        <v>0</v>
      </c>
    </row>
    <row r="513" spans="1:12" x14ac:dyDescent="0.3">
      <c r="A513" s="38">
        <v>45301</v>
      </c>
      <c r="B513" s="39">
        <v>2.0272454699089479</v>
      </c>
      <c r="C513" s="39">
        <v>4.8951485544650808</v>
      </c>
      <c r="D513" s="39">
        <v>-2.4431459149365651</v>
      </c>
      <c r="E513" s="39">
        <v>2.5455375323143983</v>
      </c>
      <c r="G513">
        <f t="shared" si="45"/>
        <v>10</v>
      </c>
      <c r="H513">
        <v>1</v>
      </c>
      <c r="I513">
        <f t="shared" si="46"/>
        <v>1</v>
      </c>
      <c r="J513">
        <f t="shared" si="47"/>
        <v>2024</v>
      </c>
      <c r="K513" s="17">
        <f t="shared" si="48"/>
        <v>45292</v>
      </c>
      <c r="L513">
        <f t="shared" si="49"/>
        <v>0</v>
      </c>
    </row>
    <row r="514" spans="1:12" x14ac:dyDescent="0.3">
      <c r="A514" s="38">
        <v>45300</v>
      </c>
      <c r="B514" s="39">
        <v>1.9601211944504371</v>
      </c>
      <c r="C514" s="39">
        <v>4.8496744211652469</v>
      </c>
      <c r="D514" s="39">
        <v>-2.1129228313066903</v>
      </c>
      <c r="E514" s="39">
        <v>2.4305147368023938</v>
      </c>
      <c r="G514">
        <f t="shared" si="45"/>
        <v>9</v>
      </c>
      <c r="H514">
        <v>1</v>
      </c>
      <c r="I514">
        <f t="shared" si="46"/>
        <v>1</v>
      </c>
      <c r="J514">
        <f t="shared" si="47"/>
        <v>2024</v>
      </c>
      <c r="K514" s="17">
        <f t="shared" si="48"/>
        <v>45292</v>
      </c>
      <c r="L514">
        <f t="shared" si="49"/>
        <v>0</v>
      </c>
    </row>
    <row r="515" spans="1:12" x14ac:dyDescent="0.3">
      <c r="A515" s="38">
        <v>45299</v>
      </c>
      <c r="B515" s="39">
        <v>1.9990505124017943</v>
      </c>
      <c r="C515" s="39">
        <v>4.9268361599846315</v>
      </c>
      <c r="D515" s="39">
        <v>-2.2429508377818905</v>
      </c>
      <c r="E515" s="39">
        <v>2.4133850319472288</v>
      </c>
      <c r="G515">
        <f t="shared" si="45"/>
        <v>8</v>
      </c>
      <c r="H515">
        <v>1</v>
      </c>
      <c r="I515">
        <f t="shared" si="46"/>
        <v>1</v>
      </c>
      <c r="J515">
        <f t="shared" si="47"/>
        <v>2024</v>
      </c>
      <c r="K515" s="17">
        <f t="shared" si="48"/>
        <v>45292</v>
      </c>
      <c r="L515">
        <f t="shared" si="49"/>
        <v>0</v>
      </c>
    </row>
    <row r="516" spans="1:12" x14ac:dyDescent="0.3">
      <c r="A516" s="38">
        <v>45296</v>
      </c>
      <c r="B516" s="39">
        <v>2.4742829368634318</v>
      </c>
      <c r="C516" s="39">
        <v>5.5088974142479117</v>
      </c>
      <c r="D516" s="39">
        <v>-1.5515168534646619</v>
      </c>
      <c r="E516" s="39">
        <v>2.6771305751526029</v>
      </c>
      <c r="G516">
        <f t="shared" si="45"/>
        <v>5</v>
      </c>
      <c r="H516">
        <v>1</v>
      </c>
      <c r="I516">
        <f t="shared" si="46"/>
        <v>1</v>
      </c>
      <c r="J516">
        <f t="shared" si="47"/>
        <v>2024</v>
      </c>
      <c r="K516" s="17">
        <f t="shared" si="48"/>
        <v>45292</v>
      </c>
      <c r="L516">
        <f t="shared" si="49"/>
        <v>0</v>
      </c>
    </row>
    <row r="517" spans="1:12" x14ac:dyDescent="0.3">
      <c r="A517" s="38">
        <v>45295</v>
      </c>
      <c r="B517" s="39">
        <v>2.8882029588689875</v>
      </c>
      <c r="C517" s="39">
        <v>5.9001783725682913</v>
      </c>
      <c r="D517" s="39">
        <v>-1.2791954620997501</v>
      </c>
      <c r="E517" s="39">
        <v>3.0545735688391602</v>
      </c>
      <c r="G517">
        <f t="shared" ref="G517:G580" si="50">+DAY(A517)</f>
        <v>4</v>
      </c>
      <c r="H517">
        <v>1</v>
      </c>
      <c r="I517">
        <f t="shared" ref="I517:I580" si="51">+MONTH(A517)</f>
        <v>1</v>
      </c>
      <c r="J517">
        <f t="shared" ref="J517:J580" si="52">+YEAR(A517)</f>
        <v>2024</v>
      </c>
      <c r="K517" s="17">
        <f t="shared" ref="K517:K580" si="53">+DATE(J517,I517,H517)</f>
        <v>45292</v>
      </c>
      <c r="L517">
        <f t="shared" ref="L517:L580" si="54">IF(AND(G517&gt;=1, G517&lt;=4), 1, 0)</f>
        <v>1</v>
      </c>
    </row>
    <row r="518" spans="1:12" x14ac:dyDescent="0.3">
      <c r="A518" s="38">
        <v>45294</v>
      </c>
      <c r="B518" s="39">
        <v>3.043492096223062</v>
      </c>
      <c r="C518" s="39">
        <v>6.0450993576014156</v>
      </c>
      <c r="D518" s="39">
        <v>-1.1741327349573822</v>
      </c>
      <c r="E518" s="39">
        <v>3.3071519635205391</v>
      </c>
      <c r="G518">
        <f t="shared" si="50"/>
        <v>3</v>
      </c>
      <c r="H518">
        <v>1</v>
      </c>
      <c r="I518">
        <f t="shared" si="51"/>
        <v>1</v>
      </c>
      <c r="J518">
        <f t="shared" si="52"/>
        <v>2024</v>
      </c>
      <c r="K518" s="17">
        <f t="shared" si="53"/>
        <v>45292</v>
      </c>
      <c r="L518">
        <f t="shared" si="54"/>
        <v>1</v>
      </c>
    </row>
    <row r="519" spans="1:12" x14ac:dyDescent="0.3">
      <c r="A519" s="38">
        <v>45293</v>
      </c>
      <c r="B519" s="39">
        <v>2.6967482749497123</v>
      </c>
      <c r="C519" s="39">
        <v>5.509139130521902</v>
      </c>
      <c r="D519" s="39">
        <v>-1.9391560277683482</v>
      </c>
      <c r="E519" s="39">
        <v>3.1817733095451217</v>
      </c>
      <c r="G519">
        <f t="shared" si="50"/>
        <v>2</v>
      </c>
      <c r="H519">
        <v>1</v>
      </c>
      <c r="I519">
        <f t="shared" si="51"/>
        <v>1</v>
      </c>
      <c r="J519">
        <f t="shared" si="52"/>
        <v>2024</v>
      </c>
      <c r="K519" s="17">
        <f t="shared" si="53"/>
        <v>45292</v>
      </c>
      <c r="L519">
        <f t="shared" si="54"/>
        <v>1</v>
      </c>
    </row>
    <row r="520" spans="1:12" x14ac:dyDescent="0.3">
      <c r="A520" s="38">
        <v>45289</v>
      </c>
      <c r="B520" s="39">
        <v>1.8704798465071946</v>
      </c>
      <c r="C520" s="39">
        <v>5.0882320760453155</v>
      </c>
      <c r="D520" s="39">
        <v>-3.0240671369486023</v>
      </c>
      <c r="E520" s="39">
        <v>2.7134533051404475</v>
      </c>
      <c r="G520">
        <f t="shared" si="50"/>
        <v>29</v>
      </c>
      <c r="H520">
        <v>1</v>
      </c>
      <c r="I520">
        <f t="shared" si="51"/>
        <v>12</v>
      </c>
      <c r="J520">
        <f t="shared" si="52"/>
        <v>2023</v>
      </c>
      <c r="K520" s="17">
        <f t="shared" si="53"/>
        <v>45261</v>
      </c>
      <c r="L520">
        <f t="shared" si="54"/>
        <v>0</v>
      </c>
    </row>
    <row r="521" spans="1:12" x14ac:dyDescent="0.3">
      <c r="A521" s="38">
        <v>45288</v>
      </c>
      <c r="B521" s="39">
        <v>1.5346283379110019</v>
      </c>
      <c r="C521" s="39">
        <v>4.709434212962563</v>
      </c>
      <c r="D521" s="39">
        <v>-3.1226779740179893</v>
      </c>
      <c r="E521" s="39">
        <v>2.2262725529771217</v>
      </c>
      <c r="G521">
        <f t="shared" si="50"/>
        <v>28</v>
      </c>
      <c r="H521">
        <v>1</v>
      </c>
      <c r="I521">
        <f t="shared" si="51"/>
        <v>12</v>
      </c>
      <c r="J521">
        <f t="shared" si="52"/>
        <v>2023</v>
      </c>
      <c r="K521" s="17">
        <f t="shared" si="53"/>
        <v>45261</v>
      </c>
      <c r="L521">
        <f t="shared" si="54"/>
        <v>0</v>
      </c>
    </row>
    <row r="522" spans="1:12" x14ac:dyDescent="0.3">
      <c r="A522" s="38">
        <v>45287</v>
      </c>
      <c r="B522" s="39">
        <v>1.384841560775385</v>
      </c>
      <c r="C522" s="39">
        <v>4.6103611195199647</v>
      </c>
      <c r="D522" s="39">
        <v>-3.0539916315034645</v>
      </c>
      <c r="E522" s="39">
        <v>1.8437145751115906</v>
      </c>
      <c r="G522">
        <f t="shared" si="50"/>
        <v>27</v>
      </c>
      <c r="H522">
        <v>1</v>
      </c>
      <c r="I522">
        <f t="shared" si="51"/>
        <v>12</v>
      </c>
      <c r="J522">
        <f t="shared" si="52"/>
        <v>2023</v>
      </c>
      <c r="K522" s="17">
        <f t="shared" si="53"/>
        <v>45261</v>
      </c>
      <c r="L522">
        <f t="shared" si="54"/>
        <v>0</v>
      </c>
    </row>
    <row r="523" spans="1:12" x14ac:dyDescent="0.3">
      <c r="A523" s="38">
        <v>45282</v>
      </c>
      <c r="B523" s="39">
        <v>2.1011025216881194</v>
      </c>
      <c r="C523" s="39">
        <v>5.4390681309309912</v>
      </c>
      <c r="D523" s="39">
        <v>-2.3731884321902044</v>
      </c>
      <c r="E523" s="39">
        <v>2.6347248291033907</v>
      </c>
      <c r="G523">
        <f t="shared" si="50"/>
        <v>22</v>
      </c>
      <c r="H523">
        <v>1</v>
      </c>
      <c r="I523">
        <f t="shared" si="51"/>
        <v>12</v>
      </c>
      <c r="J523">
        <f t="shared" si="52"/>
        <v>2023</v>
      </c>
      <c r="K523" s="17">
        <f t="shared" si="53"/>
        <v>45261</v>
      </c>
      <c r="L523">
        <f t="shared" si="54"/>
        <v>0</v>
      </c>
    </row>
    <row r="524" spans="1:12" x14ac:dyDescent="0.3">
      <c r="A524" s="38">
        <v>45281</v>
      </c>
      <c r="B524" s="39">
        <v>2.3565622289997634</v>
      </c>
      <c r="C524" s="39">
        <v>5.6487547870072348</v>
      </c>
      <c r="D524" s="39">
        <v>-2.2236055462610551</v>
      </c>
      <c r="E524" s="39">
        <v>2.9502640902844206</v>
      </c>
      <c r="G524">
        <f t="shared" si="50"/>
        <v>21</v>
      </c>
      <c r="H524">
        <v>1</v>
      </c>
      <c r="I524">
        <f t="shared" si="51"/>
        <v>12</v>
      </c>
      <c r="J524">
        <f t="shared" si="52"/>
        <v>2023</v>
      </c>
      <c r="K524" s="17">
        <f t="shared" si="53"/>
        <v>45261</v>
      </c>
      <c r="L524">
        <f t="shared" si="54"/>
        <v>0</v>
      </c>
    </row>
    <row r="525" spans="1:12" x14ac:dyDescent="0.3">
      <c r="A525" s="38">
        <v>45280</v>
      </c>
      <c r="B525" s="39">
        <v>3.6562382006817558</v>
      </c>
      <c r="C525" s="39">
        <v>6.8630261279872116</v>
      </c>
      <c r="D525" s="39">
        <v>-1.5773404659744301</v>
      </c>
      <c r="E525" s="39">
        <v>4.390011251965376</v>
      </c>
      <c r="G525">
        <f t="shared" si="50"/>
        <v>20</v>
      </c>
      <c r="H525">
        <v>1</v>
      </c>
      <c r="I525">
        <f t="shared" si="51"/>
        <v>12</v>
      </c>
      <c r="J525">
        <f t="shared" si="52"/>
        <v>2023</v>
      </c>
      <c r="K525" s="17">
        <f t="shared" si="53"/>
        <v>45261</v>
      </c>
      <c r="L525">
        <f t="shared" si="54"/>
        <v>0</v>
      </c>
    </row>
    <row r="526" spans="1:12" x14ac:dyDescent="0.3">
      <c r="A526" s="38">
        <v>45279</v>
      </c>
      <c r="B526" s="39">
        <v>3.7698014643808477</v>
      </c>
      <c r="C526" s="39">
        <v>6.9967835307533761</v>
      </c>
      <c r="D526" s="39">
        <v>-1.6110101710944207</v>
      </c>
      <c r="E526" s="39">
        <v>4.6235734878264196</v>
      </c>
      <c r="G526">
        <f t="shared" si="50"/>
        <v>19</v>
      </c>
      <c r="H526">
        <v>1</v>
      </c>
      <c r="I526">
        <f t="shared" si="51"/>
        <v>12</v>
      </c>
      <c r="J526">
        <f t="shared" si="52"/>
        <v>2023</v>
      </c>
      <c r="K526" s="17">
        <f t="shared" si="53"/>
        <v>45261</v>
      </c>
      <c r="L526">
        <f t="shared" si="54"/>
        <v>0</v>
      </c>
    </row>
    <row r="527" spans="1:12" x14ac:dyDescent="0.3">
      <c r="A527" s="38">
        <v>45278</v>
      </c>
      <c r="B527" s="39">
        <v>3.7602819906482665</v>
      </c>
      <c r="C527" s="39">
        <v>6.8824245646851949</v>
      </c>
      <c r="D527" s="39">
        <v>-1.2503133068563272</v>
      </c>
      <c r="E527" s="39">
        <v>4.6164554837997827</v>
      </c>
      <c r="G527">
        <f t="shared" si="50"/>
        <v>18</v>
      </c>
      <c r="H527">
        <v>1</v>
      </c>
      <c r="I527">
        <f t="shared" si="51"/>
        <v>12</v>
      </c>
      <c r="J527">
        <f t="shared" si="52"/>
        <v>2023</v>
      </c>
      <c r="K527" s="17">
        <f t="shared" si="53"/>
        <v>45261</v>
      </c>
      <c r="L527">
        <f t="shared" si="54"/>
        <v>0</v>
      </c>
    </row>
    <row r="528" spans="1:12" x14ac:dyDescent="0.3">
      <c r="A528" s="38">
        <v>45275</v>
      </c>
      <c r="B528" s="39">
        <v>3.6330690133736567</v>
      </c>
      <c r="C528" s="39">
        <v>6.8539958027497789</v>
      </c>
      <c r="D528" s="39">
        <v>-1.468938461700219</v>
      </c>
      <c r="E528" s="39">
        <v>4.4380608641349255</v>
      </c>
      <c r="G528">
        <f t="shared" si="50"/>
        <v>15</v>
      </c>
      <c r="H528">
        <v>1</v>
      </c>
      <c r="I528">
        <f t="shared" si="51"/>
        <v>12</v>
      </c>
      <c r="J528">
        <f t="shared" si="52"/>
        <v>2023</v>
      </c>
      <c r="K528" s="17">
        <f t="shared" si="53"/>
        <v>45261</v>
      </c>
      <c r="L528">
        <f t="shared" si="54"/>
        <v>0</v>
      </c>
    </row>
    <row r="529" spans="1:12" x14ac:dyDescent="0.3">
      <c r="A529" s="38">
        <v>45274</v>
      </c>
      <c r="B529" s="39">
        <v>3.8417958528666958</v>
      </c>
      <c r="C529" s="39">
        <v>7.1492516297107329</v>
      </c>
      <c r="D529" s="39">
        <v>-0.87603529165512839</v>
      </c>
      <c r="E529" s="39">
        <v>4.6529951219606005</v>
      </c>
      <c r="G529">
        <f t="shared" si="50"/>
        <v>14</v>
      </c>
      <c r="H529">
        <v>1</v>
      </c>
      <c r="I529">
        <f t="shared" si="51"/>
        <v>12</v>
      </c>
      <c r="J529">
        <f t="shared" si="52"/>
        <v>2023</v>
      </c>
      <c r="K529" s="17">
        <f t="shared" si="53"/>
        <v>45261</v>
      </c>
      <c r="L529">
        <f t="shared" si="54"/>
        <v>0</v>
      </c>
    </row>
    <row r="530" spans="1:12" x14ac:dyDescent="0.3">
      <c r="A530" s="38">
        <v>45273</v>
      </c>
      <c r="B530" s="39">
        <v>3.4179423896969325</v>
      </c>
      <c r="C530" s="39">
        <v>6.8266873466086366</v>
      </c>
      <c r="D530" s="39">
        <v>-1.1620750959977642</v>
      </c>
      <c r="E530" s="39">
        <v>4.2134236372669704</v>
      </c>
      <c r="G530">
        <f t="shared" si="50"/>
        <v>13</v>
      </c>
      <c r="H530">
        <v>1</v>
      </c>
      <c r="I530">
        <f t="shared" si="51"/>
        <v>12</v>
      </c>
      <c r="J530">
        <f t="shared" si="52"/>
        <v>2023</v>
      </c>
      <c r="K530" s="17">
        <f t="shared" si="53"/>
        <v>45261</v>
      </c>
      <c r="L530">
        <f t="shared" si="54"/>
        <v>0</v>
      </c>
    </row>
    <row r="531" spans="1:12" x14ac:dyDescent="0.3">
      <c r="A531" s="38">
        <v>45272</v>
      </c>
      <c r="B531" s="39">
        <v>1.8444363370660142</v>
      </c>
      <c r="C531" s="39">
        <v>5.2539323978262331</v>
      </c>
      <c r="D531" s="39">
        <v>-2.919876925192483</v>
      </c>
      <c r="E531" s="39">
        <v>2.5792609307074628</v>
      </c>
      <c r="G531">
        <f t="shared" si="50"/>
        <v>12</v>
      </c>
      <c r="H531">
        <v>1</v>
      </c>
      <c r="I531">
        <f t="shared" si="51"/>
        <v>12</v>
      </c>
      <c r="J531">
        <f t="shared" si="52"/>
        <v>2023</v>
      </c>
      <c r="K531" s="17">
        <f t="shared" si="53"/>
        <v>45261</v>
      </c>
      <c r="L531">
        <f t="shared" si="54"/>
        <v>0</v>
      </c>
    </row>
    <row r="532" spans="1:12" x14ac:dyDescent="0.3">
      <c r="A532" s="38">
        <v>45271</v>
      </c>
      <c r="B532" s="39">
        <v>0.86883551015239391</v>
      </c>
      <c r="C532" s="39">
        <v>4.3037305516976261</v>
      </c>
      <c r="D532" s="39">
        <v>-3.6830080330237536</v>
      </c>
      <c r="E532" s="39">
        <v>1.6855558766905858</v>
      </c>
      <c r="G532">
        <f t="shared" si="50"/>
        <v>11</v>
      </c>
      <c r="H532">
        <v>1</v>
      </c>
      <c r="I532">
        <f t="shared" si="51"/>
        <v>12</v>
      </c>
      <c r="J532">
        <f t="shared" si="52"/>
        <v>2023</v>
      </c>
      <c r="K532" s="17">
        <f t="shared" si="53"/>
        <v>45261</v>
      </c>
      <c r="L532">
        <f t="shared" si="54"/>
        <v>0</v>
      </c>
    </row>
    <row r="533" spans="1:12" x14ac:dyDescent="0.3">
      <c r="A533" s="38">
        <v>45268</v>
      </c>
      <c r="B533" s="39">
        <v>1.0442382928102774</v>
      </c>
      <c r="C533" s="39">
        <v>4.4146954812359098</v>
      </c>
      <c r="D533" s="39">
        <v>-3.6625960321945286</v>
      </c>
      <c r="E533" s="39">
        <v>2.1340526153019255</v>
      </c>
      <c r="G533">
        <f t="shared" si="50"/>
        <v>8</v>
      </c>
      <c r="H533">
        <v>1</v>
      </c>
      <c r="I533">
        <f t="shared" si="51"/>
        <v>12</v>
      </c>
      <c r="J533">
        <f t="shared" si="52"/>
        <v>2023</v>
      </c>
      <c r="K533" s="17">
        <f t="shared" si="53"/>
        <v>45261</v>
      </c>
      <c r="L533">
        <f t="shared" si="54"/>
        <v>0</v>
      </c>
    </row>
    <row r="534" spans="1:12" x14ac:dyDescent="0.3">
      <c r="A534" s="38">
        <v>45267</v>
      </c>
      <c r="B534" s="39">
        <v>1.5566684002190243</v>
      </c>
      <c r="C534" s="39">
        <v>4.9884496710863004</v>
      </c>
      <c r="D534" s="39">
        <v>-3.378041091048857</v>
      </c>
      <c r="E534" s="39">
        <v>2.7551130525323799</v>
      </c>
      <c r="G534">
        <f t="shared" si="50"/>
        <v>7</v>
      </c>
      <c r="H534">
        <v>1</v>
      </c>
      <c r="I534">
        <f t="shared" si="51"/>
        <v>12</v>
      </c>
      <c r="J534">
        <f t="shared" si="52"/>
        <v>2023</v>
      </c>
      <c r="K534" s="17">
        <f t="shared" si="53"/>
        <v>45261</v>
      </c>
      <c r="L534">
        <f t="shared" si="54"/>
        <v>0</v>
      </c>
    </row>
    <row r="535" spans="1:12" x14ac:dyDescent="0.3">
      <c r="A535" s="38">
        <v>45266</v>
      </c>
      <c r="B535" s="39">
        <v>1.3046649107506596</v>
      </c>
      <c r="C535" s="39">
        <v>4.8072437470732723</v>
      </c>
      <c r="D535" s="39">
        <v>-3.5073071552003654</v>
      </c>
      <c r="E535" s="39">
        <v>2.1810483044687743</v>
      </c>
      <c r="G535">
        <f t="shared" si="50"/>
        <v>6</v>
      </c>
      <c r="H535">
        <v>1</v>
      </c>
      <c r="I535">
        <f t="shared" si="51"/>
        <v>12</v>
      </c>
      <c r="J535">
        <f t="shared" si="52"/>
        <v>2023</v>
      </c>
      <c r="K535" s="17">
        <f t="shared" si="53"/>
        <v>45261</v>
      </c>
      <c r="L535">
        <f t="shared" si="54"/>
        <v>0</v>
      </c>
    </row>
    <row r="536" spans="1:12" x14ac:dyDescent="0.3">
      <c r="A536" s="38">
        <v>45265</v>
      </c>
      <c r="B536" s="39">
        <v>1.2646884324426821</v>
      </c>
      <c r="C536" s="39">
        <v>4.7884205611638464</v>
      </c>
      <c r="D536" s="39">
        <v>-3.1292975864361807</v>
      </c>
      <c r="E536" s="39">
        <v>1.9274061500317288</v>
      </c>
      <c r="G536">
        <f t="shared" si="50"/>
        <v>5</v>
      </c>
      <c r="H536">
        <v>1</v>
      </c>
      <c r="I536">
        <f t="shared" si="51"/>
        <v>12</v>
      </c>
      <c r="J536">
        <f t="shared" si="52"/>
        <v>2023</v>
      </c>
      <c r="K536" s="17">
        <f t="shared" si="53"/>
        <v>45261</v>
      </c>
      <c r="L536">
        <f t="shared" si="54"/>
        <v>0</v>
      </c>
    </row>
    <row r="537" spans="1:12" x14ac:dyDescent="0.3">
      <c r="A537" s="38">
        <v>45264</v>
      </c>
      <c r="B537" s="39">
        <v>1.1575345268045396</v>
      </c>
      <c r="C537" s="39">
        <v>4.6906987907655662</v>
      </c>
      <c r="D537" s="39">
        <v>-3.3656762011258792</v>
      </c>
      <c r="E537" s="39">
        <v>1.9075292797003698</v>
      </c>
      <c r="G537">
        <f t="shared" si="50"/>
        <v>4</v>
      </c>
      <c r="H537">
        <v>1</v>
      </c>
      <c r="I537">
        <f t="shared" si="51"/>
        <v>12</v>
      </c>
      <c r="J537">
        <f t="shared" si="52"/>
        <v>2023</v>
      </c>
      <c r="K537" s="17">
        <f t="shared" si="53"/>
        <v>45261</v>
      </c>
      <c r="L537">
        <f t="shared" si="54"/>
        <v>1</v>
      </c>
    </row>
    <row r="538" spans="1:12" x14ac:dyDescent="0.3">
      <c r="A538" s="38">
        <v>45261</v>
      </c>
      <c r="B538" s="39">
        <v>8.3399826767958984E-2</v>
      </c>
      <c r="C538" s="39">
        <v>3.5936097313639408</v>
      </c>
      <c r="D538" s="39">
        <v>-4.3928148379274177</v>
      </c>
      <c r="E538" s="39">
        <v>0.7217393021861227</v>
      </c>
      <c r="G538">
        <f t="shared" si="50"/>
        <v>1</v>
      </c>
      <c r="H538">
        <v>1</v>
      </c>
      <c r="I538">
        <f t="shared" si="51"/>
        <v>12</v>
      </c>
      <c r="J538">
        <f t="shared" si="52"/>
        <v>2023</v>
      </c>
      <c r="K538" s="17">
        <f t="shared" si="53"/>
        <v>45261</v>
      </c>
      <c r="L538">
        <f t="shared" si="54"/>
        <v>1</v>
      </c>
    </row>
    <row r="539" spans="1:12" x14ac:dyDescent="0.3">
      <c r="A539" s="38">
        <v>45260</v>
      </c>
      <c r="B539" s="39">
        <v>-1.0181632476164282</v>
      </c>
      <c r="C539" s="39">
        <v>2.5483645112099254</v>
      </c>
      <c r="D539" s="39">
        <v>-4.8807374359983129</v>
      </c>
      <c r="E539" s="39">
        <v>-0.13584994541650985</v>
      </c>
      <c r="G539">
        <f t="shared" si="50"/>
        <v>30</v>
      </c>
      <c r="H539">
        <v>1</v>
      </c>
      <c r="I539">
        <f t="shared" si="51"/>
        <v>11</v>
      </c>
      <c r="J539">
        <f t="shared" si="52"/>
        <v>2023</v>
      </c>
      <c r="K539" s="17">
        <f t="shared" si="53"/>
        <v>45231</v>
      </c>
      <c r="L539">
        <f t="shared" si="54"/>
        <v>0</v>
      </c>
    </row>
    <row r="540" spans="1:12" x14ac:dyDescent="0.3">
      <c r="A540" s="38">
        <v>45259</v>
      </c>
      <c r="B540" s="39">
        <v>0.21092988757042974</v>
      </c>
      <c r="C540" s="39">
        <v>3.8073992034377255</v>
      </c>
      <c r="D540" s="39">
        <v>-3.5115005982354717</v>
      </c>
      <c r="E540" s="39">
        <v>1.2586646243204456</v>
      </c>
      <c r="G540">
        <f t="shared" si="50"/>
        <v>29</v>
      </c>
      <c r="H540">
        <v>1</v>
      </c>
      <c r="I540">
        <f t="shared" si="51"/>
        <v>11</v>
      </c>
      <c r="J540">
        <f t="shared" si="52"/>
        <v>2023</v>
      </c>
      <c r="K540" s="17">
        <f t="shared" si="53"/>
        <v>45231</v>
      </c>
      <c r="L540">
        <f t="shared" si="54"/>
        <v>0</v>
      </c>
    </row>
    <row r="541" spans="1:12" x14ac:dyDescent="0.3">
      <c r="A541" s="38">
        <v>45258</v>
      </c>
      <c r="B541" s="39">
        <v>-0.20074943077712248</v>
      </c>
      <c r="C541" s="39">
        <v>3.4136676207753709</v>
      </c>
      <c r="D541" s="39">
        <v>-4.3618257431548528</v>
      </c>
      <c r="E541" s="39">
        <v>1.0897220221413306</v>
      </c>
      <c r="G541">
        <f t="shared" si="50"/>
        <v>28</v>
      </c>
      <c r="H541">
        <v>1</v>
      </c>
      <c r="I541">
        <f t="shared" si="51"/>
        <v>11</v>
      </c>
      <c r="J541">
        <f t="shared" si="52"/>
        <v>2023</v>
      </c>
      <c r="K541" s="17">
        <f t="shared" si="53"/>
        <v>45231</v>
      </c>
      <c r="L541">
        <f t="shared" si="54"/>
        <v>0</v>
      </c>
    </row>
    <row r="542" spans="1:12" x14ac:dyDescent="0.3">
      <c r="A542" s="38">
        <v>45257</v>
      </c>
      <c r="B542" s="39">
        <v>-0.12436439886798212</v>
      </c>
      <c r="C542" s="39">
        <v>3.4071616754636409</v>
      </c>
      <c r="D542" s="39">
        <v>-4.2806593798037795</v>
      </c>
      <c r="E542" s="39">
        <v>1.3135716506518378</v>
      </c>
      <c r="G542">
        <f t="shared" si="50"/>
        <v>27</v>
      </c>
      <c r="H542">
        <v>1</v>
      </c>
      <c r="I542">
        <f t="shared" si="51"/>
        <v>11</v>
      </c>
      <c r="J542">
        <f t="shared" si="52"/>
        <v>2023</v>
      </c>
      <c r="K542" s="17">
        <f t="shared" si="53"/>
        <v>45231</v>
      </c>
      <c r="L542">
        <f t="shared" si="54"/>
        <v>0</v>
      </c>
    </row>
    <row r="543" spans="1:12" x14ac:dyDescent="0.3">
      <c r="A543" s="38">
        <v>45254</v>
      </c>
      <c r="B543" s="39">
        <v>-0.21588351371616454</v>
      </c>
      <c r="C543" s="39">
        <v>3.2769614349669922</v>
      </c>
      <c r="D543" s="39">
        <v>-4.2737037268740323</v>
      </c>
      <c r="E543" s="39">
        <v>1.1676833991582498</v>
      </c>
      <c r="G543">
        <f t="shared" si="50"/>
        <v>24</v>
      </c>
      <c r="H543">
        <v>1</v>
      </c>
      <c r="I543">
        <f t="shared" si="51"/>
        <v>11</v>
      </c>
      <c r="J543">
        <f t="shared" si="52"/>
        <v>2023</v>
      </c>
      <c r="K543" s="17">
        <f t="shared" si="53"/>
        <v>45231</v>
      </c>
      <c r="L543">
        <f t="shared" si="54"/>
        <v>0</v>
      </c>
    </row>
    <row r="544" spans="1:12" x14ac:dyDescent="0.3">
      <c r="A544" s="38">
        <v>45253</v>
      </c>
      <c r="B544" s="39">
        <v>9.1622024235263666E-2</v>
      </c>
      <c r="C544" s="39">
        <v>3.5936185591351801</v>
      </c>
      <c r="D544" s="39">
        <v>-4.0504199382688881</v>
      </c>
      <c r="E544" s="39">
        <v>1.5531167480591392</v>
      </c>
      <c r="G544">
        <f t="shared" si="50"/>
        <v>23</v>
      </c>
      <c r="H544">
        <v>1</v>
      </c>
      <c r="I544">
        <f t="shared" si="51"/>
        <v>11</v>
      </c>
      <c r="J544">
        <f t="shared" si="52"/>
        <v>2023</v>
      </c>
      <c r="K544" s="17">
        <f t="shared" si="53"/>
        <v>45231</v>
      </c>
      <c r="L544">
        <f t="shared" si="54"/>
        <v>0</v>
      </c>
    </row>
    <row r="545" spans="1:12" x14ac:dyDescent="0.3">
      <c r="A545" s="38">
        <v>45252</v>
      </c>
      <c r="B545" s="39">
        <v>-0.12220011724578228</v>
      </c>
      <c r="C545" s="39">
        <v>3.3766557534505495</v>
      </c>
      <c r="D545" s="39">
        <v>-3.989958175820874</v>
      </c>
      <c r="E545" s="39">
        <v>1.1770260754939414</v>
      </c>
      <c r="G545">
        <f t="shared" si="50"/>
        <v>22</v>
      </c>
      <c r="H545">
        <v>1</v>
      </c>
      <c r="I545">
        <f t="shared" si="51"/>
        <v>11</v>
      </c>
      <c r="J545">
        <f t="shared" si="52"/>
        <v>2023</v>
      </c>
      <c r="K545" s="17">
        <f t="shared" si="53"/>
        <v>45231</v>
      </c>
      <c r="L545">
        <f t="shared" si="54"/>
        <v>0</v>
      </c>
    </row>
    <row r="546" spans="1:12" x14ac:dyDescent="0.3">
      <c r="A546" s="38">
        <v>45251</v>
      </c>
      <c r="B546" s="39">
        <v>-0.86565596774336484</v>
      </c>
      <c r="C546" s="39">
        <v>2.6701484761727272</v>
      </c>
      <c r="D546" s="39">
        <v>-4.8385180280178304</v>
      </c>
      <c r="E546" s="39">
        <v>0.50364095883811899</v>
      </c>
      <c r="G546">
        <f t="shared" si="50"/>
        <v>21</v>
      </c>
      <c r="H546">
        <v>1</v>
      </c>
      <c r="I546">
        <f t="shared" si="51"/>
        <v>11</v>
      </c>
      <c r="J546">
        <f t="shared" si="52"/>
        <v>2023</v>
      </c>
      <c r="K546" s="17">
        <f t="shared" si="53"/>
        <v>45231</v>
      </c>
      <c r="L546">
        <f t="shared" si="54"/>
        <v>0</v>
      </c>
    </row>
    <row r="547" spans="1:12" x14ac:dyDescent="0.3">
      <c r="A547" s="38">
        <v>45250</v>
      </c>
      <c r="B547" s="39">
        <v>-1.2525008151038435</v>
      </c>
      <c r="C547" s="39">
        <v>2.3213110406330202</v>
      </c>
      <c r="D547" s="39">
        <v>-4.9613258457249856</v>
      </c>
      <c r="E547" s="39">
        <v>2.0561261667452868E-2</v>
      </c>
      <c r="G547">
        <f t="shared" si="50"/>
        <v>20</v>
      </c>
      <c r="H547">
        <v>1</v>
      </c>
      <c r="I547">
        <f t="shared" si="51"/>
        <v>11</v>
      </c>
      <c r="J547">
        <f t="shared" si="52"/>
        <v>2023</v>
      </c>
      <c r="K547" s="17">
        <f t="shared" si="53"/>
        <v>45231</v>
      </c>
      <c r="L547">
        <f t="shared" si="54"/>
        <v>0</v>
      </c>
    </row>
    <row r="548" spans="1:12" x14ac:dyDescent="0.3">
      <c r="A548" s="38">
        <v>45247</v>
      </c>
      <c r="B548" s="39">
        <v>-0.47887700218522866</v>
      </c>
      <c r="C548" s="39">
        <v>3.058348079836648</v>
      </c>
      <c r="D548" s="39">
        <v>-3.6654392988584732</v>
      </c>
      <c r="E548" s="39">
        <v>0.96807471283048585</v>
      </c>
      <c r="G548">
        <f t="shared" si="50"/>
        <v>17</v>
      </c>
      <c r="H548">
        <v>1</v>
      </c>
      <c r="I548">
        <f t="shared" si="51"/>
        <v>11</v>
      </c>
      <c r="J548">
        <f t="shared" si="52"/>
        <v>2023</v>
      </c>
      <c r="K548" s="17">
        <f t="shared" si="53"/>
        <v>45231</v>
      </c>
      <c r="L548">
        <f t="shared" si="54"/>
        <v>0</v>
      </c>
    </row>
    <row r="549" spans="1:12" x14ac:dyDescent="0.3">
      <c r="A549" s="38">
        <v>45246</v>
      </c>
      <c r="B549" s="39">
        <v>0.87344629987769906</v>
      </c>
      <c r="C549" s="39">
        <v>4.3845601922937192</v>
      </c>
      <c r="D549" s="39">
        <v>-3.192519240329915</v>
      </c>
      <c r="E549" s="39">
        <v>2.3962822653957687</v>
      </c>
      <c r="G549">
        <f t="shared" si="50"/>
        <v>16</v>
      </c>
      <c r="H549">
        <v>1</v>
      </c>
      <c r="I549">
        <f t="shared" si="51"/>
        <v>11</v>
      </c>
      <c r="J549">
        <f t="shared" si="52"/>
        <v>2023</v>
      </c>
      <c r="K549" s="17">
        <f t="shared" si="53"/>
        <v>45231</v>
      </c>
      <c r="L549">
        <f t="shared" si="54"/>
        <v>0</v>
      </c>
    </row>
    <row r="550" spans="1:12" x14ac:dyDescent="0.3">
      <c r="A550" s="38">
        <v>45245</v>
      </c>
      <c r="B550" s="39">
        <v>-0.49510518641832846</v>
      </c>
      <c r="C550" s="39">
        <v>3.0540574403283784</v>
      </c>
      <c r="D550" s="39">
        <v>-5.0216850926972114</v>
      </c>
      <c r="E550" s="39">
        <v>1.1096642493444477</v>
      </c>
      <c r="G550">
        <f t="shared" si="50"/>
        <v>15</v>
      </c>
      <c r="H550">
        <v>1</v>
      </c>
      <c r="I550">
        <f t="shared" si="51"/>
        <v>11</v>
      </c>
      <c r="J550">
        <f t="shared" si="52"/>
        <v>2023</v>
      </c>
      <c r="K550" s="17">
        <f t="shared" si="53"/>
        <v>45231</v>
      </c>
      <c r="L550">
        <f t="shared" si="54"/>
        <v>0</v>
      </c>
    </row>
    <row r="551" spans="1:12" x14ac:dyDescent="0.3">
      <c r="A551" s="38">
        <v>45244</v>
      </c>
      <c r="B551" s="39">
        <v>-4.6275413690793243E-2</v>
      </c>
      <c r="C551" s="39">
        <v>3.4832398527427415</v>
      </c>
      <c r="D551" s="39">
        <v>-5.3679608523898565</v>
      </c>
      <c r="E551" s="39">
        <v>1.7728998631718582</v>
      </c>
      <c r="G551">
        <f t="shared" si="50"/>
        <v>14</v>
      </c>
      <c r="H551">
        <v>1</v>
      </c>
      <c r="I551">
        <f t="shared" si="51"/>
        <v>11</v>
      </c>
      <c r="J551">
        <f t="shared" si="52"/>
        <v>2023</v>
      </c>
      <c r="K551" s="17">
        <f t="shared" si="53"/>
        <v>45231</v>
      </c>
      <c r="L551">
        <f t="shared" si="54"/>
        <v>0</v>
      </c>
    </row>
    <row r="552" spans="1:12" x14ac:dyDescent="0.3">
      <c r="A552" s="38">
        <v>45240</v>
      </c>
      <c r="B552" s="39">
        <v>-1.2674175439788513</v>
      </c>
      <c r="C552" s="39">
        <v>2.4558646951080192</v>
      </c>
      <c r="D552" s="39">
        <v>-6.519551029670879</v>
      </c>
      <c r="E552" s="39">
        <v>0.41604282913195334</v>
      </c>
      <c r="G552">
        <f t="shared" si="50"/>
        <v>10</v>
      </c>
      <c r="H552">
        <v>1</v>
      </c>
      <c r="I552">
        <f t="shared" si="51"/>
        <v>11</v>
      </c>
      <c r="J552">
        <f t="shared" si="52"/>
        <v>2023</v>
      </c>
      <c r="K552" s="17">
        <f t="shared" si="53"/>
        <v>45231</v>
      </c>
      <c r="L552">
        <f t="shared" si="54"/>
        <v>0</v>
      </c>
    </row>
    <row r="553" spans="1:12" x14ac:dyDescent="0.3">
      <c r="A553" s="38">
        <v>45239</v>
      </c>
      <c r="B553" s="39">
        <v>-1.0144104598027894</v>
      </c>
      <c r="C553" s="39">
        <v>2.6881789964741643</v>
      </c>
      <c r="D553" s="39">
        <v>-6.0729875837335499</v>
      </c>
      <c r="E553" s="39">
        <v>0.74898347879191363</v>
      </c>
      <c r="G553">
        <f t="shared" si="50"/>
        <v>9</v>
      </c>
      <c r="H553">
        <v>1</v>
      </c>
      <c r="I553">
        <f t="shared" si="51"/>
        <v>11</v>
      </c>
      <c r="J553">
        <f t="shared" si="52"/>
        <v>2023</v>
      </c>
      <c r="K553" s="17">
        <f t="shared" si="53"/>
        <v>45231</v>
      </c>
      <c r="L553">
        <f t="shared" si="54"/>
        <v>0</v>
      </c>
    </row>
    <row r="554" spans="1:12" x14ac:dyDescent="0.3">
      <c r="A554" s="38">
        <v>45238</v>
      </c>
      <c r="B554" s="39">
        <v>-0.4136378977545121</v>
      </c>
      <c r="C554" s="39">
        <v>3.2149267677893789</v>
      </c>
      <c r="D554" s="39">
        <v>-5.9377516825722694</v>
      </c>
      <c r="E554" s="39">
        <v>1.4758181874134095</v>
      </c>
      <c r="G554">
        <f t="shared" si="50"/>
        <v>8</v>
      </c>
      <c r="H554">
        <v>1</v>
      </c>
      <c r="I554">
        <f t="shared" si="51"/>
        <v>11</v>
      </c>
      <c r="J554">
        <f t="shared" si="52"/>
        <v>2023</v>
      </c>
      <c r="K554" s="17">
        <f t="shared" si="53"/>
        <v>45231</v>
      </c>
      <c r="L554">
        <f t="shared" si="54"/>
        <v>0</v>
      </c>
    </row>
    <row r="555" spans="1:12" x14ac:dyDescent="0.3">
      <c r="A555" s="38">
        <v>45237</v>
      </c>
      <c r="B555" s="39">
        <v>-0.63942548032133573</v>
      </c>
      <c r="C555" s="39">
        <v>2.9565649433275922</v>
      </c>
      <c r="D555" s="39">
        <v>-6.0177377032198507</v>
      </c>
      <c r="E555" s="39">
        <v>1.1841069530992172</v>
      </c>
      <c r="G555">
        <f t="shared" si="50"/>
        <v>7</v>
      </c>
      <c r="H555">
        <v>1</v>
      </c>
      <c r="I555">
        <f t="shared" si="51"/>
        <v>11</v>
      </c>
      <c r="J555">
        <f t="shared" si="52"/>
        <v>2023</v>
      </c>
      <c r="K555" s="17">
        <f t="shared" si="53"/>
        <v>45231</v>
      </c>
      <c r="L555">
        <f t="shared" si="54"/>
        <v>0</v>
      </c>
    </row>
    <row r="556" spans="1:12" x14ac:dyDescent="0.3">
      <c r="A556" s="38">
        <v>45236</v>
      </c>
      <c r="B556" s="39">
        <v>-0.71929783377977685</v>
      </c>
      <c r="C556" s="39">
        <v>2.9245747327157119</v>
      </c>
      <c r="D556" s="39">
        <v>-5.9035745286392682</v>
      </c>
      <c r="E556" s="39">
        <v>0.87243756285101881</v>
      </c>
      <c r="G556">
        <f t="shared" si="50"/>
        <v>6</v>
      </c>
      <c r="H556">
        <v>1</v>
      </c>
      <c r="I556">
        <f t="shared" si="51"/>
        <v>11</v>
      </c>
      <c r="J556">
        <f t="shared" si="52"/>
        <v>2023</v>
      </c>
      <c r="K556" s="17">
        <f t="shared" si="53"/>
        <v>45231</v>
      </c>
      <c r="L556">
        <f t="shared" si="54"/>
        <v>0</v>
      </c>
    </row>
    <row r="557" spans="1:12" x14ac:dyDescent="0.3">
      <c r="A557" s="38">
        <v>45233</v>
      </c>
      <c r="B557" s="39">
        <v>-0.36952385492948281</v>
      </c>
      <c r="C557" s="39">
        <v>3.1944515324141634</v>
      </c>
      <c r="D557" s="39">
        <v>-5.6058867437486128</v>
      </c>
      <c r="E557" s="39">
        <v>1.2415304006770214</v>
      </c>
      <c r="G557">
        <f t="shared" si="50"/>
        <v>3</v>
      </c>
      <c r="H557">
        <v>1</v>
      </c>
      <c r="I557">
        <f t="shared" si="51"/>
        <v>11</v>
      </c>
      <c r="J557">
        <f t="shared" si="52"/>
        <v>2023</v>
      </c>
      <c r="K557" s="17">
        <f t="shared" si="53"/>
        <v>45231</v>
      </c>
      <c r="L557">
        <f t="shared" si="54"/>
        <v>1</v>
      </c>
    </row>
    <row r="558" spans="1:12" x14ac:dyDescent="0.3">
      <c r="A558" s="38">
        <v>45232</v>
      </c>
      <c r="B558" s="39">
        <v>-0.80272554196636747</v>
      </c>
      <c r="C558" s="39">
        <v>2.7615297361067235</v>
      </c>
      <c r="D558" s="39">
        <v>-6.0011787968583974</v>
      </c>
      <c r="E558" s="39">
        <v>0.91681034908869208</v>
      </c>
      <c r="G558">
        <f t="shared" si="50"/>
        <v>2</v>
      </c>
      <c r="H558">
        <v>1</v>
      </c>
      <c r="I558">
        <f t="shared" si="51"/>
        <v>11</v>
      </c>
      <c r="J558">
        <f t="shared" si="52"/>
        <v>2023</v>
      </c>
      <c r="K558" s="17">
        <f t="shared" si="53"/>
        <v>45231</v>
      </c>
      <c r="L558">
        <f t="shared" si="54"/>
        <v>1</v>
      </c>
    </row>
    <row r="559" spans="1:12" x14ac:dyDescent="0.3">
      <c r="A559" s="38">
        <v>45231</v>
      </c>
      <c r="B559" s="39">
        <v>-1.0636337412944528</v>
      </c>
      <c r="C559" s="39">
        <v>2.4423167527764491</v>
      </c>
      <c r="D559" s="39">
        <v>-6.1419076524061751</v>
      </c>
      <c r="E559" s="39">
        <v>0.66072724494847535</v>
      </c>
      <c r="G559">
        <f t="shared" si="50"/>
        <v>1</v>
      </c>
      <c r="H559">
        <v>1</v>
      </c>
      <c r="I559">
        <f t="shared" si="51"/>
        <v>11</v>
      </c>
      <c r="J559">
        <f t="shared" si="52"/>
        <v>2023</v>
      </c>
      <c r="K559" s="17">
        <f t="shared" si="53"/>
        <v>45231</v>
      </c>
      <c r="L559">
        <f t="shared" si="54"/>
        <v>1</v>
      </c>
    </row>
    <row r="560" spans="1:12" x14ac:dyDescent="0.3">
      <c r="A560" s="38">
        <v>45230</v>
      </c>
      <c r="B560" s="39">
        <v>-2.4725815458445197</v>
      </c>
      <c r="C560" s="39">
        <v>0.58252293311434755</v>
      </c>
      <c r="D560" s="39">
        <v>-7.1815270446222144</v>
      </c>
      <c r="E560" s="39">
        <v>-1.1300882158760857</v>
      </c>
      <c r="G560">
        <f t="shared" si="50"/>
        <v>31</v>
      </c>
      <c r="H560">
        <v>1</v>
      </c>
      <c r="I560">
        <f t="shared" si="51"/>
        <v>10</v>
      </c>
      <c r="J560">
        <f t="shared" si="52"/>
        <v>2023</v>
      </c>
      <c r="K560" s="17">
        <f t="shared" si="53"/>
        <v>45200</v>
      </c>
      <c r="L560">
        <f t="shared" si="54"/>
        <v>0</v>
      </c>
    </row>
    <row r="561" spans="1:12" x14ac:dyDescent="0.3">
      <c r="A561" s="38">
        <v>45229</v>
      </c>
      <c r="B561" s="39">
        <v>-3.2708842958731594</v>
      </c>
      <c r="C561" s="39">
        <v>-0.20883728311920891</v>
      </c>
      <c r="D561" s="39">
        <v>-8.1563000161488191</v>
      </c>
      <c r="E561" s="39">
        <v>-2.0199956634605059</v>
      </c>
      <c r="G561">
        <f t="shared" si="50"/>
        <v>30</v>
      </c>
      <c r="H561">
        <v>1</v>
      </c>
      <c r="I561">
        <f t="shared" si="51"/>
        <v>10</v>
      </c>
      <c r="J561">
        <f t="shared" si="52"/>
        <v>2023</v>
      </c>
      <c r="K561" s="17">
        <f t="shared" si="53"/>
        <v>45200</v>
      </c>
      <c r="L561">
        <f t="shared" si="54"/>
        <v>0</v>
      </c>
    </row>
    <row r="562" spans="1:12" x14ac:dyDescent="0.3">
      <c r="A562" s="38">
        <v>45226</v>
      </c>
      <c r="B562" s="39">
        <v>-1.0898230883552316</v>
      </c>
      <c r="C562" s="39">
        <v>1.9824803692849287</v>
      </c>
      <c r="D562" s="39">
        <v>-6.0105221611750181</v>
      </c>
      <c r="E562" s="39">
        <v>9.3361473505296999E-2</v>
      </c>
      <c r="G562">
        <f t="shared" si="50"/>
        <v>27</v>
      </c>
      <c r="H562">
        <v>1</v>
      </c>
      <c r="I562">
        <f t="shared" si="51"/>
        <v>10</v>
      </c>
      <c r="J562">
        <f t="shared" si="52"/>
        <v>2023</v>
      </c>
      <c r="K562" s="17">
        <f t="shared" si="53"/>
        <v>45200</v>
      </c>
      <c r="L562">
        <f t="shared" si="54"/>
        <v>0</v>
      </c>
    </row>
    <row r="563" spans="1:12" x14ac:dyDescent="0.3">
      <c r="A563" s="38">
        <v>45225</v>
      </c>
      <c r="B563" s="39">
        <v>-1.8191697359310979</v>
      </c>
      <c r="C563" s="39">
        <v>1.2326994741757034</v>
      </c>
      <c r="D563" s="39">
        <v>-6.4201271126972728</v>
      </c>
      <c r="E563" s="39">
        <v>-0.72015722040738694</v>
      </c>
      <c r="G563">
        <f t="shared" si="50"/>
        <v>26</v>
      </c>
      <c r="H563">
        <v>1</v>
      </c>
      <c r="I563">
        <f t="shared" si="51"/>
        <v>10</v>
      </c>
      <c r="J563">
        <f t="shared" si="52"/>
        <v>2023</v>
      </c>
      <c r="K563" s="17">
        <f t="shared" si="53"/>
        <v>45200</v>
      </c>
      <c r="L563">
        <f t="shared" si="54"/>
        <v>0</v>
      </c>
    </row>
    <row r="564" spans="1:12" x14ac:dyDescent="0.3">
      <c r="A564" s="38">
        <v>45224</v>
      </c>
      <c r="B564" s="39">
        <v>-2.211609796009995</v>
      </c>
      <c r="C564" s="39">
        <v>0.88536563317916261</v>
      </c>
      <c r="D564" s="39">
        <v>-6.6146762771044507</v>
      </c>
      <c r="E564" s="39">
        <v>-1.222102572732382</v>
      </c>
      <c r="G564">
        <f t="shared" si="50"/>
        <v>25</v>
      </c>
      <c r="H564">
        <v>1</v>
      </c>
      <c r="I564">
        <f t="shared" si="51"/>
        <v>10</v>
      </c>
      <c r="J564">
        <f t="shared" si="52"/>
        <v>2023</v>
      </c>
      <c r="K564" s="17">
        <f t="shared" si="53"/>
        <v>45200</v>
      </c>
      <c r="L564">
        <f t="shared" si="54"/>
        <v>0</v>
      </c>
    </row>
    <row r="565" spans="1:12" x14ac:dyDescent="0.3">
      <c r="A565" s="38">
        <v>45223</v>
      </c>
      <c r="B565" s="39">
        <v>-1.8297030827614691</v>
      </c>
      <c r="C565" s="39">
        <v>1.1167110390280186</v>
      </c>
      <c r="D565" s="39">
        <v>-6.0261703317403459</v>
      </c>
      <c r="E565" s="39">
        <v>-0.88944993182332155</v>
      </c>
      <c r="G565">
        <f t="shared" si="50"/>
        <v>24</v>
      </c>
      <c r="H565">
        <v>1</v>
      </c>
      <c r="I565">
        <f t="shared" si="51"/>
        <v>10</v>
      </c>
      <c r="J565">
        <f t="shared" si="52"/>
        <v>2023</v>
      </c>
      <c r="K565" s="17">
        <f t="shared" si="53"/>
        <v>45200</v>
      </c>
      <c r="L565">
        <f t="shared" si="54"/>
        <v>0</v>
      </c>
    </row>
    <row r="566" spans="1:12" x14ac:dyDescent="0.3">
      <c r="A566" s="38">
        <v>45222</v>
      </c>
      <c r="B566" s="39">
        <v>-1.4134603071577914</v>
      </c>
      <c r="C566" s="39">
        <v>1.5529413051560823</v>
      </c>
      <c r="D566" s="39">
        <v>-5.8535564276896963</v>
      </c>
      <c r="E566" s="39">
        <v>-0.48974654285845531</v>
      </c>
      <c r="G566">
        <f t="shared" si="50"/>
        <v>23</v>
      </c>
      <c r="H566">
        <v>1</v>
      </c>
      <c r="I566">
        <f t="shared" si="51"/>
        <v>10</v>
      </c>
      <c r="J566">
        <f t="shared" si="52"/>
        <v>2023</v>
      </c>
      <c r="K566" s="17">
        <f t="shared" si="53"/>
        <v>45200</v>
      </c>
      <c r="L566">
        <f t="shared" si="54"/>
        <v>0</v>
      </c>
    </row>
    <row r="567" spans="1:12" x14ac:dyDescent="0.3">
      <c r="A567" s="38">
        <v>45219</v>
      </c>
      <c r="B567" s="39">
        <v>-1.9351724248828646</v>
      </c>
      <c r="C567" s="39">
        <v>1.0589293196213845</v>
      </c>
      <c r="D567" s="39">
        <v>-5.6685095081846271</v>
      </c>
      <c r="E567" s="39">
        <v>-1.3153109042125806</v>
      </c>
      <c r="G567">
        <f t="shared" si="50"/>
        <v>20</v>
      </c>
      <c r="H567">
        <v>1</v>
      </c>
      <c r="I567">
        <f t="shared" si="51"/>
        <v>10</v>
      </c>
      <c r="J567">
        <f t="shared" si="52"/>
        <v>2023</v>
      </c>
      <c r="K567" s="17">
        <f t="shared" si="53"/>
        <v>45200</v>
      </c>
      <c r="L567">
        <f t="shared" si="54"/>
        <v>0</v>
      </c>
    </row>
    <row r="568" spans="1:12" x14ac:dyDescent="0.3">
      <c r="A568" s="38">
        <v>45218</v>
      </c>
      <c r="B568" s="39">
        <v>-1.8880191589112201</v>
      </c>
      <c r="C568" s="39">
        <v>1.1744497137291319</v>
      </c>
      <c r="D568" s="39">
        <v>-5.6296069735251848</v>
      </c>
      <c r="E568" s="39">
        <v>-1.268955716776432</v>
      </c>
      <c r="G568">
        <f t="shared" si="50"/>
        <v>19</v>
      </c>
      <c r="H568">
        <v>1</v>
      </c>
      <c r="I568">
        <f t="shared" si="51"/>
        <v>10</v>
      </c>
      <c r="J568">
        <f t="shared" si="52"/>
        <v>2023</v>
      </c>
      <c r="K568" s="17">
        <f t="shared" si="53"/>
        <v>45200</v>
      </c>
      <c r="L568">
        <f t="shared" si="54"/>
        <v>0</v>
      </c>
    </row>
    <row r="569" spans="1:12" x14ac:dyDescent="0.3">
      <c r="A569" s="38">
        <v>45217</v>
      </c>
      <c r="B569" s="39">
        <v>-1.7211496970855222</v>
      </c>
      <c r="C569" s="39">
        <v>1.3615801322202543</v>
      </c>
      <c r="D569" s="39">
        <v>-5.6188585277619296</v>
      </c>
      <c r="E569" s="39">
        <v>-1.1197639285549315</v>
      </c>
      <c r="G569">
        <f t="shared" si="50"/>
        <v>18</v>
      </c>
      <c r="H569">
        <v>1</v>
      </c>
      <c r="I569">
        <f t="shared" si="51"/>
        <v>10</v>
      </c>
      <c r="J569">
        <f t="shared" si="52"/>
        <v>2023</v>
      </c>
      <c r="K569" s="17">
        <f t="shared" si="53"/>
        <v>45200</v>
      </c>
      <c r="L569">
        <f t="shared" si="54"/>
        <v>0</v>
      </c>
    </row>
    <row r="570" spans="1:12" x14ac:dyDescent="0.3">
      <c r="A570" s="38">
        <v>45216</v>
      </c>
      <c r="B570" s="39">
        <v>-1.2259036360450466</v>
      </c>
      <c r="C570" s="39">
        <v>1.8373980112077817</v>
      </c>
      <c r="D570" s="39">
        <v>-5.0901936225189672</v>
      </c>
      <c r="E570" s="39">
        <v>-0.4426201242442005</v>
      </c>
      <c r="G570">
        <f t="shared" si="50"/>
        <v>17</v>
      </c>
      <c r="H570">
        <v>1</v>
      </c>
      <c r="I570">
        <f t="shared" si="51"/>
        <v>10</v>
      </c>
      <c r="J570">
        <f t="shared" si="52"/>
        <v>2023</v>
      </c>
      <c r="K570" s="17">
        <f t="shared" si="53"/>
        <v>45200</v>
      </c>
      <c r="L570">
        <f t="shared" si="54"/>
        <v>0</v>
      </c>
    </row>
    <row r="571" spans="1:12" x14ac:dyDescent="0.3">
      <c r="A571" s="38">
        <v>45215</v>
      </c>
      <c r="B571" s="39">
        <v>-0.2974276766165076</v>
      </c>
      <c r="C571" s="39">
        <v>2.6977059046480747</v>
      </c>
      <c r="D571" s="39">
        <v>-4.2378807127307141</v>
      </c>
      <c r="E571" s="39">
        <v>0.6504602431840425</v>
      </c>
      <c r="G571">
        <f t="shared" si="50"/>
        <v>16</v>
      </c>
      <c r="H571">
        <v>1</v>
      </c>
      <c r="I571">
        <f t="shared" si="51"/>
        <v>10</v>
      </c>
      <c r="J571">
        <f t="shared" si="52"/>
        <v>2023</v>
      </c>
      <c r="K571" s="17">
        <f t="shared" si="53"/>
        <v>45200</v>
      </c>
      <c r="L571">
        <f t="shared" si="54"/>
        <v>0</v>
      </c>
    </row>
    <row r="572" spans="1:12" x14ac:dyDescent="0.3">
      <c r="A572" s="38">
        <v>45212</v>
      </c>
      <c r="B572" s="39">
        <v>5.0108626965055691E-2</v>
      </c>
      <c r="C572" s="39">
        <v>2.9901432754017918</v>
      </c>
      <c r="D572" s="39">
        <v>-4.2836643960833953</v>
      </c>
      <c r="E572" s="39">
        <v>1.1558212237450789</v>
      </c>
      <c r="G572">
        <f t="shared" si="50"/>
        <v>13</v>
      </c>
      <c r="H572">
        <v>1</v>
      </c>
      <c r="I572">
        <f t="shared" si="51"/>
        <v>10</v>
      </c>
      <c r="J572">
        <f t="shared" si="52"/>
        <v>2023</v>
      </c>
      <c r="K572" s="17">
        <f t="shared" si="53"/>
        <v>45200</v>
      </c>
      <c r="L572">
        <f t="shared" si="54"/>
        <v>0</v>
      </c>
    </row>
    <row r="573" spans="1:12" x14ac:dyDescent="0.3">
      <c r="A573" s="38">
        <v>45211</v>
      </c>
      <c r="B573" s="39">
        <v>0.39078908601082674</v>
      </c>
      <c r="C573" s="39">
        <v>3.3716999302911574</v>
      </c>
      <c r="D573" s="39">
        <v>-3.799972512152678</v>
      </c>
      <c r="E573" s="39">
        <v>1.4730789961709974</v>
      </c>
      <c r="G573">
        <f t="shared" si="50"/>
        <v>12</v>
      </c>
      <c r="H573">
        <v>1</v>
      </c>
      <c r="I573">
        <f t="shared" si="51"/>
        <v>10</v>
      </c>
      <c r="J573">
        <f t="shared" si="52"/>
        <v>2023</v>
      </c>
      <c r="K573" s="17">
        <f t="shared" si="53"/>
        <v>45200</v>
      </c>
      <c r="L573">
        <f t="shared" si="54"/>
        <v>0</v>
      </c>
    </row>
    <row r="574" spans="1:12" x14ac:dyDescent="0.3">
      <c r="A574" s="38">
        <v>45210</v>
      </c>
      <c r="B574" s="39">
        <v>0.74926839247841315</v>
      </c>
      <c r="C574" s="39">
        <v>3.7363145582306316</v>
      </c>
      <c r="D574" s="39">
        <v>-3.2061109670972456</v>
      </c>
      <c r="E574" s="39">
        <v>1.8679702836112853</v>
      </c>
      <c r="G574">
        <f t="shared" si="50"/>
        <v>11</v>
      </c>
      <c r="H574">
        <v>1</v>
      </c>
      <c r="I574">
        <f t="shared" si="51"/>
        <v>10</v>
      </c>
      <c r="J574">
        <f t="shared" si="52"/>
        <v>2023</v>
      </c>
      <c r="K574" s="17">
        <f t="shared" si="53"/>
        <v>45200</v>
      </c>
      <c r="L574">
        <f t="shared" si="54"/>
        <v>0</v>
      </c>
    </row>
    <row r="575" spans="1:12" x14ac:dyDescent="0.3">
      <c r="A575" s="38">
        <v>45209</v>
      </c>
      <c r="B575" s="39">
        <v>-0.87228197892640935</v>
      </c>
      <c r="C575" s="39">
        <v>2.1276294099091189</v>
      </c>
      <c r="D575" s="39">
        <v>-4.5722275724052679</v>
      </c>
      <c r="E575" s="39">
        <v>0.23314373886537965</v>
      </c>
      <c r="G575">
        <f t="shared" si="50"/>
        <v>10</v>
      </c>
      <c r="H575">
        <v>1</v>
      </c>
      <c r="I575">
        <f t="shared" si="51"/>
        <v>10</v>
      </c>
      <c r="J575">
        <f t="shared" si="52"/>
        <v>2023</v>
      </c>
      <c r="K575" s="17">
        <f t="shared" si="53"/>
        <v>45200</v>
      </c>
      <c r="L575">
        <f t="shared" si="54"/>
        <v>0</v>
      </c>
    </row>
    <row r="576" spans="1:12" x14ac:dyDescent="0.3">
      <c r="A576" s="38">
        <v>45208</v>
      </c>
      <c r="B576" s="39">
        <v>1.2128370341713577</v>
      </c>
      <c r="C576" s="39">
        <v>4.2043120052469902</v>
      </c>
      <c r="D576" s="39">
        <v>-2.587898661065978</v>
      </c>
      <c r="E576" s="39">
        <v>2.3488732131338992</v>
      </c>
      <c r="G576">
        <f t="shared" si="50"/>
        <v>9</v>
      </c>
      <c r="H576">
        <v>1</v>
      </c>
      <c r="I576">
        <f t="shared" si="51"/>
        <v>10</v>
      </c>
      <c r="J576">
        <f t="shared" si="52"/>
        <v>2023</v>
      </c>
      <c r="K576" s="17">
        <f t="shared" si="53"/>
        <v>45200</v>
      </c>
      <c r="L576">
        <f t="shared" si="54"/>
        <v>0</v>
      </c>
    </row>
    <row r="577" spans="1:12" x14ac:dyDescent="0.3">
      <c r="A577" s="38">
        <v>45205</v>
      </c>
      <c r="B577" s="39">
        <v>-0.11450821054788207</v>
      </c>
      <c r="C577" s="39">
        <v>2.8463712938097672</v>
      </c>
      <c r="D577" s="39">
        <v>-3.8014300700328789</v>
      </c>
      <c r="E577" s="39">
        <v>1.1940381841050396</v>
      </c>
      <c r="G577">
        <f t="shared" si="50"/>
        <v>6</v>
      </c>
      <c r="H577">
        <v>1</v>
      </c>
      <c r="I577">
        <f t="shared" si="51"/>
        <v>10</v>
      </c>
      <c r="J577">
        <f t="shared" si="52"/>
        <v>2023</v>
      </c>
      <c r="K577" s="17">
        <f t="shared" si="53"/>
        <v>45200</v>
      </c>
      <c r="L577">
        <f t="shared" si="54"/>
        <v>0</v>
      </c>
    </row>
    <row r="578" spans="1:12" x14ac:dyDescent="0.3">
      <c r="A578" s="38">
        <v>45204</v>
      </c>
      <c r="B578" s="39">
        <v>0.3224012648674659</v>
      </c>
      <c r="C578" s="39">
        <v>3.1216116488681109</v>
      </c>
      <c r="D578" s="39">
        <v>-3.4461964457980088</v>
      </c>
      <c r="E578" s="39">
        <v>1.8327347744179434</v>
      </c>
      <c r="G578">
        <f t="shared" si="50"/>
        <v>5</v>
      </c>
      <c r="H578">
        <v>1</v>
      </c>
      <c r="I578">
        <f t="shared" si="51"/>
        <v>10</v>
      </c>
      <c r="J578">
        <f t="shared" si="52"/>
        <v>2023</v>
      </c>
      <c r="K578" s="17">
        <f t="shared" si="53"/>
        <v>45200</v>
      </c>
      <c r="L578">
        <f t="shared" si="54"/>
        <v>0</v>
      </c>
    </row>
    <row r="579" spans="1:12" x14ac:dyDescent="0.3">
      <c r="A579" s="38">
        <v>45203</v>
      </c>
      <c r="B579" s="39">
        <v>0.39942190021795909</v>
      </c>
      <c r="C579" s="39">
        <v>3.1743506481152082</v>
      </c>
      <c r="D579" s="39">
        <v>-3.1869692514262624</v>
      </c>
      <c r="E579" s="39">
        <v>1.7000341687432723</v>
      </c>
      <c r="G579">
        <f t="shared" si="50"/>
        <v>4</v>
      </c>
      <c r="H579">
        <v>1</v>
      </c>
      <c r="I579">
        <f t="shared" si="51"/>
        <v>10</v>
      </c>
      <c r="J579">
        <f t="shared" si="52"/>
        <v>2023</v>
      </c>
      <c r="K579" s="17">
        <f t="shared" si="53"/>
        <v>45200</v>
      </c>
      <c r="L579">
        <f t="shared" si="54"/>
        <v>1</v>
      </c>
    </row>
    <row r="580" spans="1:12" x14ac:dyDescent="0.3">
      <c r="A580" s="38">
        <v>45202</v>
      </c>
      <c r="B580" s="39">
        <v>2.406910782743779</v>
      </c>
      <c r="C580" s="39">
        <v>5.1166086734429541</v>
      </c>
      <c r="D580" s="39">
        <v>-2.0142043246313932</v>
      </c>
      <c r="E580" s="39">
        <v>3.8008023377871041</v>
      </c>
      <c r="G580">
        <f t="shared" si="50"/>
        <v>3</v>
      </c>
      <c r="H580">
        <v>1</v>
      </c>
      <c r="I580">
        <f t="shared" si="51"/>
        <v>10</v>
      </c>
      <c r="J580">
        <f t="shared" si="52"/>
        <v>2023</v>
      </c>
      <c r="K580" s="17">
        <f t="shared" si="53"/>
        <v>45200</v>
      </c>
      <c r="L580">
        <f t="shared" si="54"/>
        <v>1</v>
      </c>
    </row>
    <row r="581" spans="1:12" x14ac:dyDescent="0.3">
      <c r="A581" s="38">
        <v>45201</v>
      </c>
      <c r="B581" s="39">
        <v>3.1945735023648183</v>
      </c>
      <c r="C581" s="39">
        <v>5.901506210588721</v>
      </c>
      <c r="D581" s="39">
        <v>-0.88987297278762867</v>
      </c>
      <c r="E581" s="39">
        <v>4.4070029477477419</v>
      </c>
      <c r="G581">
        <f t="shared" ref="G581:G644" si="55">+DAY(A581)</f>
        <v>2</v>
      </c>
      <c r="H581">
        <v>1</v>
      </c>
      <c r="I581">
        <f t="shared" ref="I581:I644" si="56">+MONTH(A581)</f>
        <v>10</v>
      </c>
      <c r="J581">
        <f t="shared" ref="J581:J644" si="57">+YEAR(A581)</f>
        <v>2023</v>
      </c>
      <c r="K581" s="17">
        <f t="shared" ref="K581:K644" si="58">+DATE(J581,I581,H581)</f>
        <v>45200</v>
      </c>
      <c r="L581">
        <f t="shared" ref="L581:L644" si="59">IF(AND(G581&gt;=1, G581&lt;=4), 1, 0)</f>
        <v>1</v>
      </c>
    </row>
    <row r="582" spans="1:12" x14ac:dyDescent="0.3">
      <c r="A582" s="38">
        <v>45198</v>
      </c>
      <c r="B582" s="39">
        <v>1.1936074970162025</v>
      </c>
      <c r="C582" s="39">
        <v>4.1117026456632573</v>
      </c>
      <c r="D582" s="39">
        <v>-2.5587520668504595</v>
      </c>
      <c r="E582" s="39">
        <v>2.0039600124692498</v>
      </c>
      <c r="G582">
        <f t="shared" si="55"/>
        <v>29</v>
      </c>
      <c r="H582">
        <v>1</v>
      </c>
      <c r="I582">
        <f t="shared" si="56"/>
        <v>9</v>
      </c>
      <c r="J582">
        <f t="shared" si="57"/>
        <v>2023</v>
      </c>
      <c r="K582" s="17">
        <f t="shared" si="58"/>
        <v>45170</v>
      </c>
      <c r="L582">
        <f t="shared" si="59"/>
        <v>0</v>
      </c>
    </row>
    <row r="583" spans="1:12" x14ac:dyDescent="0.3">
      <c r="A583" s="38">
        <v>45197</v>
      </c>
      <c r="B583" s="39">
        <v>1.78139668090013</v>
      </c>
      <c r="C583" s="39">
        <v>4.8768222733093012</v>
      </c>
      <c r="D583" s="39">
        <v>-1.9010247937081601</v>
      </c>
      <c r="E583" s="39">
        <v>2.2114139352900253</v>
      </c>
      <c r="G583">
        <f t="shared" si="55"/>
        <v>28</v>
      </c>
      <c r="H583">
        <v>1</v>
      </c>
      <c r="I583">
        <f t="shared" si="56"/>
        <v>9</v>
      </c>
      <c r="J583">
        <f t="shared" si="57"/>
        <v>2023</v>
      </c>
      <c r="K583" s="17">
        <f t="shared" si="58"/>
        <v>45170</v>
      </c>
      <c r="L583">
        <f t="shared" si="59"/>
        <v>0</v>
      </c>
    </row>
    <row r="584" spans="1:12" x14ac:dyDescent="0.3">
      <c r="A584" s="38">
        <v>45196</v>
      </c>
      <c r="B584" s="39">
        <v>1.4715487537584693</v>
      </c>
      <c r="C584" s="39">
        <v>4.5653341127015068</v>
      </c>
      <c r="D584" s="39">
        <v>-2.0838601516089028</v>
      </c>
      <c r="E584" s="39">
        <v>1.7398217499181214</v>
      </c>
      <c r="G584">
        <f t="shared" si="55"/>
        <v>27</v>
      </c>
      <c r="H584">
        <v>1</v>
      </c>
      <c r="I584">
        <f t="shared" si="56"/>
        <v>9</v>
      </c>
      <c r="J584">
        <f t="shared" si="57"/>
        <v>2023</v>
      </c>
      <c r="K584" s="17">
        <f t="shared" si="58"/>
        <v>45170</v>
      </c>
      <c r="L584">
        <f t="shared" si="59"/>
        <v>0</v>
      </c>
    </row>
    <row r="585" spans="1:12" x14ac:dyDescent="0.3">
      <c r="A585" s="38">
        <v>45195</v>
      </c>
      <c r="B585" s="39">
        <v>1.8083876353250758</v>
      </c>
      <c r="C585" s="39">
        <v>4.8741442084728277</v>
      </c>
      <c r="D585" s="39">
        <v>-2.3053058971482159</v>
      </c>
      <c r="E585" s="39">
        <v>2.3896447120174287</v>
      </c>
      <c r="G585">
        <f t="shared" si="55"/>
        <v>26</v>
      </c>
      <c r="H585">
        <v>1</v>
      </c>
      <c r="I585">
        <f t="shared" si="56"/>
        <v>9</v>
      </c>
      <c r="J585">
        <f t="shared" si="57"/>
        <v>2023</v>
      </c>
      <c r="K585" s="17">
        <f t="shared" si="58"/>
        <v>45170</v>
      </c>
      <c r="L585">
        <f t="shared" si="59"/>
        <v>0</v>
      </c>
    </row>
    <row r="586" spans="1:12" x14ac:dyDescent="0.3">
      <c r="A586" s="38">
        <v>45194</v>
      </c>
      <c r="B586" s="39">
        <v>3.5181437558668875</v>
      </c>
      <c r="C586" s="39">
        <v>6.4579936259594177</v>
      </c>
      <c r="D586" s="39">
        <v>-0.94538095173417958</v>
      </c>
      <c r="E586" s="39">
        <v>4.1544428835221936</v>
      </c>
      <c r="G586">
        <f t="shared" si="55"/>
        <v>25</v>
      </c>
      <c r="H586">
        <v>1</v>
      </c>
      <c r="I586">
        <f t="shared" si="56"/>
        <v>9</v>
      </c>
      <c r="J586">
        <f t="shared" si="57"/>
        <v>2023</v>
      </c>
      <c r="K586" s="17">
        <f t="shared" si="58"/>
        <v>45170</v>
      </c>
      <c r="L586">
        <f t="shared" si="59"/>
        <v>0</v>
      </c>
    </row>
    <row r="587" spans="1:12" x14ac:dyDescent="0.3">
      <c r="A587" s="38">
        <v>45191</v>
      </c>
      <c r="B587" s="39">
        <v>4.0944349002674016</v>
      </c>
      <c r="C587" s="39">
        <v>7.0432993563539696</v>
      </c>
      <c r="D587" s="39">
        <v>-0.87170932930206391</v>
      </c>
      <c r="E587" s="39">
        <v>4.8122601724473526</v>
      </c>
      <c r="G587">
        <f t="shared" si="55"/>
        <v>22</v>
      </c>
      <c r="H587">
        <v>1</v>
      </c>
      <c r="I587">
        <f t="shared" si="56"/>
        <v>9</v>
      </c>
      <c r="J587">
        <f t="shared" si="57"/>
        <v>2023</v>
      </c>
      <c r="K587" s="17">
        <f t="shared" si="58"/>
        <v>45170</v>
      </c>
      <c r="L587">
        <f t="shared" si="59"/>
        <v>0</v>
      </c>
    </row>
    <row r="588" spans="1:12" x14ac:dyDescent="0.3">
      <c r="A588" s="38">
        <v>45190</v>
      </c>
      <c r="B588" s="39">
        <v>3.8441663807247437</v>
      </c>
      <c r="C588" s="39">
        <v>6.8781438904088787</v>
      </c>
      <c r="D588" s="39">
        <v>-1.5262864818874533</v>
      </c>
      <c r="E588" s="39">
        <v>4.6627885779587928</v>
      </c>
      <c r="G588">
        <f t="shared" si="55"/>
        <v>21</v>
      </c>
      <c r="H588">
        <v>1</v>
      </c>
      <c r="I588">
        <f t="shared" si="56"/>
        <v>9</v>
      </c>
      <c r="J588">
        <f t="shared" si="57"/>
        <v>2023</v>
      </c>
      <c r="K588" s="17">
        <f t="shared" si="58"/>
        <v>45170</v>
      </c>
      <c r="L588">
        <f t="shared" si="59"/>
        <v>0</v>
      </c>
    </row>
    <row r="589" spans="1:12" x14ac:dyDescent="0.3">
      <c r="A589" s="38">
        <v>45189</v>
      </c>
      <c r="B589" s="39">
        <v>3.2956581745475972</v>
      </c>
      <c r="C589" s="39">
        <v>6.3916196270325969</v>
      </c>
      <c r="D589" s="39">
        <v>-2.1091219367581431</v>
      </c>
      <c r="E589" s="39">
        <v>4.0745902581225266</v>
      </c>
      <c r="G589">
        <f t="shared" si="55"/>
        <v>20</v>
      </c>
      <c r="H589">
        <v>1</v>
      </c>
      <c r="I589">
        <f t="shared" si="56"/>
        <v>9</v>
      </c>
      <c r="J589">
        <f t="shared" si="57"/>
        <v>2023</v>
      </c>
      <c r="K589" s="17">
        <f t="shared" si="58"/>
        <v>45170</v>
      </c>
      <c r="L589">
        <f t="shared" si="59"/>
        <v>0</v>
      </c>
    </row>
    <row r="590" spans="1:12" x14ac:dyDescent="0.3">
      <c r="A590" s="38">
        <v>45188</v>
      </c>
      <c r="B590" s="39">
        <v>2.5428055876433717</v>
      </c>
      <c r="C590" s="39">
        <v>5.6532033325417217</v>
      </c>
      <c r="D590" s="39">
        <v>-3.1524778449685726</v>
      </c>
      <c r="E590" s="39">
        <v>3.2976805667307048</v>
      </c>
      <c r="G590">
        <f t="shared" si="55"/>
        <v>19</v>
      </c>
      <c r="H590">
        <v>1</v>
      </c>
      <c r="I590">
        <f t="shared" si="56"/>
        <v>9</v>
      </c>
      <c r="J590">
        <f t="shared" si="57"/>
        <v>2023</v>
      </c>
      <c r="K590" s="17">
        <f t="shared" si="58"/>
        <v>45170</v>
      </c>
      <c r="L590">
        <f t="shared" si="59"/>
        <v>0</v>
      </c>
    </row>
    <row r="591" spans="1:12" x14ac:dyDescent="0.3">
      <c r="A591" s="38">
        <v>45187</v>
      </c>
      <c r="B591" s="39">
        <v>4.3810235222702403</v>
      </c>
      <c r="C591" s="39">
        <v>7.5801639688900622</v>
      </c>
      <c r="D591" s="39">
        <v>-1.3229483567469913</v>
      </c>
      <c r="E591" s="39">
        <v>4.9412746290190626</v>
      </c>
      <c r="G591">
        <f t="shared" si="55"/>
        <v>18</v>
      </c>
      <c r="H591">
        <v>1</v>
      </c>
      <c r="I591">
        <f t="shared" si="56"/>
        <v>9</v>
      </c>
      <c r="J591">
        <f t="shared" si="57"/>
        <v>2023</v>
      </c>
      <c r="K591" s="17">
        <f t="shared" si="58"/>
        <v>45170</v>
      </c>
      <c r="L591">
        <f t="shared" si="59"/>
        <v>0</v>
      </c>
    </row>
    <row r="592" spans="1:12" x14ac:dyDescent="0.3">
      <c r="A592" s="38">
        <v>45184</v>
      </c>
      <c r="B592" s="39">
        <v>6.7482036564567522</v>
      </c>
      <c r="C592" s="39">
        <v>9.9785361658259291</v>
      </c>
      <c r="D592" s="39">
        <v>1.2215937364123306</v>
      </c>
      <c r="E592" s="39">
        <v>7.2077270185130971</v>
      </c>
      <c r="G592">
        <f t="shared" si="55"/>
        <v>15</v>
      </c>
      <c r="H592">
        <v>1</v>
      </c>
      <c r="I592">
        <f t="shared" si="56"/>
        <v>9</v>
      </c>
      <c r="J592">
        <f t="shared" si="57"/>
        <v>2023</v>
      </c>
      <c r="K592" s="17">
        <f t="shared" si="58"/>
        <v>45170</v>
      </c>
      <c r="L592">
        <f t="shared" si="59"/>
        <v>0</v>
      </c>
    </row>
    <row r="593" spans="1:12" x14ac:dyDescent="0.3">
      <c r="A593" s="38">
        <v>45183</v>
      </c>
      <c r="B593" s="39">
        <v>6.5639626829459132</v>
      </c>
      <c r="C593" s="39">
        <v>9.8431686175472493</v>
      </c>
      <c r="D593" s="39">
        <v>1.5621611919412004</v>
      </c>
      <c r="E593" s="39">
        <v>6.8916182463271696</v>
      </c>
      <c r="G593">
        <f t="shared" si="55"/>
        <v>14</v>
      </c>
      <c r="H593">
        <v>1</v>
      </c>
      <c r="I593">
        <f t="shared" si="56"/>
        <v>9</v>
      </c>
      <c r="J593">
        <f t="shared" si="57"/>
        <v>2023</v>
      </c>
      <c r="K593" s="17">
        <f t="shared" si="58"/>
        <v>45170</v>
      </c>
      <c r="L593">
        <f t="shared" si="59"/>
        <v>0</v>
      </c>
    </row>
    <row r="594" spans="1:12" x14ac:dyDescent="0.3">
      <c r="A594" s="38">
        <v>45182</v>
      </c>
      <c r="B594" s="39">
        <v>5.5137801589713291</v>
      </c>
      <c r="C594" s="39">
        <v>8.7791960949332974</v>
      </c>
      <c r="D594" s="39">
        <v>0.99395814869167509</v>
      </c>
      <c r="E594" s="39">
        <v>5.7778941904160774</v>
      </c>
      <c r="G594">
        <f t="shared" si="55"/>
        <v>13</v>
      </c>
      <c r="H594">
        <v>1</v>
      </c>
      <c r="I594">
        <f t="shared" si="56"/>
        <v>9</v>
      </c>
      <c r="J594">
        <f t="shared" si="57"/>
        <v>2023</v>
      </c>
      <c r="K594" s="17">
        <f t="shared" si="58"/>
        <v>45170</v>
      </c>
      <c r="L594">
        <f t="shared" si="59"/>
        <v>0</v>
      </c>
    </row>
    <row r="595" spans="1:12" x14ac:dyDescent="0.3">
      <c r="A595" s="38">
        <v>45181</v>
      </c>
      <c r="B595" s="39">
        <v>6.5498588931911712</v>
      </c>
      <c r="C595" s="39">
        <v>9.7458699457597078</v>
      </c>
      <c r="D595" s="39">
        <v>1.9085899850098968</v>
      </c>
      <c r="E595" s="39">
        <v>6.9549902342336338</v>
      </c>
      <c r="G595">
        <f t="shared" si="55"/>
        <v>12</v>
      </c>
      <c r="H595">
        <v>1</v>
      </c>
      <c r="I595">
        <f t="shared" si="56"/>
        <v>9</v>
      </c>
      <c r="J595">
        <f t="shared" si="57"/>
        <v>2023</v>
      </c>
      <c r="K595" s="17">
        <f t="shared" si="58"/>
        <v>45170</v>
      </c>
      <c r="L595">
        <f t="shared" si="59"/>
        <v>0</v>
      </c>
    </row>
    <row r="596" spans="1:12" x14ac:dyDescent="0.3">
      <c r="A596" s="38">
        <v>45180</v>
      </c>
      <c r="B596" s="39">
        <v>6.2564360111474429</v>
      </c>
      <c r="C596" s="39">
        <v>9.5317975093272338</v>
      </c>
      <c r="D596" s="39">
        <v>1.5449118876736065</v>
      </c>
      <c r="E596" s="39">
        <v>6.6556894943733909</v>
      </c>
      <c r="G596">
        <f t="shared" si="55"/>
        <v>11</v>
      </c>
      <c r="H596">
        <v>1</v>
      </c>
      <c r="I596">
        <f t="shared" si="56"/>
        <v>9</v>
      </c>
      <c r="J596">
        <f t="shared" si="57"/>
        <v>2023</v>
      </c>
      <c r="K596" s="17">
        <f t="shared" si="58"/>
        <v>45170</v>
      </c>
      <c r="L596">
        <f t="shared" si="59"/>
        <v>0</v>
      </c>
    </row>
    <row r="597" spans="1:12" x14ac:dyDescent="0.3">
      <c r="A597" s="38">
        <v>45177</v>
      </c>
      <c r="B597" s="39">
        <v>5.9781289403936171</v>
      </c>
      <c r="C597" s="39">
        <v>9.3480167895105382</v>
      </c>
      <c r="D597" s="39">
        <v>1.3363978255229227</v>
      </c>
      <c r="E597" s="39">
        <v>6.2759867664664171</v>
      </c>
      <c r="G597">
        <f t="shared" si="55"/>
        <v>8</v>
      </c>
      <c r="H597">
        <v>1</v>
      </c>
      <c r="I597">
        <f t="shared" si="56"/>
        <v>9</v>
      </c>
      <c r="J597">
        <f t="shared" si="57"/>
        <v>2023</v>
      </c>
      <c r="K597" s="17">
        <f t="shared" si="58"/>
        <v>45170</v>
      </c>
      <c r="L597">
        <f t="shared" si="59"/>
        <v>0</v>
      </c>
    </row>
    <row r="598" spans="1:12" x14ac:dyDescent="0.3">
      <c r="A598" s="38">
        <v>45176</v>
      </c>
      <c r="B598" s="39">
        <v>4.5424293681617627</v>
      </c>
      <c r="C598" s="39">
        <v>7.9747181081153826</v>
      </c>
      <c r="D598" s="39">
        <v>0.17864460519076886</v>
      </c>
      <c r="E598" s="39">
        <v>4.7129901169231232</v>
      </c>
      <c r="G598">
        <f t="shared" si="55"/>
        <v>7</v>
      </c>
      <c r="H598">
        <v>1</v>
      </c>
      <c r="I598">
        <f t="shared" si="56"/>
        <v>9</v>
      </c>
      <c r="J598">
        <f t="shared" si="57"/>
        <v>2023</v>
      </c>
      <c r="K598" s="17">
        <f t="shared" si="58"/>
        <v>45170</v>
      </c>
      <c r="L598">
        <f t="shared" si="59"/>
        <v>0</v>
      </c>
    </row>
    <row r="599" spans="1:12" x14ac:dyDescent="0.3">
      <c r="A599" s="38">
        <v>45175</v>
      </c>
      <c r="B599" s="39">
        <v>5.1474899491685875</v>
      </c>
      <c r="C599" s="39">
        <v>8.481956819355446</v>
      </c>
      <c r="D599" s="39">
        <v>0.58893028227858224</v>
      </c>
      <c r="E599" s="39">
        <v>5.5397145900471116</v>
      </c>
      <c r="G599">
        <f t="shared" si="55"/>
        <v>6</v>
      </c>
      <c r="H599">
        <v>1</v>
      </c>
      <c r="I599">
        <f t="shared" si="56"/>
        <v>9</v>
      </c>
      <c r="J599">
        <f t="shared" si="57"/>
        <v>2023</v>
      </c>
      <c r="K599" s="17">
        <f t="shared" si="58"/>
        <v>45170</v>
      </c>
      <c r="L599">
        <f t="shared" si="59"/>
        <v>0</v>
      </c>
    </row>
    <row r="600" spans="1:12" x14ac:dyDescent="0.3">
      <c r="A600" s="38">
        <v>45174</v>
      </c>
      <c r="B600" s="39">
        <v>5.0650122710113408</v>
      </c>
      <c r="C600" s="39">
        <v>8.4396736917278474</v>
      </c>
      <c r="D600" s="39">
        <v>-0.18455025622118626</v>
      </c>
      <c r="E600" s="39">
        <v>5.6888550479846174</v>
      </c>
      <c r="G600">
        <f t="shared" si="55"/>
        <v>5</v>
      </c>
      <c r="H600">
        <v>1</v>
      </c>
      <c r="I600">
        <f t="shared" si="56"/>
        <v>9</v>
      </c>
      <c r="J600">
        <f t="shared" si="57"/>
        <v>2023</v>
      </c>
      <c r="K600" s="17">
        <f t="shared" si="58"/>
        <v>45170</v>
      </c>
      <c r="L600">
        <f t="shared" si="59"/>
        <v>0</v>
      </c>
    </row>
    <row r="601" spans="1:12" x14ac:dyDescent="0.3">
      <c r="A601" s="38">
        <v>45173</v>
      </c>
      <c r="B601" s="39">
        <v>4.6614871796915054</v>
      </c>
      <c r="C601" s="39">
        <v>8.0167863952168972</v>
      </c>
      <c r="D601" s="39">
        <v>-0.51269590118722874</v>
      </c>
      <c r="E601" s="39">
        <v>5.1813270576619601</v>
      </c>
      <c r="G601">
        <f t="shared" si="55"/>
        <v>4</v>
      </c>
      <c r="H601">
        <v>1</v>
      </c>
      <c r="I601">
        <f t="shared" si="56"/>
        <v>9</v>
      </c>
      <c r="J601">
        <f t="shared" si="57"/>
        <v>2023</v>
      </c>
      <c r="K601" s="17">
        <f t="shared" si="58"/>
        <v>45170</v>
      </c>
      <c r="L601">
        <f t="shared" si="59"/>
        <v>1</v>
      </c>
    </row>
    <row r="602" spans="1:12" x14ac:dyDescent="0.3">
      <c r="A602" s="38">
        <v>45169</v>
      </c>
      <c r="B602" s="39">
        <v>5.4402988658764286</v>
      </c>
      <c r="C602" s="39">
        <v>8.7161241699348579</v>
      </c>
      <c r="D602" s="39">
        <v>0.45349128026660424</v>
      </c>
      <c r="E602" s="39">
        <v>6.0245151315581609</v>
      </c>
      <c r="G602">
        <f t="shared" si="55"/>
        <v>31</v>
      </c>
      <c r="H602">
        <v>1</v>
      </c>
      <c r="I602">
        <f t="shared" si="56"/>
        <v>8</v>
      </c>
      <c r="J602">
        <f t="shared" si="57"/>
        <v>2023</v>
      </c>
      <c r="K602" s="17">
        <f t="shared" si="58"/>
        <v>45139</v>
      </c>
      <c r="L602">
        <f t="shared" si="59"/>
        <v>0</v>
      </c>
    </row>
    <row r="603" spans="1:12" x14ac:dyDescent="0.3">
      <c r="A603" s="38">
        <v>45168</v>
      </c>
      <c r="B603" s="39">
        <v>7.9708570060695365</v>
      </c>
      <c r="C603" s="39">
        <v>11.176498190615007</v>
      </c>
      <c r="D603" s="39">
        <v>2.9846605394265282</v>
      </c>
      <c r="E603" s="39">
        <v>8.7559272092212268</v>
      </c>
      <c r="G603">
        <f t="shared" si="55"/>
        <v>30</v>
      </c>
      <c r="H603">
        <v>1</v>
      </c>
      <c r="I603">
        <f t="shared" si="56"/>
        <v>8</v>
      </c>
      <c r="J603">
        <f t="shared" si="57"/>
        <v>2023</v>
      </c>
      <c r="K603" s="17">
        <f t="shared" si="58"/>
        <v>45139</v>
      </c>
      <c r="L603">
        <f t="shared" si="59"/>
        <v>0</v>
      </c>
    </row>
    <row r="604" spans="1:12" x14ac:dyDescent="0.3">
      <c r="A604" s="38">
        <v>45167</v>
      </c>
      <c r="B604" s="39">
        <v>8.4320958803022563</v>
      </c>
      <c r="C604" s="39">
        <v>11.658410538575737</v>
      </c>
      <c r="D604" s="39">
        <v>3.5105564474323359</v>
      </c>
      <c r="E604" s="39">
        <v>9.2433568889209852</v>
      </c>
      <c r="G604">
        <f t="shared" si="55"/>
        <v>29</v>
      </c>
      <c r="H604">
        <v>1</v>
      </c>
      <c r="I604">
        <f t="shared" si="56"/>
        <v>8</v>
      </c>
      <c r="J604">
        <f t="shared" si="57"/>
        <v>2023</v>
      </c>
      <c r="K604" s="17">
        <f t="shared" si="58"/>
        <v>45139</v>
      </c>
      <c r="L604">
        <f t="shared" si="59"/>
        <v>0</v>
      </c>
    </row>
    <row r="605" spans="1:12" x14ac:dyDescent="0.3">
      <c r="A605" s="38">
        <v>45163</v>
      </c>
      <c r="B605" s="39">
        <v>8.6447765880084546</v>
      </c>
      <c r="C605" s="39">
        <v>11.901367921558077</v>
      </c>
      <c r="D605" s="39">
        <v>3.5832295764212034</v>
      </c>
      <c r="E605" s="39">
        <v>9.3995925864011838</v>
      </c>
      <c r="G605">
        <f t="shared" si="55"/>
        <v>25</v>
      </c>
      <c r="H605">
        <v>1</v>
      </c>
      <c r="I605">
        <f t="shared" si="56"/>
        <v>8</v>
      </c>
      <c r="J605">
        <f t="shared" si="57"/>
        <v>2023</v>
      </c>
      <c r="K605" s="17">
        <f t="shared" si="58"/>
        <v>45139</v>
      </c>
      <c r="L605">
        <f t="shared" si="59"/>
        <v>0</v>
      </c>
    </row>
    <row r="606" spans="1:12" x14ac:dyDescent="0.3">
      <c r="A606" s="38">
        <v>45162</v>
      </c>
      <c r="B606" s="39">
        <v>8.1954132764254979</v>
      </c>
      <c r="C606" s="39">
        <v>11.295227109833476</v>
      </c>
      <c r="D606" s="39">
        <v>3.4209432994761499</v>
      </c>
      <c r="E606" s="39">
        <v>8.9578335933229596</v>
      </c>
      <c r="G606">
        <f t="shared" si="55"/>
        <v>24</v>
      </c>
      <c r="H606">
        <v>1</v>
      </c>
      <c r="I606">
        <f t="shared" si="56"/>
        <v>8</v>
      </c>
      <c r="J606">
        <f t="shared" si="57"/>
        <v>2023</v>
      </c>
      <c r="K606" s="17">
        <f t="shared" si="58"/>
        <v>45139</v>
      </c>
      <c r="L606">
        <f t="shared" si="59"/>
        <v>0</v>
      </c>
    </row>
    <row r="607" spans="1:12" x14ac:dyDescent="0.3">
      <c r="A607" s="38">
        <v>45161</v>
      </c>
      <c r="B607" s="39">
        <v>8.5692842709481027</v>
      </c>
      <c r="C607" s="39">
        <v>11.842132880824465</v>
      </c>
      <c r="D607" s="39">
        <v>4.2173838849804923</v>
      </c>
      <c r="E607" s="39">
        <v>8.8598642700035413</v>
      </c>
      <c r="G607">
        <f t="shared" si="55"/>
        <v>23</v>
      </c>
      <c r="H607">
        <v>1</v>
      </c>
      <c r="I607">
        <f t="shared" si="56"/>
        <v>8</v>
      </c>
      <c r="J607">
        <f t="shared" si="57"/>
        <v>2023</v>
      </c>
      <c r="K607" s="17">
        <f t="shared" si="58"/>
        <v>45139</v>
      </c>
      <c r="L607">
        <f t="shared" si="59"/>
        <v>0</v>
      </c>
    </row>
    <row r="608" spans="1:12" x14ac:dyDescent="0.3">
      <c r="A608" s="38">
        <v>45160</v>
      </c>
      <c r="B608" s="39">
        <v>7.6891167209706737</v>
      </c>
      <c r="C608" s="39">
        <v>11.062265668431309</v>
      </c>
      <c r="D608" s="39">
        <v>4.0470403098661194</v>
      </c>
      <c r="E608" s="39">
        <v>7.5773727306847007</v>
      </c>
      <c r="G608">
        <f t="shared" si="55"/>
        <v>22</v>
      </c>
      <c r="H608">
        <v>1</v>
      </c>
      <c r="I608">
        <f t="shared" si="56"/>
        <v>8</v>
      </c>
      <c r="J608">
        <f t="shared" si="57"/>
        <v>2023</v>
      </c>
      <c r="K608" s="17">
        <f t="shared" si="58"/>
        <v>45139</v>
      </c>
      <c r="L608">
        <f t="shared" si="59"/>
        <v>0</v>
      </c>
    </row>
    <row r="609" spans="1:12" x14ac:dyDescent="0.3">
      <c r="A609" s="38">
        <v>45159</v>
      </c>
      <c r="B609" s="39">
        <v>8.2192264275728775</v>
      </c>
      <c r="C609" s="39">
        <v>11.563053382066656</v>
      </c>
      <c r="D609" s="39">
        <v>4.5541342315955688</v>
      </c>
      <c r="E609" s="39">
        <v>8.1733696095749764</v>
      </c>
      <c r="G609">
        <f t="shared" si="55"/>
        <v>21</v>
      </c>
      <c r="H609">
        <v>1</v>
      </c>
      <c r="I609">
        <f t="shared" si="56"/>
        <v>8</v>
      </c>
      <c r="J609">
        <f t="shared" si="57"/>
        <v>2023</v>
      </c>
      <c r="K609" s="17">
        <f t="shared" si="58"/>
        <v>45139</v>
      </c>
      <c r="L609">
        <f t="shared" si="59"/>
        <v>0</v>
      </c>
    </row>
    <row r="610" spans="1:12" x14ac:dyDescent="0.3">
      <c r="A610" s="38">
        <v>45156</v>
      </c>
      <c r="B610" s="39">
        <v>8.3547147559930863</v>
      </c>
      <c r="C610" s="39">
        <v>11.697913842938647</v>
      </c>
      <c r="D610" s="39">
        <v>4.5876919101271909</v>
      </c>
      <c r="E610" s="39">
        <v>8.4484334280871707</v>
      </c>
      <c r="G610">
        <f t="shared" si="55"/>
        <v>18</v>
      </c>
      <c r="H610">
        <v>1</v>
      </c>
      <c r="I610">
        <f t="shared" si="56"/>
        <v>8</v>
      </c>
      <c r="J610">
        <f t="shared" si="57"/>
        <v>2023</v>
      </c>
      <c r="K610" s="17">
        <f t="shared" si="58"/>
        <v>45139</v>
      </c>
      <c r="L610">
        <f t="shared" si="59"/>
        <v>0</v>
      </c>
    </row>
    <row r="611" spans="1:12" x14ac:dyDescent="0.3">
      <c r="A611" s="38">
        <v>45155</v>
      </c>
      <c r="B611" s="39">
        <v>7.5767424774322478</v>
      </c>
      <c r="C611" s="39">
        <v>10.931114463698037</v>
      </c>
      <c r="D611" s="39">
        <v>3.4645773457843774</v>
      </c>
      <c r="E611" s="39">
        <v>7.7728966975899709</v>
      </c>
      <c r="G611">
        <f t="shared" si="55"/>
        <v>17</v>
      </c>
      <c r="H611">
        <v>1</v>
      </c>
      <c r="I611">
        <f t="shared" si="56"/>
        <v>8</v>
      </c>
      <c r="J611">
        <f t="shared" si="57"/>
        <v>2023</v>
      </c>
      <c r="K611" s="17">
        <f t="shared" si="58"/>
        <v>45139</v>
      </c>
      <c r="L611">
        <f t="shared" si="59"/>
        <v>0</v>
      </c>
    </row>
    <row r="612" spans="1:12" x14ac:dyDescent="0.3">
      <c r="A612" s="38">
        <v>45154</v>
      </c>
      <c r="B612" s="39">
        <v>6.5879262888938541</v>
      </c>
      <c r="C612" s="39">
        <v>9.939294655401099</v>
      </c>
      <c r="D612" s="39">
        <v>2.4451572627081788</v>
      </c>
      <c r="E612" s="39">
        <v>6.7626049161092965</v>
      </c>
      <c r="G612">
        <f t="shared" si="55"/>
        <v>16</v>
      </c>
      <c r="H612">
        <v>1</v>
      </c>
      <c r="I612">
        <f t="shared" si="56"/>
        <v>8</v>
      </c>
      <c r="J612">
        <f t="shared" si="57"/>
        <v>2023</v>
      </c>
      <c r="K612" s="17">
        <f t="shared" si="58"/>
        <v>45139</v>
      </c>
      <c r="L612">
        <f t="shared" si="59"/>
        <v>0</v>
      </c>
    </row>
    <row r="613" spans="1:12" x14ac:dyDescent="0.3">
      <c r="A613" s="38">
        <v>45153</v>
      </c>
      <c r="B613" s="39">
        <v>6.8250251488515232</v>
      </c>
      <c r="C613" s="39">
        <v>10.204148553532846</v>
      </c>
      <c r="D613" s="39">
        <v>2.6133942783909561</v>
      </c>
      <c r="E613" s="39">
        <v>6.9786212770485605</v>
      </c>
      <c r="G613">
        <f t="shared" si="55"/>
        <v>15</v>
      </c>
      <c r="H613">
        <v>1</v>
      </c>
      <c r="I613">
        <f t="shared" si="56"/>
        <v>8</v>
      </c>
      <c r="J613">
        <f t="shared" si="57"/>
        <v>2023</v>
      </c>
      <c r="K613" s="17">
        <f t="shared" si="58"/>
        <v>45139</v>
      </c>
      <c r="L613">
        <f t="shared" si="59"/>
        <v>0</v>
      </c>
    </row>
    <row r="614" spans="1:12" x14ac:dyDescent="0.3">
      <c r="A614" s="38">
        <v>45152</v>
      </c>
      <c r="B614" s="39">
        <v>7.1629049244181004</v>
      </c>
      <c r="C614" s="39">
        <v>10.507982646659656</v>
      </c>
      <c r="D614" s="39">
        <v>2.7302704740385195</v>
      </c>
      <c r="E614" s="39">
        <v>7.3468795332045289</v>
      </c>
      <c r="G614">
        <f t="shared" si="55"/>
        <v>14</v>
      </c>
      <c r="H614">
        <v>1</v>
      </c>
      <c r="I614">
        <f t="shared" si="56"/>
        <v>8</v>
      </c>
      <c r="J614">
        <f t="shared" si="57"/>
        <v>2023</v>
      </c>
      <c r="K614" s="17">
        <f t="shared" si="58"/>
        <v>45139</v>
      </c>
      <c r="L614">
        <f t="shared" si="59"/>
        <v>0</v>
      </c>
    </row>
    <row r="615" spans="1:12" x14ac:dyDescent="0.3">
      <c r="A615" s="38">
        <v>45149</v>
      </c>
      <c r="B615" s="39">
        <v>7.2849856360358416</v>
      </c>
      <c r="C615" s="39">
        <v>10.576035905972603</v>
      </c>
      <c r="D615" s="39">
        <v>3.22938679898337</v>
      </c>
      <c r="E615" s="39">
        <v>7.3594392308520042</v>
      </c>
      <c r="G615">
        <f t="shared" si="55"/>
        <v>11</v>
      </c>
      <c r="H615">
        <v>1</v>
      </c>
      <c r="I615">
        <f t="shared" si="56"/>
        <v>8</v>
      </c>
      <c r="J615">
        <f t="shared" si="57"/>
        <v>2023</v>
      </c>
      <c r="K615" s="17">
        <f t="shared" si="58"/>
        <v>45139</v>
      </c>
      <c r="L615">
        <f t="shared" si="59"/>
        <v>0</v>
      </c>
    </row>
    <row r="616" spans="1:12" x14ac:dyDescent="0.3">
      <c r="A616" s="38">
        <v>45148</v>
      </c>
      <c r="B616" s="39">
        <v>7.8398268836268272</v>
      </c>
      <c r="C616" s="39">
        <v>11.054693487602151</v>
      </c>
      <c r="D616" s="39">
        <v>3.6433393442735991</v>
      </c>
      <c r="E616" s="39">
        <v>7.9078652016515605</v>
      </c>
      <c r="G616">
        <f t="shared" si="55"/>
        <v>10</v>
      </c>
      <c r="H616">
        <v>1</v>
      </c>
      <c r="I616">
        <f t="shared" si="56"/>
        <v>8</v>
      </c>
      <c r="J616">
        <f t="shared" si="57"/>
        <v>2023</v>
      </c>
      <c r="K616" s="17">
        <f t="shared" si="58"/>
        <v>45139</v>
      </c>
      <c r="L616">
        <f t="shared" si="59"/>
        <v>0</v>
      </c>
    </row>
    <row r="617" spans="1:12" x14ac:dyDescent="0.3">
      <c r="A617" s="38">
        <v>45146</v>
      </c>
      <c r="B617" s="39">
        <v>4.464103021270887</v>
      </c>
      <c r="C617" s="39">
        <v>7.6904207533224138</v>
      </c>
      <c r="D617" s="39">
        <v>0.90435270915752142</v>
      </c>
      <c r="E617" s="39">
        <v>4.4438362617336935</v>
      </c>
      <c r="G617">
        <f t="shared" si="55"/>
        <v>8</v>
      </c>
      <c r="H617">
        <v>1</v>
      </c>
      <c r="I617">
        <f t="shared" si="56"/>
        <v>8</v>
      </c>
      <c r="J617">
        <f t="shared" si="57"/>
        <v>2023</v>
      </c>
      <c r="K617" s="17">
        <f t="shared" si="58"/>
        <v>45139</v>
      </c>
      <c r="L617">
        <f t="shared" si="59"/>
        <v>0</v>
      </c>
    </row>
    <row r="618" spans="1:12" x14ac:dyDescent="0.3">
      <c r="A618" s="38">
        <v>45145</v>
      </c>
      <c r="B618" s="39">
        <v>4.9952892869554404</v>
      </c>
      <c r="C618" s="39">
        <v>8.2918102134596552</v>
      </c>
      <c r="D618" s="39">
        <v>1.7723023529981532</v>
      </c>
      <c r="E618" s="39">
        <v>4.9240282824403181</v>
      </c>
      <c r="G618">
        <f t="shared" si="55"/>
        <v>7</v>
      </c>
      <c r="H618">
        <v>1</v>
      </c>
      <c r="I618">
        <f t="shared" si="56"/>
        <v>8</v>
      </c>
      <c r="J618">
        <f t="shared" si="57"/>
        <v>2023</v>
      </c>
      <c r="K618" s="17">
        <f t="shared" si="58"/>
        <v>45139</v>
      </c>
      <c r="L618">
        <f t="shared" si="59"/>
        <v>0</v>
      </c>
    </row>
    <row r="619" spans="1:12" x14ac:dyDescent="0.3">
      <c r="A619" s="38">
        <v>45142</v>
      </c>
      <c r="B619" s="39">
        <v>6.4957335791260817</v>
      </c>
      <c r="C619" s="39">
        <v>9.7048896178380204</v>
      </c>
      <c r="D619" s="39">
        <v>3.7512785642801987</v>
      </c>
      <c r="E619" s="39">
        <v>6.321795968457721</v>
      </c>
      <c r="G619">
        <f t="shared" si="55"/>
        <v>4</v>
      </c>
      <c r="H619">
        <v>1</v>
      </c>
      <c r="I619">
        <f t="shared" si="56"/>
        <v>8</v>
      </c>
      <c r="J619">
        <f t="shared" si="57"/>
        <v>2023</v>
      </c>
      <c r="K619" s="17">
        <f t="shared" si="58"/>
        <v>45139</v>
      </c>
      <c r="L619">
        <f t="shared" si="59"/>
        <v>1</v>
      </c>
    </row>
    <row r="620" spans="1:12" x14ac:dyDescent="0.3">
      <c r="A620" s="38">
        <v>45141</v>
      </c>
      <c r="B620" s="39">
        <v>7.1409568596459394</v>
      </c>
      <c r="C620" s="39">
        <v>10.308918200248996</v>
      </c>
      <c r="D620" s="39">
        <v>4.503111320045079</v>
      </c>
      <c r="E620" s="39">
        <v>7.1565822711335443</v>
      </c>
      <c r="G620">
        <f t="shared" si="55"/>
        <v>3</v>
      </c>
      <c r="H620">
        <v>1</v>
      </c>
      <c r="I620">
        <f t="shared" si="56"/>
        <v>8</v>
      </c>
      <c r="J620">
        <f t="shared" si="57"/>
        <v>2023</v>
      </c>
      <c r="K620" s="17">
        <f t="shared" si="58"/>
        <v>45139</v>
      </c>
      <c r="L620">
        <f t="shared" si="59"/>
        <v>1</v>
      </c>
    </row>
    <row r="621" spans="1:12" x14ac:dyDescent="0.3">
      <c r="A621" s="38">
        <v>45140</v>
      </c>
      <c r="B621" s="39">
        <v>7.4366157882888473</v>
      </c>
      <c r="C621" s="39">
        <v>10.649638010090868</v>
      </c>
      <c r="D621" s="39">
        <v>4.878896114985892</v>
      </c>
      <c r="E621" s="39">
        <v>7.1205834691428578</v>
      </c>
      <c r="G621">
        <f t="shared" si="55"/>
        <v>2</v>
      </c>
      <c r="H621">
        <v>1</v>
      </c>
      <c r="I621">
        <f t="shared" si="56"/>
        <v>8</v>
      </c>
      <c r="J621">
        <f t="shared" si="57"/>
        <v>2023</v>
      </c>
      <c r="K621" s="17">
        <f t="shared" si="58"/>
        <v>45139</v>
      </c>
      <c r="L621">
        <f t="shared" si="59"/>
        <v>1</v>
      </c>
    </row>
    <row r="622" spans="1:12" x14ac:dyDescent="0.3">
      <c r="A622" s="38">
        <v>45139</v>
      </c>
      <c r="B622" s="39">
        <v>6.8204420278786273</v>
      </c>
      <c r="C622" s="39">
        <v>9.9651031558346688</v>
      </c>
      <c r="D622" s="39">
        <v>3.0958822057411908</v>
      </c>
      <c r="E622" s="39">
        <v>6.9059336575893155</v>
      </c>
      <c r="G622">
        <f t="shared" si="55"/>
        <v>1</v>
      </c>
      <c r="H622">
        <v>1</v>
      </c>
      <c r="I622">
        <f t="shared" si="56"/>
        <v>8</v>
      </c>
      <c r="J622">
        <f t="shared" si="57"/>
        <v>2023</v>
      </c>
      <c r="K622" s="17">
        <f t="shared" si="58"/>
        <v>45139</v>
      </c>
      <c r="L622">
        <f t="shared" si="59"/>
        <v>1</v>
      </c>
    </row>
    <row r="623" spans="1:12" x14ac:dyDescent="0.3">
      <c r="A623" s="38">
        <v>45138</v>
      </c>
      <c r="B623" s="39">
        <v>5.6007049328543985</v>
      </c>
      <c r="C623" s="39">
        <v>8.4437657442362593</v>
      </c>
      <c r="D623" s="39">
        <v>1.3643725143627279</v>
      </c>
      <c r="E623" s="39">
        <v>5.8752695455955859</v>
      </c>
      <c r="G623">
        <f t="shared" si="55"/>
        <v>31</v>
      </c>
      <c r="H623">
        <v>1</v>
      </c>
      <c r="I623">
        <f t="shared" si="56"/>
        <v>7</v>
      </c>
      <c r="J623">
        <f t="shared" si="57"/>
        <v>2023</v>
      </c>
      <c r="K623" s="17">
        <f t="shared" si="58"/>
        <v>45108</v>
      </c>
      <c r="L623">
        <f t="shared" si="59"/>
        <v>0</v>
      </c>
    </row>
    <row r="624" spans="1:12" x14ac:dyDescent="0.3">
      <c r="A624" s="38">
        <v>45135</v>
      </c>
      <c r="B624" s="39">
        <v>4.8211889889221879</v>
      </c>
      <c r="C624" s="39">
        <v>7.7932839331243144</v>
      </c>
      <c r="D624" s="39">
        <v>0.31079699513297498</v>
      </c>
      <c r="E624" s="39">
        <v>5.1151610873127424</v>
      </c>
      <c r="G624">
        <f t="shared" si="55"/>
        <v>28</v>
      </c>
      <c r="H624">
        <v>1</v>
      </c>
      <c r="I624">
        <f t="shared" si="56"/>
        <v>7</v>
      </c>
      <c r="J624">
        <f t="shared" si="57"/>
        <v>2023</v>
      </c>
      <c r="K624" s="17">
        <f t="shared" si="58"/>
        <v>45108</v>
      </c>
      <c r="L624">
        <f t="shared" si="59"/>
        <v>0</v>
      </c>
    </row>
    <row r="625" spans="1:12" x14ac:dyDescent="0.3">
      <c r="A625" s="38">
        <v>45134</v>
      </c>
      <c r="B625" s="39">
        <v>4.4469961745249407</v>
      </c>
      <c r="C625" s="39">
        <v>7.4939162074118002</v>
      </c>
      <c r="D625" s="39">
        <v>-0.21742775579338058</v>
      </c>
      <c r="E625" s="39">
        <v>4.7689183151029084</v>
      </c>
      <c r="G625">
        <f t="shared" si="55"/>
        <v>27</v>
      </c>
      <c r="H625">
        <v>1</v>
      </c>
      <c r="I625">
        <f t="shared" si="56"/>
        <v>7</v>
      </c>
      <c r="J625">
        <f t="shared" si="57"/>
        <v>2023</v>
      </c>
      <c r="K625" s="17">
        <f t="shared" si="58"/>
        <v>45108</v>
      </c>
      <c r="L625">
        <f t="shared" si="59"/>
        <v>0</v>
      </c>
    </row>
    <row r="626" spans="1:12" x14ac:dyDescent="0.3">
      <c r="A626" s="38">
        <v>45133</v>
      </c>
      <c r="B626" s="39">
        <v>2.1543880587258712</v>
      </c>
      <c r="C626" s="39">
        <v>5.2696690688590877</v>
      </c>
      <c r="D626" s="39">
        <v>-2.1300394242730789</v>
      </c>
      <c r="E626" s="39">
        <v>2.3493351002811806</v>
      </c>
      <c r="G626">
        <f t="shared" si="55"/>
        <v>26</v>
      </c>
      <c r="H626">
        <v>1</v>
      </c>
      <c r="I626">
        <f t="shared" si="56"/>
        <v>7</v>
      </c>
      <c r="J626">
        <f t="shared" si="57"/>
        <v>2023</v>
      </c>
      <c r="K626" s="17">
        <f t="shared" si="58"/>
        <v>45108</v>
      </c>
      <c r="L626">
        <f t="shared" si="59"/>
        <v>0</v>
      </c>
    </row>
    <row r="627" spans="1:12" x14ac:dyDescent="0.3">
      <c r="A627" s="38">
        <v>45132</v>
      </c>
      <c r="B627" s="39">
        <v>1.9567276240510836</v>
      </c>
      <c r="C627" s="39">
        <v>5.1034236284823749</v>
      </c>
      <c r="D627" s="39">
        <v>-2.6027141583095528</v>
      </c>
      <c r="E627" s="39">
        <v>2.1804166050182516</v>
      </c>
      <c r="G627">
        <f t="shared" si="55"/>
        <v>25</v>
      </c>
      <c r="H627">
        <v>1</v>
      </c>
      <c r="I627">
        <f t="shared" si="56"/>
        <v>7</v>
      </c>
      <c r="J627">
        <f t="shared" si="57"/>
        <v>2023</v>
      </c>
      <c r="K627" s="17">
        <f t="shared" si="58"/>
        <v>45108</v>
      </c>
      <c r="L627">
        <f t="shared" si="59"/>
        <v>0</v>
      </c>
    </row>
    <row r="628" spans="1:12" x14ac:dyDescent="0.3">
      <c r="A628" s="38">
        <v>45131</v>
      </c>
      <c r="B628" s="39">
        <v>2.8564576900460708</v>
      </c>
      <c r="C628" s="39">
        <v>6.0622300337073796</v>
      </c>
      <c r="D628" s="39">
        <v>-1.8211880057159817</v>
      </c>
      <c r="E628" s="39">
        <v>3.0665156431493585</v>
      </c>
      <c r="G628">
        <f t="shared" si="55"/>
        <v>24</v>
      </c>
      <c r="H628">
        <v>1</v>
      </c>
      <c r="I628">
        <f t="shared" si="56"/>
        <v>7</v>
      </c>
      <c r="J628">
        <f t="shared" si="57"/>
        <v>2023</v>
      </c>
      <c r="K628" s="17">
        <f t="shared" si="58"/>
        <v>45108</v>
      </c>
      <c r="L628">
        <f t="shared" si="59"/>
        <v>0</v>
      </c>
    </row>
    <row r="629" spans="1:12" x14ac:dyDescent="0.3">
      <c r="A629" s="38">
        <v>45128</v>
      </c>
      <c r="B629" s="39">
        <v>2.1323750882713597</v>
      </c>
      <c r="C629" s="39">
        <v>5.314977519168778</v>
      </c>
      <c r="D629" s="39">
        <v>-2.4922290875617108</v>
      </c>
      <c r="E629" s="39">
        <v>2.3506384388457207</v>
      </c>
      <c r="G629">
        <f t="shared" si="55"/>
        <v>21</v>
      </c>
      <c r="H629">
        <v>1</v>
      </c>
      <c r="I629">
        <f t="shared" si="56"/>
        <v>7</v>
      </c>
      <c r="J629">
        <f t="shared" si="57"/>
        <v>2023</v>
      </c>
      <c r="K629" s="17">
        <f t="shared" si="58"/>
        <v>45108</v>
      </c>
      <c r="L629">
        <f t="shared" si="59"/>
        <v>0</v>
      </c>
    </row>
    <row r="630" spans="1:12" x14ac:dyDescent="0.3">
      <c r="A630" s="38">
        <v>45127</v>
      </c>
      <c r="B630" s="39">
        <v>1.7379538899452314</v>
      </c>
      <c r="C630" s="39">
        <v>4.8992411283781649</v>
      </c>
      <c r="D630" s="39">
        <v>-2.9039673416339582</v>
      </c>
      <c r="E630" s="39">
        <v>2.0187348366904843</v>
      </c>
      <c r="G630">
        <f t="shared" si="55"/>
        <v>20</v>
      </c>
      <c r="H630">
        <v>1</v>
      </c>
      <c r="I630">
        <f t="shared" si="56"/>
        <v>7</v>
      </c>
      <c r="J630">
        <f t="shared" si="57"/>
        <v>2023</v>
      </c>
      <c r="K630" s="17">
        <f t="shared" si="58"/>
        <v>45108</v>
      </c>
      <c r="L630">
        <f t="shared" si="59"/>
        <v>0</v>
      </c>
    </row>
    <row r="631" spans="1:12" x14ac:dyDescent="0.3">
      <c r="A631" s="38">
        <v>45126</v>
      </c>
      <c r="B631" s="39">
        <v>0.24319339964435471</v>
      </c>
      <c r="C631" s="39">
        <v>3.441895143465544</v>
      </c>
      <c r="D631" s="39">
        <v>-4.1584128973049985</v>
      </c>
      <c r="E631" s="39">
        <v>0.4444418962370662</v>
      </c>
      <c r="G631">
        <f t="shared" si="55"/>
        <v>19</v>
      </c>
      <c r="H631">
        <v>1</v>
      </c>
      <c r="I631">
        <f t="shared" si="56"/>
        <v>7</v>
      </c>
      <c r="J631">
        <f t="shared" si="57"/>
        <v>2023</v>
      </c>
      <c r="K631" s="17">
        <f t="shared" si="58"/>
        <v>45108</v>
      </c>
      <c r="L631">
        <f t="shared" si="59"/>
        <v>0</v>
      </c>
    </row>
    <row r="632" spans="1:12" x14ac:dyDescent="0.3">
      <c r="A632" s="38">
        <v>45125</v>
      </c>
      <c r="B632" s="39">
        <v>6.9807624025372661E-2</v>
      </c>
      <c r="C632" s="39">
        <v>3.433551516697861</v>
      </c>
      <c r="D632" s="39">
        <v>-4.5467636177867092</v>
      </c>
      <c r="E632" s="39">
        <v>0.32597218969188191</v>
      </c>
      <c r="G632">
        <f t="shared" si="55"/>
        <v>18</v>
      </c>
      <c r="H632">
        <v>1</v>
      </c>
      <c r="I632">
        <f t="shared" si="56"/>
        <v>7</v>
      </c>
      <c r="J632">
        <f t="shared" si="57"/>
        <v>2023</v>
      </c>
      <c r="K632" s="17">
        <f t="shared" si="58"/>
        <v>45108</v>
      </c>
      <c r="L632">
        <f t="shared" si="59"/>
        <v>0</v>
      </c>
    </row>
    <row r="633" spans="1:12" x14ac:dyDescent="0.3">
      <c r="A633" s="38">
        <v>45124</v>
      </c>
      <c r="B633" s="39">
        <v>-8.0736848258140981E-2</v>
      </c>
      <c r="C633" s="39">
        <v>3.182113751320685</v>
      </c>
      <c r="D633" s="39">
        <v>-4.3459586499591438</v>
      </c>
      <c r="E633" s="39">
        <v>0.1547419764925877</v>
      </c>
      <c r="G633">
        <f t="shared" si="55"/>
        <v>17</v>
      </c>
      <c r="H633">
        <v>1</v>
      </c>
      <c r="I633">
        <f t="shared" si="56"/>
        <v>7</v>
      </c>
      <c r="J633">
        <f t="shared" si="57"/>
        <v>2023</v>
      </c>
      <c r="K633" s="17">
        <f t="shared" si="58"/>
        <v>45108</v>
      </c>
      <c r="L633">
        <f t="shared" si="59"/>
        <v>0</v>
      </c>
    </row>
    <row r="634" spans="1:12" x14ac:dyDescent="0.3">
      <c r="A634" s="38">
        <v>45121</v>
      </c>
      <c r="B634" s="39">
        <v>-0.54491920720339238</v>
      </c>
      <c r="C634" s="39">
        <v>2.5989805531303176</v>
      </c>
      <c r="D634" s="39">
        <v>-4.4730522295969308</v>
      </c>
      <c r="E634" s="39">
        <v>-0.57342013135085779</v>
      </c>
      <c r="G634">
        <f t="shared" si="55"/>
        <v>14</v>
      </c>
      <c r="H634">
        <v>1</v>
      </c>
      <c r="I634">
        <f t="shared" si="56"/>
        <v>7</v>
      </c>
      <c r="J634">
        <f t="shared" si="57"/>
        <v>2023</v>
      </c>
      <c r="K634" s="17">
        <f t="shared" si="58"/>
        <v>45108</v>
      </c>
      <c r="L634">
        <f t="shared" si="59"/>
        <v>0</v>
      </c>
    </row>
    <row r="635" spans="1:12" x14ac:dyDescent="0.3">
      <c r="A635" s="38">
        <v>45120</v>
      </c>
      <c r="B635" s="39">
        <v>2.9644170980418494E-3</v>
      </c>
      <c r="C635" s="39">
        <v>3.0906360602545675</v>
      </c>
      <c r="D635" s="39">
        <v>-4.0553416898540178</v>
      </c>
      <c r="E635" s="39">
        <v>0.13227828319328694</v>
      </c>
      <c r="G635">
        <f t="shared" si="55"/>
        <v>13</v>
      </c>
      <c r="H635">
        <v>1</v>
      </c>
      <c r="I635">
        <f t="shared" si="56"/>
        <v>7</v>
      </c>
      <c r="J635">
        <f t="shared" si="57"/>
        <v>2023</v>
      </c>
      <c r="K635" s="17">
        <f t="shared" si="58"/>
        <v>45108</v>
      </c>
      <c r="L635">
        <f t="shared" si="59"/>
        <v>0</v>
      </c>
    </row>
    <row r="636" spans="1:12" x14ac:dyDescent="0.3">
      <c r="A636" s="38">
        <v>45119</v>
      </c>
      <c r="B636" s="39">
        <v>0.15699713613862798</v>
      </c>
      <c r="C636" s="39">
        <v>3.2896891804884376</v>
      </c>
      <c r="D636" s="39">
        <v>-3.6907645271833331</v>
      </c>
      <c r="E636" s="39">
        <v>0.29265730601494511</v>
      </c>
      <c r="G636">
        <f t="shared" si="55"/>
        <v>12</v>
      </c>
      <c r="H636">
        <v>1</v>
      </c>
      <c r="I636">
        <f t="shared" si="56"/>
        <v>7</v>
      </c>
      <c r="J636">
        <f t="shared" si="57"/>
        <v>2023</v>
      </c>
      <c r="K636" s="17">
        <f t="shared" si="58"/>
        <v>45108</v>
      </c>
      <c r="L636">
        <f t="shared" si="59"/>
        <v>0</v>
      </c>
    </row>
    <row r="637" spans="1:12" x14ac:dyDescent="0.3">
      <c r="A637" s="38">
        <v>45118</v>
      </c>
      <c r="B637" s="39">
        <v>6.8482818642721099E-2</v>
      </c>
      <c r="C637" s="39">
        <v>3.2393643308276694</v>
      </c>
      <c r="D637" s="39">
        <v>-3.3926197458788039</v>
      </c>
      <c r="E637" s="39">
        <v>8.7493675953993488E-2</v>
      </c>
      <c r="G637">
        <f t="shared" si="55"/>
        <v>11</v>
      </c>
      <c r="H637">
        <v>1</v>
      </c>
      <c r="I637">
        <f t="shared" si="56"/>
        <v>7</v>
      </c>
      <c r="J637">
        <f t="shared" si="57"/>
        <v>2023</v>
      </c>
      <c r="K637" s="17">
        <f t="shared" si="58"/>
        <v>45108</v>
      </c>
      <c r="L637">
        <f t="shared" si="59"/>
        <v>0</v>
      </c>
    </row>
    <row r="638" spans="1:12" x14ac:dyDescent="0.3">
      <c r="A638" s="38">
        <v>45117</v>
      </c>
      <c r="B638" s="39">
        <v>-0.50518955887575601</v>
      </c>
      <c r="C638" s="39">
        <v>2.6193124347883128</v>
      </c>
      <c r="D638" s="39">
        <v>-3.8113021761109849</v>
      </c>
      <c r="E638" s="39">
        <v>-0.40984747947537414</v>
      </c>
      <c r="G638">
        <f t="shared" si="55"/>
        <v>10</v>
      </c>
      <c r="H638">
        <v>1</v>
      </c>
      <c r="I638">
        <f t="shared" si="56"/>
        <v>7</v>
      </c>
      <c r="J638">
        <f t="shared" si="57"/>
        <v>2023</v>
      </c>
      <c r="K638" s="17">
        <f t="shared" si="58"/>
        <v>45108</v>
      </c>
      <c r="L638">
        <f t="shared" si="59"/>
        <v>0</v>
      </c>
    </row>
    <row r="639" spans="1:12" x14ac:dyDescent="0.3">
      <c r="A639" s="38">
        <v>45114</v>
      </c>
      <c r="B639" s="39">
        <v>-1.0247254855599834</v>
      </c>
      <c r="C639" s="39">
        <v>2.1603806864506367</v>
      </c>
      <c r="D639" s="39">
        <v>-4.4272390669796948</v>
      </c>
      <c r="E639" s="39">
        <v>-0.88524602263869667</v>
      </c>
      <c r="G639">
        <f t="shared" si="55"/>
        <v>7</v>
      </c>
      <c r="H639">
        <v>1</v>
      </c>
      <c r="I639">
        <f t="shared" si="56"/>
        <v>7</v>
      </c>
      <c r="J639">
        <f t="shared" si="57"/>
        <v>2023</v>
      </c>
      <c r="K639" s="17">
        <f t="shared" si="58"/>
        <v>45108</v>
      </c>
      <c r="L639">
        <f t="shared" si="59"/>
        <v>0</v>
      </c>
    </row>
    <row r="640" spans="1:12" x14ac:dyDescent="0.3">
      <c r="A640" s="38">
        <v>45113</v>
      </c>
      <c r="B640" s="39">
        <v>-1.6459864782536755</v>
      </c>
      <c r="C640" s="39">
        <v>1.5497344928947996</v>
      </c>
      <c r="D640" s="39">
        <v>-4.6740754073347119</v>
      </c>
      <c r="E640" s="39">
        <v>-1.4503161161626679</v>
      </c>
      <c r="G640">
        <f t="shared" si="55"/>
        <v>6</v>
      </c>
      <c r="H640">
        <v>1</v>
      </c>
      <c r="I640">
        <f t="shared" si="56"/>
        <v>7</v>
      </c>
      <c r="J640">
        <f t="shared" si="57"/>
        <v>2023</v>
      </c>
      <c r="K640" s="17">
        <f t="shared" si="58"/>
        <v>45108</v>
      </c>
      <c r="L640">
        <f t="shared" si="59"/>
        <v>0</v>
      </c>
    </row>
    <row r="641" spans="1:12" x14ac:dyDescent="0.3">
      <c r="A641" s="38">
        <v>45112</v>
      </c>
      <c r="B641" s="39">
        <v>-1.2940053211058995</v>
      </c>
      <c r="C641" s="39">
        <v>2.0165132345125869</v>
      </c>
      <c r="D641" s="39">
        <v>-4.0290320014019869</v>
      </c>
      <c r="E641" s="39">
        <v>-1.314639551030254</v>
      </c>
      <c r="G641">
        <f t="shared" si="55"/>
        <v>5</v>
      </c>
      <c r="H641">
        <v>1</v>
      </c>
      <c r="I641">
        <f t="shared" si="56"/>
        <v>7</v>
      </c>
      <c r="J641">
        <f t="shared" si="57"/>
        <v>2023</v>
      </c>
      <c r="K641" s="17">
        <f t="shared" si="58"/>
        <v>45108</v>
      </c>
      <c r="L641">
        <f t="shared" si="59"/>
        <v>0</v>
      </c>
    </row>
    <row r="642" spans="1:12" x14ac:dyDescent="0.3">
      <c r="A642" s="38">
        <v>45111</v>
      </c>
      <c r="B642" s="39">
        <v>-1.6190291214342949</v>
      </c>
      <c r="C642" s="39">
        <v>1.7113498816637502</v>
      </c>
      <c r="D642" s="39">
        <v>-4.5631181353196695</v>
      </c>
      <c r="E642" s="39">
        <v>-1.5853097047102551</v>
      </c>
      <c r="G642">
        <f t="shared" si="55"/>
        <v>4</v>
      </c>
      <c r="H642">
        <v>1</v>
      </c>
      <c r="I642">
        <f t="shared" si="56"/>
        <v>7</v>
      </c>
      <c r="J642">
        <f t="shared" si="57"/>
        <v>2023</v>
      </c>
      <c r="K642" s="17">
        <f t="shared" si="58"/>
        <v>45108</v>
      </c>
      <c r="L642">
        <f t="shared" si="59"/>
        <v>1</v>
      </c>
    </row>
    <row r="643" spans="1:12" x14ac:dyDescent="0.3">
      <c r="A643" s="38">
        <v>45110</v>
      </c>
      <c r="B643" s="39">
        <v>-1.2942103619539722</v>
      </c>
      <c r="C643" s="39">
        <v>2.0274785552846453</v>
      </c>
      <c r="D643" s="39">
        <v>-4.8374323944688058</v>
      </c>
      <c r="E643" s="39">
        <v>-1.1660977738474827</v>
      </c>
      <c r="G643">
        <f t="shared" si="55"/>
        <v>3</v>
      </c>
      <c r="H643">
        <v>1</v>
      </c>
      <c r="I643">
        <f t="shared" si="56"/>
        <v>7</v>
      </c>
      <c r="J643">
        <f t="shared" si="57"/>
        <v>2023</v>
      </c>
      <c r="K643" s="17">
        <f t="shared" si="58"/>
        <v>45108</v>
      </c>
      <c r="L643">
        <f t="shared" si="59"/>
        <v>1</v>
      </c>
    </row>
    <row r="644" spans="1:12" x14ac:dyDescent="0.3">
      <c r="A644" s="38">
        <v>45107</v>
      </c>
      <c r="B644" s="39">
        <v>-1.802867863467597</v>
      </c>
      <c r="C644" s="39">
        <v>0.95450604831567887</v>
      </c>
      <c r="D644" s="39">
        <v>-5.9843898702584255</v>
      </c>
      <c r="E644" s="39">
        <v>-1.5027352742668114</v>
      </c>
      <c r="G644">
        <f t="shared" si="55"/>
        <v>30</v>
      </c>
      <c r="H644">
        <v>1</v>
      </c>
      <c r="I644">
        <f t="shared" si="56"/>
        <v>6</v>
      </c>
      <c r="J644">
        <f t="shared" si="57"/>
        <v>2023</v>
      </c>
      <c r="K644" s="17">
        <f t="shared" si="58"/>
        <v>45078</v>
      </c>
      <c r="L644">
        <f t="shared" si="59"/>
        <v>0</v>
      </c>
    </row>
    <row r="645" spans="1:12" x14ac:dyDescent="0.3">
      <c r="A645" s="38">
        <v>45105</v>
      </c>
      <c r="B645" s="39">
        <v>-1.0791273590167663</v>
      </c>
      <c r="C645" s="39">
        <v>1.6619295240280394</v>
      </c>
      <c r="D645" s="39">
        <v>-5.3852128620042947</v>
      </c>
      <c r="E645" s="39">
        <v>-0.55876787312634235</v>
      </c>
      <c r="G645">
        <f t="shared" ref="G645:G708" si="60">+DAY(A645)</f>
        <v>28</v>
      </c>
      <c r="H645">
        <v>1</v>
      </c>
      <c r="I645">
        <f t="shared" ref="I645:I708" si="61">+MONTH(A645)</f>
        <v>6</v>
      </c>
      <c r="J645">
        <f t="shared" ref="J645:J708" si="62">+YEAR(A645)</f>
        <v>2023</v>
      </c>
      <c r="K645" s="17">
        <f t="shared" ref="K645:K708" si="63">+DATE(J645,I645,H645)</f>
        <v>45078</v>
      </c>
      <c r="L645">
        <f t="shared" ref="L645:L708" si="64">IF(AND(G645&gt;=1, G645&lt;=4), 1, 0)</f>
        <v>0</v>
      </c>
    </row>
    <row r="646" spans="1:12" x14ac:dyDescent="0.3">
      <c r="A646" s="38">
        <v>45104</v>
      </c>
      <c r="B646" s="39">
        <v>-1.2042673955917991</v>
      </c>
      <c r="C646" s="39">
        <v>1.5922944661075746</v>
      </c>
      <c r="D646" s="39">
        <v>-5.5075872055406592</v>
      </c>
      <c r="E646" s="39">
        <v>-0.72465698889187991</v>
      </c>
      <c r="G646">
        <f t="shared" si="60"/>
        <v>27</v>
      </c>
      <c r="H646">
        <v>1</v>
      </c>
      <c r="I646">
        <f t="shared" si="61"/>
        <v>6</v>
      </c>
      <c r="J646">
        <f t="shared" si="62"/>
        <v>2023</v>
      </c>
      <c r="K646" s="17">
        <f t="shared" si="63"/>
        <v>45078</v>
      </c>
      <c r="L646">
        <f t="shared" si="64"/>
        <v>0</v>
      </c>
    </row>
    <row r="647" spans="1:12" x14ac:dyDescent="0.3">
      <c r="A647" s="38">
        <v>45103</v>
      </c>
      <c r="B647" s="39">
        <v>-1.4389579401994439</v>
      </c>
      <c r="C647" s="39">
        <v>1.4709869391570578</v>
      </c>
      <c r="D647" s="39">
        <v>-5.4271517465643058</v>
      </c>
      <c r="E647" s="39">
        <v>-1.1037181786227563</v>
      </c>
      <c r="G647">
        <f t="shared" si="60"/>
        <v>26</v>
      </c>
      <c r="H647">
        <v>1</v>
      </c>
      <c r="I647">
        <f t="shared" si="61"/>
        <v>6</v>
      </c>
      <c r="J647">
        <f t="shared" si="62"/>
        <v>2023</v>
      </c>
      <c r="K647" s="17">
        <f t="shared" si="63"/>
        <v>45078</v>
      </c>
      <c r="L647">
        <f t="shared" si="64"/>
        <v>0</v>
      </c>
    </row>
    <row r="648" spans="1:12" x14ac:dyDescent="0.3">
      <c r="A648" s="38">
        <v>45100</v>
      </c>
      <c r="B648" s="39">
        <v>-1.4846229756096676</v>
      </c>
      <c r="C648" s="39">
        <v>1.5238896681398586</v>
      </c>
      <c r="D648" s="39">
        <v>-5.4929617844536693</v>
      </c>
      <c r="E648" s="39">
        <v>-1.1808918534588599</v>
      </c>
      <c r="G648">
        <f t="shared" si="60"/>
        <v>23</v>
      </c>
      <c r="H648">
        <v>1</v>
      </c>
      <c r="I648">
        <f t="shared" si="61"/>
        <v>6</v>
      </c>
      <c r="J648">
        <f t="shared" si="62"/>
        <v>2023</v>
      </c>
      <c r="K648" s="17">
        <f t="shared" si="63"/>
        <v>45078</v>
      </c>
      <c r="L648">
        <f t="shared" si="64"/>
        <v>0</v>
      </c>
    </row>
    <row r="649" spans="1:12" x14ac:dyDescent="0.3">
      <c r="A649" s="38">
        <v>45099</v>
      </c>
      <c r="B649" s="39">
        <v>-1.4691337651753287</v>
      </c>
      <c r="C649" s="39">
        <v>1.3890760244893841</v>
      </c>
      <c r="D649" s="39">
        <v>-5.7104649610165268</v>
      </c>
      <c r="E649" s="39">
        <v>-1.1262315771801212</v>
      </c>
      <c r="G649">
        <f t="shared" si="60"/>
        <v>22</v>
      </c>
      <c r="H649">
        <v>1</v>
      </c>
      <c r="I649">
        <f t="shared" si="61"/>
        <v>6</v>
      </c>
      <c r="J649">
        <f t="shared" si="62"/>
        <v>2023</v>
      </c>
      <c r="K649" s="17">
        <f t="shared" si="63"/>
        <v>45078</v>
      </c>
      <c r="L649">
        <f t="shared" si="64"/>
        <v>0</v>
      </c>
    </row>
    <row r="650" spans="1:12" x14ac:dyDescent="0.3">
      <c r="A650" s="38">
        <v>45098</v>
      </c>
      <c r="B650" s="39">
        <v>-2.6752248323552408</v>
      </c>
      <c r="C650" s="39">
        <v>0.18634958850415728</v>
      </c>
      <c r="D650" s="39">
        <v>-7.0223287056944912</v>
      </c>
      <c r="E650" s="39">
        <v>-2.2355486758441003</v>
      </c>
      <c r="G650">
        <f t="shared" si="60"/>
        <v>21</v>
      </c>
      <c r="H650">
        <v>1</v>
      </c>
      <c r="I650">
        <f t="shared" si="61"/>
        <v>6</v>
      </c>
      <c r="J650">
        <f t="shared" si="62"/>
        <v>2023</v>
      </c>
      <c r="K650" s="17">
        <f t="shared" si="63"/>
        <v>45078</v>
      </c>
      <c r="L650">
        <f t="shared" si="64"/>
        <v>0</v>
      </c>
    </row>
    <row r="651" spans="1:12" x14ac:dyDescent="0.3">
      <c r="A651" s="38">
        <v>45097</v>
      </c>
      <c r="B651" s="39">
        <v>-2.3635836673332591</v>
      </c>
      <c r="C651" s="39">
        <v>0.43519338588654932</v>
      </c>
      <c r="D651" s="39">
        <v>-6.8347447098058893</v>
      </c>
      <c r="E651" s="39">
        <v>-1.8720945329791903</v>
      </c>
      <c r="G651">
        <f t="shared" si="60"/>
        <v>20</v>
      </c>
      <c r="H651">
        <v>1</v>
      </c>
      <c r="I651">
        <f t="shared" si="61"/>
        <v>6</v>
      </c>
      <c r="J651">
        <f t="shared" si="62"/>
        <v>2023</v>
      </c>
      <c r="K651" s="17">
        <f t="shared" si="63"/>
        <v>45078</v>
      </c>
      <c r="L651">
        <f t="shared" si="64"/>
        <v>0</v>
      </c>
    </row>
    <row r="652" spans="1:12" x14ac:dyDescent="0.3">
      <c r="A652" s="38">
        <v>45096</v>
      </c>
      <c r="B652" s="39">
        <v>-0.67108233876014367</v>
      </c>
      <c r="C652" s="39">
        <v>2.1105831516508147</v>
      </c>
      <c r="D652" s="39">
        <v>-5.4964239637070875</v>
      </c>
      <c r="E652" s="39">
        <v>-8.7989255294900204E-2</v>
      </c>
      <c r="G652">
        <f t="shared" si="60"/>
        <v>19</v>
      </c>
      <c r="H652">
        <v>1</v>
      </c>
      <c r="I652">
        <f t="shared" si="61"/>
        <v>6</v>
      </c>
      <c r="J652">
        <f t="shared" si="62"/>
        <v>2023</v>
      </c>
      <c r="K652" s="17">
        <f t="shared" si="63"/>
        <v>45078</v>
      </c>
      <c r="L652">
        <f t="shared" si="64"/>
        <v>0</v>
      </c>
    </row>
    <row r="653" spans="1:12" x14ac:dyDescent="0.3">
      <c r="A653" s="38">
        <v>45093</v>
      </c>
      <c r="B653" s="39">
        <v>-0.2231527931263031</v>
      </c>
      <c r="C653" s="39">
        <v>2.4987200183681324</v>
      </c>
      <c r="D653" s="39">
        <v>-4.9840975890964074</v>
      </c>
      <c r="E653" s="39">
        <v>0.30184439470073698</v>
      </c>
      <c r="G653">
        <f t="shared" si="60"/>
        <v>16</v>
      </c>
      <c r="H653">
        <v>1</v>
      </c>
      <c r="I653">
        <f t="shared" si="61"/>
        <v>6</v>
      </c>
      <c r="J653">
        <f t="shared" si="62"/>
        <v>2023</v>
      </c>
      <c r="K653" s="17">
        <f t="shared" si="63"/>
        <v>45078</v>
      </c>
      <c r="L653">
        <f t="shared" si="64"/>
        <v>0</v>
      </c>
    </row>
    <row r="654" spans="1:12" x14ac:dyDescent="0.3">
      <c r="A654" s="38">
        <v>45092</v>
      </c>
      <c r="B654" s="39">
        <v>-1.0029611591874783</v>
      </c>
      <c r="C654" s="39">
        <v>1.7230633120935153</v>
      </c>
      <c r="D654" s="39">
        <v>-5.3706620696846699</v>
      </c>
      <c r="E654" s="39">
        <v>-0.53580579865439404</v>
      </c>
      <c r="G654">
        <f t="shared" si="60"/>
        <v>15</v>
      </c>
      <c r="H654">
        <v>1</v>
      </c>
      <c r="I654">
        <f t="shared" si="61"/>
        <v>6</v>
      </c>
      <c r="J654">
        <f t="shared" si="62"/>
        <v>2023</v>
      </c>
      <c r="K654" s="17">
        <f t="shared" si="63"/>
        <v>45078</v>
      </c>
      <c r="L654">
        <f t="shared" si="64"/>
        <v>0</v>
      </c>
    </row>
    <row r="655" spans="1:12" x14ac:dyDescent="0.3">
      <c r="A655" s="38">
        <v>45091</v>
      </c>
      <c r="B655" s="39">
        <v>-0.9202607705519199</v>
      </c>
      <c r="C655" s="39">
        <v>1.704759296986893</v>
      </c>
      <c r="D655" s="39">
        <v>-5.2762372620257167</v>
      </c>
      <c r="E655" s="39">
        <v>-0.52315802165800562</v>
      </c>
      <c r="G655">
        <f t="shared" si="60"/>
        <v>14</v>
      </c>
      <c r="H655">
        <v>1</v>
      </c>
      <c r="I655">
        <f t="shared" si="61"/>
        <v>6</v>
      </c>
      <c r="J655">
        <f t="shared" si="62"/>
        <v>2023</v>
      </c>
      <c r="K655" s="17">
        <f t="shared" si="63"/>
        <v>45078</v>
      </c>
      <c r="L655">
        <f t="shared" si="64"/>
        <v>0</v>
      </c>
    </row>
    <row r="656" spans="1:12" x14ac:dyDescent="0.3">
      <c r="A656" s="38">
        <v>45090</v>
      </c>
      <c r="B656" s="39">
        <v>-0.46510226426312329</v>
      </c>
      <c r="C656" s="39">
        <v>2.1773381195400674</v>
      </c>
      <c r="D656" s="39">
        <v>-4.7890819739967725</v>
      </c>
      <c r="E656" s="39">
        <v>2.4743425088388449E-2</v>
      </c>
      <c r="G656">
        <f t="shared" si="60"/>
        <v>13</v>
      </c>
      <c r="H656">
        <v>1</v>
      </c>
      <c r="I656">
        <f t="shared" si="61"/>
        <v>6</v>
      </c>
      <c r="J656">
        <f t="shared" si="62"/>
        <v>2023</v>
      </c>
      <c r="K656" s="17">
        <f t="shared" si="63"/>
        <v>45078</v>
      </c>
      <c r="L656">
        <f t="shared" si="64"/>
        <v>0</v>
      </c>
    </row>
    <row r="657" spans="1:12" x14ac:dyDescent="0.3">
      <c r="A657" s="38">
        <v>45089</v>
      </c>
      <c r="B657" s="39">
        <v>0.13836817522667388</v>
      </c>
      <c r="C657" s="39">
        <v>2.7335485405501885</v>
      </c>
      <c r="D657" s="39">
        <v>-4.4409827424884298</v>
      </c>
      <c r="E657" s="39">
        <v>0.66278574060768847</v>
      </c>
      <c r="G657">
        <f t="shared" si="60"/>
        <v>12</v>
      </c>
      <c r="H657">
        <v>1</v>
      </c>
      <c r="I657">
        <f t="shared" si="61"/>
        <v>6</v>
      </c>
      <c r="J657">
        <f t="shared" si="62"/>
        <v>2023</v>
      </c>
      <c r="K657" s="17">
        <f t="shared" si="63"/>
        <v>45078</v>
      </c>
      <c r="L657">
        <f t="shared" si="64"/>
        <v>0</v>
      </c>
    </row>
    <row r="658" spans="1:12" x14ac:dyDescent="0.3">
      <c r="A658" s="38">
        <v>45086</v>
      </c>
      <c r="B658" s="39">
        <v>-0.29257805329291386</v>
      </c>
      <c r="C658" s="39">
        <v>2.2961717331316862</v>
      </c>
      <c r="D658" s="39">
        <v>-4.8163112529059759</v>
      </c>
      <c r="E658" s="39">
        <v>0.21546812626328915</v>
      </c>
      <c r="G658">
        <f t="shared" si="60"/>
        <v>9</v>
      </c>
      <c r="H658">
        <v>1</v>
      </c>
      <c r="I658">
        <f t="shared" si="61"/>
        <v>6</v>
      </c>
      <c r="J658">
        <f t="shared" si="62"/>
        <v>2023</v>
      </c>
      <c r="K658" s="17">
        <f t="shared" si="63"/>
        <v>45078</v>
      </c>
      <c r="L658">
        <f t="shared" si="64"/>
        <v>0</v>
      </c>
    </row>
    <row r="659" spans="1:12" x14ac:dyDescent="0.3">
      <c r="A659" s="38">
        <v>45085</v>
      </c>
      <c r="B659" s="39">
        <v>-0.62972451778894367</v>
      </c>
      <c r="C659" s="39">
        <v>1.8821131243557829</v>
      </c>
      <c r="D659" s="39">
        <v>-5.1581977413493689</v>
      </c>
      <c r="E659" s="39">
        <v>-0.11712125459740719</v>
      </c>
      <c r="G659">
        <f t="shared" si="60"/>
        <v>8</v>
      </c>
      <c r="H659">
        <v>1</v>
      </c>
      <c r="I659">
        <f t="shared" si="61"/>
        <v>6</v>
      </c>
      <c r="J659">
        <f t="shared" si="62"/>
        <v>2023</v>
      </c>
      <c r="K659" s="17">
        <f t="shared" si="63"/>
        <v>45078</v>
      </c>
      <c r="L659">
        <f t="shared" si="64"/>
        <v>0</v>
      </c>
    </row>
    <row r="660" spans="1:12" x14ac:dyDescent="0.3">
      <c r="A660" s="38">
        <v>45084</v>
      </c>
      <c r="B660" s="39">
        <v>-0.82182391339790684</v>
      </c>
      <c r="C660" s="39">
        <v>1.6990708029750436</v>
      </c>
      <c r="D660" s="39">
        <v>-4.8999230679591648</v>
      </c>
      <c r="E660" s="39">
        <v>-0.33007126386605989</v>
      </c>
      <c r="G660">
        <f t="shared" si="60"/>
        <v>7</v>
      </c>
      <c r="H660">
        <v>1</v>
      </c>
      <c r="I660">
        <f t="shared" si="61"/>
        <v>6</v>
      </c>
      <c r="J660">
        <f t="shared" si="62"/>
        <v>2023</v>
      </c>
      <c r="K660" s="17">
        <f t="shared" si="63"/>
        <v>45078</v>
      </c>
      <c r="L660">
        <f t="shared" si="64"/>
        <v>0</v>
      </c>
    </row>
    <row r="661" spans="1:12" x14ac:dyDescent="0.3">
      <c r="A661" s="38">
        <v>45083</v>
      </c>
      <c r="B661" s="39">
        <v>-0.90631918997426908</v>
      </c>
      <c r="C661" s="39">
        <v>1.5695720636550305</v>
      </c>
      <c r="D661" s="39">
        <v>-4.9506051477861774</v>
      </c>
      <c r="E661" s="39">
        <v>-0.39566979215106812</v>
      </c>
      <c r="G661">
        <f t="shared" si="60"/>
        <v>6</v>
      </c>
      <c r="H661">
        <v>1</v>
      </c>
      <c r="I661">
        <f t="shared" si="61"/>
        <v>6</v>
      </c>
      <c r="J661">
        <f t="shared" si="62"/>
        <v>2023</v>
      </c>
      <c r="K661" s="17">
        <f t="shared" si="63"/>
        <v>45078</v>
      </c>
      <c r="L661">
        <f t="shared" si="64"/>
        <v>0</v>
      </c>
    </row>
    <row r="662" spans="1:12" x14ac:dyDescent="0.3">
      <c r="A662" s="38">
        <v>45082</v>
      </c>
      <c r="B662" s="39">
        <v>-0.69392059833236885</v>
      </c>
      <c r="C662" s="39">
        <v>1.7625443450799878</v>
      </c>
      <c r="D662" s="39">
        <v>-5.0489749082172182</v>
      </c>
      <c r="E662" s="39">
        <v>-0.25244118152691897</v>
      </c>
      <c r="G662">
        <f t="shared" si="60"/>
        <v>5</v>
      </c>
      <c r="H662">
        <v>1</v>
      </c>
      <c r="I662">
        <f t="shared" si="61"/>
        <v>6</v>
      </c>
      <c r="J662">
        <f t="shared" si="62"/>
        <v>2023</v>
      </c>
      <c r="K662" s="17">
        <f t="shared" si="63"/>
        <v>45078</v>
      </c>
      <c r="L662">
        <f t="shared" si="64"/>
        <v>0</v>
      </c>
    </row>
    <row r="663" spans="1:12" x14ac:dyDescent="0.3">
      <c r="A663" s="38">
        <v>45078</v>
      </c>
      <c r="B663" s="39">
        <v>-0.42598470128905319</v>
      </c>
      <c r="C663" s="39">
        <v>2.0411205890462298</v>
      </c>
      <c r="D663" s="39">
        <v>-4.500838805634217</v>
      </c>
      <c r="E663" s="39">
        <v>0.14221305626925584</v>
      </c>
      <c r="G663">
        <f t="shared" si="60"/>
        <v>1</v>
      </c>
      <c r="H663">
        <v>1</v>
      </c>
      <c r="I663">
        <f t="shared" si="61"/>
        <v>6</v>
      </c>
      <c r="J663">
        <f t="shared" si="62"/>
        <v>2023</v>
      </c>
      <c r="K663" s="17">
        <f t="shared" si="63"/>
        <v>45078</v>
      </c>
      <c r="L663">
        <f t="shared" si="64"/>
        <v>1</v>
      </c>
    </row>
    <row r="664" spans="1:12" x14ac:dyDescent="0.3">
      <c r="A664" s="38">
        <v>45077</v>
      </c>
      <c r="B664" s="39">
        <v>-1.128319642821495</v>
      </c>
      <c r="C664" s="39">
        <v>1.5465443437515773</v>
      </c>
      <c r="D664" s="39">
        <v>-5.6541884382345842</v>
      </c>
      <c r="E664" s="39">
        <v>-1.1868982583656447</v>
      </c>
      <c r="G664">
        <f t="shared" si="60"/>
        <v>31</v>
      </c>
      <c r="H664">
        <v>1</v>
      </c>
      <c r="I664">
        <f t="shared" si="61"/>
        <v>5</v>
      </c>
      <c r="J664">
        <f t="shared" si="62"/>
        <v>2023</v>
      </c>
      <c r="K664" s="17">
        <f t="shared" si="63"/>
        <v>45047</v>
      </c>
      <c r="L664">
        <f t="shared" si="64"/>
        <v>0</v>
      </c>
    </row>
    <row r="665" spans="1:12" x14ac:dyDescent="0.3">
      <c r="A665" s="38">
        <v>45076</v>
      </c>
      <c r="B665" s="39">
        <v>-1.4903041189924835</v>
      </c>
      <c r="C665" s="39">
        <v>1.1811485630436067</v>
      </c>
      <c r="D665" s="39">
        <v>-5.9401192672661978</v>
      </c>
      <c r="E665" s="39">
        <v>-1.7135302237762318</v>
      </c>
      <c r="G665">
        <f t="shared" si="60"/>
        <v>30</v>
      </c>
      <c r="H665">
        <v>1</v>
      </c>
      <c r="I665">
        <f t="shared" si="61"/>
        <v>5</v>
      </c>
      <c r="J665">
        <f t="shared" si="62"/>
        <v>2023</v>
      </c>
      <c r="K665" s="17">
        <f t="shared" si="63"/>
        <v>45047</v>
      </c>
      <c r="L665">
        <f t="shared" si="64"/>
        <v>0</v>
      </c>
    </row>
    <row r="666" spans="1:12" x14ac:dyDescent="0.3">
      <c r="A666" s="38">
        <v>45072</v>
      </c>
      <c r="B666" s="39">
        <v>-1.7091688509374308</v>
      </c>
      <c r="C666" s="39">
        <v>0.96827644689943781</v>
      </c>
      <c r="D666" s="39">
        <v>-6.1550784745106739</v>
      </c>
      <c r="E666" s="39">
        <v>-1.8148066140447412</v>
      </c>
      <c r="G666">
        <f t="shared" si="60"/>
        <v>26</v>
      </c>
      <c r="H666">
        <v>1</v>
      </c>
      <c r="I666">
        <f t="shared" si="61"/>
        <v>5</v>
      </c>
      <c r="J666">
        <f t="shared" si="62"/>
        <v>2023</v>
      </c>
      <c r="K666" s="17">
        <f t="shared" si="63"/>
        <v>45047</v>
      </c>
      <c r="L666">
        <f t="shared" si="64"/>
        <v>0</v>
      </c>
    </row>
    <row r="667" spans="1:12" x14ac:dyDescent="0.3">
      <c r="A667" s="38">
        <v>45071</v>
      </c>
      <c r="B667" s="39">
        <v>-1.5670431621099539</v>
      </c>
      <c r="C667" s="39">
        <v>1.1683825949665021</v>
      </c>
      <c r="D667" s="39">
        <v>-6.1151801826001702</v>
      </c>
      <c r="E667" s="39">
        <v>-1.7884774446702068</v>
      </c>
      <c r="G667">
        <f t="shared" si="60"/>
        <v>25</v>
      </c>
      <c r="H667">
        <v>1</v>
      </c>
      <c r="I667">
        <f t="shared" si="61"/>
        <v>5</v>
      </c>
      <c r="J667">
        <f t="shared" si="62"/>
        <v>2023</v>
      </c>
      <c r="K667" s="17">
        <f t="shared" si="63"/>
        <v>45047</v>
      </c>
      <c r="L667">
        <f t="shared" si="64"/>
        <v>0</v>
      </c>
    </row>
    <row r="668" spans="1:12" x14ac:dyDescent="0.3">
      <c r="A668" s="38">
        <v>45070</v>
      </c>
      <c r="B668" s="39">
        <v>-1.855959364232163</v>
      </c>
      <c r="C668" s="39">
        <v>0.88806840104069806</v>
      </c>
      <c r="D668" s="39">
        <v>-6.6067566736711143</v>
      </c>
      <c r="E668" s="39">
        <v>-1.978175587974448</v>
      </c>
      <c r="G668">
        <f t="shared" si="60"/>
        <v>24</v>
      </c>
      <c r="H668">
        <v>1</v>
      </c>
      <c r="I668">
        <f t="shared" si="61"/>
        <v>5</v>
      </c>
      <c r="J668">
        <f t="shared" si="62"/>
        <v>2023</v>
      </c>
      <c r="K668" s="17">
        <f t="shared" si="63"/>
        <v>45047</v>
      </c>
      <c r="L668">
        <f t="shared" si="64"/>
        <v>0</v>
      </c>
    </row>
    <row r="669" spans="1:12" x14ac:dyDescent="0.3">
      <c r="A669" s="38">
        <v>45069</v>
      </c>
      <c r="B669" s="39">
        <v>-1.3656955748167405</v>
      </c>
      <c r="C669" s="39">
        <v>1.4007571257260167</v>
      </c>
      <c r="D669" s="39">
        <v>-6.0560504848922534</v>
      </c>
      <c r="E669" s="39">
        <v>-1.4975187278285347</v>
      </c>
      <c r="G669">
        <f t="shared" si="60"/>
        <v>23</v>
      </c>
      <c r="H669">
        <v>1</v>
      </c>
      <c r="I669">
        <f t="shared" si="61"/>
        <v>5</v>
      </c>
      <c r="J669">
        <f t="shared" si="62"/>
        <v>2023</v>
      </c>
      <c r="K669" s="17">
        <f t="shared" si="63"/>
        <v>45047</v>
      </c>
      <c r="L669">
        <f t="shared" si="64"/>
        <v>0</v>
      </c>
    </row>
    <row r="670" spans="1:12" x14ac:dyDescent="0.3">
      <c r="A670" s="38">
        <v>45068</v>
      </c>
      <c r="B670" s="39">
        <v>-0.95472965270722909</v>
      </c>
      <c r="C670" s="39">
        <v>1.8778940424165143</v>
      </c>
      <c r="D670" s="39">
        <v>-5.3541152323083736</v>
      </c>
      <c r="E670" s="39">
        <v>-1.1946722523463222</v>
      </c>
      <c r="G670">
        <f t="shared" si="60"/>
        <v>22</v>
      </c>
      <c r="H670">
        <v>1</v>
      </c>
      <c r="I670">
        <f t="shared" si="61"/>
        <v>5</v>
      </c>
      <c r="J670">
        <f t="shared" si="62"/>
        <v>2023</v>
      </c>
      <c r="K670" s="17">
        <f t="shared" si="63"/>
        <v>45047</v>
      </c>
      <c r="L670">
        <f t="shared" si="64"/>
        <v>0</v>
      </c>
    </row>
    <row r="671" spans="1:12" x14ac:dyDescent="0.3">
      <c r="A671" s="38">
        <v>45065</v>
      </c>
      <c r="B671" s="39">
        <v>-0.21742855935364958</v>
      </c>
      <c r="C671" s="39">
        <v>2.6589662970166188</v>
      </c>
      <c r="D671" s="39">
        <v>-4.6912082783173616</v>
      </c>
      <c r="E671" s="39">
        <v>-0.49290485023328756</v>
      </c>
      <c r="G671">
        <f t="shared" si="60"/>
        <v>19</v>
      </c>
      <c r="H671">
        <v>1</v>
      </c>
      <c r="I671">
        <f t="shared" si="61"/>
        <v>5</v>
      </c>
      <c r="J671">
        <f t="shared" si="62"/>
        <v>2023</v>
      </c>
      <c r="K671" s="17">
        <f t="shared" si="63"/>
        <v>45047</v>
      </c>
      <c r="L671">
        <f t="shared" si="64"/>
        <v>0</v>
      </c>
    </row>
    <row r="672" spans="1:12" x14ac:dyDescent="0.3">
      <c r="A672" s="38">
        <v>45064</v>
      </c>
      <c r="B672" s="39">
        <v>-0.5471291940726104</v>
      </c>
      <c r="C672" s="39">
        <v>2.2976089496915222</v>
      </c>
      <c r="D672" s="39">
        <v>-4.7303976368482381</v>
      </c>
      <c r="E672" s="39">
        <v>-0.81716739177981879</v>
      </c>
      <c r="G672">
        <f t="shared" si="60"/>
        <v>18</v>
      </c>
      <c r="H672">
        <v>1</v>
      </c>
      <c r="I672">
        <f t="shared" si="61"/>
        <v>5</v>
      </c>
      <c r="J672">
        <f t="shared" si="62"/>
        <v>2023</v>
      </c>
      <c r="K672" s="17">
        <f t="shared" si="63"/>
        <v>45047</v>
      </c>
      <c r="L672">
        <f t="shared" si="64"/>
        <v>0</v>
      </c>
    </row>
    <row r="673" spans="1:12" x14ac:dyDescent="0.3">
      <c r="A673" s="38">
        <v>45063</v>
      </c>
      <c r="B673" s="39">
        <v>-0.70359633147126033</v>
      </c>
      <c r="C673" s="39">
        <v>2.0564894305214239</v>
      </c>
      <c r="D673" s="39">
        <v>-4.6303937807120548</v>
      </c>
      <c r="E673" s="39">
        <v>-0.70081792284638311</v>
      </c>
      <c r="G673">
        <f t="shared" si="60"/>
        <v>17</v>
      </c>
      <c r="H673">
        <v>1</v>
      </c>
      <c r="I673">
        <f t="shared" si="61"/>
        <v>5</v>
      </c>
      <c r="J673">
        <f t="shared" si="62"/>
        <v>2023</v>
      </c>
      <c r="K673" s="17">
        <f t="shared" si="63"/>
        <v>45047</v>
      </c>
      <c r="L673">
        <f t="shared" si="64"/>
        <v>0</v>
      </c>
    </row>
    <row r="674" spans="1:12" x14ac:dyDescent="0.3">
      <c r="A674" s="38">
        <v>45062</v>
      </c>
      <c r="B674" s="39">
        <v>-1.4747575365072549</v>
      </c>
      <c r="C674" s="39">
        <v>1.3262365075637348</v>
      </c>
      <c r="D674" s="39">
        <v>-5.0542701671229935</v>
      </c>
      <c r="E674" s="39">
        <v>-1.5609809805184938</v>
      </c>
      <c r="G674">
        <f t="shared" si="60"/>
        <v>16</v>
      </c>
      <c r="H674">
        <v>1</v>
      </c>
      <c r="I674">
        <f t="shared" si="61"/>
        <v>5</v>
      </c>
      <c r="J674">
        <f t="shared" si="62"/>
        <v>2023</v>
      </c>
      <c r="K674" s="17">
        <f t="shared" si="63"/>
        <v>45047</v>
      </c>
      <c r="L674">
        <f t="shared" si="64"/>
        <v>0</v>
      </c>
    </row>
    <row r="675" spans="1:12" x14ac:dyDescent="0.3">
      <c r="A675" s="38">
        <v>45061</v>
      </c>
      <c r="B675" s="39">
        <v>-1.859665186156306</v>
      </c>
      <c r="C675" s="39">
        <v>1.0132489370308235</v>
      </c>
      <c r="D675" s="39">
        <v>-5.5572425101329515</v>
      </c>
      <c r="E675" s="39">
        <v>-1.8811681893141667</v>
      </c>
      <c r="G675">
        <f t="shared" si="60"/>
        <v>15</v>
      </c>
      <c r="H675">
        <v>1</v>
      </c>
      <c r="I675">
        <f t="shared" si="61"/>
        <v>5</v>
      </c>
      <c r="J675">
        <f t="shared" si="62"/>
        <v>2023</v>
      </c>
      <c r="K675" s="17">
        <f t="shared" si="63"/>
        <v>45047</v>
      </c>
      <c r="L675">
        <f t="shared" si="64"/>
        <v>0</v>
      </c>
    </row>
    <row r="676" spans="1:12" x14ac:dyDescent="0.3">
      <c r="A676" s="38">
        <v>45058</v>
      </c>
      <c r="B676" s="39">
        <v>-1.3329611288088188</v>
      </c>
      <c r="C676" s="39">
        <v>1.4710462154120876</v>
      </c>
      <c r="D676" s="39">
        <v>-5.1189410904807744</v>
      </c>
      <c r="E676" s="39">
        <v>-1.3032738514260842</v>
      </c>
      <c r="G676">
        <f t="shared" si="60"/>
        <v>12</v>
      </c>
      <c r="H676">
        <v>1</v>
      </c>
      <c r="I676">
        <f t="shared" si="61"/>
        <v>5</v>
      </c>
      <c r="J676">
        <f t="shared" si="62"/>
        <v>2023</v>
      </c>
      <c r="K676" s="17">
        <f t="shared" si="63"/>
        <v>45047</v>
      </c>
      <c r="L676">
        <f t="shared" si="64"/>
        <v>0</v>
      </c>
    </row>
    <row r="677" spans="1:12" x14ac:dyDescent="0.3">
      <c r="A677" s="38">
        <v>45057</v>
      </c>
      <c r="B677" s="39">
        <v>-1.5860028426913857</v>
      </c>
      <c r="C677" s="39">
        <v>1.2300260345854923</v>
      </c>
      <c r="D677" s="39">
        <v>-5.6308141484592653</v>
      </c>
      <c r="E677" s="39">
        <v>-1.6198532473378719</v>
      </c>
      <c r="G677">
        <f t="shared" si="60"/>
        <v>11</v>
      </c>
      <c r="H677">
        <v>1</v>
      </c>
      <c r="I677">
        <f t="shared" si="61"/>
        <v>5</v>
      </c>
      <c r="J677">
        <f t="shared" si="62"/>
        <v>2023</v>
      </c>
      <c r="K677" s="17">
        <f t="shared" si="63"/>
        <v>45047</v>
      </c>
      <c r="L677">
        <f t="shared" si="64"/>
        <v>0</v>
      </c>
    </row>
    <row r="678" spans="1:12" x14ac:dyDescent="0.3">
      <c r="A678" s="38">
        <v>45056</v>
      </c>
      <c r="B678" s="39">
        <v>-2.1073828110340997</v>
      </c>
      <c r="C678" s="39">
        <v>0.70149546429206566</v>
      </c>
      <c r="D678" s="39">
        <v>-6.1325882973441566</v>
      </c>
      <c r="E678" s="39">
        <v>-2.0969098509975055</v>
      </c>
      <c r="G678">
        <f t="shared" si="60"/>
        <v>10</v>
      </c>
      <c r="H678">
        <v>1</v>
      </c>
      <c r="I678">
        <f t="shared" si="61"/>
        <v>5</v>
      </c>
      <c r="J678">
        <f t="shared" si="62"/>
        <v>2023</v>
      </c>
      <c r="K678" s="17">
        <f t="shared" si="63"/>
        <v>45047</v>
      </c>
      <c r="L678">
        <f t="shared" si="64"/>
        <v>0</v>
      </c>
    </row>
    <row r="679" spans="1:12" x14ac:dyDescent="0.3">
      <c r="A679" s="38">
        <v>45055</v>
      </c>
      <c r="B679" s="39">
        <v>-2.51869163616972</v>
      </c>
      <c r="C679" s="39">
        <v>0.24509174762604857</v>
      </c>
      <c r="D679" s="39">
        <v>-6.4444866665169371</v>
      </c>
      <c r="E679" s="39">
        <v>-2.5031831619136682</v>
      </c>
      <c r="G679">
        <f t="shared" si="60"/>
        <v>9</v>
      </c>
      <c r="H679">
        <v>1</v>
      </c>
      <c r="I679">
        <f t="shared" si="61"/>
        <v>5</v>
      </c>
      <c r="J679">
        <f t="shared" si="62"/>
        <v>2023</v>
      </c>
      <c r="K679" s="17">
        <f t="shared" si="63"/>
        <v>45047</v>
      </c>
      <c r="L679">
        <f t="shared" si="64"/>
        <v>0</v>
      </c>
    </row>
    <row r="680" spans="1:12" x14ac:dyDescent="0.3">
      <c r="A680" s="38">
        <v>45051</v>
      </c>
      <c r="B680" s="39">
        <v>-2.6993419302297781</v>
      </c>
      <c r="C680" s="39">
        <v>2.7891489664881419E-2</v>
      </c>
      <c r="D680" s="39">
        <v>-7.5909741036102787</v>
      </c>
      <c r="E680" s="39">
        <v>-2.1927793138040386</v>
      </c>
      <c r="G680">
        <f t="shared" si="60"/>
        <v>5</v>
      </c>
      <c r="H680">
        <v>1</v>
      </c>
      <c r="I680">
        <f t="shared" si="61"/>
        <v>5</v>
      </c>
      <c r="J680">
        <f t="shared" si="62"/>
        <v>2023</v>
      </c>
      <c r="K680" s="17">
        <f t="shared" si="63"/>
        <v>45047</v>
      </c>
      <c r="L680">
        <f t="shared" si="64"/>
        <v>0</v>
      </c>
    </row>
    <row r="681" spans="1:12" x14ac:dyDescent="0.3">
      <c r="A681" s="38">
        <v>45050</v>
      </c>
      <c r="B681" s="39">
        <v>-3.2222575872737593</v>
      </c>
      <c r="C681" s="39">
        <v>-0.34725390656065258</v>
      </c>
      <c r="D681" s="39">
        <v>-7.8457324004119755</v>
      </c>
      <c r="E681" s="39">
        <v>-2.9258461108090046</v>
      </c>
      <c r="G681">
        <f t="shared" si="60"/>
        <v>4</v>
      </c>
      <c r="H681">
        <v>1</v>
      </c>
      <c r="I681">
        <f t="shared" si="61"/>
        <v>5</v>
      </c>
      <c r="J681">
        <f t="shared" si="62"/>
        <v>2023</v>
      </c>
      <c r="K681" s="17">
        <f t="shared" si="63"/>
        <v>45047</v>
      </c>
      <c r="L681">
        <f t="shared" si="64"/>
        <v>1</v>
      </c>
    </row>
    <row r="682" spans="1:12" x14ac:dyDescent="0.3">
      <c r="A682" s="38">
        <v>45049</v>
      </c>
      <c r="B682" s="39">
        <v>-3.6114651748160185</v>
      </c>
      <c r="C682" s="39">
        <v>-0.52829660105496146</v>
      </c>
      <c r="D682" s="39">
        <v>-8.1255054117518739</v>
      </c>
      <c r="E682" s="39">
        <v>-3.6316191205299475</v>
      </c>
      <c r="G682">
        <f t="shared" si="60"/>
        <v>3</v>
      </c>
      <c r="H682">
        <v>1</v>
      </c>
      <c r="I682">
        <f t="shared" si="61"/>
        <v>5</v>
      </c>
      <c r="J682">
        <f t="shared" si="62"/>
        <v>2023</v>
      </c>
      <c r="K682" s="17">
        <f t="shared" si="63"/>
        <v>45047</v>
      </c>
      <c r="L682">
        <f t="shared" si="64"/>
        <v>1</v>
      </c>
    </row>
    <row r="683" spans="1:12" x14ac:dyDescent="0.3">
      <c r="A683" s="38">
        <v>45048</v>
      </c>
      <c r="B683" s="39">
        <v>-3.3838709671370282</v>
      </c>
      <c r="C683" s="39">
        <v>-0.47431799472252578</v>
      </c>
      <c r="D683" s="39">
        <v>-8.2478429131832058</v>
      </c>
      <c r="E683" s="39">
        <v>-3.4169680138519283</v>
      </c>
      <c r="G683">
        <f t="shared" si="60"/>
        <v>2</v>
      </c>
      <c r="H683">
        <v>1</v>
      </c>
      <c r="I683">
        <f t="shared" si="61"/>
        <v>5</v>
      </c>
      <c r="J683">
        <f t="shared" si="62"/>
        <v>2023</v>
      </c>
      <c r="K683" s="17">
        <f t="shared" si="63"/>
        <v>45047</v>
      </c>
      <c r="L683">
        <f t="shared" si="64"/>
        <v>1</v>
      </c>
    </row>
    <row r="684" spans="1:12" x14ac:dyDescent="0.3">
      <c r="A684" s="38">
        <v>45044</v>
      </c>
      <c r="B684" s="39">
        <v>-5.0131784837598019</v>
      </c>
      <c r="C684" s="39">
        <v>-2.4703048800233631</v>
      </c>
      <c r="D684" s="39">
        <v>-10.383941920282169</v>
      </c>
      <c r="E684" s="39">
        <v>-4.5809679738699742</v>
      </c>
      <c r="G684">
        <f t="shared" si="60"/>
        <v>28</v>
      </c>
      <c r="H684">
        <v>1</v>
      </c>
      <c r="I684">
        <f t="shared" si="61"/>
        <v>4</v>
      </c>
      <c r="J684">
        <f t="shared" si="62"/>
        <v>2023</v>
      </c>
      <c r="K684" s="17">
        <f t="shared" si="63"/>
        <v>45017</v>
      </c>
      <c r="L684">
        <f t="shared" si="64"/>
        <v>0</v>
      </c>
    </row>
    <row r="685" spans="1:12" x14ac:dyDescent="0.3">
      <c r="A685" s="38">
        <v>45043</v>
      </c>
      <c r="B685" s="39">
        <v>-2.517176828431829</v>
      </c>
      <c r="C685" s="39">
        <v>-8.6786956130140425E-3</v>
      </c>
      <c r="D685" s="39">
        <v>-8.036939103190619</v>
      </c>
      <c r="E685" s="39">
        <v>-2.0225733381498827</v>
      </c>
      <c r="G685">
        <f t="shared" si="60"/>
        <v>27</v>
      </c>
      <c r="H685">
        <v>1</v>
      </c>
      <c r="I685">
        <f t="shared" si="61"/>
        <v>4</v>
      </c>
      <c r="J685">
        <f t="shared" si="62"/>
        <v>2023</v>
      </c>
      <c r="K685" s="17">
        <f t="shared" si="63"/>
        <v>45017</v>
      </c>
      <c r="L685">
        <f t="shared" si="64"/>
        <v>0</v>
      </c>
    </row>
    <row r="686" spans="1:12" x14ac:dyDescent="0.3">
      <c r="A686" s="38">
        <v>45042</v>
      </c>
      <c r="B686" s="39">
        <v>-2.3342260875034242</v>
      </c>
      <c r="C686" s="39">
        <v>0.17011611470159949</v>
      </c>
      <c r="D686" s="39">
        <v>-7.7164347402665356</v>
      </c>
      <c r="E686" s="39">
        <v>-1.9830562414008881</v>
      </c>
      <c r="G686">
        <f t="shared" si="60"/>
        <v>26</v>
      </c>
      <c r="H686">
        <v>1</v>
      </c>
      <c r="I686">
        <f t="shared" si="61"/>
        <v>4</v>
      </c>
      <c r="J686">
        <f t="shared" si="62"/>
        <v>2023</v>
      </c>
      <c r="K686" s="17">
        <f t="shared" si="63"/>
        <v>45017</v>
      </c>
      <c r="L686">
        <f t="shared" si="64"/>
        <v>0</v>
      </c>
    </row>
    <row r="687" spans="1:12" x14ac:dyDescent="0.3">
      <c r="A687" s="38">
        <v>45041</v>
      </c>
      <c r="B687" s="39">
        <v>-2.5703463282106753</v>
      </c>
      <c r="C687" s="39">
        <v>-2.481403540761562E-2</v>
      </c>
      <c r="D687" s="39">
        <v>-8.1192924553230341</v>
      </c>
      <c r="E687" s="39">
        <v>-2.250259530774656</v>
      </c>
      <c r="G687">
        <f t="shared" si="60"/>
        <v>25</v>
      </c>
      <c r="H687">
        <v>1</v>
      </c>
      <c r="I687">
        <f t="shared" si="61"/>
        <v>4</v>
      </c>
      <c r="J687">
        <f t="shared" si="62"/>
        <v>2023</v>
      </c>
      <c r="K687" s="17">
        <f t="shared" si="63"/>
        <v>45017</v>
      </c>
      <c r="L687">
        <f t="shared" si="64"/>
        <v>0</v>
      </c>
    </row>
    <row r="688" spans="1:12" x14ac:dyDescent="0.3">
      <c r="A688" s="38">
        <v>45040</v>
      </c>
      <c r="B688" s="39">
        <v>-2.9730830297004331</v>
      </c>
      <c r="C688" s="39">
        <v>-0.33495766259302684</v>
      </c>
      <c r="D688" s="39">
        <v>-8.3554288301140929</v>
      </c>
      <c r="E688" s="39">
        <v>-2.6440324022509287</v>
      </c>
      <c r="G688">
        <f t="shared" si="60"/>
        <v>24</v>
      </c>
      <c r="H688">
        <v>1</v>
      </c>
      <c r="I688">
        <f t="shared" si="61"/>
        <v>4</v>
      </c>
      <c r="J688">
        <f t="shared" si="62"/>
        <v>2023</v>
      </c>
      <c r="K688" s="17">
        <f t="shared" si="63"/>
        <v>45017</v>
      </c>
      <c r="L688">
        <f t="shared" si="64"/>
        <v>0</v>
      </c>
    </row>
    <row r="689" spans="1:12" x14ac:dyDescent="0.3">
      <c r="A689" s="38">
        <v>45037</v>
      </c>
      <c r="B689" s="39">
        <v>-3.0872619908040804</v>
      </c>
      <c r="C689" s="39">
        <v>-0.55418586391820668</v>
      </c>
      <c r="D689" s="39">
        <v>-8.6673892520124127</v>
      </c>
      <c r="E689" s="39">
        <v>-2.6627271517159556</v>
      </c>
      <c r="G689">
        <f t="shared" si="60"/>
        <v>21</v>
      </c>
      <c r="H689">
        <v>1</v>
      </c>
      <c r="I689">
        <f t="shared" si="61"/>
        <v>4</v>
      </c>
      <c r="J689">
        <f t="shared" si="62"/>
        <v>2023</v>
      </c>
      <c r="K689" s="17">
        <f t="shared" si="63"/>
        <v>45017</v>
      </c>
      <c r="L689">
        <f t="shared" si="64"/>
        <v>0</v>
      </c>
    </row>
    <row r="690" spans="1:12" x14ac:dyDescent="0.3">
      <c r="A690" s="38">
        <v>45036</v>
      </c>
      <c r="B690" s="39">
        <v>-3.3214900868827755</v>
      </c>
      <c r="C690" s="39">
        <v>-0.78304508431989461</v>
      </c>
      <c r="D690" s="39">
        <v>-8.9202868649210387</v>
      </c>
      <c r="E690" s="39">
        <v>-3.0151562750070866</v>
      </c>
      <c r="G690">
        <f t="shared" si="60"/>
        <v>20</v>
      </c>
      <c r="H690">
        <v>1</v>
      </c>
      <c r="I690">
        <f t="shared" si="61"/>
        <v>4</v>
      </c>
      <c r="J690">
        <f t="shared" si="62"/>
        <v>2023</v>
      </c>
      <c r="K690" s="17">
        <f t="shared" si="63"/>
        <v>45017</v>
      </c>
      <c r="L690">
        <f t="shared" si="64"/>
        <v>0</v>
      </c>
    </row>
    <row r="691" spans="1:12" x14ac:dyDescent="0.3">
      <c r="A691" s="38">
        <v>45035</v>
      </c>
      <c r="B691" s="39">
        <v>-3.5753674326448532</v>
      </c>
      <c r="C691" s="39">
        <v>-0.98252832005825042</v>
      </c>
      <c r="D691" s="39">
        <v>-9.4826757923006397</v>
      </c>
      <c r="E691" s="39">
        <v>-3.2904135718330991</v>
      </c>
      <c r="G691">
        <f t="shared" si="60"/>
        <v>19</v>
      </c>
      <c r="H691">
        <v>1</v>
      </c>
      <c r="I691">
        <f t="shared" si="61"/>
        <v>4</v>
      </c>
      <c r="J691">
        <f t="shared" si="62"/>
        <v>2023</v>
      </c>
      <c r="K691" s="17">
        <f t="shared" si="63"/>
        <v>45017</v>
      </c>
      <c r="L691">
        <f t="shared" si="64"/>
        <v>0</v>
      </c>
    </row>
    <row r="692" spans="1:12" x14ac:dyDescent="0.3">
      <c r="A692" s="38">
        <v>45034</v>
      </c>
      <c r="B692" s="39">
        <v>-3.3501353525320923</v>
      </c>
      <c r="C692" s="39">
        <v>-0.79011320695390452</v>
      </c>
      <c r="D692" s="39">
        <v>-9.3128490362675791</v>
      </c>
      <c r="E692" s="39">
        <v>-3.1183623210726523</v>
      </c>
      <c r="G692">
        <f t="shared" si="60"/>
        <v>18</v>
      </c>
      <c r="H692">
        <v>1</v>
      </c>
      <c r="I692">
        <f t="shared" si="61"/>
        <v>4</v>
      </c>
      <c r="J692">
        <f t="shared" si="62"/>
        <v>2023</v>
      </c>
      <c r="K692" s="17">
        <f t="shared" si="63"/>
        <v>45017</v>
      </c>
      <c r="L692">
        <f t="shared" si="64"/>
        <v>0</v>
      </c>
    </row>
    <row r="693" spans="1:12" x14ac:dyDescent="0.3">
      <c r="A693" s="38">
        <v>45033</v>
      </c>
      <c r="B693" s="39">
        <v>-3.6387335273562513</v>
      </c>
      <c r="C693" s="39">
        <v>-1.0771033805325061</v>
      </c>
      <c r="D693" s="39">
        <v>-9.7235113995448756</v>
      </c>
      <c r="E693" s="39">
        <v>-3.4568951022146592</v>
      </c>
      <c r="G693">
        <f t="shared" si="60"/>
        <v>17</v>
      </c>
      <c r="H693">
        <v>1</v>
      </c>
      <c r="I693">
        <f t="shared" si="61"/>
        <v>4</v>
      </c>
      <c r="J693">
        <f t="shared" si="62"/>
        <v>2023</v>
      </c>
      <c r="K693" s="17">
        <f t="shared" si="63"/>
        <v>45017</v>
      </c>
      <c r="L693">
        <f t="shared" si="64"/>
        <v>0</v>
      </c>
    </row>
    <row r="694" spans="1:12" x14ac:dyDescent="0.3">
      <c r="A694" s="38">
        <v>45030</v>
      </c>
      <c r="B694" s="39">
        <v>-2.6522133772810577</v>
      </c>
      <c r="C694" s="39">
        <v>-0.16337433870737073</v>
      </c>
      <c r="D694" s="39">
        <v>-9.1843065581483927</v>
      </c>
      <c r="E694" s="39">
        <v>-2.3756156280494025</v>
      </c>
      <c r="G694">
        <f t="shared" si="60"/>
        <v>14</v>
      </c>
      <c r="H694">
        <v>1</v>
      </c>
      <c r="I694">
        <f t="shared" si="61"/>
        <v>4</v>
      </c>
      <c r="J694">
        <f t="shared" si="62"/>
        <v>2023</v>
      </c>
      <c r="K694" s="17">
        <f t="shared" si="63"/>
        <v>45017</v>
      </c>
      <c r="L694">
        <f t="shared" si="64"/>
        <v>0</v>
      </c>
    </row>
    <row r="695" spans="1:12" x14ac:dyDescent="0.3">
      <c r="A695" s="38">
        <v>45029</v>
      </c>
      <c r="B695" s="39">
        <v>-3.2911404067757246</v>
      </c>
      <c r="C695" s="39">
        <v>-0.79609174489354473</v>
      </c>
      <c r="D695" s="39">
        <v>-9.5460370821441956</v>
      </c>
      <c r="E695" s="39">
        <v>-3.1308887775752794</v>
      </c>
      <c r="G695">
        <f t="shared" si="60"/>
        <v>13</v>
      </c>
      <c r="H695">
        <v>1</v>
      </c>
      <c r="I695">
        <f t="shared" si="61"/>
        <v>4</v>
      </c>
      <c r="J695">
        <f t="shared" si="62"/>
        <v>2023</v>
      </c>
      <c r="K695" s="17">
        <f t="shared" si="63"/>
        <v>45017</v>
      </c>
      <c r="L695">
        <f t="shared" si="64"/>
        <v>0</v>
      </c>
    </row>
    <row r="696" spans="1:12" x14ac:dyDescent="0.3">
      <c r="A696" s="38">
        <v>45028</v>
      </c>
      <c r="B696" s="39">
        <v>-2.5768513034779232</v>
      </c>
      <c r="C696" s="39">
        <v>-6.4266385555811212E-4</v>
      </c>
      <c r="D696" s="39">
        <v>-8.9318424533481959</v>
      </c>
      <c r="E696" s="39">
        <v>-2.4027396355737096</v>
      </c>
      <c r="G696">
        <f t="shared" si="60"/>
        <v>12</v>
      </c>
      <c r="H696">
        <v>1</v>
      </c>
      <c r="I696">
        <f t="shared" si="61"/>
        <v>4</v>
      </c>
      <c r="J696">
        <f t="shared" si="62"/>
        <v>2023</v>
      </c>
      <c r="K696" s="17">
        <f t="shared" si="63"/>
        <v>45017</v>
      </c>
      <c r="L696">
        <f t="shared" si="64"/>
        <v>0</v>
      </c>
    </row>
    <row r="697" spans="1:12" x14ac:dyDescent="0.3">
      <c r="A697" s="38">
        <v>45027</v>
      </c>
      <c r="B697" s="39">
        <v>-1.2195392001253964</v>
      </c>
      <c r="C697" s="39">
        <v>1.3622927263678974</v>
      </c>
      <c r="D697" s="39">
        <v>-7.7122627907098718</v>
      </c>
      <c r="E697" s="39">
        <v>-1.0272624942618194</v>
      </c>
      <c r="G697">
        <f t="shared" si="60"/>
        <v>11</v>
      </c>
      <c r="H697">
        <v>1</v>
      </c>
      <c r="I697">
        <f t="shared" si="61"/>
        <v>4</v>
      </c>
      <c r="J697">
        <f t="shared" si="62"/>
        <v>2023</v>
      </c>
      <c r="K697" s="17">
        <f t="shared" si="63"/>
        <v>45017</v>
      </c>
      <c r="L697">
        <f t="shared" si="64"/>
        <v>0</v>
      </c>
    </row>
    <row r="698" spans="1:12" x14ac:dyDescent="0.3">
      <c r="A698" s="38">
        <v>45022</v>
      </c>
      <c r="B698" s="39">
        <v>-0.15236897357657142</v>
      </c>
      <c r="C698" s="39">
        <v>2.1995119766033611</v>
      </c>
      <c r="D698" s="39">
        <v>-7.2405777424781093</v>
      </c>
      <c r="E698" s="39">
        <v>0.43355010001536698</v>
      </c>
      <c r="G698">
        <f t="shared" si="60"/>
        <v>6</v>
      </c>
      <c r="H698">
        <v>1</v>
      </c>
      <c r="I698">
        <f t="shared" si="61"/>
        <v>4</v>
      </c>
      <c r="J698">
        <f t="shared" si="62"/>
        <v>2023</v>
      </c>
      <c r="K698" s="17">
        <f t="shared" si="63"/>
        <v>45017</v>
      </c>
      <c r="L698">
        <f t="shared" si="64"/>
        <v>0</v>
      </c>
    </row>
    <row r="699" spans="1:12" x14ac:dyDescent="0.3">
      <c r="A699" s="38">
        <v>45021</v>
      </c>
      <c r="B699" s="39">
        <v>-0.87536702346318407</v>
      </c>
      <c r="C699" s="39">
        <v>1.5166238326332007</v>
      </c>
      <c r="D699" s="39">
        <v>-7.9469015074623002</v>
      </c>
      <c r="E699" s="39">
        <v>-0.31330804080661778</v>
      </c>
      <c r="G699">
        <f t="shared" si="60"/>
        <v>5</v>
      </c>
      <c r="H699">
        <v>1</v>
      </c>
      <c r="I699">
        <f t="shared" si="61"/>
        <v>4</v>
      </c>
      <c r="J699">
        <f t="shared" si="62"/>
        <v>2023</v>
      </c>
      <c r="K699" s="17">
        <f t="shared" si="63"/>
        <v>45017</v>
      </c>
      <c r="L699">
        <f t="shared" si="64"/>
        <v>0</v>
      </c>
    </row>
    <row r="700" spans="1:12" x14ac:dyDescent="0.3">
      <c r="A700" s="38">
        <v>45020</v>
      </c>
      <c r="B700" s="39">
        <v>-0.42540367648264521</v>
      </c>
      <c r="C700" s="39">
        <v>1.8404698804191497</v>
      </c>
      <c r="D700" s="39">
        <v>-7.8008839752264691</v>
      </c>
      <c r="E700" s="39">
        <v>0.30548315622893085</v>
      </c>
      <c r="G700">
        <f t="shared" si="60"/>
        <v>4</v>
      </c>
      <c r="H700">
        <v>1</v>
      </c>
      <c r="I700">
        <f t="shared" si="61"/>
        <v>4</v>
      </c>
      <c r="J700">
        <f t="shared" si="62"/>
        <v>2023</v>
      </c>
      <c r="K700" s="17">
        <f t="shared" si="63"/>
        <v>45017</v>
      </c>
      <c r="L700">
        <f t="shared" si="64"/>
        <v>1</v>
      </c>
    </row>
    <row r="701" spans="1:12" x14ac:dyDescent="0.3">
      <c r="A701" s="38">
        <v>45019</v>
      </c>
      <c r="B701" s="39">
        <v>0.124644760134629</v>
      </c>
      <c r="C701" s="39">
        <v>2.3970239442484456</v>
      </c>
      <c r="D701" s="39">
        <v>-7.2078497358449027</v>
      </c>
      <c r="E701" s="39">
        <v>0.85213204990851921</v>
      </c>
      <c r="G701">
        <f t="shared" si="60"/>
        <v>3</v>
      </c>
      <c r="H701">
        <v>1</v>
      </c>
      <c r="I701">
        <f t="shared" si="61"/>
        <v>4</v>
      </c>
      <c r="J701">
        <f t="shared" si="62"/>
        <v>2023</v>
      </c>
      <c r="K701" s="17">
        <f t="shared" si="63"/>
        <v>45017</v>
      </c>
      <c r="L701">
        <f t="shared" si="64"/>
        <v>1</v>
      </c>
    </row>
    <row r="702" spans="1:12" x14ac:dyDescent="0.3">
      <c r="A702" s="38">
        <v>45016</v>
      </c>
      <c r="B702" s="39">
        <v>1.2323623867120261</v>
      </c>
      <c r="C702" s="39">
        <v>2.8854438834804625</v>
      </c>
      <c r="D702" s="39">
        <v>-5.6328621777991117</v>
      </c>
      <c r="E702" s="39">
        <v>4.2824349097841434</v>
      </c>
      <c r="G702">
        <f t="shared" si="60"/>
        <v>31</v>
      </c>
      <c r="H702">
        <v>1</v>
      </c>
      <c r="I702">
        <f t="shared" si="61"/>
        <v>3</v>
      </c>
      <c r="J702">
        <f t="shared" si="62"/>
        <v>2023</v>
      </c>
      <c r="K702" s="17">
        <f t="shared" si="63"/>
        <v>44986</v>
      </c>
      <c r="L702">
        <f t="shared" si="64"/>
        <v>0</v>
      </c>
    </row>
    <row r="703" spans="1:12" x14ac:dyDescent="0.3">
      <c r="A703" s="38">
        <v>45015</v>
      </c>
      <c r="B703" s="39">
        <v>2.0103955539718328</v>
      </c>
      <c r="C703" s="39">
        <v>3.5331932251727522</v>
      </c>
      <c r="D703" s="39">
        <v>-5.1003494626257151</v>
      </c>
      <c r="E703" s="39">
        <v>5.2363124611534175</v>
      </c>
      <c r="G703">
        <f t="shared" si="60"/>
        <v>30</v>
      </c>
      <c r="H703">
        <v>1</v>
      </c>
      <c r="I703">
        <f t="shared" si="61"/>
        <v>3</v>
      </c>
      <c r="J703">
        <f t="shared" si="62"/>
        <v>2023</v>
      </c>
      <c r="K703" s="17">
        <f t="shared" si="63"/>
        <v>44986</v>
      </c>
      <c r="L703">
        <f t="shared" si="64"/>
        <v>0</v>
      </c>
    </row>
    <row r="704" spans="1:12" x14ac:dyDescent="0.3">
      <c r="A704" s="38">
        <v>45014</v>
      </c>
      <c r="B704" s="39">
        <v>2.6493954497987886</v>
      </c>
      <c r="C704" s="39">
        <v>4.1366006979500014</v>
      </c>
      <c r="D704" s="39">
        <v>-4.8935750238294418</v>
      </c>
      <c r="E704" s="39">
        <v>6.014992208386758</v>
      </c>
      <c r="G704">
        <f t="shared" si="60"/>
        <v>29</v>
      </c>
      <c r="H704">
        <v>1</v>
      </c>
      <c r="I704">
        <f t="shared" si="61"/>
        <v>3</v>
      </c>
      <c r="J704">
        <f t="shared" si="62"/>
        <v>2023</v>
      </c>
      <c r="K704" s="17">
        <f t="shared" si="63"/>
        <v>44986</v>
      </c>
      <c r="L704">
        <f t="shared" si="64"/>
        <v>0</v>
      </c>
    </row>
    <row r="705" spans="1:12" x14ac:dyDescent="0.3">
      <c r="A705" s="38">
        <v>45013</v>
      </c>
      <c r="B705" s="39">
        <v>3.256424550975467</v>
      </c>
      <c r="C705" s="39">
        <v>4.7289828918419801</v>
      </c>
      <c r="D705" s="39">
        <v>-4.1987599973471958</v>
      </c>
      <c r="E705" s="39">
        <v>6.6136347917314424</v>
      </c>
      <c r="G705">
        <f t="shared" si="60"/>
        <v>28</v>
      </c>
      <c r="H705">
        <v>1</v>
      </c>
      <c r="I705">
        <f t="shared" si="61"/>
        <v>3</v>
      </c>
      <c r="J705">
        <f t="shared" si="62"/>
        <v>2023</v>
      </c>
      <c r="K705" s="17">
        <f t="shared" si="63"/>
        <v>44986</v>
      </c>
      <c r="L705">
        <f t="shared" si="64"/>
        <v>0</v>
      </c>
    </row>
    <row r="706" spans="1:12" x14ac:dyDescent="0.3">
      <c r="A706" s="38">
        <v>45012</v>
      </c>
      <c r="B706" s="39">
        <v>3.6821166953779851</v>
      </c>
      <c r="C706" s="39">
        <v>5.1497467945324473</v>
      </c>
      <c r="D706" s="39">
        <v>-4.047590146699477</v>
      </c>
      <c r="E706" s="39">
        <v>7.2232252819193832</v>
      </c>
      <c r="G706">
        <f t="shared" si="60"/>
        <v>27</v>
      </c>
      <c r="H706">
        <v>1</v>
      </c>
      <c r="I706">
        <f t="shared" si="61"/>
        <v>3</v>
      </c>
      <c r="J706">
        <f t="shared" si="62"/>
        <v>2023</v>
      </c>
      <c r="K706" s="17">
        <f t="shared" si="63"/>
        <v>44986</v>
      </c>
      <c r="L706">
        <f t="shared" si="64"/>
        <v>0</v>
      </c>
    </row>
    <row r="707" spans="1:12" x14ac:dyDescent="0.3">
      <c r="A707" s="38">
        <v>45009</v>
      </c>
      <c r="B707" s="39">
        <v>4.143976358644295</v>
      </c>
      <c r="C707" s="39">
        <v>5.6280174378147194</v>
      </c>
      <c r="D707" s="39">
        <v>-3.83029406669948</v>
      </c>
      <c r="E707" s="39">
        <v>7.783221597629435</v>
      </c>
      <c r="G707">
        <f t="shared" si="60"/>
        <v>24</v>
      </c>
      <c r="H707">
        <v>1</v>
      </c>
      <c r="I707">
        <f t="shared" si="61"/>
        <v>3</v>
      </c>
      <c r="J707">
        <f t="shared" si="62"/>
        <v>2023</v>
      </c>
      <c r="K707" s="17">
        <f t="shared" si="63"/>
        <v>44986</v>
      </c>
      <c r="L707">
        <f t="shared" si="64"/>
        <v>0</v>
      </c>
    </row>
    <row r="708" spans="1:12" x14ac:dyDescent="0.3">
      <c r="A708" s="38">
        <v>45008</v>
      </c>
      <c r="B708" s="39">
        <v>3.4936008365879587</v>
      </c>
      <c r="C708" s="39">
        <v>4.9298724477086182</v>
      </c>
      <c r="D708" s="39">
        <v>-4.1935677821954584</v>
      </c>
      <c r="E708" s="39">
        <v>7.257286429023921</v>
      </c>
      <c r="G708">
        <f t="shared" si="60"/>
        <v>23</v>
      </c>
      <c r="H708">
        <v>1</v>
      </c>
      <c r="I708">
        <f t="shared" si="61"/>
        <v>3</v>
      </c>
      <c r="J708">
        <f t="shared" si="62"/>
        <v>2023</v>
      </c>
      <c r="K708" s="17">
        <f t="shared" si="63"/>
        <v>44986</v>
      </c>
      <c r="L708">
        <f t="shared" si="64"/>
        <v>0</v>
      </c>
    </row>
    <row r="709" spans="1:12" x14ac:dyDescent="0.3">
      <c r="A709" s="38">
        <v>45007</v>
      </c>
      <c r="B709" s="39">
        <v>3.0812398365419966</v>
      </c>
      <c r="C709" s="39">
        <v>4.5637591740608912</v>
      </c>
      <c r="D709" s="39">
        <v>-4.2329759060871766</v>
      </c>
      <c r="E709" s="39">
        <v>6.9302730938935042</v>
      </c>
      <c r="G709">
        <f t="shared" ref="G709:G772" si="65">+DAY(A709)</f>
        <v>22</v>
      </c>
      <c r="H709">
        <v>1</v>
      </c>
      <c r="I709">
        <f t="shared" ref="I709:I772" si="66">+MONTH(A709)</f>
        <v>3</v>
      </c>
      <c r="J709">
        <f t="shared" ref="J709:J772" si="67">+YEAR(A709)</f>
        <v>2023</v>
      </c>
      <c r="K709" s="17">
        <f t="shared" ref="K709:K772" si="68">+DATE(J709,I709,H709)</f>
        <v>44986</v>
      </c>
      <c r="L709">
        <f t="shared" ref="L709:L772" si="69">IF(AND(G709&gt;=1, G709&lt;=4), 1, 0)</f>
        <v>0</v>
      </c>
    </row>
    <row r="710" spans="1:12" x14ac:dyDescent="0.3">
      <c r="A710" s="38">
        <v>45006</v>
      </c>
      <c r="B710" s="39">
        <v>3.1948206414134148</v>
      </c>
      <c r="C710" s="39">
        <v>4.6830597578852036</v>
      </c>
      <c r="D710" s="39">
        <v>-4.0015145428361336</v>
      </c>
      <c r="E710" s="39">
        <v>6.981165715698765</v>
      </c>
      <c r="G710">
        <f t="shared" si="65"/>
        <v>21</v>
      </c>
      <c r="H710">
        <v>1</v>
      </c>
      <c r="I710">
        <f t="shared" si="66"/>
        <v>3</v>
      </c>
      <c r="J710">
        <f t="shared" si="67"/>
        <v>2023</v>
      </c>
      <c r="K710" s="17">
        <f t="shared" si="68"/>
        <v>44986</v>
      </c>
      <c r="L710">
        <f t="shared" si="69"/>
        <v>0</v>
      </c>
    </row>
    <row r="711" spans="1:12" x14ac:dyDescent="0.3">
      <c r="A711" s="38">
        <v>45005</v>
      </c>
      <c r="B711" s="39">
        <v>3.3916027078290796</v>
      </c>
      <c r="C711" s="39">
        <v>4.9323258532309779</v>
      </c>
      <c r="D711" s="39">
        <v>-3.7279028567885604</v>
      </c>
      <c r="E711" s="39">
        <v>7.3628016672735868</v>
      </c>
      <c r="G711">
        <f t="shared" si="65"/>
        <v>20</v>
      </c>
      <c r="H711">
        <v>1</v>
      </c>
      <c r="I711">
        <f t="shared" si="66"/>
        <v>3</v>
      </c>
      <c r="J711">
        <f t="shared" si="67"/>
        <v>2023</v>
      </c>
      <c r="K711" s="17">
        <f t="shared" si="68"/>
        <v>44986</v>
      </c>
      <c r="L711">
        <f t="shared" si="69"/>
        <v>0</v>
      </c>
    </row>
    <row r="712" spans="1:12" x14ac:dyDescent="0.3">
      <c r="A712" s="38">
        <v>45002</v>
      </c>
      <c r="B712" s="39">
        <v>3.3050964503067064</v>
      </c>
      <c r="C712" s="39">
        <v>4.7063141055516269</v>
      </c>
      <c r="D712" s="39">
        <v>-3.9234296912994608</v>
      </c>
      <c r="E712" s="39">
        <v>7.2110133640496912</v>
      </c>
      <c r="G712">
        <f t="shared" si="65"/>
        <v>17</v>
      </c>
      <c r="H712">
        <v>1</v>
      </c>
      <c r="I712">
        <f t="shared" si="66"/>
        <v>3</v>
      </c>
      <c r="J712">
        <f t="shared" si="67"/>
        <v>2023</v>
      </c>
      <c r="K712" s="17">
        <f t="shared" si="68"/>
        <v>44986</v>
      </c>
      <c r="L712">
        <f t="shared" si="69"/>
        <v>0</v>
      </c>
    </row>
    <row r="713" spans="1:12" x14ac:dyDescent="0.3">
      <c r="A713" s="38">
        <v>45001</v>
      </c>
      <c r="B713" s="39">
        <v>1.8887972829553803</v>
      </c>
      <c r="C713" s="39">
        <v>3.4840619317644297</v>
      </c>
      <c r="D713" s="39">
        <v>-4.7779882356838499</v>
      </c>
      <c r="E713" s="39">
        <v>5.5602217638297873</v>
      </c>
      <c r="G713">
        <f t="shared" si="65"/>
        <v>16</v>
      </c>
      <c r="H713">
        <v>1</v>
      </c>
      <c r="I713">
        <f t="shared" si="66"/>
        <v>3</v>
      </c>
      <c r="J713">
        <f t="shared" si="67"/>
        <v>2023</v>
      </c>
      <c r="K713" s="17">
        <f t="shared" si="68"/>
        <v>44986</v>
      </c>
      <c r="L713">
        <f t="shared" si="69"/>
        <v>0</v>
      </c>
    </row>
    <row r="714" spans="1:12" x14ac:dyDescent="0.3">
      <c r="A714" s="38">
        <v>45000</v>
      </c>
      <c r="B714" s="39">
        <v>3.9131438007216275</v>
      </c>
      <c r="C714" s="39">
        <v>5.3815120858170502</v>
      </c>
      <c r="D714" s="39">
        <v>-3.7208483699662622</v>
      </c>
      <c r="E714" s="39">
        <v>7.6028373139087648</v>
      </c>
      <c r="G714">
        <f t="shared" si="65"/>
        <v>15</v>
      </c>
      <c r="H714">
        <v>1</v>
      </c>
      <c r="I714">
        <f t="shared" si="66"/>
        <v>3</v>
      </c>
      <c r="J714">
        <f t="shared" si="67"/>
        <v>2023</v>
      </c>
      <c r="K714" s="17">
        <f t="shared" si="68"/>
        <v>44986</v>
      </c>
      <c r="L714">
        <f t="shared" si="69"/>
        <v>0</v>
      </c>
    </row>
    <row r="715" spans="1:12" x14ac:dyDescent="0.3">
      <c r="A715" s="38">
        <v>44999</v>
      </c>
      <c r="B715" s="39">
        <v>2.7767245590613072</v>
      </c>
      <c r="C715" s="39">
        <v>4.1931586020363767</v>
      </c>
      <c r="D715" s="39">
        <v>-4.6325945240949693</v>
      </c>
      <c r="E715" s="39">
        <v>6.3885632390467606</v>
      </c>
      <c r="G715">
        <f t="shared" si="65"/>
        <v>14</v>
      </c>
      <c r="H715">
        <v>1</v>
      </c>
      <c r="I715">
        <f t="shared" si="66"/>
        <v>3</v>
      </c>
      <c r="J715">
        <f t="shared" si="67"/>
        <v>2023</v>
      </c>
      <c r="K715" s="17">
        <f t="shared" si="68"/>
        <v>44986</v>
      </c>
      <c r="L715">
        <f t="shared" si="69"/>
        <v>0</v>
      </c>
    </row>
    <row r="716" spans="1:12" x14ac:dyDescent="0.3">
      <c r="A716" s="38">
        <v>44998</v>
      </c>
      <c r="B716" s="39">
        <v>1.7587312671366959</v>
      </c>
      <c r="C716" s="39">
        <v>3.2481489410097026</v>
      </c>
      <c r="D716" s="39">
        <v>-5.3498678418042829</v>
      </c>
      <c r="E716" s="39">
        <v>5.1502145567462634</v>
      </c>
      <c r="G716">
        <f t="shared" si="65"/>
        <v>13</v>
      </c>
      <c r="H716">
        <v>1</v>
      </c>
      <c r="I716">
        <f t="shared" si="66"/>
        <v>3</v>
      </c>
      <c r="J716">
        <f t="shared" si="67"/>
        <v>2023</v>
      </c>
      <c r="K716" s="17">
        <f t="shared" si="68"/>
        <v>44986</v>
      </c>
      <c r="L716">
        <f t="shared" si="69"/>
        <v>0</v>
      </c>
    </row>
    <row r="717" spans="1:12" x14ac:dyDescent="0.3">
      <c r="A717" s="38">
        <v>44995</v>
      </c>
      <c r="B717" s="39">
        <v>0.77839893390142834</v>
      </c>
      <c r="C717" s="39">
        <v>2.2551051081678253</v>
      </c>
      <c r="D717" s="39">
        <v>-6.1982693397027333</v>
      </c>
      <c r="E717" s="39">
        <v>4.3277134021828232</v>
      </c>
      <c r="G717">
        <f t="shared" si="65"/>
        <v>10</v>
      </c>
      <c r="H717">
        <v>1</v>
      </c>
      <c r="I717">
        <f t="shared" si="66"/>
        <v>3</v>
      </c>
      <c r="J717">
        <f t="shared" si="67"/>
        <v>2023</v>
      </c>
      <c r="K717" s="17">
        <f t="shared" si="68"/>
        <v>44986</v>
      </c>
      <c r="L717">
        <f t="shared" si="69"/>
        <v>0</v>
      </c>
    </row>
    <row r="718" spans="1:12" x14ac:dyDescent="0.3">
      <c r="A718" s="38">
        <v>44994</v>
      </c>
      <c r="B718" s="39">
        <v>2.4382897074339382</v>
      </c>
      <c r="C718" s="39">
        <v>3.7472212157785378</v>
      </c>
      <c r="D718" s="39">
        <v>-4.6489589930031059</v>
      </c>
      <c r="E718" s="39">
        <v>6.1546519120542484</v>
      </c>
      <c r="G718">
        <f t="shared" si="65"/>
        <v>9</v>
      </c>
      <c r="H718">
        <v>1</v>
      </c>
      <c r="I718">
        <f t="shared" si="66"/>
        <v>3</v>
      </c>
      <c r="J718">
        <f t="shared" si="67"/>
        <v>2023</v>
      </c>
      <c r="K718" s="17">
        <f t="shared" si="68"/>
        <v>44986</v>
      </c>
      <c r="L718">
        <f t="shared" si="69"/>
        <v>0</v>
      </c>
    </row>
    <row r="719" spans="1:12" x14ac:dyDescent="0.3">
      <c r="A719" s="38">
        <v>44993</v>
      </c>
      <c r="B719" s="39">
        <v>3.5610339513329308</v>
      </c>
      <c r="C719" s="39">
        <v>4.8348965254589729</v>
      </c>
      <c r="D719" s="39">
        <v>-3.4646007434056401</v>
      </c>
      <c r="E719" s="39">
        <v>7.3412093214101759</v>
      </c>
      <c r="G719">
        <f t="shared" si="65"/>
        <v>8</v>
      </c>
      <c r="H719">
        <v>1</v>
      </c>
      <c r="I719">
        <f t="shared" si="66"/>
        <v>3</v>
      </c>
      <c r="J719">
        <f t="shared" si="67"/>
        <v>2023</v>
      </c>
      <c r="K719" s="17">
        <f t="shared" si="68"/>
        <v>44986</v>
      </c>
      <c r="L719">
        <f t="shared" si="69"/>
        <v>0</v>
      </c>
    </row>
    <row r="720" spans="1:12" x14ac:dyDescent="0.3">
      <c r="A720" s="38">
        <v>44992</v>
      </c>
      <c r="B720" s="39">
        <v>4.0159013886201933</v>
      </c>
      <c r="C720" s="39">
        <v>5.2309697683971592</v>
      </c>
      <c r="D720" s="39">
        <v>-3.1612904986631065</v>
      </c>
      <c r="E720" s="39">
        <v>7.6838554987070751</v>
      </c>
      <c r="G720">
        <f t="shared" si="65"/>
        <v>7</v>
      </c>
      <c r="H720">
        <v>1</v>
      </c>
      <c r="I720">
        <f t="shared" si="66"/>
        <v>3</v>
      </c>
      <c r="J720">
        <f t="shared" si="67"/>
        <v>2023</v>
      </c>
      <c r="K720" s="17">
        <f t="shared" si="68"/>
        <v>44986</v>
      </c>
      <c r="L720">
        <f t="shared" si="69"/>
        <v>0</v>
      </c>
    </row>
    <row r="721" spans="1:12" x14ac:dyDescent="0.3">
      <c r="A721" s="38">
        <v>44991</v>
      </c>
      <c r="B721" s="39">
        <v>4.5412722376428576</v>
      </c>
      <c r="C721" s="39">
        <v>5.743691609593256</v>
      </c>
      <c r="D721" s="39">
        <v>-2.5073192841361589</v>
      </c>
      <c r="E721" s="39">
        <v>8.2639444088036385</v>
      </c>
      <c r="G721">
        <f t="shared" si="65"/>
        <v>6</v>
      </c>
      <c r="H721">
        <v>1</v>
      </c>
      <c r="I721">
        <f t="shared" si="66"/>
        <v>3</v>
      </c>
      <c r="J721">
        <f t="shared" si="67"/>
        <v>2023</v>
      </c>
      <c r="K721" s="17">
        <f t="shared" si="68"/>
        <v>44986</v>
      </c>
      <c r="L721">
        <f t="shared" si="69"/>
        <v>0</v>
      </c>
    </row>
    <row r="722" spans="1:12" x14ac:dyDescent="0.3">
      <c r="A722" s="38">
        <v>44988</v>
      </c>
      <c r="B722" s="39">
        <v>4.0060327212570144</v>
      </c>
      <c r="C722" s="39">
        <v>5.194379096960887</v>
      </c>
      <c r="D722" s="39">
        <v>-2.0701283702230171</v>
      </c>
      <c r="E722" s="39">
        <v>7.7079195526092121</v>
      </c>
      <c r="G722">
        <f t="shared" si="65"/>
        <v>3</v>
      </c>
      <c r="H722">
        <v>1</v>
      </c>
      <c r="I722">
        <f t="shared" si="66"/>
        <v>3</v>
      </c>
      <c r="J722">
        <f t="shared" si="67"/>
        <v>2023</v>
      </c>
      <c r="K722" s="17">
        <f t="shared" si="68"/>
        <v>44986</v>
      </c>
      <c r="L722">
        <f t="shared" si="69"/>
        <v>1</v>
      </c>
    </row>
    <row r="723" spans="1:12" x14ac:dyDescent="0.3">
      <c r="A723" s="38">
        <v>44987</v>
      </c>
      <c r="B723" s="39">
        <v>3.4765059890905405</v>
      </c>
      <c r="C723" s="39">
        <v>4.6212762873333162</v>
      </c>
      <c r="D723" s="39">
        <v>-2.4544025259147588</v>
      </c>
      <c r="E723" s="39">
        <v>7.2541554967737198</v>
      </c>
      <c r="G723">
        <f t="shared" si="65"/>
        <v>2</v>
      </c>
      <c r="H723">
        <v>1</v>
      </c>
      <c r="I723">
        <f t="shared" si="66"/>
        <v>3</v>
      </c>
      <c r="J723">
        <f t="shared" si="67"/>
        <v>2023</v>
      </c>
      <c r="K723" s="17">
        <f t="shared" si="68"/>
        <v>44986</v>
      </c>
      <c r="L723">
        <f t="shared" si="69"/>
        <v>1</v>
      </c>
    </row>
    <row r="724" spans="1:12" x14ac:dyDescent="0.3">
      <c r="A724" s="38">
        <v>44986</v>
      </c>
      <c r="B724" s="39">
        <v>3.9353406651363798</v>
      </c>
      <c r="C724" s="39">
        <v>5.0392312098205991</v>
      </c>
      <c r="D724" s="39">
        <v>-2.5181613527864499</v>
      </c>
      <c r="E724" s="39">
        <v>8.0011873162610385</v>
      </c>
      <c r="G724">
        <f t="shared" si="65"/>
        <v>1</v>
      </c>
      <c r="H724">
        <v>1</v>
      </c>
      <c r="I724">
        <f t="shared" si="66"/>
        <v>3</v>
      </c>
      <c r="J724">
        <f t="shared" si="67"/>
        <v>2023</v>
      </c>
      <c r="K724" s="17">
        <f t="shared" si="68"/>
        <v>44986</v>
      </c>
      <c r="L724">
        <f t="shared" si="69"/>
        <v>1</v>
      </c>
    </row>
    <row r="725" spans="1:12" x14ac:dyDescent="0.3">
      <c r="A725" s="38">
        <v>44985</v>
      </c>
      <c r="B725" s="39">
        <v>2.4803388551584362</v>
      </c>
      <c r="C725" s="39">
        <v>3.5329702305808866</v>
      </c>
      <c r="D725" s="39">
        <v>-6.1309915938797559</v>
      </c>
      <c r="E725" s="39">
        <v>7.2164737725524191</v>
      </c>
      <c r="G725">
        <f t="shared" si="65"/>
        <v>28</v>
      </c>
      <c r="H725">
        <v>1</v>
      </c>
      <c r="I725">
        <f t="shared" si="66"/>
        <v>2</v>
      </c>
      <c r="J725">
        <f t="shared" si="67"/>
        <v>2023</v>
      </c>
      <c r="K725" s="17">
        <f t="shared" si="68"/>
        <v>44958</v>
      </c>
      <c r="L725">
        <f t="shared" si="69"/>
        <v>0</v>
      </c>
    </row>
    <row r="726" spans="1:12" x14ac:dyDescent="0.3">
      <c r="A726" s="38">
        <v>44984</v>
      </c>
      <c r="B726" s="39">
        <v>2.50952030502215</v>
      </c>
      <c r="C726" s="39">
        <v>3.5683845967453749</v>
      </c>
      <c r="D726" s="39">
        <v>-6.3366017631177414</v>
      </c>
      <c r="E726" s="39">
        <v>7.2176793673107369</v>
      </c>
      <c r="G726">
        <f t="shared" si="65"/>
        <v>27</v>
      </c>
      <c r="H726">
        <v>1</v>
      </c>
      <c r="I726">
        <f t="shared" si="66"/>
        <v>2</v>
      </c>
      <c r="J726">
        <f t="shared" si="67"/>
        <v>2023</v>
      </c>
      <c r="K726" s="17">
        <f t="shared" si="68"/>
        <v>44958</v>
      </c>
      <c r="L726">
        <f t="shared" si="69"/>
        <v>0</v>
      </c>
    </row>
    <row r="727" spans="1:12" x14ac:dyDescent="0.3">
      <c r="A727" s="38">
        <v>44981</v>
      </c>
      <c r="B727" s="39">
        <v>1.7622729829240313</v>
      </c>
      <c r="C727" s="39">
        <v>2.9054856903021289</v>
      </c>
      <c r="D727" s="39">
        <v>-7.3616810845658165</v>
      </c>
      <c r="E727" s="39">
        <v>6.4426455044758626</v>
      </c>
      <c r="G727">
        <f t="shared" si="65"/>
        <v>24</v>
      </c>
      <c r="H727">
        <v>1</v>
      </c>
      <c r="I727">
        <f t="shared" si="66"/>
        <v>2</v>
      </c>
      <c r="J727">
        <f t="shared" si="67"/>
        <v>2023</v>
      </c>
      <c r="K727" s="17">
        <f t="shared" si="68"/>
        <v>44958</v>
      </c>
      <c r="L727">
        <f t="shared" si="69"/>
        <v>0</v>
      </c>
    </row>
    <row r="728" spans="1:12" x14ac:dyDescent="0.3">
      <c r="A728" s="38">
        <v>44980</v>
      </c>
      <c r="B728" s="39">
        <v>1.8975114376488165</v>
      </c>
      <c r="C728" s="39">
        <v>3.103258382146862</v>
      </c>
      <c r="D728" s="39">
        <v>-6.5717286307092166</v>
      </c>
      <c r="E728" s="39">
        <v>6.4216904101081127</v>
      </c>
      <c r="G728">
        <f t="shared" si="65"/>
        <v>23</v>
      </c>
      <c r="H728">
        <v>1</v>
      </c>
      <c r="I728">
        <f t="shared" si="66"/>
        <v>2</v>
      </c>
      <c r="J728">
        <f t="shared" si="67"/>
        <v>2023</v>
      </c>
      <c r="K728" s="17">
        <f t="shared" si="68"/>
        <v>44958</v>
      </c>
      <c r="L728">
        <f t="shared" si="69"/>
        <v>0</v>
      </c>
    </row>
    <row r="729" spans="1:12" x14ac:dyDescent="0.3">
      <c r="A729" s="38">
        <v>44979</v>
      </c>
      <c r="B729" s="39">
        <v>3.485072137657454</v>
      </c>
      <c r="C729" s="39">
        <v>4.453371743586203</v>
      </c>
      <c r="D729" s="39">
        <v>-5.1436513587721464</v>
      </c>
      <c r="E729" s="39">
        <v>8.0204813971371465</v>
      </c>
      <c r="G729">
        <f t="shared" si="65"/>
        <v>22</v>
      </c>
      <c r="H729">
        <v>1</v>
      </c>
      <c r="I729">
        <f t="shared" si="66"/>
        <v>2</v>
      </c>
      <c r="J729">
        <f t="shared" si="67"/>
        <v>2023</v>
      </c>
      <c r="K729" s="17">
        <f t="shared" si="68"/>
        <v>44958</v>
      </c>
      <c r="L729">
        <f t="shared" si="69"/>
        <v>0</v>
      </c>
    </row>
    <row r="730" spans="1:12" x14ac:dyDescent="0.3">
      <c r="A730" s="38">
        <v>44978</v>
      </c>
      <c r="B730" s="39">
        <v>2.0291590617421491</v>
      </c>
      <c r="C730" s="39">
        <v>3.0308597164894735</v>
      </c>
      <c r="D730" s="39">
        <v>-6.9311916413563921</v>
      </c>
      <c r="E730" s="39">
        <v>6.6002865691392714</v>
      </c>
      <c r="G730">
        <f t="shared" si="65"/>
        <v>21</v>
      </c>
      <c r="H730">
        <v>1</v>
      </c>
      <c r="I730">
        <f t="shared" si="66"/>
        <v>2</v>
      </c>
      <c r="J730">
        <f t="shared" si="67"/>
        <v>2023</v>
      </c>
      <c r="K730" s="17">
        <f t="shared" si="68"/>
        <v>44958</v>
      </c>
      <c r="L730">
        <f t="shared" si="69"/>
        <v>0</v>
      </c>
    </row>
    <row r="731" spans="1:12" x14ac:dyDescent="0.3">
      <c r="A731" s="38">
        <v>44977</v>
      </c>
      <c r="B731" s="39">
        <v>1.9690010162370442</v>
      </c>
      <c r="C731" s="39">
        <v>2.7967020905926745</v>
      </c>
      <c r="D731" s="39">
        <v>-6.7570951599662692</v>
      </c>
      <c r="E731" s="39">
        <v>6.5699067326373211</v>
      </c>
      <c r="G731">
        <f t="shared" si="65"/>
        <v>20</v>
      </c>
      <c r="H731">
        <v>1</v>
      </c>
      <c r="I731">
        <f t="shared" si="66"/>
        <v>2</v>
      </c>
      <c r="J731">
        <f t="shared" si="67"/>
        <v>2023</v>
      </c>
      <c r="K731" s="17">
        <f t="shared" si="68"/>
        <v>44958</v>
      </c>
      <c r="L731">
        <f t="shared" si="69"/>
        <v>0</v>
      </c>
    </row>
    <row r="732" spans="1:12" x14ac:dyDescent="0.3">
      <c r="A732" s="38">
        <v>44974</v>
      </c>
      <c r="B732" s="39">
        <v>1.8101612837926666</v>
      </c>
      <c r="C732" s="39">
        <v>2.5671495884657674</v>
      </c>
      <c r="D732" s="39">
        <v>-6.7822443486224557</v>
      </c>
      <c r="E732" s="39">
        <v>6.3891240936728337</v>
      </c>
      <c r="G732">
        <f t="shared" si="65"/>
        <v>17</v>
      </c>
      <c r="H732">
        <v>1</v>
      </c>
      <c r="I732">
        <f t="shared" si="66"/>
        <v>2</v>
      </c>
      <c r="J732">
        <f t="shared" si="67"/>
        <v>2023</v>
      </c>
      <c r="K732" s="17">
        <f t="shared" si="68"/>
        <v>44958</v>
      </c>
      <c r="L732">
        <f t="shared" si="69"/>
        <v>0</v>
      </c>
    </row>
    <row r="733" spans="1:12" x14ac:dyDescent="0.3">
      <c r="A733" s="38">
        <v>44973</v>
      </c>
      <c r="B733" s="39">
        <v>3.4458749284172683</v>
      </c>
      <c r="C733" s="39">
        <v>4.2860729081418469</v>
      </c>
      <c r="D733" s="39">
        <v>-6.1493106143369403</v>
      </c>
      <c r="E733" s="39">
        <v>8.1072350360569345</v>
      </c>
      <c r="G733">
        <f t="shared" si="65"/>
        <v>16</v>
      </c>
      <c r="H733">
        <v>1</v>
      </c>
      <c r="I733">
        <f t="shared" si="66"/>
        <v>2</v>
      </c>
      <c r="J733">
        <f t="shared" si="67"/>
        <v>2023</v>
      </c>
      <c r="K733" s="17">
        <f t="shared" si="68"/>
        <v>44958</v>
      </c>
      <c r="L733">
        <f t="shared" si="69"/>
        <v>0</v>
      </c>
    </row>
    <row r="734" spans="1:12" x14ac:dyDescent="0.3">
      <c r="A734" s="38">
        <v>44972</v>
      </c>
      <c r="B734" s="39">
        <v>4.4461001221806669</v>
      </c>
      <c r="C734" s="39">
        <v>5.2394895467378717</v>
      </c>
      <c r="D734" s="39">
        <v>-5.6461759389952988</v>
      </c>
      <c r="E734" s="39">
        <v>9.4596768485787379</v>
      </c>
      <c r="G734">
        <f t="shared" si="65"/>
        <v>15</v>
      </c>
      <c r="H734">
        <v>1</v>
      </c>
      <c r="I734">
        <f t="shared" si="66"/>
        <v>2</v>
      </c>
      <c r="J734">
        <f t="shared" si="67"/>
        <v>2023</v>
      </c>
      <c r="K734" s="17">
        <f t="shared" si="68"/>
        <v>44958</v>
      </c>
      <c r="L734">
        <f t="shared" si="69"/>
        <v>0</v>
      </c>
    </row>
    <row r="735" spans="1:12" x14ac:dyDescent="0.3">
      <c r="A735" s="38">
        <v>44971</v>
      </c>
      <c r="B735" s="39">
        <v>3.3538843441653938</v>
      </c>
      <c r="C735" s="39">
        <v>4.3143333916797815</v>
      </c>
      <c r="D735" s="39">
        <v>-7.0996481079229454</v>
      </c>
      <c r="E735" s="39">
        <v>8.2552547678977959</v>
      </c>
      <c r="G735">
        <f t="shared" si="65"/>
        <v>14</v>
      </c>
      <c r="H735">
        <v>1</v>
      </c>
      <c r="I735">
        <f t="shared" si="66"/>
        <v>2</v>
      </c>
      <c r="J735">
        <f t="shared" si="67"/>
        <v>2023</v>
      </c>
      <c r="K735" s="17">
        <f t="shared" si="68"/>
        <v>44958</v>
      </c>
      <c r="L735">
        <f t="shared" si="69"/>
        <v>0</v>
      </c>
    </row>
    <row r="736" spans="1:12" x14ac:dyDescent="0.3">
      <c r="A736" s="38">
        <v>44970</v>
      </c>
      <c r="B736" s="39">
        <v>2.1379189272023638</v>
      </c>
      <c r="C736" s="39">
        <v>3.1021818535394772</v>
      </c>
      <c r="D736" s="39">
        <v>-8.5674580886599614</v>
      </c>
      <c r="E736" s="39">
        <v>7.1955714948660159</v>
      </c>
      <c r="G736">
        <f t="shared" si="65"/>
        <v>13</v>
      </c>
      <c r="H736">
        <v>1</v>
      </c>
      <c r="I736">
        <f t="shared" si="66"/>
        <v>2</v>
      </c>
      <c r="J736">
        <f t="shared" si="67"/>
        <v>2023</v>
      </c>
      <c r="K736" s="17">
        <f t="shared" si="68"/>
        <v>44958</v>
      </c>
      <c r="L736">
        <f t="shared" si="69"/>
        <v>0</v>
      </c>
    </row>
    <row r="737" spans="1:12" x14ac:dyDescent="0.3">
      <c r="A737" s="38">
        <v>44967</v>
      </c>
      <c r="B737" s="39">
        <v>2.8205779930187163</v>
      </c>
      <c r="C737" s="39">
        <v>3.8070182144514035</v>
      </c>
      <c r="D737" s="39">
        <v>-7.6833855855712443</v>
      </c>
      <c r="E737" s="39">
        <v>8.0720937672758311</v>
      </c>
      <c r="G737">
        <f t="shared" si="65"/>
        <v>10</v>
      </c>
      <c r="H737">
        <v>1</v>
      </c>
      <c r="I737">
        <f t="shared" si="66"/>
        <v>2</v>
      </c>
      <c r="J737">
        <f t="shared" si="67"/>
        <v>2023</v>
      </c>
      <c r="K737" s="17">
        <f t="shared" si="68"/>
        <v>44958</v>
      </c>
      <c r="L737">
        <f t="shared" si="69"/>
        <v>0</v>
      </c>
    </row>
    <row r="738" spans="1:12" x14ac:dyDescent="0.3">
      <c r="A738" s="38">
        <v>44966</v>
      </c>
      <c r="B738" s="39">
        <v>4.7663396089148051</v>
      </c>
      <c r="C738" s="39">
        <v>5.7134418300026368</v>
      </c>
      <c r="D738" s="39">
        <v>-6.1958210186315199</v>
      </c>
      <c r="E738" s="39">
        <v>10.075469710848211</v>
      </c>
      <c r="G738">
        <f t="shared" si="65"/>
        <v>9</v>
      </c>
      <c r="H738">
        <v>1</v>
      </c>
      <c r="I738">
        <f t="shared" si="66"/>
        <v>2</v>
      </c>
      <c r="J738">
        <f t="shared" si="67"/>
        <v>2023</v>
      </c>
      <c r="K738" s="17">
        <f t="shared" si="68"/>
        <v>44958</v>
      </c>
      <c r="L738">
        <f t="shared" si="69"/>
        <v>0</v>
      </c>
    </row>
    <row r="739" spans="1:12" x14ac:dyDescent="0.3">
      <c r="A739" s="38">
        <v>44965</v>
      </c>
      <c r="B739" s="39">
        <v>5.618870346404691</v>
      </c>
      <c r="C739" s="39">
        <v>6.4541702000265246</v>
      </c>
      <c r="D739" s="39">
        <v>-5.684450412002704</v>
      </c>
      <c r="E739" s="39">
        <v>11.156606922479824</v>
      </c>
      <c r="G739">
        <f t="shared" si="65"/>
        <v>8</v>
      </c>
      <c r="H739">
        <v>1</v>
      </c>
      <c r="I739">
        <f t="shared" si="66"/>
        <v>2</v>
      </c>
      <c r="J739">
        <f t="shared" si="67"/>
        <v>2023</v>
      </c>
      <c r="K739" s="17">
        <f t="shared" si="68"/>
        <v>44958</v>
      </c>
      <c r="L739">
        <f t="shared" si="69"/>
        <v>0</v>
      </c>
    </row>
    <row r="740" spans="1:12" x14ac:dyDescent="0.3">
      <c r="A740" s="38">
        <v>44964</v>
      </c>
      <c r="B740" s="39">
        <v>4.3806395403881453</v>
      </c>
      <c r="C740" s="39">
        <v>5.2339678044913569</v>
      </c>
      <c r="D740" s="39">
        <v>-6.8487903227771341</v>
      </c>
      <c r="E740" s="39">
        <v>9.9712962476535409</v>
      </c>
      <c r="G740">
        <f t="shared" si="65"/>
        <v>7</v>
      </c>
      <c r="H740">
        <v>1</v>
      </c>
      <c r="I740">
        <f t="shared" si="66"/>
        <v>2</v>
      </c>
      <c r="J740">
        <f t="shared" si="67"/>
        <v>2023</v>
      </c>
      <c r="K740" s="17">
        <f t="shared" si="68"/>
        <v>44958</v>
      </c>
      <c r="L740">
        <f t="shared" si="69"/>
        <v>0</v>
      </c>
    </row>
    <row r="741" spans="1:12" x14ac:dyDescent="0.3">
      <c r="A741" s="38">
        <v>44963</v>
      </c>
      <c r="B741" s="39">
        <v>5.8373165714450153</v>
      </c>
      <c r="C741" s="39">
        <v>6.4345771741486288</v>
      </c>
      <c r="D741" s="39">
        <v>-5.0568688112569902</v>
      </c>
      <c r="E741" s="39">
        <v>11.706633563922068</v>
      </c>
      <c r="G741">
        <f t="shared" si="65"/>
        <v>6</v>
      </c>
      <c r="H741">
        <v>1</v>
      </c>
      <c r="I741">
        <f t="shared" si="66"/>
        <v>2</v>
      </c>
      <c r="J741">
        <f t="shared" si="67"/>
        <v>2023</v>
      </c>
      <c r="K741" s="17">
        <f t="shared" si="68"/>
        <v>44958</v>
      </c>
      <c r="L741">
        <f t="shared" si="69"/>
        <v>0</v>
      </c>
    </row>
    <row r="742" spans="1:12" x14ac:dyDescent="0.3">
      <c r="A742" s="38">
        <v>44960</v>
      </c>
      <c r="B742" s="39">
        <v>7.3437813609425291</v>
      </c>
      <c r="C742" s="39">
        <v>7.9717211624411135</v>
      </c>
      <c r="D742" s="39">
        <v>-4.1874954253987084</v>
      </c>
      <c r="E742" s="39">
        <v>13.362522193777593</v>
      </c>
      <c r="G742">
        <f t="shared" si="65"/>
        <v>3</v>
      </c>
      <c r="H742">
        <v>1</v>
      </c>
      <c r="I742">
        <f t="shared" si="66"/>
        <v>2</v>
      </c>
      <c r="J742">
        <f t="shared" si="67"/>
        <v>2023</v>
      </c>
      <c r="K742" s="17">
        <f t="shared" si="68"/>
        <v>44958</v>
      </c>
      <c r="L742">
        <f t="shared" si="69"/>
        <v>1</v>
      </c>
    </row>
    <row r="743" spans="1:12" x14ac:dyDescent="0.3">
      <c r="A743" s="38">
        <v>44959</v>
      </c>
      <c r="B743" s="39">
        <v>7.1723962951002704</v>
      </c>
      <c r="C743" s="39">
        <v>7.8724490158253246</v>
      </c>
      <c r="D743" s="39">
        <v>-3.9750345249146335</v>
      </c>
      <c r="E743" s="39">
        <v>12.953909849283846</v>
      </c>
      <c r="G743">
        <f t="shared" si="65"/>
        <v>2</v>
      </c>
      <c r="H743">
        <v>1</v>
      </c>
      <c r="I743">
        <f t="shared" si="66"/>
        <v>2</v>
      </c>
      <c r="J743">
        <f t="shared" si="67"/>
        <v>2023</v>
      </c>
      <c r="K743" s="17">
        <f t="shared" si="68"/>
        <v>44958</v>
      </c>
      <c r="L743">
        <f t="shared" si="69"/>
        <v>1</v>
      </c>
    </row>
    <row r="744" spans="1:12" x14ac:dyDescent="0.3">
      <c r="A744" s="38">
        <v>44958</v>
      </c>
      <c r="B744" s="39">
        <v>8.8208498121218639</v>
      </c>
      <c r="C744" s="39">
        <v>9.5466695159048527</v>
      </c>
      <c r="D744" s="39">
        <v>-2.6078893173757081</v>
      </c>
      <c r="E744" s="39">
        <v>14.92441223330178</v>
      </c>
      <c r="G744">
        <f t="shared" si="65"/>
        <v>1</v>
      </c>
      <c r="H744">
        <v>1</v>
      </c>
      <c r="I744">
        <f t="shared" si="66"/>
        <v>2</v>
      </c>
      <c r="J744">
        <f t="shared" si="67"/>
        <v>2023</v>
      </c>
      <c r="K744" s="17">
        <f t="shared" si="68"/>
        <v>44958</v>
      </c>
      <c r="L744">
        <f t="shared" si="69"/>
        <v>1</v>
      </c>
    </row>
    <row r="745" spans="1:12" x14ac:dyDescent="0.3">
      <c r="A745" s="38">
        <v>44957</v>
      </c>
      <c r="B745" s="39">
        <v>7.7882379775155925</v>
      </c>
      <c r="C745" s="39">
        <v>10.042753552032423</v>
      </c>
      <c r="D745" s="39">
        <v>-4.9142064541521648</v>
      </c>
      <c r="E745" s="39">
        <v>14.574523448263761</v>
      </c>
      <c r="G745">
        <f t="shared" si="65"/>
        <v>31</v>
      </c>
      <c r="H745">
        <v>1</v>
      </c>
      <c r="I745">
        <f t="shared" si="66"/>
        <v>1</v>
      </c>
      <c r="J745">
        <f t="shared" si="67"/>
        <v>2023</v>
      </c>
      <c r="K745" s="17">
        <f t="shared" si="68"/>
        <v>44927</v>
      </c>
      <c r="L745">
        <f t="shared" si="69"/>
        <v>0</v>
      </c>
    </row>
    <row r="746" spans="1:12" x14ac:dyDescent="0.3">
      <c r="A746" s="38">
        <v>44956</v>
      </c>
      <c r="B746" s="39">
        <v>8.4310213269273646</v>
      </c>
      <c r="C746" s="39">
        <v>10.628671290016811</v>
      </c>
      <c r="D746" s="39">
        <v>-4.3579462236412212</v>
      </c>
      <c r="E746" s="39">
        <v>15.149785064377852</v>
      </c>
      <c r="G746">
        <f t="shared" si="65"/>
        <v>30</v>
      </c>
      <c r="H746">
        <v>1</v>
      </c>
      <c r="I746">
        <f t="shared" si="66"/>
        <v>1</v>
      </c>
      <c r="J746">
        <f t="shared" si="67"/>
        <v>2023</v>
      </c>
      <c r="K746" s="17">
        <f t="shared" si="68"/>
        <v>44927</v>
      </c>
      <c r="L746">
        <f t="shared" si="69"/>
        <v>0</v>
      </c>
    </row>
    <row r="747" spans="1:12" x14ac:dyDescent="0.3">
      <c r="A747" s="38">
        <v>44953</v>
      </c>
      <c r="B747" s="39">
        <v>10.40955024644947</v>
      </c>
      <c r="C747" s="39">
        <v>12.621388628525239</v>
      </c>
      <c r="D747" s="39">
        <v>-2.6572566132936544</v>
      </c>
      <c r="E747" s="39">
        <v>16.988226024622932</v>
      </c>
      <c r="G747">
        <f t="shared" si="65"/>
        <v>27</v>
      </c>
      <c r="H747">
        <v>1</v>
      </c>
      <c r="I747">
        <f t="shared" si="66"/>
        <v>1</v>
      </c>
      <c r="J747">
        <f t="shared" si="67"/>
        <v>2023</v>
      </c>
      <c r="K747" s="17">
        <f t="shared" si="68"/>
        <v>44927</v>
      </c>
      <c r="L747">
        <f t="shared" si="69"/>
        <v>0</v>
      </c>
    </row>
    <row r="748" spans="1:12" x14ac:dyDescent="0.3">
      <c r="A748" s="38">
        <v>44952</v>
      </c>
      <c r="B748" s="39">
        <v>9.5834336869811523</v>
      </c>
      <c r="C748" s="39">
        <v>11.806880367034466</v>
      </c>
      <c r="D748" s="39">
        <v>-3.5941100461918438</v>
      </c>
      <c r="E748" s="39">
        <v>16.201645558972885</v>
      </c>
      <c r="G748">
        <f t="shared" si="65"/>
        <v>26</v>
      </c>
      <c r="H748">
        <v>1</v>
      </c>
      <c r="I748">
        <f t="shared" si="66"/>
        <v>1</v>
      </c>
      <c r="J748">
        <f t="shared" si="67"/>
        <v>2023</v>
      </c>
      <c r="K748" s="17">
        <f t="shared" si="68"/>
        <v>44927</v>
      </c>
      <c r="L748">
        <f t="shared" si="69"/>
        <v>0</v>
      </c>
    </row>
    <row r="749" spans="1:12" x14ac:dyDescent="0.3">
      <c r="A749" s="38">
        <v>44951</v>
      </c>
      <c r="B749" s="39">
        <v>12.212282353955899</v>
      </c>
      <c r="C749" s="39">
        <v>14.318256683756246</v>
      </c>
      <c r="D749" s="39">
        <v>-1.3307380572232859</v>
      </c>
      <c r="E749" s="39">
        <v>18.953213585370918</v>
      </c>
      <c r="G749">
        <f t="shared" si="65"/>
        <v>25</v>
      </c>
      <c r="H749">
        <v>1</v>
      </c>
      <c r="I749">
        <f t="shared" si="66"/>
        <v>1</v>
      </c>
      <c r="J749">
        <f t="shared" si="67"/>
        <v>2023</v>
      </c>
      <c r="K749" s="17">
        <f t="shared" si="68"/>
        <v>44927</v>
      </c>
      <c r="L749">
        <f t="shared" si="69"/>
        <v>0</v>
      </c>
    </row>
    <row r="750" spans="1:12" x14ac:dyDescent="0.3">
      <c r="A750" s="38">
        <v>44946</v>
      </c>
      <c r="B750" s="39">
        <v>10.140603165015833</v>
      </c>
      <c r="C750" s="39">
        <v>12.33108925148575</v>
      </c>
      <c r="D750" s="39">
        <v>-3.4619225301436956</v>
      </c>
      <c r="E750" s="39">
        <v>16.637778613749504</v>
      </c>
      <c r="G750">
        <f t="shared" si="65"/>
        <v>20</v>
      </c>
      <c r="H750">
        <v>1</v>
      </c>
      <c r="I750">
        <f t="shared" si="66"/>
        <v>1</v>
      </c>
      <c r="J750">
        <f t="shared" si="67"/>
        <v>2023</v>
      </c>
      <c r="K750" s="17">
        <f t="shared" si="68"/>
        <v>44927</v>
      </c>
      <c r="L750">
        <f t="shared" si="69"/>
        <v>0</v>
      </c>
    </row>
    <row r="751" spans="1:12" x14ac:dyDescent="0.3">
      <c r="A751" s="38">
        <v>44945</v>
      </c>
      <c r="B751" s="39">
        <v>9.6642531750992759</v>
      </c>
      <c r="C751" s="39">
        <v>11.822692184712423</v>
      </c>
      <c r="D751" s="39">
        <v>-2.8999958840740447</v>
      </c>
      <c r="E751" s="39">
        <v>16.024553795235519</v>
      </c>
      <c r="G751">
        <f t="shared" si="65"/>
        <v>19</v>
      </c>
      <c r="H751">
        <v>1</v>
      </c>
      <c r="I751">
        <f t="shared" si="66"/>
        <v>1</v>
      </c>
      <c r="J751">
        <f t="shared" si="67"/>
        <v>2023</v>
      </c>
      <c r="K751" s="17">
        <f t="shared" si="68"/>
        <v>44927</v>
      </c>
      <c r="L751">
        <f t="shared" si="69"/>
        <v>0</v>
      </c>
    </row>
    <row r="752" spans="1:12" x14ac:dyDescent="0.3">
      <c r="A752" s="38">
        <v>44944</v>
      </c>
      <c r="B752" s="39">
        <v>7.9372241716428391</v>
      </c>
      <c r="C752" s="39">
        <v>10.099666156664071</v>
      </c>
      <c r="D752" s="39">
        <v>-4.3899812057883594</v>
      </c>
      <c r="E752" s="39">
        <v>14.015250984921323</v>
      </c>
      <c r="G752">
        <f t="shared" si="65"/>
        <v>18</v>
      </c>
      <c r="H752">
        <v>1</v>
      </c>
      <c r="I752">
        <f t="shared" si="66"/>
        <v>1</v>
      </c>
      <c r="J752">
        <f t="shared" si="67"/>
        <v>2023</v>
      </c>
      <c r="K752" s="17">
        <f t="shared" si="68"/>
        <v>44927</v>
      </c>
      <c r="L752">
        <f t="shared" si="69"/>
        <v>0</v>
      </c>
    </row>
    <row r="753" spans="1:12" x14ac:dyDescent="0.3">
      <c r="A753" s="38">
        <v>44943</v>
      </c>
      <c r="B753" s="39">
        <v>8.0752686914003533</v>
      </c>
      <c r="C753" s="39">
        <v>10.015823353667173</v>
      </c>
      <c r="D753" s="39">
        <v>-3.7544996337419718</v>
      </c>
      <c r="E753" s="39">
        <v>14.34063342532059</v>
      </c>
      <c r="G753">
        <f t="shared" si="65"/>
        <v>17</v>
      </c>
      <c r="H753">
        <v>1</v>
      </c>
      <c r="I753">
        <f t="shared" si="66"/>
        <v>1</v>
      </c>
      <c r="J753">
        <f t="shared" si="67"/>
        <v>2023</v>
      </c>
      <c r="K753" s="17">
        <f t="shared" si="68"/>
        <v>44927</v>
      </c>
      <c r="L753">
        <f t="shared" si="69"/>
        <v>0</v>
      </c>
    </row>
    <row r="754" spans="1:12" x14ac:dyDescent="0.3">
      <c r="A754" s="38">
        <v>44942</v>
      </c>
      <c r="B754" s="39">
        <v>8.4397764539361759</v>
      </c>
      <c r="C754" s="39">
        <v>10.298226709918438</v>
      </c>
      <c r="D754" s="39">
        <v>-3.5554629442396077</v>
      </c>
      <c r="E754" s="39">
        <v>14.822764064502195</v>
      </c>
      <c r="G754">
        <f t="shared" si="65"/>
        <v>16</v>
      </c>
      <c r="H754">
        <v>1</v>
      </c>
      <c r="I754">
        <f t="shared" si="66"/>
        <v>1</v>
      </c>
      <c r="J754">
        <f t="shared" si="67"/>
        <v>2023</v>
      </c>
      <c r="K754" s="17">
        <f t="shared" si="68"/>
        <v>44927</v>
      </c>
      <c r="L754">
        <f t="shared" si="69"/>
        <v>0</v>
      </c>
    </row>
    <row r="755" spans="1:12" x14ac:dyDescent="0.3">
      <c r="A755" s="38">
        <v>44939</v>
      </c>
      <c r="B755" s="39">
        <v>8.3576361745026304</v>
      </c>
      <c r="C755" s="39">
        <v>10.14183397292868</v>
      </c>
      <c r="D755" s="39">
        <v>-3.2829941982119948</v>
      </c>
      <c r="E755" s="39">
        <v>14.754643814961881</v>
      </c>
      <c r="G755">
        <f t="shared" si="65"/>
        <v>13</v>
      </c>
      <c r="H755">
        <v>1</v>
      </c>
      <c r="I755">
        <f t="shared" si="66"/>
        <v>1</v>
      </c>
      <c r="J755">
        <f t="shared" si="67"/>
        <v>2023</v>
      </c>
      <c r="K755" s="17">
        <f t="shared" si="68"/>
        <v>44927</v>
      </c>
      <c r="L755">
        <f t="shared" si="69"/>
        <v>0</v>
      </c>
    </row>
    <row r="756" spans="1:12" x14ac:dyDescent="0.3">
      <c r="A756" s="38">
        <v>44938</v>
      </c>
      <c r="B756" s="39">
        <v>7.5207418839510609</v>
      </c>
      <c r="C756" s="39">
        <v>9.4071018820734338</v>
      </c>
      <c r="D756" s="39">
        <v>-4.0204157988462157</v>
      </c>
      <c r="E756" s="39">
        <v>13.866583222895898</v>
      </c>
      <c r="G756">
        <f t="shared" si="65"/>
        <v>12</v>
      </c>
      <c r="H756">
        <v>1</v>
      </c>
      <c r="I756">
        <f t="shared" si="66"/>
        <v>1</v>
      </c>
      <c r="J756">
        <f t="shared" si="67"/>
        <v>2023</v>
      </c>
      <c r="K756" s="17">
        <f t="shared" si="68"/>
        <v>44927</v>
      </c>
      <c r="L756">
        <f t="shared" si="69"/>
        <v>0</v>
      </c>
    </row>
    <row r="757" spans="1:12" x14ac:dyDescent="0.3">
      <c r="A757" s="38">
        <v>44937</v>
      </c>
      <c r="B757" s="39">
        <v>7.9289835813066389</v>
      </c>
      <c r="C757" s="39">
        <v>9.8742898964988228</v>
      </c>
      <c r="D757" s="39">
        <v>-3.1971203018866134</v>
      </c>
      <c r="E757" s="39">
        <v>14.218286832030927</v>
      </c>
      <c r="G757">
        <f t="shared" si="65"/>
        <v>11</v>
      </c>
      <c r="H757">
        <v>1</v>
      </c>
      <c r="I757">
        <f t="shared" si="66"/>
        <v>1</v>
      </c>
      <c r="J757">
        <f t="shared" si="67"/>
        <v>2023</v>
      </c>
      <c r="K757" s="17">
        <f t="shared" si="68"/>
        <v>44927</v>
      </c>
      <c r="L757">
        <f t="shared" si="69"/>
        <v>0</v>
      </c>
    </row>
    <row r="758" spans="1:12" x14ac:dyDescent="0.3">
      <c r="A758" s="38">
        <v>44936</v>
      </c>
      <c r="B758" s="39">
        <v>6.691332695255241</v>
      </c>
      <c r="C758" s="39">
        <v>8.8372192654138644</v>
      </c>
      <c r="D758" s="39">
        <v>-3.9597166905788583</v>
      </c>
      <c r="E758" s="39">
        <v>12.726247723035144</v>
      </c>
      <c r="G758">
        <f t="shared" si="65"/>
        <v>10</v>
      </c>
      <c r="H758">
        <v>1</v>
      </c>
      <c r="I758">
        <f t="shared" si="66"/>
        <v>1</v>
      </c>
      <c r="J758">
        <f t="shared" si="67"/>
        <v>2023</v>
      </c>
      <c r="K758" s="17">
        <f t="shared" si="68"/>
        <v>44927</v>
      </c>
      <c r="L758">
        <f t="shared" si="69"/>
        <v>0</v>
      </c>
    </row>
    <row r="759" spans="1:12" x14ac:dyDescent="0.3">
      <c r="A759" s="38">
        <v>44935</v>
      </c>
      <c r="B759" s="39">
        <v>6.4052950738961272</v>
      </c>
      <c r="C759" s="39">
        <v>8.5092483642176262</v>
      </c>
      <c r="D759" s="39">
        <v>-4.4327051943820805</v>
      </c>
      <c r="E759" s="39">
        <v>12.434968965957481</v>
      </c>
      <c r="G759">
        <f t="shared" si="65"/>
        <v>9</v>
      </c>
      <c r="H759">
        <v>1</v>
      </c>
      <c r="I759">
        <f t="shared" si="66"/>
        <v>1</v>
      </c>
      <c r="J759">
        <f t="shared" si="67"/>
        <v>2023</v>
      </c>
      <c r="K759" s="17">
        <f t="shared" si="68"/>
        <v>44927</v>
      </c>
      <c r="L759">
        <f t="shared" si="69"/>
        <v>0</v>
      </c>
    </row>
    <row r="760" spans="1:12" x14ac:dyDescent="0.3">
      <c r="A760" s="38">
        <v>44932</v>
      </c>
      <c r="B760" s="39">
        <v>5.8732914299890808</v>
      </c>
      <c r="C760" s="39">
        <v>8.0289124270373691</v>
      </c>
      <c r="D760" s="39">
        <v>-4.7427400949375453</v>
      </c>
      <c r="E760" s="39">
        <v>11.89409402698314</v>
      </c>
      <c r="G760">
        <f t="shared" si="65"/>
        <v>6</v>
      </c>
      <c r="H760">
        <v>1</v>
      </c>
      <c r="I760">
        <f t="shared" si="66"/>
        <v>1</v>
      </c>
      <c r="J760">
        <f t="shared" si="67"/>
        <v>2023</v>
      </c>
      <c r="K760" s="17">
        <f t="shared" si="68"/>
        <v>44927</v>
      </c>
      <c r="L760">
        <f t="shared" si="69"/>
        <v>0</v>
      </c>
    </row>
    <row r="761" spans="1:12" x14ac:dyDescent="0.3">
      <c r="A761" s="38">
        <v>44931</v>
      </c>
      <c r="B761" s="39">
        <v>6.2816810562930385</v>
      </c>
      <c r="C761" s="39">
        <v>8.4301126707641458</v>
      </c>
      <c r="D761" s="39">
        <v>-4.4013199671702097</v>
      </c>
      <c r="E761" s="39">
        <v>12.390650742608585</v>
      </c>
      <c r="G761">
        <f t="shared" si="65"/>
        <v>5</v>
      </c>
      <c r="H761">
        <v>1</v>
      </c>
      <c r="I761">
        <f t="shared" si="66"/>
        <v>1</v>
      </c>
      <c r="J761">
        <f t="shared" si="67"/>
        <v>2023</v>
      </c>
      <c r="K761" s="17">
        <f t="shared" si="68"/>
        <v>44927</v>
      </c>
      <c r="L761">
        <f t="shared" si="69"/>
        <v>0</v>
      </c>
    </row>
    <row r="762" spans="1:12" x14ac:dyDescent="0.3">
      <c r="A762" s="38">
        <v>44930</v>
      </c>
      <c r="B762" s="39">
        <v>4.6925011796191853</v>
      </c>
      <c r="C762" s="39">
        <v>6.8534001780258649</v>
      </c>
      <c r="D762" s="39">
        <v>-6.1643317864085674</v>
      </c>
      <c r="E762" s="39">
        <v>10.709237415569064</v>
      </c>
      <c r="G762">
        <f t="shared" si="65"/>
        <v>4</v>
      </c>
      <c r="H762">
        <v>1</v>
      </c>
      <c r="I762">
        <f t="shared" si="66"/>
        <v>1</v>
      </c>
      <c r="J762">
        <f t="shared" si="67"/>
        <v>2023</v>
      </c>
      <c r="K762" s="17">
        <f t="shared" si="68"/>
        <v>44927</v>
      </c>
      <c r="L762">
        <f t="shared" si="69"/>
        <v>1</v>
      </c>
    </row>
    <row r="763" spans="1:12" x14ac:dyDescent="0.3">
      <c r="A763" s="38">
        <v>44929</v>
      </c>
      <c r="B763" s="39">
        <v>5.2523241507388292</v>
      </c>
      <c r="C763" s="39">
        <v>7.5443750726053054</v>
      </c>
      <c r="D763" s="39">
        <v>-6.0792187616430056</v>
      </c>
      <c r="E763" s="39">
        <v>10.996252814682364</v>
      </c>
      <c r="G763">
        <f t="shared" si="65"/>
        <v>3</v>
      </c>
      <c r="H763">
        <v>1</v>
      </c>
      <c r="I763">
        <f t="shared" si="66"/>
        <v>1</v>
      </c>
      <c r="J763">
        <f t="shared" si="67"/>
        <v>2023</v>
      </c>
      <c r="K763" s="17">
        <f t="shared" si="68"/>
        <v>44927</v>
      </c>
      <c r="L763">
        <f t="shared" si="69"/>
        <v>1</v>
      </c>
    </row>
    <row r="764" spans="1:12" x14ac:dyDescent="0.3">
      <c r="A764" s="38">
        <v>44925</v>
      </c>
      <c r="B764" s="39">
        <v>5.680999980405673</v>
      </c>
      <c r="C764" s="39">
        <v>10.16376233810935</v>
      </c>
      <c r="D764" s="39">
        <v>-3.0295782773532665</v>
      </c>
      <c r="E764" s="39">
        <v>11.13746525417443</v>
      </c>
      <c r="G764">
        <f t="shared" si="65"/>
        <v>30</v>
      </c>
      <c r="H764">
        <v>1</v>
      </c>
      <c r="I764">
        <f t="shared" si="66"/>
        <v>12</v>
      </c>
      <c r="J764">
        <f t="shared" si="67"/>
        <v>2022</v>
      </c>
      <c r="K764" s="17">
        <f t="shared" si="68"/>
        <v>44896</v>
      </c>
      <c r="L764">
        <f t="shared" si="69"/>
        <v>0</v>
      </c>
    </row>
    <row r="765" spans="1:12" x14ac:dyDescent="0.3">
      <c r="A765" s="38">
        <v>44924</v>
      </c>
      <c r="B765" s="39">
        <v>5.7689117876457914</v>
      </c>
      <c r="C765" s="39">
        <v>10.223057363674087</v>
      </c>
      <c r="D765" s="39">
        <v>-2.7738730313348157</v>
      </c>
      <c r="E765" s="39">
        <v>11.382722217624675</v>
      </c>
      <c r="G765">
        <f t="shared" si="65"/>
        <v>29</v>
      </c>
      <c r="H765">
        <v>1</v>
      </c>
      <c r="I765">
        <f t="shared" si="66"/>
        <v>12</v>
      </c>
      <c r="J765">
        <f t="shared" si="67"/>
        <v>2022</v>
      </c>
      <c r="K765" s="17">
        <f t="shared" si="68"/>
        <v>44896</v>
      </c>
      <c r="L765">
        <f t="shared" si="69"/>
        <v>0</v>
      </c>
    </row>
    <row r="766" spans="1:12" x14ac:dyDescent="0.3">
      <c r="A766" s="38">
        <v>44923</v>
      </c>
      <c r="B766" s="39">
        <v>5.4891086127730944</v>
      </c>
      <c r="C766" s="39">
        <v>9.9187594603769753</v>
      </c>
      <c r="D766" s="39">
        <v>-2.9412703341957922</v>
      </c>
      <c r="E766" s="39">
        <v>11.002463164222334</v>
      </c>
      <c r="G766">
        <f t="shared" si="65"/>
        <v>28</v>
      </c>
      <c r="H766">
        <v>1</v>
      </c>
      <c r="I766">
        <f t="shared" si="66"/>
        <v>12</v>
      </c>
      <c r="J766">
        <f t="shared" si="67"/>
        <v>2022</v>
      </c>
      <c r="K766" s="17">
        <f t="shared" si="68"/>
        <v>44896</v>
      </c>
      <c r="L766">
        <f t="shared" si="69"/>
        <v>0</v>
      </c>
    </row>
    <row r="767" spans="1:12" x14ac:dyDescent="0.3">
      <c r="A767" s="38">
        <v>44918</v>
      </c>
      <c r="B767" s="39">
        <v>3.4180706111886678</v>
      </c>
      <c r="C767" s="39">
        <v>8.1712388785299623</v>
      </c>
      <c r="D767" s="39">
        <v>-4.0868245549020372</v>
      </c>
      <c r="E767" s="39">
        <v>8.5388237674029313</v>
      </c>
      <c r="G767">
        <f t="shared" si="65"/>
        <v>23</v>
      </c>
      <c r="H767">
        <v>1</v>
      </c>
      <c r="I767">
        <f t="shared" si="66"/>
        <v>12</v>
      </c>
      <c r="J767">
        <f t="shared" si="67"/>
        <v>2022</v>
      </c>
      <c r="K767" s="17">
        <f t="shared" si="68"/>
        <v>44896</v>
      </c>
      <c r="L767">
        <f t="shared" si="69"/>
        <v>0</v>
      </c>
    </row>
    <row r="768" spans="1:12" x14ac:dyDescent="0.3">
      <c r="A768" s="38">
        <v>44917</v>
      </c>
      <c r="B768" s="39">
        <v>3.5578694369468877</v>
      </c>
      <c r="C768" s="39">
        <v>8.3166939026810667</v>
      </c>
      <c r="D768" s="39">
        <v>-4.0444881072331782</v>
      </c>
      <c r="E768" s="39">
        <v>8.8209719783823459</v>
      </c>
      <c r="G768">
        <f t="shared" si="65"/>
        <v>22</v>
      </c>
      <c r="H768">
        <v>1</v>
      </c>
      <c r="I768">
        <f t="shared" si="66"/>
        <v>12</v>
      </c>
      <c r="J768">
        <f t="shared" si="67"/>
        <v>2022</v>
      </c>
      <c r="K768" s="17">
        <f t="shared" si="68"/>
        <v>44896</v>
      </c>
      <c r="L768">
        <f t="shared" si="69"/>
        <v>0</v>
      </c>
    </row>
    <row r="769" spans="1:12" x14ac:dyDescent="0.3">
      <c r="A769" s="38">
        <v>44916</v>
      </c>
      <c r="B769" s="39">
        <v>3.9000710662450757</v>
      </c>
      <c r="C769" s="39">
        <v>8.5353446589212894</v>
      </c>
      <c r="D769" s="39">
        <v>-3.6101715777671899</v>
      </c>
      <c r="E769" s="39">
        <v>9.3441138146169607</v>
      </c>
      <c r="G769">
        <f t="shared" si="65"/>
        <v>21</v>
      </c>
      <c r="H769">
        <v>1</v>
      </c>
      <c r="I769">
        <f t="shared" si="66"/>
        <v>12</v>
      </c>
      <c r="J769">
        <f t="shared" si="67"/>
        <v>2022</v>
      </c>
      <c r="K769" s="17">
        <f t="shared" si="68"/>
        <v>44896</v>
      </c>
      <c r="L769">
        <f t="shared" si="69"/>
        <v>0</v>
      </c>
    </row>
    <row r="770" spans="1:12" x14ac:dyDescent="0.3">
      <c r="A770" s="38">
        <v>44915</v>
      </c>
      <c r="B770" s="39">
        <v>2.9225920833489454</v>
      </c>
      <c r="C770" s="39">
        <v>7.4459095379147442</v>
      </c>
      <c r="D770" s="39">
        <v>-4.7701302612655496</v>
      </c>
      <c r="E770" s="39">
        <v>8.6723110195229367</v>
      </c>
      <c r="G770">
        <f t="shared" si="65"/>
        <v>20</v>
      </c>
      <c r="H770">
        <v>1</v>
      </c>
      <c r="I770">
        <f t="shared" si="66"/>
        <v>12</v>
      </c>
      <c r="J770">
        <f t="shared" si="67"/>
        <v>2022</v>
      </c>
      <c r="K770" s="17">
        <f t="shared" si="68"/>
        <v>44896</v>
      </c>
      <c r="L770">
        <f t="shared" si="69"/>
        <v>0</v>
      </c>
    </row>
    <row r="771" spans="1:12" x14ac:dyDescent="0.3">
      <c r="A771" s="38">
        <v>44914</v>
      </c>
      <c r="B771" s="39">
        <v>4.411410632443733</v>
      </c>
      <c r="C771" s="39">
        <v>9.0261720865150181</v>
      </c>
      <c r="D771" s="39">
        <v>-3.5036536920079868</v>
      </c>
      <c r="E771" s="39">
        <v>10.475567498820766</v>
      </c>
      <c r="G771">
        <f t="shared" si="65"/>
        <v>19</v>
      </c>
      <c r="H771">
        <v>1</v>
      </c>
      <c r="I771">
        <f t="shared" si="66"/>
        <v>12</v>
      </c>
      <c r="J771">
        <f t="shared" si="67"/>
        <v>2022</v>
      </c>
      <c r="K771" s="17">
        <f t="shared" si="68"/>
        <v>44896</v>
      </c>
      <c r="L771">
        <f t="shared" si="69"/>
        <v>0</v>
      </c>
    </row>
    <row r="772" spans="1:12" x14ac:dyDescent="0.3">
      <c r="A772" s="38">
        <v>44911</v>
      </c>
      <c r="B772" s="39">
        <v>6.2857929626396896</v>
      </c>
      <c r="C772" s="39">
        <v>10.516778531678582</v>
      </c>
      <c r="D772" s="39">
        <v>-2.1759037825936645</v>
      </c>
      <c r="E772" s="39">
        <v>12.686372129896554</v>
      </c>
      <c r="G772">
        <f t="shared" si="65"/>
        <v>16</v>
      </c>
      <c r="H772">
        <v>1</v>
      </c>
      <c r="I772">
        <f t="shared" si="66"/>
        <v>12</v>
      </c>
      <c r="J772">
        <f t="shared" si="67"/>
        <v>2022</v>
      </c>
      <c r="K772" s="17">
        <f t="shared" si="68"/>
        <v>44896</v>
      </c>
      <c r="L772">
        <f t="shared" si="69"/>
        <v>0</v>
      </c>
    </row>
    <row r="773" spans="1:12" x14ac:dyDescent="0.3">
      <c r="A773" s="38">
        <v>44910</v>
      </c>
      <c r="B773" s="39">
        <v>6.6905427322878381</v>
      </c>
      <c r="C773" s="39">
        <v>10.858524456800723</v>
      </c>
      <c r="D773" s="39">
        <v>-1.5761556835280714</v>
      </c>
      <c r="E773" s="39">
        <v>12.914135197911804</v>
      </c>
      <c r="G773">
        <f t="shared" ref="G773:G836" si="70">+DAY(A773)</f>
        <v>15</v>
      </c>
      <c r="H773">
        <v>1</v>
      </c>
      <c r="I773">
        <f t="shared" ref="I773:I836" si="71">+MONTH(A773)</f>
        <v>12</v>
      </c>
      <c r="J773">
        <f t="shared" ref="J773:J836" si="72">+YEAR(A773)</f>
        <v>2022</v>
      </c>
      <c r="K773" s="17">
        <f t="shared" ref="K773:K836" si="73">+DATE(J773,I773,H773)</f>
        <v>44896</v>
      </c>
      <c r="L773">
        <f t="shared" ref="L773:L836" si="74">IF(AND(G773&gt;=1, G773&lt;=4), 1, 0)</f>
        <v>0</v>
      </c>
    </row>
    <row r="774" spans="1:12" x14ac:dyDescent="0.3">
      <c r="A774" s="38">
        <v>44909</v>
      </c>
      <c r="B774" s="39">
        <v>5.2745754896084946</v>
      </c>
      <c r="C774" s="39">
        <v>9.4022602069653516</v>
      </c>
      <c r="D774" s="39">
        <v>-2.650264147335875</v>
      </c>
      <c r="E774" s="39">
        <v>11.330846303478467</v>
      </c>
      <c r="G774">
        <f t="shared" si="70"/>
        <v>14</v>
      </c>
      <c r="H774">
        <v>1</v>
      </c>
      <c r="I774">
        <f t="shared" si="71"/>
        <v>12</v>
      </c>
      <c r="J774">
        <f t="shared" si="72"/>
        <v>2022</v>
      </c>
      <c r="K774" s="17">
        <f t="shared" si="73"/>
        <v>44896</v>
      </c>
      <c r="L774">
        <f t="shared" si="74"/>
        <v>0</v>
      </c>
    </row>
    <row r="775" spans="1:12" x14ac:dyDescent="0.3">
      <c r="A775" s="38">
        <v>44908</v>
      </c>
      <c r="B775" s="39">
        <v>3.7949154657071915</v>
      </c>
      <c r="C775" s="39">
        <v>7.944497331977729</v>
      </c>
      <c r="D775" s="39">
        <v>-3.7612520443265254</v>
      </c>
      <c r="E775" s="39">
        <v>9.5330649149106108</v>
      </c>
      <c r="G775">
        <f t="shared" si="70"/>
        <v>13</v>
      </c>
      <c r="H775">
        <v>1</v>
      </c>
      <c r="I775">
        <f t="shared" si="71"/>
        <v>12</v>
      </c>
      <c r="J775">
        <f t="shared" si="72"/>
        <v>2022</v>
      </c>
      <c r="K775" s="17">
        <f t="shared" si="73"/>
        <v>44896</v>
      </c>
      <c r="L775">
        <f t="shared" si="74"/>
        <v>0</v>
      </c>
    </row>
    <row r="776" spans="1:12" x14ac:dyDescent="0.3">
      <c r="A776" s="38">
        <v>44907</v>
      </c>
      <c r="B776" s="39">
        <v>2.2912450568485525</v>
      </c>
      <c r="C776" s="39">
        <v>6.5143498599755816</v>
      </c>
      <c r="D776" s="39">
        <v>-4.6117380739586338</v>
      </c>
      <c r="E776" s="39">
        <v>7.975212383561157</v>
      </c>
      <c r="G776">
        <f t="shared" si="70"/>
        <v>12</v>
      </c>
      <c r="H776">
        <v>1</v>
      </c>
      <c r="I776">
        <f t="shared" si="71"/>
        <v>12</v>
      </c>
      <c r="J776">
        <f t="shared" si="72"/>
        <v>2022</v>
      </c>
      <c r="K776" s="17">
        <f t="shared" si="73"/>
        <v>44896</v>
      </c>
      <c r="L776">
        <f t="shared" si="74"/>
        <v>0</v>
      </c>
    </row>
    <row r="777" spans="1:12" x14ac:dyDescent="0.3">
      <c r="A777" s="38">
        <v>44904</v>
      </c>
      <c r="B777" s="39">
        <v>4.3957047003820264</v>
      </c>
      <c r="C777" s="39">
        <v>8.5826156392287345</v>
      </c>
      <c r="D777" s="39">
        <v>-2.0711947775952524</v>
      </c>
      <c r="E777" s="39">
        <v>9.8630594009360806</v>
      </c>
      <c r="G777">
        <f t="shared" si="70"/>
        <v>9</v>
      </c>
      <c r="H777">
        <v>1</v>
      </c>
      <c r="I777">
        <f t="shared" si="71"/>
        <v>12</v>
      </c>
      <c r="J777">
        <f t="shared" si="72"/>
        <v>2022</v>
      </c>
      <c r="K777" s="17">
        <f t="shared" si="73"/>
        <v>44896</v>
      </c>
      <c r="L777">
        <f t="shared" si="74"/>
        <v>0</v>
      </c>
    </row>
    <row r="778" spans="1:12" x14ac:dyDescent="0.3">
      <c r="A778" s="38">
        <v>44903</v>
      </c>
      <c r="B778" s="39">
        <v>1.7807105170769688</v>
      </c>
      <c r="C778" s="39">
        <v>6.0270579040677887</v>
      </c>
      <c r="D778" s="39">
        <v>-5.2127992039485775</v>
      </c>
      <c r="E778" s="39">
        <v>7.3830748492228508</v>
      </c>
      <c r="G778">
        <f t="shared" si="70"/>
        <v>8</v>
      </c>
      <c r="H778">
        <v>1</v>
      </c>
      <c r="I778">
        <f t="shared" si="71"/>
        <v>12</v>
      </c>
      <c r="J778">
        <f t="shared" si="72"/>
        <v>2022</v>
      </c>
      <c r="K778" s="17">
        <f t="shared" si="73"/>
        <v>44896</v>
      </c>
      <c r="L778">
        <f t="shared" si="74"/>
        <v>0</v>
      </c>
    </row>
    <row r="779" spans="1:12" x14ac:dyDescent="0.3">
      <c r="A779" s="38">
        <v>44902</v>
      </c>
      <c r="B779" s="39">
        <v>2.4875908135218339</v>
      </c>
      <c r="C779" s="39">
        <v>6.7280649236826804</v>
      </c>
      <c r="D779" s="39">
        <v>-4.7575389292464507</v>
      </c>
      <c r="E779" s="39">
        <v>8.0911650958583863</v>
      </c>
      <c r="G779">
        <f t="shared" si="70"/>
        <v>7</v>
      </c>
      <c r="H779">
        <v>1</v>
      </c>
      <c r="I779">
        <f t="shared" si="71"/>
        <v>12</v>
      </c>
      <c r="J779">
        <f t="shared" si="72"/>
        <v>2022</v>
      </c>
      <c r="K779" s="17">
        <f t="shared" si="73"/>
        <v>44896</v>
      </c>
      <c r="L779">
        <f t="shared" si="74"/>
        <v>0</v>
      </c>
    </row>
    <row r="780" spans="1:12" x14ac:dyDescent="0.3">
      <c r="A780" s="38">
        <v>44901</v>
      </c>
      <c r="B780" s="39">
        <v>2.2509941676412666</v>
      </c>
      <c r="C780" s="39">
        <v>6.3377370647516784</v>
      </c>
      <c r="D780" s="39">
        <v>-5.4911240356130406</v>
      </c>
      <c r="E780" s="39">
        <v>7.9985355087263343</v>
      </c>
      <c r="G780">
        <f t="shared" si="70"/>
        <v>6</v>
      </c>
      <c r="H780">
        <v>1</v>
      </c>
      <c r="I780">
        <f t="shared" si="71"/>
        <v>12</v>
      </c>
      <c r="J780">
        <f t="shared" si="72"/>
        <v>2022</v>
      </c>
      <c r="K780" s="17">
        <f t="shared" si="73"/>
        <v>44896</v>
      </c>
      <c r="L780">
        <f t="shared" si="74"/>
        <v>0</v>
      </c>
    </row>
    <row r="781" spans="1:12" x14ac:dyDescent="0.3">
      <c r="A781" s="38">
        <v>44900</v>
      </c>
      <c r="B781" s="39">
        <v>2.9532322583462474</v>
      </c>
      <c r="C781" s="39">
        <v>6.8242229361678568</v>
      </c>
      <c r="D781" s="39">
        <v>-4.9808906398285586</v>
      </c>
      <c r="E781" s="39">
        <v>8.7517241274627224</v>
      </c>
      <c r="G781">
        <f t="shared" si="70"/>
        <v>5</v>
      </c>
      <c r="H781">
        <v>1</v>
      </c>
      <c r="I781">
        <f t="shared" si="71"/>
        <v>12</v>
      </c>
      <c r="J781">
        <f t="shared" si="72"/>
        <v>2022</v>
      </c>
      <c r="K781" s="17">
        <f t="shared" si="73"/>
        <v>44896</v>
      </c>
      <c r="L781">
        <f t="shared" si="74"/>
        <v>0</v>
      </c>
    </row>
    <row r="782" spans="1:12" x14ac:dyDescent="0.3">
      <c r="A782" s="38">
        <v>44897</v>
      </c>
      <c r="B782" s="39">
        <v>3.9450508278784753</v>
      </c>
      <c r="C782" s="39">
        <v>7.7223669101229575</v>
      </c>
      <c r="D782" s="39">
        <v>-4.0078708635854525</v>
      </c>
      <c r="E782" s="39">
        <v>9.9085386534785016</v>
      </c>
      <c r="G782">
        <f t="shared" si="70"/>
        <v>2</v>
      </c>
      <c r="H782">
        <v>1</v>
      </c>
      <c r="I782">
        <f t="shared" si="71"/>
        <v>12</v>
      </c>
      <c r="J782">
        <f t="shared" si="72"/>
        <v>2022</v>
      </c>
      <c r="K782" s="17">
        <f t="shared" si="73"/>
        <v>44896</v>
      </c>
      <c r="L782">
        <f t="shared" si="74"/>
        <v>1</v>
      </c>
    </row>
    <row r="783" spans="1:12" x14ac:dyDescent="0.3">
      <c r="A783" s="38">
        <v>44896</v>
      </c>
      <c r="B783" s="39">
        <v>4.8972585545609348</v>
      </c>
      <c r="C783" s="39">
        <v>8.6291819142195578</v>
      </c>
      <c r="D783" s="39">
        <v>-3.0184928838210823</v>
      </c>
      <c r="E783" s="39">
        <v>10.941933843389492</v>
      </c>
      <c r="G783">
        <f t="shared" si="70"/>
        <v>1</v>
      </c>
      <c r="H783">
        <v>1</v>
      </c>
      <c r="I783">
        <f t="shared" si="71"/>
        <v>12</v>
      </c>
      <c r="J783">
        <f t="shared" si="72"/>
        <v>2022</v>
      </c>
      <c r="K783" s="17">
        <f t="shared" si="73"/>
        <v>44896</v>
      </c>
      <c r="L783">
        <f t="shared" si="74"/>
        <v>1</v>
      </c>
    </row>
    <row r="784" spans="1:12" x14ac:dyDescent="0.3">
      <c r="A784" s="38">
        <v>44895</v>
      </c>
      <c r="B784" s="39">
        <v>3.7033914045665881</v>
      </c>
      <c r="C784" s="39">
        <v>7.980840773046566</v>
      </c>
      <c r="D784" s="39">
        <v>-3.7582602480536735</v>
      </c>
      <c r="E784" s="39">
        <v>9.3726067703354943</v>
      </c>
      <c r="G784">
        <f t="shared" si="70"/>
        <v>30</v>
      </c>
      <c r="H784">
        <v>1</v>
      </c>
      <c r="I784">
        <f t="shared" si="71"/>
        <v>11</v>
      </c>
      <c r="J784">
        <f t="shared" si="72"/>
        <v>2022</v>
      </c>
      <c r="K784" s="17">
        <f t="shared" si="73"/>
        <v>44866</v>
      </c>
      <c r="L784">
        <f t="shared" si="74"/>
        <v>0</v>
      </c>
    </row>
    <row r="785" spans="1:12" x14ac:dyDescent="0.3">
      <c r="A785" s="38">
        <v>44894</v>
      </c>
      <c r="B785" s="39">
        <v>2.5988813733136311</v>
      </c>
      <c r="C785" s="39">
        <v>7.1066307357531002</v>
      </c>
      <c r="D785" s="39">
        <v>-4.2075992758832257</v>
      </c>
      <c r="E785" s="39">
        <v>7.6033493188408272</v>
      </c>
      <c r="G785">
        <f t="shared" si="70"/>
        <v>29</v>
      </c>
      <c r="H785">
        <v>1</v>
      </c>
      <c r="I785">
        <f t="shared" si="71"/>
        <v>11</v>
      </c>
      <c r="J785">
        <f t="shared" si="72"/>
        <v>2022</v>
      </c>
      <c r="K785" s="17">
        <f t="shared" si="73"/>
        <v>44866</v>
      </c>
      <c r="L785">
        <f t="shared" si="74"/>
        <v>0</v>
      </c>
    </row>
    <row r="786" spans="1:12" x14ac:dyDescent="0.3">
      <c r="A786" s="38">
        <v>44893</v>
      </c>
      <c r="B786" s="39">
        <v>4.330135935970489</v>
      </c>
      <c r="C786" s="39">
        <v>8.6710679387909551</v>
      </c>
      <c r="D786" s="39">
        <v>-2.7941494530598874</v>
      </c>
      <c r="E786" s="39">
        <v>9.6697131040679665</v>
      </c>
      <c r="G786">
        <f t="shared" si="70"/>
        <v>28</v>
      </c>
      <c r="H786">
        <v>1</v>
      </c>
      <c r="I786">
        <f t="shared" si="71"/>
        <v>11</v>
      </c>
      <c r="J786">
        <f t="shared" si="72"/>
        <v>2022</v>
      </c>
      <c r="K786" s="17">
        <f t="shared" si="73"/>
        <v>44866</v>
      </c>
      <c r="L786">
        <f t="shared" si="74"/>
        <v>0</v>
      </c>
    </row>
    <row r="787" spans="1:12" x14ac:dyDescent="0.3">
      <c r="A787" s="38">
        <v>44890</v>
      </c>
      <c r="B787" s="39">
        <v>4.3609661828822226</v>
      </c>
      <c r="C787" s="39">
        <v>8.7126637922245322</v>
      </c>
      <c r="D787" s="39">
        <v>-3.0169985578614416</v>
      </c>
      <c r="E787" s="39">
        <v>9.4001687087841219</v>
      </c>
      <c r="G787">
        <f t="shared" si="70"/>
        <v>25</v>
      </c>
      <c r="H787">
        <v>1</v>
      </c>
      <c r="I787">
        <f t="shared" si="71"/>
        <v>11</v>
      </c>
      <c r="J787">
        <f t="shared" si="72"/>
        <v>2022</v>
      </c>
      <c r="K787" s="17">
        <f t="shared" si="73"/>
        <v>44866</v>
      </c>
      <c r="L787">
        <f t="shared" si="74"/>
        <v>0</v>
      </c>
    </row>
    <row r="788" spans="1:12" x14ac:dyDescent="0.3">
      <c r="A788" s="38">
        <v>44889</v>
      </c>
      <c r="B788" s="39">
        <v>7.5227522983447273</v>
      </c>
      <c r="C788" s="39">
        <v>11.88300109667351</v>
      </c>
      <c r="D788" s="39">
        <v>-2.3483789102755281E-2</v>
      </c>
      <c r="E788" s="39">
        <v>12.67569934341914</v>
      </c>
      <c r="G788">
        <f t="shared" si="70"/>
        <v>24</v>
      </c>
      <c r="H788">
        <v>1</v>
      </c>
      <c r="I788">
        <f t="shared" si="71"/>
        <v>11</v>
      </c>
      <c r="J788">
        <f t="shared" si="72"/>
        <v>2022</v>
      </c>
      <c r="K788" s="17">
        <f t="shared" si="73"/>
        <v>44866</v>
      </c>
      <c r="L788">
        <f t="shared" si="74"/>
        <v>0</v>
      </c>
    </row>
    <row r="789" spans="1:12" x14ac:dyDescent="0.3">
      <c r="A789" s="38">
        <v>44888</v>
      </c>
      <c r="B789" s="39">
        <v>6.8742759824280455</v>
      </c>
      <c r="C789" s="39">
        <v>11.312658808366891</v>
      </c>
      <c r="D789" s="39">
        <v>-1.0428533133591884</v>
      </c>
      <c r="E789" s="39">
        <v>11.821358048667719</v>
      </c>
      <c r="G789">
        <f t="shared" si="70"/>
        <v>23</v>
      </c>
      <c r="H789">
        <v>1</v>
      </c>
      <c r="I789">
        <f t="shared" si="71"/>
        <v>11</v>
      </c>
      <c r="J789">
        <f t="shared" si="72"/>
        <v>2022</v>
      </c>
      <c r="K789" s="17">
        <f t="shared" si="73"/>
        <v>44866</v>
      </c>
      <c r="L789">
        <f t="shared" si="74"/>
        <v>0</v>
      </c>
    </row>
    <row r="790" spans="1:12" x14ac:dyDescent="0.3">
      <c r="A790" s="38">
        <v>44887</v>
      </c>
      <c r="B790" s="39">
        <v>6.1708518185350982</v>
      </c>
      <c r="C790" s="39">
        <v>10.479400205078022</v>
      </c>
      <c r="D790" s="39">
        <v>-1.9058653901130782</v>
      </c>
      <c r="E790" s="39">
        <v>11.17056453244642</v>
      </c>
      <c r="G790">
        <f t="shared" si="70"/>
        <v>22</v>
      </c>
      <c r="H790">
        <v>1</v>
      </c>
      <c r="I790">
        <f t="shared" si="71"/>
        <v>11</v>
      </c>
      <c r="J790">
        <f t="shared" si="72"/>
        <v>2022</v>
      </c>
      <c r="K790" s="17">
        <f t="shared" si="73"/>
        <v>44866</v>
      </c>
      <c r="L790">
        <f t="shared" si="74"/>
        <v>0</v>
      </c>
    </row>
    <row r="791" spans="1:12" x14ac:dyDescent="0.3">
      <c r="A791" s="38">
        <v>44886</v>
      </c>
      <c r="B791" s="39">
        <v>6.0765365983129129</v>
      </c>
      <c r="C791" s="39">
        <v>10.387610392200031</v>
      </c>
      <c r="D791" s="39">
        <v>-1.6870870756565068</v>
      </c>
      <c r="E791" s="39">
        <v>11.098856994582505</v>
      </c>
      <c r="G791">
        <f t="shared" si="70"/>
        <v>21</v>
      </c>
      <c r="H791">
        <v>1</v>
      </c>
      <c r="I791">
        <f t="shared" si="71"/>
        <v>11</v>
      </c>
      <c r="J791">
        <f t="shared" si="72"/>
        <v>2022</v>
      </c>
      <c r="K791" s="17">
        <f t="shared" si="73"/>
        <v>44866</v>
      </c>
      <c r="L791">
        <f t="shared" si="74"/>
        <v>0</v>
      </c>
    </row>
    <row r="792" spans="1:12" x14ac:dyDescent="0.3">
      <c r="A792" s="38">
        <v>44883</v>
      </c>
      <c r="B792" s="39">
        <v>5.2743548181762776</v>
      </c>
      <c r="C792" s="39">
        <v>9.4379541207569559</v>
      </c>
      <c r="D792" s="39">
        <v>-2.4668581009213995</v>
      </c>
      <c r="E792" s="39">
        <v>10.165226954088013</v>
      </c>
      <c r="G792">
        <f t="shared" si="70"/>
        <v>18</v>
      </c>
      <c r="H792">
        <v>1</v>
      </c>
      <c r="I792">
        <f t="shared" si="71"/>
        <v>11</v>
      </c>
      <c r="J792">
        <f t="shared" si="72"/>
        <v>2022</v>
      </c>
      <c r="K792" s="17">
        <f t="shared" si="73"/>
        <v>44866</v>
      </c>
      <c r="L792">
        <f t="shared" si="74"/>
        <v>0</v>
      </c>
    </row>
    <row r="793" spans="1:12" x14ac:dyDescent="0.3">
      <c r="A793" s="38">
        <v>44882</v>
      </c>
      <c r="B793" s="39">
        <v>5.1998593464481218</v>
      </c>
      <c r="C793" s="39">
        <v>9.2794058093482619</v>
      </c>
      <c r="D793" s="39">
        <v>-2.2106903595991128</v>
      </c>
      <c r="E793" s="39">
        <v>10.210861300433393</v>
      </c>
      <c r="G793">
        <f t="shared" si="70"/>
        <v>17</v>
      </c>
      <c r="H793">
        <v>1</v>
      </c>
      <c r="I793">
        <f t="shared" si="71"/>
        <v>11</v>
      </c>
      <c r="J793">
        <f t="shared" si="72"/>
        <v>2022</v>
      </c>
      <c r="K793" s="17">
        <f t="shared" si="73"/>
        <v>44866</v>
      </c>
      <c r="L793">
        <f t="shared" si="74"/>
        <v>0</v>
      </c>
    </row>
    <row r="794" spans="1:12" x14ac:dyDescent="0.3">
      <c r="A794" s="38">
        <v>44881</v>
      </c>
      <c r="B794" s="39">
        <v>5.210452484324648</v>
      </c>
      <c r="C794" s="39">
        <v>9.3437845015601653</v>
      </c>
      <c r="D794" s="39">
        <v>-1.6549025605720686</v>
      </c>
      <c r="E794" s="39">
        <v>10.153100381263229</v>
      </c>
      <c r="G794">
        <f t="shared" si="70"/>
        <v>16</v>
      </c>
      <c r="H794">
        <v>1</v>
      </c>
      <c r="I794">
        <f t="shared" si="71"/>
        <v>11</v>
      </c>
      <c r="J794">
        <f t="shared" si="72"/>
        <v>2022</v>
      </c>
      <c r="K794" s="17">
        <f t="shared" si="73"/>
        <v>44866</v>
      </c>
      <c r="L794">
        <f t="shared" si="74"/>
        <v>0</v>
      </c>
    </row>
    <row r="795" spans="1:12" x14ac:dyDescent="0.3">
      <c r="A795" s="38">
        <v>44880</v>
      </c>
      <c r="B795" s="39">
        <v>5.5572556521773748</v>
      </c>
      <c r="C795" s="39">
        <v>9.6741822218285591</v>
      </c>
      <c r="D795" s="39">
        <v>-1.4876621104070438</v>
      </c>
      <c r="E795" s="39">
        <v>10.556948831243048</v>
      </c>
      <c r="G795">
        <f t="shared" si="70"/>
        <v>15</v>
      </c>
      <c r="H795">
        <v>1</v>
      </c>
      <c r="I795">
        <f t="shared" si="71"/>
        <v>11</v>
      </c>
      <c r="J795">
        <f t="shared" si="72"/>
        <v>2022</v>
      </c>
      <c r="K795" s="17">
        <f t="shared" si="73"/>
        <v>44866</v>
      </c>
      <c r="L795">
        <f t="shared" si="74"/>
        <v>0</v>
      </c>
    </row>
    <row r="796" spans="1:12" x14ac:dyDescent="0.3">
      <c r="A796" s="38">
        <v>44879</v>
      </c>
      <c r="B796" s="39">
        <v>4.0459350618930046</v>
      </c>
      <c r="C796" s="39">
        <v>8.1830747581547172</v>
      </c>
      <c r="D796" s="39">
        <v>-3.5935193259074794</v>
      </c>
      <c r="E796" s="39">
        <v>9.1096201257626461</v>
      </c>
      <c r="G796">
        <f t="shared" si="70"/>
        <v>14</v>
      </c>
      <c r="H796">
        <v>1</v>
      </c>
      <c r="I796">
        <f t="shared" si="71"/>
        <v>11</v>
      </c>
      <c r="J796">
        <f t="shared" si="72"/>
        <v>2022</v>
      </c>
      <c r="K796" s="17">
        <f t="shared" si="73"/>
        <v>44866</v>
      </c>
      <c r="L796">
        <f t="shared" si="74"/>
        <v>0</v>
      </c>
    </row>
    <row r="797" spans="1:12" x14ac:dyDescent="0.3">
      <c r="A797" s="38">
        <v>44876</v>
      </c>
      <c r="B797" s="39">
        <v>3.9409797877884785</v>
      </c>
      <c r="C797" s="39">
        <v>8.1135631524335281</v>
      </c>
      <c r="D797" s="39">
        <v>-3.5578552831566412</v>
      </c>
      <c r="E797" s="39">
        <v>8.9785585285358422</v>
      </c>
      <c r="G797">
        <f t="shared" si="70"/>
        <v>11</v>
      </c>
      <c r="H797">
        <v>1</v>
      </c>
      <c r="I797">
        <f t="shared" si="71"/>
        <v>11</v>
      </c>
      <c r="J797">
        <f t="shared" si="72"/>
        <v>2022</v>
      </c>
      <c r="K797" s="17">
        <f t="shared" si="73"/>
        <v>44866</v>
      </c>
      <c r="L797">
        <f t="shared" si="74"/>
        <v>0</v>
      </c>
    </row>
    <row r="798" spans="1:12" x14ac:dyDescent="0.3">
      <c r="A798" s="38">
        <v>44875</v>
      </c>
      <c r="B798" s="39">
        <v>4.5742343977930915</v>
      </c>
      <c r="C798" s="39">
        <v>8.7287095680269289</v>
      </c>
      <c r="D798" s="39">
        <v>-2.928053464522435</v>
      </c>
      <c r="E798" s="39">
        <v>9.7541112718405429</v>
      </c>
      <c r="G798">
        <f t="shared" si="70"/>
        <v>10</v>
      </c>
      <c r="H798">
        <v>1</v>
      </c>
      <c r="I798">
        <f t="shared" si="71"/>
        <v>11</v>
      </c>
      <c r="J798">
        <f t="shared" si="72"/>
        <v>2022</v>
      </c>
      <c r="K798" s="17">
        <f t="shared" si="73"/>
        <v>44866</v>
      </c>
      <c r="L798">
        <f t="shared" si="74"/>
        <v>0</v>
      </c>
    </row>
    <row r="799" spans="1:12" x14ac:dyDescent="0.3">
      <c r="A799" s="38">
        <v>44874</v>
      </c>
      <c r="B799" s="39">
        <v>4.5308284222099502</v>
      </c>
      <c r="C799" s="39">
        <v>8.5644023911547151</v>
      </c>
      <c r="D799" s="39">
        <v>-3.2128388284094882</v>
      </c>
      <c r="E799" s="39">
        <v>9.8698508342232429</v>
      </c>
      <c r="G799">
        <f t="shared" si="70"/>
        <v>9</v>
      </c>
      <c r="H799">
        <v>1</v>
      </c>
      <c r="I799">
        <f t="shared" si="71"/>
        <v>11</v>
      </c>
      <c r="J799">
        <f t="shared" si="72"/>
        <v>2022</v>
      </c>
      <c r="K799" s="17">
        <f t="shared" si="73"/>
        <v>44866</v>
      </c>
      <c r="L799">
        <f t="shared" si="74"/>
        <v>0</v>
      </c>
    </row>
    <row r="800" spans="1:12" x14ac:dyDescent="0.3">
      <c r="A800" s="38">
        <v>44873</v>
      </c>
      <c r="B800" s="39">
        <v>3.4850498503279539</v>
      </c>
      <c r="C800" s="39">
        <v>7.6093421417085665</v>
      </c>
      <c r="D800" s="39">
        <v>-4.0091541937998869</v>
      </c>
      <c r="E800" s="39">
        <v>8.4712225876387635</v>
      </c>
      <c r="G800">
        <f t="shared" si="70"/>
        <v>8</v>
      </c>
      <c r="H800">
        <v>1</v>
      </c>
      <c r="I800">
        <f t="shared" si="71"/>
        <v>11</v>
      </c>
      <c r="J800">
        <f t="shared" si="72"/>
        <v>2022</v>
      </c>
      <c r="K800" s="17">
        <f t="shared" si="73"/>
        <v>44866</v>
      </c>
      <c r="L800">
        <f t="shared" si="74"/>
        <v>0</v>
      </c>
    </row>
    <row r="801" spans="1:12" x14ac:dyDescent="0.3">
      <c r="A801" s="38">
        <v>44872</v>
      </c>
      <c r="B801" s="39">
        <v>3.4606762700503708</v>
      </c>
      <c r="C801" s="39">
        <v>7.6177373012845351</v>
      </c>
      <c r="D801" s="39">
        <v>-4.1701805115008455</v>
      </c>
      <c r="E801" s="39">
        <v>8.5220018338896892</v>
      </c>
      <c r="G801">
        <f t="shared" si="70"/>
        <v>7</v>
      </c>
      <c r="H801">
        <v>1</v>
      </c>
      <c r="I801">
        <f t="shared" si="71"/>
        <v>11</v>
      </c>
      <c r="J801">
        <f t="shared" si="72"/>
        <v>2022</v>
      </c>
      <c r="K801" s="17">
        <f t="shared" si="73"/>
        <v>44866</v>
      </c>
      <c r="L801">
        <f t="shared" si="74"/>
        <v>0</v>
      </c>
    </row>
    <row r="802" spans="1:12" x14ac:dyDescent="0.3">
      <c r="A802" s="38">
        <v>44869</v>
      </c>
      <c r="B802" s="39">
        <v>3.5424981945463401</v>
      </c>
      <c r="C802" s="39">
        <v>7.6149659262154898</v>
      </c>
      <c r="D802" s="39">
        <v>-4.3144492331799285</v>
      </c>
      <c r="E802" s="39">
        <v>8.8038105655725758</v>
      </c>
      <c r="G802">
        <f t="shared" si="70"/>
        <v>4</v>
      </c>
      <c r="H802">
        <v>1</v>
      </c>
      <c r="I802">
        <f t="shared" si="71"/>
        <v>11</v>
      </c>
      <c r="J802">
        <f t="shared" si="72"/>
        <v>2022</v>
      </c>
      <c r="K802" s="17">
        <f t="shared" si="73"/>
        <v>44866</v>
      </c>
      <c r="L802">
        <f t="shared" si="74"/>
        <v>1</v>
      </c>
    </row>
    <row r="803" spans="1:12" x14ac:dyDescent="0.3">
      <c r="A803" s="38">
        <v>44868</v>
      </c>
      <c r="B803" s="39">
        <v>2.4411777510952817</v>
      </c>
      <c r="C803" s="39">
        <v>6.3711360235732712</v>
      </c>
      <c r="D803" s="39">
        <v>-4.623076243291024</v>
      </c>
      <c r="E803" s="39">
        <v>7.7463527183640224</v>
      </c>
      <c r="G803">
        <f t="shared" si="70"/>
        <v>3</v>
      </c>
      <c r="H803">
        <v>1</v>
      </c>
      <c r="I803">
        <f t="shared" si="71"/>
        <v>11</v>
      </c>
      <c r="J803">
        <f t="shared" si="72"/>
        <v>2022</v>
      </c>
      <c r="K803" s="17">
        <f t="shared" si="73"/>
        <v>44866</v>
      </c>
      <c r="L803">
        <f t="shared" si="74"/>
        <v>1</v>
      </c>
    </row>
    <row r="804" spans="1:12" x14ac:dyDescent="0.3">
      <c r="A804" s="38">
        <v>44867</v>
      </c>
      <c r="B804" s="39">
        <v>0.73225459566766915</v>
      </c>
      <c r="C804" s="39">
        <v>4.6264239149900988</v>
      </c>
      <c r="D804" s="39">
        <v>-5.8286804488009238</v>
      </c>
      <c r="E804" s="39">
        <v>6.0613833211936878</v>
      </c>
      <c r="G804">
        <f t="shared" si="70"/>
        <v>2</v>
      </c>
      <c r="H804">
        <v>1</v>
      </c>
      <c r="I804">
        <f t="shared" si="71"/>
        <v>11</v>
      </c>
      <c r="J804">
        <f t="shared" si="72"/>
        <v>2022</v>
      </c>
      <c r="K804" s="17">
        <f t="shared" si="73"/>
        <v>44866</v>
      </c>
      <c r="L804">
        <f t="shared" si="74"/>
        <v>1</v>
      </c>
    </row>
    <row r="805" spans="1:12" x14ac:dyDescent="0.3">
      <c r="A805" s="38">
        <v>44866</v>
      </c>
      <c r="B805" s="39">
        <v>2.1157030874871339</v>
      </c>
      <c r="C805" s="39">
        <v>5.7838055627485829</v>
      </c>
      <c r="D805" s="39">
        <v>-4.3137586225146975</v>
      </c>
      <c r="E805" s="39">
        <v>7.6445422384574613</v>
      </c>
      <c r="G805">
        <f t="shared" si="70"/>
        <v>1</v>
      </c>
      <c r="H805">
        <v>1</v>
      </c>
      <c r="I805">
        <f t="shared" si="71"/>
        <v>11</v>
      </c>
      <c r="J805">
        <f t="shared" si="72"/>
        <v>2022</v>
      </c>
      <c r="K805" s="17">
        <f t="shared" si="73"/>
        <v>44866</v>
      </c>
      <c r="L805">
        <f t="shared" si="74"/>
        <v>1</v>
      </c>
    </row>
    <row r="806" spans="1:12" x14ac:dyDescent="0.3">
      <c r="A806" s="38">
        <v>44865</v>
      </c>
      <c r="B806" s="39">
        <v>2.7609506561583004</v>
      </c>
      <c r="C806" s="39">
        <v>6.2648203056876071</v>
      </c>
      <c r="D806" s="39">
        <v>-4.2603953801105376</v>
      </c>
      <c r="E806" s="39">
        <v>8.9524922343665594</v>
      </c>
      <c r="G806">
        <f t="shared" si="70"/>
        <v>31</v>
      </c>
      <c r="H806">
        <v>1</v>
      </c>
      <c r="I806">
        <f t="shared" si="71"/>
        <v>10</v>
      </c>
      <c r="J806">
        <f t="shared" si="72"/>
        <v>2022</v>
      </c>
      <c r="K806" s="17">
        <f t="shared" si="73"/>
        <v>44835</v>
      </c>
      <c r="L806">
        <f t="shared" si="74"/>
        <v>0</v>
      </c>
    </row>
    <row r="807" spans="1:12" x14ac:dyDescent="0.3">
      <c r="A807" s="38">
        <v>44862</v>
      </c>
      <c r="B807" s="39">
        <v>2.3632027115732797</v>
      </c>
      <c r="C807" s="39">
        <v>5.9699961935743886</v>
      </c>
      <c r="D807" s="39">
        <v>-4.7700274451921416</v>
      </c>
      <c r="E807" s="39">
        <v>8.4361502152718089</v>
      </c>
      <c r="G807">
        <f t="shared" si="70"/>
        <v>28</v>
      </c>
      <c r="H807">
        <v>1</v>
      </c>
      <c r="I807">
        <f t="shared" si="71"/>
        <v>10</v>
      </c>
      <c r="J807">
        <f t="shared" si="72"/>
        <v>2022</v>
      </c>
      <c r="K807" s="17">
        <f t="shared" si="73"/>
        <v>44835</v>
      </c>
      <c r="L807">
        <f t="shared" si="74"/>
        <v>0</v>
      </c>
    </row>
    <row r="808" spans="1:12" x14ac:dyDescent="0.3">
      <c r="A808" s="38">
        <v>44861</v>
      </c>
      <c r="B808" s="39">
        <v>1.2091185064721941</v>
      </c>
      <c r="C808" s="39">
        <v>4.7577659311099154</v>
      </c>
      <c r="D808" s="39">
        <v>-5.9556313369709954</v>
      </c>
      <c r="E808" s="39">
        <v>7.4237919021097412</v>
      </c>
      <c r="G808">
        <f t="shared" si="70"/>
        <v>27</v>
      </c>
      <c r="H808">
        <v>1</v>
      </c>
      <c r="I808">
        <f t="shared" si="71"/>
        <v>10</v>
      </c>
      <c r="J808">
        <f t="shared" si="72"/>
        <v>2022</v>
      </c>
      <c r="K808" s="17">
        <f t="shared" si="73"/>
        <v>44835</v>
      </c>
      <c r="L808">
        <f t="shared" si="74"/>
        <v>0</v>
      </c>
    </row>
    <row r="809" spans="1:12" x14ac:dyDescent="0.3">
      <c r="A809" s="38">
        <v>44860</v>
      </c>
      <c r="B809" s="39">
        <v>0.65906241727073223</v>
      </c>
      <c r="C809" s="39">
        <v>4.1609391525281012</v>
      </c>
      <c r="D809" s="39">
        <v>-6.5904422452041445</v>
      </c>
      <c r="E809" s="39">
        <v>6.9451807763421272</v>
      </c>
      <c r="G809">
        <f t="shared" si="70"/>
        <v>26</v>
      </c>
      <c r="H809">
        <v>1</v>
      </c>
      <c r="I809">
        <f t="shared" si="71"/>
        <v>10</v>
      </c>
      <c r="J809">
        <f t="shared" si="72"/>
        <v>2022</v>
      </c>
      <c r="K809" s="17">
        <f t="shared" si="73"/>
        <v>44835</v>
      </c>
      <c r="L809">
        <f t="shared" si="74"/>
        <v>0</v>
      </c>
    </row>
    <row r="810" spans="1:12" x14ac:dyDescent="0.3">
      <c r="A810" s="38">
        <v>44859</v>
      </c>
      <c r="B810" s="39">
        <v>1.1110957338118794</v>
      </c>
      <c r="C810" s="39">
        <v>4.7141185963138668</v>
      </c>
      <c r="D810" s="39">
        <v>-6.8129932781292268</v>
      </c>
      <c r="E810" s="39">
        <v>7.3783255384290669</v>
      </c>
      <c r="G810">
        <f t="shared" si="70"/>
        <v>25</v>
      </c>
      <c r="H810">
        <v>1</v>
      </c>
      <c r="I810">
        <f t="shared" si="71"/>
        <v>10</v>
      </c>
      <c r="J810">
        <f t="shared" si="72"/>
        <v>2022</v>
      </c>
      <c r="K810" s="17">
        <f t="shared" si="73"/>
        <v>44835</v>
      </c>
      <c r="L810">
        <f t="shared" si="74"/>
        <v>0</v>
      </c>
    </row>
    <row r="811" spans="1:12" x14ac:dyDescent="0.3">
      <c r="A811" s="38">
        <v>44855</v>
      </c>
      <c r="B811" s="39">
        <v>-0.30088715517644005</v>
      </c>
      <c r="C811" s="39">
        <v>3.3507491319469693</v>
      </c>
      <c r="D811" s="39">
        <v>-8.119716044613881</v>
      </c>
      <c r="E811" s="39">
        <v>5.7131840781783438</v>
      </c>
      <c r="G811">
        <f t="shared" si="70"/>
        <v>21</v>
      </c>
      <c r="H811">
        <v>1</v>
      </c>
      <c r="I811">
        <f t="shared" si="71"/>
        <v>10</v>
      </c>
      <c r="J811">
        <f t="shared" si="72"/>
        <v>2022</v>
      </c>
      <c r="K811" s="17">
        <f t="shared" si="73"/>
        <v>44835</v>
      </c>
      <c r="L811">
        <f t="shared" si="74"/>
        <v>0</v>
      </c>
    </row>
    <row r="812" spans="1:12" x14ac:dyDescent="0.3">
      <c r="A812" s="38">
        <v>44854</v>
      </c>
      <c r="B812" s="39">
        <v>3.7208409842996275</v>
      </c>
      <c r="C812" s="39">
        <v>7.3533651606581003</v>
      </c>
      <c r="D812" s="39">
        <v>-3.9522377100027057</v>
      </c>
      <c r="E812" s="39">
        <v>9.711483757442636</v>
      </c>
      <c r="G812">
        <f t="shared" si="70"/>
        <v>20</v>
      </c>
      <c r="H812">
        <v>1</v>
      </c>
      <c r="I812">
        <f t="shared" si="71"/>
        <v>10</v>
      </c>
      <c r="J812">
        <f t="shared" si="72"/>
        <v>2022</v>
      </c>
      <c r="K812" s="17">
        <f t="shared" si="73"/>
        <v>44835</v>
      </c>
      <c r="L812">
        <f t="shared" si="74"/>
        <v>0</v>
      </c>
    </row>
    <row r="813" spans="1:12" x14ac:dyDescent="0.3">
      <c r="A813" s="38">
        <v>44853</v>
      </c>
      <c r="B813" s="39">
        <v>4.0618156124683367</v>
      </c>
      <c r="C813" s="39">
        <v>7.7570157706350784</v>
      </c>
      <c r="D813" s="39">
        <v>-3.5498832741016884</v>
      </c>
      <c r="E813" s="39">
        <v>10.139449526971006</v>
      </c>
      <c r="G813">
        <f t="shared" si="70"/>
        <v>19</v>
      </c>
      <c r="H813">
        <v>1</v>
      </c>
      <c r="I813">
        <f t="shared" si="71"/>
        <v>10</v>
      </c>
      <c r="J813">
        <f t="shared" si="72"/>
        <v>2022</v>
      </c>
      <c r="K813" s="17">
        <f t="shared" si="73"/>
        <v>44835</v>
      </c>
      <c r="L813">
        <f t="shared" si="74"/>
        <v>0</v>
      </c>
    </row>
    <row r="814" spans="1:12" x14ac:dyDescent="0.3">
      <c r="A814" s="38">
        <v>44852</v>
      </c>
      <c r="B814" s="39">
        <v>4.5650260284945858</v>
      </c>
      <c r="C814" s="39">
        <v>8.0977210319711617</v>
      </c>
      <c r="D814" s="39">
        <v>-3.5285624534451614</v>
      </c>
      <c r="E814" s="39">
        <v>10.805532902351061</v>
      </c>
      <c r="G814">
        <f t="shared" si="70"/>
        <v>18</v>
      </c>
      <c r="H814">
        <v>1</v>
      </c>
      <c r="I814">
        <f t="shared" si="71"/>
        <v>10</v>
      </c>
      <c r="J814">
        <f t="shared" si="72"/>
        <v>2022</v>
      </c>
      <c r="K814" s="17">
        <f t="shared" si="73"/>
        <v>44835</v>
      </c>
      <c r="L814">
        <f t="shared" si="74"/>
        <v>0</v>
      </c>
    </row>
    <row r="815" spans="1:12" x14ac:dyDescent="0.3">
      <c r="A815" s="38">
        <v>44851</v>
      </c>
      <c r="B815" s="39">
        <v>2.8809139255124734</v>
      </c>
      <c r="C815" s="39">
        <v>6.4049063052817701</v>
      </c>
      <c r="D815" s="39">
        <v>-5.5919374913895012</v>
      </c>
      <c r="E815" s="39">
        <v>9.2056319500660351</v>
      </c>
      <c r="G815">
        <f t="shared" si="70"/>
        <v>17</v>
      </c>
      <c r="H815">
        <v>1</v>
      </c>
      <c r="I815">
        <f t="shared" si="71"/>
        <v>10</v>
      </c>
      <c r="J815">
        <f t="shared" si="72"/>
        <v>2022</v>
      </c>
      <c r="K815" s="17">
        <f t="shared" si="73"/>
        <v>44835</v>
      </c>
      <c r="L815">
        <f t="shared" si="74"/>
        <v>0</v>
      </c>
    </row>
    <row r="816" spans="1:12" x14ac:dyDescent="0.3">
      <c r="A816" s="38">
        <v>44848</v>
      </c>
      <c r="B816" s="39">
        <v>2.0909018878110999</v>
      </c>
      <c r="C816" s="39">
        <v>5.6484586413814526</v>
      </c>
      <c r="D816" s="39">
        <v>-6.0311535799262401</v>
      </c>
      <c r="E816" s="39">
        <v>8.2601560733046853</v>
      </c>
      <c r="G816">
        <f t="shared" si="70"/>
        <v>14</v>
      </c>
      <c r="H816">
        <v>1</v>
      </c>
      <c r="I816">
        <f t="shared" si="71"/>
        <v>10</v>
      </c>
      <c r="J816">
        <f t="shared" si="72"/>
        <v>2022</v>
      </c>
      <c r="K816" s="17">
        <f t="shared" si="73"/>
        <v>44835</v>
      </c>
      <c r="L816">
        <f t="shared" si="74"/>
        <v>0</v>
      </c>
    </row>
    <row r="817" spans="1:12" x14ac:dyDescent="0.3">
      <c r="A817" s="38">
        <v>44847</v>
      </c>
      <c r="B817" s="39">
        <v>2.6108616587458613</v>
      </c>
      <c r="C817" s="39">
        <v>6.1564620412505491</v>
      </c>
      <c r="D817" s="39">
        <v>-5.6802424972392487</v>
      </c>
      <c r="E817" s="39">
        <v>8.8284425541140052</v>
      </c>
      <c r="G817">
        <f t="shared" si="70"/>
        <v>13</v>
      </c>
      <c r="H817">
        <v>1</v>
      </c>
      <c r="I817">
        <f t="shared" si="71"/>
        <v>10</v>
      </c>
      <c r="J817">
        <f t="shared" si="72"/>
        <v>2022</v>
      </c>
      <c r="K817" s="17">
        <f t="shared" si="73"/>
        <v>44835</v>
      </c>
      <c r="L817">
        <f t="shared" si="74"/>
        <v>0</v>
      </c>
    </row>
    <row r="818" spans="1:12" x14ac:dyDescent="0.3">
      <c r="A818" s="38">
        <v>44846</v>
      </c>
      <c r="B818" s="39">
        <v>0.34370633738851097</v>
      </c>
      <c r="C818" s="39">
        <v>4.0772529805352775</v>
      </c>
      <c r="D818" s="39">
        <v>-7.5491695448372838</v>
      </c>
      <c r="E818" s="39">
        <v>6.0605397291810874</v>
      </c>
      <c r="G818">
        <f t="shared" si="70"/>
        <v>12</v>
      </c>
      <c r="H818">
        <v>1</v>
      </c>
      <c r="I818">
        <f t="shared" si="71"/>
        <v>10</v>
      </c>
      <c r="J818">
        <f t="shared" si="72"/>
        <v>2022</v>
      </c>
      <c r="K818" s="17">
        <f t="shared" si="73"/>
        <v>44835</v>
      </c>
      <c r="L818">
        <f t="shared" si="74"/>
        <v>0</v>
      </c>
    </row>
    <row r="819" spans="1:12" x14ac:dyDescent="0.3">
      <c r="A819" s="38">
        <v>44845</v>
      </c>
      <c r="B819" s="39">
        <v>-1.2862538546984013</v>
      </c>
      <c r="C819" s="39">
        <v>2.3814235805401864</v>
      </c>
      <c r="D819" s="39">
        <v>-8.7892488338244448</v>
      </c>
      <c r="E819" s="39">
        <v>4.2517446337183458</v>
      </c>
      <c r="G819">
        <f t="shared" si="70"/>
        <v>11</v>
      </c>
      <c r="H819">
        <v>1</v>
      </c>
      <c r="I819">
        <f t="shared" si="71"/>
        <v>10</v>
      </c>
      <c r="J819">
        <f t="shared" si="72"/>
        <v>2022</v>
      </c>
      <c r="K819" s="17">
        <f t="shared" si="73"/>
        <v>44835</v>
      </c>
      <c r="L819">
        <f t="shared" si="74"/>
        <v>0</v>
      </c>
    </row>
    <row r="820" spans="1:12" x14ac:dyDescent="0.3">
      <c r="A820" s="38">
        <v>44844</v>
      </c>
      <c r="B820" s="39">
        <v>1.8752511614862897</v>
      </c>
      <c r="C820" s="39">
        <v>5.4593852808274193</v>
      </c>
      <c r="D820" s="39">
        <v>-5.889060551609532</v>
      </c>
      <c r="E820" s="39">
        <v>7.5339947111426113</v>
      </c>
      <c r="G820">
        <f t="shared" si="70"/>
        <v>10</v>
      </c>
      <c r="H820">
        <v>1</v>
      </c>
      <c r="I820">
        <f t="shared" si="71"/>
        <v>10</v>
      </c>
      <c r="J820">
        <f t="shared" si="72"/>
        <v>2022</v>
      </c>
      <c r="K820" s="17">
        <f t="shared" si="73"/>
        <v>44835</v>
      </c>
      <c r="L820">
        <f t="shared" si="74"/>
        <v>0</v>
      </c>
    </row>
    <row r="821" spans="1:12" x14ac:dyDescent="0.3">
      <c r="A821" s="38">
        <v>44841</v>
      </c>
      <c r="B821" s="39">
        <v>4.0289626362970949</v>
      </c>
      <c r="C821" s="39">
        <v>7.4329044960166613</v>
      </c>
      <c r="D821" s="39">
        <v>-3.7568143685078041</v>
      </c>
      <c r="E821" s="39">
        <v>9.9540734179209664</v>
      </c>
      <c r="G821">
        <f t="shared" si="70"/>
        <v>7</v>
      </c>
      <c r="H821">
        <v>1</v>
      </c>
      <c r="I821">
        <f t="shared" si="71"/>
        <v>10</v>
      </c>
      <c r="J821">
        <f t="shared" si="72"/>
        <v>2022</v>
      </c>
      <c r="K821" s="17">
        <f t="shared" si="73"/>
        <v>44835</v>
      </c>
      <c r="L821">
        <f t="shared" si="74"/>
        <v>0</v>
      </c>
    </row>
    <row r="822" spans="1:12" x14ac:dyDescent="0.3">
      <c r="A822" s="38">
        <v>44840</v>
      </c>
      <c r="B822" s="39">
        <v>2.2715164379534656</v>
      </c>
      <c r="C822" s="39">
        <v>5.7047523043468544</v>
      </c>
      <c r="D822" s="39">
        <v>-5.3402688661871736</v>
      </c>
      <c r="E822" s="39">
        <v>8.0079394639979853</v>
      </c>
      <c r="G822">
        <f t="shared" si="70"/>
        <v>6</v>
      </c>
      <c r="H822">
        <v>1</v>
      </c>
      <c r="I822">
        <f t="shared" si="71"/>
        <v>10</v>
      </c>
      <c r="J822">
        <f t="shared" si="72"/>
        <v>2022</v>
      </c>
      <c r="K822" s="17">
        <f t="shared" si="73"/>
        <v>44835</v>
      </c>
      <c r="L822">
        <f t="shared" si="74"/>
        <v>0</v>
      </c>
    </row>
    <row r="823" spans="1:12" x14ac:dyDescent="0.3">
      <c r="A823" s="38">
        <v>44839</v>
      </c>
      <c r="B823" s="39">
        <v>0.32521308470151666</v>
      </c>
      <c r="C823" s="39">
        <v>3.8745914145725493</v>
      </c>
      <c r="D823" s="39">
        <v>-6.3177279656685101</v>
      </c>
      <c r="E823" s="39">
        <v>5.7029101036705896</v>
      </c>
      <c r="G823">
        <f t="shared" si="70"/>
        <v>5</v>
      </c>
      <c r="H823">
        <v>1</v>
      </c>
      <c r="I823">
        <f t="shared" si="71"/>
        <v>10</v>
      </c>
      <c r="J823">
        <f t="shared" si="72"/>
        <v>2022</v>
      </c>
      <c r="K823" s="17">
        <f t="shared" si="73"/>
        <v>44835</v>
      </c>
      <c r="L823">
        <f t="shared" si="74"/>
        <v>0</v>
      </c>
    </row>
    <row r="824" spans="1:12" x14ac:dyDescent="0.3">
      <c r="A824" s="38">
        <v>44838</v>
      </c>
      <c r="B824" s="39">
        <v>-1.3525144998050962</v>
      </c>
      <c r="C824" s="39">
        <v>2.3305008221144305</v>
      </c>
      <c r="D824" s="39">
        <v>-7.6168173358774141</v>
      </c>
      <c r="E824" s="39">
        <v>4.1222134752602813</v>
      </c>
      <c r="G824">
        <f t="shared" si="70"/>
        <v>4</v>
      </c>
      <c r="H824">
        <v>1</v>
      </c>
      <c r="I824">
        <f t="shared" si="71"/>
        <v>10</v>
      </c>
      <c r="J824">
        <f t="shared" si="72"/>
        <v>2022</v>
      </c>
      <c r="K824" s="17">
        <f t="shared" si="73"/>
        <v>44835</v>
      </c>
      <c r="L824">
        <f t="shared" si="74"/>
        <v>1</v>
      </c>
    </row>
    <row r="825" spans="1:12" x14ac:dyDescent="0.3">
      <c r="A825" s="38">
        <v>44837</v>
      </c>
      <c r="B825" s="39">
        <v>-1.630493412556504</v>
      </c>
      <c r="C825" s="39">
        <v>2.2863006702122135</v>
      </c>
      <c r="D825" s="39">
        <v>-8.2793706598635595</v>
      </c>
      <c r="E825" s="39">
        <v>3.8770609653399077</v>
      </c>
      <c r="G825">
        <f t="shared" si="70"/>
        <v>3</v>
      </c>
      <c r="H825">
        <v>1</v>
      </c>
      <c r="I825">
        <f t="shared" si="71"/>
        <v>10</v>
      </c>
      <c r="J825">
        <f t="shared" si="72"/>
        <v>2022</v>
      </c>
      <c r="K825" s="17">
        <f t="shared" si="73"/>
        <v>44835</v>
      </c>
      <c r="L825">
        <f t="shared" si="74"/>
        <v>1</v>
      </c>
    </row>
    <row r="826" spans="1:12" x14ac:dyDescent="0.3">
      <c r="A826" s="38">
        <v>44834</v>
      </c>
      <c r="B826" s="39">
        <v>-8.5360716225899722</v>
      </c>
      <c r="C826" s="39">
        <v>-0.33517056181698024</v>
      </c>
      <c r="D826" s="39">
        <v>-15.645907751159825</v>
      </c>
      <c r="E826" s="39">
        <v>-3.144371269055398</v>
      </c>
      <c r="G826">
        <f t="shared" si="70"/>
        <v>30</v>
      </c>
      <c r="H826">
        <v>1</v>
      </c>
      <c r="I826">
        <f t="shared" si="71"/>
        <v>9</v>
      </c>
      <c r="J826">
        <f t="shared" si="72"/>
        <v>2022</v>
      </c>
      <c r="K826" s="17">
        <f t="shared" si="73"/>
        <v>44805</v>
      </c>
      <c r="L826">
        <f t="shared" si="74"/>
        <v>0</v>
      </c>
    </row>
    <row r="827" spans="1:12" x14ac:dyDescent="0.3">
      <c r="A827" s="38">
        <v>44833</v>
      </c>
      <c r="B827" s="39">
        <v>-4.9135004083648113</v>
      </c>
      <c r="C827" s="39">
        <v>3.2750831711681059</v>
      </c>
      <c r="D827" s="39">
        <v>-12.164100374741821</v>
      </c>
      <c r="E827" s="39">
        <v>0.69449634499036961</v>
      </c>
      <c r="G827">
        <f t="shared" si="70"/>
        <v>29</v>
      </c>
      <c r="H827">
        <v>1</v>
      </c>
      <c r="I827">
        <f t="shared" si="71"/>
        <v>9</v>
      </c>
      <c r="J827">
        <f t="shared" si="72"/>
        <v>2022</v>
      </c>
      <c r="K827" s="17">
        <f t="shared" si="73"/>
        <v>44805</v>
      </c>
      <c r="L827">
        <f t="shared" si="74"/>
        <v>0</v>
      </c>
    </row>
    <row r="828" spans="1:12" x14ac:dyDescent="0.3">
      <c r="A828" s="38">
        <v>44832</v>
      </c>
      <c r="B828" s="39">
        <v>-5.6545893528375331</v>
      </c>
      <c r="C828" s="39">
        <v>2.5002118554933617</v>
      </c>
      <c r="D828" s="39">
        <v>-12.680258229884146</v>
      </c>
      <c r="E828" s="39">
        <v>-0.23250405223339499</v>
      </c>
      <c r="G828">
        <f t="shared" si="70"/>
        <v>28</v>
      </c>
      <c r="H828">
        <v>1</v>
      </c>
      <c r="I828">
        <f t="shared" si="71"/>
        <v>9</v>
      </c>
      <c r="J828">
        <f t="shared" si="72"/>
        <v>2022</v>
      </c>
      <c r="K828" s="17">
        <f t="shared" si="73"/>
        <v>44805</v>
      </c>
      <c r="L828">
        <f t="shared" si="74"/>
        <v>0</v>
      </c>
    </row>
    <row r="829" spans="1:12" x14ac:dyDescent="0.3">
      <c r="A829" s="38">
        <v>44831</v>
      </c>
      <c r="B829" s="39">
        <v>-6.5926441019199586</v>
      </c>
      <c r="C829" s="39">
        <v>1.7188415851009893</v>
      </c>
      <c r="D829" s="39">
        <v>-13.510011270221725</v>
      </c>
      <c r="E829" s="39">
        <v>-1.2387908225200164</v>
      </c>
      <c r="G829">
        <f t="shared" si="70"/>
        <v>27</v>
      </c>
      <c r="H829">
        <v>1</v>
      </c>
      <c r="I829">
        <f t="shared" si="71"/>
        <v>9</v>
      </c>
      <c r="J829">
        <f t="shared" si="72"/>
        <v>2022</v>
      </c>
      <c r="K829" s="17">
        <f t="shared" si="73"/>
        <v>44805</v>
      </c>
      <c r="L829">
        <f t="shared" si="74"/>
        <v>0</v>
      </c>
    </row>
    <row r="830" spans="1:12" x14ac:dyDescent="0.3">
      <c r="A830" s="38">
        <v>44830</v>
      </c>
      <c r="B830" s="39">
        <v>-7.3754179692979847</v>
      </c>
      <c r="C830" s="39">
        <v>0.89329079177124981</v>
      </c>
      <c r="D830" s="39">
        <v>-13.370271565272674</v>
      </c>
      <c r="E830" s="39">
        <v>-2.1299395904943594</v>
      </c>
      <c r="G830">
        <f t="shared" si="70"/>
        <v>26</v>
      </c>
      <c r="H830">
        <v>1</v>
      </c>
      <c r="I830">
        <f t="shared" si="71"/>
        <v>9</v>
      </c>
      <c r="J830">
        <f t="shared" si="72"/>
        <v>2022</v>
      </c>
      <c r="K830" s="17">
        <f t="shared" si="73"/>
        <v>44805</v>
      </c>
      <c r="L830">
        <f t="shared" si="74"/>
        <v>0</v>
      </c>
    </row>
    <row r="831" spans="1:12" x14ac:dyDescent="0.3">
      <c r="A831" s="38">
        <v>44827</v>
      </c>
      <c r="B831" s="39">
        <v>-8.2847940600363046</v>
      </c>
      <c r="C831" s="39">
        <v>-4.3392923557220797E-2</v>
      </c>
      <c r="D831" s="39">
        <v>-14.625688893287517</v>
      </c>
      <c r="E831" s="39">
        <v>-2.9851826590770258</v>
      </c>
      <c r="G831">
        <f t="shared" si="70"/>
        <v>23</v>
      </c>
      <c r="H831">
        <v>1</v>
      </c>
      <c r="I831">
        <f t="shared" si="71"/>
        <v>9</v>
      </c>
      <c r="J831">
        <f t="shared" si="72"/>
        <v>2022</v>
      </c>
      <c r="K831" s="17">
        <f t="shared" si="73"/>
        <v>44805</v>
      </c>
      <c r="L831">
        <f t="shared" si="74"/>
        <v>0</v>
      </c>
    </row>
    <row r="832" spans="1:12" x14ac:dyDescent="0.3">
      <c r="A832" s="38">
        <v>44826</v>
      </c>
      <c r="B832" s="39">
        <v>-7.5354325999329035</v>
      </c>
      <c r="C832" s="39">
        <v>0.80623737340341961</v>
      </c>
      <c r="D832" s="39">
        <v>-14.463955190194866</v>
      </c>
      <c r="E832" s="39">
        <v>-2.2292598745302996</v>
      </c>
      <c r="G832">
        <f t="shared" si="70"/>
        <v>22</v>
      </c>
      <c r="H832">
        <v>1</v>
      </c>
      <c r="I832">
        <f t="shared" si="71"/>
        <v>9</v>
      </c>
      <c r="J832">
        <f t="shared" si="72"/>
        <v>2022</v>
      </c>
      <c r="K832" s="17">
        <f t="shared" si="73"/>
        <v>44805</v>
      </c>
      <c r="L832">
        <f t="shared" si="74"/>
        <v>0</v>
      </c>
    </row>
    <row r="833" spans="1:12" x14ac:dyDescent="0.3">
      <c r="A833" s="38">
        <v>44825</v>
      </c>
      <c r="B833" s="39">
        <v>-7.0571517900016687</v>
      </c>
      <c r="C833" s="39">
        <v>1.2803396444315069</v>
      </c>
      <c r="D833" s="39">
        <v>-14.796993567720392</v>
      </c>
      <c r="E833" s="39">
        <v>-1.6476494078731179</v>
      </c>
      <c r="G833">
        <f t="shared" si="70"/>
        <v>21</v>
      </c>
      <c r="H833">
        <v>1</v>
      </c>
      <c r="I833">
        <f t="shared" si="71"/>
        <v>9</v>
      </c>
      <c r="J833">
        <f t="shared" si="72"/>
        <v>2022</v>
      </c>
      <c r="K833" s="17">
        <f t="shared" si="73"/>
        <v>44805</v>
      </c>
      <c r="L833">
        <f t="shared" si="74"/>
        <v>0</v>
      </c>
    </row>
    <row r="834" spans="1:12" x14ac:dyDescent="0.3">
      <c r="A834" s="38">
        <v>44824</v>
      </c>
      <c r="B834" s="39">
        <v>-8.8882791421033289</v>
      </c>
      <c r="C834" s="39">
        <v>-0.52693220883647029</v>
      </c>
      <c r="D834" s="39">
        <v>-16.381177552434096</v>
      </c>
      <c r="E834" s="39">
        <v>-3.5772857087158769</v>
      </c>
      <c r="G834">
        <f t="shared" si="70"/>
        <v>20</v>
      </c>
      <c r="H834">
        <v>1</v>
      </c>
      <c r="I834">
        <f t="shared" si="71"/>
        <v>9</v>
      </c>
      <c r="J834">
        <f t="shared" si="72"/>
        <v>2022</v>
      </c>
      <c r="K834" s="17">
        <f t="shared" si="73"/>
        <v>44805</v>
      </c>
      <c r="L834">
        <f t="shared" si="74"/>
        <v>0</v>
      </c>
    </row>
    <row r="835" spans="1:12" x14ac:dyDescent="0.3">
      <c r="A835" s="38">
        <v>44820</v>
      </c>
      <c r="B835" s="39">
        <v>-12.563276625720363</v>
      </c>
      <c r="C835" s="39">
        <v>-3.9037027920333003</v>
      </c>
      <c r="D835" s="39">
        <v>-19.194435354886096</v>
      </c>
      <c r="E835" s="39">
        <v>-7.7100065348905247</v>
      </c>
      <c r="G835">
        <f t="shared" si="70"/>
        <v>16</v>
      </c>
      <c r="H835">
        <v>1</v>
      </c>
      <c r="I835">
        <f t="shared" si="71"/>
        <v>9</v>
      </c>
      <c r="J835">
        <f t="shared" si="72"/>
        <v>2022</v>
      </c>
      <c r="K835" s="17">
        <f t="shared" si="73"/>
        <v>44805</v>
      </c>
      <c r="L835">
        <f t="shared" si="74"/>
        <v>0</v>
      </c>
    </row>
    <row r="836" spans="1:12" x14ac:dyDescent="0.3">
      <c r="A836" s="38">
        <v>44819</v>
      </c>
      <c r="B836" s="39">
        <v>-12.321562083648089</v>
      </c>
      <c r="C836" s="39">
        <v>-3.5725931865980698</v>
      </c>
      <c r="D836" s="39">
        <v>-20.500663391183735</v>
      </c>
      <c r="E836" s="39">
        <v>-7.3958621308838417</v>
      </c>
      <c r="G836">
        <f t="shared" si="70"/>
        <v>15</v>
      </c>
      <c r="H836">
        <v>1</v>
      </c>
      <c r="I836">
        <f t="shared" si="71"/>
        <v>9</v>
      </c>
      <c r="J836">
        <f t="shared" si="72"/>
        <v>2022</v>
      </c>
      <c r="K836" s="17">
        <f t="shared" si="73"/>
        <v>44805</v>
      </c>
      <c r="L836">
        <f t="shared" si="74"/>
        <v>0</v>
      </c>
    </row>
    <row r="837" spans="1:12" x14ac:dyDescent="0.3">
      <c r="A837" s="38">
        <v>44818</v>
      </c>
      <c r="B837" s="39">
        <v>-6.1666513291541634</v>
      </c>
      <c r="C837" s="39">
        <v>2.2942585013643111</v>
      </c>
      <c r="D837" s="39">
        <v>-15.347872791817252</v>
      </c>
      <c r="E837" s="39">
        <v>-0.83142433055667198</v>
      </c>
      <c r="G837">
        <f t="shared" ref="G837:G900" si="75">+DAY(A837)</f>
        <v>14</v>
      </c>
      <c r="H837">
        <v>1</v>
      </c>
      <c r="I837">
        <f t="shared" ref="I837:I900" si="76">+MONTH(A837)</f>
        <v>9</v>
      </c>
      <c r="J837">
        <f t="shared" ref="J837:J900" si="77">+YEAR(A837)</f>
        <v>2022</v>
      </c>
      <c r="K837" s="17">
        <f t="shared" ref="K837:K900" si="78">+DATE(J837,I837,H837)</f>
        <v>44805</v>
      </c>
      <c r="L837">
        <f t="shared" ref="L837:L900" si="79">IF(AND(G837&gt;=1, G837&lt;=4), 1, 0)</f>
        <v>0</v>
      </c>
    </row>
    <row r="838" spans="1:12" x14ac:dyDescent="0.3">
      <c r="A838" s="38">
        <v>44817</v>
      </c>
      <c r="B838" s="39">
        <v>-1.6162152540764509</v>
      </c>
      <c r="C838" s="39">
        <v>6.8330913429490749</v>
      </c>
      <c r="D838" s="39">
        <v>-11.694081218846065</v>
      </c>
      <c r="E838" s="39">
        <v>3.9854659584099608</v>
      </c>
      <c r="G838">
        <f t="shared" si="75"/>
        <v>13</v>
      </c>
      <c r="H838">
        <v>1</v>
      </c>
      <c r="I838">
        <f t="shared" si="76"/>
        <v>9</v>
      </c>
      <c r="J838">
        <f t="shared" si="77"/>
        <v>2022</v>
      </c>
      <c r="K838" s="17">
        <f t="shared" si="78"/>
        <v>44805</v>
      </c>
      <c r="L838">
        <f t="shared" si="79"/>
        <v>0</v>
      </c>
    </row>
    <row r="839" spans="1:12" x14ac:dyDescent="0.3">
      <c r="A839" s="38">
        <v>44816</v>
      </c>
      <c r="B839" s="39">
        <v>-1.6923994785824874</v>
      </c>
      <c r="C839" s="39">
        <v>6.7410540535493624</v>
      </c>
      <c r="D839" s="39">
        <v>-11.373543040879611</v>
      </c>
      <c r="E839" s="39">
        <v>3.9236289576396359</v>
      </c>
      <c r="G839">
        <f t="shared" si="75"/>
        <v>12</v>
      </c>
      <c r="H839">
        <v>1</v>
      </c>
      <c r="I839">
        <f t="shared" si="76"/>
        <v>9</v>
      </c>
      <c r="J839">
        <f t="shared" si="77"/>
        <v>2022</v>
      </c>
      <c r="K839" s="17">
        <f t="shared" si="78"/>
        <v>44805</v>
      </c>
      <c r="L839">
        <f t="shared" si="79"/>
        <v>0</v>
      </c>
    </row>
    <row r="840" spans="1:12" x14ac:dyDescent="0.3">
      <c r="A840" s="38">
        <v>44813</v>
      </c>
      <c r="B840" s="39">
        <v>-1.0981805390842538</v>
      </c>
      <c r="C840" s="39">
        <v>7.2738877997062446</v>
      </c>
      <c r="D840" s="39">
        <v>-10.5520826974128</v>
      </c>
      <c r="E840" s="39">
        <v>4.7321290441099393</v>
      </c>
      <c r="G840">
        <f t="shared" si="75"/>
        <v>9</v>
      </c>
      <c r="H840">
        <v>1</v>
      </c>
      <c r="I840">
        <f t="shared" si="76"/>
        <v>9</v>
      </c>
      <c r="J840">
        <f t="shared" si="77"/>
        <v>2022</v>
      </c>
      <c r="K840" s="17">
        <f t="shared" si="78"/>
        <v>44805</v>
      </c>
      <c r="L840">
        <f t="shared" si="79"/>
        <v>0</v>
      </c>
    </row>
    <row r="841" spans="1:12" x14ac:dyDescent="0.3">
      <c r="A841" s="38">
        <v>44812</v>
      </c>
      <c r="B841" s="39">
        <v>0.42308600810335406</v>
      </c>
      <c r="C841" s="39">
        <v>8.8240219278691399</v>
      </c>
      <c r="D841" s="39">
        <v>-8.6880389835176857</v>
      </c>
      <c r="E841" s="39">
        <v>6.4899172853536555</v>
      </c>
      <c r="G841">
        <f t="shared" si="75"/>
        <v>8</v>
      </c>
      <c r="H841">
        <v>1</v>
      </c>
      <c r="I841">
        <f t="shared" si="76"/>
        <v>9</v>
      </c>
      <c r="J841">
        <f t="shared" si="77"/>
        <v>2022</v>
      </c>
      <c r="K841" s="17">
        <f t="shared" si="78"/>
        <v>44805</v>
      </c>
      <c r="L841">
        <f t="shared" si="79"/>
        <v>0</v>
      </c>
    </row>
    <row r="842" spans="1:12" x14ac:dyDescent="0.3">
      <c r="A842" s="38">
        <v>44811</v>
      </c>
      <c r="B842" s="39">
        <v>-1.220375488605697</v>
      </c>
      <c r="C842" s="39">
        <v>7.2390079259885312</v>
      </c>
      <c r="D842" s="39">
        <v>-10.350983693266926</v>
      </c>
      <c r="E842" s="39">
        <v>4.2892887306998517</v>
      </c>
      <c r="G842">
        <f t="shared" si="75"/>
        <v>7</v>
      </c>
      <c r="H842">
        <v>1</v>
      </c>
      <c r="I842">
        <f t="shared" si="76"/>
        <v>9</v>
      </c>
      <c r="J842">
        <f t="shared" si="77"/>
        <v>2022</v>
      </c>
      <c r="K842" s="17">
        <f t="shared" si="78"/>
        <v>44805</v>
      </c>
      <c r="L842">
        <f t="shared" si="79"/>
        <v>0</v>
      </c>
    </row>
    <row r="843" spans="1:12" x14ac:dyDescent="0.3">
      <c r="A843" s="38">
        <v>44810</v>
      </c>
      <c r="B843" s="39">
        <v>-0.57992473672150879</v>
      </c>
      <c r="C843" s="39">
        <v>7.9405656252197332</v>
      </c>
      <c r="D843" s="39">
        <v>-9.5251915058283458</v>
      </c>
      <c r="E843" s="39">
        <v>4.6168881554962127</v>
      </c>
      <c r="G843">
        <f t="shared" si="75"/>
        <v>6</v>
      </c>
      <c r="H843">
        <v>1</v>
      </c>
      <c r="I843">
        <f t="shared" si="76"/>
        <v>9</v>
      </c>
      <c r="J843">
        <f t="shared" si="77"/>
        <v>2022</v>
      </c>
      <c r="K843" s="17">
        <f t="shared" si="78"/>
        <v>44805</v>
      </c>
      <c r="L843">
        <f t="shared" si="79"/>
        <v>0</v>
      </c>
    </row>
    <row r="844" spans="1:12" x14ac:dyDescent="0.3">
      <c r="A844" s="38">
        <v>44809</v>
      </c>
      <c r="B844" s="39">
        <v>-0.28204363280951839</v>
      </c>
      <c r="C844" s="39">
        <v>8.2900463247252958</v>
      </c>
      <c r="D844" s="39">
        <v>-8.9369944355258752</v>
      </c>
      <c r="E844" s="39">
        <v>4.8249896706010418</v>
      </c>
      <c r="G844">
        <f t="shared" si="75"/>
        <v>5</v>
      </c>
      <c r="H844">
        <v>1</v>
      </c>
      <c r="I844">
        <f t="shared" si="76"/>
        <v>9</v>
      </c>
      <c r="J844">
        <f t="shared" si="77"/>
        <v>2022</v>
      </c>
      <c r="K844" s="17">
        <f t="shared" si="78"/>
        <v>44805</v>
      </c>
      <c r="L844">
        <f t="shared" si="79"/>
        <v>0</v>
      </c>
    </row>
    <row r="845" spans="1:12" x14ac:dyDescent="0.3">
      <c r="A845" s="38">
        <v>44806</v>
      </c>
      <c r="B845" s="39">
        <v>-1.8329056947451932</v>
      </c>
      <c r="C845" s="39">
        <v>6.700785066918769</v>
      </c>
      <c r="D845" s="39">
        <v>-10.409344556920161</v>
      </c>
      <c r="E845" s="39">
        <v>3.2398865400326855</v>
      </c>
      <c r="G845">
        <f t="shared" si="75"/>
        <v>2</v>
      </c>
      <c r="H845">
        <v>1</v>
      </c>
      <c r="I845">
        <f t="shared" si="76"/>
        <v>9</v>
      </c>
      <c r="J845">
        <f t="shared" si="77"/>
        <v>2022</v>
      </c>
      <c r="K845" s="17">
        <f t="shared" si="78"/>
        <v>44805</v>
      </c>
      <c r="L845">
        <f t="shared" si="79"/>
        <v>1</v>
      </c>
    </row>
    <row r="846" spans="1:12" x14ac:dyDescent="0.3">
      <c r="A846" s="38">
        <v>44805</v>
      </c>
      <c r="B846" s="39">
        <v>-3.5092391044182989</v>
      </c>
      <c r="C846" s="39">
        <v>4.9774624159188079</v>
      </c>
      <c r="D846" s="39">
        <v>-11.614109327901645</v>
      </c>
      <c r="E846" s="39">
        <v>1.5816891265109803</v>
      </c>
      <c r="G846">
        <f t="shared" si="75"/>
        <v>1</v>
      </c>
      <c r="H846">
        <v>1</v>
      </c>
      <c r="I846">
        <f t="shared" si="76"/>
        <v>9</v>
      </c>
      <c r="J846">
        <f t="shared" si="77"/>
        <v>2022</v>
      </c>
      <c r="K846" s="17">
        <f t="shared" si="78"/>
        <v>44805</v>
      </c>
      <c r="L846">
        <f t="shared" si="79"/>
        <v>1</v>
      </c>
    </row>
    <row r="847" spans="1:12" x14ac:dyDescent="0.3">
      <c r="A847" s="38">
        <v>44804</v>
      </c>
      <c r="B847" s="39">
        <v>-2.4147853844334435</v>
      </c>
      <c r="C847" s="39">
        <v>5.6902412562255194</v>
      </c>
      <c r="D847" s="39">
        <v>-11.478214197100982</v>
      </c>
      <c r="E847" s="39">
        <v>2.8313655308563312</v>
      </c>
      <c r="G847">
        <f t="shared" si="75"/>
        <v>31</v>
      </c>
      <c r="H847">
        <v>1</v>
      </c>
      <c r="I847">
        <f t="shared" si="76"/>
        <v>8</v>
      </c>
      <c r="J847">
        <f t="shared" si="77"/>
        <v>2022</v>
      </c>
      <c r="K847" s="17">
        <f t="shared" si="78"/>
        <v>44774</v>
      </c>
      <c r="L847">
        <f t="shared" si="79"/>
        <v>0</v>
      </c>
    </row>
    <row r="848" spans="1:12" x14ac:dyDescent="0.3">
      <c r="A848" s="38">
        <v>44803</v>
      </c>
      <c r="B848" s="39">
        <v>-1.312725246459209</v>
      </c>
      <c r="C848" s="39">
        <v>6.9598273191454183</v>
      </c>
      <c r="D848" s="39">
        <v>-11.266667994068754</v>
      </c>
      <c r="E848" s="39">
        <v>3.4999356209057026</v>
      </c>
      <c r="G848">
        <f t="shared" si="75"/>
        <v>30</v>
      </c>
      <c r="H848">
        <v>1</v>
      </c>
      <c r="I848">
        <f t="shared" si="76"/>
        <v>8</v>
      </c>
      <c r="J848">
        <f t="shared" si="77"/>
        <v>2022</v>
      </c>
      <c r="K848" s="17">
        <f t="shared" si="78"/>
        <v>44774</v>
      </c>
      <c r="L848">
        <f t="shared" si="79"/>
        <v>0</v>
      </c>
    </row>
    <row r="849" spans="1:12" x14ac:dyDescent="0.3">
      <c r="A849" s="38">
        <v>44799</v>
      </c>
      <c r="B849" s="39">
        <v>3.3814149006466607</v>
      </c>
      <c r="C849" s="39">
        <v>11.650775302334196</v>
      </c>
      <c r="D849" s="39">
        <v>-6.2800204719585082</v>
      </c>
      <c r="E849" s="39">
        <v>8.2226230021141475</v>
      </c>
      <c r="G849">
        <f t="shared" si="75"/>
        <v>26</v>
      </c>
      <c r="H849">
        <v>1</v>
      </c>
      <c r="I849">
        <f t="shared" si="76"/>
        <v>8</v>
      </c>
      <c r="J849">
        <f t="shared" si="77"/>
        <v>2022</v>
      </c>
      <c r="K849" s="17">
        <f t="shared" si="78"/>
        <v>44774</v>
      </c>
      <c r="L849">
        <f t="shared" si="79"/>
        <v>0</v>
      </c>
    </row>
    <row r="850" spans="1:12" x14ac:dyDescent="0.3">
      <c r="A850" s="38">
        <v>44798</v>
      </c>
      <c r="B850" s="39">
        <v>5.4786225219018547</v>
      </c>
      <c r="C850" s="39">
        <v>13.686183180222159</v>
      </c>
      <c r="D850" s="39">
        <v>-4.4352570373637121</v>
      </c>
      <c r="E850" s="39">
        <v>10.353452442139471</v>
      </c>
      <c r="G850">
        <f t="shared" si="75"/>
        <v>25</v>
      </c>
      <c r="H850">
        <v>1</v>
      </c>
      <c r="I850">
        <f t="shared" si="76"/>
        <v>8</v>
      </c>
      <c r="J850">
        <f t="shared" si="77"/>
        <v>2022</v>
      </c>
      <c r="K850" s="17">
        <f t="shared" si="78"/>
        <v>44774</v>
      </c>
      <c r="L850">
        <f t="shared" si="79"/>
        <v>0</v>
      </c>
    </row>
    <row r="851" spans="1:12" x14ac:dyDescent="0.3">
      <c r="A851" s="38">
        <v>44797</v>
      </c>
      <c r="B851" s="39">
        <v>3.2674968493284098</v>
      </c>
      <c r="C851" s="39">
        <v>11.6515307841007</v>
      </c>
      <c r="D851" s="39">
        <v>-6.9741089542161774</v>
      </c>
      <c r="E851" s="39">
        <v>7.9062050260360905</v>
      </c>
      <c r="G851">
        <f t="shared" si="75"/>
        <v>24</v>
      </c>
      <c r="H851">
        <v>1</v>
      </c>
      <c r="I851">
        <f t="shared" si="76"/>
        <v>8</v>
      </c>
      <c r="J851">
        <f t="shared" si="77"/>
        <v>2022</v>
      </c>
      <c r="K851" s="17">
        <f t="shared" si="78"/>
        <v>44774</v>
      </c>
      <c r="L851">
        <f t="shared" si="79"/>
        <v>0</v>
      </c>
    </row>
    <row r="852" spans="1:12" x14ac:dyDescent="0.3">
      <c r="A852" s="38">
        <v>44796</v>
      </c>
      <c r="B852" s="39">
        <v>4.4822124562448522</v>
      </c>
      <c r="C852" s="39">
        <v>13.073622105948132</v>
      </c>
      <c r="D852" s="39">
        <v>-5.5176056725328522</v>
      </c>
      <c r="E852" s="39">
        <v>9.2396867525066</v>
      </c>
      <c r="G852">
        <f t="shared" si="75"/>
        <v>23</v>
      </c>
      <c r="H852">
        <v>1</v>
      </c>
      <c r="I852">
        <f t="shared" si="76"/>
        <v>8</v>
      </c>
      <c r="J852">
        <f t="shared" si="77"/>
        <v>2022</v>
      </c>
      <c r="K852" s="17">
        <f t="shared" si="78"/>
        <v>44774</v>
      </c>
      <c r="L852">
        <f t="shared" si="79"/>
        <v>0</v>
      </c>
    </row>
    <row r="853" spans="1:12" x14ac:dyDescent="0.3">
      <c r="A853" s="38">
        <v>44795</v>
      </c>
      <c r="B853" s="39">
        <v>3.1852160071590419</v>
      </c>
      <c r="C853" s="39">
        <v>11.878833231266071</v>
      </c>
      <c r="D853" s="39">
        <v>-6.6071846714645375</v>
      </c>
      <c r="E853" s="39">
        <v>7.7136644331457944</v>
      </c>
      <c r="G853">
        <f t="shared" si="75"/>
        <v>22</v>
      </c>
      <c r="H853">
        <v>1</v>
      </c>
      <c r="I853">
        <f t="shared" si="76"/>
        <v>8</v>
      </c>
      <c r="J853">
        <f t="shared" si="77"/>
        <v>2022</v>
      </c>
      <c r="K853" s="17">
        <f t="shared" si="78"/>
        <v>44774</v>
      </c>
      <c r="L853">
        <f t="shared" si="79"/>
        <v>0</v>
      </c>
    </row>
    <row r="854" spans="1:12" x14ac:dyDescent="0.3">
      <c r="A854" s="38">
        <v>44792</v>
      </c>
      <c r="B854" s="39">
        <v>1.5417109756358229</v>
      </c>
      <c r="C854" s="39">
        <v>10.287976154502743</v>
      </c>
      <c r="D854" s="39">
        <v>-8.355042527273767</v>
      </c>
      <c r="E854" s="39">
        <v>5.9085424201572465</v>
      </c>
      <c r="G854">
        <f t="shared" si="75"/>
        <v>19</v>
      </c>
      <c r="H854">
        <v>1</v>
      </c>
      <c r="I854">
        <f t="shared" si="76"/>
        <v>8</v>
      </c>
      <c r="J854">
        <f t="shared" si="77"/>
        <v>2022</v>
      </c>
      <c r="K854" s="17">
        <f t="shared" si="78"/>
        <v>44774</v>
      </c>
      <c r="L854">
        <f t="shared" si="79"/>
        <v>0</v>
      </c>
    </row>
    <row r="855" spans="1:12" x14ac:dyDescent="0.3">
      <c r="A855" s="38">
        <v>44791</v>
      </c>
      <c r="B855" s="39">
        <v>2.3045848077552762</v>
      </c>
      <c r="C855" s="39">
        <v>11.215483755406993</v>
      </c>
      <c r="D855" s="39">
        <v>-7.7444372352060213</v>
      </c>
      <c r="E855" s="39">
        <v>6.5593575390076921</v>
      </c>
      <c r="G855">
        <f t="shared" si="75"/>
        <v>18</v>
      </c>
      <c r="H855">
        <v>1</v>
      </c>
      <c r="I855">
        <f t="shared" si="76"/>
        <v>8</v>
      </c>
      <c r="J855">
        <f t="shared" si="77"/>
        <v>2022</v>
      </c>
      <c r="K855" s="17">
        <f t="shared" si="78"/>
        <v>44774</v>
      </c>
      <c r="L855">
        <f t="shared" si="79"/>
        <v>0</v>
      </c>
    </row>
    <row r="856" spans="1:12" x14ac:dyDescent="0.3">
      <c r="A856" s="38">
        <v>44790</v>
      </c>
      <c r="B856" s="39">
        <v>1.9512136704129688</v>
      </c>
      <c r="C856" s="39">
        <v>11.100690108433128</v>
      </c>
      <c r="D856" s="39">
        <v>-7.4219705756136136</v>
      </c>
      <c r="E856" s="39">
        <v>5.9162268879731101</v>
      </c>
      <c r="G856">
        <f t="shared" si="75"/>
        <v>17</v>
      </c>
      <c r="H856">
        <v>1</v>
      </c>
      <c r="I856">
        <f t="shared" si="76"/>
        <v>8</v>
      </c>
      <c r="J856">
        <f t="shared" si="77"/>
        <v>2022</v>
      </c>
      <c r="K856" s="17">
        <f t="shared" si="78"/>
        <v>44774</v>
      </c>
      <c r="L856">
        <f t="shared" si="79"/>
        <v>0</v>
      </c>
    </row>
    <row r="857" spans="1:12" x14ac:dyDescent="0.3">
      <c r="A857" s="38">
        <v>44789</v>
      </c>
      <c r="B857" s="39">
        <v>1.1242785776282602</v>
      </c>
      <c r="C857" s="39">
        <v>9.9401867543310658</v>
      </c>
      <c r="D857" s="39">
        <v>-7.7413728120564116</v>
      </c>
      <c r="E857" s="39">
        <v>4.9602912828201369</v>
      </c>
      <c r="G857">
        <f t="shared" si="75"/>
        <v>16</v>
      </c>
      <c r="H857">
        <v>1</v>
      </c>
      <c r="I857">
        <f t="shared" si="76"/>
        <v>8</v>
      </c>
      <c r="J857">
        <f t="shared" si="77"/>
        <v>2022</v>
      </c>
      <c r="K857" s="17">
        <f t="shared" si="78"/>
        <v>44774</v>
      </c>
      <c r="L857">
        <f t="shared" si="79"/>
        <v>0</v>
      </c>
    </row>
    <row r="858" spans="1:12" x14ac:dyDescent="0.3">
      <c r="A858" s="38">
        <v>44788</v>
      </c>
      <c r="B858" s="39">
        <v>-0.65090133156556362</v>
      </c>
      <c r="C858" s="39">
        <v>8.5707099940037068</v>
      </c>
      <c r="D858" s="39">
        <v>-8.8452893903484835</v>
      </c>
      <c r="E858" s="39">
        <v>2.5895253159700786</v>
      </c>
      <c r="G858">
        <f t="shared" si="75"/>
        <v>15</v>
      </c>
      <c r="H858">
        <v>1</v>
      </c>
      <c r="I858">
        <f t="shared" si="76"/>
        <v>8</v>
      </c>
      <c r="J858">
        <f t="shared" si="77"/>
        <v>2022</v>
      </c>
      <c r="K858" s="17">
        <f t="shared" si="78"/>
        <v>44774</v>
      </c>
      <c r="L858">
        <f t="shared" si="79"/>
        <v>0</v>
      </c>
    </row>
    <row r="859" spans="1:12" x14ac:dyDescent="0.3">
      <c r="A859" s="38">
        <v>44785</v>
      </c>
      <c r="B859" s="39">
        <v>-1.8410446873417214</v>
      </c>
      <c r="C859" s="39">
        <v>7.2798976679193004</v>
      </c>
      <c r="D859" s="39">
        <v>-9.7939563451458298</v>
      </c>
      <c r="E859" s="39">
        <v>1.1478788829575564</v>
      </c>
      <c r="G859">
        <f t="shared" si="75"/>
        <v>12</v>
      </c>
      <c r="H859">
        <v>1</v>
      </c>
      <c r="I859">
        <f t="shared" si="76"/>
        <v>8</v>
      </c>
      <c r="J859">
        <f t="shared" si="77"/>
        <v>2022</v>
      </c>
      <c r="K859" s="17">
        <f t="shared" si="78"/>
        <v>44774</v>
      </c>
      <c r="L859">
        <f t="shared" si="79"/>
        <v>0</v>
      </c>
    </row>
    <row r="860" spans="1:12" x14ac:dyDescent="0.3">
      <c r="A860" s="38">
        <v>44784</v>
      </c>
      <c r="B860" s="39">
        <v>-2.2433030236900748</v>
      </c>
      <c r="C860" s="39">
        <v>6.8739634470309312</v>
      </c>
      <c r="D860" s="39">
        <v>-10.563496079347772</v>
      </c>
      <c r="E860" s="39">
        <v>1.3332811231915542</v>
      </c>
      <c r="G860">
        <f t="shared" si="75"/>
        <v>11</v>
      </c>
      <c r="H860">
        <v>1</v>
      </c>
      <c r="I860">
        <f t="shared" si="76"/>
        <v>8</v>
      </c>
      <c r="J860">
        <f t="shared" si="77"/>
        <v>2022</v>
      </c>
      <c r="K860" s="17">
        <f t="shared" si="78"/>
        <v>44774</v>
      </c>
      <c r="L860">
        <f t="shared" si="79"/>
        <v>0</v>
      </c>
    </row>
    <row r="861" spans="1:12" x14ac:dyDescent="0.3">
      <c r="A861" s="38">
        <v>44783</v>
      </c>
      <c r="B861" s="39">
        <v>-4.9169892418812395</v>
      </c>
      <c r="C861" s="39">
        <v>3.7483961316295478</v>
      </c>
      <c r="D861" s="39">
        <v>-13.002093394755065</v>
      </c>
      <c r="E861" s="39">
        <v>-1.1442932133725208</v>
      </c>
      <c r="G861">
        <f t="shared" si="75"/>
        <v>10</v>
      </c>
      <c r="H861">
        <v>1</v>
      </c>
      <c r="I861">
        <f t="shared" si="76"/>
        <v>8</v>
      </c>
      <c r="J861">
        <f t="shared" si="77"/>
        <v>2022</v>
      </c>
      <c r="K861" s="17">
        <f t="shared" si="78"/>
        <v>44774</v>
      </c>
      <c r="L861">
        <f t="shared" si="79"/>
        <v>0</v>
      </c>
    </row>
    <row r="862" spans="1:12" x14ac:dyDescent="0.3">
      <c r="A862" s="38">
        <v>44781</v>
      </c>
      <c r="B862" s="39">
        <v>-7.0094087324437879</v>
      </c>
      <c r="C862" s="39">
        <v>1.6689060801478632</v>
      </c>
      <c r="D862" s="39">
        <v>-14.840102194948102</v>
      </c>
      <c r="E862" s="39">
        <v>-3.2030064496393607</v>
      </c>
      <c r="G862">
        <f t="shared" si="75"/>
        <v>8</v>
      </c>
      <c r="H862">
        <v>1</v>
      </c>
      <c r="I862">
        <f t="shared" si="76"/>
        <v>8</v>
      </c>
      <c r="J862">
        <f t="shared" si="77"/>
        <v>2022</v>
      </c>
      <c r="K862" s="17">
        <f t="shared" si="78"/>
        <v>44774</v>
      </c>
      <c r="L862">
        <f t="shared" si="79"/>
        <v>0</v>
      </c>
    </row>
    <row r="863" spans="1:12" x14ac:dyDescent="0.3">
      <c r="A863" s="38">
        <v>44778</v>
      </c>
      <c r="B863" s="39">
        <v>-3.9209911560766955</v>
      </c>
      <c r="C863" s="39">
        <v>4.6068790809155473</v>
      </c>
      <c r="D863" s="39">
        <v>-11.784304065678242</v>
      </c>
      <c r="E863" s="39">
        <v>0.26072339092075936</v>
      </c>
      <c r="G863">
        <f t="shared" si="75"/>
        <v>5</v>
      </c>
      <c r="H863">
        <v>1</v>
      </c>
      <c r="I863">
        <f t="shared" si="76"/>
        <v>8</v>
      </c>
      <c r="J863">
        <f t="shared" si="77"/>
        <v>2022</v>
      </c>
      <c r="K863" s="17">
        <f t="shared" si="78"/>
        <v>44774</v>
      </c>
      <c r="L863">
        <f t="shared" si="79"/>
        <v>0</v>
      </c>
    </row>
    <row r="864" spans="1:12" x14ac:dyDescent="0.3">
      <c r="A864" s="38">
        <v>44777</v>
      </c>
      <c r="B864" s="39">
        <v>-2.0113330122351556</v>
      </c>
      <c r="C864" s="39">
        <v>6.2344711015112466</v>
      </c>
      <c r="D864" s="39">
        <v>-10.645976298415277</v>
      </c>
      <c r="E864" s="39">
        <v>2.2317889080868838</v>
      </c>
      <c r="G864">
        <f t="shared" si="75"/>
        <v>4</v>
      </c>
      <c r="H864">
        <v>1</v>
      </c>
      <c r="I864">
        <f t="shared" si="76"/>
        <v>8</v>
      </c>
      <c r="J864">
        <f t="shared" si="77"/>
        <v>2022</v>
      </c>
      <c r="K864" s="17">
        <f t="shared" si="78"/>
        <v>44774</v>
      </c>
      <c r="L864">
        <f t="shared" si="79"/>
        <v>1</v>
      </c>
    </row>
    <row r="865" spans="1:12" x14ac:dyDescent="0.3">
      <c r="A865" s="38">
        <v>44776</v>
      </c>
      <c r="B865" s="39">
        <v>-5.1112413031162163</v>
      </c>
      <c r="C865" s="39">
        <v>3.1435785076570681</v>
      </c>
      <c r="D865" s="39">
        <v>-13.720852363036713</v>
      </c>
      <c r="E865" s="39">
        <v>-0.9021564374966573</v>
      </c>
      <c r="G865">
        <f t="shared" si="75"/>
        <v>3</v>
      </c>
      <c r="H865">
        <v>1</v>
      </c>
      <c r="I865">
        <f t="shared" si="76"/>
        <v>8</v>
      </c>
      <c r="J865">
        <f t="shared" si="77"/>
        <v>2022</v>
      </c>
      <c r="K865" s="17">
        <f t="shared" si="78"/>
        <v>44774</v>
      </c>
      <c r="L865">
        <f t="shared" si="79"/>
        <v>1</v>
      </c>
    </row>
    <row r="866" spans="1:12" x14ac:dyDescent="0.3">
      <c r="A866" s="38">
        <v>44775</v>
      </c>
      <c r="B866" s="39">
        <v>-5.0631700127325274</v>
      </c>
      <c r="C866" s="39">
        <v>3.6918463365885685</v>
      </c>
      <c r="D866" s="39">
        <v>-13.274577577179045</v>
      </c>
      <c r="E866" s="39">
        <v>-0.99825623708164812</v>
      </c>
      <c r="G866">
        <f t="shared" si="75"/>
        <v>2</v>
      </c>
      <c r="H866">
        <v>1</v>
      </c>
      <c r="I866">
        <f t="shared" si="76"/>
        <v>8</v>
      </c>
      <c r="J866">
        <f t="shared" si="77"/>
        <v>2022</v>
      </c>
      <c r="K866" s="17">
        <f t="shared" si="78"/>
        <v>44774</v>
      </c>
      <c r="L866">
        <f t="shared" si="79"/>
        <v>1</v>
      </c>
    </row>
    <row r="867" spans="1:12" x14ac:dyDescent="0.3">
      <c r="A867" s="38">
        <v>44774</v>
      </c>
      <c r="B867" s="39">
        <v>-4.4775557393006977</v>
      </c>
      <c r="C867" s="39">
        <v>3.9350353015629196</v>
      </c>
      <c r="D867" s="39">
        <v>-13.666463192963448</v>
      </c>
      <c r="E867" s="39">
        <v>-0.323575246715464</v>
      </c>
      <c r="G867">
        <f t="shared" si="75"/>
        <v>1</v>
      </c>
      <c r="H867">
        <v>1</v>
      </c>
      <c r="I867">
        <f t="shared" si="76"/>
        <v>8</v>
      </c>
      <c r="J867">
        <f t="shared" si="77"/>
        <v>2022</v>
      </c>
      <c r="K867" s="17">
        <f t="shared" si="78"/>
        <v>44774</v>
      </c>
      <c r="L867">
        <f t="shared" si="79"/>
        <v>1</v>
      </c>
    </row>
    <row r="868" spans="1:12" x14ac:dyDescent="0.3">
      <c r="A868" s="38">
        <v>44771</v>
      </c>
      <c r="B868" s="39">
        <v>-4.5425624749366591</v>
      </c>
      <c r="C868" s="39">
        <v>0.87234048041507606</v>
      </c>
      <c r="D868" s="39">
        <v>-13.875765972839261</v>
      </c>
      <c r="E868" s="39">
        <v>-2.3796966864533715</v>
      </c>
      <c r="G868">
        <f t="shared" si="75"/>
        <v>29</v>
      </c>
      <c r="H868">
        <v>1</v>
      </c>
      <c r="I868">
        <f t="shared" si="76"/>
        <v>7</v>
      </c>
      <c r="J868">
        <f t="shared" si="77"/>
        <v>2022</v>
      </c>
      <c r="K868" s="17">
        <f t="shared" si="78"/>
        <v>44743</v>
      </c>
      <c r="L868">
        <f t="shared" si="79"/>
        <v>0</v>
      </c>
    </row>
    <row r="869" spans="1:12" x14ac:dyDescent="0.3">
      <c r="A869" s="38">
        <v>44770</v>
      </c>
      <c r="B869" s="39">
        <v>-1.3544090310114854</v>
      </c>
      <c r="C869" s="39">
        <v>4.1740997231312349</v>
      </c>
      <c r="D869" s="39">
        <v>-10.685522872106603</v>
      </c>
      <c r="E869" s="39">
        <v>0.94464385806637097</v>
      </c>
      <c r="G869">
        <f t="shared" si="75"/>
        <v>28</v>
      </c>
      <c r="H869">
        <v>1</v>
      </c>
      <c r="I869">
        <f t="shared" si="76"/>
        <v>7</v>
      </c>
      <c r="J869">
        <f t="shared" si="77"/>
        <v>2022</v>
      </c>
      <c r="K869" s="17">
        <f t="shared" si="78"/>
        <v>44743</v>
      </c>
      <c r="L869">
        <f t="shared" si="79"/>
        <v>0</v>
      </c>
    </row>
    <row r="870" spans="1:12" x14ac:dyDescent="0.3">
      <c r="A870" s="38">
        <v>44769</v>
      </c>
      <c r="B870" s="39">
        <v>-2.0720525453995293</v>
      </c>
      <c r="C870" s="39">
        <v>3.5191530739172947</v>
      </c>
      <c r="D870" s="39">
        <v>-11.425411303276206</v>
      </c>
      <c r="E870" s="39">
        <v>0.42481969894232918</v>
      </c>
      <c r="G870">
        <f t="shared" si="75"/>
        <v>27</v>
      </c>
      <c r="H870">
        <v>1</v>
      </c>
      <c r="I870">
        <f t="shared" si="76"/>
        <v>7</v>
      </c>
      <c r="J870">
        <f t="shared" si="77"/>
        <v>2022</v>
      </c>
      <c r="K870" s="17">
        <f t="shared" si="78"/>
        <v>44743</v>
      </c>
      <c r="L870">
        <f t="shared" si="79"/>
        <v>0</v>
      </c>
    </row>
    <row r="871" spans="1:12" x14ac:dyDescent="0.3">
      <c r="A871" s="38">
        <v>44768</v>
      </c>
      <c r="B871" s="39">
        <v>-4.7454240174012199</v>
      </c>
      <c r="C871" s="39">
        <v>0.76422606743939525</v>
      </c>
      <c r="D871" s="39">
        <v>-14.023216174207235</v>
      </c>
      <c r="E871" s="39">
        <v>-2.5636466939877351</v>
      </c>
      <c r="G871">
        <f t="shared" si="75"/>
        <v>26</v>
      </c>
      <c r="H871">
        <v>1</v>
      </c>
      <c r="I871">
        <f t="shared" si="76"/>
        <v>7</v>
      </c>
      <c r="J871">
        <f t="shared" si="77"/>
        <v>2022</v>
      </c>
      <c r="K871" s="17">
        <f t="shared" si="78"/>
        <v>44743</v>
      </c>
      <c r="L871">
        <f t="shared" si="79"/>
        <v>0</v>
      </c>
    </row>
    <row r="872" spans="1:12" x14ac:dyDescent="0.3">
      <c r="A872" s="38">
        <v>44767</v>
      </c>
      <c r="B872" s="39">
        <v>-6.4697791498261665</v>
      </c>
      <c r="C872" s="39">
        <v>-1.1111644604322208</v>
      </c>
      <c r="D872" s="39">
        <v>-14.545975572897632</v>
      </c>
      <c r="E872" s="39">
        <v>-4.2170295490222287</v>
      </c>
      <c r="G872">
        <f t="shared" si="75"/>
        <v>25</v>
      </c>
      <c r="H872">
        <v>1</v>
      </c>
      <c r="I872">
        <f t="shared" si="76"/>
        <v>7</v>
      </c>
      <c r="J872">
        <f t="shared" si="77"/>
        <v>2022</v>
      </c>
      <c r="K872" s="17">
        <f t="shared" si="78"/>
        <v>44743</v>
      </c>
      <c r="L872">
        <f t="shared" si="79"/>
        <v>0</v>
      </c>
    </row>
    <row r="873" spans="1:12" x14ac:dyDescent="0.3">
      <c r="A873" s="38">
        <v>44764</v>
      </c>
      <c r="B873" s="39">
        <v>-5.7104441784079683</v>
      </c>
      <c r="C873" s="39">
        <v>-0.63888713802629127</v>
      </c>
      <c r="D873" s="39">
        <v>-13.848966523356182</v>
      </c>
      <c r="E873" s="39">
        <v>-3.2274151638775379</v>
      </c>
      <c r="G873">
        <f t="shared" si="75"/>
        <v>22</v>
      </c>
      <c r="H873">
        <v>1</v>
      </c>
      <c r="I873">
        <f t="shared" si="76"/>
        <v>7</v>
      </c>
      <c r="J873">
        <f t="shared" si="77"/>
        <v>2022</v>
      </c>
      <c r="K873" s="17">
        <f t="shared" si="78"/>
        <v>44743</v>
      </c>
      <c r="L873">
        <f t="shared" si="79"/>
        <v>0</v>
      </c>
    </row>
    <row r="874" spans="1:12" x14ac:dyDescent="0.3">
      <c r="A874" s="38">
        <v>44763</v>
      </c>
      <c r="B874" s="39">
        <v>-4.6834332703611068</v>
      </c>
      <c r="C874" s="39">
        <v>0.55668991358633946</v>
      </c>
      <c r="D874" s="39">
        <v>-13.169378863879842</v>
      </c>
      <c r="E874" s="39">
        <v>-2.2698310187430195</v>
      </c>
      <c r="G874">
        <f t="shared" si="75"/>
        <v>21</v>
      </c>
      <c r="H874">
        <v>1</v>
      </c>
      <c r="I874">
        <f t="shared" si="76"/>
        <v>7</v>
      </c>
      <c r="J874">
        <f t="shared" si="77"/>
        <v>2022</v>
      </c>
      <c r="K874" s="17">
        <f t="shared" si="78"/>
        <v>44743</v>
      </c>
      <c r="L874">
        <f t="shared" si="79"/>
        <v>0</v>
      </c>
    </row>
    <row r="875" spans="1:12" x14ac:dyDescent="0.3">
      <c r="A875" s="38">
        <v>44762</v>
      </c>
      <c r="B875" s="39">
        <v>-4.6034089345759668</v>
      </c>
      <c r="C875" s="39">
        <v>0.6950721428291331</v>
      </c>
      <c r="D875" s="39">
        <v>-13.430478371808462</v>
      </c>
      <c r="E875" s="39">
        <v>-2.0007252745976416</v>
      </c>
      <c r="G875">
        <f t="shared" si="75"/>
        <v>20</v>
      </c>
      <c r="H875">
        <v>1</v>
      </c>
      <c r="I875">
        <f t="shared" si="76"/>
        <v>7</v>
      </c>
      <c r="J875">
        <f t="shared" si="77"/>
        <v>2022</v>
      </c>
      <c r="K875" s="17">
        <f t="shared" si="78"/>
        <v>44743</v>
      </c>
      <c r="L875">
        <f t="shared" si="79"/>
        <v>0</v>
      </c>
    </row>
    <row r="876" spans="1:12" x14ac:dyDescent="0.3">
      <c r="A876" s="38">
        <v>44761</v>
      </c>
      <c r="B876" s="39">
        <v>-2.6624128074037259</v>
      </c>
      <c r="C876" s="39">
        <v>2.5724326554000214</v>
      </c>
      <c r="D876" s="39">
        <v>-11.678160255983798</v>
      </c>
      <c r="E876" s="39">
        <v>3.0829999384380358E-2</v>
      </c>
      <c r="G876">
        <f t="shared" si="75"/>
        <v>19</v>
      </c>
      <c r="H876">
        <v>1</v>
      </c>
      <c r="I876">
        <f t="shared" si="76"/>
        <v>7</v>
      </c>
      <c r="J876">
        <f t="shared" si="77"/>
        <v>2022</v>
      </c>
      <c r="K876" s="17">
        <f t="shared" si="78"/>
        <v>44743</v>
      </c>
      <c r="L876">
        <f t="shared" si="79"/>
        <v>0</v>
      </c>
    </row>
    <row r="877" spans="1:12" x14ac:dyDescent="0.3">
      <c r="A877" s="38">
        <v>44760</v>
      </c>
      <c r="B877" s="39">
        <v>-0.21286314751415603</v>
      </c>
      <c r="C877" s="39">
        <v>4.9827339006241971</v>
      </c>
      <c r="D877" s="39">
        <v>-8.8938085942405252</v>
      </c>
      <c r="E877" s="39">
        <v>2.5312830006555487</v>
      </c>
      <c r="G877">
        <f t="shared" si="75"/>
        <v>18</v>
      </c>
      <c r="H877">
        <v>1</v>
      </c>
      <c r="I877">
        <f t="shared" si="76"/>
        <v>7</v>
      </c>
      <c r="J877">
        <f t="shared" si="77"/>
        <v>2022</v>
      </c>
      <c r="K877" s="17">
        <f t="shared" si="78"/>
        <v>44743</v>
      </c>
      <c r="L877">
        <f t="shared" si="79"/>
        <v>0</v>
      </c>
    </row>
    <row r="878" spans="1:12" x14ac:dyDescent="0.3">
      <c r="A878" s="38">
        <v>44757</v>
      </c>
      <c r="B878" s="39">
        <v>1.0896738036687736</v>
      </c>
      <c r="C878" s="39">
        <v>5.9807811781414983</v>
      </c>
      <c r="D878" s="39">
        <v>-7.8746519739063388</v>
      </c>
      <c r="E878" s="39">
        <v>4.4717454202259432</v>
      </c>
      <c r="G878">
        <f t="shared" si="75"/>
        <v>15</v>
      </c>
      <c r="H878">
        <v>1</v>
      </c>
      <c r="I878">
        <f t="shared" si="76"/>
        <v>7</v>
      </c>
      <c r="J878">
        <f t="shared" si="77"/>
        <v>2022</v>
      </c>
      <c r="K878" s="17">
        <f t="shared" si="78"/>
        <v>44743</v>
      </c>
      <c r="L878">
        <f t="shared" si="79"/>
        <v>0</v>
      </c>
    </row>
    <row r="879" spans="1:12" x14ac:dyDescent="0.3">
      <c r="A879" s="38">
        <v>44756</v>
      </c>
      <c r="B879" s="39">
        <v>2.5333135989647673</v>
      </c>
      <c r="C879" s="39">
        <v>7.3981973818392959</v>
      </c>
      <c r="D879" s="39">
        <v>-6.8272410327567172</v>
      </c>
      <c r="E879" s="39">
        <v>5.903030020067547</v>
      </c>
      <c r="G879">
        <f t="shared" si="75"/>
        <v>14</v>
      </c>
      <c r="H879">
        <v>1</v>
      </c>
      <c r="I879">
        <f t="shared" si="76"/>
        <v>7</v>
      </c>
      <c r="J879">
        <f t="shared" si="77"/>
        <v>2022</v>
      </c>
      <c r="K879" s="17">
        <f t="shared" si="78"/>
        <v>44743</v>
      </c>
      <c r="L879">
        <f t="shared" si="79"/>
        <v>0</v>
      </c>
    </row>
    <row r="880" spans="1:12" x14ac:dyDescent="0.3">
      <c r="A880" s="38">
        <v>44755</v>
      </c>
      <c r="B880" s="39">
        <v>5.4194902918501953</v>
      </c>
      <c r="C880" s="39">
        <v>10.334796128493579</v>
      </c>
      <c r="D880" s="39">
        <v>-4.9301959843992336</v>
      </c>
      <c r="E880" s="39">
        <v>9.0033276381407603</v>
      </c>
      <c r="G880">
        <f t="shared" si="75"/>
        <v>13</v>
      </c>
      <c r="H880">
        <v>1</v>
      </c>
      <c r="I880">
        <f t="shared" si="76"/>
        <v>7</v>
      </c>
      <c r="J880">
        <f t="shared" si="77"/>
        <v>2022</v>
      </c>
      <c r="K880" s="17">
        <f t="shared" si="78"/>
        <v>44743</v>
      </c>
      <c r="L880">
        <f t="shared" si="79"/>
        <v>0</v>
      </c>
    </row>
    <row r="881" spans="1:12" x14ac:dyDescent="0.3">
      <c r="A881" s="38">
        <v>44754</v>
      </c>
      <c r="B881" s="39">
        <v>3.7222284990108818</v>
      </c>
      <c r="C881" s="39">
        <v>8.7235282378719035</v>
      </c>
      <c r="D881" s="39">
        <v>-6.5760336761002094</v>
      </c>
      <c r="E881" s="39">
        <v>6.6565705316593267</v>
      </c>
      <c r="G881">
        <f t="shared" si="75"/>
        <v>12</v>
      </c>
      <c r="H881">
        <v>1</v>
      </c>
      <c r="I881">
        <f t="shared" si="76"/>
        <v>7</v>
      </c>
      <c r="J881">
        <f t="shared" si="77"/>
        <v>2022</v>
      </c>
      <c r="K881" s="17">
        <f t="shared" si="78"/>
        <v>44743</v>
      </c>
      <c r="L881">
        <f t="shared" si="79"/>
        <v>0</v>
      </c>
    </row>
    <row r="882" spans="1:12" x14ac:dyDescent="0.3">
      <c r="A882" s="38">
        <v>44750</v>
      </c>
      <c r="B882" s="39">
        <v>3.99792833374444</v>
      </c>
      <c r="C882" s="39">
        <v>8.835396195962133</v>
      </c>
      <c r="D882" s="39">
        <v>-5.7942257774064103</v>
      </c>
      <c r="E882" s="39">
        <v>6.7210999795375557</v>
      </c>
      <c r="G882">
        <f t="shared" si="75"/>
        <v>8</v>
      </c>
      <c r="H882">
        <v>1</v>
      </c>
      <c r="I882">
        <f t="shared" si="76"/>
        <v>7</v>
      </c>
      <c r="J882">
        <f t="shared" si="77"/>
        <v>2022</v>
      </c>
      <c r="K882" s="17">
        <f t="shared" si="78"/>
        <v>44743</v>
      </c>
      <c r="L882">
        <f t="shared" si="79"/>
        <v>0</v>
      </c>
    </row>
    <row r="883" spans="1:12" x14ac:dyDescent="0.3">
      <c r="A883" s="38">
        <v>44749</v>
      </c>
      <c r="B883" s="39">
        <v>2.0913177536834553</v>
      </c>
      <c r="C883" s="39">
        <v>7.1804319087212178</v>
      </c>
      <c r="D883" s="39">
        <v>-7.2321864479131222</v>
      </c>
      <c r="E883" s="39">
        <v>4.6130133990424724</v>
      </c>
      <c r="G883">
        <f t="shared" si="75"/>
        <v>7</v>
      </c>
      <c r="H883">
        <v>1</v>
      </c>
      <c r="I883">
        <f t="shared" si="76"/>
        <v>7</v>
      </c>
      <c r="J883">
        <f t="shared" si="77"/>
        <v>2022</v>
      </c>
      <c r="K883" s="17">
        <f t="shared" si="78"/>
        <v>44743</v>
      </c>
      <c r="L883">
        <f t="shared" si="79"/>
        <v>0</v>
      </c>
    </row>
    <row r="884" spans="1:12" x14ac:dyDescent="0.3">
      <c r="A884" s="38">
        <v>44748</v>
      </c>
      <c r="B884" s="39">
        <v>5.8832480376687215</v>
      </c>
      <c r="C884" s="39">
        <v>10.731232583466451</v>
      </c>
      <c r="D884" s="39">
        <v>-3.9792753485157135</v>
      </c>
      <c r="E884" s="39">
        <v>8.7481596399434096</v>
      </c>
      <c r="G884">
        <f t="shared" si="75"/>
        <v>6</v>
      </c>
      <c r="H884">
        <v>1</v>
      </c>
      <c r="I884">
        <f t="shared" si="76"/>
        <v>7</v>
      </c>
      <c r="J884">
        <f t="shared" si="77"/>
        <v>2022</v>
      </c>
      <c r="K884" s="17">
        <f t="shared" si="78"/>
        <v>44743</v>
      </c>
      <c r="L884">
        <f t="shared" si="79"/>
        <v>0</v>
      </c>
    </row>
    <row r="885" spans="1:12" x14ac:dyDescent="0.3">
      <c r="A885" s="38">
        <v>44747</v>
      </c>
      <c r="B885" s="39">
        <v>7.5982041070148938</v>
      </c>
      <c r="C885" s="39">
        <v>12.642075755118157</v>
      </c>
      <c r="D885" s="39">
        <v>-4.985487737989402</v>
      </c>
      <c r="E885" s="39">
        <v>10.528269489868904</v>
      </c>
      <c r="G885">
        <f t="shared" si="75"/>
        <v>5</v>
      </c>
      <c r="H885">
        <v>1</v>
      </c>
      <c r="I885">
        <f t="shared" si="76"/>
        <v>7</v>
      </c>
      <c r="J885">
        <f t="shared" si="77"/>
        <v>2022</v>
      </c>
      <c r="K885" s="17">
        <f t="shared" si="78"/>
        <v>44743</v>
      </c>
      <c r="L885">
        <f t="shared" si="79"/>
        <v>0</v>
      </c>
    </row>
    <row r="886" spans="1:12" x14ac:dyDescent="0.3">
      <c r="A886" s="38">
        <v>44746</v>
      </c>
      <c r="B886" s="39">
        <v>10.482373710447277</v>
      </c>
      <c r="C886" s="39">
        <v>15.710493205540715</v>
      </c>
      <c r="D886" s="39">
        <v>-2.6524528258167948</v>
      </c>
      <c r="E886" s="39">
        <v>13.35804825457582</v>
      </c>
      <c r="G886">
        <f t="shared" si="75"/>
        <v>4</v>
      </c>
      <c r="H886">
        <v>1</v>
      </c>
      <c r="I886">
        <f t="shared" si="76"/>
        <v>7</v>
      </c>
      <c r="J886">
        <f t="shared" si="77"/>
        <v>2022</v>
      </c>
      <c r="K886" s="17">
        <f t="shared" si="78"/>
        <v>44743</v>
      </c>
      <c r="L886">
        <f t="shared" si="79"/>
        <v>1</v>
      </c>
    </row>
    <row r="887" spans="1:12" x14ac:dyDescent="0.3">
      <c r="A887" s="38">
        <v>44743</v>
      </c>
      <c r="B887" s="39">
        <v>14.020440574836968</v>
      </c>
      <c r="C887" s="39">
        <v>19.320427916603791</v>
      </c>
      <c r="D887" s="39">
        <v>1.5307576271055723</v>
      </c>
      <c r="E887" s="39">
        <v>16.597096828745819</v>
      </c>
      <c r="G887">
        <f t="shared" si="75"/>
        <v>1</v>
      </c>
      <c r="H887">
        <v>1</v>
      </c>
      <c r="I887">
        <f t="shared" si="76"/>
        <v>7</v>
      </c>
      <c r="J887">
        <f t="shared" si="77"/>
        <v>2022</v>
      </c>
      <c r="K887" s="17">
        <f t="shared" si="78"/>
        <v>44743</v>
      </c>
      <c r="L887">
        <f t="shared" si="79"/>
        <v>1</v>
      </c>
    </row>
    <row r="888" spans="1:12" x14ac:dyDescent="0.3">
      <c r="A888" s="38">
        <v>44742</v>
      </c>
      <c r="B888" s="39">
        <v>9.5333364999424646</v>
      </c>
      <c r="C888" s="39">
        <v>13.102219047824789</v>
      </c>
      <c r="D888" s="39">
        <v>-2.6685329521705796</v>
      </c>
      <c r="E888" s="39">
        <v>11.140139142953203</v>
      </c>
      <c r="G888">
        <f t="shared" si="75"/>
        <v>30</v>
      </c>
      <c r="H888">
        <v>1</v>
      </c>
      <c r="I888">
        <f t="shared" si="76"/>
        <v>6</v>
      </c>
      <c r="J888">
        <f t="shared" si="77"/>
        <v>2022</v>
      </c>
      <c r="K888" s="17">
        <f t="shared" si="78"/>
        <v>44713</v>
      </c>
      <c r="L888">
        <f t="shared" si="79"/>
        <v>0</v>
      </c>
    </row>
    <row r="889" spans="1:12" x14ac:dyDescent="0.3">
      <c r="A889" s="38">
        <v>44741</v>
      </c>
      <c r="B889" s="39">
        <v>10.974340029306404</v>
      </c>
      <c r="C889" s="39">
        <v>14.820937568938547</v>
      </c>
      <c r="D889" s="39">
        <v>-1.1429005657012823</v>
      </c>
      <c r="E889" s="39">
        <v>12.402927252877674</v>
      </c>
      <c r="G889">
        <f t="shared" si="75"/>
        <v>29</v>
      </c>
      <c r="H889">
        <v>1</v>
      </c>
      <c r="I889">
        <f t="shared" si="76"/>
        <v>6</v>
      </c>
      <c r="J889">
        <f t="shared" si="77"/>
        <v>2022</v>
      </c>
      <c r="K889" s="17">
        <f t="shared" si="78"/>
        <v>44713</v>
      </c>
      <c r="L889">
        <f t="shared" si="79"/>
        <v>0</v>
      </c>
    </row>
    <row r="890" spans="1:12" x14ac:dyDescent="0.3">
      <c r="A890" s="38">
        <v>44740</v>
      </c>
      <c r="B890" s="39">
        <v>16.547414940091556</v>
      </c>
      <c r="C890" s="39">
        <v>20.058866524514912</v>
      </c>
      <c r="D890" s="39">
        <v>3.7818935595644518</v>
      </c>
      <c r="E890" s="39">
        <v>18.485056433096759</v>
      </c>
      <c r="G890">
        <f t="shared" si="75"/>
        <v>28</v>
      </c>
      <c r="H890">
        <v>1</v>
      </c>
      <c r="I890">
        <f t="shared" si="76"/>
        <v>6</v>
      </c>
      <c r="J890">
        <f t="shared" si="77"/>
        <v>2022</v>
      </c>
      <c r="K890" s="17">
        <f t="shared" si="78"/>
        <v>44713</v>
      </c>
      <c r="L890">
        <f t="shared" si="79"/>
        <v>0</v>
      </c>
    </row>
    <row r="891" spans="1:12" x14ac:dyDescent="0.3">
      <c r="A891" s="38">
        <v>44739</v>
      </c>
      <c r="B891" s="39">
        <v>20.650933443887311</v>
      </c>
      <c r="C891" s="39">
        <v>24.022771008400184</v>
      </c>
      <c r="D891" s="39">
        <v>7.9247209565246237</v>
      </c>
      <c r="E891" s="39">
        <v>22.82336791023036</v>
      </c>
      <c r="G891">
        <f t="shared" si="75"/>
        <v>27</v>
      </c>
      <c r="H891">
        <v>1</v>
      </c>
      <c r="I891">
        <f t="shared" si="76"/>
        <v>6</v>
      </c>
      <c r="J891">
        <f t="shared" si="77"/>
        <v>2022</v>
      </c>
      <c r="K891" s="17">
        <f t="shared" si="78"/>
        <v>44713</v>
      </c>
      <c r="L891">
        <f t="shared" si="79"/>
        <v>0</v>
      </c>
    </row>
    <row r="892" spans="1:12" x14ac:dyDescent="0.3">
      <c r="A892" s="38">
        <v>44736</v>
      </c>
      <c r="B892" s="39">
        <v>24.127269522582537</v>
      </c>
      <c r="C892" s="39">
        <v>27.39370665694716</v>
      </c>
      <c r="D892" s="39">
        <v>11.420286580119537</v>
      </c>
      <c r="E892" s="39">
        <v>26.568905687893732</v>
      </c>
      <c r="G892">
        <f t="shared" si="75"/>
        <v>24</v>
      </c>
      <c r="H892">
        <v>1</v>
      </c>
      <c r="I892">
        <f t="shared" si="76"/>
        <v>6</v>
      </c>
      <c r="J892">
        <f t="shared" si="77"/>
        <v>2022</v>
      </c>
      <c r="K892" s="17">
        <f t="shared" si="78"/>
        <v>44713</v>
      </c>
      <c r="L892">
        <f t="shared" si="79"/>
        <v>0</v>
      </c>
    </row>
    <row r="893" spans="1:12" x14ac:dyDescent="0.3">
      <c r="A893" s="38">
        <v>44735</v>
      </c>
      <c r="B893" s="39">
        <v>23.278709707545119</v>
      </c>
      <c r="C893" s="39">
        <v>26.782012998742502</v>
      </c>
      <c r="D893" s="39">
        <v>10.333304602583382</v>
      </c>
      <c r="E893" s="39">
        <v>25.729465612019951</v>
      </c>
      <c r="G893">
        <f t="shared" si="75"/>
        <v>23</v>
      </c>
      <c r="H893">
        <v>1</v>
      </c>
      <c r="I893">
        <f t="shared" si="76"/>
        <v>6</v>
      </c>
      <c r="J893">
        <f t="shared" si="77"/>
        <v>2022</v>
      </c>
      <c r="K893" s="17">
        <f t="shared" si="78"/>
        <v>44713</v>
      </c>
      <c r="L893">
        <f t="shared" si="79"/>
        <v>0</v>
      </c>
    </row>
    <row r="894" spans="1:12" x14ac:dyDescent="0.3">
      <c r="A894" s="38">
        <v>44734</v>
      </c>
      <c r="B894" s="39">
        <v>22.640550959655968</v>
      </c>
      <c r="C894" s="39">
        <v>26.335801564023257</v>
      </c>
      <c r="D894" s="39">
        <v>8.6036616911799513</v>
      </c>
      <c r="E894" s="39">
        <v>25.352683204222501</v>
      </c>
      <c r="G894">
        <f t="shared" si="75"/>
        <v>22</v>
      </c>
      <c r="H894">
        <v>1</v>
      </c>
      <c r="I894">
        <f t="shared" si="76"/>
        <v>6</v>
      </c>
      <c r="J894">
        <f t="shared" si="77"/>
        <v>2022</v>
      </c>
      <c r="K894" s="17">
        <f t="shared" si="78"/>
        <v>44713</v>
      </c>
      <c r="L894">
        <f t="shared" si="79"/>
        <v>0</v>
      </c>
    </row>
    <row r="895" spans="1:12" x14ac:dyDescent="0.3">
      <c r="A895" s="38">
        <v>44733</v>
      </c>
      <c r="B895" s="39">
        <v>23.638252171527029</v>
      </c>
      <c r="C895" s="39">
        <v>27.271748267788951</v>
      </c>
      <c r="D895" s="39">
        <v>9.4393511536389667</v>
      </c>
      <c r="E895" s="39">
        <v>26.169254056943004</v>
      </c>
      <c r="G895">
        <f t="shared" si="75"/>
        <v>21</v>
      </c>
      <c r="H895">
        <v>1</v>
      </c>
      <c r="I895">
        <f t="shared" si="76"/>
        <v>6</v>
      </c>
      <c r="J895">
        <f t="shared" si="77"/>
        <v>2022</v>
      </c>
      <c r="K895" s="17">
        <f t="shared" si="78"/>
        <v>44713</v>
      </c>
      <c r="L895">
        <f t="shared" si="79"/>
        <v>0</v>
      </c>
    </row>
    <row r="896" spans="1:12" x14ac:dyDescent="0.3">
      <c r="A896" s="38">
        <v>44732</v>
      </c>
      <c r="B896" s="39">
        <v>21.341371557077139</v>
      </c>
      <c r="C896" s="39">
        <v>24.901687851302086</v>
      </c>
      <c r="D896" s="39">
        <v>8.8566621627111033</v>
      </c>
      <c r="E896" s="39">
        <v>23.805528151586884</v>
      </c>
      <c r="G896">
        <f t="shared" si="75"/>
        <v>20</v>
      </c>
      <c r="H896">
        <v>1</v>
      </c>
      <c r="I896">
        <f t="shared" si="76"/>
        <v>6</v>
      </c>
      <c r="J896">
        <f t="shared" si="77"/>
        <v>2022</v>
      </c>
      <c r="K896" s="17">
        <f t="shared" si="78"/>
        <v>44713</v>
      </c>
      <c r="L896">
        <f t="shared" si="79"/>
        <v>0</v>
      </c>
    </row>
    <row r="897" spans="1:12" x14ac:dyDescent="0.3">
      <c r="A897" s="38">
        <v>44729</v>
      </c>
      <c r="B897" s="39">
        <v>19.584126205833087</v>
      </c>
      <c r="C897" s="39">
        <v>23.2884808156265</v>
      </c>
      <c r="D897" s="39">
        <v>7.2051282604813593</v>
      </c>
      <c r="E897" s="39">
        <v>21.597265345523269</v>
      </c>
      <c r="G897">
        <f t="shared" si="75"/>
        <v>17</v>
      </c>
      <c r="H897">
        <v>1</v>
      </c>
      <c r="I897">
        <f t="shared" si="76"/>
        <v>6</v>
      </c>
      <c r="J897">
        <f t="shared" si="77"/>
        <v>2022</v>
      </c>
      <c r="K897" s="17">
        <f t="shared" si="78"/>
        <v>44713</v>
      </c>
      <c r="L897">
        <f t="shared" si="79"/>
        <v>0</v>
      </c>
    </row>
    <row r="898" spans="1:12" x14ac:dyDescent="0.3">
      <c r="A898" s="38">
        <v>44728</v>
      </c>
      <c r="B898" s="39">
        <v>18.651816293717502</v>
      </c>
      <c r="C898" s="39">
        <v>22.48594939533524</v>
      </c>
      <c r="D898" s="39">
        <v>6.264045918641898</v>
      </c>
      <c r="E898" s="39">
        <v>20.706231909635648</v>
      </c>
      <c r="G898">
        <f t="shared" si="75"/>
        <v>16</v>
      </c>
      <c r="H898">
        <v>1</v>
      </c>
      <c r="I898">
        <f t="shared" si="76"/>
        <v>6</v>
      </c>
      <c r="J898">
        <f t="shared" si="77"/>
        <v>2022</v>
      </c>
      <c r="K898" s="17">
        <f t="shared" si="78"/>
        <v>44713</v>
      </c>
      <c r="L898">
        <f t="shared" si="79"/>
        <v>0</v>
      </c>
    </row>
    <row r="899" spans="1:12" x14ac:dyDescent="0.3">
      <c r="A899" s="38">
        <v>44727</v>
      </c>
      <c r="B899" s="39">
        <v>16.357423504929443</v>
      </c>
      <c r="C899" s="39">
        <v>20.435246783330584</v>
      </c>
      <c r="D899" s="39">
        <v>4.0257383712005606</v>
      </c>
      <c r="E899" s="39">
        <v>17.992336174438691</v>
      </c>
      <c r="G899">
        <f t="shared" si="75"/>
        <v>15</v>
      </c>
      <c r="H899">
        <v>1</v>
      </c>
      <c r="I899">
        <f t="shared" si="76"/>
        <v>6</v>
      </c>
      <c r="J899">
        <f t="shared" si="77"/>
        <v>2022</v>
      </c>
      <c r="K899" s="17">
        <f t="shared" si="78"/>
        <v>44713</v>
      </c>
      <c r="L899">
        <f t="shared" si="79"/>
        <v>0</v>
      </c>
    </row>
    <row r="900" spans="1:12" x14ac:dyDescent="0.3">
      <c r="A900" s="38">
        <v>44726</v>
      </c>
      <c r="B900" s="39">
        <v>14.099576106958565</v>
      </c>
      <c r="C900" s="39">
        <v>18.378194548006448</v>
      </c>
      <c r="D900" s="39">
        <v>3.4266473995988207</v>
      </c>
      <c r="E900" s="39">
        <v>15.085744056371425</v>
      </c>
      <c r="G900">
        <f t="shared" si="75"/>
        <v>14</v>
      </c>
      <c r="H900">
        <v>1</v>
      </c>
      <c r="I900">
        <f t="shared" si="76"/>
        <v>6</v>
      </c>
      <c r="J900">
        <f t="shared" si="77"/>
        <v>2022</v>
      </c>
      <c r="K900" s="17">
        <f t="shared" si="78"/>
        <v>44713</v>
      </c>
      <c r="L900">
        <f t="shared" si="79"/>
        <v>0</v>
      </c>
    </row>
    <row r="901" spans="1:12" x14ac:dyDescent="0.3">
      <c r="A901" s="38">
        <v>44725</v>
      </c>
      <c r="B901" s="39">
        <v>14.74068171456814</v>
      </c>
      <c r="C901" s="39">
        <v>18.666461054407335</v>
      </c>
      <c r="D901" s="39">
        <v>3.8115402893469934</v>
      </c>
      <c r="E901" s="39">
        <v>16.388589426111977</v>
      </c>
      <c r="G901">
        <f t="shared" ref="G901:G964" si="80">+DAY(A901)</f>
        <v>13</v>
      </c>
      <c r="H901">
        <v>1</v>
      </c>
      <c r="I901">
        <f t="shared" ref="I901:I964" si="81">+MONTH(A901)</f>
        <v>6</v>
      </c>
      <c r="J901">
        <f t="shared" ref="J901:J964" si="82">+YEAR(A901)</f>
        <v>2022</v>
      </c>
      <c r="K901" s="17">
        <f t="shared" ref="K901:K964" si="83">+DATE(J901,I901,H901)</f>
        <v>44713</v>
      </c>
      <c r="L901">
        <f t="shared" ref="L901:L964" si="84">IF(AND(G901&gt;=1, G901&lt;=4), 1, 0)</f>
        <v>0</v>
      </c>
    </row>
    <row r="902" spans="1:12" x14ac:dyDescent="0.3">
      <c r="A902" s="38">
        <v>44722</v>
      </c>
      <c r="B902" s="39">
        <v>14.378940871875955</v>
      </c>
      <c r="C902" s="39">
        <v>18.37282155611318</v>
      </c>
      <c r="D902" s="39">
        <v>1.5784075560728752</v>
      </c>
      <c r="E902" s="39">
        <v>16.385374548515273</v>
      </c>
      <c r="G902">
        <f t="shared" si="80"/>
        <v>10</v>
      </c>
      <c r="H902">
        <v>1</v>
      </c>
      <c r="I902">
        <f t="shared" si="81"/>
        <v>6</v>
      </c>
      <c r="J902">
        <f t="shared" si="82"/>
        <v>2022</v>
      </c>
      <c r="K902" s="17">
        <f t="shared" si="83"/>
        <v>44713</v>
      </c>
      <c r="L902">
        <f t="shared" si="84"/>
        <v>0</v>
      </c>
    </row>
    <row r="903" spans="1:12" x14ac:dyDescent="0.3">
      <c r="A903" s="38">
        <v>44721</v>
      </c>
      <c r="B903" s="39">
        <v>11.992091520458814</v>
      </c>
      <c r="C903" s="39">
        <v>15.689753756571278</v>
      </c>
      <c r="D903" s="39">
        <v>-0.71312766738913069</v>
      </c>
      <c r="E903" s="39">
        <v>14.099067481375926</v>
      </c>
      <c r="G903">
        <f t="shared" si="80"/>
        <v>9</v>
      </c>
      <c r="H903">
        <v>1</v>
      </c>
      <c r="I903">
        <f t="shared" si="81"/>
        <v>6</v>
      </c>
      <c r="J903">
        <f t="shared" si="82"/>
        <v>2022</v>
      </c>
      <c r="K903" s="17">
        <f t="shared" si="83"/>
        <v>44713</v>
      </c>
      <c r="L903">
        <f t="shared" si="84"/>
        <v>0</v>
      </c>
    </row>
    <row r="904" spans="1:12" x14ac:dyDescent="0.3">
      <c r="A904" s="38">
        <v>44720</v>
      </c>
      <c r="B904" s="39">
        <v>12.504657907990804</v>
      </c>
      <c r="C904" s="39">
        <v>16.183181594539306</v>
      </c>
      <c r="D904" s="39">
        <v>0.37829706033977573</v>
      </c>
      <c r="E904" s="39">
        <v>14.504149151209461</v>
      </c>
      <c r="G904">
        <f t="shared" si="80"/>
        <v>8</v>
      </c>
      <c r="H904">
        <v>1</v>
      </c>
      <c r="I904">
        <f t="shared" si="81"/>
        <v>6</v>
      </c>
      <c r="J904">
        <f t="shared" si="82"/>
        <v>2022</v>
      </c>
      <c r="K904" s="17">
        <f t="shared" si="83"/>
        <v>44713</v>
      </c>
      <c r="L904">
        <f t="shared" si="84"/>
        <v>0</v>
      </c>
    </row>
    <row r="905" spans="1:12" x14ac:dyDescent="0.3">
      <c r="A905" s="38">
        <v>44719</v>
      </c>
      <c r="B905" s="39">
        <v>16.352590388139689</v>
      </c>
      <c r="C905" s="39">
        <v>19.846009976780493</v>
      </c>
      <c r="D905" s="39">
        <v>4.2264686684125081</v>
      </c>
      <c r="E905" s="39">
        <v>18.389546379408728</v>
      </c>
      <c r="G905">
        <f t="shared" si="80"/>
        <v>7</v>
      </c>
      <c r="H905">
        <v>1</v>
      </c>
      <c r="I905">
        <f t="shared" si="81"/>
        <v>6</v>
      </c>
      <c r="J905">
        <f t="shared" si="82"/>
        <v>2022</v>
      </c>
      <c r="K905" s="17">
        <f t="shared" si="83"/>
        <v>44713</v>
      </c>
      <c r="L905">
        <f t="shared" si="84"/>
        <v>0</v>
      </c>
    </row>
    <row r="906" spans="1:12" x14ac:dyDescent="0.3">
      <c r="A906" s="38">
        <v>44718</v>
      </c>
      <c r="B906" s="39">
        <v>17.458894681108006</v>
      </c>
      <c r="C906" s="39">
        <v>21.024591066093791</v>
      </c>
      <c r="D906" s="39">
        <v>5.0191205151636353</v>
      </c>
      <c r="E906" s="39">
        <v>19.053158596976886</v>
      </c>
      <c r="G906">
        <f t="shared" si="80"/>
        <v>6</v>
      </c>
      <c r="H906">
        <v>1</v>
      </c>
      <c r="I906">
        <f t="shared" si="81"/>
        <v>6</v>
      </c>
      <c r="J906">
        <f t="shared" si="82"/>
        <v>2022</v>
      </c>
      <c r="K906" s="17">
        <f t="shared" si="83"/>
        <v>44713</v>
      </c>
      <c r="L906">
        <f t="shared" si="84"/>
        <v>0</v>
      </c>
    </row>
    <row r="907" spans="1:12" x14ac:dyDescent="0.3">
      <c r="A907" s="38">
        <v>44713</v>
      </c>
      <c r="B907" s="39">
        <v>14.506301107411474</v>
      </c>
      <c r="C907" s="39">
        <v>18.307006823173339</v>
      </c>
      <c r="D907" s="39">
        <v>4.3335153952901919</v>
      </c>
      <c r="E907" s="39">
        <v>15.794489308453649</v>
      </c>
      <c r="G907">
        <f t="shared" si="80"/>
        <v>1</v>
      </c>
      <c r="H907">
        <v>1</v>
      </c>
      <c r="I907">
        <f t="shared" si="81"/>
        <v>6</v>
      </c>
      <c r="J907">
        <f t="shared" si="82"/>
        <v>2022</v>
      </c>
      <c r="K907" s="17">
        <f t="shared" si="83"/>
        <v>44713</v>
      </c>
      <c r="L907">
        <f t="shared" si="84"/>
        <v>1</v>
      </c>
    </row>
    <row r="908" spans="1:12" x14ac:dyDescent="0.3">
      <c r="A908" s="38">
        <v>44712</v>
      </c>
      <c r="B908" s="39">
        <v>8.0431664593983356</v>
      </c>
      <c r="C908" s="39">
        <v>16.731784212137086</v>
      </c>
      <c r="D908" s="39">
        <v>-2.2892404063939438</v>
      </c>
      <c r="E908" s="39">
        <v>9.137580361217303</v>
      </c>
      <c r="G908">
        <f t="shared" si="80"/>
        <v>31</v>
      </c>
      <c r="H908">
        <v>1</v>
      </c>
      <c r="I908">
        <f t="shared" si="81"/>
        <v>5</v>
      </c>
      <c r="J908">
        <f t="shared" si="82"/>
        <v>2022</v>
      </c>
      <c r="K908" s="17">
        <f t="shared" si="83"/>
        <v>44682</v>
      </c>
      <c r="L908">
        <f t="shared" si="84"/>
        <v>0</v>
      </c>
    </row>
    <row r="909" spans="1:12" x14ac:dyDescent="0.3">
      <c r="A909" s="38">
        <v>44711</v>
      </c>
      <c r="B909" s="39">
        <v>5.3525098303910141</v>
      </c>
      <c r="C909" s="39">
        <v>14.009502475256383</v>
      </c>
      <c r="D909" s="39">
        <v>-5.6245521644768104</v>
      </c>
      <c r="E909" s="39">
        <v>7.0091859632223787</v>
      </c>
      <c r="G909">
        <f t="shared" si="80"/>
        <v>30</v>
      </c>
      <c r="H909">
        <v>1</v>
      </c>
      <c r="I909">
        <f t="shared" si="81"/>
        <v>5</v>
      </c>
      <c r="J909">
        <f t="shared" si="82"/>
        <v>2022</v>
      </c>
      <c r="K909" s="17">
        <f t="shared" si="83"/>
        <v>44682</v>
      </c>
      <c r="L909">
        <f t="shared" si="84"/>
        <v>0</v>
      </c>
    </row>
    <row r="910" spans="1:12" x14ac:dyDescent="0.3">
      <c r="A910" s="38">
        <v>44708</v>
      </c>
      <c r="B910" s="39">
        <v>5.3169363405631884</v>
      </c>
      <c r="C910" s="39">
        <v>14.122895397693426</v>
      </c>
      <c r="D910" s="39">
        <v>-4.5384613384805306</v>
      </c>
      <c r="E910" s="39">
        <v>6.2698885050886446</v>
      </c>
      <c r="G910">
        <f t="shared" si="80"/>
        <v>27</v>
      </c>
      <c r="H910">
        <v>1</v>
      </c>
      <c r="I910">
        <f t="shared" si="81"/>
        <v>5</v>
      </c>
      <c r="J910">
        <f t="shared" si="82"/>
        <v>2022</v>
      </c>
      <c r="K910" s="17">
        <f t="shared" si="83"/>
        <v>44682</v>
      </c>
      <c r="L910">
        <f t="shared" si="84"/>
        <v>0</v>
      </c>
    </row>
    <row r="911" spans="1:12" x14ac:dyDescent="0.3">
      <c r="A911" s="38">
        <v>44707</v>
      </c>
      <c r="B911" s="39">
        <v>5.7955898602398577</v>
      </c>
      <c r="C911" s="39">
        <v>14.818733302771008</v>
      </c>
      <c r="D911" s="39">
        <v>-3.247718977763455</v>
      </c>
      <c r="E911" s="39">
        <v>6.3204715533876623</v>
      </c>
      <c r="G911">
        <f t="shared" si="80"/>
        <v>26</v>
      </c>
      <c r="H911">
        <v>1</v>
      </c>
      <c r="I911">
        <f t="shared" si="81"/>
        <v>5</v>
      </c>
      <c r="J911">
        <f t="shared" si="82"/>
        <v>2022</v>
      </c>
      <c r="K911" s="17">
        <f t="shared" si="83"/>
        <v>44682</v>
      </c>
      <c r="L911">
        <f t="shared" si="84"/>
        <v>0</v>
      </c>
    </row>
    <row r="912" spans="1:12" x14ac:dyDescent="0.3">
      <c r="A912" s="38">
        <v>44706</v>
      </c>
      <c r="B912" s="39">
        <v>4.3524265673713387</v>
      </c>
      <c r="C912" s="39">
        <v>13.371391327816795</v>
      </c>
      <c r="D912" s="39">
        <v>-4.0050955662338907</v>
      </c>
      <c r="E912" s="39">
        <v>4.5270526160126252</v>
      </c>
      <c r="G912">
        <f t="shared" si="80"/>
        <v>25</v>
      </c>
      <c r="H912">
        <v>1</v>
      </c>
      <c r="I912">
        <f t="shared" si="81"/>
        <v>5</v>
      </c>
      <c r="J912">
        <f t="shared" si="82"/>
        <v>2022</v>
      </c>
      <c r="K912" s="17">
        <f t="shared" si="83"/>
        <v>44682</v>
      </c>
      <c r="L912">
        <f t="shared" si="84"/>
        <v>0</v>
      </c>
    </row>
    <row r="913" spans="1:12" x14ac:dyDescent="0.3">
      <c r="A913" s="38">
        <v>44705</v>
      </c>
      <c r="B913" s="39">
        <v>3.3352679507399046</v>
      </c>
      <c r="C913" s="39">
        <v>12.294686685256991</v>
      </c>
      <c r="D913" s="39">
        <v>-4.762211583284568</v>
      </c>
      <c r="E913" s="39">
        <v>3.4155672920208389</v>
      </c>
      <c r="G913">
        <f t="shared" si="80"/>
        <v>24</v>
      </c>
      <c r="H913">
        <v>1</v>
      </c>
      <c r="I913">
        <f t="shared" si="81"/>
        <v>5</v>
      </c>
      <c r="J913">
        <f t="shared" si="82"/>
        <v>2022</v>
      </c>
      <c r="K913" s="17">
        <f t="shared" si="83"/>
        <v>44682</v>
      </c>
      <c r="L913">
        <f t="shared" si="84"/>
        <v>0</v>
      </c>
    </row>
    <row r="914" spans="1:12" x14ac:dyDescent="0.3">
      <c r="A914" s="38">
        <v>44704</v>
      </c>
      <c r="B914" s="39">
        <v>3.1891437686555406</v>
      </c>
      <c r="C914" s="39">
        <v>12.260308744662694</v>
      </c>
      <c r="D914" s="39">
        <v>-5.4573602556097285</v>
      </c>
      <c r="E914" s="39">
        <v>3.1665397392542474</v>
      </c>
      <c r="G914">
        <f t="shared" si="80"/>
        <v>23</v>
      </c>
      <c r="H914">
        <v>1</v>
      </c>
      <c r="I914">
        <f t="shared" si="81"/>
        <v>5</v>
      </c>
      <c r="J914">
        <f t="shared" si="82"/>
        <v>2022</v>
      </c>
      <c r="K914" s="17">
        <f t="shared" si="83"/>
        <v>44682</v>
      </c>
      <c r="L914">
        <f t="shared" si="84"/>
        <v>0</v>
      </c>
    </row>
    <row r="915" spans="1:12" x14ac:dyDescent="0.3">
      <c r="A915" s="38">
        <v>44701</v>
      </c>
      <c r="B915" s="39">
        <v>5.1599730843789757</v>
      </c>
      <c r="C915" s="39">
        <v>14.303817063320295</v>
      </c>
      <c r="D915" s="39">
        <v>-5.3717868616645035</v>
      </c>
      <c r="E915" s="39">
        <v>5.4261233781728464</v>
      </c>
      <c r="G915">
        <f t="shared" si="80"/>
        <v>20</v>
      </c>
      <c r="H915">
        <v>1</v>
      </c>
      <c r="I915">
        <f t="shared" si="81"/>
        <v>5</v>
      </c>
      <c r="J915">
        <f t="shared" si="82"/>
        <v>2022</v>
      </c>
      <c r="K915" s="17">
        <f t="shared" si="83"/>
        <v>44682</v>
      </c>
      <c r="L915">
        <f t="shared" si="84"/>
        <v>0</v>
      </c>
    </row>
    <row r="916" spans="1:12" x14ac:dyDescent="0.3">
      <c r="A916" s="38">
        <v>44700</v>
      </c>
      <c r="B916" s="39">
        <v>2.3395339718381081</v>
      </c>
      <c r="C916" s="39">
        <v>11.439509409547185</v>
      </c>
      <c r="D916" s="39">
        <v>-7.5353984438287256</v>
      </c>
      <c r="E916" s="39">
        <v>2.7354417766697736</v>
      </c>
      <c r="G916">
        <f t="shared" si="80"/>
        <v>19</v>
      </c>
      <c r="H916">
        <v>1</v>
      </c>
      <c r="I916">
        <f t="shared" si="81"/>
        <v>5</v>
      </c>
      <c r="J916">
        <f t="shared" si="82"/>
        <v>2022</v>
      </c>
      <c r="K916" s="17">
        <f t="shared" si="83"/>
        <v>44682</v>
      </c>
      <c r="L916">
        <f t="shared" si="84"/>
        <v>0</v>
      </c>
    </row>
    <row r="917" spans="1:12" x14ac:dyDescent="0.3">
      <c r="A917" s="38">
        <v>44699</v>
      </c>
      <c r="B917" s="39">
        <v>5.2019924803037298</v>
      </c>
      <c r="C917" s="39">
        <v>14.31270395697085</v>
      </c>
      <c r="D917" s="39">
        <v>-5.1066052864661344</v>
      </c>
      <c r="E917" s="39">
        <v>5.4451553650566069</v>
      </c>
      <c r="G917">
        <f t="shared" si="80"/>
        <v>18</v>
      </c>
      <c r="H917">
        <v>1</v>
      </c>
      <c r="I917">
        <f t="shared" si="81"/>
        <v>5</v>
      </c>
      <c r="J917">
        <f t="shared" si="82"/>
        <v>2022</v>
      </c>
      <c r="K917" s="17">
        <f t="shared" si="83"/>
        <v>44682</v>
      </c>
      <c r="L917">
        <f t="shared" si="84"/>
        <v>0</v>
      </c>
    </row>
    <row r="918" spans="1:12" x14ac:dyDescent="0.3">
      <c r="A918" s="38">
        <v>44698</v>
      </c>
      <c r="B918" s="39">
        <v>3.9117897221596536</v>
      </c>
      <c r="C918" s="39">
        <v>12.816669893337874</v>
      </c>
      <c r="D918" s="39">
        <v>-5.4826780318505541</v>
      </c>
      <c r="E918" s="39">
        <v>3.9111451346552855</v>
      </c>
      <c r="G918">
        <f t="shared" si="80"/>
        <v>17</v>
      </c>
      <c r="H918">
        <v>1</v>
      </c>
      <c r="I918">
        <f t="shared" si="81"/>
        <v>5</v>
      </c>
      <c r="J918">
        <f t="shared" si="82"/>
        <v>2022</v>
      </c>
      <c r="K918" s="17">
        <f t="shared" si="83"/>
        <v>44682</v>
      </c>
      <c r="L918">
        <f t="shared" si="84"/>
        <v>0</v>
      </c>
    </row>
    <row r="919" spans="1:12" x14ac:dyDescent="0.3">
      <c r="A919" s="38">
        <v>44694</v>
      </c>
      <c r="B919" s="39">
        <v>8.5065022744085468</v>
      </c>
      <c r="C919" s="39">
        <v>16.9563136239382</v>
      </c>
      <c r="D919" s="39">
        <v>-0.15294154919197922</v>
      </c>
      <c r="E919" s="39">
        <v>9.1991135820745882</v>
      </c>
      <c r="G919">
        <f t="shared" si="80"/>
        <v>13</v>
      </c>
      <c r="H919">
        <v>1</v>
      </c>
      <c r="I919">
        <f t="shared" si="81"/>
        <v>5</v>
      </c>
      <c r="J919">
        <f t="shared" si="82"/>
        <v>2022</v>
      </c>
      <c r="K919" s="17">
        <f t="shared" si="83"/>
        <v>44682</v>
      </c>
      <c r="L919">
        <f t="shared" si="84"/>
        <v>0</v>
      </c>
    </row>
    <row r="920" spans="1:12" x14ac:dyDescent="0.3">
      <c r="A920" s="38">
        <v>44693</v>
      </c>
      <c r="B920" s="39">
        <v>8.3077844483483005</v>
      </c>
      <c r="C920" s="39">
        <v>16.631485337270036</v>
      </c>
      <c r="D920" s="39">
        <v>0.91183032526222974</v>
      </c>
      <c r="E920" s="39">
        <v>9.2281062102935181</v>
      </c>
      <c r="G920">
        <f t="shared" si="80"/>
        <v>12</v>
      </c>
      <c r="H920">
        <v>1</v>
      </c>
      <c r="I920">
        <f t="shared" si="81"/>
        <v>5</v>
      </c>
      <c r="J920">
        <f t="shared" si="82"/>
        <v>2022</v>
      </c>
      <c r="K920" s="17">
        <f t="shared" si="83"/>
        <v>44682</v>
      </c>
      <c r="L920">
        <f t="shared" si="84"/>
        <v>0</v>
      </c>
    </row>
    <row r="921" spans="1:12" x14ac:dyDescent="0.3">
      <c r="A921" s="38">
        <v>44692</v>
      </c>
      <c r="B921" s="39">
        <v>10.507757071289902</v>
      </c>
      <c r="C921" s="39">
        <v>18.829193455976906</v>
      </c>
      <c r="D921" s="39">
        <v>2.784104403653842</v>
      </c>
      <c r="E921" s="39">
        <v>11.702459909838964</v>
      </c>
      <c r="G921">
        <f t="shared" si="80"/>
        <v>11</v>
      </c>
      <c r="H921">
        <v>1</v>
      </c>
      <c r="I921">
        <f t="shared" si="81"/>
        <v>5</v>
      </c>
      <c r="J921">
        <f t="shared" si="82"/>
        <v>2022</v>
      </c>
      <c r="K921" s="17">
        <f t="shared" si="83"/>
        <v>44682</v>
      </c>
      <c r="L921">
        <f t="shared" si="84"/>
        <v>0</v>
      </c>
    </row>
    <row r="922" spans="1:12" x14ac:dyDescent="0.3">
      <c r="A922" s="38">
        <v>44691</v>
      </c>
      <c r="B922" s="39">
        <v>9.4641362846521844</v>
      </c>
      <c r="C922" s="39">
        <v>18.111169390234579</v>
      </c>
      <c r="D922" s="39">
        <v>1.5068338720140986</v>
      </c>
      <c r="E922" s="39">
        <v>10.267015451218583</v>
      </c>
      <c r="G922">
        <f t="shared" si="80"/>
        <v>10</v>
      </c>
      <c r="H922">
        <v>1</v>
      </c>
      <c r="I922">
        <f t="shared" si="81"/>
        <v>5</v>
      </c>
      <c r="J922">
        <f t="shared" si="82"/>
        <v>2022</v>
      </c>
      <c r="K922" s="17">
        <f t="shared" si="83"/>
        <v>44682</v>
      </c>
      <c r="L922">
        <f t="shared" si="84"/>
        <v>0</v>
      </c>
    </row>
    <row r="923" spans="1:12" x14ac:dyDescent="0.3">
      <c r="A923" s="38">
        <v>44690</v>
      </c>
      <c r="B923" s="39">
        <v>9.2722570392327839</v>
      </c>
      <c r="C923" s="39">
        <v>18.117559387656669</v>
      </c>
      <c r="D923" s="39">
        <v>1.2333469054272541</v>
      </c>
      <c r="E923" s="39">
        <v>9.6125969550844701</v>
      </c>
      <c r="G923">
        <f t="shared" si="80"/>
        <v>9</v>
      </c>
      <c r="H923">
        <v>1</v>
      </c>
      <c r="I923">
        <f t="shared" si="81"/>
        <v>5</v>
      </c>
      <c r="J923">
        <f t="shared" si="82"/>
        <v>2022</v>
      </c>
      <c r="K923" s="17">
        <f t="shared" si="83"/>
        <v>44682</v>
      </c>
      <c r="L923">
        <f t="shared" si="84"/>
        <v>0</v>
      </c>
    </row>
    <row r="924" spans="1:12" x14ac:dyDescent="0.3">
      <c r="A924" s="38">
        <v>44687</v>
      </c>
      <c r="B924" s="39">
        <v>10.616353853932807</v>
      </c>
      <c r="C924" s="39">
        <v>19.491689662448621</v>
      </c>
      <c r="D924" s="39">
        <v>3.4838909100220405</v>
      </c>
      <c r="E924" s="39">
        <v>10.830897614036431</v>
      </c>
      <c r="G924">
        <f t="shared" si="80"/>
        <v>6</v>
      </c>
      <c r="H924">
        <v>1</v>
      </c>
      <c r="I924">
        <f t="shared" si="81"/>
        <v>5</v>
      </c>
      <c r="J924">
        <f t="shared" si="82"/>
        <v>2022</v>
      </c>
      <c r="K924" s="17">
        <f t="shared" si="83"/>
        <v>44682</v>
      </c>
      <c r="L924">
        <f t="shared" si="84"/>
        <v>0</v>
      </c>
    </row>
    <row r="925" spans="1:12" x14ac:dyDescent="0.3">
      <c r="A925" s="38">
        <v>44686</v>
      </c>
      <c r="B925" s="39">
        <v>13.831575715025323</v>
      </c>
      <c r="C925" s="39">
        <v>22.7167316738457</v>
      </c>
      <c r="D925" s="39">
        <v>7.6782315791260487</v>
      </c>
      <c r="E925" s="39">
        <v>13.8523185151777</v>
      </c>
      <c r="G925">
        <f t="shared" si="80"/>
        <v>5</v>
      </c>
      <c r="H925">
        <v>1</v>
      </c>
      <c r="I925">
        <f t="shared" si="81"/>
        <v>5</v>
      </c>
      <c r="J925">
        <f t="shared" si="82"/>
        <v>2022</v>
      </c>
      <c r="K925" s="17">
        <f t="shared" si="83"/>
        <v>44682</v>
      </c>
      <c r="L925">
        <f t="shared" si="84"/>
        <v>0</v>
      </c>
    </row>
    <row r="926" spans="1:12" x14ac:dyDescent="0.3">
      <c r="A926" s="38">
        <v>44685</v>
      </c>
      <c r="B926" s="39">
        <v>14.275911723308766</v>
      </c>
      <c r="C926" s="39">
        <v>23.30803770894876</v>
      </c>
      <c r="D926" s="39">
        <v>8.7712875301299675</v>
      </c>
      <c r="E926" s="39">
        <v>13.923432880849646</v>
      </c>
      <c r="G926">
        <f t="shared" si="80"/>
        <v>4</v>
      </c>
      <c r="H926">
        <v>1</v>
      </c>
      <c r="I926">
        <f t="shared" si="81"/>
        <v>5</v>
      </c>
      <c r="J926">
        <f t="shared" si="82"/>
        <v>2022</v>
      </c>
      <c r="K926" s="17">
        <f t="shared" si="83"/>
        <v>44682</v>
      </c>
      <c r="L926">
        <f t="shared" si="84"/>
        <v>1</v>
      </c>
    </row>
    <row r="927" spans="1:12" x14ac:dyDescent="0.3">
      <c r="A927" s="38">
        <v>44680</v>
      </c>
      <c r="B927" s="39">
        <v>15.398499006572536</v>
      </c>
      <c r="C927" s="39">
        <v>19.830273600076993</v>
      </c>
      <c r="D927" s="39">
        <v>10.022739909357554</v>
      </c>
      <c r="E927" s="39">
        <v>15.057073966838402</v>
      </c>
      <c r="G927">
        <f t="shared" si="80"/>
        <v>29</v>
      </c>
      <c r="H927">
        <v>1</v>
      </c>
      <c r="I927">
        <f t="shared" si="81"/>
        <v>4</v>
      </c>
      <c r="J927">
        <f t="shared" si="82"/>
        <v>2022</v>
      </c>
      <c r="K927" s="17">
        <f t="shared" si="83"/>
        <v>44652</v>
      </c>
      <c r="L927">
        <f t="shared" si="84"/>
        <v>0</v>
      </c>
    </row>
    <row r="928" spans="1:12" x14ac:dyDescent="0.3">
      <c r="A928" s="38">
        <v>44679</v>
      </c>
      <c r="B928" s="39">
        <v>14.855333261083146</v>
      </c>
      <c r="C928" s="39">
        <v>19.216612939536603</v>
      </c>
      <c r="D928" s="39">
        <v>9.6256767728088306</v>
      </c>
      <c r="E928" s="39">
        <v>14.699020867603977</v>
      </c>
      <c r="G928">
        <f t="shared" si="80"/>
        <v>28</v>
      </c>
      <c r="H928">
        <v>1</v>
      </c>
      <c r="I928">
        <f t="shared" si="81"/>
        <v>4</v>
      </c>
      <c r="J928">
        <f t="shared" si="82"/>
        <v>2022</v>
      </c>
      <c r="K928" s="17">
        <f t="shared" si="83"/>
        <v>44652</v>
      </c>
      <c r="L928">
        <f t="shared" si="84"/>
        <v>0</v>
      </c>
    </row>
    <row r="929" spans="1:12" x14ac:dyDescent="0.3">
      <c r="A929" s="38">
        <v>44678</v>
      </c>
      <c r="B929" s="39">
        <v>14.944816332660466</v>
      </c>
      <c r="C929" s="39">
        <v>19.215095519264935</v>
      </c>
      <c r="D929" s="39">
        <v>9.9860041479024204</v>
      </c>
      <c r="E929" s="39">
        <v>14.74461888923561</v>
      </c>
      <c r="G929">
        <f t="shared" si="80"/>
        <v>27</v>
      </c>
      <c r="H929">
        <v>1</v>
      </c>
      <c r="I929">
        <f t="shared" si="81"/>
        <v>4</v>
      </c>
      <c r="J929">
        <f t="shared" si="82"/>
        <v>2022</v>
      </c>
      <c r="K929" s="17">
        <f t="shared" si="83"/>
        <v>44652</v>
      </c>
      <c r="L929">
        <f t="shared" si="84"/>
        <v>0</v>
      </c>
    </row>
    <row r="930" spans="1:12" x14ac:dyDescent="0.3">
      <c r="A930" s="38">
        <v>44677</v>
      </c>
      <c r="B930" s="39">
        <v>12.220051018725897</v>
      </c>
      <c r="C930" s="39">
        <v>16.493373214945592</v>
      </c>
      <c r="D930" s="39">
        <v>6.8209513238084298</v>
      </c>
      <c r="E930" s="39">
        <v>12.295649285634909</v>
      </c>
      <c r="G930">
        <f t="shared" si="80"/>
        <v>26</v>
      </c>
      <c r="H930">
        <v>1</v>
      </c>
      <c r="I930">
        <f t="shared" si="81"/>
        <v>4</v>
      </c>
      <c r="J930">
        <f t="shared" si="82"/>
        <v>2022</v>
      </c>
      <c r="K930" s="17">
        <f t="shared" si="83"/>
        <v>44652</v>
      </c>
      <c r="L930">
        <f t="shared" si="84"/>
        <v>0</v>
      </c>
    </row>
    <row r="931" spans="1:12" x14ac:dyDescent="0.3">
      <c r="A931" s="38">
        <v>44676</v>
      </c>
      <c r="B931" s="39">
        <v>10.460998537584572</v>
      </c>
      <c r="C931" s="39">
        <v>14.777023816589917</v>
      </c>
      <c r="D931" s="39">
        <v>5.1421904346338607</v>
      </c>
      <c r="E931" s="39">
        <v>10.552211519192085</v>
      </c>
      <c r="G931">
        <f t="shared" si="80"/>
        <v>25</v>
      </c>
      <c r="H931">
        <v>1</v>
      </c>
      <c r="I931">
        <f t="shared" si="81"/>
        <v>4</v>
      </c>
      <c r="J931">
        <f t="shared" si="82"/>
        <v>2022</v>
      </c>
      <c r="K931" s="17">
        <f t="shared" si="83"/>
        <v>44652</v>
      </c>
      <c r="L931">
        <f t="shared" si="84"/>
        <v>0</v>
      </c>
    </row>
    <row r="932" spans="1:12" x14ac:dyDescent="0.3">
      <c r="A932" s="38">
        <v>44673</v>
      </c>
      <c r="B932" s="39">
        <v>10.470381337088952</v>
      </c>
      <c r="C932" s="39">
        <v>14.806449751290629</v>
      </c>
      <c r="D932" s="39">
        <v>4.3850785336316562</v>
      </c>
      <c r="E932" s="39">
        <v>10.209522527239258</v>
      </c>
      <c r="G932">
        <f t="shared" si="80"/>
        <v>22</v>
      </c>
      <c r="H932">
        <v>1</v>
      </c>
      <c r="I932">
        <f t="shared" si="81"/>
        <v>4</v>
      </c>
      <c r="J932">
        <f t="shared" si="82"/>
        <v>2022</v>
      </c>
      <c r="K932" s="17">
        <f t="shared" si="83"/>
        <v>44652</v>
      </c>
      <c r="L932">
        <f t="shared" si="84"/>
        <v>0</v>
      </c>
    </row>
    <row r="933" spans="1:12" x14ac:dyDescent="0.3">
      <c r="A933" s="38">
        <v>44672</v>
      </c>
      <c r="B933" s="39">
        <v>12.036748419181052</v>
      </c>
      <c r="C933" s="39">
        <v>16.238056652192441</v>
      </c>
      <c r="D933" s="39">
        <v>6.5821548045083205</v>
      </c>
      <c r="E933" s="39">
        <v>11.822151301057033</v>
      </c>
      <c r="G933">
        <f t="shared" si="80"/>
        <v>21</v>
      </c>
      <c r="H933">
        <v>1</v>
      </c>
      <c r="I933">
        <f t="shared" si="81"/>
        <v>4</v>
      </c>
      <c r="J933">
        <f t="shared" si="82"/>
        <v>2022</v>
      </c>
      <c r="K933" s="17">
        <f t="shared" si="83"/>
        <v>44652</v>
      </c>
      <c r="L933">
        <f t="shared" si="84"/>
        <v>0</v>
      </c>
    </row>
    <row r="934" spans="1:12" x14ac:dyDescent="0.3">
      <c r="A934" s="38">
        <v>44671</v>
      </c>
      <c r="B934" s="39">
        <v>11.977433874741209</v>
      </c>
      <c r="C934" s="39">
        <v>16.117478625316451</v>
      </c>
      <c r="D934" s="39">
        <v>7.1938079417857921</v>
      </c>
      <c r="E934" s="39">
        <v>11.80589817457161</v>
      </c>
      <c r="G934">
        <f t="shared" si="80"/>
        <v>20</v>
      </c>
      <c r="H934">
        <v>1</v>
      </c>
      <c r="I934">
        <f t="shared" si="81"/>
        <v>4</v>
      </c>
      <c r="J934">
        <f t="shared" si="82"/>
        <v>2022</v>
      </c>
      <c r="K934" s="17">
        <f t="shared" si="83"/>
        <v>44652</v>
      </c>
      <c r="L934">
        <f t="shared" si="84"/>
        <v>0</v>
      </c>
    </row>
    <row r="935" spans="1:12" x14ac:dyDescent="0.3">
      <c r="A935" s="38">
        <v>44670</v>
      </c>
      <c r="B935" s="39">
        <v>11.411978349994342</v>
      </c>
      <c r="C935" s="39">
        <v>15.488425029805768</v>
      </c>
      <c r="D935" s="39">
        <v>6.5259183507322689</v>
      </c>
      <c r="E935" s="39">
        <v>11.232958151261059</v>
      </c>
      <c r="G935">
        <f t="shared" si="80"/>
        <v>19</v>
      </c>
      <c r="H935">
        <v>1</v>
      </c>
      <c r="I935">
        <f t="shared" si="81"/>
        <v>4</v>
      </c>
      <c r="J935">
        <f t="shared" si="82"/>
        <v>2022</v>
      </c>
      <c r="K935" s="17">
        <f t="shared" si="83"/>
        <v>44652</v>
      </c>
      <c r="L935">
        <f t="shared" si="84"/>
        <v>0</v>
      </c>
    </row>
    <row r="936" spans="1:12" x14ac:dyDescent="0.3">
      <c r="A936" s="38">
        <v>44665</v>
      </c>
      <c r="B936" s="39">
        <v>13.09754097507674</v>
      </c>
      <c r="C936" s="39">
        <v>17.014043014641885</v>
      </c>
      <c r="D936" s="39">
        <v>8.8031128625925845</v>
      </c>
      <c r="E936" s="39">
        <v>13.072112412331322</v>
      </c>
      <c r="G936">
        <f t="shared" si="80"/>
        <v>14</v>
      </c>
      <c r="H936">
        <v>1</v>
      </c>
      <c r="I936">
        <f t="shared" si="81"/>
        <v>4</v>
      </c>
      <c r="J936">
        <f t="shared" si="82"/>
        <v>2022</v>
      </c>
      <c r="K936" s="17">
        <f t="shared" si="83"/>
        <v>44652</v>
      </c>
      <c r="L936">
        <f t="shared" si="84"/>
        <v>0</v>
      </c>
    </row>
    <row r="937" spans="1:12" x14ac:dyDescent="0.3">
      <c r="A937" s="38">
        <v>44664</v>
      </c>
      <c r="B937" s="39">
        <v>11.328328428164824</v>
      </c>
      <c r="C937" s="39">
        <v>15.322918046033863</v>
      </c>
      <c r="D937" s="39">
        <v>8.2340102746022836</v>
      </c>
      <c r="E937" s="39">
        <v>11.243637823406402</v>
      </c>
      <c r="G937">
        <f t="shared" si="80"/>
        <v>13</v>
      </c>
      <c r="H937">
        <v>1</v>
      </c>
      <c r="I937">
        <f t="shared" si="81"/>
        <v>4</v>
      </c>
      <c r="J937">
        <f t="shared" si="82"/>
        <v>2022</v>
      </c>
      <c r="K937" s="17">
        <f t="shared" si="83"/>
        <v>44652</v>
      </c>
      <c r="L937">
        <f t="shared" si="84"/>
        <v>0</v>
      </c>
    </row>
    <row r="938" spans="1:12" x14ac:dyDescent="0.3">
      <c r="A938" s="38">
        <v>44663</v>
      </c>
      <c r="B938" s="39">
        <v>10.534920084594518</v>
      </c>
      <c r="C938" s="39">
        <v>14.667400996314214</v>
      </c>
      <c r="D938" s="39">
        <v>8.3748603346745227</v>
      </c>
      <c r="E938" s="39">
        <v>10.572742277760199</v>
      </c>
      <c r="G938">
        <f t="shared" si="80"/>
        <v>12</v>
      </c>
      <c r="H938">
        <v>1</v>
      </c>
      <c r="I938">
        <f t="shared" si="81"/>
        <v>4</v>
      </c>
      <c r="J938">
        <f t="shared" si="82"/>
        <v>2022</v>
      </c>
      <c r="K938" s="17">
        <f t="shared" si="83"/>
        <v>44652</v>
      </c>
      <c r="L938">
        <f t="shared" si="84"/>
        <v>0</v>
      </c>
    </row>
    <row r="939" spans="1:12" x14ac:dyDescent="0.3">
      <c r="A939" s="38">
        <v>44662</v>
      </c>
      <c r="B939" s="39">
        <v>9.8227533633280899</v>
      </c>
      <c r="C939" s="39">
        <v>14.020581728565162</v>
      </c>
      <c r="D939" s="39">
        <v>6.8445579939962471</v>
      </c>
      <c r="E939" s="39">
        <v>9.7393560158895696</v>
      </c>
      <c r="G939">
        <f t="shared" si="80"/>
        <v>11</v>
      </c>
      <c r="H939">
        <v>1</v>
      </c>
      <c r="I939">
        <f t="shared" si="81"/>
        <v>4</v>
      </c>
      <c r="J939">
        <f t="shared" si="82"/>
        <v>2022</v>
      </c>
      <c r="K939" s="17">
        <f t="shared" si="83"/>
        <v>44652</v>
      </c>
      <c r="L939">
        <f t="shared" si="84"/>
        <v>0</v>
      </c>
    </row>
    <row r="940" spans="1:12" x14ac:dyDescent="0.3">
      <c r="A940" s="38">
        <v>44659</v>
      </c>
      <c r="B940" s="39">
        <v>9.8017313420792362</v>
      </c>
      <c r="C940" s="39">
        <v>14.11418771507519</v>
      </c>
      <c r="D940" s="39">
        <v>6.8308447973497266</v>
      </c>
      <c r="E940" s="39">
        <v>9.5891205587971058</v>
      </c>
      <c r="G940">
        <f t="shared" si="80"/>
        <v>8</v>
      </c>
      <c r="H940">
        <v>1</v>
      </c>
      <c r="I940">
        <f t="shared" si="81"/>
        <v>4</v>
      </c>
      <c r="J940">
        <f t="shared" si="82"/>
        <v>2022</v>
      </c>
      <c r="K940" s="17">
        <f t="shared" si="83"/>
        <v>44652</v>
      </c>
      <c r="L940">
        <f t="shared" si="84"/>
        <v>0</v>
      </c>
    </row>
    <row r="941" spans="1:12" x14ac:dyDescent="0.3">
      <c r="A941" s="38">
        <v>44658</v>
      </c>
      <c r="B941" s="39">
        <v>10.674623776141715</v>
      </c>
      <c r="C941" s="39">
        <v>15.021971921417475</v>
      </c>
      <c r="D941" s="39">
        <v>6.8294425007675272</v>
      </c>
      <c r="E941" s="39">
        <v>10.637255164239932</v>
      </c>
      <c r="G941">
        <f t="shared" si="80"/>
        <v>7</v>
      </c>
      <c r="H941">
        <v>1</v>
      </c>
      <c r="I941">
        <f t="shared" si="81"/>
        <v>4</v>
      </c>
      <c r="J941">
        <f t="shared" si="82"/>
        <v>2022</v>
      </c>
      <c r="K941" s="17">
        <f t="shared" si="83"/>
        <v>44652</v>
      </c>
      <c r="L941">
        <f t="shared" si="84"/>
        <v>0</v>
      </c>
    </row>
    <row r="942" spans="1:12" x14ac:dyDescent="0.3">
      <c r="A942" s="38">
        <v>44657</v>
      </c>
      <c r="B942" s="39">
        <v>10.119465147280977</v>
      </c>
      <c r="C942" s="39">
        <v>14.418436735778144</v>
      </c>
      <c r="D942" s="39">
        <v>6.123465060549961</v>
      </c>
      <c r="E942" s="39">
        <v>9.7894821345503402</v>
      </c>
      <c r="G942">
        <f t="shared" si="80"/>
        <v>6</v>
      </c>
      <c r="H942">
        <v>1</v>
      </c>
      <c r="I942">
        <f t="shared" si="81"/>
        <v>4</v>
      </c>
      <c r="J942">
        <f t="shared" si="82"/>
        <v>2022</v>
      </c>
      <c r="K942" s="17">
        <f t="shared" si="83"/>
        <v>44652</v>
      </c>
      <c r="L942">
        <f t="shared" si="84"/>
        <v>0</v>
      </c>
    </row>
    <row r="943" spans="1:12" x14ac:dyDescent="0.3">
      <c r="A943" s="38">
        <v>44656</v>
      </c>
      <c r="B943" s="39">
        <v>8.9756172462698913</v>
      </c>
      <c r="C943" s="39">
        <v>13.304435951895073</v>
      </c>
      <c r="D943" s="39">
        <v>4.5296652645868676</v>
      </c>
      <c r="E943" s="39">
        <v>8.7332849093985629</v>
      </c>
      <c r="G943">
        <f t="shared" si="80"/>
        <v>5</v>
      </c>
      <c r="H943">
        <v>1</v>
      </c>
      <c r="I943">
        <f t="shared" si="81"/>
        <v>4</v>
      </c>
      <c r="J943">
        <f t="shared" si="82"/>
        <v>2022</v>
      </c>
      <c r="K943" s="17">
        <f t="shared" si="83"/>
        <v>44652</v>
      </c>
      <c r="L943">
        <f t="shared" si="84"/>
        <v>0</v>
      </c>
    </row>
    <row r="944" spans="1:12" x14ac:dyDescent="0.3">
      <c r="A944" s="38">
        <v>44655</v>
      </c>
      <c r="B944" s="39">
        <v>11.482572855637741</v>
      </c>
      <c r="C944" s="39">
        <v>15.855132432674196</v>
      </c>
      <c r="D944" s="39">
        <v>7.1611507529971874</v>
      </c>
      <c r="E944" s="39">
        <v>11.363010519698634</v>
      </c>
      <c r="G944">
        <f t="shared" si="80"/>
        <v>4</v>
      </c>
      <c r="H944">
        <v>1</v>
      </c>
      <c r="I944">
        <f t="shared" si="81"/>
        <v>4</v>
      </c>
      <c r="J944">
        <f t="shared" si="82"/>
        <v>2022</v>
      </c>
      <c r="K944" s="17">
        <f t="shared" si="83"/>
        <v>44652</v>
      </c>
      <c r="L944">
        <f t="shared" si="84"/>
        <v>1</v>
      </c>
    </row>
    <row r="945" spans="1:12" x14ac:dyDescent="0.3">
      <c r="A945" s="38">
        <v>44652</v>
      </c>
      <c r="B945" s="39">
        <v>8.0307446608071729</v>
      </c>
      <c r="C945" s="39">
        <v>12.612295783081677</v>
      </c>
      <c r="D945" s="39">
        <v>3.5162591729194048</v>
      </c>
      <c r="E945" s="39">
        <v>7.8578968147165398</v>
      </c>
      <c r="G945">
        <f t="shared" si="80"/>
        <v>1</v>
      </c>
      <c r="H945">
        <v>1</v>
      </c>
      <c r="I945">
        <f t="shared" si="81"/>
        <v>4</v>
      </c>
      <c r="J945">
        <f t="shared" si="82"/>
        <v>2022</v>
      </c>
      <c r="K945" s="17">
        <f t="shared" si="83"/>
        <v>44652</v>
      </c>
      <c r="L945">
        <f t="shared" si="84"/>
        <v>1</v>
      </c>
    </row>
    <row r="946" spans="1:12" x14ac:dyDescent="0.3">
      <c r="A946" s="38">
        <v>44651</v>
      </c>
      <c r="B946" s="39">
        <v>6.4445807930476491</v>
      </c>
      <c r="C946" s="39">
        <v>8.806040707756992</v>
      </c>
      <c r="D946" s="39">
        <v>0.80523511278282456</v>
      </c>
      <c r="E946" s="39">
        <v>6.8525311916001641</v>
      </c>
      <c r="G946">
        <f t="shared" si="80"/>
        <v>31</v>
      </c>
      <c r="H946">
        <v>1</v>
      </c>
      <c r="I946">
        <f t="shared" si="81"/>
        <v>3</v>
      </c>
      <c r="J946">
        <f t="shared" si="82"/>
        <v>2022</v>
      </c>
      <c r="K946" s="17">
        <f t="shared" si="83"/>
        <v>44621</v>
      </c>
      <c r="L946">
        <f t="shared" si="84"/>
        <v>0</v>
      </c>
    </row>
    <row r="947" spans="1:12" x14ac:dyDescent="0.3">
      <c r="A947" s="38">
        <v>44650</v>
      </c>
      <c r="B947" s="39">
        <v>8.0027592443224904</v>
      </c>
      <c r="C947" s="39">
        <v>10.132756939728182</v>
      </c>
      <c r="D947" s="39">
        <v>2.2314333179678414</v>
      </c>
      <c r="E947" s="39">
        <v>8.5223755271542103</v>
      </c>
      <c r="G947">
        <f t="shared" si="80"/>
        <v>30</v>
      </c>
      <c r="H947">
        <v>1</v>
      </c>
      <c r="I947">
        <f t="shared" si="81"/>
        <v>3</v>
      </c>
      <c r="J947">
        <f t="shared" si="82"/>
        <v>2022</v>
      </c>
      <c r="K947" s="17">
        <f t="shared" si="83"/>
        <v>44621</v>
      </c>
      <c r="L947">
        <f t="shared" si="84"/>
        <v>0</v>
      </c>
    </row>
    <row r="948" spans="1:12" x14ac:dyDescent="0.3">
      <c r="A948" s="38">
        <v>44649</v>
      </c>
      <c r="B948" s="39">
        <v>8.3680459395220481</v>
      </c>
      <c r="C948" s="39">
        <v>10.357860494891668</v>
      </c>
      <c r="D948" s="39">
        <v>3.3097378650666798</v>
      </c>
      <c r="E948" s="39">
        <v>8.8689029334718299</v>
      </c>
      <c r="G948">
        <f t="shared" si="80"/>
        <v>29</v>
      </c>
      <c r="H948">
        <v>1</v>
      </c>
      <c r="I948">
        <f t="shared" si="81"/>
        <v>3</v>
      </c>
      <c r="J948">
        <f t="shared" si="82"/>
        <v>2022</v>
      </c>
      <c r="K948" s="17">
        <f t="shared" si="83"/>
        <v>44621</v>
      </c>
      <c r="L948">
        <f t="shared" si="84"/>
        <v>0</v>
      </c>
    </row>
    <row r="949" spans="1:12" x14ac:dyDescent="0.3">
      <c r="A949" s="38">
        <v>44648</v>
      </c>
      <c r="B949" s="39">
        <v>9.3631915330181812</v>
      </c>
      <c r="C949" s="39">
        <v>11.404895667345414</v>
      </c>
      <c r="D949" s="39">
        <v>4.0744768594289837</v>
      </c>
      <c r="E949" s="39">
        <v>9.7899133726489964</v>
      </c>
      <c r="G949">
        <f t="shared" si="80"/>
        <v>28</v>
      </c>
      <c r="H949">
        <v>1</v>
      </c>
      <c r="I949">
        <f t="shared" si="81"/>
        <v>3</v>
      </c>
      <c r="J949">
        <f t="shared" si="82"/>
        <v>2022</v>
      </c>
      <c r="K949" s="17">
        <f t="shared" si="83"/>
        <v>44621</v>
      </c>
      <c r="L949">
        <f t="shared" si="84"/>
        <v>0</v>
      </c>
    </row>
    <row r="950" spans="1:12" x14ac:dyDescent="0.3">
      <c r="A950" s="38">
        <v>44645</v>
      </c>
      <c r="B950" s="39">
        <v>8.3351162125830882</v>
      </c>
      <c r="C950" s="39">
        <v>10.283041989556324</v>
      </c>
      <c r="D950" s="39">
        <v>2.6185282760158373</v>
      </c>
      <c r="E950" s="39">
        <v>9.0055172990257546</v>
      </c>
      <c r="G950">
        <f t="shared" si="80"/>
        <v>25</v>
      </c>
      <c r="H950">
        <v>1</v>
      </c>
      <c r="I950">
        <f t="shared" si="81"/>
        <v>3</v>
      </c>
      <c r="J950">
        <f t="shared" si="82"/>
        <v>2022</v>
      </c>
      <c r="K950" s="17">
        <f t="shared" si="83"/>
        <v>44621</v>
      </c>
      <c r="L950">
        <f t="shared" si="84"/>
        <v>0</v>
      </c>
    </row>
    <row r="951" spans="1:12" x14ac:dyDescent="0.3">
      <c r="A951" s="38">
        <v>44644</v>
      </c>
      <c r="B951" s="39">
        <v>9.7554928462578516</v>
      </c>
      <c r="C951" s="39">
        <v>11.735752684898458</v>
      </c>
      <c r="D951" s="39">
        <v>3.5630013798937767</v>
      </c>
      <c r="E951" s="39">
        <v>10.155648569784958</v>
      </c>
      <c r="G951">
        <f t="shared" si="80"/>
        <v>24</v>
      </c>
      <c r="H951">
        <v>1</v>
      </c>
      <c r="I951">
        <f t="shared" si="81"/>
        <v>3</v>
      </c>
      <c r="J951">
        <f t="shared" si="82"/>
        <v>2022</v>
      </c>
      <c r="K951" s="17">
        <f t="shared" si="83"/>
        <v>44621</v>
      </c>
      <c r="L951">
        <f t="shared" si="84"/>
        <v>0</v>
      </c>
    </row>
    <row r="952" spans="1:12" x14ac:dyDescent="0.3">
      <c r="A952" s="38">
        <v>44643</v>
      </c>
      <c r="B952" s="39">
        <v>9.2005395476876686</v>
      </c>
      <c r="C952" s="39">
        <v>11.05710766567131</v>
      </c>
      <c r="D952" s="39">
        <v>2.6747976997461933</v>
      </c>
      <c r="E952" s="39">
        <v>9.839511980208826</v>
      </c>
      <c r="G952">
        <f t="shared" si="80"/>
        <v>23</v>
      </c>
      <c r="H952">
        <v>1</v>
      </c>
      <c r="I952">
        <f t="shared" si="81"/>
        <v>3</v>
      </c>
      <c r="J952">
        <f t="shared" si="82"/>
        <v>2022</v>
      </c>
      <c r="K952" s="17">
        <f t="shared" si="83"/>
        <v>44621</v>
      </c>
      <c r="L952">
        <f t="shared" si="84"/>
        <v>0</v>
      </c>
    </row>
    <row r="953" spans="1:12" x14ac:dyDescent="0.3">
      <c r="A953" s="38">
        <v>44642</v>
      </c>
      <c r="B953" s="39">
        <v>7.0757305455103108</v>
      </c>
      <c r="C953" s="39">
        <v>8.7904290227817938</v>
      </c>
      <c r="D953" s="39">
        <v>0.17608029868097219</v>
      </c>
      <c r="E953" s="39">
        <v>7.8851136200168526</v>
      </c>
      <c r="G953">
        <f t="shared" si="80"/>
        <v>22</v>
      </c>
      <c r="H953">
        <v>1</v>
      </c>
      <c r="I953">
        <f t="shared" si="81"/>
        <v>3</v>
      </c>
      <c r="J953">
        <f t="shared" si="82"/>
        <v>2022</v>
      </c>
      <c r="K953" s="17">
        <f t="shared" si="83"/>
        <v>44621</v>
      </c>
      <c r="L953">
        <f t="shared" si="84"/>
        <v>0</v>
      </c>
    </row>
    <row r="954" spans="1:12" x14ac:dyDescent="0.3">
      <c r="A954" s="38">
        <v>44641</v>
      </c>
      <c r="B954" s="39">
        <v>8.2770901689745386</v>
      </c>
      <c r="C954" s="39">
        <v>9.7913592865987056</v>
      </c>
      <c r="D954" s="39">
        <v>1.2610716200610739</v>
      </c>
      <c r="E954" s="39">
        <v>9.2948302261211495</v>
      </c>
      <c r="G954">
        <f t="shared" si="80"/>
        <v>21</v>
      </c>
      <c r="H954">
        <v>1</v>
      </c>
      <c r="I954">
        <f t="shared" si="81"/>
        <v>3</v>
      </c>
      <c r="J954">
        <f t="shared" si="82"/>
        <v>2022</v>
      </c>
      <c r="K954" s="17">
        <f t="shared" si="83"/>
        <v>44621</v>
      </c>
      <c r="L954">
        <f t="shared" si="84"/>
        <v>0</v>
      </c>
    </row>
    <row r="955" spans="1:12" x14ac:dyDescent="0.3">
      <c r="A955" s="38">
        <v>44638</v>
      </c>
      <c r="B955" s="39">
        <v>5.431828554028769</v>
      </c>
      <c r="C955" s="39">
        <v>6.9549770598583649</v>
      </c>
      <c r="D955" s="39">
        <v>-1.3156282702621525</v>
      </c>
      <c r="E955" s="39">
        <v>6.4310071523524641</v>
      </c>
      <c r="G955">
        <f t="shared" si="80"/>
        <v>18</v>
      </c>
      <c r="H955">
        <v>1</v>
      </c>
      <c r="I955">
        <f t="shared" si="81"/>
        <v>3</v>
      </c>
      <c r="J955">
        <f t="shared" si="82"/>
        <v>2022</v>
      </c>
      <c r="K955" s="17">
        <f t="shared" si="83"/>
        <v>44621</v>
      </c>
      <c r="L955">
        <f t="shared" si="84"/>
        <v>0</v>
      </c>
    </row>
    <row r="956" spans="1:12" x14ac:dyDescent="0.3">
      <c r="A956" s="38">
        <v>44637</v>
      </c>
      <c r="B956" s="39">
        <v>5.9413706524307059</v>
      </c>
      <c r="C956" s="39">
        <v>7.6054391137176935</v>
      </c>
      <c r="D956" s="39">
        <v>-0.19702114724762509</v>
      </c>
      <c r="E956" s="39">
        <v>6.817308569778973</v>
      </c>
      <c r="G956">
        <f t="shared" si="80"/>
        <v>17</v>
      </c>
      <c r="H956">
        <v>1</v>
      </c>
      <c r="I956">
        <f t="shared" si="81"/>
        <v>3</v>
      </c>
      <c r="J956">
        <f t="shared" si="82"/>
        <v>2022</v>
      </c>
      <c r="K956" s="17">
        <f t="shared" si="83"/>
        <v>44621</v>
      </c>
      <c r="L956">
        <f t="shared" si="84"/>
        <v>0</v>
      </c>
    </row>
    <row r="957" spans="1:12" x14ac:dyDescent="0.3">
      <c r="A957" s="38">
        <v>44636</v>
      </c>
      <c r="B957" s="39">
        <v>2.4172538845652554</v>
      </c>
      <c r="C957" s="39">
        <v>4.2441797251333497</v>
      </c>
      <c r="D957" s="39">
        <v>-2.8538840068943898</v>
      </c>
      <c r="E957" s="39">
        <v>2.5135011226393829</v>
      </c>
      <c r="G957">
        <f t="shared" si="80"/>
        <v>16</v>
      </c>
      <c r="H957">
        <v>1</v>
      </c>
      <c r="I957">
        <f t="shared" si="81"/>
        <v>3</v>
      </c>
      <c r="J957">
        <f t="shared" si="82"/>
        <v>2022</v>
      </c>
      <c r="K957" s="17">
        <f t="shared" si="83"/>
        <v>44621</v>
      </c>
      <c r="L957">
        <f t="shared" si="84"/>
        <v>0</v>
      </c>
    </row>
    <row r="958" spans="1:12" x14ac:dyDescent="0.3">
      <c r="A958" s="38">
        <v>44635</v>
      </c>
      <c r="B958" s="39">
        <v>0.70641009843893698</v>
      </c>
      <c r="C958" s="39">
        <v>2.6700679424900216</v>
      </c>
      <c r="D958" s="39">
        <v>-4.5410674807286853</v>
      </c>
      <c r="E958" s="39">
        <v>0.98996734190761515</v>
      </c>
      <c r="G958">
        <f t="shared" si="80"/>
        <v>15</v>
      </c>
      <c r="H958">
        <v>1</v>
      </c>
      <c r="I958">
        <f t="shared" si="81"/>
        <v>3</v>
      </c>
      <c r="J958">
        <f t="shared" si="82"/>
        <v>2022</v>
      </c>
      <c r="K958" s="17">
        <f t="shared" si="83"/>
        <v>44621</v>
      </c>
      <c r="L958">
        <f t="shared" si="84"/>
        <v>0</v>
      </c>
    </row>
    <row r="959" spans="1:12" x14ac:dyDescent="0.3">
      <c r="A959" s="38">
        <v>44634</v>
      </c>
      <c r="B959" s="39">
        <v>0.6367186544403296</v>
      </c>
      <c r="C959" s="39">
        <v>2.1209004941655678</v>
      </c>
      <c r="D959" s="39">
        <v>-4.6898858237278773</v>
      </c>
      <c r="E959" s="39">
        <v>0.63652146417909705</v>
      </c>
      <c r="G959">
        <f t="shared" si="80"/>
        <v>14</v>
      </c>
      <c r="H959">
        <v>1</v>
      </c>
      <c r="I959">
        <f t="shared" si="81"/>
        <v>3</v>
      </c>
      <c r="J959">
        <f t="shared" si="82"/>
        <v>2022</v>
      </c>
      <c r="K959" s="17">
        <f t="shared" si="83"/>
        <v>44621</v>
      </c>
      <c r="L959">
        <f t="shared" si="84"/>
        <v>0</v>
      </c>
    </row>
    <row r="960" spans="1:12" x14ac:dyDescent="0.3">
      <c r="A960" s="38">
        <v>44631</v>
      </c>
      <c r="B960" s="39">
        <v>2.8506320983914293</v>
      </c>
      <c r="C960" s="39">
        <v>4.3650207147425277</v>
      </c>
      <c r="D960" s="39">
        <v>-1.4888851189901828</v>
      </c>
      <c r="E960" s="39">
        <v>2.6020720614156971</v>
      </c>
      <c r="G960">
        <f t="shared" si="80"/>
        <v>11</v>
      </c>
      <c r="H960">
        <v>1</v>
      </c>
      <c r="I960">
        <f t="shared" si="81"/>
        <v>3</v>
      </c>
      <c r="J960">
        <f t="shared" si="82"/>
        <v>2022</v>
      </c>
      <c r="K960" s="17">
        <f t="shared" si="83"/>
        <v>44621</v>
      </c>
      <c r="L960">
        <f t="shared" si="84"/>
        <v>0</v>
      </c>
    </row>
    <row r="961" spans="1:12" x14ac:dyDescent="0.3">
      <c r="A961" s="38">
        <v>44630</v>
      </c>
      <c r="B961" s="39">
        <v>10.536568752480321</v>
      </c>
      <c r="C961" s="39">
        <v>11.327688235557488</v>
      </c>
      <c r="D961" s="39">
        <v>3.9428546123092616</v>
      </c>
      <c r="E961" s="39">
        <v>11.273440665054082</v>
      </c>
      <c r="G961">
        <f t="shared" si="80"/>
        <v>10</v>
      </c>
      <c r="H961">
        <v>1</v>
      </c>
      <c r="I961">
        <f t="shared" si="81"/>
        <v>3</v>
      </c>
      <c r="J961">
        <f t="shared" si="82"/>
        <v>2022</v>
      </c>
      <c r="K961" s="17">
        <f t="shared" si="83"/>
        <v>44621</v>
      </c>
      <c r="L961">
        <f t="shared" si="84"/>
        <v>0</v>
      </c>
    </row>
    <row r="962" spans="1:12" x14ac:dyDescent="0.3">
      <c r="A962" s="38">
        <v>44629</v>
      </c>
      <c r="B962" s="39">
        <v>16.211429843821094</v>
      </c>
      <c r="C962" s="39">
        <v>16.462311763556386</v>
      </c>
      <c r="D962" s="39">
        <v>8.5128253518018084</v>
      </c>
      <c r="E962" s="39">
        <v>16.765774173999802</v>
      </c>
      <c r="G962">
        <f t="shared" si="80"/>
        <v>9</v>
      </c>
      <c r="H962">
        <v>1</v>
      </c>
      <c r="I962">
        <f t="shared" si="81"/>
        <v>3</v>
      </c>
      <c r="J962">
        <f t="shared" si="82"/>
        <v>2022</v>
      </c>
      <c r="K962" s="17">
        <f t="shared" si="83"/>
        <v>44621</v>
      </c>
      <c r="L962">
        <f t="shared" si="84"/>
        <v>0</v>
      </c>
    </row>
    <row r="963" spans="1:12" x14ac:dyDescent="0.3">
      <c r="A963" s="38">
        <v>44628</v>
      </c>
      <c r="B963" s="39">
        <v>9.4559565811990467</v>
      </c>
      <c r="C963" s="39">
        <v>9.9835673034699965</v>
      </c>
      <c r="D963" s="39">
        <v>2.8514446419182065</v>
      </c>
      <c r="E963" s="39">
        <v>9.7585778405208714</v>
      </c>
      <c r="G963">
        <f t="shared" si="80"/>
        <v>8</v>
      </c>
      <c r="H963">
        <v>1</v>
      </c>
      <c r="I963">
        <f t="shared" si="81"/>
        <v>3</v>
      </c>
      <c r="J963">
        <f t="shared" si="82"/>
        <v>2022</v>
      </c>
      <c r="K963" s="17">
        <f t="shared" si="83"/>
        <v>44621</v>
      </c>
      <c r="L963">
        <f t="shared" si="84"/>
        <v>0</v>
      </c>
    </row>
    <row r="964" spans="1:12" x14ac:dyDescent="0.3">
      <c r="A964" s="38">
        <v>44627</v>
      </c>
      <c r="B964" s="39">
        <v>8.3117970918147819</v>
      </c>
      <c r="C964" s="39">
        <v>8.695283473962462</v>
      </c>
      <c r="D964" s="39">
        <v>1.3926006010219965</v>
      </c>
      <c r="E964" s="39">
        <v>8.6873594056815335</v>
      </c>
      <c r="G964">
        <f t="shared" si="80"/>
        <v>7</v>
      </c>
      <c r="H964">
        <v>1</v>
      </c>
      <c r="I964">
        <f t="shared" si="81"/>
        <v>3</v>
      </c>
      <c r="J964">
        <f t="shared" si="82"/>
        <v>2022</v>
      </c>
      <c r="K964" s="17">
        <f t="shared" si="83"/>
        <v>44621</v>
      </c>
      <c r="L964">
        <f t="shared" si="84"/>
        <v>0</v>
      </c>
    </row>
    <row r="965" spans="1:12" x14ac:dyDescent="0.3">
      <c r="A965" s="38">
        <v>44624</v>
      </c>
      <c r="B965" s="39">
        <v>6.5643505516841003</v>
      </c>
      <c r="C965" s="39">
        <v>7.1579020527883159</v>
      </c>
      <c r="D965" s="39">
        <v>0.84349024603339728</v>
      </c>
      <c r="E965" s="39">
        <v>7.2985103976625112</v>
      </c>
      <c r="G965">
        <f t="shared" ref="G965:G1028" si="85">+DAY(A965)</f>
        <v>4</v>
      </c>
      <c r="H965">
        <v>1</v>
      </c>
      <c r="I965">
        <f t="shared" ref="I965:I1028" si="86">+MONTH(A965)</f>
        <v>3</v>
      </c>
      <c r="J965">
        <f t="shared" ref="J965:J1028" si="87">+YEAR(A965)</f>
        <v>2022</v>
      </c>
      <c r="K965" s="17">
        <f t="shared" ref="K965:K1028" si="88">+DATE(J965,I965,H965)</f>
        <v>44621</v>
      </c>
      <c r="L965">
        <f t="shared" ref="L965:L1028" si="89">IF(AND(G965&gt;=1, G965&lt;=4), 1, 0)</f>
        <v>1</v>
      </c>
    </row>
    <row r="966" spans="1:12" x14ac:dyDescent="0.3">
      <c r="A966" s="38">
        <v>44623</v>
      </c>
      <c r="B966" s="39">
        <v>1.8014990101394801</v>
      </c>
      <c r="C966" s="39">
        <v>1.9915424497974357</v>
      </c>
      <c r="D966" s="39">
        <v>-4.0170211626441414</v>
      </c>
      <c r="E966" s="39">
        <v>2.3252101960265037</v>
      </c>
      <c r="G966">
        <f t="shared" si="85"/>
        <v>3</v>
      </c>
      <c r="H966">
        <v>1</v>
      </c>
      <c r="I966">
        <f t="shared" si="86"/>
        <v>3</v>
      </c>
      <c r="J966">
        <f t="shared" si="87"/>
        <v>2022</v>
      </c>
      <c r="K966" s="17">
        <f t="shared" si="88"/>
        <v>44621</v>
      </c>
      <c r="L966">
        <f t="shared" si="89"/>
        <v>1</v>
      </c>
    </row>
    <row r="967" spans="1:12" x14ac:dyDescent="0.3">
      <c r="A967" s="38">
        <v>44622</v>
      </c>
      <c r="B967" s="39">
        <v>1.4051427685803191</v>
      </c>
      <c r="C967" s="39">
        <v>1.8981376459656616</v>
      </c>
      <c r="D967" s="39">
        <v>-4.7451621871763479</v>
      </c>
      <c r="E967" s="39">
        <v>2.3564369384043999</v>
      </c>
      <c r="G967">
        <f t="shared" si="85"/>
        <v>2</v>
      </c>
      <c r="H967">
        <v>1</v>
      </c>
      <c r="I967">
        <f t="shared" si="86"/>
        <v>3</v>
      </c>
      <c r="J967">
        <f t="shared" si="87"/>
        <v>2022</v>
      </c>
      <c r="K967" s="17">
        <f t="shared" si="88"/>
        <v>44621</v>
      </c>
      <c r="L967">
        <f t="shared" si="89"/>
        <v>1</v>
      </c>
    </row>
    <row r="968" spans="1:12" x14ac:dyDescent="0.3">
      <c r="A968" s="38">
        <v>44621</v>
      </c>
      <c r="B968" s="39">
        <v>3.6123908776519897</v>
      </c>
      <c r="C968" s="39">
        <v>4.6499254122368541</v>
      </c>
      <c r="D968" s="39">
        <v>-1.844231232853403</v>
      </c>
      <c r="E968" s="39">
        <v>4.2750564730446712</v>
      </c>
      <c r="G968">
        <f t="shared" si="85"/>
        <v>1</v>
      </c>
      <c r="H968">
        <v>1</v>
      </c>
      <c r="I968">
        <f t="shared" si="86"/>
        <v>3</v>
      </c>
      <c r="J968">
        <f t="shared" si="87"/>
        <v>2022</v>
      </c>
      <c r="K968" s="17">
        <f t="shared" si="88"/>
        <v>44621</v>
      </c>
      <c r="L968">
        <f t="shared" si="89"/>
        <v>1</v>
      </c>
    </row>
    <row r="969" spans="1:12" x14ac:dyDescent="0.3">
      <c r="A969" s="38">
        <v>44620</v>
      </c>
      <c r="B969" s="39">
        <v>4.1134523036259765</v>
      </c>
      <c r="C969" s="39">
        <v>4.7379259155037943</v>
      </c>
      <c r="D969" s="39">
        <v>-1.8509217454245857</v>
      </c>
      <c r="E969" s="39">
        <v>5.0358451674648848</v>
      </c>
      <c r="G969">
        <f t="shared" si="85"/>
        <v>28</v>
      </c>
      <c r="H969">
        <v>1</v>
      </c>
      <c r="I969">
        <f t="shared" si="86"/>
        <v>2</v>
      </c>
      <c r="J969">
        <f t="shared" si="87"/>
        <v>2022</v>
      </c>
      <c r="K969" s="17">
        <f t="shared" si="88"/>
        <v>44593</v>
      </c>
      <c r="L969">
        <f t="shared" si="89"/>
        <v>0</v>
      </c>
    </row>
    <row r="970" spans="1:12" x14ac:dyDescent="0.3">
      <c r="A970" s="38">
        <v>44617</v>
      </c>
      <c r="B970" s="39">
        <v>4.2049627737653026</v>
      </c>
      <c r="C970" s="39">
        <v>5.0446197598054567</v>
      </c>
      <c r="D970" s="39">
        <v>-1.8167229900367801</v>
      </c>
      <c r="E970" s="39">
        <v>5.115469589919627</v>
      </c>
      <c r="G970">
        <f t="shared" si="85"/>
        <v>25</v>
      </c>
      <c r="H970">
        <v>1</v>
      </c>
      <c r="I970">
        <f t="shared" si="86"/>
        <v>2</v>
      </c>
      <c r="J970">
        <f t="shared" si="87"/>
        <v>2022</v>
      </c>
      <c r="K970" s="17">
        <f t="shared" si="88"/>
        <v>44593</v>
      </c>
      <c r="L970">
        <f t="shared" si="89"/>
        <v>0</v>
      </c>
    </row>
    <row r="971" spans="1:12" x14ac:dyDescent="0.3">
      <c r="A971" s="38">
        <v>44616</v>
      </c>
      <c r="B971" s="39">
        <v>3.3000520559907898</v>
      </c>
      <c r="C971" s="39">
        <v>4.2600905332688797</v>
      </c>
      <c r="D971" s="39">
        <v>-2.4354314172581439</v>
      </c>
      <c r="E971" s="39">
        <v>3.8817601010596974</v>
      </c>
      <c r="G971">
        <f t="shared" si="85"/>
        <v>24</v>
      </c>
      <c r="H971">
        <v>1</v>
      </c>
      <c r="I971">
        <f t="shared" si="86"/>
        <v>2</v>
      </c>
      <c r="J971">
        <f t="shared" si="87"/>
        <v>2022</v>
      </c>
      <c r="K971" s="17">
        <f t="shared" si="88"/>
        <v>44593</v>
      </c>
      <c r="L971">
        <f t="shared" si="89"/>
        <v>0</v>
      </c>
    </row>
    <row r="972" spans="1:12" x14ac:dyDescent="0.3">
      <c r="A972" s="38">
        <v>44615</v>
      </c>
      <c r="B972" s="39">
        <v>2.9894440520250924</v>
      </c>
      <c r="C972" s="39">
        <v>4.0768106267292836</v>
      </c>
      <c r="D972" s="39">
        <v>-2.8608230758752455</v>
      </c>
      <c r="E972" s="39">
        <v>3.5811063462257948</v>
      </c>
      <c r="G972">
        <f t="shared" si="85"/>
        <v>23</v>
      </c>
      <c r="H972">
        <v>1</v>
      </c>
      <c r="I972">
        <f t="shared" si="86"/>
        <v>2</v>
      </c>
      <c r="J972">
        <f t="shared" si="87"/>
        <v>2022</v>
      </c>
      <c r="K972" s="17">
        <f t="shared" si="88"/>
        <v>44593</v>
      </c>
      <c r="L972">
        <f t="shared" si="89"/>
        <v>0</v>
      </c>
    </row>
    <row r="973" spans="1:12" x14ac:dyDescent="0.3">
      <c r="A973" s="38">
        <v>44614</v>
      </c>
      <c r="B973" s="39">
        <v>3.3876986849711699</v>
      </c>
      <c r="C973" s="39">
        <v>4.4624890690240022</v>
      </c>
      <c r="D973" s="39">
        <v>-2.2974959934888943</v>
      </c>
      <c r="E973" s="39">
        <v>3.7721378815186313</v>
      </c>
      <c r="G973">
        <f t="shared" si="85"/>
        <v>22</v>
      </c>
      <c r="H973">
        <v>1</v>
      </c>
      <c r="I973">
        <f t="shared" si="86"/>
        <v>2</v>
      </c>
      <c r="J973">
        <f t="shared" si="87"/>
        <v>2022</v>
      </c>
      <c r="K973" s="17">
        <f t="shared" si="88"/>
        <v>44593</v>
      </c>
      <c r="L973">
        <f t="shared" si="89"/>
        <v>0</v>
      </c>
    </row>
    <row r="974" spans="1:12" x14ac:dyDescent="0.3">
      <c r="A974" s="38">
        <v>44613</v>
      </c>
      <c r="B974" s="39">
        <v>2.7192983228863454</v>
      </c>
      <c r="C974" s="39">
        <v>3.7679972233843415</v>
      </c>
      <c r="D974" s="39">
        <v>-3.1251363103734207</v>
      </c>
      <c r="E974" s="39">
        <v>3.3505613266479486</v>
      </c>
      <c r="G974">
        <f t="shared" si="85"/>
        <v>21</v>
      </c>
      <c r="H974">
        <v>1</v>
      </c>
      <c r="I974">
        <f t="shared" si="86"/>
        <v>2</v>
      </c>
      <c r="J974">
        <f t="shared" si="87"/>
        <v>2022</v>
      </c>
      <c r="K974" s="17">
        <f t="shared" si="88"/>
        <v>44593</v>
      </c>
      <c r="L974">
        <f t="shared" si="89"/>
        <v>0</v>
      </c>
    </row>
    <row r="975" spans="1:12" x14ac:dyDescent="0.3">
      <c r="A975" s="38">
        <v>44610</v>
      </c>
      <c r="B975" s="39">
        <v>3.3529575331472472</v>
      </c>
      <c r="C975" s="39">
        <v>4.29344618125387</v>
      </c>
      <c r="D975" s="39">
        <v>-2.4316135183400576</v>
      </c>
      <c r="E975" s="39">
        <v>3.9836406958871038</v>
      </c>
      <c r="G975">
        <f t="shared" si="85"/>
        <v>18</v>
      </c>
      <c r="H975">
        <v>1</v>
      </c>
      <c r="I975">
        <f t="shared" si="86"/>
        <v>2</v>
      </c>
      <c r="J975">
        <f t="shared" si="87"/>
        <v>2022</v>
      </c>
      <c r="K975" s="17">
        <f t="shared" si="88"/>
        <v>44593</v>
      </c>
      <c r="L975">
        <f t="shared" si="89"/>
        <v>0</v>
      </c>
    </row>
    <row r="976" spans="1:12" x14ac:dyDescent="0.3">
      <c r="A976" s="38">
        <v>44609</v>
      </c>
      <c r="B976" s="39">
        <v>3.4394446211890255</v>
      </c>
      <c r="C976" s="39">
        <v>4.5188286202451735</v>
      </c>
      <c r="D976" s="39">
        <v>-2.3056469156569364</v>
      </c>
      <c r="E976" s="39">
        <v>3.9413311019264228</v>
      </c>
      <c r="G976">
        <f t="shared" si="85"/>
        <v>17</v>
      </c>
      <c r="H976">
        <v>1</v>
      </c>
      <c r="I976">
        <f t="shared" si="86"/>
        <v>2</v>
      </c>
      <c r="J976">
        <f t="shared" si="87"/>
        <v>2022</v>
      </c>
      <c r="K976" s="17">
        <f t="shared" si="88"/>
        <v>44593</v>
      </c>
      <c r="L976">
        <f t="shared" si="89"/>
        <v>0</v>
      </c>
    </row>
    <row r="977" spans="1:12" x14ac:dyDescent="0.3">
      <c r="A977" s="38">
        <v>44608</v>
      </c>
      <c r="B977" s="39">
        <v>3.9970212574951063</v>
      </c>
      <c r="C977" s="39">
        <v>4.949338193542772</v>
      </c>
      <c r="D977" s="39">
        <v>-1.9150095724721865</v>
      </c>
      <c r="E977" s="39">
        <v>4.4227559110994719</v>
      </c>
      <c r="G977">
        <f t="shared" si="85"/>
        <v>16</v>
      </c>
      <c r="H977">
        <v>1</v>
      </c>
      <c r="I977">
        <f t="shared" si="86"/>
        <v>2</v>
      </c>
      <c r="J977">
        <f t="shared" si="87"/>
        <v>2022</v>
      </c>
      <c r="K977" s="17">
        <f t="shared" si="88"/>
        <v>44593</v>
      </c>
      <c r="L977">
        <f t="shared" si="89"/>
        <v>0</v>
      </c>
    </row>
    <row r="978" spans="1:12" x14ac:dyDescent="0.3">
      <c r="A978" s="38">
        <v>44607</v>
      </c>
      <c r="B978" s="39">
        <v>4.0278934888519444</v>
      </c>
      <c r="C978" s="39">
        <v>5.0449515695903102</v>
      </c>
      <c r="D978" s="39">
        <v>-1.7229596270059915</v>
      </c>
      <c r="E978" s="39">
        <v>4.2949418276846814</v>
      </c>
      <c r="G978">
        <f t="shared" si="85"/>
        <v>15</v>
      </c>
      <c r="H978">
        <v>1</v>
      </c>
      <c r="I978">
        <f t="shared" si="86"/>
        <v>2</v>
      </c>
      <c r="J978">
        <f t="shared" si="87"/>
        <v>2022</v>
      </c>
      <c r="K978" s="17">
        <f t="shared" si="88"/>
        <v>44593</v>
      </c>
      <c r="L978">
        <f t="shared" si="89"/>
        <v>0</v>
      </c>
    </row>
    <row r="979" spans="1:12" x14ac:dyDescent="0.3">
      <c r="A979" s="38">
        <v>44606</v>
      </c>
      <c r="B979" s="39">
        <v>4.710491393046226</v>
      </c>
      <c r="C979" s="39">
        <v>5.6837997004461585</v>
      </c>
      <c r="D979" s="39">
        <v>-1.2531144712829416</v>
      </c>
      <c r="E979" s="39">
        <v>5.0571874661376768</v>
      </c>
      <c r="G979">
        <f t="shared" si="85"/>
        <v>14</v>
      </c>
      <c r="H979">
        <v>1</v>
      </c>
      <c r="I979">
        <f t="shared" si="86"/>
        <v>2</v>
      </c>
      <c r="J979">
        <f t="shared" si="87"/>
        <v>2022</v>
      </c>
      <c r="K979" s="17">
        <f t="shared" si="88"/>
        <v>44593</v>
      </c>
      <c r="L979">
        <f t="shared" si="89"/>
        <v>0</v>
      </c>
    </row>
    <row r="980" spans="1:12" x14ac:dyDescent="0.3">
      <c r="A980" s="38">
        <v>44603</v>
      </c>
      <c r="B980" s="39">
        <v>4.059606481045094</v>
      </c>
      <c r="C980" s="39">
        <v>5.0830683754155359</v>
      </c>
      <c r="D980" s="39">
        <v>-2.0598932265480414</v>
      </c>
      <c r="E980" s="39">
        <v>4.6433091309205707</v>
      </c>
      <c r="G980">
        <f t="shared" si="85"/>
        <v>11</v>
      </c>
      <c r="H980">
        <v>1</v>
      </c>
      <c r="I980">
        <f t="shared" si="86"/>
        <v>2</v>
      </c>
      <c r="J980">
        <f t="shared" si="87"/>
        <v>2022</v>
      </c>
      <c r="K980" s="17">
        <f t="shared" si="88"/>
        <v>44593</v>
      </c>
      <c r="L980">
        <f t="shared" si="89"/>
        <v>0</v>
      </c>
    </row>
    <row r="981" spans="1:12" x14ac:dyDescent="0.3">
      <c r="A981" s="38">
        <v>44602</v>
      </c>
      <c r="B981" s="39">
        <v>4.1342113480676232</v>
      </c>
      <c r="C981" s="39">
        <v>5.2477724074929455</v>
      </c>
      <c r="D981" s="39">
        <v>-1.9476394109294972</v>
      </c>
      <c r="E981" s="39">
        <v>4.750557751938743</v>
      </c>
      <c r="G981">
        <f t="shared" si="85"/>
        <v>10</v>
      </c>
      <c r="H981">
        <v>1</v>
      </c>
      <c r="I981">
        <f t="shared" si="86"/>
        <v>2</v>
      </c>
      <c r="J981">
        <f t="shared" si="87"/>
        <v>2022</v>
      </c>
      <c r="K981" s="17">
        <f t="shared" si="88"/>
        <v>44593</v>
      </c>
      <c r="L981">
        <f t="shared" si="89"/>
        <v>0</v>
      </c>
    </row>
    <row r="982" spans="1:12" x14ac:dyDescent="0.3">
      <c r="A982" s="38">
        <v>44601</v>
      </c>
      <c r="B982" s="39">
        <v>3.4975592572483691</v>
      </c>
      <c r="C982" s="39">
        <v>4.655634957731337</v>
      </c>
      <c r="D982" s="39">
        <v>-2.2167119744894279</v>
      </c>
      <c r="E982" s="39">
        <v>4.0466054842739254</v>
      </c>
      <c r="G982">
        <f t="shared" si="85"/>
        <v>9</v>
      </c>
      <c r="H982">
        <v>1</v>
      </c>
      <c r="I982">
        <f t="shared" si="86"/>
        <v>2</v>
      </c>
      <c r="J982">
        <f t="shared" si="87"/>
        <v>2022</v>
      </c>
      <c r="K982" s="17">
        <f t="shared" si="88"/>
        <v>44593</v>
      </c>
      <c r="L982">
        <f t="shared" si="89"/>
        <v>0</v>
      </c>
    </row>
    <row r="983" spans="1:12" x14ac:dyDescent="0.3">
      <c r="A983" s="38">
        <v>44600</v>
      </c>
      <c r="B983" s="39">
        <v>3.5965272502551215</v>
      </c>
      <c r="C983" s="39">
        <v>4.7218242795426875</v>
      </c>
      <c r="D983" s="39">
        <v>-1.6612746567392804</v>
      </c>
      <c r="E983" s="39">
        <v>4.0358644547668945</v>
      </c>
      <c r="G983">
        <f t="shared" si="85"/>
        <v>8</v>
      </c>
      <c r="H983">
        <v>1</v>
      </c>
      <c r="I983">
        <f t="shared" si="86"/>
        <v>2</v>
      </c>
      <c r="J983">
        <f t="shared" si="87"/>
        <v>2022</v>
      </c>
      <c r="K983" s="17">
        <f t="shared" si="88"/>
        <v>44593</v>
      </c>
      <c r="L983">
        <f t="shared" si="89"/>
        <v>0</v>
      </c>
    </row>
    <row r="984" spans="1:12" x14ac:dyDescent="0.3">
      <c r="A984" s="38">
        <v>44599</v>
      </c>
      <c r="B984" s="39">
        <v>3.909519536631521</v>
      </c>
      <c r="C984" s="39">
        <v>5.0364925742218816</v>
      </c>
      <c r="D984" s="39">
        <v>-1.2691303421984657</v>
      </c>
      <c r="E984" s="39">
        <v>4.3026416614917338</v>
      </c>
      <c r="G984">
        <f t="shared" si="85"/>
        <v>7</v>
      </c>
      <c r="H984">
        <v>1</v>
      </c>
      <c r="I984">
        <f t="shared" si="86"/>
        <v>2</v>
      </c>
      <c r="J984">
        <f t="shared" si="87"/>
        <v>2022</v>
      </c>
      <c r="K984" s="17">
        <f t="shared" si="88"/>
        <v>44593</v>
      </c>
      <c r="L984">
        <f t="shared" si="89"/>
        <v>0</v>
      </c>
    </row>
    <row r="985" spans="1:12" x14ac:dyDescent="0.3">
      <c r="A985" s="38">
        <v>44596</v>
      </c>
      <c r="B985" s="39">
        <v>3.6353231297336919</v>
      </c>
      <c r="C985" s="39">
        <v>4.8440745662124414</v>
      </c>
      <c r="D985" s="39">
        <v>-1.5113048017386319</v>
      </c>
      <c r="E985" s="39">
        <v>3.9632077713476832</v>
      </c>
      <c r="G985">
        <f t="shared" si="85"/>
        <v>4</v>
      </c>
      <c r="H985">
        <v>1</v>
      </c>
      <c r="I985">
        <f t="shared" si="86"/>
        <v>2</v>
      </c>
      <c r="J985">
        <f t="shared" si="87"/>
        <v>2022</v>
      </c>
      <c r="K985" s="17">
        <f t="shared" si="88"/>
        <v>44593</v>
      </c>
      <c r="L985">
        <f t="shared" si="89"/>
        <v>1</v>
      </c>
    </row>
    <row r="986" spans="1:12" x14ac:dyDescent="0.3">
      <c r="A986" s="38">
        <v>44595</v>
      </c>
      <c r="B986" s="39">
        <v>4.2919472619677208</v>
      </c>
      <c r="C986" s="39">
        <v>5.5645618429580139</v>
      </c>
      <c r="D986" s="39">
        <v>-0.93973880811687138</v>
      </c>
      <c r="E986" s="39">
        <v>4.6437320255639492</v>
      </c>
      <c r="G986">
        <f t="shared" si="85"/>
        <v>3</v>
      </c>
      <c r="H986">
        <v>1</v>
      </c>
      <c r="I986">
        <f t="shared" si="86"/>
        <v>2</v>
      </c>
      <c r="J986">
        <f t="shared" si="87"/>
        <v>2022</v>
      </c>
      <c r="K986" s="17">
        <f t="shared" si="88"/>
        <v>44593</v>
      </c>
      <c r="L986">
        <f t="shared" si="89"/>
        <v>1</v>
      </c>
    </row>
    <row r="987" spans="1:12" x14ac:dyDescent="0.3">
      <c r="A987" s="38">
        <v>44592</v>
      </c>
      <c r="B987" s="39">
        <v>2.4649251052111367</v>
      </c>
      <c r="C987" s="39">
        <v>4.6214647638107209</v>
      </c>
      <c r="D987" s="39">
        <v>-2.794286896765982</v>
      </c>
      <c r="E987" s="39">
        <v>2.7303088658711943</v>
      </c>
      <c r="G987">
        <f t="shared" si="85"/>
        <v>31</v>
      </c>
      <c r="H987">
        <v>1</v>
      </c>
      <c r="I987">
        <f t="shared" si="86"/>
        <v>1</v>
      </c>
      <c r="J987">
        <f t="shared" si="87"/>
        <v>2022</v>
      </c>
      <c r="K987" s="17">
        <f t="shared" si="88"/>
        <v>44562</v>
      </c>
      <c r="L987">
        <f t="shared" si="89"/>
        <v>0</v>
      </c>
    </row>
    <row r="988" spans="1:12" x14ac:dyDescent="0.3">
      <c r="A988" s="38">
        <v>44589</v>
      </c>
      <c r="B988" s="39">
        <v>2.5065962800409096</v>
      </c>
      <c r="C988" s="39">
        <v>4.7016907427585153</v>
      </c>
      <c r="D988" s="39">
        <v>-2.6957989263615332</v>
      </c>
      <c r="E988" s="39">
        <v>2.7494872933847603</v>
      </c>
      <c r="G988">
        <f t="shared" si="85"/>
        <v>28</v>
      </c>
      <c r="H988">
        <v>1</v>
      </c>
      <c r="I988">
        <f t="shared" si="86"/>
        <v>1</v>
      </c>
      <c r="J988">
        <f t="shared" si="87"/>
        <v>2022</v>
      </c>
      <c r="K988" s="17">
        <f t="shared" si="88"/>
        <v>44562</v>
      </c>
      <c r="L988">
        <f t="shared" si="89"/>
        <v>0</v>
      </c>
    </row>
    <row r="989" spans="1:12" x14ac:dyDescent="0.3">
      <c r="A989" s="38">
        <v>44588</v>
      </c>
      <c r="B989" s="39">
        <v>1.5134085086904605</v>
      </c>
      <c r="C989" s="39">
        <v>4.0682913971113237</v>
      </c>
      <c r="D989" s="39">
        <v>-3.5299333284414303</v>
      </c>
      <c r="E989" s="39">
        <v>1.5609245143589874</v>
      </c>
      <c r="G989">
        <f t="shared" si="85"/>
        <v>27</v>
      </c>
      <c r="H989">
        <v>1</v>
      </c>
      <c r="I989">
        <f t="shared" si="86"/>
        <v>1</v>
      </c>
      <c r="J989">
        <f t="shared" si="87"/>
        <v>2022</v>
      </c>
      <c r="K989" s="17">
        <f t="shared" si="88"/>
        <v>44562</v>
      </c>
      <c r="L989">
        <f t="shared" si="89"/>
        <v>0</v>
      </c>
    </row>
    <row r="990" spans="1:12" x14ac:dyDescent="0.3">
      <c r="A990" s="38">
        <v>44587</v>
      </c>
      <c r="B990" s="39">
        <v>1.1734657941604212</v>
      </c>
      <c r="C990" s="39">
        <v>3.7466477165483525</v>
      </c>
      <c r="D990" s="39">
        <v>-3.7667263876137156</v>
      </c>
      <c r="E990" s="39">
        <v>1.1445588433887934</v>
      </c>
      <c r="G990">
        <f t="shared" si="85"/>
        <v>26</v>
      </c>
      <c r="H990">
        <v>1</v>
      </c>
      <c r="I990">
        <f t="shared" si="86"/>
        <v>1</v>
      </c>
      <c r="J990">
        <f t="shared" si="87"/>
        <v>2022</v>
      </c>
      <c r="K990" s="17">
        <f t="shared" si="88"/>
        <v>44562</v>
      </c>
      <c r="L990">
        <f t="shared" si="89"/>
        <v>0</v>
      </c>
    </row>
    <row r="991" spans="1:12" x14ac:dyDescent="0.3">
      <c r="A991" s="38">
        <v>44586</v>
      </c>
      <c r="B991" s="39">
        <v>1.4820842526356728</v>
      </c>
      <c r="C991" s="39">
        <v>3.9237895887229257</v>
      </c>
      <c r="D991" s="39">
        <v>-3.1871493101877348</v>
      </c>
      <c r="E991" s="39">
        <v>1.6087261166681515</v>
      </c>
      <c r="G991">
        <f t="shared" si="85"/>
        <v>25</v>
      </c>
      <c r="H991">
        <v>1</v>
      </c>
      <c r="I991">
        <f t="shared" si="86"/>
        <v>1</v>
      </c>
      <c r="J991">
        <f t="shared" si="87"/>
        <v>2022</v>
      </c>
      <c r="K991" s="17">
        <f t="shared" si="88"/>
        <v>44562</v>
      </c>
      <c r="L991">
        <f t="shared" si="89"/>
        <v>0</v>
      </c>
    </row>
    <row r="992" spans="1:12" x14ac:dyDescent="0.3">
      <c r="A992" s="38">
        <v>44585</v>
      </c>
      <c r="B992" s="39">
        <v>1.035752801691558</v>
      </c>
      <c r="C992" s="39">
        <v>3.3624122838767647</v>
      </c>
      <c r="D992" s="39">
        <v>-3.5594008820416718</v>
      </c>
      <c r="E992" s="39">
        <v>1.0922717861071618</v>
      </c>
      <c r="G992">
        <f t="shared" si="85"/>
        <v>24</v>
      </c>
      <c r="H992">
        <v>1</v>
      </c>
      <c r="I992">
        <f t="shared" si="86"/>
        <v>1</v>
      </c>
      <c r="J992">
        <f t="shared" si="87"/>
        <v>2022</v>
      </c>
      <c r="K992" s="17">
        <f t="shared" si="88"/>
        <v>44562</v>
      </c>
      <c r="L992">
        <f t="shared" si="89"/>
        <v>0</v>
      </c>
    </row>
    <row r="993" spans="1:12" x14ac:dyDescent="0.3">
      <c r="A993" s="38">
        <v>44582</v>
      </c>
      <c r="B993" s="39">
        <v>0.69829630165530432</v>
      </c>
      <c r="C993" s="39">
        <v>3.072306896471602</v>
      </c>
      <c r="D993" s="39">
        <v>-3.7127410114681823</v>
      </c>
      <c r="E993" s="39">
        <v>0.7266515485748215</v>
      </c>
      <c r="G993">
        <f t="shared" si="85"/>
        <v>21</v>
      </c>
      <c r="H993">
        <v>1</v>
      </c>
      <c r="I993">
        <f t="shared" si="86"/>
        <v>1</v>
      </c>
      <c r="J993">
        <f t="shared" si="87"/>
        <v>2022</v>
      </c>
      <c r="K993" s="17">
        <f t="shared" si="88"/>
        <v>44562</v>
      </c>
      <c r="L993">
        <f t="shared" si="89"/>
        <v>0</v>
      </c>
    </row>
    <row r="994" spans="1:12" x14ac:dyDescent="0.3">
      <c r="A994" s="38">
        <v>44581</v>
      </c>
      <c r="B994" s="39">
        <v>0.48132681938365351</v>
      </c>
      <c r="C994" s="39">
        <v>2.8131071193385395</v>
      </c>
      <c r="D994" s="39">
        <v>-3.7989835667395653</v>
      </c>
      <c r="E994" s="39">
        <v>0.47894613163506961</v>
      </c>
      <c r="G994">
        <f t="shared" si="85"/>
        <v>20</v>
      </c>
      <c r="H994">
        <v>1</v>
      </c>
      <c r="I994">
        <f t="shared" si="86"/>
        <v>1</v>
      </c>
      <c r="J994">
        <f t="shared" si="87"/>
        <v>2022</v>
      </c>
      <c r="K994" s="17">
        <f t="shared" si="88"/>
        <v>44562</v>
      </c>
      <c r="L994">
        <f t="shared" si="89"/>
        <v>0</v>
      </c>
    </row>
    <row r="995" spans="1:12" x14ac:dyDescent="0.3">
      <c r="A995" s="38">
        <v>44580</v>
      </c>
      <c r="B995" s="39">
        <v>0.35286690127153975</v>
      </c>
      <c r="C995" s="39">
        <v>2.5972420654580617</v>
      </c>
      <c r="D995" s="39">
        <v>-4.076286074358066</v>
      </c>
      <c r="E995" s="39">
        <v>0.4438750097385622</v>
      </c>
      <c r="G995">
        <f t="shared" si="85"/>
        <v>19</v>
      </c>
      <c r="H995">
        <v>1</v>
      </c>
      <c r="I995">
        <f t="shared" si="86"/>
        <v>1</v>
      </c>
      <c r="J995">
        <f t="shared" si="87"/>
        <v>2022</v>
      </c>
      <c r="K995" s="17">
        <f t="shared" si="88"/>
        <v>44562</v>
      </c>
      <c r="L995">
        <f t="shared" si="89"/>
        <v>0</v>
      </c>
    </row>
    <row r="996" spans="1:12" x14ac:dyDescent="0.3">
      <c r="A996" s="38">
        <v>44579</v>
      </c>
      <c r="B996" s="39">
        <v>0.8404663522315019</v>
      </c>
      <c r="C996" s="39">
        <v>3.0675419202020464</v>
      </c>
      <c r="D996" s="39">
        <v>-3.914681829776228</v>
      </c>
      <c r="E996" s="39">
        <v>1.12756140280338</v>
      </c>
      <c r="G996">
        <f t="shared" si="85"/>
        <v>18</v>
      </c>
      <c r="H996">
        <v>1</v>
      </c>
      <c r="I996">
        <f t="shared" si="86"/>
        <v>1</v>
      </c>
      <c r="J996">
        <f t="shared" si="87"/>
        <v>2022</v>
      </c>
      <c r="K996" s="17">
        <f t="shared" si="88"/>
        <v>44562</v>
      </c>
      <c r="L996">
        <f t="shared" si="89"/>
        <v>0</v>
      </c>
    </row>
    <row r="997" spans="1:12" x14ac:dyDescent="0.3">
      <c r="A997" s="38">
        <v>44578</v>
      </c>
      <c r="B997" s="39">
        <v>0.97679504258945826</v>
      </c>
      <c r="C997" s="39">
        <v>3.1690711198073984</v>
      </c>
      <c r="D997" s="39">
        <v>-4.0030397401013857</v>
      </c>
      <c r="E997" s="39">
        <v>1.4782692409486771</v>
      </c>
      <c r="G997">
        <f t="shared" si="85"/>
        <v>17</v>
      </c>
      <c r="H997">
        <v>1</v>
      </c>
      <c r="I997">
        <f t="shared" si="86"/>
        <v>1</v>
      </c>
      <c r="J997">
        <f t="shared" si="87"/>
        <v>2022</v>
      </c>
      <c r="K997" s="17">
        <f t="shared" si="88"/>
        <v>44562</v>
      </c>
      <c r="L997">
        <f t="shared" si="89"/>
        <v>0</v>
      </c>
    </row>
    <row r="998" spans="1:12" x14ac:dyDescent="0.3">
      <c r="A998" s="38">
        <v>44575</v>
      </c>
      <c r="B998" s="39">
        <v>1.0886185804306905</v>
      </c>
      <c r="C998" s="39">
        <v>3.2616746581363714</v>
      </c>
      <c r="D998" s="39">
        <v>-3.982462848031787</v>
      </c>
      <c r="E998" s="39">
        <v>1.6442917608633536</v>
      </c>
      <c r="G998">
        <f t="shared" si="85"/>
        <v>14</v>
      </c>
      <c r="H998">
        <v>1</v>
      </c>
      <c r="I998">
        <f t="shared" si="86"/>
        <v>1</v>
      </c>
      <c r="J998">
        <f t="shared" si="87"/>
        <v>2022</v>
      </c>
      <c r="K998" s="17">
        <f t="shared" si="88"/>
        <v>44562</v>
      </c>
      <c r="L998">
        <f t="shared" si="89"/>
        <v>0</v>
      </c>
    </row>
    <row r="999" spans="1:12" x14ac:dyDescent="0.3">
      <c r="A999" s="38">
        <v>44574</v>
      </c>
      <c r="B999" s="39">
        <v>1.1800968723160281</v>
      </c>
      <c r="C999" s="39">
        <v>3.4343109028622791</v>
      </c>
      <c r="D999" s="39">
        <v>-4.1183151655201726</v>
      </c>
      <c r="E999" s="39">
        <v>1.7307346810522972</v>
      </c>
      <c r="G999">
        <f t="shared" si="85"/>
        <v>13</v>
      </c>
      <c r="H999">
        <v>1</v>
      </c>
      <c r="I999">
        <f t="shared" si="86"/>
        <v>1</v>
      </c>
      <c r="J999">
        <f t="shared" si="87"/>
        <v>2022</v>
      </c>
      <c r="K999" s="17">
        <f t="shared" si="88"/>
        <v>44562</v>
      </c>
      <c r="L999">
        <f t="shared" si="89"/>
        <v>0</v>
      </c>
    </row>
    <row r="1000" spans="1:12" x14ac:dyDescent="0.3">
      <c r="A1000" s="38">
        <v>44573</v>
      </c>
      <c r="B1000" s="39">
        <v>1.0798313166951488</v>
      </c>
      <c r="C1000" s="39">
        <v>3.3474966668055117</v>
      </c>
      <c r="D1000" s="39">
        <v>-4.1922453433167703</v>
      </c>
      <c r="E1000" s="39">
        <v>1.7711107785381301</v>
      </c>
      <c r="G1000">
        <f t="shared" si="85"/>
        <v>12</v>
      </c>
      <c r="H1000">
        <v>1</v>
      </c>
      <c r="I1000">
        <f t="shared" si="86"/>
        <v>1</v>
      </c>
      <c r="J1000">
        <f t="shared" si="87"/>
        <v>2022</v>
      </c>
      <c r="K1000" s="17">
        <f t="shared" si="88"/>
        <v>44562</v>
      </c>
      <c r="L1000">
        <f t="shared" si="89"/>
        <v>0</v>
      </c>
    </row>
    <row r="1001" spans="1:12" x14ac:dyDescent="0.3">
      <c r="A1001" s="38">
        <v>44572</v>
      </c>
      <c r="B1001" s="39">
        <v>0.88111451265915264</v>
      </c>
      <c r="C1001" s="39">
        <v>3.1597030975267586</v>
      </c>
      <c r="D1001" s="39">
        <v>-4.2180162075828207</v>
      </c>
      <c r="E1001" s="39">
        <v>1.6511139411694131</v>
      </c>
      <c r="G1001">
        <f t="shared" si="85"/>
        <v>11</v>
      </c>
      <c r="H1001">
        <v>1</v>
      </c>
      <c r="I1001">
        <f t="shared" si="86"/>
        <v>1</v>
      </c>
      <c r="J1001">
        <f t="shared" si="87"/>
        <v>2022</v>
      </c>
      <c r="K1001" s="17">
        <f t="shared" si="88"/>
        <v>44562</v>
      </c>
      <c r="L1001">
        <f t="shared" si="89"/>
        <v>0</v>
      </c>
    </row>
    <row r="1002" spans="1:12" x14ac:dyDescent="0.3">
      <c r="A1002" s="38">
        <v>44571</v>
      </c>
      <c r="B1002" s="39">
        <v>0.84934101383173299</v>
      </c>
      <c r="C1002" s="39">
        <v>3.1654782424785992</v>
      </c>
      <c r="D1002" s="39">
        <v>-4.262689739730888</v>
      </c>
      <c r="E1002" s="39">
        <v>1.566135187953094</v>
      </c>
      <c r="G1002">
        <f t="shared" si="85"/>
        <v>10</v>
      </c>
      <c r="H1002">
        <v>1</v>
      </c>
      <c r="I1002">
        <f t="shared" si="86"/>
        <v>1</v>
      </c>
      <c r="J1002">
        <f t="shared" si="87"/>
        <v>2022</v>
      </c>
      <c r="K1002" s="17">
        <f t="shared" si="88"/>
        <v>44562</v>
      </c>
      <c r="L1002">
        <f t="shared" si="89"/>
        <v>0</v>
      </c>
    </row>
    <row r="1003" spans="1:12" x14ac:dyDescent="0.3">
      <c r="A1003" s="38">
        <v>44568</v>
      </c>
      <c r="B1003" s="39">
        <v>0.36056269053564449</v>
      </c>
      <c r="C1003" s="39">
        <v>2.7152731238416266</v>
      </c>
      <c r="D1003" s="39">
        <v>-4.5819874095105746</v>
      </c>
      <c r="E1003" s="39">
        <v>0.98766602864201047</v>
      </c>
      <c r="G1003">
        <f t="shared" si="85"/>
        <v>7</v>
      </c>
      <c r="H1003">
        <v>1</v>
      </c>
      <c r="I1003">
        <f t="shared" si="86"/>
        <v>1</v>
      </c>
      <c r="J1003">
        <f t="shared" si="87"/>
        <v>2022</v>
      </c>
      <c r="K1003" s="17">
        <f t="shared" si="88"/>
        <v>44562</v>
      </c>
      <c r="L1003">
        <f t="shared" si="89"/>
        <v>0</v>
      </c>
    </row>
    <row r="1004" spans="1:12" x14ac:dyDescent="0.3">
      <c r="A1004" s="38">
        <v>44567</v>
      </c>
      <c r="B1004" s="39">
        <v>0.51924175935133121</v>
      </c>
      <c r="C1004" s="39">
        <v>2.8404162284337957</v>
      </c>
      <c r="D1004" s="39">
        <v>-4.3818740938923071</v>
      </c>
      <c r="E1004" s="39">
        <v>1.2452120205085464</v>
      </c>
      <c r="G1004">
        <f t="shared" si="85"/>
        <v>6</v>
      </c>
      <c r="H1004">
        <v>1</v>
      </c>
      <c r="I1004">
        <f t="shared" si="86"/>
        <v>1</v>
      </c>
      <c r="J1004">
        <f t="shared" si="87"/>
        <v>2022</v>
      </c>
      <c r="K1004" s="17">
        <f t="shared" si="88"/>
        <v>44562</v>
      </c>
      <c r="L1004">
        <f t="shared" si="89"/>
        <v>0</v>
      </c>
    </row>
    <row r="1005" spans="1:12" x14ac:dyDescent="0.3">
      <c r="A1005" s="38">
        <v>44566</v>
      </c>
      <c r="B1005" s="39">
        <v>0.70409679085155119</v>
      </c>
      <c r="C1005" s="39">
        <v>2.9789650565702885</v>
      </c>
      <c r="D1005" s="39">
        <v>-4.1818754397909572</v>
      </c>
      <c r="E1005" s="39">
        <v>1.5149309668054372</v>
      </c>
      <c r="G1005">
        <f t="shared" si="85"/>
        <v>5</v>
      </c>
      <c r="H1005">
        <v>1</v>
      </c>
      <c r="I1005">
        <f t="shared" si="86"/>
        <v>1</v>
      </c>
      <c r="J1005">
        <f t="shared" si="87"/>
        <v>2022</v>
      </c>
      <c r="K1005" s="17">
        <f t="shared" si="88"/>
        <v>44562</v>
      </c>
      <c r="L1005">
        <f t="shared" si="89"/>
        <v>0</v>
      </c>
    </row>
    <row r="1006" spans="1:12" x14ac:dyDescent="0.3">
      <c r="A1006" s="38">
        <v>44565</v>
      </c>
      <c r="B1006" s="39">
        <v>1.0139817813162324</v>
      </c>
      <c r="C1006" s="39">
        <v>3.2526276153975999</v>
      </c>
      <c r="D1006" s="39">
        <v>-3.8179920368796587</v>
      </c>
      <c r="E1006" s="39">
        <v>1.793091379410285</v>
      </c>
      <c r="G1006">
        <f t="shared" si="85"/>
        <v>4</v>
      </c>
      <c r="H1006">
        <v>1</v>
      </c>
      <c r="I1006">
        <f t="shared" si="86"/>
        <v>1</v>
      </c>
      <c r="J1006">
        <f t="shared" si="87"/>
        <v>2022</v>
      </c>
      <c r="K1006" s="17">
        <f t="shared" si="88"/>
        <v>44562</v>
      </c>
      <c r="L1006">
        <f t="shared" si="89"/>
        <v>1</v>
      </c>
    </row>
    <row r="1007" spans="1:12" x14ac:dyDescent="0.3">
      <c r="A1007" s="38">
        <v>44561</v>
      </c>
      <c r="B1007" s="39">
        <v>2.0273698942641403</v>
      </c>
      <c r="C1007" s="39">
        <v>3.6093770480940464</v>
      </c>
      <c r="D1007" s="39">
        <v>-2.9018751671079457</v>
      </c>
      <c r="E1007" s="39">
        <v>2.8998269040389744</v>
      </c>
      <c r="G1007">
        <f t="shared" si="85"/>
        <v>31</v>
      </c>
      <c r="H1007">
        <v>1</v>
      </c>
      <c r="I1007">
        <f t="shared" si="86"/>
        <v>12</v>
      </c>
      <c r="J1007">
        <f t="shared" si="87"/>
        <v>2021</v>
      </c>
      <c r="K1007" s="17">
        <f t="shared" si="88"/>
        <v>44531</v>
      </c>
      <c r="L1007">
        <f t="shared" si="89"/>
        <v>0</v>
      </c>
    </row>
    <row r="1008" spans="1:12" x14ac:dyDescent="0.3">
      <c r="A1008" s="38">
        <v>44560</v>
      </c>
      <c r="B1008" s="39">
        <v>1.7924253455605879</v>
      </c>
      <c r="C1008" s="39">
        <v>3.431071535957031</v>
      </c>
      <c r="D1008" s="39">
        <v>-3.3018940729819946</v>
      </c>
      <c r="E1008" s="39">
        <v>2.6734147189252297</v>
      </c>
      <c r="G1008">
        <f t="shared" si="85"/>
        <v>30</v>
      </c>
      <c r="H1008">
        <v>1</v>
      </c>
      <c r="I1008">
        <f t="shared" si="86"/>
        <v>12</v>
      </c>
      <c r="J1008">
        <f t="shared" si="87"/>
        <v>2021</v>
      </c>
      <c r="K1008" s="17">
        <f t="shared" si="88"/>
        <v>44531</v>
      </c>
      <c r="L1008">
        <f t="shared" si="89"/>
        <v>0</v>
      </c>
    </row>
    <row r="1009" spans="1:12" x14ac:dyDescent="0.3">
      <c r="A1009" s="38">
        <v>44559</v>
      </c>
      <c r="B1009" s="39">
        <v>1.9829265457288869</v>
      </c>
      <c r="C1009" s="39">
        <v>3.6423631759815436</v>
      </c>
      <c r="D1009" s="39">
        <v>-3.1524125943207366</v>
      </c>
      <c r="E1009" s="39">
        <v>2.8268095121409544</v>
      </c>
      <c r="G1009">
        <f t="shared" si="85"/>
        <v>29</v>
      </c>
      <c r="H1009">
        <v>1</v>
      </c>
      <c r="I1009">
        <f t="shared" si="86"/>
        <v>12</v>
      </c>
      <c r="J1009">
        <f t="shared" si="87"/>
        <v>2021</v>
      </c>
      <c r="K1009" s="17">
        <f t="shared" si="88"/>
        <v>44531</v>
      </c>
      <c r="L1009">
        <f t="shared" si="89"/>
        <v>0</v>
      </c>
    </row>
    <row r="1010" spans="1:12" x14ac:dyDescent="0.3">
      <c r="A1010" s="38">
        <v>44554</v>
      </c>
      <c r="B1010" s="39">
        <v>1.8832305022783942</v>
      </c>
      <c r="C1010" s="39">
        <v>3.6077426426929264</v>
      </c>
      <c r="D1010" s="39">
        <v>-3.3929896433374012</v>
      </c>
      <c r="E1010" s="39">
        <v>2.8109040455014167</v>
      </c>
      <c r="G1010">
        <f t="shared" si="85"/>
        <v>24</v>
      </c>
      <c r="H1010">
        <v>1</v>
      </c>
      <c r="I1010">
        <f t="shared" si="86"/>
        <v>12</v>
      </c>
      <c r="J1010">
        <f t="shared" si="87"/>
        <v>2021</v>
      </c>
      <c r="K1010" s="17">
        <f t="shared" si="88"/>
        <v>44531</v>
      </c>
      <c r="L1010">
        <f t="shared" si="89"/>
        <v>0</v>
      </c>
    </row>
    <row r="1011" spans="1:12" x14ac:dyDescent="0.3">
      <c r="A1011" s="38">
        <v>44553</v>
      </c>
      <c r="B1011" s="39">
        <v>2.2806967746097229</v>
      </c>
      <c r="C1011" s="39">
        <v>3.9872601379393871</v>
      </c>
      <c r="D1011" s="39">
        <v>-2.9183479846802527</v>
      </c>
      <c r="E1011" s="39">
        <v>3.2800534211670112</v>
      </c>
      <c r="G1011">
        <f t="shared" si="85"/>
        <v>23</v>
      </c>
      <c r="H1011">
        <v>1</v>
      </c>
      <c r="I1011">
        <f t="shared" si="86"/>
        <v>12</v>
      </c>
      <c r="J1011">
        <f t="shared" si="87"/>
        <v>2021</v>
      </c>
      <c r="K1011" s="17">
        <f t="shared" si="88"/>
        <v>44531</v>
      </c>
      <c r="L1011">
        <f t="shared" si="89"/>
        <v>0</v>
      </c>
    </row>
    <row r="1012" spans="1:12" x14ac:dyDescent="0.3">
      <c r="A1012" s="38">
        <v>44552</v>
      </c>
      <c r="B1012" s="39">
        <v>1.7963835797812351</v>
      </c>
      <c r="C1012" s="39">
        <v>3.5153647632213136</v>
      </c>
      <c r="D1012" s="39">
        <v>-3.3530160059872856</v>
      </c>
      <c r="E1012" s="39">
        <v>2.8571827138823238</v>
      </c>
      <c r="G1012">
        <f t="shared" si="85"/>
        <v>22</v>
      </c>
      <c r="H1012">
        <v>1</v>
      </c>
      <c r="I1012">
        <f t="shared" si="86"/>
        <v>12</v>
      </c>
      <c r="J1012">
        <f t="shared" si="87"/>
        <v>2021</v>
      </c>
      <c r="K1012" s="17">
        <f t="shared" si="88"/>
        <v>44531</v>
      </c>
      <c r="L1012">
        <f t="shared" si="89"/>
        <v>0</v>
      </c>
    </row>
    <row r="1013" spans="1:12" x14ac:dyDescent="0.3">
      <c r="A1013" s="38">
        <v>44551</v>
      </c>
      <c r="B1013" s="39">
        <v>1.5030486618041863</v>
      </c>
      <c r="C1013" s="39">
        <v>3.241117439545846</v>
      </c>
      <c r="D1013" s="39">
        <v>-3.6151162394186116</v>
      </c>
      <c r="E1013" s="39">
        <v>2.6117521050725401</v>
      </c>
      <c r="G1013">
        <f t="shared" si="85"/>
        <v>21</v>
      </c>
      <c r="H1013">
        <v>1</v>
      </c>
      <c r="I1013">
        <f t="shared" si="86"/>
        <v>12</v>
      </c>
      <c r="J1013">
        <f t="shared" si="87"/>
        <v>2021</v>
      </c>
      <c r="K1013" s="17">
        <f t="shared" si="88"/>
        <v>44531</v>
      </c>
      <c r="L1013">
        <f t="shared" si="89"/>
        <v>0</v>
      </c>
    </row>
    <row r="1014" spans="1:12" x14ac:dyDescent="0.3">
      <c r="A1014" s="38">
        <v>44550</v>
      </c>
      <c r="B1014" s="39">
        <v>1.7341168921580419</v>
      </c>
      <c r="C1014" s="39">
        <v>3.449236198840083</v>
      </c>
      <c r="D1014" s="39">
        <v>-3.4385247268530748</v>
      </c>
      <c r="E1014" s="39">
        <v>2.9294561001547379</v>
      </c>
      <c r="G1014">
        <f t="shared" si="85"/>
        <v>20</v>
      </c>
      <c r="H1014">
        <v>1</v>
      </c>
      <c r="I1014">
        <f t="shared" si="86"/>
        <v>12</v>
      </c>
      <c r="J1014">
        <f t="shared" si="87"/>
        <v>2021</v>
      </c>
      <c r="K1014" s="17">
        <f t="shared" si="88"/>
        <v>44531</v>
      </c>
      <c r="L1014">
        <f t="shared" si="89"/>
        <v>0</v>
      </c>
    </row>
    <row r="1015" spans="1:12" x14ac:dyDescent="0.3">
      <c r="A1015" s="38">
        <v>44547</v>
      </c>
      <c r="B1015" s="39">
        <v>2.0032063040826529</v>
      </c>
      <c r="C1015" s="39">
        <v>3.6482158380941883</v>
      </c>
      <c r="D1015" s="39">
        <v>-3.2095788330713049</v>
      </c>
      <c r="E1015" s="39">
        <v>3.0390388594884996</v>
      </c>
      <c r="G1015">
        <f t="shared" si="85"/>
        <v>17</v>
      </c>
      <c r="H1015">
        <v>1</v>
      </c>
      <c r="I1015">
        <f t="shared" si="86"/>
        <v>12</v>
      </c>
      <c r="J1015">
        <f t="shared" si="87"/>
        <v>2021</v>
      </c>
      <c r="K1015" s="17">
        <f t="shared" si="88"/>
        <v>44531</v>
      </c>
      <c r="L1015">
        <f t="shared" si="89"/>
        <v>0</v>
      </c>
    </row>
    <row r="1016" spans="1:12" x14ac:dyDescent="0.3">
      <c r="A1016" s="38">
        <v>44546</v>
      </c>
      <c r="B1016" s="39">
        <v>1.9382938818909707</v>
      </c>
      <c r="C1016" s="39">
        <v>3.564249257725848</v>
      </c>
      <c r="D1016" s="39">
        <v>-2.9641119215905292</v>
      </c>
      <c r="E1016" s="39">
        <v>2.9516889071258134</v>
      </c>
      <c r="G1016">
        <f t="shared" si="85"/>
        <v>16</v>
      </c>
      <c r="H1016">
        <v>1</v>
      </c>
      <c r="I1016">
        <f t="shared" si="86"/>
        <v>12</v>
      </c>
      <c r="J1016">
        <f t="shared" si="87"/>
        <v>2021</v>
      </c>
      <c r="K1016" s="17">
        <f t="shared" si="88"/>
        <v>44531</v>
      </c>
      <c r="L1016">
        <f t="shared" si="89"/>
        <v>0</v>
      </c>
    </row>
    <row r="1017" spans="1:12" x14ac:dyDescent="0.3">
      <c r="A1017" s="38">
        <v>44545</v>
      </c>
      <c r="B1017" s="39">
        <v>2.5356940841217721</v>
      </c>
      <c r="C1017" s="39">
        <v>4.2008796855175774</v>
      </c>
      <c r="D1017" s="39">
        <v>-2.5393489917356646</v>
      </c>
      <c r="E1017" s="39">
        <v>3.6723438906020505</v>
      </c>
      <c r="G1017">
        <f t="shared" si="85"/>
        <v>15</v>
      </c>
      <c r="H1017">
        <v>1</v>
      </c>
      <c r="I1017">
        <f t="shared" si="86"/>
        <v>12</v>
      </c>
      <c r="J1017">
        <f t="shared" si="87"/>
        <v>2021</v>
      </c>
      <c r="K1017" s="17">
        <f t="shared" si="88"/>
        <v>44531</v>
      </c>
      <c r="L1017">
        <f t="shared" si="89"/>
        <v>0</v>
      </c>
    </row>
    <row r="1018" spans="1:12" x14ac:dyDescent="0.3">
      <c r="A1018" s="38">
        <v>44544</v>
      </c>
      <c r="B1018" s="39">
        <v>2.7090829500542668</v>
      </c>
      <c r="C1018" s="39">
        <v>4.3538884033733609</v>
      </c>
      <c r="D1018" s="39">
        <v>-2.7707710549491225</v>
      </c>
      <c r="E1018" s="39">
        <v>3.902496167750229</v>
      </c>
      <c r="G1018">
        <f t="shared" si="85"/>
        <v>14</v>
      </c>
      <c r="H1018">
        <v>1</v>
      </c>
      <c r="I1018">
        <f t="shared" si="86"/>
        <v>12</v>
      </c>
      <c r="J1018">
        <f t="shared" si="87"/>
        <v>2021</v>
      </c>
      <c r="K1018" s="17">
        <f t="shared" si="88"/>
        <v>44531</v>
      </c>
      <c r="L1018">
        <f t="shared" si="89"/>
        <v>0</v>
      </c>
    </row>
    <row r="1019" spans="1:12" x14ac:dyDescent="0.3">
      <c r="A1019" s="38">
        <v>44543</v>
      </c>
      <c r="B1019" s="39">
        <v>2.3495094462817718</v>
      </c>
      <c r="C1019" s="39">
        <v>3.9970416918851868</v>
      </c>
      <c r="D1019" s="39">
        <v>-3.2471806971206973</v>
      </c>
      <c r="E1019" s="39">
        <v>3.5204750911924521</v>
      </c>
      <c r="G1019">
        <f t="shared" si="85"/>
        <v>13</v>
      </c>
      <c r="H1019">
        <v>1</v>
      </c>
      <c r="I1019">
        <f t="shared" si="86"/>
        <v>12</v>
      </c>
      <c r="J1019">
        <f t="shared" si="87"/>
        <v>2021</v>
      </c>
      <c r="K1019" s="17">
        <f t="shared" si="88"/>
        <v>44531</v>
      </c>
      <c r="L1019">
        <f t="shared" si="89"/>
        <v>0</v>
      </c>
    </row>
    <row r="1020" spans="1:12" x14ac:dyDescent="0.3">
      <c r="A1020" s="38">
        <v>44540</v>
      </c>
      <c r="B1020" s="39">
        <v>2.4742968190052039</v>
      </c>
      <c r="C1020" s="39">
        <v>4.1267211046447159</v>
      </c>
      <c r="D1020" s="39">
        <v>-3.0920923975055246</v>
      </c>
      <c r="E1020" s="39">
        <v>3.7003001496475889</v>
      </c>
      <c r="G1020">
        <f t="shared" si="85"/>
        <v>10</v>
      </c>
      <c r="H1020">
        <v>1</v>
      </c>
      <c r="I1020">
        <f t="shared" si="86"/>
        <v>12</v>
      </c>
      <c r="J1020">
        <f t="shared" si="87"/>
        <v>2021</v>
      </c>
      <c r="K1020" s="17">
        <f t="shared" si="88"/>
        <v>44531</v>
      </c>
      <c r="L1020">
        <f t="shared" si="89"/>
        <v>0</v>
      </c>
    </row>
    <row r="1021" spans="1:12" x14ac:dyDescent="0.3">
      <c r="A1021" s="38">
        <v>44539</v>
      </c>
      <c r="B1021" s="39">
        <v>1.2344854247373149</v>
      </c>
      <c r="C1021" s="39">
        <v>2.842610449464587</v>
      </c>
      <c r="D1021" s="39">
        <v>-3.9456995545540536</v>
      </c>
      <c r="E1021" s="39">
        <v>2.2437582345320806</v>
      </c>
      <c r="G1021">
        <f t="shared" si="85"/>
        <v>9</v>
      </c>
      <c r="H1021">
        <v>1</v>
      </c>
      <c r="I1021">
        <f t="shared" si="86"/>
        <v>12</v>
      </c>
      <c r="J1021">
        <f t="shared" si="87"/>
        <v>2021</v>
      </c>
      <c r="K1021" s="17">
        <f t="shared" si="88"/>
        <v>44531</v>
      </c>
      <c r="L1021">
        <f t="shared" si="89"/>
        <v>0</v>
      </c>
    </row>
    <row r="1022" spans="1:12" x14ac:dyDescent="0.3">
      <c r="A1022" s="38">
        <v>44538</v>
      </c>
      <c r="B1022" s="39">
        <v>0.88212123286892563</v>
      </c>
      <c r="C1022" s="39">
        <v>2.4878398528764762</v>
      </c>
      <c r="D1022" s="39">
        <v>-4.1315723791677073</v>
      </c>
      <c r="E1022" s="39">
        <v>2.0232103172138238</v>
      </c>
      <c r="G1022">
        <f t="shared" si="85"/>
        <v>8</v>
      </c>
      <c r="H1022">
        <v>1</v>
      </c>
      <c r="I1022">
        <f t="shared" si="86"/>
        <v>12</v>
      </c>
      <c r="J1022">
        <f t="shared" si="87"/>
        <v>2021</v>
      </c>
      <c r="K1022" s="17">
        <f t="shared" si="88"/>
        <v>44531</v>
      </c>
      <c r="L1022">
        <f t="shared" si="89"/>
        <v>0</v>
      </c>
    </row>
    <row r="1023" spans="1:12" x14ac:dyDescent="0.3">
      <c r="A1023" s="38">
        <v>44537</v>
      </c>
      <c r="B1023" s="39">
        <v>0.48805707007947774</v>
      </c>
      <c r="C1023" s="39">
        <v>2.1064394506409769</v>
      </c>
      <c r="D1023" s="39">
        <v>-4.3668935458816378</v>
      </c>
      <c r="E1023" s="39">
        <v>1.6564047926088961</v>
      </c>
      <c r="G1023">
        <f t="shared" si="85"/>
        <v>7</v>
      </c>
      <c r="H1023">
        <v>1</v>
      </c>
      <c r="I1023">
        <f t="shared" si="86"/>
        <v>12</v>
      </c>
      <c r="J1023">
        <f t="shared" si="87"/>
        <v>2021</v>
      </c>
      <c r="K1023" s="17">
        <f t="shared" si="88"/>
        <v>44531</v>
      </c>
      <c r="L1023">
        <f t="shared" si="89"/>
        <v>0</v>
      </c>
    </row>
    <row r="1024" spans="1:12" x14ac:dyDescent="0.3">
      <c r="A1024" s="38">
        <v>44536</v>
      </c>
      <c r="B1024" s="39">
        <v>0.42370535916778351</v>
      </c>
      <c r="C1024" s="39">
        <v>2.10620060476775</v>
      </c>
      <c r="D1024" s="39">
        <v>-4.1743972455509351</v>
      </c>
      <c r="E1024" s="39">
        <v>1.7259092759937147</v>
      </c>
      <c r="G1024">
        <f t="shared" si="85"/>
        <v>6</v>
      </c>
      <c r="H1024">
        <v>1</v>
      </c>
      <c r="I1024">
        <f t="shared" si="86"/>
        <v>12</v>
      </c>
      <c r="J1024">
        <f t="shared" si="87"/>
        <v>2021</v>
      </c>
      <c r="K1024" s="17">
        <f t="shared" si="88"/>
        <v>44531</v>
      </c>
      <c r="L1024">
        <f t="shared" si="89"/>
        <v>0</v>
      </c>
    </row>
    <row r="1025" spans="1:12" x14ac:dyDescent="0.3">
      <c r="A1025" s="38">
        <v>44533</v>
      </c>
      <c r="B1025" s="39">
        <v>0.46242837563285377</v>
      </c>
      <c r="C1025" s="39">
        <v>2.0784684447370694</v>
      </c>
      <c r="D1025" s="39">
        <v>-4.1087287528975054</v>
      </c>
      <c r="E1025" s="39">
        <v>1.6978042881168278</v>
      </c>
      <c r="G1025">
        <f t="shared" si="85"/>
        <v>3</v>
      </c>
      <c r="H1025">
        <v>1</v>
      </c>
      <c r="I1025">
        <f t="shared" si="86"/>
        <v>12</v>
      </c>
      <c r="J1025">
        <f t="shared" si="87"/>
        <v>2021</v>
      </c>
      <c r="K1025" s="17">
        <f t="shared" si="88"/>
        <v>44531</v>
      </c>
      <c r="L1025">
        <f t="shared" si="89"/>
        <v>1</v>
      </c>
    </row>
    <row r="1026" spans="1:12" x14ac:dyDescent="0.3">
      <c r="A1026" s="38">
        <v>44532</v>
      </c>
      <c r="B1026" s="39">
        <v>0.24859545791730397</v>
      </c>
      <c r="C1026" s="39">
        <v>1.8827798700205562</v>
      </c>
      <c r="D1026" s="39">
        <v>-4.2132441214548209</v>
      </c>
      <c r="E1026" s="39">
        <v>1.5031626366787378</v>
      </c>
      <c r="G1026">
        <f t="shared" si="85"/>
        <v>2</v>
      </c>
      <c r="H1026">
        <v>1</v>
      </c>
      <c r="I1026">
        <f t="shared" si="86"/>
        <v>12</v>
      </c>
      <c r="J1026">
        <f t="shared" si="87"/>
        <v>2021</v>
      </c>
      <c r="K1026" s="17">
        <f t="shared" si="88"/>
        <v>44531</v>
      </c>
      <c r="L1026">
        <f t="shared" si="89"/>
        <v>1</v>
      </c>
    </row>
    <row r="1027" spans="1:12" x14ac:dyDescent="0.3">
      <c r="A1027" s="38">
        <v>44531</v>
      </c>
      <c r="B1027" s="39">
        <v>-0.52642733084977067</v>
      </c>
      <c r="C1027" s="39">
        <v>1.1356803427979116</v>
      </c>
      <c r="D1027" s="39">
        <v>-4.8197203405181881</v>
      </c>
      <c r="E1027" s="39">
        <v>0.56691573514450511</v>
      </c>
      <c r="G1027">
        <f t="shared" si="85"/>
        <v>1</v>
      </c>
      <c r="H1027">
        <v>1</v>
      </c>
      <c r="I1027">
        <f t="shared" si="86"/>
        <v>12</v>
      </c>
      <c r="J1027">
        <f t="shared" si="87"/>
        <v>2021</v>
      </c>
      <c r="K1027" s="17">
        <f t="shared" si="88"/>
        <v>44531</v>
      </c>
      <c r="L1027">
        <f t="shared" si="89"/>
        <v>1</v>
      </c>
    </row>
    <row r="1028" spans="1:12" x14ac:dyDescent="0.3">
      <c r="A1028" s="38">
        <v>44530</v>
      </c>
      <c r="B1028" s="39">
        <v>0.38333862729811585</v>
      </c>
      <c r="C1028" s="39">
        <v>0.65669552234685113</v>
      </c>
      <c r="D1028" s="39">
        <v>-2.9935380811773058</v>
      </c>
      <c r="E1028" s="39">
        <v>1.0575210552753447</v>
      </c>
      <c r="G1028">
        <f t="shared" si="85"/>
        <v>30</v>
      </c>
      <c r="H1028">
        <v>1</v>
      </c>
      <c r="I1028">
        <f t="shared" si="86"/>
        <v>11</v>
      </c>
      <c r="J1028">
        <f t="shared" si="87"/>
        <v>2021</v>
      </c>
      <c r="K1028" s="17">
        <f t="shared" si="88"/>
        <v>44501</v>
      </c>
      <c r="L1028">
        <f t="shared" si="89"/>
        <v>0</v>
      </c>
    </row>
    <row r="1029" spans="1:12" x14ac:dyDescent="0.3">
      <c r="A1029" s="38">
        <v>44529</v>
      </c>
      <c r="B1029" s="39">
        <v>-0.24089030654343446</v>
      </c>
      <c r="C1029" s="39">
        <v>-8.9914155978476629E-3</v>
      </c>
      <c r="D1029" s="39">
        <v>-3.8233309520661578</v>
      </c>
      <c r="E1029" s="39">
        <v>0.53227472316140734</v>
      </c>
      <c r="G1029">
        <f t="shared" ref="G1029:G1092" si="90">+DAY(A1029)</f>
        <v>29</v>
      </c>
      <c r="H1029">
        <v>1</v>
      </c>
      <c r="I1029">
        <f t="shared" ref="I1029:I1092" si="91">+MONTH(A1029)</f>
        <v>11</v>
      </c>
      <c r="J1029">
        <f t="shared" ref="J1029:J1092" si="92">+YEAR(A1029)</f>
        <v>2021</v>
      </c>
      <c r="K1029" s="17">
        <f t="shared" ref="K1029:K1092" si="93">+DATE(J1029,I1029,H1029)</f>
        <v>44501</v>
      </c>
      <c r="L1029">
        <f t="shared" ref="L1029:L1092" si="94">IF(AND(G1029&gt;=1, G1029&lt;=4), 1, 0)</f>
        <v>0</v>
      </c>
    </row>
    <row r="1030" spans="1:12" x14ac:dyDescent="0.3">
      <c r="A1030" s="38">
        <v>44526</v>
      </c>
      <c r="B1030" s="39">
        <v>-0.85077563338721518</v>
      </c>
      <c r="C1030" s="39">
        <v>-0.48568636119604491</v>
      </c>
      <c r="D1030" s="39">
        <v>-4.4193678464901609</v>
      </c>
      <c r="E1030" s="39">
        <v>-0.18351104594378853</v>
      </c>
      <c r="G1030">
        <f t="shared" si="90"/>
        <v>26</v>
      </c>
      <c r="H1030">
        <v>1</v>
      </c>
      <c r="I1030">
        <f t="shared" si="91"/>
        <v>11</v>
      </c>
      <c r="J1030">
        <f t="shared" si="92"/>
        <v>2021</v>
      </c>
      <c r="K1030" s="17">
        <f t="shared" si="93"/>
        <v>44501</v>
      </c>
      <c r="L1030">
        <f t="shared" si="94"/>
        <v>0</v>
      </c>
    </row>
    <row r="1031" spans="1:12" x14ac:dyDescent="0.3">
      <c r="A1031" s="38">
        <v>44525</v>
      </c>
      <c r="B1031" s="39">
        <v>8.9464197630860554E-2</v>
      </c>
      <c r="C1031" s="39">
        <v>0.3666318749123576</v>
      </c>
      <c r="D1031" s="39">
        <v>-3.7770292668336367</v>
      </c>
      <c r="E1031" s="39">
        <v>0.58964103139689428</v>
      </c>
      <c r="G1031">
        <f t="shared" si="90"/>
        <v>25</v>
      </c>
      <c r="H1031">
        <v>1</v>
      </c>
      <c r="I1031">
        <f t="shared" si="91"/>
        <v>11</v>
      </c>
      <c r="J1031">
        <f t="shared" si="92"/>
        <v>2021</v>
      </c>
      <c r="K1031" s="17">
        <f t="shared" si="93"/>
        <v>44501</v>
      </c>
      <c r="L1031">
        <f t="shared" si="94"/>
        <v>0</v>
      </c>
    </row>
    <row r="1032" spans="1:12" x14ac:dyDescent="0.3">
      <c r="A1032" s="38">
        <v>44524</v>
      </c>
      <c r="B1032" s="39">
        <v>-0.13508647841788957</v>
      </c>
      <c r="C1032" s="39">
        <v>0.20903729793987225</v>
      </c>
      <c r="D1032" s="39">
        <v>-3.9415954077426818</v>
      </c>
      <c r="E1032" s="39">
        <v>0.30120416096842462</v>
      </c>
      <c r="G1032">
        <f t="shared" si="90"/>
        <v>24</v>
      </c>
      <c r="H1032">
        <v>1</v>
      </c>
      <c r="I1032">
        <f t="shared" si="91"/>
        <v>11</v>
      </c>
      <c r="J1032">
        <f t="shared" si="92"/>
        <v>2021</v>
      </c>
      <c r="K1032" s="17">
        <f t="shared" si="93"/>
        <v>44501</v>
      </c>
      <c r="L1032">
        <f t="shared" si="94"/>
        <v>0</v>
      </c>
    </row>
    <row r="1033" spans="1:12" x14ac:dyDescent="0.3">
      <c r="A1033" s="38">
        <v>44523</v>
      </c>
      <c r="B1033" s="39">
        <v>3.609272313558165E-2</v>
      </c>
      <c r="C1033" s="39">
        <v>0.41088150074888574</v>
      </c>
      <c r="D1033" s="39">
        <v>-3.6376061080720916</v>
      </c>
      <c r="E1033" s="39">
        <v>0.51621792659672394</v>
      </c>
      <c r="G1033">
        <f t="shared" si="90"/>
        <v>23</v>
      </c>
      <c r="H1033">
        <v>1</v>
      </c>
      <c r="I1033">
        <f t="shared" si="91"/>
        <v>11</v>
      </c>
      <c r="J1033">
        <f t="shared" si="92"/>
        <v>2021</v>
      </c>
      <c r="K1033" s="17">
        <f t="shared" si="93"/>
        <v>44501</v>
      </c>
      <c r="L1033">
        <f t="shared" si="94"/>
        <v>0</v>
      </c>
    </row>
    <row r="1034" spans="1:12" x14ac:dyDescent="0.3">
      <c r="A1034" s="38">
        <v>44522</v>
      </c>
      <c r="B1034" s="39">
        <v>0.33759595803701359</v>
      </c>
      <c r="C1034" s="39">
        <v>0.68561705030890607</v>
      </c>
      <c r="D1034" s="39">
        <v>-3.3020753507927907</v>
      </c>
      <c r="E1034" s="39">
        <v>0.88688077358244755</v>
      </c>
      <c r="G1034">
        <f t="shared" si="90"/>
        <v>22</v>
      </c>
      <c r="H1034">
        <v>1</v>
      </c>
      <c r="I1034">
        <f t="shared" si="91"/>
        <v>11</v>
      </c>
      <c r="J1034">
        <f t="shared" si="92"/>
        <v>2021</v>
      </c>
      <c r="K1034" s="17">
        <f t="shared" si="93"/>
        <v>44501</v>
      </c>
      <c r="L1034">
        <f t="shared" si="94"/>
        <v>0</v>
      </c>
    </row>
    <row r="1035" spans="1:12" x14ac:dyDescent="0.3">
      <c r="A1035" s="38">
        <v>44519</v>
      </c>
      <c r="B1035" s="39">
        <v>1.1499958600230116</v>
      </c>
      <c r="C1035" s="39">
        <v>1.4660758274938388</v>
      </c>
      <c r="D1035" s="39">
        <v>-2.7605458549646329</v>
      </c>
      <c r="E1035" s="39">
        <v>1.5318033302321794</v>
      </c>
      <c r="G1035">
        <f t="shared" si="90"/>
        <v>19</v>
      </c>
      <c r="H1035">
        <v>1</v>
      </c>
      <c r="I1035">
        <f t="shared" si="91"/>
        <v>11</v>
      </c>
      <c r="J1035">
        <f t="shared" si="92"/>
        <v>2021</v>
      </c>
      <c r="K1035" s="17">
        <f t="shared" si="93"/>
        <v>44501</v>
      </c>
      <c r="L1035">
        <f t="shared" si="94"/>
        <v>0</v>
      </c>
    </row>
    <row r="1036" spans="1:12" x14ac:dyDescent="0.3">
      <c r="A1036" s="38">
        <v>44518</v>
      </c>
      <c r="B1036" s="39">
        <v>1.436139641975501</v>
      </c>
      <c r="C1036" s="39">
        <v>1.768337327305872</v>
      </c>
      <c r="D1036" s="39">
        <v>-2.5201931720962421</v>
      </c>
      <c r="E1036" s="39">
        <v>2.0343580364324652</v>
      </c>
      <c r="G1036">
        <f t="shared" si="90"/>
        <v>18</v>
      </c>
      <c r="H1036">
        <v>1</v>
      </c>
      <c r="I1036">
        <f t="shared" si="91"/>
        <v>11</v>
      </c>
      <c r="J1036">
        <f t="shared" si="92"/>
        <v>2021</v>
      </c>
      <c r="K1036" s="17">
        <f t="shared" si="93"/>
        <v>44501</v>
      </c>
      <c r="L1036">
        <f t="shared" si="94"/>
        <v>0</v>
      </c>
    </row>
    <row r="1037" spans="1:12" x14ac:dyDescent="0.3">
      <c r="A1037" s="38">
        <v>44517</v>
      </c>
      <c r="B1037" s="39">
        <v>1.8253530962718827</v>
      </c>
      <c r="C1037" s="39">
        <v>2.1310684091498331</v>
      </c>
      <c r="D1037" s="39">
        <v>-2.4119111824060155</v>
      </c>
      <c r="E1037" s="39">
        <v>2.5421602824633567</v>
      </c>
      <c r="G1037">
        <f t="shared" si="90"/>
        <v>17</v>
      </c>
      <c r="H1037">
        <v>1</v>
      </c>
      <c r="I1037">
        <f t="shared" si="91"/>
        <v>11</v>
      </c>
      <c r="J1037">
        <f t="shared" si="92"/>
        <v>2021</v>
      </c>
      <c r="K1037" s="17">
        <f t="shared" si="93"/>
        <v>44501</v>
      </c>
      <c r="L1037">
        <f t="shared" si="94"/>
        <v>0</v>
      </c>
    </row>
    <row r="1038" spans="1:12" x14ac:dyDescent="0.3">
      <c r="A1038" s="38">
        <v>44516</v>
      </c>
      <c r="B1038" s="39">
        <v>1.4841887220455021</v>
      </c>
      <c r="C1038" s="39">
        <v>1.7179287020885994</v>
      </c>
      <c r="D1038" s="39">
        <v>-2.8805443085432501</v>
      </c>
      <c r="E1038" s="39">
        <v>2.0871844335653407</v>
      </c>
      <c r="G1038">
        <f t="shared" si="90"/>
        <v>16</v>
      </c>
      <c r="H1038">
        <v>1</v>
      </c>
      <c r="I1038">
        <f t="shared" si="91"/>
        <v>11</v>
      </c>
      <c r="J1038">
        <f t="shared" si="92"/>
        <v>2021</v>
      </c>
      <c r="K1038" s="17">
        <f t="shared" si="93"/>
        <v>44501</v>
      </c>
      <c r="L1038">
        <f t="shared" si="94"/>
        <v>0</v>
      </c>
    </row>
    <row r="1039" spans="1:12" x14ac:dyDescent="0.3">
      <c r="A1039" s="38">
        <v>44515</v>
      </c>
      <c r="B1039" s="39">
        <v>1.3974198252809344</v>
      </c>
      <c r="C1039" s="39">
        <v>1.5791603368175515</v>
      </c>
      <c r="D1039" s="39">
        <v>-3.2587493017476419</v>
      </c>
      <c r="E1039" s="39">
        <v>2.2766508421017875</v>
      </c>
      <c r="G1039">
        <f t="shared" si="90"/>
        <v>15</v>
      </c>
      <c r="H1039">
        <v>1</v>
      </c>
      <c r="I1039">
        <f t="shared" si="91"/>
        <v>11</v>
      </c>
      <c r="J1039">
        <f t="shared" si="92"/>
        <v>2021</v>
      </c>
      <c r="K1039" s="17">
        <f t="shared" si="93"/>
        <v>44501</v>
      </c>
      <c r="L1039">
        <f t="shared" si="94"/>
        <v>0</v>
      </c>
    </row>
    <row r="1040" spans="1:12" x14ac:dyDescent="0.3">
      <c r="A1040" s="38">
        <v>44512</v>
      </c>
      <c r="B1040" s="39">
        <v>2.1245051370315906</v>
      </c>
      <c r="C1040" s="39">
        <v>2.2704070958472613</v>
      </c>
      <c r="D1040" s="39">
        <v>-2.7344114115386304</v>
      </c>
      <c r="E1040" s="39">
        <v>3.1864997718069077</v>
      </c>
      <c r="G1040">
        <f t="shared" si="90"/>
        <v>12</v>
      </c>
      <c r="H1040">
        <v>1</v>
      </c>
      <c r="I1040">
        <f t="shared" si="91"/>
        <v>11</v>
      </c>
      <c r="J1040">
        <f t="shared" si="92"/>
        <v>2021</v>
      </c>
      <c r="K1040" s="17">
        <f t="shared" si="93"/>
        <v>44501</v>
      </c>
      <c r="L1040">
        <f t="shared" si="94"/>
        <v>0</v>
      </c>
    </row>
    <row r="1041" spans="1:12" x14ac:dyDescent="0.3">
      <c r="A1041" s="38">
        <v>44511</v>
      </c>
      <c r="B1041" s="39">
        <v>2.6414231027746524</v>
      </c>
      <c r="C1041" s="39">
        <v>2.8724970390990308</v>
      </c>
      <c r="D1041" s="39">
        <v>-2.3998342186115167</v>
      </c>
      <c r="E1041" s="39">
        <v>3.8046950605989025</v>
      </c>
      <c r="G1041">
        <f t="shared" si="90"/>
        <v>11</v>
      </c>
      <c r="H1041">
        <v>1</v>
      </c>
      <c r="I1041">
        <f t="shared" si="91"/>
        <v>11</v>
      </c>
      <c r="J1041">
        <f t="shared" si="92"/>
        <v>2021</v>
      </c>
      <c r="K1041" s="17">
        <f t="shared" si="93"/>
        <v>44501</v>
      </c>
      <c r="L1041">
        <f t="shared" si="94"/>
        <v>0</v>
      </c>
    </row>
    <row r="1042" spans="1:12" x14ac:dyDescent="0.3">
      <c r="A1042" s="38">
        <v>44510</v>
      </c>
      <c r="B1042" s="39">
        <v>3.2586314644373573</v>
      </c>
      <c r="C1042" s="39">
        <v>3.3055875662271035</v>
      </c>
      <c r="D1042" s="39">
        <v>-1.914596552696409</v>
      </c>
      <c r="E1042" s="39">
        <v>4.578251752402025</v>
      </c>
      <c r="G1042">
        <f t="shared" si="90"/>
        <v>10</v>
      </c>
      <c r="H1042">
        <v>1</v>
      </c>
      <c r="I1042">
        <f t="shared" si="91"/>
        <v>11</v>
      </c>
      <c r="J1042">
        <f t="shared" si="92"/>
        <v>2021</v>
      </c>
      <c r="K1042" s="17">
        <f t="shared" si="93"/>
        <v>44501</v>
      </c>
      <c r="L1042">
        <f t="shared" si="94"/>
        <v>0</v>
      </c>
    </row>
    <row r="1043" spans="1:12" x14ac:dyDescent="0.3">
      <c r="A1043" s="38">
        <v>44509</v>
      </c>
      <c r="B1043" s="39">
        <v>3.6078241701112006</v>
      </c>
      <c r="C1043" s="39">
        <v>3.8238459822158291</v>
      </c>
      <c r="D1043" s="39">
        <v>-1.5037237760373188</v>
      </c>
      <c r="E1043" s="39">
        <v>4.8832878120039567</v>
      </c>
      <c r="G1043">
        <f t="shared" si="90"/>
        <v>9</v>
      </c>
      <c r="H1043">
        <v>1</v>
      </c>
      <c r="I1043">
        <f t="shared" si="91"/>
        <v>11</v>
      </c>
      <c r="J1043">
        <f t="shared" si="92"/>
        <v>2021</v>
      </c>
      <c r="K1043" s="17">
        <f t="shared" si="93"/>
        <v>44501</v>
      </c>
      <c r="L1043">
        <f t="shared" si="94"/>
        <v>0</v>
      </c>
    </row>
    <row r="1044" spans="1:12" x14ac:dyDescent="0.3">
      <c r="A1044" s="38">
        <v>44508</v>
      </c>
      <c r="B1044" s="39">
        <v>3.6878812872794526</v>
      </c>
      <c r="C1044" s="39">
        <v>3.9946784104465678</v>
      </c>
      <c r="D1044" s="39">
        <v>-1.3984235557933289</v>
      </c>
      <c r="E1044" s="39">
        <v>4.8171095634429406</v>
      </c>
      <c r="G1044">
        <f t="shared" si="90"/>
        <v>8</v>
      </c>
      <c r="H1044">
        <v>1</v>
      </c>
      <c r="I1044">
        <f t="shared" si="91"/>
        <v>11</v>
      </c>
      <c r="J1044">
        <f t="shared" si="92"/>
        <v>2021</v>
      </c>
      <c r="K1044" s="17">
        <f t="shared" si="93"/>
        <v>44501</v>
      </c>
      <c r="L1044">
        <f t="shared" si="94"/>
        <v>0</v>
      </c>
    </row>
    <row r="1045" spans="1:12" x14ac:dyDescent="0.3">
      <c r="A1045" s="38">
        <v>44505</v>
      </c>
      <c r="B1045" s="39">
        <v>3.8217283180420623</v>
      </c>
      <c r="C1045" s="39">
        <v>4.1215305560348128</v>
      </c>
      <c r="D1045" s="39">
        <v>-1.2706209762221903</v>
      </c>
      <c r="E1045" s="39">
        <v>5.1297888383420229</v>
      </c>
      <c r="G1045">
        <f t="shared" si="90"/>
        <v>5</v>
      </c>
      <c r="H1045">
        <v>1</v>
      </c>
      <c r="I1045">
        <f t="shared" si="91"/>
        <v>11</v>
      </c>
      <c r="J1045">
        <f t="shared" si="92"/>
        <v>2021</v>
      </c>
      <c r="K1045" s="17">
        <f t="shared" si="93"/>
        <v>44501</v>
      </c>
      <c r="L1045">
        <f t="shared" si="94"/>
        <v>0</v>
      </c>
    </row>
    <row r="1046" spans="1:12" x14ac:dyDescent="0.3">
      <c r="A1046" s="38">
        <v>44503</v>
      </c>
      <c r="B1046" s="39">
        <v>3.5955213313718133</v>
      </c>
      <c r="C1046" s="39">
        <v>3.8939843930427287</v>
      </c>
      <c r="D1046" s="39">
        <v>-1.956954256469686</v>
      </c>
      <c r="E1046" s="39">
        <v>4.7903044111545512</v>
      </c>
      <c r="G1046">
        <f t="shared" si="90"/>
        <v>3</v>
      </c>
      <c r="H1046">
        <v>1</v>
      </c>
      <c r="I1046">
        <f t="shared" si="91"/>
        <v>11</v>
      </c>
      <c r="J1046">
        <f t="shared" si="92"/>
        <v>2021</v>
      </c>
      <c r="K1046" s="17">
        <f t="shared" si="93"/>
        <v>44501</v>
      </c>
      <c r="L1046">
        <f t="shared" si="94"/>
        <v>1</v>
      </c>
    </row>
    <row r="1047" spans="1:12" x14ac:dyDescent="0.3">
      <c r="A1047" s="38">
        <v>44502</v>
      </c>
      <c r="B1047" s="39">
        <v>3.73253596477727</v>
      </c>
      <c r="C1047" s="39">
        <v>3.9631877288209125</v>
      </c>
      <c r="D1047" s="39">
        <v>-1.9527817239912793</v>
      </c>
      <c r="E1047" s="39">
        <v>4.8082828070499772</v>
      </c>
      <c r="G1047">
        <f t="shared" si="90"/>
        <v>2</v>
      </c>
      <c r="H1047">
        <v>1</v>
      </c>
      <c r="I1047">
        <f t="shared" si="91"/>
        <v>11</v>
      </c>
      <c r="J1047">
        <f t="shared" si="92"/>
        <v>2021</v>
      </c>
      <c r="K1047" s="17">
        <f t="shared" si="93"/>
        <v>44501</v>
      </c>
      <c r="L1047">
        <f t="shared" si="94"/>
        <v>1</v>
      </c>
    </row>
    <row r="1048" spans="1:12" x14ac:dyDescent="0.3">
      <c r="A1048" s="38">
        <v>44501</v>
      </c>
      <c r="B1048" s="39">
        <v>4.150778822730345</v>
      </c>
      <c r="C1048" s="39">
        <v>4.412015721309217</v>
      </c>
      <c r="D1048" s="39">
        <v>-1.3063217032001404</v>
      </c>
      <c r="E1048" s="39">
        <v>5.2320246126185879</v>
      </c>
      <c r="G1048">
        <f t="shared" si="90"/>
        <v>1</v>
      </c>
      <c r="H1048">
        <v>1</v>
      </c>
      <c r="I1048">
        <f t="shared" si="91"/>
        <v>11</v>
      </c>
      <c r="J1048">
        <f t="shared" si="92"/>
        <v>2021</v>
      </c>
      <c r="K1048" s="17">
        <f t="shared" si="93"/>
        <v>44501</v>
      </c>
      <c r="L1048">
        <f t="shared" si="94"/>
        <v>1</v>
      </c>
    </row>
    <row r="1049" spans="1:12" x14ac:dyDescent="0.3">
      <c r="A1049" s="38">
        <v>44498</v>
      </c>
      <c r="B1049" s="39">
        <v>3.0389816642677658</v>
      </c>
      <c r="C1049" s="39">
        <v>3.6732326574970671</v>
      </c>
      <c r="D1049" s="39">
        <v>-2.0421483575286459</v>
      </c>
      <c r="E1049" s="39">
        <v>3.879341271313379</v>
      </c>
      <c r="G1049">
        <f t="shared" si="90"/>
        <v>29</v>
      </c>
      <c r="H1049">
        <v>1</v>
      </c>
      <c r="I1049">
        <f t="shared" si="91"/>
        <v>10</v>
      </c>
      <c r="J1049">
        <f t="shared" si="92"/>
        <v>2021</v>
      </c>
      <c r="K1049" s="17">
        <f t="shared" si="93"/>
        <v>44470</v>
      </c>
      <c r="L1049">
        <f t="shared" si="94"/>
        <v>0</v>
      </c>
    </row>
    <row r="1050" spans="1:12" x14ac:dyDescent="0.3">
      <c r="A1050" s="38">
        <v>44497</v>
      </c>
      <c r="B1050" s="39">
        <v>3.0789893598194027</v>
      </c>
      <c r="C1050" s="39">
        <v>3.7357173443190987</v>
      </c>
      <c r="D1050" s="39">
        <v>-2.2466075984006721</v>
      </c>
      <c r="E1050" s="39">
        <v>4.0796502784904192</v>
      </c>
      <c r="G1050">
        <f t="shared" si="90"/>
        <v>28</v>
      </c>
      <c r="H1050">
        <v>1</v>
      </c>
      <c r="I1050">
        <f t="shared" si="91"/>
        <v>10</v>
      </c>
      <c r="J1050">
        <f t="shared" si="92"/>
        <v>2021</v>
      </c>
      <c r="K1050" s="17">
        <f t="shared" si="93"/>
        <v>44470</v>
      </c>
      <c r="L1050">
        <f t="shared" si="94"/>
        <v>0</v>
      </c>
    </row>
    <row r="1051" spans="1:12" x14ac:dyDescent="0.3">
      <c r="A1051" s="38">
        <v>44496</v>
      </c>
      <c r="B1051" s="39">
        <v>3.2962942657317598</v>
      </c>
      <c r="C1051" s="39">
        <v>3.9855939967110459</v>
      </c>
      <c r="D1051" s="39">
        <v>-2.3833483638232735</v>
      </c>
      <c r="E1051" s="39">
        <v>4.2490078182761408</v>
      </c>
      <c r="G1051">
        <f t="shared" si="90"/>
        <v>27</v>
      </c>
      <c r="H1051">
        <v>1</v>
      </c>
      <c r="I1051">
        <f t="shared" si="91"/>
        <v>10</v>
      </c>
      <c r="J1051">
        <f t="shared" si="92"/>
        <v>2021</v>
      </c>
      <c r="K1051" s="17">
        <f t="shared" si="93"/>
        <v>44470</v>
      </c>
      <c r="L1051">
        <f t="shared" si="94"/>
        <v>0</v>
      </c>
    </row>
    <row r="1052" spans="1:12" x14ac:dyDescent="0.3">
      <c r="A1052" s="38">
        <v>44495</v>
      </c>
      <c r="B1052" s="39">
        <v>3.787621814487963</v>
      </c>
      <c r="C1052" s="39">
        <v>4.5147443879157123</v>
      </c>
      <c r="D1052" s="39">
        <v>-1.9637834590934204</v>
      </c>
      <c r="E1052" s="39">
        <v>4.6106615489616729</v>
      </c>
      <c r="G1052">
        <f t="shared" si="90"/>
        <v>26</v>
      </c>
      <c r="H1052">
        <v>1</v>
      </c>
      <c r="I1052">
        <f t="shared" si="91"/>
        <v>10</v>
      </c>
      <c r="J1052">
        <f t="shared" si="92"/>
        <v>2021</v>
      </c>
      <c r="K1052" s="17">
        <f t="shared" si="93"/>
        <v>44470</v>
      </c>
      <c r="L1052">
        <f t="shared" si="94"/>
        <v>0</v>
      </c>
    </row>
    <row r="1053" spans="1:12" x14ac:dyDescent="0.3">
      <c r="A1053" s="38">
        <v>44494</v>
      </c>
      <c r="B1053" s="39">
        <v>3.3500346035515491</v>
      </c>
      <c r="C1053" s="39">
        <v>4.1238617282274248</v>
      </c>
      <c r="D1053" s="39">
        <v>-2.1455451107824643</v>
      </c>
      <c r="E1053" s="39">
        <v>4.0584728551451974</v>
      </c>
      <c r="G1053">
        <f t="shared" si="90"/>
        <v>25</v>
      </c>
      <c r="H1053">
        <v>1</v>
      </c>
      <c r="I1053">
        <f t="shared" si="91"/>
        <v>10</v>
      </c>
      <c r="J1053">
        <f t="shared" si="92"/>
        <v>2021</v>
      </c>
      <c r="K1053" s="17">
        <f t="shared" si="93"/>
        <v>44470</v>
      </c>
      <c r="L1053">
        <f t="shared" si="94"/>
        <v>0</v>
      </c>
    </row>
    <row r="1054" spans="1:12" x14ac:dyDescent="0.3">
      <c r="A1054" s="38">
        <v>44491</v>
      </c>
      <c r="B1054" s="39">
        <v>3.666802626555338</v>
      </c>
      <c r="C1054" s="39">
        <v>4.4990259910541823</v>
      </c>
      <c r="D1054" s="39">
        <v>-1.717470448061448</v>
      </c>
      <c r="E1054" s="39">
        <v>4.5791764523615512</v>
      </c>
      <c r="G1054">
        <f t="shared" si="90"/>
        <v>22</v>
      </c>
      <c r="H1054">
        <v>1</v>
      </c>
      <c r="I1054">
        <f t="shared" si="91"/>
        <v>10</v>
      </c>
      <c r="J1054">
        <f t="shared" si="92"/>
        <v>2021</v>
      </c>
      <c r="K1054" s="17">
        <f t="shared" si="93"/>
        <v>44470</v>
      </c>
      <c r="L1054">
        <f t="shared" si="94"/>
        <v>0</v>
      </c>
    </row>
    <row r="1055" spans="1:12" x14ac:dyDescent="0.3">
      <c r="A1055" s="38">
        <v>44490</v>
      </c>
      <c r="B1055" s="39">
        <v>3.5459221791782625</v>
      </c>
      <c r="C1055" s="39">
        <v>4.4397787617754148</v>
      </c>
      <c r="D1055" s="39">
        <v>-1.5632895765181729</v>
      </c>
      <c r="E1055" s="39">
        <v>4.2980600936022171</v>
      </c>
      <c r="G1055">
        <f t="shared" si="90"/>
        <v>21</v>
      </c>
      <c r="H1055">
        <v>1</v>
      </c>
      <c r="I1055">
        <f t="shared" si="91"/>
        <v>10</v>
      </c>
      <c r="J1055">
        <f t="shared" si="92"/>
        <v>2021</v>
      </c>
      <c r="K1055" s="17">
        <f t="shared" si="93"/>
        <v>44470</v>
      </c>
      <c r="L1055">
        <f t="shared" si="94"/>
        <v>0</v>
      </c>
    </row>
    <row r="1056" spans="1:12" x14ac:dyDescent="0.3">
      <c r="A1056" s="38">
        <v>44489</v>
      </c>
      <c r="B1056" s="39">
        <v>3.6276246063376192</v>
      </c>
      <c r="C1056" s="39">
        <v>4.5050053993501109</v>
      </c>
      <c r="D1056" s="39">
        <v>-0.94356217326603087</v>
      </c>
      <c r="E1056" s="39">
        <v>4.2744169628038691</v>
      </c>
      <c r="G1056">
        <f t="shared" si="90"/>
        <v>20</v>
      </c>
      <c r="H1056">
        <v>1</v>
      </c>
      <c r="I1056">
        <f t="shared" si="91"/>
        <v>10</v>
      </c>
      <c r="J1056">
        <f t="shared" si="92"/>
        <v>2021</v>
      </c>
      <c r="K1056" s="17">
        <f t="shared" si="93"/>
        <v>44470</v>
      </c>
      <c r="L1056">
        <f t="shared" si="94"/>
        <v>0</v>
      </c>
    </row>
    <row r="1057" spans="1:12" x14ac:dyDescent="0.3">
      <c r="A1057" s="38">
        <v>44488</v>
      </c>
      <c r="B1057" s="39">
        <v>3.8490396721583835</v>
      </c>
      <c r="C1057" s="39">
        <v>4.7337856118914488</v>
      </c>
      <c r="D1057" s="39">
        <v>-1.0177924649975552</v>
      </c>
      <c r="E1057" s="39">
        <v>4.5181585248474647</v>
      </c>
      <c r="G1057">
        <f t="shared" si="90"/>
        <v>19</v>
      </c>
      <c r="H1057">
        <v>1</v>
      </c>
      <c r="I1057">
        <f t="shared" si="91"/>
        <v>10</v>
      </c>
      <c r="J1057">
        <f t="shared" si="92"/>
        <v>2021</v>
      </c>
      <c r="K1057" s="17">
        <f t="shared" si="93"/>
        <v>44470</v>
      </c>
      <c r="L1057">
        <f t="shared" si="94"/>
        <v>0</v>
      </c>
    </row>
    <row r="1058" spans="1:12" x14ac:dyDescent="0.3">
      <c r="A1058" s="38">
        <v>44487</v>
      </c>
      <c r="B1058" s="39">
        <v>3.9249496642181327</v>
      </c>
      <c r="C1058" s="39">
        <v>4.8079783086786279</v>
      </c>
      <c r="D1058" s="39">
        <v>-0.65932451438118278</v>
      </c>
      <c r="E1058" s="39">
        <v>4.3886215820280086</v>
      </c>
      <c r="G1058">
        <f t="shared" si="90"/>
        <v>18</v>
      </c>
      <c r="H1058">
        <v>1</v>
      </c>
      <c r="I1058">
        <f t="shared" si="91"/>
        <v>10</v>
      </c>
      <c r="J1058">
        <f t="shared" si="92"/>
        <v>2021</v>
      </c>
      <c r="K1058" s="17">
        <f t="shared" si="93"/>
        <v>44470</v>
      </c>
      <c r="L1058">
        <f t="shared" si="94"/>
        <v>0</v>
      </c>
    </row>
    <row r="1059" spans="1:12" x14ac:dyDescent="0.3">
      <c r="A1059" s="38">
        <v>44484</v>
      </c>
      <c r="B1059" s="39">
        <v>4.1513779682111505</v>
      </c>
      <c r="C1059" s="39">
        <v>5.1617471132644965</v>
      </c>
      <c r="D1059" s="39">
        <v>0.21047101514918154</v>
      </c>
      <c r="E1059" s="39">
        <v>4.3229221084953622</v>
      </c>
      <c r="G1059">
        <f t="shared" si="90"/>
        <v>15</v>
      </c>
      <c r="H1059">
        <v>1</v>
      </c>
      <c r="I1059">
        <f t="shared" si="91"/>
        <v>10</v>
      </c>
      <c r="J1059">
        <f t="shared" si="92"/>
        <v>2021</v>
      </c>
      <c r="K1059" s="17">
        <f t="shared" si="93"/>
        <v>44470</v>
      </c>
      <c r="L1059">
        <f t="shared" si="94"/>
        <v>0</v>
      </c>
    </row>
    <row r="1060" spans="1:12" x14ac:dyDescent="0.3">
      <c r="A1060" s="38">
        <v>44483</v>
      </c>
      <c r="B1060" s="39">
        <v>3.6610796015925615</v>
      </c>
      <c r="C1060" s="39">
        <v>4.6167147273088318</v>
      </c>
      <c r="D1060" s="39">
        <v>-0.20870909741117316</v>
      </c>
      <c r="E1060" s="39">
        <v>3.8468249082696389</v>
      </c>
      <c r="G1060">
        <f t="shared" si="90"/>
        <v>14</v>
      </c>
      <c r="H1060">
        <v>1</v>
      </c>
      <c r="I1060">
        <f t="shared" si="91"/>
        <v>10</v>
      </c>
      <c r="J1060">
        <f t="shared" si="92"/>
        <v>2021</v>
      </c>
      <c r="K1060" s="17">
        <f t="shared" si="93"/>
        <v>44470</v>
      </c>
      <c r="L1060">
        <f t="shared" si="94"/>
        <v>0</v>
      </c>
    </row>
    <row r="1061" spans="1:12" x14ac:dyDescent="0.3">
      <c r="A1061" s="38">
        <v>44482</v>
      </c>
      <c r="B1061" s="39">
        <v>3.1076704819547274</v>
      </c>
      <c r="C1061" s="39">
        <v>4.1117200266435958</v>
      </c>
      <c r="D1061" s="39">
        <v>-0.31168262936864721</v>
      </c>
      <c r="E1061" s="39">
        <v>3.0551711519795504</v>
      </c>
      <c r="G1061">
        <f t="shared" si="90"/>
        <v>13</v>
      </c>
      <c r="H1061">
        <v>1</v>
      </c>
      <c r="I1061">
        <f t="shared" si="91"/>
        <v>10</v>
      </c>
      <c r="J1061">
        <f t="shared" si="92"/>
        <v>2021</v>
      </c>
      <c r="K1061" s="17">
        <f t="shared" si="93"/>
        <v>44470</v>
      </c>
      <c r="L1061">
        <f t="shared" si="94"/>
        <v>0</v>
      </c>
    </row>
    <row r="1062" spans="1:12" x14ac:dyDescent="0.3">
      <c r="A1062" s="38">
        <v>44481</v>
      </c>
      <c r="B1062" s="39">
        <v>3.5554156918857984</v>
      </c>
      <c r="C1062" s="39">
        <v>4.6308490651605752</v>
      </c>
      <c r="D1062" s="39">
        <v>0.3863395146770614</v>
      </c>
      <c r="E1062" s="39">
        <v>3.3737814637164405</v>
      </c>
      <c r="G1062">
        <f t="shared" si="90"/>
        <v>12</v>
      </c>
      <c r="H1062">
        <v>1</v>
      </c>
      <c r="I1062">
        <f t="shared" si="91"/>
        <v>10</v>
      </c>
      <c r="J1062">
        <f t="shared" si="92"/>
        <v>2021</v>
      </c>
      <c r="K1062" s="17">
        <f t="shared" si="93"/>
        <v>44470</v>
      </c>
      <c r="L1062">
        <f t="shared" si="94"/>
        <v>0</v>
      </c>
    </row>
    <row r="1063" spans="1:12" x14ac:dyDescent="0.3">
      <c r="A1063" s="38">
        <v>44480</v>
      </c>
      <c r="B1063" s="39">
        <v>3.6728742583209879</v>
      </c>
      <c r="C1063" s="39">
        <v>4.785297430134591</v>
      </c>
      <c r="D1063" s="39">
        <v>0.53331949312719473</v>
      </c>
      <c r="E1063" s="39">
        <v>3.4723236446228469</v>
      </c>
      <c r="G1063">
        <f t="shared" si="90"/>
        <v>11</v>
      </c>
      <c r="H1063">
        <v>1</v>
      </c>
      <c r="I1063">
        <f t="shared" si="91"/>
        <v>10</v>
      </c>
      <c r="J1063">
        <f t="shared" si="92"/>
        <v>2021</v>
      </c>
      <c r="K1063" s="17">
        <f t="shared" si="93"/>
        <v>44470</v>
      </c>
      <c r="L1063">
        <f t="shared" si="94"/>
        <v>0</v>
      </c>
    </row>
    <row r="1064" spans="1:12" x14ac:dyDescent="0.3">
      <c r="A1064" s="38">
        <v>44477</v>
      </c>
      <c r="B1064" s="39">
        <v>3.0365191664352125</v>
      </c>
      <c r="C1064" s="39">
        <v>4.1092378339222506</v>
      </c>
      <c r="D1064" s="39">
        <v>0.1581286090109586</v>
      </c>
      <c r="E1064" s="39">
        <v>2.9163837631823242</v>
      </c>
      <c r="G1064">
        <f t="shared" si="90"/>
        <v>8</v>
      </c>
      <c r="H1064">
        <v>1</v>
      </c>
      <c r="I1064">
        <f t="shared" si="91"/>
        <v>10</v>
      </c>
      <c r="J1064">
        <f t="shared" si="92"/>
        <v>2021</v>
      </c>
      <c r="K1064" s="17">
        <f t="shared" si="93"/>
        <v>44470</v>
      </c>
      <c r="L1064">
        <f t="shared" si="94"/>
        <v>0</v>
      </c>
    </row>
    <row r="1065" spans="1:12" x14ac:dyDescent="0.3">
      <c r="A1065" s="38">
        <v>44476</v>
      </c>
      <c r="B1065" s="39">
        <v>2.8007094991092458</v>
      </c>
      <c r="C1065" s="39">
        <v>3.9827995783741557</v>
      </c>
      <c r="D1065" s="39">
        <v>0.30083386509737409</v>
      </c>
      <c r="E1065" s="39">
        <v>2.6897823230323041</v>
      </c>
      <c r="G1065">
        <f t="shared" si="90"/>
        <v>7</v>
      </c>
      <c r="H1065">
        <v>1</v>
      </c>
      <c r="I1065">
        <f t="shared" si="91"/>
        <v>10</v>
      </c>
      <c r="J1065">
        <f t="shared" si="92"/>
        <v>2021</v>
      </c>
      <c r="K1065" s="17">
        <f t="shared" si="93"/>
        <v>44470</v>
      </c>
      <c r="L1065">
        <f t="shared" si="94"/>
        <v>0</v>
      </c>
    </row>
    <row r="1066" spans="1:12" x14ac:dyDescent="0.3">
      <c r="A1066" s="38">
        <v>44475</v>
      </c>
      <c r="B1066" s="39">
        <v>3.6079008164364126</v>
      </c>
      <c r="C1066" s="39">
        <v>4.7110102443975279</v>
      </c>
      <c r="D1066" s="39">
        <v>0.65270643761986946</v>
      </c>
      <c r="E1066" s="39">
        <v>3.5442294202710229</v>
      </c>
      <c r="G1066">
        <f t="shared" si="90"/>
        <v>6</v>
      </c>
      <c r="H1066">
        <v>1</v>
      </c>
      <c r="I1066">
        <f t="shared" si="91"/>
        <v>10</v>
      </c>
      <c r="J1066">
        <f t="shared" si="92"/>
        <v>2021</v>
      </c>
      <c r="K1066" s="17">
        <f t="shared" si="93"/>
        <v>44470</v>
      </c>
      <c r="L1066">
        <f t="shared" si="94"/>
        <v>0</v>
      </c>
    </row>
    <row r="1067" spans="1:12" x14ac:dyDescent="0.3">
      <c r="A1067" s="38">
        <v>44474</v>
      </c>
      <c r="B1067" s="39">
        <v>2.8205824376922095</v>
      </c>
      <c r="C1067" s="39">
        <v>3.933485926878646</v>
      </c>
      <c r="D1067" s="39">
        <v>4.9466199088385565E-2</v>
      </c>
      <c r="E1067" s="39">
        <v>2.7561792363735123</v>
      </c>
      <c r="G1067">
        <f t="shared" si="90"/>
        <v>5</v>
      </c>
      <c r="H1067">
        <v>1</v>
      </c>
      <c r="I1067">
        <f t="shared" si="91"/>
        <v>10</v>
      </c>
      <c r="J1067">
        <f t="shared" si="92"/>
        <v>2021</v>
      </c>
      <c r="K1067" s="17">
        <f t="shared" si="93"/>
        <v>44470</v>
      </c>
      <c r="L1067">
        <f t="shared" si="94"/>
        <v>0</v>
      </c>
    </row>
    <row r="1068" spans="1:12" x14ac:dyDescent="0.3">
      <c r="A1068" s="38">
        <v>44473</v>
      </c>
      <c r="B1068" s="39">
        <v>2.5273481449902988</v>
      </c>
      <c r="C1068" s="39">
        <v>3.5945600430763278</v>
      </c>
      <c r="D1068" s="39">
        <v>-0.28928161727158397</v>
      </c>
      <c r="E1068" s="39">
        <v>2.7318776044888864</v>
      </c>
      <c r="G1068">
        <f t="shared" si="90"/>
        <v>4</v>
      </c>
      <c r="H1068">
        <v>1</v>
      </c>
      <c r="I1068">
        <f t="shared" si="91"/>
        <v>10</v>
      </c>
      <c r="J1068">
        <f t="shared" si="92"/>
        <v>2021</v>
      </c>
      <c r="K1068" s="17">
        <f t="shared" si="93"/>
        <v>44470</v>
      </c>
      <c r="L1068">
        <f t="shared" si="94"/>
        <v>1</v>
      </c>
    </row>
    <row r="1069" spans="1:12" x14ac:dyDescent="0.3">
      <c r="A1069" s="38">
        <v>44470</v>
      </c>
      <c r="B1069" s="39">
        <v>2.4862995246963067</v>
      </c>
      <c r="C1069" s="39">
        <v>3.5695305241429622</v>
      </c>
      <c r="D1069" s="39">
        <v>-1.3143466974540274E-2</v>
      </c>
      <c r="E1069" s="39">
        <v>2.6271762394378868</v>
      </c>
      <c r="G1069">
        <f t="shared" si="90"/>
        <v>1</v>
      </c>
      <c r="H1069">
        <v>1</v>
      </c>
      <c r="I1069">
        <f t="shared" si="91"/>
        <v>10</v>
      </c>
      <c r="J1069">
        <f t="shared" si="92"/>
        <v>2021</v>
      </c>
      <c r="K1069" s="17">
        <f t="shared" si="93"/>
        <v>44470</v>
      </c>
      <c r="L1069">
        <f t="shared" si="94"/>
        <v>1</v>
      </c>
    </row>
    <row r="1070" spans="1:12" x14ac:dyDescent="0.3">
      <c r="A1070" s="38">
        <v>44469</v>
      </c>
      <c r="B1070" s="39">
        <v>1.4810669429180763</v>
      </c>
      <c r="C1070" s="39">
        <v>3.9105267787924305</v>
      </c>
      <c r="D1070" s="39">
        <v>-0.9222390336579025</v>
      </c>
      <c r="E1070" s="39">
        <v>1.879702725227844</v>
      </c>
      <c r="G1070">
        <f t="shared" si="90"/>
        <v>30</v>
      </c>
      <c r="H1070">
        <v>1</v>
      </c>
      <c r="I1070">
        <f t="shared" si="91"/>
        <v>9</v>
      </c>
      <c r="J1070">
        <f t="shared" si="92"/>
        <v>2021</v>
      </c>
      <c r="K1070" s="17">
        <f t="shared" si="93"/>
        <v>44440</v>
      </c>
      <c r="L1070">
        <f t="shared" si="94"/>
        <v>0</v>
      </c>
    </row>
    <row r="1071" spans="1:12" x14ac:dyDescent="0.3">
      <c r="A1071" s="38">
        <v>44468</v>
      </c>
      <c r="B1071" s="39">
        <v>0.58263654671317511</v>
      </c>
      <c r="C1071" s="39">
        <v>2.9936761688739892</v>
      </c>
      <c r="D1071" s="39">
        <v>-1.5049728132875515</v>
      </c>
      <c r="E1071" s="39">
        <v>0.95637318084664003</v>
      </c>
      <c r="G1071">
        <f t="shared" si="90"/>
        <v>29</v>
      </c>
      <c r="H1071">
        <v>1</v>
      </c>
      <c r="I1071">
        <f t="shared" si="91"/>
        <v>9</v>
      </c>
      <c r="J1071">
        <f t="shared" si="92"/>
        <v>2021</v>
      </c>
      <c r="K1071" s="17">
        <f t="shared" si="93"/>
        <v>44440</v>
      </c>
      <c r="L1071">
        <f t="shared" si="94"/>
        <v>0</v>
      </c>
    </row>
    <row r="1072" spans="1:12" x14ac:dyDescent="0.3">
      <c r="A1072" s="38">
        <v>44467</v>
      </c>
      <c r="B1072" s="39">
        <v>6.9736453482619254E-2</v>
      </c>
      <c r="C1072" s="39">
        <v>2.4494257941154416</v>
      </c>
      <c r="D1072" s="39">
        <v>-2.217561168819401</v>
      </c>
      <c r="E1072" s="39">
        <v>0.36639393457330982</v>
      </c>
      <c r="G1072">
        <f t="shared" si="90"/>
        <v>28</v>
      </c>
      <c r="H1072">
        <v>1</v>
      </c>
      <c r="I1072">
        <f t="shared" si="91"/>
        <v>9</v>
      </c>
      <c r="J1072">
        <f t="shared" si="92"/>
        <v>2021</v>
      </c>
      <c r="K1072" s="17">
        <f t="shared" si="93"/>
        <v>44440</v>
      </c>
      <c r="L1072">
        <f t="shared" si="94"/>
        <v>0</v>
      </c>
    </row>
    <row r="1073" spans="1:12" x14ac:dyDescent="0.3">
      <c r="A1073" s="38">
        <v>44466</v>
      </c>
      <c r="B1073" s="39">
        <v>0.45179906354904631</v>
      </c>
      <c r="C1073" s="39">
        <v>2.8162481313642047</v>
      </c>
      <c r="D1073" s="39">
        <v>-1.7160656622452848</v>
      </c>
      <c r="E1073" s="39">
        <v>0.65308187174353804</v>
      </c>
      <c r="G1073">
        <f t="shared" si="90"/>
        <v>27</v>
      </c>
      <c r="H1073">
        <v>1</v>
      </c>
      <c r="I1073">
        <f t="shared" si="91"/>
        <v>9</v>
      </c>
      <c r="J1073">
        <f t="shared" si="92"/>
        <v>2021</v>
      </c>
      <c r="K1073" s="17">
        <f t="shared" si="93"/>
        <v>44440</v>
      </c>
      <c r="L1073">
        <f t="shared" si="94"/>
        <v>0</v>
      </c>
    </row>
    <row r="1074" spans="1:12" x14ac:dyDescent="0.3">
      <c r="A1074" s="38">
        <v>44463</v>
      </c>
      <c r="B1074" s="39">
        <v>0.45694657859405652</v>
      </c>
      <c r="C1074" s="39">
        <v>2.9251164933436655</v>
      </c>
      <c r="D1074" s="39">
        <v>-1.7036972336046432</v>
      </c>
      <c r="E1074" s="39">
        <v>0.55737552190595352</v>
      </c>
      <c r="G1074">
        <f t="shared" si="90"/>
        <v>24</v>
      </c>
      <c r="H1074">
        <v>1</v>
      </c>
      <c r="I1074">
        <f t="shared" si="91"/>
        <v>9</v>
      </c>
      <c r="J1074">
        <f t="shared" si="92"/>
        <v>2021</v>
      </c>
      <c r="K1074" s="17">
        <f t="shared" si="93"/>
        <v>44440</v>
      </c>
      <c r="L1074">
        <f t="shared" si="94"/>
        <v>0</v>
      </c>
    </row>
    <row r="1075" spans="1:12" x14ac:dyDescent="0.3">
      <c r="A1075" s="38">
        <v>44462</v>
      </c>
      <c r="B1075" s="39">
        <v>0.12087658299513748</v>
      </c>
      <c r="C1075" s="39">
        <v>2.6078859698027514</v>
      </c>
      <c r="D1075" s="39">
        <v>-1.5442231305649585</v>
      </c>
      <c r="E1075" s="39">
        <v>0.14569843021156714</v>
      </c>
      <c r="G1075">
        <f t="shared" si="90"/>
        <v>23</v>
      </c>
      <c r="H1075">
        <v>1</v>
      </c>
      <c r="I1075">
        <f t="shared" si="91"/>
        <v>9</v>
      </c>
      <c r="J1075">
        <f t="shared" si="92"/>
        <v>2021</v>
      </c>
      <c r="K1075" s="17">
        <f t="shared" si="93"/>
        <v>44440</v>
      </c>
      <c r="L1075">
        <f t="shared" si="94"/>
        <v>0</v>
      </c>
    </row>
    <row r="1076" spans="1:12" x14ac:dyDescent="0.3">
      <c r="A1076" s="38">
        <v>44461</v>
      </c>
      <c r="B1076" s="39">
        <v>2.9122042214012822E-2</v>
      </c>
      <c r="C1076" s="39">
        <v>2.4872271351110555</v>
      </c>
      <c r="D1076" s="39">
        <v>-1.7619262914052172</v>
      </c>
      <c r="E1076" s="39">
        <v>0.26757429913138253</v>
      </c>
      <c r="G1076">
        <f t="shared" si="90"/>
        <v>22</v>
      </c>
      <c r="H1076">
        <v>1</v>
      </c>
      <c r="I1076">
        <f t="shared" si="91"/>
        <v>9</v>
      </c>
      <c r="J1076">
        <f t="shared" si="92"/>
        <v>2021</v>
      </c>
      <c r="K1076" s="17">
        <f t="shared" si="93"/>
        <v>44440</v>
      </c>
      <c r="L1076">
        <f t="shared" si="94"/>
        <v>0</v>
      </c>
    </row>
    <row r="1077" spans="1:12" x14ac:dyDescent="0.3">
      <c r="A1077" s="38">
        <v>44460</v>
      </c>
      <c r="B1077" s="39">
        <v>-0.2018850642554213</v>
      </c>
      <c r="C1077" s="39">
        <v>2.2062784271691243</v>
      </c>
      <c r="D1077" s="39">
        <v>-1.9887443702757679</v>
      </c>
      <c r="E1077" s="39">
        <v>0.14049255113707204</v>
      </c>
      <c r="G1077">
        <f t="shared" si="90"/>
        <v>21</v>
      </c>
      <c r="H1077">
        <v>1</v>
      </c>
      <c r="I1077">
        <f t="shared" si="91"/>
        <v>9</v>
      </c>
      <c r="J1077">
        <f t="shared" si="92"/>
        <v>2021</v>
      </c>
      <c r="K1077" s="17">
        <f t="shared" si="93"/>
        <v>44440</v>
      </c>
      <c r="L1077">
        <f t="shared" si="94"/>
        <v>0</v>
      </c>
    </row>
    <row r="1078" spans="1:12" x14ac:dyDescent="0.3">
      <c r="A1078" s="38">
        <v>44459</v>
      </c>
      <c r="B1078" s="39">
        <v>-0.34238357986515666</v>
      </c>
      <c r="C1078" s="39">
        <v>2.1588976924561649</v>
      </c>
      <c r="D1078" s="39">
        <v>-1.5348467706894837</v>
      </c>
      <c r="E1078" s="39">
        <v>4.7600557444894775E-2</v>
      </c>
      <c r="G1078">
        <f t="shared" si="90"/>
        <v>20</v>
      </c>
      <c r="H1078">
        <v>1</v>
      </c>
      <c r="I1078">
        <f t="shared" si="91"/>
        <v>9</v>
      </c>
      <c r="J1078">
        <f t="shared" si="92"/>
        <v>2021</v>
      </c>
      <c r="K1078" s="17">
        <f t="shared" si="93"/>
        <v>44440</v>
      </c>
      <c r="L1078">
        <f t="shared" si="94"/>
        <v>0</v>
      </c>
    </row>
    <row r="1079" spans="1:12" x14ac:dyDescent="0.3">
      <c r="A1079" s="38">
        <v>44456</v>
      </c>
      <c r="B1079" s="39">
        <v>-0.34844734980866576</v>
      </c>
      <c r="C1079" s="39">
        <v>2.2219019161678659</v>
      </c>
      <c r="D1079" s="39">
        <v>-1.7039513328724354</v>
      </c>
      <c r="E1079" s="39">
        <v>-3.7842415824428599E-2</v>
      </c>
      <c r="G1079">
        <f t="shared" si="90"/>
        <v>17</v>
      </c>
      <c r="H1079">
        <v>1</v>
      </c>
      <c r="I1079">
        <f t="shared" si="91"/>
        <v>9</v>
      </c>
      <c r="J1079">
        <f t="shared" si="92"/>
        <v>2021</v>
      </c>
      <c r="K1079" s="17">
        <f t="shared" si="93"/>
        <v>44440</v>
      </c>
      <c r="L1079">
        <f t="shared" si="94"/>
        <v>0</v>
      </c>
    </row>
    <row r="1080" spans="1:12" x14ac:dyDescent="0.3">
      <c r="A1080" s="38">
        <v>44455</v>
      </c>
      <c r="B1080" s="39">
        <v>-0.39888743365357016</v>
      </c>
      <c r="C1080" s="39">
        <v>2.0868442591435752</v>
      </c>
      <c r="D1080" s="39">
        <v>-1.7973032700643472</v>
      </c>
      <c r="E1080" s="39">
        <v>-0.21401295253242836</v>
      </c>
      <c r="G1080">
        <f t="shared" si="90"/>
        <v>16</v>
      </c>
      <c r="H1080">
        <v>1</v>
      </c>
      <c r="I1080">
        <f t="shared" si="91"/>
        <v>9</v>
      </c>
      <c r="J1080">
        <f t="shared" si="92"/>
        <v>2021</v>
      </c>
      <c r="K1080" s="17">
        <f t="shared" si="93"/>
        <v>44440</v>
      </c>
      <c r="L1080">
        <f t="shared" si="94"/>
        <v>0</v>
      </c>
    </row>
    <row r="1081" spans="1:12" x14ac:dyDescent="0.3">
      <c r="A1081" s="38">
        <v>44454</v>
      </c>
      <c r="B1081" s="39">
        <v>-0.66868742774042289</v>
      </c>
      <c r="C1081" s="39">
        <v>1.8031797819214717</v>
      </c>
      <c r="D1081" s="39">
        <v>-2.3609497054312101</v>
      </c>
      <c r="E1081" s="39">
        <v>-0.54017085923391051</v>
      </c>
      <c r="G1081">
        <f t="shared" si="90"/>
        <v>15</v>
      </c>
      <c r="H1081">
        <v>1</v>
      </c>
      <c r="I1081">
        <f t="shared" si="91"/>
        <v>9</v>
      </c>
      <c r="J1081">
        <f t="shared" si="92"/>
        <v>2021</v>
      </c>
      <c r="K1081" s="17">
        <f t="shared" si="93"/>
        <v>44440</v>
      </c>
      <c r="L1081">
        <f t="shared" si="94"/>
        <v>0</v>
      </c>
    </row>
    <row r="1082" spans="1:12" x14ac:dyDescent="0.3">
      <c r="A1082" s="38">
        <v>44453</v>
      </c>
      <c r="B1082" s="39">
        <v>-0.9125126531101273</v>
      </c>
      <c r="C1082" s="39">
        <v>1.6237181210355658</v>
      </c>
      <c r="D1082" s="39">
        <v>-2.5951400102668174</v>
      </c>
      <c r="E1082" s="39">
        <v>-0.83536297106753921</v>
      </c>
      <c r="G1082">
        <f t="shared" si="90"/>
        <v>14</v>
      </c>
      <c r="H1082">
        <v>1</v>
      </c>
      <c r="I1082">
        <f t="shared" si="91"/>
        <v>9</v>
      </c>
      <c r="J1082">
        <f t="shared" si="92"/>
        <v>2021</v>
      </c>
      <c r="K1082" s="17">
        <f t="shared" si="93"/>
        <v>44440</v>
      </c>
      <c r="L1082">
        <f t="shared" si="94"/>
        <v>0</v>
      </c>
    </row>
    <row r="1083" spans="1:12" x14ac:dyDescent="0.3">
      <c r="A1083" s="38">
        <v>44452</v>
      </c>
      <c r="B1083" s="39">
        <v>-0.90397634029206131</v>
      </c>
      <c r="C1083" s="39">
        <v>1.5912249177373781</v>
      </c>
      <c r="D1083" s="39">
        <v>-2.5787550851606369</v>
      </c>
      <c r="E1083" s="39">
        <v>-0.8257264325322069</v>
      </c>
      <c r="G1083">
        <f t="shared" si="90"/>
        <v>13</v>
      </c>
      <c r="H1083">
        <v>1</v>
      </c>
      <c r="I1083">
        <f t="shared" si="91"/>
        <v>9</v>
      </c>
      <c r="J1083">
        <f t="shared" si="92"/>
        <v>2021</v>
      </c>
      <c r="K1083" s="17">
        <f t="shared" si="93"/>
        <v>44440</v>
      </c>
      <c r="L1083">
        <f t="shared" si="94"/>
        <v>0</v>
      </c>
    </row>
    <row r="1084" spans="1:12" x14ac:dyDescent="0.3">
      <c r="A1084" s="38">
        <v>44449</v>
      </c>
      <c r="B1084" s="39">
        <v>-0.77758302135487156</v>
      </c>
      <c r="C1084" s="39">
        <v>1.729123639211096</v>
      </c>
      <c r="D1084" s="39">
        <v>-2.1950454055870807</v>
      </c>
      <c r="E1084" s="39">
        <v>-0.78033278525035144</v>
      </c>
      <c r="G1084">
        <f t="shared" si="90"/>
        <v>10</v>
      </c>
      <c r="H1084">
        <v>1</v>
      </c>
      <c r="I1084">
        <f t="shared" si="91"/>
        <v>9</v>
      </c>
      <c r="J1084">
        <f t="shared" si="92"/>
        <v>2021</v>
      </c>
      <c r="K1084" s="17">
        <f t="shared" si="93"/>
        <v>44440</v>
      </c>
      <c r="L1084">
        <f t="shared" si="94"/>
        <v>0</v>
      </c>
    </row>
    <row r="1085" spans="1:12" x14ac:dyDescent="0.3">
      <c r="A1085" s="38">
        <v>44448</v>
      </c>
      <c r="B1085" s="39">
        <v>-0.86832051773789942</v>
      </c>
      <c r="C1085" s="39">
        <v>1.6734836453913431</v>
      </c>
      <c r="D1085" s="39">
        <v>-2.0709305319423379</v>
      </c>
      <c r="E1085" s="39">
        <v>-0.85036515622219611</v>
      </c>
      <c r="G1085">
        <f t="shared" si="90"/>
        <v>9</v>
      </c>
      <c r="H1085">
        <v>1</v>
      </c>
      <c r="I1085">
        <f t="shared" si="91"/>
        <v>9</v>
      </c>
      <c r="J1085">
        <f t="shared" si="92"/>
        <v>2021</v>
      </c>
      <c r="K1085" s="17">
        <f t="shared" si="93"/>
        <v>44440</v>
      </c>
      <c r="L1085">
        <f t="shared" si="94"/>
        <v>0</v>
      </c>
    </row>
    <row r="1086" spans="1:12" x14ac:dyDescent="0.3">
      <c r="A1086" s="38">
        <v>44447</v>
      </c>
      <c r="B1086" s="39">
        <v>-0.44756537377506334</v>
      </c>
      <c r="C1086" s="39">
        <v>2.1336941466438901</v>
      </c>
      <c r="D1086" s="39">
        <v>-1.4343420158247966</v>
      </c>
      <c r="E1086" s="39">
        <v>-0.53733457122929451</v>
      </c>
      <c r="G1086">
        <f t="shared" si="90"/>
        <v>8</v>
      </c>
      <c r="H1086">
        <v>1</v>
      </c>
      <c r="I1086">
        <f t="shared" si="91"/>
        <v>9</v>
      </c>
      <c r="J1086">
        <f t="shared" si="92"/>
        <v>2021</v>
      </c>
      <c r="K1086" s="17">
        <f t="shared" si="93"/>
        <v>44440</v>
      </c>
      <c r="L1086">
        <f t="shared" si="94"/>
        <v>0</v>
      </c>
    </row>
    <row r="1087" spans="1:12" x14ac:dyDescent="0.3">
      <c r="A1087" s="38">
        <v>44446</v>
      </c>
      <c r="B1087" s="39">
        <v>-0.42942298523929878</v>
      </c>
      <c r="C1087" s="39">
        <v>2.0032013655447116</v>
      </c>
      <c r="D1087" s="39">
        <v>-1.8379781404086941</v>
      </c>
      <c r="E1087" s="39">
        <v>-0.26057331940592121</v>
      </c>
      <c r="G1087">
        <f t="shared" si="90"/>
        <v>7</v>
      </c>
      <c r="H1087">
        <v>1</v>
      </c>
      <c r="I1087">
        <f t="shared" si="91"/>
        <v>9</v>
      </c>
      <c r="J1087">
        <f t="shared" si="92"/>
        <v>2021</v>
      </c>
      <c r="K1087" s="17">
        <f t="shared" si="93"/>
        <v>44440</v>
      </c>
      <c r="L1087">
        <f t="shared" si="94"/>
        <v>0</v>
      </c>
    </row>
    <row r="1088" spans="1:12" x14ac:dyDescent="0.3">
      <c r="A1088" s="38">
        <v>44445</v>
      </c>
      <c r="B1088" s="39">
        <v>-0.61790404090127993</v>
      </c>
      <c r="C1088" s="39">
        <v>1.8224780459841128</v>
      </c>
      <c r="D1088" s="39">
        <v>-2.5677728409733618</v>
      </c>
      <c r="E1088" s="39">
        <v>-0.38285300774215614</v>
      </c>
      <c r="G1088">
        <f t="shared" si="90"/>
        <v>6</v>
      </c>
      <c r="H1088">
        <v>1</v>
      </c>
      <c r="I1088">
        <f t="shared" si="91"/>
        <v>9</v>
      </c>
      <c r="J1088">
        <f t="shared" si="92"/>
        <v>2021</v>
      </c>
      <c r="K1088" s="17">
        <f t="shared" si="93"/>
        <v>44440</v>
      </c>
      <c r="L1088">
        <f t="shared" si="94"/>
        <v>0</v>
      </c>
    </row>
    <row r="1089" spans="1:12" x14ac:dyDescent="0.3">
      <c r="A1089" s="38">
        <v>44442</v>
      </c>
      <c r="B1089" s="39">
        <v>-0.96141056061777874</v>
      </c>
      <c r="C1089" s="39">
        <v>1.4970236507220704</v>
      </c>
      <c r="D1089" s="39">
        <v>-3.1795488627212762</v>
      </c>
      <c r="E1089" s="39">
        <v>-0.73066482300477276</v>
      </c>
      <c r="G1089">
        <f t="shared" si="90"/>
        <v>3</v>
      </c>
      <c r="H1089">
        <v>1</v>
      </c>
      <c r="I1089">
        <f t="shared" si="91"/>
        <v>9</v>
      </c>
      <c r="J1089">
        <f t="shared" si="92"/>
        <v>2021</v>
      </c>
      <c r="K1089" s="17">
        <f t="shared" si="93"/>
        <v>44440</v>
      </c>
      <c r="L1089">
        <f t="shared" si="94"/>
        <v>1</v>
      </c>
    </row>
    <row r="1090" spans="1:12" x14ac:dyDescent="0.3">
      <c r="A1090" s="38">
        <v>44441</v>
      </c>
      <c r="B1090" s="39">
        <v>-1.4357202598980479</v>
      </c>
      <c r="C1090" s="39">
        <v>1.0506905306622656</v>
      </c>
      <c r="D1090" s="39">
        <v>-3.5650234435571519</v>
      </c>
      <c r="E1090" s="39">
        <v>-1.0913168286339925</v>
      </c>
      <c r="G1090">
        <f t="shared" si="90"/>
        <v>2</v>
      </c>
      <c r="H1090">
        <v>1</v>
      </c>
      <c r="I1090">
        <f t="shared" si="91"/>
        <v>9</v>
      </c>
      <c r="J1090">
        <f t="shared" si="92"/>
        <v>2021</v>
      </c>
      <c r="K1090" s="17">
        <f t="shared" si="93"/>
        <v>44440</v>
      </c>
      <c r="L1090">
        <f t="shared" si="94"/>
        <v>1</v>
      </c>
    </row>
    <row r="1091" spans="1:12" x14ac:dyDescent="0.3">
      <c r="A1091" s="38">
        <v>44440</v>
      </c>
      <c r="B1091" s="39">
        <v>-1.5496416244959335</v>
      </c>
      <c r="C1091" s="39">
        <v>0.94427511086423976</v>
      </c>
      <c r="D1091" s="39">
        <v>-3.6004962623598686</v>
      </c>
      <c r="E1091" s="39">
        <v>-1.3592456745607961</v>
      </c>
      <c r="G1091">
        <f t="shared" si="90"/>
        <v>1</v>
      </c>
      <c r="H1091">
        <v>1</v>
      </c>
      <c r="I1091">
        <f t="shared" si="91"/>
        <v>9</v>
      </c>
      <c r="J1091">
        <f t="shared" si="92"/>
        <v>2021</v>
      </c>
      <c r="K1091" s="17">
        <f t="shared" si="93"/>
        <v>44440</v>
      </c>
      <c r="L1091">
        <f t="shared" si="94"/>
        <v>1</v>
      </c>
    </row>
    <row r="1092" spans="1:12" x14ac:dyDescent="0.3">
      <c r="A1092" s="38">
        <v>44439</v>
      </c>
      <c r="B1092" s="39">
        <v>-2.3511633779919379</v>
      </c>
      <c r="C1092" s="39">
        <v>-0.13445461558933403</v>
      </c>
      <c r="D1092" s="39">
        <v>-4.1325250743589663</v>
      </c>
      <c r="E1092" s="39">
        <v>-2.3680459181625224</v>
      </c>
      <c r="G1092">
        <f t="shared" si="90"/>
        <v>31</v>
      </c>
      <c r="H1092">
        <v>1</v>
      </c>
      <c r="I1092">
        <f t="shared" si="91"/>
        <v>8</v>
      </c>
      <c r="J1092">
        <f t="shared" si="92"/>
        <v>2021</v>
      </c>
      <c r="K1092" s="17">
        <f t="shared" si="93"/>
        <v>44409</v>
      </c>
      <c r="L1092">
        <f t="shared" si="94"/>
        <v>0</v>
      </c>
    </row>
    <row r="1093" spans="1:12" x14ac:dyDescent="0.3">
      <c r="A1093" s="38">
        <v>44435</v>
      </c>
      <c r="B1093" s="39">
        <v>-1.9690736619051705</v>
      </c>
      <c r="C1093" s="39">
        <v>0.27211640854858388</v>
      </c>
      <c r="D1093" s="39">
        <v>-3.2933163819962488</v>
      </c>
      <c r="E1093" s="39">
        <v>-1.9807649397182985</v>
      </c>
      <c r="G1093">
        <f t="shared" ref="G1093:G1156" si="95">+DAY(A1093)</f>
        <v>27</v>
      </c>
      <c r="H1093">
        <v>1</v>
      </c>
      <c r="I1093">
        <f t="shared" ref="I1093:I1156" si="96">+MONTH(A1093)</f>
        <v>8</v>
      </c>
      <c r="J1093">
        <f t="shared" ref="J1093:J1156" si="97">+YEAR(A1093)</f>
        <v>2021</v>
      </c>
      <c r="K1093" s="17">
        <f t="shared" ref="K1093:K1156" si="98">+DATE(J1093,I1093,H1093)</f>
        <v>44409</v>
      </c>
      <c r="L1093">
        <f t="shared" ref="L1093:L1156" si="99">IF(AND(G1093&gt;=1, G1093&lt;=4), 1, 0)</f>
        <v>0</v>
      </c>
    </row>
    <row r="1094" spans="1:12" x14ac:dyDescent="0.3">
      <c r="A1094" s="38">
        <v>44434</v>
      </c>
      <c r="B1094" s="39">
        <v>-2.2149719055788069</v>
      </c>
      <c r="C1094" s="39">
        <v>4.2050794860415408E-4</v>
      </c>
      <c r="D1094" s="39">
        <v>-4.5109511085675109</v>
      </c>
      <c r="E1094" s="39">
        <v>-2.0519953994615321</v>
      </c>
      <c r="G1094">
        <f t="shared" si="95"/>
        <v>26</v>
      </c>
      <c r="H1094">
        <v>1</v>
      </c>
      <c r="I1094">
        <f t="shared" si="96"/>
        <v>8</v>
      </c>
      <c r="J1094">
        <f t="shared" si="97"/>
        <v>2021</v>
      </c>
      <c r="K1094" s="17">
        <f t="shared" si="98"/>
        <v>44409</v>
      </c>
      <c r="L1094">
        <f t="shared" si="99"/>
        <v>0</v>
      </c>
    </row>
    <row r="1095" spans="1:12" x14ac:dyDescent="0.3">
      <c r="A1095" s="38">
        <v>44433</v>
      </c>
      <c r="B1095" s="39">
        <v>-2.3721339641174666</v>
      </c>
      <c r="C1095" s="39">
        <v>-0.1353385127442408</v>
      </c>
      <c r="D1095" s="39">
        <v>-4.920035445090349</v>
      </c>
      <c r="E1095" s="39">
        <v>-2.1203320758410484</v>
      </c>
      <c r="G1095">
        <f t="shared" si="95"/>
        <v>25</v>
      </c>
      <c r="H1095">
        <v>1</v>
      </c>
      <c r="I1095">
        <f t="shared" si="96"/>
        <v>8</v>
      </c>
      <c r="J1095">
        <f t="shared" si="97"/>
        <v>2021</v>
      </c>
      <c r="K1095" s="17">
        <f t="shared" si="98"/>
        <v>44409</v>
      </c>
      <c r="L1095">
        <f t="shared" si="99"/>
        <v>0</v>
      </c>
    </row>
    <row r="1096" spans="1:12" x14ac:dyDescent="0.3">
      <c r="A1096" s="38">
        <v>44432</v>
      </c>
      <c r="B1096" s="39">
        <v>-2.3951278245129259</v>
      </c>
      <c r="C1096" s="39">
        <v>-0.1175558838640427</v>
      </c>
      <c r="D1096" s="39">
        <v>-4.7533604097720286</v>
      </c>
      <c r="E1096" s="39">
        <v>-2.2079939697906639</v>
      </c>
      <c r="G1096">
        <f t="shared" si="95"/>
        <v>24</v>
      </c>
      <c r="H1096">
        <v>1</v>
      </c>
      <c r="I1096">
        <f t="shared" si="96"/>
        <v>8</v>
      </c>
      <c r="J1096">
        <f t="shared" si="97"/>
        <v>2021</v>
      </c>
      <c r="K1096" s="17">
        <f t="shared" si="98"/>
        <v>44409</v>
      </c>
      <c r="L1096">
        <f t="shared" si="99"/>
        <v>0</v>
      </c>
    </row>
    <row r="1097" spans="1:12" x14ac:dyDescent="0.3">
      <c r="A1097" s="38">
        <v>44431</v>
      </c>
      <c r="B1097" s="39">
        <v>-2.4673103524556126</v>
      </c>
      <c r="C1097" s="39">
        <v>-0.15828829498043717</v>
      </c>
      <c r="D1097" s="39">
        <v>-4.9754961319413908</v>
      </c>
      <c r="E1097" s="39">
        <v>-2.0167116288635185</v>
      </c>
      <c r="G1097">
        <f t="shared" si="95"/>
        <v>23</v>
      </c>
      <c r="H1097">
        <v>1</v>
      </c>
      <c r="I1097">
        <f t="shared" si="96"/>
        <v>8</v>
      </c>
      <c r="J1097">
        <f t="shared" si="97"/>
        <v>2021</v>
      </c>
      <c r="K1097" s="17">
        <f t="shared" si="98"/>
        <v>44409</v>
      </c>
      <c r="L1097">
        <f t="shared" si="99"/>
        <v>0</v>
      </c>
    </row>
    <row r="1098" spans="1:12" x14ac:dyDescent="0.3">
      <c r="A1098" s="38">
        <v>44428</v>
      </c>
      <c r="B1098" s="39">
        <v>-2.5229903510563503</v>
      </c>
      <c r="C1098" s="39">
        <v>-0.14615674880084839</v>
      </c>
      <c r="D1098" s="39">
        <v>-5.2335100024254189</v>
      </c>
      <c r="E1098" s="39">
        <v>-1.9376858120507165</v>
      </c>
      <c r="G1098">
        <f t="shared" si="95"/>
        <v>20</v>
      </c>
      <c r="H1098">
        <v>1</v>
      </c>
      <c r="I1098">
        <f t="shared" si="96"/>
        <v>8</v>
      </c>
      <c r="J1098">
        <f t="shared" si="97"/>
        <v>2021</v>
      </c>
      <c r="K1098" s="17">
        <f t="shared" si="98"/>
        <v>44409</v>
      </c>
      <c r="L1098">
        <f t="shared" si="99"/>
        <v>0</v>
      </c>
    </row>
    <row r="1099" spans="1:12" x14ac:dyDescent="0.3">
      <c r="A1099" s="38">
        <v>44427</v>
      </c>
      <c r="B1099" s="39">
        <v>-2.1926633605310712</v>
      </c>
      <c r="C1099" s="39">
        <v>0.10511472104953157</v>
      </c>
      <c r="D1099" s="39">
        <v>-5.0455385029792552</v>
      </c>
      <c r="E1099" s="39">
        <v>-1.5317012953539262</v>
      </c>
      <c r="G1099">
        <f t="shared" si="95"/>
        <v>19</v>
      </c>
      <c r="H1099">
        <v>1</v>
      </c>
      <c r="I1099">
        <f t="shared" si="96"/>
        <v>8</v>
      </c>
      <c r="J1099">
        <f t="shared" si="97"/>
        <v>2021</v>
      </c>
      <c r="K1099" s="17">
        <f t="shared" si="98"/>
        <v>44409</v>
      </c>
      <c r="L1099">
        <f t="shared" si="99"/>
        <v>0</v>
      </c>
    </row>
    <row r="1100" spans="1:12" x14ac:dyDescent="0.3">
      <c r="A1100" s="38">
        <v>44426</v>
      </c>
      <c r="B1100" s="39">
        <v>-2.5712853582998605</v>
      </c>
      <c r="C1100" s="39">
        <v>-0.34606406515597143</v>
      </c>
      <c r="D1100" s="39">
        <v>-5.6893195804603778</v>
      </c>
      <c r="E1100" s="39">
        <v>-2.0010777771974801</v>
      </c>
      <c r="G1100">
        <f t="shared" si="95"/>
        <v>18</v>
      </c>
      <c r="H1100">
        <v>1</v>
      </c>
      <c r="I1100">
        <f t="shared" si="96"/>
        <v>8</v>
      </c>
      <c r="J1100">
        <f t="shared" si="97"/>
        <v>2021</v>
      </c>
      <c r="K1100" s="17">
        <f t="shared" si="98"/>
        <v>44409</v>
      </c>
      <c r="L1100">
        <f t="shared" si="99"/>
        <v>0</v>
      </c>
    </row>
    <row r="1101" spans="1:12" x14ac:dyDescent="0.3">
      <c r="A1101" s="38">
        <v>44425</v>
      </c>
      <c r="B1101" s="39">
        <v>-2.7445020560586784</v>
      </c>
      <c r="C1101" s="39">
        <v>-0.63337256278906295</v>
      </c>
      <c r="D1101" s="39">
        <v>-5.762893517105951</v>
      </c>
      <c r="E1101" s="39">
        <v>-2.1215097276175925</v>
      </c>
      <c r="G1101">
        <f t="shared" si="95"/>
        <v>17</v>
      </c>
      <c r="H1101">
        <v>1</v>
      </c>
      <c r="I1101">
        <f t="shared" si="96"/>
        <v>8</v>
      </c>
      <c r="J1101">
        <f t="shared" si="97"/>
        <v>2021</v>
      </c>
      <c r="K1101" s="17">
        <f t="shared" si="98"/>
        <v>44409</v>
      </c>
      <c r="L1101">
        <f t="shared" si="99"/>
        <v>0</v>
      </c>
    </row>
    <row r="1102" spans="1:12" x14ac:dyDescent="0.3">
      <c r="A1102" s="38">
        <v>44424</v>
      </c>
      <c r="B1102" s="39">
        <v>-2.5684971470233933</v>
      </c>
      <c r="C1102" s="39">
        <v>-0.49254387341743211</v>
      </c>
      <c r="D1102" s="39">
        <v>-5.6515113318211547</v>
      </c>
      <c r="E1102" s="39">
        <v>-1.9344620763603189</v>
      </c>
      <c r="G1102">
        <f t="shared" si="95"/>
        <v>16</v>
      </c>
      <c r="H1102">
        <v>1</v>
      </c>
      <c r="I1102">
        <f t="shared" si="96"/>
        <v>8</v>
      </c>
      <c r="J1102">
        <f t="shared" si="97"/>
        <v>2021</v>
      </c>
      <c r="K1102" s="17">
        <f t="shared" si="98"/>
        <v>44409</v>
      </c>
      <c r="L1102">
        <f t="shared" si="99"/>
        <v>0</v>
      </c>
    </row>
    <row r="1103" spans="1:12" x14ac:dyDescent="0.3">
      <c r="A1103" s="38">
        <v>44421</v>
      </c>
      <c r="B1103" s="39">
        <v>-2.3096246496914432</v>
      </c>
      <c r="C1103" s="39">
        <v>-0.25084493071679503</v>
      </c>
      <c r="D1103" s="39">
        <v>-5.3123568628741822</v>
      </c>
      <c r="E1103" s="39">
        <v>-1.7692550692673592</v>
      </c>
      <c r="G1103">
        <f t="shared" si="95"/>
        <v>13</v>
      </c>
      <c r="H1103">
        <v>1</v>
      </c>
      <c r="I1103">
        <f t="shared" si="96"/>
        <v>8</v>
      </c>
      <c r="J1103">
        <f t="shared" si="97"/>
        <v>2021</v>
      </c>
      <c r="K1103" s="17">
        <f t="shared" si="98"/>
        <v>44409</v>
      </c>
      <c r="L1103">
        <f t="shared" si="99"/>
        <v>0</v>
      </c>
    </row>
    <row r="1104" spans="1:12" x14ac:dyDescent="0.3">
      <c r="A1104" s="38">
        <v>44420</v>
      </c>
      <c r="B1104" s="39">
        <v>-2.0320944628668371</v>
      </c>
      <c r="C1104" s="39">
        <v>-2.1384527727775549E-2</v>
      </c>
      <c r="D1104" s="39">
        <v>-4.9726432700303178</v>
      </c>
      <c r="E1104" s="39">
        <v>-1.5185819786623398</v>
      </c>
      <c r="G1104">
        <f t="shared" si="95"/>
        <v>12</v>
      </c>
      <c r="H1104">
        <v>1</v>
      </c>
      <c r="I1104">
        <f t="shared" si="96"/>
        <v>8</v>
      </c>
      <c r="J1104">
        <f t="shared" si="97"/>
        <v>2021</v>
      </c>
      <c r="K1104" s="17">
        <f t="shared" si="98"/>
        <v>44409</v>
      </c>
      <c r="L1104">
        <f t="shared" si="99"/>
        <v>0</v>
      </c>
    </row>
    <row r="1105" spans="1:12" x14ac:dyDescent="0.3">
      <c r="A1105" s="38">
        <v>44419</v>
      </c>
      <c r="B1105" s="39">
        <v>-1.5532738741337937</v>
      </c>
      <c r="C1105" s="39">
        <v>0.44491044446392891</v>
      </c>
      <c r="D1105" s="39">
        <v>-4.4524799220296956</v>
      </c>
      <c r="E1105" s="39">
        <v>-1.0454803682608542</v>
      </c>
      <c r="G1105">
        <f t="shared" si="95"/>
        <v>11</v>
      </c>
      <c r="H1105">
        <v>1</v>
      </c>
      <c r="I1105">
        <f t="shared" si="96"/>
        <v>8</v>
      </c>
      <c r="J1105">
        <f t="shared" si="97"/>
        <v>2021</v>
      </c>
      <c r="K1105" s="17">
        <f t="shared" si="98"/>
        <v>44409</v>
      </c>
      <c r="L1105">
        <f t="shared" si="99"/>
        <v>0</v>
      </c>
    </row>
    <row r="1106" spans="1:12" x14ac:dyDescent="0.3">
      <c r="A1106" s="38">
        <v>44418</v>
      </c>
      <c r="B1106" s="39">
        <v>-1.3368365812050484</v>
      </c>
      <c r="C1106" s="39">
        <v>0.57820771266869997</v>
      </c>
      <c r="D1106" s="39">
        <v>-4.1682920546119675</v>
      </c>
      <c r="E1106" s="39">
        <v>-0.82986532997101392</v>
      </c>
      <c r="G1106">
        <f t="shared" si="95"/>
        <v>10</v>
      </c>
      <c r="H1106">
        <v>1</v>
      </c>
      <c r="I1106">
        <f t="shared" si="96"/>
        <v>8</v>
      </c>
      <c r="J1106">
        <f t="shared" si="97"/>
        <v>2021</v>
      </c>
      <c r="K1106" s="17">
        <f t="shared" si="98"/>
        <v>44409</v>
      </c>
      <c r="L1106">
        <f t="shared" si="99"/>
        <v>0</v>
      </c>
    </row>
    <row r="1107" spans="1:12" x14ac:dyDescent="0.3">
      <c r="A1107" s="38">
        <v>44414</v>
      </c>
      <c r="B1107" s="39">
        <v>-1.5562284973237155</v>
      </c>
      <c r="C1107" s="39">
        <v>0.40241094254147924</v>
      </c>
      <c r="D1107" s="39">
        <v>-4.2312068166700243</v>
      </c>
      <c r="E1107" s="39">
        <v>-1.1434740042722211</v>
      </c>
      <c r="G1107">
        <f t="shared" si="95"/>
        <v>6</v>
      </c>
      <c r="H1107">
        <v>1</v>
      </c>
      <c r="I1107">
        <f t="shared" si="96"/>
        <v>8</v>
      </c>
      <c r="J1107">
        <f t="shared" si="97"/>
        <v>2021</v>
      </c>
      <c r="K1107" s="17">
        <f t="shared" si="98"/>
        <v>44409</v>
      </c>
      <c r="L1107">
        <f t="shared" si="99"/>
        <v>0</v>
      </c>
    </row>
    <row r="1108" spans="1:12" x14ac:dyDescent="0.3">
      <c r="A1108" s="38">
        <v>44413</v>
      </c>
      <c r="B1108" s="39">
        <v>-1.3581492664729211</v>
      </c>
      <c r="C1108" s="39">
        <v>0.65677134640213808</v>
      </c>
      <c r="D1108" s="39">
        <v>-4.1153045873963663</v>
      </c>
      <c r="E1108" s="39">
        <v>-0.85387957660962854</v>
      </c>
      <c r="G1108">
        <f t="shared" si="95"/>
        <v>5</v>
      </c>
      <c r="H1108">
        <v>1</v>
      </c>
      <c r="I1108">
        <f t="shared" si="96"/>
        <v>8</v>
      </c>
      <c r="J1108">
        <f t="shared" si="97"/>
        <v>2021</v>
      </c>
      <c r="K1108" s="17">
        <f t="shared" si="98"/>
        <v>44409</v>
      </c>
      <c r="L1108">
        <f t="shared" si="99"/>
        <v>0</v>
      </c>
    </row>
    <row r="1109" spans="1:12" x14ac:dyDescent="0.3">
      <c r="A1109" s="38">
        <v>44412</v>
      </c>
      <c r="B1109" s="39">
        <v>-1.4025692512068559</v>
      </c>
      <c r="C1109" s="39">
        <v>0.51411918608491192</v>
      </c>
      <c r="D1109" s="39">
        <v>-4.076675365133525</v>
      </c>
      <c r="E1109" s="39">
        <v>-1.1032251564584499</v>
      </c>
      <c r="G1109">
        <f t="shared" si="95"/>
        <v>4</v>
      </c>
      <c r="H1109">
        <v>1</v>
      </c>
      <c r="I1109">
        <f t="shared" si="96"/>
        <v>8</v>
      </c>
      <c r="J1109">
        <f t="shared" si="97"/>
        <v>2021</v>
      </c>
      <c r="K1109" s="17">
        <f t="shared" si="98"/>
        <v>44409</v>
      </c>
      <c r="L1109">
        <f t="shared" si="99"/>
        <v>1</v>
      </c>
    </row>
    <row r="1110" spans="1:12" x14ac:dyDescent="0.3">
      <c r="A1110" s="38">
        <v>44411</v>
      </c>
      <c r="B1110" s="39">
        <v>-1.5076354699446171</v>
      </c>
      <c r="C1110" s="39">
        <v>0.38115394335663666</v>
      </c>
      <c r="D1110" s="39">
        <v>-4.3573964917711265</v>
      </c>
      <c r="E1110" s="39">
        <v>-1.1568961825229565</v>
      </c>
      <c r="G1110">
        <f t="shared" si="95"/>
        <v>3</v>
      </c>
      <c r="H1110">
        <v>1</v>
      </c>
      <c r="I1110">
        <f t="shared" si="96"/>
        <v>8</v>
      </c>
      <c r="J1110">
        <f t="shared" si="97"/>
        <v>2021</v>
      </c>
      <c r="K1110" s="17">
        <f t="shared" si="98"/>
        <v>44409</v>
      </c>
      <c r="L1110">
        <f t="shared" si="99"/>
        <v>1</v>
      </c>
    </row>
    <row r="1111" spans="1:12" x14ac:dyDescent="0.3">
      <c r="A1111" s="38">
        <v>44410</v>
      </c>
      <c r="B1111" s="39">
        <v>-1.7596479557489602</v>
      </c>
      <c r="C1111" s="39">
        <v>0.13483694636767041</v>
      </c>
      <c r="D1111" s="39">
        <v>-4.5736398879994482</v>
      </c>
      <c r="E1111" s="39">
        <v>-1.4963605525194907</v>
      </c>
      <c r="G1111">
        <f t="shared" si="95"/>
        <v>2</v>
      </c>
      <c r="H1111">
        <v>1</v>
      </c>
      <c r="I1111">
        <f t="shared" si="96"/>
        <v>8</v>
      </c>
      <c r="J1111">
        <f t="shared" si="97"/>
        <v>2021</v>
      </c>
      <c r="K1111" s="17">
        <f t="shared" si="98"/>
        <v>44409</v>
      </c>
      <c r="L1111">
        <f t="shared" si="99"/>
        <v>1</v>
      </c>
    </row>
    <row r="1112" spans="1:12" x14ac:dyDescent="0.3">
      <c r="A1112" s="38">
        <v>44407</v>
      </c>
      <c r="B1112" s="39">
        <v>-1.0095836280337664</v>
      </c>
      <c r="C1112" s="39">
        <v>0.22054598848488638</v>
      </c>
      <c r="D1112" s="39">
        <v>-4.0466771953621077</v>
      </c>
      <c r="E1112" s="39">
        <v>-0.76456583047200866</v>
      </c>
      <c r="G1112">
        <f t="shared" si="95"/>
        <v>30</v>
      </c>
      <c r="H1112">
        <v>1</v>
      </c>
      <c r="I1112">
        <f t="shared" si="96"/>
        <v>7</v>
      </c>
      <c r="J1112">
        <f t="shared" si="97"/>
        <v>2021</v>
      </c>
      <c r="K1112" s="17">
        <f t="shared" si="98"/>
        <v>44378</v>
      </c>
      <c r="L1112">
        <f t="shared" si="99"/>
        <v>0</v>
      </c>
    </row>
    <row r="1113" spans="1:12" x14ac:dyDescent="0.3">
      <c r="A1113" s="38">
        <v>44406</v>
      </c>
      <c r="B1113" s="39">
        <v>-1.134420681425425</v>
      </c>
      <c r="C1113" s="39">
        <v>-0.11264340158996333</v>
      </c>
      <c r="D1113" s="39">
        <v>-4.0574503891483857</v>
      </c>
      <c r="E1113" s="39">
        <v>-0.82928533189355846</v>
      </c>
      <c r="G1113">
        <f t="shared" si="95"/>
        <v>29</v>
      </c>
      <c r="H1113">
        <v>1</v>
      </c>
      <c r="I1113">
        <f t="shared" si="96"/>
        <v>7</v>
      </c>
      <c r="J1113">
        <f t="shared" si="97"/>
        <v>2021</v>
      </c>
      <c r="K1113" s="17">
        <f t="shared" si="98"/>
        <v>44378</v>
      </c>
      <c r="L1113">
        <f t="shared" si="99"/>
        <v>0</v>
      </c>
    </row>
    <row r="1114" spans="1:12" x14ac:dyDescent="0.3">
      <c r="A1114" s="38">
        <v>44405</v>
      </c>
      <c r="B1114" s="39">
        <v>-0.8378159318595948</v>
      </c>
      <c r="C1114" s="39">
        <v>0.21224297661154878</v>
      </c>
      <c r="D1114" s="39">
        <v>-3.8638083562850056</v>
      </c>
      <c r="E1114" s="39">
        <v>-0.49526184842295606</v>
      </c>
      <c r="G1114">
        <f t="shared" si="95"/>
        <v>28</v>
      </c>
      <c r="H1114">
        <v>1</v>
      </c>
      <c r="I1114">
        <f t="shared" si="96"/>
        <v>7</v>
      </c>
      <c r="J1114">
        <f t="shared" si="97"/>
        <v>2021</v>
      </c>
      <c r="K1114" s="17">
        <f t="shared" si="98"/>
        <v>44378</v>
      </c>
      <c r="L1114">
        <f t="shared" si="99"/>
        <v>0</v>
      </c>
    </row>
    <row r="1115" spans="1:12" x14ac:dyDescent="0.3">
      <c r="A1115" s="38">
        <v>44404</v>
      </c>
      <c r="B1115" s="39">
        <v>-1.1481197434892181</v>
      </c>
      <c r="C1115" s="39">
        <v>-0.1731699134867597</v>
      </c>
      <c r="D1115" s="39">
        <v>-4.2466197230857574</v>
      </c>
      <c r="E1115" s="39">
        <v>-0.74303608257081066</v>
      </c>
      <c r="G1115">
        <f t="shared" si="95"/>
        <v>27</v>
      </c>
      <c r="H1115">
        <v>1</v>
      </c>
      <c r="I1115">
        <f t="shared" si="96"/>
        <v>7</v>
      </c>
      <c r="J1115">
        <f t="shared" si="97"/>
        <v>2021</v>
      </c>
      <c r="K1115" s="17">
        <f t="shared" si="98"/>
        <v>44378</v>
      </c>
      <c r="L1115">
        <f t="shared" si="99"/>
        <v>0</v>
      </c>
    </row>
    <row r="1116" spans="1:12" x14ac:dyDescent="0.3">
      <c r="A1116" s="38">
        <v>44403</v>
      </c>
      <c r="B1116" s="39">
        <v>-1.1757415784944953</v>
      </c>
      <c r="C1116" s="39">
        <v>-5.3952807105162037E-3</v>
      </c>
      <c r="D1116" s="39">
        <v>-4.1869688063558357</v>
      </c>
      <c r="E1116" s="39">
        <v>-0.71141162662677004</v>
      </c>
      <c r="G1116">
        <f t="shared" si="95"/>
        <v>26</v>
      </c>
      <c r="H1116">
        <v>1</v>
      </c>
      <c r="I1116">
        <f t="shared" si="96"/>
        <v>7</v>
      </c>
      <c r="J1116">
        <f t="shared" si="97"/>
        <v>2021</v>
      </c>
      <c r="K1116" s="17">
        <f t="shared" si="98"/>
        <v>44378</v>
      </c>
      <c r="L1116">
        <f t="shared" si="99"/>
        <v>0</v>
      </c>
    </row>
    <row r="1117" spans="1:12" x14ac:dyDescent="0.3">
      <c r="A1117" s="38">
        <v>44400</v>
      </c>
      <c r="B1117" s="39">
        <v>-1.2730878269942139</v>
      </c>
      <c r="C1117" s="39">
        <v>-5.7403699417889698E-2</v>
      </c>
      <c r="D1117" s="39">
        <v>-4.1048063730436724</v>
      </c>
      <c r="E1117" s="39">
        <v>-0.93686468158699654</v>
      </c>
      <c r="G1117">
        <f t="shared" si="95"/>
        <v>23</v>
      </c>
      <c r="H1117">
        <v>1</v>
      </c>
      <c r="I1117">
        <f t="shared" si="96"/>
        <v>7</v>
      </c>
      <c r="J1117">
        <f t="shared" si="97"/>
        <v>2021</v>
      </c>
      <c r="K1117" s="17">
        <f t="shared" si="98"/>
        <v>44378</v>
      </c>
      <c r="L1117">
        <f t="shared" si="99"/>
        <v>0</v>
      </c>
    </row>
    <row r="1118" spans="1:12" x14ac:dyDescent="0.3">
      <c r="A1118" s="38">
        <v>44399</v>
      </c>
      <c r="B1118" s="39">
        <v>-1.2426186649038868</v>
      </c>
      <c r="C1118" s="39">
        <v>-0.15277406582099218</v>
      </c>
      <c r="D1118" s="39">
        <v>-3.9207180914508513</v>
      </c>
      <c r="E1118" s="39">
        <v>-0.87950469982114043</v>
      </c>
      <c r="G1118">
        <f t="shared" si="95"/>
        <v>22</v>
      </c>
      <c r="H1118">
        <v>1</v>
      </c>
      <c r="I1118">
        <f t="shared" si="96"/>
        <v>7</v>
      </c>
      <c r="J1118">
        <f t="shared" si="97"/>
        <v>2021</v>
      </c>
      <c r="K1118" s="17">
        <f t="shared" si="98"/>
        <v>44378</v>
      </c>
      <c r="L1118">
        <f t="shared" si="99"/>
        <v>0</v>
      </c>
    </row>
    <row r="1119" spans="1:12" x14ac:dyDescent="0.3">
      <c r="A1119" s="38">
        <v>44398</v>
      </c>
      <c r="B1119" s="39">
        <v>-1.0469318595955457</v>
      </c>
      <c r="C1119" s="39">
        <v>6.8904733082220559E-2</v>
      </c>
      <c r="D1119" s="39">
        <v>-3.5800990462467439</v>
      </c>
      <c r="E1119" s="39">
        <v>-0.62228757258660039</v>
      </c>
      <c r="G1119">
        <f t="shared" si="95"/>
        <v>21</v>
      </c>
      <c r="H1119">
        <v>1</v>
      </c>
      <c r="I1119">
        <f t="shared" si="96"/>
        <v>7</v>
      </c>
      <c r="J1119">
        <f t="shared" si="97"/>
        <v>2021</v>
      </c>
      <c r="K1119" s="17">
        <f t="shared" si="98"/>
        <v>44378</v>
      </c>
      <c r="L1119">
        <f t="shared" si="99"/>
        <v>0</v>
      </c>
    </row>
    <row r="1120" spans="1:12" x14ac:dyDescent="0.3">
      <c r="A1120" s="38">
        <v>44396</v>
      </c>
      <c r="B1120" s="39">
        <v>-1.1879954277523836</v>
      </c>
      <c r="C1120" s="39">
        <v>-0.2094449451320628</v>
      </c>
      <c r="D1120" s="39">
        <v>-3.9635301458147154</v>
      </c>
      <c r="E1120" s="39">
        <v>-0.74538691179402861</v>
      </c>
      <c r="G1120">
        <f t="shared" si="95"/>
        <v>19</v>
      </c>
      <c r="H1120">
        <v>1</v>
      </c>
      <c r="I1120">
        <f t="shared" si="96"/>
        <v>7</v>
      </c>
      <c r="J1120">
        <f t="shared" si="97"/>
        <v>2021</v>
      </c>
      <c r="K1120" s="17">
        <f t="shared" si="98"/>
        <v>44378</v>
      </c>
      <c r="L1120">
        <f t="shared" si="99"/>
        <v>0</v>
      </c>
    </row>
    <row r="1121" spans="1:12" x14ac:dyDescent="0.3">
      <c r="A1121" s="38">
        <v>44393</v>
      </c>
      <c r="B1121" s="39">
        <v>-1.1792929003412098</v>
      </c>
      <c r="C1121" s="39">
        <v>-0.17031818199903626</v>
      </c>
      <c r="D1121" s="39">
        <v>-3.9703583731223091</v>
      </c>
      <c r="E1121" s="39">
        <v>-0.84988329896927439</v>
      </c>
      <c r="G1121">
        <f t="shared" si="95"/>
        <v>16</v>
      </c>
      <c r="H1121">
        <v>1</v>
      </c>
      <c r="I1121">
        <f t="shared" si="96"/>
        <v>7</v>
      </c>
      <c r="J1121">
        <f t="shared" si="97"/>
        <v>2021</v>
      </c>
      <c r="K1121" s="17">
        <f t="shared" si="98"/>
        <v>44378</v>
      </c>
      <c r="L1121">
        <f t="shared" si="99"/>
        <v>0</v>
      </c>
    </row>
    <row r="1122" spans="1:12" x14ac:dyDescent="0.3">
      <c r="A1122" s="38">
        <v>44392</v>
      </c>
      <c r="B1122" s="39">
        <v>-1.4103032108518647</v>
      </c>
      <c r="C1122" s="39">
        <v>-0.3460641573484935</v>
      </c>
      <c r="D1122" s="39">
        <v>-4.2674324447370395</v>
      </c>
      <c r="E1122" s="39">
        <v>-1.0663636458928352</v>
      </c>
      <c r="G1122">
        <f t="shared" si="95"/>
        <v>15</v>
      </c>
      <c r="H1122">
        <v>1</v>
      </c>
      <c r="I1122">
        <f t="shared" si="96"/>
        <v>7</v>
      </c>
      <c r="J1122">
        <f t="shared" si="97"/>
        <v>2021</v>
      </c>
      <c r="K1122" s="17">
        <f t="shared" si="98"/>
        <v>44378</v>
      </c>
      <c r="L1122">
        <f t="shared" si="99"/>
        <v>0</v>
      </c>
    </row>
    <row r="1123" spans="1:12" x14ac:dyDescent="0.3">
      <c r="A1123" s="38">
        <v>44391</v>
      </c>
      <c r="B1123" s="39">
        <v>-1.6597874067978466</v>
      </c>
      <c r="C1123" s="39">
        <v>-0.63206206764849071</v>
      </c>
      <c r="D1123" s="39">
        <v>-4.5288709253394899</v>
      </c>
      <c r="E1123" s="39">
        <v>-1.5032120421941073</v>
      </c>
      <c r="G1123">
        <f t="shared" si="95"/>
        <v>14</v>
      </c>
      <c r="H1123">
        <v>1</v>
      </c>
      <c r="I1123">
        <f t="shared" si="96"/>
        <v>7</v>
      </c>
      <c r="J1123">
        <f t="shared" si="97"/>
        <v>2021</v>
      </c>
      <c r="K1123" s="17">
        <f t="shared" si="98"/>
        <v>44378</v>
      </c>
      <c r="L1123">
        <f t="shared" si="99"/>
        <v>0</v>
      </c>
    </row>
    <row r="1124" spans="1:12" x14ac:dyDescent="0.3">
      <c r="A1124" s="38">
        <v>44390</v>
      </c>
      <c r="B1124" s="39">
        <v>-1.6790162503893526</v>
      </c>
      <c r="C1124" s="39">
        <v>-0.65132813601462658</v>
      </c>
      <c r="D1124" s="39">
        <v>-4.7487113640975878</v>
      </c>
      <c r="E1124" s="39">
        <v>-1.4336523038959541</v>
      </c>
      <c r="G1124">
        <f t="shared" si="95"/>
        <v>13</v>
      </c>
      <c r="H1124">
        <v>1</v>
      </c>
      <c r="I1124">
        <f t="shared" si="96"/>
        <v>7</v>
      </c>
      <c r="J1124">
        <f t="shared" si="97"/>
        <v>2021</v>
      </c>
      <c r="K1124" s="17">
        <f t="shared" si="98"/>
        <v>44378</v>
      </c>
      <c r="L1124">
        <f t="shared" si="99"/>
        <v>0</v>
      </c>
    </row>
    <row r="1125" spans="1:12" x14ac:dyDescent="0.3">
      <c r="A1125" s="38">
        <v>44389</v>
      </c>
      <c r="B1125" s="39">
        <v>-1.5090544614327683</v>
      </c>
      <c r="C1125" s="39">
        <v>-0.48745121773194455</v>
      </c>
      <c r="D1125" s="39">
        <v>-4.639833360918729</v>
      </c>
      <c r="E1125" s="39">
        <v>-1.2162205629817322</v>
      </c>
      <c r="G1125">
        <f t="shared" si="95"/>
        <v>12</v>
      </c>
      <c r="H1125">
        <v>1</v>
      </c>
      <c r="I1125">
        <f t="shared" si="96"/>
        <v>7</v>
      </c>
      <c r="J1125">
        <f t="shared" si="97"/>
        <v>2021</v>
      </c>
      <c r="K1125" s="17">
        <f t="shared" si="98"/>
        <v>44378</v>
      </c>
      <c r="L1125">
        <f t="shared" si="99"/>
        <v>0</v>
      </c>
    </row>
    <row r="1126" spans="1:12" x14ac:dyDescent="0.3">
      <c r="A1126" s="38">
        <v>44386</v>
      </c>
      <c r="B1126" s="39">
        <v>-1.4795246682152765</v>
      </c>
      <c r="C1126" s="39">
        <v>-0.43337979327921516</v>
      </c>
      <c r="D1126" s="39">
        <v>-4.6153756702000095</v>
      </c>
      <c r="E1126" s="39">
        <v>-1.179582422516134</v>
      </c>
      <c r="G1126">
        <f t="shared" si="95"/>
        <v>9</v>
      </c>
      <c r="H1126">
        <v>1</v>
      </c>
      <c r="I1126">
        <f t="shared" si="96"/>
        <v>7</v>
      </c>
      <c r="J1126">
        <f t="shared" si="97"/>
        <v>2021</v>
      </c>
      <c r="K1126" s="17">
        <f t="shared" si="98"/>
        <v>44378</v>
      </c>
      <c r="L1126">
        <f t="shared" si="99"/>
        <v>0</v>
      </c>
    </row>
    <row r="1127" spans="1:12" x14ac:dyDescent="0.3">
      <c r="A1127" s="38">
        <v>44385</v>
      </c>
      <c r="B1127" s="39">
        <v>-1.4529399637943783</v>
      </c>
      <c r="C1127" s="39">
        <v>-0.3697871709887437</v>
      </c>
      <c r="D1127" s="39">
        <v>-4.4401069323737516</v>
      </c>
      <c r="E1127" s="39">
        <v>-1.11116013976293</v>
      </c>
      <c r="G1127">
        <f t="shared" si="95"/>
        <v>8</v>
      </c>
      <c r="H1127">
        <v>1</v>
      </c>
      <c r="I1127">
        <f t="shared" si="96"/>
        <v>7</v>
      </c>
      <c r="J1127">
        <f t="shared" si="97"/>
        <v>2021</v>
      </c>
      <c r="K1127" s="17">
        <f t="shared" si="98"/>
        <v>44378</v>
      </c>
      <c r="L1127">
        <f t="shared" si="99"/>
        <v>0</v>
      </c>
    </row>
    <row r="1128" spans="1:12" x14ac:dyDescent="0.3">
      <c r="A1128" s="38">
        <v>44384</v>
      </c>
      <c r="B1128" s="39">
        <v>-1.6414675893300625</v>
      </c>
      <c r="C1128" s="39">
        <v>-0.52426165850143036</v>
      </c>
      <c r="D1128" s="39">
        <v>-4.7847306229822664</v>
      </c>
      <c r="E1128" s="39">
        <v>-1.3177394635995512</v>
      </c>
      <c r="G1128">
        <f t="shared" si="95"/>
        <v>7</v>
      </c>
      <c r="H1128">
        <v>1</v>
      </c>
      <c r="I1128">
        <f t="shared" si="96"/>
        <v>7</v>
      </c>
      <c r="J1128">
        <f t="shared" si="97"/>
        <v>2021</v>
      </c>
      <c r="K1128" s="17">
        <f t="shared" si="98"/>
        <v>44378</v>
      </c>
      <c r="L1128">
        <f t="shared" si="99"/>
        <v>0</v>
      </c>
    </row>
    <row r="1129" spans="1:12" x14ac:dyDescent="0.3">
      <c r="A1129" s="38">
        <v>44383</v>
      </c>
      <c r="B1129" s="39">
        <v>-1.3720386784255538</v>
      </c>
      <c r="C1129" s="39">
        <v>-0.25988669306526901</v>
      </c>
      <c r="D1129" s="39">
        <v>-4.6172184246876071</v>
      </c>
      <c r="E1129" s="39">
        <v>-1.1961127933380595</v>
      </c>
      <c r="G1129">
        <f t="shared" si="95"/>
        <v>6</v>
      </c>
      <c r="H1129">
        <v>1</v>
      </c>
      <c r="I1129">
        <f t="shared" si="96"/>
        <v>7</v>
      </c>
      <c r="J1129">
        <f t="shared" si="97"/>
        <v>2021</v>
      </c>
      <c r="K1129" s="17">
        <f t="shared" si="98"/>
        <v>44378</v>
      </c>
      <c r="L1129">
        <f t="shared" si="99"/>
        <v>0</v>
      </c>
    </row>
    <row r="1130" spans="1:12" x14ac:dyDescent="0.3">
      <c r="A1130" s="38">
        <v>44382</v>
      </c>
      <c r="B1130" s="39">
        <v>-1.3174770658074522</v>
      </c>
      <c r="C1130" s="39">
        <v>-0.16217950319622787</v>
      </c>
      <c r="D1130" s="39">
        <v>-4.2738088026147523</v>
      </c>
      <c r="E1130" s="39">
        <v>-1.1967666495037577</v>
      </c>
      <c r="G1130">
        <f t="shared" si="95"/>
        <v>5</v>
      </c>
      <c r="H1130">
        <v>1</v>
      </c>
      <c r="I1130">
        <f t="shared" si="96"/>
        <v>7</v>
      </c>
      <c r="J1130">
        <f t="shared" si="97"/>
        <v>2021</v>
      </c>
      <c r="K1130" s="17">
        <f t="shared" si="98"/>
        <v>44378</v>
      </c>
      <c r="L1130">
        <f t="shared" si="99"/>
        <v>0</v>
      </c>
    </row>
    <row r="1131" spans="1:12" x14ac:dyDescent="0.3">
      <c r="A1131" s="38">
        <v>44379</v>
      </c>
      <c r="B1131" s="39">
        <v>-1.7740336393935081</v>
      </c>
      <c r="C1131" s="39">
        <v>-0.57113995857081079</v>
      </c>
      <c r="D1131" s="39">
        <v>-4.5146499035800929</v>
      </c>
      <c r="E1131" s="39">
        <v>-1.7087025031515708</v>
      </c>
      <c r="G1131">
        <f t="shared" si="95"/>
        <v>2</v>
      </c>
      <c r="H1131">
        <v>1</v>
      </c>
      <c r="I1131">
        <f t="shared" si="96"/>
        <v>7</v>
      </c>
      <c r="J1131">
        <f t="shared" si="97"/>
        <v>2021</v>
      </c>
      <c r="K1131" s="17">
        <f t="shared" si="98"/>
        <v>44378</v>
      </c>
      <c r="L1131">
        <f t="shared" si="99"/>
        <v>1</v>
      </c>
    </row>
    <row r="1132" spans="1:12" x14ac:dyDescent="0.3">
      <c r="A1132" s="38">
        <v>44378</v>
      </c>
      <c r="B1132" s="39">
        <v>-1.8243713410007416</v>
      </c>
      <c r="C1132" s="39">
        <v>-0.57580338461193037</v>
      </c>
      <c r="D1132" s="39">
        <v>-4.5187584697120116</v>
      </c>
      <c r="E1132" s="39">
        <v>-1.7055306993225798</v>
      </c>
      <c r="G1132">
        <f t="shared" si="95"/>
        <v>1</v>
      </c>
      <c r="H1132">
        <v>1</v>
      </c>
      <c r="I1132">
        <f t="shared" si="96"/>
        <v>7</v>
      </c>
      <c r="J1132">
        <f t="shared" si="97"/>
        <v>2021</v>
      </c>
      <c r="K1132" s="17">
        <f t="shared" si="98"/>
        <v>44378</v>
      </c>
      <c r="L1132">
        <f t="shared" si="99"/>
        <v>1</v>
      </c>
    </row>
    <row r="1133" spans="1:12" x14ac:dyDescent="0.3">
      <c r="A1133" s="38">
        <v>44377</v>
      </c>
      <c r="B1133" s="39">
        <v>-2.2039189919501609</v>
      </c>
      <c r="C1133" s="39">
        <v>-1.2165522392102588</v>
      </c>
      <c r="D1133" s="39">
        <v>-4.9126499467604674</v>
      </c>
      <c r="E1133" s="39">
        <v>-2.3789394004368773</v>
      </c>
      <c r="G1133">
        <f t="shared" si="95"/>
        <v>30</v>
      </c>
      <c r="H1133">
        <v>1</v>
      </c>
      <c r="I1133">
        <f t="shared" si="96"/>
        <v>6</v>
      </c>
      <c r="J1133">
        <f t="shared" si="97"/>
        <v>2021</v>
      </c>
      <c r="K1133" s="17">
        <f t="shared" si="98"/>
        <v>44348</v>
      </c>
      <c r="L1133">
        <f t="shared" si="99"/>
        <v>0</v>
      </c>
    </row>
    <row r="1134" spans="1:12" x14ac:dyDescent="0.3">
      <c r="A1134" s="38">
        <v>44376</v>
      </c>
      <c r="B1134" s="39">
        <v>-2.427620231065859</v>
      </c>
      <c r="C1134" s="39">
        <v>-1.464305853474599</v>
      </c>
      <c r="D1134" s="39">
        <v>-5.0269399807585131</v>
      </c>
      <c r="E1134" s="39">
        <v>-2.6319587902254824</v>
      </c>
      <c r="G1134">
        <f t="shared" si="95"/>
        <v>29</v>
      </c>
      <c r="H1134">
        <v>1</v>
      </c>
      <c r="I1134">
        <f t="shared" si="96"/>
        <v>6</v>
      </c>
      <c r="J1134">
        <f t="shared" si="97"/>
        <v>2021</v>
      </c>
      <c r="K1134" s="17">
        <f t="shared" si="98"/>
        <v>44348</v>
      </c>
      <c r="L1134">
        <f t="shared" si="99"/>
        <v>0</v>
      </c>
    </row>
    <row r="1135" spans="1:12" x14ac:dyDescent="0.3">
      <c r="A1135" s="38">
        <v>44375</v>
      </c>
      <c r="B1135" s="39">
        <v>-2.5065236367819352</v>
      </c>
      <c r="C1135" s="39">
        <v>-1.495060197906227</v>
      </c>
      <c r="D1135" s="39">
        <v>-4.9251078904324714</v>
      </c>
      <c r="E1135" s="39">
        <v>-2.8501136066523003</v>
      </c>
      <c r="G1135">
        <f t="shared" si="95"/>
        <v>28</v>
      </c>
      <c r="H1135">
        <v>1</v>
      </c>
      <c r="I1135">
        <f t="shared" si="96"/>
        <v>6</v>
      </c>
      <c r="J1135">
        <f t="shared" si="97"/>
        <v>2021</v>
      </c>
      <c r="K1135" s="17">
        <f t="shared" si="98"/>
        <v>44348</v>
      </c>
      <c r="L1135">
        <f t="shared" si="99"/>
        <v>0</v>
      </c>
    </row>
    <row r="1136" spans="1:12" x14ac:dyDescent="0.3">
      <c r="A1136" s="38">
        <v>44372</v>
      </c>
      <c r="B1136" s="39">
        <v>-1.8644951734122799</v>
      </c>
      <c r="C1136" s="39">
        <v>-0.88512127827937093</v>
      </c>
      <c r="D1136" s="39">
        <v>-4.4895176337668374</v>
      </c>
      <c r="E1136" s="39">
        <v>-2.1470603421556689</v>
      </c>
      <c r="G1136">
        <f t="shared" si="95"/>
        <v>25</v>
      </c>
      <c r="H1136">
        <v>1</v>
      </c>
      <c r="I1136">
        <f t="shared" si="96"/>
        <v>6</v>
      </c>
      <c r="J1136">
        <f t="shared" si="97"/>
        <v>2021</v>
      </c>
      <c r="K1136" s="17">
        <f t="shared" si="98"/>
        <v>44348</v>
      </c>
      <c r="L1136">
        <f t="shared" si="99"/>
        <v>0</v>
      </c>
    </row>
    <row r="1137" spans="1:12" x14ac:dyDescent="0.3">
      <c r="A1137" s="38">
        <v>44371</v>
      </c>
      <c r="B1137" s="39">
        <v>-2.2172197757090828</v>
      </c>
      <c r="C1137" s="39">
        <v>-1.1896364482785913</v>
      </c>
      <c r="D1137" s="39">
        <v>-4.9543742258485537</v>
      </c>
      <c r="E1137" s="39">
        <v>-2.4895484951760949</v>
      </c>
      <c r="G1137">
        <f t="shared" si="95"/>
        <v>24</v>
      </c>
      <c r="H1137">
        <v>1</v>
      </c>
      <c r="I1137">
        <f t="shared" si="96"/>
        <v>6</v>
      </c>
      <c r="J1137">
        <f t="shared" si="97"/>
        <v>2021</v>
      </c>
      <c r="K1137" s="17">
        <f t="shared" si="98"/>
        <v>44348</v>
      </c>
      <c r="L1137">
        <f t="shared" si="99"/>
        <v>0</v>
      </c>
    </row>
    <row r="1138" spans="1:12" x14ac:dyDescent="0.3">
      <c r="A1138" s="38">
        <v>44370</v>
      </c>
      <c r="B1138" s="39">
        <v>-2.1716197053858224</v>
      </c>
      <c r="C1138" s="39">
        <v>-1.0947991814943521</v>
      </c>
      <c r="D1138" s="39">
        <v>-4.760947121385172</v>
      </c>
      <c r="E1138" s="39">
        <v>-2.4313747195958655</v>
      </c>
      <c r="G1138">
        <f t="shared" si="95"/>
        <v>23</v>
      </c>
      <c r="H1138">
        <v>1</v>
      </c>
      <c r="I1138">
        <f t="shared" si="96"/>
        <v>6</v>
      </c>
      <c r="J1138">
        <f t="shared" si="97"/>
        <v>2021</v>
      </c>
      <c r="K1138" s="17">
        <f t="shared" si="98"/>
        <v>44348</v>
      </c>
      <c r="L1138">
        <f t="shared" si="99"/>
        <v>0</v>
      </c>
    </row>
    <row r="1139" spans="1:12" x14ac:dyDescent="0.3">
      <c r="A1139" s="38">
        <v>44369</v>
      </c>
      <c r="B1139" s="39">
        <v>-2.2913087250184674</v>
      </c>
      <c r="C1139" s="39">
        <v>-1.1579829004187445</v>
      </c>
      <c r="D1139" s="39">
        <v>-4.7193664074105612</v>
      </c>
      <c r="E1139" s="39">
        <v>-2.5447874341171257</v>
      </c>
      <c r="G1139">
        <f t="shared" si="95"/>
        <v>22</v>
      </c>
      <c r="H1139">
        <v>1</v>
      </c>
      <c r="I1139">
        <f t="shared" si="96"/>
        <v>6</v>
      </c>
      <c r="J1139">
        <f t="shared" si="97"/>
        <v>2021</v>
      </c>
      <c r="K1139" s="17">
        <f t="shared" si="98"/>
        <v>44348</v>
      </c>
      <c r="L1139">
        <f t="shared" si="99"/>
        <v>0</v>
      </c>
    </row>
    <row r="1140" spans="1:12" x14ac:dyDescent="0.3">
      <c r="A1140" s="38">
        <v>44368</v>
      </c>
      <c r="B1140" s="39">
        <v>-2.1951720728925181</v>
      </c>
      <c r="C1140" s="39">
        <v>-1.1491506228612423</v>
      </c>
      <c r="D1140" s="39">
        <v>-4.6494632327990075</v>
      </c>
      <c r="E1140" s="39">
        <v>-2.3683944258728928</v>
      </c>
      <c r="G1140">
        <f t="shared" si="95"/>
        <v>21</v>
      </c>
      <c r="H1140">
        <v>1</v>
      </c>
      <c r="I1140">
        <f t="shared" si="96"/>
        <v>6</v>
      </c>
      <c r="J1140">
        <f t="shared" si="97"/>
        <v>2021</v>
      </c>
      <c r="K1140" s="17">
        <f t="shared" si="98"/>
        <v>44348</v>
      </c>
      <c r="L1140">
        <f t="shared" si="99"/>
        <v>0</v>
      </c>
    </row>
    <row r="1141" spans="1:12" x14ac:dyDescent="0.3">
      <c r="A1141" s="38">
        <v>44365</v>
      </c>
      <c r="B1141" s="39">
        <v>-2.1975291348421848</v>
      </c>
      <c r="C1141" s="39">
        <v>-1.165869792157352</v>
      </c>
      <c r="D1141" s="39">
        <v>-4.4375142747933012</v>
      </c>
      <c r="E1141" s="39">
        <v>-2.3744524449445663</v>
      </c>
      <c r="G1141">
        <f t="shared" si="95"/>
        <v>18</v>
      </c>
      <c r="H1141">
        <v>1</v>
      </c>
      <c r="I1141">
        <f t="shared" si="96"/>
        <v>6</v>
      </c>
      <c r="J1141">
        <f t="shared" si="97"/>
        <v>2021</v>
      </c>
      <c r="K1141" s="17">
        <f t="shared" si="98"/>
        <v>44348</v>
      </c>
      <c r="L1141">
        <f t="shared" si="99"/>
        <v>0</v>
      </c>
    </row>
    <row r="1142" spans="1:12" x14ac:dyDescent="0.3">
      <c r="A1142" s="38">
        <v>44364</v>
      </c>
      <c r="B1142" s="39">
        <v>-2.3171578396451196</v>
      </c>
      <c r="C1142" s="39">
        <v>-1.2787525552568155</v>
      </c>
      <c r="D1142" s="39">
        <v>-4.380599226048119</v>
      </c>
      <c r="E1142" s="39">
        <v>-2.6470940216714638</v>
      </c>
      <c r="G1142">
        <f t="shared" si="95"/>
        <v>17</v>
      </c>
      <c r="H1142">
        <v>1</v>
      </c>
      <c r="I1142">
        <f t="shared" si="96"/>
        <v>6</v>
      </c>
      <c r="J1142">
        <f t="shared" si="97"/>
        <v>2021</v>
      </c>
      <c r="K1142" s="17">
        <f t="shared" si="98"/>
        <v>44348</v>
      </c>
      <c r="L1142">
        <f t="shared" si="99"/>
        <v>0</v>
      </c>
    </row>
    <row r="1143" spans="1:12" x14ac:dyDescent="0.3">
      <c r="A1143" s="38">
        <v>44363</v>
      </c>
      <c r="B1143" s="39">
        <v>-2.5206869512744419</v>
      </c>
      <c r="C1143" s="39">
        <v>-1.5049680981977218</v>
      </c>
      <c r="D1143" s="39">
        <v>-4.6560966669117079</v>
      </c>
      <c r="E1143" s="39">
        <v>-2.8668191797742679</v>
      </c>
      <c r="G1143">
        <f t="shared" si="95"/>
        <v>16</v>
      </c>
      <c r="H1143">
        <v>1</v>
      </c>
      <c r="I1143">
        <f t="shared" si="96"/>
        <v>6</v>
      </c>
      <c r="J1143">
        <f t="shared" si="97"/>
        <v>2021</v>
      </c>
      <c r="K1143" s="17">
        <f t="shared" si="98"/>
        <v>44348</v>
      </c>
      <c r="L1143">
        <f t="shared" si="99"/>
        <v>0</v>
      </c>
    </row>
    <row r="1144" spans="1:12" x14ac:dyDescent="0.3">
      <c r="A1144" s="38">
        <v>44362</v>
      </c>
      <c r="B1144" s="39">
        <v>-2.5344447282519411</v>
      </c>
      <c r="C1144" s="39">
        <v>-1.4872587565002107</v>
      </c>
      <c r="D1144" s="39">
        <v>-4.808895479238771</v>
      </c>
      <c r="E1144" s="39">
        <v>-2.7627790733093178</v>
      </c>
      <c r="G1144">
        <f t="shared" si="95"/>
        <v>15</v>
      </c>
      <c r="H1144">
        <v>1</v>
      </c>
      <c r="I1144">
        <f t="shared" si="96"/>
        <v>6</v>
      </c>
      <c r="J1144">
        <f t="shared" si="97"/>
        <v>2021</v>
      </c>
      <c r="K1144" s="17">
        <f t="shared" si="98"/>
        <v>44348</v>
      </c>
      <c r="L1144">
        <f t="shared" si="99"/>
        <v>0</v>
      </c>
    </row>
    <row r="1145" spans="1:12" x14ac:dyDescent="0.3">
      <c r="A1145" s="38">
        <v>44361</v>
      </c>
      <c r="B1145" s="39">
        <v>-2.4168762497707377</v>
      </c>
      <c r="C1145" s="39">
        <v>-1.4266842508521194</v>
      </c>
      <c r="D1145" s="39">
        <v>-4.9113207852627596</v>
      </c>
      <c r="E1145" s="39">
        <v>-2.6004544294946044</v>
      </c>
      <c r="G1145">
        <f t="shared" si="95"/>
        <v>14</v>
      </c>
      <c r="H1145">
        <v>1</v>
      </c>
      <c r="I1145">
        <f t="shared" si="96"/>
        <v>6</v>
      </c>
      <c r="J1145">
        <f t="shared" si="97"/>
        <v>2021</v>
      </c>
      <c r="K1145" s="17">
        <f t="shared" si="98"/>
        <v>44348</v>
      </c>
      <c r="L1145">
        <f t="shared" si="99"/>
        <v>0</v>
      </c>
    </row>
    <row r="1146" spans="1:12" x14ac:dyDescent="0.3">
      <c r="A1146" s="38">
        <v>44358</v>
      </c>
      <c r="B1146" s="39">
        <v>-2.1043394151836452</v>
      </c>
      <c r="C1146" s="39">
        <v>-1.1196223363044311</v>
      </c>
      <c r="D1146" s="39">
        <v>-4.5258196370055828</v>
      </c>
      <c r="E1146" s="39">
        <v>-2.220935027577525</v>
      </c>
      <c r="G1146">
        <f t="shared" si="95"/>
        <v>11</v>
      </c>
      <c r="H1146">
        <v>1</v>
      </c>
      <c r="I1146">
        <f t="shared" si="96"/>
        <v>6</v>
      </c>
      <c r="J1146">
        <f t="shared" si="97"/>
        <v>2021</v>
      </c>
      <c r="K1146" s="17">
        <f t="shared" si="98"/>
        <v>44348</v>
      </c>
      <c r="L1146">
        <f t="shared" si="99"/>
        <v>0</v>
      </c>
    </row>
    <row r="1147" spans="1:12" x14ac:dyDescent="0.3">
      <c r="A1147" s="38">
        <v>44357</v>
      </c>
      <c r="B1147" s="39">
        <v>-2.2251169754885609</v>
      </c>
      <c r="C1147" s="39">
        <v>-1.1948364465762893</v>
      </c>
      <c r="D1147" s="39">
        <v>-4.638867225751909</v>
      </c>
      <c r="E1147" s="39">
        <v>-2.2734832732758292</v>
      </c>
      <c r="G1147">
        <f t="shared" si="95"/>
        <v>10</v>
      </c>
      <c r="H1147">
        <v>1</v>
      </c>
      <c r="I1147">
        <f t="shared" si="96"/>
        <v>6</v>
      </c>
      <c r="J1147">
        <f t="shared" si="97"/>
        <v>2021</v>
      </c>
      <c r="K1147" s="17">
        <f t="shared" si="98"/>
        <v>44348</v>
      </c>
      <c r="L1147">
        <f t="shared" si="99"/>
        <v>0</v>
      </c>
    </row>
    <row r="1148" spans="1:12" x14ac:dyDescent="0.3">
      <c r="A1148" s="38">
        <v>44356</v>
      </c>
      <c r="B1148" s="39">
        <v>-2.2064389168035916</v>
      </c>
      <c r="C1148" s="39">
        <v>-1.1608679825816637</v>
      </c>
      <c r="D1148" s="39">
        <v>-4.5391469196772505</v>
      </c>
      <c r="E1148" s="39">
        <v>-2.3741691634126738</v>
      </c>
      <c r="G1148">
        <f t="shared" si="95"/>
        <v>9</v>
      </c>
      <c r="H1148">
        <v>1</v>
      </c>
      <c r="I1148">
        <f t="shared" si="96"/>
        <v>6</v>
      </c>
      <c r="J1148">
        <f t="shared" si="97"/>
        <v>2021</v>
      </c>
      <c r="K1148" s="17">
        <f t="shared" si="98"/>
        <v>44348</v>
      </c>
      <c r="L1148">
        <f t="shared" si="99"/>
        <v>0</v>
      </c>
    </row>
    <row r="1149" spans="1:12" x14ac:dyDescent="0.3">
      <c r="A1149" s="38">
        <v>44355</v>
      </c>
      <c r="B1149" s="39">
        <v>-2.2621961160499779</v>
      </c>
      <c r="C1149" s="39">
        <v>-1.2708658257657817</v>
      </c>
      <c r="D1149" s="39">
        <v>-4.3242990272513708</v>
      </c>
      <c r="E1149" s="39">
        <v>-2.4039328348402762</v>
      </c>
      <c r="G1149">
        <f t="shared" si="95"/>
        <v>8</v>
      </c>
      <c r="H1149">
        <v>1</v>
      </c>
      <c r="I1149">
        <f t="shared" si="96"/>
        <v>6</v>
      </c>
      <c r="J1149">
        <f t="shared" si="97"/>
        <v>2021</v>
      </c>
      <c r="K1149" s="17">
        <f t="shared" si="98"/>
        <v>44348</v>
      </c>
      <c r="L1149">
        <f t="shared" si="99"/>
        <v>0</v>
      </c>
    </row>
    <row r="1150" spans="1:12" x14ac:dyDescent="0.3">
      <c r="A1150" s="38">
        <v>44354</v>
      </c>
      <c r="B1150" s="39">
        <v>-2.4126559502828968</v>
      </c>
      <c r="C1150" s="39">
        <v>-1.368047267084421</v>
      </c>
      <c r="D1150" s="39">
        <v>-4.4012029599232534</v>
      </c>
      <c r="E1150" s="39">
        <v>-2.6779616092867116</v>
      </c>
      <c r="G1150">
        <f t="shared" si="95"/>
        <v>7</v>
      </c>
      <c r="H1150">
        <v>1</v>
      </c>
      <c r="I1150">
        <f t="shared" si="96"/>
        <v>6</v>
      </c>
      <c r="J1150">
        <f t="shared" si="97"/>
        <v>2021</v>
      </c>
      <c r="K1150" s="17">
        <f t="shared" si="98"/>
        <v>44348</v>
      </c>
      <c r="L1150">
        <f t="shared" si="99"/>
        <v>0</v>
      </c>
    </row>
    <row r="1151" spans="1:12" x14ac:dyDescent="0.3">
      <c r="A1151" s="38">
        <v>44351</v>
      </c>
      <c r="B1151" s="39">
        <v>-2.1967031838077702</v>
      </c>
      <c r="C1151" s="39">
        <v>-1.1109545201424709</v>
      </c>
      <c r="D1151" s="39">
        <v>-4.116923038008764</v>
      </c>
      <c r="E1151" s="39">
        <v>-2.5256836937280553</v>
      </c>
      <c r="G1151">
        <f t="shared" si="95"/>
        <v>4</v>
      </c>
      <c r="H1151">
        <v>1</v>
      </c>
      <c r="I1151">
        <f t="shared" si="96"/>
        <v>6</v>
      </c>
      <c r="J1151">
        <f t="shared" si="97"/>
        <v>2021</v>
      </c>
      <c r="K1151" s="17">
        <f t="shared" si="98"/>
        <v>44348</v>
      </c>
      <c r="L1151">
        <f t="shared" si="99"/>
        <v>1</v>
      </c>
    </row>
    <row r="1152" spans="1:12" x14ac:dyDescent="0.3">
      <c r="A1152" s="38">
        <v>44350</v>
      </c>
      <c r="B1152" s="39">
        <v>-2.0453205281553863</v>
      </c>
      <c r="C1152" s="39">
        <v>-1.0611888200845385</v>
      </c>
      <c r="D1152" s="39">
        <v>-4.0131671296614968</v>
      </c>
      <c r="E1152" s="39">
        <v>-2.3700388892498125</v>
      </c>
      <c r="G1152">
        <f t="shared" si="95"/>
        <v>3</v>
      </c>
      <c r="H1152">
        <v>1</v>
      </c>
      <c r="I1152">
        <f t="shared" si="96"/>
        <v>6</v>
      </c>
      <c r="J1152">
        <f t="shared" si="97"/>
        <v>2021</v>
      </c>
      <c r="K1152" s="17">
        <f t="shared" si="98"/>
        <v>44348</v>
      </c>
      <c r="L1152">
        <f t="shared" si="99"/>
        <v>1</v>
      </c>
    </row>
    <row r="1153" spans="1:12" x14ac:dyDescent="0.3">
      <c r="A1153" s="38">
        <v>44349</v>
      </c>
      <c r="B1153" s="39">
        <v>-2.2391988225651858</v>
      </c>
      <c r="C1153" s="39">
        <v>-1.201870924714342</v>
      </c>
      <c r="D1153" s="39">
        <v>-4.2384459412232331</v>
      </c>
      <c r="E1153" s="39">
        <v>-2.5214853611476684</v>
      </c>
      <c r="G1153">
        <f t="shared" si="95"/>
        <v>2</v>
      </c>
      <c r="H1153">
        <v>1</v>
      </c>
      <c r="I1153">
        <f t="shared" si="96"/>
        <v>6</v>
      </c>
      <c r="J1153">
        <f t="shared" si="97"/>
        <v>2021</v>
      </c>
      <c r="K1153" s="17">
        <f t="shared" si="98"/>
        <v>44348</v>
      </c>
      <c r="L1153">
        <f t="shared" si="99"/>
        <v>1</v>
      </c>
    </row>
    <row r="1154" spans="1:12" x14ac:dyDescent="0.3">
      <c r="A1154" s="38">
        <v>44348</v>
      </c>
      <c r="B1154" s="39">
        <v>-2.2170181612841873</v>
      </c>
      <c r="C1154" s="39">
        <v>-1.2280151745072629</v>
      </c>
      <c r="D1154" s="39">
        <v>-4.2758945870637888</v>
      </c>
      <c r="E1154" s="39">
        <v>-2.4526313484439584</v>
      </c>
      <c r="G1154">
        <f t="shared" si="95"/>
        <v>1</v>
      </c>
      <c r="H1154">
        <v>1</v>
      </c>
      <c r="I1154">
        <f t="shared" si="96"/>
        <v>6</v>
      </c>
      <c r="J1154">
        <f t="shared" si="97"/>
        <v>2021</v>
      </c>
      <c r="K1154" s="17">
        <f t="shared" si="98"/>
        <v>44348</v>
      </c>
      <c r="L1154">
        <f t="shared" si="99"/>
        <v>1</v>
      </c>
    </row>
    <row r="1155" spans="1:12" x14ac:dyDescent="0.3">
      <c r="A1155" s="38">
        <v>44344</v>
      </c>
      <c r="B1155" s="39">
        <v>-1.8412529096882508</v>
      </c>
      <c r="C1155" s="39">
        <v>-0.76201066937110795</v>
      </c>
      <c r="D1155" s="39">
        <v>-4.494217058560892</v>
      </c>
      <c r="E1155" s="39">
        <v>-2.0215229354836168</v>
      </c>
      <c r="G1155">
        <f t="shared" si="95"/>
        <v>28</v>
      </c>
      <c r="H1155">
        <v>1</v>
      </c>
      <c r="I1155">
        <f t="shared" si="96"/>
        <v>5</v>
      </c>
      <c r="J1155">
        <f t="shared" si="97"/>
        <v>2021</v>
      </c>
      <c r="K1155" s="17">
        <f t="shared" si="98"/>
        <v>44317</v>
      </c>
      <c r="L1155">
        <f t="shared" si="99"/>
        <v>0</v>
      </c>
    </row>
    <row r="1156" spans="1:12" x14ac:dyDescent="0.3">
      <c r="A1156" s="38">
        <v>44343</v>
      </c>
      <c r="B1156" s="39">
        <v>-1.6022101161885871</v>
      </c>
      <c r="C1156" s="39">
        <v>-0.56779455291194836</v>
      </c>
      <c r="D1156" s="39">
        <v>-4.261971825184439</v>
      </c>
      <c r="E1156" s="39">
        <v>-1.6973026304892755</v>
      </c>
      <c r="G1156">
        <f t="shared" si="95"/>
        <v>27</v>
      </c>
      <c r="H1156">
        <v>1</v>
      </c>
      <c r="I1156">
        <f t="shared" si="96"/>
        <v>5</v>
      </c>
      <c r="J1156">
        <f t="shared" si="97"/>
        <v>2021</v>
      </c>
      <c r="K1156" s="17">
        <f t="shared" si="98"/>
        <v>44317</v>
      </c>
      <c r="L1156">
        <f t="shared" si="99"/>
        <v>0</v>
      </c>
    </row>
    <row r="1157" spans="1:12" x14ac:dyDescent="0.3">
      <c r="A1157" s="38">
        <v>44341</v>
      </c>
      <c r="B1157" s="39">
        <v>-2.2617959029819019</v>
      </c>
      <c r="C1157" s="39">
        <v>-1.2189622386723329</v>
      </c>
      <c r="D1157" s="39">
        <v>-5.02093448969012</v>
      </c>
      <c r="E1157" s="39">
        <v>-2.3523056211718512</v>
      </c>
      <c r="G1157">
        <f t="shared" ref="G1157:G1220" si="100">+DAY(A1157)</f>
        <v>25</v>
      </c>
      <c r="H1157">
        <v>1</v>
      </c>
      <c r="I1157">
        <f t="shared" ref="I1157:I1220" si="101">+MONTH(A1157)</f>
        <v>5</v>
      </c>
      <c r="J1157">
        <f t="shared" ref="J1157:J1220" si="102">+YEAR(A1157)</f>
        <v>2021</v>
      </c>
      <c r="K1157" s="17">
        <f t="shared" ref="K1157:K1220" si="103">+DATE(J1157,I1157,H1157)</f>
        <v>44317</v>
      </c>
      <c r="L1157">
        <f t="shared" ref="L1157:L1220" si="104">IF(AND(G1157&gt;=1, G1157&lt;=4), 1, 0)</f>
        <v>0</v>
      </c>
    </row>
    <row r="1158" spans="1:12" x14ac:dyDescent="0.3">
      <c r="A1158" s="38">
        <v>44340</v>
      </c>
      <c r="B1158" s="39">
        <v>-2.0568236779563165</v>
      </c>
      <c r="C1158" s="39">
        <v>-1.0538127929723373</v>
      </c>
      <c r="D1158" s="39">
        <v>-4.8786199248814697</v>
      </c>
      <c r="E1158" s="39">
        <v>-2.0455053796135729</v>
      </c>
      <c r="G1158">
        <f t="shared" si="100"/>
        <v>24</v>
      </c>
      <c r="H1158">
        <v>1</v>
      </c>
      <c r="I1158">
        <f t="shared" si="101"/>
        <v>5</v>
      </c>
      <c r="J1158">
        <f t="shared" si="102"/>
        <v>2021</v>
      </c>
      <c r="K1158" s="17">
        <f t="shared" si="103"/>
        <v>44317</v>
      </c>
      <c r="L1158">
        <f t="shared" si="104"/>
        <v>0</v>
      </c>
    </row>
    <row r="1159" spans="1:12" x14ac:dyDescent="0.3">
      <c r="A1159" s="38">
        <v>44337</v>
      </c>
      <c r="B1159" s="39">
        <v>-1.5757521289094996</v>
      </c>
      <c r="C1159" s="39">
        <v>-0.51479562023875047</v>
      </c>
      <c r="D1159" s="39">
        <v>-4.2375136113178442</v>
      </c>
      <c r="E1159" s="39">
        <v>-1.5165487839834029</v>
      </c>
      <c r="G1159">
        <f t="shared" si="100"/>
        <v>21</v>
      </c>
      <c r="H1159">
        <v>1</v>
      </c>
      <c r="I1159">
        <f t="shared" si="101"/>
        <v>5</v>
      </c>
      <c r="J1159">
        <f t="shared" si="102"/>
        <v>2021</v>
      </c>
      <c r="K1159" s="17">
        <f t="shared" si="103"/>
        <v>44317</v>
      </c>
      <c r="L1159">
        <f t="shared" si="104"/>
        <v>0</v>
      </c>
    </row>
    <row r="1160" spans="1:12" x14ac:dyDescent="0.3">
      <c r="A1160" s="38">
        <v>44336</v>
      </c>
      <c r="B1160" s="39">
        <v>-1.3378279403058997</v>
      </c>
      <c r="C1160" s="39">
        <v>-0.30723053819436075</v>
      </c>
      <c r="D1160" s="39">
        <v>-4.0275667421003831</v>
      </c>
      <c r="E1160" s="39">
        <v>-1.4168690481351121</v>
      </c>
      <c r="G1160">
        <f t="shared" si="100"/>
        <v>20</v>
      </c>
      <c r="H1160">
        <v>1</v>
      </c>
      <c r="I1160">
        <f t="shared" si="101"/>
        <v>5</v>
      </c>
      <c r="J1160">
        <f t="shared" si="102"/>
        <v>2021</v>
      </c>
      <c r="K1160" s="17">
        <f t="shared" si="103"/>
        <v>44317</v>
      </c>
      <c r="L1160">
        <f t="shared" si="104"/>
        <v>0</v>
      </c>
    </row>
    <row r="1161" spans="1:12" x14ac:dyDescent="0.3">
      <c r="A1161" s="38">
        <v>44335</v>
      </c>
      <c r="B1161" s="39">
        <v>-1.8971359625817996</v>
      </c>
      <c r="C1161" s="39">
        <v>-0.89125986611750818</v>
      </c>
      <c r="D1161" s="39">
        <v>-4.693308860696817</v>
      </c>
      <c r="E1161" s="39">
        <v>-1.9410831384081035</v>
      </c>
      <c r="G1161">
        <f t="shared" si="100"/>
        <v>19</v>
      </c>
      <c r="H1161">
        <v>1</v>
      </c>
      <c r="I1161">
        <f t="shared" si="101"/>
        <v>5</v>
      </c>
      <c r="J1161">
        <f t="shared" si="102"/>
        <v>2021</v>
      </c>
      <c r="K1161" s="17">
        <f t="shared" si="103"/>
        <v>44317</v>
      </c>
      <c r="L1161">
        <f t="shared" si="104"/>
        <v>0</v>
      </c>
    </row>
    <row r="1162" spans="1:12" x14ac:dyDescent="0.3">
      <c r="A1162" s="38">
        <v>44334</v>
      </c>
      <c r="B1162" s="39">
        <v>-2.2816024950186176</v>
      </c>
      <c r="C1162" s="39">
        <v>-1.2984656240167425</v>
      </c>
      <c r="D1162" s="39">
        <v>-4.9866680875442597</v>
      </c>
      <c r="E1162" s="39">
        <v>-2.4697806187671745</v>
      </c>
      <c r="G1162">
        <f t="shared" si="100"/>
        <v>18</v>
      </c>
      <c r="H1162">
        <v>1</v>
      </c>
      <c r="I1162">
        <f t="shared" si="101"/>
        <v>5</v>
      </c>
      <c r="J1162">
        <f t="shared" si="102"/>
        <v>2021</v>
      </c>
      <c r="K1162" s="17">
        <f t="shared" si="103"/>
        <v>44317</v>
      </c>
      <c r="L1162">
        <f t="shared" si="104"/>
        <v>0</v>
      </c>
    </row>
    <row r="1163" spans="1:12" x14ac:dyDescent="0.3">
      <c r="A1163" s="38">
        <v>44333</v>
      </c>
      <c r="B1163" s="39">
        <v>-2.1748764314489932</v>
      </c>
      <c r="C1163" s="39">
        <v>-1.0935133961313852</v>
      </c>
      <c r="D1163" s="39">
        <v>-4.5019739813730837</v>
      </c>
      <c r="E1163" s="39">
        <v>-2.4413667329105806</v>
      </c>
      <c r="G1163">
        <f t="shared" si="100"/>
        <v>17</v>
      </c>
      <c r="H1163">
        <v>1</v>
      </c>
      <c r="I1163">
        <f t="shared" si="101"/>
        <v>5</v>
      </c>
      <c r="J1163">
        <f t="shared" si="102"/>
        <v>2021</v>
      </c>
      <c r="K1163" s="17">
        <f t="shared" si="103"/>
        <v>44317</v>
      </c>
      <c r="L1163">
        <f t="shared" si="104"/>
        <v>0</v>
      </c>
    </row>
    <row r="1164" spans="1:12" x14ac:dyDescent="0.3">
      <c r="A1164" s="38">
        <v>44330</v>
      </c>
      <c r="B1164" s="39">
        <v>-2.039016787186128</v>
      </c>
      <c r="C1164" s="39">
        <v>-0.86931296343045972</v>
      </c>
      <c r="D1164" s="39">
        <v>-4.1761756733798236</v>
      </c>
      <c r="E1164" s="39">
        <v>-2.3250843134829537</v>
      </c>
      <c r="G1164">
        <f t="shared" si="100"/>
        <v>14</v>
      </c>
      <c r="H1164">
        <v>1</v>
      </c>
      <c r="I1164">
        <f t="shared" si="101"/>
        <v>5</v>
      </c>
      <c r="J1164">
        <f t="shared" si="102"/>
        <v>2021</v>
      </c>
      <c r="K1164" s="17">
        <f t="shared" si="103"/>
        <v>44317</v>
      </c>
      <c r="L1164">
        <f t="shared" si="104"/>
        <v>0</v>
      </c>
    </row>
    <row r="1165" spans="1:12" x14ac:dyDescent="0.3">
      <c r="A1165" s="38">
        <v>44328</v>
      </c>
      <c r="B1165" s="39">
        <v>-1.210876696364636</v>
      </c>
      <c r="C1165" s="39">
        <v>-1.6068788057239658E-2</v>
      </c>
      <c r="D1165" s="39">
        <v>-3.5021815408857577</v>
      </c>
      <c r="E1165" s="39">
        <v>-1.7421104653308674</v>
      </c>
      <c r="G1165">
        <f t="shared" si="100"/>
        <v>12</v>
      </c>
      <c r="H1165">
        <v>1</v>
      </c>
      <c r="I1165">
        <f t="shared" si="101"/>
        <v>5</v>
      </c>
      <c r="J1165">
        <f t="shared" si="102"/>
        <v>2021</v>
      </c>
      <c r="K1165" s="17">
        <f t="shared" si="103"/>
        <v>44317</v>
      </c>
      <c r="L1165">
        <f t="shared" si="104"/>
        <v>0</v>
      </c>
    </row>
    <row r="1166" spans="1:12" x14ac:dyDescent="0.3">
      <c r="A1166" s="38">
        <v>44327</v>
      </c>
      <c r="B1166" s="39">
        <v>-1.5610131470903497</v>
      </c>
      <c r="C1166" s="39">
        <v>-0.33447509283440979</v>
      </c>
      <c r="D1166" s="39">
        <v>-3.9069425334864221</v>
      </c>
      <c r="E1166" s="39">
        <v>-1.9848443367045405</v>
      </c>
      <c r="G1166">
        <f t="shared" si="100"/>
        <v>11</v>
      </c>
      <c r="H1166">
        <v>1</v>
      </c>
      <c r="I1166">
        <f t="shared" si="101"/>
        <v>5</v>
      </c>
      <c r="J1166">
        <f t="shared" si="102"/>
        <v>2021</v>
      </c>
      <c r="K1166" s="17">
        <f t="shared" si="103"/>
        <v>44317</v>
      </c>
      <c r="L1166">
        <f t="shared" si="104"/>
        <v>0</v>
      </c>
    </row>
    <row r="1167" spans="1:12" x14ac:dyDescent="0.3">
      <c r="A1167" s="38">
        <v>44326</v>
      </c>
      <c r="B1167" s="39">
        <v>-1.4527546491118102</v>
      </c>
      <c r="C1167" s="39">
        <v>-0.2334104137681976</v>
      </c>
      <c r="D1167" s="39">
        <v>-3.6744563386761797</v>
      </c>
      <c r="E1167" s="39">
        <v>-2.0405876820332338</v>
      </c>
      <c r="G1167">
        <f t="shared" si="100"/>
        <v>10</v>
      </c>
      <c r="H1167">
        <v>1</v>
      </c>
      <c r="I1167">
        <f t="shared" si="101"/>
        <v>5</v>
      </c>
      <c r="J1167">
        <f t="shared" si="102"/>
        <v>2021</v>
      </c>
      <c r="K1167" s="17">
        <f t="shared" si="103"/>
        <v>44317</v>
      </c>
      <c r="L1167">
        <f t="shared" si="104"/>
        <v>0</v>
      </c>
    </row>
    <row r="1168" spans="1:12" x14ac:dyDescent="0.3">
      <c r="A1168" s="38">
        <v>44323</v>
      </c>
      <c r="B1168" s="39">
        <v>-1.5499909983648905</v>
      </c>
      <c r="C1168" s="39">
        <v>-0.31341628394221743</v>
      </c>
      <c r="D1168" s="39">
        <v>-3.6615468724439921</v>
      </c>
      <c r="E1168" s="39">
        <v>-2.1495778566337265</v>
      </c>
      <c r="G1168">
        <f t="shared" si="100"/>
        <v>7</v>
      </c>
      <c r="H1168">
        <v>1</v>
      </c>
      <c r="I1168">
        <f t="shared" si="101"/>
        <v>5</v>
      </c>
      <c r="J1168">
        <f t="shared" si="102"/>
        <v>2021</v>
      </c>
      <c r="K1168" s="17">
        <f t="shared" si="103"/>
        <v>44317</v>
      </c>
      <c r="L1168">
        <f t="shared" si="104"/>
        <v>0</v>
      </c>
    </row>
    <row r="1169" spans="1:12" x14ac:dyDescent="0.3">
      <c r="A1169" s="38">
        <v>44322</v>
      </c>
      <c r="B1169" s="39">
        <v>-1.5598100879455217</v>
      </c>
      <c r="C1169" s="39">
        <v>-0.31328875802871892</v>
      </c>
      <c r="D1169" s="39">
        <v>-3.6992733065867043</v>
      </c>
      <c r="E1169" s="39">
        <v>-2.2370122352755146</v>
      </c>
      <c r="G1169">
        <f t="shared" si="100"/>
        <v>6</v>
      </c>
      <c r="H1169">
        <v>1</v>
      </c>
      <c r="I1169">
        <f t="shared" si="101"/>
        <v>5</v>
      </c>
      <c r="J1169">
        <f t="shared" si="102"/>
        <v>2021</v>
      </c>
      <c r="K1169" s="17">
        <f t="shared" si="103"/>
        <v>44317</v>
      </c>
      <c r="L1169">
        <f t="shared" si="104"/>
        <v>0</v>
      </c>
    </row>
    <row r="1170" spans="1:12" x14ac:dyDescent="0.3">
      <c r="A1170" s="38">
        <v>44321</v>
      </c>
      <c r="B1170" s="39">
        <v>-1.5363112216924577</v>
      </c>
      <c r="C1170" s="39">
        <v>-0.32897979474836347</v>
      </c>
      <c r="D1170" s="39">
        <v>-3.6783160512394915</v>
      </c>
      <c r="E1170" s="39">
        <v>-2.22535967396297</v>
      </c>
      <c r="G1170">
        <f t="shared" si="100"/>
        <v>5</v>
      </c>
      <c r="H1170">
        <v>1</v>
      </c>
      <c r="I1170">
        <f t="shared" si="101"/>
        <v>5</v>
      </c>
      <c r="J1170">
        <f t="shared" si="102"/>
        <v>2021</v>
      </c>
      <c r="K1170" s="17">
        <f t="shared" si="103"/>
        <v>44317</v>
      </c>
      <c r="L1170">
        <f t="shared" si="104"/>
        <v>0</v>
      </c>
    </row>
    <row r="1171" spans="1:12" x14ac:dyDescent="0.3">
      <c r="A1171" s="38">
        <v>44320</v>
      </c>
      <c r="B1171" s="39">
        <v>-1.1767255790404079</v>
      </c>
      <c r="C1171" s="39">
        <v>6.393535525887728E-2</v>
      </c>
      <c r="D1171" s="39">
        <v>-3.2031405469433878</v>
      </c>
      <c r="E1171" s="39">
        <v>-1.8918484265720963</v>
      </c>
      <c r="G1171">
        <f t="shared" si="100"/>
        <v>4</v>
      </c>
      <c r="H1171">
        <v>1</v>
      </c>
      <c r="I1171">
        <f t="shared" si="101"/>
        <v>5</v>
      </c>
      <c r="J1171">
        <f t="shared" si="102"/>
        <v>2021</v>
      </c>
      <c r="K1171" s="17">
        <f t="shared" si="103"/>
        <v>44317</v>
      </c>
      <c r="L1171">
        <f t="shared" si="104"/>
        <v>1</v>
      </c>
    </row>
    <row r="1172" spans="1:12" x14ac:dyDescent="0.3">
      <c r="A1172" s="38">
        <v>44316</v>
      </c>
      <c r="B1172" s="39">
        <v>-0.61911175172180322</v>
      </c>
      <c r="C1172" s="39">
        <v>0.26774151904554344</v>
      </c>
      <c r="D1172" s="39">
        <v>-2.6444094700563099</v>
      </c>
      <c r="E1172" s="39">
        <v>-1.2793161677081599</v>
      </c>
      <c r="G1172">
        <f t="shared" si="100"/>
        <v>30</v>
      </c>
      <c r="H1172">
        <v>1</v>
      </c>
      <c r="I1172">
        <f t="shared" si="101"/>
        <v>4</v>
      </c>
      <c r="J1172">
        <f t="shared" si="102"/>
        <v>2021</v>
      </c>
      <c r="K1172" s="17">
        <f t="shared" si="103"/>
        <v>44287</v>
      </c>
      <c r="L1172">
        <f t="shared" si="104"/>
        <v>0</v>
      </c>
    </row>
    <row r="1173" spans="1:12" x14ac:dyDescent="0.3">
      <c r="A1173" s="38">
        <v>44315</v>
      </c>
      <c r="B1173" s="39">
        <v>-1.0245298228573603</v>
      </c>
      <c r="C1173" s="39">
        <v>-8.6651894094515569E-2</v>
      </c>
      <c r="D1173" s="39">
        <v>-3.0244816803899397</v>
      </c>
      <c r="E1173" s="39">
        <v>-1.6702278249389977</v>
      </c>
      <c r="G1173">
        <f t="shared" si="100"/>
        <v>29</v>
      </c>
      <c r="H1173">
        <v>1</v>
      </c>
      <c r="I1173">
        <f t="shared" si="101"/>
        <v>4</v>
      </c>
      <c r="J1173">
        <f t="shared" si="102"/>
        <v>2021</v>
      </c>
      <c r="K1173" s="17">
        <f t="shared" si="103"/>
        <v>44287</v>
      </c>
      <c r="L1173">
        <f t="shared" si="104"/>
        <v>0</v>
      </c>
    </row>
    <row r="1174" spans="1:12" x14ac:dyDescent="0.3">
      <c r="A1174" s="38">
        <v>44314</v>
      </c>
      <c r="B1174" s="39">
        <v>-0.84245749053287966</v>
      </c>
      <c r="C1174" s="39">
        <v>5.9365856806678607E-2</v>
      </c>
      <c r="D1174" s="39">
        <v>-2.8054004914313211</v>
      </c>
      <c r="E1174" s="39">
        <v>-1.4376177977589322</v>
      </c>
      <c r="G1174">
        <f t="shared" si="100"/>
        <v>28</v>
      </c>
      <c r="H1174">
        <v>1</v>
      </c>
      <c r="I1174">
        <f t="shared" si="101"/>
        <v>4</v>
      </c>
      <c r="J1174">
        <f t="shared" si="102"/>
        <v>2021</v>
      </c>
      <c r="K1174" s="17">
        <f t="shared" si="103"/>
        <v>44287</v>
      </c>
      <c r="L1174">
        <f t="shared" si="104"/>
        <v>0</v>
      </c>
    </row>
    <row r="1175" spans="1:12" x14ac:dyDescent="0.3">
      <c r="A1175" s="38">
        <v>44313</v>
      </c>
      <c r="B1175" s="39">
        <v>-0.85405520033474858</v>
      </c>
      <c r="C1175" s="39">
        <v>7.1040490890084129E-2</v>
      </c>
      <c r="D1175" s="39">
        <v>-2.6954159906211146</v>
      </c>
      <c r="E1175" s="39">
        <v>-1.4653221912831214</v>
      </c>
      <c r="G1175">
        <f t="shared" si="100"/>
        <v>27</v>
      </c>
      <c r="H1175">
        <v>1</v>
      </c>
      <c r="I1175">
        <f t="shared" si="101"/>
        <v>4</v>
      </c>
      <c r="J1175">
        <f t="shared" si="102"/>
        <v>2021</v>
      </c>
      <c r="K1175" s="17">
        <f t="shared" si="103"/>
        <v>44287</v>
      </c>
      <c r="L1175">
        <f t="shared" si="104"/>
        <v>0</v>
      </c>
    </row>
    <row r="1176" spans="1:12" x14ac:dyDescent="0.3">
      <c r="A1176" s="38">
        <v>44312</v>
      </c>
      <c r="B1176" s="39">
        <v>-0.89476892078766213</v>
      </c>
      <c r="C1176" s="39">
        <v>0.13656763052487975</v>
      </c>
      <c r="D1176" s="39">
        <v>-2.8350252742900679</v>
      </c>
      <c r="E1176" s="39">
        <v>-1.4112436230758192</v>
      </c>
      <c r="G1176">
        <f t="shared" si="100"/>
        <v>26</v>
      </c>
      <c r="H1176">
        <v>1</v>
      </c>
      <c r="I1176">
        <f t="shared" si="101"/>
        <v>4</v>
      </c>
      <c r="J1176">
        <f t="shared" si="102"/>
        <v>2021</v>
      </c>
      <c r="K1176" s="17">
        <f t="shared" si="103"/>
        <v>44287</v>
      </c>
      <c r="L1176">
        <f t="shared" si="104"/>
        <v>0</v>
      </c>
    </row>
    <row r="1177" spans="1:12" x14ac:dyDescent="0.3">
      <c r="A1177" s="38">
        <v>44309</v>
      </c>
      <c r="B1177" s="39">
        <v>-1.0615056896332362</v>
      </c>
      <c r="C1177" s="39">
        <v>6.5461802643866918E-2</v>
      </c>
      <c r="D1177" s="39">
        <v>-3.0322870680363607</v>
      </c>
      <c r="E1177" s="39">
        <v>-1.6453080499787518</v>
      </c>
      <c r="G1177">
        <f t="shared" si="100"/>
        <v>23</v>
      </c>
      <c r="H1177">
        <v>1</v>
      </c>
      <c r="I1177">
        <f t="shared" si="101"/>
        <v>4</v>
      </c>
      <c r="J1177">
        <f t="shared" si="102"/>
        <v>2021</v>
      </c>
      <c r="K1177" s="17">
        <f t="shared" si="103"/>
        <v>44287</v>
      </c>
      <c r="L1177">
        <f t="shared" si="104"/>
        <v>0</v>
      </c>
    </row>
    <row r="1178" spans="1:12" x14ac:dyDescent="0.3">
      <c r="A1178" s="38">
        <v>44308</v>
      </c>
      <c r="B1178" s="39">
        <v>-1.1326289488504813</v>
      </c>
      <c r="C1178" s="39">
        <v>-5.1280026129347789E-3</v>
      </c>
      <c r="D1178" s="39">
        <v>-3.0302632142790529</v>
      </c>
      <c r="E1178" s="39">
        <v>-1.7284250221350277</v>
      </c>
      <c r="G1178">
        <f t="shared" si="100"/>
        <v>22</v>
      </c>
      <c r="H1178">
        <v>1</v>
      </c>
      <c r="I1178">
        <f t="shared" si="101"/>
        <v>4</v>
      </c>
      <c r="J1178">
        <f t="shared" si="102"/>
        <v>2021</v>
      </c>
      <c r="K1178" s="17">
        <f t="shared" si="103"/>
        <v>44287</v>
      </c>
      <c r="L1178">
        <f t="shared" si="104"/>
        <v>0</v>
      </c>
    </row>
    <row r="1179" spans="1:12" x14ac:dyDescent="0.3">
      <c r="A1179" s="38">
        <v>44307</v>
      </c>
      <c r="B1179" s="39">
        <v>-1.5463323579492041</v>
      </c>
      <c r="C1179" s="39">
        <v>-0.51398802329228488</v>
      </c>
      <c r="D1179" s="39">
        <v>-3.4067363019814039</v>
      </c>
      <c r="E1179" s="39">
        <v>-2.2692176315425741</v>
      </c>
      <c r="G1179">
        <f t="shared" si="100"/>
        <v>21</v>
      </c>
      <c r="H1179">
        <v>1</v>
      </c>
      <c r="I1179">
        <f t="shared" si="101"/>
        <v>4</v>
      </c>
      <c r="J1179">
        <f t="shared" si="102"/>
        <v>2021</v>
      </c>
      <c r="K1179" s="17">
        <f t="shared" si="103"/>
        <v>44287</v>
      </c>
      <c r="L1179">
        <f t="shared" si="104"/>
        <v>0</v>
      </c>
    </row>
    <row r="1180" spans="1:12" x14ac:dyDescent="0.3">
      <c r="A1180" s="38">
        <v>44306</v>
      </c>
      <c r="B1180" s="39">
        <v>-1.9964704795923893</v>
      </c>
      <c r="C1180" s="39">
        <v>-0.93488179404259597</v>
      </c>
      <c r="D1180" s="39">
        <v>-3.8880307725740977</v>
      </c>
      <c r="E1180" s="39">
        <v>-2.8347621491417314</v>
      </c>
      <c r="G1180">
        <f t="shared" si="100"/>
        <v>20</v>
      </c>
      <c r="H1180">
        <v>1</v>
      </c>
      <c r="I1180">
        <f t="shared" si="101"/>
        <v>4</v>
      </c>
      <c r="J1180">
        <f t="shared" si="102"/>
        <v>2021</v>
      </c>
      <c r="K1180" s="17">
        <f t="shared" si="103"/>
        <v>44287</v>
      </c>
      <c r="L1180">
        <f t="shared" si="104"/>
        <v>0</v>
      </c>
    </row>
    <row r="1181" spans="1:12" x14ac:dyDescent="0.3">
      <c r="A1181" s="38">
        <v>44305</v>
      </c>
      <c r="B1181" s="39">
        <v>-1.6092518875431949</v>
      </c>
      <c r="C1181" s="39">
        <v>-0.60972351083461263</v>
      </c>
      <c r="D1181" s="39">
        <v>-3.5183199340310125</v>
      </c>
      <c r="E1181" s="39">
        <v>-2.3016027533071295</v>
      </c>
      <c r="G1181">
        <f t="shared" si="100"/>
        <v>19</v>
      </c>
      <c r="H1181">
        <v>1</v>
      </c>
      <c r="I1181">
        <f t="shared" si="101"/>
        <v>4</v>
      </c>
      <c r="J1181">
        <f t="shared" si="102"/>
        <v>2021</v>
      </c>
      <c r="K1181" s="17">
        <f t="shared" si="103"/>
        <v>44287</v>
      </c>
      <c r="L1181">
        <f t="shared" si="104"/>
        <v>0</v>
      </c>
    </row>
    <row r="1182" spans="1:12" x14ac:dyDescent="0.3">
      <c r="A1182" s="38">
        <v>44302</v>
      </c>
      <c r="B1182" s="39">
        <v>-1.4938146821214247</v>
      </c>
      <c r="C1182" s="39">
        <v>-0.54157409458520078</v>
      </c>
      <c r="D1182" s="39">
        <v>-3.355418229675486</v>
      </c>
      <c r="E1182" s="39">
        <v>-2.1951938972205625</v>
      </c>
      <c r="G1182">
        <f t="shared" si="100"/>
        <v>16</v>
      </c>
      <c r="H1182">
        <v>1</v>
      </c>
      <c r="I1182">
        <f t="shared" si="101"/>
        <v>4</v>
      </c>
      <c r="J1182">
        <f t="shared" si="102"/>
        <v>2021</v>
      </c>
      <c r="K1182" s="17">
        <f t="shared" si="103"/>
        <v>44287</v>
      </c>
      <c r="L1182">
        <f t="shared" si="104"/>
        <v>0</v>
      </c>
    </row>
    <row r="1183" spans="1:12" x14ac:dyDescent="0.3">
      <c r="A1183" s="38">
        <v>44301</v>
      </c>
      <c r="B1183" s="39">
        <v>-1.4616934596204487</v>
      </c>
      <c r="C1183" s="39">
        <v>-0.49321808657250443</v>
      </c>
      <c r="D1183" s="39">
        <v>-3.2775654690510692</v>
      </c>
      <c r="E1183" s="39">
        <v>-2.11962799757098</v>
      </c>
      <c r="G1183">
        <f t="shared" si="100"/>
        <v>15</v>
      </c>
      <c r="H1183">
        <v>1</v>
      </c>
      <c r="I1183">
        <f t="shared" si="101"/>
        <v>4</v>
      </c>
      <c r="J1183">
        <f t="shared" si="102"/>
        <v>2021</v>
      </c>
      <c r="K1183" s="17">
        <f t="shared" si="103"/>
        <v>44287</v>
      </c>
      <c r="L1183">
        <f t="shared" si="104"/>
        <v>0</v>
      </c>
    </row>
    <row r="1184" spans="1:12" x14ac:dyDescent="0.3">
      <c r="A1184" s="38">
        <v>44300</v>
      </c>
      <c r="B1184" s="39">
        <v>-1.4011077002164285</v>
      </c>
      <c r="C1184" s="39">
        <v>-0.46613769634258517</v>
      </c>
      <c r="D1184" s="39">
        <v>-3.1484866706566024</v>
      </c>
      <c r="E1184" s="39">
        <v>-1.9882948969015573</v>
      </c>
      <c r="G1184">
        <f t="shared" si="100"/>
        <v>14</v>
      </c>
      <c r="H1184">
        <v>1</v>
      </c>
      <c r="I1184">
        <f t="shared" si="101"/>
        <v>4</v>
      </c>
      <c r="J1184">
        <f t="shared" si="102"/>
        <v>2021</v>
      </c>
      <c r="K1184" s="17">
        <f t="shared" si="103"/>
        <v>44287</v>
      </c>
      <c r="L1184">
        <f t="shared" si="104"/>
        <v>0</v>
      </c>
    </row>
    <row r="1185" spans="1:12" x14ac:dyDescent="0.3">
      <c r="A1185" s="38">
        <v>44299</v>
      </c>
      <c r="B1185" s="39">
        <v>-1.4602991944553736</v>
      </c>
      <c r="C1185" s="39">
        <v>-0.55551035360738865</v>
      </c>
      <c r="D1185" s="39">
        <v>-3.3576496794593567</v>
      </c>
      <c r="E1185" s="39">
        <v>-1.8311968528507947</v>
      </c>
      <c r="G1185">
        <f t="shared" si="100"/>
        <v>13</v>
      </c>
      <c r="H1185">
        <v>1</v>
      </c>
      <c r="I1185">
        <f t="shared" si="101"/>
        <v>4</v>
      </c>
      <c r="J1185">
        <f t="shared" si="102"/>
        <v>2021</v>
      </c>
      <c r="K1185" s="17">
        <f t="shared" si="103"/>
        <v>44287</v>
      </c>
      <c r="L1185">
        <f t="shared" si="104"/>
        <v>0</v>
      </c>
    </row>
    <row r="1186" spans="1:12" x14ac:dyDescent="0.3">
      <c r="A1186" s="38">
        <v>44298</v>
      </c>
      <c r="B1186" s="39">
        <v>-1.193105617855629</v>
      </c>
      <c r="C1186" s="39">
        <v>-0.3463839157027806</v>
      </c>
      <c r="D1186" s="39">
        <v>-3.2783553117771618</v>
      </c>
      <c r="E1186" s="39">
        <v>-1.358266453896718</v>
      </c>
      <c r="G1186">
        <f t="shared" si="100"/>
        <v>12</v>
      </c>
      <c r="H1186">
        <v>1</v>
      </c>
      <c r="I1186">
        <f t="shared" si="101"/>
        <v>4</v>
      </c>
      <c r="J1186">
        <f t="shared" si="102"/>
        <v>2021</v>
      </c>
      <c r="K1186" s="17">
        <f t="shared" si="103"/>
        <v>44287</v>
      </c>
      <c r="L1186">
        <f t="shared" si="104"/>
        <v>0</v>
      </c>
    </row>
    <row r="1187" spans="1:12" x14ac:dyDescent="0.3">
      <c r="A1187" s="38">
        <v>44295</v>
      </c>
      <c r="B1187" s="39">
        <v>-1.408481696596688</v>
      </c>
      <c r="C1187" s="39">
        <v>-0.56460008092804514</v>
      </c>
      <c r="D1187" s="39">
        <v>-3.4943178051187189</v>
      </c>
      <c r="E1187" s="39">
        <v>-1.5469355115896022</v>
      </c>
      <c r="G1187">
        <f t="shared" si="100"/>
        <v>9</v>
      </c>
      <c r="H1187">
        <v>1</v>
      </c>
      <c r="I1187">
        <f t="shared" si="101"/>
        <v>4</v>
      </c>
      <c r="J1187">
        <f t="shared" si="102"/>
        <v>2021</v>
      </c>
      <c r="K1187" s="17">
        <f t="shared" si="103"/>
        <v>44287</v>
      </c>
      <c r="L1187">
        <f t="shared" si="104"/>
        <v>0</v>
      </c>
    </row>
    <row r="1188" spans="1:12" x14ac:dyDescent="0.3">
      <c r="A1188" s="38">
        <v>44294</v>
      </c>
      <c r="B1188" s="39">
        <v>-1.4150364275630167</v>
      </c>
      <c r="C1188" s="39">
        <v>-0.55307354360666494</v>
      </c>
      <c r="D1188" s="39">
        <v>-3.4176296614296078</v>
      </c>
      <c r="E1188" s="39">
        <v>-1.5815015197935196</v>
      </c>
      <c r="G1188">
        <f t="shared" si="100"/>
        <v>8</v>
      </c>
      <c r="H1188">
        <v>1</v>
      </c>
      <c r="I1188">
        <f t="shared" si="101"/>
        <v>4</v>
      </c>
      <c r="J1188">
        <f t="shared" si="102"/>
        <v>2021</v>
      </c>
      <c r="K1188" s="17">
        <f t="shared" si="103"/>
        <v>44287</v>
      </c>
      <c r="L1188">
        <f t="shared" si="104"/>
        <v>0</v>
      </c>
    </row>
    <row r="1189" spans="1:12" x14ac:dyDescent="0.3">
      <c r="A1189" s="38">
        <v>44293</v>
      </c>
      <c r="B1189" s="39">
        <v>-1.2745517916520441</v>
      </c>
      <c r="C1189" s="39">
        <v>-0.41552000179788706</v>
      </c>
      <c r="D1189" s="39">
        <v>-3.2460878120528633</v>
      </c>
      <c r="E1189" s="39">
        <v>-1.454329827742427</v>
      </c>
      <c r="G1189">
        <f t="shared" si="100"/>
        <v>7</v>
      </c>
      <c r="H1189">
        <v>1</v>
      </c>
      <c r="I1189">
        <f t="shared" si="101"/>
        <v>4</v>
      </c>
      <c r="J1189">
        <f t="shared" si="102"/>
        <v>2021</v>
      </c>
      <c r="K1189" s="17">
        <f t="shared" si="103"/>
        <v>44287</v>
      </c>
      <c r="L1189">
        <f t="shared" si="104"/>
        <v>0</v>
      </c>
    </row>
    <row r="1190" spans="1:12" x14ac:dyDescent="0.3">
      <c r="A1190" s="38">
        <v>44292</v>
      </c>
      <c r="B1190" s="39">
        <v>-0.96571661480967208</v>
      </c>
      <c r="C1190" s="39">
        <v>-0.13239214930476351</v>
      </c>
      <c r="D1190" s="39">
        <v>-2.9063981031544728</v>
      </c>
      <c r="E1190" s="39">
        <v>-1.2147635785447761</v>
      </c>
      <c r="G1190">
        <f t="shared" si="100"/>
        <v>6</v>
      </c>
      <c r="H1190">
        <v>1</v>
      </c>
      <c r="I1190">
        <f t="shared" si="101"/>
        <v>4</v>
      </c>
      <c r="J1190">
        <f t="shared" si="102"/>
        <v>2021</v>
      </c>
      <c r="K1190" s="17">
        <f t="shared" si="103"/>
        <v>44287</v>
      </c>
      <c r="L1190">
        <f t="shared" si="104"/>
        <v>0</v>
      </c>
    </row>
    <row r="1191" spans="1:12" x14ac:dyDescent="0.3">
      <c r="A1191" s="38">
        <v>44287</v>
      </c>
      <c r="B1191" s="39">
        <v>-1.9136762868793298</v>
      </c>
      <c r="C1191" s="39">
        <v>-1.0516648258755055</v>
      </c>
      <c r="D1191" s="39">
        <v>-3.7144377540047273</v>
      </c>
      <c r="E1191" s="39">
        <v>-2.2773072057922974</v>
      </c>
      <c r="G1191">
        <f t="shared" si="100"/>
        <v>1</v>
      </c>
      <c r="H1191">
        <v>1</v>
      </c>
      <c r="I1191">
        <f t="shared" si="101"/>
        <v>4</v>
      </c>
      <c r="J1191">
        <f t="shared" si="102"/>
        <v>2021</v>
      </c>
      <c r="K1191" s="17">
        <f t="shared" si="103"/>
        <v>44287</v>
      </c>
      <c r="L1191">
        <f t="shared" si="104"/>
        <v>1</v>
      </c>
    </row>
    <row r="1192" spans="1:12" x14ac:dyDescent="0.3">
      <c r="A1192" s="38">
        <v>44286</v>
      </c>
      <c r="B1192" s="39">
        <v>-1.7512453673430102</v>
      </c>
      <c r="C1192" s="39">
        <v>-1.2594930655277423</v>
      </c>
      <c r="D1192" s="39">
        <v>-3.4090904408044338</v>
      </c>
      <c r="E1192" s="39">
        <v>-2.5392229753681406</v>
      </c>
      <c r="G1192">
        <f t="shared" si="100"/>
        <v>31</v>
      </c>
      <c r="H1192">
        <v>1</v>
      </c>
      <c r="I1192">
        <f t="shared" si="101"/>
        <v>3</v>
      </c>
      <c r="J1192">
        <f t="shared" si="102"/>
        <v>2021</v>
      </c>
      <c r="K1192" s="17">
        <f t="shared" si="103"/>
        <v>44256</v>
      </c>
      <c r="L1192">
        <f t="shared" si="104"/>
        <v>0</v>
      </c>
    </row>
    <row r="1193" spans="1:12" x14ac:dyDescent="0.3">
      <c r="A1193" s="38">
        <v>44285</v>
      </c>
      <c r="B1193" s="39">
        <v>-2.1074983841165604</v>
      </c>
      <c r="C1193" s="39">
        <v>-1.6198479876062919</v>
      </c>
      <c r="D1193" s="39">
        <v>-3.7016789699537824</v>
      </c>
      <c r="E1193" s="39">
        <v>-2.9707803003117235</v>
      </c>
      <c r="G1193">
        <f t="shared" si="100"/>
        <v>30</v>
      </c>
      <c r="H1193">
        <v>1</v>
      </c>
      <c r="I1193">
        <f t="shared" si="101"/>
        <v>3</v>
      </c>
      <c r="J1193">
        <f t="shared" si="102"/>
        <v>2021</v>
      </c>
      <c r="K1193" s="17">
        <f t="shared" si="103"/>
        <v>44256</v>
      </c>
      <c r="L1193">
        <f t="shared" si="104"/>
        <v>0</v>
      </c>
    </row>
    <row r="1194" spans="1:12" x14ac:dyDescent="0.3">
      <c r="A1194" s="38">
        <v>44284</v>
      </c>
      <c r="B1194" s="39">
        <v>-2.0326226409297306</v>
      </c>
      <c r="C1194" s="39">
        <v>-1.3981752874218287</v>
      </c>
      <c r="D1194" s="39">
        <v>-3.5394260608606771</v>
      </c>
      <c r="E1194" s="39">
        <v>-2.852579405450193</v>
      </c>
      <c r="G1194">
        <f t="shared" si="100"/>
        <v>29</v>
      </c>
      <c r="H1194">
        <v>1</v>
      </c>
      <c r="I1194">
        <f t="shared" si="101"/>
        <v>3</v>
      </c>
      <c r="J1194">
        <f t="shared" si="102"/>
        <v>2021</v>
      </c>
      <c r="K1194" s="17">
        <f t="shared" si="103"/>
        <v>44256</v>
      </c>
      <c r="L1194">
        <f t="shared" si="104"/>
        <v>0</v>
      </c>
    </row>
    <row r="1195" spans="1:12" x14ac:dyDescent="0.3">
      <c r="A1195" s="38">
        <v>44281</v>
      </c>
      <c r="B1195" s="39">
        <v>-1.5997478059917967</v>
      </c>
      <c r="C1195" s="39">
        <v>-1.0943267894141329</v>
      </c>
      <c r="D1195" s="39">
        <v>-2.799397592231692</v>
      </c>
      <c r="E1195" s="39">
        <v>-2.4800932667375264</v>
      </c>
      <c r="G1195">
        <f t="shared" si="100"/>
        <v>26</v>
      </c>
      <c r="H1195">
        <v>1</v>
      </c>
      <c r="I1195">
        <f t="shared" si="101"/>
        <v>3</v>
      </c>
      <c r="J1195">
        <f t="shared" si="102"/>
        <v>2021</v>
      </c>
      <c r="K1195" s="17">
        <f t="shared" si="103"/>
        <v>44256</v>
      </c>
      <c r="L1195">
        <f t="shared" si="104"/>
        <v>0</v>
      </c>
    </row>
    <row r="1196" spans="1:12" x14ac:dyDescent="0.3">
      <c r="A1196" s="38">
        <v>44280</v>
      </c>
      <c r="B1196" s="39">
        <v>-1.6945948136030538</v>
      </c>
      <c r="C1196" s="39">
        <v>-1.2341251097686552</v>
      </c>
      <c r="D1196" s="39">
        <v>-3.0125708086843019</v>
      </c>
      <c r="E1196" s="39">
        <v>-2.5191699066599185</v>
      </c>
      <c r="G1196">
        <f t="shared" si="100"/>
        <v>25</v>
      </c>
      <c r="H1196">
        <v>1</v>
      </c>
      <c r="I1196">
        <f t="shared" si="101"/>
        <v>3</v>
      </c>
      <c r="J1196">
        <f t="shared" si="102"/>
        <v>2021</v>
      </c>
      <c r="K1196" s="17">
        <f t="shared" si="103"/>
        <v>44256</v>
      </c>
      <c r="L1196">
        <f t="shared" si="104"/>
        <v>0</v>
      </c>
    </row>
    <row r="1197" spans="1:12" x14ac:dyDescent="0.3">
      <c r="A1197" s="38">
        <v>44279</v>
      </c>
      <c r="B1197" s="39">
        <v>-1.5299106730685494</v>
      </c>
      <c r="C1197" s="39">
        <v>-1.0454171108251842</v>
      </c>
      <c r="D1197" s="39">
        <v>-2.6313126165397378</v>
      </c>
      <c r="E1197" s="39">
        <v>-2.302186099252701</v>
      </c>
      <c r="G1197">
        <f t="shared" si="100"/>
        <v>24</v>
      </c>
      <c r="H1197">
        <v>1</v>
      </c>
      <c r="I1197">
        <f t="shared" si="101"/>
        <v>3</v>
      </c>
      <c r="J1197">
        <f t="shared" si="102"/>
        <v>2021</v>
      </c>
      <c r="K1197" s="17">
        <f t="shared" si="103"/>
        <v>44256</v>
      </c>
      <c r="L1197">
        <f t="shared" si="104"/>
        <v>0</v>
      </c>
    </row>
    <row r="1198" spans="1:12" x14ac:dyDescent="0.3">
      <c r="A1198" s="38">
        <v>44278</v>
      </c>
      <c r="B1198" s="39">
        <v>-2.0811445891479678</v>
      </c>
      <c r="C1198" s="39">
        <v>-1.5952744335565328</v>
      </c>
      <c r="D1198" s="39">
        <v>-3.2728929671004892</v>
      </c>
      <c r="E1198" s="39">
        <v>-2.9141473310801089</v>
      </c>
      <c r="G1198">
        <f t="shared" si="100"/>
        <v>23</v>
      </c>
      <c r="H1198">
        <v>1</v>
      </c>
      <c r="I1198">
        <f t="shared" si="101"/>
        <v>3</v>
      </c>
      <c r="J1198">
        <f t="shared" si="102"/>
        <v>2021</v>
      </c>
      <c r="K1198" s="17">
        <f t="shared" si="103"/>
        <v>44256</v>
      </c>
      <c r="L1198">
        <f t="shared" si="104"/>
        <v>0</v>
      </c>
    </row>
    <row r="1199" spans="1:12" x14ac:dyDescent="0.3">
      <c r="A1199" s="38">
        <v>44277</v>
      </c>
      <c r="B1199" s="39">
        <v>-1.4994012402810029</v>
      </c>
      <c r="C1199" s="39">
        <v>-0.93352562032418263</v>
      </c>
      <c r="D1199" s="39">
        <v>-2.6371428442347664</v>
      </c>
      <c r="E1199" s="39">
        <v>-2.4339994647405092</v>
      </c>
      <c r="G1199">
        <f t="shared" si="100"/>
        <v>22</v>
      </c>
      <c r="H1199">
        <v>1</v>
      </c>
      <c r="I1199">
        <f t="shared" si="101"/>
        <v>3</v>
      </c>
      <c r="J1199">
        <f t="shared" si="102"/>
        <v>2021</v>
      </c>
      <c r="K1199" s="17">
        <f t="shared" si="103"/>
        <v>44256</v>
      </c>
      <c r="L1199">
        <f t="shared" si="104"/>
        <v>0</v>
      </c>
    </row>
    <row r="1200" spans="1:12" x14ac:dyDescent="0.3">
      <c r="A1200" s="38">
        <v>44274</v>
      </c>
      <c r="B1200" s="39">
        <v>-1.1302596049716911</v>
      </c>
      <c r="C1200" s="39">
        <v>-0.59050793395975631</v>
      </c>
      <c r="D1200" s="39">
        <v>-2.3234341438181403</v>
      </c>
      <c r="E1200" s="39">
        <v>-2.0597031751444561</v>
      </c>
      <c r="G1200">
        <f t="shared" si="100"/>
        <v>19</v>
      </c>
      <c r="H1200">
        <v>1</v>
      </c>
      <c r="I1200">
        <f t="shared" si="101"/>
        <v>3</v>
      </c>
      <c r="J1200">
        <f t="shared" si="102"/>
        <v>2021</v>
      </c>
      <c r="K1200" s="17">
        <f t="shared" si="103"/>
        <v>44256</v>
      </c>
      <c r="L1200">
        <f t="shared" si="104"/>
        <v>0</v>
      </c>
    </row>
    <row r="1201" spans="1:12" x14ac:dyDescent="0.3">
      <c r="A1201" s="38">
        <v>44273</v>
      </c>
      <c r="B1201" s="39">
        <v>-1.4077246274664788</v>
      </c>
      <c r="C1201" s="39">
        <v>-0.90522497682901815</v>
      </c>
      <c r="D1201" s="39">
        <v>-2.5757973537840684</v>
      </c>
      <c r="E1201" s="39">
        <v>-2.5248030000406061</v>
      </c>
      <c r="G1201">
        <f t="shared" si="100"/>
        <v>18</v>
      </c>
      <c r="H1201">
        <v>1</v>
      </c>
      <c r="I1201">
        <f t="shared" si="101"/>
        <v>3</v>
      </c>
      <c r="J1201">
        <f t="shared" si="102"/>
        <v>2021</v>
      </c>
      <c r="K1201" s="17">
        <f t="shared" si="103"/>
        <v>44256</v>
      </c>
      <c r="L1201">
        <f t="shared" si="104"/>
        <v>0</v>
      </c>
    </row>
    <row r="1202" spans="1:12" x14ac:dyDescent="0.3">
      <c r="A1202" s="38">
        <v>44272</v>
      </c>
      <c r="B1202" s="39">
        <v>-1.1438724944381704</v>
      </c>
      <c r="C1202" s="39">
        <v>-0.6955404697344818</v>
      </c>
      <c r="D1202" s="39">
        <v>-2.4334642831515083</v>
      </c>
      <c r="E1202" s="39">
        <v>-2.3517745225635451</v>
      </c>
      <c r="G1202">
        <f t="shared" si="100"/>
        <v>17</v>
      </c>
      <c r="H1202">
        <v>1</v>
      </c>
      <c r="I1202">
        <f t="shared" si="101"/>
        <v>3</v>
      </c>
      <c r="J1202">
        <f t="shared" si="102"/>
        <v>2021</v>
      </c>
      <c r="K1202" s="17">
        <f t="shared" si="103"/>
        <v>44256</v>
      </c>
      <c r="L1202">
        <f t="shared" si="104"/>
        <v>0</v>
      </c>
    </row>
    <row r="1203" spans="1:12" x14ac:dyDescent="0.3">
      <c r="A1203" s="38">
        <v>44271</v>
      </c>
      <c r="B1203" s="39">
        <v>-1.218328017344291</v>
      </c>
      <c r="C1203" s="39">
        <v>-0.78798804326444838</v>
      </c>
      <c r="D1203" s="39">
        <v>-2.4095685993036824</v>
      </c>
      <c r="E1203" s="39">
        <v>-2.4011184797335261</v>
      </c>
      <c r="G1203">
        <f t="shared" si="100"/>
        <v>16</v>
      </c>
      <c r="H1203">
        <v>1</v>
      </c>
      <c r="I1203">
        <f t="shared" si="101"/>
        <v>3</v>
      </c>
      <c r="J1203">
        <f t="shared" si="102"/>
        <v>2021</v>
      </c>
      <c r="K1203" s="17">
        <f t="shared" si="103"/>
        <v>44256</v>
      </c>
      <c r="L1203">
        <f t="shared" si="104"/>
        <v>0</v>
      </c>
    </row>
    <row r="1204" spans="1:12" x14ac:dyDescent="0.3">
      <c r="A1204" s="38">
        <v>44270</v>
      </c>
      <c r="B1204" s="39">
        <v>-1.2097313489365433</v>
      </c>
      <c r="C1204" s="39">
        <v>-0.82411532878313665</v>
      </c>
      <c r="D1204" s="39">
        <v>-2.6250875115609773</v>
      </c>
      <c r="E1204" s="39">
        <v>-2.4702973503080443</v>
      </c>
      <c r="G1204">
        <f t="shared" si="100"/>
        <v>15</v>
      </c>
      <c r="H1204">
        <v>1</v>
      </c>
      <c r="I1204">
        <f t="shared" si="101"/>
        <v>3</v>
      </c>
      <c r="J1204">
        <f t="shared" si="102"/>
        <v>2021</v>
      </c>
      <c r="K1204" s="17">
        <f t="shared" si="103"/>
        <v>44256</v>
      </c>
      <c r="L1204">
        <f t="shared" si="104"/>
        <v>0</v>
      </c>
    </row>
    <row r="1205" spans="1:12" x14ac:dyDescent="0.3">
      <c r="A1205" s="38">
        <v>44267</v>
      </c>
      <c r="B1205" s="39">
        <v>-1.5409918002153944</v>
      </c>
      <c r="C1205" s="39">
        <v>-1.1537012551461885</v>
      </c>
      <c r="D1205" s="39">
        <v>-2.9311794249122727</v>
      </c>
      <c r="E1205" s="39">
        <v>-2.7390400930186729</v>
      </c>
      <c r="G1205">
        <f t="shared" si="100"/>
        <v>12</v>
      </c>
      <c r="H1205">
        <v>1</v>
      </c>
      <c r="I1205">
        <f t="shared" si="101"/>
        <v>3</v>
      </c>
      <c r="J1205">
        <f t="shared" si="102"/>
        <v>2021</v>
      </c>
      <c r="K1205" s="17">
        <f t="shared" si="103"/>
        <v>44256</v>
      </c>
      <c r="L1205">
        <f t="shared" si="104"/>
        <v>0</v>
      </c>
    </row>
    <row r="1206" spans="1:12" x14ac:dyDescent="0.3">
      <c r="A1206" s="38">
        <v>44266</v>
      </c>
      <c r="B1206" s="39">
        <v>-1.4399469330623305</v>
      </c>
      <c r="C1206" s="39">
        <v>-1.0454048378498157</v>
      </c>
      <c r="D1206" s="39">
        <v>-2.6090044845570191</v>
      </c>
      <c r="E1206" s="39">
        <v>-2.6605792547499476</v>
      </c>
      <c r="G1206">
        <f t="shared" si="100"/>
        <v>11</v>
      </c>
      <c r="H1206">
        <v>1</v>
      </c>
      <c r="I1206">
        <f t="shared" si="101"/>
        <v>3</v>
      </c>
      <c r="J1206">
        <f t="shared" si="102"/>
        <v>2021</v>
      </c>
      <c r="K1206" s="17">
        <f t="shared" si="103"/>
        <v>44256</v>
      </c>
      <c r="L1206">
        <f t="shared" si="104"/>
        <v>0</v>
      </c>
    </row>
    <row r="1207" spans="1:12" x14ac:dyDescent="0.3">
      <c r="A1207" s="38">
        <v>44265</v>
      </c>
      <c r="B1207" s="39">
        <v>-1.0058002734471927</v>
      </c>
      <c r="C1207" s="39">
        <v>-0.59566979111173168</v>
      </c>
      <c r="D1207" s="39">
        <v>-2.1738149117443726</v>
      </c>
      <c r="E1207" s="39">
        <v>-2.1133735282994905</v>
      </c>
      <c r="G1207">
        <f t="shared" si="100"/>
        <v>10</v>
      </c>
      <c r="H1207">
        <v>1</v>
      </c>
      <c r="I1207">
        <f t="shared" si="101"/>
        <v>3</v>
      </c>
      <c r="J1207">
        <f t="shared" si="102"/>
        <v>2021</v>
      </c>
      <c r="K1207" s="17">
        <f t="shared" si="103"/>
        <v>44256</v>
      </c>
      <c r="L1207">
        <f t="shared" si="104"/>
        <v>0</v>
      </c>
    </row>
    <row r="1208" spans="1:12" x14ac:dyDescent="0.3">
      <c r="A1208" s="38">
        <v>44264</v>
      </c>
      <c r="B1208" s="39">
        <v>-1.2289119961024539</v>
      </c>
      <c r="C1208" s="39">
        <v>-0.82528282289763411</v>
      </c>
      <c r="D1208" s="39">
        <v>-2.1729658465020236</v>
      </c>
      <c r="E1208" s="39">
        <v>-2.4060155356141735</v>
      </c>
      <c r="G1208">
        <f t="shared" si="100"/>
        <v>9</v>
      </c>
      <c r="H1208">
        <v>1</v>
      </c>
      <c r="I1208">
        <f t="shared" si="101"/>
        <v>3</v>
      </c>
      <c r="J1208">
        <f t="shared" si="102"/>
        <v>2021</v>
      </c>
      <c r="K1208" s="17">
        <f t="shared" si="103"/>
        <v>44256</v>
      </c>
      <c r="L1208">
        <f t="shared" si="104"/>
        <v>0</v>
      </c>
    </row>
    <row r="1209" spans="1:12" x14ac:dyDescent="0.3">
      <c r="A1209" s="38">
        <v>44263</v>
      </c>
      <c r="B1209" s="39">
        <v>-1.319457756723196</v>
      </c>
      <c r="C1209" s="39">
        <v>-0.95057442579688711</v>
      </c>
      <c r="D1209" s="39">
        <v>-2.5033381561879935</v>
      </c>
      <c r="E1209" s="39">
        <v>-2.540892124354869</v>
      </c>
      <c r="G1209">
        <f t="shared" si="100"/>
        <v>8</v>
      </c>
      <c r="H1209">
        <v>1</v>
      </c>
      <c r="I1209">
        <f t="shared" si="101"/>
        <v>3</v>
      </c>
      <c r="J1209">
        <f t="shared" si="102"/>
        <v>2021</v>
      </c>
      <c r="K1209" s="17">
        <f t="shared" si="103"/>
        <v>44256</v>
      </c>
      <c r="L1209">
        <f t="shared" si="104"/>
        <v>0</v>
      </c>
    </row>
    <row r="1210" spans="1:12" x14ac:dyDescent="0.3">
      <c r="A1210" s="38">
        <v>44260</v>
      </c>
      <c r="B1210" s="39">
        <v>-1.1113532968515756</v>
      </c>
      <c r="C1210" s="39">
        <v>-0.81917829522684826</v>
      </c>
      <c r="D1210" s="39">
        <v>-2.3429142679454458</v>
      </c>
      <c r="E1210" s="39">
        <v>-2.1466336428235167</v>
      </c>
      <c r="G1210">
        <f t="shared" si="100"/>
        <v>5</v>
      </c>
      <c r="H1210">
        <v>1</v>
      </c>
      <c r="I1210">
        <f t="shared" si="101"/>
        <v>3</v>
      </c>
      <c r="J1210">
        <f t="shared" si="102"/>
        <v>2021</v>
      </c>
      <c r="K1210" s="17">
        <f t="shared" si="103"/>
        <v>44256</v>
      </c>
      <c r="L1210">
        <f t="shared" si="104"/>
        <v>0</v>
      </c>
    </row>
    <row r="1211" spans="1:12" x14ac:dyDescent="0.3">
      <c r="A1211" s="38">
        <v>44259</v>
      </c>
      <c r="B1211" s="39">
        <v>-0.45492524061834416</v>
      </c>
      <c r="C1211" s="39">
        <v>-0.16771332485352985</v>
      </c>
      <c r="D1211" s="39">
        <v>-1.8033326667180489</v>
      </c>
      <c r="E1211" s="39">
        <v>-1.2181796102983711</v>
      </c>
      <c r="G1211">
        <f t="shared" si="100"/>
        <v>4</v>
      </c>
      <c r="H1211">
        <v>1</v>
      </c>
      <c r="I1211">
        <f t="shared" si="101"/>
        <v>3</v>
      </c>
      <c r="J1211">
        <f t="shared" si="102"/>
        <v>2021</v>
      </c>
      <c r="K1211" s="17">
        <f t="shared" si="103"/>
        <v>44256</v>
      </c>
      <c r="L1211">
        <f t="shared" si="104"/>
        <v>1</v>
      </c>
    </row>
    <row r="1212" spans="1:12" x14ac:dyDescent="0.3">
      <c r="A1212" s="38">
        <v>44258</v>
      </c>
      <c r="B1212" s="39">
        <v>0.13919614638410849</v>
      </c>
      <c r="C1212" s="39">
        <v>0.44504879255789831</v>
      </c>
      <c r="D1212" s="39">
        <v>-1.2244593388369793</v>
      </c>
      <c r="E1212" s="39">
        <v>-0.56941432242349777</v>
      </c>
      <c r="G1212">
        <f t="shared" si="100"/>
        <v>3</v>
      </c>
      <c r="H1212">
        <v>1</v>
      </c>
      <c r="I1212">
        <f t="shared" si="101"/>
        <v>3</v>
      </c>
      <c r="J1212">
        <f t="shared" si="102"/>
        <v>2021</v>
      </c>
      <c r="K1212" s="17">
        <f t="shared" si="103"/>
        <v>44256</v>
      </c>
      <c r="L1212">
        <f t="shared" si="104"/>
        <v>1</v>
      </c>
    </row>
    <row r="1213" spans="1:12" x14ac:dyDescent="0.3">
      <c r="A1213" s="38">
        <v>44257</v>
      </c>
      <c r="B1213" s="39">
        <v>-1.8356554350418719E-2</v>
      </c>
      <c r="C1213" s="39">
        <v>0.2926357089279108</v>
      </c>
      <c r="D1213" s="39">
        <v>-1.2965935827000763</v>
      </c>
      <c r="E1213" s="39">
        <v>-0.77100575197476218</v>
      </c>
      <c r="G1213">
        <f t="shared" si="100"/>
        <v>2</v>
      </c>
      <c r="H1213">
        <v>1</v>
      </c>
      <c r="I1213">
        <f t="shared" si="101"/>
        <v>3</v>
      </c>
      <c r="J1213">
        <f t="shared" si="102"/>
        <v>2021</v>
      </c>
      <c r="K1213" s="17">
        <f t="shared" si="103"/>
        <v>44256</v>
      </c>
      <c r="L1213">
        <f t="shared" si="104"/>
        <v>1</v>
      </c>
    </row>
    <row r="1214" spans="1:12" x14ac:dyDescent="0.3">
      <c r="A1214" s="38">
        <v>44256</v>
      </c>
      <c r="B1214" s="39">
        <v>-8.7702138632465676E-2</v>
      </c>
      <c r="C1214" s="39">
        <v>0.19815264929802368</v>
      </c>
      <c r="D1214" s="39">
        <v>-1.4852573546309529</v>
      </c>
      <c r="E1214" s="39">
        <v>-0.9438823360793549</v>
      </c>
      <c r="G1214">
        <f t="shared" si="100"/>
        <v>1</v>
      </c>
      <c r="H1214">
        <v>1</v>
      </c>
      <c r="I1214">
        <f t="shared" si="101"/>
        <v>3</v>
      </c>
      <c r="J1214">
        <f t="shared" si="102"/>
        <v>2021</v>
      </c>
      <c r="K1214" s="17">
        <f t="shared" si="103"/>
        <v>44256</v>
      </c>
      <c r="L1214">
        <f t="shared" si="104"/>
        <v>1</v>
      </c>
    </row>
    <row r="1215" spans="1:12" x14ac:dyDescent="0.3">
      <c r="A1215" s="38">
        <v>44253</v>
      </c>
      <c r="B1215" s="39">
        <v>-0.17616379135819216</v>
      </c>
      <c r="C1215" s="39">
        <v>0.15176840944076275</v>
      </c>
      <c r="D1215" s="39">
        <v>-1.6623394228745738</v>
      </c>
      <c r="E1215" s="39">
        <v>-0.9667656570337968</v>
      </c>
      <c r="G1215">
        <f t="shared" si="100"/>
        <v>26</v>
      </c>
      <c r="H1215">
        <v>1</v>
      </c>
      <c r="I1215">
        <f t="shared" si="101"/>
        <v>2</v>
      </c>
      <c r="J1215">
        <f t="shared" si="102"/>
        <v>2021</v>
      </c>
      <c r="K1215" s="17">
        <f t="shared" si="103"/>
        <v>44228</v>
      </c>
      <c r="L1215">
        <f t="shared" si="104"/>
        <v>0</v>
      </c>
    </row>
    <row r="1216" spans="1:12" x14ac:dyDescent="0.3">
      <c r="A1216" s="38">
        <v>44252</v>
      </c>
      <c r="B1216" s="39">
        <v>-0.10437108568279996</v>
      </c>
      <c r="C1216" s="39">
        <v>0.19176900491399351</v>
      </c>
      <c r="D1216" s="39">
        <v>-1.5091761058015436</v>
      </c>
      <c r="E1216" s="39">
        <v>-0.93788715742205397</v>
      </c>
      <c r="G1216">
        <f t="shared" si="100"/>
        <v>25</v>
      </c>
      <c r="H1216">
        <v>1</v>
      </c>
      <c r="I1216">
        <f t="shared" si="101"/>
        <v>2</v>
      </c>
      <c r="J1216">
        <f t="shared" si="102"/>
        <v>2021</v>
      </c>
      <c r="K1216" s="17">
        <f t="shared" si="103"/>
        <v>44228</v>
      </c>
      <c r="L1216">
        <f t="shared" si="104"/>
        <v>0</v>
      </c>
    </row>
    <row r="1217" spans="1:12" x14ac:dyDescent="0.3">
      <c r="A1217" s="38">
        <v>44251</v>
      </c>
      <c r="B1217" s="39">
        <v>0.28505526154487626</v>
      </c>
      <c r="C1217" s="39">
        <v>0.59137665540932005</v>
      </c>
      <c r="D1217" s="39">
        <v>-1.1519036799620892</v>
      </c>
      <c r="E1217" s="39">
        <v>-0.41431969300536053</v>
      </c>
      <c r="G1217">
        <f t="shared" si="100"/>
        <v>24</v>
      </c>
      <c r="H1217">
        <v>1</v>
      </c>
      <c r="I1217">
        <f t="shared" si="101"/>
        <v>2</v>
      </c>
      <c r="J1217">
        <f t="shared" si="102"/>
        <v>2021</v>
      </c>
      <c r="K1217" s="17">
        <f t="shared" si="103"/>
        <v>44228</v>
      </c>
      <c r="L1217">
        <f t="shared" si="104"/>
        <v>0</v>
      </c>
    </row>
    <row r="1218" spans="1:12" x14ac:dyDescent="0.3">
      <c r="A1218" s="38">
        <v>44250</v>
      </c>
      <c r="B1218" s="39">
        <v>0.51937348538160677</v>
      </c>
      <c r="C1218" s="39">
        <v>0.8187930147887954</v>
      </c>
      <c r="D1218" s="39">
        <v>-0.91505400281936033</v>
      </c>
      <c r="E1218" s="39">
        <v>-0.17824128749301593</v>
      </c>
      <c r="G1218">
        <f t="shared" si="100"/>
        <v>23</v>
      </c>
      <c r="H1218">
        <v>1</v>
      </c>
      <c r="I1218">
        <f t="shared" si="101"/>
        <v>2</v>
      </c>
      <c r="J1218">
        <f t="shared" si="102"/>
        <v>2021</v>
      </c>
      <c r="K1218" s="17">
        <f t="shared" si="103"/>
        <v>44228</v>
      </c>
      <c r="L1218">
        <f t="shared" si="104"/>
        <v>0</v>
      </c>
    </row>
    <row r="1219" spans="1:12" x14ac:dyDescent="0.3">
      <c r="A1219" s="38">
        <v>44249</v>
      </c>
      <c r="B1219" s="39">
        <v>0.53652276559770939</v>
      </c>
      <c r="C1219" s="39">
        <v>0.87196177085656501</v>
      </c>
      <c r="D1219" s="39">
        <v>-1.0984590768213351</v>
      </c>
      <c r="E1219" s="39">
        <v>7.091154207795114E-2</v>
      </c>
      <c r="G1219">
        <f t="shared" si="100"/>
        <v>22</v>
      </c>
      <c r="H1219">
        <v>1</v>
      </c>
      <c r="I1219">
        <f t="shared" si="101"/>
        <v>2</v>
      </c>
      <c r="J1219">
        <f t="shared" si="102"/>
        <v>2021</v>
      </c>
      <c r="K1219" s="17">
        <f t="shared" si="103"/>
        <v>44228</v>
      </c>
      <c r="L1219">
        <f t="shared" si="104"/>
        <v>0</v>
      </c>
    </row>
    <row r="1220" spans="1:12" x14ac:dyDescent="0.3">
      <c r="A1220" s="38">
        <v>44246</v>
      </c>
      <c r="B1220" s="39">
        <v>0.66075988393982499</v>
      </c>
      <c r="C1220" s="39">
        <v>0.98524076494960866</v>
      </c>
      <c r="D1220" s="39">
        <v>-0.91549459541248979</v>
      </c>
      <c r="E1220" s="39">
        <v>0.21467920856480305</v>
      </c>
      <c r="G1220">
        <f t="shared" si="100"/>
        <v>19</v>
      </c>
      <c r="H1220">
        <v>1</v>
      </c>
      <c r="I1220">
        <f t="shared" si="101"/>
        <v>2</v>
      </c>
      <c r="J1220">
        <f t="shared" si="102"/>
        <v>2021</v>
      </c>
      <c r="K1220" s="17">
        <f t="shared" si="103"/>
        <v>44228</v>
      </c>
      <c r="L1220">
        <f t="shared" si="104"/>
        <v>0</v>
      </c>
    </row>
    <row r="1221" spans="1:12" x14ac:dyDescent="0.3">
      <c r="A1221" s="38">
        <v>44245</v>
      </c>
      <c r="B1221" s="39">
        <v>-0.32110807699281452</v>
      </c>
      <c r="C1221" s="39">
        <v>0.19201340950701251</v>
      </c>
      <c r="D1221" s="39">
        <v>-1.7476537768954472</v>
      </c>
      <c r="E1221" s="39">
        <v>-1.0089152506137182</v>
      </c>
      <c r="G1221">
        <f t="shared" ref="G1221:G1231" si="105">+DAY(A1221)</f>
        <v>18</v>
      </c>
      <c r="H1221">
        <v>1</v>
      </c>
      <c r="I1221">
        <f t="shared" ref="I1221:I1231" si="106">+MONTH(A1221)</f>
        <v>2</v>
      </c>
      <c r="J1221">
        <f t="shared" ref="J1221:J1231" si="107">+YEAR(A1221)</f>
        <v>2021</v>
      </c>
      <c r="K1221" s="17">
        <f t="shared" ref="K1221:K1231" si="108">+DATE(J1221,I1221,H1221)</f>
        <v>44228</v>
      </c>
      <c r="L1221">
        <f t="shared" ref="L1221:L1231" si="109">IF(AND(G1221&gt;=1, G1221&lt;=4), 1, 0)</f>
        <v>0</v>
      </c>
    </row>
    <row r="1222" spans="1:12" x14ac:dyDescent="0.3">
      <c r="A1222" s="38">
        <v>44244</v>
      </c>
      <c r="B1222" s="39">
        <v>-1.0429818913416327</v>
      </c>
      <c r="C1222" s="39">
        <v>-0.50663178384327523</v>
      </c>
      <c r="D1222" s="39">
        <v>-2.1728371857385085</v>
      </c>
      <c r="E1222" s="39">
        <v>-1.7954459194110441</v>
      </c>
      <c r="G1222">
        <f t="shared" si="105"/>
        <v>17</v>
      </c>
      <c r="H1222">
        <v>1</v>
      </c>
      <c r="I1222">
        <f t="shared" si="106"/>
        <v>2</v>
      </c>
      <c r="J1222">
        <f t="shared" si="107"/>
        <v>2021</v>
      </c>
      <c r="K1222" s="17">
        <f t="shared" si="108"/>
        <v>44228</v>
      </c>
      <c r="L1222">
        <f t="shared" si="109"/>
        <v>0</v>
      </c>
    </row>
    <row r="1223" spans="1:12" x14ac:dyDescent="0.3">
      <c r="A1223" s="38">
        <v>44243</v>
      </c>
      <c r="B1223" s="39">
        <v>-0.68296424918470677</v>
      </c>
      <c r="C1223" s="39">
        <v>-0.13682665723545995</v>
      </c>
      <c r="D1223" s="39">
        <v>-1.8446379923034684</v>
      </c>
      <c r="E1223" s="39">
        <v>-1.3876444081627923</v>
      </c>
      <c r="G1223">
        <f t="shared" si="105"/>
        <v>16</v>
      </c>
      <c r="H1223">
        <v>1</v>
      </c>
      <c r="I1223">
        <f t="shared" si="106"/>
        <v>2</v>
      </c>
      <c r="J1223">
        <f t="shared" si="107"/>
        <v>2021</v>
      </c>
      <c r="K1223" s="17">
        <f t="shared" si="108"/>
        <v>44228</v>
      </c>
      <c r="L1223">
        <f t="shared" si="109"/>
        <v>0</v>
      </c>
    </row>
    <row r="1224" spans="1:12" x14ac:dyDescent="0.3">
      <c r="A1224" s="38">
        <v>44242</v>
      </c>
      <c r="B1224" s="39">
        <v>-1.1511256264722221</v>
      </c>
      <c r="C1224" s="39">
        <v>-0.66467755176607568</v>
      </c>
      <c r="D1224" s="39">
        <v>-2.0475255172742166</v>
      </c>
      <c r="E1224" s="39">
        <v>-1.9777323384268755</v>
      </c>
      <c r="G1224">
        <f t="shared" si="105"/>
        <v>15</v>
      </c>
      <c r="H1224">
        <v>1</v>
      </c>
      <c r="I1224">
        <f t="shared" si="106"/>
        <v>2</v>
      </c>
      <c r="J1224">
        <f t="shared" si="107"/>
        <v>2021</v>
      </c>
      <c r="K1224" s="17">
        <f t="shared" si="108"/>
        <v>44228</v>
      </c>
      <c r="L1224">
        <f t="shared" si="109"/>
        <v>0</v>
      </c>
    </row>
    <row r="1225" spans="1:12" x14ac:dyDescent="0.3">
      <c r="A1225" s="38">
        <v>44238</v>
      </c>
      <c r="B1225" s="39">
        <v>-1.1544610803576205</v>
      </c>
      <c r="C1225" s="39">
        <v>-0.71334569404334047</v>
      </c>
      <c r="D1225" s="39">
        <v>-1.8994770301401616</v>
      </c>
      <c r="E1225" s="39">
        <v>-1.8981803584967878</v>
      </c>
      <c r="G1225">
        <f t="shared" si="105"/>
        <v>11</v>
      </c>
      <c r="H1225">
        <v>1</v>
      </c>
      <c r="I1225">
        <f t="shared" si="106"/>
        <v>2</v>
      </c>
      <c r="J1225">
        <f t="shared" si="107"/>
        <v>2021</v>
      </c>
      <c r="K1225" s="17">
        <f t="shared" si="108"/>
        <v>44228</v>
      </c>
      <c r="L1225">
        <f t="shared" si="109"/>
        <v>0</v>
      </c>
    </row>
    <row r="1226" spans="1:12" x14ac:dyDescent="0.3">
      <c r="A1226" s="38">
        <v>44237</v>
      </c>
      <c r="B1226" s="39">
        <v>-0.91502415910825619</v>
      </c>
      <c r="C1226" s="39">
        <v>-0.48703472922459667</v>
      </c>
      <c r="D1226" s="39">
        <v>-1.8115285347435517</v>
      </c>
      <c r="E1226" s="39">
        <v>-1.6741730050187869</v>
      </c>
      <c r="G1226">
        <f t="shared" si="105"/>
        <v>10</v>
      </c>
      <c r="H1226">
        <v>1</v>
      </c>
      <c r="I1226">
        <f t="shared" si="106"/>
        <v>2</v>
      </c>
      <c r="J1226">
        <f t="shared" si="107"/>
        <v>2021</v>
      </c>
      <c r="K1226" s="17">
        <f t="shared" si="108"/>
        <v>44228</v>
      </c>
      <c r="L1226">
        <f t="shared" si="109"/>
        <v>0</v>
      </c>
    </row>
    <row r="1227" spans="1:12" x14ac:dyDescent="0.3">
      <c r="A1227" s="38">
        <v>44236</v>
      </c>
      <c r="B1227" s="39">
        <v>-0.55089464655736009</v>
      </c>
      <c r="C1227" s="39">
        <v>-0.19830533703152042</v>
      </c>
      <c r="D1227" s="39">
        <v>-1.4573523058069711</v>
      </c>
      <c r="E1227" s="39">
        <v>-1.2776454189335027</v>
      </c>
      <c r="G1227">
        <f t="shared" si="105"/>
        <v>9</v>
      </c>
      <c r="H1227">
        <v>1</v>
      </c>
      <c r="I1227">
        <f t="shared" si="106"/>
        <v>2</v>
      </c>
      <c r="J1227">
        <f t="shared" si="107"/>
        <v>2021</v>
      </c>
      <c r="K1227" s="17">
        <f t="shared" si="108"/>
        <v>44228</v>
      </c>
      <c r="L1227">
        <f t="shared" si="109"/>
        <v>0</v>
      </c>
    </row>
    <row r="1228" spans="1:12" x14ac:dyDescent="0.3">
      <c r="A1228" s="38">
        <v>44235</v>
      </c>
      <c r="B1228" s="39">
        <v>-0.53131534935786107</v>
      </c>
      <c r="C1228" s="39">
        <v>-0.1250090275175495</v>
      </c>
      <c r="D1228" s="39">
        <v>-1.5140316539751595</v>
      </c>
      <c r="E1228" s="39">
        <v>-1.1742324860670621</v>
      </c>
      <c r="G1228">
        <f t="shared" si="105"/>
        <v>8</v>
      </c>
      <c r="H1228">
        <v>1</v>
      </c>
      <c r="I1228">
        <f t="shared" si="106"/>
        <v>2</v>
      </c>
      <c r="J1228">
        <f t="shared" si="107"/>
        <v>2021</v>
      </c>
      <c r="K1228" s="17">
        <f t="shared" si="108"/>
        <v>44228</v>
      </c>
      <c r="L1228">
        <f t="shared" si="109"/>
        <v>0</v>
      </c>
    </row>
    <row r="1229" spans="1:12" x14ac:dyDescent="0.3">
      <c r="A1229" s="38">
        <v>44232</v>
      </c>
      <c r="B1229" s="39">
        <v>-0.4922401567436907</v>
      </c>
      <c r="C1229" s="39">
        <v>-2.7430769305865965E-2</v>
      </c>
      <c r="D1229" s="39">
        <v>-1.4909488507097564</v>
      </c>
      <c r="E1229" s="39">
        <v>-1.0796328961186319</v>
      </c>
      <c r="G1229">
        <f t="shared" si="105"/>
        <v>5</v>
      </c>
      <c r="H1229">
        <v>1</v>
      </c>
      <c r="I1229">
        <f t="shared" si="106"/>
        <v>2</v>
      </c>
      <c r="J1229">
        <f t="shared" si="107"/>
        <v>2021</v>
      </c>
      <c r="K1229" s="17">
        <f t="shared" si="108"/>
        <v>44228</v>
      </c>
      <c r="L1229">
        <f t="shared" si="109"/>
        <v>0</v>
      </c>
    </row>
    <row r="1230" spans="1:12" x14ac:dyDescent="0.3">
      <c r="A1230" s="38">
        <v>44231</v>
      </c>
      <c r="B1230" s="39">
        <v>-0.51255749696436226</v>
      </c>
      <c r="C1230" s="39">
        <v>-8.4118190471173193E-2</v>
      </c>
      <c r="D1230" s="39">
        <v>-1.4156085108197232</v>
      </c>
      <c r="E1230" s="39">
        <v>-1.0714979073885402</v>
      </c>
      <c r="G1230">
        <f t="shared" si="105"/>
        <v>4</v>
      </c>
      <c r="H1230">
        <v>1</v>
      </c>
      <c r="I1230">
        <f t="shared" si="106"/>
        <v>2</v>
      </c>
      <c r="J1230">
        <f t="shared" si="107"/>
        <v>2021</v>
      </c>
      <c r="K1230" s="17">
        <f t="shared" si="108"/>
        <v>44228</v>
      </c>
      <c r="L1230">
        <f t="shared" si="109"/>
        <v>1</v>
      </c>
    </row>
    <row r="1231" spans="1:12" x14ac:dyDescent="0.3">
      <c r="A1231" s="40">
        <v>44230</v>
      </c>
      <c r="B1231" s="41">
        <v>-0.51602837425893711</v>
      </c>
      <c r="C1231" s="41">
        <v>-0.10621461366257279</v>
      </c>
      <c r="D1231" s="41">
        <v>-1.3214387901302587</v>
      </c>
      <c r="E1231" s="41">
        <v>-1.0474993123192888</v>
      </c>
      <c r="G1231">
        <f t="shared" si="105"/>
        <v>3</v>
      </c>
      <c r="H1231">
        <v>1</v>
      </c>
      <c r="I1231">
        <f t="shared" si="106"/>
        <v>2</v>
      </c>
      <c r="J1231">
        <f t="shared" si="107"/>
        <v>2021</v>
      </c>
      <c r="K1231" s="17">
        <f t="shared" si="108"/>
        <v>44228</v>
      </c>
      <c r="L1231">
        <f t="shared" si="10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C20E-B82B-40D3-AAAE-C5B3BB6D5D81}">
  <dimension ref="A1:S7027"/>
  <sheetViews>
    <sheetView showGridLines="0" workbookViewId="0">
      <selection activeCell="B5" sqref="B5:C6"/>
    </sheetView>
  </sheetViews>
  <sheetFormatPr defaultRowHeight="14.4" x14ac:dyDescent="0.3"/>
  <cols>
    <col min="1" max="1" width="13.109375" bestFit="1" customWidth="1"/>
    <col min="2" max="2" width="30" bestFit="1" customWidth="1"/>
    <col min="3" max="3" width="23.5546875" bestFit="1" customWidth="1"/>
    <col min="4" max="4" width="11.5546875" bestFit="1" customWidth="1"/>
    <col min="5" max="5" width="11.109375" bestFit="1" customWidth="1"/>
    <col min="6" max="6" width="14.5546875" bestFit="1" customWidth="1"/>
    <col min="7" max="8" width="14.5546875" customWidth="1"/>
    <col min="14" max="14" width="9.44140625" bestFit="1" customWidth="1"/>
    <col min="16" max="16" width="9.44140625" bestFit="1" customWidth="1"/>
    <col min="17" max="17" width="18" style="55" bestFit="1" customWidth="1"/>
  </cols>
  <sheetData>
    <row r="1" spans="1:19" x14ac:dyDescent="0.3">
      <c r="A1" t="s">
        <v>107</v>
      </c>
      <c r="B1" t="s">
        <v>164</v>
      </c>
      <c r="C1" t="s">
        <v>108</v>
      </c>
      <c r="E1" t="s">
        <v>185</v>
      </c>
      <c r="Q1" s="54"/>
    </row>
    <row r="2" spans="1:19" x14ac:dyDescent="0.3">
      <c r="A2" t="s">
        <v>112</v>
      </c>
      <c r="B2" t="s">
        <v>165</v>
      </c>
      <c r="C2" t="s">
        <v>113</v>
      </c>
      <c r="E2" t="s">
        <v>113</v>
      </c>
    </row>
    <row r="3" spans="1:19" x14ac:dyDescent="0.3">
      <c r="A3" t="s">
        <v>117</v>
      </c>
      <c r="B3" t="s">
        <v>166</v>
      </c>
      <c r="C3" t="s">
        <v>118</v>
      </c>
      <c r="E3" t="s">
        <v>186</v>
      </c>
      <c r="Q3" s="55" t="s">
        <v>167</v>
      </c>
    </row>
    <row r="4" spans="1:19" x14ac:dyDescent="0.3">
      <c r="A4" t="s">
        <v>120</v>
      </c>
      <c r="B4" t="s">
        <v>121</v>
      </c>
      <c r="C4" t="s">
        <v>121</v>
      </c>
      <c r="E4" t="s">
        <v>168</v>
      </c>
      <c r="F4" s="53" t="s">
        <v>169</v>
      </c>
      <c r="Q4" s="56" t="s">
        <v>169</v>
      </c>
      <c r="S4" t="s">
        <v>151</v>
      </c>
    </row>
    <row r="5" spans="1:19" x14ac:dyDescent="0.3">
      <c r="A5" s="17">
        <v>46055</v>
      </c>
      <c r="B5">
        <v>399.2</v>
      </c>
      <c r="C5">
        <v>64.989999999999995</v>
      </c>
      <c r="D5">
        <f>+B5-C5</f>
        <v>334.21</v>
      </c>
      <c r="E5">
        <v>0.92</v>
      </c>
      <c r="F5">
        <f>+E5-D5</f>
        <v>-333.28999999999996</v>
      </c>
      <c r="I5">
        <f t="shared" ref="I5:I68" si="0">+DAY(A5)</f>
        <v>2</v>
      </c>
      <c r="J5">
        <v>1</v>
      </c>
      <c r="K5">
        <f t="shared" ref="K5:K68" si="1">+MONTH(A5)</f>
        <v>2</v>
      </c>
      <c r="L5">
        <f t="shared" ref="L5:L68" si="2">+YEAR(A5)</f>
        <v>2026</v>
      </c>
      <c r="N5" s="17">
        <f>+DATE(L5,K5,J5)</f>
        <v>46054</v>
      </c>
      <c r="P5" s="17">
        <v>46054</v>
      </c>
      <c r="Q5" s="55">
        <f t="shared" ref="Q5:Q68" si="3">+AVERAGEIFS($F$5:$F$3568,$N$5:$N$3568,$P5,$S$5:$S$3568,1)</f>
        <v>-333.28999999999996</v>
      </c>
      <c r="S5">
        <f>IF(AND(I5&gt;=1, I5&lt;=4), 1, 0)</f>
        <v>1</v>
      </c>
    </row>
    <row r="6" spans="1:19" x14ac:dyDescent="0.3">
      <c r="A6" s="17">
        <v>46052</v>
      </c>
      <c r="B6">
        <v>411.94</v>
      </c>
      <c r="C6">
        <v>66.540000000000006</v>
      </c>
      <c r="D6">
        <f t="shared" ref="D6:D69" si="4">+B6-C6</f>
        <v>345.4</v>
      </c>
      <c r="E6">
        <v>0.54</v>
      </c>
      <c r="F6">
        <f t="shared" ref="F6:F69" si="5">+E6-D6</f>
        <v>-344.85999999999996</v>
      </c>
      <c r="I6">
        <f t="shared" si="0"/>
        <v>30</v>
      </c>
      <c r="J6">
        <v>1</v>
      </c>
      <c r="K6">
        <f t="shared" si="1"/>
        <v>1</v>
      </c>
      <c r="L6">
        <f t="shared" si="2"/>
        <v>2026</v>
      </c>
      <c r="N6" s="17">
        <f t="shared" ref="N6:N69" si="6">+DATE(L6,K6,J6)</f>
        <v>46023</v>
      </c>
      <c r="P6" s="17">
        <v>46023</v>
      </c>
      <c r="Q6" s="55">
        <f t="shared" si="3"/>
        <v>-277.10999999999996</v>
      </c>
      <c r="S6">
        <f t="shared" ref="S6:S69" si="7">IF(AND(I6&gt;=1, I6&lt;=4), 1, 0)</f>
        <v>0</v>
      </c>
    </row>
    <row r="7" spans="1:19" x14ac:dyDescent="0.3">
      <c r="A7" s="17">
        <v>46051</v>
      </c>
      <c r="B7">
        <v>412.55</v>
      </c>
      <c r="C7">
        <v>66.349999999999994</v>
      </c>
      <c r="D7">
        <f t="shared" si="4"/>
        <v>346.20000000000005</v>
      </c>
      <c r="E7">
        <v>0.52</v>
      </c>
      <c r="F7">
        <f t="shared" si="5"/>
        <v>-345.68000000000006</v>
      </c>
      <c r="I7">
        <f t="shared" si="0"/>
        <v>29</v>
      </c>
      <c r="J7">
        <v>1</v>
      </c>
      <c r="K7">
        <f t="shared" si="1"/>
        <v>1</v>
      </c>
      <c r="L7">
        <f t="shared" si="2"/>
        <v>2026</v>
      </c>
      <c r="N7" s="17">
        <f t="shared" si="6"/>
        <v>46023</v>
      </c>
      <c r="P7" s="17">
        <v>45992</v>
      </c>
      <c r="Q7" s="55">
        <f t="shared" si="3"/>
        <v>-271.51249999999999</v>
      </c>
      <c r="S7">
        <f t="shared" si="7"/>
        <v>0</v>
      </c>
    </row>
    <row r="8" spans="1:19" x14ac:dyDescent="0.3">
      <c r="A8" s="17">
        <v>46050</v>
      </c>
      <c r="B8">
        <v>397.36</v>
      </c>
      <c r="C8">
        <v>64.66</v>
      </c>
      <c r="D8">
        <f t="shared" si="4"/>
        <v>332.70000000000005</v>
      </c>
      <c r="E8">
        <v>0.46</v>
      </c>
      <c r="F8">
        <f t="shared" si="5"/>
        <v>-332.24000000000007</v>
      </c>
      <c r="I8">
        <f t="shared" si="0"/>
        <v>28</v>
      </c>
      <c r="J8">
        <v>1</v>
      </c>
      <c r="K8">
        <f t="shared" si="1"/>
        <v>1</v>
      </c>
      <c r="L8">
        <f t="shared" si="2"/>
        <v>2026</v>
      </c>
      <c r="N8" s="17">
        <f t="shared" si="6"/>
        <v>46023</v>
      </c>
      <c r="P8" s="17">
        <v>45962</v>
      </c>
      <c r="Q8" s="55">
        <f t="shared" si="3"/>
        <v>-302.30499999999995</v>
      </c>
      <c r="S8">
        <f t="shared" si="7"/>
        <v>0</v>
      </c>
    </row>
    <row r="9" spans="1:19" x14ac:dyDescent="0.3">
      <c r="A9" s="17">
        <v>46049</v>
      </c>
      <c r="B9">
        <v>382.21</v>
      </c>
      <c r="C9">
        <v>62.88</v>
      </c>
      <c r="D9">
        <f t="shared" si="4"/>
        <v>319.33</v>
      </c>
      <c r="E9">
        <v>0.27</v>
      </c>
      <c r="F9">
        <f t="shared" si="5"/>
        <v>-319.06</v>
      </c>
      <c r="I9">
        <f t="shared" si="0"/>
        <v>27</v>
      </c>
      <c r="J9">
        <v>1</v>
      </c>
      <c r="K9">
        <f t="shared" si="1"/>
        <v>1</v>
      </c>
      <c r="L9">
        <f t="shared" si="2"/>
        <v>2026</v>
      </c>
      <c r="N9" s="17">
        <f t="shared" si="6"/>
        <v>46023</v>
      </c>
      <c r="P9" s="17">
        <v>45931</v>
      </c>
      <c r="Q9" s="55">
        <f t="shared" si="3"/>
        <v>-323.69333333333338</v>
      </c>
      <c r="S9">
        <f t="shared" si="7"/>
        <v>0</v>
      </c>
    </row>
    <row r="10" spans="1:19" x14ac:dyDescent="0.3">
      <c r="A10" s="17">
        <v>46048</v>
      </c>
      <c r="B10">
        <v>397.11</v>
      </c>
      <c r="C10">
        <v>63.555</v>
      </c>
      <c r="D10">
        <f t="shared" si="4"/>
        <v>333.55500000000001</v>
      </c>
      <c r="E10">
        <v>0.27</v>
      </c>
      <c r="F10">
        <f t="shared" si="5"/>
        <v>-333.28500000000003</v>
      </c>
      <c r="I10">
        <f t="shared" si="0"/>
        <v>26</v>
      </c>
      <c r="J10">
        <v>1</v>
      </c>
      <c r="K10">
        <f t="shared" si="1"/>
        <v>1</v>
      </c>
      <c r="L10">
        <f t="shared" si="2"/>
        <v>2026</v>
      </c>
      <c r="N10" s="17">
        <f t="shared" si="6"/>
        <v>46023</v>
      </c>
      <c r="P10" s="17">
        <v>45901</v>
      </c>
      <c r="Q10" s="55">
        <f t="shared" si="3"/>
        <v>-324.20875000000001</v>
      </c>
      <c r="S10">
        <f t="shared" si="7"/>
        <v>0</v>
      </c>
    </row>
    <row r="11" spans="1:19" x14ac:dyDescent="0.3">
      <c r="A11" s="17">
        <v>46045</v>
      </c>
      <c r="B11">
        <v>382.05</v>
      </c>
      <c r="C11">
        <v>62.27</v>
      </c>
      <c r="D11">
        <f t="shared" si="4"/>
        <v>319.78000000000003</v>
      </c>
      <c r="E11">
        <v>0.17</v>
      </c>
      <c r="F11">
        <f t="shared" si="5"/>
        <v>-319.61</v>
      </c>
      <c r="I11">
        <f t="shared" si="0"/>
        <v>23</v>
      </c>
      <c r="J11">
        <v>1</v>
      </c>
      <c r="K11">
        <f t="shared" si="1"/>
        <v>1</v>
      </c>
      <c r="L11">
        <f t="shared" si="2"/>
        <v>2026</v>
      </c>
      <c r="N11" s="17">
        <f t="shared" si="6"/>
        <v>46023</v>
      </c>
      <c r="P11" s="17">
        <v>45870</v>
      </c>
      <c r="Q11" s="55">
        <f t="shared" si="3"/>
        <v>-334.61</v>
      </c>
      <c r="S11">
        <f t="shared" si="7"/>
        <v>0</v>
      </c>
    </row>
    <row r="12" spans="1:19" x14ac:dyDescent="0.3">
      <c r="A12" s="17">
        <v>46044</v>
      </c>
      <c r="B12">
        <v>373.84</v>
      </c>
      <c r="C12">
        <v>63.21</v>
      </c>
      <c r="D12">
        <f t="shared" si="4"/>
        <v>310.63</v>
      </c>
      <c r="E12">
        <v>0.12</v>
      </c>
      <c r="F12">
        <f t="shared" si="5"/>
        <v>-310.51</v>
      </c>
      <c r="I12">
        <f t="shared" si="0"/>
        <v>22</v>
      </c>
      <c r="J12">
        <v>1</v>
      </c>
      <c r="K12">
        <f t="shared" si="1"/>
        <v>1</v>
      </c>
      <c r="L12">
        <f t="shared" si="2"/>
        <v>2026</v>
      </c>
      <c r="N12" s="17">
        <f t="shared" si="6"/>
        <v>46023</v>
      </c>
      <c r="P12" s="17">
        <v>45839</v>
      </c>
      <c r="Q12" s="55">
        <f t="shared" si="3"/>
        <v>-335.96000000000004</v>
      </c>
      <c r="S12">
        <f t="shared" si="7"/>
        <v>0</v>
      </c>
    </row>
    <row r="13" spans="1:19" x14ac:dyDescent="0.3">
      <c r="A13" s="17">
        <v>46043</v>
      </c>
      <c r="B13">
        <v>362.81</v>
      </c>
      <c r="C13">
        <v>62.34</v>
      </c>
      <c r="D13">
        <f t="shared" si="4"/>
        <v>300.47000000000003</v>
      </c>
      <c r="E13">
        <v>0.11</v>
      </c>
      <c r="F13">
        <f t="shared" si="5"/>
        <v>-300.36</v>
      </c>
      <c r="I13">
        <f t="shared" si="0"/>
        <v>21</v>
      </c>
      <c r="J13">
        <v>1</v>
      </c>
      <c r="K13">
        <f t="shared" si="1"/>
        <v>1</v>
      </c>
      <c r="L13">
        <f t="shared" si="2"/>
        <v>2026</v>
      </c>
      <c r="N13" s="17">
        <f t="shared" si="6"/>
        <v>46023</v>
      </c>
      <c r="P13" s="17">
        <v>45809</v>
      </c>
      <c r="Q13" s="55">
        <f t="shared" si="3"/>
        <v>-359.22</v>
      </c>
      <c r="S13">
        <f t="shared" si="7"/>
        <v>0</v>
      </c>
    </row>
    <row r="14" spans="1:19" x14ac:dyDescent="0.3">
      <c r="A14" s="17">
        <v>46042</v>
      </c>
      <c r="B14">
        <v>355.92</v>
      </c>
      <c r="C14">
        <v>61.8</v>
      </c>
      <c r="D14">
        <f t="shared" si="4"/>
        <v>294.12</v>
      </c>
      <c r="E14">
        <v>0.1</v>
      </c>
      <c r="F14">
        <f t="shared" si="5"/>
        <v>-294.02</v>
      </c>
      <c r="I14">
        <f t="shared" si="0"/>
        <v>20</v>
      </c>
      <c r="J14">
        <v>1</v>
      </c>
      <c r="K14">
        <f t="shared" si="1"/>
        <v>1</v>
      </c>
      <c r="L14">
        <f t="shared" si="2"/>
        <v>2026</v>
      </c>
      <c r="N14" s="17">
        <f t="shared" si="6"/>
        <v>46023</v>
      </c>
      <c r="P14" s="17">
        <v>45778</v>
      </c>
      <c r="Q14" s="55">
        <f t="shared" si="3"/>
        <v>-335.49</v>
      </c>
      <c r="S14">
        <f t="shared" si="7"/>
        <v>0</v>
      </c>
    </row>
    <row r="15" spans="1:19" x14ac:dyDescent="0.3">
      <c r="A15" s="17">
        <v>46041</v>
      </c>
      <c r="B15">
        <v>359.96</v>
      </c>
      <c r="C15">
        <v>61.95</v>
      </c>
      <c r="D15">
        <f t="shared" si="4"/>
        <v>298.01</v>
      </c>
      <c r="E15">
        <v>0.11</v>
      </c>
      <c r="F15">
        <f t="shared" si="5"/>
        <v>-297.89999999999998</v>
      </c>
      <c r="I15">
        <f t="shared" si="0"/>
        <v>19</v>
      </c>
      <c r="J15">
        <v>1</v>
      </c>
      <c r="K15">
        <f t="shared" si="1"/>
        <v>1</v>
      </c>
      <c r="L15">
        <f t="shared" si="2"/>
        <v>2026</v>
      </c>
      <c r="N15" s="17">
        <f t="shared" si="6"/>
        <v>46023</v>
      </c>
      <c r="P15" s="17">
        <v>45748</v>
      </c>
      <c r="Q15" s="55">
        <f t="shared" si="3"/>
        <v>-367.13499999999999</v>
      </c>
      <c r="S15">
        <f t="shared" si="7"/>
        <v>0</v>
      </c>
    </row>
    <row r="16" spans="1:19" x14ac:dyDescent="0.3">
      <c r="A16" s="17">
        <v>46038</v>
      </c>
      <c r="B16">
        <v>358.05</v>
      </c>
      <c r="C16">
        <v>62.28</v>
      </c>
      <c r="D16">
        <f t="shared" si="4"/>
        <v>295.77</v>
      </c>
      <c r="E16">
        <v>7.0000000000000007E-2</v>
      </c>
      <c r="F16">
        <f t="shared" si="5"/>
        <v>-295.7</v>
      </c>
      <c r="I16">
        <f t="shared" si="0"/>
        <v>16</v>
      </c>
      <c r="J16">
        <v>1</v>
      </c>
      <c r="K16">
        <f t="shared" si="1"/>
        <v>1</v>
      </c>
      <c r="L16">
        <f t="shared" si="2"/>
        <v>2026</v>
      </c>
      <c r="N16" s="17">
        <f t="shared" si="6"/>
        <v>46023</v>
      </c>
      <c r="P16" s="17">
        <v>45717</v>
      </c>
      <c r="Q16" s="55">
        <f t="shared" si="3"/>
        <v>-390.87</v>
      </c>
      <c r="S16">
        <f t="shared" si="7"/>
        <v>0</v>
      </c>
    </row>
    <row r="17" spans="1:19" x14ac:dyDescent="0.3">
      <c r="A17" s="17">
        <v>46037</v>
      </c>
      <c r="B17">
        <v>358.69</v>
      </c>
      <c r="C17">
        <v>62.55</v>
      </c>
      <c r="D17">
        <f t="shared" si="4"/>
        <v>296.14</v>
      </c>
      <c r="E17">
        <v>0.06</v>
      </c>
      <c r="F17">
        <f t="shared" si="5"/>
        <v>-296.08</v>
      </c>
      <c r="I17">
        <f t="shared" si="0"/>
        <v>15</v>
      </c>
      <c r="J17">
        <v>1</v>
      </c>
      <c r="K17">
        <f t="shared" si="1"/>
        <v>1</v>
      </c>
      <c r="L17">
        <f t="shared" si="2"/>
        <v>2026</v>
      </c>
      <c r="N17" s="17">
        <f t="shared" si="6"/>
        <v>46023</v>
      </c>
      <c r="P17" s="17">
        <v>45689</v>
      </c>
      <c r="Q17" s="55">
        <f t="shared" si="3"/>
        <v>-398.49250000000001</v>
      </c>
      <c r="S17">
        <f t="shared" si="7"/>
        <v>0</v>
      </c>
    </row>
    <row r="18" spans="1:19" x14ac:dyDescent="0.3">
      <c r="A18" s="17">
        <v>46036</v>
      </c>
      <c r="B18">
        <v>358</v>
      </c>
      <c r="C18">
        <v>62.41</v>
      </c>
      <c r="D18">
        <f t="shared" si="4"/>
        <v>295.59000000000003</v>
      </c>
      <c r="E18">
        <v>0.08</v>
      </c>
      <c r="F18">
        <f t="shared" si="5"/>
        <v>-295.51000000000005</v>
      </c>
      <c r="I18">
        <f t="shared" si="0"/>
        <v>14</v>
      </c>
      <c r="J18">
        <v>1</v>
      </c>
      <c r="K18">
        <f t="shared" si="1"/>
        <v>1</v>
      </c>
      <c r="L18">
        <f t="shared" si="2"/>
        <v>2026</v>
      </c>
      <c r="N18" s="17">
        <f t="shared" si="6"/>
        <v>46023</v>
      </c>
      <c r="P18" s="17">
        <v>45658</v>
      </c>
      <c r="Q18" s="55">
        <f t="shared" si="3"/>
        <v>-375.44500000000005</v>
      </c>
      <c r="S18">
        <f t="shared" si="7"/>
        <v>0</v>
      </c>
    </row>
    <row r="19" spans="1:19" x14ac:dyDescent="0.3">
      <c r="A19" s="17">
        <v>46035</v>
      </c>
      <c r="B19">
        <v>344.6</v>
      </c>
      <c r="C19">
        <v>61.76</v>
      </c>
      <c r="D19">
        <f t="shared" si="4"/>
        <v>282.84000000000003</v>
      </c>
      <c r="E19">
        <v>0.05</v>
      </c>
      <c r="F19">
        <f t="shared" si="5"/>
        <v>-282.79000000000002</v>
      </c>
      <c r="I19">
        <f t="shared" si="0"/>
        <v>13</v>
      </c>
      <c r="J19">
        <v>1</v>
      </c>
      <c r="K19">
        <f t="shared" si="1"/>
        <v>1</v>
      </c>
      <c r="L19">
        <f t="shared" si="2"/>
        <v>2026</v>
      </c>
      <c r="N19" s="17">
        <f t="shared" si="6"/>
        <v>46023</v>
      </c>
      <c r="P19" s="17">
        <v>45627</v>
      </c>
      <c r="Q19" s="55">
        <f t="shared" si="3"/>
        <v>-371.22166666666664</v>
      </c>
      <c r="S19">
        <f t="shared" si="7"/>
        <v>0</v>
      </c>
    </row>
    <row r="20" spans="1:19" x14ac:dyDescent="0.3">
      <c r="A20" s="17">
        <v>46034</v>
      </c>
      <c r="B20">
        <v>337.66</v>
      </c>
      <c r="C20">
        <v>61.405000000000001</v>
      </c>
      <c r="D20">
        <f t="shared" si="4"/>
        <v>276.255</v>
      </c>
      <c r="E20">
        <v>0.03</v>
      </c>
      <c r="F20">
        <f t="shared" si="5"/>
        <v>-276.22500000000002</v>
      </c>
      <c r="I20">
        <f t="shared" si="0"/>
        <v>12</v>
      </c>
      <c r="J20">
        <v>1</v>
      </c>
      <c r="K20">
        <f t="shared" si="1"/>
        <v>1</v>
      </c>
      <c r="L20">
        <f t="shared" si="2"/>
        <v>2026</v>
      </c>
      <c r="N20" s="17">
        <f t="shared" si="6"/>
        <v>46023</v>
      </c>
      <c r="P20" s="17">
        <v>45597</v>
      </c>
      <c r="Q20" s="55">
        <f t="shared" si="3"/>
        <v>-373.435</v>
      </c>
      <c r="S20">
        <f t="shared" si="7"/>
        <v>0</v>
      </c>
    </row>
    <row r="21" spans="1:19" x14ac:dyDescent="0.3">
      <c r="A21" s="17">
        <v>46031</v>
      </c>
      <c r="B21">
        <v>340.88</v>
      </c>
      <c r="C21">
        <v>60.8</v>
      </c>
      <c r="D21">
        <f t="shared" si="4"/>
        <v>280.08</v>
      </c>
      <c r="E21">
        <v>-0.02</v>
      </c>
      <c r="F21">
        <f t="shared" si="5"/>
        <v>-280.09999999999997</v>
      </c>
      <c r="I21">
        <f t="shared" si="0"/>
        <v>9</v>
      </c>
      <c r="J21">
        <v>1</v>
      </c>
      <c r="K21">
        <f t="shared" si="1"/>
        <v>1</v>
      </c>
      <c r="L21">
        <f t="shared" si="2"/>
        <v>2026</v>
      </c>
      <c r="N21" s="17">
        <f t="shared" si="6"/>
        <v>46023</v>
      </c>
      <c r="P21" s="17">
        <v>45566</v>
      </c>
      <c r="Q21" s="55">
        <f t="shared" si="3"/>
        <v>-344.36</v>
      </c>
      <c r="S21">
        <f t="shared" si="7"/>
        <v>0</v>
      </c>
    </row>
    <row r="22" spans="1:19" x14ac:dyDescent="0.3">
      <c r="A22" s="17">
        <v>46030</v>
      </c>
      <c r="B22">
        <v>334.36</v>
      </c>
      <c r="C22">
        <v>58.32</v>
      </c>
      <c r="D22">
        <f t="shared" si="4"/>
        <v>276.04000000000002</v>
      </c>
      <c r="E22">
        <v>0.05</v>
      </c>
      <c r="F22">
        <f t="shared" si="5"/>
        <v>-275.99</v>
      </c>
      <c r="I22">
        <f t="shared" si="0"/>
        <v>8</v>
      </c>
      <c r="J22">
        <v>1</v>
      </c>
      <c r="K22">
        <f t="shared" si="1"/>
        <v>1</v>
      </c>
      <c r="L22">
        <f t="shared" si="2"/>
        <v>2026</v>
      </c>
      <c r="N22" s="17">
        <f t="shared" si="6"/>
        <v>46023</v>
      </c>
      <c r="P22" s="17">
        <v>45536</v>
      </c>
      <c r="Q22" s="55">
        <f t="shared" si="3"/>
        <v>-350.16333333333336</v>
      </c>
      <c r="S22">
        <f t="shared" si="7"/>
        <v>0</v>
      </c>
    </row>
    <row r="23" spans="1:19" x14ac:dyDescent="0.3">
      <c r="A23" s="17">
        <v>46029</v>
      </c>
      <c r="B23">
        <v>342.24</v>
      </c>
      <c r="C23">
        <v>58.3</v>
      </c>
      <c r="D23">
        <f t="shared" si="4"/>
        <v>283.94</v>
      </c>
      <c r="E23">
        <v>0.02</v>
      </c>
      <c r="F23">
        <f t="shared" si="5"/>
        <v>-283.92</v>
      </c>
      <c r="I23">
        <f t="shared" si="0"/>
        <v>7</v>
      </c>
      <c r="J23">
        <v>1</v>
      </c>
      <c r="K23">
        <f t="shared" si="1"/>
        <v>1</v>
      </c>
      <c r="L23">
        <f t="shared" si="2"/>
        <v>2026</v>
      </c>
      <c r="N23" s="17">
        <f t="shared" si="6"/>
        <v>46023</v>
      </c>
      <c r="P23" s="17">
        <v>45505</v>
      </c>
      <c r="Q23" s="55">
        <f t="shared" si="3"/>
        <v>-391.13</v>
      </c>
      <c r="S23">
        <f t="shared" si="7"/>
        <v>0</v>
      </c>
    </row>
    <row r="24" spans="1:19" x14ac:dyDescent="0.3">
      <c r="A24" s="17">
        <v>46028</v>
      </c>
      <c r="B24">
        <v>341.29</v>
      </c>
      <c r="C24">
        <v>59.4</v>
      </c>
      <c r="D24">
        <f t="shared" si="4"/>
        <v>281.89000000000004</v>
      </c>
      <c r="E24">
        <v>0.15</v>
      </c>
      <c r="F24">
        <f t="shared" si="5"/>
        <v>-281.74000000000007</v>
      </c>
      <c r="I24">
        <f t="shared" si="0"/>
        <v>6</v>
      </c>
      <c r="J24">
        <v>1</v>
      </c>
      <c r="K24">
        <f t="shared" si="1"/>
        <v>1</v>
      </c>
      <c r="L24">
        <f t="shared" si="2"/>
        <v>2026</v>
      </c>
      <c r="N24" s="17">
        <f t="shared" si="6"/>
        <v>46023</v>
      </c>
      <c r="P24" s="17">
        <v>45474</v>
      </c>
      <c r="Q24" s="55">
        <f t="shared" si="3"/>
        <v>-425.23874999999998</v>
      </c>
      <c r="S24">
        <f t="shared" si="7"/>
        <v>0</v>
      </c>
    </row>
    <row r="25" spans="1:19" x14ac:dyDescent="0.3">
      <c r="A25" s="17">
        <v>46027</v>
      </c>
      <c r="B25">
        <v>332.86</v>
      </c>
      <c r="C25">
        <v>58.25</v>
      </c>
      <c r="D25">
        <f t="shared" si="4"/>
        <v>274.61</v>
      </c>
      <c r="E25">
        <v>0.22</v>
      </c>
      <c r="F25">
        <f t="shared" si="5"/>
        <v>-274.39</v>
      </c>
      <c r="I25">
        <f t="shared" si="0"/>
        <v>5</v>
      </c>
      <c r="J25">
        <v>1</v>
      </c>
      <c r="K25">
        <f t="shared" si="1"/>
        <v>1</v>
      </c>
      <c r="L25">
        <f t="shared" si="2"/>
        <v>2026</v>
      </c>
      <c r="N25" s="17">
        <f t="shared" si="6"/>
        <v>46023</v>
      </c>
      <c r="P25" s="17">
        <v>45444</v>
      </c>
      <c r="Q25" s="55">
        <f t="shared" si="3"/>
        <v>-420.1925</v>
      </c>
      <c r="S25">
        <f t="shared" si="7"/>
        <v>0</v>
      </c>
    </row>
    <row r="26" spans="1:19" x14ac:dyDescent="0.3">
      <c r="A26" s="17">
        <v>46024</v>
      </c>
      <c r="B26">
        <v>337.53</v>
      </c>
      <c r="C26">
        <v>60.31</v>
      </c>
      <c r="D26">
        <f t="shared" si="4"/>
        <v>277.21999999999997</v>
      </c>
      <c r="E26">
        <v>0.11</v>
      </c>
      <c r="F26">
        <f t="shared" si="5"/>
        <v>-277.10999999999996</v>
      </c>
      <c r="I26">
        <f t="shared" si="0"/>
        <v>2</v>
      </c>
      <c r="J26">
        <v>1</v>
      </c>
      <c r="K26">
        <f t="shared" si="1"/>
        <v>1</v>
      </c>
      <c r="L26">
        <f t="shared" si="2"/>
        <v>2026</v>
      </c>
      <c r="N26" s="17">
        <f t="shared" si="6"/>
        <v>46023</v>
      </c>
      <c r="P26" s="17">
        <v>45413</v>
      </c>
      <c r="Q26" s="55">
        <f t="shared" si="3"/>
        <v>-420.505</v>
      </c>
      <c r="S26">
        <f t="shared" si="7"/>
        <v>1</v>
      </c>
    </row>
    <row r="27" spans="1:19" x14ac:dyDescent="0.3">
      <c r="A27" s="17">
        <v>46022</v>
      </c>
      <c r="B27">
        <v>340.83</v>
      </c>
      <c r="C27">
        <v>61.57</v>
      </c>
      <c r="D27">
        <f t="shared" si="4"/>
        <v>279.26</v>
      </c>
      <c r="E27">
        <v>0.15</v>
      </c>
      <c r="F27">
        <f t="shared" si="5"/>
        <v>-279.11</v>
      </c>
      <c r="I27">
        <f t="shared" si="0"/>
        <v>31</v>
      </c>
      <c r="J27">
        <v>1</v>
      </c>
      <c r="K27">
        <f t="shared" si="1"/>
        <v>12</v>
      </c>
      <c r="L27">
        <f t="shared" si="2"/>
        <v>2025</v>
      </c>
      <c r="N27" s="17">
        <f t="shared" si="6"/>
        <v>45992</v>
      </c>
      <c r="P27" s="17">
        <v>45383</v>
      </c>
      <c r="Q27" s="55">
        <f t="shared" si="3"/>
        <v>-390.57374999999996</v>
      </c>
      <c r="S27">
        <f t="shared" si="7"/>
        <v>0</v>
      </c>
    </row>
    <row r="28" spans="1:19" x14ac:dyDescent="0.3">
      <c r="A28" s="17">
        <v>46021</v>
      </c>
      <c r="B28">
        <v>340.05</v>
      </c>
      <c r="C28">
        <v>61.73</v>
      </c>
      <c r="D28">
        <f t="shared" si="4"/>
        <v>278.32</v>
      </c>
      <c r="E28">
        <v>0.14000000000000001</v>
      </c>
      <c r="F28">
        <f t="shared" si="5"/>
        <v>-278.18</v>
      </c>
      <c r="I28">
        <f t="shared" si="0"/>
        <v>30</v>
      </c>
      <c r="J28">
        <v>1</v>
      </c>
      <c r="K28">
        <f t="shared" si="1"/>
        <v>12</v>
      </c>
      <c r="L28">
        <f t="shared" si="2"/>
        <v>2025</v>
      </c>
      <c r="N28" s="17">
        <f t="shared" si="6"/>
        <v>45992</v>
      </c>
      <c r="P28" s="17">
        <v>45352</v>
      </c>
      <c r="Q28" s="55">
        <f t="shared" si="3"/>
        <v>-350.42250000000001</v>
      </c>
      <c r="S28">
        <f t="shared" si="7"/>
        <v>0</v>
      </c>
    </row>
    <row r="29" spans="1:19" x14ac:dyDescent="0.3">
      <c r="A29" s="17">
        <v>46020</v>
      </c>
      <c r="B29">
        <v>337.97</v>
      </c>
      <c r="C29">
        <v>61.25</v>
      </c>
      <c r="D29">
        <f t="shared" si="4"/>
        <v>276.72000000000003</v>
      </c>
      <c r="E29">
        <v>0.12</v>
      </c>
      <c r="F29">
        <f t="shared" si="5"/>
        <v>-276.60000000000002</v>
      </c>
      <c r="I29">
        <f t="shared" si="0"/>
        <v>29</v>
      </c>
      <c r="J29">
        <v>1</v>
      </c>
      <c r="K29">
        <f t="shared" si="1"/>
        <v>12</v>
      </c>
      <c r="L29">
        <f t="shared" si="2"/>
        <v>2025</v>
      </c>
      <c r="N29" s="17">
        <f t="shared" si="6"/>
        <v>45992</v>
      </c>
      <c r="P29" s="17">
        <v>45323</v>
      </c>
      <c r="Q29" s="55">
        <f t="shared" si="3"/>
        <v>-333.89499999999998</v>
      </c>
      <c r="S29">
        <f t="shared" si="7"/>
        <v>0</v>
      </c>
    </row>
    <row r="30" spans="1:19" x14ac:dyDescent="0.3">
      <c r="A30" s="17">
        <v>46017</v>
      </c>
      <c r="B30">
        <v>343.54</v>
      </c>
      <c r="C30">
        <v>62.22</v>
      </c>
      <c r="D30">
        <f t="shared" si="4"/>
        <v>281.32000000000005</v>
      </c>
      <c r="E30">
        <v>0.13</v>
      </c>
      <c r="F30">
        <f t="shared" si="5"/>
        <v>-281.19000000000005</v>
      </c>
      <c r="I30">
        <f t="shared" si="0"/>
        <v>26</v>
      </c>
      <c r="J30">
        <v>1</v>
      </c>
      <c r="K30">
        <f t="shared" si="1"/>
        <v>12</v>
      </c>
      <c r="L30">
        <f t="shared" si="2"/>
        <v>2025</v>
      </c>
      <c r="N30" s="17">
        <f t="shared" si="6"/>
        <v>45992</v>
      </c>
      <c r="P30" s="17">
        <v>45292</v>
      </c>
      <c r="Q30" s="55">
        <f t="shared" si="3"/>
        <v>-368.41833333333335</v>
      </c>
      <c r="S30">
        <f t="shared" si="7"/>
        <v>0</v>
      </c>
    </row>
    <row r="31" spans="1:19" x14ac:dyDescent="0.3">
      <c r="A31" s="17">
        <v>46015</v>
      </c>
      <c r="B31">
        <v>343.67</v>
      </c>
      <c r="C31">
        <v>62.35</v>
      </c>
      <c r="D31">
        <f t="shared" si="4"/>
        <v>281.32</v>
      </c>
      <c r="E31">
        <v>0.14000000000000001</v>
      </c>
      <c r="F31">
        <f t="shared" si="5"/>
        <v>-281.18</v>
      </c>
      <c r="I31">
        <f t="shared" si="0"/>
        <v>24</v>
      </c>
      <c r="J31">
        <v>1</v>
      </c>
      <c r="K31">
        <f t="shared" si="1"/>
        <v>12</v>
      </c>
      <c r="L31">
        <f t="shared" si="2"/>
        <v>2025</v>
      </c>
      <c r="N31" s="17">
        <f t="shared" si="6"/>
        <v>45992</v>
      </c>
      <c r="P31" s="17">
        <v>45261</v>
      </c>
      <c r="Q31" s="55">
        <f t="shared" si="3"/>
        <v>-361.45</v>
      </c>
      <c r="S31">
        <f t="shared" si="7"/>
        <v>0</v>
      </c>
    </row>
    <row r="32" spans="1:19" x14ac:dyDescent="0.3">
      <c r="A32" s="17">
        <v>46014</v>
      </c>
      <c r="B32">
        <v>344.43</v>
      </c>
      <c r="C32">
        <v>62.15</v>
      </c>
      <c r="D32">
        <f t="shared" si="4"/>
        <v>282.28000000000003</v>
      </c>
      <c r="E32">
        <v>0.22</v>
      </c>
      <c r="F32">
        <f t="shared" si="5"/>
        <v>-282.06</v>
      </c>
      <c r="I32">
        <f t="shared" si="0"/>
        <v>23</v>
      </c>
      <c r="J32">
        <v>1</v>
      </c>
      <c r="K32">
        <f t="shared" si="1"/>
        <v>12</v>
      </c>
      <c r="L32">
        <f t="shared" si="2"/>
        <v>2025</v>
      </c>
      <c r="N32" s="17">
        <f t="shared" si="6"/>
        <v>45992</v>
      </c>
      <c r="P32" s="17">
        <v>45231</v>
      </c>
      <c r="Q32" s="55">
        <f t="shared" si="3"/>
        <v>-362.48666666666668</v>
      </c>
      <c r="S32">
        <f t="shared" si="7"/>
        <v>0</v>
      </c>
    </row>
    <row r="33" spans="1:19" x14ac:dyDescent="0.3">
      <c r="A33" s="17">
        <v>46013</v>
      </c>
      <c r="B33">
        <v>338.5</v>
      </c>
      <c r="C33">
        <v>61.2</v>
      </c>
      <c r="D33">
        <f t="shared" si="4"/>
        <v>277.3</v>
      </c>
      <c r="E33">
        <v>0.21</v>
      </c>
      <c r="F33">
        <f t="shared" si="5"/>
        <v>-277.09000000000003</v>
      </c>
      <c r="I33">
        <f t="shared" si="0"/>
        <v>22</v>
      </c>
      <c r="J33">
        <v>1</v>
      </c>
      <c r="K33">
        <f t="shared" si="1"/>
        <v>12</v>
      </c>
      <c r="L33">
        <f t="shared" si="2"/>
        <v>2025</v>
      </c>
      <c r="N33" s="17">
        <f t="shared" si="6"/>
        <v>45992</v>
      </c>
      <c r="P33" s="17">
        <v>45200</v>
      </c>
      <c r="Q33" s="55">
        <f t="shared" si="3"/>
        <v>-384.92</v>
      </c>
      <c r="S33">
        <f t="shared" si="7"/>
        <v>0</v>
      </c>
    </row>
    <row r="34" spans="1:19" x14ac:dyDescent="0.3">
      <c r="A34" s="17">
        <v>46010</v>
      </c>
      <c r="B34">
        <v>332.16</v>
      </c>
      <c r="C34">
        <v>60.01</v>
      </c>
      <c r="D34">
        <f t="shared" si="4"/>
        <v>272.15000000000003</v>
      </c>
      <c r="E34">
        <v>0.31</v>
      </c>
      <c r="F34">
        <f t="shared" si="5"/>
        <v>-271.84000000000003</v>
      </c>
      <c r="I34">
        <f t="shared" si="0"/>
        <v>19</v>
      </c>
      <c r="J34">
        <v>1</v>
      </c>
      <c r="K34">
        <f t="shared" si="1"/>
        <v>12</v>
      </c>
      <c r="L34">
        <f t="shared" si="2"/>
        <v>2025</v>
      </c>
      <c r="N34" s="17">
        <f t="shared" si="6"/>
        <v>45992</v>
      </c>
      <c r="P34" s="17">
        <v>45170</v>
      </c>
      <c r="Q34" s="55">
        <f t="shared" si="3"/>
        <v>-417.52</v>
      </c>
      <c r="S34">
        <f t="shared" si="7"/>
        <v>0</v>
      </c>
    </row>
    <row r="35" spans="1:19" x14ac:dyDescent="0.3">
      <c r="A35" s="17">
        <v>46009</v>
      </c>
      <c r="B35">
        <v>339.26</v>
      </c>
      <c r="C35">
        <v>60.32</v>
      </c>
      <c r="D35">
        <f t="shared" si="4"/>
        <v>278.94</v>
      </c>
      <c r="E35">
        <v>0.39</v>
      </c>
      <c r="F35">
        <f t="shared" si="5"/>
        <v>-278.55</v>
      </c>
      <c r="I35">
        <f t="shared" si="0"/>
        <v>18</v>
      </c>
      <c r="J35">
        <v>1</v>
      </c>
      <c r="K35">
        <f t="shared" si="1"/>
        <v>12</v>
      </c>
      <c r="L35">
        <f t="shared" si="2"/>
        <v>2025</v>
      </c>
      <c r="N35" s="17">
        <f t="shared" si="6"/>
        <v>45992</v>
      </c>
      <c r="P35" s="17">
        <v>45139</v>
      </c>
      <c r="Q35" s="55">
        <f t="shared" si="3"/>
        <v>-454.67250000000001</v>
      </c>
      <c r="S35">
        <f t="shared" si="7"/>
        <v>0</v>
      </c>
    </row>
    <row r="36" spans="1:19" x14ac:dyDescent="0.3">
      <c r="A36" s="17">
        <v>46008</v>
      </c>
      <c r="B36">
        <v>333.61</v>
      </c>
      <c r="C36">
        <v>59.72</v>
      </c>
      <c r="D36">
        <f t="shared" si="4"/>
        <v>273.89</v>
      </c>
      <c r="E36">
        <v>0.47</v>
      </c>
      <c r="F36">
        <f t="shared" si="5"/>
        <v>-273.41999999999996</v>
      </c>
      <c r="I36">
        <f t="shared" si="0"/>
        <v>17</v>
      </c>
      <c r="J36">
        <v>1</v>
      </c>
      <c r="K36">
        <f t="shared" si="1"/>
        <v>12</v>
      </c>
      <c r="L36">
        <f t="shared" si="2"/>
        <v>2025</v>
      </c>
      <c r="N36" s="17">
        <f t="shared" si="6"/>
        <v>45992</v>
      </c>
      <c r="P36" s="17">
        <v>45108</v>
      </c>
      <c r="Q36" s="55">
        <f t="shared" si="3"/>
        <v>-366.39750000000004</v>
      </c>
      <c r="S36">
        <f t="shared" si="7"/>
        <v>0</v>
      </c>
    </row>
    <row r="37" spans="1:19" x14ac:dyDescent="0.3">
      <c r="A37" s="17">
        <v>46007</v>
      </c>
      <c r="B37">
        <v>328.19</v>
      </c>
      <c r="C37">
        <v>59.93</v>
      </c>
      <c r="D37">
        <f t="shared" si="4"/>
        <v>268.26</v>
      </c>
      <c r="E37">
        <v>0.44</v>
      </c>
      <c r="F37">
        <f t="shared" si="5"/>
        <v>-267.82</v>
      </c>
      <c r="I37">
        <f t="shared" si="0"/>
        <v>16</v>
      </c>
      <c r="J37">
        <v>1</v>
      </c>
      <c r="K37">
        <f t="shared" si="1"/>
        <v>12</v>
      </c>
      <c r="L37">
        <f t="shared" si="2"/>
        <v>2025</v>
      </c>
      <c r="N37" s="17">
        <f t="shared" si="6"/>
        <v>45992</v>
      </c>
      <c r="P37" s="17">
        <v>45078</v>
      </c>
      <c r="Q37" s="55">
        <f t="shared" si="3"/>
        <v>-332.89</v>
      </c>
      <c r="S37">
        <f t="shared" si="7"/>
        <v>0</v>
      </c>
    </row>
    <row r="38" spans="1:19" x14ac:dyDescent="0.3">
      <c r="A38" s="17">
        <v>46006</v>
      </c>
      <c r="B38">
        <v>333.23</v>
      </c>
      <c r="C38">
        <v>61.25</v>
      </c>
      <c r="D38">
        <f t="shared" si="4"/>
        <v>271.98</v>
      </c>
      <c r="E38">
        <v>0.48</v>
      </c>
      <c r="F38">
        <f t="shared" si="5"/>
        <v>-271.5</v>
      </c>
      <c r="I38">
        <f t="shared" si="0"/>
        <v>15</v>
      </c>
      <c r="J38">
        <v>1</v>
      </c>
      <c r="K38">
        <f t="shared" si="1"/>
        <v>12</v>
      </c>
      <c r="L38">
        <f t="shared" si="2"/>
        <v>2025</v>
      </c>
      <c r="N38" s="17">
        <f t="shared" si="6"/>
        <v>45992</v>
      </c>
      <c r="P38" s="17">
        <v>45047</v>
      </c>
      <c r="Q38" s="55">
        <f t="shared" si="3"/>
        <v>-351.93833333333328</v>
      </c>
      <c r="S38">
        <f t="shared" si="7"/>
        <v>0</v>
      </c>
    </row>
    <row r="39" spans="1:19" x14ac:dyDescent="0.3">
      <c r="A39" s="17">
        <v>46003</v>
      </c>
      <c r="B39">
        <v>332.16</v>
      </c>
      <c r="C39">
        <v>61.75</v>
      </c>
      <c r="D39">
        <f t="shared" si="4"/>
        <v>270.41000000000003</v>
      </c>
      <c r="E39">
        <v>0.47</v>
      </c>
      <c r="F39">
        <f t="shared" si="5"/>
        <v>-269.94</v>
      </c>
      <c r="I39">
        <f t="shared" si="0"/>
        <v>12</v>
      </c>
      <c r="J39">
        <v>1</v>
      </c>
      <c r="K39">
        <f t="shared" si="1"/>
        <v>12</v>
      </c>
      <c r="L39">
        <f t="shared" si="2"/>
        <v>2025</v>
      </c>
      <c r="N39" s="17">
        <f t="shared" si="6"/>
        <v>45992</v>
      </c>
      <c r="P39" s="17">
        <v>45017</v>
      </c>
      <c r="Q39" s="55">
        <f t="shared" si="3"/>
        <v>-372.26499999999999</v>
      </c>
      <c r="S39">
        <f t="shared" si="7"/>
        <v>0</v>
      </c>
    </row>
    <row r="40" spans="1:19" x14ac:dyDescent="0.3">
      <c r="A40" s="17">
        <v>46002</v>
      </c>
      <c r="B40">
        <v>328.75</v>
      </c>
      <c r="C40">
        <v>61.57</v>
      </c>
      <c r="D40">
        <f t="shared" si="4"/>
        <v>267.18</v>
      </c>
      <c r="E40">
        <v>0.49</v>
      </c>
      <c r="F40">
        <f t="shared" si="5"/>
        <v>-266.69</v>
      </c>
      <c r="I40">
        <f t="shared" si="0"/>
        <v>11</v>
      </c>
      <c r="J40">
        <v>1</v>
      </c>
      <c r="K40">
        <f t="shared" si="1"/>
        <v>12</v>
      </c>
      <c r="L40">
        <f t="shared" si="2"/>
        <v>2025</v>
      </c>
      <c r="N40" s="17">
        <f t="shared" si="6"/>
        <v>45992</v>
      </c>
      <c r="P40" s="17">
        <v>44986</v>
      </c>
      <c r="Q40" s="55">
        <f t="shared" si="3"/>
        <v>-353.64833333333337</v>
      </c>
      <c r="S40">
        <f t="shared" si="7"/>
        <v>0</v>
      </c>
    </row>
    <row r="41" spans="1:19" x14ac:dyDescent="0.3">
      <c r="A41" s="17">
        <v>46001</v>
      </c>
      <c r="B41">
        <v>331.34</v>
      </c>
      <c r="C41">
        <v>62.19</v>
      </c>
      <c r="D41">
        <f t="shared" si="4"/>
        <v>269.14999999999998</v>
      </c>
      <c r="E41">
        <v>0.61</v>
      </c>
      <c r="F41">
        <f t="shared" si="5"/>
        <v>-268.53999999999996</v>
      </c>
      <c r="I41">
        <f t="shared" si="0"/>
        <v>10</v>
      </c>
      <c r="J41">
        <v>1</v>
      </c>
      <c r="K41">
        <f t="shared" si="1"/>
        <v>12</v>
      </c>
      <c r="L41">
        <f t="shared" si="2"/>
        <v>2025</v>
      </c>
      <c r="N41" s="17">
        <f t="shared" si="6"/>
        <v>45992</v>
      </c>
      <c r="P41" s="17">
        <v>44958</v>
      </c>
      <c r="Q41" s="55">
        <f t="shared" si="3"/>
        <v>-289.18833333333333</v>
      </c>
      <c r="S41">
        <f t="shared" si="7"/>
        <v>0</v>
      </c>
    </row>
    <row r="42" spans="1:19" x14ac:dyDescent="0.3">
      <c r="A42" s="17">
        <v>46000</v>
      </c>
      <c r="B42">
        <v>333.68</v>
      </c>
      <c r="C42">
        <v>62.68</v>
      </c>
      <c r="D42">
        <f t="shared" si="4"/>
        <v>271</v>
      </c>
      <c r="E42">
        <v>0.67</v>
      </c>
      <c r="F42">
        <f t="shared" si="5"/>
        <v>-270.33</v>
      </c>
      <c r="I42">
        <f t="shared" si="0"/>
        <v>9</v>
      </c>
      <c r="J42">
        <v>1</v>
      </c>
      <c r="K42">
        <f t="shared" si="1"/>
        <v>12</v>
      </c>
      <c r="L42">
        <f t="shared" si="2"/>
        <v>2025</v>
      </c>
      <c r="N42" s="17">
        <f t="shared" si="6"/>
        <v>45992</v>
      </c>
      <c r="P42" s="17">
        <v>44927</v>
      </c>
      <c r="Q42" s="55">
        <f t="shared" si="3"/>
        <v>-281.59499999999997</v>
      </c>
      <c r="S42">
        <f t="shared" si="7"/>
        <v>0</v>
      </c>
    </row>
    <row r="43" spans="1:19" x14ac:dyDescent="0.3">
      <c r="A43" s="17">
        <v>45999</v>
      </c>
      <c r="B43">
        <v>343.85</v>
      </c>
      <c r="C43">
        <v>64.36</v>
      </c>
      <c r="D43">
        <f t="shared" si="4"/>
        <v>279.49</v>
      </c>
      <c r="E43">
        <v>0.85</v>
      </c>
      <c r="F43">
        <f t="shared" si="5"/>
        <v>-278.64</v>
      </c>
      <c r="I43">
        <f t="shared" si="0"/>
        <v>8</v>
      </c>
      <c r="J43">
        <v>1</v>
      </c>
      <c r="K43">
        <f t="shared" si="1"/>
        <v>12</v>
      </c>
      <c r="L43">
        <f t="shared" si="2"/>
        <v>2025</v>
      </c>
      <c r="N43" s="17">
        <f t="shared" si="6"/>
        <v>45992</v>
      </c>
      <c r="P43" s="17">
        <v>44896</v>
      </c>
      <c r="Q43" s="55">
        <f t="shared" si="3"/>
        <v>-273.11</v>
      </c>
      <c r="S43">
        <f t="shared" si="7"/>
        <v>0</v>
      </c>
    </row>
    <row r="44" spans="1:19" x14ac:dyDescent="0.3">
      <c r="A44" s="17">
        <v>45996</v>
      </c>
      <c r="B44">
        <v>340.41</v>
      </c>
      <c r="C44">
        <v>63.86</v>
      </c>
      <c r="D44">
        <f t="shared" si="4"/>
        <v>276.55</v>
      </c>
      <c r="E44">
        <v>1.04</v>
      </c>
      <c r="F44">
        <f t="shared" si="5"/>
        <v>-275.51</v>
      </c>
      <c r="I44">
        <f t="shared" si="0"/>
        <v>5</v>
      </c>
      <c r="J44">
        <v>1</v>
      </c>
      <c r="K44">
        <f t="shared" si="1"/>
        <v>12</v>
      </c>
      <c r="L44">
        <f t="shared" si="2"/>
        <v>2025</v>
      </c>
      <c r="N44" s="17">
        <f t="shared" si="6"/>
        <v>45992</v>
      </c>
      <c r="P44" s="17">
        <v>44866</v>
      </c>
      <c r="Q44" s="55">
        <f t="shared" si="3"/>
        <v>-295.495</v>
      </c>
      <c r="S44">
        <f t="shared" si="7"/>
        <v>0</v>
      </c>
    </row>
    <row r="45" spans="1:19" x14ac:dyDescent="0.3">
      <c r="A45" s="17">
        <v>45995</v>
      </c>
      <c r="B45">
        <v>334.77</v>
      </c>
      <c r="C45">
        <v>63.5</v>
      </c>
      <c r="D45">
        <f t="shared" si="4"/>
        <v>271.27</v>
      </c>
      <c r="E45">
        <v>1.08</v>
      </c>
      <c r="F45">
        <f t="shared" si="5"/>
        <v>-270.19</v>
      </c>
      <c r="I45">
        <f t="shared" si="0"/>
        <v>4</v>
      </c>
      <c r="J45">
        <v>1</v>
      </c>
      <c r="K45">
        <f t="shared" si="1"/>
        <v>12</v>
      </c>
      <c r="L45">
        <f t="shared" si="2"/>
        <v>2025</v>
      </c>
      <c r="N45" s="17">
        <f t="shared" si="6"/>
        <v>45992</v>
      </c>
      <c r="P45" s="17">
        <v>44835</v>
      </c>
      <c r="Q45" s="55">
        <f t="shared" si="3"/>
        <v>-268.53499999999997</v>
      </c>
      <c r="S45">
        <f t="shared" si="7"/>
        <v>1</v>
      </c>
    </row>
    <row r="46" spans="1:19" x14ac:dyDescent="0.3">
      <c r="A46" s="17">
        <v>45994</v>
      </c>
      <c r="B46">
        <v>334.08</v>
      </c>
      <c r="C46">
        <v>63.4</v>
      </c>
      <c r="D46">
        <f t="shared" si="4"/>
        <v>270.68</v>
      </c>
      <c r="E46">
        <v>1.19</v>
      </c>
      <c r="F46">
        <f t="shared" si="5"/>
        <v>-269.49</v>
      </c>
      <c r="I46">
        <f t="shared" si="0"/>
        <v>3</v>
      </c>
      <c r="J46">
        <v>1</v>
      </c>
      <c r="K46">
        <f t="shared" si="1"/>
        <v>12</v>
      </c>
      <c r="L46">
        <f t="shared" si="2"/>
        <v>2025</v>
      </c>
      <c r="N46" s="17">
        <f t="shared" si="6"/>
        <v>45992</v>
      </c>
      <c r="P46" s="17">
        <v>44805</v>
      </c>
      <c r="Q46" s="55">
        <f t="shared" si="3"/>
        <v>-321.72000000000003</v>
      </c>
      <c r="S46">
        <f t="shared" si="7"/>
        <v>1</v>
      </c>
    </row>
    <row r="47" spans="1:19" x14ac:dyDescent="0.3">
      <c r="A47" s="17">
        <v>45993</v>
      </c>
      <c r="B47">
        <v>337.8</v>
      </c>
      <c r="C47">
        <v>63.76</v>
      </c>
      <c r="D47">
        <f t="shared" si="4"/>
        <v>274.04000000000002</v>
      </c>
      <c r="E47">
        <v>1.22</v>
      </c>
      <c r="F47">
        <f t="shared" si="5"/>
        <v>-272.82</v>
      </c>
      <c r="I47">
        <f t="shared" si="0"/>
        <v>2</v>
      </c>
      <c r="J47">
        <v>1</v>
      </c>
      <c r="K47">
        <f t="shared" si="1"/>
        <v>12</v>
      </c>
      <c r="L47">
        <f t="shared" si="2"/>
        <v>2025</v>
      </c>
      <c r="N47" s="17">
        <f t="shared" si="6"/>
        <v>45992</v>
      </c>
      <c r="P47" s="17">
        <v>44774</v>
      </c>
      <c r="Q47" s="55">
        <f t="shared" si="3"/>
        <v>-374.24250000000001</v>
      </c>
      <c r="S47">
        <f t="shared" si="7"/>
        <v>1</v>
      </c>
    </row>
    <row r="48" spans="1:19" x14ac:dyDescent="0.3">
      <c r="A48" s="17">
        <v>45992</v>
      </c>
      <c r="B48">
        <v>339</v>
      </c>
      <c r="C48">
        <v>64.239999999999995</v>
      </c>
      <c r="D48">
        <f t="shared" si="4"/>
        <v>274.76</v>
      </c>
      <c r="E48">
        <v>1.21</v>
      </c>
      <c r="F48">
        <f t="shared" si="5"/>
        <v>-273.55</v>
      </c>
      <c r="I48">
        <f t="shared" si="0"/>
        <v>1</v>
      </c>
      <c r="J48">
        <v>1</v>
      </c>
      <c r="K48">
        <f t="shared" si="1"/>
        <v>12</v>
      </c>
      <c r="L48">
        <f t="shared" si="2"/>
        <v>2025</v>
      </c>
      <c r="N48" s="17">
        <f t="shared" si="6"/>
        <v>45992</v>
      </c>
      <c r="P48" s="17">
        <v>44743</v>
      </c>
      <c r="Q48" s="55">
        <f t="shared" si="3"/>
        <v>-416.08499999999998</v>
      </c>
      <c r="S48">
        <f t="shared" si="7"/>
        <v>1</v>
      </c>
    </row>
    <row r="49" spans="1:19" x14ac:dyDescent="0.3">
      <c r="A49" s="17">
        <v>45989</v>
      </c>
      <c r="B49">
        <v>342.41</v>
      </c>
      <c r="C49">
        <v>64.14</v>
      </c>
      <c r="D49">
        <f t="shared" si="4"/>
        <v>278.27000000000004</v>
      </c>
      <c r="E49">
        <v>1.3</v>
      </c>
      <c r="F49">
        <f t="shared" si="5"/>
        <v>-276.97000000000003</v>
      </c>
      <c r="I49">
        <f t="shared" si="0"/>
        <v>28</v>
      </c>
      <c r="J49">
        <v>1</v>
      </c>
      <c r="K49">
        <f t="shared" si="1"/>
        <v>11</v>
      </c>
      <c r="L49">
        <f t="shared" si="2"/>
        <v>2025</v>
      </c>
      <c r="N49" s="17">
        <f t="shared" si="6"/>
        <v>45962</v>
      </c>
      <c r="P49" s="17">
        <v>44713</v>
      </c>
      <c r="Q49" s="55">
        <f t="shared" si="3"/>
        <v>-491.10666666666674</v>
      </c>
      <c r="S49">
        <f t="shared" si="7"/>
        <v>0</v>
      </c>
    </row>
    <row r="50" spans="1:19" x14ac:dyDescent="0.3">
      <c r="A50" s="17">
        <v>45988</v>
      </c>
      <c r="B50">
        <v>337.9</v>
      </c>
      <c r="C50">
        <v>63.73</v>
      </c>
      <c r="D50">
        <f t="shared" si="4"/>
        <v>274.16999999999996</v>
      </c>
      <c r="E50">
        <v>1.58</v>
      </c>
      <c r="F50">
        <f t="shared" si="5"/>
        <v>-272.58999999999997</v>
      </c>
      <c r="I50">
        <f t="shared" si="0"/>
        <v>27</v>
      </c>
      <c r="J50">
        <v>1</v>
      </c>
      <c r="K50">
        <f t="shared" si="1"/>
        <v>11</v>
      </c>
      <c r="L50">
        <f t="shared" si="2"/>
        <v>2025</v>
      </c>
      <c r="N50" s="17">
        <f t="shared" si="6"/>
        <v>45962</v>
      </c>
      <c r="P50" s="17">
        <v>44682</v>
      </c>
      <c r="Q50" s="55">
        <f t="shared" si="3"/>
        <v>-579.02</v>
      </c>
      <c r="S50">
        <f t="shared" si="7"/>
        <v>0</v>
      </c>
    </row>
    <row r="51" spans="1:19" x14ac:dyDescent="0.3">
      <c r="A51" s="17">
        <v>45987</v>
      </c>
      <c r="B51">
        <v>335.95</v>
      </c>
      <c r="C51">
        <v>62.825000000000003</v>
      </c>
      <c r="D51">
        <f t="shared" si="4"/>
        <v>273.125</v>
      </c>
      <c r="E51">
        <v>1.56</v>
      </c>
      <c r="F51">
        <f t="shared" si="5"/>
        <v>-271.565</v>
      </c>
      <c r="I51">
        <f t="shared" si="0"/>
        <v>26</v>
      </c>
      <c r="J51">
        <v>1</v>
      </c>
      <c r="K51">
        <f t="shared" si="1"/>
        <v>11</v>
      </c>
      <c r="L51">
        <f t="shared" si="2"/>
        <v>2025</v>
      </c>
      <c r="N51" s="17">
        <f t="shared" si="6"/>
        <v>45962</v>
      </c>
      <c r="P51" s="17">
        <v>44652</v>
      </c>
      <c r="Q51" s="55">
        <f t="shared" si="3"/>
        <v>-547.13</v>
      </c>
      <c r="S51">
        <f t="shared" si="7"/>
        <v>0</v>
      </c>
    </row>
    <row r="52" spans="1:19" x14ac:dyDescent="0.3">
      <c r="A52" s="17">
        <v>45986</v>
      </c>
      <c r="B52">
        <v>341.22</v>
      </c>
      <c r="C52">
        <v>63.37</v>
      </c>
      <c r="D52">
        <f t="shared" si="4"/>
        <v>277.85000000000002</v>
      </c>
      <c r="E52">
        <v>1.7</v>
      </c>
      <c r="F52">
        <f t="shared" si="5"/>
        <v>-276.15000000000003</v>
      </c>
      <c r="I52">
        <f t="shared" si="0"/>
        <v>25</v>
      </c>
      <c r="J52">
        <v>1</v>
      </c>
      <c r="K52">
        <f t="shared" si="1"/>
        <v>11</v>
      </c>
      <c r="L52">
        <f t="shared" si="2"/>
        <v>2025</v>
      </c>
      <c r="N52" s="17">
        <f t="shared" si="6"/>
        <v>45962</v>
      </c>
      <c r="P52" s="17">
        <v>44621</v>
      </c>
      <c r="Q52" s="55">
        <f t="shared" si="3"/>
        <v>-467.25249999999994</v>
      </c>
      <c r="S52">
        <f t="shared" si="7"/>
        <v>0</v>
      </c>
    </row>
    <row r="53" spans="1:19" x14ac:dyDescent="0.3">
      <c r="A53" s="17">
        <v>45985</v>
      </c>
      <c r="B53">
        <v>343.86</v>
      </c>
      <c r="C53">
        <v>62.65</v>
      </c>
      <c r="D53">
        <f t="shared" si="4"/>
        <v>281.21000000000004</v>
      </c>
      <c r="E53">
        <v>2.0699999999999998</v>
      </c>
      <c r="F53">
        <f t="shared" si="5"/>
        <v>-279.14000000000004</v>
      </c>
      <c r="I53">
        <f t="shared" si="0"/>
        <v>24</v>
      </c>
      <c r="J53">
        <v>1</v>
      </c>
      <c r="K53">
        <f t="shared" si="1"/>
        <v>11</v>
      </c>
      <c r="L53">
        <f t="shared" si="2"/>
        <v>2025</v>
      </c>
      <c r="N53" s="17">
        <f t="shared" si="6"/>
        <v>45962</v>
      </c>
      <c r="P53" s="17">
        <v>44593</v>
      </c>
      <c r="Q53" s="55">
        <f t="shared" si="3"/>
        <v>-413.01750000000004</v>
      </c>
      <c r="S53">
        <f t="shared" si="7"/>
        <v>0</v>
      </c>
    </row>
    <row r="54" spans="1:19" x14ac:dyDescent="0.3">
      <c r="A54" s="17">
        <v>45982</v>
      </c>
      <c r="B54">
        <v>342.44</v>
      </c>
      <c r="C54">
        <v>62.69</v>
      </c>
      <c r="D54">
        <f t="shared" si="4"/>
        <v>279.75</v>
      </c>
      <c r="E54">
        <v>2.67</v>
      </c>
      <c r="F54">
        <f t="shared" si="5"/>
        <v>-277.08</v>
      </c>
      <c r="I54">
        <f t="shared" si="0"/>
        <v>21</v>
      </c>
      <c r="J54">
        <v>1</v>
      </c>
      <c r="K54">
        <f t="shared" si="1"/>
        <v>11</v>
      </c>
      <c r="L54">
        <f t="shared" si="2"/>
        <v>2025</v>
      </c>
      <c r="N54" s="17">
        <f t="shared" si="6"/>
        <v>45962</v>
      </c>
      <c r="P54" s="17">
        <v>44562</v>
      </c>
      <c r="Q54" s="55">
        <f t="shared" si="3"/>
        <v>-355.51</v>
      </c>
      <c r="S54">
        <f t="shared" si="7"/>
        <v>0</v>
      </c>
    </row>
    <row r="55" spans="1:19" x14ac:dyDescent="0.3">
      <c r="A55" s="17">
        <v>45981</v>
      </c>
      <c r="B55">
        <v>345.52</v>
      </c>
      <c r="C55">
        <v>64.400000000000006</v>
      </c>
      <c r="D55">
        <f t="shared" si="4"/>
        <v>281.12</v>
      </c>
      <c r="E55">
        <v>3</v>
      </c>
      <c r="F55">
        <f t="shared" si="5"/>
        <v>-278.12</v>
      </c>
      <c r="I55">
        <f t="shared" si="0"/>
        <v>20</v>
      </c>
      <c r="J55">
        <v>1</v>
      </c>
      <c r="K55">
        <f t="shared" si="1"/>
        <v>11</v>
      </c>
      <c r="L55">
        <f t="shared" si="2"/>
        <v>2025</v>
      </c>
      <c r="N55" s="17">
        <f t="shared" si="6"/>
        <v>45962</v>
      </c>
      <c r="P55" s="17">
        <v>44531</v>
      </c>
      <c r="Q55" s="55">
        <f t="shared" si="3"/>
        <v>-316.30666666666667</v>
      </c>
      <c r="S55">
        <f t="shared" si="7"/>
        <v>0</v>
      </c>
    </row>
    <row r="56" spans="1:19" x14ac:dyDescent="0.3">
      <c r="A56" s="17">
        <v>45980</v>
      </c>
      <c r="B56">
        <v>347.88</v>
      </c>
      <c r="C56">
        <v>64.739999999999995</v>
      </c>
      <c r="D56">
        <f t="shared" si="4"/>
        <v>283.14</v>
      </c>
      <c r="E56">
        <v>3.18</v>
      </c>
      <c r="F56">
        <f t="shared" si="5"/>
        <v>-279.95999999999998</v>
      </c>
      <c r="I56">
        <f t="shared" si="0"/>
        <v>19</v>
      </c>
      <c r="J56">
        <v>1</v>
      </c>
      <c r="K56">
        <f t="shared" si="1"/>
        <v>11</v>
      </c>
      <c r="L56">
        <f t="shared" si="2"/>
        <v>2025</v>
      </c>
      <c r="N56" s="17">
        <f t="shared" si="6"/>
        <v>45962</v>
      </c>
      <c r="P56" s="17">
        <v>44501</v>
      </c>
      <c r="Q56" s="55">
        <f t="shared" si="3"/>
        <v>-371.68666666666667</v>
      </c>
      <c r="S56">
        <f t="shared" si="7"/>
        <v>0</v>
      </c>
    </row>
    <row r="57" spans="1:19" x14ac:dyDescent="0.3">
      <c r="A57" s="17">
        <v>45979</v>
      </c>
      <c r="B57">
        <v>348.75</v>
      </c>
      <c r="C57">
        <v>64.5</v>
      </c>
      <c r="D57">
        <f t="shared" si="4"/>
        <v>284.25</v>
      </c>
      <c r="E57">
        <v>3.2</v>
      </c>
      <c r="F57">
        <f t="shared" si="5"/>
        <v>-281.05</v>
      </c>
      <c r="I57">
        <f t="shared" si="0"/>
        <v>18</v>
      </c>
      <c r="J57">
        <v>1</v>
      </c>
      <c r="K57">
        <f t="shared" si="1"/>
        <v>11</v>
      </c>
      <c r="L57">
        <f t="shared" si="2"/>
        <v>2025</v>
      </c>
      <c r="N57" s="17">
        <f t="shared" si="6"/>
        <v>45962</v>
      </c>
      <c r="P57" s="17">
        <v>44470</v>
      </c>
      <c r="Q57" s="55">
        <f t="shared" si="3"/>
        <v>-389.78499999999997</v>
      </c>
      <c r="S57">
        <f t="shared" si="7"/>
        <v>0</v>
      </c>
    </row>
    <row r="58" spans="1:19" x14ac:dyDescent="0.3">
      <c r="A58" s="17">
        <v>45978</v>
      </c>
      <c r="B58">
        <v>355.17</v>
      </c>
      <c r="C58">
        <v>64.64</v>
      </c>
      <c r="D58">
        <f t="shared" si="4"/>
        <v>290.53000000000003</v>
      </c>
      <c r="E58">
        <v>3.01</v>
      </c>
      <c r="F58">
        <f t="shared" si="5"/>
        <v>-287.52000000000004</v>
      </c>
      <c r="I58">
        <f t="shared" si="0"/>
        <v>17</v>
      </c>
      <c r="J58">
        <v>1</v>
      </c>
      <c r="K58">
        <f t="shared" si="1"/>
        <v>11</v>
      </c>
      <c r="L58">
        <f t="shared" si="2"/>
        <v>2025</v>
      </c>
      <c r="N58" s="17">
        <f t="shared" si="6"/>
        <v>45962</v>
      </c>
      <c r="P58" s="17">
        <v>44440</v>
      </c>
      <c r="Q58" s="55">
        <f t="shared" si="3"/>
        <v>-354.07666666666665</v>
      </c>
      <c r="S58">
        <f t="shared" si="7"/>
        <v>0</v>
      </c>
    </row>
    <row r="59" spans="1:19" x14ac:dyDescent="0.3">
      <c r="A59" s="17">
        <v>45975</v>
      </c>
      <c r="B59">
        <v>356.29</v>
      </c>
      <c r="C59">
        <v>64.75</v>
      </c>
      <c r="D59">
        <f t="shared" si="4"/>
        <v>291.54000000000002</v>
      </c>
      <c r="E59">
        <v>2.84</v>
      </c>
      <c r="F59">
        <f t="shared" si="5"/>
        <v>-288.70000000000005</v>
      </c>
      <c r="I59">
        <f t="shared" si="0"/>
        <v>14</v>
      </c>
      <c r="J59">
        <v>1</v>
      </c>
      <c r="K59">
        <f t="shared" si="1"/>
        <v>11</v>
      </c>
      <c r="L59">
        <f t="shared" si="2"/>
        <v>2025</v>
      </c>
      <c r="N59" s="17">
        <f t="shared" si="6"/>
        <v>45962</v>
      </c>
      <c r="P59" s="17">
        <v>44409</v>
      </c>
      <c r="Q59" s="55">
        <f t="shared" si="3"/>
        <v>-340.48500000000007</v>
      </c>
      <c r="S59">
        <f t="shared" si="7"/>
        <v>0</v>
      </c>
    </row>
    <row r="60" spans="1:19" x14ac:dyDescent="0.3">
      <c r="A60" s="17">
        <v>45974</v>
      </c>
      <c r="B60">
        <v>352.15</v>
      </c>
      <c r="C60">
        <v>63.594999999999999</v>
      </c>
      <c r="D60">
        <f t="shared" si="4"/>
        <v>288.55499999999995</v>
      </c>
      <c r="E60">
        <v>2.83</v>
      </c>
      <c r="F60">
        <f t="shared" si="5"/>
        <v>-285.72499999999997</v>
      </c>
      <c r="I60">
        <f t="shared" si="0"/>
        <v>13</v>
      </c>
      <c r="J60">
        <v>1</v>
      </c>
      <c r="K60">
        <f t="shared" si="1"/>
        <v>11</v>
      </c>
      <c r="L60">
        <f t="shared" si="2"/>
        <v>2025</v>
      </c>
      <c r="N60" s="17">
        <f t="shared" si="6"/>
        <v>45962</v>
      </c>
      <c r="P60" s="17">
        <v>44378</v>
      </c>
      <c r="Q60" s="55">
        <f t="shared" si="3"/>
        <v>-346.68499999999995</v>
      </c>
      <c r="S60">
        <f t="shared" si="7"/>
        <v>0</v>
      </c>
    </row>
    <row r="61" spans="1:19" x14ac:dyDescent="0.3">
      <c r="A61" s="17">
        <v>45973</v>
      </c>
      <c r="B61">
        <v>365.21</v>
      </c>
      <c r="C61">
        <v>65.84</v>
      </c>
      <c r="D61">
        <f t="shared" si="4"/>
        <v>299.37</v>
      </c>
      <c r="E61">
        <v>3.07</v>
      </c>
      <c r="F61">
        <f t="shared" si="5"/>
        <v>-296.3</v>
      </c>
      <c r="I61">
        <f t="shared" si="0"/>
        <v>12</v>
      </c>
      <c r="J61">
        <v>1</v>
      </c>
      <c r="K61">
        <f t="shared" si="1"/>
        <v>11</v>
      </c>
      <c r="L61">
        <f t="shared" si="2"/>
        <v>2025</v>
      </c>
      <c r="N61" s="17">
        <f t="shared" si="6"/>
        <v>45962</v>
      </c>
      <c r="P61" s="17">
        <v>44348</v>
      </c>
      <c r="Q61" s="55">
        <f t="shared" si="3"/>
        <v>-324.85875000000004</v>
      </c>
      <c r="S61">
        <f t="shared" si="7"/>
        <v>0</v>
      </c>
    </row>
    <row r="62" spans="1:19" x14ac:dyDescent="0.3">
      <c r="A62" s="17">
        <v>45972</v>
      </c>
      <c r="B62">
        <v>362.06</v>
      </c>
      <c r="C62">
        <v>64.959999999999994</v>
      </c>
      <c r="D62">
        <f t="shared" si="4"/>
        <v>297.10000000000002</v>
      </c>
      <c r="E62">
        <v>3.12</v>
      </c>
      <c r="F62">
        <f t="shared" si="5"/>
        <v>-293.98</v>
      </c>
      <c r="I62">
        <f t="shared" si="0"/>
        <v>11</v>
      </c>
      <c r="J62">
        <v>1</v>
      </c>
      <c r="K62">
        <f t="shared" si="1"/>
        <v>11</v>
      </c>
      <c r="L62">
        <f t="shared" si="2"/>
        <v>2025</v>
      </c>
      <c r="N62" s="17">
        <f t="shared" si="6"/>
        <v>45962</v>
      </c>
      <c r="P62" s="17">
        <v>44317</v>
      </c>
      <c r="Q62" s="55">
        <f t="shared" si="3"/>
        <v>-318.22499999999997</v>
      </c>
      <c r="S62">
        <f t="shared" si="7"/>
        <v>0</v>
      </c>
    </row>
    <row r="63" spans="1:19" x14ac:dyDescent="0.3">
      <c r="A63" s="17">
        <v>45971</v>
      </c>
      <c r="B63">
        <v>363.62</v>
      </c>
      <c r="C63">
        <v>65.34</v>
      </c>
      <c r="D63">
        <f t="shared" si="4"/>
        <v>298.27999999999997</v>
      </c>
      <c r="E63">
        <v>3.02</v>
      </c>
      <c r="F63">
        <f t="shared" si="5"/>
        <v>-295.26</v>
      </c>
      <c r="I63">
        <f t="shared" si="0"/>
        <v>10</v>
      </c>
      <c r="J63">
        <v>1</v>
      </c>
      <c r="K63">
        <f t="shared" si="1"/>
        <v>11</v>
      </c>
      <c r="L63">
        <f t="shared" si="2"/>
        <v>2025</v>
      </c>
      <c r="N63" s="17">
        <f t="shared" si="6"/>
        <v>45962</v>
      </c>
      <c r="P63" s="17">
        <v>44287</v>
      </c>
      <c r="Q63" s="55">
        <f t="shared" si="3"/>
        <v>-296.27000000000004</v>
      </c>
      <c r="S63">
        <f t="shared" si="7"/>
        <v>0</v>
      </c>
    </row>
    <row r="64" spans="1:19" x14ac:dyDescent="0.3">
      <c r="A64" s="17">
        <v>45968</v>
      </c>
      <c r="B64">
        <v>364.4</v>
      </c>
      <c r="C64">
        <v>64.95</v>
      </c>
      <c r="D64">
        <f t="shared" si="4"/>
        <v>299.45</v>
      </c>
      <c r="E64">
        <v>2.96</v>
      </c>
      <c r="F64">
        <f t="shared" si="5"/>
        <v>-296.49</v>
      </c>
      <c r="I64">
        <f t="shared" si="0"/>
        <v>7</v>
      </c>
      <c r="J64">
        <v>1</v>
      </c>
      <c r="K64">
        <f t="shared" si="1"/>
        <v>11</v>
      </c>
      <c r="L64">
        <f t="shared" si="2"/>
        <v>2025</v>
      </c>
      <c r="N64" s="17">
        <f t="shared" si="6"/>
        <v>45962</v>
      </c>
      <c r="P64" s="17">
        <v>44256</v>
      </c>
      <c r="Q64" s="55">
        <f t="shared" si="3"/>
        <v>-306.51375000000002</v>
      </c>
      <c r="S64">
        <f t="shared" si="7"/>
        <v>0</v>
      </c>
    </row>
    <row r="65" spans="1:19" x14ac:dyDescent="0.3">
      <c r="A65" s="17">
        <v>45967</v>
      </c>
      <c r="B65">
        <v>363.74</v>
      </c>
      <c r="C65">
        <v>64.650000000000006</v>
      </c>
      <c r="D65">
        <f t="shared" si="4"/>
        <v>299.09000000000003</v>
      </c>
      <c r="E65">
        <v>2.76</v>
      </c>
      <c r="F65">
        <f t="shared" si="5"/>
        <v>-296.33000000000004</v>
      </c>
      <c r="I65">
        <f t="shared" si="0"/>
        <v>6</v>
      </c>
      <c r="J65">
        <v>1</v>
      </c>
      <c r="K65">
        <f t="shared" si="1"/>
        <v>11</v>
      </c>
      <c r="L65">
        <f t="shared" si="2"/>
        <v>2025</v>
      </c>
      <c r="N65" s="17">
        <f t="shared" si="6"/>
        <v>45962</v>
      </c>
      <c r="P65" s="17">
        <v>44228</v>
      </c>
      <c r="Q65" s="55">
        <f t="shared" si="3"/>
        <v>-281.76874999999995</v>
      </c>
      <c r="S65">
        <f t="shared" si="7"/>
        <v>0</v>
      </c>
    </row>
    <row r="66" spans="1:19" x14ac:dyDescent="0.3">
      <c r="A66" s="17">
        <v>45966</v>
      </c>
      <c r="B66">
        <v>365.07</v>
      </c>
      <c r="C66">
        <v>65.605000000000004</v>
      </c>
      <c r="D66">
        <f t="shared" si="4"/>
        <v>299.46499999999997</v>
      </c>
      <c r="E66">
        <v>2.6</v>
      </c>
      <c r="F66">
        <f t="shared" si="5"/>
        <v>-296.86499999999995</v>
      </c>
      <c r="I66">
        <f t="shared" si="0"/>
        <v>5</v>
      </c>
      <c r="J66">
        <v>1</v>
      </c>
      <c r="K66">
        <f t="shared" si="1"/>
        <v>11</v>
      </c>
      <c r="L66">
        <f t="shared" si="2"/>
        <v>2025</v>
      </c>
      <c r="N66" s="17">
        <f t="shared" si="6"/>
        <v>45962</v>
      </c>
      <c r="P66" s="17">
        <v>44197</v>
      </c>
      <c r="Q66" s="55">
        <f t="shared" si="3"/>
        <v>-260.08000000000004</v>
      </c>
      <c r="S66">
        <f t="shared" si="7"/>
        <v>0</v>
      </c>
    </row>
    <row r="67" spans="1:19" x14ac:dyDescent="0.3">
      <c r="A67" s="17">
        <v>45965</v>
      </c>
      <c r="B67">
        <v>369.09</v>
      </c>
      <c r="C67">
        <v>65.38</v>
      </c>
      <c r="D67">
        <f t="shared" si="4"/>
        <v>303.70999999999998</v>
      </c>
      <c r="E67">
        <v>2.68</v>
      </c>
      <c r="F67">
        <f t="shared" si="5"/>
        <v>-301.02999999999997</v>
      </c>
      <c r="I67">
        <f t="shared" si="0"/>
        <v>4</v>
      </c>
      <c r="J67">
        <v>1</v>
      </c>
      <c r="K67">
        <f t="shared" si="1"/>
        <v>11</v>
      </c>
      <c r="L67">
        <f t="shared" si="2"/>
        <v>2025</v>
      </c>
      <c r="N67" s="17">
        <f t="shared" si="6"/>
        <v>45962</v>
      </c>
      <c r="P67" s="17">
        <v>44166</v>
      </c>
      <c r="Q67" s="55">
        <f t="shared" si="3"/>
        <v>-243.2</v>
      </c>
      <c r="S67">
        <f t="shared" si="7"/>
        <v>1</v>
      </c>
    </row>
    <row r="68" spans="1:19" x14ac:dyDescent="0.3">
      <c r="A68" s="17">
        <v>45964</v>
      </c>
      <c r="B68">
        <v>373.02</v>
      </c>
      <c r="C68">
        <v>66.7</v>
      </c>
      <c r="D68">
        <f t="shared" si="4"/>
        <v>306.32</v>
      </c>
      <c r="E68">
        <v>2.74</v>
      </c>
      <c r="F68">
        <f t="shared" si="5"/>
        <v>-303.58</v>
      </c>
      <c r="I68">
        <f t="shared" si="0"/>
        <v>3</v>
      </c>
      <c r="J68">
        <v>1</v>
      </c>
      <c r="K68">
        <f t="shared" si="1"/>
        <v>11</v>
      </c>
      <c r="L68">
        <f t="shared" si="2"/>
        <v>2025</v>
      </c>
      <c r="N68" s="17">
        <f t="shared" si="6"/>
        <v>45962</v>
      </c>
      <c r="P68" s="17">
        <v>44136</v>
      </c>
      <c r="Q68" s="55">
        <f t="shared" si="3"/>
        <v>-207.28666666666666</v>
      </c>
      <c r="S68">
        <f t="shared" si="7"/>
        <v>1</v>
      </c>
    </row>
    <row r="69" spans="1:19" x14ac:dyDescent="0.3">
      <c r="A69" s="17">
        <v>45961</v>
      </c>
      <c r="B69">
        <v>374.73</v>
      </c>
      <c r="C69">
        <v>67.650000000000006</v>
      </c>
      <c r="D69">
        <f t="shared" si="4"/>
        <v>307.08000000000004</v>
      </c>
      <c r="E69">
        <v>2.79</v>
      </c>
      <c r="F69">
        <f t="shared" si="5"/>
        <v>-304.29000000000002</v>
      </c>
      <c r="I69">
        <f t="shared" ref="I69:I132" si="8">+DAY(A69)</f>
        <v>31</v>
      </c>
      <c r="J69">
        <v>1</v>
      </c>
      <c r="K69">
        <f t="shared" ref="K69:K132" si="9">+MONTH(A69)</f>
        <v>10</v>
      </c>
      <c r="L69">
        <f t="shared" ref="L69:L132" si="10">+YEAR(A69)</f>
        <v>2025</v>
      </c>
      <c r="N69" s="17">
        <f t="shared" si="6"/>
        <v>45931</v>
      </c>
      <c r="P69" s="17">
        <v>44105</v>
      </c>
      <c r="Q69" s="55">
        <f t="shared" ref="Q69:Q132" si="11">+AVERAGEIFS($F$5:$F$3568,$N$5:$N$3568,$P69,$S$5:$S$3568,1)</f>
        <v>-198.08499999999998</v>
      </c>
      <c r="S69">
        <f t="shared" si="7"/>
        <v>0</v>
      </c>
    </row>
    <row r="70" spans="1:19" x14ac:dyDescent="0.3">
      <c r="A70" s="17">
        <v>45960</v>
      </c>
      <c r="B70">
        <v>372.69</v>
      </c>
      <c r="C70">
        <v>66.42</v>
      </c>
      <c r="D70">
        <f t="shared" ref="D70:D133" si="12">+B70-C70</f>
        <v>306.27</v>
      </c>
      <c r="E70">
        <v>2.83</v>
      </c>
      <c r="F70">
        <f t="shared" ref="F70:F133" si="13">+E70-D70</f>
        <v>-303.44</v>
      </c>
      <c r="I70">
        <f t="shared" si="8"/>
        <v>30</v>
      </c>
      <c r="J70">
        <v>1</v>
      </c>
      <c r="K70">
        <f t="shared" si="9"/>
        <v>10</v>
      </c>
      <c r="L70">
        <f t="shared" si="10"/>
        <v>2025</v>
      </c>
      <c r="N70" s="17">
        <f t="shared" ref="N70:N133" si="14">+DATE(L70,K70,J70)</f>
        <v>45931</v>
      </c>
      <c r="P70" s="17">
        <v>44075</v>
      </c>
      <c r="Q70" s="55">
        <f t="shared" si="11"/>
        <v>-220.995</v>
      </c>
      <c r="S70">
        <f t="shared" ref="S70:S133" si="15">IF(AND(I70&gt;=1, I70&lt;=4), 1, 0)</f>
        <v>0</v>
      </c>
    </row>
    <row r="71" spans="1:19" x14ac:dyDescent="0.3">
      <c r="A71" s="17">
        <v>45959</v>
      </c>
      <c r="B71">
        <v>372.65</v>
      </c>
      <c r="C71">
        <v>64.16</v>
      </c>
      <c r="D71">
        <f t="shared" si="12"/>
        <v>308.49</v>
      </c>
      <c r="E71">
        <v>2.94</v>
      </c>
      <c r="F71">
        <f t="shared" si="13"/>
        <v>-305.55</v>
      </c>
      <c r="I71">
        <f t="shared" si="8"/>
        <v>29</v>
      </c>
      <c r="J71">
        <v>1</v>
      </c>
      <c r="K71">
        <f t="shared" si="9"/>
        <v>10</v>
      </c>
      <c r="L71">
        <f t="shared" si="10"/>
        <v>2025</v>
      </c>
      <c r="N71" s="17">
        <f t="shared" si="14"/>
        <v>45931</v>
      </c>
      <c r="P71" s="17">
        <v>44044</v>
      </c>
      <c r="Q71" s="55">
        <f t="shared" si="11"/>
        <v>-204.45749999999998</v>
      </c>
      <c r="S71">
        <f t="shared" si="15"/>
        <v>0</v>
      </c>
    </row>
    <row r="72" spans="1:19" x14ac:dyDescent="0.3">
      <c r="A72" s="17">
        <v>45958</v>
      </c>
      <c r="B72">
        <v>382.99</v>
      </c>
      <c r="C72">
        <v>64.959999999999994</v>
      </c>
      <c r="D72">
        <f t="shared" si="12"/>
        <v>318.03000000000003</v>
      </c>
      <c r="E72">
        <v>2.93</v>
      </c>
      <c r="F72">
        <f t="shared" si="13"/>
        <v>-315.10000000000002</v>
      </c>
      <c r="I72">
        <f t="shared" si="8"/>
        <v>28</v>
      </c>
      <c r="J72">
        <v>1</v>
      </c>
      <c r="K72">
        <f t="shared" si="9"/>
        <v>10</v>
      </c>
      <c r="L72">
        <f t="shared" si="10"/>
        <v>2025</v>
      </c>
      <c r="N72" s="17">
        <f t="shared" si="14"/>
        <v>45931</v>
      </c>
      <c r="P72" s="17">
        <v>44013</v>
      </c>
      <c r="Q72" s="55">
        <f t="shared" si="11"/>
        <v>-190.13</v>
      </c>
      <c r="S72">
        <f t="shared" si="15"/>
        <v>0</v>
      </c>
    </row>
    <row r="73" spans="1:19" x14ac:dyDescent="0.3">
      <c r="A73" s="17">
        <v>45957</v>
      </c>
      <c r="B73">
        <v>386.97</v>
      </c>
      <c r="C73">
        <v>67.66</v>
      </c>
      <c r="D73">
        <f t="shared" si="12"/>
        <v>319.31000000000006</v>
      </c>
      <c r="E73">
        <v>2.81</v>
      </c>
      <c r="F73">
        <f t="shared" si="13"/>
        <v>-316.50000000000006</v>
      </c>
      <c r="I73">
        <f t="shared" si="8"/>
        <v>27</v>
      </c>
      <c r="J73">
        <v>1</v>
      </c>
      <c r="K73">
        <f t="shared" si="9"/>
        <v>10</v>
      </c>
      <c r="L73">
        <f t="shared" si="10"/>
        <v>2025</v>
      </c>
      <c r="N73" s="17">
        <f t="shared" si="14"/>
        <v>45931</v>
      </c>
      <c r="P73" s="17">
        <v>43983</v>
      </c>
      <c r="Q73" s="55">
        <f t="shared" si="11"/>
        <v>-172.2175</v>
      </c>
      <c r="S73">
        <f t="shared" si="15"/>
        <v>0</v>
      </c>
    </row>
    <row r="74" spans="1:19" x14ac:dyDescent="0.3">
      <c r="A74" s="17">
        <v>45954</v>
      </c>
      <c r="B74">
        <v>393.26</v>
      </c>
      <c r="C74">
        <v>68.84</v>
      </c>
      <c r="D74">
        <f t="shared" si="12"/>
        <v>324.41999999999996</v>
      </c>
      <c r="E74">
        <v>2.67</v>
      </c>
      <c r="F74">
        <f t="shared" si="13"/>
        <v>-321.74999999999994</v>
      </c>
      <c r="I74">
        <f t="shared" si="8"/>
        <v>24</v>
      </c>
      <c r="J74">
        <v>1</v>
      </c>
      <c r="K74">
        <f t="shared" si="9"/>
        <v>10</v>
      </c>
      <c r="L74">
        <f t="shared" si="10"/>
        <v>2025</v>
      </c>
      <c r="N74" s="17">
        <f t="shared" si="14"/>
        <v>45931</v>
      </c>
      <c r="P74" s="17">
        <v>43952</v>
      </c>
      <c r="Q74" s="55">
        <f t="shared" si="11"/>
        <v>-91.37</v>
      </c>
      <c r="S74">
        <f t="shared" si="15"/>
        <v>0</v>
      </c>
    </row>
    <row r="75" spans="1:19" x14ac:dyDescent="0.3">
      <c r="A75" s="17">
        <v>45953</v>
      </c>
      <c r="B75">
        <v>383.9</v>
      </c>
      <c r="C75">
        <v>67.75</v>
      </c>
      <c r="D75">
        <f t="shared" si="12"/>
        <v>316.14999999999998</v>
      </c>
      <c r="E75">
        <v>2.4900000000000002</v>
      </c>
      <c r="F75">
        <f t="shared" si="13"/>
        <v>-313.65999999999997</v>
      </c>
      <c r="I75">
        <f t="shared" si="8"/>
        <v>23</v>
      </c>
      <c r="J75">
        <v>1</v>
      </c>
      <c r="K75">
        <f t="shared" si="9"/>
        <v>10</v>
      </c>
      <c r="L75">
        <f t="shared" si="10"/>
        <v>2025</v>
      </c>
      <c r="N75" s="17">
        <f t="shared" si="14"/>
        <v>45931</v>
      </c>
      <c r="P75" s="17">
        <v>43922</v>
      </c>
      <c r="Q75" s="55">
        <f t="shared" si="11"/>
        <v>-136.64666666666668</v>
      </c>
      <c r="S75">
        <f t="shared" si="15"/>
        <v>0</v>
      </c>
    </row>
    <row r="76" spans="1:19" x14ac:dyDescent="0.3">
      <c r="A76" s="17">
        <v>45952</v>
      </c>
      <c r="B76">
        <v>364.65</v>
      </c>
      <c r="C76">
        <v>63.48</v>
      </c>
      <c r="D76">
        <f t="shared" si="12"/>
        <v>301.16999999999996</v>
      </c>
      <c r="E76">
        <v>2.34</v>
      </c>
      <c r="F76">
        <f t="shared" si="13"/>
        <v>-298.83</v>
      </c>
      <c r="I76">
        <f t="shared" si="8"/>
        <v>22</v>
      </c>
      <c r="J76">
        <v>1</v>
      </c>
      <c r="K76">
        <f t="shared" si="9"/>
        <v>10</v>
      </c>
      <c r="L76">
        <f t="shared" si="10"/>
        <v>2025</v>
      </c>
      <c r="N76" s="17">
        <f t="shared" si="14"/>
        <v>45931</v>
      </c>
      <c r="P76" s="17">
        <v>43891</v>
      </c>
      <c r="Q76" s="55">
        <f t="shared" si="11"/>
        <v>-218.52666666666667</v>
      </c>
      <c r="S76">
        <f t="shared" si="15"/>
        <v>0</v>
      </c>
    </row>
    <row r="77" spans="1:19" x14ac:dyDescent="0.3">
      <c r="A77" s="17">
        <v>45951</v>
      </c>
      <c r="B77">
        <v>361.33</v>
      </c>
      <c r="C77">
        <v>61.81</v>
      </c>
      <c r="D77">
        <f t="shared" si="12"/>
        <v>299.52</v>
      </c>
      <c r="E77">
        <v>2.29</v>
      </c>
      <c r="F77">
        <f t="shared" si="13"/>
        <v>-297.22999999999996</v>
      </c>
      <c r="I77">
        <f t="shared" si="8"/>
        <v>21</v>
      </c>
      <c r="J77">
        <v>1</v>
      </c>
      <c r="K77">
        <f t="shared" si="9"/>
        <v>10</v>
      </c>
      <c r="L77">
        <f t="shared" si="10"/>
        <v>2025</v>
      </c>
      <c r="N77" s="17">
        <f t="shared" si="14"/>
        <v>45931</v>
      </c>
      <c r="P77" s="17">
        <v>43862</v>
      </c>
      <c r="Q77" s="55">
        <f t="shared" si="11"/>
        <v>-215.75500000000002</v>
      </c>
      <c r="S77">
        <f t="shared" si="15"/>
        <v>0</v>
      </c>
    </row>
    <row r="78" spans="1:19" x14ac:dyDescent="0.3">
      <c r="A78" s="17">
        <v>45947</v>
      </c>
      <c r="B78">
        <v>361.2</v>
      </c>
      <c r="C78">
        <v>61.32</v>
      </c>
      <c r="D78">
        <f t="shared" si="12"/>
        <v>299.88</v>
      </c>
      <c r="E78">
        <v>1.92</v>
      </c>
      <c r="F78">
        <f t="shared" si="13"/>
        <v>-297.95999999999998</v>
      </c>
      <c r="I78">
        <f t="shared" si="8"/>
        <v>17</v>
      </c>
      <c r="J78">
        <v>1</v>
      </c>
      <c r="K78">
        <f t="shared" si="9"/>
        <v>10</v>
      </c>
      <c r="L78">
        <f t="shared" si="10"/>
        <v>2025</v>
      </c>
      <c r="N78" s="17">
        <f t="shared" si="14"/>
        <v>45931</v>
      </c>
      <c r="P78" s="17">
        <v>43831</v>
      </c>
      <c r="Q78" s="55">
        <f t="shared" si="11"/>
        <v>-249.32499999999999</v>
      </c>
      <c r="S78">
        <f t="shared" si="15"/>
        <v>0</v>
      </c>
    </row>
    <row r="79" spans="1:19" x14ac:dyDescent="0.3">
      <c r="A79" s="17">
        <v>45946</v>
      </c>
      <c r="B79">
        <v>369.96</v>
      </c>
      <c r="C79">
        <v>62.44</v>
      </c>
      <c r="D79">
        <f t="shared" si="12"/>
        <v>307.52</v>
      </c>
      <c r="E79">
        <v>1.77</v>
      </c>
      <c r="F79">
        <f t="shared" si="13"/>
        <v>-305.75</v>
      </c>
      <c r="I79">
        <f t="shared" si="8"/>
        <v>16</v>
      </c>
      <c r="J79">
        <v>1</v>
      </c>
      <c r="K79">
        <f t="shared" si="9"/>
        <v>10</v>
      </c>
      <c r="L79">
        <f t="shared" si="10"/>
        <v>2025</v>
      </c>
      <c r="N79" s="17">
        <f t="shared" si="14"/>
        <v>45931</v>
      </c>
      <c r="P79" s="17">
        <v>43800</v>
      </c>
      <c r="Q79" s="55">
        <f t="shared" si="11"/>
        <v>-156.97333333333336</v>
      </c>
      <c r="S79">
        <f t="shared" si="15"/>
        <v>0</v>
      </c>
    </row>
    <row r="80" spans="1:19" x14ac:dyDescent="0.3">
      <c r="A80" s="17">
        <v>45945</v>
      </c>
      <c r="B80">
        <v>368.59</v>
      </c>
      <c r="C80">
        <v>62.53</v>
      </c>
      <c r="D80">
        <f t="shared" si="12"/>
        <v>306.05999999999995</v>
      </c>
      <c r="E80">
        <v>1.61</v>
      </c>
      <c r="F80">
        <f t="shared" si="13"/>
        <v>-304.44999999999993</v>
      </c>
      <c r="I80">
        <f t="shared" si="8"/>
        <v>15</v>
      </c>
      <c r="J80">
        <v>1</v>
      </c>
      <c r="K80">
        <f t="shared" si="9"/>
        <v>10</v>
      </c>
      <c r="L80">
        <f t="shared" si="10"/>
        <v>2025</v>
      </c>
      <c r="N80" s="17">
        <f t="shared" si="14"/>
        <v>45931</v>
      </c>
      <c r="P80" s="17">
        <v>43770</v>
      </c>
      <c r="Q80" s="55">
        <f t="shared" si="11"/>
        <v>-242.63500000000002</v>
      </c>
      <c r="S80">
        <f t="shared" si="15"/>
        <v>0</v>
      </c>
    </row>
    <row r="81" spans="1:19" x14ac:dyDescent="0.3">
      <c r="A81" s="17">
        <v>45944</v>
      </c>
      <c r="B81">
        <v>363.28</v>
      </c>
      <c r="C81">
        <v>62.52</v>
      </c>
      <c r="D81">
        <f t="shared" si="12"/>
        <v>300.76</v>
      </c>
      <c r="E81">
        <v>1.61</v>
      </c>
      <c r="F81">
        <f t="shared" si="13"/>
        <v>-299.14999999999998</v>
      </c>
      <c r="I81">
        <f t="shared" si="8"/>
        <v>14</v>
      </c>
      <c r="J81">
        <v>1</v>
      </c>
      <c r="K81">
        <f t="shared" si="9"/>
        <v>10</v>
      </c>
      <c r="L81">
        <f t="shared" si="10"/>
        <v>2025</v>
      </c>
      <c r="N81" s="17">
        <f t="shared" si="14"/>
        <v>45931</v>
      </c>
      <c r="P81" s="17">
        <v>43739</v>
      </c>
      <c r="Q81" s="55">
        <f t="shared" si="11"/>
        <v>-263.89750000000004</v>
      </c>
      <c r="S81">
        <f t="shared" si="15"/>
        <v>0</v>
      </c>
    </row>
    <row r="82" spans="1:19" x14ac:dyDescent="0.3">
      <c r="A82" s="17">
        <v>45943</v>
      </c>
      <c r="B82">
        <v>374.79</v>
      </c>
      <c r="C82">
        <v>63.45</v>
      </c>
      <c r="D82">
        <f t="shared" si="12"/>
        <v>311.34000000000003</v>
      </c>
      <c r="E82">
        <v>1.59</v>
      </c>
      <c r="F82">
        <f t="shared" si="13"/>
        <v>-309.75000000000006</v>
      </c>
      <c r="I82">
        <f t="shared" si="8"/>
        <v>13</v>
      </c>
      <c r="J82">
        <v>1</v>
      </c>
      <c r="K82">
        <f t="shared" si="9"/>
        <v>10</v>
      </c>
      <c r="L82">
        <f t="shared" si="10"/>
        <v>2025</v>
      </c>
      <c r="N82" s="17">
        <f t="shared" si="14"/>
        <v>45931</v>
      </c>
      <c r="P82" s="17">
        <v>43709</v>
      </c>
      <c r="Q82" s="55">
        <f t="shared" si="11"/>
        <v>-279.9733333333333</v>
      </c>
      <c r="S82">
        <f t="shared" si="15"/>
        <v>0</v>
      </c>
    </row>
    <row r="83" spans="1:19" x14ac:dyDescent="0.3">
      <c r="A83" s="17">
        <v>45940</v>
      </c>
      <c r="B83">
        <v>382.63</v>
      </c>
      <c r="C83">
        <v>64.89</v>
      </c>
      <c r="D83">
        <f t="shared" si="12"/>
        <v>317.74</v>
      </c>
      <c r="E83">
        <v>1.6</v>
      </c>
      <c r="F83">
        <f t="shared" si="13"/>
        <v>-316.14</v>
      </c>
      <c r="I83">
        <f t="shared" si="8"/>
        <v>10</v>
      </c>
      <c r="J83">
        <v>1</v>
      </c>
      <c r="K83">
        <f t="shared" si="9"/>
        <v>10</v>
      </c>
      <c r="L83">
        <f t="shared" si="10"/>
        <v>2025</v>
      </c>
      <c r="N83" s="17">
        <f t="shared" si="14"/>
        <v>45931</v>
      </c>
      <c r="P83" s="17">
        <v>43678</v>
      </c>
      <c r="Q83" s="55">
        <f t="shared" si="11"/>
        <v>-349.90499999999997</v>
      </c>
      <c r="S83">
        <f t="shared" si="15"/>
        <v>0</v>
      </c>
    </row>
    <row r="84" spans="1:19" x14ac:dyDescent="0.3">
      <c r="A84" s="17">
        <v>45939</v>
      </c>
      <c r="B84">
        <v>393.21</v>
      </c>
      <c r="C84">
        <v>66.44</v>
      </c>
      <c r="D84">
        <f t="shared" si="12"/>
        <v>326.77</v>
      </c>
      <c r="E84">
        <v>1.75</v>
      </c>
      <c r="F84">
        <f t="shared" si="13"/>
        <v>-325.02</v>
      </c>
      <c r="I84">
        <f t="shared" si="8"/>
        <v>9</v>
      </c>
      <c r="J84">
        <v>1</v>
      </c>
      <c r="K84">
        <f t="shared" si="9"/>
        <v>10</v>
      </c>
      <c r="L84">
        <f t="shared" si="10"/>
        <v>2025</v>
      </c>
      <c r="N84" s="17">
        <f t="shared" si="14"/>
        <v>45931</v>
      </c>
      <c r="P84" s="17">
        <v>43647</v>
      </c>
      <c r="Q84" s="55">
        <f t="shared" si="11"/>
        <v>-345.72750000000002</v>
      </c>
      <c r="S84">
        <f t="shared" si="15"/>
        <v>0</v>
      </c>
    </row>
    <row r="85" spans="1:19" x14ac:dyDescent="0.3">
      <c r="A85" s="17">
        <v>45938</v>
      </c>
      <c r="B85">
        <v>395.16</v>
      </c>
      <c r="C85">
        <v>65.849999999999994</v>
      </c>
      <c r="D85">
        <f t="shared" si="12"/>
        <v>329.31000000000006</v>
      </c>
      <c r="E85">
        <v>1.63</v>
      </c>
      <c r="F85">
        <f t="shared" si="13"/>
        <v>-327.68000000000006</v>
      </c>
      <c r="I85">
        <f t="shared" si="8"/>
        <v>8</v>
      </c>
      <c r="J85">
        <v>1</v>
      </c>
      <c r="K85">
        <f t="shared" si="9"/>
        <v>10</v>
      </c>
      <c r="L85">
        <f t="shared" si="10"/>
        <v>2025</v>
      </c>
      <c r="N85" s="17">
        <f t="shared" si="14"/>
        <v>45931</v>
      </c>
      <c r="P85" s="17">
        <v>43617</v>
      </c>
      <c r="Q85" s="55">
        <f t="shared" si="11"/>
        <v>-304.66000000000003</v>
      </c>
      <c r="S85">
        <f t="shared" si="15"/>
        <v>0</v>
      </c>
    </row>
    <row r="86" spans="1:19" x14ac:dyDescent="0.3">
      <c r="A86" s="17">
        <v>45937</v>
      </c>
      <c r="B86">
        <v>392.33</v>
      </c>
      <c r="C86">
        <v>65.66</v>
      </c>
      <c r="D86">
        <f t="shared" si="12"/>
        <v>326.66999999999996</v>
      </c>
      <c r="E86">
        <v>1.61</v>
      </c>
      <c r="F86">
        <f t="shared" si="13"/>
        <v>-325.05999999999995</v>
      </c>
      <c r="I86">
        <f t="shared" si="8"/>
        <v>7</v>
      </c>
      <c r="J86">
        <v>1</v>
      </c>
      <c r="K86">
        <f t="shared" si="9"/>
        <v>10</v>
      </c>
      <c r="L86">
        <f t="shared" si="10"/>
        <v>2025</v>
      </c>
      <c r="N86" s="17">
        <f t="shared" si="14"/>
        <v>45931</v>
      </c>
      <c r="P86" s="17">
        <v>43586</v>
      </c>
      <c r="Q86" s="55">
        <f t="shared" si="11"/>
        <v>-347.11</v>
      </c>
      <c r="S86">
        <f t="shared" si="15"/>
        <v>0</v>
      </c>
    </row>
    <row r="87" spans="1:19" x14ac:dyDescent="0.3">
      <c r="A87" s="17">
        <v>45936</v>
      </c>
      <c r="B87">
        <v>387.56</v>
      </c>
      <c r="C87">
        <v>65.62</v>
      </c>
      <c r="D87">
        <f t="shared" si="12"/>
        <v>321.94</v>
      </c>
      <c r="E87">
        <v>1.52</v>
      </c>
      <c r="F87">
        <f t="shared" si="13"/>
        <v>-320.42</v>
      </c>
      <c r="I87">
        <f t="shared" si="8"/>
        <v>6</v>
      </c>
      <c r="J87">
        <v>1</v>
      </c>
      <c r="K87">
        <f t="shared" si="9"/>
        <v>10</v>
      </c>
      <c r="L87">
        <f t="shared" si="10"/>
        <v>2025</v>
      </c>
      <c r="N87" s="17">
        <f t="shared" si="14"/>
        <v>45931</v>
      </c>
      <c r="P87" s="17">
        <v>43556</v>
      </c>
      <c r="Q87" s="55">
        <f t="shared" si="11"/>
        <v>-353.61624999999998</v>
      </c>
      <c r="S87">
        <f t="shared" si="15"/>
        <v>0</v>
      </c>
    </row>
    <row r="88" spans="1:19" x14ac:dyDescent="0.3">
      <c r="A88" s="17">
        <v>45933</v>
      </c>
      <c r="B88">
        <v>383.18</v>
      </c>
      <c r="C88">
        <v>64.69</v>
      </c>
      <c r="D88">
        <f t="shared" si="12"/>
        <v>318.49</v>
      </c>
      <c r="E88">
        <v>1.71</v>
      </c>
      <c r="F88">
        <f t="shared" si="13"/>
        <v>-316.78000000000003</v>
      </c>
      <c r="I88">
        <f t="shared" si="8"/>
        <v>3</v>
      </c>
      <c r="J88">
        <v>1</v>
      </c>
      <c r="K88">
        <f t="shared" si="9"/>
        <v>10</v>
      </c>
      <c r="L88">
        <f t="shared" si="10"/>
        <v>2025</v>
      </c>
      <c r="N88" s="17">
        <f t="shared" si="14"/>
        <v>45931</v>
      </c>
      <c r="P88" s="17">
        <v>43525</v>
      </c>
      <c r="Q88" s="55">
        <f t="shared" si="11"/>
        <v>-363.51</v>
      </c>
      <c r="S88">
        <f t="shared" si="15"/>
        <v>1</v>
      </c>
    </row>
    <row r="89" spans="1:19" x14ac:dyDescent="0.3">
      <c r="A89" s="17">
        <v>45932</v>
      </c>
      <c r="B89">
        <v>391.21</v>
      </c>
      <c r="C89">
        <v>65.290000000000006</v>
      </c>
      <c r="D89">
        <f t="shared" si="12"/>
        <v>325.91999999999996</v>
      </c>
      <c r="E89">
        <v>1.53</v>
      </c>
      <c r="F89">
        <f t="shared" si="13"/>
        <v>-324.39</v>
      </c>
      <c r="I89">
        <f t="shared" si="8"/>
        <v>2</v>
      </c>
      <c r="J89">
        <v>1</v>
      </c>
      <c r="K89">
        <f t="shared" si="9"/>
        <v>10</v>
      </c>
      <c r="L89">
        <f t="shared" si="10"/>
        <v>2025</v>
      </c>
      <c r="N89" s="17">
        <f t="shared" si="14"/>
        <v>45931</v>
      </c>
      <c r="P89" s="17">
        <v>43497</v>
      </c>
      <c r="Q89" s="55">
        <f t="shared" si="11"/>
        <v>-333.67</v>
      </c>
      <c r="S89">
        <f t="shared" si="15"/>
        <v>1</v>
      </c>
    </row>
    <row r="90" spans="1:19" x14ac:dyDescent="0.3">
      <c r="A90" s="17">
        <v>45931</v>
      </c>
      <c r="B90">
        <v>397.91</v>
      </c>
      <c r="C90">
        <v>66.55</v>
      </c>
      <c r="D90">
        <f t="shared" si="12"/>
        <v>331.36</v>
      </c>
      <c r="E90">
        <v>1.45</v>
      </c>
      <c r="F90">
        <f t="shared" si="13"/>
        <v>-329.91</v>
      </c>
      <c r="I90">
        <f t="shared" si="8"/>
        <v>1</v>
      </c>
      <c r="J90">
        <v>1</v>
      </c>
      <c r="K90">
        <f t="shared" si="9"/>
        <v>10</v>
      </c>
      <c r="L90">
        <f t="shared" si="10"/>
        <v>2025</v>
      </c>
      <c r="N90" s="17">
        <f t="shared" si="14"/>
        <v>45931</v>
      </c>
      <c r="P90" s="17">
        <v>43466</v>
      </c>
      <c r="Q90" s="55">
        <f t="shared" si="11"/>
        <v>-285.77666666666664</v>
      </c>
      <c r="S90">
        <f t="shared" si="15"/>
        <v>1</v>
      </c>
    </row>
    <row r="91" spans="1:19" x14ac:dyDescent="0.3">
      <c r="A91" s="17">
        <v>45930</v>
      </c>
      <c r="B91">
        <v>400.82</v>
      </c>
      <c r="C91">
        <v>69.34</v>
      </c>
      <c r="D91">
        <f t="shared" si="12"/>
        <v>331.48</v>
      </c>
      <c r="E91">
        <v>1.2</v>
      </c>
      <c r="F91">
        <f t="shared" si="13"/>
        <v>-330.28000000000003</v>
      </c>
      <c r="I91">
        <f t="shared" si="8"/>
        <v>30</v>
      </c>
      <c r="J91">
        <v>1</v>
      </c>
      <c r="K91">
        <f t="shared" si="9"/>
        <v>9</v>
      </c>
      <c r="L91">
        <f t="shared" si="10"/>
        <v>2025</v>
      </c>
      <c r="N91" s="17">
        <f t="shared" si="14"/>
        <v>45901</v>
      </c>
      <c r="P91" s="17">
        <v>43435</v>
      </c>
      <c r="Q91" s="55">
        <f t="shared" si="11"/>
        <v>-347.73</v>
      </c>
      <c r="S91">
        <f t="shared" si="15"/>
        <v>0</v>
      </c>
    </row>
    <row r="92" spans="1:19" x14ac:dyDescent="0.3">
      <c r="A92" s="17">
        <v>45929</v>
      </c>
      <c r="B92">
        <v>411.03</v>
      </c>
      <c r="C92">
        <v>69.25</v>
      </c>
      <c r="D92">
        <f t="shared" si="12"/>
        <v>341.78</v>
      </c>
      <c r="E92">
        <v>1.22</v>
      </c>
      <c r="F92">
        <f t="shared" si="13"/>
        <v>-340.55999999999995</v>
      </c>
      <c r="I92">
        <f t="shared" si="8"/>
        <v>29</v>
      </c>
      <c r="J92">
        <v>1</v>
      </c>
      <c r="K92">
        <f t="shared" si="9"/>
        <v>9</v>
      </c>
      <c r="L92">
        <f t="shared" si="10"/>
        <v>2025</v>
      </c>
      <c r="N92" s="17">
        <f t="shared" si="14"/>
        <v>45901</v>
      </c>
      <c r="P92" s="17">
        <v>43405</v>
      </c>
      <c r="Q92" s="55">
        <f t="shared" si="11"/>
        <v>-409.26749999999998</v>
      </c>
      <c r="S92">
        <f t="shared" si="15"/>
        <v>0</v>
      </c>
    </row>
    <row r="93" spans="1:19" x14ac:dyDescent="0.3">
      <c r="A93" s="17">
        <v>45926</v>
      </c>
      <c r="B93">
        <v>412.93</v>
      </c>
      <c r="C93">
        <v>70.64</v>
      </c>
      <c r="D93">
        <f t="shared" si="12"/>
        <v>342.29</v>
      </c>
      <c r="E93">
        <v>1.1200000000000001</v>
      </c>
      <c r="F93">
        <f t="shared" si="13"/>
        <v>-341.17</v>
      </c>
      <c r="I93">
        <f t="shared" si="8"/>
        <v>26</v>
      </c>
      <c r="J93">
        <v>1</v>
      </c>
      <c r="K93">
        <f t="shared" si="9"/>
        <v>9</v>
      </c>
      <c r="L93">
        <f t="shared" si="10"/>
        <v>2025</v>
      </c>
      <c r="N93" s="17">
        <f t="shared" si="14"/>
        <v>45901</v>
      </c>
      <c r="P93" s="17">
        <v>43374</v>
      </c>
      <c r="Q93" s="55">
        <f t="shared" si="11"/>
        <v>-417.57375000000002</v>
      </c>
      <c r="S93">
        <f t="shared" si="15"/>
        <v>0</v>
      </c>
    </row>
    <row r="94" spans="1:19" x14ac:dyDescent="0.3">
      <c r="A94" s="17">
        <v>45925</v>
      </c>
      <c r="B94">
        <v>407.29</v>
      </c>
      <c r="C94">
        <v>70.55</v>
      </c>
      <c r="D94">
        <f t="shared" si="12"/>
        <v>336.74</v>
      </c>
      <c r="E94">
        <v>0.99</v>
      </c>
      <c r="F94">
        <f t="shared" si="13"/>
        <v>-335.75</v>
      </c>
      <c r="I94">
        <f t="shared" si="8"/>
        <v>25</v>
      </c>
      <c r="J94">
        <v>1</v>
      </c>
      <c r="K94">
        <f t="shared" si="9"/>
        <v>9</v>
      </c>
      <c r="L94">
        <f t="shared" si="10"/>
        <v>2025</v>
      </c>
      <c r="N94" s="17">
        <f t="shared" si="14"/>
        <v>45901</v>
      </c>
      <c r="P94" s="17">
        <v>43344</v>
      </c>
      <c r="Q94" s="55">
        <f t="shared" si="11"/>
        <v>-372.42</v>
      </c>
      <c r="S94">
        <f t="shared" si="15"/>
        <v>0</v>
      </c>
    </row>
    <row r="95" spans="1:19" x14ac:dyDescent="0.3">
      <c r="A95" s="17">
        <v>45924</v>
      </c>
      <c r="B95">
        <v>406.75</v>
      </c>
      <c r="C95">
        <v>69.87</v>
      </c>
      <c r="D95">
        <f t="shared" si="12"/>
        <v>336.88</v>
      </c>
      <c r="E95">
        <v>0.85</v>
      </c>
      <c r="F95">
        <f t="shared" si="13"/>
        <v>-336.03</v>
      </c>
      <c r="I95">
        <f t="shared" si="8"/>
        <v>24</v>
      </c>
      <c r="J95">
        <v>1</v>
      </c>
      <c r="K95">
        <f t="shared" si="9"/>
        <v>9</v>
      </c>
      <c r="L95">
        <f t="shared" si="10"/>
        <v>2025</v>
      </c>
      <c r="N95" s="17">
        <f t="shared" si="14"/>
        <v>45901</v>
      </c>
      <c r="P95" s="17">
        <v>43313</v>
      </c>
      <c r="Q95" s="55">
        <f t="shared" si="11"/>
        <v>-378.58666666666664</v>
      </c>
      <c r="S95">
        <f t="shared" si="15"/>
        <v>0</v>
      </c>
    </row>
    <row r="96" spans="1:19" x14ac:dyDescent="0.3">
      <c r="A96" s="17">
        <v>45923</v>
      </c>
      <c r="B96">
        <v>395.37</v>
      </c>
      <c r="C96">
        <v>68.239999999999995</v>
      </c>
      <c r="D96">
        <f t="shared" si="12"/>
        <v>327.13</v>
      </c>
      <c r="E96">
        <v>0.84</v>
      </c>
      <c r="F96">
        <f t="shared" si="13"/>
        <v>-326.29000000000002</v>
      </c>
      <c r="I96">
        <f t="shared" si="8"/>
        <v>23</v>
      </c>
      <c r="J96">
        <v>1</v>
      </c>
      <c r="K96">
        <f t="shared" si="9"/>
        <v>9</v>
      </c>
      <c r="L96">
        <f t="shared" si="10"/>
        <v>2025</v>
      </c>
      <c r="N96" s="17">
        <f t="shared" si="14"/>
        <v>45901</v>
      </c>
      <c r="P96" s="17">
        <v>43282</v>
      </c>
      <c r="Q96" s="55">
        <f t="shared" si="11"/>
        <v>-382.59</v>
      </c>
      <c r="S96">
        <f t="shared" si="15"/>
        <v>0</v>
      </c>
    </row>
    <row r="97" spans="1:19" x14ac:dyDescent="0.3">
      <c r="A97" s="17">
        <v>45922</v>
      </c>
      <c r="B97">
        <v>393.53</v>
      </c>
      <c r="C97">
        <v>68.599999999999994</v>
      </c>
      <c r="D97">
        <f t="shared" si="12"/>
        <v>324.92999999999995</v>
      </c>
      <c r="E97">
        <v>0.81</v>
      </c>
      <c r="F97">
        <f t="shared" si="13"/>
        <v>-324.11999999999995</v>
      </c>
      <c r="I97">
        <f t="shared" si="8"/>
        <v>22</v>
      </c>
      <c r="J97">
        <v>1</v>
      </c>
      <c r="K97">
        <f t="shared" si="9"/>
        <v>9</v>
      </c>
      <c r="L97">
        <f t="shared" si="10"/>
        <v>2025</v>
      </c>
      <c r="N97" s="17">
        <f t="shared" si="14"/>
        <v>45901</v>
      </c>
      <c r="P97" s="17">
        <v>43252</v>
      </c>
      <c r="Q97" s="55">
        <f t="shared" si="11"/>
        <v>-368.5</v>
      </c>
      <c r="S97">
        <f t="shared" si="15"/>
        <v>0</v>
      </c>
    </row>
    <row r="98" spans="1:19" x14ac:dyDescent="0.3">
      <c r="A98" s="17">
        <v>45919</v>
      </c>
      <c r="B98">
        <v>391.64</v>
      </c>
      <c r="C98">
        <v>69.33</v>
      </c>
      <c r="D98">
        <f t="shared" si="12"/>
        <v>322.31</v>
      </c>
      <c r="E98">
        <v>0.82</v>
      </c>
      <c r="F98">
        <f t="shared" si="13"/>
        <v>-321.49</v>
      </c>
      <c r="I98">
        <f t="shared" si="8"/>
        <v>19</v>
      </c>
      <c r="J98">
        <v>1</v>
      </c>
      <c r="K98">
        <f t="shared" si="9"/>
        <v>9</v>
      </c>
      <c r="L98">
        <f t="shared" si="10"/>
        <v>2025</v>
      </c>
      <c r="N98" s="17">
        <f t="shared" si="14"/>
        <v>45901</v>
      </c>
      <c r="P98" s="17">
        <v>43221</v>
      </c>
      <c r="Q98" s="55">
        <f t="shared" si="11"/>
        <v>-333.64833333333331</v>
      </c>
      <c r="S98">
        <f t="shared" si="15"/>
        <v>0</v>
      </c>
    </row>
    <row r="99" spans="1:19" x14ac:dyDescent="0.3">
      <c r="A99" s="17">
        <v>45918</v>
      </c>
      <c r="B99">
        <v>397.47</v>
      </c>
      <c r="C99">
        <v>70.44</v>
      </c>
      <c r="D99">
        <f t="shared" si="12"/>
        <v>327.03000000000003</v>
      </c>
      <c r="E99">
        <v>0.85</v>
      </c>
      <c r="F99">
        <f t="shared" si="13"/>
        <v>-326.18</v>
      </c>
      <c r="I99">
        <f t="shared" si="8"/>
        <v>18</v>
      </c>
      <c r="J99">
        <v>1</v>
      </c>
      <c r="K99">
        <f t="shared" si="9"/>
        <v>9</v>
      </c>
      <c r="L99">
        <f t="shared" si="10"/>
        <v>2025</v>
      </c>
      <c r="N99" s="17">
        <f t="shared" si="14"/>
        <v>45901</v>
      </c>
      <c r="P99" s="17">
        <v>43191</v>
      </c>
      <c r="Q99" s="55">
        <f t="shared" si="11"/>
        <v>-299.42166666666668</v>
      </c>
      <c r="S99">
        <f t="shared" si="15"/>
        <v>0</v>
      </c>
    </row>
    <row r="100" spans="1:19" x14ac:dyDescent="0.3">
      <c r="A100" s="17">
        <v>45917</v>
      </c>
      <c r="B100">
        <v>397.72</v>
      </c>
      <c r="C100">
        <v>70.69</v>
      </c>
      <c r="D100">
        <f t="shared" si="12"/>
        <v>327.03000000000003</v>
      </c>
      <c r="E100">
        <v>0.9</v>
      </c>
      <c r="F100">
        <f t="shared" si="13"/>
        <v>-326.13000000000005</v>
      </c>
      <c r="I100">
        <f t="shared" si="8"/>
        <v>17</v>
      </c>
      <c r="J100">
        <v>1</v>
      </c>
      <c r="K100">
        <f t="shared" si="9"/>
        <v>9</v>
      </c>
      <c r="L100">
        <f t="shared" si="10"/>
        <v>2025</v>
      </c>
      <c r="N100" s="17">
        <f t="shared" si="14"/>
        <v>45901</v>
      </c>
      <c r="P100" s="17">
        <v>43160</v>
      </c>
      <c r="Q100" s="55">
        <f t="shared" si="11"/>
        <v>-292.21000000000004</v>
      </c>
      <c r="S100">
        <f t="shared" si="15"/>
        <v>0</v>
      </c>
    </row>
    <row r="101" spans="1:19" x14ac:dyDescent="0.3">
      <c r="A101" s="17">
        <v>45916</v>
      </c>
      <c r="B101">
        <v>393.36</v>
      </c>
      <c r="C101">
        <v>70.25</v>
      </c>
      <c r="D101">
        <f t="shared" si="12"/>
        <v>323.11</v>
      </c>
      <c r="E101">
        <v>1.01</v>
      </c>
      <c r="F101">
        <f t="shared" si="13"/>
        <v>-322.10000000000002</v>
      </c>
      <c r="I101">
        <f t="shared" si="8"/>
        <v>16</v>
      </c>
      <c r="J101">
        <v>1</v>
      </c>
      <c r="K101">
        <f t="shared" si="9"/>
        <v>9</v>
      </c>
      <c r="L101">
        <f t="shared" si="10"/>
        <v>2025</v>
      </c>
      <c r="N101" s="17">
        <f t="shared" si="14"/>
        <v>45901</v>
      </c>
      <c r="P101" s="17">
        <v>43132</v>
      </c>
      <c r="Q101" s="55">
        <f t="shared" si="11"/>
        <v>-319.03249999999997</v>
      </c>
      <c r="S101">
        <f t="shared" si="15"/>
        <v>0</v>
      </c>
    </row>
    <row r="102" spans="1:19" x14ac:dyDescent="0.3">
      <c r="A102" s="17">
        <v>45915</v>
      </c>
      <c r="B102">
        <v>392.54</v>
      </c>
      <c r="C102">
        <v>70.89</v>
      </c>
      <c r="D102">
        <f t="shared" si="12"/>
        <v>321.65000000000003</v>
      </c>
      <c r="E102">
        <v>1.07</v>
      </c>
      <c r="F102">
        <f t="shared" si="13"/>
        <v>-320.58000000000004</v>
      </c>
      <c r="I102">
        <f t="shared" si="8"/>
        <v>15</v>
      </c>
      <c r="J102">
        <v>1</v>
      </c>
      <c r="K102">
        <f t="shared" si="9"/>
        <v>9</v>
      </c>
      <c r="L102">
        <f t="shared" si="10"/>
        <v>2025</v>
      </c>
      <c r="N102" s="17">
        <f t="shared" si="14"/>
        <v>45901</v>
      </c>
      <c r="P102" s="17">
        <v>43101</v>
      </c>
      <c r="Q102" s="55">
        <f t="shared" si="11"/>
        <v>-312.13833333333338</v>
      </c>
      <c r="S102">
        <f t="shared" si="15"/>
        <v>0</v>
      </c>
    </row>
    <row r="103" spans="1:19" x14ac:dyDescent="0.3">
      <c r="A103" s="17">
        <v>45912</v>
      </c>
      <c r="B103">
        <v>384.59</v>
      </c>
      <c r="C103">
        <v>69.510000000000005</v>
      </c>
      <c r="D103">
        <f t="shared" si="12"/>
        <v>315.08</v>
      </c>
      <c r="E103">
        <v>1.03</v>
      </c>
      <c r="F103">
        <f t="shared" si="13"/>
        <v>-314.05</v>
      </c>
      <c r="I103">
        <f t="shared" si="8"/>
        <v>12</v>
      </c>
      <c r="J103">
        <v>1</v>
      </c>
      <c r="K103">
        <f t="shared" si="9"/>
        <v>9</v>
      </c>
      <c r="L103">
        <f t="shared" si="10"/>
        <v>2025</v>
      </c>
      <c r="N103" s="17">
        <f t="shared" si="14"/>
        <v>45901</v>
      </c>
      <c r="P103" s="17">
        <v>43070</v>
      </c>
      <c r="Q103" s="55">
        <f t="shared" si="11"/>
        <v>-300.60500000000002</v>
      </c>
      <c r="S103">
        <f t="shared" si="15"/>
        <v>0</v>
      </c>
    </row>
    <row r="104" spans="1:19" x14ac:dyDescent="0.3">
      <c r="A104" s="17">
        <v>45911</v>
      </c>
      <c r="B104">
        <v>393.09</v>
      </c>
      <c r="C104">
        <v>70.7</v>
      </c>
      <c r="D104">
        <f t="shared" si="12"/>
        <v>322.39</v>
      </c>
      <c r="E104">
        <v>0.88</v>
      </c>
      <c r="F104">
        <f t="shared" si="13"/>
        <v>-321.51</v>
      </c>
      <c r="I104">
        <f t="shared" si="8"/>
        <v>11</v>
      </c>
      <c r="J104">
        <v>1</v>
      </c>
      <c r="K104">
        <f t="shared" si="9"/>
        <v>9</v>
      </c>
      <c r="L104">
        <f t="shared" si="10"/>
        <v>2025</v>
      </c>
      <c r="N104" s="17">
        <f t="shared" si="14"/>
        <v>45901</v>
      </c>
      <c r="P104" s="17">
        <v>43040</v>
      </c>
      <c r="Q104" s="55">
        <f t="shared" si="11"/>
        <v>-299.14333333333326</v>
      </c>
      <c r="S104">
        <f t="shared" si="15"/>
        <v>0</v>
      </c>
    </row>
    <row r="105" spans="1:19" x14ac:dyDescent="0.3">
      <c r="A105" s="17">
        <v>45910</v>
      </c>
      <c r="B105">
        <v>396.3</v>
      </c>
      <c r="C105">
        <v>70.400000000000006</v>
      </c>
      <c r="D105">
        <f t="shared" si="12"/>
        <v>325.89999999999998</v>
      </c>
      <c r="E105">
        <v>0.87</v>
      </c>
      <c r="F105">
        <f t="shared" si="13"/>
        <v>-325.02999999999997</v>
      </c>
      <c r="I105">
        <f t="shared" si="8"/>
        <v>10</v>
      </c>
      <c r="J105">
        <v>1</v>
      </c>
      <c r="K105">
        <f t="shared" si="9"/>
        <v>9</v>
      </c>
      <c r="L105">
        <f t="shared" si="10"/>
        <v>2025</v>
      </c>
      <c r="N105" s="17">
        <f t="shared" si="14"/>
        <v>45901</v>
      </c>
      <c r="P105" s="17">
        <v>43009</v>
      </c>
      <c r="Q105" s="55">
        <f t="shared" si="11"/>
        <v>-270.88333333333333</v>
      </c>
      <c r="S105">
        <f t="shared" si="15"/>
        <v>0</v>
      </c>
    </row>
    <row r="106" spans="1:19" x14ac:dyDescent="0.3">
      <c r="A106" s="17">
        <v>45909</v>
      </c>
      <c r="B106">
        <v>396.88</v>
      </c>
      <c r="C106">
        <v>69.72</v>
      </c>
      <c r="D106">
        <f t="shared" si="12"/>
        <v>327.15999999999997</v>
      </c>
      <c r="E106">
        <v>0.88</v>
      </c>
      <c r="F106">
        <f t="shared" si="13"/>
        <v>-326.27999999999997</v>
      </c>
      <c r="I106">
        <f t="shared" si="8"/>
        <v>9</v>
      </c>
      <c r="J106">
        <v>1</v>
      </c>
      <c r="K106">
        <f t="shared" si="9"/>
        <v>9</v>
      </c>
      <c r="L106">
        <f t="shared" si="10"/>
        <v>2025</v>
      </c>
      <c r="N106" s="17">
        <f t="shared" si="14"/>
        <v>45901</v>
      </c>
      <c r="P106" s="17">
        <v>42979</v>
      </c>
      <c r="Q106" s="55">
        <f t="shared" si="11"/>
        <v>-255.94000000000005</v>
      </c>
      <c r="S106">
        <f t="shared" si="15"/>
        <v>0</v>
      </c>
    </row>
    <row r="107" spans="1:19" x14ac:dyDescent="0.3">
      <c r="A107" s="17">
        <v>45908</v>
      </c>
      <c r="B107">
        <v>389.16</v>
      </c>
      <c r="C107">
        <v>69.2</v>
      </c>
      <c r="D107">
        <f t="shared" si="12"/>
        <v>319.96000000000004</v>
      </c>
      <c r="E107">
        <v>1.02</v>
      </c>
      <c r="F107">
        <f t="shared" si="13"/>
        <v>-318.94000000000005</v>
      </c>
      <c r="I107">
        <f t="shared" si="8"/>
        <v>8</v>
      </c>
      <c r="J107">
        <v>1</v>
      </c>
      <c r="K107">
        <f t="shared" si="9"/>
        <v>9</v>
      </c>
      <c r="L107">
        <f t="shared" si="10"/>
        <v>2025</v>
      </c>
      <c r="N107" s="17">
        <f t="shared" si="14"/>
        <v>45901</v>
      </c>
      <c r="P107" s="17">
        <v>42948</v>
      </c>
      <c r="Q107" s="55">
        <f t="shared" si="11"/>
        <v>-252.84624999999997</v>
      </c>
      <c r="S107">
        <f t="shared" si="15"/>
        <v>0</v>
      </c>
    </row>
    <row r="108" spans="1:19" x14ac:dyDescent="0.3">
      <c r="A108" s="17">
        <v>45905</v>
      </c>
      <c r="B108">
        <v>388.6</v>
      </c>
      <c r="C108">
        <v>69.2</v>
      </c>
      <c r="D108">
        <f t="shared" si="12"/>
        <v>319.40000000000003</v>
      </c>
      <c r="E108">
        <v>0.99</v>
      </c>
      <c r="F108">
        <f t="shared" si="13"/>
        <v>-318.41000000000003</v>
      </c>
      <c r="I108">
        <f t="shared" si="8"/>
        <v>5</v>
      </c>
      <c r="J108">
        <v>1</v>
      </c>
      <c r="K108">
        <f t="shared" si="9"/>
        <v>9</v>
      </c>
      <c r="L108">
        <f t="shared" si="10"/>
        <v>2025</v>
      </c>
      <c r="N108" s="17">
        <f t="shared" si="14"/>
        <v>45901</v>
      </c>
      <c r="P108" s="17">
        <v>42917</v>
      </c>
      <c r="Q108" s="55">
        <f t="shared" si="11"/>
        <v>-249.63499999999999</v>
      </c>
      <c r="S108">
        <f t="shared" si="15"/>
        <v>0</v>
      </c>
    </row>
    <row r="109" spans="1:19" x14ac:dyDescent="0.3">
      <c r="A109" s="17">
        <v>45904</v>
      </c>
      <c r="B109">
        <v>387.14</v>
      </c>
      <c r="C109">
        <v>69.48</v>
      </c>
      <c r="D109">
        <f t="shared" si="12"/>
        <v>317.65999999999997</v>
      </c>
      <c r="E109">
        <v>0.83</v>
      </c>
      <c r="F109">
        <f t="shared" si="13"/>
        <v>-316.83</v>
      </c>
      <c r="I109">
        <f t="shared" si="8"/>
        <v>4</v>
      </c>
      <c r="J109">
        <v>1</v>
      </c>
      <c r="K109">
        <f t="shared" si="9"/>
        <v>9</v>
      </c>
      <c r="L109">
        <f t="shared" si="10"/>
        <v>2025</v>
      </c>
      <c r="N109" s="17">
        <f t="shared" si="14"/>
        <v>45901</v>
      </c>
      <c r="P109" s="17">
        <v>42887</v>
      </c>
      <c r="Q109" s="55">
        <f t="shared" si="11"/>
        <v>-241.3725</v>
      </c>
      <c r="S109">
        <f t="shared" si="15"/>
        <v>1</v>
      </c>
    </row>
    <row r="110" spans="1:19" x14ac:dyDescent="0.3">
      <c r="A110" s="17">
        <v>45903</v>
      </c>
      <c r="B110">
        <v>396.17</v>
      </c>
      <c r="C110">
        <v>71.525000000000006</v>
      </c>
      <c r="D110">
        <f t="shared" si="12"/>
        <v>324.64499999999998</v>
      </c>
      <c r="E110">
        <v>0.66</v>
      </c>
      <c r="F110">
        <f t="shared" si="13"/>
        <v>-323.98499999999996</v>
      </c>
      <c r="I110">
        <f t="shared" si="8"/>
        <v>3</v>
      </c>
      <c r="J110">
        <v>1</v>
      </c>
      <c r="K110">
        <f t="shared" si="9"/>
        <v>9</v>
      </c>
      <c r="L110">
        <f t="shared" si="10"/>
        <v>2025</v>
      </c>
      <c r="N110" s="17">
        <f t="shared" si="14"/>
        <v>45901</v>
      </c>
      <c r="P110" s="17">
        <v>42856</v>
      </c>
      <c r="Q110" s="55">
        <f t="shared" si="11"/>
        <v>-242.54333333333332</v>
      </c>
      <c r="S110">
        <f t="shared" si="15"/>
        <v>1</v>
      </c>
    </row>
    <row r="111" spans="1:19" x14ac:dyDescent="0.3">
      <c r="A111" s="17">
        <v>45902</v>
      </c>
      <c r="B111">
        <v>400.91</v>
      </c>
      <c r="C111">
        <v>71.709999999999994</v>
      </c>
      <c r="D111">
        <f t="shared" si="12"/>
        <v>329.20000000000005</v>
      </c>
      <c r="E111">
        <v>0.56999999999999995</v>
      </c>
      <c r="F111">
        <f t="shared" si="13"/>
        <v>-328.63000000000005</v>
      </c>
      <c r="I111">
        <f t="shared" si="8"/>
        <v>2</v>
      </c>
      <c r="J111">
        <v>1</v>
      </c>
      <c r="K111">
        <f t="shared" si="9"/>
        <v>9</v>
      </c>
      <c r="L111">
        <f t="shared" si="10"/>
        <v>2025</v>
      </c>
      <c r="N111" s="17">
        <f t="shared" si="14"/>
        <v>45901</v>
      </c>
      <c r="P111" s="17">
        <v>42826</v>
      </c>
      <c r="Q111" s="55">
        <f t="shared" si="11"/>
        <v>-244.71499999999997</v>
      </c>
      <c r="S111">
        <f t="shared" si="15"/>
        <v>1</v>
      </c>
    </row>
    <row r="112" spans="1:19" x14ac:dyDescent="0.3">
      <c r="A112" s="17">
        <v>45901</v>
      </c>
      <c r="B112">
        <v>398.62</v>
      </c>
      <c r="C112">
        <v>70.709999999999994</v>
      </c>
      <c r="D112">
        <f t="shared" si="12"/>
        <v>327.91</v>
      </c>
      <c r="E112">
        <v>0.52</v>
      </c>
      <c r="F112">
        <f t="shared" si="13"/>
        <v>-327.39000000000004</v>
      </c>
      <c r="I112">
        <f t="shared" si="8"/>
        <v>1</v>
      </c>
      <c r="J112">
        <v>1</v>
      </c>
      <c r="K112">
        <f t="shared" si="9"/>
        <v>9</v>
      </c>
      <c r="L112">
        <f t="shared" si="10"/>
        <v>2025</v>
      </c>
      <c r="N112" s="17">
        <f t="shared" si="14"/>
        <v>45901</v>
      </c>
      <c r="P112" s="17">
        <v>42795</v>
      </c>
      <c r="Q112" s="55">
        <f t="shared" si="11"/>
        <v>-260.82</v>
      </c>
      <c r="S112">
        <f t="shared" si="15"/>
        <v>1</v>
      </c>
    </row>
    <row r="113" spans="1:19" x14ac:dyDescent="0.3">
      <c r="A113" s="17">
        <v>45898</v>
      </c>
      <c r="B113">
        <v>400.85</v>
      </c>
      <c r="C113">
        <v>70.5</v>
      </c>
      <c r="D113">
        <f t="shared" si="12"/>
        <v>330.35</v>
      </c>
      <c r="E113">
        <v>0.55000000000000004</v>
      </c>
      <c r="F113">
        <f t="shared" si="13"/>
        <v>-329.8</v>
      </c>
      <c r="I113">
        <f t="shared" si="8"/>
        <v>29</v>
      </c>
      <c r="J113">
        <v>1</v>
      </c>
      <c r="K113">
        <f t="shared" si="9"/>
        <v>8</v>
      </c>
      <c r="L113">
        <f t="shared" si="10"/>
        <v>2025</v>
      </c>
      <c r="N113" s="17">
        <f t="shared" si="14"/>
        <v>45870</v>
      </c>
      <c r="P113" s="17">
        <v>42767</v>
      </c>
      <c r="Q113" s="55">
        <f t="shared" si="11"/>
        <v>-256.84499999999997</v>
      </c>
      <c r="S113">
        <f t="shared" si="15"/>
        <v>0</v>
      </c>
    </row>
    <row r="114" spans="1:19" x14ac:dyDescent="0.3">
      <c r="A114" s="17">
        <v>45897</v>
      </c>
      <c r="B114">
        <v>392.92</v>
      </c>
      <c r="C114">
        <v>69.7</v>
      </c>
      <c r="D114">
        <f t="shared" si="12"/>
        <v>323.22000000000003</v>
      </c>
      <c r="E114">
        <v>0.57999999999999996</v>
      </c>
      <c r="F114">
        <f t="shared" si="13"/>
        <v>-322.64000000000004</v>
      </c>
      <c r="I114">
        <f t="shared" si="8"/>
        <v>28</v>
      </c>
      <c r="J114">
        <v>1</v>
      </c>
      <c r="K114">
        <f t="shared" si="9"/>
        <v>8</v>
      </c>
      <c r="L114">
        <f t="shared" si="10"/>
        <v>2025</v>
      </c>
      <c r="N114" s="17">
        <f t="shared" si="14"/>
        <v>45870</v>
      </c>
      <c r="P114" s="17">
        <v>42736</v>
      </c>
      <c r="Q114" s="55">
        <f t="shared" si="11"/>
        <v>-277.5</v>
      </c>
      <c r="S114">
        <f t="shared" si="15"/>
        <v>0</v>
      </c>
    </row>
    <row r="115" spans="1:19" x14ac:dyDescent="0.3">
      <c r="A115" s="17">
        <v>45896</v>
      </c>
      <c r="B115">
        <v>392.37</v>
      </c>
      <c r="C115">
        <v>69.25</v>
      </c>
      <c r="D115">
        <f t="shared" si="12"/>
        <v>323.12</v>
      </c>
      <c r="E115">
        <v>0.56000000000000005</v>
      </c>
      <c r="F115">
        <f t="shared" si="13"/>
        <v>-322.56</v>
      </c>
      <c r="I115">
        <f t="shared" si="8"/>
        <v>27</v>
      </c>
      <c r="J115">
        <v>1</v>
      </c>
      <c r="K115">
        <f t="shared" si="9"/>
        <v>8</v>
      </c>
      <c r="L115">
        <f t="shared" si="10"/>
        <v>2025</v>
      </c>
      <c r="N115" s="17">
        <f t="shared" si="14"/>
        <v>45870</v>
      </c>
      <c r="P115" s="17">
        <v>42705</v>
      </c>
      <c r="Q115" s="55">
        <f t="shared" si="11"/>
        <v>-250.125</v>
      </c>
      <c r="S115">
        <f t="shared" si="15"/>
        <v>0</v>
      </c>
    </row>
    <row r="116" spans="1:19" x14ac:dyDescent="0.3">
      <c r="A116" s="17">
        <v>45895</v>
      </c>
      <c r="B116">
        <v>396.53</v>
      </c>
      <c r="C116">
        <v>70.349999999999994</v>
      </c>
      <c r="D116">
        <f t="shared" si="12"/>
        <v>326.17999999999995</v>
      </c>
      <c r="E116">
        <v>0.53</v>
      </c>
      <c r="F116">
        <f t="shared" si="13"/>
        <v>-325.64999999999998</v>
      </c>
      <c r="I116">
        <f t="shared" si="8"/>
        <v>26</v>
      </c>
      <c r="J116">
        <v>1</v>
      </c>
      <c r="K116">
        <f t="shared" si="9"/>
        <v>8</v>
      </c>
      <c r="L116">
        <f t="shared" si="10"/>
        <v>2025</v>
      </c>
      <c r="N116" s="17">
        <f t="shared" si="14"/>
        <v>45870</v>
      </c>
      <c r="P116" s="17">
        <v>42675</v>
      </c>
      <c r="Q116" s="55">
        <f t="shared" si="11"/>
        <v>-220.52250000000001</v>
      </c>
      <c r="S116">
        <f t="shared" si="15"/>
        <v>0</v>
      </c>
    </row>
    <row r="117" spans="1:19" x14ac:dyDescent="0.3">
      <c r="A117" s="17">
        <v>45894</v>
      </c>
      <c r="B117">
        <v>398.18</v>
      </c>
      <c r="C117">
        <v>70</v>
      </c>
      <c r="D117">
        <f t="shared" si="12"/>
        <v>328.18</v>
      </c>
      <c r="E117">
        <v>0.57999999999999996</v>
      </c>
      <c r="F117">
        <f t="shared" si="13"/>
        <v>-327.60000000000002</v>
      </c>
      <c r="I117">
        <f t="shared" si="8"/>
        <v>25</v>
      </c>
      <c r="J117">
        <v>1</v>
      </c>
      <c r="K117">
        <f t="shared" si="9"/>
        <v>8</v>
      </c>
      <c r="L117">
        <f t="shared" si="10"/>
        <v>2025</v>
      </c>
      <c r="N117" s="17">
        <f t="shared" si="14"/>
        <v>45870</v>
      </c>
      <c r="P117" s="17">
        <v>42644</v>
      </c>
      <c r="Q117" s="55">
        <f t="shared" si="11"/>
        <v>-213.66500000000002</v>
      </c>
      <c r="S117">
        <f t="shared" si="15"/>
        <v>0</v>
      </c>
    </row>
    <row r="118" spans="1:19" x14ac:dyDescent="0.3">
      <c r="A118" s="17">
        <v>45891</v>
      </c>
      <c r="B118">
        <v>390.51</v>
      </c>
      <c r="C118">
        <v>69.900000000000006</v>
      </c>
      <c r="D118">
        <f t="shared" si="12"/>
        <v>320.61</v>
      </c>
      <c r="E118">
        <v>0.56999999999999995</v>
      </c>
      <c r="F118">
        <f t="shared" si="13"/>
        <v>-320.04000000000002</v>
      </c>
      <c r="I118">
        <f t="shared" si="8"/>
        <v>22</v>
      </c>
      <c r="J118">
        <v>1</v>
      </c>
      <c r="K118">
        <f t="shared" si="9"/>
        <v>8</v>
      </c>
      <c r="L118">
        <f t="shared" si="10"/>
        <v>2025</v>
      </c>
      <c r="N118" s="17">
        <f t="shared" si="14"/>
        <v>45870</v>
      </c>
      <c r="P118" s="17">
        <v>42614</v>
      </c>
      <c r="Q118" s="55">
        <f t="shared" si="11"/>
        <v>-198.32499999999999</v>
      </c>
      <c r="S118">
        <f t="shared" si="15"/>
        <v>0</v>
      </c>
    </row>
    <row r="119" spans="1:19" x14ac:dyDescent="0.3">
      <c r="A119" s="17">
        <v>45890</v>
      </c>
      <c r="B119">
        <v>387.45</v>
      </c>
      <c r="C119">
        <v>69.66</v>
      </c>
      <c r="D119">
        <f t="shared" si="12"/>
        <v>317.78999999999996</v>
      </c>
      <c r="E119">
        <v>0.55000000000000004</v>
      </c>
      <c r="F119">
        <f t="shared" si="13"/>
        <v>-317.23999999999995</v>
      </c>
      <c r="I119">
        <f t="shared" si="8"/>
        <v>21</v>
      </c>
      <c r="J119">
        <v>1</v>
      </c>
      <c r="K119">
        <f t="shared" si="9"/>
        <v>8</v>
      </c>
      <c r="L119">
        <f t="shared" si="10"/>
        <v>2025</v>
      </c>
      <c r="N119" s="17">
        <f t="shared" si="14"/>
        <v>45870</v>
      </c>
      <c r="P119" s="17">
        <v>42583</v>
      </c>
      <c r="Q119" s="55">
        <f t="shared" si="11"/>
        <v>-170.10250000000002</v>
      </c>
      <c r="S119">
        <f t="shared" si="15"/>
        <v>0</v>
      </c>
    </row>
    <row r="120" spans="1:19" x14ac:dyDescent="0.3">
      <c r="A120" s="17">
        <v>45889</v>
      </c>
      <c r="B120">
        <v>387.05</v>
      </c>
      <c r="C120">
        <v>68.8</v>
      </c>
      <c r="D120">
        <f t="shared" si="12"/>
        <v>318.25</v>
      </c>
      <c r="E120">
        <v>0.6</v>
      </c>
      <c r="F120">
        <f t="shared" si="13"/>
        <v>-317.64999999999998</v>
      </c>
      <c r="I120">
        <f t="shared" si="8"/>
        <v>20</v>
      </c>
      <c r="J120">
        <v>1</v>
      </c>
      <c r="K120">
        <f t="shared" si="9"/>
        <v>8</v>
      </c>
      <c r="L120">
        <f t="shared" si="10"/>
        <v>2025</v>
      </c>
      <c r="N120" s="17">
        <f t="shared" si="14"/>
        <v>45870</v>
      </c>
      <c r="P120" s="17">
        <v>42552</v>
      </c>
      <c r="Q120" s="55">
        <f t="shared" si="11"/>
        <v>-200.875</v>
      </c>
      <c r="S120">
        <f t="shared" si="15"/>
        <v>0</v>
      </c>
    </row>
    <row r="121" spans="1:19" x14ac:dyDescent="0.3">
      <c r="A121" s="17">
        <v>45888</v>
      </c>
      <c r="B121">
        <v>383.48</v>
      </c>
      <c r="C121">
        <v>68.040000000000006</v>
      </c>
      <c r="D121">
        <f t="shared" si="12"/>
        <v>315.44</v>
      </c>
      <c r="E121">
        <v>0.61</v>
      </c>
      <c r="F121">
        <f t="shared" si="13"/>
        <v>-314.83</v>
      </c>
      <c r="I121">
        <f t="shared" si="8"/>
        <v>19</v>
      </c>
      <c r="J121">
        <v>1</v>
      </c>
      <c r="K121">
        <f t="shared" si="9"/>
        <v>8</v>
      </c>
      <c r="L121">
        <f t="shared" si="10"/>
        <v>2025</v>
      </c>
      <c r="N121" s="17">
        <f t="shared" si="14"/>
        <v>45870</v>
      </c>
      <c r="P121" s="17">
        <v>42522</v>
      </c>
      <c r="Q121" s="55">
        <f t="shared" si="11"/>
        <v>-177.61333333333334</v>
      </c>
      <c r="S121">
        <f t="shared" si="15"/>
        <v>0</v>
      </c>
    </row>
    <row r="122" spans="1:19" x14ac:dyDescent="0.3">
      <c r="A122" s="17">
        <v>45887</v>
      </c>
      <c r="B122">
        <v>387.78</v>
      </c>
      <c r="C122">
        <v>67.650000000000006</v>
      </c>
      <c r="D122">
        <f t="shared" si="12"/>
        <v>320.13</v>
      </c>
      <c r="E122">
        <v>0.48</v>
      </c>
      <c r="F122">
        <f t="shared" si="13"/>
        <v>-319.64999999999998</v>
      </c>
      <c r="I122">
        <f t="shared" si="8"/>
        <v>18</v>
      </c>
      <c r="J122">
        <v>1</v>
      </c>
      <c r="K122">
        <f t="shared" si="9"/>
        <v>8</v>
      </c>
      <c r="L122">
        <f t="shared" si="10"/>
        <v>2025</v>
      </c>
      <c r="N122" s="17">
        <f t="shared" si="14"/>
        <v>45870</v>
      </c>
      <c r="P122" s="17">
        <v>42491</v>
      </c>
      <c r="Q122" s="55">
        <f t="shared" si="11"/>
        <v>-166.21000000000004</v>
      </c>
      <c r="S122">
        <f t="shared" si="15"/>
        <v>0</v>
      </c>
    </row>
    <row r="123" spans="1:19" x14ac:dyDescent="0.3">
      <c r="A123" s="17">
        <v>45884</v>
      </c>
      <c r="B123">
        <v>387.96</v>
      </c>
      <c r="C123">
        <v>68.194999999999993</v>
      </c>
      <c r="D123">
        <f t="shared" si="12"/>
        <v>319.76499999999999</v>
      </c>
      <c r="E123">
        <v>0.71</v>
      </c>
      <c r="F123">
        <f t="shared" si="13"/>
        <v>-319.05500000000001</v>
      </c>
      <c r="I123">
        <f t="shared" si="8"/>
        <v>15</v>
      </c>
      <c r="J123">
        <v>1</v>
      </c>
      <c r="K123">
        <f t="shared" si="9"/>
        <v>8</v>
      </c>
      <c r="L123">
        <f t="shared" si="10"/>
        <v>2025</v>
      </c>
      <c r="N123" s="17">
        <f t="shared" si="14"/>
        <v>45870</v>
      </c>
      <c r="P123" s="17">
        <v>42461</v>
      </c>
      <c r="Q123" s="55">
        <f t="shared" si="11"/>
        <v>-135.565</v>
      </c>
      <c r="S123">
        <f t="shared" si="15"/>
        <v>0</v>
      </c>
    </row>
    <row r="124" spans="1:19" x14ac:dyDescent="0.3">
      <c r="A124" s="17">
        <v>45883</v>
      </c>
      <c r="B124">
        <v>388.14</v>
      </c>
      <c r="C124">
        <v>67.7</v>
      </c>
      <c r="D124">
        <f t="shared" si="12"/>
        <v>320.44</v>
      </c>
      <c r="E124">
        <v>1.1399999999999999</v>
      </c>
      <c r="F124">
        <f t="shared" si="13"/>
        <v>-319.3</v>
      </c>
      <c r="I124">
        <f t="shared" si="8"/>
        <v>14</v>
      </c>
      <c r="J124">
        <v>1</v>
      </c>
      <c r="K124">
        <f t="shared" si="9"/>
        <v>8</v>
      </c>
      <c r="L124">
        <f t="shared" si="10"/>
        <v>2025</v>
      </c>
      <c r="N124" s="17">
        <f t="shared" si="14"/>
        <v>45870</v>
      </c>
      <c r="P124" s="17">
        <v>42430</v>
      </c>
      <c r="Q124" s="55">
        <f t="shared" si="11"/>
        <v>-124.83999999999999</v>
      </c>
      <c r="S124">
        <f t="shared" si="15"/>
        <v>0</v>
      </c>
    </row>
    <row r="125" spans="1:19" x14ac:dyDescent="0.3">
      <c r="A125" s="17">
        <v>45882</v>
      </c>
      <c r="B125">
        <v>388.46</v>
      </c>
      <c r="C125">
        <v>67.39</v>
      </c>
      <c r="D125">
        <f t="shared" si="12"/>
        <v>321.07</v>
      </c>
      <c r="E125">
        <v>1.23</v>
      </c>
      <c r="F125">
        <f t="shared" si="13"/>
        <v>-319.83999999999997</v>
      </c>
      <c r="I125">
        <f t="shared" si="8"/>
        <v>13</v>
      </c>
      <c r="J125">
        <v>1</v>
      </c>
      <c r="K125">
        <f t="shared" si="9"/>
        <v>8</v>
      </c>
      <c r="L125">
        <f t="shared" si="10"/>
        <v>2025</v>
      </c>
      <c r="N125" s="17">
        <f t="shared" si="14"/>
        <v>45870</v>
      </c>
      <c r="P125" s="17">
        <v>42401</v>
      </c>
      <c r="Q125" s="55">
        <f t="shared" si="11"/>
        <v>-126.645</v>
      </c>
      <c r="S125">
        <f t="shared" si="15"/>
        <v>0</v>
      </c>
    </row>
    <row r="126" spans="1:19" x14ac:dyDescent="0.3">
      <c r="A126" s="17">
        <v>45881</v>
      </c>
      <c r="B126">
        <v>396.59</v>
      </c>
      <c r="C126">
        <v>68.5</v>
      </c>
      <c r="D126">
        <f t="shared" si="12"/>
        <v>328.09</v>
      </c>
      <c r="E126">
        <v>1.21</v>
      </c>
      <c r="F126">
        <f t="shared" si="13"/>
        <v>-326.88</v>
      </c>
      <c r="I126">
        <f t="shared" si="8"/>
        <v>12</v>
      </c>
      <c r="J126">
        <v>1</v>
      </c>
      <c r="K126">
        <f t="shared" si="9"/>
        <v>8</v>
      </c>
      <c r="L126">
        <f t="shared" si="10"/>
        <v>2025</v>
      </c>
      <c r="N126" s="17">
        <f t="shared" si="14"/>
        <v>45870</v>
      </c>
      <c r="P126" s="17">
        <v>42370</v>
      </c>
      <c r="Q126" s="55">
        <f t="shared" si="11"/>
        <v>-134.29000000000002</v>
      </c>
      <c r="S126">
        <f t="shared" si="15"/>
        <v>0</v>
      </c>
    </row>
    <row r="127" spans="1:19" x14ac:dyDescent="0.3">
      <c r="A127" s="17">
        <v>45880</v>
      </c>
      <c r="B127">
        <v>392.53</v>
      </c>
      <c r="C127">
        <v>68.03</v>
      </c>
      <c r="D127">
        <f t="shared" si="12"/>
        <v>324.5</v>
      </c>
      <c r="E127">
        <v>1.0900000000000001</v>
      </c>
      <c r="F127">
        <f t="shared" si="13"/>
        <v>-323.41000000000003</v>
      </c>
      <c r="I127">
        <f t="shared" si="8"/>
        <v>11</v>
      </c>
      <c r="J127">
        <v>1</v>
      </c>
      <c r="K127">
        <f t="shared" si="9"/>
        <v>8</v>
      </c>
      <c r="L127">
        <f t="shared" si="10"/>
        <v>2025</v>
      </c>
      <c r="N127" s="17">
        <f t="shared" si="14"/>
        <v>45870</v>
      </c>
      <c r="P127" s="17">
        <v>42339</v>
      </c>
      <c r="Q127" s="55">
        <f t="shared" si="11"/>
        <v>-163.30000000000001</v>
      </c>
      <c r="S127">
        <f t="shared" si="15"/>
        <v>0</v>
      </c>
    </row>
    <row r="128" spans="1:19" x14ac:dyDescent="0.3">
      <c r="A128" s="17">
        <v>45877</v>
      </c>
      <c r="B128">
        <v>402.26</v>
      </c>
      <c r="C128">
        <v>68.5</v>
      </c>
      <c r="D128">
        <f t="shared" si="12"/>
        <v>333.76</v>
      </c>
      <c r="E128">
        <v>1.27</v>
      </c>
      <c r="F128">
        <f t="shared" si="13"/>
        <v>-332.49</v>
      </c>
      <c r="I128">
        <f t="shared" si="8"/>
        <v>8</v>
      </c>
      <c r="J128">
        <v>1</v>
      </c>
      <c r="K128">
        <f t="shared" si="9"/>
        <v>8</v>
      </c>
      <c r="L128">
        <f t="shared" si="10"/>
        <v>2025</v>
      </c>
      <c r="N128" s="17">
        <f t="shared" si="14"/>
        <v>45870</v>
      </c>
      <c r="P128" s="17">
        <v>42309</v>
      </c>
      <c r="Q128" s="55">
        <f t="shared" si="11"/>
        <v>-193.00333333333333</v>
      </c>
      <c r="S128">
        <f t="shared" si="15"/>
        <v>0</v>
      </c>
    </row>
    <row r="129" spans="1:19" x14ac:dyDescent="0.3">
      <c r="A129" s="17">
        <v>45876</v>
      </c>
      <c r="B129">
        <v>403.54</v>
      </c>
      <c r="C129">
        <v>69.33</v>
      </c>
      <c r="D129">
        <f t="shared" si="12"/>
        <v>334.21000000000004</v>
      </c>
      <c r="E129">
        <v>1.22</v>
      </c>
      <c r="F129">
        <f t="shared" si="13"/>
        <v>-332.99</v>
      </c>
      <c r="I129">
        <f t="shared" si="8"/>
        <v>7</v>
      </c>
      <c r="J129">
        <v>1</v>
      </c>
      <c r="K129">
        <f t="shared" si="9"/>
        <v>8</v>
      </c>
      <c r="L129">
        <f t="shared" si="10"/>
        <v>2025</v>
      </c>
      <c r="N129" s="17">
        <f t="shared" si="14"/>
        <v>45870</v>
      </c>
      <c r="P129" s="17">
        <v>42278</v>
      </c>
      <c r="Q129" s="55">
        <f t="shared" si="11"/>
        <v>-183.41</v>
      </c>
      <c r="S129">
        <f t="shared" si="15"/>
        <v>0</v>
      </c>
    </row>
    <row r="130" spans="1:19" x14ac:dyDescent="0.3">
      <c r="A130" s="17">
        <v>45875</v>
      </c>
      <c r="B130">
        <v>406.62</v>
      </c>
      <c r="C130">
        <v>70.349999999999994</v>
      </c>
      <c r="D130">
        <f t="shared" si="12"/>
        <v>336.27</v>
      </c>
      <c r="E130">
        <v>1.52</v>
      </c>
      <c r="F130">
        <f t="shared" si="13"/>
        <v>-334.75</v>
      </c>
      <c r="I130">
        <f t="shared" si="8"/>
        <v>6</v>
      </c>
      <c r="J130">
        <v>1</v>
      </c>
      <c r="K130">
        <f t="shared" si="9"/>
        <v>8</v>
      </c>
      <c r="L130">
        <f t="shared" si="10"/>
        <v>2025</v>
      </c>
      <c r="N130" s="17">
        <f t="shared" si="14"/>
        <v>45870</v>
      </c>
      <c r="P130" s="17">
        <v>42248</v>
      </c>
      <c r="Q130" s="55">
        <f t="shared" si="11"/>
        <v>-200.08750000000001</v>
      </c>
      <c r="S130">
        <f t="shared" si="15"/>
        <v>0</v>
      </c>
    </row>
    <row r="131" spans="1:19" x14ac:dyDescent="0.3">
      <c r="A131" s="17">
        <v>45874</v>
      </c>
      <c r="B131">
        <v>406.41</v>
      </c>
      <c r="C131">
        <v>70.33</v>
      </c>
      <c r="D131">
        <f t="shared" si="12"/>
        <v>336.08000000000004</v>
      </c>
      <c r="E131">
        <v>1.6</v>
      </c>
      <c r="F131">
        <f t="shared" si="13"/>
        <v>-334.48</v>
      </c>
      <c r="I131">
        <f t="shared" si="8"/>
        <v>5</v>
      </c>
      <c r="J131">
        <v>1</v>
      </c>
      <c r="K131">
        <f t="shared" si="9"/>
        <v>8</v>
      </c>
      <c r="L131">
        <f t="shared" si="10"/>
        <v>2025</v>
      </c>
      <c r="N131" s="17">
        <f t="shared" si="14"/>
        <v>45870</v>
      </c>
      <c r="P131" s="17">
        <v>42217</v>
      </c>
      <c r="Q131" s="55">
        <f t="shared" si="11"/>
        <v>-210.9375</v>
      </c>
      <c r="S131">
        <f t="shared" si="15"/>
        <v>0</v>
      </c>
    </row>
    <row r="132" spans="1:19" x14ac:dyDescent="0.3">
      <c r="A132" s="17">
        <v>45873</v>
      </c>
      <c r="B132">
        <v>404.52</v>
      </c>
      <c r="C132">
        <v>71.17</v>
      </c>
      <c r="D132">
        <f t="shared" si="12"/>
        <v>333.34999999999997</v>
      </c>
      <c r="E132">
        <v>1.65</v>
      </c>
      <c r="F132">
        <f t="shared" si="13"/>
        <v>-331.7</v>
      </c>
      <c r="I132">
        <f t="shared" si="8"/>
        <v>4</v>
      </c>
      <c r="J132">
        <v>1</v>
      </c>
      <c r="K132">
        <f t="shared" si="9"/>
        <v>8</v>
      </c>
      <c r="L132">
        <f t="shared" si="10"/>
        <v>2025</v>
      </c>
      <c r="N132" s="17">
        <f t="shared" si="14"/>
        <v>45870</v>
      </c>
      <c r="P132" s="17">
        <v>42186</v>
      </c>
      <c r="Q132" s="55">
        <f t="shared" si="11"/>
        <v>-270.41333333333336</v>
      </c>
      <c r="S132">
        <f t="shared" si="15"/>
        <v>1</v>
      </c>
    </row>
    <row r="133" spans="1:19" x14ac:dyDescent="0.3">
      <c r="A133" s="17">
        <v>45870</v>
      </c>
      <c r="B133">
        <v>412.88</v>
      </c>
      <c r="C133">
        <v>73.739999999999995</v>
      </c>
      <c r="D133">
        <f t="shared" si="12"/>
        <v>339.14</v>
      </c>
      <c r="E133">
        <v>1.62</v>
      </c>
      <c r="F133">
        <f t="shared" si="13"/>
        <v>-337.52</v>
      </c>
      <c r="I133">
        <f t="shared" ref="I133:I196" si="16">+DAY(A133)</f>
        <v>1</v>
      </c>
      <c r="J133">
        <v>1</v>
      </c>
      <c r="K133">
        <f t="shared" ref="K133:K196" si="17">+MONTH(A133)</f>
        <v>8</v>
      </c>
      <c r="L133">
        <f t="shared" ref="L133:L196" si="18">+YEAR(A133)</f>
        <v>2025</v>
      </c>
      <c r="N133" s="17">
        <f t="shared" si="14"/>
        <v>45870</v>
      </c>
      <c r="P133" s="17">
        <v>42156</v>
      </c>
      <c r="Q133" s="55">
        <f t="shared" ref="Q133:Q196" si="19">+AVERAGEIFS($F$5:$F$3568,$N$5:$N$3568,$P133,$S$5:$S$3568,1)</f>
        <v>-307.94666666666666</v>
      </c>
      <c r="S133">
        <f t="shared" si="15"/>
        <v>1</v>
      </c>
    </row>
    <row r="134" spans="1:19" x14ac:dyDescent="0.3">
      <c r="A134" s="17">
        <v>45869</v>
      </c>
      <c r="B134">
        <v>411.4</v>
      </c>
      <c r="C134">
        <v>75.25</v>
      </c>
      <c r="D134">
        <f t="shared" ref="D134:D197" si="20">+B134-C134</f>
        <v>336.15</v>
      </c>
      <c r="E134">
        <v>1.51</v>
      </c>
      <c r="F134">
        <f t="shared" ref="F134:F197" si="21">+E134-D134</f>
        <v>-334.64</v>
      </c>
      <c r="I134">
        <f t="shared" si="16"/>
        <v>31</v>
      </c>
      <c r="J134">
        <v>1</v>
      </c>
      <c r="K134">
        <f t="shared" si="17"/>
        <v>7</v>
      </c>
      <c r="L134">
        <f t="shared" si="18"/>
        <v>2025</v>
      </c>
      <c r="N134" s="17">
        <f t="shared" ref="N134:N197" si="22">+DATE(L134,K134,J134)</f>
        <v>45839</v>
      </c>
      <c r="P134" s="17">
        <v>42125</v>
      </c>
      <c r="Q134" s="55">
        <f t="shared" si="19"/>
        <v>-304.78999999999996</v>
      </c>
      <c r="S134">
        <f t="shared" ref="S134:S197" si="23">IF(AND(I134&gt;=1, I134&lt;=4), 1, 0)</f>
        <v>0</v>
      </c>
    </row>
    <row r="135" spans="1:19" x14ac:dyDescent="0.3">
      <c r="A135" s="17">
        <v>45868</v>
      </c>
      <c r="B135">
        <v>412.47</v>
      </c>
      <c r="C135">
        <v>74.95</v>
      </c>
      <c r="D135">
        <f t="shared" si="20"/>
        <v>337.52000000000004</v>
      </c>
      <c r="E135">
        <v>1.45</v>
      </c>
      <c r="F135">
        <f t="shared" si="21"/>
        <v>-336.07000000000005</v>
      </c>
      <c r="I135">
        <f t="shared" si="16"/>
        <v>30</v>
      </c>
      <c r="J135">
        <v>1</v>
      </c>
      <c r="K135">
        <f t="shared" si="17"/>
        <v>7</v>
      </c>
      <c r="L135">
        <f t="shared" si="18"/>
        <v>2025</v>
      </c>
      <c r="N135" s="17">
        <f t="shared" si="22"/>
        <v>45839</v>
      </c>
      <c r="P135" s="17">
        <v>42095</v>
      </c>
      <c r="Q135" s="55">
        <f t="shared" si="19"/>
        <v>-254.22500000000005</v>
      </c>
      <c r="S135">
        <f t="shared" si="23"/>
        <v>0</v>
      </c>
    </row>
    <row r="136" spans="1:19" x14ac:dyDescent="0.3">
      <c r="A136" s="17">
        <v>45867</v>
      </c>
      <c r="B136">
        <v>404.23</v>
      </c>
      <c r="C136">
        <v>72.5</v>
      </c>
      <c r="D136">
        <f t="shared" si="20"/>
        <v>331.73</v>
      </c>
      <c r="E136">
        <v>1.51</v>
      </c>
      <c r="F136">
        <f t="shared" si="21"/>
        <v>-330.22</v>
      </c>
      <c r="I136">
        <f t="shared" si="16"/>
        <v>29</v>
      </c>
      <c r="J136">
        <v>1</v>
      </c>
      <c r="K136">
        <f t="shared" si="17"/>
        <v>7</v>
      </c>
      <c r="L136">
        <f t="shared" si="18"/>
        <v>2025</v>
      </c>
      <c r="N136" s="17">
        <f t="shared" si="22"/>
        <v>45839</v>
      </c>
      <c r="P136" s="17">
        <v>42064</v>
      </c>
      <c r="Q136" s="55">
        <f t="shared" si="19"/>
        <v>-280.38000000000005</v>
      </c>
      <c r="S136">
        <f t="shared" si="23"/>
        <v>0</v>
      </c>
    </row>
    <row r="137" spans="1:19" x14ac:dyDescent="0.3">
      <c r="A137" s="17">
        <v>45866</v>
      </c>
      <c r="B137">
        <v>398.29</v>
      </c>
      <c r="C137">
        <v>71.105000000000004</v>
      </c>
      <c r="D137">
        <f t="shared" si="20"/>
        <v>327.185</v>
      </c>
      <c r="E137">
        <v>1.57</v>
      </c>
      <c r="F137">
        <f t="shared" si="21"/>
        <v>-325.61500000000001</v>
      </c>
      <c r="I137">
        <f t="shared" si="16"/>
        <v>28</v>
      </c>
      <c r="J137">
        <v>1</v>
      </c>
      <c r="K137">
        <f t="shared" si="17"/>
        <v>7</v>
      </c>
      <c r="L137">
        <f t="shared" si="18"/>
        <v>2025</v>
      </c>
      <c r="N137" s="17">
        <f t="shared" si="22"/>
        <v>45839</v>
      </c>
      <c r="P137" s="17">
        <v>42036</v>
      </c>
      <c r="Q137" s="55">
        <f t="shared" si="19"/>
        <v>-255.58666666666667</v>
      </c>
      <c r="S137">
        <f t="shared" si="23"/>
        <v>0</v>
      </c>
    </row>
    <row r="138" spans="1:19" x14ac:dyDescent="0.3">
      <c r="A138" s="17">
        <v>45863</v>
      </c>
      <c r="B138">
        <v>403.24</v>
      </c>
      <c r="C138">
        <v>71.790000000000006</v>
      </c>
      <c r="D138">
        <f t="shared" si="20"/>
        <v>331.45</v>
      </c>
      <c r="E138">
        <v>1.54</v>
      </c>
      <c r="F138">
        <f t="shared" si="21"/>
        <v>-329.90999999999997</v>
      </c>
      <c r="I138">
        <f t="shared" si="16"/>
        <v>25</v>
      </c>
      <c r="J138">
        <v>1</v>
      </c>
      <c r="K138">
        <f t="shared" si="17"/>
        <v>7</v>
      </c>
      <c r="L138">
        <f t="shared" si="18"/>
        <v>2025</v>
      </c>
      <c r="N138" s="17">
        <f t="shared" si="22"/>
        <v>45839</v>
      </c>
      <c r="P138" s="17">
        <v>42005</v>
      </c>
      <c r="Q138" s="55">
        <f t="shared" si="19"/>
        <v>-248.60000000000002</v>
      </c>
      <c r="S138">
        <f t="shared" si="23"/>
        <v>0</v>
      </c>
    </row>
    <row r="139" spans="1:19" x14ac:dyDescent="0.3">
      <c r="A139" s="17">
        <v>45862</v>
      </c>
      <c r="B139">
        <v>401.2</v>
      </c>
      <c r="C139">
        <v>71.17</v>
      </c>
      <c r="D139">
        <f t="shared" si="20"/>
        <v>330.03</v>
      </c>
      <c r="E139">
        <v>1.48</v>
      </c>
      <c r="F139">
        <f t="shared" si="21"/>
        <v>-328.54999999999995</v>
      </c>
      <c r="I139">
        <f t="shared" si="16"/>
        <v>24</v>
      </c>
      <c r="J139">
        <v>1</v>
      </c>
      <c r="K139">
        <f t="shared" si="17"/>
        <v>7</v>
      </c>
      <c r="L139">
        <f t="shared" si="18"/>
        <v>2025</v>
      </c>
      <c r="N139" s="17">
        <f t="shared" si="22"/>
        <v>45839</v>
      </c>
      <c r="P139" s="17">
        <v>41974</v>
      </c>
      <c r="Q139" s="55">
        <f t="shared" si="19"/>
        <v>-334.745</v>
      </c>
      <c r="S139">
        <f t="shared" si="23"/>
        <v>0</v>
      </c>
    </row>
    <row r="140" spans="1:19" x14ac:dyDescent="0.3">
      <c r="A140" s="17">
        <v>45861</v>
      </c>
      <c r="B140">
        <v>398.98</v>
      </c>
      <c r="C140">
        <v>70.400000000000006</v>
      </c>
      <c r="D140">
        <f t="shared" si="20"/>
        <v>328.58000000000004</v>
      </c>
      <c r="E140">
        <v>1.44</v>
      </c>
      <c r="F140">
        <f t="shared" si="21"/>
        <v>-327.14000000000004</v>
      </c>
      <c r="I140">
        <f t="shared" si="16"/>
        <v>23</v>
      </c>
      <c r="J140">
        <v>1</v>
      </c>
      <c r="K140">
        <f t="shared" si="17"/>
        <v>7</v>
      </c>
      <c r="L140">
        <f t="shared" si="18"/>
        <v>2025</v>
      </c>
      <c r="N140" s="17">
        <f t="shared" si="22"/>
        <v>45839</v>
      </c>
      <c r="P140" s="17">
        <v>41944</v>
      </c>
      <c r="Q140" s="55">
        <f t="shared" si="19"/>
        <v>-383.995</v>
      </c>
      <c r="S140">
        <f t="shared" si="23"/>
        <v>0</v>
      </c>
    </row>
    <row r="141" spans="1:19" x14ac:dyDescent="0.3">
      <c r="A141" s="17">
        <v>45860</v>
      </c>
      <c r="B141">
        <v>401.13</v>
      </c>
      <c r="C141">
        <v>70.52</v>
      </c>
      <c r="D141">
        <f t="shared" si="20"/>
        <v>330.61</v>
      </c>
      <c r="E141">
        <v>1.64</v>
      </c>
      <c r="F141">
        <f t="shared" si="21"/>
        <v>-328.97</v>
      </c>
      <c r="I141">
        <f t="shared" si="16"/>
        <v>22</v>
      </c>
      <c r="J141">
        <v>1</v>
      </c>
      <c r="K141">
        <f t="shared" si="17"/>
        <v>7</v>
      </c>
      <c r="L141">
        <f t="shared" si="18"/>
        <v>2025</v>
      </c>
      <c r="N141" s="17">
        <f t="shared" si="22"/>
        <v>45839</v>
      </c>
      <c r="P141" s="17">
        <v>41913</v>
      </c>
      <c r="Q141" s="55">
        <f t="shared" si="19"/>
        <v>-454.87000000000006</v>
      </c>
      <c r="S141">
        <f t="shared" si="23"/>
        <v>0</v>
      </c>
    </row>
    <row r="142" spans="1:19" x14ac:dyDescent="0.3">
      <c r="A142" s="17">
        <v>45859</v>
      </c>
      <c r="B142">
        <v>403.8</v>
      </c>
      <c r="C142">
        <v>70.8</v>
      </c>
      <c r="D142">
        <f t="shared" si="20"/>
        <v>333</v>
      </c>
      <c r="E142">
        <v>1.69</v>
      </c>
      <c r="F142">
        <f t="shared" si="21"/>
        <v>-331.31</v>
      </c>
      <c r="I142">
        <f t="shared" si="16"/>
        <v>21</v>
      </c>
      <c r="J142">
        <v>1</v>
      </c>
      <c r="K142">
        <f t="shared" si="17"/>
        <v>7</v>
      </c>
      <c r="L142">
        <f t="shared" si="18"/>
        <v>2025</v>
      </c>
      <c r="N142" s="17">
        <f t="shared" si="22"/>
        <v>45839</v>
      </c>
      <c r="P142" s="17">
        <v>41883</v>
      </c>
      <c r="Q142" s="55">
        <f t="shared" si="19"/>
        <v>-482.33249999999998</v>
      </c>
      <c r="S142">
        <f t="shared" si="23"/>
        <v>0</v>
      </c>
    </row>
    <row r="143" spans="1:19" x14ac:dyDescent="0.3">
      <c r="A143" s="17">
        <v>45856</v>
      </c>
      <c r="B143">
        <v>403.48</v>
      </c>
      <c r="C143">
        <v>70.78</v>
      </c>
      <c r="D143">
        <f t="shared" si="20"/>
        <v>332.70000000000005</v>
      </c>
      <c r="E143">
        <v>1.91</v>
      </c>
      <c r="F143">
        <f t="shared" si="21"/>
        <v>-330.79</v>
      </c>
      <c r="I143">
        <f t="shared" si="16"/>
        <v>18</v>
      </c>
      <c r="J143">
        <v>1</v>
      </c>
      <c r="K143">
        <f t="shared" si="17"/>
        <v>7</v>
      </c>
      <c r="L143">
        <f t="shared" si="18"/>
        <v>2025</v>
      </c>
      <c r="N143" s="17">
        <f t="shared" si="22"/>
        <v>45839</v>
      </c>
      <c r="P143" s="17">
        <v>41852</v>
      </c>
      <c r="Q143" s="55">
        <f t="shared" si="19"/>
        <v>-489.80499999999995</v>
      </c>
      <c r="S143">
        <f t="shared" si="23"/>
        <v>0</v>
      </c>
    </row>
    <row r="144" spans="1:19" x14ac:dyDescent="0.3">
      <c r="A144" s="17">
        <v>45855</v>
      </c>
      <c r="B144">
        <v>395.67</v>
      </c>
      <c r="C144">
        <v>69.555000000000007</v>
      </c>
      <c r="D144">
        <f t="shared" si="20"/>
        <v>326.11500000000001</v>
      </c>
      <c r="E144">
        <v>1.64</v>
      </c>
      <c r="F144">
        <f t="shared" si="21"/>
        <v>-324.47500000000002</v>
      </c>
      <c r="I144">
        <f t="shared" si="16"/>
        <v>17</v>
      </c>
      <c r="J144">
        <v>1</v>
      </c>
      <c r="K144">
        <f t="shared" si="17"/>
        <v>7</v>
      </c>
      <c r="L144">
        <f t="shared" si="18"/>
        <v>2025</v>
      </c>
      <c r="N144" s="17">
        <f t="shared" si="22"/>
        <v>45839</v>
      </c>
      <c r="P144" s="17">
        <v>41821</v>
      </c>
      <c r="Q144" s="55">
        <f t="shared" si="19"/>
        <v>-496.61500000000001</v>
      </c>
      <c r="S144">
        <f t="shared" si="23"/>
        <v>0</v>
      </c>
    </row>
    <row r="145" spans="1:19" x14ac:dyDescent="0.3">
      <c r="A145" s="17">
        <v>45854</v>
      </c>
      <c r="B145">
        <v>399.16</v>
      </c>
      <c r="C145">
        <v>69.89</v>
      </c>
      <c r="D145">
        <f t="shared" si="20"/>
        <v>329.27000000000004</v>
      </c>
      <c r="E145">
        <v>1.54</v>
      </c>
      <c r="F145">
        <f t="shared" si="21"/>
        <v>-327.73</v>
      </c>
      <c r="I145">
        <f t="shared" si="16"/>
        <v>16</v>
      </c>
      <c r="J145">
        <v>1</v>
      </c>
      <c r="K145">
        <f t="shared" si="17"/>
        <v>7</v>
      </c>
      <c r="L145">
        <f t="shared" si="18"/>
        <v>2025</v>
      </c>
      <c r="N145" s="17">
        <f t="shared" si="22"/>
        <v>45839</v>
      </c>
      <c r="P145" s="17">
        <v>41791</v>
      </c>
      <c r="Q145" s="55">
        <f t="shared" si="19"/>
        <v>-493.5</v>
      </c>
      <c r="S145">
        <f t="shared" si="23"/>
        <v>0</v>
      </c>
    </row>
    <row r="146" spans="1:19" x14ac:dyDescent="0.3">
      <c r="A146" s="17">
        <v>45853</v>
      </c>
      <c r="B146">
        <v>397.93</v>
      </c>
      <c r="C146">
        <v>70.099999999999994</v>
      </c>
      <c r="D146">
        <f t="shared" si="20"/>
        <v>327.83000000000004</v>
      </c>
      <c r="E146">
        <v>1.47</v>
      </c>
      <c r="F146">
        <f t="shared" si="21"/>
        <v>-326.36</v>
      </c>
      <c r="I146">
        <f t="shared" si="16"/>
        <v>15</v>
      </c>
      <c r="J146">
        <v>1</v>
      </c>
      <c r="K146">
        <f t="shared" si="17"/>
        <v>7</v>
      </c>
      <c r="L146">
        <f t="shared" si="18"/>
        <v>2025</v>
      </c>
      <c r="N146" s="17">
        <f t="shared" si="22"/>
        <v>45839</v>
      </c>
      <c r="P146" s="17">
        <v>41760</v>
      </c>
      <c r="Q146" s="55">
        <f t="shared" si="19"/>
        <v>-478.01000000000005</v>
      </c>
      <c r="S146">
        <f t="shared" si="23"/>
        <v>0</v>
      </c>
    </row>
    <row r="147" spans="1:19" x14ac:dyDescent="0.3">
      <c r="A147" s="17">
        <v>45852</v>
      </c>
      <c r="B147">
        <v>402.65</v>
      </c>
      <c r="C147">
        <v>72.19</v>
      </c>
      <c r="D147">
        <f t="shared" si="20"/>
        <v>330.46</v>
      </c>
      <c r="E147">
        <v>1.37</v>
      </c>
      <c r="F147">
        <f t="shared" si="21"/>
        <v>-329.09</v>
      </c>
      <c r="I147">
        <f t="shared" si="16"/>
        <v>14</v>
      </c>
      <c r="J147">
        <v>1</v>
      </c>
      <c r="K147">
        <f t="shared" si="17"/>
        <v>7</v>
      </c>
      <c r="L147">
        <f t="shared" si="18"/>
        <v>2025</v>
      </c>
      <c r="N147" s="17">
        <f t="shared" si="22"/>
        <v>45839</v>
      </c>
      <c r="P147" s="17">
        <v>41730</v>
      </c>
      <c r="Q147" s="55">
        <f t="shared" si="19"/>
        <v>-479.64</v>
      </c>
      <c r="S147">
        <f t="shared" si="23"/>
        <v>0</v>
      </c>
    </row>
    <row r="148" spans="1:19" x14ac:dyDescent="0.3">
      <c r="A148" s="17">
        <v>45849</v>
      </c>
      <c r="B148">
        <v>404.15</v>
      </c>
      <c r="C148">
        <v>70.05</v>
      </c>
      <c r="D148">
        <f t="shared" si="20"/>
        <v>334.09999999999997</v>
      </c>
      <c r="E148">
        <v>1.29</v>
      </c>
      <c r="F148">
        <f t="shared" si="21"/>
        <v>-332.80999999999995</v>
      </c>
      <c r="I148">
        <f t="shared" si="16"/>
        <v>11</v>
      </c>
      <c r="J148">
        <v>1</v>
      </c>
      <c r="K148">
        <f t="shared" si="17"/>
        <v>7</v>
      </c>
      <c r="L148">
        <f t="shared" si="18"/>
        <v>2025</v>
      </c>
      <c r="N148" s="17">
        <f t="shared" si="22"/>
        <v>45839</v>
      </c>
      <c r="P148" s="17">
        <v>41699</v>
      </c>
      <c r="Q148" s="55">
        <f t="shared" si="19"/>
        <v>-499.90499999999997</v>
      </c>
      <c r="S148">
        <f t="shared" si="23"/>
        <v>0</v>
      </c>
    </row>
    <row r="149" spans="1:19" x14ac:dyDescent="0.3">
      <c r="A149" s="17">
        <v>45848</v>
      </c>
      <c r="B149">
        <v>418.7</v>
      </c>
      <c r="C149">
        <v>71.25</v>
      </c>
      <c r="D149">
        <f t="shared" si="20"/>
        <v>347.45</v>
      </c>
      <c r="E149">
        <v>1.1399999999999999</v>
      </c>
      <c r="F149">
        <f t="shared" si="21"/>
        <v>-346.31</v>
      </c>
      <c r="I149">
        <f t="shared" si="16"/>
        <v>10</v>
      </c>
      <c r="J149">
        <v>1</v>
      </c>
      <c r="K149">
        <f t="shared" si="17"/>
        <v>7</v>
      </c>
      <c r="L149">
        <f t="shared" si="18"/>
        <v>2025</v>
      </c>
      <c r="N149" s="17">
        <f t="shared" si="22"/>
        <v>45839</v>
      </c>
      <c r="P149" s="17">
        <v>41671</v>
      </c>
      <c r="Q149" s="55">
        <f t="shared" si="19"/>
        <v>-503.02</v>
      </c>
      <c r="S149">
        <f t="shared" si="23"/>
        <v>0</v>
      </c>
    </row>
    <row r="150" spans="1:19" x14ac:dyDescent="0.3">
      <c r="A150" s="17">
        <v>45847</v>
      </c>
      <c r="B150">
        <v>420.51</v>
      </c>
      <c r="C150">
        <v>71.8</v>
      </c>
      <c r="D150">
        <f t="shared" si="20"/>
        <v>348.71</v>
      </c>
      <c r="E150">
        <v>1.18</v>
      </c>
      <c r="F150">
        <f t="shared" si="21"/>
        <v>-347.53</v>
      </c>
      <c r="I150">
        <f t="shared" si="16"/>
        <v>9</v>
      </c>
      <c r="J150">
        <v>1</v>
      </c>
      <c r="K150">
        <f t="shared" si="17"/>
        <v>7</v>
      </c>
      <c r="L150">
        <f t="shared" si="18"/>
        <v>2025</v>
      </c>
      <c r="N150" s="17">
        <f t="shared" si="22"/>
        <v>45839</v>
      </c>
      <c r="P150" s="17">
        <v>41640</v>
      </c>
      <c r="Q150" s="55">
        <f t="shared" si="19"/>
        <v>-499.74</v>
      </c>
      <c r="S150">
        <f t="shared" si="23"/>
        <v>0</v>
      </c>
    </row>
    <row r="151" spans="1:19" x14ac:dyDescent="0.3">
      <c r="A151" s="17">
        <v>45846</v>
      </c>
      <c r="B151">
        <v>416.16</v>
      </c>
      <c r="C151">
        <v>70.459999999999994</v>
      </c>
      <c r="D151">
        <f t="shared" si="20"/>
        <v>345.70000000000005</v>
      </c>
      <c r="E151">
        <v>1.27</v>
      </c>
      <c r="F151">
        <f t="shared" si="21"/>
        <v>-344.43000000000006</v>
      </c>
      <c r="I151">
        <f t="shared" si="16"/>
        <v>8</v>
      </c>
      <c r="J151">
        <v>1</v>
      </c>
      <c r="K151">
        <f t="shared" si="17"/>
        <v>7</v>
      </c>
      <c r="L151">
        <f t="shared" si="18"/>
        <v>2025</v>
      </c>
      <c r="N151" s="17">
        <f t="shared" si="22"/>
        <v>45839</v>
      </c>
      <c r="P151" s="17">
        <v>41609</v>
      </c>
      <c r="Q151" s="55">
        <f t="shared" si="19"/>
        <v>-492.16333333333336</v>
      </c>
      <c r="S151">
        <f t="shared" si="23"/>
        <v>0</v>
      </c>
    </row>
    <row r="152" spans="1:19" x14ac:dyDescent="0.3">
      <c r="A152" s="17">
        <v>45845</v>
      </c>
      <c r="B152">
        <v>406.71</v>
      </c>
      <c r="C152">
        <v>69.44</v>
      </c>
      <c r="D152">
        <f t="shared" si="20"/>
        <v>337.27</v>
      </c>
      <c r="E152">
        <v>1.35</v>
      </c>
      <c r="F152">
        <f t="shared" si="21"/>
        <v>-335.91999999999996</v>
      </c>
      <c r="I152">
        <f t="shared" si="16"/>
        <v>7</v>
      </c>
      <c r="J152">
        <v>1</v>
      </c>
      <c r="K152">
        <f t="shared" si="17"/>
        <v>7</v>
      </c>
      <c r="L152">
        <f t="shared" si="18"/>
        <v>2025</v>
      </c>
      <c r="N152" s="17">
        <f t="shared" si="22"/>
        <v>45839</v>
      </c>
      <c r="P152" s="17">
        <v>41579</v>
      </c>
      <c r="Q152" s="55">
        <f t="shared" si="19"/>
        <v>-496.68</v>
      </c>
      <c r="S152">
        <f t="shared" si="23"/>
        <v>0</v>
      </c>
    </row>
    <row r="153" spans="1:19" x14ac:dyDescent="0.3">
      <c r="A153" s="17">
        <v>45842</v>
      </c>
      <c r="B153">
        <v>407.67</v>
      </c>
      <c r="C153">
        <v>69.56</v>
      </c>
      <c r="D153">
        <f t="shared" si="20"/>
        <v>338.11</v>
      </c>
      <c r="E153">
        <v>1.31</v>
      </c>
      <c r="F153">
        <f t="shared" si="21"/>
        <v>-336.8</v>
      </c>
      <c r="I153">
        <f t="shared" si="16"/>
        <v>4</v>
      </c>
      <c r="J153">
        <v>1</v>
      </c>
      <c r="K153">
        <f t="shared" si="17"/>
        <v>7</v>
      </c>
      <c r="L153">
        <f t="shared" si="18"/>
        <v>2025</v>
      </c>
      <c r="N153" s="17">
        <f t="shared" si="22"/>
        <v>45839</v>
      </c>
      <c r="P153" s="17">
        <v>41548</v>
      </c>
      <c r="Q153" s="55">
        <f t="shared" si="19"/>
        <v>-509.0575</v>
      </c>
      <c r="S153">
        <f t="shared" si="23"/>
        <v>1</v>
      </c>
    </row>
    <row r="154" spans="1:19" x14ac:dyDescent="0.3">
      <c r="A154" s="17">
        <v>45841</v>
      </c>
      <c r="B154">
        <v>406.75</v>
      </c>
      <c r="C154">
        <v>69.61</v>
      </c>
      <c r="D154">
        <f t="shared" si="20"/>
        <v>337.14</v>
      </c>
      <c r="E154">
        <v>1.34</v>
      </c>
      <c r="F154">
        <f t="shared" si="21"/>
        <v>-335.8</v>
      </c>
      <c r="I154">
        <f t="shared" si="16"/>
        <v>3</v>
      </c>
      <c r="J154">
        <v>1</v>
      </c>
      <c r="K154">
        <f t="shared" si="17"/>
        <v>7</v>
      </c>
      <c r="L154">
        <f t="shared" si="18"/>
        <v>2025</v>
      </c>
      <c r="N154" s="17">
        <f t="shared" si="22"/>
        <v>45839</v>
      </c>
      <c r="P154" s="17">
        <v>41518</v>
      </c>
      <c r="Q154" s="55">
        <f t="shared" si="19"/>
        <v>-491.78999999999996</v>
      </c>
      <c r="S154">
        <f t="shared" si="23"/>
        <v>1</v>
      </c>
    </row>
    <row r="155" spans="1:19" x14ac:dyDescent="0.3">
      <c r="A155" s="17">
        <v>45840</v>
      </c>
      <c r="B155">
        <v>406.66</v>
      </c>
      <c r="C155">
        <v>68.599999999999994</v>
      </c>
      <c r="D155">
        <f t="shared" si="20"/>
        <v>338.06000000000006</v>
      </c>
      <c r="E155">
        <v>1.31</v>
      </c>
      <c r="F155">
        <f t="shared" si="21"/>
        <v>-336.75000000000006</v>
      </c>
      <c r="I155">
        <f t="shared" si="16"/>
        <v>2</v>
      </c>
      <c r="J155">
        <v>1</v>
      </c>
      <c r="K155">
        <f t="shared" si="17"/>
        <v>7</v>
      </c>
      <c r="L155">
        <f t="shared" si="18"/>
        <v>2025</v>
      </c>
      <c r="N155" s="17">
        <f t="shared" si="22"/>
        <v>45839</v>
      </c>
      <c r="P155" s="17">
        <v>41487</v>
      </c>
      <c r="Q155" s="55">
        <f t="shared" si="19"/>
        <v>-489.91500000000008</v>
      </c>
      <c r="S155">
        <f t="shared" si="23"/>
        <v>1</v>
      </c>
    </row>
    <row r="156" spans="1:19" x14ac:dyDescent="0.3">
      <c r="A156" s="17">
        <v>45839</v>
      </c>
      <c r="B156">
        <v>403.89</v>
      </c>
      <c r="C156">
        <v>68.150000000000006</v>
      </c>
      <c r="D156">
        <f t="shared" si="20"/>
        <v>335.74</v>
      </c>
      <c r="E156">
        <v>1.25</v>
      </c>
      <c r="F156">
        <f t="shared" si="21"/>
        <v>-334.49</v>
      </c>
      <c r="I156">
        <f t="shared" si="16"/>
        <v>1</v>
      </c>
      <c r="J156">
        <v>1</v>
      </c>
      <c r="K156">
        <f t="shared" si="17"/>
        <v>7</v>
      </c>
      <c r="L156">
        <f t="shared" si="18"/>
        <v>2025</v>
      </c>
      <c r="N156" s="17">
        <f t="shared" si="22"/>
        <v>45839</v>
      </c>
      <c r="P156" s="17">
        <v>41456</v>
      </c>
      <c r="Q156" s="55">
        <f t="shared" si="19"/>
        <v>-482.935</v>
      </c>
      <c r="S156">
        <f t="shared" si="23"/>
        <v>1</v>
      </c>
    </row>
    <row r="157" spans="1:19" x14ac:dyDescent="0.3">
      <c r="A157" s="17">
        <v>45838</v>
      </c>
      <c r="B157">
        <v>419.41</v>
      </c>
      <c r="C157">
        <v>68.754999999999995</v>
      </c>
      <c r="D157">
        <f t="shared" si="20"/>
        <v>350.65500000000003</v>
      </c>
      <c r="E157">
        <v>1.1299999999999999</v>
      </c>
      <c r="F157">
        <f t="shared" si="21"/>
        <v>-349.52500000000003</v>
      </c>
      <c r="I157">
        <f t="shared" si="16"/>
        <v>30</v>
      </c>
      <c r="J157">
        <v>1</v>
      </c>
      <c r="K157">
        <f t="shared" si="17"/>
        <v>6</v>
      </c>
      <c r="L157">
        <f t="shared" si="18"/>
        <v>2025</v>
      </c>
      <c r="N157" s="17">
        <f t="shared" si="22"/>
        <v>45809</v>
      </c>
      <c r="P157" s="17">
        <v>41426</v>
      </c>
      <c r="Q157" s="55">
        <f t="shared" si="19"/>
        <v>-492.88499999999999</v>
      </c>
      <c r="S157">
        <f t="shared" si="23"/>
        <v>0</v>
      </c>
    </row>
    <row r="158" spans="1:19" x14ac:dyDescent="0.3">
      <c r="A158" s="17">
        <v>45835</v>
      </c>
      <c r="B158">
        <v>417.52</v>
      </c>
      <c r="C158">
        <v>68.44</v>
      </c>
      <c r="D158">
        <f t="shared" si="20"/>
        <v>349.08</v>
      </c>
      <c r="E158">
        <v>1.1200000000000001</v>
      </c>
      <c r="F158">
        <f t="shared" si="21"/>
        <v>-347.96</v>
      </c>
      <c r="I158">
        <f t="shared" si="16"/>
        <v>27</v>
      </c>
      <c r="J158">
        <v>1</v>
      </c>
      <c r="K158">
        <f t="shared" si="17"/>
        <v>6</v>
      </c>
      <c r="L158">
        <f t="shared" si="18"/>
        <v>2025</v>
      </c>
      <c r="N158" s="17">
        <f t="shared" si="22"/>
        <v>45809</v>
      </c>
      <c r="P158" s="17">
        <v>41395</v>
      </c>
      <c r="Q158" s="55">
        <f t="shared" si="19"/>
        <v>-503.67999999999995</v>
      </c>
      <c r="S158">
        <f t="shared" si="23"/>
        <v>0</v>
      </c>
    </row>
    <row r="159" spans="1:19" x14ac:dyDescent="0.3">
      <c r="A159" s="17">
        <v>45834</v>
      </c>
      <c r="B159">
        <v>427.65</v>
      </c>
      <c r="C159">
        <v>67.650000000000006</v>
      </c>
      <c r="D159">
        <f t="shared" si="20"/>
        <v>360</v>
      </c>
      <c r="E159">
        <v>1.1299999999999999</v>
      </c>
      <c r="F159">
        <f t="shared" si="21"/>
        <v>-358.87</v>
      </c>
      <c r="I159">
        <f t="shared" si="16"/>
        <v>26</v>
      </c>
      <c r="J159">
        <v>1</v>
      </c>
      <c r="K159">
        <f t="shared" si="17"/>
        <v>6</v>
      </c>
      <c r="L159">
        <f t="shared" si="18"/>
        <v>2025</v>
      </c>
      <c r="N159" s="17">
        <f t="shared" si="22"/>
        <v>45809</v>
      </c>
      <c r="P159" s="17">
        <v>41365</v>
      </c>
      <c r="Q159" s="55">
        <f t="shared" si="19"/>
        <v>-523.73750000000007</v>
      </c>
      <c r="S159">
        <f t="shared" si="23"/>
        <v>0</v>
      </c>
    </row>
    <row r="160" spans="1:19" x14ac:dyDescent="0.3">
      <c r="A160" s="17">
        <v>45833</v>
      </c>
      <c r="B160">
        <v>423.72</v>
      </c>
      <c r="C160">
        <v>67.81</v>
      </c>
      <c r="D160">
        <f t="shared" si="20"/>
        <v>355.91</v>
      </c>
      <c r="E160">
        <v>1.1200000000000001</v>
      </c>
      <c r="F160">
        <f t="shared" si="21"/>
        <v>-354.79</v>
      </c>
      <c r="I160">
        <f t="shared" si="16"/>
        <v>25</v>
      </c>
      <c r="J160">
        <v>1</v>
      </c>
      <c r="K160">
        <f t="shared" si="17"/>
        <v>6</v>
      </c>
      <c r="L160">
        <f t="shared" si="18"/>
        <v>2025</v>
      </c>
      <c r="N160" s="17">
        <f t="shared" si="22"/>
        <v>45809</v>
      </c>
      <c r="P160" s="17">
        <v>41334</v>
      </c>
      <c r="Q160" s="55">
        <f t="shared" si="19"/>
        <v>-519.45000000000005</v>
      </c>
      <c r="S160">
        <f t="shared" si="23"/>
        <v>0</v>
      </c>
    </row>
    <row r="161" spans="1:19" x14ac:dyDescent="0.3">
      <c r="A161" s="17">
        <v>45832</v>
      </c>
      <c r="B161">
        <v>430.94</v>
      </c>
      <c r="C161">
        <v>68.754999999999995</v>
      </c>
      <c r="D161">
        <f t="shared" si="20"/>
        <v>362.185</v>
      </c>
      <c r="E161">
        <v>1.07</v>
      </c>
      <c r="F161">
        <f t="shared" si="21"/>
        <v>-361.11500000000001</v>
      </c>
      <c r="I161">
        <f t="shared" si="16"/>
        <v>24</v>
      </c>
      <c r="J161">
        <v>1</v>
      </c>
      <c r="K161">
        <f t="shared" si="17"/>
        <v>6</v>
      </c>
      <c r="L161">
        <f t="shared" si="18"/>
        <v>2025</v>
      </c>
      <c r="N161" s="17">
        <f t="shared" si="22"/>
        <v>45809</v>
      </c>
      <c r="P161" s="17">
        <v>41306</v>
      </c>
      <c r="Q161" s="55">
        <f t="shared" si="19"/>
        <v>-536.86500000000001</v>
      </c>
      <c r="S161">
        <f t="shared" si="23"/>
        <v>0</v>
      </c>
    </row>
    <row r="162" spans="1:19" x14ac:dyDescent="0.3">
      <c r="A162" s="17">
        <v>45831</v>
      </c>
      <c r="B162">
        <v>476.08</v>
      </c>
      <c r="C162">
        <v>75.72</v>
      </c>
      <c r="D162">
        <f t="shared" si="20"/>
        <v>400.36</v>
      </c>
      <c r="E162">
        <v>1.23</v>
      </c>
      <c r="F162">
        <f t="shared" si="21"/>
        <v>-399.13</v>
      </c>
      <c r="I162">
        <f t="shared" si="16"/>
        <v>23</v>
      </c>
      <c r="J162">
        <v>1</v>
      </c>
      <c r="K162">
        <f t="shared" si="17"/>
        <v>6</v>
      </c>
      <c r="L162">
        <f t="shared" si="18"/>
        <v>2025</v>
      </c>
      <c r="N162" s="17">
        <f t="shared" si="22"/>
        <v>45809</v>
      </c>
      <c r="P162" s="17">
        <v>41275</v>
      </c>
      <c r="Q162" s="55">
        <f t="shared" si="19"/>
        <v>-511.50666666666666</v>
      </c>
      <c r="S162">
        <f t="shared" si="23"/>
        <v>0</v>
      </c>
    </row>
    <row r="163" spans="1:19" x14ac:dyDescent="0.3">
      <c r="A163" s="17">
        <v>45828</v>
      </c>
      <c r="B163">
        <v>479.32</v>
      </c>
      <c r="C163">
        <v>76.849999999999994</v>
      </c>
      <c r="D163">
        <f t="shared" si="20"/>
        <v>402.47</v>
      </c>
      <c r="E163">
        <v>1.28</v>
      </c>
      <c r="F163">
        <f t="shared" si="21"/>
        <v>-401.19000000000005</v>
      </c>
      <c r="I163">
        <f t="shared" si="16"/>
        <v>20</v>
      </c>
      <c r="J163">
        <v>1</v>
      </c>
      <c r="K163">
        <f t="shared" si="17"/>
        <v>6</v>
      </c>
      <c r="L163">
        <f t="shared" si="18"/>
        <v>2025</v>
      </c>
      <c r="N163" s="17">
        <f t="shared" si="22"/>
        <v>45809</v>
      </c>
      <c r="P163" s="17">
        <v>41244</v>
      </c>
      <c r="Q163" s="55">
        <f t="shared" si="19"/>
        <v>-493.02</v>
      </c>
      <c r="S163">
        <f t="shared" si="23"/>
        <v>0</v>
      </c>
    </row>
    <row r="164" spans="1:19" x14ac:dyDescent="0.3">
      <c r="A164" s="17">
        <v>45827</v>
      </c>
      <c r="B164">
        <v>485.23</v>
      </c>
      <c r="C164">
        <v>76.900000000000006</v>
      </c>
      <c r="D164">
        <f t="shared" si="20"/>
        <v>408.33000000000004</v>
      </c>
      <c r="E164">
        <v>1.33</v>
      </c>
      <c r="F164">
        <f t="shared" si="21"/>
        <v>-407.00000000000006</v>
      </c>
      <c r="I164">
        <f t="shared" si="16"/>
        <v>19</v>
      </c>
      <c r="J164">
        <v>1</v>
      </c>
      <c r="K164">
        <f t="shared" si="17"/>
        <v>6</v>
      </c>
      <c r="L164">
        <f t="shared" si="18"/>
        <v>2025</v>
      </c>
      <c r="N164" s="17">
        <f t="shared" si="22"/>
        <v>45809</v>
      </c>
      <c r="P164" s="17">
        <v>41214</v>
      </c>
      <c r="Q164" s="55">
        <f t="shared" si="19"/>
        <v>-500.98</v>
      </c>
      <c r="S164">
        <f t="shared" si="23"/>
        <v>0</v>
      </c>
    </row>
    <row r="165" spans="1:19" x14ac:dyDescent="0.3">
      <c r="A165" s="17">
        <v>45826</v>
      </c>
      <c r="B165">
        <v>486.68</v>
      </c>
      <c r="C165">
        <v>75.52</v>
      </c>
      <c r="D165">
        <f t="shared" si="20"/>
        <v>411.16</v>
      </c>
      <c r="E165">
        <v>1.06</v>
      </c>
      <c r="F165">
        <f t="shared" si="21"/>
        <v>-410.1</v>
      </c>
      <c r="I165">
        <f t="shared" si="16"/>
        <v>18</v>
      </c>
      <c r="J165">
        <v>1</v>
      </c>
      <c r="K165">
        <f t="shared" si="17"/>
        <v>6</v>
      </c>
      <c r="L165">
        <f t="shared" si="18"/>
        <v>2025</v>
      </c>
      <c r="N165" s="17">
        <f t="shared" si="22"/>
        <v>45809</v>
      </c>
      <c r="P165" s="17">
        <v>41183</v>
      </c>
      <c r="Q165" s="55">
        <f t="shared" si="19"/>
        <v>-535.73</v>
      </c>
      <c r="S165">
        <f t="shared" si="23"/>
        <v>0</v>
      </c>
    </row>
    <row r="166" spans="1:19" x14ac:dyDescent="0.3">
      <c r="A166" s="17">
        <v>45825</v>
      </c>
      <c r="B166">
        <v>486.18</v>
      </c>
      <c r="C166">
        <v>73.655000000000001</v>
      </c>
      <c r="D166">
        <f t="shared" si="20"/>
        <v>412.52499999999998</v>
      </c>
      <c r="E166">
        <v>0.84</v>
      </c>
      <c r="F166">
        <f t="shared" si="21"/>
        <v>-411.685</v>
      </c>
      <c r="I166">
        <f t="shared" si="16"/>
        <v>17</v>
      </c>
      <c r="J166">
        <v>1</v>
      </c>
      <c r="K166">
        <f t="shared" si="17"/>
        <v>6</v>
      </c>
      <c r="L166">
        <f t="shared" si="18"/>
        <v>2025</v>
      </c>
      <c r="N166" s="17">
        <f t="shared" si="22"/>
        <v>45809</v>
      </c>
      <c r="P166" s="17">
        <v>41153</v>
      </c>
      <c r="Q166" s="55">
        <f t="shared" si="19"/>
        <v>-567.21500000000003</v>
      </c>
      <c r="S166">
        <f t="shared" si="23"/>
        <v>0</v>
      </c>
    </row>
    <row r="167" spans="1:19" x14ac:dyDescent="0.3">
      <c r="A167" s="17">
        <v>45824</v>
      </c>
      <c r="B167">
        <v>483.42</v>
      </c>
      <c r="C167">
        <v>72.89</v>
      </c>
      <c r="D167">
        <f t="shared" si="20"/>
        <v>410.53000000000003</v>
      </c>
      <c r="E167">
        <v>0.75</v>
      </c>
      <c r="F167">
        <f t="shared" si="21"/>
        <v>-409.78000000000003</v>
      </c>
      <c r="I167">
        <f t="shared" si="16"/>
        <v>16</v>
      </c>
      <c r="J167">
        <v>1</v>
      </c>
      <c r="K167">
        <f t="shared" si="17"/>
        <v>6</v>
      </c>
      <c r="L167">
        <f t="shared" si="18"/>
        <v>2025</v>
      </c>
      <c r="N167" s="17">
        <f t="shared" si="22"/>
        <v>45809</v>
      </c>
      <c r="P167" s="17">
        <v>41122</v>
      </c>
      <c r="Q167" s="55">
        <f t="shared" si="19"/>
        <v>-522.19666666666672</v>
      </c>
      <c r="S167">
        <f t="shared" si="23"/>
        <v>0</v>
      </c>
    </row>
    <row r="168" spans="1:19" x14ac:dyDescent="0.3">
      <c r="A168" s="17">
        <v>45821</v>
      </c>
      <c r="B168">
        <v>474.17</v>
      </c>
      <c r="C168">
        <v>72.5</v>
      </c>
      <c r="D168">
        <f t="shared" si="20"/>
        <v>401.67</v>
      </c>
      <c r="E168">
        <v>0.61</v>
      </c>
      <c r="F168">
        <f t="shared" si="21"/>
        <v>-401.06</v>
      </c>
      <c r="I168">
        <f t="shared" si="16"/>
        <v>13</v>
      </c>
      <c r="J168">
        <v>1</v>
      </c>
      <c r="K168">
        <f t="shared" si="17"/>
        <v>6</v>
      </c>
      <c r="L168">
        <f t="shared" si="18"/>
        <v>2025</v>
      </c>
      <c r="N168" s="17">
        <f t="shared" si="22"/>
        <v>45809</v>
      </c>
      <c r="P168" s="17">
        <v>41091</v>
      </c>
      <c r="Q168" s="55">
        <f t="shared" si="19"/>
        <v>-493.33333333333343</v>
      </c>
      <c r="S168">
        <f t="shared" si="23"/>
        <v>0</v>
      </c>
    </row>
    <row r="169" spans="1:19" x14ac:dyDescent="0.3">
      <c r="A169" s="17">
        <v>45820</v>
      </c>
      <c r="B169">
        <v>445.98</v>
      </c>
      <c r="C169">
        <v>68.59</v>
      </c>
      <c r="D169">
        <f t="shared" si="20"/>
        <v>377.39</v>
      </c>
      <c r="E169">
        <v>0.54</v>
      </c>
      <c r="F169">
        <f t="shared" si="21"/>
        <v>-376.84999999999997</v>
      </c>
      <c r="I169">
        <f t="shared" si="16"/>
        <v>12</v>
      </c>
      <c r="J169">
        <v>1</v>
      </c>
      <c r="K169">
        <f t="shared" si="17"/>
        <v>6</v>
      </c>
      <c r="L169">
        <f t="shared" si="18"/>
        <v>2025</v>
      </c>
      <c r="N169" s="17">
        <f t="shared" si="22"/>
        <v>45809</v>
      </c>
      <c r="P169" s="17">
        <v>41061</v>
      </c>
      <c r="Q169" s="55">
        <f t="shared" si="19"/>
        <v>-491.64</v>
      </c>
      <c r="S169">
        <f t="shared" si="23"/>
        <v>0</v>
      </c>
    </row>
    <row r="170" spans="1:19" x14ac:dyDescent="0.3">
      <c r="A170" s="17">
        <v>45819</v>
      </c>
      <c r="B170">
        <v>435.65</v>
      </c>
      <c r="C170">
        <v>66.62</v>
      </c>
      <c r="D170">
        <f t="shared" si="20"/>
        <v>369.03</v>
      </c>
      <c r="E170">
        <v>0.55000000000000004</v>
      </c>
      <c r="F170">
        <f t="shared" si="21"/>
        <v>-368.47999999999996</v>
      </c>
      <c r="I170">
        <f t="shared" si="16"/>
        <v>11</v>
      </c>
      <c r="J170">
        <v>1</v>
      </c>
      <c r="K170">
        <f t="shared" si="17"/>
        <v>6</v>
      </c>
      <c r="L170">
        <f t="shared" si="18"/>
        <v>2025</v>
      </c>
      <c r="N170" s="17">
        <f t="shared" si="22"/>
        <v>45809</v>
      </c>
      <c r="P170" s="17">
        <v>41030</v>
      </c>
      <c r="Q170" s="55">
        <f t="shared" si="19"/>
        <v>-592.07000000000005</v>
      </c>
      <c r="S170">
        <f t="shared" si="23"/>
        <v>0</v>
      </c>
    </row>
    <row r="171" spans="1:19" x14ac:dyDescent="0.3">
      <c r="A171" s="17">
        <v>45818</v>
      </c>
      <c r="B171">
        <v>442.58</v>
      </c>
      <c r="C171">
        <v>66.849999999999994</v>
      </c>
      <c r="D171">
        <f t="shared" si="20"/>
        <v>375.73</v>
      </c>
      <c r="E171">
        <v>0.56999999999999995</v>
      </c>
      <c r="F171">
        <f t="shared" si="21"/>
        <v>-375.16</v>
      </c>
      <c r="I171">
        <f t="shared" si="16"/>
        <v>10</v>
      </c>
      <c r="J171">
        <v>1</v>
      </c>
      <c r="K171">
        <f t="shared" si="17"/>
        <v>6</v>
      </c>
      <c r="L171">
        <f t="shared" si="18"/>
        <v>2025</v>
      </c>
      <c r="N171" s="17">
        <f t="shared" si="22"/>
        <v>45809</v>
      </c>
      <c r="P171" s="17">
        <v>41000</v>
      </c>
      <c r="Q171" s="55">
        <f t="shared" si="19"/>
        <v>-611.01333333333343</v>
      </c>
      <c r="S171">
        <f t="shared" si="23"/>
        <v>0</v>
      </c>
    </row>
    <row r="172" spans="1:19" x14ac:dyDescent="0.3">
      <c r="A172" s="17">
        <v>45817</v>
      </c>
      <c r="B172">
        <v>435.04</v>
      </c>
      <c r="C172">
        <v>65.8</v>
      </c>
      <c r="D172">
        <f t="shared" si="20"/>
        <v>369.24</v>
      </c>
      <c r="E172">
        <v>0.59</v>
      </c>
      <c r="F172">
        <f t="shared" si="21"/>
        <v>-368.65000000000003</v>
      </c>
      <c r="I172">
        <f t="shared" si="16"/>
        <v>9</v>
      </c>
      <c r="J172">
        <v>1</v>
      </c>
      <c r="K172">
        <f t="shared" si="17"/>
        <v>6</v>
      </c>
      <c r="L172">
        <f t="shared" si="18"/>
        <v>2025</v>
      </c>
      <c r="N172" s="17">
        <f t="shared" si="22"/>
        <v>45809</v>
      </c>
      <c r="P172" s="17">
        <v>40969</v>
      </c>
      <c r="Q172" s="55">
        <f t="shared" si="19"/>
        <v>-609.91000000000008</v>
      </c>
      <c r="S172">
        <f t="shared" si="23"/>
        <v>0</v>
      </c>
    </row>
    <row r="173" spans="1:19" x14ac:dyDescent="0.3">
      <c r="A173" s="17">
        <v>45814</v>
      </c>
      <c r="B173">
        <v>431.06</v>
      </c>
      <c r="C173">
        <v>64.44</v>
      </c>
      <c r="D173">
        <f t="shared" si="20"/>
        <v>366.62</v>
      </c>
      <c r="E173">
        <v>0.55000000000000004</v>
      </c>
      <c r="F173">
        <f t="shared" si="21"/>
        <v>-366.07</v>
      </c>
      <c r="I173">
        <f t="shared" si="16"/>
        <v>6</v>
      </c>
      <c r="J173">
        <v>1</v>
      </c>
      <c r="K173">
        <f t="shared" si="17"/>
        <v>6</v>
      </c>
      <c r="L173">
        <f t="shared" si="18"/>
        <v>2025</v>
      </c>
      <c r="N173" s="17">
        <f t="shared" si="22"/>
        <v>45809</v>
      </c>
      <c r="P173" s="17">
        <v>40940</v>
      </c>
      <c r="Q173" s="55">
        <f t="shared" si="19"/>
        <v>-594.43333333333328</v>
      </c>
      <c r="S173">
        <f t="shared" si="23"/>
        <v>0</v>
      </c>
    </row>
    <row r="174" spans="1:19" x14ac:dyDescent="0.3">
      <c r="A174" s="17">
        <v>45813</v>
      </c>
      <c r="B174">
        <v>434.41</v>
      </c>
      <c r="C174">
        <v>64.05</v>
      </c>
      <c r="D174">
        <f t="shared" si="20"/>
        <v>370.36</v>
      </c>
      <c r="E174">
        <v>0.47</v>
      </c>
      <c r="F174">
        <f t="shared" si="21"/>
        <v>-369.89</v>
      </c>
      <c r="I174">
        <f t="shared" si="16"/>
        <v>5</v>
      </c>
      <c r="J174">
        <v>1</v>
      </c>
      <c r="K174">
        <f t="shared" si="17"/>
        <v>6</v>
      </c>
      <c r="L174">
        <f t="shared" si="18"/>
        <v>2025</v>
      </c>
      <c r="N174" s="17">
        <f t="shared" si="22"/>
        <v>45809</v>
      </c>
      <c r="P174" s="17">
        <v>40909</v>
      </c>
      <c r="Q174" s="55">
        <f t="shared" si="19"/>
        <v>-581.66999999999996</v>
      </c>
      <c r="S174">
        <f t="shared" si="23"/>
        <v>0</v>
      </c>
    </row>
    <row r="175" spans="1:19" x14ac:dyDescent="0.3">
      <c r="A175" s="17">
        <v>45812</v>
      </c>
      <c r="B175">
        <v>433.48</v>
      </c>
      <c r="C175">
        <v>64.64</v>
      </c>
      <c r="D175">
        <f t="shared" si="20"/>
        <v>368.84000000000003</v>
      </c>
      <c r="E175">
        <v>0.45</v>
      </c>
      <c r="F175">
        <f t="shared" si="21"/>
        <v>-368.39000000000004</v>
      </c>
      <c r="I175">
        <f t="shared" si="16"/>
        <v>4</v>
      </c>
      <c r="J175">
        <v>1</v>
      </c>
      <c r="K175">
        <f t="shared" si="17"/>
        <v>6</v>
      </c>
      <c r="L175">
        <f t="shared" si="18"/>
        <v>2025</v>
      </c>
      <c r="N175" s="17">
        <f t="shared" si="22"/>
        <v>45809</v>
      </c>
      <c r="P175" s="17">
        <v>40878</v>
      </c>
      <c r="Q175" s="55">
        <f t="shared" si="19"/>
        <v>-559.70499999999993</v>
      </c>
      <c r="S175">
        <f t="shared" si="23"/>
        <v>1</v>
      </c>
    </row>
    <row r="176" spans="1:19" x14ac:dyDescent="0.3">
      <c r="A176" s="17">
        <v>45811</v>
      </c>
      <c r="B176">
        <v>423.24</v>
      </c>
      <c r="C176">
        <v>64.239999999999995</v>
      </c>
      <c r="D176">
        <f t="shared" si="20"/>
        <v>359</v>
      </c>
      <c r="E176">
        <v>0.44</v>
      </c>
      <c r="F176">
        <f t="shared" si="21"/>
        <v>-358.56</v>
      </c>
      <c r="I176">
        <f t="shared" si="16"/>
        <v>3</v>
      </c>
      <c r="J176">
        <v>1</v>
      </c>
      <c r="K176">
        <f t="shared" si="17"/>
        <v>6</v>
      </c>
      <c r="L176">
        <f t="shared" si="18"/>
        <v>2025</v>
      </c>
      <c r="N176" s="17">
        <f t="shared" si="22"/>
        <v>45809</v>
      </c>
      <c r="P176" s="17">
        <v>40848</v>
      </c>
      <c r="Q176" s="55" t="e">
        <f t="shared" si="19"/>
        <v>#DIV/0!</v>
      </c>
      <c r="S176">
        <f t="shared" si="23"/>
        <v>1</v>
      </c>
    </row>
    <row r="177" spans="1:19" x14ac:dyDescent="0.3">
      <c r="A177" s="17">
        <v>45810</v>
      </c>
      <c r="B177">
        <v>415.09</v>
      </c>
      <c r="C177">
        <v>63.96</v>
      </c>
      <c r="D177">
        <f t="shared" si="20"/>
        <v>351.13</v>
      </c>
      <c r="E177">
        <v>0.42</v>
      </c>
      <c r="F177">
        <f t="shared" si="21"/>
        <v>-350.71</v>
      </c>
      <c r="I177">
        <f t="shared" si="16"/>
        <v>2</v>
      </c>
      <c r="J177">
        <v>1</v>
      </c>
      <c r="K177">
        <f t="shared" si="17"/>
        <v>6</v>
      </c>
      <c r="L177">
        <f t="shared" si="18"/>
        <v>2025</v>
      </c>
      <c r="N177" s="17">
        <f t="shared" si="22"/>
        <v>45809</v>
      </c>
      <c r="P177" s="17">
        <v>40817</v>
      </c>
      <c r="Q177" s="55" t="e">
        <f t="shared" si="19"/>
        <v>#DIV/0!</v>
      </c>
      <c r="S177">
        <f t="shared" si="23"/>
        <v>1</v>
      </c>
    </row>
    <row r="178" spans="1:19" x14ac:dyDescent="0.3">
      <c r="A178" s="17">
        <v>45807</v>
      </c>
      <c r="B178">
        <v>420.31</v>
      </c>
      <c r="C178">
        <v>63.844999999999999</v>
      </c>
      <c r="D178">
        <f t="shared" si="20"/>
        <v>356.46500000000003</v>
      </c>
      <c r="E178">
        <v>0.36</v>
      </c>
      <c r="F178">
        <f t="shared" si="21"/>
        <v>-356.10500000000002</v>
      </c>
      <c r="I178">
        <f t="shared" si="16"/>
        <v>30</v>
      </c>
      <c r="J178">
        <v>1</v>
      </c>
      <c r="K178">
        <f t="shared" si="17"/>
        <v>5</v>
      </c>
      <c r="L178">
        <f t="shared" si="18"/>
        <v>2025</v>
      </c>
      <c r="N178" s="17">
        <f t="shared" si="22"/>
        <v>45778</v>
      </c>
      <c r="P178" s="17">
        <v>40787</v>
      </c>
      <c r="Q178" s="55" t="e">
        <f t="shared" si="19"/>
        <v>#DIV/0!</v>
      </c>
      <c r="S178">
        <f t="shared" si="23"/>
        <v>0</v>
      </c>
    </row>
    <row r="179" spans="1:19" x14ac:dyDescent="0.3">
      <c r="A179" s="17">
        <v>45806</v>
      </c>
      <c r="B179">
        <v>434.66</v>
      </c>
      <c r="C179">
        <v>65.33</v>
      </c>
      <c r="D179">
        <f t="shared" si="20"/>
        <v>369.33000000000004</v>
      </c>
      <c r="E179">
        <v>0.28000000000000003</v>
      </c>
      <c r="F179">
        <f t="shared" si="21"/>
        <v>-369.05000000000007</v>
      </c>
      <c r="I179">
        <f t="shared" si="16"/>
        <v>29</v>
      </c>
      <c r="J179">
        <v>1</v>
      </c>
      <c r="K179">
        <f t="shared" si="17"/>
        <v>5</v>
      </c>
      <c r="L179">
        <f t="shared" si="18"/>
        <v>2025</v>
      </c>
      <c r="N179" s="17">
        <f t="shared" si="22"/>
        <v>45778</v>
      </c>
      <c r="P179" s="17">
        <v>40756</v>
      </c>
      <c r="Q179" s="55" t="e">
        <f t="shared" si="19"/>
        <v>#DIV/0!</v>
      </c>
      <c r="S179">
        <f t="shared" si="23"/>
        <v>0</v>
      </c>
    </row>
    <row r="180" spans="1:19" x14ac:dyDescent="0.3">
      <c r="A180" s="17">
        <v>45805</v>
      </c>
      <c r="B180">
        <v>428.38</v>
      </c>
      <c r="C180">
        <v>63.79</v>
      </c>
      <c r="D180">
        <f t="shared" si="20"/>
        <v>364.59</v>
      </c>
      <c r="E180">
        <v>0.24</v>
      </c>
      <c r="F180">
        <f t="shared" si="21"/>
        <v>-364.34999999999997</v>
      </c>
      <c r="I180">
        <f t="shared" si="16"/>
        <v>28</v>
      </c>
      <c r="J180">
        <v>1</v>
      </c>
      <c r="K180">
        <f t="shared" si="17"/>
        <v>5</v>
      </c>
      <c r="L180">
        <f t="shared" si="18"/>
        <v>2025</v>
      </c>
      <c r="N180" s="17">
        <f t="shared" si="22"/>
        <v>45778</v>
      </c>
      <c r="P180" s="17">
        <v>40725</v>
      </c>
      <c r="Q180" s="55" t="e">
        <f t="shared" si="19"/>
        <v>#DIV/0!</v>
      </c>
      <c r="S180">
        <f t="shared" si="23"/>
        <v>0</v>
      </c>
    </row>
    <row r="181" spans="1:19" x14ac:dyDescent="0.3">
      <c r="A181" s="17">
        <v>45804</v>
      </c>
      <c r="B181">
        <v>420.45</v>
      </c>
      <c r="C181">
        <v>64.010000000000005</v>
      </c>
      <c r="D181">
        <f t="shared" si="20"/>
        <v>356.44</v>
      </c>
      <c r="E181">
        <v>0.24</v>
      </c>
      <c r="F181">
        <f t="shared" si="21"/>
        <v>-356.2</v>
      </c>
      <c r="I181">
        <f t="shared" si="16"/>
        <v>27</v>
      </c>
      <c r="J181">
        <v>1</v>
      </c>
      <c r="K181">
        <f t="shared" si="17"/>
        <v>5</v>
      </c>
      <c r="L181">
        <f t="shared" si="18"/>
        <v>2025</v>
      </c>
      <c r="N181" s="17">
        <f t="shared" si="22"/>
        <v>45778</v>
      </c>
      <c r="P181" s="17">
        <v>40695</v>
      </c>
      <c r="Q181" s="55" t="e">
        <f t="shared" si="19"/>
        <v>#DIV/0!</v>
      </c>
      <c r="S181">
        <f t="shared" si="23"/>
        <v>0</v>
      </c>
    </row>
    <row r="182" spans="1:19" x14ac:dyDescent="0.3">
      <c r="A182" s="17">
        <v>45803</v>
      </c>
      <c r="B182">
        <v>428.53</v>
      </c>
      <c r="C182">
        <v>63.75</v>
      </c>
      <c r="D182">
        <f t="shared" si="20"/>
        <v>364.78</v>
      </c>
      <c r="E182">
        <v>0.19</v>
      </c>
      <c r="F182">
        <f t="shared" si="21"/>
        <v>-364.59</v>
      </c>
      <c r="I182">
        <f t="shared" si="16"/>
        <v>26</v>
      </c>
      <c r="J182">
        <v>1</v>
      </c>
      <c r="K182">
        <f t="shared" si="17"/>
        <v>5</v>
      </c>
      <c r="L182">
        <f t="shared" si="18"/>
        <v>2025</v>
      </c>
      <c r="N182" s="17">
        <f t="shared" si="22"/>
        <v>45778</v>
      </c>
      <c r="P182" s="17">
        <v>40664</v>
      </c>
      <c r="Q182" s="55" t="e">
        <f t="shared" si="19"/>
        <v>#DIV/0!</v>
      </c>
      <c r="S182">
        <f t="shared" si="23"/>
        <v>0</v>
      </c>
    </row>
    <row r="183" spans="1:19" x14ac:dyDescent="0.3">
      <c r="A183" s="17">
        <v>45800</v>
      </c>
      <c r="B183">
        <v>431.41</v>
      </c>
      <c r="C183">
        <v>63.2</v>
      </c>
      <c r="D183">
        <f t="shared" si="20"/>
        <v>368.21000000000004</v>
      </c>
      <c r="E183">
        <v>0.18</v>
      </c>
      <c r="F183">
        <f t="shared" si="21"/>
        <v>-368.03000000000003</v>
      </c>
      <c r="I183">
        <f t="shared" si="16"/>
        <v>23</v>
      </c>
      <c r="J183">
        <v>1</v>
      </c>
      <c r="K183">
        <f t="shared" si="17"/>
        <v>5</v>
      </c>
      <c r="L183">
        <f t="shared" si="18"/>
        <v>2025</v>
      </c>
      <c r="N183" s="17">
        <f t="shared" si="22"/>
        <v>45778</v>
      </c>
      <c r="P183" s="17">
        <v>40634</v>
      </c>
      <c r="Q183" s="55" t="e">
        <f t="shared" si="19"/>
        <v>#DIV/0!</v>
      </c>
      <c r="S183">
        <f t="shared" si="23"/>
        <v>0</v>
      </c>
    </row>
    <row r="184" spans="1:19" x14ac:dyDescent="0.3">
      <c r="A184" s="17">
        <v>45799</v>
      </c>
      <c r="B184">
        <v>431.31</v>
      </c>
      <c r="C184">
        <v>63.72</v>
      </c>
      <c r="D184">
        <f t="shared" si="20"/>
        <v>367.59000000000003</v>
      </c>
      <c r="E184">
        <v>0.26</v>
      </c>
      <c r="F184">
        <f t="shared" si="21"/>
        <v>-367.33000000000004</v>
      </c>
      <c r="I184">
        <f t="shared" si="16"/>
        <v>22</v>
      </c>
      <c r="J184">
        <v>1</v>
      </c>
      <c r="K184">
        <f t="shared" si="17"/>
        <v>5</v>
      </c>
      <c r="L184">
        <f t="shared" si="18"/>
        <v>2025</v>
      </c>
      <c r="N184" s="17">
        <f t="shared" si="22"/>
        <v>45778</v>
      </c>
      <c r="P184" s="17">
        <v>40603</v>
      </c>
      <c r="Q184" s="55" t="e">
        <f t="shared" si="19"/>
        <v>#DIV/0!</v>
      </c>
      <c r="S184">
        <f t="shared" si="23"/>
        <v>0</v>
      </c>
    </row>
    <row r="185" spans="1:19" x14ac:dyDescent="0.3">
      <c r="A185" s="17">
        <v>45798</v>
      </c>
      <c r="B185">
        <v>442.97</v>
      </c>
      <c r="C185">
        <v>66.05</v>
      </c>
      <c r="D185">
        <f t="shared" si="20"/>
        <v>376.92</v>
      </c>
      <c r="E185">
        <v>0.36</v>
      </c>
      <c r="F185">
        <f t="shared" si="21"/>
        <v>-376.56</v>
      </c>
      <c r="I185">
        <f t="shared" si="16"/>
        <v>21</v>
      </c>
      <c r="J185">
        <v>1</v>
      </c>
      <c r="K185">
        <f t="shared" si="17"/>
        <v>5</v>
      </c>
      <c r="L185">
        <f t="shared" si="18"/>
        <v>2025</v>
      </c>
      <c r="N185" s="17">
        <f t="shared" si="22"/>
        <v>45778</v>
      </c>
      <c r="P185" s="17">
        <v>40575</v>
      </c>
      <c r="Q185" s="55" t="e">
        <f t="shared" si="19"/>
        <v>#DIV/0!</v>
      </c>
      <c r="S185">
        <f t="shared" si="23"/>
        <v>0</v>
      </c>
    </row>
    <row r="186" spans="1:19" x14ac:dyDescent="0.3">
      <c r="A186" s="17">
        <v>45797</v>
      </c>
      <c r="B186">
        <v>434.7</v>
      </c>
      <c r="C186">
        <v>65.010000000000005</v>
      </c>
      <c r="D186">
        <f t="shared" si="20"/>
        <v>369.69</v>
      </c>
      <c r="E186">
        <v>0.41</v>
      </c>
      <c r="F186">
        <f t="shared" si="21"/>
        <v>-369.28</v>
      </c>
      <c r="I186">
        <f t="shared" si="16"/>
        <v>20</v>
      </c>
      <c r="J186">
        <v>1</v>
      </c>
      <c r="K186">
        <f t="shared" si="17"/>
        <v>5</v>
      </c>
      <c r="L186">
        <f t="shared" si="18"/>
        <v>2025</v>
      </c>
      <c r="N186" s="17">
        <f t="shared" si="22"/>
        <v>45778</v>
      </c>
      <c r="P186" s="17">
        <v>40544</v>
      </c>
      <c r="Q186" s="55" t="e">
        <f t="shared" si="19"/>
        <v>#DIV/0!</v>
      </c>
      <c r="S186">
        <f t="shared" si="23"/>
        <v>0</v>
      </c>
    </row>
    <row r="187" spans="1:19" x14ac:dyDescent="0.3">
      <c r="A187" s="17">
        <v>45796</v>
      </c>
      <c r="B187">
        <v>431.25</v>
      </c>
      <c r="C187">
        <v>64.260000000000005</v>
      </c>
      <c r="D187">
        <f t="shared" si="20"/>
        <v>366.99</v>
      </c>
      <c r="E187">
        <v>0.44</v>
      </c>
      <c r="F187">
        <f t="shared" si="21"/>
        <v>-366.55</v>
      </c>
      <c r="I187">
        <f t="shared" si="16"/>
        <v>19</v>
      </c>
      <c r="J187">
        <v>1</v>
      </c>
      <c r="K187">
        <f t="shared" si="17"/>
        <v>5</v>
      </c>
      <c r="L187">
        <f t="shared" si="18"/>
        <v>2025</v>
      </c>
      <c r="N187" s="17">
        <f t="shared" si="22"/>
        <v>45778</v>
      </c>
      <c r="P187" s="17">
        <v>40513</v>
      </c>
      <c r="Q187" s="55" t="e">
        <f t="shared" si="19"/>
        <v>#DIV/0!</v>
      </c>
      <c r="S187">
        <f t="shared" si="23"/>
        <v>0</v>
      </c>
    </row>
    <row r="188" spans="1:19" x14ac:dyDescent="0.3">
      <c r="A188" s="17">
        <v>45793</v>
      </c>
      <c r="B188">
        <v>431.98</v>
      </c>
      <c r="C188">
        <v>63.79</v>
      </c>
      <c r="D188">
        <f t="shared" si="20"/>
        <v>368.19</v>
      </c>
      <c r="E188">
        <v>0.59</v>
      </c>
      <c r="F188">
        <f t="shared" si="21"/>
        <v>-367.6</v>
      </c>
      <c r="I188">
        <f t="shared" si="16"/>
        <v>16</v>
      </c>
      <c r="J188">
        <v>1</v>
      </c>
      <c r="K188">
        <f t="shared" si="17"/>
        <v>5</v>
      </c>
      <c r="L188">
        <f t="shared" si="18"/>
        <v>2025</v>
      </c>
      <c r="N188" s="17">
        <f t="shared" si="22"/>
        <v>45778</v>
      </c>
      <c r="P188" s="17">
        <v>40483</v>
      </c>
      <c r="Q188" s="55" t="e">
        <f t="shared" si="19"/>
        <v>#DIV/0!</v>
      </c>
      <c r="S188">
        <f t="shared" si="23"/>
        <v>0</v>
      </c>
    </row>
    <row r="189" spans="1:19" x14ac:dyDescent="0.3">
      <c r="A189" s="17">
        <v>45792</v>
      </c>
      <c r="B189">
        <v>426.02</v>
      </c>
      <c r="C189">
        <v>63.71</v>
      </c>
      <c r="D189">
        <f t="shared" si="20"/>
        <v>362.31</v>
      </c>
      <c r="E189">
        <v>0.69</v>
      </c>
      <c r="F189">
        <f t="shared" si="21"/>
        <v>-361.62</v>
      </c>
      <c r="I189">
        <f t="shared" si="16"/>
        <v>15</v>
      </c>
      <c r="J189">
        <v>1</v>
      </c>
      <c r="K189">
        <f t="shared" si="17"/>
        <v>5</v>
      </c>
      <c r="L189">
        <f t="shared" si="18"/>
        <v>2025</v>
      </c>
      <c r="N189" s="17">
        <f t="shared" si="22"/>
        <v>45778</v>
      </c>
      <c r="P189" s="17">
        <v>40452</v>
      </c>
      <c r="Q189" s="55" t="e">
        <f t="shared" si="19"/>
        <v>#DIV/0!</v>
      </c>
      <c r="S189">
        <f t="shared" si="23"/>
        <v>0</v>
      </c>
    </row>
    <row r="190" spans="1:19" x14ac:dyDescent="0.3">
      <c r="A190" s="17">
        <v>45791</v>
      </c>
      <c r="B190">
        <v>433.88</v>
      </c>
      <c r="C190">
        <v>66</v>
      </c>
      <c r="D190">
        <f t="shared" si="20"/>
        <v>367.88</v>
      </c>
      <c r="E190">
        <v>0.77</v>
      </c>
      <c r="F190">
        <f t="shared" si="21"/>
        <v>-367.11</v>
      </c>
      <c r="I190">
        <f t="shared" si="16"/>
        <v>14</v>
      </c>
      <c r="J190">
        <v>1</v>
      </c>
      <c r="K190">
        <f t="shared" si="17"/>
        <v>5</v>
      </c>
      <c r="L190">
        <f t="shared" si="18"/>
        <v>2025</v>
      </c>
      <c r="N190" s="17">
        <f t="shared" si="22"/>
        <v>45778</v>
      </c>
      <c r="P190" s="17">
        <v>40422</v>
      </c>
      <c r="Q190" s="55" t="e">
        <f t="shared" si="19"/>
        <v>#DIV/0!</v>
      </c>
      <c r="S190">
        <f t="shared" si="23"/>
        <v>0</v>
      </c>
    </row>
    <row r="191" spans="1:19" x14ac:dyDescent="0.3">
      <c r="A191" s="17">
        <v>45790</v>
      </c>
      <c r="B191">
        <v>428.77</v>
      </c>
      <c r="C191">
        <v>65.25</v>
      </c>
      <c r="D191">
        <f t="shared" si="20"/>
        <v>363.52</v>
      </c>
      <c r="E191">
        <v>0.83</v>
      </c>
      <c r="F191">
        <f t="shared" si="21"/>
        <v>-362.69</v>
      </c>
      <c r="I191">
        <f t="shared" si="16"/>
        <v>13</v>
      </c>
      <c r="J191">
        <v>1</v>
      </c>
      <c r="K191">
        <f t="shared" si="17"/>
        <v>5</v>
      </c>
      <c r="L191">
        <f t="shared" si="18"/>
        <v>2025</v>
      </c>
      <c r="N191" s="17">
        <f t="shared" si="22"/>
        <v>45778</v>
      </c>
      <c r="P191" s="17">
        <v>40391</v>
      </c>
      <c r="Q191" s="55" t="e">
        <f t="shared" si="19"/>
        <v>#DIV/0!</v>
      </c>
      <c r="S191">
        <f t="shared" si="23"/>
        <v>0</v>
      </c>
    </row>
    <row r="192" spans="1:19" x14ac:dyDescent="0.3">
      <c r="A192" s="17">
        <v>45786</v>
      </c>
      <c r="B192">
        <v>412.89</v>
      </c>
      <c r="C192">
        <v>63.89</v>
      </c>
      <c r="D192">
        <f t="shared" si="20"/>
        <v>349</v>
      </c>
      <c r="E192">
        <v>0.86</v>
      </c>
      <c r="F192">
        <f t="shared" si="21"/>
        <v>-348.14</v>
      </c>
      <c r="I192">
        <f t="shared" si="16"/>
        <v>9</v>
      </c>
      <c r="J192">
        <v>1</v>
      </c>
      <c r="K192">
        <f t="shared" si="17"/>
        <v>5</v>
      </c>
      <c r="L192">
        <f t="shared" si="18"/>
        <v>2025</v>
      </c>
      <c r="N192" s="17">
        <f t="shared" si="22"/>
        <v>45778</v>
      </c>
      <c r="P192" s="17">
        <v>40360</v>
      </c>
      <c r="Q192" s="55" t="e">
        <f t="shared" si="19"/>
        <v>#DIV/0!</v>
      </c>
      <c r="S192">
        <f t="shared" si="23"/>
        <v>0</v>
      </c>
    </row>
    <row r="193" spans="1:19" x14ac:dyDescent="0.3">
      <c r="A193" s="17">
        <v>45785</v>
      </c>
      <c r="B193">
        <v>402.42</v>
      </c>
      <c r="C193">
        <v>62.15</v>
      </c>
      <c r="D193">
        <f t="shared" si="20"/>
        <v>340.27000000000004</v>
      </c>
      <c r="E193">
        <v>0.83</v>
      </c>
      <c r="F193">
        <f t="shared" si="21"/>
        <v>-339.44000000000005</v>
      </c>
      <c r="I193">
        <f t="shared" si="16"/>
        <v>8</v>
      </c>
      <c r="J193">
        <v>1</v>
      </c>
      <c r="K193">
        <f t="shared" si="17"/>
        <v>5</v>
      </c>
      <c r="L193">
        <f t="shared" si="18"/>
        <v>2025</v>
      </c>
      <c r="N193" s="17">
        <f t="shared" si="22"/>
        <v>45778</v>
      </c>
      <c r="P193" s="17">
        <v>40330</v>
      </c>
      <c r="Q193" s="55" t="e">
        <f t="shared" si="19"/>
        <v>#DIV/0!</v>
      </c>
      <c r="S193">
        <f t="shared" si="23"/>
        <v>0</v>
      </c>
    </row>
    <row r="194" spans="1:19" x14ac:dyDescent="0.3">
      <c r="A194" s="17">
        <v>45784</v>
      </c>
      <c r="B194">
        <v>404.2</v>
      </c>
      <c r="C194">
        <v>63.64</v>
      </c>
      <c r="D194">
        <f t="shared" si="20"/>
        <v>340.56</v>
      </c>
      <c r="E194">
        <v>0.74</v>
      </c>
      <c r="F194">
        <f t="shared" si="21"/>
        <v>-339.82</v>
      </c>
      <c r="I194">
        <f t="shared" si="16"/>
        <v>7</v>
      </c>
      <c r="J194">
        <v>1</v>
      </c>
      <c r="K194">
        <f t="shared" si="17"/>
        <v>5</v>
      </c>
      <c r="L194">
        <f t="shared" si="18"/>
        <v>2025</v>
      </c>
      <c r="N194" s="17">
        <f t="shared" si="22"/>
        <v>45778</v>
      </c>
      <c r="P194" s="17">
        <v>40299</v>
      </c>
      <c r="Q194" s="55" t="e">
        <f t="shared" si="19"/>
        <v>#DIV/0!</v>
      </c>
      <c r="S194">
        <f t="shared" si="23"/>
        <v>0</v>
      </c>
    </row>
    <row r="195" spans="1:19" x14ac:dyDescent="0.3">
      <c r="A195" s="17">
        <v>45783</v>
      </c>
      <c r="B195">
        <v>395.7</v>
      </c>
      <c r="C195">
        <v>61.69</v>
      </c>
      <c r="D195">
        <f t="shared" si="20"/>
        <v>334.01</v>
      </c>
      <c r="E195">
        <v>0.81</v>
      </c>
      <c r="F195">
        <f t="shared" si="21"/>
        <v>-333.2</v>
      </c>
      <c r="I195">
        <f t="shared" si="16"/>
        <v>6</v>
      </c>
      <c r="J195">
        <v>1</v>
      </c>
      <c r="K195">
        <f t="shared" si="17"/>
        <v>5</v>
      </c>
      <c r="L195">
        <f t="shared" si="18"/>
        <v>2025</v>
      </c>
      <c r="N195" s="17">
        <f t="shared" si="22"/>
        <v>45778</v>
      </c>
      <c r="P195" s="17">
        <v>40269</v>
      </c>
      <c r="Q195" s="55" t="e">
        <f t="shared" si="19"/>
        <v>#DIV/0!</v>
      </c>
      <c r="S195">
        <f t="shared" si="23"/>
        <v>0</v>
      </c>
    </row>
    <row r="196" spans="1:19" x14ac:dyDescent="0.3">
      <c r="A196" s="17">
        <v>45782</v>
      </c>
      <c r="B196">
        <v>386.38</v>
      </c>
      <c r="C196">
        <v>59.55</v>
      </c>
      <c r="D196">
        <f t="shared" si="20"/>
        <v>326.83</v>
      </c>
      <c r="E196">
        <v>0.87</v>
      </c>
      <c r="F196">
        <f t="shared" si="21"/>
        <v>-325.95999999999998</v>
      </c>
      <c r="I196">
        <f t="shared" si="16"/>
        <v>5</v>
      </c>
      <c r="J196">
        <v>1</v>
      </c>
      <c r="K196">
        <f t="shared" si="17"/>
        <v>5</v>
      </c>
      <c r="L196">
        <f t="shared" si="18"/>
        <v>2025</v>
      </c>
      <c r="N196" s="17">
        <f t="shared" si="22"/>
        <v>45778</v>
      </c>
      <c r="P196" s="17">
        <v>40238</v>
      </c>
      <c r="Q196" s="55" t="e">
        <f t="shared" si="19"/>
        <v>#DIV/0!</v>
      </c>
      <c r="S196">
        <f t="shared" si="23"/>
        <v>0</v>
      </c>
    </row>
    <row r="197" spans="1:19" x14ac:dyDescent="0.3">
      <c r="A197" s="17">
        <v>45779</v>
      </c>
      <c r="B197">
        <v>398.37</v>
      </c>
      <c r="C197">
        <v>62.02</v>
      </c>
      <c r="D197">
        <f t="shared" si="20"/>
        <v>336.35</v>
      </c>
      <c r="E197">
        <v>0.86</v>
      </c>
      <c r="F197">
        <f t="shared" si="21"/>
        <v>-335.49</v>
      </c>
      <c r="I197">
        <f t="shared" ref="I197:I260" si="24">+DAY(A197)</f>
        <v>2</v>
      </c>
      <c r="J197">
        <v>1</v>
      </c>
      <c r="K197">
        <f t="shared" ref="K197:K260" si="25">+MONTH(A197)</f>
        <v>5</v>
      </c>
      <c r="L197">
        <f t="shared" ref="L197:L260" si="26">+YEAR(A197)</f>
        <v>2025</v>
      </c>
      <c r="N197" s="17">
        <f t="shared" si="22"/>
        <v>45778</v>
      </c>
      <c r="P197" s="17">
        <v>40210</v>
      </c>
      <c r="Q197" s="55" t="e">
        <f t="shared" ref="Q197:Q260" si="27">+AVERAGEIFS($F$5:$F$3568,$N$5:$N$3568,$P197,$S$5:$S$3568,1)</f>
        <v>#DIV/0!</v>
      </c>
      <c r="S197">
        <f t="shared" si="23"/>
        <v>1</v>
      </c>
    </row>
    <row r="198" spans="1:19" x14ac:dyDescent="0.3">
      <c r="A198" s="17">
        <v>45777</v>
      </c>
      <c r="B198">
        <v>409.16</v>
      </c>
      <c r="C198">
        <v>62.545000000000002</v>
      </c>
      <c r="D198">
        <f t="shared" ref="D198:D261" si="28">+B198-C198</f>
        <v>346.61500000000001</v>
      </c>
      <c r="E198">
        <v>0.8</v>
      </c>
      <c r="F198">
        <f t="shared" ref="F198:F261" si="29">+E198-D198</f>
        <v>-345.815</v>
      </c>
      <c r="I198">
        <f t="shared" si="24"/>
        <v>30</v>
      </c>
      <c r="J198">
        <v>1</v>
      </c>
      <c r="K198">
        <f t="shared" si="25"/>
        <v>4</v>
      </c>
      <c r="L198">
        <f t="shared" si="26"/>
        <v>2025</v>
      </c>
      <c r="N198" s="17">
        <f t="shared" ref="N198:N261" si="30">+DATE(L198,K198,J198)</f>
        <v>45748</v>
      </c>
      <c r="P198" s="17">
        <v>40179</v>
      </c>
      <c r="Q198" s="55" t="e">
        <f t="shared" si="27"/>
        <v>#DIV/0!</v>
      </c>
      <c r="S198">
        <f t="shared" ref="S198:S261" si="31">IF(AND(I198&gt;=1, I198&lt;=4), 1, 0)</f>
        <v>0</v>
      </c>
    </row>
    <row r="199" spans="1:19" x14ac:dyDescent="0.3">
      <c r="A199" s="17">
        <v>45776</v>
      </c>
      <c r="B199">
        <v>416.73</v>
      </c>
      <c r="C199">
        <v>64.64</v>
      </c>
      <c r="D199">
        <f t="shared" si="28"/>
        <v>352.09000000000003</v>
      </c>
      <c r="E199">
        <v>0.81</v>
      </c>
      <c r="F199">
        <f t="shared" si="29"/>
        <v>-351.28000000000003</v>
      </c>
      <c r="I199">
        <f t="shared" si="24"/>
        <v>29</v>
      </c>
      <c r="J199">
        <v>1</v>
      </c>
      <c r="K199">
        <f t="shared" si="25"/>
        <v>4</v>
      </c>
      <c r="L199">
        <f t="shared" si="26"/>
        <v>2025</v>
      </c>
      <c r="N199" s="17">
        <f t="shared" si="30"/>
        <v>45748</v>
      </c>
      <c r="P199" s="17">
        <v>40148</v>
      </c>
      <c r="Q199" s="55" t="e">
        <f t="shared" si="27"/>
        <v>#DIV/0!</v>
      </c>
      <c r="S199">
        <f t="shared" si="31"/>
        <v>0</v>
      </c>
    </row>
    <row r="200" spans="1:19" x14ac:dyDescent="0.3">
      <c r="A200" s="17">
        <v>45775</v>
      </c>
      <c r="B200">
        <v>423.46</v>
      </c>
      <c r="C200">
        <v>66.84</v>
      </c>
      <c r="D200">
        <f t="shared" si="28"/>
        <v>356.62</v>
      </c>
      <c r="E200">
        <v>0.87</v>
      </c>
      <c r="F200">
        <f t="shared" si="29"/>
        <v>-355.75</v>
      </c>
      <c r="I200">
        <f t="shared" si="24"/>
        <v>28</v>
      </c>
      <c r="J200">
        <v>1</v>
      </c>
      <c r="K200">
        <f t="shared" si="25"/>
        <v>4</v>
      </c>
      <c r="L200">
        <f t="shared" si="26"/>
        <v>2025</v>
      </c>
      <c r="N200" s="17">
        <f t="shared" si="30"/>
        <v>45748</v>
      </c>
      <c r="P200" s="17">
        <v>40118</v>
      </c>
      <c r="Q200" s="55" t="e">
        <f t="shared" si="27"/>
        <v>#DIV/0!</v>
      </c>
      <c r="S200">
        <f t="shared" si="31"/>
        <v>0</v>
      </c>
    </row>
    <row r="201" spans="1:19" x14ac:dyDescent="0.3">
      <c r="A201" s="17">
        <v>45772</v>
      </c>
      <c r="B201">
        <v>425.99</v>
      </c>
      <c r="C201">
        <v>67.2</v>
      </c>
      <c r="D201">
        <f t="shared" si="28"/>
        <v>358.79</v>
      </c>
      <c r="E201">
        <v>0.88</v>
      </c>
      <c r="F201">
        <f t="shared" si="29"/>
        <v>-357.91</v>
      </c>
      <c r="I201">
        <f t="shared" si="24"/>
        <v>25</v>
      </c>
      <c r="J201">
        <v>1</v>
      </c>
      <c r="K201">
        <f t="shared" si="25"/>
        <v>4</v>
      </c>
      <c r="L201">
        <f t="shared" si="26"/>
        <v>2025</v>
      </c>
      <c r="N201" s="17">
        <f t="shared" si="30"/>
        <v>45748</v>
      </c>
      <c r="P201" s="17">
        <v>40087</v>
      </c>
      <c r="Q201" s="55" t="e">
        <f t="shared" si="27"/>
        <v>#DIV/0!</v>
      </c>
      <c r="S201">
        <f t="shared" si="31"/>
        <v>0</v>
      </c>
    </row>
    <row r="202" spans="1:19" x14ac:dyDescent="0.3">
      <c r="A202" s="17">
        <v>45771</v>
      </c>
      <c r="B202">
        <v>423.58</v>
      </c>
      <c r="C202">
        <v>67.59</v>
      </c>
      <c r="D202">
        <f t="shared" si="28"/>
        <v>355.99</v>
      </c>
      <c r="E202">
        <v>0.76</v>
      </c>
      <c r="F202">
        <f t="shared" si="29"/>
        <v>-355.23</v>
      </c>
      <c r="I202">
        <f t="shared" si="24"/>
        <v>24</v>
      </c>
      <c r="J202">
        <v>1</v>
      </c>
      <c r="K202">
        <f t="shared" si="25"/>
        <v>4</v>
      </c>
      <c r="L202">
        <f t="shared" si="26"/>
        <v>2025</v>
      </c>
      <c r="N202" s="17">
        <f t="shared" si="30"/>
        <v>45748</v>
      </c>
      <c r="P202" s="17">
        <v>40057</v>
      </c>
      <c r="Q202" s="55" t="e">
        <f t="shared" si="27"/>
        <v>#DIV/0!</v>
      </c>
      <c r="S202">
        <f t="shared" si="31"/>
        <v>0</v>
      </c>
    </row>
    <row r="203" spans="1:19" x14ac:dyDescent="0.3">
      <c r="A203" s="17">
        <v>45770</v>
      </c>
      <c r="B203">
        <v>437.35</v>
      </c>
      <c r="C203">
        <v>69.489999999999995</v>
      </c>
      <c r="D203">
        <f t="shared" si="28"/>
        <v>367.86</v>
      </c>
      <c r="E203">
        <v>0.67</v>
      </c>
      <c r="F203">
        <f t="shared" si="29"/>
        <v>-367.19</v>
      </c>
      <c r="I203">
        <f t="shared" si="24"/>
        <v>23</v>
      </c>
      <c r="J203">
        <v>1</v>
      </c>
      <c r="K203">
        <f t="shared" si="25"/>
        <v>4</v>
      </c>
      <c r="L203">
        <f t="shared" si="26"/>
        <v>2025</v>
      </c>
      <c r="N203" s="17">
        <f t="shared" si="30"/>
        <v>45748</v>
      </c>
      <c r="P203" s="17">
        <v>40026</v>
      </c>
      <c r="Q203" s="55" t="e">
        <f t="shared" si="27"/>
        <v>#DIV/0!</v>
      </c>
      <c r="S203">
        <f t="shared" si="31"/>
        <v>0</v>
      </c>
    </row>
    <row r="204" spans="1:19" x14ac:dyDescent="0.3">
      <c r="A204" s="17">
        <v>45769</v>
      </c>
      <c r="B204">
        <v>423.88</v>
      </c>
      <c r="C204">
        <v>68.5</v>
      </c>
      <c r="D204">
        <f t="shared" si="28"/>
        <v>355.38</v>
      </c>
      <c r="E204">
        <v>0.65</v>
      </c>
      <c r="F204">
        <f t="shared" si="29"/>
        <v>-354.73</v>
      </c>
      <c r="I204">
        <f t="shared" si="24"/>
        <v>22</v>
      </c>
      <c r="J204">
        <v>1</v>
      </c>
      <c r="K204">
        <f t="shared" si="25"/>
        <v>4</v>
      </c>
      <c r="L204">
        <f t="shared" si="26"/>
        <v>2025</v>
      </c>
      <c r="N204" s="17">
        <f t="shared" si="30"/>
        <v>45748</v>
      </c>
      <c r="P204" s="17">
        <v>39995</v>
      </c>
      <c r="Q204" s="55" t="e">
        <f t="shared" si="27"/>
        <v>#DIV/0!</v>
      </c>
      <c r="S204">
        <f t="shared" si="31"/>
        <v>0</v>
      </c>
    </row>
    <row r="205" spans="1:19" x14ac:dyDescent="0.3">
      <c r="A205" s="17">
        <v>45768</v>
      </c>
      <c r="B205">
        <v>417.37</v>
      </c>
      <c r="C205">
        <v>68.430000000000007</v>
      </c>
      <c r="D205">
        <f t="shared" si="28"/>
        <v>348.94</v>
      </c>
      <c r="E205">
        <v>0.65</v>
      </c>
      <c r="F205">
        <f t="shared" si="29"/>
        <v>-348.29</v>
      </c>
      <c r="I205">
        <f t="shared" si="24"/>
        <v>21</v>
      </c>
      <c r="J205">
        <v>1</v>
      </c>
      <c r="K205">
        <f t="shared" si="25"/>
        <v>4</v>
      </c>
      <c r="L205">
        <f t="shared" si="26"/>
        <v>2025</v>
      </c>
      <c r="N205" s="17">
        <f t="shared" si="30"/>
        <v>45748</v>
      </c>
      <c r="P205" s="17">
        <v>39965</v>
      </c>
      <c r="Q205" s="55" t="e">
        <f t="shared" si="27"/>
        <v>#DIV/0!</v>
      </c>
      <c r="S205">
        <f t="shared" si="31"/>
        <v>0</v>
      </c>
    </row>
    <row r="206" spans="1:19" x14ac:dyDescent="0.3">
      <c r="A206" s="17">
        <v>45764</v>
      </c>
      <c r="B206">
        <v>419.27</v>
      </c>
      <c r="C206">
        <v>68.150000000000006</v>
      </c>
      <c r="D206">
        <f t="shared" si="28"/>
        <v>351.12</v>
      </c>
      <c r="E206">
        <v>0.59</v>
      </c>
      <c r="F206">
        <f t="shared" si="29"/>
        <v>-350.53000000000003</v>
      </c>
      <c r="I206">
        <f t="shared" si="24"/>
        <v>17</v>
      </c>
      <c r="J206">
        <v>1</v>
      </c>
      <c r="K206">
        <f t="shared" si="25"/>
        <v>4</v>
      </c>
      <c r="L206">
        <f t="shared" si="26"/>
        <v>2025</v>
      </c>
      <c r="N206" s="17">
        <f t="shared" si="30"/>
        <v>45748</v>
      </c>
      <c r="P206" s="17">
        <v>39934</v>
      </c>
      <c r="Q206" s="55" t="e">
        <f t="shared" si="27"/>
        <v>#DIV/0!</v>
      </c>
      <c r="S206">
        <f t="shared" si="31"/>
        <v>0</v>
      </c>
    </row>
    <row r="207" spans="1:19" x14ac:dyDescent="0.3">
      <c r="A207" s="17">
        <v>45763</v>
      </c>
      <c r="B207">
        <v>413.69</v>
      </c>
      <c r="C207">
        <v>66.650000000000006</v>
      </c>
      <c r="D207">
        <f t="shared" si="28"/>
        <v>347.03999999999996</v>
      </c>
      <c r="E207">
        <v>0.6</v>
      </c>
      <c r="F207">
        <f t="shared" si="29"/>
        <v>-346.43999999999994</v>
      </c>
      <c r="I207">
        <f t="shared" si="24"/>
        <v>16</v>
      </c>
      <c r="J207">
        <v>1</v>
      </c>
      <c r="K207">
        <f t="shared" si="25"/>
        <v>4</v>
      </c>
      <c r="L207">
        <f t="shared" si="26"/>
        <v>2025</v>
      </c>
      <c r="N207" s="17">
        <f t="shared" si="30"/>
        <v>45748</v>
      </c>
      <c r="P207" s="17">
        <v>39904</v>
      </c>
      <c r="Q207" s="55" t="e">
        <f t="shared" si="27"/>
        <v>#DIV/0!</v>
      </c>
      <c r="S207">
        <f t="shared" si="31"/>
        <v>0</v>
      </c>
    </row>
    <row r="208" spans="1:19" x14ac:dyDescent="0.3">
      <c r="A208" s="17">
        <v>45762</v>
      </c>
      <c r="B208">
        <v>417.25</v>
      </c>
      <c r="C208">
        <v>66.59</v>
      </c>
      <c r="D208">
        <f t="shared" si="28"/>
        <v>350.65999999999997</v>
      </c>
      <c r="E208">
        <v>0.4</v>
      </c>
      <c r="F208">
        <f t="shared" si="29"/>
        <v>-350.26</v>
      </c>
      <c r="I208">
        <f t="shared" si="24"/>
        <v>15</v>
      </c>
      <c r="J208">
        <v>1</v>
      </c>
      <c r="K208">
        <f t="shared" si="25"/>
        <v>4</v>
      </c>
      <c r="L208">
        <f t="shared" si="26"/>
        <v>2025</v>
      </c>
      <c r="N208" s="17">
        <f t="shared" si="30"/>
        <v>45748</v>
      </c>
      <c r="P208" s="17">
        <v>39873</v>
      </c>
      <c r="Q208" s="55" t="e">
        <f t="shared" si="27"/>
        <v>#DIV/0!</v>
      </c>
      <c r="S208">
        <f t="shared" si="31"/>
        <v>0</v>
      </c>
    </row>
    <row r="209" spans="1:19" x14ac:dyDescent="0.3">
      <c r="A209" s="17">
        <v>45761</v>
      </c>
      <c r="B209">
        <v>413.19</v>
      </c>
      <c r="C209">
        <v>66.23</v>
      </c>
      <c r="D209">
        <f t="shared" si="28"/>
        <v>346.96</v>
      </c>
      <c r="E209">
        <v>0.36</v>
      </c>
      <c r="F209">
        <f t="shared" si="29"/>
        <v>-346.59999999999997</v>
      </c>
      <c r="I209">
        <f t="shared" si="24"/>
        <v>14</v>
      </c>
      <c r="J209">
        <v>1</v>
      </c>
      <c r="K209">
        <f t="shared" si="25"/>
        <v>4</v>
      </c>
      <c r="L209">
        <f t="shared" si="26"/>
        <v>2025</v>
      </c>
      <c r="N209" s="17">
        <f t="shared" si="30"/>
        <v>45748</v>
      </c>
      <c r="P209" s="17">
        <v>39845</v>
      </c>
      <c r="Q209" s="55" t="e">
        <f t="shared" si="27"/>
        <v>#DIV/0!</v>
      </c>
      <c r="S209">
        <f t="shared" si="31"/>
        <v>0</v>
      </c>
    </row>
    <row r="210" spans="1:19" x14ac:dyDescent="0.3">
      <c r="A210" s="17">
        <v>45758</v>
      </c>
      <c r="B210">
        <v>399.85</v>
      </c>
      <c r="C210">
        <v>64.900000000000006</v>
      </c>
      <c r="D210">
        <f t="shared" si="28"/>
        <v>334.95000000000005</v>
      </c>
      <c r="E210">
        <v>0.32</v>
      </c>
      <c r="F210">
        <f t="shared" si="29"/>
        <v>-334.63000000000005</v>
      </c>
      <c r="I210">
        <f t="shared" si="24"/>
        <v>11</v>
      </c>
      <c r="J210">
        <v>1</v>
      </c>
      <c r="K210">
        <f t="shared" si="25"/>
        <v>4</v>
      </c>
      <c r="L210">
        <f t="shared" si="26"/>
        <v>2025</v>
      </c>
      <c r="N210" s="17">
        <f t="shared" si="30"/>
        <v>45748</v>
      </c>
      <c r="P210" s="17">
        <v>39814</v>
      </c>
      <c r="Q210" s="55" t="e">
        <f t="shared" si="27"/>
        <v>#DIV/0!</v>
      </c>
      <c r="S210">
        <f t="shared" si="31"/>
        <v>0</v>
      </c>
    </row>
    <row r="211" spans="1:19" x14ac:dyDescent="0.3">
      <c r="A211" s="17">
        <v>45757</v>
      </c>
      <c r="B211">
        <v>392.53</v>
      </c>
      <c r="C211">
        <v>65.400000000000006</v>
      </c>
      <c r="D211">
        <f t="shared" si="28"/>
        <v>327.13</v>
      </c>
      <c r="E211">
        <v>0.28000000000000003</v>
      </c>
      <c r="F211">
        <f t="shared" si="29"/>
        <v>-326.85000000000002</v>
      </c>
      <c r="I211">
        <f t="shared" si="24"/>
        <v>10</v>
      </c>
      <c r="J211">
        <v>1</v>
      </c>
      <c r="K211">
        <f t="shared" si="25"/>
        <v>4</v>
      </c>
      <c r="L211">
        <f t="shared" si="26"/>
        <v>2025</v>
      </c>
      <c r="N211" s="17">
        <f t="shared" si="30"/>
        <v>45748</v>
      </c>
      <c r="P211" s="17">
        <v>39783</v>
      </c>
      <c r="Q211" s="55" t="e">
        <f t="shared" si="27"/>
        <v>#DIV/0!</v>
      </c>
      <c r="S211">
        <f t="shared" si="31"/>
        <v>0</v>
      </c>
    </row>
    <row r="212" spans="1:19" x14ac:dyDescent="0.3">
      <c r="A212" s="17">
        <v>45756</v>
      </c>
      <c r="B212">
        <v>376.71</v>
      </c>
      <c r="C212">
        <v>61.9</v>
      </c>
      <c r="D212">
        <f t="shared" si="28"/>
        <v>314.81</v>
      </c>
      <c r="E212">
        <v>0.2</v>
      </c>
      <c r="F212">
        <f t="shared" si="29"/>
        <v>-314.61</v>
      </c>
      <c r="I212">
        <f t="shared" si="24"/>
        <v>9</v>
      </c>
      <c r="J212">
        <v>1</v>
      </c>
      <c r="K212">
        <f t="shared" si="25"/>
        <v>4</v>
      </c>
      <c r="L212">
        <f t="shared" si="26"/>
        <v>2025</v>
      </c>
      <c r="N212" s="17">
        <f t="shared" si="30"/>
        <v>45748</v>
      </c>
      <c r="P212" s="17">
        <v>39753</v>
      </c>
      <c r="Q212" s="55" t="e">
        <f t="shared" si="27"/>
        <v>#DIV/0!</v>
      </c>
      <c r="S212">
        <f t="shared" si="31"/>
        <v>0</v>
      </c>
    </row>
    <row r="213" spans="1:19" x14ac:dyDescent="0.3">
      <c r="A213" s="17">
        <v>45755</v>
      </c>
      <c r="B213">
        <v>397.89</v>
      </c>
      <c r="C213">
        <v>65.2</v>
      </c>
      <c r="D213">
        <f t="shared" si="28"/>
        <v>332.69</v>
      </c>
      <c r="E213">
        <v>0.19</v>
      </c>
      <c r="F213">
        <f t="shared" si="29"/>
        <v>-332.5</v>
      </c>
      <c r="I213">
        <f t="shared" si="24"/>
        <v>8</v>
      </c>
      <c r="J213">
        <v>1</v>
      </c>
      <c r="K213">
        <f t="shared" si="25"/>
        <v>4</v>
      </c>
      <c r="L213">
        <f t="shared" si="26"/>
        <v>2025</v>
      </c>
      <c r="N213" s="17">
        <f t="shared" si="30"/>
        <v>45748</v>
      </c>
      <c r="P213" s="17">
        <v>39722</v>
      </c>
      <c r="Q213" s="55" t="e">
        <f t="shared" si="27"/>
        <v>#DIV/0!</v>
      </c>
      <c r="S213">
        <f t="shared" si="31"/>
        <v>0</v>
      </c>
    </row>
    <row r="214" spans="1:19" x14ac:dyDescent="0.3">
      <c r="A214" s="17">
        <v>45754</v>
      </c>
      <c r="B214">
        <v>392.13</v>
      </c>
      <c r="C214">
        <v>64.55</v>
      </c>
      <c r="D214">
        <f t="shared" si="28"/>
        <v>327.58</v>
      </c>
      <c r="E214">
        <v>0.18</v>
      </c>
      <c r="F214">
        <f t="shared" si="29"/>
        <v>-327.39999999999998</v>
      </c>
      <c r="I214">
        <f t="shared" si="24"/>
        <v>7</v>
      </c>
      <c r="J214">
        <v>1</v>
      </c>
      <c r="K214">
        <f t="shared" si="25"/>
        <v>4</v>
      </c>
      <c r="L214">
        <f t="shared" si="26"/>
        <v>2025</v>
      </c>
      <c r="N214" s="17">
        <f t="shared" si="30"/>
        <v>45748</v>
      </c>
      <c r="P214" s="17">
        <v>39692</v>
      </c>
      <c r="Q214" s="55" t="e">
        <f t="shared" si="27"/>
        <v>#DIV/0!</v>
      </c>
      <c r="S214">
        <f t="shared" si="31"/>
        <v>0</v>
      </c>
    </row>
    <row r="215" spans="1:19" x14ac:dyDescent="0.3">
      <c r="A215" s="17">
        <v>45751</v>
      </c>
      <c r="B215">
        <v>415.83</v>
      </c>
      <c r="C215">
        <v>70.5</v>
      </c>
      <c r="D215">
        <f t="shared" si="28"/>
        <v>345.33</v>
      </c>
      <c r="E215">
        <v>0.12</v>
      </c>
      <c r="F215">
        <f t="shared" si="29"/>
        <v>-345.21</v>
      </c>
      <c r="I215">
        <f t="shared" si="24"/>
        <v>4</v>
      </c>
      <c r="J215">
        <v>1</v>
      </c>
      <c r="K215">
        <f t="shared" si="25"/>
        <v>4</v>
      </c>
      <c r="L215">
        <f t="shared" si="26"/>
        <v>2025</v>
      </c>
      <c r="N215" s="17">
        <f t="shared" si="30"/>
        <v>45748</v>
      </c>
      <c r="P215" s="17">
        <v>39661</v>
      </c>
      <c r="Q215" s="55" t="e">
        <f t="shared" si="27"/>
        <v>#DIV/0!</v>
      </c>
      <c r="S215">
        <f t="shared" si="31"/>
        <v>1</v>
      </c>
    </row>
    <row r="216" spans="1:19" x14ac:dyDescent="0.3">
      <c r="A216" s="17">
        <v>45750</v>
      </c>
      <c r="B216">
        <v>445.63</v>
      </c>
      <c r="C216">
        <v>75.099999999999994</v>
      </c>
      <c r="D216">
        <f t="shared" si="28"/>
        <v>370.53</v>
      </c>
      <c r="E216">
        <v>0.15</v>
      </c>
      <c r="F216">
        <f t="shared" si="29"/>
        <v>-370.38</v>
      </c>
      <c r="I216">
        <f t="shared" si="24"/>
        <v>3</v>
      </c>
      <c r="J216">
        <v>1</v>
      </c>
      <c r="K216">
        <f t="shared" si="25"/>
        <v>4</v>
      </c>
      <c r="L216">
        <f t="shared" si="26"/>
        <v>2025</v>
      </c>
      <c r="N216" s="17">
        <f t="shared" si="30"/>
        <v>45748</v>
      </c>
      <c r="P216" s="17">
        <v>39630</v>
      </c>
      <c r="Q216" s="55" t="e">
        <f t="shared" si="27"/>
        <v>#DIV/0!</v>
      </c>
      <c r="S216">
        <f t="shared" si="31"/>
        <v>1</v>
      </c>
    </row>
    <row r="217" spans="1:19" x14ac:dyDescent="0.3">
      <c r="A217" s="17">
        <v>45749</v>
      </c>
      <c r="B217">
        <v>452.13</v>
      </c>
      <c r="C217">
        <v>76.14</v>
      </c>
      <c r="D217">
        <f t="shared" si="28"/>
        <v>375.99</v>
      </c>
      <c r="E217">
        <v>0.16</v>
      </c>
      <c r="F217">
        <f t="shared" si="29"/>
        <v>-375.83</v>
      </c>
      <c r="I217">
        <f t="shared" si="24"/>
        <v>2</v>
      </c>
      <c r="J217">
        <v>1</v>
      </c>
      <c r="K217">
        <f t="shared" si="25"/>
        <v>4</v>
      </c>
      <c r="L217">
        <f t="shared" si="26"/>
        <v>2025</v>
      </c>
      <c r="N217" s="17">
        <f t="shared" si="30"/>
        <v>45748</v>
      </c>
      <c r="P217" s="17">
        <v>39600</v>
      </c>
      <c r="Q217" s="55" t="e">
        <f t="shared" si="27"/>
        <v>#DIV/0!</v>
      </c>
      <c r="S217">
        <f t="shared" si="31"/>
        <v>1</v>
      </c>
    </row>
    <row r="218" spans="1:19" x14ac:dyDescent="0.3">
      <c r="A218" s="17">
        <v>45748</v>
      </c>
      <c r="B218">
        <v>453.3</v>
      </c>
      <c r="C218">
        <v>75.95</v>
      </c>
      <c r="D218">
        <f t="shared" si="28"/>
        <v>377.35</v>
      </c>
      <c r="E218">
        <v>0.23</v>
      </c>
      <c r="F218">
        <f t="shared" si="29"/>
        <v>-377.12</v>
      </c>
      <c r="I218">
        <f t="shared" si="24"/>
        <v>1</v>
      </c>
      <c r="J218">
        <v>1</v>
      </c>
      <c r="K218">
        <f t="shared" si="25"/>
        <v>4</v>
      </c>
      <c r="L218">
        <f t="shared" si="26"/>
        <v>2025</v>
      </c>
      <c r="N218" s="17">
        <f t="shared" si="30"/>
        <v>45748</v>
      </c>
      <c r="P218" s="17">
        <v>39569</v>
      </c>
      <c r="Q218" s="55" t="e">
        <f t="shared" si="27"/>
        <v>#DIV/0!</v>
      </c>
      <c r="S218">
        <f t="shared" si="31"/>
        <v>1</v>
      </c>
    </row>
    <row r="219" spans="1:19" x14ac:dyDescent="0.3">
      <c r="A219" s="17">
        <v>45744</v>
      </c>
      <c r="B219">
        <v>455.55</v>
      </c>
      <c r="C219">
        <v>75.849999999999994</v>
      </c>
      <c r="D219">
        <f t="shared" si="28"/>
        <v>379.70000000000005</v>
      </c>
      <c r="E219">
        <v>0.25</v>
      </c>
      <c r="F219">
        <f t="shared" si="29"/>
        <v>-379.45000000000005</v>
      </c>
      <c r="I219">
        <f t="shared" si="24"/>
        <v>28</v>
      </c>
      <c r="J219">
        <v>1</v>
      </c>
      <c r="K219">
        <f t="shared" si="25"/>
        <v>3</v>
      </c>
      <c r="L219">
        <f t="shared" si="26"/>
        <v>2025</v>
      </c>
      <c r="N219" s="17">
        <f t="shared" si="30"/>
        <v>45717</v>
      </c>
      <c r="P219" s="17">
        <v>39539</v>
      </c>
      <c r="Q219" s="55" t="e">
        <f t="shared" si="27"/>
        <v>#DIV/0!</v>
      </c>
      <c r="S219">
        <f t="shared" si="31"/>
        <v>0</v>
      </c>
    </row>
    <row r="220" spans="1:19" x14ac:dyDescent="0.3">
      <c r="A220" s="17">
        <v>45743</v>
      </c>
      <c r="B220">
        <v>455.31</v>
      </c>
      <c r="C220">
        <v>74.81</v>
      </c>
      <c r="D220">
        <f t="shared" si="28"/>
        <v>380.5</v>
      </c>
      <c r="E220">
        <v>0.15</v>
      </c>
      <c r="F220">
        <f t="shared" si="29"/>
        <v>-380.35</v>
      </c>
      <c r="I220">
        <f t="shared" si="24"/>
        <v>27</v>
      </c>
      <c r="J220">
        <v>1</v>
      </c>
      <c r="K220">
        <f t="shared" si="25"/>
        <v>3</v>
      </c>
      <c r="L220">
        <f t="shared" si="26"/>
        <v>2025</v>
      </c>
      <c r="N220" s="17">
        <f t="shared" si="30"/>
        <v>45717</v>
      </c>
      <c r="P220" s="17">
        <v>39508</v>
      </c>
      <c r="Q220" s="55" t="e">
        <f t="shared" si="27"/>
        <v>#DIV/0!</v>
      </c>
      <c r="S220">
        <f t="shared" si="31"/>
        <v>0</v>
      </c>
    </row>
    <row r="221" spans="1:19" x14ac:dyDescent="0.3">
      <c r="A221" s="17">
        <v>45742</v>
      </c>
      <c r="B221">
        <v>457.1</v>
      </c>
      <c r="C221">
        <v>74.680000000000007</v>
      </c>
      <c r="D221">
        <f t="shared" si="28"/>
        <v>382.42</v>
      </c>
      <c r="E221">
        <v>0.06</v>
      </c>
      <c r="F221">
        <f t="shared" si="29"/>
        <v>-382.36</v>
      </c>
      <c r="I221">
        <f t="shared" si="24"/>
        <v>26</v>
      </c>
      <c r="J221">
        <v>1</v>
      </c>
      <c r="K221">
        <f t="shared" si="25"/>
        <v>3</v>
      </c>
      <c r="L221">
        <f t="shared" si="26"/>
        <v>2025</v>
      </c>
      <c r="N221" s="17">
        <f t="shared" si="30"/>
        <v>45717</v>
      </c>
      <c r="P221" s="17">
        <v>39479</v>
      </c>
      <c r="Q221" s="55" t="e">
        <f t="shared" si="27"/>
        <v>#DIV/0!</v>
      </c>
      <c r="S221">
        <f t="shared" si="31"/>
        <v>0</v>
      </c>
    </row>
    <row r="222" spans="1:19" x14ac:dyDescent="0.3">
      <c r="A222" s="17">
        <v>45741</v>
      </c>
      <c r="B222">
        <v>459.16</v>
      </c>
      <c r="C222">
        <v>74.680000000000007</v>
      </c>
      <c r="D222">
        <f t="shared" si="28"/>
        <v>384.48</v>
      </c>
      <c r="E222">
        <v>0.05</v>
      </c>
      <c r="F222">
        <f t="shared" si="29"/>
        <v>-384.43</v>
      </c>
      <c r="I222">
        <f t="shared" si="24"/>
        <v>25</v>
      </c>
      <c r="J222">
        <v>1</v>
      </c>
      <c r="K222">
        <f t="shared" si="25"/>
        <v>3</v>
      </c>
      <c r="L222">
        <f t="shared" si="26"/>
        <v>2025</v>
      </c>
      <c r="N222" s="17">
        <f t="shared" si="30"/>
        <v>45717</v>
      </c>
      <c r="P222" s="17">
        <v>39448</v>
      </c>
      <c r="Q222" s="55" t="e">
        <f t="shared" si="27"/>
        <v>#DIV/0!</v>
      </c>
      <c r="S222">
        <f t="shared" si="31"/>
        <v>0</v>
      </c>
    </row>
    <row r="223" spans="1:19" x14ac:dyDescent="0.3">
      <c r="A223" s="17">
        <v>45740</v>
      </c>
      <c r="B223">
        <v>454.42</v>
      </c>
      <c r="C223">
        <v>73.45</v>
      </c>
      <c r="D223">
        <f t="shared" si="28"/>
        <v>380.97</v>
      </c>
      <c r="E223">
        <v>7.0000000000000007E-2</v>
      </c>
      <c r="F223">
        <f t="shared" si="29"/>
        <v>-380.90000000000003</v>
      </c>
      <c r="I223">
        <f t="shared" si="24"/>
        <v>24</v>
      </c>
      <c r="J223">
        <v>1</v>
      </c>
      <c r="K223">
        <f t="shared" si="25"/>
        <v>3</v>
      </c>
      <c r="L223">
        <f t="shared" si="26"/>
        <v>2025</v>
      </c>
      <c r="N223" s="17">
        <f t="shared" si="30"/>
        <v>45717</v>
      </c>
      <c r="P223" s="17">
        <v>39417</v>
      </c>
      <c r="Q223" s="55" t="e">
        <f t="shared" si="27"/>
        <v>#DIV/0!</v>
      </c>
      <c r="S223">
        <f t="shared" si="31"/>
        <v>0</v>
      </c>
    </row>
    <row r="224" spans="1:19" x14ac:dyDescent="0.3">
      <c r="A224" s="17">
        <v>45737</v>
      </c>
      <c r="B224">
        <v>454.63</v>
      </c>
      <c r="C224">
        <v>73.8</v>
      </c>
      <c r="D224">
        <f t="shared" si="28"/>
        <v>380.83</v>
      </c>
      <c r="E224">
        <v>0.1</v>
      </c>
      <c r="F224">
        <f t="shared" si="29"/>
        <v>-380.72999999999996</v>
      </c>
      <c r="I224">
        <f t="shared" si="24"/>
        <v>21</v>
      </c>
      <c r="J224">
        <v>1</v>
      </c>
      <c r="K224">
        <f t="shared" si="25"/>
        <v>3</v>
      </c>
      <c r="L224">
        <f t="shared" si="26"/>
        <v>2025</v>
      </c>
      <c r="N224" s="17">
        <f t="shared" si="30"/>
        <v>45717</v>
      </c>
      <c r="P224" s="17">
        <v>39387</v>
      </c>
      <c r="Q224" s="55" t="e">
        <f t="shared" si="27"/>
        <v>#DIV/0!</v>
      </c>
      <c r="S224">
        <f t="shared" si="31"/>
        <v>0</v>
      </c>
    </row>
    <row r="225" spans="1:19" x14ac:dyDescent="0.3">
      <c r="A225" s="17">
        <v>45736</v>
      </c>
      <c r="B225">
        <v>451.87</v>
      </c>
      <c r="C225">
        <v>72.924999999999997</v>
      </c>
      <c r="D225">
        <f t="shared" si="28"/>
        <v>378.94499999999999</v>
      </c>
      <c r="E225">
        <v>0.19</v>
      </c>
      <c r="F225">
        <f t="shared" si="29"/>
        <v>-378.755</v>
      </c>
      <c r="I225">
        <f t="shared" si="24"/>
        <v>20</v>
      </c>
      <c r="J225">
        <v>1</v>
      </c>
      <c r="K225">
        <f t="shared" si="25"/>
        <v>3</v>
      </c>
      <c r="L225">
        <f t="shared" si="26"/>
        <v>2025</v>
      </c>
      <c r="N225" s="17">
        <f t="shared" si="30"/>
        <v>45717</v>
      </c>
      <c r="P225" s="17">
        <v>39356</v>
      </c>
      <c r="Q225" s="55" t="e">
        <f t="shared" si="27"/>
        <v>#DIV/0!</v>
      </c>
      <c r="S225">
        <f t="shared" si="31"/>
        <v>0</v>
      </c>
    </row>
    <row r="226" spans="1:19" x14ac:dyDescent="0.3">
      <c r="A226" s="17">
        <v>45735</v>
      </c>
      <c r="B226">
        <v>444.83</v>
      </c>
      <c r="C226">
        <v>71.900000000000006</v>
      </c>
      <c r="D226">
        <f t="shared" si="28"/>
        <v>372.92999999999995</v>
      </c>
      <c r="E226">
        <v>0.25</v>
      </c>
      <c r="F226">
        <f t="shared" si="29"/>
        <v>-372.67999999999995</v>
      </c>
      <c r="I226">
        <f t="shared" si="24"/>
        <v>19</v>
      </c>
      <c r="J226">
        <v>1</v>
      </c>
      <c r="K226">
        <f t="shared" si="25"/>
        <v>3</v>
      </c>
      <c r="L226">
        <f t="shared" si="26"/>
        <v>2025</v>
      </c>
      <c r="N226" s="17">
        <f t="shared" si="30"/>
        <v>45717</v>
      </c>
      <c r="P226" s="17">
        <v>39326</v>
      </c>
      <c r="Q226" s="55" t="e">
        <f t="shared" si="27"/>
        <v>#DIV/0!</v>
      </c>
      <c r="S226">
        <f t="shared" si="31"/>
        <v>0</v>
      </c>
    </row>
    <row r="227" spans="1:19" x14ac:dyDescent="0.3">
      <c r="A227" s="17">
        <v>45734</v>
      </c>
      <c r="B227">
        <v>454.59</v>
      </c>
      <c r="C227">
        <v>73.05</v>
      </c>
      <c r="D227">
        <f t="shared" si="28"/>
        <v>381.53999999999996</v>
      </c>
      <c r="E227">
        <v>0.24</v>
      </c>
      <c r="F227">
        <f t="shared" si="29"/>
        <v>-381.29999999999995</v>
      </c>
      <c r="I227">
        <f t="shared" si="24"/>
        <v>18</v>
      </c>
      <c r="J227">
        <v>1</v>
      </c>
      <c r="K227">
        <f t="shared" si="25"/>
        <v>3</v>
      </c>
      <c r="L227">
        <f t="shared" si="26"/>
        <v>2025</v>
      </c>
      <c r="N227" s="17">
        <f t="shared" si="30"/>
        <v>45717</v>
      </c>
      <c r="P227" s="17">
        <v>39295</v>
      </c>
      <c r="Q227" s="55" t="e">
        <f t="shared" si="27"/>
        <v>#DIV/0!</v>
      </c>
      <c r="S227">
        <f t="shared" si="31"/>
        <v>0</v>
      </c>
    </row>
    <row r="228" spans="1:19" x14ac:dyDescent="0.3">
      <c r="A228" s="17">
        <v>45733</v>
      </c>
      <c r="B228">
        <v>456.26</v>
      </c>
      <c r="C228">
        <v>72.239999999999995</v>
      </c>
      <c r="D228">
        <f t="shared" si="28"/>
        <v>384.02</v>
      </c>
      <c r="E228">
        <v>0.28000000000000003</v>
      </c>
      <c r="F228">
        <f t="shared" si="29"/>
        <v>-383.74</v>
      </c>
      <c r="I228">
        <f t="shared" si="24"/>
        <v>17</v>
      </c>
      <c r="J228">
        <v>1</v>
      </c>
      <c r="K228">
        <f t="shared" si="25"/>
        <v>3</v>
      </c>
      <c r="L228">
        <f t="shared" si="26"/>
        <v>2025</v>
      </c>
      <c r="N228" s="17">
        <f t="shared" si="30"/>
        <v>45717</v>
      </c>
      <c r="P228" s="17">
        <v>39264</v>
      </c>
      <c r="Q228" s="55" t="e">
        <f t="shared" si="27"/>
        <v>#DIV/0!</v>
      </c>
      <c r="S228">
        <f t="shared" si="31"/>
        <v>0</v>
      </c>
    </row>
    <row r="229" spans="1:19" x14ac:dyDescent="0.3">
      <c r="A229" s="17">
        <v>45730</v>
      </c>
      <c r="B229">
        <v>458.3</v>
      </c>
      <c r="C229">
        <v>71.55</v>
      </c>
      <c r="D229">
        <f t="shared" si="28"/>
        <v>386.75</v>
      </c>
      <c r="E229">
        <v>0.24</v>
      </c>
      <c r="F229">
        <f t="shared" si="29"/>
        <v>-386.51</v>
      </c>
      <c r="I229">
        <f t="shared" si="24"/>
        <v>14</v>
      </c>
      <c r="J229">
        <v>1</v>
      </c>
      <c r="K229">
        <f t="shared" si="25"/>
        <v>3</v>
      </c>
      <c r="L229">
        <f t="shared" si="26"/>
        <v>2025</v>
      </c>
      <c r="N229" s="17">
        <f t="shared" si="30"/>
        <v>45717</v>
      </c>
      <c r="P229" s="17">
        <v>39234</v>
      </c>
      <c r="Q229" s="55" t="e">
        <f t="shared" si="27"/>
        <v>#DIV/0!</v>
      </c>
      <c r="S229">
        <f t="shared" si="31"/>
        <v>0</v>
      </c>
    </row>
    <row r="230" spans="1:19" x14ac:dyDescent="0.3">
      <c r="A230" s="17">
        <v>45729</v>
      </c>
      <c r="B230">
        <v>461.8</v>
      </c>
      <c r="C230">
        <v>72.06</v>
      </c>
      <c r="D230">
        <f t="shared" si="28"/>
        <v>389.74</v>
      </c>
      <c r="E230">
        <v>0.24</v>
      </c>
      <c r="F230">
        <f t="shared" si="29"/>
        <v>-389.5</v>
      </c>
      <c r="I230">
        <f t="shared" si="24"/>
        <v>13</v>
      </c>
      <c r="J230">
        <v>1</v>
      </c>
      <c r="K230">
        <f t="shared" si="25"/>
        <v>3</v>
      </c>
      <c r="L230">
        <f t="shared" si="26"/>
        <v>2025</v>
      </c>
      <c r="N230" s="17">
        <f t="shared" si="30"/>
        <v>45717</v>
      </c>
      <c r="P230" s="17">
        <v>39203</v>
      </c>
      <c r="Q230" s="55" t="e">
        <f t="shared" si="27"/>
        <v>#DIV/0!</v>
      </c>
      <c r="S230">
        <f t="shared" si="31"/>
        <v>0</v>
      </c>
    </row>
    <row r="231" spans="1:19" x14ac:dyDescent="0.3">
      <c r="A231" s="17">
        <v>45728</v>
      </c>
      <c r="B231">
        <v>457.22</v>
      </c>
      <c r="C231">
        <v>70.650000000000006</v>
      </c>
      <c r="D231">
        <f t="shared" si="28"/>
        <v>386.57000000000005</v>
      </c>
      <c r="E231">
        <v>0.53</v>
      </c>
      <c r="F231">
        <f t="shared" si="29"/>
        <v>-386.04000000000008</v>
      </c>
      <c r="I231">
        <f t="shared" si="24"/>
        <v>12</v>
      </c>
      <c r="J231">
        <v>1</v>
      </c>
      <c r="K231">
        <f t="shared" si="25"/>
        <v>3</v>
      </c>
      <c r="L231">
        <f t="shared" si="26"/>
        <v>2025</v>
      </c>
      <c r="N231" s="17">
        <f t="shared" si="30"/>
        <v>45717</v>
      </c>
      <c r="P231" s="17">
        <v>39173</v>
      </c>
      <c r="Q231" s="55" t="e">
        <f t="shared" si="27"/>
        <v>#DIV/0!</v>
      </c>
      <c r="S231">
        <f t="shared" si="31"/>
        <v>0</v>
      </c>
    </row>
    <row r="232" spans="1:19" x14ac:dyDescent="0.3">
      <c r="A232" s="17">
        <v>45727</v>
      </c>
      <c r="B232">
        <v>457.44</v>
      </c>
      <c r="C232">
        <v>70.510000000000005</v>
      </c>
      <c r="D232">
        <f t="shared" si="28"/>
        <v>386.93</v>
      </c>
      <c r="E232">
        <v>0.66</v>
      </c>
      <c r="F232">
        <f t="shared" si="29"/>
        <v>-386.27</v>
      </c>
      <c r="I232">
        <f t="shared" si="24"/>
        <v>11</v>
      </c>
      <c r="J232">
        <v>1</v>
      </c>
      <c r="K232">
        <f t="shared" si="25"/>
        <v>3</v>
      </c>
      <c r="L232">
        <f t="shared" si="26"/>
        <v>2025</v>
      </c>
      <c r="N232" s="17">
        <f t="shared" si="30"/>
        <v>45717</v>
      </c>
      <c r="P232" s="17">
        <v>39142</v>
      </c>
      <c r="Q232" s="55" t="e">
        <f t="shared" si="27"/>
        <v>#DIV/0!</v>
      </c>
      <c r="S232">
        <f t="shared" si="31"/>
        <v>0</v>
      </c>
    </row>
    <row r="233" spans="1:19" x14ac:dyDescent="0.3">
      <c r="A233" s="17">
        <v>45726</v>
      </c>
      <c r="B233">
        <v>468.32</v>
      </c>
      <c r="C233">
        <v>71.405000000000001</v>
      </c>
      <c r="D233">
        <f t="shared" si="28"/>
        <v>396.91499999999996</v>
      </c>
      <c r="E233">
        <v>0.68</v>
      </c>
      <c r="F233">
        <f t="shared" si="29"/>
        <v>-396.23499999999996</v>
      </c>
      <c r="I233">
        <f t="shared" si="24"/>
        <v>10</v>
      </c>
      <c r="J233">
        <v>1</v>
      </c>
      <c r="K233">
        <f t="shared" si="25"/>
        <v>3</v>
      </c>
      <c r="L233">
        <f t="shared" si="26"/>
        <v>2025</v>
      </c>
      <c r="N233" s="17">
        <f t="shared" si="30"/>
        <v>45717</v>
      </c>
      <c r="P233" s="17">
        <v>39114</v>
      </c>
      <c r="Q233" s="55" t="e">
        <f t="shared" si="27"/>
        <v>#DIV/0!</v>
      </c>
      <c r="S233">
        <f t="shared" si="31"/>
        <v>0</v>
      </c>
    </row>
    <row r="234" spans="1:19" x14ac:dyDescent="0.3">
      <c r="A234" s="17">
        <v>45723</v>
      </c>
      <c r="B234">
        <v>464.42</v>
      </c>
      <c r="C234">
        <v>70.849999999999994</v>
      </c>
      <c r="D234">
        <f t="shared" si="28"/>
        <v>393.57000000000005</v>
      </c>
      <c r="E234">
        <v>0.59</v>
      </c>
      <c r="F234">
        <f t="shared" si="29"/>
        <v>-392.98000000000008</v>
      </c>
      <c r="I234">
        <f t="shared" si="24"/>
        <v>7</v>
      </c>
      <c r="J234">
        <v>1</v>
      </c>
      <c r="K234">
        <f t="shared" si="25"/>
        <v>3</v>
      </c>
      <c r="L234">
        <f t="shared" si="26"/>
        <v>2025</v>
      </c>
      <c r="N234" s="17">
        <f t="shared" si="30"/>
        <v>45717</v>
      </c>
      <c r="P234" s="17">
        <v>39083</v>
      </c>
      <c r="Q234" s="55" t="e">
        <f t="shared" si="27"/>
        <v>#DIV/0!</v>
      </c>
      <c r="S234">
        <f t="shared" si="31"/>
        <v>0</v>
      </c>
    </row>
    <row r="235" spans="1:19" x14ac:dyDescent="0.3">
      <c r="A235" s="17">
        <v>45722</v>
      </c>
      <c r="B235">
        <v>453.46</v>
      </c>
      <c r="C235">
        <v>70.239999999999995</v>
      </c>
      <c r="D235">
        <f t="shared" si="28"/>
        <v>383.21999999999997</v>
      </c>
      <c r="E235">
        <v>0.57999999999999996</v>
      </c>
      <c r="F235">
        <f t="shared" si="29"/>
        <v>-382.64</v>
      </c>
      <c r="I235">
        <f t="shared" si="24"/>
        <v>6</v>
      </c>
      <c r="J235">
        <v>1</v>
      </c>
      <c r="K235">
        <f t="shared" si="25"/>
        <v>3</v>
      </c>
      <c r="L235">
        <f t="shared" si="26"/>
        <v>2025</v>
      </c>
      <c r="N235" s="17">
        <f t="shared" si="30"/>
        <v>45717</v>
      </c>
      <c r="P235" s="17">
        <v>39052</v>
      </c>
      <c r="Q235" s="55" t="e">
        <f t="shared" si="27"/>
        <v>#DIV/0!</v>
      </c>
      <c r="S235">
        <f t="shared" si="31"/>
        <v>0</v>
      </c>
    </row>
    <row r="236" spans="1:19" x14ac:dyDescent="0.3">
      <c r="A236" s="17">
        <v>45721</v>
      </c>
      <c r="B236">
        <v>445.39</v>
      </c>
      <c r="C236">
        <v>71.400000000000006</v>
      </c>
      <c r="D236">
        <f t="shared" si="28"/>
        <v>373.99</v>
      </c>
      <c r="E236">
        <v>0.55000000000000004</v>
      </c>
      <c r="F236">
        <f t="shared" si="29"/>
        <v>-373.44</v>
      </c>
      <c r="I236">
        <f t="shared" si="24"/>
        <v>5</v>
      </c>
      <c r="J236">
        <v>1</v>
      </c>
      <c r="K236">
        <f t="shared" si="25"/>
        <v>3</v>
      </c>
      <c r="L236">
        <f t="shared" si="26"/>
        <v>2025</v>
      </c>
      <c r="N236" s="17">
        <f t="shared" si="30"/>
        <v>45717</v>
      </c>
      <c r="P236" s="17">
        <v>39022</v>
      </c>
      <c r="Q236" s="55" t="e">
        <f t="shared" si="27"/>
        <v>#DIV/0!</v>
      </c>
      <c r="S236">
        <f t="shared" si="31"/>
        <v>0</v>
      </c>
    </row>
    <row r="237" spans="1:19" x14ac:dyDescent="0.3">
      <c r="A237" s="17">
        <v>45720</v>
      </c>
      <c r="B237">
        <v>447.99</v>
      </c>
      <c r="C237">
        <v>70.45</v>
      </c>
      <c r="D237">
        <f t="shared" si="28"/>
        <v>377.54</v>
      </c>
      <c r="E237">
        <v>0.45</v>
      </c>
      <c r="F237">
        <f t="shared" si="29"/>
        <v>-377.09000000000003</v>
      </c>
      <c r="I237">
        <f t="shared" si="24"/>
        <v>4</v>
      </c>
      <c r="J237">
        <v>1</v>
      </c>
      <c r="K237">
        <f t="shared" si="25"/>
        <v>3</v>
      </c>
      <c r="L237">
        <f t="shared" si="26"/>
        <v>2025</v>
      </c>
      <c r="N237" s="17">
        <f t="shared" si="30"/>
        <v>45717</v>
      </c>
      <c r="P237" s="17">
        <v>38991</v>
      </c>
      <c r="Q237" s="55" t="e">
        <f t="shared" si="27"/>
        <v>#DIV/0!</v>
      </c>
      <c r="S237">
        <f t="shared" si="31"/>
        <v>1</v>
      </c>
    </row>
    <row r="238" spans="1:19" x14ac:dyDescent="0.3">
      <c r="A238" s="17">
        <v>45719</v>
      </c>
      <c r="B238">
        <v>478.3</v>
      </c>
      <c r="C238">
        <v>73.25</v>
      </c>
      <c r="D238">
        <f t="shared" si="28"/>
        <v>405.05</v>
      </c>
      <c r="E238">
        <v>0.4</v>
      </c>
      <c r="F238">
        <f t="shared" si="29"/>
        <v>-404.65000000000003</v>
      </c>
      <c r="I238">
        <f t="shared" si="24"/>
        <v>3</v>
      </c>
      <c r="J238">
        <v>1</v>
      </c>
      <c r="K238">
        <f t="shared" si="25"/>
        <v>3</v>
      </c>
      <c r="L238">
        <f t="shared" si="26"/>
        <v>2025</v>
      </c>
      <c r="N238" s="17">
        <f t="shared" si="30"/>
        <v>45717</v>
      </c>
      <c r="P238" s="17">
        <v>38961</v>
      </c>
      <c r="Q238" s="55" t="e">
        <f t="shared" si="27"/>
        <v>#DIV/0!</v>
      </c>
      <c r="S238">
        <f t="shared" si="31"/>
        <v>1</v>
      </c>
    </row>
    <row r="239" spans="1:19" x14ac:dyDescent="0.3">
      <c r="A239" s="17">
        <v>45716</v>
      </c>
      <c r="B239">
        <v>475.15</v>
      </c>
      <c r="C239">
        <v>77.5</v>
      </c>
      <c r="D239">
        <f t="shared" si="28"/>
        <v>397.65</v>
      </c>
      <c r="E239">
        <v>0.35</v>
      </c>
      <c r="F239">
        <f t="shared" si="29"/>
        <v>-397.29999999999995</v>
      </c>
      <c r="I239">
        <f t="shared" si="24"/>
        <v>28</v>
      </c>
      <c r="J239">
        <v>1</v>
      </c>
      <c r="K239">
        <f t="shared" si="25"/>
        <v>2</v>
      </c>
      <c r="L239">
        <f t="shared" si="26"/>
        <v>2025</v>
      </c>
      <c r="N239" s="17">
        <f t="shared" si="30"/>
        <v>45689</v>
      </c>
      <c r="P239" s="17">
        <v>38930</v>
      </c>
      <c r="Q239" s="55" t="e">
        <f t="shared" si="27"/>
        <v>#DIV/0!</v>
      </c>
      <c r="S239">
        <f t="shared" si="31"/>
        <v>0</v>
      </c>
    </row>
    <row r="240" spans="1:19" x14ac:dyDescent="0.3">
      <c r="A240" s="17">
        <v>45715</v>
      </c>
      <c r="B240">
        <v>479.81</v>
      </c>
      <c r="C240">
        <v>76</v>
      </c>
      <c r="D240">
        <f t="shared" si="28"/>
        <v>403.81</v>
      </c>
      <c r="E240">
        <v>0.3</v>
      </c>
      <c r="F240">
        <f t="shared" si="29"/>
        <v>-403.51</v>
      </c>
      <c r="I240">
        <f t="shared" si="24"/>
        <v>27</v>
      </c>
      <c r="J240">
        <v>1</v>
      </c>
      <c r="K240">
        <f t="shared" si="25"/>
        <v>2</v>
      </c>
      <c r="L240">
        <f t="shared" si="26"/>
        <v>2025</v>
      </c>
      <c r="N240" s="17">
        <f t="shared" si="30"/>
        <v>45689</v>
      </c>
      <c r="P240" s="17">
        <v>38899</v>
      </c>
      <c r="Q240" s="55" t="e">
        <f t="shared" si="27"/>
        <v>#DIV/0!</v>
      </c>
      <c r="S240">
        <f t="shared" si="31"/>
        <v>0</v>
      </c>
    </row>
    <row r="241" spans="1:19" x14ac:dyDescent="0.3">
      <c r="A241" s="17">
        <v>45714</v>
      </c>
      <c r="B241">
        <v>470.63</v>
      </c>
      <c r="C241">
        <v>76.290000000000006</v>
      </c>
      <c r="D241">
        <f t="shared" si="28"/>
        <v>394.34</v>
      </c>
      <c r="E241">
        <v>0.24</v>
      </c>
      <c r="F241">
        <f t="shared" si="29"/>
        <v>-394.09999999999997</v>
      </c>
      <c r="I241">
        <f t="shared" si="24"/>
        <v>26</v>
      </c>
      <c r="J241">
        <v>1</v>
      </c>
      <c r="K241">
        <f t="shared" si="25"/>
        <v>2</v>
      </c>
      <c r="L241">
        <f t="shared" si="26"/>
        <v>2025</v>
      </c>
      <c r="N241" s="17">
        <f t="shared" si="30"/>
        <v>45689</v>
      </c>
      <c r="P241" s="17">
        <v>38869</v>
      </c>
      <c r="Q241" s="55" t="e">
        <f t="shared" si="27"/>
        <v>#DIV/0!</v>
      </c>
      <c r="S241">
        <f t="shared" si="31"/>
        <v>0</v>
      </c>
    </row>
    <row r="242" spans="1:19" x14ac:dyDescent="0.3">
      <c r="A242" s="17">
        <v>45713</v>
      </c>
      <c r="B242">
        <v>481.88</v>
      </c>
      <c r="C242">
        <v>77.795000000000002</v>
      </c>
      <c r="D242">
        <f t="shared" si="28"/>
        <v>404.08499999999998</v>
      </c>
      <c r="E242">
        <v>0.13</v>
      </c>
      <c r="F242">
        <f t="shared" si="29"/>
        <v>-403.95499999999998</v>
      </c>
      <c r="I242">
        <f t="shared" si="24"/>
        <v>25</v>
      </c>
      <c r="J242">
        <v>1</v>
      </c>
      <c r="K242">
        <f t="shared" si="25"/>
        <v>2</v>
      </c>
      <c r="L242">
        <f t="shared" si="26"/>
        <v>2025</v>
      </c>
      <c r="N242" s="17">
        <f t="shared" si="30"/>
        <v>45689</v>
      </c>
      <c r="P242" s="17">
        <v>38838</v>
      </c>
      <c r="Q242" s="55" t="e">
        <f t="shared" si="27"/>
        <v>#DIV/0!</v>
      </c>
      <c r="S242">
        <f t="shared" si="31"/>
        <v>0</v>
      </c>
    </row>
    <row r="243" spans="1:19" x14ac:dyDescent="0.3">
      <c r="A243" s="17">
        <v>45712</v>
      </c>
      <c r="B243">
        <v>480.62</v>
      </c>
      <c r="C243">
        <v>77</v>
      </c>
      <c r="D243">
        <f t="shared" si="28"/>
        <v>403.62</v>
      </c>
      <c r="E243">
        <v>0.31</v>
      </c>
      <c r="F243">
        <f t="shared" si="29"/>
        <v>-403.31</v>
      </c>
      <c r="I243">
        <f t="shared" si="24"/>
        <v>24</v>
      </c>
      <c r="J243">
        <v>1</v>
      </c>
      <c r="K243">
        <f t="shared" si="25"/>
        <v>2</v>
      </c>
      <c r="L243">
        <f t="shared" si="26"/>
        <v>2025</v>
      </c>
      <c r="N243" s="17">
        <f t="shared" si="30"/>
        <v>45689</v>
      </c>
      <c r="P243" s="17">
        <v>38808</v>
      </c>
      <c r="Q243" s="55" t="e">
        <f t="shared" si="27"/>
        <v>#DIV/0!</v>
      </c>
      <c r="S243">
        <f t="shared" si="31"/>
        <v>0</v>
      </c>
    </row>
    <row r="244" spans="1:19" x14ac:dyDescent="0.3">
      <c r="A244" s="17">
        <v>45709</v>
      </c>
      <c r="B244">
        <v>491.67</v>
      </c>
      <c r="C244">
        <v>78.84</v>
      </c>
      <c r="D244">
        <f t="shared" si="28"/>
        <v>412.83000000000004</v>
      </c>
      <c r="E244">
        <v>0.33</v>
      </c>
      <c r="F244">
        <f t="shared" si="29"/>
        <v>-412.50000000000006</v>
      </c>
      <c r="I244">
        <f t="shared" si="24"/>
        <v>21</v>
      </c>
      <c r="J244">
        <v>1</v>
      </c>
      <c r="K244">
        <f t="shared" si="25"/>
        <v>2</v>
      </c>
      <c r="L244">
        <f t="shared" si="26"/>
        <v>2025</v>
      </c>
      <c r="N244" s="17">
        <f t="shared" si="30"/>
        <v>45689</v>
      </c>
      <c r="P244" s="17">
        <v>38777</v>
      </c>
      <c r="Q244" s="55" t="e">
        <f t="shared" si="27"/>
        <v>#DIV/0!</v>
      </c>
      <c r="S244">
        <f t="shared" si="31"/>
        <v>0</v>
      </c>
    </row>
    <row r="245" spans="1:19" x14ac:dyDescent="0.3">
      <c r="A245" s="17">
        <v>45708</v>
      </c>
      <c r="B245">
        <v>490.17</v>
      </c>
      <c r="C245">
        <v>78.944999999999993</v>
      </c>
      <c r="D245">
        <f t="shared" si="28"/>
        <v>411.22500000000002</v>
      </c>
      <c r="E245">
        <v>0.34</v>
      </c>
      <c r="F245">
        <f t="shared" si="29"/>
        <v>-410.88500000000005</v>
      </c>
      <c r="I245">
        <f t="shared" si="24"/>
        <v>20</v>
      </c>
      <c r="J245">
        <v>1</v>
      </c>
      <c r="K245">
        <f t="shared" si="25"/>
        <v>2</v>
      </c>
      <c r="L245">
        <f t="shared" si="26"/>
        <v>2025</v>
      </c>
      <c r="N245" s="17">
        <f t="shared" si="30"/>
        <v>45689</v>
      </c>
      <c r="P245" s="17">
        <v>38749</v>
      </c>
      <c r="Q245" s="55" t="e">
        <f t="shared" si="27"/>
        <v>#DIV/0!</v>
      </c>
      <c r="S245">
        <f t="shared" si="31"/>
        <v>0</v>
      </c>
    </row>
    <row r="246" spans="1:19" x14ac:dyDescent="0.3">
      <c r="A246" s="17">
        <v>45707</v>
      </c>
      <c r="B246">
        <v>485.82</v>
      </c>
      <c r="C246">
        <v>79.39</v>
      </c>
      <c r="D246">
        <f t="shared" si="28"/>
        <v>406.43</v>
      </c>
      <c r="E246">
        <v>0.35</v>
      </c>
      <c r="F246">
        <f t="shared" si="29"/>
        <v>-406.08</v>
      </c>
      <c r="I246">
        <f t="shared" si="24"/>
        <v>19</v>
      </c>
      <c r="J246">
        <v>1</v>
      </c>
      <c r="K246">
        <f t="shared" si="25"/>
        <v>2</v>
      </c>
      <c r="L246">
        <f t="shared" si="26"/>
        <v>2025</v>
      </c>
      <c r="N246" s="17">
        <f t="shared" si="30"/>
        <v>45689</v>
      </c>
      <c r="P246" s="17">
        <v>38718</v>
      </c>
      <c r="Q246" s="55" t="e">
        <f t="shared" si="27"/>
        <v>#DIV/0!</v>
      </c>
      <c r="S246">
        <f t="shared" si="31"/>
        <v>0</v>
      </c>
    </row>
    <row r="247" spans="1:19" x14ac:dyDescent="0.3">
      <c r="A247" s="17">
        <v>45706</v>
      </c>
      <c r="B247">
        <v>480.77</v>
      </c>
      <c r="C247">
        <v>77.89</v>
      </c>
      <c r="D247">
        <f t="shared" si="28"/>
        <v>402.88</v>
      </c>
      <c r="E247">
        <v>0.34</v>
      </c>
      <c r="F247">
        <f t="shared" si="29"/>
        <v>-402.54</v>
      </c>
      <c r="I247">
        <f t="shared" si="24"/>
        <v>18</v>
      </c>
      <c r="J247">
        <v>1</v>
      </c>
      <c r="K247">
        <f t="shared" si="25"/>
        <v>2</v>
      </c>
      <c r="L247">
        <f t="shared" si="26"/>
        <v>2025</v>
      </c>
      <c r="N247" s="17">
        <f t="shared" si="30"/>
        <v>45689</v>
      </c>
      <c r="P247" s="17">
        <v>38687</v>
      </c>
      <c r="Q247" s="55" t="e">
        <f t="shared" si="27"/>
        <v>#DIV/0!</v>
      </c>
      <c r="S247">
        <f t="shared" si="31"/>
        <v>0</v>
      </c>
    </row>
    <row r="248" spans="1:19" x14ac:dyDescent="0.3">
      <c r="A248" s="17">
        <v>45705</v>
      </c>
      <c r="B248">
        <v>476.47</v>
      </c>
      <c r="C248">
        <v>77.55</v>
      </c>
      <c r="D248">
        <f t="shared" si="28"/>
        <v>398.92</v>
      </c>
      <c r="E248">
        <v>0.28999999999999998</v>
      </c>
      <c r="F248">
        <f t="shared" si="29"/>
        <v>-398.63</v>
      </c>
      <c r="I248">
        <f t="shared" si="24"/>
        <v>17</v>
      </c>
      <c r="J248">
        <v>1</v>
      </c>
      <c r="K248">
        <f t="shared" si="25"/>
        <v>2</v>
      </c>
      <c r="L248">
        <f t="shared" si="26"/>
        <v>2025</v>
      </c>
      <c r="N248" s="17">
        <f t="shared" si="30"/>
        <v>45689</v>
      </c>
      <c r="P248" s="17">
        <v>38657</v>
      </c>
      <c r="Q248" s="55" t="e">
        <f t="shared" si="27"/>
        <v>#DIV/0!</v>
      </c>
      <c r="S248">
        <f t="shared" si="31"/>
        <v>0</v>
      </c>
    </row>
    <row r="249" spans="1:19" x14ac:dyDescent="0.3">
      <c r="A249" s="17">
        <v>45702</v>
      </c>
      <c r="B249">
        <v>483.94</v>
      </c>
      <c r="C249">
        <v>77.75</v>
      </c>
      <c r="D249">
        <f t="shared" si="28"/>
        <v>406.19</v>
      </c>
      <c r="E249">
        <v>0.3</v>
      </c>
      <c r="F249">
        <f t="shared" si="29"/>
        <v>-405.89</v>
      </c>
      <c r="I249">
        <f t="shared" si="24"/>
        <v>14</v>
      </c>
      <c r="J249">
        <v>1</v>
      </c>
      <c r="K249">
        <f t="shared" si="25"/>
        <v>2</v>
      </c>
      <c r="L249">
        <f t="shared" si="26"/>
        <v>2025</v>
      </c>
      <c r="N249" s="17">
        <f t="shared" si="30"/>
        <v>45689</v>
      </c>
      <c r="P249" s="17">
        <v>38626</v>
      </c>
      <c r="Q249" s="55" t="e">
        <f t="shared" si="27"/>
        <v>#DIV/0!</v>
      </c>
      <c r="S249">
        <f t="shared" si="31"/>
        <v>0</v>
      </c>
    </row>
    <row r="250" spans="1:19" x14ac:dyDescent="0.3">
      <c r="A250" s="17">
        <v>45701</v>
      </c>
      <c r="B250">
        <v>483.62</v>
      </c>
      <c r="C250">
        <v>76.989999999999995</v>
      </c>
      <c r="D250">
        <f t="shared" si="28"/>
        <v>406.63</v>
      </c>
      <c r="E250">
        <v>0.26</v>
      </c>
      <c r="F250">
        <f t="shared" si="29"/>
        <v>-406.37</v>
      </c>
      <c r="I250">
        <f t="shared" si="24"/>
        <v>13</v>
      </c>
      <c r="J250">
        <v>1</v>
      </c>
      <c r="K250">
        <f t="shared" si="25"/>
        <v>2</v>
      </c>
      <c r="L250">
        <f t="shared" si="26"/>
        <v>2025</v>
      </c>
      <c r="N250" s="17">
        <f t="shared" si="30"/>
        <v>45689</v>
      </c>
      <c r="P250" s="17">
        <v>38596</v>
      </c>
      <c r="Q250" s="55" t="e">
        <f t="shared" si="27"/>
        <v>#DIV/0!</v>
      </c>
      <c r="S250">
        <f t="shared" si="31"/>
        <v>0</v>
      </c>
    </row>
    <row r="251" spans="1:19" x14ac:dyDescent="0.3">
      <c r="A251" s="17">
        <v>45700</v>
      </c>
      <c r="B251">
        <v>496.25</v>
      </c>
      <c r="C251">
        <v>79.040000000000006</v>
      </c>
      <c r="D251">
        <f t="shared" si="28"/>
        <v>417.21</v>
      </c>
      <c r="E251">
        <v>0.23</v>
      </c>
      <c r="F251">
        <f t="shared" si="29"/>
        <v>-416.97999999999996</v>
      </c>
      <c r="I251">
        <f t="shared" si="24"/>
        <v>12</v>
      </c>
      <c r="J251">
        <v>1</v>
      </c>
      <c r="K251">
        <f t="shared" si="25"/>
        <v>2</v>
      </c>
      <c r="L251">
        <f t="shared" si="26"/>
        <v>2025</v>
      </c>
      <c r="N251" s="17">
        <f t="shared" si="30"/>
        <v>45689</v>
      </c>
      <c r="P251" s="17">
        <v>38565</v>
      </c>
      <c r="Q251" s="55" t="e">
        <f t="shared" si="27"/>
        <v>#DIV/0!</v>
      </c>
      <c r="S251">
        <f t="shared" si="31"/>
        <v>0</v>
      </c>
    </row>
    <row r="252" spans="1:19" x14ac:dyDescent="0.3">
      <c r="A252" s="17">
        <v>45699</v>
      </c>
      <c r="B252">
        <v>500.5</v>
      </c>
      <c r="C252">
        <v>79.290000000000006</v>
      </c>
      <c r="D252">
        <f t="shared" si="28"/>
        <v>421.21</v>
      </c>
      <c r="E252">
        <v>0.01</v>
      </c>
      <c r="F252">
        <f t="shared" si="29"/>
        <v>-421.2</v>
      </c>
      <c r="I252">
        <f t="shared" si="24"/>
        <v>11</v>
      </c>
      <c r="J252">
        <v>1</v>
      </c>
      <c r="K252">
        <f t="shared" si="25"/>
        <v>2</v>
      </c>
      <c r="L252">
        <f t="shared" si="26"/>
        <v>2025</v>
      </c>
      <c r="N252" s="17">
        <f t="shared" si="30"/>
        <v>45689</v>
      </c>
      <c r="P252" s="17">
        <v>38534</v>
      </c>
      <c r="Q252" s="55" t="e">
        <f t="shared" si="27"/>
        <v>#DIV/0!</v>
      </c>
      <c r="S252">
        <f t="shared" si="31"/>
        <v>0</v>
      </c>
    </row>
    <row r="253" spans="1:19" x14ac:dyDescent="0.3">
      <c r="A253" s="17">
        <v>45698</v>
      </c>
      <c r="B253">
        <v>490.63</v>
      </c>
      <c r="C253">
        <v>77.989999999999995</v>
      </c>
      <c r="D253">
        <f t="shared" si="28"/>
        <v>412.64</v>
      </c>
      <c r="E253">
        <v>-0.03</v>
      </c>
      <c r="F253">
        <f t="shared" si="29"/>
        <v>-412.66999999999996</v>
      </c>
      <c r="I253">
        <f t="shared" si="24"/>
        <v>10</v>
      </c>
      <c r="J253">
        <v>1</v>
      </c>
      <c r="K253">
        <f t="shared" si="25"/>
        <v>2</v>
      </c>
      <c r="L253">
        <f t="shared" si="26"/>
        <v>2025</v>
      </c>
      <c r="N253" s="17">
        <f t="shared" si="30"/>
        <v>45689</v>
      </c>
      <c r="P253" s="17">
        <v>38504</v>
      </c>
      <c r="Q253" s="55" t="e">
        <f t="shared" si="27"/>
        <v>#DIV/0!</v>
      </c>
      <c r="S253">
        <f t="shared" si="31"/>
        <v>0</v>
      </c>
    </row>
    <row r="254" spans="1:19" x14ac:dyDescent="0.3">
      <c r="A254" s="17">
        <v>45695</v>
      </c>
      <c r="B254">
        <v>487.62</v>
      </c>
      <c r="C254">
        <v>77.790000000000006</v>
      </c>
      <c r="D254">
        <f t="shared" si="28"/>
        <v>409.83</v>
      </c>
      <c r="E254">
        <v>0.01</v>
      </c>
      <c r="F254">
        <f t="shared" si="29"/>
        <v>-409.82</v>
      </c>
      <c r="I254">
        <f t="shared" si="24"/>
        <v>7</v>
      </c>
      <c r="J254">
        <v>1</v>
      </c>
      <c r="K254">
        <f t="shared" si="25"/>
        <v>2</v>
      </c>
      <c r="L254">
        <f t="shared" si="26"/>
        <v>2025</v>
      </c>
      <c r="N254" s="17">
        <f t="shared" si="30"/>
        <v>45689</v>
      </c>
      <c r="P254" s="17">
        <v>38473</v>
      </c>
      <c r="Q254" s="55" t="e">
        <f t="shared" si="27"/>
        <v>#DIV/0!</v>
      </c>
      <c r="S254">
        <f t="shared" si="31"/>
        <v>0</v>
      </c>
    </row>
    <row r="255" spans="1:19" x14ac:dyDescent="0.3">
      <c r="A255" s="17">
        <v>45694</v>
      </c>
      <c r="B255">
        <v>479.28</v>
      </c>
      <c r="C255">
        <v>77.44</v>
      </c>
      <c r="D255">
        <f t="shared" si="28"/>
        <v>401.84</v>
      </c>
      <c r="E255">
        <v>0.11</v>
      </c>
      <c r="F255">
        <f t="shared" si="29"/>
        <v>-401.72999999999996</v>
      </c>
      <c r="I255">
        <f t="shared" si="24"/>
        <v>6</v>
      </c>
      <c r="J255">
        <v>1</v>
      </c>
      <c r="K255">
        <f t="shared" si="25"/>
        <v>2</v>
      </c>
      <c r="L255">
        <f t="shared" si="26"/>
        <v>2025</v>
      </c>
      <c r="N255" s="17">
        <f t="shared" si="30"/>
        <v>45689</v>
      </c>
      <c r="P255" s="17">
        <v>38443</v>
      </c>
      <c r="Q255" s="55" t="e">
        <f t="shared" si="27"/>
        <v>#DIV/0!</v>
      </c>
      <c r="S255">
        <f t="shared" si="31"/>
        <v>0</v>
      </c>
    </row>
    <row r="256" spans="1:19" x14ac:dyDescent="0.3">
      <c r="A256" s="17">
        <v>45693</v>
      </c>
      <c r="B256">
        <v>484.83</v>
      </c>
      <c r="C256">
        <v>78.41</v>
      </c>
      <c r="D256">
        <f t="shared" si="28"/>
        <v>406.41999999999996</v>
      </c>
      <c r="E256">
        <v>0.12</v>
      </c>
      <c r="F256">
        <f t="shared" si="29"/>
        <v>-406.29999999999995</v>
      </c>
      <c r="I256">
        <f t="shared" si="24"/>
        <v>5</v>
      </c>
      <c r="J256">
        <v>1</v>
      </c>
      <c r="K256">
        <f t="shared" si="25"/>
        <v>2</v>
      </c>
      <c r="L256">
        <f t="shared" si="26"/>
        <v>2025</v>
      </c>
      <c r="N256" s="17">
        <f t="shared" si="30"/>
        <v>45689</v>
      </c>
      <c r="P256" s="17">
        <v>38412</v>
      </c>
      <c r="Q256" s="55" t="e">
        <f t="shared" si="27"/>
        <v>#DIV/0!</v>
      </c>
      <c r="S256">
        <f t="shared" si="31"/>
        <v>0</v>
      </c>
    </row>
    <row r="257" spans="1:19" x14ac:dyDescent="0.3">
      <c r="A257" s="17">
        <v>45692</v>
      </c>
      <c r="B257">
        <v>471.53</v>
      </c>
      <c r="C257">
        <v>77.444999999999993</v>
      </c>
      <c r="D257">
        <f t="shared" si="28"/>
        <v>394.08499999999998</v>
      </c>
      <c r="E257">
        <v>0.2</v>
      </c>
      <c r="F257">
        <f t="shared" si="29"/>
        <v>-393.88499999999999</v>
      </c>
      <c r="I257">
        <f t="shared" si="24"/>
        <v>4</v>
      </c>
      <c r="J257">
        <v>1</v>
      </c>
      <c r="K257">
        <f t="shared" si="25"/>
        <v>2</v>
      </c>
      <c r="L257">
        <f t="shared" si="26"/>
        <v>2025</v>
      </c>
      <c r="N257" s="17">
        <f t="shared" si="30"/>
        <v>45689</v>
      </c>
      <c r="P257" s="17">
        <v>38384</v>
      </c>
      <c r="Q257" s="55" t="e">
        <f t="shared" si="27"/>
        <v>#DIV/0!</v>
      </c>
      <c r="S257">
        <f t="shared" si="31"/>
        <v>1</v>
      </c>
    </row>
    <row r="258" spans="1:19" x14ac:dyDescent="0.3">
      <c r="A258" s="17">
        <v>45691</v>
      </c>
      <c r="B258">
        <v>482.48</v>
      </c>
      <c r="C258">
        <v>79.06</v>
      </c>
      <c r="D258">
        <f t="shared" si="28"/>
        <v>403.42</v>
      </c>
      <c r="E258">
        <v>0.32</v>
      </c>
      <c r="F258">
        <f t="shared" si="29"/>
        <v>-403.1</v>
      </c>
      <c r="I258">
        <f t="shared" si="24"/>
        <v>3</v>
      </c>
      <c r="J258">
        <v>1</v>
      </c>
      <c r="K258">
        <f t="shared" si="25"/>
        <v>2</v>
      </c>
      <c r="L258">
        <f t="shared" si="26"/>
        <v>2025</v>
      </c>
      <c r="N258" s="17">
        <f t="shared" si="30"/>
        <v>45689</v>
      </c>
      <c r="P258" s="17">
        <v>38353</v>
      </c>
      <c r="Q258" s="55" t="e">
        <f t="shared" si="27"/>
        <v>#DIV/0!</v>
      </c>
      <c r="S258">
        <f t="shared" si="31"/>
        <v>1</v>
      </c>
    </row>
    <row r="259" spans="1:19" x14ac:dyDescent="0.3">
      <c r="A259" s="17">
        <v>45688</v>
      </c>
      <c r="B259">
        <v>483.82</v>
      </c>
      <c r="C259">
        <v>79.894999999999996</v>
      </c>
      <c r="D259">
        <f t="shared" si="28"/>
        <v>403.92500000000001</v>
      </c>
      <c r="E259">
        <v>0.67</v>
      </c>
      <c r="F259">
        <f t="shared" si="29"/>
        <v>-403.255</v>
      </c>
      <c r="I259">
        <f t="shared" si="24"/>
        <v>31</v>
      </c>
      <c r="J259">
        <v>1</v>
      </c>
      <c r="K259">
        <f t="shared" si="25"/>
        <v>1</v>
      </c>
      <c r="L259">
        <f t="shared" si="26"/>
        <v>2025</v>
      </c>
      <c r="N259" s="17">
        <f t="shared" si="30"/>
        <v>45658</v>
      </c>
      <c r="P259" s="17">
        <v>38322</v>
      </c>
      <c r="Q259" s="55" t="e">
        <f t="shared" si="27"/>
        <v>#DIV/0!</v>
      </c>
      <c r="S259">
        <f t="shared" si="31"/>
        <v>0</v>
      </c>
    </row>
    <row r="260" spans="1:19" x14ac:dyDescent="0.3">
      <c r="A260" s="17">
        <v>45685</v>
      </c>
      <c r="B260">
        <v>480.32</v>
      </c>
      <c r="C260">
        <v>81.25</v>
      </c>
      <c r="D260">
        <f t="shared" si="28"/>
        <v>399.07</v>
      </c>
      <c r="E260">
        <v>0.66</v>
      </c>
      <c r="F260">
        <f t="shared" si="29"/>
        <v>-398.40999999999997</v>
      </c>
      <c r="I260">
        <f t="shared" si="24"/>
        <v>28</v>
      </c>
      <c r="J260">
        <v>1</v>
      </c>
      <c r="K260">
        <f t="shared" si="25"/>
        <v>1</v>
      </c>
      <c r="L260">
        <f t="shared" si="26"/>
        <v>2025</v>
      </c>
      <c r="N260" s="17">
        <f t="shared" si="30"/>
        <v>45658</v>
      </c>
      <c r="P260" s="17">
        <v>38292</v>
      </c>
      <c r="Q260" s="55" t="e">
        <f t="shared" si="27"/>
        <v>#DIV/0!</v>
      </c>
      <c r="S260">
        <f t="shared" si="31"/>
        <v>0</v>
      </c>
    </row>
    <row r="261" spans="1:19" x14ac:dyDescent="0.3">
      <c r="A261" s="17">
        <v>45684</v>
      </c>
      <c r="B261">
        <v>481.98</v>
      </c>
      <c r="C261">
        <v>81.58</v>
      </c>
      <c r="D261">
        <f t="shared" si="28"/>
        <v>400.40000000000003</v>
      </c>
      <c r="E261">
        <v>0.71</v>
      </c>
      <c r="F261">
        <f t="shared" si="29"/>
        <v>-399.69000000000005</v>
      </c>
      <c r="I261">
        <f t="shared" ref="I261:I324" si="32">+DAY(A261)</f>
        <v>27</v>
      </c>
      <c r="J261">
        <v>1</v>
      </c>
      <c r="K261">
        <f t="shared" ref="K261:K324" si="33">+MONTH(A261)</f>
        <v>1</v>
      </c>
      <c r="L261">
        <f t="shared" ref="L261:L324" si="34">+YEAR(A261)</f>
        <v>2025</v>
      </c>
      <c r="N261" s="17">
        <f t="shared" si="30"/>
        <v>45658</v>
      </c>
      <c r="P261" s="17">
        <v>38261</v>
      </c>
      <c r="Q261" s="55" t="e">
        <f t="shared" ref="Q261:Q324" si="35">+AVERAGEIFS($F$5:$F$3568,$N$5:$N$3568,$P261,$S$5:$S$3568,1)</f>
        <v>#DIV/0!</v>
      </c>
      <c r="S261">
        <f t="shared" si="31"/>
        <v>0</v>
      </c>
    </row>
    <row r="262" spans="1:19" x14ac:dyDescent="0.3">
      <c r="A262" s="17">
        <v>45681</v>
      </c>
      <c r="B262">
        <v>488.99</v>
      </c>
      <c r="C262">
        <v>81.84</v>
      </c>
      <c r="D262">
        <f t="shared" ref="D262:D325" si="36">+B262-C262</f>
        <v>407.15</v>
      </c>
      <c r="E262">
        <v>0.86</v>
      </c>
      <c r="F262">
        <f t="shared" ref="F262:F325" si="37">+E262-D262</f>
        <v>-406.28999999999996</v>
      </c>
      <c r="I262">
        <f t="shared" si="32"/>
        <v>24</v>
      </c>
      <c r="J262">
        <v>1</v>
      </c>
      <c r="K262">
        <f t="shared" si="33"/>
        <v>1</v>
      </c>
      <c r="L262">
        <f t="shared" si="34"/>
        <v>2025</v>
      </c>
      <c r="N262" s="17">
        <f t="shared" ref="N262:N325" si="38">+DATE(L262,K262,J262)</f>
        <v>45658</v>
      </c>
      <c r="P262" s="17">
        <v>38231</v>
      </c>
      <c r="Q262" s="55" t="e">
        <f t="shared" si="35"/>
        <v>#DIV/0!</v>
      </c>
      <c r="S262">
        <f t="shared" ref="S262:S325" si="39">IF(AND(I262&gt;=1, I262&lt;=4), 1, 0)</f>
        <v>0</v>
      </c>
    </row>
    <row r="263" spans="1:19" x14ac:dyDescent="0.3">
      <c r="A263" s="17">
        <v>45680</v>
      </c>
      <c r="B263">
        <v>488.19</v>
      </c>
      <c r="C263">
        <v>82.12</v>
      </c>
      <c r="D263">
        <f t="shared" si="36"/>
        <v>406.07</v>
      </c>
      <c r="E263">
        <v>0.92</v>
      </c>
      <c r="F263">
        <f t="shared" si="37"/>
        <v>-405.15</v>
      </c>
      <c r="I263">
        <f t="shared" si="32"/>
        <v>23</v>
      </c>
      <c r="J263">
        <v>1</v>
      </c>
      <c r="K263">
        <f t="shared" si="33"/>
        <v>1</v>
      </c>
      <c r="L263">
        <f t="shared" si="34"/>
        <v>2025</v>
      </c>
      <c r="N263" s="17">
        <f t="shared" si="38"/>
        <v>45658</v>
      </c>
      <c r="P263" s="17">
        <v>38200</v>
      </c>
      <c r="Q263" s="55" t="e">
        <f t="shared" si="35"/>
        <v>#DIV/0!</v>
      </c>
      <c r="S263">
        <f t="shared" si="39"/>
        <v>0</v>
      </c>
    </row>
    <row r="264" spans="1:19" x14ac:dyDescent="0.3">
      <c r="A264" s="17">
        <v>45679</v>
      </c>
      <c r="B264">
        <v>487.05</v>
      </c>
      <c r="C264">
        <v>82.2</v>
      </c>
      <c r="D264">
        <f t="shared" si="36"/>
        <v>404.85</v>
      </c>
      <c r="E264">
        <v>1</v>
      </c>
      <c r="F264">
        <f t="shared" si="37"/>
        <v>-403.85</v>
      </c>
      <c r="I264">
        <f t="shared" si="32"/>
        <v>22</v>
      </c>
      <c r="J264">
        <v>1</v>
      </c>
      <c r="K264">
        <f t="shared" si="33"/>
        <v>1</v>
      </c>
      <c r="L264">
        <f t="shared" si="34"/>
        <v>2025</v>
      </c>
      <c r="N264" s="17">
        <f t="shared" si="38"/>
        <v>45658</v>
      </c>
      <c r="P264" s="17">
        <v>38169</v>
      </c>
      <c r="Q264" s="55" t="e">
        <f t="shared" si="35"/>
        <v>#DIV/0!</v>
      </c>
      <c r="S264">
        <f t="shared" si="39"/>
        <v>0</v>
      </c>
    </row>
    <row r="265" spans="1:19" x14ac:dyDescent="0.3">
      <c r="A265" s="17">
        <v>45678</v>
      </c>
      <c r="B265">
        <v>493.85</v>
      </c>
      <c r="C265">
        <v>83.07</v>
      </c>
      <c r="D265">
        <f t="shared" si="36"/>
        <v>410.78000000000003</v>
      </c>
      <c r="E265">
        <v>1.05</v>
      </c>
      <c r="F265">
        <f t="shared" si="37"/>
        <v>-409.73</v>
      </c>
      <c r="I265">
        <f t="shared" si="32"/>
        <v>21</v>
      </c>
      <c r="J265">
        <v>1</v>
      </c>
      <c r="K265">
        <f t="shared" si="33"/>
        <v>1</v>
      </c>
      <c r="L265">
        <f t="shared" si="34"/>
        <v>2025</v>
      </c>
      <c r="N265" s="17">
        <f t="shared" si="38"/>
        <v>45658</v>
      </c>
      <c r="P265" s="17">
        <v>38139</v>
      </c>
      <c r="Q265" s="55" t="e">
        <f t="shared" si="35"/>
        <v>#DIV/0!</v>
      </c>
      <c r="S265">
        <f t="shared" si="39"/>
        <v>0</v>
      </c>
    </row>
    <row r="266" spans="1:19" x14ac:dyDescent="0.3">
      <c r="A266" s="17">
        <v>45677</v>
      </c>
      <c r="B266">
        <v>494.91</v>
      </c>
      <c r="C266">
        <v>83.55</v>
      </c>
      <c r="D266">
        <f t="shared" si="36"/>
        <v>411.36</v>
      </c>
      <c r="E266">
        <v>1.2</v>
      </c>
      <c r="F266">
        <f t="shared" si="37"/>
        <v>-410.16</v>
      </c>
      <c r="I266">
        <f t="shared" si="32"/>
        <v>20</v>
      </c>
      <c r="J266">
        <v>1</v>
      </c>
      <c r="K266">
        <f t="shared" si="33"/>
        <v>1</v>
      </c>
      <c r="L266">
        <f t="shared" si="34"/>
        <v>2025</v>
      </c>
      <c r="N266" s="17">
        <f t="shared" si="38"/>
        <v>45658</v>
      </c>
      <c r="P266" s="17">
        <v>38108</v>
      </c>
      <c r="Q266" s="55" t="e">
        <f t="shared" si="35"/>
        <v>#DIV/0!</v>
      </c>
      <c r="S266">
        <f t="shared" si="39"/>
        <v>0</v>
      </c>
    </row>
    <row r="267" spans="1:19" x14ac:dyDescent="0.3">
      <c r="A267" s="17">
        <v>45674</v>
      </c>
      <c r="B267">
        <v>494.58</v>
      </c>
      <c r="C267">
        <v>84.6</v>
      </c>
      <c r="D267">
        <f t="shared" si="36"/>
        <v>409.98</v>
      </c>
      <c r="E267">
        <v>1.1100000000000001</v>
      </c>
      <c r="F267">
        <f t="shared" si="37"/>
        <v>-408.87</v>
      </c>
      <c r="I267">
        <f t="shared" si="32"/>
        <v>17</v>
      </c>
      <c r="J267">
        <v>1</v>
      </c>
      <c r="K267">
        <f t="shared" si="33"/>
        <v>1</v>
      </c>
      <c r="L267">
        <f t="shared" si="34"/>
        <v>2025</v>
      </c>
      <c r="N267" s="17">
        <f t="shared" si="38"/>
        <v>45658</v>
      </c>
      <c r="P267" s="17">
        <v>38078</v>
      </c>
      <c r="Q267" s="55" t="e">
        <f t="shared" si="35"/>
        <v>#DIV/0!</v>
      </c>
      <c r="S267">
        <f t="shared" si="39"/>
        <v>0</v>
      </c>
    </row>
    <row r="268" spans="1:19" x14ac:dyDescent="0.3">
      <c r="A268" s="17">
        <v>45673</v>
      </c>
      <c r="B268">
        <v>491.7</v>
      </c>
      <c r="C268">
        <v>84.55</v>
      </c>
      <c r="D268">
        <f t="shared" si="36"/>
        <v>407.15</v>
      </c>
      <c r="E268">
        <v>0.96</v>
      </c>
      <c r="F268">
        <f t="shared" si="37"/>
        <v>-406.19</v>
      </c>
      <c r="I268">
        <f t="shared" si="32"/>
        <v>16</v>
      </c>
      <c r="J268">
        <v>1</v>
      </c>
      <c r="K268">
        <f t="shared" si="33"/>
        <v>1</v>
      </c>
      <c r="L268">
        <f t="shared" si="34"/>
        <v>2025</v>
      </c>
      <c r="N268" s="17">
        <f t="shared" si="38"/>
        <v>45658</v>
      </c>
      <c r="P268" s="17">
        <v>38047</v>
      </c>
      <c r="Q268" s="55" t="e">
        <f t="shared" si="35"/>
        <v>#DIV/0!</v>
      </c>
      <c r="S268">
        <f t="shared" si="39"/>
        <v>0</v>
      </c>
    </row>
    <row r="269" spans="1:19" x14ac:dyDescent="0.3">
      <c r="A269" s="17">
        <v>45672</v>
      </c>
      <c r="B269">
        <v>476.8</v>
      </c>
      <c r="C269">
        <v>82.254999999999995</v>
      </c>
      <c r="D269">
        <f t="shared" si="36"/>
        <v>394.54500000000002</v>
      </c>
      <c r="E269">
        <v>0.83</v>
      </c>
      <c r="F269">
        <f t="shared" si="37"/>
        <v>-393.71500000000003</v>
      </c>
      <c r="I269">
        <f t="shared" si="32"/>
        <v>15</v>
      </c>
      <c r="J269">
        <v>1</v>
      </c>
      <c r="K269">
        <f t="shared" si="33"/>
        <v>1</v>
      </c>
      <c r="L269">
        <f t="shared" si="34"/>
        <v>2025</v>
      </c>
      <c r="N269" s="17">
        <f t="shared" si="38"/>
        <v>45658</v>
      </c>
      <c r="P269" s="17">
        <v>38018</v>
      </c>
      <c r="Q269" s="55" t="e">
        <f t="shared" si="35"/>
        <v>#DIV/0!</v>
      </c>
      <c r="S269">
        <f t="shared" si="39"/>
        <v>0</v>
      </c>
    </row>
    <row r="270" spans="1:19" x14ac:dyDescent="0.3">
      <c r="A270" s="17">
        <v>45671</v>
      </c>
      <c r="B270">
        <v>477.67</v>
      </c>
      <c r="C270">
        <v>82.25</v>
      </c>
      <c r="D270">
        <f t="shared" si="36"/>
        <v>395.42</v>
      </c>
      <c r="E270">
        <v>0.78</v>
      </c>
      <c r="F270">
        <f t="shared" si="37"/>
        <v>-394.64000000000004</v>
      </c>
      <c r="I270">
        <f t="shared" si="32"/>
        <v>14</v>
      </c>
      <c r="J270">
        <v>1</v>
      </c>
      <c r="K270">
        <f t="shared" si="33"/>
        <v>1</v>
      </c>
      <c r="L270">
        <f t="shared" si="34"/>
        <v>2025</v>
      </c>
      <c r="N270" s="17">
        <f t="shared" si="38"/>
        <v>45658</v>
      </c>
      <c r="P270" s="17">
        <v>37987</v>
      </c>
      <c r="Q270" s="55" t="e">
        <f t="shared" si="35"/>
        <v>#DIV/0!</v>
      </c>
      <c r="S270">
        <f t="shared" si="39"/>
        <v>0</v>
      </c>
    </row>
    <row r="271" spans="1:19" x14ac:dyDescent="0.3">
      <c r="A271" s="17">
        <v>45670</v>
      </c>
      <c r="B271">
        <v>486.7</v>
      </c>
      <c r="C271">
        <v>82.39</v>
      </c>
      <c r="D271">
        <f t="shared" si="36"/>
        <v>404.31</v>
      </c>
      <c r="E271">
        <v>0.92</v>
      </c>
      <c r="F271">
        <f t="shared" si="37"/>
        <v>-403.39</v>
      </c>
      <c r="I271">
        <f t="shared" si="32"/>
        <v>13</v>
      </c>
      <c r="J271">
        <v>1</v>
      </c>
      <c r="K271">
        <f t="shared" si="33"/>
        <v>1</v>
      </c>
      <c r="L271">
        <f t="shared" si="34"/>
        <v>2025</v>
      </c>
      <c r="N271" s="17">
        <f t="shared" si="38"/>
        <v>45658</v>
      </c>
      <c r="P271" s="17">
        <v>37956</v>
      </c>
      <c r="Q271" s="55" t="e">
        <f t="shared" si="35"/>
        <v>#DIV/0!</v>
      </c>
      <c r="S271">
        <f t="shared" si="39"/>
        <v>0</v>
      </c>
    </row>
    <row r="272" spans="1:19" x14ac:dyDescent="0.3">
      <c r="A272" s="17">
        <v>45667</v>
      </c>
      <c r="B272">
        <v>458.25</v>
      </c>
      <c r="C272">
        <v>77.94</v>
      </c>
      <c r="D272">
        <f t="shared" si="36"/>
        <v>380.31</v>
      </c>
      <c r="E272">
        <v>0.85</v>
      </c>
      <c r="F272">
        <f t="shared" si="37"/>
        <v>-379.46</v>
      </c>
      <c r="I272">
        <f t="shared" si="32"/>
        <v>10</v>
      </c>
      <c r="J272">
        <v>1</v>
      </c>
      <c r="K272">
        <f t="shared" si="33"/>
        <v>1</v>
      </c>
      <c r="L272">
        <f t="shared" si="34"/>
        <v>2025</v>
      </c>
      <c r="N272" s="17">
        <f t="shared" si="38"/>
        <v>45658</v>
      </c>
      <c r="P272" s="17">
        <v>37926</v>
      </c>
      <c r="Q272" s="55" t="e">
        <f t="shared" si="35"/>
        <v>#DIV/0!</v>
      </c>
      <c r="S272">
        <f t="shared" si="39"/>
        <v>0</v>
      </c>
    </row>
    <row r="273" spans="1:19" x14ac:dyDescent="0.3">
      <c r="A273" s="17">
        <v>45666</v>
      </c>
      <c r="B273">
        <v>451.1</v>
      </c>
      <c r="C273">
        <v>76.444999999999993</v>
      </c>
      <c r="D273">
        <f t="shared" si="36"/>
        <v>374.65500000000003</v>
      </c>
      <c r="E273">
        <v>0.88</v>
      </c>
      <c r="F273">
        <f t="shared" si="37"/>
        <v>-373.77500000000003</v>
      </c>
      <c r="I273">
        <f t="shared" si="32"/>
        <v>9</v>
      </c>
      <c r="J273">
        <v>1</v>
      </c>
      <c r="K273">
        <f t="shared" si="33"/>
        <v>1</v>
      </c>
      <c r="L273">
        <f t="shared" si="34"/>
        <v>2025</v>
      </c>
      <c r="N273" s="17">
        <f t="shared" si="38"/>
        <v>45658</v>
      </c>
      <c r="P273" s="17">
        <v>37895</v>
      </c>
      <c r="Q273" s="55" t="e">
        <f t="shared" si="35"/>
        <v>#DIV/0!</v>
      </c>
      <c r="S273">
        <f t="shared" si="39"/>
        <v>0</v>
      </c>
    </row>
    <row r="274" spans="1:19" x14ac:dyDescent="0.3">
      <c r="A274" s="17">
        <v>45665</v>
      </c>
      <c r="B274">
        <v>451.54</v>
      </c>
      <c r="C274">
        <v>77.66</v>
      </c>
      <c r="D274">
        <f t="shared" si="36"/>
        <v>373.88</v>
      </c>
      <c r="E274">
        <v>0.94</v>
      </c>
      <c r="F274">
        <f t="shared" si="37"/>
        <v>-372.94</v>
      </c>
      <c r="I274">
        <f t="shared" si="32"/>
        <v>8</v>
      </c>
      <c r="J274">
        <v>1</v>
      </c>
      <c r="K274">
        <f t="shared" si="33"/>
        <v>1</v>
      </c>
      <c r="L274">
        <f t="shared" si="34"/>
        <v>2025</v>
      </c>
      <c r="N274" s="17">
        <f t="shared" si="38"/>
        <v>45658</v>
      </c>
      <c r="P274" s="17">
        <v>37865</v>
      </c>
      <c r="Q274" s="55" t="e">
        <f t="shared" si="35"/>
        <v>#DIV/0!</v>
      </c>
      <c r="S274">
        <f t="shared" si="39"/>
        <v>0</v>
      </c>
    </row>
    <row r="275" spans="1:19" x14ac:dyDescent="0.3">
      <c r="A275" s="17">
        <v>45664</v>
      </c>
      <c r="B275">
        <v>443.31</v>
      </c>
      <c r="C275">
        <v>76.319999999999993</v>
      </c>
      <c r="D275">
        <f t="shared" si="36"/>
        <v>366.99</v>
      </c>
      <c r="E275">
        <v>0.99</v>
      </c>
      <c r="F275">
        <f t="shared" si="37"/>
        <v>-366</v>
      </c>
      <c r="I275">
        <f t="shared" si="32"/>
        <v>7</v>
      </c>
      <c r="J275">
        <v>1</v>
      </c>
      <c r="K275">
        <f t="shared" si="33"/>
        <v>1</v>
      </c>
      <c r="L275">
        <f t="shared" si="34"/>
        <v>2025</v>
      </c>
      <c r="N275" s="17">
        <f t="shared" si="38"/>
        <v>45658</v>
      </c>
      <c r="P275" s="17">
        <v>37834</v>
      </c>
      <c r="Q275" s="55" t="e">
        <f t="shared" si="35"/>
        <v>#DIV/0!</v>
      </c>
      <c r="S275">
        <f t="shared" si="39"/>
        <v>0</v>
      </c>
    </row>
    <row r="276" spans="1:19" x14ac:dyDescent="0.3">
      <c r="A276" s="17">
        <v>45663</v>
      </c>
      <c r="B276">
        <v>450.48</v>
      </c>
      <c r="C276">
        <v>76.56</v>
      </c>
      <c r="D276">
        <f t="shared" si="36"/>
        <v>373.92</v>
      </c>
      <c r="E276">
        <v>0.95</v>
      </c>
      <c r="F276">
        <f t="shared" si="37"/>
        <v>-372.97</v>
      </c>
      <c r="I276">
        <f t="shared" si="32"/>
        <v>6</v>
      </c>
      <c r="J276">
        <v>1</v>
      </c>
      <c r="K276">
        <f t="shared" si="33"/>
        <v>1</v>
      </c>
      <c r="L276">
        <f t="shared" si="34"/>
        <v>2025</v>
      </c>
      <c r="N276" s="17">
        <f t="shared" si="38"/>
        <v>45658</v>
      </c>
      <c r="P276" s="17">
        <v>37803</v>
      </c>
      <c r="Q276" s="55" t="e">
        <f t="shared" si="35"/>
        <v>#DIV/0!</v>
      </c>
      <c r="S276">
        <f t="shared" si="39"/>
        <v>0</v>
      </c>
    </row>
    <row r="277" spans="1:19" x14ac:dyDescent="0.3">
      <c r="A277" s="17">
        <v>45660</v>
      </c>
      <c r="B277">
        <v>454.69</v>
      </c>
      <c r="C277">
        <v>76.52</v>
      </c>
      <c r="D277">
        <f t="shared" si="36"/>
        <v>378.17</v>
      </c>
      <c r="E277">
        <v>1.02</v>
      </c>
      <c r="F277">
        <f t="shared" si="37"/>
        <v>-377.15000000000003</v>
      </c>
      <c r="I277">
        <f t="shared" si="32"/>
        <v>3</v>
      </c>
      <c r="J277">
        <v>1</v>
      </c>
      <c r="K277">
        <f t="shared" si="33"/>
        <v>1</v>
      </c>
      <c r="L277">
        <f t="shared" si="34"/>
        <v>2025</v>
      </c>
      <c r="N277" s="17">
        <f t="shared" si="38"/>
        <v>45658</v>
      </c>
      <c r="P277" s="17">
        <v>37773</v>
      </c>
      <c r="Q277" s="55" t="e">
        <f t="shared" si="35"/>
        <v>#DIV/0!</v>
      </c>
      <c r="S277">
        <f t="shared" si="39"/>
        <v>1</v>
      </c>
    </row>
    <row r="278" spans="1:19" x14ac:dyDescent="0.3">
      <c r="A278" s="17">
        <v>45659</v>
      </c>
      <c r="B278">
        <v>449.94</v>
      </c>
      <c r="C278">
        <v>75.2</v>
      </c>
      <c r="D278">
        <f t="shared" si="36"/>
        <v>374.74</v>
      </c>
      <c r="E278">
        <v>1</v>
      </c>
      <c r="F278">
        <f t="shared" si="37"/>
        <v>-373.74</v>
      </c>
      <c r="I278">
        <f t="shared" si="32"/>
        <v>2</v>
      </c>
      <c r="J278">
        <v>1</v>
      </c>
      <c r="K278">
        <f t="shared" si="33"/>
        <v>1</v>
      </c>
      <c r="L278">
        <f t="shared" si="34"/>
        <v>2025</v>
      </c>
      <c r="N278" s="17">
        <f t="shared" si="38"/>
        <v>45658</v>
      </c>
      <c r="P278" s="17">
        <v>37742</v>
      </c>
      <c r="Q278" s="55" t="e">
        <f t="shared" si="35"/>
        <v>#DIV/0!</v>
      </c>
      <c r="S278">
        <f t="shared" si="39"/>
        <v>1</v>
      </c>
    </row>
    <row r="279" spans="1:19" x14ac:dyDescent="0.3">
      <c r="A279" s="17">
        <v>45657</v>
      </c>
      <c r="B279">
        <v>451.3</v>
      </c>
      <c r="C279">
        <v>75.95</v>
      </c>
      <c r="D279">
        <f t="shared" si="36"/>
        <v>375.35</v>
      </c>
      <c r="E279">
        <v>0.97</v>
      </c>
      <c r="F279">
        <f t="shared" si="37"/>
        <v>-374.38</v>
      </c>
      <c r="I279">
        <f t="shared" si="32"/>
        <v>31</v>
      </c>
      <c r="J279">
        <v>1</v>
      </c>
      <c r="K279">
        <f t="shared" si="33"/>
        <v>12</v>
      </c>
      <c r="L279">
        <f t="shared" si="34"/>
        <v>2024</v>
      </c>
      <c r="N279" s="17">
        <f t="shared" si="38"/>
        <v>45627</v>
      </c>
      <c r="P279" s="17">
        <v>37712</v>
      </c>
      <c r="Q279" s="55" t="e">
        <f t="shared" si="35"/>
        <v>#DIV/0!</v>
      </c>
      <c r="S279">
        <f t="shared" si="39"/>
        <v>0</v>
      </c>
    </row>
    <row r="280" spans="1:19" x14ac:dyDescent="0.3">
      <c r="A280" s="17">
        <v>45656</v>
      </c>
      <c r="B280">
        <v>444.64</v>
      </c>
      <c r="C280">
        <v>75.34</v>
      </c>
      <c r="D280">
        <f t="shared" si="36"/>
        <v>369.29999999999995</v>
      </c>
      <c r="E280">
        <v>0.92</v>
      </c>
      <c r="F280">
        <f t="shared" si="37"/>
        <v>-368.37999999999994</v>
      </c>
      <c r="I280">
        <f t="shared" si="32"/>
        <v>30</v>
      </c>
      <c r="J280">
        <v>1</v>
      </c>
      <c r="K280">
        <f t="shared" si="33"/>
        <v>12</v>
      </c>
      <c r="L280">
        <f t="shared" si="34"/>
        <v>2024</v>
      </c>
      <c r="N280" s="17">
        <f t="shared" si="38"/>
        <v>45627</v>
      </c>
      <c r="P280" s="17">
        <v>37681</v>
      </c>
      <c r="Q280" s="55" t="e">
        <f t="shared" si="35"/>
        <v>#DIV/0!</v>
      </c>
      <c r="S280">
        <f t="shared" si="39"/>
        <v>0</v>
      </c>
    </row>
    <row r="281" spans="1:19" x14ac:dyDescent="0.3">
      <c r="A281" s="17">
        <v>45653</v>
      </c>
      <c r="B281">
        <v>442.16</v>
      </c>
      <c r="C281">
        <v>74.66</v>
      </c>
      <c r="D281">
        <f t="shared" si="36"/>
        <v>367.5</v>
      </c>
      <c r="E281">
        <v>0.89</v>
      </c>
      <c r="F281">
        <f t="shared" si="37"/>
        <v>-366.61</v>
      </c>
      <c r="I281">
        <f t="shared" si="32"/>
        <v>27</v>
      </c>
      <c r="J281">
        <v>1</v>
      </c>
      <c r="K281">
        <f t="shared" si="33"/>
        <v>12</v>
      </c>
      <c r="L281">
        <f t="shared" si="34"/>
        <v>2024</v>
      </c>
      <c r="N281" s="17">
        <f t="shared" si="38"/>
        <v>45627</v>
      </c>
      <c r="P281" s="17">
        <v>37653</v>
      </c>
      <c r="Q281" s="55" t="e">
        <f t="shared" si="35"/>
        <v>#DIV/0!</v>
      </c>
      <c r="S281">
        <f t="shared" si="39"/>
        <v>0</v>
      </c>
    </row>
    <row r="282" spans="1:19" x14ac:dyDescent="0.3">
      <c r="A282" s="17">
        <v>45652</v>
      </c>
      <c r="B282">
        <v>442.76</v>
      </c>
      <c r="C282">
        <v>74.55</v>
      </c>
      <c r="D282">
        <f t="shared" si="36"/>
        <v>368.21</v>
      </c>
      <c r="E282">
        <v>0.84</v>
      </c>
      <c r="F282">
        <f t="shared" si="37"/>
        <v>-367.37</v>
      </c>
      <c r="I282">
        <f t="shared" si="32"/>
        <v>26</v>
      </c>
      <c r="J282">
        <v>1</v>
      </c>
      <c r="K282">
        <f t="shared" si="33"/>
        <v>12</v>
      </c>
      <c r="L282">
        <f t="shared" si="34"/>
        <v>2024</v>
      </c>
      <c r="N282" s="17">
        <f t="shared" si="38"/>
        <v>45627</v>
      </c>
      <c r="P282" s="17">
        <v>37622</v>
      </c>
      <c r="Q282" s="55" t="e">
        <f t="shared" si="35"/>
        <v>#DIV/0!</v>
      </c>
      <c r="S282">
        <f t="shared" si="39"/>
        <v>0</v>
      </c>
    </row>
    <row r="283" spans="1:19" x14ac:dyDescent="0.3">
      <c r="A283" s="17">
        <v>45650</v>
      </c>
      <c r="B283">
        <v>440.33</v>
      </c>
      <c r="C283">
        <v>73.290000000000006</v>
      </c>
      <c r="D283">
        <f t="shared" si="36"/>
        <v>367.03999999999996</v>
      </c>
      <c r="E283">
        <v>0.81</v>
      </c>
      <c r="F283">
        <f t="shared" si="37"/>
        <v>-366.22999999999996</v>
      </c>
      <c r="I283">
        <f t="shared" si="32"/>
        <v>24</v>
      </c>
      <c r="J283">
        <v>1</v>
      </c>
      <c r="K283">
        <f t="shared" si="33"/>
        <v>12</v>
      </c>
      <c r="L283">
        <f t="shared" si="34"/>
        <v>2024</v>
      </c>
      <c r="N283" s="17">
        <f t="shared" si="38"/>
        <v>45627</v>
      </c>
      <c r="P283" s="17">
        <v>37591</v>
      </c>
      <c r="Q283" s="55" t="e">
        <f t="shared" si="35"/>
        <v>#DIV/0!</v>
      </c>
      <c r="S283">
        <f t="shared" si="39"/>
        <v>0</v>
      </c>
    </row>
    <row r="284" spans="1:19" x14ac:dyDescent="0.3">
      <c r="A284" s="17">
        <v>45649</v>
      </c>
      <c r="B284">
        <v>440.86</v>
      </c>
      <c r="C284">
        <v>73.34</v>
      </c>
      <c r="D284">
        <f t="shared" si="36"/>
        <v>367.52</v>
      </c>
      <c r="E284">
        <v>0.81</v>
      </c>
      <c r="F284">
        <f t="shared" si="37"/>
        <v>-366.71</v>
      </c>
      <c r="I284">
        <f t="shared" si="32"/>
        <v>23</v>
      </c>
      <c r="J284">
        <v>1</v>
      </c>
      <c r="K284">
        <f t="shared" si="33"/>
        <v>12</v>
      </c>
      <c r="L284">
        <f t="shared" si="34"/>
        <v>2024</v>
      </c>
      <c r="N284" s="17">
        <f t="shared" si="38"/>
        <v>45627</v>
      </c>
      <c r="P284" s="17">
        <v>37561</v>
      </c>
      <c r="Q284" s="55" t="e">
        <f t="shared" si="35"/>
        <v>#DIV/0!</v>
      </c>
      <c r="S284">
        <f t="shared" si="39"/>
        <v>0</v>
      </c>
    </row>
    <row r="285" spans="1:19" x14ac:dyDescent="0.3">
      <c r="A285" s="17">
        <v>45646</v>
      </c>
      <c r="B285">
        <v>438.69</v>
      </c>
      <c r="C285">
        <v>72.644999999999996</v>
      </c>
      <c r="D285">
        <f t="shared" si="36"/>
        <v>366.04500000000002</v>
      </c>
      <c r="E285">
        <v>0.78</v>
      </c>
      <c r="F285">
        <f t="shared" si="37"/>
        <v>-365.26500000000004</v>
      </c>
      <c r="I285">
        <f t="shared" si="32"/>
        <v>20</v>
      </c>
      <c r="J285">
        <v>1</v>
      </c>
      <c r="K285">
        <f t="shared" si="33"/>
        <v>12</v>
      </c>
      <c r="L285">
        <f t="shared" si="34"/>
        <v>2024</v>
      </c>
      <c r="N285" s="17">
        <f t="shared" si="38"/>
        <v>45627</v>
      </c>
      <c r="P285" s="17">
        <v>37530</v>
      </c>
      <c r="Q285" s="55" t="e">
        <f t="shared" si="35"/>
        <v>#DIV/0!</v>
      </c>
      <c r="S285">
        <f t="shared" si="39"/>
        <v>0</v>
      </c>
    </row>
    <row r="286" spans="1:19" x14ac:dyDescent="0.3">
      <c r="A286" s="17">
        <v>45645</v>
      </c>
      <c r="B286">
        <v>440.4</v>
      </c>
      <c r="C286">
        <v>72.86</v>
      </c>
      <c r="D286">
        <f t="shared" si="36"/>
        <v>367.53999999999996</v>
      </c>
      <c r="E286">
        <v>0.83</v>
      </c>
      <c r="F286">
        <f t="shared" si="37"/>
        <v>-366.71</v>
      </c>
      <c r="I286">
        <f t="shared" si="32"/>
        <v>19</v>
      </c>
      <c r="J286">
        <v>1</v>
      </c>
      <c r="K286">
        <f t="shared" si="33"/>
        <v>12</v>
      </c>
      <c r="L286">
        <f t="shared" si="34"/>
        <v>2024</v>
      </c>
      <c r="N286" s="17">
        <f t="shared" si="38"/>
        <v>45627</v>
      </c>
      <c r="P286" s="17">
        <v>37500</v>
      </c>
      <c r="Q286" s="55" t="e">
        <f t="shared" si="35"/>
        <v>#DIV/0!</v>
      </c>
      <c r="S286">
        <f t="shared" si="39"/>
        <v>0</v>
      </c>
    </row>
    <row r="287" spans="1:19" x14ac:dyDescent="0.3">
      <c r="A287" s="17">
        <v>45644</v>
      </c>
      <c r="B287">
        <v>441.94</v>
      </c>
      <c r="C287">
        <v>73.599999999999994</v>
      </c>
      <c r="D287">
        <f t="shared" si="36"/>
        <v>368.34000000000003</v>
      </c>
      <c r="E287">
        <v>0.79</v>
      </c>
      <c r="F287">
        <f t="shared" si="37"/>
        <v>-367.55</v>
      </c>
      <c r="I287">
        <f t="shared" si="32"/>
        <v>18</v>
      </c>
      <c r="J287">
        <v>1</v>
      </c>
      <c r="K287">
        <f t="shared" si="33"/>
        <v>12</v>
      </c>
      <c r="L287">
        <f t="shared" si="34"/>
        <v>2024</v>
      </c>
      <c r="N287" s="17">
        <f t="shared" si="38"/>
        <v>45627</v>
      </c>
      <c r="P287" s="17">
        <v>37469</v>
      </c>
      <c r="Q287" s="55" t="e">
        <f t="shared" si="35"/>
        <v>#DIV/0!</v>
      </c>
      <c r="S287">
        <f t="shared" si="39"/>
        <v>0</v>
      </c>
    </row>
    <row r="288" spans="1:19" x14ac:dyDescent="0.3">
      <c r="A288" s="17">
        <v>45643</v>
      </c>
      <c r="B288">
        <v>436.91</v>
      </c>
      <c r="C288">
        <v>73.55</v>
      </c>
      <c r="D288">
        <f t="shared" si="36"/>
        <v>363.36</v>
      </c>
      <c r="E288">
        <v>0.78</v>
      </c>
      <c r="F288">
        <f t="shared" si="37"/>
        <v>-362.58000000000004</v>
      </c>
      <c r="I288">
        <f t="shared" si="32"/>
        <v>17</v>
      </c>
      <c r="J288">
        <v>1</v>
      </c>
      <c r="K288">
        <f t="shared" si="33"/>
        <v>12</v>
      </c>
      <c r="L288">
        <f t="shared" si="34"/>
        <v>2024</v>
      </c>
      <c r="N288" s="17">
        <f t="shared" si="38"/>
        <v>45627</v>
      </c>
      <c r="P288" s="17">
        <v>37438</v>
      </c>
      <c r="Q288" s="55" t="e">
        <f t="shared" si="35"/>
        <v>#DIV/0!</v>
      </c>
      <c r="S288">
        <f t="shared" si="39"/>
        <v>0</v>
      </c>
    </row>
    <row r="289" spans="1:19" x14ac:dyDescent="0.3">
      <c r="A289" s="17">
        <v>45642</v>
      </c>
      <c r="B289">
        <v>443.08</v>
      </c>
      <c r="C289">
        <v>74.16</v>
      </c>
      <c r="D289">
        <f t="shared" si="36"/>
        <v>368.91999999999996</v>
      </c>
      <c r="E289">
        <v>0.71</v>
      </c>
      <c r="F289">
        <f t="shared" si="37"/>
        <v>-368.21</v>
      </c>
      <c r="I289">
        <f t="shared" si="32"/>
        <v>16</v>
      </c>
      <c r="J289">
        <v>1</v>
      </c>
      <c r="K289">
        <f t="shared" si="33"/>
        <v>12</v>
      </c>
      <c r="L289">
        <f t="shared" si="34"/>
        <v>2024</v>
      </c>
      <c r="N289" s="17">
        <f t="shared" si="38"/>
        <v>45627</v>
      </c>
      <c r="P289" s="17">
        <v>37408</v>
      </c>
      <c r="Q289" s="55" t="e">
        <f t="shared" si="35"/>
        <v>#DIV/0!</v>
      </c>
      <c r="S289">
        <f t="shared" si="39"/>
        <v>0</v>
      </c>
    </row>
    <row r="290" spans="1:19" x14ac:dyDescent="0.3">
      <c r="A290" s="17">
        <v>45639</v>
      </c>
      <c r="B290">
        <v>434.02</v>
      </c>
      <c r="C290">
        <v>73.459999999999994</v>
      </c>
      <c r="D290">
        <f t="shared" si="36"/>
        <v>360.56</v>
      </c>
      <c r="E290">
        <v>0.62</v>
      </c>
      <c r="F290">
        <f t="shared" si="37"/>
        <v>-359.94</v>
      </c>
      <c r="I290">
        <f t="shared" si="32"/>
        <v>13</v>
      </c>
      <c r="J290">
        <v>1</v>
      </c>
      <c r="K290">
        <f t="shared" si="33"/>
        <v>12</v>
      </c>
      <c r="L290">
        <f t="shared" si="34"/>
        <v>2024</v>
      </c>
      <c r="N290" s="17">
        <f t="shared" si="38"/>
        <v>45627</v>
      </c>
      <c r="P290" s="17">
        <v>37377</v>
      </c>
      <c r="Q290" s="55" t="e">
        <f t="shared" si="35"/>
        <v>#DIV/0!</v>
      </c>
      <c r="S290">
        <f t="shared" si="39"/>
        <v>0</v>
      </c>
    </row>
    <row r="291" spans="1:19" x14ac:dyDescent="0.3">
      <c r="A291" s="17">
        <v>45638</v>
      </c>
      <c r="B291">
        <v>433.93</v>
      </c>
      <c r="C291">
        <v>73.66</v>
      </c>
      <c r="D291">
        <f t="shared" si="36"/>
        <v>360.27</v>
      </c>
      <c r="E291">
        <v>0.42</v>
      </c>
      <c r="F291">
        <f t="shared" si="37"/>
        <v>-359.84999999999997</v>
      </c>
      <c r="I291">
        <f t="shared" si="32"/>
        <v>12</v>
      </c>
      <c r="J291">
        <v>1</v>
      </c>
      <c r="K291">
        <f t="shared" si="33"/>
        <v>12</v>
      </c>
      <c r="L291">
        <f t="shared" si="34"/>
        <v>2024</v>
      </c>
      <c r="N291" s="17">
        <f t="shared" si="38"/>
        <v>45627</v>
      </c>
      <c r="P291" s="17">
        <v>37347</v>
      </c>
      <c r="Q291" s="55" t="e">
        <f t="shared" si="35"/>
        <v>#DIV/0!</v>
      </c>
      <c r="S291">
        <f t="shared" si="39"/>
        <v>0</v>
      </c>
    </row>
    <row r="292" spans="1:19" x14ac:dyDescent="0.3">
      <c r="A292" s="17">
        <v>45637</v>
      </c>
      <c r="B292">
        <v>423.8</v>
      </c>
      <c r="C292">
        <v>72.224999999999994</v>
      </c>
      <c r="D292">
        <f t="shared" si="36"/>
        <v>351.57500000000005</v>
      </c>
      <c r="E292">
        <v>0.28000000000000003</v>
      </c>
      <c r="F292">
        <f t="shared" si="37"/>
        <v>-351.29500000000007</v>
      </c>
      <c r="I292">
        <f t="shared" si="32"/>
        <v>11</v>
      </c>
      <c r="J292">
        <v>1</v>
      </c>
      <c r="K292">
        <f t="shared" si="33"/>
        <v>12</v>
      </c>
      <c r="L292">
        <f t="shared" si="34"/>
        <v>2024</v>
      </c>
      <c r="N292" s="17">
        <f t="shared" si="38"/>
        <v>45627</v>
      </c>
      <c r="P292" s="17">
        <v>37316</v>
      </c>
      <c r="Q292" s="55" t="e">
        <f t="shared" si="35"/>
        <v>#DIV/0!</v>
      </c>
      <c r="S292">
        <f t="shared" si="39"/>
        <v>0</v>
      </c>
    </row>
    <row r="293" spans="1:19" x14ac:dyDescent="0.3">
      <c r="A293" s="17">
        <v>45636</v>
      </c>
      <c r="B293">
        <v>423.84</v>
      </c>
      <c r="C293">
        <v>71.67</v>
      </c>
      <c r="D293">
        <f t="shared" si="36"/>
        <v>352.16999999999996</v>
      </c>
      <c r="E293">
        <v>0.2</v>
      </c>
      <c r="F293">
        <f t="shared" si="37"/>
        <v>-351.96999999999997</v>
      </c>
      <c r="I293">
        <f t="shared" si="32"/>
        <v>10</v>
      </c>
      <c r="J293">
        <v>1</v>
      </c>
      <c r="K293">
        <f t="shared" si="33"/>
        <v>12</v>
      </c>
      <c r="L293">
        <f t="shared" si="34"/>
        <v>2024</v>
      </c>
      <c r="N293" s="17">
        <f t="shared" si="38"/>
        <v>45627</v>
      </c>
      <c r="P293" s="17">
        <v>37288</v>
      </c>
      <c r="Q293" s="55" t="e">
        <f t="shared" si="35"/>
        <v>#DIV/0!</v>
      </c>
      <c r="S293">
        <f t="shared" si="39"/>
        <v>0</v>
      </c>
    </row>
    <row r="294" spans="1:19" x14ac:dyDescent="0.3">
      <c r="A294" s="17">
        <v>45635</v>
      </c>
      <c r="B294">
        <v>425.82</v>
      </c>
      <c r="C294">
        <v>71.760000000000005</v>
      </c>
      <c r="D294">
        <f t="shared" si="36"/>
        <v>354.06</v>
      </c>
      <c r="E294">
        <v>0.28999999999999998</v>
      </c>
      <c r="F294">
        <f t="shared" si="37"/>
        <v>-353.77</v>
      </c>
      <c r="I294">
        <f t="shared" si="32"/>
        <v>9</v>
      </c>
      <c r="J294">
        <v>1</v>
      </c>
      <c r="K294">
        <f t="shared" si="33"/>
        <v>12</v>
      </c>
      <c r="L294">
        <f t="shared" si="34"/>
        <v>2024</v>
      </c>
      <c r="N294" s="17">
        <f t="shared" si="38"/>
        <v>45627</v>
      </c>
      <c r="P294" s="17">
        <v>37257</v>
      </c>
      <c r="Q294" s="55" t="e">
        <f t="shared" si="35"/>
        <v>#DIV/0!</v>
      </c>
      <c r="S294">
        <f t="shared" si="39"/>
        <v>0</v>
      </c>
    </row>
    <row r="295" spans="1:19" x14ac:dyDescent="0.3">
      <c r="A295" s="17">
        <v>45632</v>
      </c>
      <c r="B295">
        <v>427.89</v>
      </c>
      <c r="C295">
        <v>71.709999999999994</v>
      </c>
      <c r="D295">
        <f t="shared" si="36"/>
        <v>356.18</v>
      </c>
      <c r="E295">
        <v>0.37</v>
      </c>
      <c r="F295">
        <f t="shared" si="37"/>
        <v>-355.81</v>
      </c>
      <c r="I295">
        <f t="shared" si="32"/>
        <v>6</v>
      </c>
      <c r="J295">
        <v>1</v>
      </c>
      <c r="K295">
        <f t="shared" si="33"/>
        <v>12</v>
      </c>
      <c r="L295">
        <f t="shared" si="34"/>
        <v>2024</v>
      </c>
      <c r="N295" s="17">
        <f t="shared" si="38"/>
        <v>45627</v>
      </c>
      <c r="P295" s="17">
        <v>37226</v>
      </c>
      <c r="Q295" s="55" t="e">
        <f t="shared" si="35"/>
        <v>#DIV/0!</v>
      </c>
      <c r="S295">
        <f t="shared" si="39"/>
        <v>0</v>
      </c>
    </row>
    <row r="296" spans="1:19" x14ac:dyDescent="0.3">
      <c r="A296" s="17">
        <v>45631</v>
      </c>
      <c r="B296">
        <v>429.6</v>
      </c>
      <c r="C296">
        <v>72.099999999999994</v>
      </c>
      <c r="D296">
        <f t="shared" si="36"/>
        <v>357.5</v>
      </c>
      <c r="E296">
        <v>0.45</v>
      </c>
      <c r="F296">
        <f t="shared" si="37"/>
        <v>-357.05</v>
      </c>
      <c r="I296">
        <f t="shared" si="32"/>
        <v>5</v>
      </c>
      <c r="J296">
        <v>1</v>
      </c>
      <c r="K296">
        <f t="shared" si="33"/>
        <v>12</v>
      </c>
      <c r="L296">
        <f t="shared" si="34"/>
        <v>2024</v>
      </c>
      <c r="N296" s="17">
        <f t="shared" si="38"/>
        <v>45627</v>
      </c>
      <c r="P296" s="17">
        <v>37196</v>
      </c>
      <c r="Q296" s="55" t="e">
        <f t="shared" si="35"/>
        <v>#DIV/0!</v>
      </c>
      <c r="S296">
        <f t="shared" si="39"/>
        <v>0</v>
      </c>
    </row>
    <row r="297" spans="1:19" x14ac:dyDescent="0.3">
      <c r="A297" s="17">
        <v>45630</v>
      </c>
      <c r="B297">
        <v>441.07</v>
      </c>
      <c r="C297">
        <v>73.394999999999996</v>
      </c>
      <c r="D297">
        <f t="shared" si="36"/>
        <v>367.67500000000001</v>
      </c>
      <c r="E297">
        <v>0.38</v>
      </c>
      <c r="F297">
        <f t="shared" si="37"/>
        <v>-367.29500000000002</v>
      </c>
      <c r="I297">
        <f t="shared" si="32"/>
        <v>4</v>
      </c>
      <c r="J297">
        <v>1</v>
      </c>
      <c r="K297">
        <f t="shared" si="33"/>
        <v>12</v>
      </c>
      <c r="L297">
        <f t="shared" si="34"/>
        <v>2024</v>
      </c>
      <c r="N297" s="17">
        <f t="shared" si="38"/>
        <v>45627</v>
      </c>
      <c r="P297" s="17">
        <v>37165</v>
      </c>
      <c r="Q297" s="55" t="e">
        <f t="shared" si="35"/>
        <v>#DIV/0!</v>
      </c>
      <c r="S297">
        <f t="shared" si="39"/>
        <v>1</v>
      </c>
    </row>
    <row r="298" spans="1:19" x14ac:dyDescent="0.3">
      <c r="A298" s="17">
        <v>45629</v>
      </c>
      <c r="B298">
        <v>440.94</v>
      </c>
      <c r="C298">
        <v>71.89</v>
      </c>
      <c r="D298">
        <f t="shared" si="36"/>
        <v>369.05</v>
      </c>
      <c r="E298">
        <v>0.34</v>
      </c>
      <c r="F298">
        <f t="shared" si="37"/>
        <v>-368.71000000000004</v>
      </c>
      <c r="I298">
        <f t="shared" si="32"/>
        <v>3</v>
      </c>
      <c r="J298">
        <v>1</v>
      </c>
      <c r="K298">
        <f t="shared" si="33"/>
        <v>12</v>
      </c>
      <c r="L298">
        <f t="shared" si="34"/>
        <v>2024</v>
      </c>
      <c r="N298" s="17">
        <f t="shared" si="38"/>
        <v>45627</v>
      </c>
      <c r="P298" s="17">
        <v>37135</v>
      </c>
      <c r="Q298" s="55" t="e">
        <f t="shared" si="35"/>
        <v>#DIV/0!</v>
      </c>
      <c r="S298">
        <f t="shared" si="39"/>
        <v>1</v>
      </c>
    </row>
    <row r="299" spans="1:19" x14ac:dyDescent="0.3">
      <c r="A299" s="17">
        <v>45628</v>
      </c>
      <c r="B299">
        <v>450.15</v>
      </c>
      <c r="C299">
        <v>72.099999999999994</v>
      </c>
      <c r="D299">
        <f t="shared" si="36"/>
        <v>378.04999999999995</v>
      </c>
      <c r="E299">
        <v>0.39</v>
      </c>
      <c r="F299">
        <f t="shared" si="37"/>
        <v>-377.65999999999997</v>
      </c>
      <c r="I299">
        <f t="shared" si="32"/>
        <v>2</v>
      </c>
      <c r="J299">
        <v>1</v>
      </c>
      <c r="K299">
        <f t="shared" si="33"/>
        <v>12</v>
      </c>
      <c r="L299">
        <f t="shared" si="34"/>
        <v>2024</v>
      </c>
      <c r="N299" s="17">
        <f t="shared" si="38"/>
        <v>45627</v>
      </c>
      <c r="P299" s="17">
        <v>37104</v>
      </c>
      <c r="Q299" s="55" t="e">
        <f t="shared" si="35"/>
        <v>#DIV/0!</v>
      </c>
      <c r="S299">
        <f t="shared" si="39"/>
        <v>1</v>
      </c>
    </row>
    <row r="300" spans="1:19" x14ac:dyDescent="0.3">
      <c r="A300" s="17">
        <v>45625</v>
      </c>
      <c r="B300">
        <v>452.34</v>
      </c>
      <c r="C300">
        <v>72.349999999999994</v>
      </c>
      <c r="D300">
        <f t="shared" si="36"/>
        <v>379.99</v>
      </c>
      <c r="E300">
        <v>0.6</v>
      </c>
      <c r="F300">
        <f t="shared" si="37"/>
        <v>-379.39</v>
      </c>
      <c r="I300">
        <f t="shared" si="32"/>
        <v>29</v>
      </c>
      <c r="J300">
        <v>1</v>
      </c>
      <c r="K300">
        <f t="shared" si="33"/>
        <v>11</v>
      </c>
      <c r="L300">
        <f t="shared" si="34"/>
        <v>2024</v>
      </c>
      <c r="N300" s="17">
        <f t="shared" si="38"/>
        <v>45597</v>
      </c>
      <c r="P300" s="17">
        <v>37073</v>
      </c>
      <c r="Q300" s="55" t="e">
        <f t="shared" si="35"/>
        <v>#DIV/0!</v>
      </c>
      <c r="S300">
        <f t="shared" si="39"/>
        <v>0</v>
      </c>
    </row>
    <row r="301" spans="1:19" x14ac:dyDescent="0.3">
      <c r="A301" s="17">
        <v>45624</v>
      </c>
      <c r="B301">
        <v>447.49</v>
      </c>
      <c r="C301">
        <v>71.849999999999994</v>
      </c>
      <c r="D301">
        <f t="shared" si="36"/>
        <v>375.64</v>
      </c>
      <c r="E301">
        <v>0.59</v>
      </c>
      <c r="F301">
        <f t="shared" si="37"/>
        <v>-375.05</v>
      </c>
      <c r="I301">
        <f t="shared" si="32"/>
        <v>28</v>
      </c>
      <c r="J301">
        <v>1</v>
      </c>
      <c r="K301">
        <f t="shared" si="33"/>
        <v>11</v>
      </c>
      <c r="L301">
        <f t="shared" si="34"/>
        <v>2024</v>
      </c>
      <c r="N301" s="17">
        <f t="shared" si="38"/>
        <v>45597</v>
      </c>
      <c r="P301" s="17">
        <v>37043</v>
      </c>
      <c r="Q301" s="55" t="e">
        <f t="shared" si="35"/>
        <v>#DIV/0!</v>
      </c>
      <c r="S301">
        <f t="shared" si="39"/>
        <v>0</v>
      </c>
    </row>
    <row r="302" spans="1:19" x14ac:dyDescent="0.3">
      <c r="A302" s="17">
        <v>45623</v>
      </c>
      <c r="B302">
        <v>447.36</v>
      </c>
      <c r="C302">
        <v>72.25</v>
      </c>
      <c r="D302">
        <f t="shared" si="36"/>
        <v>375.11</v>
      </c>
      <c r="E302">
        <v>0.54</v>
      </c>
      <c r="F302">
        <f t="shared" si="37"/>
        <v>-374.57</v>
      </c>
      <c r="I302">
        <f t="shared" si="32"/>
        <v>27</v>
      </c>
      <c r="J302">
        <v>1</v>
      </c>
      <c r="K302">
        <f t="shared" si="33"/>
        <v>11</v>
      </c>
      <c r="L302">
        <f t="shared" si="34"/>
        <v>2024</v>
      </c>
      <c r="N302" s="17">
        <f t="shared" si="38"/>
        <v>45597</v>
      </c>
      <c r="P302" s="17">
        <v>37012</v>
      </c>
      <c r="Q302" s="55" t="e">
        <f t="shared" si="35"/>
        <v>#DIV/0!</v>
      </c>
      <c r="S302">
        <f t="shared" si="39"/>
        <v>0</v>
      </c>
    </row>
    <row r="303" spans="1:19" x14ac:dyDescent="0.3">
      <c r="A303" s="17">
        <v>45622</v>
      </c>
      <c r="B303">
        <v>444.48</v>
      </c>
      <c r="C303">
        <v>72.510000000000005</v>
      </c>
      <c r="D303">
        <f t="shared" si="36"/>
        <v>371.97</v>
      </c>
      <c r="E303">
        <v>0.49</v>
      </c>
      <c r="F303">
        <f t="shared" si="37"/>
        <v>-371.48</v>
      </c>
      <c r="I303">
        <f t="shared" si="32"/>
        <v>26</v>
      </c>
      <c r="J303">
        <v>1</v>
      </c>
      <c r="K303">
        <f t="shared" si="33"/>
        <v>11</v>
      </c>
      <c r="L303">
        <f t="shared" si="34"/>
        <v>2024</v>
      </c>
      <c r="N303" s="17">
        <f t="shared" si="38"/>
        <v>45597</v>
      </c>
      <c r="P303" s="17">
        <v>36982</v>
      </c>
      <c r="Q303" s="55" t="e">
        <f t="shared" si="35"/>
        <v>#DIV/0!</v>
      </c>
      <c r="S303">
        <f t="shared" si="39"/>
        <v>0</v>
      </c>
    </row>
    <row r="304" spans="1:19" x14ac:dyDescent="0.3">
      <c r="A304" s="17">
        <v>45621</v>
      </c>
      <c r="B304">
        <v>445.65</v>
      </c>
      <c r="C304">
        <v>73.540000000000006</v>
      </c>
      <c r="D304">
        <f t="shared" si="36"/>
        <v>372.10999999999996</v>
      </c>
      <c r="E304">
        <v>0.5</v>
      </c>
      <c r="F304">
        <f t="shared" si="37"/>
        <v>-371.60999999999996</v>
      </c>
      <c r="I304">
        <f t="shared" si="32"/>
        <v>25</v>
      </c>
      <c r="J304">
        <v>1</v>
      </c>
      <c r="K304">
        <f t="shared" si="33"/>
        <v>11</v>
      </c>
      <c r="L304">
        <f t="shared" si="34"/>
        <v>2024</v>
      </c>
      <c r="N304" s="17">
        <f t="shared" si="38"/>
        <v>45597</v>
      </c>
      <c r="P304" s="17">
        <v>36951</v>
      </c>
      <c r="Q304" s="55" t="e">
        <f t="shared" si="35"/>
        <v>#DIV/0!</v>
      </c>
      <c r="S304">
        <f t="shared" si="39"/>
        <v>0</v>
      </c>
    </row>
    <row r="305" spans="1:19" x14ac:dyDescent="0.3">
      <c r="A305" s="17">
        <v>45618</v>
      </c>
      <c r="B305">
        <v>452.32</v>
      </c>
      <c r="C305">
        <v>74.150000000000006</v>
      </c>
      <c r="D305">
        <f t="shared" si="36"/>
        <v>378.16999999999996</v>
      </c>
      <c r="E305">
        <v>0.46</v>
      </c>
      <c r="F305">
        <f t="shared" si="37"/>
        <v>-377.71</v>
      </c>
      <c r="I305">
        <f t="shared" si="32"/>
        <v>22</v>
      </c>
      <c r="J305">
        <v>1</v>
      </c>
      <c r="K305">
        <f t="shared" si="33"/>
        <v>11</v>
      </c>
      <c r="L305">
        <f t="shared" si="34"/>
        <v>2024</v>
      </c>
      <c r="N305" s="17">
        <f t="shared" si="38"/>
        <v>45597</v>
      </c>
      <c r="P305" s="17">
        <v>36923</v>
      </c>
      <c r="Q305" s="55" t="e">
        <f t="shared" si="35"/>
        <v>#DIV/0!</v>
      </c>
      <c r="S305">
        <f t="shared" si="39"/>
        <v>0</v>
      </c>
    </row>
    <row r="306" spans="1:19" x14ac:dyDescent="0.3">
      <c r="A306" s="17">
        <v>45617</v>
      </c>
      <c r="B306">
        <v>439.27</v>
      </c>
      <c r="C306">
        <v>72.83</v>
      </c>
      <c r="D306">
        <f t="shared" si="36"/>
        <v>366.44</v>
      </c>
      <c r="E306">
        <v>0.56000000000000005</v>
      </c>
      <c r="F306">
        <f t="shared" si="37"/>
        <v>-365.88</v>
      </c>
      <c r="I306">
        <f t="shared" si="32"/>
        <v>21</v>
      </c>
      <c r="J306">
        <v>1</v>
      </c>
      <c r="K306">
        <f t="shared" si="33"/>
        <v>11</v>
      </c>
      <c r="L306">
        <f t="shared" si="34"/>
        <v>2024</v>
      </c>
      <c r="N306" s="17">
        <f t="shared" si="38"/>
        <v>45597</v>
      </c>
      <c r="P306" s="17">
        <v>36892</v>
      </c>
      <c r="Q306" s="55" t="e">
        <f t="shared" si="35"/>
        <v>#DIV/0!</v>
      </c>
      <c r="S306">
        <f t="shared" si="39"/>
        <v>0</v>
      </c>
    </row>
    <row r="307" spans="1:19" x14ac:dyDescent="0.3">
      <c r="A307" s="17">
        <v>45616</v>
      </c>
      <c r="B307">
        <v>441.6</v>
      </c>
      <c r="C307">
        <v>72.849999999999994</v>
      </c>
      <c r="D307">
        <f t="shared" si="36"/>
        <v>368.75</v>
      </c>
      <c r="E307">
        <v>0.56999999999999995</v>
      </c>
      <c r="F307">
        <f t="shared" si="37"/>
        <v>-368.18</v>
      </c>
      <c r="I307">
        <f t="shared" si="32"/>
        <v>20</v>
      </c>
      <c r="J307">
        <v>1</v>
      </c>
      <c r="K307">
        <f t="shared" si="33"/>
        <v>11</v>
      </c>
      <c r="L307">
        <f t="shared" si="34"/>
        <v>2024</v>
      </c>
      <c r="N307" s="17">
        <f t="shared" si="38"/>
        <v>45597</v>
      </c>
      <c r="P307" s="17">
        <v>36861</v>
      </c>
      <c r="Q307" s="55" t="e">
        <f t="shared" si="35"/>
        <v>#DIV/0!</v>
      </c>
      <c r="S307">
        <f t="shared" si="39"/>
        <v>0</v>
      </c>
    </row>
    <row r="308" spans="1:19" x14ac:dyDescent="0.3">
      <c r="A308" s="17">
        <v>45615</v>
      </c>
      <c r="B308">
        <v>435.43</v>
      </c>
      <c r="C308">
        <v>72.260000000000005</v>
      </c>
      <c r="D308">
        <f t="shared" si="36"/>
        <v>363.17</v>
      </c>
      <c r="E308">
        <v>0.56999999999999995</v>
      </c>
      <c r="F308">
        <f t="shared" si="37"/>
        <v>-362.6</v>
      </c>
      <c r="I308">
        <f t="shared" si="32"/>
        <v>19</v>
      </c>
      <c r="J308">
        <v>1</v>
      </c>
      <c r="K308">
        <f t="shared" si="33"/>
        <v>11</v>
      </c>
      <c r="L308">
        <f t="shared" si="34"/>
        <v>2024</v>
      </c>
      <c r="N308" s="17">
        <f t="shared" si="38"/>
        <v>45597</v>
      </c>
      <c r="P308" s="17">
        <v>36831</v>
      </c>
      <c r="Q308" s="55" t="e">
        <f t="shared" si="35"/>
        <v>#DIV/0!</v>
      </c>
      <c r="S308">
        <f t="shared" si="39"/>
        <v>0</v>
      </c>
    </row>
    <row r="309" spans="1:19" x14ac:dyDescent="0.3">
      <c r="A309" s="17">
        <v>45614</v>
      </c>
      <c r="B309">
        <v>429.09</v>
      </c>
      <c r="C309">
        <v>70.504999999999995</v>
      </c>
      <c r="D309">
        <f t="shared" si="36"/>
        <v>358.58499999999998</v>
      </c>
      <c r="E309">
        <v>0.61</v>
      </c>
      <c r="F309">
        <f t="shared" si="37"/>
        <v>-357.97499999999997</v>
      </c>
      <c r="I309">
        <f t="shared" si="32"/>
        <v>18</v>
      </c>
      <c r="J309">
        <v>1</v>
      </c>
      <c r="K309">
        <f t="shared" si="33"/>
        <v>11</v>
      </c>
      <c r="L309">
        <f t="shared" si="34"/>
        <v>2024</v>
      </c>
      <c r="N309" s="17">
        <f t="shared" si="38"/>
        <v>45597</v>
      </c>
      <c r="P309" s="17">
        <v>36800</v>
      </c>
      <c r="Q309" s="55" t="e">
        <f t="shared" si="35"/>
        <v>#DIV/0!</v>
      </c>
      <c r="S309">
        <f t="shared" si="39"/>
        <v>0</v>
      </c>
    </row>
    <row r="310" spans="1:19" x14ac:dyDescent="0.3">
      <c r="A310" s="17">
        <v>45611</v>
      </c>
      <c r="B310">
        <v>434.93</v>
      </c>
      <c r="C310">
        <v>70.739999999999995</v>
      </c>
      <c r="D310">
        <f t="shared" si="36"/>
        <v>364.19</v>
      </c>
      <c r="E310">
        <v>0.61</v>
      </c>
      <c r="F310">
        <f t="shared" si="37"/>
        <v>-363.58</v>
      </c>
      <c r="I310">
        <f t="shared" si="32"/>
        <v>15</v>
      </c>
      <c r="J310">
        <v>1</v>
      </c>
      <c r="K310">
        <f t="shared" si="33"/>
        <v>11</v>
      </c>
      <c r="L310">
        <f t="shared" si="34"/>
        <v>2024</v>
      </c>
      <c r="N310" s="17">
        <f t="shared" si="38"/>
        <v>45597</v>
      </c>
      <c r="P310" s="17">
        <v>36770</v>
      </c>
      <c r="Q310" s="55" t="e">
        <f t="shared" si="35"/>
        <v>#DIV/0!</v>
      </c>
      <c r="S310">
        <f t="shared" si="39"/>
        <v>0</v>
      </c>
    </row>
    <row r="311" spans="1:19" x14ac:dyDescent="0.3">
      <c r="A311" s="17">
        <v>45610</v>
      </c>
      <c r="B311">
        <v>445.58</v>
      </c>
      <c r="C311">
        <v>71.42</v>
      </c>
      <c r="D311">
        <f t="shared" si="36"/>
        <v>374.15999999999997</v>
      </c>
      <c r="E311">
        <v>0.72</v>
      </c>
      <c r="F311">
        <f t="shared" si="37"/>
        <v>-373.43999999999994</v>
      </c>
      <c r="I311">
        <f t="shared" si="32"/>
        <v>14</v>
      </c>
      <c r="J311">
        <v>1</v>
      </c>
      <c r="K311">
        <f t="shared" si="33"/>
        <v>11</v>
      </c>
      <c r="L311">
        <f t="shared" si="34"/>
        <v>2024</v>
      </c>
      <c r="N311" s="17">
        <f t="shared" si="38"/>
        <v>45597</v>
      </c>
      <c r="P311" s="17">
        <v>36739</v>
      </c>
      <c r="Q311" s="55" t="e">
        <f t="shared" si="35"/>
        <v>#DIV/0!</v>
      </c>
      <c r="S311">
        <f t="shared" si="39"/>
        <v>0</v>
      </c>
    </row>
    <row r="312" spans="1:19" x14ac:dyDescent="0.3">
      <c r="A312" s="17">
        <v>45609</v>
      </c>
      <c r="B312">
        <v>440.43</v>
      </c>
      <c r="C312">
        <v>71.144999999999996</v>
      </c>
      <c r="D312">
        <f t="shared" si="36"/>
        <v>369.28500000000003</v>
      </c>
      <c r="E312">
        <v>0.79</v>
      </c>
      <c r="F312">
        <f t="shared" si="37"/>
        <v>-368.495</v>
      </c>
      <c r="I312">
        <f t="shared" si="32"/>
        <v>13</v>
      </c>
      <c r="J312">
        <v>1</v>
      </c>
      <c r="K312">
        <f t="shared" si="33"/>
        <v>11</v>
      </c>
      <c r="L312">
        <f t="shared" si="34"/>
        <v>2024</v>
      </c>
      <c r="N312" s="17">
        <f t="shared" si="38"/>
        <v>45597</v>
      </c>
      <c r="P312" s="17">
        <v>36708</v>
      </c>
      <c r="Q312" s="55" t="e">
        <f t="shared" si="35"/>
        <v>#DIV/0!</v>
      </c>
      <c r="S312">
        <f t="shared" si="39"/>
        <v>0</v>
      </c>
    </row>
    <row r="313" spans="1:19" x14ac:dyDescent="0.3">
      <c r="A313" s="17">
        <v>45608</v>
      </c>
      <c r="B313">
        <v>435.37</v>
      </c>
      <c r="C313">
        <v>71.08</v>
      </c>
      <c r="D313">
        <f t="shared" si="36"/>
        <v>364.29</v>
      </c>
      <c r="E313">
        <v>0.89</v>
      </c>
      <c r="F313">
        <f t="shared" si="37"/>
        <v>-363.40000000000003</v>
      </c>
      <c r="I313">
        <f t="shared" si="32"/>
        <v>12</v>
      </c>
      <c r="J313">
        <v>1</v>
      </c>
      <c r="K313">
        <f t="shared" si="33"/>
        <v>11</v>
      </c>
      <c r="L313">
        <f t="shared" si="34"/>
        <v>2024</v>
      </c>
      <c r="N313" s="17">
        <f t="shared" si="38"/>
        <v>45597</v>
      </c>
      <c r="P313" s="17">
        <v>36678</v>
      </c>
      <c r="Q313" s="55" t="e">
        <f t="shared" si="35"/>
        <v>#DIV/0!</v>
      </c>
      <c r="S313">
        <f t="shared" si="39"/>
        <v>0</v>
      </c>
    </row>
    <row r="314" spans="1:19" x14ac:dyDescent="0.3">
      <c r="A314" s="17">
        <v>45607</v>
      </c>
      <c r="B314">
        <v>445.12</v>
      </c>
      <c r="C314">
        <v>73.09</v>
      </c>
      <c r="D314">
        <f t="shared" si="36"/>
        <v>372.03</v>
      </c>
      <c r="E314">
        <v>0.96</v>
      </c>
      <c r="F314">
        <f t="shared" si="37"/>
        <v>-371.07</v>
      </c>
      <c r="I314">
        <f t="shared" si="32"/>
        <v>11</v>
      </c>
      <c r="J314">
        <v>1</v>
      </c>
      <c r="K314">
        <f t="shared" si="33"/>
        <v>11</v>
      </c>
      <c r="L314">
        <f t="shared" si="34"/>
        <v>2024</v>
      </c>
      <c r="N314" s="17">
        <f t="shared" si="38"/>
        <v>45597</v>
      </c>
      <c r="P314" s="17">
        <v>36647</v>
      </c>
      <c r="Q314" s="55" t="e">
        <f t="shared" si="35"/>
        <v>#DIV/0!</v>
      </c>
      <c r="S314">
        <f t="shared" si="39"/>
        <v>0</v>
      </c>
    </row>
    <row r="315" spans="1:19" x14ac:dyDescent="0.3">
      <c r="A315" s="17">
        <v>45604</v>
      </c>
      <c r="B315">
        <v>444.56</v>
      </c>
      <c r="C315">
        <v>73.849999999999994</v>
      </c>
      <c r="D315">
        <f t="shared" si="36"/>
        <v>370.71000000000004</v>
      </c>
      <c r="E315">
        <v>1.03</v>
      </c>
      <c r="F315">
        <f t="shared" si="37"/>
        <v>-369.68000000000006</v>
      </c>
      <c r="I315">
        <f t="shared" si="32"/>
        <v>8</v>
      </c>
      <c r="J315">
        <v>1</v>
      </c>
      <c r="K315">
        <f t="shared" si="33"/>
        <v>11</v>
      </c>
      <c r="L315">
        <f t="shared" si="34"/>
        <v>2024</v>
      </c>
      <c r="N315" s="17">
        <f t="shared" si="38"/>
        <v>45597</v>
      </c>
      <c r="P315" s="17">
        <v>36617</v>
      </c>
      <c r="Q315" s="55" t="e">
        <f t="shared" si="35"/>
        <v>#DIV/0!</v>
      </c>
      <c r="S315">
        <f t="shared" si="39"/>
        <v>0</v>
      </c>
    </row>
    <row r="316" spans="1:19" x14ac:dyDescent="0.3">
      <c r="A316" s="17">
        <v>45603</v>
      </c>
      <c r="B316">
        <v>442.35</v>
      </c>
      <c r="C316">
        <v>74.010000000000005</v>
      </c>
      <c r="D316">
        <f t="shared" si="36"/>
        <v>368.34000000000003</v>
      </c>
      <c r="E316">
        <v>1</v>
      </c>
      <c r="F316">
        <f t="shared" si="37"/>
        <v>-367.34000000000003</v>
      </c>
      <c r="I316">
        <f t="shared" si="32"/>
        <v>7</v>
      </c>
      <c r="J316">
        <v>1</v>
      </c>
      <c r="K316">
        <f t="shared" si="33"/>
        <v>11</v>
      </c>
      <c r="L316">
        <f t="shared" si="34"/>
        <v>2024</v>
      </c>
      <c r="N316" s="17">
        <f t="shared" si="38"/>
        <v>45597</v>
      </c>
      <c r="P316" s="17">
        <v>36586</v>
      </c>
      <c r="Q316" s="55" t="e">
        <f t="shared" si="35"/>
        <v>#DIV/0!</v>
      </c>
      <c r="S316">
        <f t="shared" si="39"/>
        <v>0</v>
      </c>
    </row>
    <row r="317" spans="1:19" x14ac:dyDescent="0.3">
      <c r="A317" s="17">
        <v>45602</v>
      </c>
      <c r="B317">
        <v>442.8</v>
      </c>
      <c r="C317">
        <v>73.295000000000002</v>
      </c>
      <c r="D317">
        <f t="shared" si="36"/>
        <v>369.505</v>
      </c>
      <c r="E317">
        <v>1.1299999999999999</v>
      </c>
      <c r="F317">
        <f t="shared" si="37"/>
        <v>-368.375</v>
      </c>
      <c r="I317">
        <f t="shared" si="32"/>
        <v>6</v>
      </c>
      <c r="J317">
        <v>1</v>
      </c>
      <c r="K317">
        <f t="shared" si="33"/>
        <v>11</v>
      </c>
      <c r="L317">
        <f t="shared" si="34"/>
        <v>2024</v>
      </c>
      <c r="N317" s="17">
        <f t="shared" si="38"/>
        <v>45597</v>
      </c>
      <c r="P317" s="17">
        <v>36557</v>
      </c>
      <c r="Q317" s="55" t="e">
        <f t="shared" si="35"/>
        <v>#DIV/0!</v>
      </c>
      <c r="S317">
        <f t="shared" si="39"/>
        <v>0</v>
      </c>
    </row>
    <row r="318" spans="1:19" x14ac:dyDescent="0.3">
      <c r="A318" s="17">
        <v>45601</v>
      </c>
      <c r="B318">
        <v>448.15</v>
      </c>
      <c r="C318">
        <v>74.14</v>
      </c>
      <c r="D318">
        <f t="shared" si="36"/>
        <v>374.01</v>
      </c>
      <c r="E318">
        <v>1.1000000000000001</v>
      </c>
      <c r="F318">
        <f t="shared" si="37"/>
        <v>-372.90999999999997</v>
      </c>
      <c r="I318">
        <f t="shared" si="32"/>
        <v>5</v>
      </c>
      <c r="J318">
        <v>1</v>
      </c>
      <c r="K318">
        <f t="shared" si="33"/>
        <v>11</v>
      </c>
      <c r="L318">
        <f t="shared" si="34"/>
        <v>2024</v>
      </c>
      <c r="N318" s="17">
        <f t="shared" si="38"/>
        <v>45597</v>
      </c>
      <c r="P318" s="17">
        <v>36526</v>
      </c>
      <c r="Q318" s="55" t="e">
        <f t="shared" si="35"/>
        <v>#DIV/0!</v>
      </c>
      <c r="S318">
        <f t="shared" si="39"/>
        <v>0</v>
      </c>
    </row>
    <row r="319" spans="1:19" x14ac:dyDescent="0.3">
      <c r="A319" s="17">
        <v>45600</v>
      </c>
      <c r="B319">
        <v>443.75</v>
      </c>
      <c r="C319">
        <v>73.52</v>
      </c>
      <c r="D319">
        <f t="shared" si="36"/>
        <v>370.23</v>
      </c>
      <c r="E319">
        <v>1.1599999999999999</v>
      </c>
      <c r="F319">
        <f t="shared" si="37"/>
        <v>-369.07</v>
      </c>
      <c r="I319">
        <f t="shared" si="32"/>
        <v>4</v>
      </c>
      <c r="J319">
        <v>1</v>
      </c>
      <c r="K319">
        <f t="shared" si="33"/>
        <v>11</v>
      </c>
      <c r="L319">
        <f t="shared" si="34"/>
        <v>2024</v>
      </c>
      <c r="N319" s="17">
        <f t="shared" si="38"/>
        <v>45597</v>
      </c>
      <c r="P319" s="17">
        <v>36495</v>
      </c>
      <c r="Q319" s="55" t="e">
        <f t="shared" si="35"/>
        <v>#DIV/0!</v>
      </c>
      <c r="S319">
        <f t="shared" si="39"/>
        <v>1</v>
      </c>
    </row>
    <row r="320" spans="1:19" x14ac:dyDescent="0.3">
      <c r="A320" s="17">
        <v>45597</v>
      </c>
      <c r="B320">
        <v>452.47</v>
      </c>
      <c r="C320">
        <v>73.59</v>
      </c>
      <c r="D320">
        <f t="shared" si="36"/>
        <v>378.88</v>
      </c>
      <c r="E320">
        <v>1.08</v>
      </c>
      <c r="F320">
        <f t="shared" si="37"/>
        <v>-377.8</v>
      </c>
      <c r="I320">
        <f t="shared" si="32"/>
        <v>1</v>
      </c>
      <c r="J320">
        <v>1</v>
      </c>
      <c r="K320">
        <f t="shared" si="33"/>
        <v>11</v>
      </c>
      <c r="L320">
        <f t="shared" si="34"/>
        <v>2024</v>
      </c>
      <c r="N320" s="17">
        <f t="shared" si="38"/>
        <v>45597</v>
      </c>
      <c r="P320" s="17">
        <v>36465</v>
      </c>
      <c r="Q320" s="55" t="e">
        <f t="shared" si="35"/>
        <v>#DIV/0!</v>
      </c>
      <c r="S320">
        <f t="shared" si="39"/>
        <v>1</v>
      </c>
    </row>
    <row r="321" spans="1:19" x14ac:dyDescent="0.3">
      <c r="A321" s="17">
        <v>45595</v>
      </c>
      <c r="B321">
        <v>445.41</v>
      </c>
      <c r="C321">
        <v>72.010000000000005</v>
      </c>
      <c r="D321">
        <f t="shared" si="36"/>
        <v>373.40000000000003</v>
      </c>
      <c r="E321">
        <v>0.92</v>
      </c>
      <c r="F321">
        <f t="shared" si="37"/>
        <v>-372.48</v>
      </c>
      <c r="I321">
        <f t="shared" si="32"/>
        <v>30</v>
      </c>
      <c r="J321">
        <v>1</v>
      </c>
      <c r="K321">
        <f t="shared" si="33"/>
        <v>10</v>
      </c>
      <c r="L321">
        <f t="shared" si="34"/>
        <v>2024</v>
      </c>
      <c r="N321" s="17">
        <f t="shared" si="38"/>
        <v>45566</v>
      </c>
      <c r="P321" s="17">
        <v>36434</v>
      </c>
      <c r="Q321" s="55" t="e">
        <f t="shared" si="35"/>
        <v>#DIV/0!</v>
      </c>
      <c r="S321">
        <f t="shared" si="39"/>
        <v>0</v>
      </c>
    </row>
    <row r="322" spans="1:19" x14ac:dyDescent="0.3">
      <c r="A322" s="17">
        <v>45594</v>
      </c>
      <c r="B322">
        <v>441.77</v>
      </c>
      <c r="C322">
        <v>70.819999999999993</v>
      </c>
      <c r="D322">
        <f t="shared" si="36"/>
        <v>370.95</v>
      </c>
      <c r="E322">
        <v>0.84</v>
      </c>
      <c r="F322">
        <f t="shared" si="37"/>
        <v>-370.11</v>
      </c>
      <c r="I322">
        <f t="shared" si="32"/>
        <v>29</v>
      </c>
      <c r="J322">
        <v>1</v>
      </c>
      <c r="K322">
        <f t="shared" si="33"/>
        <v>10</v>
      </c>
      <c r="L322">
        <f t="shared" si="34"/>
        <v>2024</v>
      </c>
      <c r="N322" s="17">
        <f t="shared" si="38"/>
        <v>45566</v>
      </c>
      <c r="P322" s="17">
        <v>36404</v>
      </c>
      <c r="Q322" s="55" t="e">
        <f t="shared" si="35"/>
        <v>#DIV/0!</v>
      </c>
      <c r="S322">
        <f t="shared" si="39"/>
        <v>0</v>
      </c>
    </row>
    <row r="323" spans="1:19" x14ac:dyDescent="0.3">
      <c r="A323" s="17">
        <v>45593</v>
      </c>
      <c r="B323">
        <v>444.75</v>
      </c>
      <c r="C323">
        <v>72</v>
      </c>
      <c r="D323">
        <f t="shared" si="36"/>
        <v>372.75</v>
      </c>
      <c r="E323">
        <v>0.71</v>
      </c>
      <c r="F323">
        <f t="shared" si="37"/>
        <v>-372.04</v>
      </c>
      <c r="I323">
        <f t="shared" si="32"/>
        <v>28</v>
      </c>
      <c r="J323">
        <v>1</v>
      </c>
      <c r="K323">
        <f t="shared" si="33"/>
        <v>10</v>
      </c>
      <c r="L323">
        <f t="shared" si="34"/>
        <v>2024</v>
      </c>
      <c r="N323" s="17">
        <f t="shared" si="38"/>
        <v>45566</v>
      </c>
      <c r="P323" s="17">
        <v>36373</v>
      </c>
      <c r="Q323" s="55" t="e">
        <f t="shared" si="35"/>
        <v>#DIV/0!</v>
      </c>
      <c r="S323">
        <f t="shared" si="39"/>
        <v>0</v>
      </c>
    </row>
    <row r="324" spans="1:19" x14ac:dyDescent="0.3">
      <c r="A324" s="17">
        <v>45590</v>
      </c>
      <c r="B324">
        <v>455.53</v>
      </c>
      <c r="C324">
        <v>73.55</v>
      </c>
      <c r="D324">
        <f t="shared" si="36"/>
        <v>381.97999999999996</v>
      </c>
      <c r="E324">
        <v>0.64</v>
      </c>
      <c r="F324">
        <f t="shared" si="37"/>
        <v>-381.34</v>
      </c>
      <c r="I324">
        <f t="shared" si="32"/>
        <v>25</v>
      </c>
      <c r="J324">
        <v>1</v>
      </c>
      <c r="K324">
        <f t="shared" si="33"/>
        <v>10</v>
      </c>
      <c r="L324">
        <f t="shared" si="34"/>
        <v>2024</v>
      </c>
      <c r="N324" s="17">
        <f t="shared" si="38"/>
        <v>45566</v>
      </c>
      <c r="P324" s="17">
        <v>36342</v>
      </c>
      <c r="Q324" s="55" t="e">
        <f t="shared" si="35"/>
        <v>#DIV/0!</v>
      </c>
      <c r="S324">
        <f t="shared" si="39"/>
        <v>0</v>
      </c>
    </row>
    <row r="325" spans="1:19" x14ac:dyDescent="0.3">
      <c r="A325" s="17">
        <v>45589</v>
      </c>
      <c r="B325">
        <v>461.83</v>
      </c>
      <c r="C325">
        <v>75.400000000000006</v>
      </c>
      <c r="D325">
        <f t="shared" si="36"/>
        <v>386.42999999999995</v>
      </c>
      <c r="E325">
        <v>0.59</v>
      </c>
      <c r="F325">
        <f t="shared" si="37"/>
        <v>-385.84</v>
      </c>
      <c r="I325">
        <f t="shared" ref="I325:I388" si="40">+DAY(A325)</f>
        <v>24</v>
      </c>
      <c r="J325">
        <v>1</v>
      </c>
      <c r="K325">
        <f t="shared" ref="K325:K388" si="41">+MONTH(A325)</f>
        <v>10</v>
      </c>
      <c r="L325">
        <f t="shared" ref="L325:L388" si="42">+YEAR(A325)</f>
        <v>2024</v>
      </c>
      <c r="N325" s="17">
        <f t="shared" si="38"/>
        <v>45566</v>
      </c>
      <c r="P325" s="17">
        <v>36312</v>
      </c>
      <c r="Q325" s="55" t="e">
        <f t="shared" ref="Q325:Q388" si="43">+AVERAGEIFS($F$5:$F$3568,$N$5:$N$3568,$P325,$S$5:$S$3568,1)</f>
        <v>#DIV/0!</v>
      </c>
      <c r="S325">
        <f t="shared" si="39"/>
        <v>0</v>
      </c>
    </row>
    <row r="326" spans="1:19" x14ac:dyDescent="0.3">
      <c r="A326" s="17">
        <v>45588</v>
      </c>
      <c r="B326">
        <v>459.13</v>
      </c>
      <c r="C326">
        <v>75.06</v>
      </c>
      <c r="D326">
        <f t="shared" ref="D326:D389" si="44">+B326-C326</f>
        <v>384.07</v>
      </c>
      <c r="E326">
        <v>0.6</v>
      </c>
      <c r="F326">
        <f t="shared" ref="F326:F389" si="45">+E326-D326</f>
        <v>-383.46999999999997</v>
      </c>
      <c r="I326">
        <f t="shared" si="40"/>
        <v>23</v>
      </c>
      <c r="J326">
        <v>1</v>
      </c>
      <c r="K326">
        <f t="shared" si="41"/>
        <v>10</v>
      </c>
      <c r="L326">
        <f t="shared" si="42"/>
        <v>2024</v>
      </c>
      <c r="N326" s="17">
        <f t="shared" ref="N326:N389" si="46">+DATE(L326,K326,J326)</f>
        <v>45566</v>
      </c>
      <c r="P326" s="17">
        <v>36281</v>
      </c>
      <c r="Q326" s="55" t="e">
        <f t="shared" si="43"/>
        <v>#DIV/0!</v>
      </c>
      <c r="S326">
        <f t="shared" ref="S326:S389" si="47">IF(AND(I326&gt;=1, I326&lt;=4), 1, 0)</f>
        <v>0</v>
      </c>
    </row>
    <row r="327" spans="1:19" x14ac:dyDescent="0.3">
      <c r="A327" s="17">
        <v>45587</v>
      </c>
      <c r="B327">
        <v>441.27</v>
      </c>
      <c r="C327">
        <v>73.55</v>
      </c>
      <c r="D327">
        <f t="shared" si="44"/>
        <v>367.71999999999997</v>
      </c>
      <c r="E327">
        <v>0.56999999999999995</v>
      </c>
      <c r="F327">
        <f t="shared" si="45"/>
        <v>-367.15</v>
      </c>
      <c r="I327">
        <f t="shared" si="40"/>
        <v>22</v>
      </c>
      <c r="J327">
        <v>1</v>
      </c>
      <c r="K327">
        <f t="shared" si="41"/>
        <v>10</v>
      </c>
      <c r="L327">
        <f t="shared" si="42"/>
        <v>2024</v>
      </c>
      <c r="N327" s="17">
        <f t="shared" si="46"/>
        <v>45566</v>
      </c>
      <c r="P327" s="17">
        <v>36251</v>
      </c>
      <c r="Q327" s="55" t="e">
        <f t="shared" si="43"/>
        <v>#DIV/0!</v>
      </c>
      <c r="S327">
        <f t="shared" si="47"/>
        <v>0</v>
      </c>
    </row>
    <row r="328" spans="1:19" x14ac:dyDescent="0.3">
      <c r="A328" s="17">
        <v>45586</v>
      </c>
      <c r="B328">
        <v>435.08</v>
      </c>
      <c r="C328">
        <v>73.540000000000006</v>
      </c>
      <c r="D328">
        <f t="shared" si="44"/>
        <v>361.53999999999996</v>
      </c>
      <c r="E328">
        <v>0.6</v>
      </c>
      <c r="F328">
        <f t="shared" si="45"/>
        <v>-360.93999999999994</v>
      </c>
      <c r="I328">
        <f t="shared" si="40"/>
        <v>21</v>
      </c>
      <c r="J328">
        <v>1</v>
      </c>
      <c r="K328">
        <f t="shared" si="41"/>
        <v>10</v>
      </c>
      <c r="L328">
        <f t="shared" si="42"/>
        <v>2024</v>
      </c>
      <c r="N328" s="17">
        <f t="shared" si="46"/>
        <v>45566</v>
      </c>
      <c r="P328" s="17">
        <v>36220</v>
      </c>
      <c r="Q328" s="55" t="e">
        <f t="shared" si="43"/>
        <v>#DIV/0!</v>
      </c>
      <c r="S328">
        <f t="shared" si="47"/>
        <v>0</v>
      </c>
    </row>
    <row r="329" spans="1:19" x14ac:dyDescent="0.3">
      <c r="A329" s="17">
        <v>45583</v>
      </c>
      <c r="B329">
        <v>439.94</v>
      </c>
      <c r="C329">
        <v>74.19</v>
      </c>
      <c r="D329">
        <f t="shared" si="44"/>
        <v>365.75</v>
      </c>
      <c r="E329">
        <v>0.71</v>
      </c>
      <c r="F329">
        <f t="shared" si="45"/>
        <v>-365.04</v>
      </c>
      <c r="I329">
        <f t="shared" si="40"/>
        <v>18</v>
      </c>
      <c r="J329">
        <v>1</v>
      </c>
      <c r="K329">
        <f t="shared" si="41"/>
        <v>10</v>
      </c>
      <c r="L329">
        <f t="shared" si="42"/>
        <v>2024</v>
      </c>
      <c r="N329" s="17">
        <f t="shared" si="46"/>
        <v>45566</v>
      </c>
      <c r="P329" s="17">
        <v>36192</v>
      </c>
      <c r="Q329" s="55" t="e">
        <f t="shared" si="43"/>
        <v>#DIV/0!</v>
      </c>
      <c r="S329">
        <f t="shared" si="47"/>
        <v>0</v>
      </c>
    </row>
    <row r="330" spans="1:19" x14ac:dyDescent="0.3">
      <c r="A330" s="17">
        <v>45582</v>
      </c>
      <c r="B330">
        <v>436.27</v>
      </c>
      <c r="C330">
        <v>74.069999999999993</v>
      </c>
      <c r="D330">
        <f t="shared" si="44"/>
        <v>362.2</v>
      </c>
      <c r="E330">
        <v>0.72</v>
      </c>
      <c r="F330">
        <f t="shared" si="45"/>
        <v>-361.47999999999996</v>
      </c>
      <c r="I330">
        <f t="shared" si="40"/>
        <v>17</v>
      </c>
      <c r="J330">
        <v>1</v>
      </c>
      <c r="K330">
        <f t="shared" si="41"/>
        <v>10</v>
      </c>
      <c r="L330">
        <f t="shared" si="42"/>
        <v>2024</v>
      </c>
      <c r="N330" s="17">
        <f t="shared" si="46"/>
        <v>45566</v>
      </c>
      <c r="P330" s="17">
        <v>36161</v>
      </c>
      <c r="Q330" s="55" t="e">
        <f t="shared" si="43"/>
        <v>#DIV/0!</v>
      </c>
      <c r="S330">
        <f t="shared" si="47"/>
        <v>0</v>
      </c>
    </row>
    <row r="331" spans="1:19" x14ac:dyDescent="0.3">
      <c r="A331" s="17">
        <v>45581</v>
      </c>
      <c r="B331">
        <v>433.83</v>
      </c>
      <c r="C331">
        <v>73.989999999999995</v>
      </c>
      <c r="D331">
        <f t="shared" si="44"/>
        <v>359.84</v>
      </c>
      <c r="E331">
        <v>0.5</v>
      </c>
      <c r="F331">
        <f t="shared" si="45"/>
        <v>-359.34</v>
      </c>
      <c r="I331">
        <f t="shared" si="40"/>
        <v>16</v>
      </c>
      <c r="J331">
        <v>1</v>
      </c>
      <c r="K331">
        <f t="shared" si="41"/>
        <v>10</v>
      </c>
      <c r="L331">
        <f t="shared" si="42"/>
        <v>2024</v>
      </c>
      <c r="N331" s="17">
        <f t="shared" si="46"/>
        <v>45566</v>
      </c>
      <c r="P331" s="17">
        <v>36130</v>
      </c>
      <c r="Q331" s="55" t="e">
        <f t="shared" si="43"/>
        <v>#DIV/0!</v>
      </c>
      <c r="S331">
        <f t="shared" si="47"/>
        <v>0</v>
      </c>
    </row>
    <row r="332" spans="1:19" x14ac:dyDescent="0.3">
      <c r="A332" s="17">
        <v>45580</v>
      </c>
      <c r="B332">
        <v>433.32</v>
      </c>
      <c r="C332">
        <v>74.290000000000006</v>
      </c>
      <c r="D332">
        <f t="shared" si="44"/>
        <v>359.03</v>
      </c>
      <c r="E332">
        <v>0.52</v>
      </c>
      <c r="F332">
        <f t="shared" si="45"/>
        <v>-358.51</v>
      </c>
      <c r="I332">
        <f t="shared" si="40"/>
        <v>15</v>
      </c>
      <c r="J332">
        <v>1</v>
      </c>
      <c r="K332">
        <f t="shared" si="41"/>
        <v>10</v>
      </c>
      <c r="L332">
        <f t="shared" si="42"/>
        <v>2024</v>
      </c>
      <c r="N332" s="17">
        <f t="shared" si="46"/>
        <v>45566</v>
      </c>
      <c r="P332" s="17">
        <v>36100</v>
      </c>
      <c r="Q332" s="55" t="e">
        <f t="shared" si="43"/>
        <v>#DIV/0!</v>
      </c>
      <c r="S332">
        <f t="shared" si="47"/>
        <v>0</v>
      </c>
    </row>
    <row r="333" spans="1:19" x14ac:dyDescent="0.3">
      <c r="A333" s="17">
        <v>45579</v>
      </c>
      <c r="B333">
        <v>454.3</v>
      </c>
      <c r="C333">
        <v>77.64</v>
      </c>
      <c r="D333">
        <f t="shared" si="44"/>
        <v>376.66</v>
      </c>
      <c r="E333">
        <v>0.53</v>
      </c>
      <c r="F333">
        <f t="shared" si="45"/>
        <v>-376.13000000000005</v>
      </c>
      <c r="I333">
        <f t="shared" si="40"/>
        <v>14</v>
      </c>
      <c r="J333">
        <v>1</v>
      </c>
      <c r="K333">
        <f t="shared" si="41"/>
        <v>10</v>
      </c>
      <c r="L333">
        <f t="shared" si="42"/>
        <v>2024</v>
      </c>
      <c r="N333" s="17">
        <f t="shared" si="46"/>
        <v>45566</v>
      </c>
      <c r="P333" s="17">
        <v>36069</v>
      </c>
      <c r="Q333" s="55" t="e">
        <f t="shared" si="43"/>
        <v>#DIV/0!</v>
      </c>
      <c r="S333">
        <f t="shared" si="47"/>
        <v>0</v>
      </c>
    </row>
    <row r="334" spans="1:19" x14ac:dyDescent="0.3">
      <c r="A334" s="17">
        <v>45576</v>
      </c>
      <c r="B334">
        <v>454.82</v>
      </c>
      <c r="C334">
        <v>78.59</v>
      </c>
      <c r="D334">
        <f t="shared" si="44"/>
        <v>376.23</v>
      </c>
      <c r="E334">
        <v>0.47</v>
      </c>
      <c r="F334">
        <f t="shared" si="45"/>
        <v>-375.76</v>
      </c>
      <c r="I334">
        <f t="shared" si="40"/>
        <v>11</v>
      </c>
      <c r="J334">
        <v>1</v>
      </c>
      <c r="K334">
        <f t="shared" si="41"/>
        <v>10</v>
      </c>
      <c r="L334">
        <f t="shared" si="42"/>
        <v>2024</v>
      </c>
      <c r="N334" s="17">
        <f t="shared" si="46"/>
        <v>45566</v>
      </c>
      <c r="P334" s="17">
        <v>36039</v>
      </c>
      <c r="Q334" s="55" t="e">
        <f t="shared" si="43"/>
        <v>#DIV/0!</v>
      </c>
      <c r="S334">
        <f t="shared" si="47"/>
        <v>0</v>
      </c>
    </row>
    <row r="335" spans="1:19" x14ac:dyDescent="0.3">
      <c r="A335" s="17">
        <v>45575</v>
      </c>
      <c r="B335">
        <v>446.51</v>
      </c>
      <c r="C335">
        <v>77.14</v>
      </c>
      <c r="D335">
        <f t="shared" si="44"/>
        <v>369.37</v>
      </c>
      <c r="E335">
        <v>0.42</v>
      </c>
      <c r="F335">
        <f t="shared" si="45"/>
        <v>-368.95</v>
      </c>
      <c r="I335">
        <f t="shared" si="40"/>
        <v>10</v>
      </c>
      <c r="J335">
        <v>1</v>
      </c>
      <c r="K335">
        <f t="shared" si="41"/>
        <v>10</v>
      </c>
      <c r="L335">
        <f t="shared" si="42"/>
        <v>2024</v>
      </c>
      <c r="N335" s="17">
        <f t="shared" si="46"/>
        <v>45566</v>
      </c>
      <c r="P335" s="17">
        <v>36008</v>
      </c>
      <c r="Q335" s="55" t="e">
        <f t="shared" si="43"/>
        <v>#DIV/0!</v>
      </c>
      <c r="S335">
        <f t="shared" si="47"/>
        <v>0</v>
      </c>
    </row>
    <row r="336" spans="1:19" x14ac:dyDescent="0.3">
      <c r="A336" s="17">
        <v>45574</v>
      </c>
      <c r="B336">
        <v>443.44</v>
      </c>
      <c r="C336">
        <v>77.435000000000002</v>
      </c>
      <c r="D336">
        <f t="shared" si="44"/>
        <v>366.005</v>
      </c>
      <c r="E336">
        <v>0.35</v>
      </c>
      <c r="F336">
        <f t="shared" si="45"/>
        <v>-365.65499999999997</v>
      </c>
      <c r="I336">
        <f t="shared" si="40"/>
        <v>9</v>
      </c>
      <c r="J336">
        <v>1</v>
      </c>
      <c r="K336">
        <f t="shared" si="41"/>
        <v>10</v>
      </c>
      <c r="L336">
        <f t="shared" si="42"/>
        <v>2024</v>
      </c>
      <c r="N336" s="17">
        <f t="shared" si="46"/>
        <v>45566</v>
      </c>
      <c r="P336" s="17">
        <v>35977</v>
      </c>
      <c r="Q336" s="55" t="e">
        <f t="shared" si="43"/>
        <v>#DIV/0!</v>
      </c>
      <c r="S336">
        <f t="shared" si="47"/>
        <v>0</v>
      </c>
    </row>
    <row r="337" spans="1:19" x14ac:dyDescent="0.3">
      <c r="A337" s="17">
        <v>45573</v>
      </c>
      <c r="B337">
        <v>444.45</v>
      </c>
      <c r="C337">
        <v>78.97</v>
      </c>
      <c r="D337">
        <f t="shared" si="44"/>
        <v>365.48</v>
      </c>
      <c r="E337">
        <v>0.28999999999999998</v>
      </c>
      <c r="F337">
        <f t="shared" si="45"/>
        <v>-365.19</v>
      </c>
      <c r="I337">
        <f t="shared" si="40"/>
        <v>8</v>
      </c>
      <c r="J337">
        <v>1</v>
      </c>
      <c r="K337">
        <f t="shared" si="41"/>
        <v>10</v>
      </c>
      <c r="L337">
        <f t="shared" si="42"/>
        <v>2024</v>
      </c>
      <c r="N337" s="17">
        <f t="shared" si="46"/>
        <v>45566</v>
      </c>
      <c r="P337" s="17">
        <v>35947</v>
      </c>
      <c r="Q337" s="55" t="e">
        <f t="shared" si="43"/>
        <v>#DIV/0!</v>
      </c>
      <c r="S337">
        <f t="shared" si="47"/>
        <v>0</v>
      </c>
    </row>
    <row r="338" spans="1:19" x14ac:dyDescent="0.3">
      <c r="A338" s="17">
        <v>45572</v>
      </c>
      <c r="B338">
        <v>444.43</v>
      </c>
      <c r="C338">
        <v>78.144999999999996</v>
      </c>
      <c r="D338">
        <f t="shared" si="44"/>
        <v>366.28500000000003</v>
      </c>
      <c r="E338">
        <v>0.24</v>
      </c>
      <c r="F338">
        <f t="shared" si="45"/>
        <v>-366.04500000000002</v>
      </c>
      <c r="I338">
        <f t="shared" si="40"/>
        <v>7</v>
      </c>
      <c r="J338">
        <v>1</v>
      </c>
      <c r="K338">
        <f t="shared" si="41"/>
        <v>10</v>
      </c>
      <c r="L338">
        <f t="shared" si="42"/>
        <v>2024</v>
      </c>
      <c r="N338" s="17">
        <f t="shared" si="46"/>
        <v>45566</v>
      </c>
      <c r="P338" s="17">
        <v>35916</v>
      </c>
      <c r="Q338" s="55" t="e">
        <f t="shared" si="43"/>
        <v>#DIV/0!</v>
      </c>
      <c r="S338">
        <f t="shared" si="47"/>
        <v>0</v>
      </c>
    </row>
    <row r="339" spans="1:19" x14ac:dyDescent="0.3">
      <c r="A339" s="17">
        <v>45569</v>
      </c>
      <c r="B339">
        <v>444.7</v>
      </c>
      <c r="C339">
        <v>77.88</v>
      </c>
      <c r="D339">
        <f t="shared" si="44"/>
        <v>366.82</v>
      </c>
      <c r="E339">
        <v>0.26</v>
      </c>
      <c r="F339">
        <f t="shared" si="45"/>
        <v>-366.56</v>
      </c>
      <c r="I339">
        <f t="shared" si="40"/>
        <v>4</v>
      </c>
      <c r="J339">
        <v>1</v>
      </c>
      <c r="K339">
        <f t="shared" si="41"/>
        <v>10</v>
      </c>
      <c r="L339">
        <f t="shared" si="42"/>
        <v>2024</v>
      </c>
      <c r="N339" s="17">
        <f t="shared" si="46"/>
        <v>45566</v>
      </c>
      <c r="P339" s="17">
        <v>35886</v>
      </c>
      <c r="Q339" s="55" t="e">
        <f t="shared" si="43"/>
        <v>#DIV/0!</v>
      </c>
      <c r="S339">
        <f t="shared" si="47"/>
        <v>1</v>
      </c>
    </row>
    <row r="340" spans="1:19" x14ac:dyDescent="0.3">
      <c r="A340" s="17">
        <v>45568</v>
      </c>
      <c r="B340">
        <v>416.57</v>
      </c>
      <c r="C340">
        <v>74.44</v>
      </c>
      <c r="D340">
        <f t="shared" si="44"/>
        <v>342.13</v>
      </c>
      <c r="E340">
        <v>0.24</v>
      </c>
      <c r="F340">
        <f t="shared" si="45"/>
        <v>-341.89</v>
      </c>
      <c r="I340">
        <f t="shared" si="40"/>
        <v>3</v>
      </c>
      <c r="J340">
        <v>1</v>
      </c>
      <c r="K340">
        <f t="shared" si="41"/>
        <v>10</v>
      </c>
      <c r="L340">
        <f t="shared" si="42"/>
        <v>2024</v>
      </c>
      <c r="N340" s="17">
        <f t="shared" si="46"/>
        <v>45566</v>
      </c>
      <c r="P340" s="17">
        <v>35855</v>
      </c>
      <c r="Q340" s="55" t="e">
        <f t="shared" si="43"/>
        <v>#DIV/0!</v>
      </c>
      <c r="S340">
        <f t="shared" si="47"/>
        <v>1</v>
      </c>
    </row>
    <row r="341" spans="1:19" x14ac:dyDescent="0.3">
      <c r="A341" s="17">
        <v>45567</v>
      </c>
      <c r="B341">
        <v>425.19</v>
      </c>
      <c r="C341">
        <v>75.2</v>
      </c>
      <c r="D341">
        <f t="shared" si="44"/>
        <v>349.99</v>
      </c>
      <c r="E341">
        <v>0.28000000000000003</v>
      </c>
      <c r="F341">
        <f t="shared" si="45"/>
        <v>-349.71000000000004</v>
      </c>
      <c r="I341">
        <f t="shared" si="40"/>
        <v>2</v>
      </c>
      <c r="J341">
        <v>1</v>
      </c>
      <c r="K341">
        <f t="shared" si="41"/>
        <v>10</v>
      </c>
      <c r="L341">
        <f t="shared" si="42"/>
        <v>2024</v>
      </c>
      <c r="N341" s="17">
        <f t="shared" si="46"/>
        <v>45566</v>
      </c>
      <c r="P341" s="17">
        <v>35827</v>
      </c>
      <c r="Q341" s="55" t="e">
        <f t="shared" si="43"/>
        <v>#DIV/0!</v>
      </c>
      <c r="S341">
        <f t="shared" si="47"/>
        <v>1</v>
      </c>
    </row>
    <row r="342" spans="1:19" x14ac:dyDescent="0.3">
      <c r="A342" s="17">
        <v>45566</v>
      </c>
      <c r="B342">
        <v>390.33</v>
      </c>
      <c r="C342">
        <v>70.77</v>
      </c>
      <c r="D342">
        <f t="shared" si="44"/>
        <v>319.56</v>
      </c>
      <c r="E342">
        <v>0.28000000000000003</v>
      </c>
      <c r="F342">
        <f t="shared" si="45"/>
        <v>-319.28000000000003</v>
      </c>
      <c r="I342">
        <f t="shared" si="40"/>
        <v>1</v>
      </c>
      <c r="J342">
        <v>1</v>
      </c>
      <c r="K342">
        <f t="shared" si="41"/>
        <v>10</v>
      </c>
      <c r="L342">
        <f t="shared" si="42"/>
        <v>2024</v>
      </c>
      <c r="N342" s="17">
        <f t="shared" si="46"/>
        <v>45566</v>
      </c>
      <c r="P342" s="17">
        <v>35796</v>
      </c>
      <c r="Q342" s="55" t="e">
        <f t="shared" si="43"/>
        <v>#DIV/0!</v>
      </c>
      <c r="S342">
        <f t="shared" si="47"/>
        <v>1</v>
      </c>
    </row>
    <row r="343" spans="1:19" x14ac:dyDescent="0.3">
      <c r="A343" s="17">
        <v>45565</v>
      </c>
      <c r="B343">
        <v>412.36</v>
      </c>
      <c r="C343">
        <v>73.33</v>
      </c>
      <c r="D343">
        <f t="shared" si="44"/>
        <v>339.03000000000003</v>
      </c>
      <c r="E343">
        <v>0.02</v>
      </c>
      <c r="F343">
        <f t="shared" si="45"/>
        <v>-339.01000000000005</v>
      </c>
      <c r="I343">
        <f t="shared" si="40"/>
        <v>30</v>
      </c>
      <c r="J343">
        <v>1</v>
      </c>
      <c r="K343">
        <f t="shared" si="41"/>
        <v>9</v>
      </c>
      <c r="L343">
        <f t="shared" si="42"/>
        <v>2024</v>
      </c>
      <c r="N343" s="17">
        <f t="shared" si="46"/>
        <v>45536</v>
      </c>
      <c r="P343" s="17">
        <v>35765</v>
      </c>
      <c r="Q343" s="55" t="e">
        <f t="shared" si="43"/>
        <v>#DIV/0!</v>
      </c>
      <c r="S343">
        <f t="shared" si="47"/>
        <v>0</v>
      </c>
    </row>
    <row r="344" spans="1:19" x14ac:dyDescent="0.3">
      <c r="A344" s="17">
        <v>45562</v>
      </c>
      <c r="B344">
        <v>408.1</v>
      </c>
      <c r="C344">
        <v>72.715000000000003</v>
      </c>
      <c r="D344">
        <f t="shared" si="44"/>
        <v>335.38499999999999</v>
      </c>
      <c r="E344">
        <v>-0.03</v>
      </c>
      <c r="F344">
        <f t="shared" si="45"/>
        <v>-335.41499999999996</v>
      </c>
      <c r="I344">
        <f t="shared" si="40"/>
        <v>27</v>
      </c>
      <c r="J344">
        <v>1</v>
      </c>
      <c r="K344">
        <f t="shared" si="41"/>
        <v>9</v>
      </c>
      <c r="L344">
        <f t="shared" si="42"/>
        <v>2024</v>
      </c>
      <c r="N344" s="17">
        <f t="shared" si="46"/>
        <v>45536</v>
      </c>
      <c r="P344" s="17">
        <v>35735</v>
      </c>
      <c r="Q344" s="55" t="e">
        <f t="shared" si="43"/>
        <v>#DIV/0!</v>
      </c>
      <c r="S344">
        <f t="shared" si="47"/>
        <v>0</v>
      </c>
    </row>
    <row r="345" spans="1:19" x14ac:dyDescent="0.3">
      <c r="A345" s="17">
        <v>45561</v>
      </c>
      <c r="B345">
        <v>407.06</v>
      </c>
      <c r="C345">
        <v>72.295000000000002</v>
      </c>
      <c r="D345">
        <f t="shared" si="44"/>
        <v>334.76499999999999</v>
      </c>
      <c r="E345">
        <v>-0.21</v>
      </c>
      <c r="F345">
        <f t="shared" si="45"/>
        <v>-334.97499999999997</v>
      </c>
      <c r="I345">
        <f t="shared" si="40"/>
        <v>26</v>
      </c>
      <c r="J345">
        <v>1</v>
      </c>
      <c r="K345">
        <f t="shared" si="41"/>
        <v>9</v>
      </c>
      <c r="L345">
        <f t="shared" si="42"/>
        <v>2024</v>
      </c>
      <c r="N345" s="17">
        <f t="shared" si="46"/>
        <v>45536</v>
      </c>
      <c r="P345" s="17">
        <v>35704</v>
      </c>
      <c r="Q345" s="55" t="e">
        <f t="shared" si="43"/>
        <v>#DIV/0!</v>
      </c>
      <c r="S345">
        <f t="shared" si="47"/>
        <v>0</v>
      </c>
    </row>
    <row r="346" spans="1:19" x14ac:dyDescent="0.3">
      <c r="A346" s="17">
        <v>45560</v>
      </c>
      <c r="B346">
        <v>422.39</v>
      </c>
      <c r="C346">
        <v>74.989999999999995</v>
      </c>
      <c r="D346">
        <f t="shared" si="44"/>
        <v>347.4</v>
      </c>
      <c r="E346">
        <v>-0.28999999999999998</v>
      </c>
      <c r="F346">
        <f t="shared" si="45"/>
        <v>-347.69</v>
      </c>
      <c r="I346">
        <f t="shared" si="40"/>
        <v>25</v>
      </c>
      <c r="J346">
        <v>1</v>
      </c>
      <c r="K346">
        <f t="shared" si="41"/>
        <v>9</v>
      </c>
      <c r="L346">
        <f t="shared" si="42"/>
        <v>2024</v>
      </c>
      <c r="N346" s="17">
        <f t="shared" si="46"/>
        <v>45536</v>
      </c>
      <c r="P346" s="17">
        <v>35674</v>
      </c>
      <c r="Q346" s="55" t="e">
        <f t="shared" si="43"/>
        <v>#DIV/0!</v>
      </c>
      <c r="S346">
        <f t="shared" si="47"/>
        <v>0</v>
      </c>
    </row>
    <row r="347" spans="1:19" x14ac:dyDescent="0.3">
      <c r="A347" s="17">
        <v>45559</v>
      </c>
      <c r="B347">
        <v>426.64</v>
      </c>
      <c r="C347">
        <v>74.849999999999994</v>
      </c>
      <c r="D347">
        <f t="shared" si="44"/>
        <v>351.78999999999996</v>
      </c>
      <c r="E347">
        <v>-0.47</v>
      </c>
      <c r="F347">
        <f t="shared" si="45"/>
        <v>-352.26</v>
      </c>
      <c r="I347">
        <f t="shared" si="40"/>
        <v>24</v>
      </c>
      <c r="J347">
        <v>1</v>
      </c>
      <c r="K347">
        <f t="shared" si="41"/>
        <v>9</v>
      </c>
      <c r="L347">
        <f t="shared" si="42"/>
        <v>2024</v>
      </c>
      <c r="N347" s="17">
        <f t="shared" si="46"/>
        <v>45536</v>
      </c>
      <c r="P347" s="17">
        <v>35643</v>
      </c>
      <c r="Q347" s="55" t="e">
        <f t="shared" si="43"/>
        <v>#DIV/0!</v>
      </c>
      <c r="S347">
        <f t="shared" si="47"/>
        <v>0</v>
      </c>
    </row>
    <row r="348" spans="1:19" x14ac:dyDescent="0.3">
      <c r="A348" s="17">
        <v>45558</v>
      </c>
      <c r="B348">
        <v>434.08</v>
      </c>
      <c r="C348">
        <v>74.27</v>
      </c>
      <c r="D348">
        <f t="shared" si="44"/>
        <v>359.81</v>
      </c>
      <c r="E348">
        <v>-0.47</v>
      </c>
      <c r="F348">
        <f t="shared" si="45"/>
        <v>-360.28000000000003</v>
      </c>
      <c r="I348">
        <f t="shared" si="40"/>
        <v>23</v>
      </c>
      <c r="J348">
        <v>1</v>
      </c>
      <c r="K348">
        <f t="shared" si="41"/>
        <v>9</v>
      </c>
      <c r="L348">
        <f t="shared" si="42"/>
        <v>2024</v>
      </c>
      <c r="N348" s="17">
        <f t="shared" si="46"/>
        <v>45536</v>
      </c>
      <c r="P348" s="17">
        <v>35612</v>
      </c>
      <c r="Q348" s="55" t="e">
        <f t="shared" si="43"/>
        <v>#DIV/0!</v>
      </c>
      <c r="S348">
        <f t="shared" si="47"/>
        <v>0</v>
      </c>
    </row>
    <row r="349" spans="1:19" x14ac:dyDescent="0.3">
      <c r="A349" s="17">
        <v>45555</v>
      </c>
      <c r="B349">
        <v>437.28</v>
      </c>
      <c r="C349">
        <v>74.19</v>
      </c>
      <c r="D349">
        <f t="shared" si="44"/>
        <v>363.09</v>
      </c>
      <c r="E349">
        <v>-0.47</v>
      </c>
      <c r="F349">
        <f t="shared" si="45"/>
        <v>-363.56</v>
      </c>
      <c r="I349">
        <f t="shared" si="40"/>
        <v>20</v>
      </c>
      <c r="J349">
        <v>1</v>
      </c>
      <c r="K349">
        <f t="shared" si="41"/>
        <v>9</v>
      </c>
      <c r="L349">
        <f t="shared" si="42"/>
        <v>2024</v>
      </c>
      <c r="N349" s="17">
        <f t="shared" si="46"/>
        <v>45536</v>
      </c>
      <c r="P349" s="17">
        <v>35582</v>
      </c>
      <c r="Q349" s="55" t="e">
        <f t="shared" si="43"/>
        <v>#DIV/0!</v>
      </c>
      <c r="S349">
        <f t="shared" si="47"/>
        <v>0</v>
      </c>
    </row>
    <row r="350" spans="1:19" x14ac:dyDescent="0.3">
      <c r="A350" s="17">
        <v>45554</v>
      </c>
      <c r="B350">
        <v>430.12</v>
      </c>
      <c r="C350">
        <v>74.844999999999999</v>
      </c>
      <c r="D350">
        <f t="shared" si="44"/>
        <v>355.27499999999998</v>
      </c>
      <c r="E350">
        <v>-0.44</v>
      </c>
      <c r="F350">
        <f t="shared" si="45"/>
        <v>-355.71499999999997</v>
      </c>
      <c r="I350">
        <f t="shared" si="40"/>
        <v>19</v>
      </c>
      <c r="J350">
        <v>1</v>
      </c>
      <c r="K350">
        <f t="shared" si="41"/>
        <v>9</v>
      </c>
      <c r="L350">
        <f t="shared" si="42"/>
        <v>2024</v>
      </c>
      <c r="N350" s="17">
        <f t="shared" si="46"/>
        <v>45536</v>
      </c>
      <c r="P350" s="17">
        <v>35551</v>
      </c>
      <c r="Q350" s="55" t="e">
        <f t="shared" si="43"/>
        <v>#DIV/0!</v>
      </c>
      <c r="S350">
        <f t="shared" si="47"/>
        <v>0</v>
      </c>
    </row>
    <row r="351" spans="1:19" x14ac:dyDescent="0.3">
      <c r="A351" s="17">
        <v>45553</v>
      </c>
      <c r="B351">
        <v>422.25</v>
      </c>
      <c r="C351">
        <v>73.45</v>
      </c>
      <c r="D351">
        <f t="shared" si="44"/>
        <v>348.8</v>
      </c>
      <c r="E351">
        <v>-0.47</v>
      </c>
      <c r="F351">
        <f t="shared" si="45"/>
        <v>-349.27000000000004</v>
      </c>
      <c r="I351">
        <f t="shared" si="40"/>
        <v>18</v>
      </c>
      <c r="J351">
        <v>1</v>
      </c>
      <c r="K351">
        <f t="shared" si="41"/>
        <v>9</v>
      </c>
      <c r="L351">
        <f t="shared" si="42"/>
        <v>2024</v>
      </c>
      <c r="N351" s="17">
        <f t="shared" si="46"/>
        <v>45536</v>
      </c>
      <c r="P351" s="17">
        <v>35521</v>
      </c>
      <c r="Q351" s="55" t="e">
        <f t="shared" si="43"/>
        <v>#DIV/0!</v>
      </c>
      <c r="S351">
        <f t="shared" si="47"/>
        <v>0</v>
      </c>
    </row>
    <row r="352" spans="1:19" x14ac:dyDescent="0.3">
      <c r="A352" s="17">
        <v>45552</v>
      </c>
      <c r="B352">
        <v>421.59</v>
      </c>
      <c r="C352">
        <v>73.3</v>
      </c>
      <c r="D352">
        <f t="shared" si="44"/>
        <v>348.28999999999996</v>
      </c>
      <c r="E352">
        <v>-0.52</v>
      </c>
      <c r="F352">
        <f t="shared" si="45"/>
        <v>-348.80999999999995</v>
      </c>
      <c r="I352">
        <f t="shared" si="40"/>
        <v>17</v>
      </c>
      <c r="J352">
        <v>1</v>
      </c>
      <c r="K352">
        <f t="shared" si="41"/>
        <v>9</v>
      </c>
      <c r="L352">
        <f t="shared" si="42"/>
        <v>2024</v>
      </c>
      <c r="N352" s="17">
        <f t="shared" si="46"/>
        <v>45536</v>
      </c>
      <c r="P352" s="17">
        <v>35490</v>
      </c>
      <c r="Q352" s="55" t="e">
        <f t="shared" si="43"/>
        <v>#DIV/0!</v>
      </c>
      <c r="S352">
        <f t="shared" si="47"/>
        <v>0</v>
      </c>
    </row>
    <row r="353" spans="1:19" x14ac:dyDescent="0.3">
      <c r="A353" s="17">
        <v>45551</v>
      </c>
      <c r="B353">
        <v>415.29</v>
      </c>
      <c r="C353">
        <v>72.454999999999998</v>
      </c>
      <c r="D353">
        <f t="shared" si="44"/>
        <v>342.83500000000004</v>
      </c>
      <c r="E353">
        <v>-0.57999999999999996</v>
      </c>
      <c r="F353">
        <f t="shared" si="45"/>
        <v>-343.41500000000002</v>
      </c>
      <c r="I353">
        <f t="shared" si="40"/>
        <v>16</v>
      </c>
      <c r="J353">
        <v>1</v>
      </c>
      <c r="K353">
        <f t="shared" si="41"/>
        <v>9</v>
      </c>
      <c r="L353">
        <f t="shared" si="42"/>
        <v>2024</v>
      </c>
      <c r="N353" s="17">
        <f t="shared" si="46"/>
        <v>45536</v>
      </c>
      <c r="P353" s="17">
        <v>35462</v>
      </c>
      <c r="Q353" s="55" t="e">
        <f t="shared" si="43"/>
        <v>#DIV/0!</v>
      </c>
      <c r="S353">
        <f t="shared" si="47"/>
        <v>0</v>
      </c>
    </row>
    <row r="354" spans="1:19" x14ac:dyDescent="0.3">
      <c r="A354" s="17">
        <v>45548</v>
      </c>
      <c r="B354">
        <v>420.4</v>
      </c>
      <c r="C354">
        <v>72.790000000000006</v>
      </c>
      <c r="D354">
        <f t="shared" si="44"/>
        <v>347.60999999999996</v>
      </c>
      <c r="E354">
        <v>-0.56000000000000005</v>
      </c>
      <c r="F354">
        <f t="shared" si="45"/>
        <v>-348.16999999999996</v>
      </c>
      <c r="I354">
        <f t="shared" si="40"/>
        <v>13</v>
      </c>
      <c r="J354">
        <v>1</v>
      </c>
      <c r="K354">
        <f t="shared" si="41"/>
        <v>9</v>
      </c>
      <c r="L354">
        <f t="shared" si="42"/>
        <v>2024</v>
      </c>
      <c r="N354" s="17">
        <f t="shared" si="46"/>
        <v>45536</v>
      </c>
      <c r="P354" s="17">
        <v>35431</v>
      </c>
      <c r="Q354" s="55" t="e">
        <f t="shared" si="43"/>
        <v>#DIV/0!</v>
      </c>
      <c r="S354">
        <f t="shared" si="47"/>
        <v>0</v>
      </c>
    </row>
    <row r="355" spans="1:19" x14ac:dyDescent="0.3">
      <c r="A355" s="17">
        <v>45547</v>
      </c>
      <c r="B355">
        <v>417.19</v>
      </c>
      <c r="C355">
        <v>71.900000000000006</v>
      </c>
      <c r="D355">
        <f t="shared" si="44"/>
        <v>345.28999999999996</v>
      </c>
      <c r="E355">
        <v>-0.55000000000000004</v>
      </c>
      <c r="F355">
        <f t="shared" si="45"/>
        <v>-345.84</v>
      </c>
      <c r="I355">
        <f t="shared" si="40"/>
        <v>12</v>
      </c>
      <c r="J355">
        <v>1</v>
      </c>
      <c r="K355">
        <f t="shared" si="41"/>
        <v>9</v>
      </c>
      <c r="L355">
        <f t="shared" si="42"/>
        <v>2024</v>
      </c>
      <c r="N355" s="17">
        <f t="shared" si="46"/>
        <v>45536</v>
      </c>
      <c r="P355" s="17">
        <v>35400</v>
      </c>
      <c r="Q355" s="55" t="e">
        <f t="shared" si="43"/>
        <v>#DIV/0!</v>
      </c>
      <c r="S355">
        <f t="shared" si="47"/>
        <v>0</v>
      </c>
    </row>
    <row r="356" spans="1:19" x14ac:dyDescent="0.3">
      <c r="A356" s="17">
        <v>45546</v>
      </c>
      <c r="B356">
        <v>411.67</v>
      </c>
      <c r="C356">
        <v>70.95</v>
      </c>
      <c r="D356">
        <f t="shared" si="44"/>
        <v>340.72</v>
      </c>
      <c r="E356">
        <v>-0.56999999999999995</v>
      </c>
      <c r="F356">
        <f t="shared" si="45"/>
        <v>-341.29</v>
      </c>
      <c r="I356">
        <f t="shared" si="40"/>
        <v>11</v>
      </c>
      <c r="J356">
        <v>1</v>
      </c>
      <c r="K356">
        <f t="shared" si="41"/>
        <v>9</v>
      </c>
      <c r="L356">
        <f t="shared" si="42"/>
        <v>2024</v>
      </c>
      <c r="N356" s="17">
        <f t="shared" si="46"/>
        <v>45536</v>
      </c>
      <c r="P356" s="17">
        <v>35370</v>
      </c>
      <c r="Q356" s="55" t="e">
        <f t="shared" si="43"/>
        <v>#DIV/0!</v>
      </c>
      <c r="S356">
        <f t="shared" si="47"/>
        <v>0</v>
      </c>
    </row>
    <row r="357" spans="1:19" x14ac:dyDescent="0.3">
      <c r="A357" s="17">
        <v>45545</v>
      </c>
      <c r="B357">
        <v>409.08</v>
      </c>
      <c r="C357">
        <v>71.88</v>
      </c>
      <c r="D357">
        <f t="shared" si="44"/>
        <v>337.2</v>
      </c>
      <c r="E357">
        <v>-0.53</v>
      </c>
      <c r="F357">
        <f t="shared" si="45"/>
        <v>-337.72999999999996</v>
      </c>
      <c r="I357">
        <f t="shared" si="40"/>
        <v>10</v>
      </c>
      <c r="J357">
        <v>1</v>
      </c>
      <c r="K357">
        <f t="shared" si="41"/>
        <v>9</v>
      </c>
      <c r="L357">
        <f t="shared" si="42"/>
        <v>2024</v>
      </c>
      <c r="N357" s="17">
        <f t="shared" si="46"/>
        <v>45536</v>
      </c>
      <c r="P357" s="17">
        <v>35339</v>
      </c>
      <c r="Q357" s="55" t="e">
        <f t="shared" si="43"/>
        <v>#DIV/0!</v>
      </c>
      <c r="S357">
        <f t="shared" si="47"/>
        <v>0</v>
      </c>
    </row>
    <row r="358" spans="1:19" x14ac:dyDescent="0.3">
      <c r="A358" s="17">
        <v>45544</v>
      </c>
      <c r="B358">
        <v>408.63</v>
      </c>
      <c r="C358">
        <v>72.28</v>
      </c>
      <c r="D358">
        <f t="shared" si="44"/>
        <v>336.35</v>
      </c>
      <c r="E358">
        <v>-0.55000000000000004</v>
      </c>
      <c r="F358">
        <f t="shared" si="45"/>
        <v>-336.90000000000003</v>
      </c>
      <c r="I358">
        <f t="shared" si="40"/>
        <v>9</v>
      </c>
      <c r="J358">
        <v>1</v>
      </c>
      <c r="K358">
        <f t="shared" si="41"/>
        <v>9</v>
      </c>
      <c r="L358">
        <f t="shared" si="42"/>
        <v>2024</v>
      </c>
      <c r="N358" s="17">
        <f t="shared" si="46"/>
        <v>45536</v>
      </c>
      <c r="P358" s="17">
        <v>35309</v>
      </c>
      <c r="Q358" s="55" t="e">
        <f t="shared" si="43"/>
        <v>#DIV/0!</v>
      </c>
      <c r="S358">
        <f t="shared" si="47"/>
        <v>0</v>
      </c>
    </row>
    <row r="359" spans="1:19" x14ac:dyDescent="0.3">
      <c r="A359" s="17">
        <v>45541</v>
      </c>
      <c r="B359">
        <v>406.21</v>
      </c>
      <c r="C359">
        <v>73.41</v>
      </c>
      <c r="D359">
        <f t="shared" si="44"/>
        <v>332.79999999999995</v>
      </c>
      <c r="E359">
        <v>-0.59</v>
      </c>
      <c r="F359">
        <f t="shared" si="45"/>
        <v>-333.38999999999993</v>
      </c>
      <c r="I359">
        <f t="shared" si="40"/>
        <v>6</v>
      </c>
      <c r="J359">
        <v>1</v>
      </c>
      <c r="K359">
        <f t="shared" si="41"/>
        <v>9</v>
      </c>
      <c r="L359">
        <f t="shared" si="42"/>
        <v>2024</v>
      </c>
      <c r="N359" s="17">
        <f t="shared" si="46"/>
        <v>45536</v>
      </c>
      <c r="P359" s="17">
        <v>35278</v>
      </c>
      <c r="Q359" s="55" t="e">
        <f t="shared" si="43"/>
        <v>#DIV/0!</v>
      </c>
      <c r="S359">
        <f t="shared" si="47"/>
        <v>0</v>
      </c>
    </row>
    <row r="360" spans="1:19" x14ac:dyDescent="0.3">
      <c r="A360" s="17">
        <v>45540</v>
      </c>
      <c r="B360">
        <v>409.27</v>
      </c>
      <c r="C360">
        <v>73.39</v>
      </c>
      <c r="D360">
        <f t="shared" si="44"/>
        <v>335.88</v>
      </c>
      <c r="E360">
        <v>-0.55000000000000004</v>
      </c>
      <c r="F360">
        <f t="shared" si="45"/>
        <v>-336.43</v>
      </c>
      <c r="I360">
        <f t="shared" si="40"/>
        <v>5</v>
      </c>
      <c r="J360">
        <v>1</v>
      </c>
      <c r="K360">
        <f t="shared" si="41"/>
        <v>9</v>
      </c>
      <c r="L360">
        <f t="shared" si="42"/>
        <v>2024</v>
      </c>
      <c r="N360" s="17">
        <f t="shared" si="46"/>
        <v>45536</v>
      </c>
      <c r="P360" s="17">
        <v>35247</v>
      </c>
      <c r="Q360" s="55" t="e">
        <f t="shared" si="43"/>
        <v>#DIV/0!</v>
      </c>
      <c r="S360">
        <f t="shared" si="47"/>
        <v>0</v>
      </c>
    </row>
    <row r="361" spans="1:19" x14ac:dyDescent="0.3">
      <c r="A361" s="17">
        <v>45539</v>
      </c>
      <c r="B361">
        <v>414.08</v>
      </c>
      <c r="C361">
        <v>73.38</v>
      </c>
      <c r="D361">
        <f t="shared" si="44"/>
        <v>340.7</v>
      </c>
      <c r="E361">
        <v>-0.66</v>
      </c>
      <c r="F361">
        <f t="shared" si="45"/>
        <v>-341.36</v>
      </c>
      <c r="I361">
        <f t="shared" si="40"/>
        <v>4</v>
      </c>
      <c r="J361">
        <v>1</v>
      </c>
      <c r="K361">
        <f t="shared" si="41"/>
        <v>9</v>
      </c>
      <c r="L361">
        <f t="shared" si="42"/>
        <v>2024</v>
      </c>
      <c r="N361" s="17">
        <f t="shared" si="46"/>
        <v>45536</v>
      </c>
      <c r="P361" s="17">
        <v>35217</v>
      </c>
      <c r="Q361" s="55" t="e">
        <f t="shared" si="43"/>
        <v>#DIV/0!</v>
      </c>
      <c r="S361">
        <f t="shared" si="47"/>
        <v>1</v>
      </c>
    </row>
    <row r="362" spans="1:19" x14ac:dyDescent="0.3">
      <c r="A362" s="17">
        <v>45538</v>
      </c>
      <c r="B362">
        <v>429.24</v>
      </c>
      <c r="C362">
        <v>76.63</v>
      </c>
      <c r="D362">
        <f t="shared" si="44"/>
        <v>352.61</v>
      </c>
      <c r="E362">
        <v>-0.65</v>
      </c>
      <c r="F362">
        <f t="shared" si="45"/>
        <v>-353.26</v>
      </c>
      <c r="I362">
        <f t="shared" si="40"/>
        <v>3</v>
      </c>
      <c r="J362">
        <v>1</v>
      </c>
      <c r="K362">
        <f t="shared" si="41"/>
        <v>9</v>
      </c>
      <c r="L362">
        <f t="shared" si="42"/>
        <v>2024</v>
      </c>
      <c r="N362" s="17">
        <f t="shared" si="46"/>
        <v>45536</v>
      </c>
      <c r="P362" s="17">
        <v>35186</v>
      </c>
      <c r="Q362" s="55" t="e">
        <f t="shared" si="43"/>
        <v>#DIV/0!</v>
      </c>
      <c r="S362">
        <f t="shared" si="47"/>
        <v>1</v>
      </c>
    </row>
    <row r="363" spans="1:19" x14ac:dyDescent="0.3">
      <c r="A363" s="17">
        <v>45537</v>
      </c>
      <c r="B363">
        <v>431.69</v>
      </c>
      <c r="C363">
        <v>76.489999999999995</v>
      </c>
      <c r="D363">
        <f t="shared" si="44"/>
        <v>355.2</v>
      </c>
      <c r="E363">
        <v>-0.67</v>
      </c>
      <c r="F363">
        <f t="shared" si="45"/>
        <v>-355.87</v>
      </c>
      <c r="I363">
        <f t="shared" si="40"/>
        <v>2</v>
      </c>
      <c r="J363">
        <v>1</v>
      </c>
      <c r="K363">
        <f t="shared" si="41"/>
        <v>9</v>
      </c>
      <c r="L363">
        <f t="shared" si="42"/>
        <v>2024</v>
      </c>
      <c r="N363" s="17">
        <f t="shared" si="46"/>
        <v>45536</v>
      </c>
      <c r="P363" s="17">
        <v>35156</v>
      </c>
      <c r="Q363" s="55" t="e">
        <f t="shared" si="43"/>
        <v>#DIV/0!</v>
      </c>
      <c r="S363">
        <f t="shared" si="47"/>
        <v>1</v>
      </c>
    </row>
    <row r="364" spans="1:19" x14ac:dyDescent="0.3">
      <c r="A364" s="17">
        <v>45534</v>
      </c>
      <c r="B364">
        <v>444.19</v>
      </c>
      <c r="C364">
        <v>78.41</v>
      </c>
      <c r="D364">
        <f t="shared" si="44"/>
        <v>365.78</v>
      </c>
      <c r="E364">
        <v>-0.55000000000000004</v>
      </c>
      <c r="F364">
        <f t="shared" si="45"/>
        <v>-366.33</v>
      </c>
      <c r="I364">
        <f t="shared" si="40"/>
        <v>30</v>
      </c>
      <c r="J364">
        <v>1</v>
      </c>
      <c r="K364">
        <f t="shared" si="41"/>
        <v>8</v>
      </c>
      <c r="L364">
        <f t="shared" si="42"/>
        <v>2024</v>
      </c>
      <c r="N364" s="17">
        <f t="shared" si="46"/>
        <v>45505</v>
      </c>
      <c r="P364" s="17">
        <v>35125</v>
      </c>
      <c r="Q364" s="55" t="e">
        <f t="shared" si="43"/>
        <v>#DIV/0!</v>
      </c>
      <c r="S364">
        <f t="shared" si="47"/>
        <v>0</v>
      </c>
    </row>
    <row r="365" spans="1:19" x14ac:dyDescent="0.3">
      <c r="A365" s="17">
        <v>45533</v>
      </c>
      <c r="B365">
        <v>438.01</v>
      </c>
      <c r="C365">
        <v>76.66</v>
      </c>
      <c r="D365">
        <f t="shared" si="44"/>
        <v>361.35</v>
      </c>
      <c r="E365">
        <v>-0.54</v>
      </c>
      <c r="F365">
        <f t="shared" si="45"/>
        <v>-361.89000000000004</v>
      </c>
      <c r="I365">
        <f t="shared" si="40"/>
        <v>29</v>
      </c>
      <c r="J365">
        <v>1</v>
      </c>
      <c r="K365">
        <f t="shared" si="41"/>
        <v>8</v>
      </c>
      <c r="L365">
        <f t="shared" si="42"/>
        <v>2024</v>
      </c>
      <c r="N365" s="17">
        <f t="shared" si="46"/>
        <v>45505</v>
      </c>
      <c r="P365" s="17">
        <v>35096</v>
      </c>
      <c r="Q365" s="55" t="e">
        <f t="shared" si="43"/>
        <v>#DIV/0!</v>
      </c>
      <c r="S365">
        <f t="shared" si="47"/>
        <v>0</v>
      </c>
    </row>
    <row r="366" spans="1:19" x14ac:dyDescent="0.3">
      <c r="A366" s="17">
        <v>45532</v>
      </c>
      <c r="B366">
        <v>440.7</v>
      </c>
      <c r="C366">
        <v>77.7</v>
      </c>
      <c r="D366">
        <f t="shared" si="44"/>
        <v>363</v>
      </c>
      <c r="E366">
        <v>-0.52</v>
      </c>
      <c r="F366">
        <f t="shared" si="45"/>
        <v>-363.52</v>
      </c>
      <c r="I366">
        <f t="shared" si="40"/>
        <v>28</v>
      </c>
      <c r="J366">
        <v>1</v>
      </c>
      <c r="K366">
        <f t="shared" si="41"/>
        <v>8</v>
      </c>
      <c r="L366">
        <f t="shared" si="42"/>
        <v>2024</v>
      </c>
      <c r="N366" s="17">
        <f t="shared" si="46"/>
        <v>45505</v>
      </c>
      <c r="P366" s="17">
        <v>35065</v>
      </c>
      <c r="Q366" s="55" t="e">
        <f t="shared" si="43"/>
        <v>#DIV/0!</v>
      </c>
      <c r="S366">
        <f t="shared" si="47"/>
        <v>0</v>
      </c>
    </row>
    <row r="367" spans="1:19" x14ac:dyDescent="0.3">
      <c r="A367" s="17">
        <v>45531</v>
      </c>
      <c r="B367">
        <v>454.61</v>
      </c>
      <c r="C367">
        <v>79.19</v>
      </c>
      <c r="D367">
        <f t="shared" si="44"/>
        <v>375.42</v>
      </c>
      <c r="E367">
        <v>-0.43</v>
      </c>
      <c r="F367">
        <f t="shared" si="45"/>
        <v>-375.85</v>
      </c>
      <c r="I367">
        <f t="shared" si="40"/>
        <v>27</v>
      </c>
      <c r="J367">
        <v>1</v>
      </c>
      <c r="K367">
        <f t="shared" si="41"/>
        <v>8</v>
      </c>
      <c r="L367">
        <f t="shared" si="42"/>
        <v>2024</v>
      </c>
      <c r="N367" s="17">
        <f t="shared" si="46"/>
        <v>45505</v>
      </c>
      <c r="P367" s="17">
        <v>35034</v>
      </c>
      <c r="Q367" s="55" t="e">
        <f t="shared" si="43"/>
        <v>#DIV/0!</v>
      </c>
      <c r="S367">
        <f t="shared" si="47"/>
        <v>0</v>
      </c>
    </row>
    <row r="368" spans="1:19" x14ac:dyDescent="0.3">
      <c r="A368" s="17">
        <v>45530</v>
      </c>
      <c r="B368">
        <v>450.87</v>
      </c>
      <c r="C368">
        <v>78.55</v>
      </c>
      <c r="D368">
        <f t="shared" si="44"/>
        <v>372.32</v>
      </c>
      <c r="E368">
        <v>-0.36</v>
      </c>
      <c r="F368">
        <f t="shared" si="45"/>
        <v>-372.68</v>
      </c>
      <c r="I368">
        <f t="shared" si="40"/>
        <v>26</v>
      </c>
      <c r="J368">
        <v>1</v>
      </c>
      <c r="K368">
        <f t="shared" si="41"/>
        <v>8</v>
      </c>
      <c r="L368">
        <f t="shared" si="42"/>
        <v>2024</v>
      </c>
      <c r="N368" s="17">
        <f t="shared" si="46"/>
        <v>45505</v>
      </c>
      <c r="P368" s="17">
        <v>35004</v>
      </c>
      <c r="Q368" s="55" t="e">
        <f t="shared" si="43"/>
        <v>#DIV/0!</v>
      </c>
      <c r="S368">
        <f t="shared" si="47"/>
        <v>0</v>
      </c>
    </row>
    <row r="369" spans="1:19" x14ac:dyDescent="0.3">
      <c r="A369" s="17">
        <v>45527</v>
      </c>
      <c r="B369">
        <v>440.43</v>
      </c>
      <c r="C369">
        <v>76.69</v>
      </c>
      <c r="D369">
        <f t="shared" si="44"/>
        <v>363.74</v>
      </c>
      <c r="E369">
        <v>-0.31</v>
      </c>
      <c r="F369">
        <f t="shared" si="45"/>
        <v>-364.05</v>
      </c>
      <c r="I369">
        <f t="shared" si="40"/>
        <v>23</v>
      </c>
      <c r="J369">
        <v>1</v>
      </c>
      <c r="K369">
        <f t="shared" si="41"/>
        <v>8</v>
      </c>
      <c r="L369">
        <f t="shared" si="42"/>
        <v>2024</v>
      </c>
      <c r="N369" s="17">
        <f t="shared" si="46"/>
        <v>45505</v>
      </c>
      <c r="P369" s="17">
        <v>34973</v>
      </c>
      <c r="Q369" s="55" t="e">
        <f t="shared" si="43"/>
        <v>#DIV/0!</v>
      </c>
      <c r="S369">
        <f t="shared" si="47"/>
        <v>0</v>
      </c>
    </row>
    <row r="370" spans="1:19" x14ac:dyDescent="0.3">
      <c r="A370" s="17">
        <v>45526</v>
      </c>
      <c r="B370">
        <v>433.02</v>
      </c>
      <c r="C370">
        <v>75.150000000000006</v>
      </c>
      <c r="D370">
        <f t="shared" si="44"/>
        <v>357.87</v>
      </c>
      <c r="E370">
        <v>-0.31</v>
      </c>
      <c r="F370">
        <f t="shared" si="45"/>
        <v>-358.18</v>
      </c>
      <c r="I370">
        <f t="shared" si="40"/>
        <v>22</v>
      </c>
      <c r="J370">
        <v>1</v>
      </c>
      <c r="K370">
        <f t="shared" si="41"/>
        <v>8</v>
      </c>
      <c r="L370">
        <f t="shared" si="42"/>
        <v>2024</v>
      </c>
      <c r="N370" s="17">
        <f t="shared" si="46"/>
        <v>45505</v>
      </c>
      <c r="P370" s="17">
        <v>34943</v>
      </c>
      <c r="Q370" s="55" t="e">
        <f t="shared" si="43"/>
        <v>#DIV/0!</v>
      </c>
      <c r="S370">
        <f t="shared" si="47"/>
        <v>0</v>
      </c>
    </row>
    <row r="371" spans="1:19" x14ac:dyDescent="0.3">
      <c r="A371" s="17">
        <v>45525</v>
      </c>
      <c r="B371">
        <v>438.5</v>
      </c>
      <c r="C371">
        <v>76.150000000000006</v>
      </c>
      <c r="D371">
        <f t="shared" si="44"/>
        <v>362.35</v>
      </c>
      <c r="E371">
        <v>-0.21</v>
      </c>
      <c r="F371">
        <f t="shared" si="45"/>
        <v>-362.56</v>
      </c>
      <c r="I371">
        <f t="shared" si="40"/>
        <v>21</v>
      </c>
      <c r="J371">
        <v>1</v>
      </c>
      <c r="K371">
        <f t="shared" si="41"/>
        <v>8</v>
      </c>
      <c r="L371">
        <f t="shared" si="42"/>
        <v>2024</v>
      </c>
      <c r="N371" s="17">
        <f t="shared" si="46"/>
        <v>45505</v>
      </c>
      <c r="P371" s="17">
        <v>34912</v>
      </c>
      <c r="Q371" s="55" t="e">
        <f t="shared" si="43"/>
        <v>#DIV/0!</v>
      </c>
      <c r="S371">
        <f t="shared" si="47"/>
        <v>0</v>
      </c>
    </row>
    <row r="372" spans="1:19" x14ac:dyDescent="0.3">
      <c r="A372" s="17">
        <v>45524</v>
      </c>
      <c r="B372">
        <v>434.85</v>
      </c>
      <c r="C372">
        <v>75.680000000000007</v>
      </c>
      <c r="D372">
        <f t="shared" si="44"/>
        <v>359.17</v>
      </c>
      <c r="E372">
        <v>-0.24</v>
      </c>
      <c r="F372">
        <f t="shared" si="45"/>
        <v>-359.41</v>
      </c>
      <c r="I372">
        <f t="shared" si="40"/>
        <v>20</v>
      </c>
      <c r="J372">
        <v>1</v>
      </c>
      <c r="K372">
        <f t="shared" si="41"/>
        <v>8</v>
      </c>
      <c r="L372">
        <f t="shared" si="42"/>
        <v>2024</v>
      </c>
      <c r="N372" s="17">
        <f t="shared" si="46"/>
        <v>45505</v>
      </c>
      <c r="P372" s="17">
        <v>34881</v>
      </c>
      <c r="Q372" s="55" t="e">
        <f t="shared" si="43"/>
        <v>#DIV/0!</v>
      </c>
      <c r="S372">
        <f t="shared" si="47"/>
        <v>0</v>
      </c>
    </row>
    <row r="373" spans="1:19" x14ac:dyDescent="0.3">
      <c r="A373" s="17">
        <v>45523</v>
      </c>
      <c r="B373">
        <v>447.19</v>
      </c>
      <c r="C373">
        <v>77.81</v>
      </c>
      <c r="D373">
        <f t="shared" si="44"/>
        <v>369.38</v>
      </c>
      <c r="E373">
        <v>-0.2</v>
      </c>
      <c r="F373">
        <f t="shared" si="45"/>
        <v>-369.58</v>
      </c>
      <c r="I373">
        <f t="shared" si="40"/>
        <v>19</v>
      </c>
      <c r="J373">
        <v>1</v>
      </c>
      <c r="K373">
        <f t="shared" si="41"/>
        <v>8</v>
      </c>
      <c r="L373">
        <f t="shared" si="42"/>
        <v>2024</v>
      </c>
      <c r="N373" s="17">
        <f t="shared" si="46"/>
        <v>45505</v>
      </c>
      <c r="P373" s="17">
        <v>34851</v>
      </c>
      <c r="Q373" s="55" t="e">
        <f t="shared" si="43"/>
        <v>#DIV/0!</v>
      </c>
      <c r="S373">
        <f t="shared" si="47"/>
        <v>0</v>
      </c>
    </row>
    <row r="374" spans="1:19" x14ac:dyDescent="0.3">
      <c r="A374" s="17">
        <v>45520</v>
      </c>
      <c r="B374">
        <v>457.6</v>
      </c>
      <c r="C374">
        <v>79.040000000000006</v>
      </c>
      <c r="D374">
        <f t="shared" si="44"/>
        <v>378.56</v>
      </c>
      <c r="E374">
        <v>-0.17</v>
      </c>
      <c r="F374">
        <f t="shared" si="45"/>
        <v>-378.73</v>
      </c>
      <c r="I374">
        <f t="shared" si="40"/>
        <v>16</v>
      </c>
      <c r="J374">
        <v>1</v>
      </c>
      <c r="K374">
        <f t="shared" si="41"/>
        <v>8</v>
      </c>
      <c r="L374">
        <f t="shared" si="42"/>
        <v>2024</v>
      </c>
      <c r="N374" s="17">
        <f t="shared" si="46"/>
        <v>45505</v>
      </c>
      <c r="P374" s="17">
        <v>34820</v>
      </c>
      <c r="Q374" s="55" t="e">
        <f t="shared" si="43"/>
        <v>#DIV/0!</v>
      </c>
      <c r="S374">
        <f t="shared" si="47"/>
        <v>0</v>
      </c>
    </row>
    <row r="375" spans="1:19" x14ac:dyDescent="0.3">
      <c r="A375" s="17">
        <v>45519</v>
      </c>
      <c r="B375">
        <v>455.94</v>
      </c>
      <c r="C375">
        <v>78.67</v>
      </c>
      <c r="D375">
        <f t="shared" si="44"/>
        <v>377.27</v>
      </c>
      <c r="E375">
        <v>-0.18</v>
      </c>
      <c r="F375">
        <f t="shared" si="45"/>
        <v>-377.45</v>
      </c>
      <c r="I375">
        <f t="shared" si="40"/>
        <v>15</v>
      </c>
      <c r="J375">
        <v>1</v>
      </c>
      <c r="K375">
        <f t="shared" si="41"/>
        <v>8</v>
      </c>
      <c r="L375">
        <f t="shared" si="42"/>
        <v>2024</v>
      </c>
      <c r="N375" s="17">
        <f t="shared" si="46"/>
        <v>45505</v>
      </c>
      <c r="P375" s="17">
        <v>34790</v>
      </c>
      <c r="Q375" s="55" t="e">
        <f t="shared" si="43"/>
        <v>#DIV/0!</v>
      </c>
      <c r="S375">
        <f t="shared" si="47"/>
        <v>0</v>
      </c>
    </row>
    <row r="376" spans="1:19" x14ac:dyDescent="0.3">
      <c r="A376" s="17">
        <v>45518</v>
      </c>
      <c r="B376">
        <v>460.67</v>
      </c>
      <c r="C376">
        <v>79.209999999999994</v>
      </c>
      <c r="D376">
        <f t="shared" si="44"/>
        <v>381.46000000000004</v>
      </c>
      <c r="E376">
        <v>-0.16</v>
      </c>
      <c r="F376">
        <f t="shared" si="45"/>
        <v>-381.62000000000006</v>
      </c>
      <c r="I376">
        <f t="shared" si="40"/>
        <v>14</v>
      </c>
      <c r="J376">
        <v>1</v>
      </c>
      <c r="K376">
        <f t="shared" si="41"/>
        <v>8</v>
      </c>
      <c r="L376">
        <f t="shared" si="42"/>
        <v>2024</v>
      </c>
      <c r="N376" s="17">
        <f t="shared" si="46"/>
        <v>45505</v>
      </c>
      <c r="P376" s="17">
        <v>34759</v>
      </c>
      <c r="Q376" s="55" t="e">
        <f t="shared" si="43"/>
        <v>#DIV/0!</v>
      </c>
      <c r="S376">
        <f t="shared" si="47"/>
        <v>0</v>
      </c>
    </row>
    <row r="377" spans="1:19" x14ac:dyDescent="0.3">
      <c r="A377" s="17">
        <v>45517</v>
      </c>
      <c r="B377">
        <v>467.31</v>
      </c>
      <c r="C377">
        <v>79.989999999999995</v>
      </c>
      <c r="D377">
        <f t="shared" si="44"/>
        <v>387.32</v>
      </c>
      <c r="E377">
        <v>-0.17</v>
      </c>
      <c r="F377">
        <f t="shared" si="45"/>
        <v>-387.49</v>
      </c>
      <c r="I377">
        <f t="shared" si="40"/>
        <v>13</v>
      </c>
      <c r="J377">
        <v>1</v>
      </c>
      <c r="K377">
        <f t="shared" si="41"/>
        <v>8</v>
      </c>
      <c r="L377">
        <f t="shared" si="42"/>
        <v>2024</v>
      </c>
      <c r="N377" s="17">
        <f t="shared" si="46"/>
        <v>45505</v>
      </c>
      <c r="P377" s="17">
        <v>34731</v>
      </c>
      <c r="Q377" s="55" t="e">
        <f t="shared" si="43"/>
        <v>#DIV/0!</v>
      </c>
      <c r="S377">
        <f t="shared" si="47"/>
        <v>0</v>
      </c>
    </row>
    <row r="378" spans="1:19" x14ac:dyDescent="0.3">
      <c r="A378" s="17">
        <v>45516</v>
      </c>
      <c r="B378">
        <v>465.46</v>
      </c>
      <c r="C378">
        <v>78.67</v>
      </c>
      <c r="D378">
        <f t="shared" si="44"/>
        <v>386.78999999999996</v>
      </c>
      <c r="E378">
        <v>-0.2</v>
      </c>
      <c r="F378">
        <f t="shared" si="45"/>
        <v>-386.98999999999995</v>
      </c>
      <c r="I378">
        <f t="shared" si="40"/>
        <v>12</v>
      </c>
      <c r="J378">
        <v>1</v>
      </c>
      <c r="K378">
        <f t="shared" si="41"/>
        <v>8</v>
      </c>
      <c r="L378">
        <f t="shared" si="42"/>
        <v>2024</v>
      </c>
      <c r="N378" s="17">
        <f t="shared" si="46"/>
        <v>45505</v>
      </c>
      <c r="P378" s="17">
        <v>34700</v>
      </c>
      <c r="Q378" s="55" t="e">
        <f t="shared" si="43"/>
        <v>#DIV/0!</v>
      </c>
      <c r="S378">
        <f t="shared" si="47"/>
        <v>0</v>
      </c>
    </row>
    <row r="379" spans="1:19" x14ac:dyDescent="0.3">
      <c r="A379" s="17">
        <v>45512</v>
      </c>
      <c r="B379">
        <v>459.89</v>
      </c>
      <c r="C379">
        <v>77.14</v>
      </c>
      <c r="D379">
        <f t="shared" si="44"/>
        <v>382.75</v>
      </c>
      <c r="E379">
        <v>-0.26</v>
      </c>
      <c r="F379">
        <f t="shared" si="45"/>
        <v>-383.01</v>
      </c>
      <c r="I379">
        <f t="shared" si="40"/>
        <v>8</v>
      </c>
      <c r="J379">
        <v>1</v>
      </c>
      <c r="K379">
        <f t="shared" si="41"/>
        <v>8</v>
      </c>
      <c r="L379">
        <f t="shared" si="42"/>
        <v>2024</v>
      </c>
      <c r="N379" s="17">
        <f t="shared" si="46"/>
        <v>45505</v>
      </c>
      <c r="P379" s="17">
        <v>34669</v>
      </c>
      <c r="Q379" s="55" t="e">
        <f t="shared" si="43"/>
        <v>#DIV/0!</v>
      </c>
      <c r="S379">
        <f t="shared" si="47"/>
        <v>0</v>
      </c>
    </row>
    <row r="380" spans="1:19" x14ac:dyDescent="0.3">
      <c r="A380" s="17">
        <v>45511</v>
      </c>
      <c r="B380">
        <v>449.59</v>
      </c>
      <c r="C380">
        <v>75.5</v>
      </c>
      <c r="D380">
        <f t="shared" si="44"/>
        <v>374.09</v>
      </c>
      <c r="E380">
        <v>-0.24</v>
      </c>
      <c r="F380">
        <f t="shared" si="45"/>
        <v>-374.33</v>
      </c>
      <c r="I380">
        <f t="shared" si="40"/>
        <v>7</v>
      </c>
      <c r="J380">
        <v>1</v>
      </c>
      <c r="K380">
        <f t="shared" si="41"/>
        <v>8</v>
      </c>
      <c r="L380">
        <f t="shared" si="42"/>
        <v>2024</v>
      </c>
      <c r="N380" s="17">
        <f t="shared" si="46"/>
        <v>45505</v>
      </c>
      <c r="P380" s="17">
        <v>34639</v>
      </c>
      <c r="Q380" s="55" t="e">
        <f t="shared" si="43"/>
        <v>#DIV/0!</v>
      </c>
      <c r="S380">
        <f t="shared" si="47"/>
        <v>0</v>
      </c>
    </row>
    <row r="381" spans="1:19" x14ac:dyDescent="0.3">
      <c r="A381" s="17">
        <v>45510</v>
      </c>
      <c r="B381">
        <v>445.39</v>
      </c>
      <c r="C381">
        <v>75.040000000000006</v>
      </c>
      <c r="D381">
        <f t="shared" si="44"/>
        <v>370.34999999999997</v>
      </c>
      <c r="E381">
        <v>-0.31</v>
      </c>
      <c r="F381">
        <f t="shared" si="45"/>
        <v>-370.65999999999997</v>
      </c>
      <c r="I381">
        <f t="shared" si="40"/>
        <v>6</v>
      </c>
      <c r="J381">
        <v>1</v>
      </c>
      <c r="K381">
        <f t="shared" si="41"/>
        <v>8</v>
      </c>
      <c r="L381">
        <f t="shared" si="42"/>
        <v>2024</v>
      </c>
      <c r="N381" s="17">
        <f t="shared" si="46"/>
        <v>45505</v>
      </c>
      <c r="P381" s="17">
        <v>34608</v>
      </c>
      <c r="Q381" s="55" t="e">
        <f t="shared" si="43"/>
        <v>#DIV/0!</v>
      </c>
      <c r="S381">
        <f t="shared" si="47"/>
        <v>0</v>
      </c>
    </row>
    <row r="382" spans="1:19" x14ac:dyDescent="0.3">
      <c r="A382" s="17">
        <v>45509</v>
      </c>
      <c r="B382">
        <v>442.26</v>
      </c>
      <c r="C382">
        <v>74.489999999999995</v>
      </c>
      <c r="D382">
        <f t="shared" si="44"/>
        <v>367.77</v>
      </c>
      <c r="E382">
        <v>-0.33</v>
      </c>
      <c r="F382">
        <f t="shared" si="45"/>
        <v>-368.09999999999997</v>
      </c>
      <c r="I382">
        <f t="shared" si="40"/>
        <v>5</v>
      </c>
      <c r="J382">
        <v>1</v>
      </c>
      <c r="K382">
        <f t="shared" si="41"/>
        <v>8</v>
      </c>
      <c r="L382">
        <f t="shared" si="42"/>
        <v>2024</v>
      </c>
      <c r="N382" s="17">
        <f t="shared" si="46"/>
        <v>45505</v>
      </c>
      <c r="P382" s="17">
        <v>34578</v>
      </c>
      <c r="Q382" s="55" t="e">
        <f t="shared" si="43"/>
        <v>#DIV/0!</v>
      </c>
      <c r="S382">
        <f t="shared" si="47"/>
        <v>0</v>
      </c>
    </row>
    <row r="383" spans="1:19" x14ac:dyDescent="0.3">
      <c r="A383" s="17">
        <v>45506</v>
      </c>
      <c r="B383">
        <v>465.83</v>
      </c>
      <c r="C383">
        <v>79.23</v>
      </c>
      <c r="D383">
        <f t="shared" si="44"/>
        <v>386.59999999999997</v>
      </c>
      <c r="E383">
        <v>-0.32</v>
      </c>
      <c r="F383">
        <f t="shared" si="45"/>
        <v>-386.91999999999996</v>
      </c>
      <c r="I383">
        <f t="shared" si="40"/>
        <v>2</v>
      </c>
      <c r="J383">
        <v>1</v>
      </c>
      <c r="K383">
        <f t="shared" si="41"/>
        <v>8</v>
      </c>
      <c r="L383">
        <f t="shared" si="42"/>
        <v>2024</v>
      </c>
      <c r="N383" s="17">
        <f t="shared" si="46"/>
        <v>45505</v>
      </c>
      <c r="P383" s="17">
        <v>34547</v>
      </c>
      <c r="Q383" s="55" t="e">
        <f t="shared" si="43"/>
        <v>#DIV/0!</v>
      </c>
      <c r="S383">
        <f t="shared" si="47"/>
        <v>1</v>
      </c>
    </row>
    <row r="384" spans="1:19" x14ac:dyDescent="0.3">
      <c r="A384" s="17">
        <v>45505</v>
      </c>
      <c r="B384">
        <v>475.5</v>
      </c>
      <c r="C384">
        <v>80.540000000000006</v>
      </c>
      <c r="D384">
        <f t="shared" si="44"/>
        <v>394.96</v>
      </c>
      <c r="E384">
        <v>-0.38</v>
      </c>
      <c r="F384">
        <f t="shared" si="45"/>
        <v>-395.34</v>
      </c>
      <c r="I384">
        <f t="shared" si="40"/>
        <v>1</v>
      </c>
      <c r="J384">
        <v>1</v>
      </c>
      <c r="K384">
        <f t="shared" si="41"/>
        <v>8</v>
      </c>
      <c r="L384">
        <f t="shared" si="42"/>
        <v>2024</v>
      </c>
      <c r="N384" s="17">
        <f t="shared" si="46"/>
        <v>45505</v>
      </c>
      <c r="P384" s="17">
        <v>34516</v>
      </c>
      <c r="Q384" s="55" t="e">
        <f t="shared" si="43"/>
        <v>#DIV/0!</v>
      </c>
      <c r="S384">
        <f t="shared" si="47"/>
        <v>1</v>
      </c>
    </row>
    <row r="385" spans="1:19" x14ac:dyDescent="0.3">
      <c r="A385" s="17">
        <v>45504</v>
      </c>
      <c r="B385">
        <v>474.2</v>
      </c>
      <c r="C385">
        <v>79.55</v>
      </c>
      <c r="D385">
        <f t="shared" si="44"/>
        <v>394.65</v>
      </c>
      <c r="E385">
        <v>-0.33</v>
      </c>
      <c r="F385">
        <f t="shared" si="45"/>
        <v>-394.97999999999996</v>
      </c>
      <c r="I385">
        <f t="shared" si="40"/>
        <v>31</v>
      </c>
      <c r="J385">
        <v>1</v>
      </c>
      <c r="K385">
        <f t="shared" si="41"/>
        <v>7</v>
      </c>
      <c r="L385">
        <f t="shared" si="42"/>
        <v>2024</v>
      </c>
      <c r="N385" s="17">
        <f t="shared" si="46"/>
        <v>45474</v>
      </c>
      <c r="P385" s="17">
        <v>34486</v>
      </c>
      <c r="Q385" s="55" t="e">
        <f t="shared" si="43"/>
        <v>#DIV/0!</v>
      </c>
      <c r="S385">
        <f t="shared" si="47"/>
        <v>0</v>
      </c>
    </row>
    <row r="386" spans="1:19" x14ac:dyDescent="0.3">
      <c r="A386" s="17">
        <v>45503</v>
      </c>
      <c r="B386">
        <v>475.54</v>
      </c>
      <c r="C386">
        <v>78.95</v>
      </c>
      <c r="D386">
        <f t="shared" si="44"/>
        <v>396.59000000000003</v>
      </c>
      <c r="E386">
        <v>-0.31</v>
      </c>
      <c r="F386">
        <f t="shared" si="45"/>
        <v>-396.90000000000003</v>
      </c>
      <c r="I386">
        <f t="shared" si="40"/>
        <v>30</v>
      </c>
      <c r="J386">
        <v>1</v>
      </c>
      <c r="K386">
        <f t="shared" si="41"/>
        <v>7</v>
      </c>
      <c r="L386">
        <f t="shared" si="42"/>
        <v>2024</v>
      </c>
      <c r="N386" s="17">
        <f t="shared" si="46"/>
        <v>45474</v>
      </c>
      <c r="P386" s="17">
        <v>34455</v>
      </c>
      <c r="Q386" s="55" t="e">
        <f t="shared" si="43"/>
        <v>#DIV/0!</v>
      </c>
      <c r="S386">
        <f t="shared" si="47"/>
        <v>0</v>
      </c>
    </row>
    <row r="387" spans="1:19" x14ac:dyDescent="0.3">
      <c r="A387" s="17">
        <v>45502</v>
      </c>
      <c r="B387">
        <v>481.96</v>
      </c>
      <c r="C387">
        <v>79.8</v>
      </c>
      <c r="D387">
        <f t="shared" si="44"/>
        <v>402.15999999999997</v>
      </c>
      <c r="E387">
        <v>-0.24</v>
      </c>
      <c r="F387">
        <f t="shared" si="45"/>
        <v>-402.4</v>
      </c>
      <c r="I387">
        <f t="shared" si="40"/>
        <v>29</v>
      </c>
      <c r="J387">
        <v>1</v>
      </c>
      <c r="K387">
        <f t="shared" si="41"/>
        <v>7</v>
      </c>
      <c r="L387">
        <f t="shared" si="42"/>
        <v>2024</v>
      </c>
      <c r="N387" s="17">
        <f t="shared" si="46"/>
        <v>45474</v>
      </c>
      <c r="P387" s="17">
        <v>34425</v>
      </c>
      <c r="Q387" s="55" t="e">
        <f t="shared" si="43"/>
        <v>#DIV/0!</v>
      </c>
      <c r="S387">
        <f t="shared" si="47"/>
        <v>0</v>
      </c>
    </row>
    <row r="388" spans="1:19" x14ac:dyDescent="0.3">
      <c r="A388" s="17">
        <v>45499</v>
      </c>
      <c r="B388">
        <v>488.08</v>
      </c>
      <c r="C388">
        <v>81.34</v>
      </c>
      <c r="D388">
        <f t="shared" si="44"/>
        <v>406.74</v>
      </c>
      <c r="E388">
        <v>-0.21</v>
      </c>
      <c r="F388">
        <f t="shared" si="45"/>
        <v>-406.95</v>
      </c>
      <c r="I388">
        <f t="shared" si="40"/>
        <v>26</v>
      </c>
      <c r="J388">
        <v>1</v>
      </c>
      <c r="K388">
        <f t="shared" si="41"/>
        <v>7</v>
      </c>
      <c r="L388">
        <f t="shared" si="42"/>
        <v>2024</v>
      </c>
      <c r="N388" s="17">
        <f t="shared" si="46"/>
        <v>45474</v>
      </c>
      <c r="P388" s="17">
        <v>34394</v>
      </c>
      <c r="Q388" s="55" t="e">
        <f t="shared" si="43"/>
        <v>#DIV/0!</v>
      </c>
      <c r="S388">
        <f t="shared" si="47"/>
        <v>0</v>
      </c>
    </row>
    <row r="389" spans="1:19" x14ac:dyDescent="0.3">
      <c r="A389" s="17">
        <v>45498</v>
      </c>
      <c r="B389">
        <v>482.34</v>
      </c>
      <c r="C389">
        <v>80.66</v>
      </c>
      <c r="D389">
        <f t="shared" si="44"/>
        <v>401.67999999999995</v>
      </c>
      <c r="E389">
        <v>-0.33</v>
      </c>
      <c r="F389">
        <f t="shared" si="45"/>
        <v>-402.00999999999993</v>
      </c>
      <c r="I389">
        <f t="shared" ref="I389:I452" si="48">+DAY(A389)</f>
        <v>25</v>
      </c>
      <c r="J389">
        <v>1</v>
      </c>
      <c r="K389">
        <f t="shared" ref="K389:K452" si="49">+MONTH(A389)</f>
        <v>7</v>
      </c>
      <c r="L389">
        <f t="shared" ref="L389:L452" si="50">+YEAR(A389)</f>
        <v>2024</v>
      </c>
      <c r="N389" s="17">
        <f t="shared" si="46"/>
        <v>45474</v>
      </c>
      <c r="P389" s="17">
        <v>34366</v>
      </c>
      <c r="Q389" s="55" t="e">
        <f t="shared" ref="Q389:Q450" si="51">+AVERAGEIFS($F$5:$F$3568,$N$5:$N$3568,$P389,$S$5:$S$3568,1)</f>
        <v>#DIV/0!</v>
      </c>
      <c r="S389">
        <f t="shared" si="47"/>
        <v>0</v>
      </c>
    </row>
    <row r="390" spans="1:19" x14ac:dyDescent="0.3">
      <c r="A390" s="17">
        <v>45497</v>
      </c>
      <c r="B390">
        <v>485.71</v>
      </c>
      <c r="C390">
        <v>80.650000000000006</v>
      </c>
      <c r="D390">
        <f t="shared" ref="D390:D453" si="52">+B390-C390</f>
        <v>405.05999999999995</v>
      </c>
      <c r="E390">
        <v>-0.35</v>
      </c>
      <c r="F390">
        <f t="shared" ref="F390:F453" si="53">+E390-D390</f>
        <v>-405.40999999999997</v>
      </c>
      <c r="I390">
        <f t="shared" si="48"/>
        <v>24</v>
      </c>
      <c r="J390">
        <v>1</v>
      </c>
      <c r="K390">
        <f t="shared" si="49"/>
        <v>7</v>
      </c>
      <c r="L390">
        <f t="shared" si="50"/>
        <v>2024</v>
      </c>
      <c r="N390" s="17">
        <f t="shared" ref="N390:N453" si="54">+DATE(L390,K390,J390)</f>
        <v>45474</v>
      </c>
      <c r="P390" s="17">
        <v>34335</v>
      </c>
      <c r="Q390" s="55" t="e">
        <f t="shared" si="51"/>
        <v>#DIV/0!</v>
      </c>
      <c r="S390">
        <f t="shared" ref="S390:S453" si="55">IF(AND(I390&gt;=1, I390&lt;=4), 1, 0)</f>
        <v>0</v>
      </c>
    </row>
    <row r="391" spans="1:19" x14ac:dyDescent="0.3">
      <c r="A391" s="17">
        <v>45496</v>
      </c>
      <c r="B391">
        <v>488.9</v>
      </c>
      <c r="C391">
        <v>81.95</v>
      </c>
      <c r="D391">
        <f t="shared" si="52"/>
        <v>406.95</v>
      </c>
      <c r="E391">
        <v>-0.34</v>
      </c>
      <c r="F391">
        <f t="shared" si="53"/>
        <v>-407.28999999999996</v>
      </c>
      <c r="I391">
        <f t="shared" si="48"/>
        <v>23</v>
      </c>
      <c r="J391">
        <v>1</v>
      </c>
      <c r="K391">
        <f t="shared" si="49"/>
        <v>7</v>
      </c>
      <c r="L391">
        <f t="shared" si="50"/>
        <v>2024</v>
      </c>
      <c r="N391" s="17">
        <f t="shared" si="54"/>
        <v>45474</v>
      </c>
      <c r="P391" s="17">
        <v>34304</v>
      </c>
      <c r="Q391" s="55" t="e">
        <f t="shared" si="51"/>
        <v>#DIV/0!</v>
      </c>
      <c r="S391">
        <f t="shared" si="55"/>
        <v>0</v>
      </c>
    </row>
    <row r="392" spans="1:19" x14ac:dyDescent="0.3">
      <c r="A392" s="17">
        <v>45495</v>
      </c>
      <c r="B392">
        <v>483.94</v>
      </c>
      <c r="C392">
        <v>82.38</v>
      </c>
      <c r="D392">
        <f t="shared" si="52"/>
        <v>401.56</v>
      </c>
      <c r="E392">
        <v>-0.28999999999999998</v>
      </c>
      <c r="F392">
        <f t="shared" si="53"/>
        <v>-401.85</v>
      </c>
      <c r="I392">
        <f t="shared" si="48"/>
        <v>22</v>
      </c>
      <c r="J392">
        <v>1</v>
      </c>
      <c r="K392">
        <f t="shared" si="49"/>
        <v>7</v>
      </c>
      <c r="L392">
        <f t="shared" si="50"/>
        <v>2024</v>
      </c>
      <c r="N392" s="17">
        <f t="shared" si="54"/>
        <v>45474</v>
      </c>
      <c r="P392" s="17">
        <v>34274</v>
      </c>
      <c r="Q392" s="55" t="e">
        <f t="shared" si="51"/>
        <v>#DIV/0!</v>
      </c>
      <c r="S392">
        <f t="shared" si="55"/>
        <v>0</v>
      </c>
    </row>
    <row r="393" spans="1:19" x14ac:dyDescent="0.3">
      <c r="A393" s="17">
        <v>45492</v>
      </c>
      <c r="B393">
        <v>502.9</v>
      </c>
      <c r="C393">
        <v>84.5</v>
      </c>
      <c r="D393">
        <f t="shared" si="52"/>
        <v>418.4</v>
      </c>
      <c r="E393">
        <v>-0.28999999999999998</v>
      </c>
      <c r="F393">
        <f t="shared" si="53"/>
        <v>-418.69</v>
      </c>
      <c r="I393">
        <f t="shared" si="48"/>
        <v>19</v>
      </c>
      <c r="J393">
        <v>1</v>
      </c>
      <c r="K393">
        <f t="shared" si="49"/>
        <v>7</v>
      </c>
      <c r="L393">
        <f t="shared" si="50"/>
        <v>2024</v>
      </c>
      <c r="N393" s="17">
        <f t="shared" si="54"/>
        <v>45474</v>
      </c>
      <c r="P393" s="17">
        <v>34243</v>
      </c>
      <c r="Q393" s="55" t="e">
        <f t="shared" si="51"/>
        <v>#DIV/0!</v>
      </c>
      <c r="S393">
        <f t="shared" si="55"/>
        <v>0</v>
      </c>
    </row>
    <row r="394" spans="1:19" x14ac:dyDescent="0.3">
      <c r="A394" s="17">
        <v>45491</v>
      </c>
      <c r="B394">
        <v>503.24</v>
      </c>
      <c r="C394">
        <v>84.8</v>
      </c>
      <c r="D394">
        <f t="shared" si="52"/>
        <v>418.44</v>
      </c>
      <c r="E394">
        <v>-0.28000000000000003</v>
      </c>
      <c r="F394">
        <f t="shared" si="53"/>
        <v>-418.71999999999997</v>
      </c>
      <c r="I394">
        <f t="shared" si="48"/>
        <v>18</v>
      </c>
      <c r="J394">
        <v>1</v>
      </c>
      <c r="K394">
        <f t="shared" si="49"/>
        <v>7</v>
      </c>
      <c r="L394">
        <f t="shared" si="50"/>
        <v>2024</v>
      </c>
      <c r="N394" s="17">
        <f t="shared" si="54"/>
        <v>45474</v>
      </c>
      <c r="P394" s="17">
        <v>34213</v>
      </c>
      <c r="Q394" s="55" t="e">
        <f t="shared" si="51"/>
        <v>#DIV/0!</v>
      </c>
      <c r="S394">
        <f t="shared" si="55"/>
        <v>0</v>
      </c>
    </row>
    <row r="395" spans="1:19" x14ac:dyDescent="0.3">
      <c r="A395" s="17">
        <v>45490</v>
      </c>
      <c r="B395">
        <v>503.2</v>
      </c>
      <c r="C395">
        <v>83.7</v>
      </c>
      <c r="D395">
        <f t="shared" si="52"/>
        <v>419.5</v>
      </c>
      <c r="E395">
        <v>-0.23</v>
      </c>
      <c r="F395">
        <f t="shared" si="53"/>
        <v>-419.73</v>
      </c>
      <c r="I395">
        <f t="shared" si="48"/>
        <v>17</v>
      </c>
      <c r="J395">
        <v>1</v>
      </c>
      <c r="K395">
        <f t="shared" si="49"/>
        <v>7</v>
      </c>
      <c r="L395">
        <f t="shared" si="50"/>
        <v>2024</v>
      </c>
      <c r="N395" s="17">
        <f t="shared" si="54"/>
        <v>45474</v>
      </c>
      <c r="P395" s="17">
        <v>34182</v>
      </c>
      <c r="Q395" s="55" t="e">
        <f t="shared" si="51"/>
        <v>#DIV/0!</v>
      </c>
      <c r="S395">
        <f t="shared" si="55"/>
        <v>0</v>
      </c>
    </row>
    <row r="396" spans="1:19" x14ac:dyDescent="0.3">
      <c r="A396" s="17">
        <v>45489</v>
      </c>
      <c r="B396">
        <v>503.89</v>
      </c>
      <c r="C396">
        <v>83.85</v>
      </c>
      <c r="D396">
        <f t="shared" si="52"/>
        <v>420.03999999999996</v>
      </c>
      <c r="E396">
        <v>-0.14000000000000001</v>
      </c>
      <c r="F396">
        <f t="shared" si="53"/>
        <v>-420.17999999999995</v>
      </c>
      <c r="I396">
        <f t="shared" si="48"/>
        <v>16</v>
      </c>
      <c r="J396">
        <v>1</v>
      </c>
      <c r="K396">
        <f t="shared" si="49"/>
        <v>7</v>
      </c>
      <c r="L396">
        <f t="shared" si="50"/>
        <v>2024</v>
      </c>
      <c r="N396" s="17">
        <f t="shared" si="54"/>
        <v>45474</v>
      </c>
      <c r="P396" s="17">
        <v>34151</v>
      </c>
      <c r="Q396" s="55" t="e">
        <f t="shared" si="51"/>
        <v>#DIV/0!</v>
      </c>
      <c r="S396">
        <f t="shared" si="55"/>
        <v>0</v>
      </c>
    </row>
    <row r="397" spans="1:19" x14ac:dyDescent="0.3">
      <c r="A397" s="17">
        <v>45488</v>
      </c>
      <c r="B397">
        <v>506.66</v>
      </c>
      <c r="C397">
        <v>84.68</v>
      </c>
      <c r="D397">
        <f t="shared" si="52"/>
        <v>421.98</v>
      </c>
      <c r="E397">
        <v>-0.19</v>
      </c>
      <c r="F397">
        <f t="shared" si="53"/>
        <v>-422.17</v>
      </c>
      <c r="I397">
        <f t="shared" si="48"/>
        <v>15</v>
      </c>
      <c r="J397">
        <v>1</v>
      </c>
      <c r="K397">
        <f t="shared" si="49"/>
        <v>7</v>
      </c>
      <c r="L397">
        <f t="shared" si="50"/>
        <v>2024</v>
      </c>
      <c r="N397" s="17">
        <f t="shared" si="54"/>
        <v>45474</v>
      </c>
      <c r="P397" s="17">
        <v>34121</v>
      </c>
      <c r="Q397" s="55" t="e">
        <f t="shared" si="51"/>
        <v>#DIV/0!</v>
      </c>
      <c r="S397">
        <f t="shared" si="55"/>
        <v>0</v>
      </c>
    </row>
    <row r="398" spans="1:19" x14ac:dyDescent="0.3">
      <c r="A398" s="17">
        <v>45485</v>
      </c>
      <c r="B398">
        <v>513.9</v>
      </c>
      <c r="C398">
        <v>85.64</v>
      </c>
      <c r="D398">
        <f t="shared" si="52"/>
        <v>428.26</v>
      </c>
      <c r="E398">
        <v>-0.21</v>
      </c>
      <c r="F398">
        <f t="shared" si="53"/>
        <v>-428.46999999999997</v>
      </c>
      <c r="I398">
        <f t="shared" si="48"/>
        <v>12</v>
      </c>
      <c r="J398">
        <v>1</v>
      </c>
      <c r="K398">
        <f t="shared" si="49"/>
        <v>7</v>
      </c>
      <c r="L398">
        <f t="shared" si="50"/>
        <v>2024</v>
      </c>
      <c r="N398" s="17">
        <f t="shared" si="54"/>
        <v>45474</v>
      </c>
      <c r="P398" s="17">
        <v>34090</v>
      </c>
      <c r="Q398" s="55" t="e">
        <f t="shared" si="51"/>
        <v>#DIV/0!</v>
      </c>
      <c r="S398">
        <f t="shared" si="55"/>
        <v>0</v>
      </c>
    </row>
    <row r="399" spans="1:19" x14ac:dyDescent="0.3">
      <c r="A399" s="17">
        <v>45484</v>
      </c>
      <c r="B399">
        <v>513.20000000000005</v>
      </c>
      <c r="C399">
        <v>85.48</v>
      </c>
      <c r="D399">
        <f t="shared" si="52"/>
        <v>427.72</v>
      </c>
      <c r="E399">
        <v>-0.27</v>
      </c>
      <c r="F399">
        <f t="shared" si="53"/>
        <v>-427.99</v>
      </c>
      <c r="I399">
        <f t="shared" si="48"/>
        <v>11</v>
      </c>
      <c r="J399">
        <v>1</v>
      </c>
      <c r="K399">
        <f t="shared" si="49"/>
        <v>7</v>
      </c>
      <c r="L399">
        <f t="shared" si="50"/>
        <v>2024</v>
      </c>
      <c r="N399" s="17">
        <f t="shared" si="54"/>
        <v>45474</v>
      </c>
      <c r="P399" s="17">
        <v>34060</v>
      </c>
      <c r="Q399" s="55" t="e">
        <f t="shared" si="51"/>
        <v>#DIV/0!</v>
      </c>
      <c r="S399">
        <f t="shared" si="55"/>
        <v>0</v>
      </c>
    </row>
    <row r="400" spans="1:19" x14ac:dyDescent="0.3">
      <c r="A400" s="17">
        <v>45483</v>
      </c>
      <c r="B400">
        <v>509.01</v>
      </c>
      <c r="C400">
        <v>84.58</v>
      </c>
      <c r="D400">
        <f t="shared" si="52"/>
        <v>424.43</v>
      </c>
      <c r="E400">
        <v>-0.21</v>
      </c>
      <c r="F400">
        <f t="shared" si="53"/>
        <v>-424.64</v>
      </c>
      <c r="I400">
        <f t="shared" si="48"/>
        <v>10</v>
      </c>
      <c r="J400">
        <v>1</v>
      </c>
      <c r="K400">
        <f t="shared" si="49"/>
        <v>7</v>
      </c>
      <c r="L400">
        <f t="shared" si="50"/>
        <v>2024</v>
      </c>
      <c r="N400" s="17">
        <f t="shared" si="54"/>
        <v>45474</v>
      </c>
      <c r="P400" s="17">
        <v>34029</v>
      </c>
      <c r="Q400" s="55" t="e">
        <f t="shared" si="51"/>
        <v>#DIV/0!</v>
      </c>
      <c r="S400">
        <f t="shared" si="55"/>
        <v>0</v>
      </c>
    </row>
    <row r="401" spans="1:19" x14ac:dyDescent="0.3">
      <c r="A401" s="17">
        <v>45482</v>
      </c>
      <c r="B401">
        <v>514.38</v>
      </c>
      <c r="C401">
        <v>85.62</v>
      </c>
      <c r="D401">
        <f t="shared" si="52"/>
        <v>428.76</v>
      </c>
      <c r="E401">
        <v>-0.28000000000000003</v>
      </c>
      <c r="F401">
        <f t="shared" si="53"/>
        <v>-429.03999999999996</v>
      </c>
      <c r="I401">
        <f t="shared" si="48"/>
        <v>9</v>
      </c>
      <c r="J401">
        <v>1</v>
      </c>
      <c r="K401">
        <f t="shared" si="49"/>
        <v>7</v>
      </c>
      <c r="L401">
        <f t="shared" si="50"/>
        <v>2024</v>
      </c>
      <c r="N401" s="17">
        <f t="shared" si="54"/>
        <v>45474</v>
      </c>
      <c r="P401" s="17">
        <v>34001</v>
      </c>
      <c r="Q401" s="55" t="e">
        <f t="shared" si="51"/>
        <v>#DIV/0!</v>
      </c>
      <c r="S401">
        <f t="shared" si="55"/>
        <v>0</v>
      </c>
    </row>
    <row r="402" spans="1:19" x14ac:dyDescent="0.3">
      <c r="A402" s="17">
        <v>45481</v>
      </c>
      <c r="B402">
        <v>519.62</v>
      </c>
      <c r="C402">
        <v>86.19</v>
      </c>
      <c r="D402">
        <f t="shared" si="52"/>
        <v>433.43</v>
      </c>
      <c r="E402">
        <v>-0.33</v>
      </c>
      <c r="F402">
        <f t="shared" si="53"/>
        <v>-433.76</v>
      </c>
      <c r="I402">
        <f t="shared" si="48"/>
        <v>8</v>
      </c>
      <c r="J402">
        <v>1</v>
      </c>
      <c r="K402">
        <f t="shared" si="49"/>
        <v>7</v>
      </c>
      <c r="L402">
        <f t="shared" si="50"/>
        <v>2024</v>
      </c>
      <c r="N402" s="17">
        <f t="shared" si="54"/>
        <v>45474</v>
      </c>
      <c r="P402" s="17">
        <v>33970</v>
      </c>
      <c r="Q402" s="55" t="e">
        <f t="shared" si="51"/>
        <v>#DIV/0!</v>
      </c>
      <c r="S402">
        <f t="shared" si="55"/>
        <v>0</v>
      </c>
    </row>
    <row r="403" spans="1:19" x14ac:dyDescent="0.3">
      <c r="A403" s="17">
        <v>45478</v>
      </c>
      <c r="B403">
        <v>526.09</v>
      </c>
      <c r="C403">
        <v>87.65</v>
      </c>
      <c r="D403">
        <f t="shared" si="52"/>
        <v>438.44000000000005</v>
      </c>
      <c r="E403">
        <v>-0.28999999999999998</v>
      </c>
      <c r="F403">
        <f t="shared" si="53"/>
        <v>-438.73000000000008</v>
      </c>
      <c r="I403">
        <f t="shared" si="48"/>
        <v>5</v>
      </c>
      <c r="J403">
        <v>1</v>
      </c>
      <c r="K403">
        <f t="shared" si="49"/>
        <v>7</v>
      </c>
      <c r="L403">
        <f t="shared" si="50"/>
        <v>2024</v>
      </c>
      <c r="N403" s="17">
        <f t="shared" si="54"/>
        <v>45474</v>
      </c>
      <c r="P403" s="17">
        <v>33939</v>
      </c>
      <c r="Q403" s="55" t="e">
        <f t="shared" si="51"/>
        <v>#DIV/0!</v>
      </c>
      <c r="S403">
        <f t="shared" si="55"/>
        <v>0</v>
      </c>
    </row>
    <row r="404" spans="1:19" x14ac:dyDescent="0.3">
      <c r="A404" s="17">
        <v>45477</v>
      </c>
      <c r="B404">
        <v>516.96</v>
      </c>
      <c r="C404">
        <v>86.77</v>
      </c>
      <c r="D404">
        <f t="shared" si="52"/>
        <v>430.19000000000005</v>
      </c>
      <c r="E404">
        <v>-0.32</v>
      </c>
      <c r="F404">
        <f t="shared" si="53"/>
        <v>-430.51000000000005</v>
      </c>
      <c r="I404">
        <f t="shared" si="48"/>
        <v>4</v>
      </c>
      <c r="J404">
        <v>1</v>
      </c>
      <c r="K404">
        <f t="shared" si="49"/>
        <v>7</v>
      </c>
      <c r="L404">
        <f t="shared" si="50"/>
        <v>2024</v>
      </c>
      <c r="N404" s="17">
        <f t="shared" si="54"/>
        <v>45474</v>
      </c>
      <c r="P404" s="17">
        <v>33909</v>
      </c>
      <c r="Q404" s="55" t="e">
        <f t="shared" si="51"/>
        <v>#DIV/0!</v>
      </c>
      <c r="S404">
        <f t="shared" si="55"/>
        <v>1</v>
      </c>
    </row>
    <row r="405" spans="1:19" x14ac:dyDescent="0.3">
      <c r="A405" s="17">
        <v>45476</v>
      </c>
      <c r="B405">
        <v>510.61</v>
      </c>
      <c r="C405">
        <v>86.59</v>
      </c>
      <c r="D405">
        <f t="shared" si="52"/>
        <v>424.02</v>
      </c>
      <c r="E405">
        <v>-0.34</v>
      </c>
      <c r="F405">
        <f t="shared" si="53"/>
        <v>-424.35999999999996</v>
      </c>
      <c r="I405">
        <f t="shared" si="48"/>
        <v>3</v>
      </c>
      <c r="J405">
        <v>1</v>
      </c>
      <c r="K405">
        <f t="shared" si="49"/>
        <v>7</v>
      </c>
      <c r="L405">
        <f t="shared" si="50"/>
        <v>2024</v>
      </c>
      <c r="N405" s="17">
        <f t="shared" si="54"/>
        <v>45474</v>
      </c>
      <c r="P405" s="17">
        <v>33878</v>
      </c>
      <c r="Q405" s="55" t="e">
        <f t="shared" si="51"/>
        <v>#DIV/0!</v>
      </c>
      <c r="S405">
        <f t="shared" si="55"/>
        <v>1</v>
      </c>
    </row>
    <row r="406" spans="1:19" x14ac:dyDescent="0.3">
      <c r="A406" s="17">
        <v>45475</v>
      </c>
      <c r="B406">
        <v>511.7</v>
      </c>
      <c r="C406">
        <v>87.094999999999999</v>
      </c>
      <c r="D406">
        <f t="shared" si="52"/>
        <v>424.60500000000002</v>
      </c>
      <c r="E406">
        <v>-0.27</v>
      </c>
      <c r="F406">
        <f t="shared" si="53"/>
        <v>-424.875</v>
      </c>
      <c r="I406">
        <f t="shared" si="48"/>
        <v>2</v>
      </c>
      <c r="J406">
        <v>1</v>
      </c>
      <c r="K406">
        <f t="shared" si="49"/>
        <v>7</v>
      </c>
      <c r="L406">
        <f t="shared" si="50"/>
        <v>2024</v>
      </c>
      <c r="N406" s="17">
        <f t="shared" si="54"/>
        <v>45474</v>
      </c>
      <c r="P406" s="17">
        <v>33848</v>
      </c>
      <c r="Q406" s="55" t="e">
        <f t="shared" si="51"/>
        <v>#DIV/0!</v>
      </c>
      <c r="S406">
        <f t="shared" si="55"/>
        <v>1</v>
      </c>
    </row>
    <row r="407" spans="1:19" x14ac:dyDescent="0.3">
      <c r="A407" s="17">
        <v>45474</v>
      </c>
      <c r="B407">
        <v>506.62</v>
      </c>
      <c r="C407">
        <v>85.66</v>
      </c>
      <c r="D407">
        <f t="shared" si="52"/>
        <v>420.96000000000004</v>
      </c>
      <c r="E407">
        <v>-0.25</v>
      </c>
      <c r="F407">
        <f t="shared" si="53"/>
        <v>-421.21000000000004</v>
      </c>
      <c r="I407">
        <f t="shared" si="48"/>
        <v>1</v>
      </c>
      <c r="J407">
        <v>1</v>
      </c>
      <c r="K407">
        <f t="shared" si="49"/>
        <v>7</v>
      </c>
      <c r="L407">
        <f t="shared" si="50"/>
        <v>2024</v>
      </c>
      <c r="N407" s="17">
        <f t="shared" si="54"/>
        <v>45474</v>
      </c>
      <c r="P407" s="17">
        <v>33817</v>
      </c>
      <c r="Q407" s="55" t="e">
        <f t="shared" si="51"/>
        <v>#DIV/0!</v>
      </c>
      <c r="S407">
        <f t="shared" si="55"/>
        <v>1</v>
      </c>
    </row>
    <row r="408" spans="1:19" x14ac:dyDescent="0.3">
      <c r="A408" s="17">
        <v>45471</v>
      </c>
      <c r="B408">
        <v>510.66</v>
      </c>
      <c r="C408">
        <v>85.75</v>
      </c>
      <c r="D408">
        <f t="shared" si="52"/>
        <v>424.91</v>
      </c>
      <c r="E408">
        <v>-0.18</v>
      </c>
      <c r="F408">
        <f t="shared" si="53"/>
        <v>-425.09000000000003</v>
      </c>
      <c r="I408">
        <f t="shared" si="48"/>
        <v>28</v>
      </c>
      <c r="J408">
        <v>1</v>
      </c>
      <c r="K408">
        <f t="shared" si="49"/>
        <v>6</v>
      </c>
      <c r="L408">
        <f t="shared" si="50"/>
        <v>2024</v>
      </c>
      <c r="N408" s="17">
        <f t="shared" si="54"/>
        <v>45444</v>
      </c>
      <c r="P408" s="17">
        <v>33786</v>
      </c>
      <c r="Q408" s="55" t="e">
        <f t="shared" si="51"/>
        <v>#DIV/0!</v>
      </c>
      <c r="S408">
        <f t="shared" si="55"/>
        <v>0</v>
      </c>
    </row>
    <row r="409" spans="1:19" x14ac:dyDescent="0.3">
      <c r="A409" s="17">
        <v>45470</v>
      </c>
      <c r="B409">
        <v>507.74</v>
      </c>
      <c r="C409">
        <v>84.94</v>
      </c>
      <c r="D409">
        <f t="shared" si="52"/>
        <v>422.8</v>
      </c>
      <c r="E409">
        <v>-0.15</v>
      </c>
      <c r="F409">
        <f t="shared" si="53"/>
        <v>-422.95</v>
      </c>
      <c r="I409">
        <f t="shared" si="48"/>
        <v>27</v>
      </c>
      <c r="J409">
        <v>1</v>
      </c>
      <c r="K409">
        <f t="shared" si="49"/>
        <v>6</v>
      </c>
      <c r="L409">
        <f t="shared" si="50"/>
        <v>2024</v>
      </c>
      <c r="N409" s="17">
        <f t="shared" si="54"/>
        <v>45444</v>
      </c>
      <c r="P409" s="17">
        <v>33756</v>
      </c>
      <c r="Q409" s="55" t="e">
        <f t="shared" si="51"/>
        <v>#DIV/0!</v>
      </c>
      <c r="S409">
        <f t="shared" si="55"/>
        <v>0</v>
      </c>
    </row>
    <row r="410" spans="1:19" x14ac:dyDescent="0.3">
      <c r="A410" s="17">
        <v>45469</v>
      </c>
      <c r="B410">
        <v>503.67</v>
      </c>
      <c r="C410">
        <v>84.5</v>
      </c>
      <c r="D410">
        <f t="shared" si="52"/>
        <v>419.17</v>
      </c>
      <c r="E410">
        <v>-0.2</v>
      </c>
      <c r="F410">
        <f t="shared" si="53"/>
        <v>-419.37</v>
      </c>
      <c r="I410">
        <f t="shared" si="48"/>
        <v>26</v>
      </c>
      <c r="J410">
        <v>1</v>
      </c>
      <c r="K410">
        <f t="shared" si="49"/>
        <v>6</v>
      </c>
      <c r="L410">
        <f t="shared" si="50"/>
        <v>2024</v>
      </c>
      <c r="N410" s="17">
        <f t="shared" si="54"/>
        <v>45444</v>
      </c>
      <c r="P410" s="17">
        <v>33725</v>
      </c>
      <c r="Q410" s="55" t="e">
        <f t="shared" si="51"/>
        <v>#DIV/0!</v>
      </c>
      <c r="S410">
        <f t="shared" si="55"/>
        <v>0</v>
      </c>
    </row>
    <row r="411" spans="1:19" x14ac:dyDescent="0.3">
      <c r="A411" s="17">
        <v>45468</v>
      </c>
      <c r="B411">
        <v>508.6</v>
      </c>
      <c r="C411">
        <v>85.29</v>
      </c>
      <c r="D411">
        <f t="shared" si="52"/>
        <v>423.31</v>
      </c>
      <c r="E411">
        <v>-0.15</v>
      </c>
      <c r="F411">
        <f t="shared" si="53"/>
        <v>-423.46</v>
      </c>
      <c r="I411">
        <f t="shared" si="48"/>
        <v>25</v>
      </c>
      <c r="J411">
        <v>1</v>
      </c>
      <c r="K411">
        <f t="shared" si="49"/>
        <v>6</v>
      </c>
      <c r="L411">
        <f t="shared" si="50"/>
        <v>2024</v>
      </c>
      <c r="N411" s="17">
        <f t="shared" si="54"/>
        <v>45444</v>
      </c>
      <c r="P411" s="17">
        <v>33695</v>
      </c>
      <c r="Q411" s="55" t="e">
        <f t="shared" si="51"/>
        <v>#DIV/0!</v>
      </c>
      <c r="S411">
        <f t="shared" si="55"/>
        <v>0</v>
      </c>
    </row>
    <row r="412" spans="1:19" x14ac:dyDescent="0.3">
      <c r="A412" s="17">
        <v>45467</v>
      </c>
      <c r="B412">
        <v>509.26</v>
      </c>
      <c r="C412">
        <v>84.54</v>
      </c>
      <c r="D412">
        <f t="shared" si="52"/>
        <v>424.71999999999997</v>
      </c>
      <c r="E412">
        <v>-7.0000000000000007E-2</v>
      </c>
      <c r="F412">
        <f t="shared" si="53"/>
        <v>-424.78999999999996</v>
      </c>
      <c r="I412">
        <f t="shared" si="48"/>
        <v>24</v>
      </c>
      <c r="J412">
        <v>1</v>
      </c>
      <c r="K412">
        <f t="shared" si="49"/>
        <v>6</v>
      </c>
      <c r="L412">
        <f t="shared" si="50"/>
        <v>2024</v>
      </c>
      <c r="N412" s="17">
        <f t="shared" si="54"/>
        <v>45444</v>
      </c>
      <c r="P412" s="17">
        <v>33664</v>
      </c>
      <c r="Q412" s="55" t="e">
        <f t="shared" si="51"/>
        <v>#DIV/0!</v>
      </c>
      <c r="S412">
        <f t="shared" si="55"/>
        <v>0</v>
      </c>
    </row>
    <row r="413" spans="1:19" x14ac:dyDescent="0.3">
      <c r="A413" s="17">
        <v>45464</v>
      </c>
      <c r="B413">
        <v>510.91</v>
      </c>
      <c r="C413">
        <v>84.79</v>
      </c>
      <c r="D413">
        <f t="shared" si="52"/>
        <v>426.12</v>
      </c>
      <c r="E413">
        <v>-7.0000000000000007E-2</v>
      </c>
      <c r="F413">
        <f t="shared" si="53"/>
        <v>-426.19</v>
      </c>
      <c r="I413">
        <f t="shared" si="48"/>
        <v>21</v>
      </c>
      <c r="J413">
        <v>1</v>
      </c>
      <c r="K413">
        <f t="shared" si="49"/>
        <v>6</v>
      </c>
      <c r="L413">
        <f t="shared" si="50"/>
        <v>2024</v>
      </c>
      <c r="N413" s="17">
        <f t="shared" si="54"/>
        <v>45444</v>
      </c>
      <c r="P413" s="17">
        <v>33635</v>
      </c>
      <c r="Q413" s="55" t="e">
        <f t="shared" si="51"/>
        <v>#DIV/0!</v>
      </c>
      <c r="S413">
        <f t="shared" si="55"/>
        <v>0</v>
      </c>
    </row>
    <row r="414" spans="1:19" x14ac:dyDescent="0.3">
      <c r="A414" s="17">
        <v>45463</v>
      </c>
      <c r="B414">
        <v>515.79</v>
      </c>
      <c r="C414">
        <v>84.53</v>
      </c>
      <c r="D414">
        <f t="shared" si="52"/>
        <v>431.26</v>
      </c>
      <c r="E414">
        <v>0</v>
      </c>
      <c r="F414">
        <f t="shared" si="53"/>
        <v>-431.26</v>
      </c>
      <c r="I414">
        <f t="shared" si="48"/>
        <v>20</v>
      </c>
      <c r="J414">
        <v>1</v>
      </c>
      <c r="K414">
        <f t="shared" si="49"/>
        <v>6</v>
      </c>
      <c r="L414">
        <f t="shared" si="50"/>
        <v>2024</v>
      </c>
      <c r="N414" s="17">
        <f t="shared" si="54"/>
        <v>45444</v>
      </c>
      <c r="P414" s="17">
        <v>33604</v>
      </c>
      <c r="Q414" s="55" t="e">
        <f t="shared" si="51"/>
        <v>#DIV/0!</v>
      </c>
      <c r="S414">
        <f t="shared" si="55"/>
        <v>0</v>
      </c>
    </row>
    <row r="415" spans="1:19" x14ac:dyDescent="0.3">
      <c r="A415" s="17">
        <v>45462</v>
      </c>
      <c r="B415">
        <v>515.19000000000005</v>
      </c>
      <c r="C415">
        <v>84.3</v>
      </c>
      <c r="D415">
        <f t="shared" si="52"/>
        <v>430.89000000000004</v>
      </c>
      <c r="E415">
        <v>0.04</v>
      </c>
      <c r="F415">
        <f t="shared" si="53"/>
        <v>-430.85</v>
      </c>
      <c r="I415">
        <f t="shared" si="48"/>
        <v>19</v>
      </c>
      <c r="J415">
        <v>1</v>
      </c>
      <c r="K415">
        <f t="shared" si="49"/>
        <v>6</v>
      </c>
      <c r="L415">
        <f t="shared" si="50"/>
        <v>2024</v>
      </c>
      <c r="N415" s="17">
        <f t="shared" si="54"/>
        <v>45444</v>
      </c>
      <c r="P415" s="17">
        <v>33573</v>
      </c>
      <c r="Q415" s="55" t="e">
        <f t="shared" si="51"/>
        <v>#DIV/0!</v>
      </c>
      <c r="S415">
        <f t="shared" si="55"/>
        <v>0</v>
      </c>
    </row>
    <row r="416" spans="1:19" x14ac:dyDescent="0.3">
      <c r="A416" s="17">
        <v>45461</v>
      </c>
      <c r="B416">
        <v>502.1</v>
      </c>
      <c r="C416">
        <v>83.34</v>
      </c>
      <c r="D416">
        <f t="shared" si="52"/>
        <v>418.76</v>
      </c>
      <c r="E416">
        <v>-0.01</v>
      </c>
      <c r="F416">
        <f t="shared" si="53"/>
        <v>-418.77</v>
      </c>
      <c r="I416">
        <f t="shared" si="48"/>
        <v>18</v>
      </c>
      <c r="J416">
        <v>1</v>
      </c>
      <c r="K416">
        <f t="shared" si="49"/>
        <v>6</v>
      </c>
      <c r="L416">
        <f t="shared" si="50"/>
        <v>2024</v>
      </c>
      <c r="N416" s="17">
        <f t="shared" si="54"/>
        <v>45444</v>
      </c>
      <c r="P416" s="17">
        <v>33543</v>
      </c>
      <c r="Q416" s="55" t="e">
        <f t="shared" si="51"/>
        <v>#DIV/0!</v>
      </c>
      <c r="S416">
        <f t="shared" si="55"/>
        <v>0</v>
      </c>
    </row>
    <row r="417" spans="1:19" x14ac:dyDescent="0.3">
      <c r="A417" s="17">
        <v>45457</v>
      </c>
      <c r="B417">
        <v>497.18</v>
      </c>
      <c r="C417">
        <v>82.325000000000003</v>
      </c>
      <c r="D417">
        <f t="shared" si="52"/>
        <v>414.85500000000002</v>
      </c>
      <c r="E417">
        <v>-7.0000000000000007E-2</v>
      </c>
      <c r="F417">
        <f t="shared" si="53"/>
        <v>-414.92500000000001</v>
      </c>
      <c r="I417">
        <f t="shared" si="48"/>
        <v>14</v>
      </c>
      <c r="J417">
        <v>1</v>
      </c>
      <c r="K417">
        <f t="shared" si="49"/>
        <v>6</v>
      </c>
      <c r="L417">
        <f t="shared" si="50"/>
        <v>2024</v>
      </c>
      <c r="N417" s="17">
        <f t="shared" si="54"/>
        <v>45444</v>
      </c>
      <c r="P417" s="17">
        <v>33512</v>
      </c>
      <c r="Q417" s="55" t="e">
        <f t="shared" si="51"/>
        <v>#DIV/0!</v>
      </c>
      <c r="S417">
        <f t="shared" si="55"/>
        <v>0</v>
      </c>
    </row>
    <row r="418" spans="1:19" x14ac:dyDescent="0.3">
      <c r="A418" s="17">
        <v>45456</v>
      </c>
      <c r="B418">
        <v>497.8</v>
      </c>
      <c r="C418">
        <v>82.08</v>
      </c>
      <c r="D418">
        <f t="shared" si="52"/>
        <v>415.72</v>
      </c>
      <c r="E418">
        <v>0.04</v>
      </c>
      <c r="F418">
        <f t="shared" si="53"/>
        <v>-415.68</v>
      </c>
      <c r="I418">
        <f t="shared" si="48"/>
        <v>13</v>
      </c>
      <c r="J418">
        <v>1</v>
      </c>
      <c r="K418">
        <f t="shared" si="49"/>
        <v>6</v>
      </c>
      <c r="L418">
        <f t="shared" si="50"/>
        <v>2024</v>
      </c>
      <c r="N418" s="17">
        <f t="shared" si="54"/>
        <v>45444</v>
      </c>
      <c r="P418" s="17">
        <v>33482</v>
      </c>
      <c r="Q418" s="55" t="e">
        <f t="shared" si="51"/>
        <v>#DIV/0!</v>
      </c>
      <c r="S418">
        <f t="shared" si="55"/>
        <v>0</v>
      </c>
    </row>
    <row r="419" spans="1:19" x14ac:dyDescent="0.3">
      <c r="A419" s="17">
        <v>45455</v>
      </c>
      <c r="B419">
        <v>501.88</v>
      </c>
      <c r="C419">
        <v>82.65</v>
      </c>
      <c r="D419">
        <f t="shared" si="52"/>
        <v>419.23</v>
      </c>
      <c r="E419">
        <v>-0.02</v>
      </c>
      <c r="F419">
        <f t="shared" si="53"/>
        <v>-419.25</v>
      </c>
      <c r="I419">
        <f t="shared" si="48"/>
        <v>12</v>
      </c>
      <c r="J419">
        <v>1</v>
      </c>
      <c r="K419">
        <f t="shared" si="49"/>
        <v>6</v>
      </c>
      <c r="L419">
        <f t="shared" si="50"/>
        <v>2024</v>
      </c>
      <c r="N419" s="17">
        <f t="shared" si="54"/>
        <v>45444</v>
      </c>
      <c r="P419" s="17">
        <v>33451</v>
      </c>
      <c r="Q419" s="55" t="e">
        <f t="shared" si="51"/>
        <v>#DIV/0!</v>
      </c>
      <c r="S419">
        <f t="shared" si="55"/>
        <v>0</v>
      </c>
    </row>
    <row r="420" spans="1:19" x14ac:dyDescent="0.3">
      <c r="A420" s="17">
        <v>45454</v>
      </c>
      <c r="B420">
        <v>497.66</v>
      </c>
      <c r="C420">
        <v>81.86</v>
      </c>
      <c r="D420">
        <f t="shared" si="52"/>
        <v>415.8</v>
      </c>
      <c r="E420">
        <v>-0.13</v>
      </c>
      <c r="F420">
        <f t="shared" si="53"/>
        <v>-415.93</v>
      </c>
      <c r="I420">
        <f t="shared" si="48"/>
        <v>11</v>
      </c>
      <c r="J420">
        <v>1</v>
      </c>
      <c r="K420">
        <f t="shared" si="49"/>
        <v>6</v>
      </c>
      <c r="L420">
        <f t="shared" si="50"/>
        <v>2024</v>
      </c>
      <c r="N420" s="17">
        <f t="shared" si="54"/>
        <v>45444</v>
      </c>
      <c r="P420" s="17">
        <v>33420</v>
      </c>
      <c r="Q420" s="55" t="e">
        <f t="shared" si="51"/>
        <v>#DIV/0!</v>
      </c>
      <c r="S420">
        <f t="shared" si="55"/>
        <v>0</v>
      </c>
    </row>
    <row r="421" spans="1:19" x14ac:dyDescent="0.3">
      <c r="A421" s="17">
        <v>45453</v>
      </c>
      <c r="B421">
        <v>482.33</v>
      </c>
      <c r="C421">
        <v>80.19</v>
      </c>
      <c r="D421">
        <f t="shared" si="52"/>
        <v>402.14</v>
      </c>
      <c r="E421">
        <v>-0.15</v>
      </c>
      <c r="F421">
        <f t="shared" si="53"/>
        <v>-402.28999999999996</v>
      </c>
      <c r="I421">
        <f t="shared" si="48"/>
        <v>10</v>
      </c>
      <c r="J421">
        <v>1</v>
      </c>
      <c r="K421">
        <f t="shared" si="49"/>
        <v>6</v>
      </c>
      <c r="L421">
        <f t="shared" si="50"/>
        <v>2024</v>
      </c>
      <c r="N421" s="17">
        <f t="shared" si="54"/>
        <v>45444</v>
      </c>
      <c r="P421" s="17">
        <v>33390</v>
      </c>
      <c r="Q421" s="55" t="e">
        <f t="shared" si="51"/>
        <v>#DIV/0!</v>
      </c>
      <c r="S421">
        <f t="shared" si="55"/>
        <v>0</v>
      </c>
    </row>
    <row r="422" spans="1:19" x14ac:dyDescent="0.3">
      <c r="A422" s="17">
        <v>45450</v>
      </c>
      <c r="B422">
        <v>481.64</v>
      </c>
      <c r="C422">
        <v>80.105000000000004</v>
      </c>
      <c r="D422">
        <f t="shared" si="52"/>
        <v>401.53499999999997</v>
      </c>
      <c r="E422">
        <v>-0.04</v>
      </c>
      <c r="F422">
        <f t="shared" si="53"/>
        <v>-401.57499999999999</v>
      </c>
      <c r="I422">
        <f t="shared" si="48"/>
        <v>7</v>
      </c>
      <c r="J422">
        <v>1</v>
      </c>
      <c r="K422">
        <f t="shared" si="49"/>
        <v>6</v>
      </c>
      <c r="L422">
        <f t="shared" si="50"/>
        <v>2024</v>
      </c>
      <c r="N422" s="17">
        <f t="shared" si="54"/>
        <v>45444</v>
      </c>
      <c r="P422" s="17">
        <v>33359</v>
      </c>
      <c r="Q422" s="55" t="e">
        <f t="shared" si="51"/>
        <v>#DIV/0!</v>
      </c>
      <c r="S422">
        <f t="shared" si="55"/>
        <v>0</v>
      </c>
    </row>
    <row r="423" spans="1:19" x14ac:dyDescent="0.3">
      <c r="A423" s="17">
        <v>45449</v>
      </c>
      <c r="B423">
        <v>481.12</v>
      </c>
      <c r="C423">
        <v>79.25</v>
      </c>
      <c r="D423">
        <f t="shared" si="52"/>
        <v>401.87</v>
      </c>
      <c r="E423">
        <v>-0.2</v>
      </c>
      <c r="F423">
        <f t="shared" si="53"/>
        <v>-402.07</v>
      </c>
      <c r="I423">
        <f t="shared" si="48"/>
        <v>6</v>
      </c>
      <c r="J423">
        <v>1</v>
      </c>
      <c r="K423">
        <f t="shared" si="49"/>
        <v>6</v>
      </c>
      <c r="L423">
        <f t="shared" si="50"/>
        <v>2024</v>
      </c>
      <c r="N423" s="17">
        <f t="shared" si="54"/>
        <v>45444</v>
      </c>
      <c r="P423" s="17">
        <v>33329</v>
      </c>
      <c r="Q423" s="55" t="e">
        <f t="shared" si="51"/>
        <v>#DIV/0!</v>
      </c>
      <c r="S423">
        <f t="shared" si="55"/>
        <v>0</v>
      </c>
    </row>
    <row r="424" spans="1:19" x14ac:dyDescent="0.3">
      <c r="A424" s="17">
        <v>45448</v>
      </c>
      <c r="B424">
        <v>483.41</v>
      </c>
      <c r="C424">
        <v>78.209999999999994</v>
      </c>
      <c r="D424">
        <f t="shared" si="52"/>
        <v>405.20000000000005</v>
      </c>
      <c r="E424">
        <v>-0.22</v>
      </c>
      <c r="F424">
        <f t="shared" si="53"/>
        <v>-405.42000000000007</v>
      </c>
      <c r="I424">
        <f t="shared" si="48"/>
        <v>5</v>
      </c>
      <c r="J424">
        <v>1</v>
      </c>
      <c r="K424">
        <f t="shared" si="49"/>
        <v>6</v>
      </c>
      <c r="L424">
        <f t="shared" si="50"/>
        <v>2024</v>
      </c>
      <c r="N424" s="17">
        <f t="shared" si="54"/>
        <v>45444</v>
      </c>
      <c r="P424" s="17">
        <v>33298</v>
      </c>
      <c r="Q424" s="55" t="e">
        <f t="shared" si="51"/>
        <v>#DIV/0!</v>
      </c>
      <c r="S424">
        <f t="shared" si="55"/>
        <v>0</v>
      </c>
    </row>
    <row r="425" spans="1:19" x14ac:dyDescent="0.3">
      <c r="A425" s="17">
        <v>45447</v>
      </c>
      <c r="B425">
        <v>494.22</v>
      </c>
      <c r="C425">
        <v>77.88</v>
      </c>
      <c r="D425">
        <f t="shared" si="52"/>
        <v>416.34000000000003</v>
      </c>
      <c r="E425">
        <v>-0.2</v>
      </c>
      <c r="F425">
        <f t="shared" si="53"/>
        <v>-416.54</v>
      </c>
      <c r="I425">
        <f t="shared" si="48"/>
        <v>4</v>
      </c>
      <c r="J425">
        <v>1</v>
      </c>
      <c r="K425">
        <f t="shared" si="49"/>
        <v>6</v>
      </c>
      <c r="L425">
        <f t="shared" si="50"/>
        <v>2024</v>
      </c>
      <c r="N425" s="17">
        <f t="shared" si="54"/>
        <v>45444</v>
      </c>
      <c r="P425" s="17">
        <v>33270</v>
      </c>
      <c r="Q425" s="55" t="e">
        <f t="shared" si="51"/>
        <v>#DIV/0!</v>
      </c>
      <c r="S425">
        <f t="shared" si="55"/>
        <v>1</v>
      </c>
    </row>
    <row r="426" spans="1:19" x14ac:dyDescent="0.3">
      <c r="A426" s="17">
        <v>45446</v>
      </c>
      <c r="B426">
        <v>505.57</v>
      </c>
      <c r="C426">
        <v>81.894999999999996</v>
      </c>
      <c r="D426">
        <f t="shared" si="52"/>
        <v>423.67500000000001</v>
      </c>
      <c r="E426">
        <v>-0.17</v>
      </c>
      <c r="F426">
        <f t="shared" si="53"/>
        <v>-423.84500000000003</v>
      </c>
      <c r="I426">
        <f t="shared" si="48"/>
        <v>3</v>
      </c>
      <c r="J426">
        <v>1</v>
      </c>
      <c r="K426">
        <f t="shared" si="49"/>
        <v>6</v>
      </c>
      <c r="L426">
        <f t="shared" si="50"/>
        <v>2024</v>
      </c>
      <c r="N426" s="17">
        <f t="shared" si="54"/>
        <v>45444</v>
      </c>
      <c r="P426" s="17">
        <v>33239</v>
      </c>
      <c r="Q426" s="55" t="e">
        <f t="shared" si="51"/>
        <v>#DIV/0!</v>
      </c>
      <c r="S426">
        <f t="shared" si="55"/>
        <v>1</v>
      </c>
    </row>
    <row r="427" spans="1:19" x14ac:dyDescent="0.3">
      <c r="A427" s="17">
        <v>45443</v>
      </c>
      <c r="B427">
        <v>504.25</v>
      </c>
      <c r="C427">
        <v>83.45</v>
      </c>
      <c r="D427">
        <f t="shared" si="52"/>
        <v>420.8</v>
      </c>
      <c r="E427">
        <v>-0.17</v>
      </c>
      <c r="F427">
        <f t="shared" si="53"/>
        <v>-420.97</v>
      </c>
      <c r="I427">
        <f t="shared" si="48"/>
        <v>31</v>
      </c>
      <c r="J427">
        <v>1</v>
      </c>
      <c r="K427">
        <f t="shared" si="49"/>
        <v>5</v>
      </c>
      <c r="L427">
        <f t="shared" si="50"/>
        <v>2024</v>
      </c>
      <c r="N427" s="17">
        <f t="shared" si="54"/>
        <v>45413</v>
      </c>
      <c r="P427" s="17">
        <v>33208</v>
      </c>
      <c r="Q427" s="55" t="e">
        <f t="shared" si="51"/>
        <v>#DIV/0!</v>
      </c>
      <c r="S427">
        <f t="shared" si="55"/>
        <v>0</v>
      </c>
    </row>
    <row r="428" spans="1:19" x14ac:dyDescent="0.3">
      <c r="A428" s="17">
        <v>45442</v>
      </c>
      <c r="B428">
        <v>509.63</v>
      </c>
      <c r="C428">
        <v>84.3</v>
      </c>
      <c r="D428">
        <f t="shared" si="52"/>
        <v>425.33</v>
      </c>
      <c r="E428">
        <v>-0.21</v>
      </c>
      <c r="F428">
        <f t="shared" si="53"/>
        <v>-425.53999999999996</v>
      </c>
      <c r="I428">
        <f t="shared" si="48"/>
        <v>30</v>
      </c>
      <c r="J428">
        <v>1</v>
      </c>
      <c r="K428">
        <f t="shared" si="49"/>
        <v>5</v>
      </c>
      <c r="L428">
        <f t="shared" si="50"/>
        <v>2024</v>
      </c>
      <c r="N428" s="17">
        <f t="shared" si="54"/>
        <v>45413</v>
      </c>
      <c r="P428" s="17">
        <v>33178</v>
      </c>
      <c r="Q428" s="55" t="e">
        <f t="shared" si="51"/>
        <v>#DIV/0!</v>
      </c>
      <c r="S428">
        <f t="shared" si="55"/>
        <v>0</v>
      </c>
    </row>
    <row r="429" spans="1:19" x14ac:dyDescent="0.3">
      <c r="A429" s="17">
        <v>45441</v>
      </c>
      <c r="B429">
        <v>517.6</v>
      </c>
      <c r="C429">
        <v>85.474999999999994</v>
      </c>
      <c r="D429">
        <f t="shared" si="52"/>
        <v>432.125</v>
      </c>
      <c r="E429">
        <v>-0.2</v>
      </c>
      <c r="F429">
        <f t="shared" si="53"/>
        <v>-432.32499999999999</v>
      </c>
      <c r="I429">
        <f t="shared" si="48"/>
        <v>29</v>
      </c>
      <c r="J429">
        <v>1</v>
      </c>
      <c r="K429">
        <f t="shared" si="49"/>
        <v>5</v>
      </c>
      <c r="L429">
        <f t="shared" si="50"/>
        <v>2024</v>
      </c>
      <c r="N429" s="17">
        <f t="shared" si="54"/>
        <v>45413</v>
      </c>
      <c r="P429" s="17">
        <v>33147</v>
      </c>
      <c r="Q429" s="55" t="e">
        <f t="shared" si="51"/>
        <v>#DIV/0!</v>
      </c>
      <c r="S429">
        <f t="shared" si="55"/>
        <v>0</v>
      </c>
    </row>
    <row r="430" spans="1:19" x14ac:dyDescent="0.3">
      <c r="A430" s="17">
        <v>45440</v>
      </c>
      <c r="B430">
        <v>511.45</v>
      </c>
      <c r="C430">
        <v>84.44</v>
      </c>
      <c r="D430">
        <f t="shared" si="52"/>
        <v>427.01</v>
      </c>
      <c r="E430">
        <v>-0.22</v>
      </c>
      <c r="F430">
        <f t="shared" si="53"/>
        <v>-427.23</v>
      </c>
      <c r="I430">
        <f t="shared" si="48"/>
        <v>28</v>
      </c>
      <c r="J430">
        <v>1</v>
      </c>
      <c r="K430">
        <f t="shared" si="49"/>
        <v>5</v>
      </c>
      <c r="L430">
        <f t="shared" si="50"/>
        <v>2024</v>
      </c>
      <c r="N430" s="17">
        <f t="shared" si="54"/>
        <v>45413</v>
      </c>
      <c r="P430" s="17">
        <v>33117</v>
      </c>
      <c r="Q430" s="55" t="e">
        <f t="shared" si="51"/>
        <v>#DIV/0!</v>
      </c>
      <c r="S430">
        <f t="shared" si="55"/>
        <v>0</v>
      </c>
    </row>
    <row r="431" spans="1:19" x14ac:dyDescent="0.3">
      <c r="A431" s="17">
        <v>45439</v>
      </c>
      <c r="B431">
        <v>499.88</v>
      </c>
      <c r="C431">
        <v>83.3</v>
      </c>
      <c r="D431">
        <f t="shared" si="52"/>
        <v>416.58</v>
      </c>
      <c r="E431">
        <v>-0.28999999999999998</v>
      </c>
      <c r="F431">
        <f t="shared" si="53"/>
        <v>-416.87</v>
      </c>
      <c r="I431">
        <f t="shared" si="48"/>
        <v>27</v>
      </c>
      <c r="J431">
        <v>1</v>
      </c>
      <c r="K431">
        <f t="shared" si="49"/>
        <v>5</v>
      </c>
      <c r="L431">
        <f t="shared" si="50"/>
        <v>2024</v>
      </c>
      <c r="N431" s="17">
        <f t="shared" si="54"/>
        <v>45413</v>
      </c>
      <c r="P431" s="17">
        <v>33086</v>
      </c>
      <c r="Q431" s="55" t="e">
        <f t="shared" si="51"/>
        <v>#DIV/0!</v>
      </c>
      <c r="S431">
        <f t="shared" si="55"/>
        <v>0</v>
      </c>
    </row>
    <row r="432" spans="1:19" x14ac:dyDescent="0.3">
      <c r="A432" s="17">
        <v>45436</v>
      </c>
      <c r="B432">
        <v>493.25</v>
      </c>
      <c r="C432">
        <v>82.45</v>
      </c>
      <c r="D432">
        <f t="shared" si="52"/>
        <v>410.8</v>
      </c>
      <c r="E432">
        <v>-0.31</v>
      </c>
      <c r="F432">
        <f t="shared" si="53"/>
        <v>-411.11</v>
      </c>
      <c r="I432">
        <f t="shared" si="48"/>
        <v>24</v>
      </c>
      <c r="J432">
        <v>1</v>
      </c>
      <c r="K432">
        <f t="shared" si="49"/>
        <v>5</v>
      </c>
      <c r="L432">
        <f t="shared" si="50"/>
        <v>2024</v>
      </c>
      <c r="N432" s="17">
        <f t="shared" si="54"/>
        <v>45413</v>
      </c>
      <c r="P432" s="17">
        <v>33055</v>
      </c>
      <c r="Q432" s="55" t="e">
        <f t="shared" si="51"/>
        <v>#DIV/0!</v>
      </c>
      <c r="S432">
        <f t="shared" si="55"/>
        <v>0</v>
      </c>
    </row>
    <row r="433" spans="1:19" x14ac:dyDescent="0.3">
      <c r="A433" s="17">
        <v>45435</v>
      </c>
      <c r="B433">
        <v>495.86</v>
      </c>
      <c r="C433">
        <v>83.24</v>
      </c>
      <c r="D433">
        <f t="shared" si="52"/>
        <v>412.62</v>
      </c>
      <c r="E433">
        <v>-0.23</v>
      </c>
      <c r="F433">
        <f t="shared" si="53"/>
        <v>-412.85</v>
      </c>
      <c r="I433">
        <f t="shared" si="48"/>
        <v>23</v>
      </c>
      <c r="J433">
        <v>1</v>
      </c>
      <c r="K433">
        <f t="shared" si="49"/>
        <v>5</v>
      </c>
      <c r="L433">
        <f t="shared" si="50"/>
        <v>2024</v>
      </c>
      <c r="N433" s="17">
        <f t="shared" si="54"/>
        <v>45413</v>
      </c>
      <c r="P433" s="17">
        <v>33025</v>
      </c>
      <c r="Q433" s="55" t="e">
        <f t="shared" si="51"/>
        <v>#DIV/0!</v>
      </c>
      <c r="S433">
        <f t="shared" si="55"/>
        <v>0</v>
      </c>
    </row>
    <row r="434" spans="1:19" x14ac:dyDescent="0.3">
      <c r="A434" s="17">
        <v>45433</v>
      </c>
      <c r="B434">
        <v>512.66999999999996</v>
      </c>
      <c r="C434">
        <v>84.19</v>
      </c>
      <c r="D434">
        <f t="shared" si="52"/>
        <v>428.47999999999996</v>
      </c>
      <c r="E434">
        <v>-0.26</v>
      </c>
      <c r="F434">
        <f t="shared" si="53"/>
        <v>-428.73999999999995</v>
      </c>
      <c r="I434">
        <f t="shared" si="48"/>
        <v>21</v>
      </c>
      <c r="J434">
        <v>1</v>
      </c>
      <c r="K434">
        <f t="shared" si="49"/>
        <v>5</v>
      </c>
      <c r="L434">
        <f t="shared" si="50"/>
        <v>2024</v>
      </c>
      <c r="N434" s="17">
        <f t="shared" si="54"/>
        <v>45413</v>
      </c>
      <c r="P434" s="17">
        <v>32994</v>
      </c>
      <c r="Q434" s="55" t="e">
        <f t="shared" si="51"/>
        <v>#DIV/0!</v>
      </c>
      <c r="S434">
        <f t="shared" si="55"/>
        <v>0</v>
      </c>
    </row>
    <row r="435" spans="1:19" x14ac:dyDescent="0.3">
      <c r="A435" s="17">
        <v>45432</v>
      </c>
      <c r="B435">
        <v>507.99</v>
      </c>
      <c r="C435">
        <v>85.16</v>
      </c>
      <c r="D435">
        <f t="shared" si="52"/>
        <v>422.83000000000004</v>
      </c>
      <c r="E435">
        <v>-0.16</v>
      </c>
      <c r="F435">
        <f t="shared" si="53"/>
        <v>-422.99000000000007</v>
      </c>
      <c r="I435">
        <f t="shared" si="48"/>
        <v>20</v>
      </c>
      <c r="J435">
        <v>1</v>
      </c>
      <c r="K435">
        <f t="shared" si="49"/>
        <v>5</v>
      </c>
      <c r="L435">
        <f t="shared" si="50"/>
        <v>2024</v>
      </c>
      <c r="N435" s="17">
        <f t="shared" si="54"/>
        <v>45413</v>
      </c>
      <c r="P435" s="17">
        <v>32964</v>
      </c>
      <c r="Q435" s="55" t="e">
        <f t="shared" si="51"/>
        <v>#DIV/0!</v>
      </c>
      <c r="S435">
        <f t="shared" si="55"/>
        <v>0</v>
      </c>
    </row>
    <row r="436" spans="1:19" x14ac:dyDescent="0.3">
      <c r="A436" s="17">
        <v>45429</v>
      </c>
      <c r="B436">
        <v>497.44</v>
      </c>
      <c r="C436">
        <v>84.64</v>
      </c>
      <c r="D436">
        <f t="shared" si="52"/>
        <v>412.8</v>
      </c>
      <c r="E436">
        <v>-0.13</v>
      </c>
      <c r="F436">
        <f t="shared" si="53"/>
        <v>-412.93</v>
      </c>
      <c r="I436">
        <f t="shared" si="48"/>
        <v>17</v>
      </c>
      <c r="J436">
        <v>1</v>
      </c>
      <c r="K436">
        <f t="shared" si="49"/>
        <v>5</v>
      </c>
      <c r="L436">
        <f t="shared" si="50"/>
        <v>2024</v>
      </c>
      <c r="N436" s="17">
        <f t="shared" si="54"/>
        <v>45413</v>
      </c>
      <c r="P436" s="17">
        <v>32933</v>
      </c>
      <c r="Q436" s="55" t="e">
        <f t="shared" si="51"/>
        <v>#DIV/0!</v>
      </c>
      <c r="S436">
        <f t="shared" si="55"/>
        <v>0</v>
      </c>
    </row>
    <row r="437" spans="1:19" x14ac:dyDescent="0.3">
      <c r="A437" s="17">
        <v>45428</v>
      </c>
      <c r="B437">
        <v>493.28</v>
      </c>
      <c r="C437">
        <v>83.75</v>
      </c>
      <c r="D437">
        <f t="shared" si="52"/>
        <v>409.53</v>
      </c>
      <c r="E437">
        <v>-0.03</v>
      </c>
      <c r="F437">
        <f t="shared" si="53"/>
        <v>-409.55999999999995</v>
      </c>
      <c r="I437">
        <f t="shared" si="48"/>
        <v>16</v>
      </c>
      <c r="J437">
        <v>1</v>
      </c>
      <c r="K437">
        <f t="shared" si="49"/>
        <v>5</v>
      </c>
      <c r="L437">
        <f t="shared" si="50"/>
        <v>2024</v>
      </c>
      <c r="N437" s="17">
        <f t="shared" si="54"/>
        <v>45413</v>
      </c>
      <c r="P437" s="17">
        <v>32905</v>
      </c>
      <c r="Q437" s="55" t="e">
        <f t="shared" si="51"/>
        <v>#DIV/0!</v>
      </c>
      <c r="S437">
        <f t="shared" si="55"/>
        <v>0</v>
      </c>
    </row>
    <row r="438" spans="1:19" x14ac:dyDescent="0.3">
      <c r="A438" s="17">
        <v>45427</v>
      </c>
      <c r="B438">
        <v>494.47</v>
      </c>
      <c r="C438">
        <v>83.4</v>
      </c>
      <c r="D438">
        <f t="shared" si="52"/>
        <v>411.07000000000005</v>
      </c>
      <c r="E438">
        <v>0.06</v>
      </c>
      <c r="F438">
        <f t="shared" si="53"/>
        <v>-411.01000000000005</v>
      </c>
      <c r="I438">
        <f t="shared" si="48"/>
        <v>15</v>
      </c>
      <c r="J438">
        <v>1</v>
      </c>
      <c r="K438">
        <f t="shared" si="49"/>
        <v>5</v>
      </c>
      <c r="L438">
        <f t="shared" si="50"/>
        <v>2024</v>
      </c>
      <c r="N438" s="17">
        <f t="shared" si="54"/>
        <v>45413</v>
      </c>
      <c r="P438" s="17">
        <v>32874</v>
      </c>
      <c r="Q438" s="55" t="e">
        <f t="shared" si="51"/>
        <v>#DIV/0!</v>
      </c>
      <c r="S438">
        <f t="shared" si="55"/>
        <v>0</v>
      </c>
    </row>
    <row r="439" spans="1:19" x14ac:dyDescent="0.3">
      <c r="A439" s="17">
        <v>45426</v>
      </c>
      <c r="B439">
        <v>492.34</v>
      </c>
      <c r="C439">
        <v>83.89</v>
      </c>
      <c r="D439">
        <f t="shared" si="52"/>
        <v>408.45</v>
      </c>
      <c r="E439">
        <v>0.13</v>
      </c>
      <c r="F439">
        <f t="shared" si="53"/>
        <v>-408.32</v>
      </c>
      <c r="I439">
        <f t="shared" si="48"/>
        <v>14</v>
      </c>
      <c r="J439">
        <v>1</v>
      </c>
      <c r="K439">
        <f t="shared" si="49"/>
        <v>5</v>
      </c>
      <c r="L439">
        <f t="shared" si="50"/>
        <v>2024</v>
      </c>
      <c r="N439" s="17">
        <f t="shared" si="54"/>
        <v>45413</v>
      </c>
      <c r="P439" s="17">
        <v>32843</v>
      </c>
      <c r="Q439" s="55" t="e">
        <f t="shared" si="51"/>
        <v>#DIV/0!</v>
      </c>
      <c r="S439">
        <f t="shared" si="55"/>
        <v>0</v>
      </c>
    </row>
    <row r="440" spans="1:19" x14ac:dyDescent="0.3">
      <c r="A440" s="17">
        <v>45425</v>
      </c>
      <c r="B440">
        <v>494.43</v>
      </c>
      <c r="C440">
        <v>83.844999999999999</v>
      </c>
      <c r="D440">
        <f t="shared" si="52"/>
        <v>410.58500000000004</v>
      </c>
      <c r="E440">
        <v>0.05</v>
      </c>
      <c r="F440">
        <f t="shared" si="53"/>
        <v>-410.53500000000003</v>
      </c>
      <c r="I440">
        <f t="shared" si="48"/>
        <v>13</v>
      </c>
      <c r="J440">
        <v>1</v>
      </c>
      <c r="K440">
        <f t="shared" si="49"/>
        <v>5</v>
      </c>
      <c r="L440">
        <f t="shared" si="50"/>
        <v>2024</v>
      </c>
      <c r="N440" s="17">
        <f t="shared" si="54"/>
        <v>45413</v>
      </c>
      <c r="P440" s="17">
        <v>32813</v>
      </c>
      <c r="Q440" s="55" t="e">
        <f t="shared" si="51"/>
        <v>#DIV/0!</v>
      </c>
      <c r="S440">
        <f t="shared" si="55"/>
        <v>0</v>
      </c>
    </row>
    <row r="441" spans="1:19" x14ac:dyDescent="0.3">
      <c r="A441" s="17">
        <v>45422</v>
      </c>
      <c r="B441">
        <v>506.45</v>
      </c>
      <c r="C441">
        <v>84.83</v>
      </c>
      <c r="D441">
        <f t="shared" si="52"/>
        <v>421.62</v>
      </c>
      <c r="E441">
        <v>0.04</v>
      </c>
      <c r="F441">
        <f t="shared" si="53"/>
        <v>-421.58</v>
      </c>
      <c r="I441">
        <f t="shared" si="48"/>
        <v>10</v>
      </c>
      <c r="J441">
        <v>1</v>
      </c>
      <c r="K441">
        <f t="shared" si="49"/>
        <v>5</v>
      </c>
      <c r="L441">
        <f t="shared" si="50"/>
        <v>2024</v>
      </c>
      <c r="N441" s="17">
        <f t="shared" si="54"/>
        <v>45413</v>
      </c>
      <c r="P441" s="17">
        <v>32782</v>
      </c>
      <c r="Q441" s="55" t="e">
        <f t="shared" si="51"/>
        <v>#DIV/0!</v>
      </c>
      <c r="S441">
        <f t="shared" si="55"/>
        <v>0</v>
      </c>
    </row>
    <row r="442" spans="1:19" x14ac:dyDescent="0.3">
      <c r="A442" s="17">
        <v>45421</v>
      </c>
      <c r="B442">
        <v>505.28</v>
      </c>
      <c r="C442">
        <v>84.65</v>
      </c>
      <c r="D442">
        <f t="shared" si="52"/>
        <v>420.63</v>
      </c>
      <c r="E442">
        <v>-0.02</v>
      </c>
      <c r="F442">
        <f t="shared" si="53"/>
        <v>-420.65</v>
      </c>
      <c r="I442">
        <f t="shared" si="48"/>
        <v>9</v>
      </c>
      <c r="J442">
        <v>1</v>
      </c>
      <c r="K442">
        <f t="shared" si="49"/>
        <v>5</v>
      </c>
      <c r="L442">
        <f t="shared" si="50"/>
        <v>2024</v>
      </c>
      <c r="N442" s="17">
        <f t="shared" si="54"/>
        <v>45413</v>
      </c>
      <c r="P442" s="17">
        <v>32752</v>
      </c>
      <c r="Q442" s="55" t="e">
        <f t="shared" si="51"/>
        <v>#DIV/0!</v>
      </c>
      <c r="S442">
        <f t="shared" si="55"/>
        <v>0</v>
      </c>
    </row>
    <row r="443" spans="1:19" x14ac:dyDescent="0.3">
      <c r="A443" s="17">
        <v>45420</v>
      </c>
      <c r="B443">
        <v>497.7</v>
      </c>
      <c r="C443">
        <v>83</v>
      </c>
      <c r="D443">
        <f t="shared" si="52"/>
        <v>414.7</v>
      </c>
      <c r="E443">
        <v>-0.13</v>
      </c>
      <c r="F443">
        <f t="shared" si="53"/>
        <v>-414.83</v>
      </c>
      <c r="I443">
        <f t="shared" si="48"/>
        <v>8</v>
      </c>
      <c r="J443">
        <v>1</v>
      </c>
      <c r="K443">
        <f t="shared" si="49"/>
        <v>5</v>
      </c>
      <c r="L443">
        <f t="shared" si="50"/>
        <v>2024</v>
      </c>
      <c r="N443" s="17">
        <f t="shared" si="54"/>
        <v>45413</v>
      </c>
      <c r="P443" s="17">
        <v>32721</v>
      </c>
      <c r="Q443" s="55" t="e">
        <f t="shared" si="51"/>
        <v>#DIV/0!</v>
      </c>
      <c r="S443">
        <f t="shared" si="55"/>
        <v>0</v>
      </c>
    </row>
    <row r="444" spans="1:19" x14ac:dyDescent="0.3">
      <c r="A444" s="17">
        <v>45419</v>
      </c>
      <c r="B444">
        <v>507.15</v>
      </c>
      <c r="C444">
        <v>84.14</v>
      </c>
      <c r="D444">
        <f t="shared" si="52"/>
        <v>423.01</v>
      </c>
      <c r="E444">
        <v>-0.19</v>
      </c>
      <c r="F444">
        <f t="shared" si="53"/>
        <v>-423.2</v>
      </c>
      <c r="I444">
        <f t="shared" si="48"/>
        <v>7</v>
      </c>
      <c r="J444">
        <v>1</v>
      </c>
      <c r="K444">
        <f t="shared" si="49"/>
        <v>5</v>
      </c>
      <c r="L444">
        <f t="shared" si="50"/>
        <v>2024</v>
      </c>
      <c r="N444" s="17">
        <f t="shared" si="54"/>
        <v>45413</v>
      </c>
      <c r="P444" s="17">
        <v>32690</v>
      </c>
      <c r="Q444" s="55" t="e">
        <f t="shared" si="51"/>
        <v>#DIV/0!</v>
      </c>
      <c r="S444">
        <f t="shared" si="55"/>
        <v>0</v>
      </c>
    </row>
    <row r="445" spans="1:19" x14ac:dyDescent="0.3">
      <c r="A445" s="17">
        <v>45418</v>
      </c>
      <c r="B445">
        <v>503.06</v>
      </c>
      <c r="C445">
        <v>84.01</v>
      </c>
      <c r="D445">
        <f t="shared" si="52"/>
        <v>419.05</v>
      </c>
      <c r="E445">
        <v>-0.01</v>
      </c>
      <c r="F445">
        <f t="shared" si="53"/>
        <v>-419.06</v>
      </c>
      <c r="I445">
        <f t="shared" si="48"/>
        <v>6</v>
      </c>
      <c r="J445">
        <v>1</v>
      </c>
      <c r="K445">
        <f t="shared" si="49"/>
        <v>5</v>
      </c>
      <c r="L445">
        <f t="shared" si="50"/>
        <v>2024</v>
      </c>
      <c r="N445" s="17">
        <f t="shared" si="54"/>
        <v>45413</v>
      </c>
      <c r="P445" s="17">
        <v>32660</v>
      </c>
      <c r="Q445" s="55" t="e">
        <f t="shared" si="51"/>
        <v>#DIV/0!</v>
      </c>
      <c r="S445">
        <f t="shared" si="55"/>
        <v>0</v>
      </c>
    </row>
    <row r="446" spans="1:19" x14ac:dyDescent="0.3">
      <c r="A446" s="17">
        <v>45415</v>
      </c>
      <c r="B446">
        <v>500.15</v>
      </c>
      <c r="C446">
        <v>84.09</v>
      </c>
      <c r="D446">
        <f t="shared" si="52"/>
        <v>416.05999999999995</v>
      </c>
      <c r="E446">
        <v>-0.02</v>
      </c>
      <c r="F446">
        <f t="shared" si="53"/>
        <v>-416.07999999999993</v>
      </c>
      <c r="I446">
        <f t="shared" si="48"/>
        <v>3</v>
      </c>
      <c r="J446">
        <v>1</v>
      </c>
      <c r="K446">
        <f t="shared" si="49"/>
        <v>5</v>
      </c>
      <c r="L446">
        <f t="shared" si="50"/>
        <v>2024</v>
      </c>
      <c r="N446" s="17">
        <f t="shared" si="54"/>
        <v>45413</v>
      </c>
      <c r="P446" s="17">
        <v>32629</v>
      </c>
      <c r="Q446" s="55" t="e">
        <f t="shared" si="51"/>
        <v>#DIV/0!</v>
      </c>
      <c r="S446">
        <f t="shared" si="55"/>
        <v>1</v>
      </c>
    </row>
    <row r="447" spans="1:19" x14ac:dyDescent="0.3">
      <c r="A447" s="17">
        <v>45414</v>
      </c>
      <c r="B447">
        <v>509.44</v>
      </c>
      <c r="C447">
        <v>84.49</v>
      </c>
      <c r="D447">
        <f t="shared" si="52"/>
        <v>424.95</v>
      </c>
      <c r="E447">
        <v>0.02</v>
      </c>
      <c r="F447">
        <f t="shared" si="53"/>
        <v>-424.93</v>
      </c>
      <c r="I447">
        <f t="shared" si="48"/>
        <v>2</v>
      </c>
      <c r="J447">
        <v>1</v>
      </c>
      <c r="K447">
        <f t="shared" si="49"/>
        <v>5</v>
      </c>
      <c r="L447">
        <f t="shared" si="50"/>
        <v>2024</v>
      </c>
      <c r="N447" s="17">
        <f t="shared" si="54"/>
        <v>45413</v>
      </c>
      <c r="P447" s="17">
        <v>32599</v>
      </c>
      <c r="Q447" s="55" t="e">
        <f t="shared" si="51"/>
        <v>#DIV/0!</v>
      </c>
      <c r="S447">
        <f t="shared" si="55"/>
        <v>1</v>
      </c>
    </row>
    <row r="448" spans="1:19" x14ac:dyDescent="0.3">
      <c r="A448" s="17">
        <v>45412</v>
      </c>
      <c r="B448">
        <v>515.15</v>
      </c>
      <c r="C448">
        <v>88.6</v>
      </c>
      <c r="D448">
        <f t="shared" si="52"/>
        <v>426.54999999999995</v>
      </c>
      <c r="E448">
        <v>0.04</v>
      </c>
      <c r="F448">
        <f t="shared" si="53"/>
        <v>-426.50999999999993</v>
      </c>
      <c r="I448">
        <f t="shared" si="48"/>
        <v>30</v>
      </c>
      <c r="J448">
        <v>1</v>
      </c>
      <c r="K448">
        <f t="shared" si="49"/>
        <v>4</v>
      </c>
      <c r="L448">
        <f t="shared" si="50"/>
        <v>2024</v>
      </c>
      <c r="N448" s="17">
        <f t="shared" si="54"/>
        <v>45383</v>
      </c>
      <c r="P448" s="17">
        <v>32568</v>
      </c>
      <c r="Q448" s="55" t="e">
        <f t="shared" si="51"/>
        <v>#DIV/0!</v>
      </c>
      <c r="S448">
        <f t="shared" si="55"/>
        <v>0</v>
      </c>
    </row>
    <row r="449" spans="1:19" x14ac:dyDescent="0.3">
      <c r="A449" s="17">
        <v>45411</v>
      </c>
      <c r="B449">
        <v>507.52</v>
      </c>
      <c r="C449">
        <v>88.89</v>
      </c>
      <c r="D449">
        <f t="shared" si="52"/>
        <v>418.63</v>
      </c>
      <c r="E449">
        <v>0.06</v>
      </c>
      <c r="F449">
        <f t="shared" si="53"/>
        <v>-418.57</v>
      </c>
      <c r="I449">
        <f t="shared" si="48"/>
        <v>29</v>
      </c>
      <c r="J449">
        <v>1</v>
      </c>
      <c r="K449">
        <f t="shared" si="49"/>
        <v>4</v>
      </c>
      <c r="L449">
        <f t="shared" si="50"/>
        <v>2024</v>
      </c>
      <c r="N449" s="17">
        <f t="shared" si="54"/>
        <v>45383</v>
      </c>
      <c r="P449" s="17">
        <v>32540</v>
      </c>
      <c r="Q449" s="55" t="e">
        <f t="shared" si="51"/>
        <v>#DIV/0!</v>
      </c>
      <c r="S449">
        <f t="shared" si="55"/>
        <v>0</v>
      </c>
    </row>
    <row r="450" spans="1:19" x14ac:dyDescent="0.3">
      <c r="A450" s="17">
        <v>45408</v>
      </c>
      <c r="B450">
        <v>509.4</v>
      </c>
      <c r="C450">
        <v>88.96</v>
      </c>
      <c r="D450">
        <f t="shared" si="52"/>
        <v>420.44</v>
      </c>
      <c r="E450">
        <v>0</v>
      </c>
      <c r="F450">
        <f t="shared" si="53"/>
        <v>-420.44</v>
      </c>
      <c r="I450">
        <f t="shared" si="48"/>
        <v>26</v>
      </c>
      <c r="J450">
        <v>1</v>
      </c>
      <c r="K450">
        <f t="shared" si="49"/>
        <v>4</v>
      </c>
      <c r="L450">
        <f t="shared" si="50"/>
        <v>2024</v>
      </c>
      <c r="N450" s="17">
        <f t="shared" si="54"/>
        <v>45383</v>
      </c>
      <c r="P450" s="17">
        <v>32509</v>
      </c>
      <c r="Q450" s="55" t="e">
        <f t="shared" si="51"/>
        <v>#DIV/0!</v>
      </c>
      <c r="S450">
        <f t="shared" si="55"/>
        <v>0</v>
      </c>
    </row>
    <row r="451" spans="1:19" x14ac:dyDescent="0.3">
      <c r="A451" s="17">
        <v>45407</v>
      </c>
      <c r="B451">
        <v>506</v>
      </c>
      <c r="C451">
        <v>88.6</v>
      </c>
      <c r="D451">
        <f t="shared" si="52"/>
        <v>417.4</v>
      </c>
      <c r="E451">
        <v>0.04</v>
      </c>
      <c r="F451">
        <f t="shared" si="53"/>
        <v>-417.35999999999996</v>
      </c>
      <c r="I451">
        <f t="shared" si="48"/>
        <v>25</v>
      </c>
      <c r="J451">
        <v>1</v>
      </c>
      <c r="K451">
        <f t="shared" si="49"/>
        <v>4</v>
      </c>
      <c r="L451">
        <f t="shared" si="50"/>
        <v>2024</v>
      </c>
      <c r="N451" s="17">
        <f t="shared" si="54"/>
        <v>45383</v>
      </c>
      <c r="S451">
        <f t="shared" si="55"/>
        <v>0</v>
      </c>
    </row>
    <row r="452" spans="1:19" x14ac:dyDescent="0.3">
      <c r="A452" s="17">
        <v>45406</v>
      </c>
      <c r="B452">
        <v>496.78</v>
      </c>
      <c r="C452">
        <v>88.85</v>
      </c>
      <c r="D452">
        <f t="shared" si="52"/>
        <v>407.92999999999995</v>
      </c>
      <c r="E452">
        <v>-0.04</v>
      </c>
      <c r="F452">
        <f t="shared" si="53"/>
        <v>-407.96999999999997</v>
      </c>
      <c r="I452">
        <f t="shared" si="48"/>
        <v>24</v>
      </c>
      <c r="J452">
        <v>1</v>
      </c>
      <c r="K452">
        <f t="shared" si="49"/>
        <v>4</v>
      </c>
      <c r="L452">
        <f t="shared" si="50"/>
        <v>2024</v>
      </c>
      <c r="N452" s="17">
        <f t="shared" si="54"/>
        <v>45383</v>
      </c>
      <c r="S452">
        <f t="shared" si="55"/>
        <v>0</v>
      </c>
    </row>
    <row r="453" spans="1:19" x14ac:dyDescent="0.3">
      <c r="A453" s="17">
        <v>45405</v>
      </c>
      <c r="B453">
        <v>497.75</v>
      </c>
      <c r="C453">
        <v>88.45</v>
      </c>
      <c r="D453">
        <f t="shared" si="52"/>
        <v>409.3</v>
      </c>
      <c r="E453">
        <v>-0.01</v>
      </c>
      <c r="F453">
        <f t="shared" si="53"/>
        <v>-409.31</v>
      </c>
      <c r="I453">
        <f t="shared" ref="I453:I516" si="56">+DAY(A453)</f>
        <v>23</v>
      </c>
      <c r="J453">
        <v>1</v>
      </c>
      <c r="K453">
        <f t="shared" ref="K453:K516" si="57">+MONTH(A453)</f>
        <v>4</v>
      </c>
      <c r="L453">
        <f t="shared" ref="L453:L516" si="58">+YEAR(A453)</f>
        <v>2024</v>
      </c>
      <c r="N453" s="17">
        <f t="shared" si="54"/>
        <v>45383</v>
      </c>
      <c r="S453">
        <f t="shared" si="55"/>
        <v>0</v>
      </c>
    </row>
    <row r="454" spans="1:19" x14ac:dyDescent="0.3">
      <c r="A454" s="17">
        <v>45404</v>
      </c>
      <c r="B454">
        <v>489.36</v>
      </c>
      <c r="C454">
        <v>86.394999999999996</v>
      </c>
      <c r="D454">
        <f t="shared" ref="D454:D517" si="59">+B454-C454</f>
        <v>402.96500000000003</v>
      </c>
      <c r="E454">
        <v>0.12</v>
      </c>
      <c r="F454">
        <f t="shared" ref="F454:F517" si="60">+E454-D454</f>
        <v>-402.84500000000003</v>
      </c>
      <c r="I454">
        <f t="shared" si="56"/>
        <v>22</v>
      </c>
      <c r="J454">
        <v>1</v>
      </c>
      <c r="K454">
        <f t="shared" si="57"/>
        <v>4</v>
      </c>
      <c r="L454">
        <f t="shared" si="58"/>
        <v>2024</v>
      </c>
      <c r="N454" s="17">
        <f t="shared" ref="N454:N517" si="61">+DATE(L454,K454,J454)</f>
        <v>45383</v>
      </c>
      <c r="S454">
        <f t="shared" ref="S454:S517" si="62">IF(AND(I454&gt;=1, I454&lt;=4), 1, 0)</f>
        <v>0</v>
      </c>
    </row>
    <row r="455" spans="1:19" x14ac:dyDescent="0.3">
      <c r="A455" s="17">
        <v>45401</v>
      </c>
      <c r="B455">
        <v>499.21</v>
      </c>
      <c r="C455">
        <v>87.69</v>
      </c>
      <c r="D455">
        <f t="shared" si="59"/>
        <v>411.52</v>
      </c>
      <c r="E455">
        <v>0.22</v>
      </c>
      <c r="F455">
        <f t="shared" si="60"/>
        <v>-411.29999999999995</v>
      </c>
      <c r="I455">
        <f t="shared" si="56"/>
        <v>19</v>
      </c>
      <c r="J455">
        <v>1</v>
      </c>
      <c r="K455">
        <f t="shared" si="57"/>
        <v>4</v>
      </c>
      <c r="L455">
        <f t="shared" si="58"/>
        <v>2024</v>
      </c>
      <c r="N455" s="17">
        <f t="shared" si="61"/>
        <v>45383</v>
      </c>
      <c r="S455">
        <f t="shared" si="62"/>
        <v>0</v>
      </c>
    </row>
    <row r="456" spans="1:19" x14ac:dyDescent="0.3">
      <c r="A456" s="17">
        <v>45400</v>
      </c>
      <c r="B456">
        <v>495.32</v>
      </c>
      <c r="C456">
        <v>87.44</v>
      </c>
      <c r="D456">
        <f t="shared" si="59"/>
        <v>407.88</v>
      </c>
      <c r="E456">
        <v>0.01</v>
      </c>
      <c r="F456">
        <f t="shared" si="60"/>
        <v>-407.87</v>
      </c>
      <c r="I456">
        <f t="shared" si="56"/>
        <v>18</v>
      </c>
      <c r="J456">
        <v>1</v>
      </c>
      <c r="K456">
        <f t="shared" si="57"/>
        <v>4</v>
      </c>
      <c r="L456">
        <f t="shared" si="58"/>
        <v>2024</v>
      </c>
      <c r="N456" s="17">
        <f t="shared" si="61"/>
        <v>45383</v>
      </c>
      <c r="S456">
        <f t="shared" si="62"/>
        <v>0</v>
      </c>
    </row>
    <row r="457" spans="1:19" x14ac:dyDescent="0.3">
      <c r="A457" s="17">
        <v>45399</v>
      </c>
      <c r="B457">
        <v>500.5</v>
      </c>
      <c r="C457">
        <v>90.05</v>
      </c>
      <c r="D457">
        <f t="shared" si="59"/>
        <v>410.45</v>
      </c>
      <c r="E457">
        <v>-0.03</v>
      </c>
      <c r="F457">
        <f t="shared" si="60"/>
        <v>-410.47999999999996</v>
      </c>
      <c r="I457">
        <f t="shared" si="56"/>
        <v>17</v>
      </c>
      <c r="J457">
        <v>1</v>
      </c>
      <c r="K457">
        <f t="shared" si="57"/>
        <v>4</v>
      </c>
      <c r="L457">
        <f t="shared" si="58"/>
        <v>2024</v>
      </c>
      <c r="N457" s="17">
        <f t="shared" si="61"/>
        <v>45383</v>
      </c>
      <c r="S457">
        <f t="shared" si="62"/>
        <v>0</v>
      </c>
    </row>
    <row r="458" spans="1:19" x14ac:dyDescent="0.3">
      <c r="A458" s="17">
        <v>45398</v>
      </c>
      <c r="B458">
        <v>500.33</v>
      </c>
      <c r="C458">
        <v>90.25</v>
      </c>
      <c r="D458">
        <f t="shared" si="59"/>
        <v>410.08</v>
      </c>
      <c r="E458">
        <v>-0.13</v>
      </c>
      <c r="F458">
        <f t="shared" si="60"/>
        <v>-410.21</v>
      </c>
      <c r="I458">
        <f t="shared" si="56"/>
        <v>16</v>
      </c>
      <c r="J458">
        <v>1</v>
      </c>
      <c r="K458">
        <f t="shared" si="57"/>
        <v>4</v>
      </c>
      <c r="L458">
        <f t="shared" si="58"/>
        <v>2024</v>
      </c>
      <c r="N458" s="17">
        <f t="shared" si="61"/>
        <v>45383</v>
      </c>
      <c r="S458">
        <f t="shared" si="62"/>
        <v>0</v>
      </c>
    </row>
    <row r="459" spans="1:19" x14ac:dyDescent="0.3">
      <c r="A459" s="17">
        <v>45397</v>
      </c>
      <c r="B459">
        <v>490.35</v>
      </c>
      <c r="C459">
        <v>89.54</v>
      </c>
      <c r="D459">
        <f t="shared" si="59"/>
        <v>400.81</v>
      </c>
      <c r="E459">
        <v>-0.14000000000000001</v>
      </c>
      <c r="F459">
        <f t="shared" si="60"/>
        <v>-400.95</v>
      </c>
      <c r="I459">
        <f t="shared" si="56"/>
        <v>15</v>
      </c>
      <c r="J459">
        <v>1</v>
      </c>
      <c r="K459">
        <f t="shared" si="57"/>
        <v>4</v>
      </c>
      <c r="L459">
        <f t="shared" si="58"/>
        <v>2024</v>
      </c>
      <c r="N459" s="17">
        <f t="shared" si="61"/>
        <v>45383</v>
      </c>
      <c r="S459">
        <f t="shared" si="62"/>
        <v>0</v>
      </c>
    </row>
    <row r="460" spans="1:19" x14ac:dyDescent="0.3">
      <c r="A460" s="17">
        <v>45394</v>
      </c>
      <c r="B460">
        <v>492.18</v>
      </c>
      <c r="C460">
        <v>90.51</v>
      </c>
      <c r="D460">
        <f t="shared" si="59"/>
        <v>401.67</v>
      </c>
      <c r="E460">
        <v>-0.14000000000000001</v>
      </c>
      <c r="F460">
        <f t="shared" si="60"/>
        <v>-401.81</v>
      </c>
      <c r="I460">
        <f t="shared" si="56"/>
        <v>12</v>
      </c>
      <c r="J460">
        <v>1</v>
      </c>
      <c r="K460">
        <f t="shared" si="57"/>
        <v>4</v>
      </c>
      <c r="L460">
        <f t="shared" si="58"/>
        <v>2024</v>
      </c>
      <c r="N460" s="17">
        <f t="shared" si="61"/>
        <v>45383</v>
      </c>
      <c r="S460">
        <f t="shared" si="62"/>
        <v>0</v>
      </c>
    </row>
    <row r="461" spans="1:19" x14ac:dyDescent="0.3">
      <c r="A461" s="17">
        <v>45393</v>
      </c>
      <c r="B461">
        <v>489.81</v>
      </c>
      <c r="C461">
        <v>90.89</v>
      </c>
      <c r="D461">
        <f t="shared" si="59"/>
        <v>398.92</v>
      </c>
      <c r="E461">
        <v>-0.09</v>
      </c>
      <c r="F461">
        <f t="shared" si="60"/>
        <v>-399.01</v>
      </c>
      <c r="I461">
        <f t="shared" si="56"/>
        <v>11</v>
      </c>
      <c r="J461">
        <v>1</v>
      </c>
      <c r="K461">
        <f t="shared" si="57"/>
        <v>4</v>
      </c>
      <c r="L461">
        <f t="shared" si="58"/>
        <v>2024</v>
      </c>
      <c r="N461" s="17">
        <f t="shared" si="61"/>
        <v>45383</v>
      </c>
      <c r="S461">
        <f t="shared" si="62"/>
        <v>0</v>
      </c>
    </row>
    <row r="462" spans="1:19" x14ac:dyDescent="0.3">
      <c r="A462" s="17">
        <v>45391</v>
      </c>
      <c r="B462">
        <v>491.9</v>
      </c>
      <c r="C462">
        <v>90.75</v>
      </c>
      <c r="D462">
        <f t="shared" si="59"/>
        <v>401.15</v>
      </c>
      <c r="E462">
        <v>-0.13</v>
      </c>
      <c r="F462">
        <f t="shared" si="60"/>
        <v>-401.28</v>
      </c>
      <c r="I462">
        <f t="shared" si="56"/>
        <v>9</v>
      </c>
      <c r="J462">
        <v>1</v>
      </c>
      <c r="K462">
        <f t="shared" si="57"/>
        <v>4</v>
      </c>
      <c r="L462">
        <f t="shared" si="58"/>
        <v>2024</v>
      </c>
      <c r="N462" s="17">
        <f t="shared" si="61"/>
        <v>45383</v>
      </c>
      <c r="S462">
        <f t="shared" si="62"/>
        <v>0</v>
      </c>
    </row>
    <row r="463" spans="1:19" x14ac:dyDescent="0.3">
      <c r="A463" s="17">
        <v>45390</v>
      </c>
      <c r="B463">
        <v>489.48</v>
      </c>
      <c r="C463">
        <v>90.06</v>
      </c>
      <c r="D463">
        <f t="shared" si="59"/>
        <v>399.42</v>
      </c>
      <c r="E463">
        <v>-0.17</v>
      </c>
      <c r="F463">
        <f t="shared" si="60"/>
        <v>-399.59000000000003</v>
      </c>
      <c r="I463">
        <f t="shared" si="56"/>
        <v>8</v>
      </c>
      <c r="J463">
        <v>1</v>
      </c>
      <c r="K463">
        <f t="shared" si="57"/>
        <v>4</v>
      </c>
      <c r="L463">
        <f t="shared" si="58"/>
        <v>2024</v>
      </c>
      <c r="N463" s="17">
        <f t="shared" si="61"/>
        <v>45383</v>
      </c>
      <c r="S463">
        <f t="shared" si="62"/>
        <v>0</v>
      </c>
    </row>
    <row r="464" spans="1:19" x14ac:dyDescent="0.3">
      <c r="A464" s="17">
        <v>45387</v>
      </c>
      <c r="B464">
        <v>491.82</v>
      </c>
      <c r="C464">
        <v>90.86</v>
      </c>
      <c r="D464">
        <f t="shared" si="59"/>
        <v>400.96</v>
      </c>
      <c r="E464">
        <v>-0.22</v>
      </c>
      <c r="F464">
        <f t="shared" si="60"/>
        <v>-401.18</v>
      </c>
      <c r="I464">
        <f t="shared" si="56"/>
        <v>5</v>
      </c>
      <c r="J464">
        <v>1</v>
      </c>
      <c r="K464">
        <f t="shared" si="57"/>
        <v>4</v>
      </c>
      <c r="L464">
        <f t="shared" si="58"/>
        <v>2024</v>
      </c>
      <c r="N464" s="17">
        <f t="shared" si="61"/>
        <v>45383</v>
      </c>
      <c r="S464">
        <f t="shared" si="62"/>
        <v>0</v>
      </c>
    </row>
    <row r="465" spans="1:19" x14ac:dyDescent="0.3">
      <c r="A465" s="17">
        <v>45386</v>
      </c>
      <c r="B465">
        <v>480.71</v>
      </c>
      <c r="C465">
        <v>89.65</v>
      </c>
      <c r="D465">
        <f t="shared" si="59"/>
        <v>391.05999999999995</v>
      </c>
      <c r="E465">
        <v>-0.24</v>
      </c>
      <c r="F465">
        <f t="shared" si="60"/>
        <v>-391.29999999999995</v>
      </c>
      <c r="I465">
        <f t="shared" si="56"/>
        <v>4</v>
      </c>
      <c r="J465">
        <v>1</v>
      </c>
      <c r="K465">
        <f t="shared" si="57"/>
        <v>4</v>
      </c>
      <c r="L465">
        <f t="shared" si="58"/>
        <v>2024</v>
      </c>
      <c r="N465" s="17">
        <f t="shared" si="61"/>
        <v>45383</v>
      </c>
      <c r="S465">
        <f t="shared" si="62"/>
        <v>1</v>
      </c>
    </row>
    <row r="466" spans="1:19" x14ac:dyDescent="0.3">
      <c r="A466" s="17">
        <v>45385</v>
      </c>
      <c r="B466">
        <v>481.11</v>
      </c>
      <c r="C466">
        <v>89.47</v>
      </c>
      <c r="D466">
        <f t="shared" si="59"/>
        <v>391.64</v>
      </c>
      <c r="E466">
        <v>-0.32</v>
      </c>
      <c r="F466">
        <f t="shared" si="60"/>
        <v>-391.96</v>
      </c>
      <c r="I466">
        <f t="shared" si="56"/>
        <v>3</v>
      </c>
      <c r="J466">
        <v>1</v>
      </c>
      <c r="K466">
        <f t="shared" si="57"/>
        <v>4</v>
      </c>
      <c r="L466">
        <f t="shared" si="58"/>
        <v>2024</v>
      </c>
      <c r="N466" s="17">
        <f t="shared" si="61"/>
        <v>45383</v>
      </c>
      <c r="S466">
        <f t="shared" si="62"/>
        <v>1</v>
      </c>
    </row>
    <row r="467" spans="1:19" x14ac:dyDescent="0.3">
      <c r="A467" s="17">
        <v>45384</v>
      </c>
      <c r="B467">
        <v>479.42</v>
      </c>
      <c r="C467">
        <v>89.06</v>
      </c>
      <c r="D467">
        <f t="shared" si="59"/>
        <v>390.36</v>
      </c>
      <c r="E467">
        <v>-0.5</v>
      </c>
      <c r="F467">
        <f t="shared" si="60"/>
        <v>-390.86</v>
      </c>
      <c r="I467">
        <f t="shared" si="56"/>
        <v>2</v>
      </c>
      <c r="J467">
        <v>1</v>
      </c>
      <c r="K467">
        <f t="shared" si="57"/>
        <v>4</v>
      </c>
      <c r="L467">
        <f t="shared" si="58"/>
        <v>2024</v>
      </c>
      <c r="N467" s="17">
        <f t="shared" si="61"/>
        <v>45383</v>
      </c>
      <c r="S467">
        <f t="shared" si="62"/>
        <v>1</v>
      </c>
    </row>
    <row r="468" spans="1:19" x14ac:dyDescent="0.3">
      <c r="A468" s="17">
        <v>45383</v>
      </c>
      <c r="B468">
        <v>475.41</v>
      </c>
      <c r="C468">
        <v>87.655000000000001</v>
      </c>
      <c r="D468">
        <f t="shared" si="59"/>
        <v>387.755</v>
      </c>
      <c r="E468">
        <v>-0.42</v>
      </c>
      <c r="F468">
        <f t="shared" si="60"/>
        <v>-388.17500000000001</v>
      </c>
      <c r="I468">
        <f t="shared" si="56"/>
        <v>1</v>
      </c>
      <c r="J468">
        <v>1</v>
      </c>
      <c r="K468">
        <f t="shared" si="57"/>
        <v>4</v>
      </c>
      <c r="L468">
        <f t="shared" si="58"/>
        <v>2024</v>
      </c>
      <c r="N468" s="17">
        <f t="shared" si="61"/>
        <v>45383</v>
      </c>
      <c r="S468">
        <f t="shared" si="62"/>
        <v>1</v>
      </c>
    </row>
    <row r="469" spans="1:19" x14ac:dyDescent="0.3">
      <c r="A469" s="17">
        <v>45379</v>
      </c>
      <c r="B469">
        <v>472.31</v>
      </c>
      <c r="C469">
        <v>86.295000000000002</v>
      </c>
      <c r="D469">
        <f t="shared" si="59"/>
        <v>386.01499999999999</v>
      </c>
      <c r="E469">
        <v>-0.27</v>
      </c>
      <c r="F469">
        <f t="shared" si="60"/>
        <v>-386.28499999999997</v>
      </c>
      <c r="I469">
        <f t="shared" si="56"/>
        <v>28</v>
      </c>
      <c r="J469">
        <v>1</v>
      </c>
      <c r="K469">
        <f t="shared" si="57"/>
        <v>3</v>
      </c>
      <c r="L469">
        <f t="shared" si="58"/>
        <v>2024</v>
      </c>
      <c r="N469" s="17">
        <f t="shared" si="61"/>
        <v>45352</v>
      </c>
      <c r="S469">
        <f t="shared" si="62"/>
        <v>0</v>
      </c>
    </row>
    <row r="470" spans="1:19" x14ac:dyDescent="0.3">
      <c r="A470" s="17">
        <v>45378</v>
      </c>
      <c r="B470">
        <v>470.97</v>
      </c>
      <c r="C470">
        <v>85.2</v>
      </c>
      <c r="D470">
        <f t="shared" si="59"/>
        <v>385.77000000000004</v>
      </c>
      <c r="E470">
        <v>-0.28999999999999998</v>
      </c>
      <c r="F470">
        <f t="shared" si="60"/>
        <v>-386.06000000000006</v>
      </c>
      <c r="I470">
        <f t="shared" si="56"/>
        <v>27</v>
      </c>
      <c r="J470">
        <v>1</v>
      </c>
      <c r="K470">
        <f t="shared" si="57"/>
        <v>3</v>
      </c>
      <c r="L470">
        <f t="shared" si="58"/>
        <v>2024</v>
      </c>
      <c r="N470" s="17">
        <f t="shared" si="61"/>
        <v>45352</v>
      </c>
      <c r="S470">
        <f t="shared" si="62"/>
        <v>0</v>
      </c>
    </row>
    <row r="471" spans="1:19" x14ac:dyDescent="0.3">
      <c r="A471" s="17">
        <v>45377</v>
      </c>
      <c r="B471">
        <v>476.65</v>
      </c>
      <c r="C471">
        <v>86.194999999999993</v>
      </c>
      <c r="D471">
        <f t="shared" si="59"/>
        <v>390.45499999999998</v>
      </c>
      <c r="E471">
        <v>-0.26</v>
      </c>
      <c r="F471">
        <f t="shared" si="60"/>
        <v>-390.71499999999997</v>
      </c>
      <c r="I471">
        <f t="shared" si="56"/>
        <v>26</v>
      </c>
      <c r="J471">
        <v>1</v>
      </c>
      <c r="K471">
        <f t="shared" si="57"/>
        <v>3</v>
      </c>
      <c r="L471">
        <f t="shared" si="58"/>
        <v>2024</v>
      </c>
      <c r="N471" s="17">
        <f t="shared" si="61"/>
        <v>45352</v>
      </c>
      <c r="S471">
        <f t="shared" si="62"/>
        <v>0</v>
      </c>
    </row>
    <row r="472" spans="1:19" x14ac:dyDescent="0.3">
      <c r="A472" s="17">
        <v>45376</v>
      </c>
      <c r="B472">
        <v>473.14</v>
      </c>
      <c r="C472">
        <v>85.35</v>
      </c>
      <c r="D472">
        <f t="shared" si="59"/>
        <v>387.78999999999996</v>
      </c>
      <c r="E472">
        <v>-0.28000000000000003</v>
      </c>
      <c r="F472">
        <f t="shared" si="60"/>
        <v>-388.06999999999994</v>
      </c>
      <c r="I472">
        <f t="shared" si="56"/>
        <v>25</v>
      </c>
      <c r="J472">
        <v>1</v>
      </c>
      <c r="K472">
        <f t="shared" si="57"/>
        <v>3</v>
      </c>
      <c r="L472">
        <f t="shared" si="58"/>
        <v>2024</v>
      </c>
      <c r="N472" s="17">
        <f t="shared" si="61"/>
        <v>45352</v>
      </c>
      <c r="S472">
        <f t="shared" si="62"/>
        <v>0</v>
      </c>
    </row>
    <row r="473" spans="1:19" x14ac:dyDescent="0.3">
      <c r="A473" s="17">
        <v>45373</v>
      </c>
      <c r="B473">
        <v>470.15</v>
      </c>
      <c r="C473">
        <v>85.144999999999996</v>
      </c>
      <c r="D473">
        <f t="shared" si="59"/>
        <v>385.005</v>
      </c>
      <c r="E473">
        <v>-0.34</v>
      </c>
      <c r="F473">
        <f t="shared" si="60"/>
        <v>-385.34499999999997</v>
      </c>
      <c r="I473">
        <f t="shared" si="56"/>
        <v>22</v>
      </c>
      <c r="J473">
        <v>1</v>
      </c>
      <c r="K473">
        <f t="shared" si="57"/>
        <v>3</v>
      </c>
      <c r="L473">
        <f t="shared" si="58"/>
        <v>2024</v>
      </c>
      <c r="N473" s="17">
        <f t="shared" si="61"/>
        <v>45352</v>
      </c>
      <c r="S473">
        <f t="shared" si="62"/>
        <v>0</v>
      </c>
    </row>
    <row r="474" spans="1:19" x14ac:dyDescent="0.3">
      <c r="A474" s="17">
        <v>45372</v>
      </c>
      <c r="B474">
        <v>471.87</v>
      </c>
      <c r="C474">
        <v>86.01</v>
      </c>
      <c r="D474">
        <f t="shared" si="59"/>
        <v>385.86</v>
      </c>
      <c r="E474">
        <v>-0.39</v>
      </c>
      <c r="F474">
        <f t="shared" si="60"/>
        <v>-386.25</v>
      </c>
      <c r="I474">
        <f t="shared" si="56"/>
        <v>21</v>
      </c>
      <c r="J474">
        <v>1</v>
      </c>
      <c r="K474">
        <f t="shared" si="57"/>
        <v>3</v>
      </c>
      <c r="L474">
        <f t="shared" si="58"/>
        <v>2024</v>
      </c>
      <c r="N474" s="17">
        <f t="shared" si="61"/>
        <v>45352</v>
      </c>
      <c r="S474">
        <f t="shared" si="62"/>
        <v>0</v>
      </c>
    </row>
    <row r="475" spans="1:19" x14ac:dyDescent="0.3">
      <c r="A475" s="17">
        <v>45371</v>
      </c>
      <c r="B475">
        <v>475.63</v>
      </c>
      <c r="C475">
        <v>86.49</v>
      </c>
      <c r="D475">
        <f t="shared" si="59"/>
        <v>389.14</v>
      </c>
      <c r="E475">
        <v>-0.4</v>
      </c>
      <c r="F475">
        <f t="shared" si="60"/>
        <v>-389.53999999999996</v>
      </c>
      <c r="I475">
        <f t="shared" si="56"/>
        <v>20</v>
      </c>
      <c r="J475">
        <v>1</v>
      </c>
      <c r="K475">
        <f t="shared" si="57"/>
        <v>3</v>
      </c>
      <c r="L475">
        <f t="shared" si="58"/>
        <v>2024</v>
      </c>
      <c r="N475" s="17">
        <f t="shared" si="61"/>
        <v>45352</v>
      </c>
      <c r="S475">
        <f t="shared" si="62"/>
        <v>0</v>
      </c>
    </row>
    <row r="476" spans="1:19" x14ac:dyDescent="0.3">
      <c r="A476" s="17">
        <v>45370</v>
      </c>
      <c r="B476">
        <v>475.48</v>
      </c>
      <c r="C476">
        <v>86.41</v>
      </c>
      <c r="D476">
        <f t="shared" si="59"/>
        <v>389.07000000000005</v>
      </c>
      <c r="E476">
        <v>-0.45</v>
      </c>
      <c r="F476">
        <f t="shared" si="60"/>
        <v>-389.52000000000004</v>
      </c>
      <c r="I476">
        <f t="shared" si="56"/>
        <v>19</v>
      </c>
      <c r="J476">
        <v>1</v>
      </c>
      <c r="K476">
        <f t="shared" si="57"/>
        <v>3</v>
      </c>
      <c r="L476">
        <f t="shared" si="58"/>
        <v>2024</v>
      </c>
      <c r="N476" s="17">
        <f t="shared" si="61"/>
        <v>45352</v>
      </c>
      <c r="S476">
        <f t="shared" si="62"/>
        <v>0</v>
      </c>
    </row>
    <row r="477" spans="1:19" x14ac:dyDescent="0.3">
      <c r="A477" s="17">
        <v>45369</v>
      </c>
      <c r="B477">
        <v>476.07</v>
      </c>
      <c r="C477">
        <v>85.66</v>
      </c>
      <c r="D477">
        <f t="shared" si="59"/>
        <v>390.40999999999997</v>
      </c>
      <c r="E477">
        <v>-0.45</v>
      </c>
      <c r="F477">
        <f t="shared" si="60"/>
        <v>-390.85999999999996</v>
      </c>
      <c r="I477">
        <f t="shared" si="56"/>
        <v>18</v>
      </c>
      <c r="J477">
        <v>1</v>
      </c>
      <c r="K477">
        <f t="shared" si="57"/>
        <v>3</v>
      </c>
      <c r="L477">
        <f t="shared" si="58"/>
        <v>2024</v>
      </c>
      <c r="N477" s="17">
        <f t="shared" si="61"/>
        <v>45352</v>
      </c>
      <c r="S477">
        <f t="shared" si="62"/>
        <v>0</v>
      </c>
    </row>
    <row r="478" spans="1:19" x14ac:dyDescent="0.3">
      <c r="A478" s="17">
        <v>45366</v>
      </c>
      <c r="B478">
        <v>466.4</v>
      </c>
      <c r="C478">
        <v>84.79</v>
      </c>
      <c r="D478">
        <f t="shared" si="59"/>
        <v>381.60999999999996</v>
      </c>
      <c r="E478">
        <v>-0.31</v>
      </c>
      <c r="F478">
        <f t="shared" si="60"/>
        <v>-381.91999999999996</v>
      </c>
      <c r="I478">
        <f t="shared" si="56"/>
        <v>15</v>
      </c>
      <c r="J478">
        <v>1</v>
      </c>
      <c r="K478">
        <f t="shared" si="57"/>
        <v>3</v>
      </c>
      <c r="L478">
        <f t="shared" si="58"/>
        <v>2024</v>
      </c>
      <c r="N478" s="17">
        <f t="shared" si="61"/>
        <v>45352</v>
      </c>
      <c r="S478">
        <f t="shared" si="62"/>
        <v>0</v>
      </c>
    </row>
    <row r="479" spans="1:19" x14ac:dyDescent="0.3">
      <c r="A479" s="17">
        <v>45365</v>
      </c>
      <c r="B479">
        <v>464.52</v>
      </c>
      <c r="C479">
        <v>84.11</v>
      </c>
      <c r="D479">
        <f t="shared" si="59"/>
        <v>380.40999999999997</v>
      </c>
      <c r="E479">
        <v>-0.25</v>
      </c>
      <c r="F479">
        <f t="shared" si="60"/>
        <v>-380.65999999999997</v>
      </c>
      <c r="I479">
        <f t="shared" si="56"/>
        <v>14</v>
      </c>
      <c r="J479">
        <v>1</v>
      </c>
      <c r="K479">
        <f t="shared" si="57"/>
        <v>3</v>
      </c>
      <c r="L479">
        <f t="shared" si="58"/>
        <v>2024</v>
      </c>
      <c r="N479" s="17">
        <f t="shared" si="61"/>
        <v>45352</v>
      </c>
      <c r="S479">
        <f t="shared" si="62"/>
        <v>0</v>
      </c>
    </row>
    <row r="480" spans="1:19" x14ac:dyDescent="0.3">
      <c r="A480" s="17">
        <v>45364</v>
      </c>
      <c r="B480">
        <v>452.02</v>
      </c>
      <c r="C480">
        <v>82.21</v>
      </c>
      <c r="D480">
        <f t="shared" si="59"/>
        <v>369.81</v>
      </c>
      <c r="E480">
        <v>-0.18</v>
      </c>
      <c r="F480">
        <f t="shared" si="60"/>
        <v>-369.99</v>
      </c>
      <c r="I480">
        <f t="shared" si="56"/>
        <v>13</v>
      </c>
      <c r="J480">
        <v>1</v>
      </c>
      <c r="K480">
        <f t="shared" si="57"/>
        <v>3</v>
      </c>
      <c r="L480">
        <f t="shared" si="58"/>
        <v>2024</v>
      </c>
      <c r="N480" s="17">
        <f t="shared" si="61"/>
        <v>45352</v>
      </c>
      <c r="S480">
        <f t="shared" si="62"/>
        <v>0</v>
      </c>
    </row>
    <row r="481" spans="1:19" x14ac:dyDescent="0.3">
      <c r="A481" s="17">
        <v>45363</v>
      </c>
      <c r="B481">
        <v>450.51</v>
      </c>
      <c r="C481">
        <v>82.87</v>
      </c>
      <c r="D481">
        <f t="shared" si="59"/>
        <v>367.64</v>
      </c>
      <c r="E481">
        <v>-0.21</v>
      </c>
      <c r="F481">
        <f t="shared" si="60"/>
        <v>-367.84999999999997</v>
      </c>
      <c r="I481">
        <f t="shared" si="56"/>
        <v>12</v>
      </c>
      <c r="J481">
        <v>1</v>
      </c>
      <c r="K481">
        <f t="shared" si="57"/>
        <v>3</v>
      </c>
      <c r="L481">
        <f t="shared" si="58"/>
        <v>2024</v>
      </c>
      <c r="N481" s="17">
        <f t="shared" si="61"/>
        <v>45352</v>
      </c>
      <c r="S481">
        <f t="shared" si="62"/>
        <v>0</v>
      </c>
    </row>
    <row r="482" spans="1:19" x14ac:dyDescent="0.3">
      <c r="A482" s="17">
        <v>45362</v>
      </c>
      <c r="B482">
        <v>445.17</v>
      </c>
      <c r="C482">
        <v>82.105000000000004</v>
      </c>
      <c r="D482">
        <f t="shared" si="59"/>
        <v>363.065</v>
      </c>
      <c r="E482">
        <v>-0.15</v>
      </c>
      <c r="F482">
        <f t="shared" si="60"/>
        <v>-363.21499999999997</v>
      </c>
      <c r="I482">
        <f t="shared" si="56"/>
        <v>11</v>
      </c>
      <c r="J482">
        <v>1</v>
      </c>
      <c r="K482">
        <f t="shared" si="57"/>
        <v>3</v>
      </c>
      <c r="L482">
        <f t="shared" si="58"/>
        <v>2024</v>
      </c>
      <c r="N482" s="17">
        <f t="shared" si="61"/>
        <v>45352</v>
      </c>
      <c r="S482">
        <f t="shared" si="62"/>
        <v>0</v>
      </c>
    </row>
    <row r="483" spans="1:19" x14ac:dyDescent="0.3">
      <c r="A483" s="17">
        <v>45359</v>
      </c>
      <c r="B483">
        <v>457.22</v>
      </c>
      <c r="C483">
        <v>83.36</v>
      </c>
      <c r="D483">
        <f t="shared" si="59"/>
        <v>373.86</v>
      </c>
      <c r="E483">
        <v>-0.1</v>
      </c>
      <c r="F483">
        <f t="shared" si="60"/>
        <v>-373.96000000000004</v>
      </c>
      <c r="I483">
        <f t="shared" si="56"/>
        <v>8</v>
      </c>
      <c r="J483">
        <v>1</v>
      </c>
      <c r="K483">
        <f t="shared" si="57"/>
        <v>3</v>
      </c>
      <c r="L483">
        <f t="shared" si="58"/>
        <v>2024</v>
      </c>
      <c r="N483" s="17">
        <f t="shared" si="61"/>
        <v>45352</v>
      </c>
      <c r="S483">
        <f t="shared" si="62"/>
        <v>0</v>
      </c>
    </row>
    <row r="484" spans="1:19" x14ac:dyDescent="0.3">
      <c r="A484" s="17">
        <v>45358</v>
      </c>
      <c r="B484">
        <v>448.6</v>
      </c>
      <c r="C484">
        <v>82.375</v>
      </c>
      <c r="D484">
        <f t="shared" si="59"/>
        <v>366.22500000000002</v>
      </c>
      <c r="E484">
        <v>-0.08</v>
      </c>
      <c r="F484">
        <f t="shared" si="60"/>
        <v>-366.30500000000001</v>
      </c>
      <c r="I484">
        <f t="shared" si="56"/>
        <v>7</v>
      </c>
      <c r="J484">
        <v>1</v>
      </c>
      <c r="K484">
        <f t="shared" si="57"/>
        <v>3</v>
      </c>
      <c r="L484">
        <f t="shared" si="58"/>
        <v>2024</v>
      </c>
      <c r="N484" s="17">
        <f t="shared" si="61"/>
        <v>45352</v>
      </c>
      <c r="S484">
        <f t="shared" si="62"/>
        <v>0</v>
      </c>
    </row>
    <row r="485" spans="1:19" x14ac:dyDescent="0.3">
      <c r="A485" s="17">
        <v>45357</v>
      </c>
      <c r="B485">
        <v>443.7</v>
      </c>
      <c r="C485">
        <v>82.04</v>
      </c>
      <c r="D485">
        <f t="shared" si="59"/>
        <v>361.65999999999997</v>
      </c>
      <c r="E485">
        <v>0.02</v>
      </c>
      <c r="F485">
        <f t="shared" si="60"/>
        <v>-361.64</v>
      </c>
      <c r="I485">
        <f t="shared" si="56"/>
        <v>6</v>
      </c>
      <c r="J485">
        <v>1</v>
      </c>
      <c r="K485">
        <f t="shared" si="57"/>
        <v>3</v>
      </c>
      <c r="L485">
        <f t="shared" si="58"/>
        <v>2024</v>
      </c>
      <c r="N485" s="17">
        <f t="shared" si="61"/>
        <v>45352</v>
      </c>
      <c r="S485">
        <f t="shared" si="62"/>
        <v>0</v>
      </c>
    </row>
    <row r="486" spans="1:19" x14ac:dyDescent="0.3">
      <c r="A486" s="17">
        <v>45356</v>
      </c>
      <c r="B486">
        <v>436.46</v>
      </c>
      <c r="C486">
        <v>81.784999999999997</v>
      </c>
      <c r="D486">
        <f t="shared" si="59"/>
        <v>354.67499999999995</v>
      </c>
      <c r="E486">
        <v>0.19</v>
      </c>
      <c r="F486">
        <f t="shared" si="60"/>
        <v>-354.48499999999996</v>
      </c>
      <c r="I486">
        <f t="shared" si="56"/>
        <v>5</v>
      </c>
      <c r="J486">
        <v>1</v>
      </c>
      <c r="K486">
        <f t="shared" si="57"/>
        <v>3</v>
      </c>
      <c r="L486">
        <f t="shared" si="58"/>
        <v>2024</v>
      </c>
      <c r="N486" s="17">
        <f t="shared" si="61"/>
        <v>45352</v>
      </c>
      <c r="S486">
        <f t="shared" si="62"/>
        <v>0</v>
      </c>
    </row>
    <row r="487" spans="1:19" x14ac:dyDescent="0.3">
      <c r="A487" s="17">
        <v>45355</v>
      </c>
      <c r="B487">
        <v>438.46</v>
      </c>
      <c r="C487">
        <v>83.094999999999999</v>
      </c>
      <c r="D487">
        <f t="shared" si="59"/>
        <v>355.36500000000001</v>
      </c>
      <c r="E487">
        <v>0.16</v>
      </c>
      <c r="F487">
        <f t="shared" si="60"/>
        <v>-355.20499999999998</v>
      </c>
      <c r="I487">
        <f t="shared" si="56"/>
        <v>4</v>
      </c>
      <c r="J487">
        <v>1</v>
      </c>
      <c r="K487">
        <f t="shared" si="57"/>
        <v>3</v>
      </c>
      <c r="L487">
        <f t="shared" si="58"/>
        <v>2024</v>
      </c>
      <c r="N487" s="17">
        <f t="shared" si="61"/>
        <v>45352</v>
      </c>
      <c r="S487">
        <f t="shared" si="62"/>
        <v>1</v>
      </c>
    </row>
    <row r="488" spans="1:19" x14ac:dyDescent="0.3">
      <c r="A488" s="17">
        <v>45352</v>
      </c>
      <c r="B488">
        <v>427.42</v>
      </c>
      <c r="C488">
        <v>81.540000000000006</v>
      </c>
      <c r="D488">
        <f t="shared" si="59"/>
        <v>345.88</v>
      </c>
      <c r="E488">
        <v>0.24</v>
      </c>
      <c r="F488">
        <f t="shared" si="60"/>
        <v>-345.64</v>
      </c>
      <c r="I488">
        <f t="shared" si="56"/>
        <v>1</v>
      </c>
      <c r="J488">
        <v>1</v>
      </c>
      <c r="K488">
        <f t="shared" si="57"/>
        <v>3</v>
      </c>
      <c r="L488">
        <f t="shared" si="58"/>
        <v>2024</v>
      </c>
      <c r="N488" s="17">
        <f t="shared" si="61"/>
        <v>45352</v>
      </c>
      <c r="S488">
        <f t="shared" si="62"/>
        <v>1</v>
      </c>
    </row>
    <row r="489" spans="1:19" x14ac:dyDescent="0.3">
      <c r="A489" s="17">
        <v>45351</v>
      </c>
      <c r="B489">
        <v>422.07</v>
      </c>
      <c r="C489">
        <v>81.8</v>
      </c>
      <c r="D489">
        <f t="shared" si="59"/>
        <v>340.27</v>
      </c>
      <c r="E489">
        <v>0.34</v>
      </c>
      <c r="F489">
        <f t="shared" si="60"/>
        <v>-339.93</v>
      </c>
      <c r="I489">
        <f t="shared" si="56"/>
        <v>29</v>
      </c>
      <c r="J489">
        <v>1</v>
      </c>
      <c r="K489">
        <f t="shared" si="57"/>
        <v>2</v>
      </c>
      <c r="L489">
        <f t="shared" si="58"/>
        <v>2024</v>
      </c>
      <c r="N489" s="17">
        <f t="shared" si="61"/>
        <v>45323</v>
      </c>
      <c r="S489">
        <f t="shared" si="62"/>
        <v>0</v>
      </c>
    </row>
    <row r="490" spans="1:19" x14ac:dyDescent="0.3">
      <c r="A490" s="17">
        <v>45350</v>
      </c>
      <c r="B490">
        <v>421.71</v>
      </c>
      <c r="C490">
        <v>81.86</v>
      </c>
      <c r="D490">
        <f t="shared" si="59"/>
        <v>339.84999999999997</v>
      </c>
      <c r="E490">
        <v>0.41</v>
      </c>
      <c r="F490">
        <f t="shared" si="60"/>
        <v>-339.43999999999994</v>
      </c>
      <c r="I490">
        <f t="shared" si="56"/>
        <v>28</v>
      </c>
      <c r="J490">
        <v>1</v>
      </c>
      <c r="K490">
        <f t="shared" si="57"/>
        <v>2</v>
      </c>
      <c r="L490">
        <f t="shared" si="58"/>
        <v>2024</v>
      </c>
      <c r="N490" s="17">
        <f t="shared" si="61"/>
        <v>45323</v>
      </c>
      <c r="S490">
        <f t="shared" si="62"/>
        <v>0</v>
      </c>
    </row>
    <row r="491" spans="1:19" x14ac:dyDescent="0.3">
      <c r="A491" s="17">
        <v>45349</v>
      </c>
      <c r="B491">
        <v>426.66</v>
      </c>
      <c r="C491">
        <v>82.05</v>
      </c>
      <c r="D491">
        <f t="shared" si="59"/>
        <v>344.61</v>
      </c>
      <c r="E491">
        <v>0.47</v>
      </c>
      <c r="F491">
        <f t="shared" si="60"/>
        <v>-344.14</v>
      </c>
      <c r="I491">
        <f t="shared" si="56"/>
        <v>27</v>
      </c>
      <c r="J491">
        <v>1</v>
      </c>
      <c r="K491">
        <f t="shared" si="57"/>
        <v>2</v>
      </c>
      <c r="L491">
        <f t="shared" si="58"/>
        <v>2024</v>
      </c>
      <c r="N491" s="17">
        <f t="shared" si="61"/>
        <v>45323</v>
      </c>
      <c r="S491">
        <f t="shared" si="62"/>
        <v>0</v>
      </c>
    </row>
    <row r="492" spans="1:19" x14ac:dyDescent="0.3">
      <c r="A492" s="17">
        <v>45348</v>
      </c>
      <c r="B492">
        <v>420.94</v>
      </c>
      <c r="C492">
        <v>80.39</v>
      </c>
      <c r="D492">
        <f t="shared" si="59"/>
        <v>340.55</v>
      </c>
      <c r="E492">
        <v>0.5</v>
      </c>
      <c r="F492">
        <f t="shared" si="60"/>
        <v>-340.05</v>
      </c>
      <c r="I492">
        <f t="shared" si="56"/>
        <v>26</v>
      </c>
      <c r="J492">
        <v>1</v>
      </c>
      <c r="K492">
        <f t="shared" si="57"/>
        <v>2</v>
      </c>
      <c r="L492">
        <f t="shared" si="58"/>
        <v>2024</v>
      </c>
      <c r="N492" s="17">
        <f t="shared" si="61"/>
        <v>45323</v>
      </c>
      <c r="S492">
        <f t="shared" si="62"/>
        <v>0</v>
      </c>
    </row>
    <row r="493" spans="1:19" x14ac:dyDescent="0.3">
      <c r="A493" s="17">
        <v>45345</v>
      </c>
      <c r="B493">
        <v>425.38</v>
      </c>
      <c r="C493">
        <v>82.01</v>
      </c>
      <c r="D493">
        <f t="shared" si="59"/>
        <v>343.37</v>
      </c>
      <c r="E493">
        <v>0.59</v>
      </c>
      <c r="F493">
        <f t="shared" si="60"/>
        <v>-342.78000000000003</v>
      </c>
      <c r="I493">
        <f t="shared" si="56"/>
        <v>23</v>
      </c>
      <c r="J493">
        <v>1</v>
      </c>
      <c r="K493">
        <f t="shared" si="57"/>
        <v>2</v>
      </c>
      <c r="L493">
        <f t="shared" si="58"/>
        <v>2024</v>
      </c>
      <c r="N493" s="17">
        <f t="shared" si="61"/>
        <v>45323</v>
      </c>
      <c r="S493">
        <f t="shared" si="62"/>
        <v>0</v>
      </c>
    </row>
    <row r="494" spans="1:19" x14ac:dyDescent="0.3">
      <c r="A494" s="17">
        <v>45344</v>
      </c>
      <c r="B494">
        <v>432.43</v>
      </c>
      <c r="C494">
        <v>82.6</v>
      </c>
      <c r="D494">
        <f t="shared" si="59"/>
        <v>349.83000000000004</v>
      </c>
      <c r="E494">
        <v>0.73</v>
      </c>
      <c r="F494">
        <f t="shared" si="60"/>
        <v>-349.1</v>
      </c>
      <c r="I494">
        <f t="shared" si="56"/>
        <v>22</v>
      </c>
      <c r="J494">
        <v>1</v>
      </c>
      <c r="K494">
        <f t="shared" si="57"/>
        <v>2</v>
      </c>
      <c r="L494">
        <f t="shared" si="58"/>
        <v>2024</v>
      </c>
      <c r="N494" s="17">
        <f t="shared" si="61"/>
        <v>45323</v>
      </c>
      <c r="S494">
        <f t="shared" si="62"/>
        <v>0</v>
      </c>
    </row>
    <row r="495" spans="1:19" x14ac:dyDescent="0.3">
      <c r="A495" s="17">
        <v>45343</v>
      </c>
      <c r="B495">
        <v>426.59</v>
      </c>
      <c r="C495">
        <v>81.454999999999998</v>
      </c>
      <c r="D495">
        <f t="shared" si="59"/>
        <v>345.13499999999999</v>
      </c>
      <c r="E495">
        <v>0.83</v>
      </c>
      <c r="F495">
        <f t="shared" si="60"/>
        <v>-344.30500000000001</v>
      </c>
      <c r="I495">
        <f t="shared" si="56"/>
        <v>21</v>
      </c>
      <c r="J495">
        <v>1</v>
      </c>
      <c r="K495">
        <f t="shared" si="57"/>
        <v>2</v>
      </c>
      <c r="L495">
        <f t="shared" si="58"/>
        <v>2024</v>
      </c>
      <c r="N495" s="17">
        <f t="shared" si="61"/>
        <v>45323</v>
      </c>
      <c r="S495">
        <f t="shared" si="62"/>
        <v>0</v>
      </c>
    </row>
    <row r="496" spans="1:19" x14ac:dyDescent="0.3">
      <c r="A496" s="17">
        <v>45342</v>
      </c>
      <c r="B496">
        <v>428.7</v>
      </c>
      <c r="C496">
        <v>82.75</v>
      </c>
      <c r="D496">
        <f t="shared" si="59"/>
        <v>345.95</v>
      </c>
      <c r="E496">
        <v>0.89</v>
      </c>
      <c r="F496">
        <f t="shared" si="60"/>
        <v>-345.06</v>
      </c>
      <c r="I496">
        <f t="shared" si="56"/>
        <v>20</v>
      </c>
      <c r="J496">
        <v>1</v>
      </c>
      <c r="K496">
        <f t="shared" si="57"/>
        <v>2</v>
      </c>
      <c r="L496">
        <f t="shared" si="58"/>
        <v>2024</v>
      </c>
      <c r="N496" s="17">
        <f t="shared" si="61"/>
        <v>45323</v>
      </c>
      <c r="S496">
        <f t="shared" si="62"/>
        <v>0</v>
      </c>
    </row>
    <row r="497" spans="1:19" x14ac:dyDescent="0.3">
      <c r="A497" s="17">
        <v>45341</v>
      </c>
      <c r="B497">
        <v>427.26</v>
      </c>
      <c r="C497">
        <v>82.29</v>
      </c>
      <c r="D497">
        <f t="shared" si="59"/>
        <v>344.96999999999997</v>
      </c>
      <c r="E497">
        <v>0.98</v>
      </c>
      <c r="F497">
        <f t="shared" si="60"/>
        <v>-343.98999999999995</v>
      </c>
      <c r="I497">
        <f t="shared" si="56"/>
        <v>19</v>
      </c>
      <c r="J497">
        <v>1</v>
      </c>
      <c r="K497">
        <f t="shared" si="57"/>
        <v>2</v>
      </c>
      <c r="L497">
        <f t="shared" si="58"/>
        <v>2024</v>
      </c>
      <c r="N497" s="17">
        <f t="shared" si="61"/>
        <v>45323</v>
      </c>
      <c r="S497">
        <f t="shared" si="62"/>
        <v>0</v>
      </c>
    </row>
    <row r="498" spans="1:19" x14ac:dyDescent="0.3">
      <c r="A498" s="17">
        <v>45338</v>
      </c>
      <c r="B498">
        <v>429.31</v>
      </c>
      <c r="C498">
        <v>82.05</v>
      </c>
      <c r="D498">
        <f t="shared" si="59"/>
        <v>347.26</v>
      </c>
      <c r="E498">
        <v>1.1100000000000001</v>
      </c>
      <c r="F498">
        <f t="shared" si="60"/>
        <v>-346.15</v>
      </c>
      <c r="I498">
        <f t="shared" si="56"/>
        <v>16</v>
      </c>
      <c r="J498">
        <v>1</v>
      </c>
      <c r="K498">
        <f t="shared" si="57"/>
        <v>2</v>
      </c>
      <c r="L498">
        <f t="shared" si="58"/>
        <v>2024</v>
      </c>
      <c r="N498" s="17">
        <f t="shared" si="61"/>
        <v>45323</v>
      </c>
      <c r="S498">
        <f t="shared" si="62"/>
        <v>0</v>
      </c>
    </row>
    <row r="499" spans="1:19" x14ac:dyDescent="0.3">
      <c r="A499" s="17">
        <v>45337</v>
      </c>
      <c r="B499">
        <v>417.96</v>
      </c>
      <c r="C499">
        <v>80.55</v>
      </c>
      <c r="D499">
        <f t="shared" si="59"/>
        <v>337.40999999999997</v>
      </c>
      <c r="E499">
        <v>1.21</v>
      </c>
      <c r="F499">
        <f t="shared" si="60"/>
        <v>-336.2</v>
      </c>
      <c r="I499">
        <f t="shared" si="56"/>
        <v>15</v>
      </c>
      <c r="J499">
        <v>1</v>
      </c>
      <c r="K499">
        <f t="shared" si="57"/>
        <v>2</v>
      </c>
      <c r="L499">
        <f t="shared" si="58"/>
        <v>2024</v>
      </c>
      <c r="N499" s="17">
        <f t="shared" si="61"/>
        <v>45323</v>
      </c>
      <c r="S499">
        <f t="shared" si="62"/>
        <v>0</v>
      </c>
    </row>
    <row r="500" spans="1:19" x14ac:dyDescent="0.3">
      <c r="A500" s="17">
        <v>45336</v>
      </c>
      <c r="B500">
        <v>434.85</v>
      </c>
      <c r="C500">
        <v>82.44</v>
      </c>
      <c r="D500">
        <f t="shared" si="59"/>
        <v>352.41</v>
      </c>
      <c r="E500">
        <v>1.25</v>
      </c>
      <c r="F500">
        <f t="shared" si="60"/>
        <v>-351.16</v>
      </c>
      <c r="I500">
        <f t="shared" si="56"/>
        <v>14</v>
      </c>
      <c r="J500">
        <v>1</v>
      </c>
      <c r="K500">
        <f t="shared" si="57"/>
        <v>2</v>
      </c>
      <c r="L500">
        <f t="shared" si="58"/>
        <v>2024</v>
      </c>
      <c r="N500" s="17">
        <f t="shared" si="61"/>
        <v>45323</v>
      </c>
      <c r="S500">
        <f t="shared" si="62"/>
        <v>0</v>
      </c>
    </row>
    <row r="501" spans="1:19" x14ac:dyDescent="0.3">
      <c r="A501" s="17">
        <v>45335</v>
      </c>
      <c r="B501">
        <v>434.23</v>
      </c>
      <c r="C501">
        <v>81.91</v>
      </c>
      <c r="D501">
        <f t="shared" si="59"/>
        <v>352.32000000000005</v>
      </c>
      <c r="E501">
        <v>1.36</v>
      </c>
      <c r="F501">
        <f t="shared" si="60"/>
        <v>-350.96000000000004</v>
      </c>
      <c r="I501">
        <f t="shared" si="56"/>
        <v>13</v>
      </c>
      <c r="J501">
        <v>1</v>
      </c>
      <c r="K501">
        <f t="shared" si="57"/>
        <v>2</v>
      </c>
      <c r="L501">
        <f t="shared" si="58"/>
        <v>2024</v>
      </c>
      <c r="N501" s="17">
        <f t="shared" si="61"/>
        <v>45323</v>
      </c>
      <c r="S501">
        <f t="shared" si="62"/>
        <v>0</v>
      </c>
    </row>
    <row r="502" spans="1:19" x14ac:dyDescent="0.3">
      <c r="A502" s="17">
        <v>45331</v>
      </c>
      <c r="B502">
        <v>435.46</v>
      </c>
      <c r="C502">
        <v>81.040000000000006</v>
      </c>
      <c r="D502">
        <f t="shared" si="59"/>
        <v>354.41999999999996</v>
      </c>
      <c r="E502">
        <v>1.34</v>
      </c>
      <c r="F502">
        <f t="shared" si="60"/>
        <v>-353.08</v>
      </c>
      <c r="I502">
        <f t="shared" si="56"/>
        <v>9</v>
      </c>
      <c r="J502">
        <v>1</v>
      </c>
      <c r="K502">
        <f t="shared" si="57"/>
        <v>2</v>
      </c>
      <c r="L502">
        <f t="shared" si="58"/>
        <v>2024</v>
      </c>
      <c r="N502" s="17">
        <f t="shared" si="61"/>
        <v>45323</v>
      </c>
      <c r="S502">
        <f t="shared" si="62"/>
        <v>0</v>
      </c>
    </row>
    <row r="503" spans="1:19" x14ac:dyDescent="0.3">
      <c r="A503" s="17">
        <v>45330</v>
      </c>
      <c r="B503">
        <v>425.32</v>
      </c>
      <c r="C503">
        <v>79.33</v>
      </c>
      <c r="D503">
        <f t="shared" si="59"/>
        <v>345.99</v>
      </c>
      <c r="E503">
        <v>1.29</v>
      </c>
      <c r="F503">
        <f t="shared" si="60"/>
        <v>-344.7</v>
      </c>
      <c r="I503">
        <f t="shared" si="56"/>
        <v>8</v>
      </c>
      <c r="J503">
        <v>1</v>
      </c>
      <c r="K503">
        <f t="shared" si="57"/>
        <v>2</v>
      </c>
      <c r="L503">
        <f t="shared" si="58"/>
        <v>2024</v>
      </c>
      <c r="N503" s="17">
        <f t="shared" si="61"/>
        <v>45323</v>
      </c>
      <c r="S503">
        <f t="shared" si="62"/>
        <v>0</v>
      </c>
    </row>
    <row r="504" spans="1:19" x14ac:dyDescent="0.3">
      <c r="A504" s="17">
        <v>45329</v>
      </c>
      <c r="B504">
        <v>421.76</v>
      </c>
      <c r="C504">
        <v>78.5</v>
      </c>
      <c r="D504">
        <f t="shared" si="59"/>
        <v>343.26</v>
      </c>
      <c r="E504">
        <v>1.55</v>
      </c>
      <c r="F504">
        <f t="shared" si="60"/>
        <v>-341.71</v>
      </c>
      <c r="I504">
        <f t="shared" si="56"/>
        <v>7</v>
      </c>
      <c r="J504">
        <v>1</v>
      </c>
      <c r="K504">
        <f t="shared" si="57"/>
        <v>2</v>
      </c>
      <c r="L504">
        <f t="shared" si="58"/>
        <v>2024</v>
      </c>
      <c r="N504" s="17">
        <f t="shared" si="61"/>
        <v>45323</v>
      </c>
      <c r="S504">
        <f t="shared" si="62"/>
        <v>0</v>
      </c>
    </row>
    <row r="505" spans="1:19" x14ac:dyDescent="0.3">
      <c r="A505" s="17">
        <v>45328</v>
      </c>
      <c r="B505">
        <v>420.91</v>
      </c>
      <c r="C505">
        <v>78</v>
      </c>
      <c r="D505">
        <f t="shared" si="59"/>
        <v>342.91</v>
      </c>
      <c r="E505">
        <v>1.56</v>
      </c>
      <c r="F505">
        <f t="shared" si="60"/>
        <v>-341.35</v>
      </c>
      <c r="I505">
        <f t="shared" si="56"/>
        <v>6</v>
      </c>
      <c r="J505">
        <v>1</v>
      </c>
      <c r="K505">
        <f t="shared" si="57"/>
        <v>2</v>
      </c>
      <c r="L505">
        <f t="shared" si="58"/>
        <v>2024</v>
      </c>
      <c r="N505" s="17">
        <f t="shared" si="61"/>
        <v>45323</v>
      </c>
      <c r="S505">
        <f t="shared" si="62"/>
        <v>0</v>
      </c>
    </row>
    <row r="506" spans="1:19" x14ac:dyDescent="0.3">
      <c r="A506" s="17">
        <v>45327</v>
      </c>
      <c r="B506">
        <v>416.51</v>
      </c>
      <c r="C506">
        <v>77.41</v>
      </c>
      <c r="D506">
        <f t="shared" si="59"/>
        <v>339.1</v>
      </c>
      <c r="E506">
        <v>1.53</v>
      </c>
      <c r="F506">
        <f t="shared" si="60"/>
        <v>-337.57000000000005</v>
      </c>
      <c r="I506">
        <f t="shared" si="56"/>
        <v>5</v>
      </c>
      <c r="J506">
        <v>1</v>
      </c>
      <c r="K506">
        <f t="shared" si="57"/>
        <v>2</v>
      </c>
      <c r="L506">
        <f t="shared" si="58"/>
        <v>2024</v>
      </c>
      <c r="N506" s="17">
        <f t="shared" si="61"/>
        <v>45323</v>
      </c>
      <c r="S506">
        <f t="shared" si="62"/>
        <v>0</v>
      </c>
    </row>
    <row r="507" spans="1:19" x14ac:dyDescent="0.3">
      <c r="A507" s="17">
        <v>45324</v>
      </c>
      <c r="B507">
        <v>414.68</v>
      </c>
      <c r="C507">
        <v>78.95</v>
      </c>
      <c r="D507">
        <f t="shared" si="59"/>
        <v>335.73</v>
      </c>
      <c r="E507">
        <v>1.66</v>
      </c>
      <c r="F507">
        <f t="shared" si="60"/>
        <v>-334.07</v>
      </c>
      <c r="I507">
        <f t="shared" si="56"/>
        <v>2</v>
      </c>
      <c r="J507">
        <v>1</v>
      </c>
      <c r="K507">
        <f t="shared" si="57"/>
        <v>2</v>
      </c>
      <c r="L507">
        <f t="shared" si="58"/>
        <v>2024</v>
      </c>
      <c r="N507" s="17">
        <f t="shared" si="61"/>
        <v>45323</v>
      </c>
      <c r="S507">
        <f t="shared" si="62"/>
        <v>1</v>
      </c>
    </row>
    <row r="508" spans="1:19" x14ac:dyDescent="0.3">
      <c r="A508" s="17">
        <v>45323</v>
      </c>
      <c r="B508">
        <v>415.85</v>
      </c>
      <c r="C508">
        <v>80.3</v>
      </c>
      <c r="D508">
        <f t="shared" si="59"/>
        <v>335.55</v>
      </c>
      <c r="E508">
        <v>1.83</v>
      </c>
      <c r="F508">
        <f t="shared" si="60"/>
        <v>-333.72</v>
      </c>
      <c r="I508">
        <f t="shared" si="56"/>
        <v>1</v>
      </c>
      <c r="J508">
        <v>1</v>
      </c>
      <c r="K508">
        <f t="shared" si="57"/>
        <v>2</v>
      </c>
      <c r="L508">
        <f t="shared" si="58"/>
        <v>2024</v>
      </c>
      <c r="N508" s="17">
        <f t="shared" si="61"/>
        <v>45323</v>
      </c>
      <c r="S508">
        <f t="shared" si="62"/>
        <v>1</v>
      </c>
    </row>
    <row r="509" spans="1:19" x14ac:dyDescent="0.3">
      <c r="A509" s="17">
        <v>45322</v>
      </c>
      <c r="B509">
        <v>442.71</v>
      </c>
      <c r="C509">
        <v>82.4</v>
      </c>
      <c r="D509">
        <f t="shared" si="59"/>
        <v>360.30999999999995</v>
      </c>
      <c r="E509">
        <v>1.91</v>
      </c>
      <c r="F509">
        <f t="shared" si="60"/>
        <v>-358.39999999999992</v>
      </c>
      <c r="I509">
        <f t="shared" si="56"/>
        <v>31</v>
      </c>
      <c r="J509">
        <v>1</v>
      </c>
      <c r="K509">
        <f t="shared" si="57"/>
        <v>1</v>
      </c>
      <c r="L509">
        <f t="shared" si="58"/>
        <v>2024</v>
      </c>
      <c r="N509" s="17">
        <f t="shared" si="61"/>
        <v>45292</v>
      </c>
      <c r="S509">
        <f t="shared" si="62"/>
        <v>0</v>
      </c>
    </row>
    <row r="510" spans="1:19" x14ac:dyDescent="0.3">
      <c r="A510" s="17">
        <v>45321</v>
      </c>
      <c r="B510">
        <v>443.44</v>
      </c>
      <c r="C510">
        <v>81.91</v>
      </c>
      <c r="D510">
        <f t="shared" si="59"/>
        <v>361.53</v>
      </c>
      <c r="E510">
        <v>1.97</v>
      </c>
      <c r="F510">
        <f t="shared" si="60"/>
        <v>-359.55999999999995</v>
      </c>
      <c r="I510">
        <f t="shared" si="56"/>
        <v>30</v>
      </c>
      <c r="J510">
        <v>1</v>
      </c>
      <c r="K510">
        <f t="shared" si="57"/>
        <v>1</v>
      </c>
      <c r="L510">
        <f t="shared" si="58"/>
        <v>2024</v>
      </c>
      <c r="N510" s="17">
        <f t="shared" si="61"/>
        <v>45292</v>
      </c>
      <c r="S510">
        <f t="shared" si="62"/>
        <v>0</v>
      </c>
    </row>
    <row r="511" spans="1:19" x14ac:dyDescent="0.3">
      <c r="A511" s="17">
        <v>45320</v>
      </c>
      <c r="B511">
        <v>446.46</v>
      </c>
      <c r="C511">
        <v>83.3</v>
      </c>
      <c r="D511">
        <f t="shared" si="59"/>
        <v>363.15999999999997</v>
      </c>
      <c r="E511">
        <v>2.15</v>
      </c>
      <c r="F511">
        <f t="shared" si="60"/>
        <v>-361.01</v>
      </c>
      <c r="I511">
        <f t="shared" si="56"/>
        <v>29</v>
      </c>
      <c r="J511">
        <v>1</v>
      </c>
      <c r="K511">
        <f t="shared" si="57"/>
        <v>1</v>
      </c>
      <c r="L511">
        <f t="shared" si="58"/>
        <v>2024</v>
      </c>
      <c r="N511" s="17">
        <f t="shared" si="61"/>
        <v>45292</v>
      </c>
      <c r="S511">
        <f t="shared" si="62"/>
        <v>0</v>
      </c>
    </row>
    <row r="512" spans="1:19" x14ac:dyDescent="0.3">
      <c r="A512" s="17">
        <v>45317</v>
      </c>
      <c r="B512">
        <v>435.2</v>
      </c>
      <c r="C512">
        <v>81.650000000000006</v>
      </c>
      <c r="D512">
        <f t="shared" si="59"/>
        <v>353.54999999999995</v>
      </c>
      <c r="E512">
        <v>2</v>
      </c>
      <c r="F512">
        <f t="shared" si="60"/>
        <v>-351.54999999999995</v>
      </c>
      <c r="I512">
        <f t="shared" si="56"/>
        <v>26</v>
      </c>
      <c r="J512">
        <v>1</v>
      </c>
      <c r="K512">
        <f t="shared" si="57"/>
        <v>1</v>
      </c>
      <c r="L512">
        <f t="shared" si="58"/>
        <v>2024</v>
      </c>
      <c r="N512" s="17">
        <f t="shared" si="61"/>
        <v>45292</v>
      </c>
      <c r="S512">
        <f t="shared" si="62"/>
        <v>0</v>
      </c>
    </row>
    <row r="513" spans="1:19" x14ac:dyDescent="0.3">
      <c r="A513" s="17">
        <v>45316</v>
      </c>
      <c r="B513">
        <v>424.92</v>
      </c>
      <c r="C513">
        <v>80.295000000000002</v>
      </c>
      <c r="D513">
        <f t="shared" si="59"/>
        <v>344.625</v>
      </c>
      <c r="E513">
        <v>2.0299999999999998</v>
      </c>
      <c r="F513">
        <f t="shared" si="60"/>
        <v>-342.59500000000003</v>
      </c>
      <c r="I513">
        <f t="shared" si="56"/>
        <v>25</v>
      </c>
      <c r="J513">
        <v>1</v>
      </c>
      <c r="K513">
        <f t="shared" si="57"/>
        <v>1</v>
      </c>
      <c r="L513">
        <f t="shared" si="58"/>
        <v>2024</v>
      </c>
      <c r="N513" s="17">
        <f t="shared" si="61"/>
        <v>45292</v>
      </c>
      <c r="S513">
        <f t="shared" si="62"/>
        <v>0</v>
      </c>
    </row>
    <row r="514" spans="1:19" x14ac:dyDescent="0.3">
      <c r="A514" s="17">
        <v>45315</v>
      </c>
      <c r="B514">
        <v>418.44</v>
      </c>
      <c r="C514">
        <v>79.56</v>
      </c>
      <c r="D514">
        <f t="shared" si="59"/>
        <v>338.88</v>
      </c>
      <c r="E514">
        <v>2.0499999999999998</v>
      </c>
      <c r="F514">
        <f t="shared" si="60"/>
        <v>-336.83</v>
      </c>
      <c r="I514">
        <f t="shared" si="56"/>
        <v>24</v>
      </c>
      <c r="J514">
        <v>1</v>
      </c>
      <c r="K514">
        <f t="shared" si="57"/>
        <v>1</v>
      </c>
      <c r="L514">
        <f t="shared" si="58"/>
        <v>2024</v>
      </c>
      <c r="N514" s="17">
        <f t="shared" si="61"/>
        <v>45292</v>
      </c>
      <c r="S514">
        <f t="shared" si="62"/>
        <v>0</v>
      </c>
    </row>
    <row r="515" spans="1:19" x14ac:dyDescent="0.3">
      <c r="A515" s="17">
        <v>45314</v>
      </c>
      <c r="B515">
        <v>428.25</v>
      </c>
      <c r="C515">
        <v>79.900000000000006</v>
      </c>
      <c r="D515">
        <f t="shared" si="59"/>
        <v>348.35</v>
      </c>
      <c r="E515">
        <v>2.0699999999999998</v>
      </c>
      <c r="F515">
        <f t="shared" si="60"/>
        <v>-346.28000000000003</v>
      </c>
      <c r="I515">
        <f t="shared" si="56"/>
        <v>23</v>
      </c>
      <c r="J515">
        <v>1</v>
      </c>
      <c r="K515">
        <f t="shared" si="57"/>
        <v>1</v>
      </c>
      <c r="L515">
        <f t="shared" si="58"/>
        <v>2024</v>
      </c>
      <c r="N515" s="17">
        <f t="shared" si="61"/>
        <v>45292</v>
      </c>
      <c r="S515">
        <f t="shared" si="62"/>
        <v>0</v>
      </c>
    </row>
    <row r="516" spans="1:19" x14ac:dyDescent="0.3">
      <c r="A516" s="17">
        <v>45313</v>
      </c>
      <c r="B516">
        <v>416.8</v>
      </c>
      <c r="C516">
        <v>77.75</v>
      </c>
      <c r="D516">
        <f t="shared" si="59"/>
        <v>339.05</v>
      </c>
      <c r="E516">
        <v>2.04</v>
      </c>
      <c r="F516">
        <f t="shared" si="60"/>
        <v>-337.01</v>
      </c>
      <c r="I516">
        <f t="shared" si="56"/>
        <v>22</v>
      </c>
      <c r="J516">
        <v>1</v>
      </c>
      <c r="K516">
        <f t="shared" si="57"/>
        <v>1</v>
      </c>
      <c r="L516">
        <f t="shared" si="58"/>
        <v>2024</v>
      </c>
      <c r="N516" s="17">
        <f t="shared" si="61"/>
        <v>45292</v>
      </c>
      <c r="S516">
        <f t="shared" si="62"/>
        <v>0</v>
      </c>
    </row>
    <row r="517" spans="1:19" x14ac:dyDescent="0.3">
      <c r="A517" s="17">
        <v>45310</v>
      </c>
      <c r="B517">
        <v>427.28</v>
      </c>
      <c r="C517">
        <v>78.894999999999996</v>
      </c>
      <c r="D517">
        <f t="shared" si="59"/>
        <v>348.38499999999999</v>
      </c>
      <c r="E517">
        <v>2.17</v>
      </c>
      <c r="F517">
        <f t="shared" si="60"/>
        <v>-346.21499999999997</v>
      </c>
      <c r="I517">
        <f t="shared" ref="I517:I580" si="63">+DAY(A517)</f>
        <v>19</v>
      </c>
      <c r="J517">
        <v>1</v>
      </c>
      <c r="K517">
        <f t="shared" ref="K517:K580" si="64">+MONTH(A517)</f>
        <v>1</v>
      </c>
      <c r="L517">
        <f t="shared" ref="L517:L580" si="65">+YEAR(A517)</f>
        <v>2024</v>
      </c>
      <c r="N517" s="17">
        <f t="shared" si="61"/>
        <v>45292</v>
      </c>
      <c r="S517">
        <f t="shared" si="62"/>
        <v>0</v>
      </c>
    </row>
    <row r="518" spans="1:19" x14ac:dyDescent="0.3">
      <c r="A518" s="17">
        <v>45309</v>
      </c>
      <c r="B518">
        <v>421.38</v>
      </c>
      <c r="C518">
        <v>77.55</v>
      </c>
      <c r="D518">
        <f t="shared" ref="D518:D581" si="66">+B518-C518</f>
        <v>343.83</v>
      </c>
      <c r="E518">
        <v>2.16</v>
      </c>
      <c r="F518">
        <f t="shared" ref="F518:F581" si="67">+E518-D518</f>
        <v>-341.66999999999996</v>
      </c>
      <c r="I518">
        <f t="shared" si="63"/>
        <v>18</v>
      </c>
      <c r="J518">
        <v>1</v>
      </c>
      <c r="K518">
        <f t="shared" si="64"/>
        <v>1</v>
      </c>
      <c r="L518">
        <f t="shared" si="65"/>
        <v>2024</v>
      </c>
      <c r="N518" s="17">
        <f t="shared" ref="N518:N581" si="68">+DATE(L518,K518,J518)</f>
        <v>45292</v>
      </c>
      <c r="S518">
        <f t="shared" ref="S518:S581" si="69">IF(AND(I518&gt;=1, I518&lt;=4), 1, 0)</f>
        <v>0</v>
      </c>
    </row>
    <row r="519" spans="1:19" x14ac:dyDescent="0.3">
      <c r="A519" s="17">
        <v>45308</v>
      </c>
      <c r="B519">
        <v>424.31</v>
      </c>
      <c r="C519">
        <v>76.75</v>
      </c>
      <c r="D519">
        <f t="shared" si="66"/>
        <v>347.56</v>
      </c>
      <c r="E519">
        <v>1.95</v>
      </c>
      <c r="F519">
        <f t="shared" si="67"/>
        <v>-345.61</v>
      </c>
      <c r="I519">
        <f t="shared" si="63"/>
        <v>17</v>
      </c>
      <c r="J519">
        <v>1</v>
      </c>
      <c r="K519">
        <f t="shared" si="64"/>
        <v>1</v>
      </c>
      <c r="L519">
        <f t="shared" si="65"/>
        <v>2024</v>
      </c>
      <c r="N519" s="17">
        <f t="shared" si="68"/>
        <v>45292</v>
      </c>
      <c r="S519">
        <f t="shared" si="69"/>
        <v>0</v>
      </c>
    </row>
    <row r="520" spans="1:19" x14ac:dyDescent="0.3">
      <c r="A520" s="17">
        <v>45307</v>
      </c>
      <c r="B520">
        <v>423.37</v>
      </c>
      <c r="C520">
        <v>77.84</v>
      </c>
      <c r="D520">
        <f t="shared" si="66"/>
        <v>345.53</v>
      </c>
      <c r="E520">
        <v>1.69</v>
      </c>
      <c r="F520">
        <f t="shared" si="67"/>
        <v>-343.84</v>
      </c>
      <c r="I520">
        <f t="shared" si="63"/>
        <v>16</v>
      </c>
      <c r="J520">
        <v>1</v>
      </c>
      <c r="K520">
        <f t="shared" si="64"/>
        <v>1</v>
      </c>
      <c r="L520">
        <f t="shared" si="65"/>
        <v>2024</v>
      </c>
      <c r="N520" s="17">
        <f t="shared" si="68"/>
        <v>45292</v>
      </c>
      <c r="S520">
        <f t="shared" si="69"/>
        <v>0</v>
      </c>
    </row>
    <row r="521" spans="1:19" x14ac:dyDescent="0.3">
      <c r="A521" s="17">
        <v>45306</v>
      </c>
      <c r="B521">
        <v>424.21</v>
      </c>
      <c r="C521">
        <v>78</v>
      </c>
      <c r="D521">
        <f t="shared" si="66"/>
        <v>346.21</v>
      </c>
      <c r="E521">
        <v>1.51</v>
      </c>
      <c r="F521">
        <f t="shared" si="67"/>
        <v>-344.7</v>
      </c>
      <c r="I521">
        <f t="shared" si="63"/>
        <v>15</v>
      </c>
      <c r="J521">
        <v>1</v>
      </c>
      <c r="K521">
        <f t="shared" si="64"/>
        <v>1</v>
      </c>
      <c r="L521">
        <f t="shared" si="65"/>
        <v>2024</v>
      </c>
      <c r="N521" s="17">
        <f t="shared" si="68"/>
        <v>45292</v>
      </c>
      <c r="S521">
        <f t="shared" si="69"/>
        <v>0</v>
      </c>
    </row>
    <row r="522" spans="1:19" x14ac:dyDescent="0.3">
      <c r="A522" s="17">
        <v>45303</v>
      </c>
      <c r="B522">
        <v>422.49</v>
      </c>
      <c r="C522">
        <v>79.05</v>
      </c>
      <c r="D522">
        <f t="shared" si="66"/>
        <v>343.44</v>
      </c>
      <c r="E522">
        <v>1.36</v>
      </c>
      <c r="F522">
        <f t="shared" si="67"/>
        <v>-342.08</v>
      </c>
      <c r="I522">
        <f t="shared" si="63"/>
        <v>12</v>
      </c>
      <c r="J522">
        <v>1</v>
      </c>
      <c r="K522">
        <f t="shared" si="64"/>
        <v>1</v>
      </c>
      <c r="L522">
        <f t="shared" si="65"/>
        <v>2024</v>
      </c>
      <c r="N522" s="17">
        <f t="shared" si="68"/>
        <v>45292</v>
      </c>
      <c r="S522">
        <f t="shared" si="69"/>
        <v>0</v>
      </c>
    </row>
    <row r="523" spans="1:19" x14ac:dyDescent="0.3">
      <c r="A523" s="17">
        <v>45302</v>
      </c>
      <c r="B523">
        <v>424.06</v>
      </c>
      <c r="C523">
        <v>77.290000000000006</v>
      </c>
      <c r="D523">
        <f t="shared" si="66"/>
        <v>346.77</v>
      </c>
      <c r="E523">
        <v>1.05</v>
      </c>
      <c r="F523">
        <f t="shared" si="67"/>
        <v>-345.71999999999997</v>
      </c>
      <c r="I523">
        <f t="shared" si="63"/>
        <v>11</v>
      </c>
      <c r="J523">
        <v>1</v>
      </c>
      <c r="K523">
        <f t="shared" si="64"/>
        <v>1</v>
      </c>
      <c r="L523">
        <f t="shared" si="65"/>
        <v>2024</v>
      </c>
      <c r="N523" s="17">
        <f t="shared" si="68"/>
        <v>45292</v>
      </c>
      <c r="S523">
        <f t="shared" si="69"/>
        <v>0</v>
      </c>
    </row>
    <row r="524" spans="1:19" x14ac:dyDescent="0.3">
      <c r="A524" s="17">
        <v>45301</v>
      </c>
      <c r="B524">
        <v>430.06</v>
      </c>
      <c r="C524">
        <v>78</v>
      </c>
      <c r="D524">
        <f t="shared" si="66"/>
        <v>352.06</v>
      </c>
      <c r="E524">
        <v>0.78</v>
      </c>
      <c r="F524">
        <f t="shared" si="67"/>
        <v>-351.28000000000003</v>
      </c>
      <c r="I524">
        <f t="shared" si="63"/>
        <v>10</v>
      </c>
      <c r="J524">
        <v>1</v>
      </c>
      <c r="K524">
        <f t="shared" si="64"/>
        <v>1</v>
      </c>
      <c r="L524">
        <f t="shared" si="65"/>
        <v>2024</v>
      </c>
      <c r="N524" s="17">
        <f t="shared" si="68"/>
        <v>45292</v>
      </c>
      <c r="S524">
        <f t="shared" si="69"/>
        <v>0</v>
      </c>
    </row>
    <row r="525" spans="1:19" x14ac:dyDescent="0.3">
      <c r="A525" s="17">
        <v>45300</v>
      </c>
      <c r="B525">
        <v>430.18</v>
      </c>
      <c r="C525">
        <v>76.849999999999994</v>
      </c>
      <c r="D525">
        <f t="shared" si="66"/>
        <v>353.33000000000004</v>
      </c>
      <c r="E525">
        <v>0.8</v>
      </c>
      <c r="F525">
        <f t="shared" si="67"/>
        <v>-352.53000000000003</v>
      </c>
      <c r="I525">
        <f t="shared" si="63"/>
        <v>9</v>
      </c>
      <c r="J525">
        <v>1</v>
      </c>
      <c r="K525">
        <f t="shared" si="64"/>
        <v>1</v>
      </c>
      <c r="L525">
        <f t="shared" si="65"/>
        <v>2024</v>
      </c>
      <c r="N525" s="17">
        <f t="shared" si="68"/>
        <v>45292</v>
      </c>
      <c r="S525">
        <f t="shared" si="69"/>
        <v>0</v>
      </c>
    </row>
    <row r="526" spans="1:19" x14ac:dyDescent="0.3">
      <c r="A526" s="17">
        <v>45299</v>
      </c>
      <c r="B526">
        <v>436.98</v>
      </c>
      <c r="C526">
        <v>77.86</v>
      </c>
      <c r="D526">
        <f t="shared" si="66"/>
        <v>359.12</v>
      </c>
      <c r="E526">
        <v>0.85</v>
      </c>
      <c r="F526">
        <f t="shared" si="67"/>
        <v>-358.27</v>
      </c>
      <c r="I526">
        <f t="shared" si="63"/>
        <v>8</v>
      </c>
      <c r="J526">
        <v>1</v>
      </c>
      <c r="K526">
        <f t="shared" si="64"/>
        <v>1</v>
      </c>
      <c r="L526">
        <f t="shared" si="65"/>
        <v>2024</v>
      </c>
      <c r="N526" s="17">
        <f t="shared" si="68"/>
        <v>45292</v>
      </c>
      <c r="S526">
        <f t="shared" si="69"/>
        <v>0</v>
      </c>
    </row>
    <row r="527" spans="1:19" x14ac:dyDescent="0.3">
      <c r="A527" s="17">
        <v>45296</v>
      </c>
      <c r="B527">
        <v>449.8</v>
      </c>
      <c r="C527">
        <v>77.75</v>
      </c>
      <c r="D527">
        <f t="shared" si="66"/>
        <v>372.05</v>
      </c>
      <c r="E527">
        <v>0.89</v>
      </c>
      <c r="F527">
        <f t="shared" si="67"/>
        <v>-371.16</v>
      </c>
      <c r="I527">
        <f t="shared" si="63"/>
        <v>5</v>
      </c>
      <c r="J527">
        <v>1</v>
      </c>
      <c r="K527">
        <f t="shared" si="64"/>
        <v>1</v>
      </c>
      <c r="L527">
        <f t="shared" si="65"/>
        <v>2024</v>
      </c>
      <c r="N527" s="17">
        <f t="shared" si="68"/>
        <v>45292</v>
      </c>
      <c r="S527">
        <f t="shared" si="69"/>
        <v>0</v>
      </c>
    </row>
    <row r="528" spans="1:19" x14ac:dyDescent="0.3">
      <c r="A528" s="17">
        <v>45295</v>
      </c>
      <c r="B528">
        <v>459.05</v>
      </c>
      <c r="C528">
        <v>78.650000000000006</v>
      </c>
      <c r="D528">
        <f t="shared" si="66"/>
        <v>380.4</v>
      </c>
      <c r="E528">
        <v>0.93</v>
      </c>
      <c r="F528">
        <f t="shared" si="67"/>
        <v>-379.46999999999997</v>
      </c>
      <c r="I528">
        <f t="shared" si="63"/>
        <v>4</v>
      </c>
      <c r="J528">
        <v>1</v>
      </c>
      <c r="K528">
        <f t="shared" si="64"/>
        <v>1</v>
      </c>
      <c r="L528">
        <f t="shared" si="65"/>
        <v>2024</v>
      </c>
      <c r="N528" s="17">
        <f t="shared" si="68"/>
        <v>45292</v>
      </c>
      <c r="S528">
        <f t="shared" si="69"/>
        <v>1</v>
      </c>
    </row>
    <row r="529" spans="1:19" x14ac:dyDescent="0.3">
      <c r="A529" s="17">
        <v>45294</v>
      </c>
      <c r="B529">
        <v>440.98</v>
      </c>
      <c r="C529">
        <v>75.290000000000006</v>
      </c>
      <c r="D529">
        <f t="shared" si="66"/>
        <v>365.69</v>
      </c>
      <c r="E529">
        <v>0.94</v>
      </c>
      <c r="F529">
        <f t="shared" si="67"/>
        <v>-364.75</v>
      </c>
      <c r="I529">
        <f t="shared" si="63"/>
        <v>3</v>
      </c>
      <c r="J529">
        <v>1</v>
      </c>
      <c r="K529">
        <f t="shared" si="64"/>
        <v>1</v>
      </c>
      <c r="L529">
        <f t="shared" si="65"/>
        <v>2024</v>
      </c>
      <c r="N529" s="17">
        <f t="shared" si="68"/>
        <v>45292</v>
      </c>
      <c r="S529">
        <f t="shared" si="69"/>
        <v>1</v>
      </c>
    </row>
    <row r="530" spans="1:19" x14ac:dyDescent="0.3">
      <c r="A530" s="17">
        <v>45293</v>
      </c>
      <c r="B530">
        <v>440.15</v>
      </c>
      <c r="C530">
        <v>78.094999999999999</v>
      </c>
      <c r="D530">
        <f t="shared" si="66"/>
        <v>362.05499999999995</v>
      </c>
      <c r="E530">
        <v>1.02</v>
      </c>
      <c r="F530">
        <f t="shared" si="67"/>
        <v>-361.03499999999997</v>
      </c>
      <c r="I530">
        <f t="shared" si="63"/>
        <v>2</v>
      </c>
      <c r="J530">
        <v>1</v>
      </c>
      <c r="K530">
        <f t="shared" si="64"/>
        <v>1</v>
      </c>
      <c r="L530">
        <f t="shared" si="65"/>
        <v>2024</v>
      </c>
      <c r="N530" s="17">
        <f t="shared" si="68"/>
        <v>45292</v>
      </c>
      <c r="S530">
        <f t="shared" si="69"/>
        <v>1</v>
      </c>
    </row>
    <row r="531" spans="1:19" x14ac:dyDescent="0.3">
      <c r="A531" s="17">
        <v>45289</v>
      </c>
      <c r="B531">
        <v>426.43</v>
      </c>
      <c r="C531">
        <v>77.094999999999999</v>
      </c>
      <c r="D531">
        <f t="shared" si="66"/>
        <v>349.33500000000004</v>
      </c>
      <c r="E531">
        <v>0.72</v>
      </c>
      <c r="F531">
        <f t="shared" si="67"/>
        <v>-348.61500000000001</v>
      </c>
      <c r="I531">
        <f t="shared" si="63"/>
        <v>29</v>
      </c>
      <c r="J531">
        <v>1</v>
      </c>
      <c r="K531">
        <f t="shared" si="64"/>
        <v>12</v>
      </c>
      <c r="L531">
        <f t="shared" si="65"/>
        <v>2023</v>
      </c>
      <c r="N531" s="17">
        <f t="shared" si="68"/>
        <v>45261</v>
      </c>
      <c r="S531">
        <f t="shared" si="69"/>
        <v>0</v>
      </c>
    </row>
    <row r="532" spans="1:19" x14ac:dyDescent="0.3">
      <c r="A532" s="17">
        <v>45288</v>
      </c>
      <c r="B532">
        <v>438.78</v>
      </c>
      <c r="C532">
        <v>79.099999999999994</v>
      </c>
      <c r="D532">
        <f t="shared" si="66"/>
        <v>359.67999999999995</v>
      </c>
      <c r="E532">
        <v>0.62</v>
      </c>
      <c r="F532">
        <f t="shared" si="67"/>
        <v>-359.05999999999995</v>
      </c>
      <c r="I532">
        <f t="shared" si="63"/>
        <v>28</v>
      </c>
      <c r="J532">
        <v>1</v>
      </c>
      <c r="K532">
        <f t="shared" si="64"/>
        <v>12</v>
      </c>
      <c r="L532">
        <f t="shared" si="65"/>
        <v>2023</v>
      </c>
      <c r="N532" s="17">
        <f t="shared" si="68"/>
        <v>45261</v>
      </c>
      <c r="S532">
        <f t="shared" si="69"/>
        <v>0</v>
      </c>
    </row>
    <row r="533" spans="1:19" x14ac:dyDescent="0.3">
      <c r="A533" s="17">
        <v>45287</v>
      </c>
      <c r="B533">
        <v>450.5</v>
      </c>
      <c r="C533">
        <v>80.2</v>
      </c>
      <c r="D533">
        <f t="shared" si="66"/>
        <v>370.3</v>
      </c>
      <c r="E533">
        <v>0.45</v>
      </c>
      <c r="F533">
        <f t="shared" si="67"/>
        <v>-369.85</v>
      </c>
      <c r="I533">
        <f t="shared" si="63"/>
        <v>27</v>
      </c>
      <c r="J533">
        <v>1</v>
      </c>
      <c r="K533">
        <f t="shared" si="64"/>
        <v>12</v>
      </c>
      <c r="L533">
        <f t="shared" si="65"/>
        <v>2023</v>
      </c>
      <c r="N533" s="17">
        <f t="shared" si="68"/>
        <v>45261</v>
      </c>
      <c r="S533">
        <f t="shared" si="69"/>
        <v>0</v>
      </c>
    </row>
    <row r="534" spans="1:19" x14ac:dyDescent="0.3">
      <c r="A534" s="17">
        <v>45286</v>
      </c>
      <c r="B534">
        <v>441.36</v>
      </c>
      <c r="C534">
        <v>78.644999999999996</v>
      </c>
      <c r="D534">
        <f t="shared" si="66"/>
        <v>362.71500000000003</v>
      </c>
      <c r="E534">
        <v>0.31</v>
      </c>
      <c r="F534">
        <f t="shared" si="67"/>
        <v>-362.40500000000003</v>
      </c>
      <c r="I534">
        <f t="shared" si="63"/>
        <v>26</v>
      </c>
      <c r="J534">
        <v>1</v>
      </c>
      <c r="K534">
        <f t="shared" si="64"/>
        <v>12</v>
      </c>
      <c r="L534">
        <f t="shared" si="65"/>
        <v>2023</v>
      </c>
      <c r="N534" s="17">
        <f t="shared" si="68"/>
        <v>45261</v>
      </c>
      <c r="S534">
        <f t="shared" si="69"/>
        <v>0</v>
      </c>
    </row>
    <row r="535" spans="1:19" x14ac:dyDescent="0.3">
      <c r="A535" s="17">
        <v>45282</v>
      </c>
      <c r="B535">
        <v>448.25</v>
      </c>
      <c r="C535">
        <v>79.099999999999994</v>
      </c>
      <c r="D535">
        <f t="shared" si="66"/>
        <v>369.15</v>
      </c>
      <c r="E535">
        <v>0.27</v>
      </c>
      <c r="F535">
        <f t="shared" si="67"/>
        <v>-368.88</v>
      </c>
      <c r="I535">
        <f t="shared" si="63"/>
        <v>22</v>
      </c>
      <c r="J535">
        <v>1</v>
      </c>
      <c r="K535">
        <f t="shared" si="64"/>
        <v>12</v>
      </c>
      <c r="L535">
        <f t="shared" si="65"/>
        <v>2023</v>
      </c>
      <c r="N535" s="17">
        <f t="shared" si="68"/>
        <v>45261</v>
      </c>
      <c r="S535">
        <f t="shared" si="69"/>
        <v>0</v>
      </c>
    </row>
    <row r="536" spans="1:19" x14ac:dyDescent="0.3">
      <c r="A536" s="17">
        <v>45281</v>
      </c>
      <c r="B536">
        <v>444.44</v>
      </c>
      <c r="C536">
        <v>78.849999999999994</v>
      </c>
      <c r="D536">
        <f t="shared" si="66"/>
        <v>365.59000000000003</v>
      </c>
      <c r="E536">
        <v>0.31</v>
      </c>
      <c r="F536">
        <f t="shared" si="67"/>
        <v>-365.28000000000003</v>
      </c>
      <c r="I536">
        <f t="shared" si="63"/>
        <v>21</v>
      </c>
      <c r="J536">
        <v>1</v>
      </c>
      <c r="K536">
        <f t="shared" si="64"/>
        <v>12</v>
      </c>
      <c r="L536">
        <f t="shared" si="65"/>
        <v>2023</v>
      </c>
      <c r="N536" s="17">
        <f t="shared" si="68"/>
        <v>45261</v>
      </c>
      <c r="S536">
        <f t="shared" si="69"/>
        <v>0</v>
      </c>
    </row>
    <row r="537" spans="1:19" x14ac:dyDescent="0.3">
      <c r="A537" s="17">
        <v>45280</v>
      </c>
      <c r="B537">
        <v>443.47</v>
      </c>
      <c r="C537">
        <v>79.05</v>
      </c>
      <c r="D537">
        <f t="shared" si="66"/>
        <v>364.42</v>
      </c>
      <c r="E537">
        <v>0.41</v>
      </c>
      <c r="F537">
        <f t="shared" si="67"/>
        <v>-364.01</v>
      </c>
      <c r="I537">
        <f t="shared" si="63"/>
        <v>20</v>
      </c>
      <c r="J537">
        <v>1</v>
      </c>
      <c r="K537">
        <f t="shared" si="64"/>
        <v>12</v>
      </c>
      <c r="L537">
        <f t="shared" si="65"/>
        <v>2023</v>
      </c>
      <c r="N537" s="17">
        <f t="shared" si="68"/>
        <v>45261</v>
      </c>
      <c r="S537">
        <f t="shared" si="69"/>
        <v>0</v>
      </c>
    </row>
    <row r="538" spans="1:19" x14ac:dyDescent="0.3">
      <c r="A538" s="17">
        <v>45279</v>
      </c>
      <c r="B538">
        <v>429.11</v>
      </c>
      <c r="C538">
        <v>76.84</v>
      </c>
      <c r="D538">
        <f t="shared" si="66"/>
        <v>352.27</v>
      </c>
      <c r="E538">
        <v>0.45</v>
      </c>
      <c r="F538">
        <f t="shared" si="67"/>
        <v>-351.82</v>
      </c>
      <c r="I538">
        <f t="shared" si="63"/>
        <v>19</v>
      </c>
      <c r="J538">
        <v>1</v>
      </c>
      <c r="K538">
        <f t="shared" si="64"/>
        <v>12</v>
      </c>
      <c r="L538">
        <f t="shared" si="65"/>
        <v>2023</v>
      </c>
      <c r="N538" s="17">
        <f t="shared" si="68"/>
        <v>45261</v>
      </c>
      <c r="S538">
        <f t="shared" si="69"/>
        <v>0</v>
      </c>
    </row>
    <row r="539" spans="1:19" x14ac:dyDescent="0.3">
      <c r="A539" s="17">
        <v>45278</v>
      </c>
      <c r="B539">
        <v>425.67</v>
      </c>
      <c r="C539">
        <v>76.150000000000006</v>
      </c>
      <c r="D539">
        <f t="shared" si="66"/>
        <v>349.52</v>
      </c>
      <c r="E539">
        <v>0.56000000000000005</v>
      </c>
      <c r="F539">
        <f t="shared" si="67"/>
        <v>-348.96</v>
      </c>
      <c r="I539">
        <f t="shared" si="63"/>
        <v>18</v>
      </c>
      <c r="J539">
        <v>1</v>
      </c>
      <c r="K539">
        <f t="shared" si="64"/>
        <v>12</v>
      </c>
      <c r="L539">
        <f t="shared" si="65"/>
        <v>2023</v>
      </c>
      <c r="N539" s="17">
        <f t="shared" si="68"/>
        <v>45261</v>
      </c>
      <c r="S539">
        <f t="shared" si="69"/>
        <v>0</v>
      </c>
    </row>
    <row r="540" spans="1:19" x14ac:dyDescent="0.3">
      <c r="A540" s="17">
        <v>45275</v>
      </c>
      <c r="B540">
        <v>427.59</v>
      </c>
      <c r="C540">
        <v>76.150000000000006</v>
      </c>
      <c r="D540">
        <f t="shared" si="66"/>
        <v>351.43999999999994</v>
      </c>
      <c r="E540">
        <v>0.51</v>
      </c>
      <c r="F540">
        <f t="shared" si="67"/>
        <v>-350.92999999999995</v>
      </c>
      <c r="I540">
        <f t="shared" si="63"/>
        <v>15</v>
      </c>
      <c r="J540">
        <v>1</v>
      </c>
      <c r="K540">
        <f t="shared" si="64"/>
        <v>12</v>
      </c>
      <c r="L540">
        <f t="shared" si="65"/>
        <v>2023</v>
      </c>
      <c r="N540" s="17">
        <f t="shared" si="68"/>
        <v>45261</v>
      </c>
      <c r="S540">
        <f t="shared" si="69"/>
        <v>0</v>
      </c>
    </row>
    <row r="541" spans="1:19" x14ac:dyDescent="0.3">
      <c r="A541" s="17">
        <v>45274</v>
      </c>
      <c r="B541">
        <v>423.38</v>
      </c>
      <c r="C541">
        <v>74.400000000000006</v>
      </c>
      <c r="D541">
        <f t="shared" si="66"/>
        <v>348.98</v>
      </c>
      <c r="E541">
        <v>0.4</v>
      </c>
      <c r="F541">
        <f t="shared" si="67"/>
        <v>-348.58000000000004</v>
      </c>
      <c r="I541">
        <f t="shared" si="63"/>
        <v>14</v>
      </c>
      <c r="J541">
        <v>1</v>
      </c>
      <c r="K541">
        <f t="shared" si="64"/>
        <v>12</v>
      </c>
      <c r="L541">
        <f t="shared" si="65"/>
        <v>2023</v>
      </c>
      <c r="N541" s="17">
        <f t="shared" si="68"/>
        <v>45261</v>
      </c>
      <c r="S541">
        <f t="shared" si="69"/>
        <v>0</v>
      </c>
    </row>
    <row r="542" spans="1:19" x14ac:dyDescent="0.3">
      <c r="A542" s="17">
        <v>45273</v>
      </c>
      <c r="B542">
        <v>413.41</v>
      </c>
      <c r="C542">
        <v>71.64</v>
      </c>
      <c r="D542">
        <f t="shared" si="66"/>
        <v>341.77000000000004</v>
      </c>
      <c r="E542">
        <v>0.2</v>
      </c>
      <c r="F542">
        <f t="shared" si="67"/>
        <v>-341.57000000000005</v>
      </c>
      <c r="I542">
        <f t="shared" si="63"/>
        <v>13</v>
      </c>
      <c r="J542">
        <v>1</v>
      </c>
      <c r="K542">
        <f t="shared" si="64"/>
        <v>12</v>
      </c>
      <c r="L542">
        <f t="shared" si="65"/>
        <v>2023</v>
      </c>
      <c r="N542" s="17">
        <f t="shared" si="68"/>
        <v>45261</v>
      </c>
      <c r="S542">
        <f t="shared" si="69"/>
        <v>0</v>
      </c>
    </row>
    <row r="543" spans="1:19" x14ac:dyDescent="0.3">
      <c r="A543" s="17">
        <v>45272</v>
      </c>
      <c r="B543">
        <v>428.34</v>
      </c>
      <c r="C543">
        <v>76.239999999999995</v>
      </c>
      <c r="D543">
        <f t="shared" si="66"/>
        <v>352.09999999999997</v>
      </c>
      <c r="E543">
        <v>7.0000000000000007E-2</v>
      </c>
      <c r="F543">
        <f t="shared" si="67"/>
        <v>-352.03</v>
      </c>
      <c r="I543">
        <f t="shared" si="63"/>
        <v>12</v>
      </c>
      <c r="J543">
        <v>1</v>
      </c>
      <c r="K543">
        <f t="shared" si="64"/>
        <v>12</v>
      </c>
      <c r="L543">
        <f t="shared" si="65"/>
        <v>2023</v>
      </c>
      <c r="N543" s="17">
        <f t="shared" si="68"/>
        <v>45261</v>
      </c>
      <c r="S543">
        <f t="shared" si="69"/>
        <v>0</v>
      </c>
    </row>
    <row r="544" spans="1:19" x14ac:dyDescent="0.3">
      <c r="A544" s="17">
        <v>45271</v>
      </c>
      <c r="B544">
        <v>424.6</v>
      </c>
      <c r="C544">
        <v>76.64</v>
      </c>
      <c r="D544">
        <f t="shared" si="66"/>
        <v>347.96000000000004</v>
      </c>
      <c r="E544">
        <v>-0.11</v>
      </c>
      <c r="F544">
        <f t="shared" si="67"/>
        <v>-348.07000000000005</v>
      </c>
      <c r="I544">
        <f t="shared" si="63"/>
        <v>11</v>
      </c>
      <c r="J544">
        <v>1</v>
      </c>
      <c r="K544">
        <f t="shared" si="64"/>
        <v>12</v>
      </c>
      <c r="L544">
        <f t="shared" si="65"/>
        <v>2023</v>
      </c>
      <c r="N544" s="17">
        <f t="shared" si="68"/>
        <v>45261</v>
      </c>
      <c r="S544">
        <f t="shared" si="69"/>
        <v>0</v>
      </c>
    </row>
    <row r="545" spans="1:19" x14ac:dyDescent="0.3">
      <c r="A545" s="17">
        <v>45268</v>
      </c>
      <c r="B545">
        <v>411.64</v>
      </c>
      <c r="C545">
        <v>76.08</v>
      </c>
      <c r="D545">
        <f t="shared" si="66"/>
        <v>335.56</v>
      </c>
      <c r="E545">
        <v>-0.05</v>
      </c>
      <c r="F545">
        <f t="shared" si="67"/>
        <v>-335.61</v>
      </c>
      <c r="I545">
        <f t="shared" si="63"/>
        <v>8</v>
      </c>
      <c r="J545">
        <v>1</v>
      </c>
      <c r="K545">
        <f t="shared" si="64"/>
        <v>12</v>
      </c>
      <c r="L545">
        <f t="shared" si="65"/>
        <v>2023</v>
      </c>
      <c r="N545" s="17">
        <f t="shared" si="68"/>
        <v>45261</v>
      </c>
      <c r="S545">
        <f t="shared" si="69"/>
        <v>0</v>
      </c>
    </row>
    <row r="546" spans="1:19" x14ac:dyDescent="0.3">
      <c r="A546" s="17">
        <v>45267</v>
      </c>
      <c r="B546">
        <v>403.42</v>
      </c>
      <c r="C546">
        <v>75.010000000000005</v>
      </c>
      <c r="D546">
        <f t="shared" si="66"/>
        <v>328.41</v>
      </c>
      <c r="E546">
        <v>-0.01</v>
      </c>
      <c r="F546">
        <f t="shared" si="67"/>
        <v>-328.42</v>
      </c>
      <c r="I546">
        <f t="shared" si="63"/>
        <v>7</v>
      </c>
      <c r="J546">
        <v>1</v>
      </c>
      <c r="K546">
        <f t="shared" si="64"/>
        <v>12</v>
      </c>
      <c r="L546">
        <f t="shared" si="65"/>
        <v>2023</v>
      </c>
      <c r="N546" s="17">
        <f t="shared" si="68"/>
        <v>45261</v>
      </c>
      <c r="S546">
        <f t="shared" si="69"/>
        <v>0</v>
      </c>
    </row>
    <row r="547" spans="1:19" x14ac:dyDescent="0.3">
      <c r="A547" s="17">
        <v>45266</v>
      </c>
      <c r="B547">
        <v>425.77</v>
      </c>
      <c r="C547">
        <v>77.540000000000006</v>
      </c>
      <c r="D547">
        <f t="shared" si="66"/>
        <v>348.22999999999996</v>
      </c>
      <c r="E547">
        <v>-0.25</v>
      </c>
      <c r="F547">
        <f t="shared" si="67"/>
        <v>-348.47999999999996</v>
      </c>
      <c r="I547">
        <f t="shared" si="63"/>
        <v>6</v>
      </c>
      <c r="J547">
        <v>1</v>
      </c>
      <c r="K547">
        <f t="shared" si="64"/>
        <v>12</v>
      </c>
      <c r="L547">
        <f t="shared" si="65"/>
        <v>2023</v>
      </c>
      <c r="N547" s="17">
        <f t="shared" si="68"/>
        <v>45261</v>
      </c>
      <c r="S547">
        <f t="shared" si="69"/>
        <v>0</v>
      </c>
    </row>
    <row r="548" spans="1:19" x14ac:dyDescent="0.3">
      <c r="A548" s="17">
        <v>45265</v>
      </c>
      <c r="B548">
        <v>438.68</v>
      </c>
      <c r="C548">
        <v>78.540000000000006</v>
      </c>
      <c r="D548">
        <f t="shared" si="66"/>
        <v>360.14</v>
      </c>
      <c r="E548">
        <v>-0.28999999999999998</v>
      </c>
      <c r="F548">
        <f t="shared" si="67"/>
        <v>-360.43</v>
      </c>
      <c r="I548">
        <f t="shared" si="63"/>
        <v>5</v>
      </c>
      <c r="J548">
        <v>1</v>
      </c>
      <c r="K548">
        <f t="shared" si="64"/>
        <v>12</v>
      </c>
      <c r="L548">
        <f t="shared" si="65"/>
        <v>2023</v>
      </c>
      <c r="N548" s="17">
        <f t="shared" si="68"/>
        <v>45261</v>
      </c>
      <c r="S548">
        <f t="shared" si="69"/>
        <v>0</v>
      </c>
    </row>
    <row r="549" spans="1:19" x14ac:dyDescent="0.3">
      <c r="A549" s="17">
        <v>45264</v>
      </c>
      <c r="B549">
        <v>434.33</v>
      </c>
      <c r="C549">
        <v>78.040000000000006</v>
      </c>
      <c r="D549">
        <f t="shared" si="66"/>
        <v>356.28999999999996</v>
      </c>
      <c r="E549">
        <v>-0.35</v>
      </c>
      <c r="F549">
        <f t="shared" si="67"/>
        <v>-356.64</v>
      </c>
      <c r="I549">
        <f t="shared" si="63"/>
        <v>4</v>
      </c>
      <c r="J549">
        <v>1</v>
      </c>
      <c r="K549">
        <f t="shared" si="64"/>
        <v>12</v>
      </c>
      <c r="L549">
        <f t="shared" si="65"/>
        <v>2023</v>
      </c>
      <c r="N549" s="17">
        <f t="shared" si="68"/>
        <v>45261</v>
      </c>
      <c r="S549">
        <f t="shared" si="69"/>
        <v>1</v>
      </c>
    </row>
    <row r="550" spans="1:19" x14ac:dyDescent="0.3">
      <c r="A550" s="17">
        <v>45261</v>
      </c>
      <c r="B550">
        <v>447.15</v>
      </c>
      <c r="C550">
        <v>81.3</v>
      </c>
      <c r="D550">
        <f t="shared" si="66"/>
        <v>365.84999999999997</v>
      </c>
      <c r="E550">
        <v>-0.41</v>
      </c>
      <c r="F550">
        <f t="shared" si="67"/>
        <v>-366.26</v>
      </c>
      <c r="I550">
        <f t="shared" si="63"/>
        <v>1</v>
      </c>
      <c r="J550">
        <v>1</v>
      </c>
      <c r="K550">
        <f t="shared" si="64"/>
        <v>12</v>
      </c>
      <c r="L550">
        <f t="shared" si="65"/>
        <v>2023</v>
      </c>
      <c r="N550" s="17">
        <f t="shared" si="68"/>
        <v>45261</v>
      </c>
      <c r="S550">
        <f t="shared" si="69"/>
        <v>1</v>
      </c>
    </row>
    <row r="551" spans="1:19" x14ac:dyDescent="0.3">
      <c r="A551" s="17">
        <v>45260</v>
      </c>
      <c r="B551">
        <v>461.94</v>
      </c>
      <c r="C551">
        <v>85.39</v>
      </c>
      <c r="D551">
        <f t="shared" si="66"/>
        <v>376.55</v>
      </c>
      <c r="E551">
        <v>-0.34</v>
      </c>
      <c r="F551">
        <f t="shared" si="67"/>
        <v>-376.89</v>
      </c>
      <c r="I551">
        <f t="shared" si="63"/>
        <v>30</v>
      </c>
      <c r="J551">
        <v>1</v>
      </c>
      <c r="K551">
        <f t="shared" si="64"/>
        <v>11</v>
      </c>
      <c r="L551">
        <f t="shared" si="65"/>
        <v>2023</v>
      </c>
      <c r="N551" s="17">
        <f t="shared" si="68"/>
        <v>45231</v>
      </c>
      <c r="S551">
        <f t="shared" si="69"/>
        <v>0</v>
      </c>
    </row>
    <row r="552" spans="1:19" x14ac:dyDescent="0.3">
      <c r="A552" s="17">
        <v>45259</v>
      </c>
      <c r="B552">
        <v>453.13</v>
      </c>
      <c r="C552">
        <v>83</v>
      </c>
      <c r="D552">
        <f t="shared" si="66"/>
        <v>370.13</v>
      </c>
      <c r="E552">
        <v>-0.31</v>
      </c>
      <c r="F552">
        <f t="shared" si="67"/>
        <v>-370.44</v>
      </c>
      <c r="I552">
        <f t="shared" si="63"/>
        <v>29</v>
      </c>
      <c r="J552">
        <v>1</v>
      </c>
      <c r="K552">
        <f t="shared" si="64"/>
        <v>11</v>
      </c>
      <c r="L552">
        <f t="shared" si="65"/>
        <v>2023</v>
      </c>
      <c r="N552" s="17">
        <f t="shared" si="68"/>
        <v>45231</v>
      </c>
      <c r="S552">
        <f t="shared" si="69"/>
        <v>0</v>
      </c>
    </row>
    <row r="553" spans="1:19" x14ac:dyDescent="0.3">
      <c r="A553" s="17">
        <v>45258</v>
      </c>
      <c r="B553">
        <v>440.28</v>
      </c>
      <c r="C553">
        <v>82.144999999999996</v>
      </c>
      <c r="D553">
        <f t="shared" si="66"/>
        <v>358.13499999999999</v>
      </c>
      <c r="E553">
        <v>-0.35</v>
      </c>
      <c r="F553">
        <f t="shared" si="67"/>
        <v>-358.48500000000001</v>
      </c>
      <c r="I553">
        <f t="shared" si="63"/>
        <v>28</v>
      </c>
      <c r="J553">
        <v>1</v>
      </c>
      <c r="K553">
        <f t="shared" si="64"/>
        <v>11</v>
      </c>
      <c r="L553">
        <f t="shared" si="65"/>
        <v>2023</v>
      </c>
      <c r="N553" s="17">
        <f t="shared" si="68"/>
        <v>45231</v>
      </c>
      <c r="S553">
        <f t="shared" si="69"/>
        <v>0</v>
      </c>
    </row>
    <row r="554" spans="1:19" x14ac:dyDescent="0.3">
      <c r="A554" s="17">
        <v>45257</v>
      </c>
      <c r="B554">
        <v>431.79</v>
      </c>
      <c r="C554">
        <v>81.5</v>
      </c>
      <c r="D554">
        <f t="shared" si="66"/>
        <v>350.29</v>
      </c>
      <c r="E554">
        <v>-0.31</v>
      </c>
      <c r="F554">
        <f t="shared" si="67"/>
        <v>-350.6</v>
      </c>
      <c r="I554">
        <f t="shared" si="63"/>
        <v>27</v>
      </c>
      <c r="J554">
        <v>1</v>
      </c>
      <c r="K554">
        <f t="shared" si="64"/>
        <v>11</v>
      </c>
      <c r="L554">
        <f t="shared" si="65"/>
        <v>2023</v>
      </c>
      <c r="N554" s="17">
        <f t="shared" si="68"/>
        <v>45231</v>
      </c>
      <c r="S554">
        <f t="shared" si="69"/>
        <v>0</v>
      </c>
    </row>
    <row r="555" spans="1:19" x14ac:dyDescent="0.3">
      <c r="A555" s="17">
        <v>45254</v>
      </c>
      <c r="B555">
        <v>439.5</v>
      </c>
      <c r="C555">
        <v>83.06</v>
      </c>
      <c r="D555">
        <f t="shared" si="66"/>
        <v>356.44</v>
      </c>
      <c r="E555">
        <v>-0.35</v>
      </c>
      <c r="F555">
        <f t="shared" si="67"/>
        <v>-356.79</v>
      </c>
      <c r="I555">
        <f t="shared" si="63"/>
        <v>24</v>
      </c>
      <c r="J555">
        <v>1</v>
      </c>
      <c r="K555">
        <f t="shared" si="64"/>
        <v>11</v>
      </c>
      <c r="L555">
        <f t="shared" si="65"/>
        <v>2023</v>
      </c>
      <c r="N555" s="17">
        <f t="shared" si="68"/>
        <v>45231</v>
      </c>
      <c r="S555">
        <f t="shared" si="69"/>
        <v>0</v>
      </c>
    </row>
    <row r="556" spans="1:19" x14ac:dyDescent="0.3">
      <c r="A556" s="17">
        <v>45253</v>
      </c>
      <c r="B556">
        <v>439.17</v>
      </c>
      <c r="C556">
        <v>82.7</v>
      </c>
      <c r="D556">
        <f t="shared" si="66"/>
        <v>356.47</v>
      </c>
      <c r="E556">
        <v>-0.32</v>
      </c>
      <c r="F556">
        <f t="shared" si="67"/>
        <v>-356.79</v>
      </c>
      <c r="I556">
        <f t="shared" si="63"/>
        <v>23</v>
      </c>
      <c r="J556">
        <v>1</v>
      </c>
      <c r="K556">
        <f t="shared" si="64"/>
        <v>11</v>
      </c>
      <c r="L556">
        <f t="shared" si="65"/>
        <v>2023</v>
      </c>
      <c r="N556" s="17">
        <f t="shared" si="68"/>
        <v>45231</v>
      </c>
      <c r="S556">
        <f t="shared" si="69"/>
        <v>0</v>
      </c>
    </row>
    <row r="557" spans="1:19" x14ac:dyDescent="0.3">
      <c r="A557" s="17">
        <v>45252</v>
      </c>
      <c r="B557">
        <v>449.84</v>
      </c>
      <c r="C557">
        <v>84.2</v>
      </c>
      <c r="D557">
        <f t="shared" si="66"/>
        <v>365.64</v>
      </c>
      <c r="E557">
        <v>-0.27</v>
      </c>
      <c r="F557">
        <f t="shared" si="67"/>
        <v>-365.90999999999997</v>
      </c>
      <c r="I557">
        <f t="shared" si="63"/>
        <v>22</v>
      </c>
      <c r="J557">
        <v>1</v>
      </c>
      <c r="K557">
        <f t="shared" si="64"/>
        <v>11</v>
      </c>
      <c r="L557">
        <f t="shared" si="65"/>
        <v>2023</v>
      </c>
      <c r="N557" s="17">
        <f t="shared" si="68"/>
        <v>45231</v>
      </c>
      <c r="S557">
        <f t="shared" si="69"/>
        <v>0</v>
      </c>
    </row>
    <row r="558" spans="1:19" x14ac:dyDescent="0.3">
      <c r="A558" s="17">
        <v>45251</v>
      </c>
      <c r="B558">
        <v>441.79</v>
      </c>
      <c r="C558">
        <v>83.4</v>
      </c>
      <c r="D558">
        <f t="shared" si="66"/>
        <v>358.39</v>
      </c>
      <c r="E558">
        <v>-0.31</v>
      </c>
      <c r="F558">
        <f t="shared" si="67"/>
        <v>-358.7</v>
      </c>
      <c r="I558">
        <f t="shared" si="63"/>
        <v>21</v>
      </c>
      <c r="J558">
        <v>1</v>
      </c>
      <c r="K558">
        <f t="shared" si="64"/>
        <v>11</v>
      </c>
      <c r="L558">
        <f t="shared" si="65"/>
        <v>2023</v>
      </c>
      <c r="N558" s="17">
        <f t="shared" si="68"/>
        <v>45231</v>
      </c>
      <c r="S558">
        <f t="shared" si="69"/>
        <v>0</v>
      </c>
    </row>
    <row r="559" spans="1:19" x14ac:dyDescent="0.3">
      <c r="A559" s="17">
        <v>45250</v>
      </c>
      <c r="B559">
        <v>443.84</v>
      </c>
      <c r="C559">
        <v>82.8</v>
      </c>
      <c r="D559">
        <f t="shared" si="66"/>
        <v>361.03999999999996</v>
      </c>
      <c r="E559">
        <v>-0.19</v>
      </c>
      <c r="F559">
        <f t="shared" si="67"/>
        <v>-361.22999999999996</v>
      </c>
      <c r="I559">
        <f t="shared" si="63"/>
        <v>20</v>
      </c>
      <c r="J559">
        <v>1</v>
      </c>
      <c r="K559">
        <f t="shared" si="64"/>
        <v>11</v>
      </c>
      <c r="L559">
        <f t="shared" si="65"/>
        <v>2023</v>
      </c>
      <c r="N559" s="17">
        <f t="shared" si="68"/>
        <v>45231</v>
      </c>
      <c r="S559">
        <f t="shared" si="69"/>
        <v>0</v>
      </c>
    </row>
    <row r="560" spans="1:19" x14ac:dyDescent="0.3">
      <c r="A560" s="17">
        <v>45247</v>
      </c>
      <c r="B560">
        <v>426.48</v>
      </c>
      <c r="C560">
        <v>79.260000000000005</v>
      </c>
      <c r="D560">
        <f t="shared" si="66"/>
        <v>347.22</v>
      </c>
      <c r="E560">
        <v>-0.21</v>
      </c>
      <c r="F560">
        <f t="shared" si="67"/>
        <v>-347.43</v>
      </c>
      <c r="I560">
        <f t="shared" si="63"/>
        <v>17</v>
      </c>
      <c r="J560">
        <v>1</v>
      </c>
      <c r="K560">
        <f t="shared" si="64"/>
        <v>11</v>
      </c>
      <c r="L560">
        <f t="shared" si="65"/>
        <v>2023</v>
      </c>
      <c r="N560" s="17">
        <f t="shared" si="68"/>
        <v>45231</v>
      </c>
      <c r="S560">
        <f t="shared" si="69"/>
        <v>0</v>
      </c>
    </row>
    <row r="561" spans="1:19" x14ac:dyDescent="0.3">
      <c r="A561" s="17">
        <v>45246</v>
      </c>
      <c r="B561">
        <v>437.8</v>
      </c>
      <c r="C561">
        <v>81.680000000000007</v>
      </c>
      <c r="D561">
        <f t="shared" si="66"/>
        <v>356.12</v>
      </c>
      <c r="E561">
        <v>-0.13</v>
      </c>
      <c r="F561">
        <f t="shared" si="67"/>
        <v>-356.25</v>
      </c>
      <c r="I561">
        <f t="shared" si="63"/>
        <v>16</v>
      </c>
      <c r="J561">
        <v>1</v>
      </c>
      <c r="K561">
        <f t="shared" si="64"/>
        <v>11</v>
      </c>
      <c r="L561">
        <f t="shared" si="65"/>
        <v>2023</v>
      </c>
      <c r="N561" s="17">
        <f t="shared" si="68"/>
        <v>45231</v>
      </c>
      <c r="S561">
        <f t="shared" si="69"/>
        <v>0</v>
      </c>
    </row>
    <row r="562" spans="1:19" x14ac:dyDescent="0.3">
      <c r="A562" s="17">
        <v>45245</v>
      </c>
      <c r="B562">
        <v>440.12</v>
      </c>
      <c r="C562">
        <v>83.24</v>
      </c>
      <c r="D562">
        <f t="shared" si="66"/>
        <v>356.88</v>
      </c>
      <c r="E562">
        <v>-0.25</v>
      </c>
      <c r="F562">
        <f t="shared" si="67"/>
        <v>-357.13</v>
      </c>
      <c r="I562">
        <f t="shared" si="63"/>
        <v>15</v>
      </c>
      <c r="J562">
        <v>1</v>
      </c>
      <c r="K562">
        <f t="shared" si="64"/>
        <v>11</v>
      </c>
      <c r="L562">
        <f t="shared" si="65"/>
        <v>2023</v>
      </c>
      <c r="N562" s="17">
        <f t="shared" si="68"/>
        <v>45231</v>
      </c>
      <c r="S562">
        <f t="shared" si="69"/>
        <v>0</v>
      </c>
    </row>
    <row r="563" spans="1:19" x14ac:dyDescent="0.3">
      <c r="A563" s="17">
        <v>45244</v>
      </c>
      <c r="B563">
        <v>434.39</v>
      </c>
      <c r="C563">
        <v>83.355000000000004</v>
      </c>
      <c r="D563">
        <f t="shared" si="66"/>
        <v>351.03499999999997</v>
      </c>
      <c r="E563">
        <v>-0.22</v>
      </c>
      <c r="F563">
        <f t="shared" si="67"/>
        <v>-351.255</v>
      </c>
      <c r="I563">
        <f t="shared" si="63"/>
        <v>14</v>
      </c>
      <c r="J563">
        <v>1</v>
      </c>
      <c r="K563">
        <f t="shared" si="64"/>
        <v>11</v>
      </c>
      <c r="L563">
        <f t="shared" si="65"/>
        <v>2023</v>
      </c>
      <c r="N563" s="17">
        <f t="shared" si="68"/>
        <v>45231</v>
      </c>
      <c r="S563">
        <f t="shared" si="69"/>
        <v>0</v>
      </c>
    </row>
    <row r="564" spans="1:19" x14ac:dyDescent="0.3">
      <c r="A564" s="17">
        <v>45240</v>
      </c>
      <c r="B564">
        <v>430.81</v>
      </c>
      <c r="C564">
        <v>81.61</v>
      </c>
      <c r="D564">
        <f t="shared" si="66"/>
        <v>349.2</v>
      </c>
      <c r="E564">
        <v>-0.03</v>
      </c>
      <c r="F564">
        <f t="shared" si="67"/>
        <v>-349.22999999999996</v>
      </c>
      <c r="I564">
        <f t="shared" si="63"/>
        <v>10</v>
      </c>
      <c r="J564">
        <v>1</v>
      </c>
      <c r="K564">
        <f t="shared" si="64"/>
        <v>11</v>
      </c>
      <c r="L564">
        <f t="shared" si="65"/>
        <v>2023</v>
      </c>
      <c r="N564" s="17">
        <f t="shared" si="68"/>
        <v>45231</v>
      </c>
      <c r="S564">
        <f t="shared" si="69"/>
        <v>0</v>
      </c>
    </row>
    <row r="565" spans="1:19" x14ac:dyDescent="0.3">
      <c r="A565" s="17">
        <v>45239</v>
      </c>
      <c r="B565">
        <v>428.5</v>
      </c>
      <c r="C565">
        <v>81.3</v>
      </c>
      <c r="D565">
        <f t="shared" si="66"/>
        <v>347.2</v>
      </c>
      <c r="E565">
        <v>0</v>
      </c>
      <c r="F565">
        <f t="shared" si="67"/>
        <v>-347.2</v>
      </c>
      <c r="I565">
        <f t="shared" si="63"/>
        <v>9</v>
      </c>
      <c r="J565">
        <v>1</v>
      </c>
      <c r="K565">
        <f t="shared" si="64"/>
        <v>11</v>
      </c>
      <c r="L565">
        <f t="shared" si="65"/>
        <v>2023</v>
      </c>
      <c r="N565" s="17">
        <f t="shared" si="68"/>
        <v>45231</v>
      </c>
      <c r="S565">
        <f t="shared" si="69"/>
        <v>0</v>
      </c>
    </row>
    <row r="566" spans="1:19" x14ac:dyDescent="0.3">
      <c r="A566" s="17">
        <v>45238</v>
      </c>
      <c r="B566">
        <v>428.5</v>
      </c>
      <c r="C566">
        <v>82.75</v>
      </c>
      <c r="D566">
        <f t="shared" si="66"/>
        <v>345.75</v>
      </c>
      <c r="E566">
        <v>0.38</v>
      </c>
      <c r="F566">
        <f t="shared" si="67"/>
        <v>-345.37</v>
      </c>
      <c r="I566">
        <f t="shared" si="63"/>
        <v>8</v>
      </c>
      <c r="J566">
        <v>1</v>
      </c>
      <c r="K566">
        <f t="shared" si="64"/>
        <v>11</v>
      </c>
      <c r="L566">
        <f t="shared" si="65"/>
        <v>2023</v>
      </c>
      <c r="N566" s="17">
        <f t="shared" si="68"/>
        <v>45231</v>
      </c>
      <c r="S566">
        <f t="shared" si="69"/>
        <v>0</v>
      </c>
    </row>
    <row r="567" spans="1:19" x14ac:dyDescent="0.3">
      <c r="A567" s="17">
        <v>45237</v>
      </c>
      <c r="B567">
        <v>438.67</v>
      </c>
      <c r="C567">
        <v>85.045000000000002</v>
      </c>
      <c r="D567">
        <f t="shared" si="66"/>
        <v>353.625</v>
      </c>
      <c r="E567">
        <v>0.78</v>
      </c>
      <c r="F567">
        <f t="shared" si="67"/>
        <v>-352.84500000000003</v>
      </c>
      <c r="I567">
        <f t="shared" si="63"/>
        <v>7</v>
      </c>
      <c r="J567">
        <v>1</v>
      </c>
      <c r="K567">
        <f t="shared" si="64"/>
        <v>11</v>
      </c>
      <c r="L567">
        <f t="shared" si="65"/>
        <v>2023</v>
      </c>
      <c r="N567" s="17">
        <f t="shared" si="68"/>
        <v>45231</v>
      </c>
      <c r="S567">
        <f t="shared" si="69"/>
        <v>0</v>
      </c>
    </row>
    <row r="568" spans="1:19" x14ac:dyDescent="0.3">
      <c r="A568" s="17">
        <v>45236</v>
      </c>
      <c r="B568">
        <v>455.61</v>
      </c>
      <c r="C568">
        <v>86.9</v>
      </c>
      <c r="D568">
        <f t="shared" si="66"/>
        <v>368.71000000000004</v>
      </c>
      <c r="E568">
        <v>1.23</v>
      </c>
      <c r="F568">
        <f t="shared" si="67"/>
        <v>-367.48</v>
      </c>
      <c r="I568">
        <f t="shared" si="63"/>
        <v>6</v>
      </c>
      <c r="J568">
        <v>1</v>
      </c>
      <c r="K568">
        <f t="shared" si="64"/>
        <v>11</v>
      </c>
      <c r="L568">
        <f t="shared" si="65"/>
        <v>2023</v>
      </c>
      <c r="N568" s="17">
        <f t="shared" si="68"/>
        <v>45231</v>
      </c>
      <c r="S568">
        <f t="shared" si="69"/>
        <v>0</v>
      </c>
    </row>
    <row r="569" spans="1:19" x14ac:dyDescent="0.3">
      <c r="A569" s="17">
        <v>45233</v>
      </c>
      <c r="B569">
        <v>462.22</v>
      </c>
      <c r="C569">
        <v>88.245000000000005</v>
      </c>
      <c r="D569">
        <f t="shared" si="66"/>
        <v>373.97500000000002</v>
      </c>
      <c r="E569">
        <v>1.51</v>
      </c>
      <c r="F569">
        <f t="shared" si="67"/>
        <v>-372.46500000000003</v>
      </c>
      <c r="I569">
        <f t="shared" si="63"/>
        <v>3</v>
      </c>
      <c r="J569">
        <v>1</v>
      </c>
      <c r="K569">
        <f t="shared" si="64"/>
        <v>11</v>
      </c>
      <c r="L569">
        <f t="shared" si="65"/>
        <v>2023</v>
      </c>
      <c r="N569" s="17">
        <f t="shared" si="68"/>
        <v>45231</v>
      </c>
      <c r="S569">
        <f t="shared" si="69"/>
        <v>1</v>
      </c>
    </row>
    <row r="570" spans="1:19" x14ac:dyDescent="0.3">
      <c r="A570" s="17">
        <v>45232</v>
      </c>
      <c r="B570">
        <v>451.26</v>
      </c>
      <c r="C570">
        <v>86.944999999999993</v>
      </c>
      <c r="D570">
        <f t="shared" si="66"/>
        <v>364.315</v>
      </c>
      <c r="E570">
        <v>1.6</v>
      </c>
      <c r="F570">
        <f t="shared" si="67"/>
        <v>-362.71499999999997</v>
      </c>
      <c r="I570">
        <f t="shared" si="63"/>
        <v>2</v>
      </c>
      <c r="J570">
        <v>1</v>
      </c>
      <c r="K570">
        <f t="shared" si="64"/>
        <v>11</v>
      </c>
      <c r="L570">
        <f t="shared" si="65"/>
        <v>2023</v>
      </c>
      <c r="N570" s="17">
        <f t="shared" si="68"/>
        <v>45231</v>
      </c>
      <c r="S570">
        <f t="shared" si="69"/>
        <v>1</v>
      </c>
    </row>
    <row r="571" spans="1:19" x14ac:dyDescent="0.3">
      <c r="A571" s="17">
        <v>45231</v>
      </c>
      <c r="B571">
        <v>440.09</v>
      </c>
      <c r="C571">
        <v>86.26</v>
      </c>
      <c r="D571">
        <f t="shared" si="66"/>
        <v>353.83</v>
      </c>
      <c r="E571">
        <v>1.55</v>
      </c>
      <c r="F571">
        <f t="shared" si="67"/>
        <v>-352.28</v>
      </c>
      <c r="I571">
        <f t="shared" si="63"/>
        <v>1</v>
      </c>
      <c r="J571">
        <v>1</v>
      </c>
      <c r="K571">
        <f t="shared" si="64"/>
        <v>11</v>
      </c>
      <c r="L571">
        <f t="shared" si="65"/>
        <v>2023</v>
      </c>
      <c r="N571" s="17">
        <f t="shared" si="68"/>
        <v>45231</v>
      </c>
      <c r="S571">
        <f t="shared" si="69"/>
        <v>1</v>
      </c>
    </row>
    <row r="572" spans="1:19" x14ac:dyDescent="0.3">
      <c r="A572" s="17">
        <v>45230</v>
      </c>
      <c r="B572">
        <v>441.03</v>
      </c>
      <c r="C572">
        <v>88.06</v>
      </c>
      <c r="D572">
        <f t="shared" si="66"/>
        <v>352.96999999999997</v>
      </c>
      <c r="E572">
        <v>1.48</v>
      </c>
      <c r="F572">
        <f t="shared" si="67"/>
        <v>-351.48999999999995</v>
      </c>
      <c r="I572">
        <f t="shared" si="63"/>
        <v>31</v>
      </c>
      <c r="J572">
        <v>1</v>
      </c>
      <c r="K572">
        <f t="shared" si="64"/>
        <v>10</v>
      </c>
      <c r="L572">
        <f t="shared" si="65"/>
        <v>2023</v>
      </c>
      <c r="N572" s="17">
        <f t="shared" si="68"/>
        <v>45200</v>
      </c>
      <c r="S572">
        <f t="shared" si="69"/>
        <v>0</v>
      </c>
    </row>
    <row r="573" spans="1:19" x14ac:dyDescent="0.3">
      <c r="A573" s="17">
        <v>45229</v>
      </c>
      <c r="B573">
        <v>445.45</v>
      </c>
      <c r="C573">
        <v>89.86</v>
      </c>
      <c r="D573">
        <f t="shared" si="66"/>
        <v>355.59</v>
      </c>
      <c r="E573">
        <v>1.47</v>
      </c>
      <c r="F573">
        <f t="shared" si="67"/>
        <v>-354.11999999999995</v>
      </c>
      <c r="I573">
        <f t="shared" si="63"/>
        <v>30</v>
      </c>
      <c r="J573">
        <v>1</v>
      </c>
      <c r="K573">
        <f t="shared" si="64"/>
        <v>10</v>
      </c>
      <c r="L573">
        <f t="shared" si="65"/>
        <v>2023</v>
      </c>
      <c r="N573" s="17">
        <f t="shared" si="68"/>
        <v>45200</v>
      </c>
      <c r="S573">
        <f t="shared" si="69"/>
        <v>0</v>
      </c>
    </row>
    <row r="574" spans="1:19" x14ac:dyDescent="0.3">
      <c r="A574" s="17">
        <v>45226</v>
      </c>
      <c r="B574">
        <v>456.08</v>
      </c>
      <c r="C574">
        <v>89.745000000000005</v>
      </c>
      <c r="D574">
        <f t="shared" si="66"/>
        <v>366.33499999999998</v>
      </c>
      <c r="E574">
        <v>1.61</v>
      </c>
      <c r="F574">
        <f t="shared" si="67"/>
        <v>-364.72499999999997</v>
      </c>
      <c r="I574">
        <f t="shared" si="63"/>
        <v>27</v>
      </c>
      <c r="J574">
        <v>1</v>
      </c>
      <c r="K574">
        <f t="shared" si="64"/>
        <v>10</v>
      </c>
      <c r="L574">
        <f t="shared" si="65"/>
        <v>2023</v>
      </c>
      <c r="N574" s="17">
        <f t="shared" si="68"/>
        <v>45200</v>
      </c>
      <c r="S574">
        <f t="shared" si="69"/>
        <v>0</v>
      </c>
    </row>
    <row r="575" spans="1:19" x14ac:dyDescent="0.3">
      <c r="A575" s="17">
        <v>45225</v>
      </c>
      <c r="B575">
        <v>458.54</v>
      </c>
      <c r="C575">
        <v>90.12</v>
      </c>
      <c r="D575">
        <f t="shared" si="66"/>
        <v>368.42</v>
      </c>
      <c r="E575">
        <v>1.46</v>
      </c>
      <c r="F575">
        <f t="shared" si="67"/>
        <v>-366.96000000000004</v>
      </c>
      <c r="I575">
        <f t="shared" si="63"/>
        <v>26</v>
      </c>
      <c r="J575">
        <v>1</v>
      </c>
      <c r="K575">
        <f t="shared" si="64"/>
        <v>10</v>
      </c>
      <c r="L575">
        <f t="shared" si="65"/>
        <v>2023</v>
      </c>
      <c r="N575" s="17">
        <f t="shared" si="68"/>
        <v>45200</v>
      </c>
      <c r="S575">
        <f t="shared" si="69"/>
        <v>0</v>
      </c>
    </row>
    <row r="576" spans="1:19" x14ac:dyDescent="0.3">
      <c r="A576" s="17">
        <v>45224</v>
      </c>
      <c r="B576">
        <v>452.72</v>
      </c>
      <c r="C576">
        <v>89.04</v>
      </c>
      <c r="D576">
        <f t="shared" si="66"/>
        <v>363.68</v>
      </c>
      <c r="E576">
        <v>1.35</v>
      </c>
      <c r="F576">
        <f t="shared" si="67"/>
        <v>-362.33</v>
      </c>
      <c r="I576">
        <f t="shared" si="63"/>
        <v>25</v>
      </c>
      <c r="J576">
        <v>1</v>
      </c>
      <c r="K576">
        <f t="shared" si="64"/>
        <v>10</v>
      </c>
      <c r="L576">
        <f t="shared" si="65"/>
        <v>2023</v>
      </c>
      <c r="N576" s="17">
        <f t="shared" si="68"/>
        <v>45200</v>
      </c>
      <c r="S576">
        <f t="shared" si="69"/>
        <v>0</v>
      </c>
    </row>
    <row r="577" spans="1:19" x14ac:dyDescent="0.3">
      <c r="A577" s="17">
        <v>45223</v>
      </c>
      <c r="B577">
        <v>460.7</v>
      </c>
      <c r="C577">
        <v>90.5</v>
      </c>
      <c r="D577">
        <f t="shared" si="66"/>
        <v>370.2</v>
      </c>
      <c r="E577">
        <v>1.6</v>
      </c>
      <c r="F577">
        <f t="shared" si="67"/>
        <v>-368.59999999999997</v>
      </c>
      <c r="I577">
        <f t="shared" si="63"/>
        <v>24</v>
      </c>
      <c r="J577">
        <v>1</v>
      </c>
      <c r="K577">
        <f t="shared" si="64"/>
        <v>10</v>
      </c>
      <c r="L577">
        <f t="shared" si="65"/>
        <v>2023</v>
      </c>
      <c r="N577" s="17">
        <f t="shared" si="68"/>
        <v>45200</v>
      </c>
      <c r="S577">
        <f t="shared" si="69"/>
        <v>0</v>
      </c>
    </row>
    <row r="578" spans="1:19" x14ac:dyDescent="0.3">
      <c r="A578" s="17">
        <v>45222</v>
      </c>
      <c r="B578">
        <v>470.61</v>
      </c>
      <c r="C578">
        <v>92.35</v>
      </c>
      <c r="D578">
        <f t="shared" si="66"/>
        <v>378.26</v>
      </c>
      <c r="E578">
        <v>1.76</v>
      </c>
      <c r="F578">
        <f t="shared" si="67"/>
        <v>-376.5</v>
      </c>
      <c r="I578">
        <f t="shared" si="63"/>
        <v>23</v>
      </c>
      <c r="J578">
        <v>1</v>
      </c>
      <c r="K578">
        <f t="shared" si="64"/>
        <v>10</v>
      </c>
      <c r="L578">
        <f t="shared" si="65"/>
        <v>2023</v>
      </c>
      <c r="N578" s="17">
        <f t="shared" si="68"/>
        <v>45200</v>
      </c>
      <c r="S578">
        <f t="shared" si="69"/>
        <v>0</v>
      </c>
    </row>
    <row r="579" spans="1:19" x14ac:dyDescent="0.3">
      <c r="A579" s="17">
        <v>45219</v>
      </c>
      <c r="B579">
        <v>486.3</v>
      </c>
      <c r="C579">
        <v>93.45</v>
      </c>
      <c r="D579">
        <f t="shared" si="66"/>
        <v>392.85</v>
      </c>
      <c r="E579">
        <v>1.75</v>
      </c>
      <c r="F579">
        <f t="shared" si="67"/>
        <v>-391.1</v>
      </c>
      <c r="I579">
        <f t="shared" si="63"/>
        <v>20</v>
      </c>
      <c r="J579">
        <v>1</v>
      </c>
      <c r="K579">
        <f t="shared" si="64"/>
        <v>10</v>
      </c>
      <c r="L579">
        <f t="shared" si="65"/>
        <v>2023</v>
      </c>
      <c r="N579" s="17">
        <f t="shared" si="68"/>
        <v>45200</v>
      </c>
      <c r="S579">
        <f t="shared" si="69"/>
        <v>0</v>
      </c>
    </row>
    <row r="580" spans="1:19" x14ac:dyDescent="0.3">
      <c r="A580" s="17">
        <v>45218</v>
      </c>
      <c r="B580">
        <v>477.07</v>
      </c>
      <c r="C580">
        <v>91.2</v>
      </c>
      <c r="D580">
        <f t="shared" si="66"/>
        <v>385.87</v>
      </c>
      <c r="E580">
        <v>1.94</v>
      </c>
      <c r="F580">
        <f t="shared" si="67"/>
        <v>-383.93</v>
      </c>
      <c r="I580">
        <f t="shared" si="63"/>
        <v>19</v>
      </c>
      <c r="J580">
        <v>1</v>
      </c>
      <c r="K580">
        <f t="shared" si="64"/>
        <v>10</v>
      </c>
      <c r="L580">
        <f t="shared" si="65"/>
        <v>2023</v>
      </c>
      <c r="N580" s="17">
        <f t="shared" si="68"/>
        <v>45200</v>
      </c>
      <c r="S580">
        <f t="shared" si="69"/>
        <v>0</v>
      </c>
    </row>
    <row r="581" spans="1:19" x14ac:dyDescent="0.3">
      <c r="A581" s="17">
        <v>45217</v>
      </c>
      <c r="B581">
        <v>486.5</v>
      </c>
      <c r="C581">
        <v>92.49</v>
      </c>
      <c r="D581">
        <f t="shared" si="66"/>
        <v>394.01</v>
      </c>
      <c r="E581">
        <v>1.91</v>
      </c>
      <c r="F581">
        <f t="shared" si="67"/>
        <v>-392.09999999999997</v>
      </c>
      <c r="I581">
        <f t="shared" ref="I581:I644" si="70">+DAY(A581)</f>
        <v>18</v>
      </c>
      <c r="J581">
        <v>1</v>
      </c>
      <c r="K581">
        <f t="shared" ref="K581:K644" si="71">+MONTH(A581)</f>
        <v>10</v>
      </c>
      <c r="L581">
        <f t="shared" ref="L581:L644" si="72">+YEAR(A581)</f>
        <v>2023</v>
      </c>
      <c r="N581" s="17">
        <f t="shared" si="68"/>
        <v>45200</v>
      </c>
      <c r="S581">
        <f t="shared" si="69"/>
        <v>0</v>
      </c>
    </row>
    <row r="582" spans="1:19" x14ac:dyDescent="0.3">
      <c r="A582" s="17">
        <v>45216</v>
      </c>
      <c r="B582">
        <v>473.77</v>
      </c>
      <c r="C582">
        <v>90.79</v>
      </c>
      <c r="D582">
        <f t="shared" ref="D582:D645" si="73">+B582-C582</f>
        <v>382.97999999999996</v>
      </c>
      <c r="E582">
        <v>1.87</v>
      </c>
      <c r="F582">
        <f t="shared" ref="F582:F645" si="74">+E582-D582</f>
        <v>-381.10999999999996</v>
      </c>
      <c r="I582">
        <f t="shared" si="70"/>
        <v>17</v>
      </c>
      <c r="J582">
        <v>1</v>
      </c>
      <c r="K582">
        <f t="shared" si="71"/>
        <v>10</v>
      </c>
      <c r="L582">
        <f t="shared" si="72"/>
        <v>2023</v>
      </c>
      <c r="N582" s="17">
        <f t="shared" ref="N582:N645" si="75">+DATE(L582,K582,J582)</f>
        <v>45200</v>
      </c>
      <c r="S582">
        <f t="shared" ref="S582:S645" si="76">IF(AND(I582&gt;=1, I582&lt;=4), 1, 0)</f>
        <v>0</v>
      </c>
    </row>
    <row r="583" spans="1:19" x14ac:dyDescent="0.3">
      <c r="A583" s="17">
        <v>45215</v>
      </c>
      <c r="B583">
        <v>475.16</v>
      </c>
      <c r="C583">
        <v>91.14</v>
      </c>
      <c r="D583">
        <f t="shared" si="73"/>
        <v>384.02000000000004</v>
      </c>
      <c r="E583">
        <v>1.94</v>
      </c>
      <c r="F583">
        <f t="shared" si="74"/>
        <v>-382.08000000000004</v>
      </c>
      <c r="I583">
        <f t="shared" si="70"/>
        <v>16</v>
      </c>
      <c r="J583">
        <v>1</v>
      </c>
      <c r="K583">
        <f t="shared" si="71"/>
        <v>10</v>
      </c>
      <c r="L583">
        <f t="shared" si="72"/>
        <v>2023</v>
      </c>
      <c r="N583" s="17">
        <f t="shared" si="75"/>
        <v>45200</v>
      </c>
      <c r="S583">
        <f t="shared" si="76"/>
        <v>0</v>
      </c>
    </row>
    <row r="584" spans="1:19" x14ac:dyDescent="0.3">
      <c r="A584" s="17">
        <v>45212</v>
      </c>
      <c r="B584">
        <v>459.43</v>
      </c>
      <c r="C584">
        <v>88.91</v>
      </c>
      <c r="D584">
        <f t="shared" si="73"/>
        <v>370.52</v>
      </c>
      <c r="E584">
        <v>1.94</v>
      </c>
      <c r="F584">
        <f t="shared" si="74"/>
        <v>-368.58</v>
      </c>
      <c r="I584">
        <f t="shared" si="70"/>
        <v>13</v>
      </c>
      <c r="J584">
        <v>1</v>
      </c>
      <c r="K584">
        <f t="shared" si="71"/>
        <v>10</v>
      </c>
      <c r="L584">
        <f t="shared" si="72"/>
        <v>2023</v>
      </c>
      <c r="N584" s="17">
        <f t="shared" si="75"/>
        <v>45200</v>
      </c>
      <c r="S584">
        <f t="shared" si="76"/>
        <v>0</v>
      </c>
    </row>
    <row r="585" spans="1:19" x14ac:dyDescent="0.3">
      <c r="A585" s="17">
        <v>45211</v>
      </c>
      <c r="B585">
        <v>454.23</v>
      </c>
      <c r="C585">
        <v>87.28</v>
      </c>
      <c r="D585">
        <f t="shared" si="73"/>
        <v>366.95000000000005</v>
      </c>
      <c r="E585">
        <v>2.13</v>
      </c>
      <c r="F585">
        <f t="shared" si="74"/>
        <v>-364.82000000000005</v>
      </c>
      <c r="I585">
        <f t="shared" si="70"/>
        <v>12</v>
      </c>
      <c r="J585">
        <v>1</v>
      </c>
      <c r="K585">
        <f t="shared" si="71"/>
        <v>10</v>
      </c>
      <c r="L585">
        <f t="shared" si="72"/>
        <v>2023</v>
      </c>
      <c r="N585" s="17">
        <f t="shared" si="75"/>
        <v>45200</v>
      </c>
      <c r="S585">
        <f t="shared" si="76"/>
        <v>0</v>
      </c>
    </row>
    <row r="586" spans="1:19" x14ac:dyDescent="0.3">
      <c r="A586" s="17">
        <v>45210</v>
      </c>
      <c r="B586">
        <v>462.12</v>
      </c>
      <c r="C586">
        <v>88.21</v>
      </c>
      <c r="D586">
        <f t="shared" si="73"/>
        <v>373.91</v>
      </c>
      <c r="E586">
        <v>2.1800000000000002</v>
      </c>
      <c r="F586">
        <f t="shared" si="74"/>
        <v>-371.73</v>
      </c>
      <c r="I586">
        <f t="shared" si="70"/>
        <v>11</v>
      </c>
      <c r="J586">
        <v>1</v>
      </c>
      <c r="K586">
        <f t="shared" si="71"/>
        <v>10</v>
      </c>
      <c r="L586">
        <f t="shared" si="72"/>
        <v>2023</v>
      </c>
      <c r="N586" s="17">
        <f t="shared" si="75"/>
        <v>45200</v>
      </c>
      <c r="S586">
        <f t="shared" si="76"/>
        <v>0</v>
      </c>
    </row>
    <row r="587" spans="1:19" x14ac:dyDescent="0.3">
      <c r="A587" s="17">
        <v>45209</v>
      </c>
      <c r="B587">
        <v>459.12</v>
      </c>
      <c r="C587">
        <v>88.495000000000005</v>
      </c>
      <c r="D587">
        <f t="shared" si="73"/>
        <v>370.625</v>
      </c>
      <c r="E587">
        <v>2.21</v>
      </c>
      <c r="F587">
        <f t="shared" si="74"/>
        <v>-368.41500000000002</v>
      </c>
      <c r="I587">
        <f t="shared" si="70"/>
        <v>10</v>
      </c>
      <c r="J587">
        <v>1</v>
      </c>
      <c r="K587">
        <f t="shared" si="71"/>
        <v>10</v>
      </c>
      <c r="L587">
        <f t="shared" si="72"/>
        <v>2023</v>
      </c>
      <c r="N587" s="17">
        <f t="shared" si="75"/>
        <v>45200</v>
      </c>
      <c r="S587">
        <f t="shared" si="76"/>
        <v>0</v>
      </c>
    </row>
    <row r="588" spans="1:19" x14ac:dyDescent="0.3">
      <c r="A588" s="17">
        <v>45208</v>
      </c>
      <c r="B588">
        <v>461.88</v>
      </c>
      <c r="C588">
        <v>87.055000000000007</v>
      </c>
      <c r="D588">
        <f t="shared" si="73"/>
        <v>374.82499999999999</v>
      </c>
      <c r="E588">
        <v>2.35</v>
      </c>
      <c r="F588">
        <f t="shared" si="74"/>
        <v>-372.47499999999997</v>
      </c>
      <c r="I588">
        <f t="shared" si="70"/>
        <v>9</v>
      </c>
      <c r="J588">
        <v>1</v>
      </c>
      <c r="K588">
        <f t="shared" si="71"/>
        <v>10</v>
      </c>
      <c r="L588">
        <f t="shared" si="72"/>
        <v>2023</v>
      </c>
      <c r="N588" s="17">
        <f t="shared" si="75"/>
        <v>45200</v>
      </c>
      <c r="S588">
        <f t="shared" si="76"/>
        <v>0</v>
      </c>
    </row>
    <row r="589" spans="1:19" x14ac:dyDescent="0.3">
      <c r="A589" s="17">
        <v>45205</v>
      </c>
      <c r="B589">
        <v>441.48</v>
      </c>
      <c r="C589">
        <v>84.84</v>
      </c>
      <c r="D589">
        <f t="shared" si="73"/>
        <v>356.64</v>
      </c>
      <c r="E589">
        <v>2.38</v>
      </c>
      <c r="F589">
        <f t="shared" si="74"/>
        <v>-354.26</v>
      </c>
      <c r="I589">
        <f t="shared" si="70"/>
        <v>6</v>
      </c>
      <c r="J589">
        <v>1</v>
      </c>
      <c r="K589">
        <f t="shared" si="71"/>
        <v>10</v>
      </c>
      <c r="L589">
        <f t="shared" si="72"/>
        <v>2023</v>
      </c>
      <c r="N589" s="17">
        <f t="shared" si="75"/>
        <v>45200</v>
      </c>
      <c r="S589">
        <f t="shared" si="76"/>
        <v>0</v>
      </c>
    </row>
    <row r="590" spans="1:19" x14ac:dyDescent="0.3">
      <c r="A590" s="17">
        <v>45204</v>
      </c>
      <c r="B590">
        <v>440.62</v>
      </c>
      <c r="C590">
        <v>86.3</v>
      </c>
      <c r="D590">
        <f t="shared" si="73"/>
        <v>354.32</v>
      </c>
      <c r="E590">
        <v>2.2999999999999998</v>
      </c>
      <c r="F590">
        <f t="shared" si="74"/>
        <v>-352.02</v>
      </c>
      <c r="I590">
        <f t="shared" si="70"/>
        <v>5</v>
      </c>
      <c r="J590">
        <v>1</v>
      </c>
      <c r="K590">
        <f t="shared" si="71"/>
        <v>10</v>
      </c>
      <c r="L590">
        <f t="shared" si="72"/>
        <v>2023</v>
      </c>
      <c r="N590" s="17">
        <f t="shared" si="75"/>
        <v>45200</v>
      </c>
      <c r="S590">
        <f t="shared" si="76"/>
        <v>0</v>
      </c>
    </row>
    <row r="591" spans="1:19" x14ac:dyDescent="0.3">
      <c r="A591" s="17">
        <v>45203</v>
      </c>
      <c r="B591">
        <v>468.81</v>
      </c>
      <c r="C591">
        <v>90.67</v>
      </c>
      <c r="D591">
        <f t="shared" si="73"/>
        <v>378.14</v>
      </c>
      <c r="E591">
        <v>2.5</v>
      </c>
      <c r="F591">
        <f t="shared" si="74"/>
        <v>-375.64</v>
      </c>
      <c r="I591">
        <f t="shared" si="70"/>
        <v>4</v>
      </c>
      <c r="J591">
        <v>1</v>
      </c>
      <c r="K591">
        <f t="shared" si="71"/>
        <v>10</v>
      </c>
      <c r="L591">
        <f t="shared" si="72"/>
        <v>2023</v>
      </c>
      <c r="N591" s="17">
        <f t="shared" si="75"/>
        <v>45200</v>
      </c>
      <c r="S591">
        <f t="shared" si="76"/>
        <v>1</v>
      </c>
    </row>
    <row r="592" spans="1:19" x14ac:dyDescent="0.3">
      <c r="A592" s="17">
        <v>45202</v>
      </c>
      <c r="B592">
        <v>474.53</v>
      </c>
      <c r="C592">
        <v>91.1</v>
      </c>
      <c r="D592">
        <f t="shared" si="73"/>
        <v>383.42999999999995</v>
      </c>
      <c r="E592">
        <v>2.78</v>
      </c>
      <c r="F592">
        <f t="shared" si="74"/>
        <v>-380.65</v>
      </c>
      <c r="I592">
        <f t="shared" si="70"/>
        <v>3</v>
      </c>
      <c r="J592">
        <v>1</v>
      </c>
      <c r="K592">
        <f t="shared" si="71"/>
        <v>10</v>
      </c>
      <c r="L592">
        <f t="shared" si="72"/>
        <v>2023</v>
      </c>
      <c r="N592" s="17">
        <f t="shared" si="75"/>
        <v>45200</v>
      </c>
      <c r="S592">
        <f t="shared" si="76"/>
        <v>1</v>
      </c>
    </row>
    <row r="593" spans="1:19" x14ac:dyDescent="0.3">
      <c r="A593" s="17">
        <v>45201</v>
      </c>
      <c r="B593">
        <v>494.62</v>
      </c>
      <c r="C593">
        <v>93.11</v>
      </c>
      <c r="D593">
        <f t="shared" si="73"/>
        <v>401.51</v>
      </c>
      <c r="E593">
        <v>3.04</v>
      </c>
      <c r="F593">
        <f t="shared" si="74"/>
        <v>-398.46999999999997</v>
      </c>
      <c r="I593">
        <f t="shared" si="70"/>
        <v>2</v>
      </c>
      <c r="J593">
        <v>1</v>
      </c>
      <c r="K593">
        <f t="shared" si="71"/>
        <v>10</v>
      </c>
      <c r="L593">
        <f t="shared" si="72"/>
        <v>2023</v>
      </c>
      <c r="N593" s="17">
        <f t="shared" si="75"/>
        <v>45200</v>
      </c>
      <c r="S593">
        <f t="shared" si="76"/>
        <v>1</v>
      </c>
    </row>
    <row r="594" spans="1:19" x14ac:dyDescent="0.3">
      <c r="A594" s="17">
        <v>45198</v>
      </c>
      <c r="B594">
        <v>516.88</v>
      </c>
      <c r="C594">
        <v>96.12</v>
      </c>
      <c r="D594">
        <f t="shared" si="73"/>
        <v>420.76</v>
      </c>
      <c r="E594">
        <v>2.79</v>
      </c>
      <c r="F594">
        <f t="shared" si="74"/>
        <v>-417.96999999999997</v>
      </c>
      <c r="I594">
        <f t="shared" si="70"/>
        <v>29</v>
      </c>
      <c r="J594">
        <v>1</v>
      </c>
      <c r="K594">
        <f t="shared" si="71"/>
        <v>9</v>
      </c>
      <c r="L594">
        <f t="shared" si="72"/>
        <v>2023</v>
      </c>
      <c r="N594" s="17">
        <f t="shared" si="75"/>
        <v>45170</v>
      </c>
      <c r="S594">
        <f t="shared" si="76"/>
        <v>0</v>
      </c>
    </row>
    <row r="595" spans="1:19" x14ac:dyDescent="0.3">
      <c r="A595" s="17">
        <v>45197</v>
      </c>
      <c r="B595">
        <v>537.21</v>
      </c>
      <c r="C595">
        <v>96.77</v>
      </c>
      <c r="D595">
        <f t="shared" si="73"/>
        <v>440.44000000000005</v>
      </c>
      <c r="E595">
        <v>2.8</v>
      </c>
      <c r="F595">
        <f t="shared" si="74"/>
        <v>-437.64000000000004</v>
      </c>
      <c r="I595">
        <f t="shared" si="70"/>
        <v>28</v>
      </c>
      <c r="J595">
        <v>1</v>
      </c>
      <c r="K595">
        <f t="shared" si="71"/>
        <v>9</v>
      </c>
      <c r="L595">
        <f t="shared" si="72"/>
        <v>2023</v>
      </c>
      <c r="N595" s="17">
        <f t="shared" si="75"/>
        <v>45170</v>
      </c>
      <c r="S595">
        <f t="shared" si="76"/>
        <v>0</v>
      </c>
    </row>
    <row r="596" spans="1:19" x14ac:dyDescent="0.3">
      <c r="A596" s="17">
        <v>45196</v>
      </c>
      <c r="B596">
        <v>531.42999999999995</v>
      </c>
      <c r="C596">
        <v>95.45</v>
      </c>
      <c r="D596">
        <f t="shared" si="73"/>
        <v>435.97999999999996</v>
      </c>
      <c r="E596">
        <v>2.82</v>
      </c>
      <c r="F596">
        <f t="shared" si="74"/>
        <v>-433.15999999999997</v>
      </c>
      <c r="I596">
        <f t="shared" si="70"/>
        <v>27</v>
      </c>
      <c r="J596">
        <v>1</v>
      </c>
      <c r="K596">
        <f t="shared" si="71"/>
        <v>9</v>
      </c>
      <c r="L596">
        <f t="shared" si="72"/>
        <v>2023</v>
      </c>
      <c r="N596" s="17">
        <f t="shared" si="75"/>
        <v>45170</v>
      </c>
      <c r="S596">
        <f t="shared" si="76"/>
        <v>0</v>
      </c>
    </row>
    <row r="597" spans="1:19" x14ac:dyDescent="0.3">
      <c r="A597" s="17">
        <v>45195</v>
      </c>
      <c r="B597">
        <v>509.09</v>
      </c>
      <c r="C597">
        <v>92.84</v>
      </c>
      <c r="D597">
        <f t="shared" si="73"/>
        <v>416.25</v>
      </c>
      <c r="E597">
        <v>2.8</v>
      </c>
      <c r="F597">
        <f t="shared" si="74"/>
        <v>-413.45</v>
      </c>
      <c r="I597">
        <f t="shared" si="70"/>
        <v>26</v>
      </c>
      <c r="J597">
        <v>1</v>
      </c>
      <c r="K597">
        <f t="shared" si="71"/>
        <v>9</v>
      </c>
      <c r="L597">
        <f t="shared" si="72"/>
        <v>2023</v>
      </c>
      <c r="N597" s="17">
        <f t="shared" si="75"/>
        <v>45170</v>
      </c>
      <c r="S597">
        <f t="shared" si="76"/>
        <v>0</v>
      </c>
    </row>
    <row r="598" spans="1:19" x14ac:dyDescent="0.3">
      <c r="A598" s="17">
        <v>45194</v>
      </c>
      <c r="B598">
        <v>516.9</v>
      </c>
      <c r="C598">
        <v>94.1</v>
      </c>
      <c r="D598">
        <f t="shared" si="73"/>
        <v>422.79999999999995</v>
      </c>
      <c r="E598">
        <v>3.12</v>
      </c>
      <c r="F598">
        <f t="shared" si="74"/>
        <v>-419.67999999999995</v>
      </c>
      <c r="I598">
        <f t="shared" si="70"/>
        <v>25</v>
      </c>
      <c r="J598">
        <v>1</v>
      </c>
      <c r="K598">
        <f t="shared" si="71"/>
        <v>9</v>
      </c>
      <c r="L598">
        <f t="shared" si="72"/>
        <v>2023</v>
      </c>
      <c r="N598" s="17">
        <f t="shared" si="75"/>
        <v>45170</v>
      </c>
      <c r="S598">
        <f t="shared" si="76"/>
        <v>0</v>
      </c>
    </row>
    <row r="599" spans="1:19" x14ac:dyDescent="0.3">
      <c r="A599" s="17">
        <v>45191</v>
      </c>
      <c r="B599">
        <v>514.80999999999995</v>
      </c>
      <c r="C599">
        <v>94.3</v>
      </c>
      <c r="D599">
        <f t="shared" si="73"/>
        <v>420.50999999999993</v>
      </c>
      <c r="E599">
        <v>3.03</v>
      </c>
      <c r="F599">
        <f t="shared" si="74"/>
        <v>-417.47999999999996</v>
      </c>
      <c r="I599">
        <f t="shared" si="70"/>
        <v>22</v>
      </c>
      <c r="J599">
        <v>1</v>
      </c>
      <c r="K599">
        <f t="shared" si="71"/>
        <v>9</v>
      </c>
      <c r="L599">
        <f t="shared" si="72"/>
        <v>2023</v>
      </c>
      <c r="N599" s="17">
        <f t="shared" si="75"/>
        <v>45170</v>
      </c>
      <c r="S599">
        <f t="shared" si="76"/>
        <v>0</v>
      </c>
    </row>
    <row r="600" spans="1:19" x14ac:dyDescent="0.3">
      <c r="A600" s="17">
        <v>45190</v>
      </c>
      <c r="B600">
        <v>504.83</v>
      </c>
      <c r="C600">
        <v>93.24</v>
      </c>
      <c r="D600">
        <f t="shared" si="73"/>
        <v>411.59</v>
      </c>
      <c r="E600">
        <v>2.79</v>
      </c>
      <c r="F600">
        <f t="shared" si="74"/>
        <v>-408.79999999999995</v>
      </c>
      <c r="I600">
        <f t="shared" si="70"/>
        <v>21</v>
      </c>
      <c r="J600">
        <v>1</v>
      </c>
      <c r="K600">
        <f t="shared" si="71"/>
        <v>9</v>
      </c>
      <c r="L600">
        <f t="shared" si="72"/>
        <v>2023</v>
      </c>
      <c r="N600" s="17">
        <f t="shared" si="75"/>
        <v>45170</v>
      </c>
      <c r="S600">
        <f t="shared" si="76"/>
        <v>0</v>
      </c>
    </row>
    <row r="601" spans="1:19" x14ac:dyDescent="0.3">
      <c r="A601" s="17">
        <v>45189</v>
      </c>
      <c r="B601">
        <v>507.59</v>
      </c>
      <c r="C601">
        <v>93.86</v>
      </c>
      <c r="D601">
        <f t="shared" si="73"/>
        <v>413.72999999999996</v>
      </c>
      <c r="E601">
        <v>2.58</v>
      </c>
      <c r="F601">
        <f t="shared" si="74"/>
        <v>-411.15</v>
      </c>
      <c r="I601">
        <f t="shared" si="70"/>
        <v>20</v>
      </c>
      <c r="J601">
        <v>1</v>
      </c>
      <c r="K601">
        <f t="shared" si="71"/>
        <v>9</v>
      </c>
      <c r="L601">
        <f t="shared" si="72"/>
        <v>2023</v>
      </c>
      <c r="N601" s="17">
        <f t="shared" si="75"/>
        <v>45170</v>
      </c>
      <c r="S601">
        <f t="shared" si="76"/>
        <v>0</v>
      </c>
    </row>
    <row r="602" spans="1:19" x14ac:dyDescent="0.3">
      <c r="A602" s="17">
        <v>45188</v>
      </c>
      <c r="B602">
        <v>510.13</v>
      </c>
      <c r="C602">
        <v>95.2</v>
      </c>
      <c r="D602">
        <f t="shared" si="73"/>
        <v>414.93</v>
      </c>
      <c r="E602">
        <v>2.52</v>
      </c>
      <c r="F602">
        <f t="shared" si="74"/>
        <v>-412.41</v>
      </c>
      <c r="I602">
        <f t="shared" si="70"/>
        <v>19</v>
      </c>
      <c r="J602">
        <v>1</v>
      </c>
      <c r="K602">
        <f t="shared" si="71"/>
        <v>9</v>
      </c>
      <c r="L602">
        <f t="shared" si="72"/>
        <v>2023</v>
      </c>
      <c r="N602" s="17">
        <f t="shared" si="75"/>
        <v>45170</v>
      </c>
      <c r="S602">
        <f t="shared" si="76"/>
        <v>0</v>
      </c>
    </row>
    <row r="603" spans="1:19" x14ac:dyDescent="0.3">
      <c r="A603" s="17">
        <v>45187</v>
      </c>
      <c r="B603">
        <v>523.19000000000005</v>
      </c>
      <c r="C603">
        <v>95.21</v>
      </c>
      <c r="D603">
        <f t="shared" si="73"/>
        <v>427.98000000000008</v>
      </c>
      <c r="E603">
        <v>2.5499999999999998</v>
      </c>
      <c r="F603">
        <f t="shared" si="74"/>
        <v>-425.43000000000006</v>
      </c>
      <c r="I603">
        <f t="shared" si="70"/>
        <v>18</v>
      </c>
      <c r="J603">
        <v>1</v>
      </c>
      <c r="K603">
        <f t="shared" si="71"/>
        <v>9</v>
      </c>
      <c r="L603">
        <f t="shared" si="72"/>
        <v>2023</v>
      </c>
      <c r="N603" s="17">
        <f t="shared" si="75"/>
        <v>45170</v>
      </c>
      <c r="S603">
        <f t="shared" si="76"/>
        <v>0</v>
      </c>
    </row>
    <row r="604" spans="1:19" x14ac:dyDescent="0.3">
      <c r="A604" s="17">
        <v>45184</v>
      </c>
      <c r="B604">
        <v>538.97</v>
      </c>
      <c r="C604">
        <v>95.55</v>
      </c>
      <c r="D604">
        <f t="shared" si="73"/>
        <v>443.42</v>
      </c>
      <c r="E604">
        <v>2.5499999999999998</v>
      </c>
      <c r="F604">
        <f t="shared" si="74"/>
        <v>-440.87</v>
      </c>
      <c r="I604">
        <f t="shared" si="70"/>
        <v>15</v>
      </c>
      <c r="J604">
        <v>1</v>
      </c>
      <c r="K604">
        <f t="shared" si="71"/>
        <v>9</v>
      </c>
      <c r="L604">
        <f t="shared" si="72"/>
        <v>2023</v>
      </c>
      <c r="N604" s="17">
        <f t="shared" si="75"/>
        <v>45170</v>
      </c>
      <c r="S604">
        <f t="shared" si="76"/>
        <v>0</v>
      </c>
    </row>
    <row r="605" spans="1:19" x14ac:dyDescent="0.3">
      <c r="A605" s="17">
        <v>45183</v>
      </c>
      <c r="B605">
        <v>538.46</v>
      </c>
      <c r="C605">
        <v>93.85</v>
      </c>
      <c r="D605">
        <f t="shared" si="73"/>
        <v>444.61</v>
      </c>
      <c r="E605">
        <v>2.3199999999999998</v>
      </c>
      <c r="F605">
        <f t="shared" si="74"/>
        <v>-442.29</v>
      </c>
      <c r="I605">
        <f t="shared" si="70"/>
        <v>14</v>
      </c>
      <c r="J605">
        <v>1</v>
      </c>
      <c r="K605">
        <f t="shared" si="71"/>
        <v>9</v>
      </c>
      <c r="L605">
        <f t="shared" si="72"/>
        <v>2023</v>
      </c>
      <c r="N605" s="17">
        <f t="shared" si="75"/>
        <v>45170</v>
      </c>
      <c r="S605">
        <f t="shared" si="76"/>
        <v>0</v>
      </c>
    </row>
    <row r="606" spans="1:19" x14ac:dyDescent="0.3">
      <c r="A606" s="17">
        <v>45182</v>
      </c>
      <c r="B606">
        <v>542.76</v>
      </c>
      <c r="C606">
        <v>93.9</v>
      </c>
      <c r="D606">
        <f t="shared" si="73"/>
        <v>448.86</v>
      </c>
      <c r="E606">
        <v>2.1</v>
      </c>
      <c r="F606">
        <f t="shared" si="74"/>
        <v>-446.76</v>
      </c>
      <c r="I606">
        <f t="shared" si="70"/>
        <v>13</v>
      </c>
      <c r="J606">
        <v>1</v>
      </c>
      <c r="K606">
        <f t="shared" si="71"/>
        <v>9</v>
      </c>
      <c r="L606">
        <f t="shared" si="72"/>
        <v>2023</v>
      </c>
      <c r="N606" s="17">
        <f t="shared" si="75"/>
        <v>45170</v>
      </c>
      <c r="S606">
        <f t="shared" si="76"/>
        <v>0</v>
      </c>
    </row>
    <row r="607" spans="1:19" x14ac:dyDescent="0.3">
      <c r="A607" s="17">
        <v>45181</v>
      </c>
      <c r="B607">
        <v>533.92999999999995</v>
      </c>
      <c r="C607">
        <v>92.35</v>
      </c>
      <c r="D607">
        <f t="shared" si="73"/>
        <v>441.57999999999993</v>
      </c>
      <c r="E607">
        <v>2.04</v>
      </c>
      <c r="F607">
        <f t="shared" si="74"/>
        <v>-439.53999999999991</v>
      </c>
      <c r="I607">
        <f t="shared" si="70"/>
        <v>12</v>
      </c>
      <c r="J607">
        <v>1</v>
      </c>
      <c r="K607">
        <f t="shared" si="71"/>
        <v>9</v>
      </c>
      <c r="L607">
        <f t="shared" si="72"/>
        <v>2023</v>
      </c>
      <c r="N607" s="17">
        <f t="shared" si="75"/>
        <v>45170</v>
      </c>
      <c r="S607">
        <f t="shared" si="76"/>
        <v>0</v>
      </c>
    </row>
    <row r="608" spans="1:19" x14ac:dyDescent="0.3">
      <c r="A608" s="17">
        <v>45180</v>
      </c>
      <c r="B608">
        <v>531.4</v>
      </c>
      <c r="C608">
        <v>91.6</v>
      </c>
      <c r="D608">
        <f t="shared" si="73"/>
        <v>439.79999999999995</v>
      </c>
      <c r="E608">
        <v>2.08</v>
      </c>
      <c r="F608">
        <f t="shared" si="74"/>
        <v>-437.71999999999997</v>
      </c>
      <c r="I608">
        <f t="shared" si="70"/>
        <v>11</v>
      </c>
      <c r="J608">
        <v>1</v>
      </c>
      <c r="K608">
        <f t="shared" si="71"/>
        <v>9</v>
      </c>
      <c r="L608">
        <f t="shared" si="72"/>
        <v>2023</v>
      </c>
      <c r="N608" s="17">
        <f t="shared" si="75"/>
        <v>45170</v>
      </c>
      <c r="S608">
        <f t="shared" si="76"/>
        <v>0</v>
      </c>
    </row>
    <row r="609" spans="1:19" x14ac:dyDescent="0.3">
      <c r="A609" s="17">
        <v>45177</v>
      </c>
      <c r="B609">
        <v>533.41999999999996</v>
      </c>
      <c r="C609">
        <v>91.09</v>
      </c>
      <c r="D609">
        <f t="shared" si="73"/>
        <v>442.32999999999993</v>
      </c>
      <c r="E609">
        <v>2.1800000000000002</v>
      </c>
      <c r="F609">
        <f t="shared" si="74"/>
        <v>-440.14999999999992</v>
      </c>
      <c r="I609">
        <f t="shared" si="70"/>
        <v>8</v>
      </c>
      <c r="J609">
        <v>1</v>
      </c>
      <c r="K609">
        <f t="shared" si="71"/>
        <v>9</v>
      </c>
      <c r="L609">
        <f t="shared" si="72"/>
        <v>2023</v>
      </c>
      <c r="N609" s="17">
        <f t="shared" si="75"/>
        <v>45170</v>
      </c>
      <c r="S609">
        <f t="shared" si="76"/>
        <v>0</v>
      </c>
    </row>
    <row r="610" spans="1:19" x14ac:dyDescent="0.3">
      <c r="A610" s="17">
        <v>45176</v>
      </c>
      <c r="B610">
        <v>536.71</v>
      </c>
      <c r="C610">
        <v>91.495000000000005</v>
      </c>
      <c r="D610">
        <f t="shared" si="73"/>
        <v>445.21500000000003</v>
      </c>
      <c r="E610">
        <v>2.2599999999999998</v>
      </c>
      <c r="F610">
        <f t="shared" si="74"/>
        <v>-442.95500000000004</v>
      </c>
      <c r="I610">
        <f t="shared" si="70"/>
        <v>7</v>
      </c>
      <c r="J610">
        <v>1</v>
      </c>
      <c r="K610">
        <f t="shared" si="71"/>
        <v>9</v>
      </c>
      <c r="L610">
        <f t="shared" si="72"/>
        <v>2023</v>
      </c>
      <c r="N610" s="17">
        <f t="shared" si="75"/>
        <v>45170</v>
      </c>
      <c r="S610">
        <f t="shared" si="76"/>
        <v>0</v>
      </c>
    </row>
    <row r="611" spans="1:19" x14ac:dyDescent="0.3">
      <c r="A611" s="17">
        <v>45175</v>
      </c>
      <c r="B611">
        <v>525.12</v>
      </c>
      <c r="C611">
        <v>90.59</v>
      </c>
      <c r="D611">
        <f t="shared" si="73"/>
        <v>434.53</v>
      </c>
      <c r="E611">
        <v>2.57</v>
      </c>
      <c r="F611">
        <f t="shared" si="74"/>
        <v>-431.96</v>
      </c>
      <c r="I611">
        <f t="shared" si="70"/>
        <v>6</v>
      </c>
      <c r="J611">
        <v>1</v>
      </c>
      <c r="K611">
        <f t="shared" si="71"/>
        <v>9</v>
      </c>
      <c r="L611">
        <f t="shared" si="72"/>
        <v>2023</v>
      </c>
      <c r="N611" s="17">
        <f t="shared" si="75"/>
        <v>45170</v>
      </c>
      <c r="S611">
        <f t="shared" si="76"/>
        <v>0</v>
      </c>
    </row>
    <row r="612" spans="1:19" x14ac:dyDescent="0.3">
      <c r="A612" s="17">
        <v>45174</v>
      </c>
      <c r="B612">
        <v>508.16</v>
      </c>
      <c r="C612">
        <v>89.21</v>
      </c>
      <c r="D612">
        <f t="shared" si="73"/>
        <v>418.95000000000005</v>
      </c>
      <c r="E612">
        <v>2.7</v>
      </c>
      <c r="F612">
        <f t="shared" si="74"/>
        <v>-416.25000000000006</v>
      </c>
      <c r="I612">
        <f t="shared" si="70"/>
        <v>5</v>
      </c>
      <c r="J612">
        <v>1</v>
      </c>
      <c r="K612">
        <f t="shared" si="71"/>
        <v>9</v>
      </c>
      <c r="L612">
        <f t="shared" si="72"/>
        <v>2023</v>
      </c>
      <c r="N612" s="17">
        <f t="shared" si="75"/>
        <v>45170</v>
      </c>
      <c r="S612">
        <f t="shared" si="76"/>
        <v>0</v>
      </c>
    </row>
    <row r="613" spans="1:19" x14ac:dyDescent="0.3">
      <c r="A613" s="17">
        <v>45173</v>
      </c>
      <c r="B613">
        <v>509.63</v>
      </c>
      <c r="C613">
        <v>89.48</v>
      </c>
      <c r="D613">
        <f t="shared" si="73"/>
        <v>420.15</v>
      </c>
      <c r="E613">
        <v>2.63</v>
      </c>
      <c r="F613">
        <f t="shared" si="74"/>
        <v>-417.52</v>
      </c>
      <c r="I613">
        <f t="shared" si="70"/>
        <v>4</v>
      </c>
      <c r="J613">
        <v>1</v>
      </c>
      <c r="K613">
        <f t="shared" si="71"/>
        <v>9</v>
      </c>
      <c r="L613">
        <f t="shared" si="72"/>
        <v>2023</v>
      </c>
      <c r="N613" s="17">
        <f t="shared" si="75"/>
        <v>45170</v>
      </c>
      <c r="S613">
        <f t="shared" si="76"/>
        <v>1</v>
      </c>
    </row>
    <row r="614" spans="1:19" x14ac:dyDescent="0.3">
      <c r="A614" s="17">
        <v>45169</v>
      </c>
      <c r="B614">
        <v>511.23</v>
      </c>
      <c r="C614">
        <v>87.54</v>
      </c>
      <c r="D614">
        <f t="shared" si="73"/>
        <v>423.69</v>
      </c>
      <c r="E614">
        <v>2.91</v>
      </c>
      <c r="F614">
        <f t="shared" si="74"/>
        <v>-420.78</v>
      </c>
      <c r="I614">
        <f t="shared" si="70"/>
        <v>31</v>
      </c>
      <c r="J614">
        <v>1</v>
      </c>
      <c r="K614">
        <f t="shared" si="71"/>
        <v>8</v>
      </c>
      <c r="L614">
        <f t="shared" si="72"/>
        <v>2023</v>
      </c>
      <c r="N614" s="17">
        <f t="shared" si="75"/>
        <v>45139</v>
      </c>
      <c r="S614">
        <f t="shared" si="76"/>
        <v>0</v>
      </c>
    </row>
    <row r="615" spans="1:19" x14ac:dyDescent="0.3">
      <c r="A615" s="17">
        <v>45168</v>
      </c>
      <c r="B615">
        <v>511.89</v>
      </c>
      <c r="C615">
        <v>86.79</v>
      </c>
      <c r="D615">
        <f t="shared" si="73"/>
        <v>425.09999999999997</v>
      </c>
      <c r="E615">
        <v>3.15</v>
      </c>
      <c r="F615">
        <f t="shared" si="74"/>
        <v>-421.95</v>
      </c>
      <c r="I615">
        <f t="shared" si="70"/>
        <v>30</v>
      </c>
      <c r="J615">
        <v>1</v>
      </c>
      <c r="K615">
        <f t="shared" si="71"/>
        <v>8</v>
      </c>
      <c r="L615">
        <f t="shared" si="72"/>
        <v>2023</v>
      </c>
      <c r="N615" s="17">
        <f t="shared" si="75"/>
        <v>45139</v>
      </c>
      <c r="S615">
        <f t="shared" si="76"/>
        <v>0</v>
      </c>
    </row>
    <row r="616" spans="1:19" x14ac:dyDescent="0.3">
      <c r="A616" s="17">
        <v>45167</v>
      </c>
      <c r="B616">
        <v>507.71</v>
      </c>
      <c r="C616">
        <v>86.1</v>
      </c>
      <c r="D616">
        <f t="shared" si="73"/>
        <v>421.61</v>
      </c>
      <c r="E616">
        <v>2.99</v>
      </c>
      <c r="F616">
        <f t="shared" si="74"/>
        <v>-418.62</v>
      </c>
      <c r="I616">
        <f t="shared" si="70"/>
        <v>29</v>
      </c>
      <c r="J616">
        <v>1</v>
      </c>
      <c r="K616">
        <f t="shared" si="71"/>
        <v>8</v>
      </c>
      <c r="L616">
        <f t="shared" si="72"/>
        <v>2023</v>
      </c>
      <c r="N616" s="17">
        <f t="shared" si="75"/>
        <v>45139</v>
      </c>
      <c r="S616">
        <f t="shared" si="76"/>
        <v>0</v>
      </c>
    </row>
    <row r="617" spans="1:19" x14ac:dyDescent="0.3">
      <c r="A617" s="17">
        <v>45166</v>
      </c>
      <c r="B617">
        <v>511.62</v>
      </c>
      <c r="C617">
        <v>86.3</v>
      </c>
      <c r="D617">
        <f t="shared" si="73"/>
        <v>425.32</v>
      </c>
      <c r="E617">
        <v>2.99</v>
      </c>
      <c r="F617">
        <f t="shared" si="74"/>
        <v>-422.33</v>
      </c>
      <c r="I617">
        <f t="shared" si="70"/>
        <v>28</v>
      </c>
      <c r="J617">
        <v>1</v>
      </c>
      <c r="K617">
        <f t="shared" si="71"/>
        <v>8</v>
      </c>
      <c r="L617">
        <f t="shared" si="72"/>
        <v>2023</v>
      </c>
      <c r="N617" s="17">
        <f t="shared" si="75"/>
        <v>45139</v>
      </c>
      <c r="S617">
        <f t="shared" si="76"/>
        <v>0</v>
      </c>
    </row>
    <row r="618" spans="1:19" x14ac:dyDescent="0.3">
      <c r="A618" s="17">
        <v>45163</v>
      </c>
      <c r="B618">
        <v>509.99</v>
      </c>
      <c r="C618">
        <v>86.2</v>
      </c>
      <c r="D618">
        <f t="shared" si="73"/>
        <v>423.79</v>
      </c>
      <c r="E618">
        <v>2.48</v>
      </c>
      <c r="F618">
        <f t="shared" si="74"/>
        <v>-421.31</v>
      </c>
      <c r="I618">
        <f t="shared" si="70"/>
        <v>25</v>
      </c>
      <c r="J618">
        <v>1</v>
      </c>
      <c r="K618">
        <f t="shared" si="71"/>
        <v>8</v>
      </c>
      <c r="L618">
        <f t="shared" si="72"/>
        <v>2023</v>
      </c>
      <c r="N618" s="17">
        <f t="shared" si="75"/>
        <v>45139</v>
      </c>
      <c r="S618">
        <f t="shared" si="76"/>
        <v>0</v>
      </c>
    </row>
    <row r="619" spans="1:19" x14ac:dyDescent="0.3">
      <c r="A619" s="17">
        <v>45162</v>
      </c>
      <c r="B619">
        <v>503.32</v>
      </c>
      <c r="C619">
        <v>85.1</v>
      </c>
      <c r="D619">
        <f t="shared" si="73"/>
        <v>418.22</v>
      </c>
      <c r="E619">
        <v>2.34</v>
      </c>
      <c r="F619">
        <f t="shared" si="74"/>
        <v>-415.88000000000005</v>
      </c>
      <c r="I619">
        <f t="shared" si="70"/>
        <v>24</v>
      </c>
      <c r="J619">
        <v>1</v>
      </c>
      <c r="K619">
        <f t="shared" si="71"/>
        <v>8</v>
      </c>
      <c r="L619">
        <f t="shared" si="72"/>
        <v>2023</v>
      </c>
      <c r="N619" s="17">
        <f t="shared" si="75"/>
        <v>45139</v>
      </c>
      <c r="S619">
        <f t="shared" si="76"/>
        <v>0</v>
      </c>
    </row>
    <row r="620" spans="1:19" x14ac:dyDescent="0.3">
      <c r="A620" s="17">
        <v>45161</v>
      </c>
      <c r="B620">
        <v>527.05999999999995</v>
      </c>
      <c r="C620">
        <v>85.35</v>
      </c>
      <c r="D620">
        <f t="shared" si="73"/>
        <v>441.70999999999992</v>
      </c>
      <c r="E620">
        <v>2.4</v>
      </c>
      <c r="F620">
        <f t="shared" si="74"/>
        <v>-439.30999999999995</v>
      </c>
      <c r="I620">
        <f t="shared" si="70"/>
        <v>23</v>
      </c>
      <c r="J620">
        <v>1</v>
      </c>
      <c r="K620">
        <f t="shared" si="71"/>
        <v>8</v>
      </c>
      <c r="L620">
        <f t="shared" si="72"/>
        <v>2023</v>
      </c>
      <c r="N620" s="17">
        <f t="shared" si="75"/>
        <v>45139</v>
      </c>
      <c r="S620">
        <f t="shared" si="76"/>
        <v>0</v>
      </c>
    </row>
    <row r="621" spans="1:19" x14ac:dyDescent="0.3">
      <c r="A621" s="17">
        <v>45160</v>
      </c>
      <c r="B621">
        <v>544.76</v>
      </c>
      <c r="C621">
        <v>85.75</v>
      </c>
      <c r="D621">
        <f t="shared" si="73"/>
        <v>459.01</v>
      </c>
      <c r="E621">
        <v>2.0299999999999998</v>
      </c>
      <c r="F621">
        <f t="shared" si="74"/>
        <v>-456.98</v>
      </c>
      <c r="I621">
        <f t="shared" si="70"/>
        <v>22</v>
      </c>
      <c r="J621">
        <v>1</v>
      </c>
      <c r="K621">
        <f t="shared" si="71"/>
        <v>8</v>
      </c>
      <c r="L621">
        <f t="shared" si="72"/>
        <v>2023</v>
      </c>
      <c r="N621" s="17">
        <f t="shared" si="75"/>
        <v>45139</v>
      </c>
      <c r="S621">
        <f t="shared" si="76"/>
        <v>0</v>
      </c>
    </row>
    <row r="622" spans="1:19" x14ac:dyDescent="0.3">
      <c r="A622" s="17">
        <v>45159</v>
      </c>
      <c r="B622">
        <v>548.13</v>
      </c>
      <c r="C622">
        <v>86.94</v>
      </c>
      <c r="D622">
        <f t="shared" si="73"/>
        <v>461.19</v>
      </c>
      <c r="E622">
        <v>1.95</v>
      </c>
      <c r="F622">
        <f t="shared" si="74"/>
        <v>-459.24</v>
      </c>
      <c r="I622">
        <f t="shared" si="70"/>
        <v>21</v>
      </c>
      <c r="J622">
        <v>1</v>
      </c>
      <c r="K622">
        <f t="shared" si="71"/>
        <v>8</v>
      </c>
      <c r="L622">
        <f t="shared" si="72"/>
        <v>2023</v>
      </c>
      <c r="N622" s="17">
        <f t="shared" si="75"/>
        <v>45139</v>
      </c>
      <c r="S622">
        <f t="shared" si="76"/>
        <v>0</v>
      </c>
    </row>
    <row r="623" spans="1:19" x14ac:dyDescent="0.3">
      <c r="A623" s="17">
        <v>45156</v>
      </c>
      <c r="B623">
        <v>538.65</v>
      </c>
      <c r="C623">
        <v>85.4</v>
      </c>
      <c r="D623">
        <f t="shared" si="73"/>
        <v>453.25</v>
      </c>
      <c r="E623">
        <v>1.76</v>
      </c>
      <c r="F623">
        <f t="shared" si="74"/>
        <v>-451.49</v>
      </c>
      <c r="I623">
        <f t="shared" si="70"/>
        <v>18</v>
      </c>
      <c r="J623">
        <v>1</v>
      </c>
      <c r="K623">
        <f t="shared" si="71"/>
        <v>8</v>
      </c>
      <c r="L623">
        <f t="shared" si="72"/>
        <v>2023</v>
      </c>
      <c r="N623" s="17">
        <f t="shared" si="75"/>
        <v>45139</v>
      </c>
      <c r="S623">
        <f t="shared" si="76"/>
        <v>0</v>
      </c>
    </row>
    <row r="624" spans="1:19" x14ac:dyDescent="0.3">
      <c r="A624" s="17">
        <v>45155</v>
      </c>
      <c r="B624">
        <v>529.39</v>
      </c>
      <c r="C624">
        <v>84.95</v>
      </c>
      <c r="D624">
        <f t="shared" si="73"/>
        <v>444.44</v>
      </c>
      <c r="E624">
        <v>1.63</v>
      </c>
      <c r="F624">
        <f t="shared" si="74"/>
        <v>-442.81</v>
      </c>
      <c r="I624">
        <f t="shared" si="70"/>
        <v>17</v>
      </c>
      <c r="J624">
        <v>1</v>
      </c>
      <c r="K624">
        <f t="shared" si="71"/>
        <v>8</v>
      </c>
      <c r="L624">
        <f t="shared" si="72"/>
        <v>2023</v>
      </c>
      <c r="N624" s="17">
        <f t="shared" si="75"/>
        <v>45139</v>
      </c>
      <c r="S624">
        <f t="shared" si="76"/>
        <v>0</v>
      </c>
    </row>
    <row r="625" spans="1:19" x14ac:dyDescent="0.3">
      <c r="A625" s="17">
        <v>45154</v>
      </c>
      <c r="B625">
        <v>530.99</v>
      </c>
      <c r="C625">
        <v>86.05</v>
      </c>
      <c r="D625">
        <f t="shared" si="73"/>
        <v>444.94</v>
      </c>
      <c r="E625">
        <v>1.48</v>
      </c>
      <c r="F625">
        <f t="shared" si="74"/>
        <v>-443.46</v>
      </c>
      <c r="I625">
        <f t="shared" si="70"/>
        <v>16</v>
      </c>
      <c r="J625">
        <v>1</v>
      </c>
      <c r="K625">
        <f t="shared" si="71"/>
        <v>8</v>
      </c>
      <c r="L625">
        <f t="shared" si="72"/>
        <v>2023</v>
      </c>
      <c r="N625" s="17">
        <f t="shared" si="75"/>
        <v>45139</v>
      </c>
      <c r="S625">
        <f t="shared" si="76"/>
        <v>0</v>
      </c>
    </row>
    <row r="626" spans="1:19" x14ac:dyDescent="0.3">
      <c r="A626" s="17">
        <v>45153</v>
      </c>
      <c r="B626">
        <v>538.73</v>
      </c>
      <c r="C626">
        <v>87.15</v>
      </c>
      <c r="D626">
        <f t="shared" si="73"/>
        <v>451.58000000000004</v>
      </c>
      <c r="E626">
        <v>1.57</v>
      </c>
      <c r="F626">
        <f t="shared" si="74"/>
        <v>-450.01000000000005</v>
      </c>
      <c r="I626">
        <f t="shared" si="70"/>
        <v>15</v>
      </c>
      <c r="J626">
        <v>1</v>
      </c>
      <c r="K626">
        <f t="shared" si="71"/>
        <v>8</v>
      </c>
      <c r="L626">
        <f t="shared" si="72"/>
        <v>2023</v>
      </c>
      <c r="N626" s="17">
        <f t="shared" si="75"/>
        <v>45139</v>
      </c>
      <c r="S626">
        <f t="shared" si="76"/>
        <v>0</v>
      </c>
    </row>
    <row r="627" spans="1:19" x14ac:dyDescent="0.3">
      <c r="A627" s="17">
        <v>45152</v>
      </c>
      <c r="B627">
        <v>540.33000000000004</v>
      </c>
      <c r="C627">
        <v>87.6</v>
      </c>
      <c r="D627">
        <f t="shared" si="73"/>
        <v>452.73</v>
      </c>
      <c r="E627">
        <v>1.76</v>
      </c>
      <c r="F627">
        <f t="shared" si="74"/>
        <v>-450.97</v>
      </c>
      <c r="I627">
        <f t="shared" si="70"/>
        <v>14</v>
      </c>
      <c r="J627">
        <v>1</v>
      </c>
      <c r="K627">
        <f t="shared" si="71"/>
        <v>8</v>
      </c>
      <c r="L627">
        <f t="shared" si="72"/>
        <v>2023</v>
      </c>
      <c r="N627" s="17">
        <f t="shared" si="75"/>
        <v>45139</v>
      </c>
      <c r="S627">
        <f t="shared" si="76"/>
        <v>0</v>
      </c>
    </row>
    <row r="628" spans="1:19" x14ac:dyDescent="0.3">
      <c r="A628" s="17">
        <v>45149</v>
      </c>
      <c r="B628">
        <v>544.65</v>
      </c>
      <c r="C628">
        <v>87.89</v>
      </c>
      <c r="D628">
        <f t="shared" si="73"/>
        <v>456.76</v>
      </c>
      <c r="E628">
        <v>1.92</v>
      </c>
      <c r="F628">
        <f t="shared" si="74"/>
        <v>-454.84</v>
      </c>
      <c r="I628">
        <f t="shared" si="70"/>
        <v>11</v>
      </c>
      <c r="J628">
        <v>1</v>
      </c>
      <c r="K628">
        <f t="shared" si="71"/>
        <v>8</v>
      </c>
      <c r="L628">
        <f t="shared" si="72"/>
        <v>2023</v>
      </c>
      <c r="N628" s="17">
        <f t="shared" si="75"/>
        <v>45139</v>
      </c>
      <c r="S628">
        <f t="shared" si="76"/>
        <v>0</v>
      </c>
    </row>
    <row r="629" spans="1:19" x14ac:dyDescent="0.3">
      <c r="A629" s="17">
        <v>45148</v>
      </c>
      <c r="B629">
        <v>550.91999999999996</v>
      </c>
      <c r="C629">
        <v>89.04</v>
      </c>
      <c r="D629">
        <f t="shared" si="73"/>
        <v>461.87999999999994</v>
      </c>
      <c r="E629">
        <v>2.13</v>
      </c>
      <c r="F629">
        <f t="shared" si="74"/>
        <v>-459.74999999999994</v>
      </c>
      <c r="I629">
        <f t="shared" si="70"/>
        <v>10</v>
      </c>
      <c r="J629">
        <v>1</v>
      </c>
      <c r="K629">
        <f t="shared" si="71"/>
        <v>8</v>
      </c>
      <c r="L629">
        <f t="shared" si="72"/>
        <v>2023</v>
      </c>
      <c r="N629" s="17">
        <f t="shared" si="75"/>
        <v>45139</v>
      </c>
      <c r="S629">
        <f t="shared" si="76"/>
        <v>0</v>
      </c>
    </row>
    <row r="630" spans="1:19" x14ac:dyDescent="0.3">
      <c r="A630" s="17">
        <v>45146</v>
      </c>
      <c r="B630">
        <v>537.05999999999995</v>
      </c>
      <c r="C630">
        <v>87.1</v>
      </c>
      <c r="D630">
        <f t="shared" si="73"/>
        <v>449.95999999999992</v>
      </c>
      <c r="E630">
        <v>2.0299999999999998</v>
      </c>
      <c r="F630">
        <f t="shared" si="74"/>
        <v>-447.92999999999995</v>
      </c>
      <c r="I630">
        <f t="shared" si="70"/>
        <v>8</v>
      </c>
      <c r="J630">
        <v>1</v>
      </c>
      <c r="K630">
        <f t="shared" si="71"/>
        <v>8</v>
      </c>
      <c r="L630">
        <f t="shared" si="72"/>
        <v>2023</v>
      </c>
      <c r="N630" s="17">
        <f t="shared" si="75"/>
        <v>45139</v>
      </c>
      <c r="S630">
        <f t="shared" si="76"/>
        <v>0</v>
      </c>
    </row>
    <row r="631" spans="1:19" x14ac:dyDescent="0.3">
      <c r="A631" s="17">
        <v>45145</v>
      </c>
      <c r="B631">
        <v>545.42999999999995</v>
      </c>
      <c r="C631">
        <v>87.74</v>
      </c>
      <c r="D631">
        <f t="shared" si="73"/>
        <v>457.68999999999994</v>
      </c>
      <c r="E631">
        <v>2.11</v>
      </c>
      <c r="F631">
        <f t="shared" si="74"/>
        <v>-455.57999999999993</v>
      </c>
      <c r="I631">
        <f t="shared" si="70"/>
        <v>7</v>
      </c>
      <c r="J631">
        <v>1</v>
      </c>
      <c r="K631">
        <f t="shared" si="71"/>
        <v>8</v>
      </c>
      <c r="L631">
        <f t="shared" si="72"/>
        <v>2023</v>
      </c>
      <c r="N631" s="17">
        <f t="shared" si="75"/>
        <v>45139</v>
      </c>
      <c r="S631">
        <f t="shared" si="76"/>
        <v>0</v>
      </c>
    </row>
    <row r="632" spans="1:19" x14ac:dyDescent="0.3">
      <c r="A632" s="17">
        <v>45142</v>
      </c>
      <c r="B632">
        <v>552.65</v>
      </c>
      <c r="C632">
        <v>87.105000000000004</v>
      </c>
      <c r="D632">
        <f t="shared" si="73"/>
        <v>465.54499999999996</v>
      </c>
      <c r="E632">
        <v>2.35</v>
      </c>
      <c r="F632">
        <f t="shared" si="74"/>
        <v>-463.19499999999994</v>
      </c>
      <c r="I632">
        <f t="shared" si="70"/>
        <v>4</v>
      </c>
      <c r="J632">
        <v>1</v>
      </c>
      <c r="K632">
        <f t="shared" si="71"/>
        <v>8</v>
      </c>
      <c r="L632">
        <f t="shared" si="72"/>
        <v>2023</v>
      </c>
      <c r="N632" s="17">
        <f t="shared" si="75"/>
        <v>45139</v>
      </c>
      <c r="S632">
        <f t="shared" si="76"/>
        <v>1</v>
      </c>
    </row>
    <row r="633" spans="1:19" x14ac:dyDescent="0.3">
      <c r="A633" s="17">
        <v>45141</v>
      </c>
      <c r="B633">
        <v>534.47</v>
      </c>
      <c r="C633">
        <v>83.98</v>
      </c>
      <c r="D633">
        <f t="shared" si="73"/>
        <v>450.49</v>
      </c>
      <c r="E633">
        <v>2.5499999999999998</v>
      </c>
      <c r="F633">
        <f t="shared" si="74"/>
        <v>-447.94</v>
      </c>
      <c r="I633">
        <f t="shared" si="70"/>
        <v>3</v>
      </c>
      <c r="J633">
        <v>1</v>
      </c>
      <c r="K633">
        <f t="shared" si="71"/>
        <v>8</v>
      </c>
      <c r="L633">
        <f t="shared" si="72"/>
        <v>2023</v>
      </c>
      <c r="N633" s="17">
        <f t="shared" si="75"/>
        <v>45139</v>
      </c>
      <c r="S633">
        <f t="shared" si="76"/>
        <v>1</v>
      </c>
    </row>
    <row r="634" spans="1:19" x14ac:dyDescent="0.3">
      <c r="A634" s="17">
        <v>45140</v>
      </c>
      <c r="B634">
        <v>555.51</v>
      </c>
      <c r="C634">
        <v>86.305000000000007</v>
      </c>
      <c r="D634">
        <f t="shared" si="73"/>
        <v>469.20499999999998</v>
      </c>
      <c r="E634">
        <v>2.64</v>
      </c>
      <c r="F634">
        <f t="shared" si="74"/>
        <v>-466.565</v>
      </c>
      <c r="I634">
        <f t="shared" si="70"/>
        <v>2</v>
      </c>
      <c r="J634">
        <v>1</v>
      </c>
      <c r="K634">
        <f t="shared" si="71"/>
        <v>8</v>
      </c>
      <c r="L634">
        <f t="shared" si="72"/>
        <v>2023</v>
      </c>
      <c r="N634" s="17">
        <f t="shared" si="75"/>
        <v>45139</v>
      </c>
      <c r="S634">
        <f t="shared" si="76"/>
        <v>1</v>
      </c>
    </row>
    <row r="635" spans="1:19" x14ac:dyDescent="0.3">
      <c r="A635" s="17">
        <v>45139</v>
      </c>
      <c r="B635">
        <v>529.29</v>
      </c>
      <c r="C635">
        <v>85.84</v>
      </c>
      <c r="D635">
        <f t="shared" si="73"/>
        <v>443.44999999999993</v>
      </c>
      <c r="E635">
        <v>2.46</v>
      </c>
      <c r="F635">
        <f t="shared" si="74"/>
        <v>-440.98999999999995</v>
      </c>
      <c r="I635">
        <f t="shared" si="70"/>
        <v>1</v>
      </c>
      <c r="J635">
        <v>1</v>
      </c>
      <c r="K635">
        <f t="shared" si="71"/>
        <v>8</v>
      </c>
      <c r="L635">
        <f t="shared" si="72"/>
        <v>2023</v>
      </c>
      <c r="N635" s="17">
        <f t="shared" si="75"/>
        <v>45139</v>
      </c>
      <c r="S635">
        <f t="shared" si="76"/>
        <v>1</v>
      </c>
    </row>
    <row r="636" spans="1:19" x14ac:dyDescent="0.3">
      <c r="A636" s="17">
        <v>45138</v>
      </c>
      <c r="B636">
        <v>511.87</v>
      </c>
      <c r="C636">
        <v>85.644999999999996</v>
      </c>
      <c r="D636">
        <f t="shared" si="73"/>
        <v>426.22500000000002</v>
      </c>
      <c r="E636">
        <v>2.15</v>
      </c>
      <c r="F636">
        <f t="shared" si="74"/>
        <v>-424.07500000000005</v>
      </c>
      <c r="I636">
        <f t="shared" si="70"/>
        <v>31</v>
      </c>
      <c r="J636">
        <v>1</v>
      </c>
      <c r="K636">
        <f t="shared" si="71"/>
        <v>7</v>
      </c>
      <c r="L636">
        <f t="shared" si="72"/>
        <v>2023</v>
      </c>
      <c r="N636" s="17">
        <f t="shared" si="75"/>
        <v>45108</v>
      </c>
      <c r="S636">
        <f t="shared" si="76"/>
        <v>0</v>
      </c>
    </row>
    <row r="637" spans="1:19" x14ac:dyDescent="0.3">
      <c r="A637" s="17">
        <v>45135</v>
      </c>
      <c r="B637">
        <v>504.32</v>
      </c>
      <c r="C637">
        <v>84.7</v>
      </c>
      <c r="D637">
        <f t="shared" si="73"/>
        <v>419.62</v>
      </c>
      <c r="E637">
        <v>1.99</v>
      </c>
      <c r="F637">
        <f t="shared" si="74"/>
        <v>-417.63</v>
      </c>
      <c r="I637">
        <f t="shared" si="70"/>
        <v>28</v>
      </c>
      <c r="J637">
        <v>1</v>
      </c>
      <c r="K637">
        <f t="shared" si="71"/>
        <v>7</v>
      </c>
      <c r="L637">
        <f t="shared" si="72"/>
        <v>2023</v>
      </c>
      <c r="N637" s="17">
        <f t="shared" si="75"/>
        <v>45108</v>
      </c>
      <c r="S637">
        <f t="shared" si="76"/>
        <v>0</v>
      </c>
    </row>
    <row r="638" spans="1:19" x14ac:dyDescent="0.3">
      <c r="A638" s="17">
        <v>45134</v>
      </c>
      <c r="B638">
        <v>498.45</v>
      </c>
      <c r="C638">
        <v>84.1</v>
      </c>
      <c r="D638">
        <f t="shared" si="73"/>
        <v>414.35</v>
      </c>
      <c r="E638">
        <v>1.73</v>
      </c>
      <c r="F638">
        <f t="shared" si="74"/>
        <v>-412.62</v>
      </c>
      <c r="I638">
        <f t="shared" si="70"/>
        <v>27</v>
      </c>
      <c r="J638">
        <v>1</v>
      </c>
      <c r="K638">
        <f t="shared" si="71"/>
        <v>7</v>
      </c>
      <c r="L638">
        <f t="shared" si="72"/>
        <v>2023</v>
      </c>
      <c r="N638" s="17">
        <f t="shared" si="75"/>
        <v>45108</v>
      </c>
      <c r="S638">
        <f t="shared" si="76"/>
        <v>0</v>
      </c>
    </row>
    <row r="639" spans="1:19" x14ac:dyDescent="0.3">
      <c r="A639" s="17">
        <v>45133</v>
      </c>
      <c r="B639">
        <v>493.87</v>
      </c>
      <c r="C639">
        <v>84.3</v>
      </c>
      <c r="D639">
        <f t="shared" si="73"/>
        <v>409.57</v>
      </c>
      <c r="E639">
        <v>1.66</v>
      </c>
      <c r="F639">
        <f t="shared" si="74"/>
        <v>-407.90999999999997</v>
      </c>
      <c r="I639">
        <f t="shared" si="70"/>
        <v>26</v>
      </c>
      <c r="J639">
        <v>1</v>
      </c>
      <c r="K639">
        <f t="shared" si="71"/>
        <v>7</v>
      </c>
      <c r="L639">
        <f t="shared" si="72"/>
        <v>2023</v>
      </c>
      <c r="N639" s="17">
        <f t="shared" si="75"/>
        <v>45108</v>
      </c>
      <c r="S639">
        <f t="shared" si="76"/>
        <v>0</v>
      </c>
    </row>
    <row r="640" spans="1:19" x14ac:dyDescent="0.3">
      <c r="A640" s="17">
        <v>45132</v>
      </c>
      <c r="B640">
        <v>490.54</v>
      </c>
      <c r="C640">
        <v>84.254999999999995</v>
      </c>
      <c r="D640">
        <f t="shared" si="73"/>
        <v>406.28500000000003</v>
      </c>
      <c r="E640">
        <v>1.46</v>
      </c>
      <c r="F640">
        <f t="shared" si="74"/>
        <v>-404.82500000000005</v>
      </c>
      <c r="I640">
        <f t="shared" si="70"/>
        <v>25</v>
      </c>
      <c r="J640">
        <v>1</v>
      </c>
      <c r="K640">
        <f t="shared" si="71"/>
        <v>7</v>
      </c>
      <c r="L640">
        <f t="shared" si="72"/>
        <v>2023</v>
      </c>
      <c r="N640" s="17">
        <f t="shared" si="75"/>
        <v>45108</v>
      </c>
      <c r="S640">
        <f t="shared" si="76"/>
        <v>0</v>
      </c>
    </row>
    <row r="641" spans="1:19" x14ac:dyDescent="0.3">
      <c r="A641" s="17">
        <v>45131</v>
      </c>
      <c r="B641">
        <v>487.87</v>
      </c>
      <c r="C641">
        <v>82.51</v>
      </c>
      <c r="D641">
        <f t="shared" si="73"/>
        <v>405.36</v>
      </c>
      <c r="E641">
        <v>1.35</v>
      </c>
      <c r="F641">
        <f t="shared" si="74"/>
        <v>-404.01</v>
      </c>
      <c r="I641">
        <f t="shared" si="70"/>
        <v>24</v>
      </c>
      <c r="J641">
        <v>1</v>
      </c>
      <c r="K641">
        <f t="shared" si="71"/>
        <v>7</v>
      </c>
      <c r="L641">
        <f t="shared" si="72"/>
        <v>2023</v>
      </c>
      <c r="N641" s="17">
        <f t="shared" si="75"/>
        <v>45108</v>
      </c>
      <c r="S641">
        <f t="shared" si="76"/>
        <v>0</v>
      </c>
    </row>
    <row r="642" spans="1:19" x14ac:dyDescent="0.3">
      <c r="A642" s="17">
        <v>45128</v>
      </c>
      <c r="B642">
        <v>482.64</v>
      </c>
      <c r="C642">
        <v>81.739999999999995</v>
      </c>
      <c r="D642">
        <f t="shared" si="73"/>
        <v>400.9</v>
      </c>
      <c r="E642">
        <v>1.24</v>
      </c>
      <c r="F642">
        <f t="shared" si="74"/>
        <v>-399.65999999999997</v>
      </c>
      <c r="I642">
        <f t="shared" si="70"/>
        <v>21</v>
      </c>
      <c r="J642">
        <v>1</v>
      </c>
      <c r="K642">
        <f t="shared" si="71"/>
        <v>7</v>
      </c>
      <c r="L642">
        <f t="shared" si="72"/>
        <v>2023</v>
      </c>
      <c r="N642" s="17">
        <f t="shared" si="75"/>
        <v>45108</v>
      </c>
      <c r="S642">
        <f t="shared" si="76"/>
        <v>0</v>
      </c>
    </row>
    <row r="643" spans="1:19" x14ac:dyDescent="0.3">
      <c r="A643" s="17">
        <v>45127</v>
      </c>
      <c r="B643">
        <v>476.25</v>
      </c>
      <c r="C643">
        <v>81.05</v>
      </c>
      <c r="D643">
        <f t="shared" si="73"/>
        <v>395.2</v>
      </c>
      <c r="E643">
        <v>1.1399999999999999</v>
      </c>
      <c r="F643">
        <f t="shared" si="74"/>
        <v>-394.06</v>
      </c>
      <c r="I643">
        <f t="shared" si="70"/>
        <v>20</v>
      </c>
      <c r="J643">
        <v>1</v>
      </c>
      <c r="K643">
        <f t="shared" si="71"/>
        <v>7</v>
      </c>
      <c r="L643">
        <f t="shared" si="72"/>
        <v>2023</v>
      </c>
      <c r="N643" s="17">
        <f t="shared" si="75"/>
        <v>45108</v>
      </c>
      <c r="S643">
        <f t="shared" si="76"/>
        <v>0</v>
      </c>
    </row>
    <row r="644" spans="1:19" x14ac:dyDescent="0.3">
      <c r="A644" s="17">
        <v>45126</v>
      </c>
      <c r="B644">
        <v>472.23</v>
      </c>
      <c r="C644">
        <v>81</v>
      </c>
      <c r="D644">
        <f t="shared" si="73"/>
        <v>391.23</v>
      </c>
      <c r="E644">
        <v>0.9</v>
      </c>
      <c r="F644">
        <f t="shared" si="74"/>
        <v>-390.33000000000004</v>
      </c>
      <c r="I644">
        <f t="shared" si="70"/>
        <v>19</v>
      </c>
      <c r="J644">
        <v>1</v>
      </c>
      <c r="K644">
        <f t="shared" si="71"/>
        <v>7</v>
      </c>
      <c r="L644">
        <f t="shared" si="72"/>
        <v>2023</v>
      </c>
      <c r="N644" s="17">
        <f t="shared" si="75"/>
        <v>45108</v>
      </c>
      <c r="S644">
        <f t="shared" si="76"/>
        <v>0</v>
      </c>
    </row>
    <row r="645" spans="1:19" x14ac:dyDescent="0.3">
      <c r="A645" s="17">
        <v>45125</v>
      </c>
      <c r="B645">
        <v>462.16</v>
      </c>
      <c r="C645">
        <v>79.599999999999994</v>
      </c>
      <c r="D645">
        <f t="shared" si="73"/>
        <v>382.56000000000006</v>
      </c>
      <c r="E645">
        <v>0.88</v>
      </c>
      <c r="F645">
        <f t="shared" si="74"/>
        <v>-381.68000000000006</v>
      </c>
      <c r="I645">
        <f t="shared" ref="I645:I708" si="77">+DAY(A645)</f>
        <v>18</v>
      </c>
      <c r="J645">
        <v>1</v>
      </c>
      <c r="K645">
        <f t="shared" ref="K645:K708" si="78">+MONTH(A645)</f>
        <v>7</v>
      </c>
      <c r="L645">
        <f t="shared" ref="L645:L708" si="79">+YEAR(A645)</f>
        <v>2023</v>
      </c>
      <c r="N645" s="17">
        <f t="shared" si="75"/>
        <v>45108</v>
      </c>
      <c r="S645">
        <f t="shared" si="76"/>
        <v>0</v>
      </c>
    </row>
    <row r="646" spans="1:19" x14ac:dyDescent="0.3">
      <c r="A646" s="17">
        <v>45124</v>
      </c>
      <c r="B646">
        <v>461.75</v>
      </c>
      <c r="C646">
        <v>79.459999999999994</v>
      </c>
      <c r="D646">
        <f t="shared" ref="D646:D709" si="80">+B646-C646</f>
        <v>382.29</v>
      </c>
      <c r="E646">
        <v>1.02</v>
      </c>
      <c r="F646">
        <f t="shared" ref="F646:F709" si="81">+E646-D646</f>
        <v>-381.27000000000004</v>
      </c>
      <c r="I646">
        <f t="shared" si="77"/>
        <v>17</v>
      </c>
      <c r="J646">
        <v>1</v>
      </c>
      <c r="K646">
        <f t="shared" si="78"/>
        <v>7</v>
      </c>
      <c r="L646">
        <f t="shared" si="79"/>
        <v>2023</v>
      </c>
      <c r="N646" s="17">
        <f t="shared" ref="N646:N709" si="82">+DATE(L646,K646,J646)</f>
        <v>45108</v>
      </c>
      <c r="S646">
        <f t="shared" ref="S646:S709" si="83">IF(AND(I646&gt;=1, I646&lt;=4), 1, 0)</f>
        <v>0</v>
      </c>
    </row>
    <row r="647" spans="1:19" x14ac:dyDescent="0.3">
      <c r="A647" s="17">
        <v>45121</v>
      </c>
      <c r="B647">
        <v>480.01</v>
      </c>
      <c r="C647">
        <v>81.94</v>
      </c>
      <c r="D647">
        <f t="shared" si="80"/>
        <v>398.07</v>
      </c>
      <c r="E647">
        <v>1.1200000000000001</v>
      </c>
      <c r="F647">
        <f t="shared" si="81"/>
        <v>-396.95</v>
      </c>
      <c r="I647">
        <f t="shared" si="77"/>
        <v>14</v>
      </c>
      <c r="J647">
        <v>1</v>
      </c>
      <c r="K647">
        <f t="shared" si="78"/>
        <v>7</v>
      </c>
      <c r="L647">
        <f t="shared" si="79"/>
        <v>2023</v>
      </c>
      <c r="N647" s="17">
        <f t="shared" si="82"/>
        <v>45108</v>
      </c>
      <c r="S647">
        <f t="shared" si="83"/>
        <v>0</v>
      </c>
    </row>
    <row r="648" spans="1:19" x14ac:dyDescent="0.3">
      <c r="A648" s="17">
        <v>45120</v>
      </c>
      <c r="B648">
        <v>472.43</v>
      </c>
      <c r="C648">
        <v>81.099999999999994</v>
      </c>
      <c r="D648">
        <f t="shared" si="80"/>
        <v>391.33000000000004</v>
      </c>
      <c r="E648">
        <v>1.18</v>
      </c>
      <c r="F648">
        <f t="shared" si="81"/>
        <v>-390.15000000000003</v>
      </c>
      <c r="I648">
        <f t="shared" si="77"/>
        <v>13</v>
      </c>
      <c r="J648">
        <v>1</v>
      </c>
      <c r="K648">
        <f t="shared" si="78"/>
        <v>7</v>
      </c>
      <c r="L648">
        <f t="shared" si="79"/>
        <v>2023</v>
      </c>
      <c r="N648" s="17">
        <f t="shared" si="82"/>
        <v>45108</v>
      </c>
      <c r="S648">
        <f t="shared" si="83"/>
        <v>0</v>
      </c>
    </row>
    <row r="649" spans="1:19" x14ac:dyDescent="0.3">
      <c r="A649" s="17">
        <v>45119</v>
      </c>
      <c r="B649">
        <v>469.94</v>
      </c>
      <c r="C649">
        <v>79.900000000000006</v>
      </c>
      <c r="D649">
        <f t="shared" si="80"/>
        <v>390.03999999999996</v>
      </c>
      <c r="E649">
        <v>1.46</v>
      </c>
      <c r="F649">
        <f t="shared" si="81"/>
        <v>-388.58</v>
      </c>
      <c r="I649">
        <f t="shared" si="77"/>
        <v>12</v>
      </c>
      <c r="J649">
        <v>1</v>
      </c>
      <c r="K649">
        <f t="shared" si="78"/>
        <v>7</v>
      </c>
      <c r="L649">
        <f t="shared" si="79"/>
        <v>2023</v>
      </c>
      <c r="N649" s="17">
        <f t="shared" si="82"/>
        <v>45108</v>
      </c>
      <c r="S649">
        <f t="shared" si="83"/>
        <v>0</v>
      </c>
    </row>
    <row r="650" spans="1:19" x14ac:dyDescent="0.3">
      <c r="A650" s="17">
        <v>45118</v>
      </c>
      <c r="B650">
        <v>470.65</v>
      </c>
      <c r="C650">
        <v>78.8</v>
      </c>
      <c r="D650">
        <f t="shared" si="80"/>
        <v>391.84999999999997</v>
      </c>
      <c r="E650">
        <v>1.2</v>
      </c>
      <c r="F650">
        <f t="shared" si="81"/>
        <v>-390.65</v>
      </c>
      <c r="I650">
        <f t="shared" si="77"/>
        <v>11</v>
      </c>
      <c r="J650">
        <v>1</v>
      </c>
      <c r="K650">
        <f t="shared" si="78"/>
        <v>7</v>
      </c>
      <c r="L650">
        <f t="shared" si="79"/>
        <v>2023</v>
      </c>
      <c r="N650" s="17">
        <f t="shared" si="82"/>
        <v>45108</v>
      </c>
      <c r="S650">
        <f t="shared" si="83"/>
        <v>0</v>
      </c>
    </row>
    <row r="651" spans="1:19" x14ac:dyDescent="0.3">
      <c r="A651" s="17">
        <v>45117</v>
      </c>
      <c r="B651">
        <v>462.4</v>
      </c>
      <c r="C651">
        <v>78.27</v>
      </c>
      <c r="D651">
        <f t="shared" si="80"/>
        <v>384.13</v>
      </c>
      <c r="E651">
        <v>1.23</v>
      </c>
      <c r="F651">
        <f t="shared" si="81"/>
        <v>-382.9</v>
      </c>
      <c r="I651">
        <f t="shared" si="77"/>
        <v>10</v>
      </c>
      <c r="J651">
        <v>1</v>
      </c>
      <c r="K651">
        <f t="shared" si="78"/>
        <v>7</v>
      </c>
      <c r="L651">
        <f t="shared" si="79"/>
        <v>2023</v>
      </c>
      <c r="N651" s="17">
        <f t="shared" si="82"/>
        <v>45108</v>
      </c>
      <c r="S651">
        <f t="shared" si="83"/>
        <v>0</v>
      </c>
    </row>
    <row r="652" spans="1:19" x14ac:dyDescent="0.3">
      <c r="A652" s="17">
        <v>45114</v>
      </c>
      <c r="B652">
        <v>456.2</v>
      </c>
      <c r="C652">
        <v>77.849999999999994</v>
      </c>
      <c r="D652">
        <f t="shared" si="80"/>
        <v>378.35</v>
      </c>
      <c r="E652">
        <v>1.08</v>
      </c>
      <c r="F652">
        <f t="shared" si="81"/>
        <v>-377.27000000000004</v>
      </c>
      <c r="I652">
        <f t="shared" si="77"/>
        <v>7</v>
      </c>
      <c r="J652">
        <v>1</v>
      </c>
      <c r="K652">
        <f t="shared" si="78"/>
        <v>7</v>
      </c>
      <c r="L652">
        <f t="shared" si="79"/>
        <v>2023</v>
      </c>
      <c r="N652" s="17">
        <f t="shared" si="82"/>
        <v>45108</v>
      </c>
      <c r="S652">
        <f t="shared" si="83"/>
        <v>0</v>
      </c>
    </row>
    <row r="653" spans="1:19" x14ac:dyDescent="0.3">
      <c r="A653" s="17">
        <v>45113</v>
      </c>
      <c r="B653">
        <v>448.99</v>
      </c>
      <c r="C653">
        <v>77.3</v>
      </c>
      <c r="D653">
        <f t="shared" si="80"/>
        <v>371.69</v>
      </c>
      <c r="E653">
        <v>0.89</v>
      </c>
      <c r="F653">
        <f t="shared" si="81"/>
        <v>-370.8</v>
      </c>
      <c r="I653">
        <f t="shared" si="77"/>
        <v>6</v>
      </c>
      <c r="J653">
        <v>1</v>
      </c>
      <c r="K653">
        <f t="shared" si="78"/>
        <v>7</v>
      </c>
      <c r="L653">
        <f t="shared" si="79"/>
        <v>2023</v>
      </c>
      <c r="N653" s="17">
        <f t="shared" si="82"/>
        <v>45108</v>
      </c>
      <c r="S653">
        <f t="shared" si="83"/>
        <v>0</v>
      </c>
    </row>
    <row r="654" spans="1:19" x14ac:dyDescent="0.3">
      <c r="A654" s="17">
        <v>45112</v>
      </c>
      <c r="B654">
        <v>448.77</v>
      </c>
      <c r="C654">
        <v>75.430000000000007</v>
      </c>
      <c r="D654">
        <f t="shared" si="80"/>
        <v>373.34</v>
      </c>
      <c r="E654">
        <v>0.79</v>
      </c>
      <c r="F654">
        <f t="shared" si="81"/>
        <v>-372.54999999999995</v>
      </c>
      <c r="I654">
        <f t="shared" si="77"/>
        <v>5</v>
      </c>
      <c r="J654">
        <v>1</v>
      </c>
      <c r="K654">
        <f t="shared" si="78"/>
        <v>7</v>
      </c>
      <c r="L654">
        <f t="shared" si="79"/>
        <v>2023</v>
      </c>
      <c r="N654" s="17">
        <f t="shared" si="82"/>
        <v>45108</v>
      </c>
      <c r="S654">
        <f t="shared" si="83"/>
        <v>0</v>
      </c>
    </row>
    <row r="655" spans="1:19" x14ac:dyDescent="0.3">
      <c r="A655" s="17">
        <v>45111</v>
      </c>
      <c r="B655">
        <v>444.31</v>
      </c>
      <c r="C655">
        <v>75.194999999999993</v>
      </c>
      <c r="D655">
        <f t="shared" si="80"/>
        <v>369.11500000000001</v>
      </c>
      <c r="E655">
        <v>0.68</v>
      </c>
      <c r="F655">
        <f t="shared" si="81"/>
        <v>-368.435</v>
      </c>
      <c r="I655">
        <f t="shared" si="77"/>
        <v>4</v>
      </c>
      <c r="J655">
        <v>1</v>
      </c>
      <c r="K655">
        <f t="shared" si="78"/>
        <v>7</v>
      </c>
      <c r="L655">
        <f t="shared" si="79"/>
        <v>2023</v>
      </c>
      <c r="N655" s="17">
        <f t="shared" si="82"/>
        <v>45108</v>
      </c>
      <c r="S655">
        <f t="shared" si="83"/>
        <v>1</v>
      </c>
    </row>
    <row r="656" spans="1:19" x14ac:dyDescent="0.3">
      <c r="A656" s="17">
        <v>45110</v>
      </c>
      <c r="B656">
        <v>440.21</v>
      </c>
      <c r="C656">
        <v>75.2</v>
      </c>
      <c r="D656">
        <f t="shared" si="80"/>
        <v>365.01</v>
      </c>
      <c r="E656">
        <v>0.65</v>
      </c>
      <c r="F656">
        <f t="shared" si="81"/>
        <v>-364.36</v>
      </c>
      <c r="I656">
        <f t="shared" si="77"/>
        <v>3</v>
      </c>
      <c r="J656">
        <v>1</v>
      </c>
      <c r="K656">
        <f t="shared" si="78"/>
        <v>7</v>
      </c>
      <c r="L656">
        <f t="shared" si="79"/>
        <v>2023</v>
      </c>
      <c r="N656" s="17">
        <f t="shared" si="82"/>
        <v>45108</v>
      </c>
      <c r="S656">
        <f t="shared" si="83"/>
        <v>1</v>
      </c>
    </row>
    <row r="657" spans="1:19" x14ac:dyDescent="0.3">
      <c r="A657" s="17">
        <v>45107</v>
      </c>
      <c r="B657">
        <v>431.69</v>
      </c>
      <c r="C657">
        <v>76.64</v>
      </c>
      <c r="D657">
        <f t="shared" si="80"/>
        <v>355.05</v>
      </c>
      <c r="E657">
        <v>0.57999999999999996</v>
      </c>
      <c r="F657">
        <f t="shared" si="81"/>
        <v>-354.47</v>
      </c>
      <c r="I657">
        <f t="shared" si="77"/>
        <v>30</v>
      </c>
      <c r="J657">
        <v>1</v>
      </c>
      <c r="K657">
        <f t="shared" si="78"/>
        <v>6</v>
      </c>
      <c r="L657">
        <f t="shared" si="79"/>
        <v>2023</v>
      </c>
      <c r="N657" s="17">
        <f t="shared" si="82"/>
        <v>45078</v>
      </c>
      <c r="S657">
        <f t="shared" si="83"/>
        <v>0</v>
      </c>
    </row>
    <row r="658" spans="1:19" x14ac:dyDescent="0.3">
      <c r="A658" s="17">
        <v>45105</v>
      </c>
      <c r="B658">
        <v>416.01</v>
      </c>
      <c r="C658">
        <v>74.25</v>
      </c>
      <c r="D658">
        <f t="shared" si="80"/>
        <v>341.76</v>
      </c>
      <c r="E658">
        <v>0.62</v>
      </c>
      <c r="F658">
        <f t="shared" si="81"/>
        <v>-341.14</v>
      </c>
      <c r="I658">
        <f t="shared" si="77"/>
        <v>28</v>
      </c>
      <c r="J658">
        <v>1</v>
      </c>
      <c r="K658">
        <f t="shared" si="78"/>
        <v>6</v>
      </c>
      <c r="L658">
        <f t="shared" si="79"/>
        <v>2023</v>
      </c>
      <c r="N658" s="17">
        <f t="shared" si="82"/>
        <v>45078</v>
      </c>
      <c r="S658">
        <f t="shared" si="83"/>
        <v>0</v>
      </c>
    </row>
    <row r="659" spans="1:19" x14ac:dyDescent="0.3">
      <c r="A659" s="17">
        <v>45104</v>
      </c>
      <c r="B659">
        <v>422.97</v>
      </c>
      <c r="C659">
        <v>75.489999999999995</v>
      </c>
      <c r="D659">
        <f t="shared" si="80"/>
        <v>347.48</v>
      </c>
      <c r="E659">
        <v>0.65</v>
      </c>
      <c r="F659">
        <f t="shared" si="81"/>
        <v>-346.83000000000004</v>
      </c>
      <c r="I659">
        <f t="shared" si="77"/>
        <v>27</v>
      </c>
      <c r="J659">
        <v>1</v>
      </c>
      <c r="K659">
        <f t="shared" si="78"/>
        <v>6</v>
      </c>
      <c r="L659">
        <f t="shared" si="79"/>
        <v>2023</v>
      </c>
      <c r="N659" s="17">
        <f t="shared" si="82"/>
        <v>45078</v>
      </c>
      <c r="S659">
        <f t="shared" si="83"/>
        <v>0</v>
      </c>
    </row>
    <row r="660" spans="1:19" x14ac:dyDescent="0.3">
      <c r="A660" s="17">
        <v>45103</v>
      </c>
      <c r="B660">
        <v>425.07</v>
      </c>
      <c r="C660">
        <v>74.5</v>
      </c>
      <c r="D660">
        <f t="shared" si="80"/>
        <v>350.57</v>
      </c>
      <c r="E660">
        <v>0.76</v>
      </c>
      <c r="F660">
        <f t="shared" si="81"/>
        <v>-349.81</v>
      </c>
      <c r="I660">
        <f t="shared" si="77"/>
        <v>26</v>
      </c>
      <c r="J660">
        <v>1</v>
      </c>
      <c r="K660">
        <f t="shared" si="78"/>
        <v>6</v>
      </c>
      <c r="L660">
        <f t="shared" si="79"/>
        <v>2023</v>
      </c>
      <c r="N660" s="17">
        <f t="shared" si="82"/>
        <v>45078</v>
      </c>
      <c r="S660">
        <f t="shared" si="83"/>
        <v>0</v>
      </c>
    </row>
    <row r="661" spans="1:19" x14ac:dyDescent="0.3">
      <c r="A661" s="17">
        <v>45100</v>
      </c>
      <c r="B661">
        <v>427.08</v>
      </c>
      <c r="C661">
        <v>74.099999999999994</v>
      </c>
      <c r="D661">
        <f t="shared" si="80"/>
        <v>352.98</v>
      </c>
      <c r="E661">
        <v>0.83</v>
      </c>
      <c r="F661">
        <f t="shared" si="81"/>
        <v>-352.15000000000003</v>
      </c>
      <c r="I661">
        <f t="shared" si="77"/>
        <v>23</v>
      </c>
      <c r="J661">
        <v>1</v>
      </c>
      <c r="K661">
        <f t="shared" si="78"/>
        <v>6</v>
      </c>
      <c r="L661">
        <f t="shared" si="79"/>
        <v>2023</v>
      </c>
      <c r="N661" s="17">
        <f t="shared" si="82"/>
        <v>45078</v>
      </c>
      <c r="S661">
        <f t="shared" si="83"/>
        <v>0</v>
      </c>
    </row>
    <row r="662" spans="1:19" x14ac:dyDescent="0.3">
      <c r="A662" s="17">
        <v>45099</v>
      </c>
      <c r="B662">
        <v>438.47</v>
      </c>
      <c r="C662">
        <v>77.45</v>
      </c>
      <c r="D662">
        <f t="shared" si="80"/>
        <v>361.02000000000004</v>
      </c>
      <c r="E662">
        <v>0.93</v>
      </c>
      <c r="F662">
        <f t="shared" si="81"/>
        <v>-360.09000000000003</v>
      </c>
      <c r="I662">
        <f t="shared" si="77"/>
        <v>22</v>
      </c>
      <c r="J662">
        <v>1</v>
      </c>
      <c r="K662">
        <f t="shared" si="78"/>
        <v>6</v>
      </c>
      <c r="L662">
        <f t="shared" si="79"/>
        <v>2023</v>
      </c>
      <c r="N662" s="17">
        <f t="shared" si="82"/>
        <v>45078</v>
      </c>
      <c r="S662">
        <f t="shared" si="83"/>
        <v>0</v>
      </c>
    </row>
    <row r="663" spans="1:19" x14ac:dyDescent="0.3">
      <c r="A663" s="17">
        <v>45098</v>
      </c>
      <c r="B663">
        <v>428.81</v>
      </c>
      <c r="C663">
        <v>76.95</v>
      </c>
      <c r="D663">
        <f t="shared" si="80"/>
        <v>351.86</v>
      </c>
      <c r="E663">
        <v>0.93</v>
      </c>
      <c r="F663">
        <f t="shared" si="81"/>
        <v>-350.93</v>
      </c>
      <c r="I663">
        <f t="shared" si="77"/>
        <v>21</v>
      </c>
      <c r="J663">
        <v>1</v>
      </c>
      <c r="K663">
        <f t="shared" si="78"/>
        <v>6</v>
      </c>
      <c r="L663">
        <f t="shared" si="79"/>
        <v>2023</v>
      </c>
      <c r="N663" s="17">
        <f t="shared" si="82"/>
        <v>45078</v>
      </c>
      <c r="S663">
        <f t="shared" si="83"/>
        <v>0</v>
      </c>
    </row>
    <row r="664" spans="1:19" x14ac:dyDescent="0.3">
      <c r="A664" s="17">
        <v>45097</v>
      </c>
      <c r="B664">
        <v>428.57</v>
      </c>
      <c r="C664">
        <v>77.45</v>
      </c>
      <c r="D664">
        <f t="shared" si="80"/>
        <v>351.12</v>
      </c>
      <c r="E664">
        <v>0.95</v>
      </c>
      <c r="F664">
        <f t="shared" si="81"/>
        <v>-350.17</v>
      </c>
      <c r="I664">
        <f t="shared" si="77"/>
        <v>20</v>
      </c>
      <c r="J664">
        <v>1</v>
      </c>
      <c r="K664">
        <f t="shared" si="78"/>
        <v>6</v>
      </c>
      <c r="L664">
        <f t="shared" si="79"/>
        <v>2023</v>
      </c>
      <c r="N664" s="17">
        <f t="shared" si="82"/>
        <v>45078</v>
      </c>
      <c r="S664">
        <f t="shared" si="83"/>
        <v>0</v>
      </c>
    </row>
    <row r="665" spans="1:19" x14ac:dyDescent="0.3">
      <c r="A665" s="17">
        <v>45096</v>
      </c>
      <c r="B665">
        <v>425.3</v>
      </c>
      <c r="C665">
        <v>76.290000000000006</v>
      </c>
      <c r="D665">
        <f t="shared" si="80"/>
        <v>349.01</v>
      </c>
      <c r="E665">
        <v>0.93</v>
      </c>
      <c r="F665">
        <f t="shared" si="81"/>
        <v>-348.08</v>
      </c>
      <c r="I665">
        <f t="shared" si="77"/>
        <v>19</v>
      </c>
      <c r="J665">
        <v>1</v>
      </c>
      <c r="K665">
        <f t="shared" si="78"/>
        <v>6</v>
      </c>
      <c r="L665">
        <f t="shared" si="79"/>
        <v>2023</v>
      </c>
      <c r="N665" s="17">
        <f t="shared" si="82"/>
        <v>45078</v>
      </c>
      <c r="S665">
        <f t="shared" si="83"/>
        <v>0</v>
      </c>
    </row>
    <row r="666" spans="1:19" x14ac:dyDescent="0.3">
      <c r="A666" s="17">
        <v>45093</v>
      </c>
      <c r="B666">
        <v>424.03</v>
      </c>
      <c r="C666">
        <v>75.45</v>
      </c>
      <c r="D666">
        <f t="shared" si="80"/>
        <v>348.58</v>
      </c>
      <c r="E666">
        <v>0.9</v>
      </c>
      <c r="F666">
        <f t="shared" si="81"/>
        <v>-347.68</v>
      </c>
      <c r="I666">
        <f t="shared" si="77"/>
        <v>16</v>
      </c>
      <c r="J666">
        <v>1</v>
      </c>
      <c r="K666">
        <f t="shared" si="78"/>
        <v>6</v>
      </c>
      <c r="L666">
        <f t="shared" si="79"/>
        <v>2023</v>
      </c>
      <c r="N666" s="17">
        <f t="shared" si="82"/>
        <v>45078</v>
      </c>
      <c r="S666">
        <f t="shared" si="83"/>
        <v>0</v>
      </c>
    </row>
    <row r="667" spans="1:19" x14ac:dyDescent="0.3">
      <c r="A667" s="17">
        <v>45092</v>
      </c>
      <c r="B667">
        <v>413.41</v>
      </c>
      <c r="C667">
        <v>73.349999999999994</v>
      </c>
      <c r="D667">
        <f t="shared" si="80"/>
        <v>340.06000000000006</v>
      </c>
      <c r="E667">
        <v>0.78</v>
      </c>
      <c r="F667">
        <f t="shared" si="81"/>
        <v>-339.28000000000009</v>
      </c>
      <c r="I667">
        <f t="shared" si="77"/>
        <v>15</v>
      </c>
      <c r="J667">
        <v>1</v>
      </c>
      <c r="K667">
        <f t="shared" si="78"/>
        <v>6</v>
      </c>
      <c r="L667">
        <f t="shared" si="79"/>
        <v>2023</v>
      </c>
      <c r="N667" s="17">
        <f t="shared" si="82"/>
        <v>45078</v>
      </c>
      <c r="S667">
        <f t="shared" si="83"/>
        <v>0</v>
      </c>
    </row>
    <row r="668" spans="1:19" x14ac:dyDescent="0.3">
      <c r="A668" s="17">
        <v>45091</v>
      </c>
      <c r="B668">
        <v>417.9</v>
      </c>
      <c r="C668">
        <v>74.599999999999994</v>
      </c>
      <c r="D668">
        <f t="shared" si="80"/>
        <v>343.29999999999995</v>
      </c>
      <c r="E668">
        <v>0.85</v>
      </c>
      <c r="F668">
        <f t="shared" si="81"/>
        <v>-342.44999999999993</v>
      </c>
      <c r="I668">
        <f t="shared" si="77"/>
        <v>14</v>
      </c>
      <c r="J668">
        <v>1</v>
      </c>
      <c r="K668">
        <f t="shared" si="78"/>
        <v>6</v>
      </c>
      <c r="L668">
        <f t="shared" si="79"/>
        <v>2023</v>
      </c>
      <c r="N668" s="17">
        <f t="shared" si="82"/>
        <v>45078</v>
      </c>
      <c r="S668">
        <f t="shared" si="83"/>
        <v>0</v>
      </c>
    </row>
    <row r="669" spans="1:19" x14ac:dyDescent="0.3">
      <c r="A669" s="17">
        <v>45090</v>
      </c>
      <c r="B669">
        <v>404.78</v>
      </c>
      <c r="C669">
        <v>71.959999999999994</v>
      </c>
      <c r="D669">
        <f t="shared" si="80"/>
        <v>332.82</v>
      </c>
      <c r="E669">
        <v>0.77</v>
      </c>
      <c r="F669">
        <f t="shared" si="81"/>
        <v>-332.05</v>
      </c>
      <c r="I669">
        <f t="shared" si="77"/>
        <v>13</v>
      </c>
      <c r="J669">
        <v>1</v>
      </c>
      <c r="K669">
        <f t="shared" si="78"/>
        <v>6</v>
      </c>
      <c r="L669">
        <f t="shared" si="79"/>
        <v>2023</v>
      </c>
      <c r="N669" s="17">
        <f t="shared" si="82"/>
        <v>45078</v>
      </c>
      <c r="S669">
        <f t="shared" si="83"/>
        <v>0</v>
      </c>
    </row>
    <row r="670" spans="1:19" x14ac:dyDescent="0.3">
      <c r="A670" s="17">
        <v>45089</v>
      </c>
      <c r="B670">
        <v>405.79</v>
      </c>
      <c r="C670">
        <v>72.39</v>
      </c>
      <c r="D670">
        <f t="shared" si="80"/>
        <v>333.40000000000003</v>
      </c>
      <c r="E670">
        <v>0.68</v>
      </c>
      <c r="F670">
        <f t="shared" si="81"/>
        <v>-332.72</v>
      </c>
      <c r="I670">
        <f t="shared" si="77"/>
        <v>12</v>
      </c>
      <c r="J670">
        <v>1</v>
      </c>
      <c r="K670">
        <f t="shared" si="78"/>
        <v>6</v>
      </c>
      <c r="L670">
        <f t="shared" si="79"/>
        <v>2023</v>
      </c>
      <c r="N670" s="17">
        <f t="shared" si="82"/>
        <v>45078</v>
      </c>
      <c r="S670">
        <f t="shared" si="83"/>
        <v>0</v>
      </c>
    </row>
    <row r="671" spans="1:19" x14ac:dyDescent="0.3">
      <c r="A671" s="17">
        <v>45086</v>
      </c>
      <c r="B671">
        <v>417.39</v>
      </c>
      <c r="C671">
        <v>75.2</v>
      </c>
      <c r="D671">
        <f t="shared" si="80"/>
        <v>342.19</v>
      </c>
      <c r="E671">
        <v>0.65</v>
      </c>
      <c r="F671">
        <f t="shared" si="81"/>
        <v>-341.54</v>
      </c>
      <c r="I671">
        <f t="shared" si="77"/>
        <v>9</v>
      </c>
      <c r="J671">
        <v>1</v>
      </c>
      <c r="K671">
        <f t="shared" si="78"/>
        <v>6</v>
      </c>
      <c r="L671">
        <f t="shared" si="79"/>
        <v>2023</v>
      </c>
      <c r="N671" s="17">
        <f t="shared" si="82"/>
        <v>45078</v>
      </c>
      <c r="S671">
        <f t="shared" si="83"/>
        <v>0</v>
      </c>
    </row>
    <row r="672" spans="1:19" x14ac:dyDescent="0.3">
      <c r="A672" s="17">
        <v>45085</v>
      </c>
      <c r="B672">
        <v>419.99</v>
      </c>
      <c r="C672">
        <v>76.144999999999996</v>
      </c>
      <c r="D672">
        <f t="shared" si="80"/>
        <v>343.84500000000003</v>
      </c>
      <c r="E672">
        <v>0.65</v>
      </c>
      <c r="F672">
        <f t="shared" si="81"/>
        <v>-343.19500000000005</v>
      </c>
      <c r="I672">
        <f t="shared" si="77"/>
        <v>8</v>
      </c>
      <c r="J672">
        <v>1</v>
      </c>
      <c r="K672">
        <f t="shared" si="78"/>
        <v>6</v>
      </c>
      <c r="L672">
        <f t="shared" si="79"/>
        <v>2023</v>
      </c>
      <c r="N672" s="17">
        <f t="shared" si="82"/>
        <v>45078</v>
      </c>
      <c r="S672">
        <f t="shared" si="83"/>
        <v>0</v>
      </c>
    </row>
    <row r="673" spans="1:19" x14ac:dyDescent="0.3">
      <c r="A673" s="17">
        <v>45084</v>
      </c>
      <c r="B673">
        <v>420.19</v>
      </c>
      <c r="C673">
        <v>75.2</v>
      </c>
      <c r="D673">
        <f t="shared" si="80"/>
        <v>344.99</v>
      </c>
      <c r="E673">
        <v>0.59</v>
      </c>
      <c r="F673">
        <f t="shared" si="81"/>
        <v>-344.40000000000003</v>
      </c>
      <c r="I673">
        <f t="shared" si="77"/>
        <v>7</v>
      </c>
      <c r="J673">
        <v>1</v>
      </c>
      <c r="K673">
        <f t="shared" si="78"/>
        <v>6</v>
      </c>
      <c r="L673">
        <f t="shared" si="79"/>
        <v>2023</v>
      </c>
      <c r="N673" s="17">
        <f t="shared" si="82"/>
        <v>45078</v>
      </c>
      <c r="S673">
        <f t="shared" si="83"/>
        <v>0</v>
      </c>
    </row>
    <row r="674" spans="1:19" x14ac:dyDescent="0.3">
      <c r="A674" s="17">
        <v>45083</v>
      </c>
      <c r="B674">
        <v>414.63</v>
      </c>
      <c r="C674">
        <v>74.3</v>
      </c>
      <c r="D674">
        <f t="shared" si="80"/>
        <v>340.33</v>
      </c>
      <c r="E674">
        <v>0.54</v>
      </c>
      <c r="F674">
        <f t="shared" si="81"/>
        <v>-339.78999999999996</v>
      </c>
      <c r="I674">
        <f t="shared" si="77"/>
        <v>6</v>
      </c>
      <c r="J674">
        <v>1</v>
      </c>
      <c r="K674">
        <f t="shared" si="78"/>
        <v>6</v>
      </c>
      <c r="L674">
        <f t="shared" si="79"/>
        <v>2023</v>
      </c>
      <c r="N674" s="17">
        <f t="shared" si="82"/>
        <v>45078</v>
      </c>
      <c r="S674">
        <f t="shared" si="83"/>
        <v>0</v>
      </c>
    </row>
    <row r="675" spans="1:19" x14ac:dyDescent="0.3">
      <c r="A675" s="17">
        <v>45082</v>
      </c>
      <c r="B675">
        <v>427.92</v>
      </c>
      <c r="C675">
        <v>76.44</v>
      </c>
      <c r="D675">
        <f t="shared" si="80"/>
        <v>351.48</v>
      </c>
      <c r="E675">
        <v>0.57999999999999996</v>
      </c>
      <c r="F675">
        <f t="shared" si="81"/>
        <v>-350.90000000000003</v>
      </c>
      <c r="I675">
        <f t="shared" si="77"/>
        <v>5</v>
      </c>
      <c r="J675">
        <v>1</v>
      </c>
      <c r="K675">
        <f t="shared" si="78"/>
        <v>6</v>
      </c>
      <c r="L675">
        <f t="shared" si="79"/>
        <v>2023</v>
      </c>
      <c r="N675" s="17">
        <f t="shared" si="82"/>
        <v>45078</v>
      </c>
      <c r="S675">
        <f t="shared" si="83"/>
        <v>0</v>
      </c>
    </row>
    <row r="676" spans="1:19" x14ac:dyDescent="0.3">
      <c r="A676" s="17">
        <v>45078</v>
      </c>
      <c r="B676">
        <v>405.01</v>
      </c>
      <c r="C676">
        <v>71.680000000000007</v>
      </c>
      <c r="D676">
        <f t="shared" si="80"/>
        <v>333.33</v>
      </c>
      <c r="E676">
        <v>0.44</v>
      </c>
      <c r="F676">
        <f t="shared" si="81"/>
        <v>-332.89</v>
      </c>
      <c r="I676">
        <f t="shared" si="77"/>
        <v>1</v>
      </c>
      <c r="J676">
        <v>1</v>
      </c>
      <c r="K676">
        <f t="shared" si="78"/>
        <v>6</v>
      </c>
      <c r="L676">
        <f t="shared" si="79"/>
        <v>2023</v>
      </c>
      <c r="N676" s="17">
        <f t="shared" si="82"/>
        <v>45078</v>
      </c>
      <c r="S676">
        <f t="shared" si="83"/>
        <v>1</v>
      </c>
    </row>
    <row r="677" spans="1:19" x14ac:dyDescent="0.3">
      <c r="A677" s="17">
        <v>45077</v>
      </c>
      <c r="B677">
        <v>404.81</v>
      </c>
      <c r="C677">
        <v>72.22</v>
      </c>
      <c r="D677">
        <f t="shared" si="80"/>
        <v>332.59000000000003</v>
      </c>
      <c r="E677">
        <v>0.38</v>
      </c>
      <c r="F677">
        <f t="shared" si="81"/>
        <v>-332.21000000000004</v>
      </c>
      <c r="I677">
        <f t="shared" si="77"/>
        <v>31</v>
      </c>
      <c r="J677">
        <v>1</v>
      </c>
      <c r="K677">
        <f t="shared" si="78"/>
        <v>5</v>
      </c>
      <c r="L677">
        <f t="shared" si="79"/>
        <v>2023</v>
      </c>
      <c r="N677" s="17">
        <f t="shared" si="82"/>
        <v>45047</v>
      </c>
      <c r="S677">
        <f t="shared" si="83"/>
        <v>0</v>
      </c>
    </row>
    <row r="678" spans="1:19" x14ac:dyDescent="0.3">
      <c r="A678" s="17">
        <v>45076</v>
      </c>
      <c r="B678">
        <v>419.82</v>
      </c>
      <c r="C678">
        <v>74.930000000000007</v>
      </c>
      <c r="D678">
        <f t="shared" si="80"/>
        <v>344.89</v>
      </c>
      <c r="E678">
        <v>0.35</v>
      </c>
      <c r="F678">
        <f t="shared" si="81"/>
        <v>-344.53999999999996</v>
      </c>
      <c r="I678">
        <f t="shared" si="77"/>
        <v>30</v>
      </c>
      <c r="J678">
        <v>1</v>
      </c>
      <c r="K678">
        <f t="shared" si="78"/>
        <v>5</v>
      </c>
      <c r="L678">
        <f t="shared" si="79"/>
        <v>2023</v>
      </c>
      <c r="N678" s="17">
        <f t="shared" si="82"/>
        <v>45047</v>
      </c>
      <c r="S678">
        <f t="shared" si="83"/>
        <v>0</v>
      </c>
    </row>
    <row r="679" spans="1:19" x14ac:dyDescent="0.3">
      <c r="A679" s="17">
        <v>45075</v>
      </c>
      <c r="B679">
        <v>426.23</v>
      </c>
      <c r="C679">
        <v>76.25</v>
      </c>
      <c r="D679">
        <f t="shared" si="80"/>
        <v>349.98</v>
      </c>
      <c r="E679">
        <v>0.27</v>
      </c>
      <c r="F679">
        <f t="shared" si="81"/>
        <v>-349.71000000000004</v>
      </c>
      <c r="I679">
        <f t="shared" si="77"/>
        <v>29</v>
      </c>
      <c r="J679">
        <v>1</v>
      </c>
      <c r="K679">
        <f t="shared" si="78"/>
        <v>5</v>
      </c>
      <c r="L679">
        <f t="shared" si="79"/>
        <v>2023</v>
      </c>
      <c r="N679" s="17">
        <f t="shared" si="82"/>
        <v>45047</v>
      </c>
      <c r="S679">
        <f t="shared" si="83"/>
        <v>0</v>
      </c>
    </row>
    <row r="680" spans="1:19" x14ac:dyDescent="0.3">
      <c r="A680" s="17">
        <v>45072</v>
      </c>
      <c r="B680">
        <v>419.08</v>
      </c>
      <c r="C680">
        <v>75.34</v>
      </c>
      <c r="D680">
        <f t="shared" si="80"/>
        <v>343.74</v>
      </c>
      <c r="E680">
        <v>0.28000000000000003</v>
      </c>
      <c r="F680">
        <f t="shared" si="81"/>
        <v>-343.46000000000004</v>
      </c>
      <c r="I680">
        <f t="shared" si="77"/>
        <v>26</v>
      </c>
      <c r="J680">
        <v>1</v>
      </c>
      <c r="K680">
        <f t="shared" si="78"/>
        <v>5</v>
      </c>
      <c r="L680">
        <f t="shared" si="79"/>
        <v>2023</v>
      </c>
      <c r="N680" s="17">
        <f t="shared" si="82"/>
        <v>45047</v>
      </c>
      <c r="S680">
        <f t="shared" si="83"/>
        <v>0</v>
      </c>
    </row>
    <row r="681" spans="1:19" x14ac:dyDescent="0.3">
      <c r="A681" s="17">
        <v>45071</v>
      </c>
      <c r="B681">
        <v>431.54</v>
      </c>
      <c r="C681">
        <v>76.7</v>
      </c>
      <c r="D681">
        <f t="shared" si="80"/>
        <v>354.84000000000003</v>
      </c>
      <c r="E681">
        <v>0.28000000000000003</v>
      </c>
      <c r="F681">
        <f t="shared" si="81"/>
        <v>-354.56000000000006</v>
      </c>
      <c r="I681">
        <f t="shared" si="77"/>
        <v>25</v>
      </c>
      <c r="J681">
        <v>1</v>
      </c>
      <c r="K681">
        <f t="shared" si="78"/>
        <v>5</v>
      </c>
      <c r="L681">
        <f t="shared" si="79"/>
        <v>2023</v>
      </c>
      <c r="N681" s="17">
        <f t="shared" si="82"/>
        <v>45047</v>
      </c>
      <c r="S681">
        <f t="shared" si="83"/>
        <v>0</v>
      </c>
    </row>
    <row r="682" spans="1:19" x14ac:dyDescent="0.3">
      <c r="A682" s="17">
        <v>45070</v>
      </c>
      <c r="B682">
        <v>427.55</v>
      </c>
      <c r="C682">
        <v>76.61</v>
      </c>
      <c r="D682">
        <f t="shared" si="80"/>
        <v>350.94</v>
      </c>
      <c r="E682">
        <v>0.14000000000000001</v>
      </c>
      <c r="F682">
        <f t="shared" si="81"/>
        <v>-350.8</v>
      </c>
      <c r="I682">
        <f t="shared" si="77"/>
        <v>24</v>
      </c>
      <c r="J682">
        <v>1</v>
      </c>
      <c r="K682">
        <f t="shared" si="78"/>
        <v>5</v>
      </c>
      <c r="L682">
        <f t="shared" si="79"/>
        <v>2023</v>
      </c>
      <c r="N682" s="17">
        <f t="shared" si="82"/>
        <v>45047</v>
      </c>
      <c r="S682">
        <f t="shared" si="83"/>
        <v>0</v>
      </c>
    </row>
    <row r="683" spans="1:19" x14ac:dyDescent="0.3">
      <c r="A683" s="17">
        <v>45069</v>
      </c>
      <c r="B683">
        <v>421.8</v>
      </c>
      <c r="C683">
        <v>74.92</v>
      </c>
      <c r="D683">
        <f t="shared" si="80"/>
        <v>346.88</v>
      </c>
      <c r="E683">
        <v>0.18</v>
      </c>
      <c r="F683">
        <f t="shared" si="81"/>
        <v>-346.7</v>
      </c>
      <c r="I683">
        <f t="shared" si="77"/>
        <v>23</v>
      </c>
      <c r="J683">
        <v>1</v>
      </c>
      <c r="K683">
        <f t="shared" si="78"/>
        <v>5</v>
      </c>
      <c r="L683">
        <f t="shared" si="79"/>
        <v>2023</v>
      </c>
      <c r="N683" s="17">
        <f t="shared" si="82"/>
        <v>45047</v>
      </c>
      <c r="S683">
        <f t="shared" si="83"/>
        <v>0</v>
      </c>
    </row>
    <row r="684" spans="1:19" x14ac:dyDescent="0.3">
      <c r="A684" s="17">
        <v>45068</v>
      </c>
      <c r="B684">
        <v>425.94</v>
      </c>
      <c r="C684">
        <v>74.224999999999994</v>
      </c>
      <c r="D684">
        <f t="shared" si="80"/>
        <v>351.71500000000003</v>
      </c>
      <c r="E684">
        <v>0.22</v>
      </c>
      <c r="F684">
        <f t="shared" si="81"/>
        <v>-351.495</v>
      </c>
      <c r="I684">
        <f t="shared" si="77"/>
        <v>22</v>
      </c>
      <c r="J684">
        <v>1</v>
      </c>
      <c r="K684">
        <f t="shared" si="78"/>
        <v>5</v>
      </c>
      <c r="L684">
        <f t="shared" si="79"/>
        <v>2023</v>
      </c>
      <c r="N684" s="17">
        <f t="shared" si="82"/>
        <v>45047</v>
      </c>
      <c r="S684">
        <f t="shared" si="83"/>
        <v>0</v>
      </c>
    </row>
    <row r="685" spans="1:19" x14ac:dyDescent="0.3">
      <c r="A685" s="17">
        <v>45065</v>
      </c>
      <c r="B685">
        <v>435.09</v>
      </c>
      <c r="C685">
        <v>75.010000000000005</v>
      </c>
      <c r="D685">
        <f t="shared" si="80"/>
        <v>360.08</v>
      </c>
      <c r="E685">
        <v>0.13</v>
      </c>
      <c r="F685">
        <f t="shared" si="81"/>
        <v>-359.95</v>
      </c>
      <c r="I685">
        <f t="shared" si="77"/>
        <v>19</v>
      </c>
      <c r="J685">
        <v>1</v>
      </c>
      <c r="K685">
        <f t="shared" si="78"/>
        <v>5</v>
      </c>
      <c r="L685">
        <f t="shared" si="79"/>
        <v>2023</v>
      </c>
      <c r="N685" s="17">
        <f t="shared" si="82"/>
        <v>45047</v>
      </c>
      <c r="S685">
        <f t="shared" si="83"/>
        <v>0</v>
      </c>
    </row>
    <row r="686" spans="1:19" x14ac:dyDescent="0.3">
      <c r="A686" s="17">
        <v>45064</v>
      </c>
      <c r="B686">
        <v>435.02</v>
      </c>
      <c r="C686">
        <v>75.33</v>
      </c>
      <c r="D686">
        <f t="shared" si="80"/>
        <v>359.69</v>
      </c>
      <c r="E686">
        <v>0.01</v>
      </c>
      <c r="F686">
        <f t="shared" si="81"/>
        <v>-359.68</v>
      </c>
      <c r="I686">
        <f t="shared" si="77"/>
        <v>18</v>
      </c>
      <c r="J686">
        <v>1</v>
      </c>
      <c r="K686">
        <f t="shared" si="78"/>
        <v>5</v>
      </c>
      <c r="L686">
        <f t="shared" si="79"/>
        <v>2023</v>
      </c>
      <c r="N686" s="17">
        <f t="shared" si="82"/>
        <v>45047</v>
      </c>
      <c r="S686">
        <f t="shared" si="83"/>
        <v>0</v>
      </c>
    </row>
    <row r="687" spans="1:19" x14ac:dyDescent="0.3">
      <c r="A687" s="17">
        <v>45063</v>
      </c>
      <c r="B687">
        <v>417.91</v>
      </c>
      <c r="C687">
        <v>73.150000000000006</v>
      </c>
      <c r="D687">
        <f t="shared" si="80"/>
        <v>344.76</v>
      </c>
      <c r="E687">
        <v>-0.15</v>
      </c>
      <c r="F687">
        <f t="shared" si="81"/>
        <v>-344.90999999999997</v>
      </c>
      <c r="I687">
        <f t="shared" si="77"/>
        <v>17</v>
      </c>
      <c r="J687">
        <v>1</v>
      </c>
      <c r="K687">
        <f t="shared" si="78"/>
        <v>5</v>
      </c>
      <c r="L687">
        <f t="shared" si="79"/>
        <v>2023</v>
      </c>
      <c r="N687" s="17">
        <f t="shared" si="82"/>
        <v>45047</v>
      </c>
      <c r="S687">
        <f t="shared" si="83"/>
        <v>0</v>
      </c>
    </row>
    <row r="688" spans="1:19" x14ac:dyDescent="0.3">
      <c r="A688" s="17">
        <v>45062</v>
      </c>
      <c r="B688">
        <v>424.23</v>
      </c>
      <c r="C688">
        <v>74.55</v>
      </c>
      <c r="D688">
        <f t="shared" si="80"/>
        <v>349.68</v>
      </c>
      <c r="E688">
        <v>-0.28000000000000003</v>
      </c>
      <c r="F688">
        <f t="shared" si="81"/>
        <v>-349.96</v>
      </c>
      <c r="I688">
        <f t="shared" si="77"/>
        <v>16</v>
      </c>
      <c r="J688">
        <v>1</v>
      </c>
      <c r="K688">
        <f t="shared" si="78"/>
        <v>5</v>
      </c>
      <c r="L688">
        <f t="shared" si="79"/>
        <v>2023</v>
      </c>
      <c r="N688" s="17">
        <f t="shared" si="82"/>
        <v>45047</v>
      </c>
      <c r="S688">
        <f t="shared" si="83"/>
        <v>0</v>
      </c>
    </row>
    <row r="689" spans="1:19" x14ac:dyDescent="0.3">
      <c r="A689" s="17">
        <v>45061</v>
      </c>
      <c r="B689">
        <v>419.05</v>
      </c>
      <c r="C689">
        <v>73.3</v>
      </c>
      <c r="D689">
        <f t="shared" si="80"/>
        <v>345.75</v>
      </c>
      <c r="E689">
        <v>-0.41</v>
      </c>
      <c r="F689">
        <f t="shared" si="81"/>
        <v>-346.16</v>
      </c>
      <c r="I689">
        <f t="shared" si="77"/>
        <v>15</v>
      </c>
      <c r="J689">
        <v>1</v>
      </c>
      <c r="K689">
        <f t="shared" si="78"/>
        <v>5</v>
      </c>
      <c r="L689">
        <f t="shared" si="79"/>
        <v>2023</v>
      </c>
      <c r="N689" s="17">
        <f t="shared" si="82"/>
        <v>45047</v>
      </c>
      <c r="S689">
        <f t="shared" si="83"/>
        <v>0</v>
      </c>
    </row>
    <row r="690" spans="1:19" x14ac:dyDescent="0.3">
      <c r="A690" s="17">
        <v>45058</v>
      </c>
      <c r="B690">
        <v>419.22</v>
      </c>
      <c r="C690">
        <v>73.53</v>
      </c>
      <c r="D690">
        <f t="shared" si="80"/>
        <v>345.69000000000005</v>
      </c>
      <c r="E690">
        <v>-0.32</v>
      </c>
      <c r="F690">
        <f t="shared" si="81"/>
        <v>-346.01000000000005</v>
      </c>
      <c r="I690">
        <f t="shared" si="77"/>
        <v>12</v>
      </c>
      <c r="J690">
        <v>1</v>
      </c>
      <c r="K690">
        <f t="shared" si="78"/>
        <v>5</v>
      </c>
      <c r="L690">
        <f t="shared" si="79"/>
        <v>2023</v>
      </c>
      <c r="N690" s="17">
        <f t="shared" si="82"/>
        <v>45047</v>
      </c>
      <c r="S690">
        <f t="shared" si="83"/>
        <v>0</v>
      </c>
    </row>
    <row r="691" spans="1:19" x14ac:dyDescent="0.3">
      <c r="A691" s="17">
        <v>45057</v>
      </c>
      <c r="B691">
        <v>431.93</v>
      </c>
      <c r="C691">
        <v>76.19</v>
      </c>
      <c r="D691">
        <f t="shared" si="80"/>
        <v>355.74</v>
      </c>
      <c r="E691">
        <v>-0.36</v>
      </c>
      <c r="F691">
        <f t="shared" si="81"/>
        <v>-356.1</v>
      </c>
      <c r="I691">
        <f t="shared" si="77"/>
        <v>11</v>
      </c>
      <c r="J691">
        <v>1</v>
      </c>
      <c r="K691">
        <f t="shared" si="78"/>
        <v>5</v>
      </c>
      <c r="L691">
        <f t="shared" si="79"/>
        <v>2023</v>
      </c>
      <c r="N691" s="17">
        <f t="shared" si="82"/>
        <v>45047</v>
      </c>
      <c r="S691">
        <f t="shared" si="83"/>
        <v>0</v>
      </c>
    </row>
    <row r="692" spans="1:19" x14ac:dyDescent="0.3">
      <c r="A692" s="17">
        <v>45056</v>
      </c>
      <c r="B692">
        <v>430.18</v>
      </c>
      <c r="C692">
        <v>75.72</v>
      </c>
      <c r="D692">
        <f t="shared" si="80"/>
        <v>354.46000000000004</v>
      </c>
      <c r="E692">
        <v>-0.43</v>
      </c>
      <c r="F692">
        <f t="shared" si="81"/>
        <v>-354.89000000000004</v>
      </c>
      <c r="I692">
        <f t="shared" si="77"/>
        <v>10</v>
      </c>
      <c r="J692">
        <v>1</v>
      </c>
      <c r="K692">
        <f t="shared" si="78"/>
        <v>5</v>
      </c>
      <c r="L692">
        <f t="shared" si="79"/>
        <v>2023</v>
      </c>
      <c r="N692" s="17">
        <f t="shared" si="82"/>
        <v>45047</v>
      </c>
      <c r="S692">
        <f t="shared" si="83"/>
        <v>0</v>
      </c>
    </row>
    <row r="693" spans="1:19" x14ac:dyDescent="0.3">
      <c r="A693" s="17">
        <v>45055</v>
      </c>
      <c r="B693">
        <v>429.05</v>
      </c>
      <c r="C693">
        <v>75.81</v>
      </c>
      <c r="D693">
        <f t="shared" si="80"/>
        <v>353.24</v>
      </c>
      <c r="E693">
        <v>-0.41</v>
      </c>
      <c r="F693">
        <f t="shared" si="81"/>
        <v>-353.65000000000003</v>
      </c>
      <c r="I693">
        <f t="shared" si="77"/>
        <v>9</v>
      </c>
      <c r="J693">
        <v>1</v>
      </c>
      <c r="K693">
        <f t="shared" si="78"/>
        <v>5</v>
      </c>
      <c r="L693">
        <f t="shared" si="79"/>
        <v>2023</v>
      </c>
      <c r="N693" s="17">
        <f t="shared" si="82"/>
        <v>45047</v>
      </c>
      <c r="S693">
        <f t="shared" si="83"/>
        <v>0</v>
      </c>
    </row>
    <row r="694" spans="1:19" x14ac:dyDescent="0.3">
      <c r="A694" s="17">
        <v>45054</v>
      </c>
      <c r="B694">
        <v>428.34</v>
      </c>
      <c r="C694">
        <v>76.16</v>
      </c>
      <c r="D694">
        <f t="shared" si="80"/>
        <v>352.17999999999995</v>
      </c>
      <c r="E694">
        <v>-0.38</v>
      </c>
      <c r="F694">
        <f t="shared" si="81"/>
        <v>-352.55999999999995</v>
      </c>
      <c r="I694">
        <f t="shared" si="77"/>
        <v>8</v>
      </c>
      <c r="J694">
        <v>1</v>
      </c>
      <c r="K694">
        <f t="shared" si="78"/>
        <v>5</v>
      </c>
      <c r="L694">
        <f t="shared" si="79"/>
        <v>2023</v>
      </c>
      <c r="N694" s="17">
        <f t="shared" si="82"/>
        <v>45047</v>
      </c>
      <c r="S694">
        <f t="shared" si="83"/>
        <v>0</v>
      </c>
    </row>
    <row r="695" spans="1:19" x14ac:dyDescent="0.3">
      <c r="A695" s="17">
        <v>45051</v>
      </c>
      <c r="B695">
        <v>398.86</v>
      </c>
      <c r="C695">
        <v>73.25</v>
      </c>
      <c r="D695">
        <f t="shared" si="80"/>
        <v>325.61</v>
      </c>
      <c r="E695">
        <v>-0.32</v>
      </c>
      <c r="F695">
        <f t="shared" si="81"/>
        <v>-325.93</v>
      </c>
      <c r="I695">
        <f t="shared" si="77"/>
        <v>5</v>
      </c>
      <c r="J695">
        <v>1</v>
      </c>
      <c r="K695">
        <f t="shared" si="78"/>
        <v>5</v>
      </c>
      <c r="L695">
        <f t="shared" si="79"/>
        <v>2023</v>
      </c>
      <c r="N695" s="17">
        <f t="shared" si="82"/>
        <v>45047</v>
      </c>
      <c r="S695">
        <f t="shared" si="83"/>
        <v>0</v>
      </c>
    </row>
    <row r="696" spans="1:19" x14ac:dyDescent="0.3">
      <c r="A696" s="17">
        <v>45050</v>
      </c>
      <c r="B696">
        <v>407.85</v>
      </c>
      <c r="C696">
        <v>72.94</v>
      </c>
      <c r="D696">
        <f t="shared" si="80"/>
        <v>334.91</v>
      </c>
      <c r="E696">
        <v>-0.33</v>
      </c>
      <c r="F696">
        <f t="shared" si="81"/>
        <v>-335.24</v>
      </c>
      <c r="I696">
        <f t="shared" si="77"/>
        <v>4</v>
      </c>
      <c r="J696">
        <v>1</v>
      </c>
      <c r="K696">
        <f t="shared" si="78"/>
        <v>5</v>
      </c>
      <c r="L696">
        <f t="shared" si="79"/>
        <v>2023</v>
      </c>
      <c r="N696" s="17">
        <f t="shared" si="82"/>
        <v>45047</v>
      </c>
      <c r="S696">
        <f t="shared" si="83"/>
        <v>1</v>
      </c>
    </row>
    <row r="697" spans="1:19" x14ac:dyDescent="0.3">
      <c r="A697" s="17">
        <v>45049</v>
      </c>
      <c r="B697">
        <v>425.38</v>
      </c>
      <c r="C697">
        <v>73.63</v>
      </c>
      <c r="D697">
        <f t="shared" si="80"/>
        <v>351.75</v>
      </c>
      <c r="E697">
        <v>-0.33</v>
      </c>
      <c r="F697">
        <f t="shared" si="81"/>
        <v>-352.08</v>
      </c>
      <c r="I697">
        <f t="shared" si="77"/>
        <v>3</v>
      </c>
      <c r="J697">
        <v>1</v>
      </c>
      <c r="K697">
        <f t="shared" si="78"/>
        <v>5</v>
      </c>
      <c r="L697">
        <f t="shared" si="79"/>
        <v>2023</v>
      </c>
      <c r="N697" s="17">
        <f t="shared" si="82"/>
        <v>45047</v>
      </c>
      <c r="S697">
        <f t="shared" si="83"/>
        <v>1</v>
      </c>
    </row>
    <row r="698" spans="1:19" x14ac:dyDescent="0.3">
      <c r="A698" s="17">
        <v>45048</v>
      </c>
      <c r="B698">
        <v>447.02</v>
      </c>
      <c r="C698">
        <v>78.594999999999999</v>
      </c>
      <c r="D698">
        <f t="shared" si="80"/>
        <v>368.42499999999995</v>
      </c>
      <c r="E698">
        <v>-7.0000000000000007E-2</v>
      </c>
      <c r="F698">
        <f t="shared" si="81"/>
        <v>-368.49499999999995</v>
      </c>
      <c r="I698">
        <f t="shared" si="77"/>
        <v>2</v>
      </c>
      <c r="J698">
        <v>1</v>
      </c>
      <c r="K698">
        <f t="shared" si="78"/>
        <v>5</v>
      </c>
      <c r="L698">
        <f t="shared" si="79"/>
        <v>2023</v>
      </c>
      <c r="N698" s="17">
        <f t="shared" si="82"/>
        <v>45047</v>
      </c>
      <c r="S698">
        <f t="shared" si="83"/>
        <v>1</v>
      </c>
    </row>
    <row r="699" spans="1:19" x14ac:dyDescent="0.3">
      <c r="A699" s="17">
        <v>45044</v>
      </c>
      <c r="B699">
        <v>435.4</v>
      </c>
      <c r="C699">
        <v>79.760000000000005</v>
      </c>
      <c r="D699">
        <f t="shared" si="80"/>
        <v>355.64</v>
      </c>
      <c r="E699">
        <v>0.24</v>
      </c>
      <c r="F699">
        <f t="shared" si="81"/>
        <v>-355.4</v>
      </c>
      <c r="I699">
        <f t="shared" si="77"/>
        <v>28</v>
      </c>
      <c r="J699">
        <v>1</v>
      </c>
      <c r="K699">
        <f t="shared" si="78"/>
        <v>4</v>
      </c>
      <c r="L699">
        <f t="shared" si="79"/>
        <v>2023</v>
      </c>
      <c r="N699" s="17">
        <f t="shared" si="82"/>
        <v>45017</v>
      </c>
      <c r="S699">
        <f t="shared" si="83"/>
        <v>0</v>
      </c>
    </row>
    <row r="700" spans="1:19" x14ac:dyDescent="0.3">
      <c r="A700" s="17">
        <v>45043</v>
      </c>
      <c r="B700">
        <v>435.05</v>
      </c>
      <c r="C700">
        <v>77.95</v>
      </c>
      <c r="D700">
        <f t="shared" si="80"/>
        <v>357.1</v>
      </c>
      <c r="E700">
        <v>0.25</v>
      </c>
      <c r="F700">
        <f t="shared" si="81"/>
        <v>-356.85</v>
      </c>
      <c r="I700">
        <f t="shared" si="77"/>
        <v>27</v>
      </c>
      <c r="J700">
        <v>1</v>
      </c>
      <c r="K700">
        <f t="shared" si="78"/>
        <v>4</v>
      </c>
      <c r="L700">
        <f t="shared" si="79"/>
        <v>2023</v>
      </c>
      <c r="N700" s="17">
        <f t="shared" si="82"/>
        <v>45017</v>
      </c>
      <c r="S700">
        <f t="shared" si="83"/>
        <v>0</v>
      </c>
    </row>
    <row r="701" spans="1:19" x14ac:dyDescent="0.3">
      <c r="A701" s="17">
        <v>45042</v>
      </c>
      <c r="B701">
        <v>452.99</v>
      </c>
      <c r="C701">
        <v>80.239999999999995</v>
      </c>
      <c r="D701">
        <f t="shared" si="80"/>
        <v>372.75</v>
      </c>
      <c r="E701">
        <v>0.33</v>
      </c>
      <c r="F701">
        <f t="shared" si="81"/>
        <v>-372.42</v>
      </c>
      <c r="I701">
        <f t="shared" si="77"/>
        <v>26</v>
      </c>
      <c r="J701">
        <v>1</v>
      </c>
      <c r="K701">
        <f t="shared" si="78"/>
        <v>4</v>
      </c>
      <c r="L701">
        <f t="shared" si="79"/>
        <v>2023</v>
      </c>
      <c r="N701" s="17">
        <f t="shared" si="82"/>
        <v>45017</v>
      </c>
      <c r="S701">
        <f t="shared" si="83"/>
        <v>0</v>
      </c>
    </row>
    <row r="702" spans="1:19" x14ac:dyDescent="0.3">
      <c r="A702" s="17">
        <v>45041</v>
      </c>
      <c r="B702">
        <v>462.84</v>
      </c>
      <c r="C702">
        <v>82.75</v>
      </c>
      <c r="D702">
        <f t="shared" si="80"/>
        <v>380.09</v>
      </c>
      <c r="E702">
        <v>0.28999999999999998</v>
      </c>
      <c r="F702">
        <f t="shared" si="81"/>
        <v>-379.79999999999995</v>
      </c>
      <c r="I702">
        <f t="shared" si="77"/>
        <v>25</v>
      </c>
      <c r="J702">
        <v>1</v>
      </c>
      <c r="K702">
        <f t="shared" si="78"/>
        <v>4</v>
      </c>
      <c r="L702">
        <f t="shared" si="79"/>
        <v>2023</v>
      </c>
      <c r="N702" s="17">
        <f t="shared" si="82"/>
        <v>45017</v>
      </c>
      <c r="S702">
        <f t="shared" si="83"/>
        <v>0</v>
      </c>
    </row>
    <row r="703" spans="1:19" x14ac:dyDescent="0.3">
      <c r="A703" s="17">
        <v>45040</v>
      </c>
      <c r="B703">
        <v>454.28</v>
      </c>
      <c r="C703">
        <v>80.900000000000006</v>
      </c>
      <c r="D703">
        <f t="shared" si="80"/>
        <v>373.38</v>
      </c>
      <c r="E703">
        <v>0.18</v>
      </c>
      <c r="F703">
        <f t="shared" si="81"/>
        <v>-373.2</v>
      </c>
      <c r="I703">
        <f t="shared" si="77"/>
        <v>24</v>
      </c>
      <c r="J703">
        <v>1</v>
      </c>
      <c r="K703">
        <f t="shared" si="78"/>
        <v>4</v>
      </c>
      <c r="L703">
        <f t="shared" si="79"/>
        <v>2023</v>
      </c>
      <c r="N703" s="17">
        <f t="shared" si="82"/>
        <v>45017</v>
      </c>
      <c r="S703">
        <f t="shared" si="83"/>
        <v>0</v>
      </c>
    </row>
    <row r="704" spans="1:19" x14ac:dyDescent="0.3">
      <c r="A704" s="17">
        <v>45037</v>
      </c>
      <c r="B704">
        <v>448.08</v>
      </c>
      <c r="C704">
        <v>80.75</v>
      </c>
      <c r="D704">
        <f t="shared" si="80"/>
        <v>367.33</v>
      </c>
      <c r="E704">
        <v>0</v>
      </c>
      <c r="F704">
        <f t="shared" si="81"/>
        <v>-367.33</v>
      </c>
      <c r="I704">
        <f t="shared" si="77"/>
        <v>21</v>
      </c>
      <c r="J704">
        <v>1</v>
      </c>
      <c r="K704">
        <f t="shared" si="78"/>
        <v>4</v>
      </c>
      <c r="L704">
        <f t="shared" si="79"/>
        <v>2023</v>
      </c>
      <c r="N704" s="17">
        <f t="shared" si="82"/>
        <v>45017</v>
      </c>
      <c r="S704">
        <f t="shared" si="83"/>
        <v>0</v>
      </c>
    </row>
    <row r="705" spans="1:19" x14ac:dyDescent="0.3">
      <c r="A705" s="17">
        <v>45036</v>
      </c>
      <c r="B705">
        <v>455.43</v>
      </c>
      <c r="C705">
        <v>81.709999999999994</v>
      </c>
      <c r="D705">
        <f t="shared" si="80"/>
        <v>373.72</v>
      </c>
      <c r="E705">
        <v>0.06</v>
      </c>
      <c r="F705">
        <f t="shared" si="81"/>
        <v>-373.66</v>
      </c>
      <c r="I705">
        <f t="shared" si="77"/>
        <v>20</v>
      </c>
      <c r="J705">
        <v>1</v>
      </c>
      <c r="K705">
        <f t="shared" si="78"/>
        <v>4</v>
      </c>
      <c r="L705">
        <f t="shared" si="79"/>
        <v>2023</v>
      </c>
      <c r="N705" s="17">
        <f t="shared" si="82"/>
        <v>45017</v>
      </c>
      <c r="S705">
        <f t="shared" si="83"/>
        <v>0</v>
      </c>
    </row>
    <row r="706" spans="1:19" x14ac:dyDescent="0.3">
      <c r="A706" s="17">
        <v>45035</v>
      </c>
      <c r="B706">
        <v>462.6</v>
      </c>
      <c r="C706">
        <v>83.54</v>
      </c>
      <c r="D706">
        <f t="shared" si="80"/>
        <v>379.06</v>
      </c>
      <c r="E706">
        <v>0.11</v>
      </c>
      <c r="F706">
        <f t="shared" si="81"/>
        <v>-378.95</v>
      </c>
      <c r="I706">
        <f t="shared" si="77"/>
        <v>19</v>
      </c>
      <c r="J706">
        <v>1</v>
      </c>
      <c r="K706">
        <f t="shared" si="78"/>
        <v>4</v>
      </c>
      <c r="L706">
        <f t="shared" si="79"/>
        <v>2023</v>
      </c>
      <c r="N706" s="17">
        <f t="shared" si="82"/>
        <v>45017</v>
      </c>
      <c r="S706">
        <f t="shared" si="83"/>
        <v>0</v>
      </c>
    </row>
    <row r="707" spans="1:19" x14ac:dyDescent="0.3">
      <c r="A707" s="17">
        <v>45034</v>
      </c>
      <c r="B707">
        <v>469.78</v>
      </c>
      <c r="C707">
        <v>84.65</v>
      </c>
      <c r="D707">
        <f t="shared" si="80"/>
        <v>385.13</v>
      </c>
      <c r="E707">
        <v>0.1</v>
      </c>
      <c r="F707">
        <f t="shared" si="81"/>
        <v>-385.03</v>
      </c>
      <c r="I707">
        <f t="shared" si="77"/>
        <v>18</v>
      </c>
      <c r="J707">
        <v>1</v>
      </c>
      <c r="K707">
        <f t="shared" si="78"/>
        <v>4</v>
      </c>
      <c r="L707">
        <f t="shared" si="79"/>
        <v>2023</v>
      </c>
      <c r="N707" s="17">
        <f t="shared" si="82"/>
        <v>45017</v>
      </c>
      <c r="S707">
        <f t="shared" si="83"/>
        <v>0</v>
      </c>
    </row>
    <row r="708" spans="1:19" x14ac:dyDescent="0.3">
      <c r="A708" s="17">
        <v>45033</v>
      </c>
      <c r="B708">
        <v>475.03</v>
      </c>
      <c r="C708">
        <v>85.9</v>
      </c>
      <c r="D708">
        <f t="shared" si="80"/>
        <v>389.13</v>
      </c>
      <c r="E708">
        <v>0.12</v>
      </c>
      <c r="F708">
        <f t="shared" si="81"/>
        <v>-389.01</v>
      </c>
      <c r="I708">
        <f t="shared" si="77"/>
        <v>17</v>
      </c>
      <c r="J708">
        <v>1</v>
      </c>
      <c r="K708">
        <f t="shared" si="78"/>
        <v>4</v>
      </c>
      <c r="L708">
        <f t="shared" si="79"/>
        <v>2023</v>
      </c>
      <c r="N708" s="17">
        <f t="shared" si="82"/>
        <v>45017</v>
      </c>
      <c r="S708">
        <f t="shared" si="83"/>
        <v>0</v>
      </c>
    </row>
    <row r="709" spans="1:19" x14ac:dyDescent="0.3">
      <c r="A709" s="17">
        <v>45030</v>
      </c>
      <c r="B709">
        <v>474.83</v>
      </c>
      <c r="C709">
        <v>86.04</v>
      </c>
      <c r="D709">
        <f t="shared" si="80"/>
        <v>388.78999999999996</v>
      </c>
      <c r="E709">
        <v>0.18</v>
      </c>
      <c r="F709">
        <f t="shared" si="81"/>
        <v>-388.60999999999996</v>
      </c>
      <c r="I709">
        <f t="shared" ref="I709:I772" si="84">+DAY(A709)</f>
        <v>14</v>
      </c>
      <c r="J709">
        <v>1</v>
      </c>
      <c r="K709">
        <f t="shared" ref="K709:K772" si="85">+MONTH(A709)</f>
        <v>4</v>
      </c>
      <c r="L709">
        <f t="shared" ref="L709:L772" si="86">+YEAR(A709)</f>
        <v>2023</v>
      </c>
      <c r="N709" s="17">
        <f t="shared" si="82"/>
        <v>45017</v>
      </c>
      <c r="S709">
        <f t="shared" si="83"/>
        <v>0</v>
      </c>
    </row>
    <row r="710" spans="1:19" x14ac:dyDescent="0.3">
      <c r="A710" s="17">
        <v>45029</v>
      </c>
      <c r="B710">
        <v>483.19</v>
      </c>
      <c r="C710">
        <v>87.31</v>
      </c>
      <c r="D710">
        <f t="shared" ref="D710:D773" si="87">+B710-C710</f>
        <v>395.88</v>
      </c>
      <c r="E710">
        <v>0.22</v>
      </c>
      <c r="F710">
        <f t="shared" ref="F710:F773" si="88">+E710-D710</f>
        <v>-395.65999999999997</v>
      </c>
      <c r="I710">
        <f t="shared" si="84"/>
        <v>13</v>
      </c>
      <c r="J710">
        <v>1</v>
      </c>
      <c r="K710">
        <f t="shared" si="85"/>
        <v>4</v>
      </c>
      <c r="L710">
        <f t="shared" si="86"/>
        <v>2023</v>
      </c>
      <c r="N710" s="17">
        <f t="shared" ref="N710:N773" si="89">+DATE(L710,K710,J710)</f>
        <v>45017</v>
      </c>
      <c r="S710">
        <f t="shared" ref="S710:S773" si="90">IF(AND(I710&gt;=1, I710&lt;=4), 1, 0)</f>
        <v>0</v>
      </c>
    </row>
    <row r="711" spans="1:19" x14ac:dyDescent="0.3">
      <c r="A711" s="17">
        <v>45028</v>
      </c>
      <c r="B711">
        <v>478.86</v>
      </c>
      <c r="C711">
        <v>85.54</v>
      </c>
      <c r="D711">
        <f t="shared" si="87"/>
        <v>393.32</v>
      </c>
      <c r="E711">
        <v>0.17</v>
      </c>
      <c r="F711">
        <f t="shared" si="88"/>
        <v>-393.15</v>
      </c>
      <c r="I711">
        <f t="shared" si="84"/>
        <v>12</v>
      </c>
      <c r="J711">
        <v>1</v>
      </c>
      <c r="K711">
        <f t="shared" si="85"/>
        <v>4</v>
      </c>
      <c r="L711">
        <f t="shared" si="86"/>
        <v>2023</v>
      </c>
      <c r="N711" s="17">
        <f t="shared" si="89"/>
        <v>45017</v>
      </c>
      <c r="S711">
        <f t="shared" si="90"/>
        <v>0</v>
      </c>
    </row>
    <row r="712" spans="1:19" x14ac:dyDescent="0.3">
      <c r="A712" s="17">
        <v>45027</v>
      </c>
      <c r="B712">
        <v>477.54</v>
      </c>
      <c r="C712">
        <v>84.5</v>
      </c>
      <c r="D712">
        <f t="shared" si="87"/>
        <v>393.04</v>
      </c>
      <c r="E712">
        <v>0.28999999999999998</v>
      </c>
      <c r="F712">
        <f t="shared" si="88"/>
        <v>-392.75</v>
      </c>
      <c r="I712">
        <f t="shared" si="84"/>
        <v>11</v>
      </c>
      <c r="J712">
        <v>1</v>
      </c>
      <c r="K712">
        <f t="shared" si="85"/>
        <v>4</v>
      </c>
      <c r="L712">
        <f t="shared" si="86"/>
        <v>2023</v>
      </c>
      <c r="N712" s="17">
        <f t="shared" si="89"/>
        <v>45017</v>
      </c>
      <c r="S712">
        <f t="shared" si="90"/>
        <v>0</v>
      </c>
    </row>
    <row r="713" spans="1:19" x14ac:dyDescent="0.3">
      <c r="A713" s="17">
        <v>45026</v>
      </c>
      <c r="B713">
        <v>473.72</v>
      </c>
      <c r="C713">
        <v>84.73</v>
      </c>
      <c r="D713">
        <f t="shared" si="87"/>
        <v>388.99</v>
      </c>
      <c r="E713">
        <v>0.43</v>
      </c>
      <c r="F713">
        <f t="shared" si="88"/>
        <v>-388.56</v>
      </c>
      <c r="I713">
        <f t="shared" si="84"/>
        <v>10</v>
      </c>
      <c r="J713">
        <v>1</v>
      </c>
      <c r="K713">
        <f t="shared" si="85"/>
        <v>4</v>
      </c>
      <c r="L713">
        <f t="shared" si="86"/>
        <v>2023</v>
      </c>
      <c r="N713" s="17">
        <f t="shared" si="89"/>
        <v>45017</v>
      </c>
      <c r="S713">
        <f t="shared" si="90"/>
        <v>0</v>
      </c>
    </row>
    <row r="714" spans="1:19" x14ac:dyDescent="0.3">
      <c r="A714" s="17">
        <v>45022</v>
      </c>
      <c r="B714">
        <v>464.2</v>
      </c>
      <c r="C714">
        <v>84.545000000000002</v>
      </c>
      <c r="D714">
        <f t="shared" si="87"/>
        <v>379.65499999999997</v>
      </c>
      <c r="E714">
        <v>0.97</v>
      </c>
      <c r="F714">
        <f t="shared" si="88"/>
        <v>-378.68499999999995</v>
      </c>
      <c r="I714">
        <f t="shared" si="84"/>
        <v>6</v>
      </c>
      <c r="J714">
        <v>1</v>
      </c>
      <c r="K714">
        <f t="shared" si="85"/>
        <v>4</v>
      </c>
      <c r="L714">
        <f t="shared" si="86"/>
        <v>2023</v>
      </c>
      <c r="N714" s="17">
        <f t="shared" si="89"/>
        <v>45017</v>
      </c>
      <c r="S714">
        <f t="shared" si="90"/>
        <v>0</v>
      </c>
    </row>
    <row r="715" spans="1:19" x14ac:dyDescent="0.3">
      <c r="A715" s="17">
        <v>45021</v>
      </c>
      <c r="B715">
        <v>464.84</v>
      </c>
      <c r="C715">
        <v>84.91</v>
      </c>
      <c r="D715">
        <f t="shared" si="87"/>
        <v>379.92999999999995</v>
      </c>
      <c r="E715">
        <v>0.88</v>
      </c>
      <c r="F715">
        <f t="shared" si="88"/>
        <v>-379.04999999999995</v>
      </c>
      <c r="I715">
        <f t="shared" si="84"/>
        <v>5</v>
      </c>
      <c r="J715">
        <v>1</v>
      </c>
      <c r="K715">
        <f t="shared" si="85"/>
        <v>4</v>
      </c>
      <c r="L715">
        <f t="shared" si="86"/>
        <v>2023</v>
      </c>
      <c r="N715" s="17">
        <f t="shared" si="89"/>
        <v>45017</v>
      </c>
      <c r="S715">
        <f t="shared" si="90"/>
        <v>0</v>
      </c>
    </row>
    <row r="716" spans="1:19" x14ac:dyDescent="0.3">
      <c r="A716" s="17">
        <v>45020</v>
      </c>
      <c r="B716">
        <v>458.84</v>
      </c>
      <c r="C716">
        <v>85.05</v>
      </c>
      <c r="D716">
        <f t="shared" si="87"/>
        <v>373.78999999999996</v>
      </c>
      <c r="E716">
        <v>1.1499999999999999</v>
      </c>
      <c r="F716">
        <f t="shared" si="88"/>
        <v>-372.64</v>
      </c>
      <c r="I716">
        <f t="shared" si="84"/>
        <v>4</v>
      </c>
      <c r="J716">
        <v>1</v>
      </c>
      <c r="K716">
        <f t="shared" si="85"/>
        <v>4</v>
      </c>
      <c r="L716">
        <f t="shared" si="86"/>
        <v>2023</v>
      </c>
      <c r="N716" s="17">
        <f t="shared" si="89"/>
        <v>45017</v>
      </c>
      <c r="S716">
        <f t="shared" si="90"/>
        <v>1</v>
      </c>
    </row>
    <row r="717" spans="1:19" x14ac:dyDescent="0.3">
      <c r="A717" s="17">
        <v>45019</v>
      </c>
      <c r="B717">
        <v>457.37</v>
      </c>
      <c r="C717">
        <v>84.05</v>
      </c>
      <c r="D717">
        <f t="shared" si="87"/>
        <v>373.32</v>
      </c>
      <c r="E717">
        <v>1.43</v>
      </c>
      <c r="F717">
        <f t="shared" si="88"/>
        <v>-371.89</v>
      </c>
      <c r="I717">
        <f t="shared" si="84"/>
        <v>3</v>
      </c>
      <c r="J717">
        <v>1</v>
      </c>
      <c r="K717">
        <f t="shared" si="85"/>
        <v>4</v>
      </c>
      <c r="L717">
        <f t="shared" si="86"/>
        <v>2023</v>
      </c>
      <c r="N717" s="17">
        <f t="shared" si="89"/>
        <v>45017</v>
      </c>
      <c r="S717">
        <f t="shared" si="90"/>
        <v>1</v>
      </c>
    </row>
    <row r="718" spans="1:19" x14ac:dyDescent="0.3">
      <c r="A718" s="17">
        <v>45016</v>
      </c>
      <c r="B718">
        <v>422.01</v>
      </c>
      <c r="C718">
        <v>78.05</v>
      </c>
      <c r="D718">
        <f t="shared" si="87"/>
        <v>343.96</v>
      </c>
      <c r="E718">
        <v>1.53</v>
      </c>
      <c r="F718">
        <f t="shared" si="88"/>
        <v>-342.43</v>
      </c>
      <c r="I718">
        <f t="shared" si="84"/>
        <v>31</v>
      </c>
      <c r="J718">
        <v>1</v>
      </c>
      <c r="K718">
        <f t="shared" si="85"/>
        <v>3</v>
      </c>
      <c r="L718">
        <f t="shared" si="86"/>
        <v>2023</v>
      </c>
      <c r="N718" s="17">
        <f t="shared" si="89"/>
        <v>44986</v>
      </c>
      <c r="S718">
        <f t="shared" si="90"/>
        <v>0</v>
      </c>
    </row>
    <row r="719" spans="1:19" x14ac:dyDescent="0.3">
      <c r="A719" s="17">
        <v>45015</v>
      </c>
      <c r="B719">
        <v>417.11</v>
      </c>
      <c r="C719">
        <v>77.75</v>
      </c>
      <c r="D719">
        <f t="shared" si="87"/>
        <v>339.36</v>
      </c>
      <c r="E719">
        <v>1.44</v>
      </c>
      <c r="F719">
        <f t="shared" si="88"/>
        <v>-337.92</v>
      </c>
      <c r="I719">
        <f t="shared" si="84"/>
        <v>30</v>
      </c>
      <c r="J719">
        <v>1</v>
      </c>
      <c r="K719">
        <f t="shared" si="85"/>
        <v>3</v>
      </c>
      <c r="L719">
        <f t="shared" si="86"/>
        <v>2023</v>
      </c>
      <c r="N719" s="17">
        <f t="shared" si="89"/>
        <v>44986</v>
      </c>
      <c r="S719">
        <f t="shared" si="90"/>
        <v>0</v>
      </c>
    </row>
    <row r="720" spans="1:19" x14ac:dyDescent="0.3">
      <c r="A720" s="17">
        <v>45014</v>
      </c>
      <c r="B720">
        <v>415.73</v>
      </c>
      <c r="C720">
        <v>77.989999999999995</v>
      </c>
      <c r="D720">
        <f t="shared" si="87"/>
        <v>337.74</v>
      </c>
      <c r="E720">
        <v>1.45</v>
      </c>
      <c r="F720">
        <f t="shared" si="88"/>
        <v>-336.29</v>
      </c>
      <c r="I720">
        <f t="shared" si="84"/>
        <v>29</v>
      </c>
      <c r="J720">
        <v>1</v>
      </c>
      <c r="K720">
        <f t="shared" si="85"/>
        <v>3</v>
      </c>
      <c r="L720">
        <f t="shared" si="86"/>
        <v>2023</v>
      </c>
      <c r="N720" s="17">
        <f t="shared" si="89"/>
        <v>44986</v>
      </c>
      <c r="S720">
        <f t="shared" si="90"/>
        <v>0</v>
      </c>
    </row>
    <row r="721" spans="1:19" x14ac:dyDescent="0.3">
      <c r="A721" s="17">
        <v>45013</v>
      </c>
      <c r="B721">
        <v>416.86</v>
      </c>
      <c r="C721">
        <v>77.844999999999999</v>
      </c>
      <c r="D721">
        <f t="shared" si="87"/>
        <v>339.01499999999999</v>
      </c>
      <c r="E721">
        <v>1.43</v>
      </c>
      <c r="F721">
        <f t="shared" si="88"/>
        <v>-337.58499999999998</v>
      </c>
      <c r="I721">
        <f t="shared" si="84"/>
        <v>28</v>
      </c>
      <c r="J721">
        <v>1</v>
      </c>
      <c r="K721">
        <f t="shared" si="85"/>
        <v>3</v>
      </c>
      <c r="L721">
        <f t="shared" si="86"/>
        <v>2023</v>
      </c>
      <c r="N721" s="17">
        <f t="shared" si="89"/>
        <v>44986</v>
      </c>
      <c r="S721">
        <f t="shared" si="90"/>
        <v>0</v>
      </c>
    </row>
    <row r="722" spans="1:19" x14ac:dyDescent="0.3">
      <c r="A722" s="17">
        <v>45012</v>
      </c>
      <c r="B722">
        <v>398.12</v>
      </c>
      <c r="C722">
        <v>74.745000000000005</v>
      </c>
      <c r="D722">
        <f t="shared" si="87"/>
        <v>323.375</v>
      </c>
      <c r="E722">
        <v>1.3</v>
      </c>
      <c r="F722">
        <f t="shared" si="88"/>
        <v>-322.07499999999999</v>
      </c>
      <c r="I722">
        <f t="shared" si="84"/>
        <v>27</v>
      </c>
      <c r="J722">
        <v>1</v>
      </c>
      <c r="K722">
        <f t="shared" si="85"/>
        <v>3</v>
      </c>
      <c r="L722">
        <f t="shared" si="86"/>
        <v>2023</v>
      </c>
      <c r="N722" s="17">
        <f t="shared" si="89"/>
        <v>44986</v>
      </c>
      <c r="S722">
        <f t="shared" si="90"/>
        <v>0</v>
      </c>
    </row>
    <row r="723" spans="1:19" x14ac:dyDescent="0.3">
      <c r="A723" s="17">
        <v>45009</v>
      </c>
      <c r="B723">
        <v>397.3</v>
      </c>
      <c r="C723">
        <v>75.11</v>
      </c>
      <c r="D723">
        <f t="shared" si="87"/>
        <v>322.19</v>
      </c>
      <c r="E723">
        <v>1.4</v>
      </c>
      <c r="F723">
        <f t="shared" si="88"/>
        <v>-320.79000000000002</v>
      </c>
      <c r="I723">
        <f t="shared" si="84"/>
        <v>24</v>
      </c>
      <c r="J723">
        <v>1</v>
      </c>
      <c r="K723">
        <f t="shared" si="85"/>
        <v>3</v>
      </c>
      <c r="L723">
        <f t="shared" si="86"/>
        <v>2023</v>
      </c>
      <c r="N723" s="17">
        <f t="shared" si="89"/>
        <v>44986</v>
      </c>
      <c r="S723">
        <f t="shared" si="90"/>
        <v>0</v>
      </c>
    </row>
    <row r="724" spans="1:19" x14ac:dyDescent="0.3">
      <c r="A724" s="17">
        <v>45008</v>
      </c>
      <c r="B724">
        <v>395.27</v>
      </c>
      <c r="C724">
        <v>76.09</v>
      </c>
      <c r="D724">
        <f t="shared" si="87"/>
        <v>319.17999999999995</v>
      </c>
      <c r="E724">
        <v>1.44</v>
      </c>
      <c r="F724">
        <f t="shared" si="88"/>
        <v>-317.73999999999995</v>
      </c>
      <c r="I724">
        <f t="shared" si="84"/>
        <v>23</v>
      </c>
      <c r="J724">
        <v>1</v>
      </c>
      <c r="K724">
        <f t="shared" si="85"/>
        <v>3</v>
      </c>
      <c r="L724">
        <f t="shared" si="86"/>
        <v>2023</v>
      </c>
      <c r="N724" s="17">
        <f t="shared" si="89"/>
        <v>44986</v>
      </c>
      <c r="S724">
        <f t="shared" si="90"/>
        <v>0</v>
      </c>
    </row>
    <row r="725" spans="1:19" x14ac:dyDescent="0.3">
      <c r="A725" s="17">
        <v>45007</v>
      </c>
      <c r="B725">
        <v>387.88</v>
      </c>
      <c r="C725">
        <v>74.55</v>
      </c>
      <c r="D725">
        <f t="shared" si="87"/>
        <v>313.33</v>
      </c>
      <c r="E725">
        <v>1.24</v>
      </c>
      <c r="F725">
        <f t="shared" si="88"/>
        <v>-312.08999999999997</v>
      </c>
      <c r="I725">
        <f t="shared" si="84"/>
        <v>22</v>
      </c>
      <c r="J725">
        <v>1</v>
      </c>
      <c r="K725">
        <f t="shared" si="85"/>
        <v>3</v>
      </c>
      <c r="L725">
        <f t="shared" si="86"/>
        <v>2023</v>
      </c>
      <c r="N725" s="17">
        <f t="shared" si="89"/>
        <v>44986</v>
      </c>
      <c r="S725">
        <f t="shared" si="90"/>
        <v>0</v>
      </c>
    </row>
    <row r="726" spans="1:19" x14ac:dyDescent="0.3">
      <c r="A726" s="17">
        <v>45006</v>
      </c>
      <c r="B726">
        <v>385.69</v>
      </c>
      <c r="C726">
        <v>73.7</v>
      </c>
      <c r="D726">
        <f t="shared" si="87"/>
        <v>311.99</v>
      </c>
      <c r="E726">
        <v>1.19</v>
      </c>
      <c r="F726">
        <f t="shared" si="88"/>
        <v>-310.8</v>
      </c>
      <c r="I726">
        <f t="shared" si="84"/>
        <v>21</v>
      </c>
      <c r="J726">
        <v>1</v>
      </c>
      <c r="K726">
        <f t="shared" si="85"/>
        <v>3</v>
      </c>
      <c r="L726">
        <f t="shared" si="86"/>
        <v>2023</v>
      </c>
      <c r="N726" s="17">
        <f t="shared" si="89"/>
        <v>44986</v>
      </c>
      <c r="S726">
        <f t="shared" si="90"/>
        <v>0</v>
      </c>
    </row>
    <row r="727" spans="1:19" x14ac:dyDescent="0.3">
      <c r="A727" s="17">
        <v>45005</v>
      </c>
      <c r="B727">
        <v>366.41</v>
      </c>
      <c r="C727">
        <v>70.290000000000006</v>
      </c>
      <c r="D727">
        <f t="shared" si="87"/>
        <v>296.12</v>
      </c>
      <c r="E727">
        <v>0.97</v>
      </c>
      <c r="F727">
        <f t="shared" si="88"/>
        <v>-295.14999999999998</v>
      </c>
      <c r="I727">
        <f t="shared" si="84"/>
        <v>20</v>
      </c>
      <c r="J727">
        <v>1</v>
      </c>
      <c r="K727">
        <f t="shared" si="85"/>
        <v>3</v>
      </c>
      <c r="L727">
        <f t="shared" si="86"/>
        <v>2023</v>
      </c>
      <c r="N727" s="17">
        <f t="shared" si="89"/>
        <v>44986</v>
      </c>
      <c r="S727">
        <f t="shared" si="90"/>
        <v>0</v>
      </c>
    </row>
    <row r="728" spans="1:19" x14ac:dyDescent="0.3">
      <c r="A728" s="17">
        <v>45002</v>
      </c>
      <c r="B728">
        <v>385.73</v>
      </c>
      <c r="C728">
        <v>74.849999999999994</v>
      </c>
      <c r="D728">
        <f t="shared" si="87"/>
        <v>310.88</v>
      </c>
      <c r="E728">
        <v>1.1399999999999999</v>
      </c>
      <c r="F728">
        <f t="shared" si="88"/>
        <v>-309.74</v>
      </c>
      <c r="I728">
        <f t="shared" si="84"/>
        <v>17</v>
      </c>
      <c r="J728">
        <v>1</v>
      </c>
      <c r="K728">
        <f t="shared" si="85"/>
        <v>3</v>
      </c>
      <c r="L728">
        <f t="shared" si="86"/>
        <v>2023</v>
      </c>
      <c r="N728" s="17">
        <f t="shared" si="89"/>
        <v>44986</v>
      </c>
      <c r="S728">
        <f t="shared" si="90"/>
        <v>0</v>
      </c>
    </row>
    <row r="729" spans="1:19" x14ac:dyDescent="0.3">
      <c r="A729" s="17">
        <v>45001</v>
      </c>
      <c r="B729">
        <v>388.29</v>
      </c>
      <c r="C729">
        <v>73.98</v>
      </c>
      <c r="D729">
        <f t="shared" si="87"/>
        <v>314.31</v>
      </c>
      <c r="E729">
        <v>0.92</v>
      </c>
      <c r="F729">
        <f t="shared" si="88"/>
        <v>-313.39</v>
      </c>
      <c r="I729">
        <f t="shared" si="84"/>
        <v>16</v>
      </c>
      <c r="J729">
        <v>1</v>
      </c>
      <c r="K729">
        <f t="shared" si="85"/>
        <v>3</v>
      </c>
      <c r="L729">
        <f t="shared" si="86"/>
        <v>2023</v>
      </c>
      <c r="N729" s="17">
        <f t="shared" si="89"/>
        <v>44986</v>
      </c>
      <c r="S729">
        <f t="shared" si="90"/>
        <v>0</v>
      </c>
    </row>
    <row r="730" spans="1:19" x14ac:dyDescent="0.3">
      <c r="A730" s="17">
        <v>45000</v>
      </c>
      <c r="B730">
        <v>410.1</v>
      </c>
      <c r="C730">
        <v>77.84</v>
      </c>
      <c r="D730">
        <f t="shared" si="87"/>
        <v>332.26</v>
      </c>
      <c r="E730">
        <v>0.86</v>
      </c>
      <c r="F730">
        <f t="shared" si="88"/>
        <v>-331.4</v>
      </c>
      <c r="I730">
        <f t="shared" si="84"/>
        <v>15</v>
      </c>
      <c r="J730">
        <v>1</v>
      </c>
      <c r="K730">
        <f t="shared" si="85"/>
        <v>3</v>
      </c>
      <c r="L730">
        <f t="shared" si="86"/>
        <v>2023</v>
      </c>
      <c r="N730" s="17">
        <f t="shared" si="89"/>
        <v>44986</v>
      </c>
      <c r="S730">
        <f t="shared" si="90"/>
        <v>0</v>
      </c>
    </row>
    <row r="731" spans="1:19" x14ac:dyDescent="0.3">
      <c r="A731" s="17">
        <v>44999</v>
      </c>
      <c r="B731">
        <v>416.21</v>
      </c>
      <c r="C731">
        <v>79.09</v>
      </c>
      <c r="D731">
        <f t="shared" si="87"/>
        <v>337.12</v>
      </c>
      <c r="E731">
        <v>0.78</v>
      </c>
      <c r="F731">
        <f t="shared" si="88"/>
        <v>-336.34000000000003</v>
      </c>
      <c r="I731">
        <f t="shared" si="84"/>
        <v>14</v>
      </c>
      <c r="J731">
        <v>1</v>
      </c>
      <c r="K731">
        <f t="shared" si="85"/>
        <v>3</v>
      </c>
      <c r="L731">
        <f t="shared" si="86"/>
        <v>2023</v>
      </c>
      <c r="N731" s="17">
        <f t="shared" si="89"/>
        <v>44986</v>
      </c>
      <c r="S731">
        <f t="shared" si="90"/>
        <v>0</v>
      </c>
    </row>
    <row r="732" spans="1:19" x14ac:dyDescent="0.3">
      <c r="A732" s="17">
        <v>44998</v>
      </c>
      <c r="B732">
        <v>437.86</v>
      </c>
      <c r="C732">
        <v>82.305000000000007</v>
      </c>
      <c r="D732">
        <f t="shared" si="87"/>
        <v>355.55500000000001</v>
      </c>
      <c r="E732">
        <v>0.6</v>
      </c>
      <c r="F732">
        <f t="shared" si="88"/>
        <v>-354.95499999999998</v>
      </c>
      <c r="I732">
        <f t="shared" si="84"/>
        <v>13</v>
      </c>
      <c r="J732">
        <v>1</v>
      </c>
      <c r="K732">
        <f t="shared" si="85"/>
        <v>3</v>
      </c>
      <c r="L732">
        <f t="shared" si="86"/>
        <v>2023</v>
      </c>
      <c r="N732" s="17">
        <f t="shared" si="89"/>
        <v>44986</v>
      </c>
      <c r="S732">
        <f t="shared" si="90"/>
        <v>0</v>
      </c>
    </row>
    <row r="733" spans="1:19" x14ac:dyDescent="0.3">
      <c r="A733" s="17">
        <v>44995</v>
      </c>
      <c r="B733">
        <v>422.02</v>
      </c>
      <c r="C733">
        <v>80.204999999999998</v>
      </c>
      <c r="D733">
        <f t="shared" si="87"/>
        <v>341.815</v>
      </c>
      <c r="E733">
        <v>0.5</v>
      </c>
      <c r="F733">
        <f t="shared" si="88"/>
        <v>-341.315</v>
      </c>
      <c r="I733">
        <f t="shared" si="84"/>
        <v>10</v>
      </c>
      <c r="J733">
        <v>1</v>
      </c>
      <c r="K733">
        <f t="shared" si="85"/>
        <v>3</v>
      </c>
      <c r="L733">
        <f t="shared" si="86"/>
        <v>2023</v>
      </c>
      <c r="N733" s="17">
        <f t="shared" si="89"/>
        <v>44986</v>
      </c>
      <c r="S733">
        <f t="shared" si="90"/>
        <v>0</v>
      </c>
    </row>
    <row r="734" spans="1:19" x14ac:dyDescent="0.3">
      <c r="A734" s="17">
        <v>44994</v>
      </c>
      <c r="B734">
        <v>428.85</v>
      </c>
      <c r="C734">
        <v>81.790000000000006</v>
      </c>
      <c r="D734">
        <f t="shared" si="87"/>
        <v>347.06</v>
      </c>
      <c r="E734">
        <v>0.61</v>
      </c>
      <c r="F734">
        <f t="shared" si="88"/>
        <v>-346.45</v>
      </c>
      <c r="I734">
        <f t="shared" si="84"/>
        <v>9</v>
      </c>
      <c r="J734">
        <v>1</v>
      </c>
      <c r="K734">
        <f t="shared" si="85"/>
        <v>3</v>
      </c>
      <c r="L734">
        <f t="shared" si="86"/>
        <v>2023</v>
      </c>
      <c r="N734" s="17">
        <f t="shared" si="89"/>
        <v>44986</v>
      </c>
      <c r="S734">
        <f t="shared" si="90"/>
        <v>0</v>
      </c>
    </row>
    <row r="735" spans="1:19" x14ac:dyDescent="0.3">
      <c r="A735" s="17">
        <v>44993</v>
      </c>
      <c r="B735">
        <v>434.28</v>
      </c>
      <c r="C735">
        <v>81.96</v>
      </c>
      <c r="D735">
        <f t="shared" si="87"/>
        <v>352.32</v>
      </c>
      <c r="E735">
        <v>0.74</v>
      </c>
      <c r="F735">
        <f t="shared" si="88"/>
        <v>-351.58</v>
      </c>
      <c r="I735">
        <f t="shared" si="84"/>
        <v>8</v>
      </c>
      <c r="J735">
        <v>1</v>
      </c>
      <c r="K735">
        <f t="shared" si="85"/>
        <v>3</v>
      </c>
      <c r="L735">
        <f t="shared" si="86"/>
        <v>2023</v>
      </c>
      <c r="N735" s="17">
        <f t="shared" si="89"/>
        <v>44986</v>
      </c>
      <c r="S735">
        <f t="shared" si="90"/>
        <v>0</v>
      </c>
    </row>
    <row r="736" spans="1:19" x14ac:dyDescent="0.3">
      <c r="A736" s="17">
        <v>44992</v>
      </c>
      <c r="B736">
        <v>450.84</v>
      </c>
      <c r="C736">
        <v>84.56</v>
      </c>
      <c r="D736">
        <f t="shared" si="87"/>
        <v>366.28</v>
      </c>
      <c r="E736">
        <v>0.85</v>
      </c>
      <c r="F736">
        <f t="shared" si="88"/>
        <v>-365.42999999999995</v>
      </c>
      <c r="I736">
        <f t="shared" si="84"/>
        <v>7</v>
      </c>
      <c r="J736">
        <v>1</v>
      </c>
      <c r="K736">
        <f t="shared" si="85"/>
        <v>3</v>
      </c>
      <c r="L736">
        <f t="shared" si="86"/>
        <v>2023</v>
      </c>
      <c r="N736" s="17">
        <f t="shared" si="89"/>
        <v>44986</v>
      </c>
      <c r="S736">
        <f t="shared" si="90"/>
        <v>0</v>
      </c>
    </row>
    <row r="737" spans="1:19" x14ac:dyDescent="0.3">
      <c r="A737" s="17">
        <v>44991</v>
      </c>
      <c r="B737">
        <v>448.54</v>
      </c>
      <c r="C737">
        <v>84.09</v>
      </c>
      <c r="D737">
        <f t="shared" si="87"/>
        <v>364.45000000000005</v>
      </c>
      <c r="E737">
        <v>0.65</v>
      </c>
      <c r="F737">
        <f t="shared" si="88"/>
        <v>-363.80000000000007</v>
      </c>
      <c r="I737">
        <f t="shared" si="84"/>
        <v>6</v>
      </c>
      <c r="J737">
        <v>1</v>
      </c>
      <c r="K737">
        <f t="shared" si="85"/>
        <v>3</v>
      </c>
      <c r="L737">
        <f t="shared" si="86"/>
        <v>2023</v>
      </c>
      <c r="N737" s="17">
        <f t="shared" si="89"/>
        <v>44986</v>
      </c>
      <c r="S737">
        <f t="shared" si="90"/>
        <v>0</v>
      </c>
    </row>
    <row r="738" spans="1:19" x14ac:dyDescent="0.3">
      <c r="A738" s="17">
        <v>44988</v>
      </c>
      <c r="B738">
        <v>445.61</v>
      </c>
      <c r="C738">
        <v>83.254999999999995</v>
      </c>
      <c r="D738">
        <f t="shared" si="87"/>
        <v>362.35500000000002</v>
      </c>
      <c r="E738">
        <v>0.57999999999999996</v>
      </c>
      <c r="F738">
        <f t="shared" si="88"/>
        <v>-361.77500000000003</v>
      </c>
      <c r="I738">
        <f t="shared" si="84"/>
        <v>3</v>
      </c>
      <c r="J738">
        <v>1</v>
      </c>
      <c r="K738">
        <f t="shared" si="85"/>
        <v>3</v>
      </c>
      <c r="L738">
        <f t="shared" si="86"/>
        <v>2023</v>
      </c>
      <c r="N738" s="17">
        <f t="shared" si="89"/>
        <v>44986</v>
      </c>
      <c r="S738">
        <f t="shared" si="90"/>
        <v>1</v>
      </c>
    </row>
    <row r="739" spans="1:19" x14ac:dyDescent="0.3">
      <c r="A739" s="17">
        <v>44987</v>
      </c>
      <c r="B739">
        <v>437.81</v>
      </c>
      <c r="C739">
        <v>82.84</v>
      </c>
      <c r="D739">
        <f t="shared" si="87"/>
        <v>354.97</v>
      </c>
      <c r="E739">
        <v>0.56000000000000005</v>
      </c>
      <c r="F739">
        <f t="shared" si="88"/>
        <v>-354.41</v>
      </c>
      <c r="I739">
        <f t="shared" si="84"/>
        <v>2</v>
      </c>
      <c r="J739">
        <v>1</v>
      </c>
      <c r="K739">
        <f t="shared" si="85"/>
        <v>3</v>
      </c>
      <c r="L739">
        <f t="shared" si="86"/>
        <v>2023</v>
      </c>
      <c r="N739" s="17">
        <f t="shared" si="89"/>
        <v>44986</v>
      </c>
      <c r="S739">
        <f t="shared" si="90"/>
        <v>1</v>
      </c>
    </row>
    <row r="740" spans="1:19" x14ac:dyDescent="0.3">
      <c r="A740" s="17">
        <v>44986</v>
      </c>
      <c r="B740">
        <v>427.99</v>
      </c>
      <c r="C740">
        <v>82.46</v>
      </c>
      <c r="D740">
        <f t="shared" si="87"/>
        <v>345.53000000000003</v>
      </c>
      <c r="E740">
        <v>0.77</v>
      </c>
      <c r="F740">
        <f t="shared" si="88"/>
        <v>-344.76000000000005</v>
      </c>
      <c r="I740">
        <f t="shared" si="84"/>
        <v>1</v>
      </c>
      <c r="J740">
        <v>1</v>
      </c>
      <c r="K740">
        <f t="shared" si="85"/>
        <v>3</v>
      </c>
      <c r="L740">
        <f t="shared" si="86"/>
        <v>2023</v>
      </c>
      <c r="N740" s="17">
        <f t="shared" si="89"/>
        <v>44986</v>
      </c>
      <c r="S740">
        <f t="shared" si="90"/>
        <v>1</v>
      </c>
    </row>
    <row r="741" spans="1:19" x14ac:dyDescent="0.3">
      <c r="A741" s="17">
        <v>44985</v>
      </c>
      <c r="B741">
        <v>404.78</v>
      </c>
      <c r="C741">
        <v>81.900000000000006</v>
      </c>
      <c r="D741">
        <f t="shared" si="87"/>
        <v>322.88</v>
      </c>
      <c r="E741">
        <v>0.77</v>
      </c>
      <c r="F741">
        <f t="shared" si="88"/>
        <v>-322.11</v>
      </c>
      <c r="I741">
        <f t="shared" si="84"/>
        <v>28</v>
      </c>
      <c r="J741">
        <v>1</v>
      </c>
      <c r="K741">
        <f t="shared" si="85"/>
        <v>2</v>
      </c>
      <c r="L741">
        <f t="shared" si="86"/>
        <v>2023</v>
      </c>
      <c r="N741" s="17">
        <f t="shared" si="89"/>
        <v>44958</v>
      </c>
      <c r="S741">
        <f t="shared" si="90"/>
        <v>0</v>
      </c>
    </row>
    <row r="742" spans="1:19" x14ac:dyDescent="0.3">
      <c r="A742" s="17">
        <v>44984</v>
      </c>
      <c r="B742">
        <v>405.89</v>
      </c>
      <c r="C742">
        <v>82.16</v>
      </c>
      <c r="D742">
        <f t="shared" si="87"/>
        <v>323.73</v>
      </c>
      <c r="E742">
        <v>1.26</v>
      </c>
      <c r="F742">
        <f t="shared" si="88"/>
        <v>-322.47000000000003</v>
      </c>
      <c r="I742">
        <f t="shared" si="84"/>
        <v>27</v>
      </c>
      <c r="J742">
        <v>1</v>
      </c>
      <c r="K742">
        <f t="shared" si="85"/>
        <v>2</v>
      </c>
      <c r="L742">
        <f t="shared" si="86"/>
        <v>2023</v>
      </c>
      <c r="N742" s="17">
        <f t="shared" si="89"/>
        <v>44958</v>
      </c>
      <c r="S742">
        <f t="shared" si="90"/>
        <v>0</v>
      </c>
    </row>
    <row r="743" spans="1:19" x14ac:dyDescent="0.3">
      <c r="A743" s="17">
        <v>44981</v>
      </c>
      <c r="B743">
        <v>402.68</v>
      </c>
      <c r="C743">
        <v>82.06</v>
      </c>
      <c r="D743">
        <f t="shared" si="87"/>
        <v>320.62</v>
      </c>
      <c r="E743">
        <v>1.1000000000000001</v>
      </c>
      <c r="F743">
        <f t="shared" si="88"/>
        <v>-319.52</v>
      </c>
      <c r="I743">
        <f t="shared" si="84"/>
        <v>24</v>
      </c>
      <c r="J743">
        <v>1</v>
      </c>
      <c r="K743">
        <f t="shared" si="85"/>
        <v>2</v>
      </c>
      <c r="L743">
        <f t="shared" si="86"/>
        <v>2023</v>
      </c>
      <c r="N743" s="17">
        <f t="shared" si="89"/>
        <v>44958</v>
      </c>
      <c r="S743">
        <f t="shared" si="90"/>
        <v>0</v>
      </c>
    </row>
    <row r="744" spans="1:19" x14ac:dyDescent="0.3">
      <c r="A744" s="17">
        <v>44980</v>
      </c>
      <c r="B744">
        <v>403.12</v>
      </c>
      <c r="C744">
        <v>80.05</v>
      </c>
      <c r="D744">
        <f t="shared" si="87"/>
        <v>323.07</v>
      </c>
      <c r="E744">
        <v>1.1299999999999999</v>
      </c>
      <c r="F744">
        <f t="shared" si="88"/>
        <v>-321.94</v>
      </c>
      <c r="I744">
        <f t="shared" si="84"/>
        <v>23</v>
      </c>
      <c r="J744">
        <v>1</v>
      </c>
      <c r="K744">
        <f t="shared" si="85"/>
        <v>2</v>
      </c>
      <c r="L744">
        <f t="shared" si="86"/>
        <v>2023</v>
      </c>
      <c r="N744" s="17">
        <f t="shared" si="89"/>
        <v>44958</v>
      </c>
      <c r="S744">
        <f t="shared" si="90"/>
        <v>0</v>
      </c>
    </row>
    <row r="745" spans="1:19" x14ac:dyDescent="0.3">
      <c r="A745" s="17">
        <v>44979</v>
      </c>
      <c r="B745">
        <v>412.03</v>
      </c>
      <c r="C745">
        <v>80.8</v>
      </c>
      <c r="D745">
        <f t="shared" si="87"/>
        <v>331.22999999999996</v>
      </c>
      <c r="E745">
        <v>1.2</v>
      </c>
      <c r="F745">
        <f t="shared" si="88"/>
        <v>-330.03</v>
      </c>
      <c r="I745">
        <f t="shared" si="84"/>
        <v>22</v>
      </c>
      <c r="J745">
        <v>1</v>
      </c>
      <c r="K745">
        <f t="shared" si="85"/>
        <v>2</v>
      </c>
      <c r="L745">
        <f t="shared" si="86"/>
        <v>2023</v>
      </c>
      <c r="N745" s="17">
        <f t="shared" si="89"/>
        <v>44958</v>
      </c>
      <c r="S745">
        <f t="shared" si="90"/>
        <v>0</v>
      </c>
    </row>
    <row r="746" spans="1:19" x14ac:dyDescent="0.3">
      <c r="A746" s="17">
        <v>44978</v>
      </c>
      <c r="B746">
        <v>408.13</v>
      </c>
      <c r="C746">
        <v>81.94</v>
      </c>
      <c r="D746">
        <f t="shared" si="87"/>
        <v>326.19</v>
      </c>
      <c r="E746">
        <v>1.2</v>
      </c>
      <c r="F746">
        <f t="shared" si="88"/>
        <v>-324.99</v>
      </c>
      <c r="I746">
        <f t="shared" si="84"/>
        <v>21</v>
      </c>
      <c r="J746">
        <v>1</v>
      </c>
      <c r="K746">
        <f t="shared" si="85"/>
        <v>2</v>
      </c>
      <c r="L746">
        <f t="shared" si="86"/>
        <v>2023</v>
      </c>
      <c r="N746" s="17">
        <f t="shared" si="89"/>
        <v>44958</v>
      </c>
      <c r="S746">
        <f t="shared" si="90"/>
        <v>0</v>
      </c>
    </row>
    <row r="747" spans="1:19" x14ac:dyDescent="0.3">
      <c r="A747" s="17">
        <v>44977</v>
      </c>
      <c r="B747">
        <v>406.02</v>
      </c>
      <c r="C747">
        <v>82.39</v>
      </c>
      <c r="D747">
        <f t="shared" si="87"/>
        <v>323.63</v>
      </c>
      <c r="E747">
        <v>1.18</v>
      </c>
      <c r="F747">
        <f t="shared" si="88"/>
        <v>-322.45</v>
      </c>
      <c r="I747">
        <f t="shared" si="84"/>
        <v>20</v>
      </c>
      <c r="J747">
        <v>1</v>
      </c>
      <c r="K747">
        <f t="shared" si="85"/>
        <v>2</v>
      </c>
      <c r="L747">
        <f t="shared" si="86"/>
        <v>2023</v>
      </c>
      <c r="N747" s="17">
        <f t="shared" si="89"/>
        <v>44958</v>
      </c>
      <c r="S747">
        <f t="shared" si="90"/>
        <v>0</v>
      </c>
    </row>
    <row r="748" spans="1:19" x14ac:dyDescent="0.3">
      <c r="A748" s="17">
        <v>44974</v>
      </c>
      <c r="B748">
        <v>404.75</v>
      </c>
      <c r="C748">
        <v>82.24</v>
      </c>
      <c r="D748">
        <f t="shared" si="87"/>
        <v>322.51</v>
      </c>
      <c r="E748">
        <v>1.27</v>
      </c>
      <c r="F748">
        <f t="shared" si="88"/>
        <v>-321.24</v>
      </c>
      <c r="I748">
        <f t="shared" si="84"/>
        <v>17</v>
      </c>
      <c r="J748">
        <v>1</v>
      </c>
      <c r="K748">
        <f t="shared" si="85"/>
        <v>2</v>
      </c>
      <c r="L748">
        <f t="shared" si="86"/>
        <v>2023</v>
      </c>
      <c r="N748" s="17">
        <f t="shared" si="89"/>
        <v>44958</v>
      </c>
      <c r="S748">
        <f t="shared" si="90"/>
        <v>0</v>
      </c>
    </row>
    <row r="749" spans="1:19" x14ac:dyDescent="0.3">
      <c r="A749" s="17">
        <v>44973</v>
      </c>
      <c r="B749">
        <v>413.5</v>
      </c>
      <c r="C749">
        <v>84.01</v>
      </c>
      <c r="D749">
        <f t="shared" si="87"/>
        <v>329.49</v>
      </c>
      <c r="E749">
        <v>1.23</v>
      </c>
      <c r="F749">
        <f t="shared" si="88"/>
        <v>-328.26</v>
      </c>
      <c r="I749">
        <f t="shared" si="84"/>
        <v>16</v>
      </c>
      <c r="J749">
        <v>1</v>
      </c>
      <c r="K749">
        <f t="shared" si="85"/>
        <v>2</v>
      </c>
      <c r="L749">
        <f t="shared" si="86"/>
        <v>2023</v>
      </c>
      <c r="N749" s="17">
        <f t="shared" si="89"/>
        <v>44958</v>
      </c>
      <c r="S749">
        <f t="shared" si="90"/>
        <v>0</v>
      </c>
    </row>
    <row r="750" spans="1:19" x14ac:dyDescent="0.3">
      <c r="A750" s="17">
        <v>44972</v>
      </c>
      <c r="B750">
        <v>401.87</v>
      </c>
      <c r="C750">
        <v>83.34</v>
      </c>
      <c r="D750">
        <f t="shared" si="87"/>
        <v>318.52999999999997</v>
      </c>
      <c r="E750">
        <v>1.51</v>
      </c>
      <c r="F750">
        <f t="shared" si="88"/>
        <v>-317.02</v>
      </c>
      <c r="I750">
        <f t="shared" si="84"/>
        <v>15</v>
      </c>
      <c r="J750">
        <v>1</v>
      </c>
      <c r="K750">
        <f t="shared" si="85"/>
        <v>2</v>
      </c>
      <c r="L750">
        <f t="shared" si="86"/>
        <v>2023</v>
      </c>
      <c r="N750" s="17">
        <f t="shared" si="89"/>
        <v>44958</v>
      </c>
      <c r="S750">
        <f t="shared" si="90"/>
        <v>0</v>
      </c>
    </row>
    <row r="751" spans="1:19" x14ac:dyDescent="0.3">
      <c r="A751" s="17">
        <v>44971</v>
      </c>
      <c r="B751">
        <v>408.89</v>
      </c>
      <c r="C751">
        <v>84.875</v>
      </c>
      <c r="D751">
        <f t="shared" si="87"/>
        <v>324.01499999999999</v>
      </c>
      <c r="E751">
        <v>1.41</v>
      </c>
      <c r="F751">
        <f t="shared" si="88"/>
        <v>-322.60499999999996</v>
      </c>
      <c r="I751">
        <f t="shared" si="84"/>
        <v>14</v>
      </c>
      <c r="J751">
        <v>1</v>
      </c>
      <c r="K751">
        <f t="shared" si="85"/>
        <v>2</v>
      </c>
      <c r="L751">
        <f t="shared" si="86"/>
        <v>2023</v>
      </c>
      <c r="N751" s="17">
        <f t="shared" si="89"/>
        <v>44958</v>
      </c>
      <c r="S751">
        <f t="shared" si="90"/>
        <v>0</v>
      </c>
    </row>
    <row r="752" spans="1:19" x14ac:dyDescent="0.3">
      <c r="A752" s="17">
        <v>44970</v>
      </c>
      <c r="B752">
        <v>400.96</v>
      </c>
      <c r="C752">
        <v>84.394999999999996</v>
      </c>
      <c r="D752">
        <f t="shared" si="87"/>
        <v>316.565</v>
      </c>
      <c r="E752">
        <v>1.47</v>
      </c>
      <c r="F752">
        <f t="shared" si="88"/>
        <v>-315.09499999999997</v>
      </c>
      <c r="I752">
        <f t="shared" si="84"/>
        <v>13</v>
      </c>
      <c r="J752">
        <v>1</v>
      </c>
      <c r="K752">
        <f t="shared" si="85"/>
        <v>2</v>
      </c>
      <c r="L752">
        <f t="shared" si="86"/>
        <v>2023</v>
      </c>
      <c r="N752" s="17">
        <f t="shared" si="89"/>
        <v>44958</v>
      </c>
      <c r="S752">
        <f t="shared" si="90"/>
        <v>0</v>
      </c>
    </row>
    <row r="753" spans="1:19" x14ac:dyDescent="0.3">
      <c r="A753" s="17">
        <v>44967</v>
      </c>
      <c r="B753">
        <v>396.19</v>
      </c>
      <c r="C753">
        <v>83.56</v>
      </c>
      <c r="D753">
        <f t="shared" si="87"/>
        <v>312.63</v>
      </c>
      <c r="E753">
        <v>1.32</v>
      </c>
      <c r="F753">
        <f t="shared" si="88"/>
        <v>-311.31</v>
      </c>
      <c r="I753">
        <f t="shared" si="84"/>
        <v>10</v>
      </c>
      <c r="J753">
        <v>1</v>
      </c>
      <c r="K753">
        <f t="shared" si="85"/>
        <v>2</v>
      </c>
      <c r="L753">
        <f t="shared" si="86"/>
        <v>2023</v>
      </c>
      <c r="N753" s="17">
        <f t="shared" si="89"/>
        <v>44958</v>
      </c>
      <c r="S753">
        <f t="shared" si="90"/>
        <v>0</v>
      </c>
    </row>
    <row r="754" spans="1:19" x14ac:dyDescent="0.3">
      <c r="A754" s="17">
        <v>44966</v>
      </c>
      <c r="B754">
        <v>396.99</v>
      </c>
      <c r="C754">
        <v>83.2</v>
      </c>
      <c r="D754">
        <f t="shared" si="87"/>
        <v>313.79000000000002</v>
      </c>
      <c r="E754">
        <v>1.37</v>
      </c>
      <c r="F754">
        <f t="shared" si="88"/>
        <v>-312.42</v>
      </c>
      <c r="I754">
        <f t="shared" si="84"/>
        <v>9</v>
      </c>
      <c r="J754">
        <v>1</v>
      </c>
      <c r="K754">
        <f t="shared" si="85"/>
        <v>2</v>
      </c>
      <c r="L754">
        <f t="shared" si="86"/>
        <v>2023</v>
      </c>
      <c r="N754" s="17">
        <f t="shared" si="89"/>
        <v>44958</v>
      </c>
      <c r="S754">
        <f t="shared" si="90"/>
        <v>0</v>
      </c>
    </row>
    <row r="755" spans="1:19" x14ac:dyDescent="0.3">
      <c r="A755" s="17">
        <v>44965</v>
      </c>
      <c r="B755">
        <v>380.63</v>
      </c>
      <c r="C755">
        <v>81.900000000000006</v>
      </c>
      <c r="D755">
        <f t="shared" si="87"/>
        <v>298.73</v>
      </c>
      <c r="E755">
        <v>1.39</v>
      </c>
      <c r="F755">
        <f t="shared" si="88"/>
        <v>-297.34000000000003</v>
      </c>
      <c r="I755">
        <f t="shared" si="84"/>
        <v>8</v>
      </c>
      <c r="J755">
        <v>1</v>
      </c>
      <c r="K755">
        <f t="shared" si="85"/>
        <v>2</v>
      </c>
      <c r="L755">
        <f t="shared" si="86"/>
        <v>2023</v>
      </c>
      <c r="N755" s="17">
        <f t="shared" si="89"/>
        <v>44958</v>
      </c>
      <c r="S755">
        <f t="shared" si="90"/>
        <v>0</v>
      </c>
    </row>
    <row r="756" spans="1:19" x14ac:dyDescent="0.3">
      <c r="A756" s="17">
        <v>44964</v>
      </c>
      <c r="B756">
        <v>368.03</v>
      </c>
      <c r="C756">
        <v>80.41</v>
      </c>
      <c r="D756">
        <f t="shared" si="87"/>
        <v>287.62</v>
      </c>
      <c r="E756">
        <v>1.58</v>
      </c>
      <c r="F756">
        <f t="shared" si="88"/>
        <v>-286.04000000000002</v>
      </c>
      <c r="I756">
        <f t="shared" si="84"/>
        <v>7</v>
      </c>
      <c r="J756">
        <v>1</v>
      </c>
      <c r="K756">
        <f t="shared" si="85"/>
        <v>2</v>
      </c>
      <c r="L756">
        <f t="shared" si="86"/>
        <v>2023</v>
      </c>
      <c r="N756" s="17">
        <f t="shared" si="89"/>
        <v>44958</v>
      </c>
      <c r="S756">
        <f t="shared" si="90"/>
        <v>0</v>
      </c>
    </row>
    <row r="757" spans="1:19" x14ac:dyDescent="0.3">
      <c r="A757" s="17">
        <v>44963</v>
      </c>
      <c r="B757">
        <v>355.3</v>
      </c>
      <c r="C757">
        <v>78.3</v>
      </c>
      <c r="D757">
        <f t="shared" si="87"/>
        <v>277</v>
      </c>
      <c r="E757">
        <v>2.04</v>
      </c>
      <c r="F757">
        <f t="shared" si="88"/>
        <v>-274.95999999999998</v>
      </c>
      <c r="I757">
        <f t="shared" si="84"/>
        <v>6</v>
      </c>
      <c r="J757">
        <v>1</v>
      </c>
      <c r="K757">
        <f t="shared" si="85"/>
        <v>2</v>
      </c>
      <c r="L757">
        <f t="shared" si="86"/>
        <v>2023</v>
      </c>
      <c r="N757" s="17">
        <f t="shared" si="89"/>
        <v>44958</v>
      </c>
      <c r="S757">
        <f t="shared" si="90"/>
        <v>0</v>
      </c>
    </row>
    <row r="758" spans="1:19" x14ac:dyDescent="0.3">
      <c r="A758" s="17">
        <v>44960</v>
      </c>
      <c r="B758">
        <v>358.61</v>
      </c>
      <c r="C758">
        <v>79.75</v>
      </c>
      <c r="D758">
        <f t="shared" si="87"/>
        <v>278.86</v>
      </c>
      <c r="E758">
        <v>2.15</v>
      </c>
      <c r="F758">
        <f t="shared" si="88"/>
        <v>-276.71000000000004</v>
      </c>
      <c r="I758">
        <f t="shared" si="84"/>
        <v>3</v>
      </c>
      <c r="J758">
        <v>1</v>
      </c>
      <c r="K758">
        <f t="shared" si="85"/>
        <v>2</v>
      </c>
      <c r="L758">
        <f t="shared" si="86"/>
        <v>2023</v>
      </c>
      <c r="N758" s="17">
        <f t="shared" si="89"/>
        <v>44958</v>
      </c>
      <c r="S758">
        <f t="shared" si="90"/>
        <v>1</v>
      </c>
    </row>
    <row r="759" spans="1:19" x14ac:dyDescent="0.3">
      <c r="A759" s="17">
        <v>44959</v>
      </c>
      <c r="B759">
        <v>371.91</v>
      </c>
      <c r="C759">
        <v>80.87</v>
      </c>
      <c r="D759">
        <f t="shared" si="87"/>
        <v>291.04000000000002</v>
      </c>
      <c r="E759">
        <v>2.5099999999999998</v>
      </c>
      <c r="F759">
        <f t="shared" si="88"/>
        <v>-288.53000000000003</v>
      </c>
      <c r="I759">
        <f t="shared" si="84"/>
        <v>2</v>
      </c>
      <c r="J759">
        <v>1</v>
      </c>
      <c r="K759">
        <f t="shared" si="85"/>
        <v>2</v>
      </c>
      <c r="L759">
        <f t="shared" si="86"/>
        <v>2023</v>
      </c>
      <c r="N759" s="17">
        <f t="shared" si="89"/>
        <v>44958</v>
      </c>
      <c r="S759">
        <f t="shared" si="90"/>
        <v>1</v>
      </c>
    </row>
    <row r="760" spans="1:19" x14ac:dyDescent="0.3">
      <c r="A760" s="17">
        <v>44958</v>
      </c>
      <c r="B760">
        <v>388.7</v>
      </c>
      <c r="C760">
        <v>83.555000000000007</v>
      </c>
      <c r="D760">
        <f t="shared" si="87"/>
        <v>305.14499999999998</v>
      </c>
      <c r="E760">
        <v>2.82</v>
      </c>
      <c r="F760">
        <f t="shared" si="88"/>
        <v>-302.32499999999999</v>
      </c>
      <c r="I760">
        <f t="shared" si="84"/>
        <v>1</v>
      </c>
      <c r="J760">
        <v>1</v>
      </c>
      <c r="K760">
        <f t="shared" si="85"/>
        <v>2</v>
      </c>
      <c r="L760">
        <f t="shared" si="86"/>
        <v>2023</v>
      </c>
      <c r="N760" s="17">
        <f t="shared" si="89"/>
        <v>44958</v>
      </c>
      <c r="S760">
        <f t="shared" si="90"/>
        <v>1</v>
      </c>
    </row>
    <row r="761" spans="1:19" x14ac:dyDescent="0.3">
      <c r="A761" s="17">
        <v>44957</v>
      </c>
      <c r="B761">
        <v>380.32</v>
      </c>
      <c r="C761">
        <v>80.88</v>
      </c>
      <c r="D761">
        <f t="shared" si="87"/>
        <v>299.44</v>
      </c>
      <c r="E761">
        <v>2.86</v>
      </c>
      <c r="F761">
        <f t="shared" si="88"/>
        <v>-296.58</v>
      </c>
      <c r="I761">
        <f t="shared" si="84"/>
        <v>31</v>
      </c>
      <c r="J761">
        <v>1</v>
      </c>
      <c r="K761">
        <f t="shared" si="85"/>
        <v>1</v>
      </c>
      <c r="L761">
        <f t="shared" si="86"/>
        <v>2023</v>
      </c>
      <c r="N761" s="17">
        <f t="shared" si="89"/>
        <v>44927</v>
      </c>
      <c r="S761">
        <f t="shared" si="90"/>
        <v>0</v>
      </c>
    </row>
    <row r="762" spans="1:19" x14ac:dyDescent="0.3">
      <c r="A762" s="17">
        <v>44956</v>
      </c>
      <c r="B762">
        <v>389.44</v>
      </c>
      <c r="C762">
        <v>82.6</v>
      </c>
      <c r="D762">
        <f t="shared" si="87"/>
        <v>306.84000000000003</v>
      </c>
      <c r="E762">
        <v>2.95</v>
      </c>
      <c r="F762">
        <f t="shared" si="88"/>
        <v>-303.89000000000004</v>
      </c>
      <c r="I762">
        <f t="shared" si="84"/>
        <v>30</v>
      </c>
      <c r="J762">
        <v>1</v>
      </c>
      <c r="K762">
        <f t="shared" si="85"/>
        <v>1</v>
      </c>
      <c r="L762">
        <f t="shared" si="86"/>
        <v>2023</v>
      </c>
      <c r="N762" s="17">
        <f t="shared" si="89"/>
        <v>44927</v>
      </c>
      <c r="S762">
        <f t="shared" si="90"/>
        <v>0</v>
      </c>
    </row>
    <row r="763" spans="1:19" x14ac:dyDescent="0.3">
      <c r="A763" s="17">
        <v>44953</v>
      </c>
      <c r="B763">
        <v>405.47</v>
      </c>
      <c r="C763">
        <v>84.15</v>
      </c>
      <c r="D763">
        <f t="shared" si="87"/>
        <v>321.32000000000005</v>
      </c>
      <c r="E763">
        <v>2.68</v>
      </c>
      <c r="F763">
        <f t="shared" si="88"/>
        <v>-318.64000000000004</v>
      </c>
      <c r="I763">
        <f t="shared" si="84"/>
        <v>27</v>
      </c>
      <c r="J763">
        <v>1</v>
      </c>
      <c r="K763">
        <f t="shared" si="85"/>
        <v>1</v>
      </c>
      <c r="L763">
        <f t="shared" si="86"/>
        <v>2023</v>
      </c>
      <c r="N763" s="17">
        <f t="shared" si="89"/>
        <v>44927</v>
      </c>
      <c r="S763">
        <f t="shared" si="90"/>
        <v>0</v>
      </c>
    </row>
    <row r="764" spans="1:19" x14ac:dyDescent="0.3">
      <c r="A764" s="17">
        <v>44952</v>
      </c>
      <c r="B764">
        <v>395.49</v>
      </c>
      <c r="C764">
        <v>83.19</v>
      </c>
      <c r="D764">
        <f t="shared" si="87"/>
        <v>312.3</v>
      </c>
      <c r="E764">
        <v>2.41</v>
      </c>
      <c r="F764">
        <f t="shared" si="88"/>
        <v>-309.89</v>
      </c>
      <c r="I764">
        <f t="shared" si="84"/>
        <v>26</v>
      </c>
      <c r="J764">
        <v>1</v>
      </c>
      <c r="K764">
        <f t="shared" si="85"/>
        <v>1</v>
      </c>
      <c r="L764">
        <f t="shared" si="86"/>
        <v>2023</v>
      </c>
      <c r="N764" s="17">
        <f t="shared" si="89"/>
        <v>44927</v>
      </c>
      <c r="S764">
        <f t="shared" si="90"/>
        <v>0</v>
      </c>
    </row>
    <row r="765" spans="1:19" x14ac:dyDescent="0.3">
      <c r="A765" s="17">
        <v>44951</v>
      </c>
      <c r="B765">
        <v>399.37</v>
      </c>
      <c r="C765">
        <v>83.5</v>
      </c>
      <c r="D765">
        <f t="shared" si="87"/>
        <v>315.87</v>
      </c>
      <c r="E765">
        <v>2.35</v>
      </c>
      <c r="F765">
        <f t="shared" si="88"/>
        <v>-313.52</v>
      </c>
      <c r="I765">
        <f t="shared" si="84"/>
        <v>25</v>
      </c>
      <c r="J765">
        <v>1</v>
      </c>
      <c r="K765">
        <f t="shared" si="85"/>
        <v>1</v>
      </c>
      <c r="L765">
        <f t="shared" si="86"/>
        <v>2023</v>
      </c>
      <c r="N765" s="17">
        <f t="shared" si="89"/>
        <v>44927</v>
      </c>
      <c r="S765">
        <f t="shared" si="90"/>
        <v>0</v>
      </c>
    </row>
    <row r="766" spans="1:19" x14ac:dyDescent="0.3">
      <c r="A766" s="17">
        <v>44946</v>
      </c>
      <c r="B766">
        <v>396.4</v>
      </c>
      <c r="C766">
        <v>83.84</v>
      </c>
      <c r="D766">
        <f t="shared" si="87"/>
        <v>312.55999999999995</v>
      </c>
      <c r="E766">
        <v>2.42</v>
      </c>
      <c r="F766">
        <f t="shared" si="88"/>
        <v>-310.13999999999993</v>
      </c>
      <c r="I766">
        <f t="shared" si="84"/>
        <v>20</v>
      </c>
      <c r="J766">
        <v>1</v>
      </c>
      <c r="K766">
        <f t="shared" si="85"/>
        <v>1</v>
      </c>
      <c r="L766">
        <f t="shared" si="86"/>
        <v>2023</v>
      </c>
      <c r="N766" s="17">
        <f t="shared" si="89"/>
        <v>44927</v>
      </c>
      <c r="S766">
        <f t="shared" si="90"/>
        <v>0</v>
      </c>
    </row>
    <row r="767" spans="1:19" x14ac:dyDescent="0.3">
      <c r="A767" s="17">
        <v>44945</v>
      </c>
      <c r="B767">
        <v>391.26</v>
      </c>
      <c r="C767">
        <v>81.39</v>
      </c>
      <c r="D767">
        <f t="shared" si="87"/>
        <v>309.87</v>
      </c>
      <c r="E767">
        <v>1.96</v>
      </c>
      <c r="F767">
        <f t="shared" si="88"/>
        <v>-307.91000000000003</v>
      </c>
      <c r="I767">
        <f t="shared" si="84"/>
        <v>19</v>
      </c>
      <c r="J767">
        <v>1</v>
      </c>
      <c r="K767">
        <f t="shared" si="85"/>
        <v>1</v>
      </c>
      <c r="L767">
        <f t="shared" si="86"/>
        <v>2023</v>
      </c>
      <c r="N767" s="17">
        <f t="shared" si="89"/>
        <v>44927</v>
      </c>
      <c r="S767">
        <f t="shared" si="90"/>
        <v>0</v>
      </c>
    </row>
    <row r="768" spans="1:19" x14ac:dyDescent="0.3">
      <c r="A768" s="17">
        <v>44944</v>
      </c>
      <c r="B768">
        <v>395.09</v>
      </c>
      <c r="C768">
        <v>83.65</v>
      </c>
      <c r="D768">
        <f t="shared" si="87"/>
        <v>311.43999999999994</v>
      </c>
      <c r="E768">
        <v>1.88</v>
      </c>
      <c r="F768">
        <f t="shared" si="88"/>
        <v>-309.55999999999995</v>
      </c>
      <c r="I768">
        <f t="shared" si="84"/>
        <v>18</v>
      </c>
      <c r="J768">
        <v>1</v>
      </c>
      <c r="K768">
        <f t="shared" si="85"/>
        <v>1</v>
      </c>
      <c r="L768">
        <f t="shared" si="86"/>
        <v>2023</v>
      </c>
      <c r="N768" s="17">
        <f t="shared" si="89"/>
        <v>44927</v>
      </c>
      <c r="S768">
        <f t="shared" si="90"/>
        <v>0</v>
      </c>
    </row>
    <row r="769" spans="1:19" x14ac:dyDescent="0.3">
      <c r="A769" s="17">
        <v>44943</v>
      </c>
      <c r="B769">
        <v>379.32</v>
      </c>
      <c r="C769">
        <v>82.49</v>
      </c>
      <c r="D769">
        <f t="shared" si="87"/>
        <v>296.83</v>
      </c>
      <c r="E769">
        <v>2.0499999999999998</v>
      </c>
      <c r="F769">
        <f t="shared" si="88"/>
        <v>-294.77999999999997</v>
      </c>
      <c r="I769">
        <f t="shared" si="84"/>
        <v>17</v>
      </c>
      <c r="J769">
        <v>1</v>
      </c>
      <c r="K769">
        <f t="shared" si="85"/>
        <v>1</v>
      </c>
      <c r="L769">
        <f t="shared" si="86"/>
        <v>2023</v>
      </c>
      <c r="N769" s="17">
        <f t="shared" si="89"/>
        <v>44927</v>
      </c>
      <c r="S769">
        <f t="shared" si="90"/>
        <v>0</v>
      </c>
    </row>
    <row r="770" spans="1:19" x14ac:dyDescent="0.3">
      <c r="A770" s="17">
        <v>44942</v>
      </c>
      <c r="B770">
        <v>368.7</v>
      </c>
      <c r="C770">
        <v>81.75</v>
      </c>
      <c r="D770">
        <f t="shared" si="87"/>
        <v>286.95</v>
      </c>
      <c r="E770">
        <v>2.0499999999999998</v>
      </c>
      <c r="F770">
        <f t="shared" si="88"/>
        <v>-284.89999999999998</v>
      </c>
      <c r="I770">
        <f t="shared" si="84"/>
        <v>16</v>
      </c>
      <c r="J770">
        <v>1</v>
      </c>
      <c r="K770">
        <f t="shared" si="85"/>
        <v>1</v>
      </c>
      <c r="L770">
        <f t="shared" si="86"/>
        <v>2023</v>
      </c>
      <c r="N770" s="17">
        <f t="shared" si="89"/>
        <v>44927</v>
      </c>
      <c r="S770">
        <f t="shared" si="90"/>
        <v>0</v>
      </c>
    </row>
    <row r="771" spans="1:19" x14ac:dyDescent="0.3">
      <c r="A771" s="17">
        <v>44939</v>
      </c>
      <c r="B771">
        <v>365.58</v>
      </c>
      <c r="C771">
        <v>81.05</v>
      </c>
      <c r="D771">
        <f t="shared" si="87"/>
        <v>284.52999999999997</v>
      </c>
      <c r="E771">
        <v>1.97</v>
      </c>
      <c r="F771">
        <f t="shared" si="88"/>
        <v>-282.55999999999995</v>
      </c>
      <c r="I771">
        <f t="shared" si="84"/>
        <v>13</v>
      </c>
      <c r="J771">
        <v>1</v>
      </c>
      <c r="K771">
        <f t="shared" si="85"/>
        <v>1</v>
      </c>
      <c r="L771">
        <f t="shared" si="86"/>
        <v>2023</v>
      </c>
      <c r="N771" s="17">
        <f t="shared" si="89"/>
        <v>44927</v>
      </c>
      <c r="S771">
        <f t="shared" si="90"/>
        <v>0</v>
      </c>
    </row>
    <row r="772" spans="1:19" x14ac:dyDescent="0.3">
      <c r="A772" s="17">
        <v>44938</v>
      </c>
      <c r="B772">
        <v>359.55</v>
      </c>
      <c r="C772">
        <v>79.5</v>
      </c>
      <c r="D772">
        <f t="shared" si="87"/>
        <v>280.05</v>
      </c>
      <c r="E772">
        <v>1.93</v>
      </c>
      <c r="F772">
        <f t="shared" si="88"/>
        <v>-278.12</v>
      </c>
      <c r="I772">
        <f t="shared" si="84"/>
        <v>12</v>
      </c>
      <c r="J772">
        <v>1</v>
      </c>
      <c r="K772">
        <f t="shared" si="85"/>
        <v>1</v>
      </c>
      <c r="L772">
        <f t="shared" si="86"/>
        <v>2023</v>
      </c>
      <c r="N772" s="17">
        <f t="shared" si="89"/>
        <v>44927</v>
      </c>
      <c r="S772">
        <f t="shared" si="90"/>
        <v>0</v>
      </c>
    </row>
    <row r="773" spans="1:19" x14ac:dyDescent="0.3">
      <c r="A773" s="17">
        <v>44937</v>
      </c>
      <c r="B773">
        <v>352.14</v>
      </c>
      <c r="C773">
        <v>76.8</v>
      </c>
      <c r="D773">
        <f t="shared" si="87"/>
        <v>275.33999999999997</v>
      </c>
      <c r="E773">
        <v>2</v>
      </c>
      <c r="F773">
        <f t="shared" si="88"/>
        <v>-273.33999999999997</v>
      </c>
      <c r="I773">
        <f t="shared" ref="I773:I836" si="91">+DAY(A773)</f>
        <v>11</v>
      </c>
      <c r="J773">
        <v>1</v>
      </c>
      <c r="K773">
        <f t="shared" ref="K773:K836" si="92">+MONTH(A773)</f>
        <v>1</v>
      </c>
      <c r="L773">
        <f t="shared" ref="L773:L836" si="93">+YEAR(A773)</f>
        <v>2023</v>
      </c>
      <c r="N773" s="17">
        <f t="shared" si="89"/>
        <v>44927</v>
      </c>
      <c r="S773">
        <f t="shared" si="90"/>
        <v>0</v>
      </c>
    </row>
    <row r="774" spans="1:19" x14ac:dyDescent="0.3">
      <c r="A774" s="17">
        <v>44936</v>
      </c>
      <c r="B774">
        <v>352.3</v>
      </c>
      <c r="C774">
        <v>76</v>
      </c>
      <c r="D774">
        <f t="shared" ref="D774:D837" si="94">+B774-C774</f>
        <v>276.3</v>
      </c>
      <c r="E774">
        <v>1.68</v>
      </c>
      <c r="F774">
        <f t="shared" ref="F774:F837" si="95">+E774-D774</f>
        <v>-274.62</v>
      </c>
      <c r="I774">
        <f t="shared" si="91"/>
        <v>10</v>
      </c>
      <c r="J774">
        <v>1</v>
      </c>
      <c r="K774">
        <f t="shared" si="92"/>
        <v>1</v>
      </c>
      <c r="L774">
        <f t="shared" si="93"/>
        <v>2023</v>
      </c>
      <c r="N774" s="17">
        <f t="shared" ref="N774:N837" si="96">+DATE(L774,K774,J774)</f>
        <v>44927</v>
      </c>
      <c r="S774">
        <f t="shared" ref="S774:S837" si="97">IF(AND(I774&gt;=1, I774&lt;=4), 1, 0)</f>
        <v>0</v>
      </c>
    </row>
    <row r="775" spans="1:19" x14ac:dyDescent="0.3">
      <c r="A775" s="17">
        <v>44935</v>
      </c>
      <c r="B775">
        <v>355.98</v>
      </c>
      <c r="C775">
        <v>77.05</v>
      </c>
      <c r="D775">
        <f t="shared" si="94"/>
        <v>278.93</v>
      </c>
      <c r="E775">
        <v>1.65</v>
      </c>
      <c r="F775">
        <f t="shared" si="95"/>
        <v>-277.28000000000003</v>
      </c>
      <c r="I775">
        <f t="shared" si="91"/>
        <v>9</v>
      </c>
      <c r="J775">
        <v>1</v>
      </c>
      <c r="K775">
        <f t="shared" si="92"/>
        <v>1</v>
      </c>
      <c r="L775">
        <f t="shared" si="93"/>
        <v>2023</v>
      </c>
      <c r="N775" s="17">
        <f t="shared" si="96"/>
        <v>44927</v>
      </c>
      <c r="S775">
        <f t="shared" si="97"/>
        <v>0</v>
      </c>
    </row>
    <row r="776" spans="1:19" x14ac:dyDescent="0.3">
      <c r="A776" s="17">
        <v>44932</v>
      </c>
      <c r="B776">
        <v>345.6</v>
      </c>
      <c r="C776">
        <v>75.14</v>
      </c>
      <c r="D776">
        <f t="shared" si="94"/>
        <v>270.46000000000004</v>
      </c>
      <c r="E776">
        <v>1.69</v>
      </c>
      <c r="F776">
        <f t="shared" si="95"/>
        <v>-268.77000000000004</v>
      </c>
      <c r="I776">
        <f t="shared" si="91"/>
        <v>6</v>
      </c>
      <c r="J776">
        <v>1</v>
      </c>
      <c r="K776">
        <f t="shared" si="92"/>
        <v>1</v>
      </c>
      <c r="L776">
        <f t="shared" si="93"/>
        <v>2023</v>
      </c>
      <c r="N776" s="17">
        <f t="shared" si="96"/>
        <v>44927</v>
      </c>
      <c r="S776">
        <f t="shared" si="97"/>
        <v>0</v>
      </c>
    </row>
    <row r="777" spans="1:19" x14ac:dyDescent="0.3">
      <c r="A777" s="17">
        <v>44931</v>
      </c>
      <c r="B777">
        <v>343.4</v>
      </c>
      <c r="C777">
        <v>75.14</v>
      </c>
      <c r="D777">
        <f t="shared" si="94"/>
        <v>268.26</v>
      </c>
      <c r="E777">
        <v>1.79</v>
      </c>
      <c r="F777">
        <f t="shared" si="95"/>
        <v>-266.46999999999997</v>
      </c>
      <c r="I777">
        <f t="shared" si="91"/>
        <v>5</v>
      </c>
      <c r="J777">
        <v>1</v>
      </c>
      <c r="K777">
        <f t="shared" si="92"/>
        <v>1</v>
      </c>
      <c r="L777">
        <f t="shared" si="93"/>
        <v>2023</v>
      </c>
      <c r="N777" s="17">
        <f t="shared" si="96"/>
        <v>44927</v>
      </c>
      <c r="S777">
        <f t="shared" si="97"/>
        <v>0</v>
      </c>
    </row>
    <row r="778" spans="1:19" x14ac:dyDescent="0.3">
      <c r="A778" s="17">
        <v>44930</v>
      </c>
      <c r="B778">
        <v>347.15</v>
      </c>
      <c r="C778">
        <v>77.055000000000007</v>
      </c>
      <c r="D778">
        <f t="shared" si="94"/>
        <v>270.09499999999997</v>
      </c>
      <c r="E778">
        <v>1.8</v>
      </c>
      <c r="F778">
        <f t="shared" si="95"/>
        <v>-268.29499999999996</v>
      </c>
      <c r="I778">
        <f t="shared" si="91"/>
        <v>4</v>
      </c>
      <c r="J778">
        <v>1</v>
      </c>
      <c r="K778">
        <f t="shared" si="92"/>
        <v>1</v>
      </c>
      <c r="L778">
        <f t="shared" si="93"/>
        <v>2023</v>
      </c>
      <c r="N778" s="17">
        <f t="shared" si="96"/>
        <v>44927</v>
      </c>
      <c r="S778">
        <f t="shared" si="97"/>
        <v>1</v>
      </c>
    </row>
    <row r="779" spans="1:19" x14ac:dyDescent="0.3">
      <c r="A779" s="17">
        <v>44929</v>
      </c>
      <c r="B779">
        <v>378.67</v>
      </c>
      <c r="C779">
        <v>82.055000000000007</v>
      </c>
      <c r="D779">
        <f t="shared" si="94"/>
        <v>296.61500000000001</v>
      </c>
      <c r="E779">
        <v>1.72</v>
      </c>
      <c r="F779">
        <f t="shared" si="95"/>
        <v>-294.89499999999998</v>
      </c>
      <c r="I779">
        <f t="shared" si="91"/>
        <v>3</v>
      </c>
      <c r="J779">
        <v>1</v>
      </c>
      <c r="K779">
        <f t="shared" si="92"/>
        <v>1</v>
      </c>
      <c r="L779">
        <f t="shared" si="93"/>
        <v>2023</v>
      </c>
      <c r="N779" s="17">
        <f t="shared" si="96"/>
        <v>44927</v>
      </c>
      <c r="S779">
        <f t="shared" si="97"/>
        <v>1</v>
      </c>
    </row>
    <row r="780" spans="1:19" x14ac:dyDescent="0.3">
      <c r="A780" s="17">
        <v>44925</v>
      </c>
      <c r="B780">
        <v>376.9</v>
      </c>
      <c r="C780">
        <v>78.75</v>
      </c>
      <c r="D780">
        <f t="shared" si="94"/>
        <v>298.14999999999998</v>
      </c>
      <c r="E780">
        <v>1.88</v>
      </c>
      <c r="F780">
        <f t="shared" si="95"/>
        <v>-296.27</v>
      </c>
      <c r="I780">
        <f t="shared" si="91"/>
        <v>30</v>
      </c>
      <c r="J780">
        <v>1</v>
      </c>
      <c r="K780">
        <f t="shared" si="92"/>
        <v>12</v>
      </c>
      <c r="L780">
        <f t="shared" si="93"/>
        <v>2022</v>
      </c>
      <c r="N780" s="17">
        <f t="shared" si="96"/>
        <v>44896</v>
      </c>
      <c r="S780">
        <f t="shared" si="97"/>
        <v>0</v>
      </c>
    </row>
    <row r="781" spans="1:19" x14ac:dyDescent="0.3">
      <c r="A781" s="17">
        <v>44924</v>
      </c>
      <c r="B781">
        <v>368.67</v>
      </c>
      <c r="C781">
        <v>78.11</v>
      </c>
      <c r="D781">
        <f t="shared" si="94"/>
        <v>290.56</v>
      </c>
      <c r="E781">
        <v>1.92</v>
      </c>
      <c r="F781">
        <f t="shared" si="95"/>
        <v>-288.64</v>
      </c>
      <c r="I781">
        <f t="shared" si="91"/>
        <v>29</v>
      </c>
      <c r="J781">
        <v>1</v>
      </c>
      <c r="K781">
        <f t="shared" si="92"/>
        <v>12</v>
      </c>
      <c r="L781">
        <f t="shared" si="93"/>
        <v>2022</v>
      </c>
      <c r="N781" s="17">
        <f t="shared" si="96"/>
        <v>44896</v>
      </c>
      <c r="S781">
        <f t="shared" si="97"/>
        <v>0</v>
      </c>
    </row>
    <row r="782" spans="1:19" x14ac:dyDescent="0.3">
      <c r="A782" s="17">
        <v>44923</v>
      </c>
      <c r="B782">
        <v>378.6</v>
      </c>
      <c r="C782">
        <v>79.95</v>
      </c>
      <c r="D782">
        <f t="shared" si="94"/>
        <v>298.65000000000003</v>
      </c>
      <c r="E782">
        <v>1.48</v>
      </c>
      <c r="F782">
        <f t="shared" si="95"/>
        <v>-297.17</v>
      </c>
      <c r="I782">
        <f t="shared" si="91"/>
        <v>28</v>
      </c>
      <c r="J782">
        <v>1</v>
      </c>
      <c r="K782">
        <f t="shared" si="92"/>
        <v>12</v>
      </c>
      <c r="L782">
        <f t="shared" si="93"/>
        <v>2022</v>
      </c>
      <c r="N782" s="17">
        <f t="shared" si="96"/>
        <v>44896</v>
      </c>
      <c r="S782">
        <f t="shared" si="97"/>
        <v>0</v>
      </c>
    </row>
    <row r="783" spans="1:19" x14ac:dyDescent="0.3">
      <c r="A783" s="17">
        <v>44922</v>
      </c>
      <c r="B783">
        <v>378.17</v>
      </c>
      <c r="C783">
        <v>80.59</v>
      </c>
      <c r="D783">
        <f t="shared" si="94"/>
        <v>297.58000000000004</v>
      </c>
      <c r="E783">
        <v>1.63</v>
      </c>
      <c r="F783">
        <f t="shared" si="95"/>
        <v>-295.95000000000005</v>
      </c>
      <c r="I783">
        <f t="shared" si="91"/>
        <v>27</v>
      </c>
      <c r="J783">
        <v>1</v>
      </c>
      <c r="K783">
        <f t="shared" si="92"/>
        <v>12</v>
      </c>
      <c r="L783">
        <f t="shared" si="93"/>
        <v>2022</v>
      </c>
      <c r="N783" s="17">
        <f t="shared" si="96"/>
        <v>44896</v>
      </c>
      <c r="S783">
        <f t="shared" si="97"/>
        <v>0</v>
      </c>
    </row>
    <row r="784" spans="1:19" x14ac:dyDescent="0.3">
      <c r="A784" s="17">
        <v>44918</v>
      </c>
      <c r="B784">
        <v>382.25</v>
      </c>
      <c r="C784">
        <v>78.099999999999994</v>
      </c>
      <c r="D784">
        <f t="shared" si="94"/>
        <v>304.14999999999998</v>
      </c>
      <c r="E784">
        <v>1.58</v>
      </c>
      <c r="F784">
        <f t="shared" si="95"/>
        <v>-302.57</v>
      </c>
      <c r="I784">
        <f t="shared" si="91"/>
        <v>23</v>
      </c>
      <c r="J784">
        <v>1</v>
      </c>
      <c r="K784">
        <f t="shared" si="92"/>
        <v>12</v>
      </c>
      <c r="L784">
        <f t="shared" si="93"/>
        <v>2022</v>
      </c>
      <c r="N784" s="17">
        <f t="shared" si="96"/>
        <v>44896</v>
      </c>
      <c r="S784">
        <f t="shared" si="97"/>
        <v>0</v>
      </c>
    </row>
    <row r="785" spans="1:19" x14ac:dyDescent="0.3">
      <c r="A785" s="17">
        <v>44917</v>
      </c>
      <c r="B785">
        <v>382.32</v>
      </c>
      <c r="C785">
        <v>78.849999999999994</v>
      </c>
      <c r="D785">
        <f t="shared" si="94"/>
        <v>303.47000000000003</v>
      </c>
      <c r="E785">
        <v>1.53</v>
      </c>
      <c r="F785">
        <f t="shared" si="95"/>
        <v>-301.94000000000005</v>
      </c>
      <c r="I785">
        <f t="shared" si="91"/>
        <v>22</v>
      </c>
      <c r="J785">
        <v>1</v>
      </c>
      <c r="K785">
        <f t="shared" si="92"/>
        <v>12</v>
      </c>
      <c r="L785">
        <f t="shared" si="93"/>
        <v>2022</v>
      </c>
      <c r="N785" s="17">
        <f t="shared" si="96"/>
        <v>44896</v>
      </c>
      <c r="S785">
        <f t="shared" si="97"/>
        <v>0</v>
      </c>
    </row>
    <row r="786" spans="1:19" x14ac:dyDescent="0.3">
      <c r="A786" s="17">
        <v>44916</v>
      </c>
      <c r="B786">
        <v>365.98</v>
      </c>
      <c r="C786">
        <v>76.7</v>
      </c>
      <c r="D786">
        <f t="shared" si="94"/>
        <v>289.28000000000003</v>
      </c>
      <c r="E786">
        <v>1.71</v>
      </c>
      <c r="F786">
        <f t="shared" si="95"/>
        <v>-287.57000000000005</v>
      </c>
      <c r="I786">
        <f t="shared" si="91"/>
        <v>21</v>
      </c>
      <c r="J786">
        <v>1</v>
      </c>
      <c r="K786">
        <f t="shared" si="92"/>
        <v>12</v>
      </c>
      <c r="L786">
        <f t="shared" si="93"/>
        <v>2022</v>
      </c>
      <c r="N786" s="17">
        <f t="shared" si="96"/>
        <v>44896</v>
      </c>
      <c r="S786">
        <f t="shared" si="97"/>
        <v>0</v>
      </c>
    </row>
    <row r="787" spans="1:19" x14ac:dyDescent="0.3">
      <c r="A787" s="17">
        <v>44915</v>
      </c>
      <c r="B787">
        <v>346.34</v>
      </c>
      <c r="C787">
        <v>75.75</v>
      </c>
      <c r="D787">
        <f t="shared" si="94"/>
        <v>270.58999999999997</v>
      </c>
      <c r="E787">
        <v>1.61</v>
      </c>
      <c r="F787">
        <f t="shared" si="95"/>
        <v>-268.97999999999996</v>
      </c>
      <c r="I787">
        <f t="shared" si="91"/>
        <v>20</v>
      </c>
      <c r="J787">
        <v>1</v>
      </c>
      <c r="K787">
        <f t="shared" si="92"/>
        <v>12</v>
      </c>
      <c r="L787">
        <f t="shared" si="93"/>
        <v>2022</v>
      </c>
      <c r="N787" s="17">
        <f t="shared" si="96"/>
        <v>44896</v>
      </c>
      <c r="S787">
        <f t="shared" si="97"/>
        <v>0</v>
      </c>
    </row>
    <row r="788" spans="1:19" x14ac:dyDescent="0.3">
      <c r="A788" s="17">
        <v>44914</v>
      </c>
      <c r="B788">
        <v>341.29</v>
      </c>
      <c r="C788">
        <v>75.34</v>
      </c>
      <c r="D788">
        <f t="shared" si="94"/>
        <v>265.95000000000005</v>
      </c>
      <c r="E788">
        <v>1.41</v>
      </c>
      <c r="F788">
        <f t="shared" si="95"/>
        <v>-264.54000000000002</v>
      </c>
      <c r="I788">
        <f t="shared" si="91"/>
        <v>19</v>
      </c>
      <c r="J788">
        <v>1</v>
      </c>
      <c r="K788">
        <f t="shared" si="92"/>
        <v>12</v>
      </c>
      <c r="L788">
        <f t="shared" si="93"/>
        <v>2022</v>
      </c>
      <c r="N788" s="17">
        <f t="shared" si="96"/>
        <v>44896</v>
      </c>
      <c r="S788">
        <f t="shared" si="97"/>
        <v>0</v>
      </c>
    </row>
    <row r="789" spans="1:19" x14ac:dyDescent="0.3">
      <c r="A789" s="17">
        <v>44911</v>
      </c>
      <c r="B789">
        <v>339.65</v>
      </c>
      <c r="C789">
        <v>76.349999999999994</v>
      </c>
      <c r="D789">
        <f t="shared" si="94"/>
        <v>263.29999999999995</v>
      </c>
      <c r="E789">
        <v>1.53</v>
      </c>
      <c r="F789">
        <f t="shared" si="95"/>
        <v>-261.77</v>
      </c>
      <c r="I789">
        <f t="shared" si="91"/>
        <v>16</v>
      </c>
      <c r="J789">
        <v>1</v>
      </c>
      <c r="K789">
        <f t="shared" si="92"/>
        <v>12</v>
      </c>
      <c r="L789">
        <f t="shared" si="93"/>
        <v>2022</v>
      </c>
      <c r="N789" s="17">
        <f t="shared" si="96"/>
        <v>44896</v>
      </c>
      <c r="S789">
        <f t="shared" si="97"/>
        <v>0</v>
      </c>
    </row>
    <row r="790" spans="1:19" x14ac:dyDescent="0.3">
      <c r="A790" s="17">
        <v>44910</v>
      </c>
      <c r="B790">
        <v>355.25</v>
      </c>
      <c r="C790">
        <v>77.69</v>
      </c>
      <c r="D790">
        <f t="shared" si="94"/>
        <v>277.56</v>
      </c>
      <c r="E790">
        <v>1.61</v>
      </c>
      <c r="F790">
        <f t="shared" si="95"/>
        <v>-275.95</v>
      </c>
      <c r="I790">
        <f t="shared" si="91"/>
        <v>15</v>
      </c>
      <c r="J790">
        <v>1</v>
      </c>
      <c r="K790">
        <f t="shared" si="92"/>
        <v>12</v>
      </c>
      <c r="L790">
        <f t="shared" si="93"/>
        <v>2022</v>
      </c>
      <c r="N790" s="17">
        <f t="shared" si="96"/>
        <v>44896</v>
      </c>
      <c r="S790">
        <f t="shared" si="97"/>
        <v>0</v>
      </c>
    </row>
    <row r="791" spans="1:19" x14ac:dyDescent="0.3">
      <c r="A791" s="17">
        <v>44909</v>
      </c>
      <c r="B791">
        <v>353.36</v>
      </c>
      <c r="C791">
        <v>76.69</v>
      </c>
      <c r="D791">
        <f t="shared" si="94"/>
        <v>276.67</v>
      </c>
      <c r="E791">
        <v>1.5</v>
      </c>
      <c r="F791">
        <f t="shared" si="95"/>
        <v>-275.17</v>
      </c>
      <c r="I791">
        <f t="shared" si="91"/>
        <v>14</v>
      </c>
      <c r="J791">
        <v>1</v>
      </c>
      <c r="K791">
        <f t="shared" si="92"/>
        <v>12</v>
      </c>
      <c r="L791">
        <f t="shared" si="93"/>
        <v>2022</v>
      </c>
      <c r="N791" s="17">
        <f t="shared" si="96"/>
        <v>44896</v>
      </c>
      <c r="S791">
        <f t="shared" si="97"/>
        <v>0</v>
      </c>
    </row>
    <row r="792" spans="1:19" x14ac:dyDescent="0.3">
      <c r="A792" s="17">
        <v>44908</v>
      </c>
      <c r="B792">
        <v>353.66</v>
      </c>
      <c r="C792">
        <v>75.444999999999993</v>
      </c>
      <c r="D792">
        <f t="shared" si="94"/>
        <v>278.21500000000003</v>
      </c>
      <c r="E792">
        <v>1.35</v>
      </c>
      <c r="F792">
        <f t="shared" si="95"/>
        <v>-276.86500000000001</v>
      </c>
      <c r="I792">
        <f t="shared" si="91"/>
        <v>13</v>
      </c>
      <c r="J792">
        <v>1</v>
      </c>
      <c r="K792">
        <f t="shared" si="92"/>
        <v>12</v>
      </c>
      <c r="L792">
        <f t="shared" si="93"/>
        <v>2022</v>
      </c>
      <c r="N792" s="17">
        <f t="shared" si="96"/>
        <v>44896</v>
      </c>
      <c r="S792">
        <f t="shared" si="97"/>
        <v>0</v>
      </c>
    </row>
    <row r="793" spans="1:19" x14ac:dyDescent="0.3">
      <c r="A793" s="17">
        <v>44907</v>
      </c>
      <c r="B793">
        <v>338.49</v>
      </c>
      <c r="C793">
        <v>71.81</v>
      </c>
      <c r="D793">
        <f t="shared" si="94"/>
        <v>266.68</v>
      </c>
      <c r="E793">
        <v>1.06</v>
      </c>
      <c r="F793">
        <f t="shared" si="95"/>
        <v>-265.62</v>
      </c>
      <c r="I793">
        <f t="shared" si="91"/>
        <v>12</v>
      </c>
      <c r="J793">
        <v>1</v>
      </c>
      <c r="K793">
        <f t="shared" si="92"/>
        <v>12</v>
      </c>
      <c r="L793">
        <f t="shared" si="93"/>
        <v>2022</v>
      </c>
      <c r="N793" s="17">
        <f t="shared" si="96"/>
        <v>44896</v>
      </c>
      <c r="S793">
        <f t="shared" si="97"/>
        <v>0</v>
      </c>
    </row>
    <row r="794" spans="1:19" x14ac:dyDescent="0.3">
      <c r="A794" s="17">
        <v>44904</v>
      </c>
      <c r="B794">
        <v>351.86</v>
      </c>
      <c r="C794">
        <v>72.05</v>
      </c>
      <c r="D794">
        <f t="shared" si="94"/>
        <v>279.81</v>
      </c>
      <c r="E794">
        <v>1.1399999999999999</v>
      </c>
      <c r="F794">
        <f t="shared" si="95"/>
        <v>-278.67</v>
      </c>
      <c r="I794">
        <f t="shared" si="91"/>
        <v>9</v>
      </c>
      <c r="J794">
        <v>1</v>
      </c>
      <c r="K794">
        <f t="shared" si="92"/>
        <v>12</v>
      </c>
      <c r="L794">
        <f t="shared" si="93"/>
        <v>2022</v>
      </c>
      <c r="N794" s="17">
        <f t="shared" si="96"/>
        <v>44896</v>
      </c>
      <c r="S794">
        <f t="shared" si="97"/>
        <v>0</v>
      </c>
    </row>
    <row r="795" spans="1:19" x14ac:dyDescent="0.3">
      <c r="A795" s="17">
        <v>44903</v>
      </c>
      <c r="B795">
        <v>340.27</v>
      </c>
      <c r="C795">
        <v>73.05</v>
      </c>
      <c r="D795">
        <f t="shared" si="94"/>
        <v>267.21999999999997</v>
      </c>
      <c r="E795">
        <v>0.96</v>
      </c>
      <c r="F795">
        <f t="shared" si="95"/>
        <v>-266.26</v>
      </c>
      <c r="I795">
        <f t="shared" si="91"/>
        <v>8</v>
      </c>
      <c r="J795">
        <v>1</v>
      </c>
      <c r="K795">
        <f t="shared" si="92"/>
        <v>12</v>
      </c>
      <c r="L795">
        <f t="shared" si="93"/>
        <v>2022</v>
      </c>
      <c r="N795" s="17">
        <f t="shared" si="96"/>
        <v>44896</v>
      </c>
      <c r="S795">
        <f t="shared" si="97"/>
        <v>0</v>
      </c>
    </row>
    <row r="796" spans="1:19" x14ac:dyDescent="0.3">
      <c r="A796" s="17">
        <v>44902</v>
      </c>
      <c r="B796">
        <v>347.17</v>
      </c>
      <c r="C796">
        <v>74.8</v>
      </c>
      <c r="D796">
        <f t="shared" si="94"/>
        <v>272.37</v>
      </c>
      <c r="E796">
        <v>1.1599999999999999</v>
      </c>
      <c r="F796">
        <f t="shared" si="95"/>
        <v>-271.20999999999998</v>
      </c>
      <c r="I796">
        <f t="shared" si="91"/>
        <v>7</v>
      </c>
      <c r="J796">
        <v>1</v>
      </c>
      <c r="K796">
        <f t="shared" si="92"/>
        <v>12</v>
      </c>
      <c r="L796">
        <f t="shared" si="93"/>
        <v>2022</v>
      </c>
      <c r="N796" s="17">
        <f t="shared" si="96"/>
        <v>44896</v>
      </c>
      <c r="S796">
        <f t="shared" si="97"/>
        <v>0</v>
      </c>
    </row>
    <row r="797" spans="1:19" x14ac:dyDescent="0.3">
      <c r="A797" s="17">
        <v>44901</v>
      </c>
      <c r="B797">
        <v>349.44</v>
      </c>
      <c r="C797">
        <v>77.95</v>
      </c>
      <c r="D797">
        <f t="shared" si="94"/>
        <v>271.49</v>
      </c>
      <c r="E797">
        <v>1.37</v>
      </c>
      <c r="F797">
        <f t="shared" si="95"/>
        <v>-270.12</v>
      </c>
      <c r="I797">
        <f t="shared" si="91"/>
        <v>6</v>
      </c>
      <c r="J797">
        <v>1</v>
      </c>
      <c r="K797">
        <f t="shared" si="92"/>
        <v>12</v>
      </c>
      <c r="L797">
        <f t="shared" si="93"/>
        <v>2022</v>
      </c>
      <c r="N797" s="17">
        <f t="shared" si="96"/>
        <v>44896</v>
      </c>
      <c r="S797">
        <f t="shared" si="97"/>
        <v>0</v>
      </c>
    </row>
    <row r="798" spans="1:19" x14ac:dyDescent="0.3">
      <c r="A798" s="17">
        <v>44900</v>
      </c>
      <c r="B798">
        <v>357.15</v>
      </c>
      <c r="C798">
        <v>80.8</v>
      </c>
      <c r="D798">
        <f t="shared" si="94"/>
        <v>276.34999999999997</v>
      </c>
      <c r="E798">
        <v>1.56</v>
      </c>
      <c r="F798">
        <f t="shared" si="95"/>
        <v>-274.78999999999996</v>
      </c>
      <c r="I798">
        <f t="shared" si="91"/>
        <v>5</v>
      </c>
      <c r="J798">
        <v>1</v>
      </c>
      <c r="K798">
        <f t="shared" si="92"/>
        <v>12</v>
      </c>
      <c r="L798">
        <f t="shared" si="93"/>
        <v>2022</v>
      </c>
      <c r="N798" s="17">
        <f t="shared" si="96"/>
        <v>44896</v>
      </c>
      <c r="S798">
        <f t="shared" si="97"/>
        <v>0</v>
      </c>
    </row>
    <row r="799" spans="1:19" x14ac:dyDescent="0.3">
      <c r="A799" s="17">
        <v>44897</v>
      </c>
      <c r="B799">
        <v>354.87</v>
      </c>
      <c r="C799">
        <v>81</v>
      </c>
      <c r="D799">
        <f t="shared" si="94"/>
        <v>273.87</v>
      </c>
      <c r="E799">
        <v>1.79</v>
      </c>
      <c r="F799">
        <f t="shared" si="95"/>
        <v>-272.08</v>
      </c>
      <c r="I799">
        <f t="shared" si="91"/>
        <v>2</v>
      </c>
      <c r="J799">
        <v>1</v>
      </c>
      <c r="K799">
        <f t="shared" si="92"/>
        <v>12</v>
      </c>
      <c r="L799">
        <f t="shared" si="93"/>
        <v>2022</v>
      </c>
      <c r="N799" s="17">
        <f t="shared" si="96"/>
        <v>44896</v>
      </c>
      <c r="S799">
        <f t="shared" si="97"/>
        <v>1</v>
      </c>
    </row>
    <row r="800" spans="1:19" x14ac:dyDescent="0.3">
      <c r="A800" s="17">
        <v>44896</v>
      </c>
      <c r="B800">
        <v>357.31</v>
      </c>
      <c r="C800">
        <v>81.349999999999994</v>
      </c>
      <c r="D800">
        <f t="shared" si="94"/>
        <v>275.96000000000004</v>
      </c>
      <c r="E800">
        <v>1.82</v>
      </c>
      <c r="F800">
        <f t="shared" si="95"/>
        <v>-274.14000000000004</v>
      </c>
      <c r="I800">
        <f t="shared" si="91"/>
        <v>1</v>
      </c>
      <c r="J800">
        <v>1</v>
      </c>
      <c r="K800">
        <f t="shared" si="92"/>
        <v>12</v>
      </c>
      <c r="L800">
        <f t="shared" si="93"/>
        <v>2022</v>
      </c>
      <c r="N800" s="17">
        <f t="shared" si="96"/>
        <v>44896</v>
      </c>
      <c r="S800">
        <f t="shared" si="97"/>
        <v>1</v>
      </c>
    </row>
    <row r="801" spans="1:19" x14ac:dyDescent="0.3">
      <c r="A801" s="17">
        <v>44895</v>
      </c>
      <c r="B801">
        <v>348.06</v>
      </c>
      <c r="C801">
        <v>80.400000000000006</v>
      </c>
      <c r="D801">
        <f t="shared" si="94"/>
        <v>267.65999999999997</v>
      </c>
      <c r="E801">
        <v>1.9</v>
      </c>
      <c r="F801">
        <f t="shared" si="95"/>
        <v>-265.76</v>
      </c>
      <c r="I801">
        <f t="shared" si="91"/>
        <v>30</v>
      </c>
      <c r="J801">
        <v>1</v>
      </c>
      <c r="K801">
        <f t="shared" si="92"/>
        <v>11</v>
      </c>
      <c r="L801">
        <f t="shared" si="93"/>
        <v>2022</v>
      </c>
      <c r="N801" s="17">
        <f t="shared" si="96"/>
        <v>44866</v>
      </c>
      <c r="S801">
        <f t="shared" si="97"/>
        <v>0</v>
      </c>
    </row>
    <row r="802" spans="1:19" x14ac:dyDescent="0.3">
      <c r="A802" s="17">
        <v>44894</v>
      </c>
      <c r="B802">
        <v>376.6</v>
      </c>
      <c r="C802">
        <v>80.94</v>
      </c>
      <c r="D802">
        <f t="shared" si="94"/>
        <v>295.66000000000003</v>
      </c>
      <c r="E802">
        <v>1.65</v>
      </c>
      <c r="F802">
        <f t="shared" si="95"/>
        <v>-294.01000000000005</v>
      </c>
      <c r="I802">
        <f t="shared" si="91"/>
        <v>29</v>
      </c>
      <c r="J802">
        <v>1</v>
      </c>
      <c r="K802">
        <f t="shared" si="92"/>
        <v>11</v>
      </c>
      <c r="L802">
        <f t="shared" si="93"/>
        <v>2022</v>
      </c>
      <c r="N802" s="17">
        <f t="shared" si="96"/>
        <v>44866</v>
      </c>
      <c r="S802">
        <f t="shared" si="97"/>
        <v>0</v>
      </c>
    </row>
    <row r="803" spans="1:19" x14ac:dyDescent="0.3">
      <c r="A803" s="17">
        <v>44893</v>
      </c>
      <c r="B803">
        <v>351.23</v>
      </c>
      <c r="C803">
        <v>76.644999999999996</v>
      </c>
      <c r="D803">
        <f t="shared" si="94"/>
        <v>274.58500000000004</v>
      </c>
      <c r="E803">
        <v>2.29</v>
      </c>
      <c r="F803">
        <f t="shared" si="95"/>
        <v>-272.29500000000002</v>
      </c>
      <c r="I803">
        <f t="shared" si="91"/>
        <v>28</v>
      </c>
      <c r="J803">
        <v>1</v>
      </c>
      <c r="K803">
        <f t="shared" si="92"/>
        <v>11</v>
      </c>
      <c r="L803">
        <f t="shared" si="93"/>
        <v>2022</v>
      </c>
      <c r="N803" s="17">
        <f t="shared" si="96"/>
        <v>44866</v>
      </c>
      <c r="S803">
        <f t="shared" si="97"/>
        <v>0</v>
      </c>
    </row>
    <row r="804" spans="1:19" x14ac:dyDescent="0.3">
      <c r="A804" s="17">
        <v>44890</v>
      </c>
      <c r="B804">
        <v>380.21</v>
      </c>
      <c r="C804">
        <v>81.06</v>
      </c>
      <c r="D804">
        <f t="shared" si="94"/>
        <v>299.14999999999998</v>
      </c>
      <c r="E804">
        <v>2.61</v>
      </c>
      <c r="F804">
        <f t="shared" si="95"/>
        <v>-296.53999999999996</v>
      </c>
      <c r="I804">
        <f t="shared" si="91"/>
        <v>25</v>
      </c>
      <c r="J804">
        <v>1</v>
      </c>
      <c r="K804">
        <f t="shared" si="92"/>
        <v>11</v>
      </c>
      <c r="L804">
        <f t="shared" si="93"/>
        <v>2022</v>
      </c>
      <c r="N804" s="17">
        <f t="shared" si="96"/>
        <v>44866</v>
      </c>
      <c r="S804">
        <f t="shared" si="97"/>
        <v>0</v>
      </c>
    </row>
    <row r="805" spans="1:19" x14ac:dyDescent="0.3">
      <c r="A805" s="17">
        <v>44889</v>
      </c>
      <c r="B805">
        <v>374.98</v>
      </c>
      <c r="C805">
        <v>77.64</v>
      </c>
      <c r="D805">
        <f t="shared" si="94"/>
        <v>297.34000000000003</v>
      </c>
      <c r="E805">
        <v>2.98</v>
      </c>
      <c r="F805">
        <f t="shared" si="95"/>
        <v>-294.36</v>
      </c>
      <c r="I805">
        <f t="shared" si="91"/>
        <v>24</v>
      </c>
      <c r="J805">
        <v>1</v>
      </c>
      <c r="K805">
        <f t="shared" si="92"/>
        <v>11</v>
      </c>
      <c r="L805">
        <f t="shared" si="93"/>
        <v>2022</v>
      </c>
      <c r="N805" s="17">
        <f t="shared" si="96"/>
        <v>44866</v>
      </c>
      <c r="S805">
        <f t="shared" si="97"/>
        <v>0</v>
      </c>
    </row>
    <row r="806" spans="1:19" x14ac:dyDescent="0.3">
      <c r="A806" s="17">
        <v>44888</v>
      </c>
      <c r="B806">
        <v>396.83</v>
      </c>
      <c r="C806">
        <v>81.790000000000006</v>
      </c>
      <c r="D806">
        <f t="shared" si="94"/>
        <v>315.03999999999996</v>
      </c>
      <c r="E806">
        <v>3.35</v>
      </c>
      <c r="F806">
        <f t="shared" si="95"/>
        <v>-311.68999999999994</v>
      </c>
      <c r="I806">
        <f t="shared" si="91"/>
        <v>23</v>
      </c>
      <c r="J806">
        <v>1</v>
      </c>
      <c r="K806">
        <f t="shared" si="92"/>
        <v>11</v>
      </c>
      <c r="L806">
        <f t="shared" si="93"/>
        <v>2022</v>
      </c>
      <c r="N806" s="17">
        <f t="shared" si="96"/>
        <v>44866</v>
      </c>
      <c r="S806">
        <f t="shared" si="97"/>
        <v>0</v>
      </c>
    </row>
    <row r="807" spans="1:19" x14ac:dyDescent="0.3">
      <c r="A807" s="17">
        <v>44887</v>
      </c>
      <c r="B807">
        <v>390.26</v>
      </c>
      <c r="C807">
        <v>82.3</v>
      </c>
      <c r="D807">
        <f t="shared" si="94"/>
        <v>307.95999999999998</v>
      </c>
      <c r="E807">
        <v>3.59</v>
      </c>
      <c r="F807">
        <f t="shared" si="95"/>
        <v>-304.37</v>
      </c>
      <c r="I807">
        <f t="shared" si="91"/>
        <v>22</v>
      </c>
      <c r="J807">
        <v>1</v>
      </c>
      <c r="K807">
        <f t="shared" si="92"/>
        <v>11</v>
      </c>
      <c r="L807">
        <f t="shared" si="93"/>
        <v>2022</v>
      </c>
      <c r="N807" s="17">
        <f t="shared" si="96"/>
        <v>44866</v>
      </c>
      <c r="S807">
        <f t="shared" si="97"/>
        <v>0</v>
      </c>
    </row>
    <row r="808" spans="1:19" x14ac:dyDescent="0.3">
      <c r="A808" s="17">
        <v>44886</v>
      </c>
      <c r="B808">
        <v>385.72</v>
      </c>
      <c r="C808">
        <v>81.25</v>
      </c>
      <c r="D808">
        <f t="shared" si="94"/>
        <v>304.47000000000003</v>
      </c>
      <c r="E808">
        <v>3.75</v>
      </c>
      <c r="F808">
        <f t="shared" si="95"/>
        <v>-300.72000000000003</v>
      </c>
      <c r="I808">
        <f t="shared" si="91"/>
        <v>21</v>
      </c>
      <c r="J808">
        <v>1</v>
      </c>
      <c r="K808">
        <f t="shared" si="92"/>
        <v>11</v>
      </c>
      <c r="L808">
        <f t="shared" si="93"/>
        <v>2022</v>
      </c>
      <c r="N808" s="17">
        <f t="shared" si="96"/>
        <v>44866</v>
      </c>
      <c r="S808">
        <f t="shared" si="97"/>
        <v>0</v>
      </c>
    </row>
    <row r="809" spans="1:19" x14ac:dyDescent="0.3">
      <c r="A809" s="17">
        <v>44883</v>
      </c>
      <c r="B809">
        <v>398.72</v>
      </c>
      <c r="C809">
        <v>84.34</v>
      </c>
      <c r="D809">
        <f t="shared" si="94"/>
        <v>314.38</v>
      </c>
      <c r="E809">
        <v>4.3600000000000003</v>
      </c>
      <c r="F809">
        <f t="shared" si="95"/>
        <v>-310.02</v>
      </c>
      <c r="I809">
        <f t="shared" si="91"/>
        <v>18</v>
      </c>
      <c r="J809">
        <v>1</v>
      </c>
      <c r="K809">
        <f t="shared" si="92"/>
        <v>11</v>
      </c>
      <c r="L809">
        <f t="shared" si="93"/>
        <v>2022</v>
      </c>
      <c r="N809" s="17">
        <f t="shared" si="96"/>
        <v>44866</v>
      </c>
      <c r="S809">
        <f t="shared" si="97"/>
        <v>0</v>
      </c>
    </row>
    <row r="810" spans="1:19" x14ac:dyDescent="0.3">
      <c r="A810" s="17">
        <v>44882</v>
      </c>
      <c r="B810">
        <v>403.33</v>
      </c>
      <c r="C810">
        <v>87.144999999999996</v>
      </c>
      <c r="D810">
        <f t="shared" si="94"/>
        <v>316.185</v>
      </c>
      <c r="E810">
        <v>4.46</v>
      </c>
      <c r="F810">
        <f t="shared" si="95"/>
        <v>-311.72500000000002</v>
      </c>
      <c r="I810">
        <f t="shared" si="91"/>
        <v>17</v>
      </c>
      <c r="J810">
        <v>1</v>
      </c>
      <c r="K810">
        <f t="shared" si="92"/>
        <v>11</v>
      </c>
      <c r="L810">
        <f t="shared" si="93"/>
        <v>2022</v>
      </c>
      <c r="N810" s="17">
        <f t="shared" si="96"/>
        <v>44866</v>
      </c>
      <c r="S810">
        <f t="shared" si="97"/>
        <v>0</v>
      </c>
    </row>
    <row r="811" spans="1:19" x14ac:dyDescent="0.3">
      <c r="A811" s="17">
        <v>44881</v>
      </c>
      <c r="B811">
        <v>411.09</v>
      </c>
      <c r="C811">
        <v>88.04</v>
      </c>
      <c r="D811">
        <f t="shared" si="94"/>
        <v>323.04999999999995</v>
      </c>
      <c r="E811">
        <v>4.5</v>
      </c>
      <c r="F811">
        <f t="shared" si="95"/>
        <v>-318.54999999999995</v>
      </c>
      <c r="I811">
        <f t="shared" si="91"/>
        <v>16</v>
      </c>
      <c r="J811">
        <v>1</v>
      </c>
      <c r="K811">
        <f t="shared" si="92"/>
        <v>11</v>
      </c>
      <c r="L811">
        <f t="shared" si="93"/>
        <v>2022</v>
      </c>
      <c r="N811" s="17">
        <f t="shared" si="96"/>
        <v>44866</v>
      </c>
      <c r="S811">
        <f t="shared" si="97"/>
        <v>0</v>
      </c>
    </row>
    <row r="812" spans="1:19" x14ac:dyDescent="0.3">
      <c r="A812" s="17">
        <v>44880</v>
      </c>
      <c r="B812">
        <v>405.12</v>
      </c>
      <c r="C812">
        <v>86.795000000000002</v>
      </c>
      <c r="D812">
        <f t="shared" si="94"/>
        <v>318.32499999999999</v>
      </c>
      <c r="E812">
        <v>4.47</v>
      </c>
      <c r="F812">
        <f t="shared" si="95"/>
        <v>-313.85499999999996</v>
      </c>
      <c r="I812">
        <f t="shared" si="91"/>
        <v>15</v>
      </c>
      <c r="J812">
        <v>1</v>
      </c>
      <c r="K812">
        <f t="shared" si="92"/>
        <v>11</v>
      </c>
      <c r="L812">
        <f t="shared" si="93"/>
        <v>2022</v>
      </c>
      <c r="N812" s="17">
        <f t="shared" si="96"/>
        <v>44866</v>
      </c>
      <c r="S812">
        <f t="shared" si="97"/>
        <v>0</v>
      </c>
    </row>
    <row r="813" spans="1:19" x14ac:dyDescent="0.3">
      <c r="A813" s="17">
        <v>44879</v>
      </c>
      <c r="B813">
        <v>410.59</v>
      </c>
      <c r="C813">
        <v>91</v>
      </c>
      <c r="D813">
        <f t="shared" si="94"/>
        <v>319.58999999999997</v>
      </c>
      <c r="E813">
        <v>4.33</v>
      </c>
      <c r="F813">
        <f t="shared" si="95"/>
        <v>-315.26</v>
      </c>
      <c r="I813">
        <f t="shared" si="91"/>
        <v>14</v>
      </c>
      <c r="J813">
        <v>1</v>
      </c>
      <c r="K813">
        <f t="shared" si="92"/>
        <v>11</v>
      </c>
      <c r="L813">
        <f t="shared" si="93"/>
        <v>2022</v>
      </c>
      <c r="N813" s="17">
        <f t="shared" si="96"/>
        <v>44866</v>
      </c>
      <c r="S813">
        <f t="shared" si="97"/>
        <v>0</v>
      </c>
    </row>
    <row r="814" spans="1:19" x14ac:dyDescent="0.3">
      <c r="A814" s="17">
        <v>44876</v>
      </c>
      <c r="B814">
        <v>411.94</v>
      </c>
      <c r="C814">
        <v>91.04</v>
      </c>
      <c r="D814">
        <f t="shared" si="94"/>
        <v>320.89999999999998</v>
      </c>
      <c r="E814">
        <v>4.55</v>
      </c>
      <c r="F814">
        <f t="shared" si="95"/>
        <v>-316.34999999999997</v>
      </c>
      <c r="I814">
        <f t="shared" si="91"/>
        <v>11</v>
      </c>
      <c r="J814">
        <v>1</v>
      </c>
      <c r="K814">
        <f t="shared" si="92"/>
        <v>11</v>
      </c>
      <c r="L814">
        <f t="shared" si="93"/>
        <v>2022</v>
      </c>
      <c r="N814" s="17">
        <f t="shared" si="96"/>
        <v>44866</v>
      </c>
      <c r="S814">
        <f t="shared" si="97"/>
        <v>0</v>
      </c>
    </row>
    <row r="815" spans="1:19" x14ac:dyDescent="0.3">
      <c r="A815" s="17">
        <v>44875</v>
      </c>
      <c r="B815">
        <v>391</v>
      </c>
      <c r="C815">
        <v>87.14</v>
      </c>
      <c r="D815">
        <f t="shared" si="94"/>
        <v>303.86</v>
      </c>
      <c r="E815">
        <v>4.3899999999999997</v>
      </c>
      <c r="F815">
        <f t="shared" si="95"/>
        <v>-299.47000000000003</v>
      </c>
      <c r="I815">
        <f t="shared" si="91"/>
        <v>10</v>
      </c>
      <c r="J815">
        <v>1</v>
      </c>
      <c r="K815">
        <f t="shared" si="92"/>
        <v>11</v>
      </c>
      <c r="L815">
        <f t="shared" si="93"/>
        <v>2022</v>
      </c>
      <c r="N815" s="17">
        <f t="shared" si="96"/>
        <v>44866</v>
      </c>
      <c r="S815">
        <f t="shared" si="97"/>
        <v>0</v>
      </c>
    </row>
    <row r="816" spans="1:19" x14ac:dyDescent="0.3">
      <c r="A816" s="17">
        <v>44874</v>
      </c>
      <c r="B816">
        <v>396.57</v>
      </c>
      <c r="C816">
        <v>89.76</v>
      </c>
      <c r="D816">
        <f t="shared" si="94"/>
        <v>306.81</v>
      </c>
      <c r="E816">
        <v>4.21</v>
      </c>
      <c r="F816">
        <f t="shared" si="95"/>
        <v>-302.60000000000002</v>
      </c>
      <c r="I816">
        <f t="shared" si="91"/>
        <v>9</v>
      </c>
      <c r="J816">
        <v>1</v>
      </c>
      <c r="K816">
        <f t="shared" si="92"/>
        <v>11</v>
      </c>
      <c r="L816">
        <f t="shared" si="93"/>
        <v>2022</v>
      </c>
      <c r="N816" s="17">
        <f t="shared" si="96"/>
        <v>44866</v>
      </c>
      <c r="S816">
        <f t="shared" si="97"/>
        <v>0</v>
      </c>
    </row>
    <row r="817" spans="1:19" x14ac:dyDescent="0.3">
      <c r="A817" s="17">
        <v>44873</v>
      </c>
      <c r="B817">
        <v>414.31</v>
      </c>
      <c r="C817">
        <v>92.29</v>
      </c>
      <c r="D817">
        <f t="shared" si="94"/>
        <v>322.02</v>
      </c>
      <c r="E817">
        <v>4</v>
      </c>
      <c r="F817">
        <f t="shared" si="95"/>
        <v>-318.02</v>
      </c>
      <c r="I817">
        <f t="shared" si="91"/>
        <v>8</v>
      </c>
      <c r="J817">
        <v>1</v>
      </c>
      <c r="K817">
        <f t="shared" si="92"/>
        <v>11</v>
      </c>
      <c r="L817">
        <f t="shared" si="93"/>
        <v>2022</v>
      </c>
      <c r="N817" s="17">
        <f t="shared" si="96"/>
        <v>44866</v>
      </c>
      <c r="S817">
        <f t="shared" si="97"/>
        <v>0</v>
      </c>
    </row>
    <row r="818" spans="1:19" x14ac:dyDescent="0.3">
      <c r="A818" s="17">
        <v>44872</v>
      </c>
      <c r="B818">
        <v>412.6</v>
      </c>
      <c r="C818">
        <v>92.9</v>
      </c>
      <c r="D818">
        <f t="shared" si="94"/>
        <v>319.70000000000005</v>
      </c>
      <c r="E818">
        <v>4.04</v>
      </c>
      <c r="F818">
        <f t="shared" si="95"/>
        <v>-315.66000000000003</v>
      </c>
      <c r="I818">
        <f t="shared" si="91"/>
        <v>7</v>
      </c>
      <c r="J818">
        <v>1</v>
      </c>
      <c r="K818">
        <f t="shared" si="92"/>
        <v>11</v>
      </c>
      <c r="L818">
        <f t="shared" si="93"/>
        <v>2022</v>
      </c>
      <c r="N818" s="17">
        <f t="shared" si="96"/>
        <v>44866</v>
      </c>
      <c r="S818">
        <f t="shared" si="97"/>
        <v>0</v>
      </c>
    </row>
    <row r="819" spans="1:19" x14ac:dyDescent="0.3">
      <c r="A819" s="17">
        <v>44869</v>
      </c>
      <c r="B819">
        <v>402.16</v>
      </c>
      <c r="C819">
        <v>92.29</v>
      </c>
      <c r="D819">
        <f t="shared" si="94"/>
        <v>309.87</v>
      </c>
      <c r="E819">
        <v>4.01</v>
      </c>
      <c r="F819">
        <f t="shared" si="95"/>
        <v>-305.86</v>
      </c>
      <c r="I819">
        <f t="shared" si="91"/>
        <v>4</v>
      </c>
      <c r="J819">
        <v>1</v>
      </c>
      <c r="K819">
        <f t="shared" si="92"/>
        <v>11</v>
      </c>
      <c r="L819">
        <f t="shared" si="93"/>
        <v>2022</v>
      </c>
      <c r="N819" s="17">
        <f t="shared" si="96"/>
        <v>44866</v>
      </c>
      <c r="S819">
        <f t="shared" si="97"/>
        <v>1</v>
      </c>
    </row>
    <row r="820" spans="1:19" x14ac:dyDescent="0.3">
      <c r="A820" s="17">
        <v>44868</v>
      </c>
      <c r="B820">
        <v>387.88</v>
      </c>
      <c r="C820">
        <v>89.79</v>
      </c>
      <c r="D820">
        <f t="shared" si="94"/>
        <v>298.08999999999997</v>
      </c>
      <c r="E820">
        <v>4.3</v>
      </c>
      <c r="F820">
        <f t="shared" si="95"/>
        <v>-293.78999999999996</v>
      </c>
      <c r="I820">
        <f t="shared" si="91"/>
        <v>3</v>
      </c>
      <c r="J820">
        <v>1</v>
      </c>
      <c r="K820">
        <f t="shared" si="92"/>
        <v>11</v>
      </c>
      <c r="L820">
        <f t="shared" si="93"/>
        <v>2022</v>
      </c>
      <c r="N820" s="17">
        <f t="shared" si="96"/>
        <v>44866</v>
      </c>
      <c r="S820">
        <f t="shared" si="97"/>
        <v>1</v>
      </c>
    </row>
    <row r="821" spans="1:19" x14ac:dyDescent="0.3">
      <c r="A821" s="17">
        <v>44867</v>
      </c>
      <c r="B821">
        <v>390.38</v>
      </c>
      <c r="C821">
        <v>90.95</v>
      </c>
      <c r="D821">
        <f t="shared" si="94"/>
        <v>299.43</v>
      </c>
      <c r="E821">
        <v>5.22</v>
      </c>
      <c r="F821">
        <f t="shared" si="95"/>
        <v>-294.20999999999998</v>
      </c>
      <c r="I821">
        <f t="shared" si="91"/>
        <v>2</v>
      </c>
      <c r="J821">
        <v>1</v>
      </c>
      <c r="K821">
        <f t="shared" si="92"/>
        <v>11</v>
      </c>
      <c r="L821">
        <f t="shared" si="93"/>
        <v>2022</v>
      </c>
      <c r="N821" s="17">
        <f t="shared" si="96"/>
        <v>44866</v>
      </c>
      <c r="S821">
        <f t="shared" si="97"/>
        <v>1</v>
      </c>
    </row>
    <row r="822" spans="1:19" x14ac:dyDescent="0.3">
      <c r="A822" s="17">
        <v>44866</v>
      </c>
      <c r="B822">
        <v>385.79</v>
      </c>
      <c r="C822">
        <v>91.39</v>
      </c>
      <c r="D822">
        <f t="shared" si="94"/>
        <v>294.40000000000003</v>
      </c>
      <c r="E822">
        <v>6.28</v>
      </c>
      <c r="F822">
        <f t="shared" si="95"/>
        <v>-288.12000000000006</v>
      </c>
      <c r="I822">
        <f t="shared" si="91"/>
        <v>1</v>
      </c>
      <c r="J822">
        <v>1</v>
      </c>
      <c r="K822">
        <f t="shared" si="92"/>
        <v>11</v>
      </c>
      <c r="L822">
        <f t="shared" si="93"/>
        <v>2022</v>
      </c>
      <c r="N822" s="17">
        <f t="shared" si="96"/>
        <v>44866</v>
      </c>
      <c r="S822">
        <f t="shared" si="97"/>
        <v>1</v>
      </c>
    </row>
    <row r="823" spans="1:19" x14ac:dyDescent="0.3">
      <c r="A823" s="17">
        <v>44865</v>
      </c>
      <c r="B823">
        <v>366.38</v>
      </c>
      <c r="C823">
        <v>90.6</v>
      </c>
      <c r="D823">
        <f t="shared" si="94"/>
        <v>275.77999999999997</v>
      </c>
      <c r="E823">
        <v>6.43</v>
      </c>
      <c r="F823">
        <f t="shared" si="95"/>
        <v>-269.34999999999997</v>
      </c>
      <c r="I823">
        <f t="shared" si="91"/>
        <v>31</v>
      </c>
      <c r="J823">
        <v>1</v>
      </c>
      <c r="K823">
        <f t="shared" si="92"/>
        <v>10</v>
      </c>
      <c r="L823">
        <f t="shared" si="93"/>
        <v>2022</v>
      </c>
      <c r="N823" s="17">
        <f t="shared" si="96"/>
        <v>44835</v>
      </c>
      <c r="S823">
        <f t="shared" si="97"/>
        <v>0</v>
      </c>
    </row>
    <row r="824" spans="1:19" x14ac:dyDescent="0.3">
      <c r="A824" s="17">
        <v>44862</v>
      </c>
      <c r="B824">
        <v>376.56</v>
      </c>
      <c r="C824">
        <v>92.65</v>
      </c>
      <c r="D824">
        <f t="shared" si="94"/>
        <v>283.90999999999997</v>
      </c>
      <c r="E824">
        <v>6.14</v>
      </c>
      <c r="F824">
        <f t="shared" si="95"/>
        <v>-277.77</v>
      </c>
      <c r="I824">
        <f t="shared" si="91"/>
        <v>28</v>
      </c>
      <c r="J824">
        <v>1</v>
      </c>
      <c r="K824">
        <f t="shared" si="92"/>
        <v>10</v>
      </c>
      <c r="L824">
        <f t="shared" si="93"/>
        <v>2022</v>
      </c>
      <c r="N824" s="17">
        <f t="shared" si="96"/>
        <v>44835</v>
      </c>
      <c r="S824">
        <f t="shared" si="97"/>
        <v>0</v>
      </c>
    </row>
    <row r="825" spans="1:19" x14ac:dyDescent="0.3">
      <c r="A825" s="17">
        <v>44861</v>
      </c>
      <c r="B825">
        <v>362.49</v>
      </c>
      <c r="C825">
        <v>92.35</v>
      </c>
      <c r="D825">
        <f t="shared" si="94"/>
        <v>270.14</v>
      </c>
      <c r="E825">
        <v>5.88</v>
      </c>
      <c r="F825">
        <f t="shared" si="95"/>
        <v>-264.26</v>
      </c>
      <c r="I825">
        <f t="shared" si="91"/>
        <v>27</v>
      </c>
      <c r="J825">
        <v>1</v>
      </c>
      <c r="K825">
        <f t="shared" si="92"/>
        <v>10</v>
      </c>
      <c r="L825">
        <f t="shared" si="93"/>
        <v>2022</v>
      </c>
      <c r="N825" s="17">
        <f t="shared" si="96"/>
        <v>44835</v>
      </c>
      <c r="S825">
        <f t="shared" si="97"/>
        <v>0</v>
      </c>
    </row>
    <row r="826" spans="1:19" x14ac:dyDescent="0.3">
      <c r="A826" s="17">
        <v>44860</v>
      </c>
      <c r="B826">
        <v>346.91</v>
      </c>
      <c r="C826">
        <v>90.35</v>
      </c>
      <c r="D826">
        <f t="shared" si="94"/>
        <v>256.56000000000006</v>
      </c>
      <c r="E826">
        <v>6.05</v>
      </c>
      <c r="F826">
        <f t="shared" si="95"/>
        <v>-250.51000000000005</v>
      </c>
      <c r="I826">
        <f t="shared" si="91"/>
        <v>26</v>
      </c>
      <c r="J826">
        <v>1</v>
      </c>
      <c r="K826">
        <f t="shared" si="92"/>
        <v>10</v>
      </c>
      <c r="L826">
        <f t="shared" si="93"/>
        <v>2022</v>
      </c>
      <c r="N826" s="17">
        <f t="shared" si="96"/>
        <v>44835</v>
      </c>
      <c r="S826">
        <f t="shared" si="97"/>
        <v>0</v>
      </c>
    </row>
    <row r="827" spans="1:19" x14ac:dyDescent="0.3">
      <c r="A827" s="17">
        <v>44859</v>
      </c>
      <c r="B827">
        <v>343.11</v>
      </c>
      <c r="C827">
        <v>89.56</v>
      </c>
      <c r="D827">
        <f t="shared" si="94"/>
        <v>253.55</v>
      </c>
      <c r="E827">
        <v>6.15</v>
      </c>
      <c r="F827">
        <f t="shared" si="95"/>
        <v>-247.4</v>
      </c>
      <c r="I827">
        <f t="shared" si="91"/>
        <v>25</v>
      </c>
      <c r="J827">
        <v>1</v>
      </c>
      <c r="K827">
        <f t="shared" si="92"/>
        <v>10</v>
      </c>
      <c r="L827">
        <f t="shared" si="93"/>
        <v>2022</v>
      </c>
      <c r="N827" s="17">
        <f t="shared" si="96"/>
        <v>44835</v>
      </c>
      <c r="S827">
        <f t="shared" si="97"/>
        <v>0</v>
      </c>
    </row>
    <row r="828" spans="1:19" x14ac:dyDescent="0.3">
      <c r="A828" s="17">
        <v>44855</v>
      </c>
      <c r="B828">
        <v>352.49</v>
      </c>
      <c r="C828">
        <v>90.71</v>
      </c>
      <c r="D828">
        <f t="shared" si="94"/>
        <v>261.78000000000003</v>
      </c>
      <c r="E828">
        <v>6.31</v>
      </c>
      <c r="F828">
        <f t="shared" si="95"/>
        <v>-255.47000000000003</v>
      </c>
      <c r="I828">
        <f t="shared" si="91"/>
        <v>21</v>
      </c>
      <c r="J828">
        <v>1</v>
      </c>
      <c r="K828">
        <f t="shared" si="92"/>
        <v>10</v>
      </c>
      <c r="L828">
        <f t="shared" si="93"/>
        <v>2022</v>
      </c>
      <c r="N828" s="17">
        <f t="shared" si="96"/>
        <v>44835</v>
      </c>
      <c r="S828">
        <f t="shared" si="97"/>
        <v>0</v>
      </c>
    </row>
    <row r="829" spans="1:19" x14ac:dyDescent="0.3">
      <c r="A829" s="17">
        <v>44854</v>
      </c>
      <c r="B829">
        <v>366.68</v>
      </c>
      <c r="C829">
        <v>89.91</v>
      </c>
      <c r="D829">
        <f t="shared" si="94"/>
        <v>276.77</v>
      </c>
      <c r="E829">
        <v>6.39</v>
      </c>
      <c r="F829">
        <f t="shared" si="95"/>
        <v>-270.38</v>
      </c>
      <c r="I829">
        <f t="shared" si="91"/>
        <v>20</v>
      </c>
      <c r="J829">
        <v>1</v>
      </c>
      <c r="K829">
        <f t="shared" si="92"/>
        <v>10</v>
      </c>
      <c r="L829">
        <f t="shared" si="93"/>
        <v>2022</v>
      </c>
      <c r="N829" s="17">
        <f t="shared" si="96"/>
        <v>44835</v>
      </c>
      <c r="S829">
        <f t="shared" si="97"/>
        <v>0</v>
      </c>
    </row>
    <row r="830" spans="1:19" x14ac:dyDescent="0.3">
      <c r="A830" s="17">
        <v>44853</v>
      </c>
      <c r="B830">
        <v>347.72</v>
      </c>
      <c r="C830">
        <v>85.75</v>
      </c>
      <c r="D830">
        <f t="shared" si="94"/>
        <v>261.97000000000003</v>
      </c>
      <c r="E830">
        <v>5.7</v>
      </c>
      <c r="F830">
        <f t="shared" si="95"/>
        <v>-256.27000000000004</v>
      </c>
      <c r="I830">
        <f t="shared" si="91"/>
        <v>19</v>
      </c>
      <c r="J830">
        <v>1</v>
      </c>
      <c r="K830">
        <f t="shared" si="92"/>
        <v>10</v>
      </c>
      <c r="L830">
        <f t="shared" si="93"/>
        <v>2022</v>
      </c>
      <c r="N830" s="17">
        <f t="shared" si="96"/>
        <v>44835</v>
      </c>
      <c r="S830">
        <f t="shared" si="97"/>
        <v>0</v>
      </c>
    </row>
    <row r="831" spans="1:19" x14ac:dyDescent="0.3">
      <c r="A831" s="17">
        <v>44852</v>
      </c>
      <c r="B831">
        <v>350.07</v>
      </c>
      <c r="C831">
        <v>88.82</v>
      </c>
      <c r="D831">
        <f t="shared" si="94"/>
        <v>261.25</v>
      </c>
      <c r="E831">
        <v>5.3</v>
      </c>
      <c r="F831">
        <f t="shared" si="95"/>
        <v>-255.95</v>
      </c>
      <c r="I831">
        <f t="shared" si="91"/>
        <v>18</v>
      </c>
      <c r="J831">
        <v>1</v>
      </c>
      <c r="K831">
        <f t="shared" si="92"/>
        <v>10</v>
      </c>
      <c r="L831">
        <f t="shared" si="93"/>
        <v>2022</v>
      </c>
      <c r="N831" s="17">
        <f t="shared" si="96"/>
        <v>44835</v>
      </c>
      <c r="S831">
        <f t="shared" si="97"/>
        <v>0</v>
      </c>
    </row>
    <row r="832" spans="1:19" x14ac:dyDescent="0.3">
      <c r="A832" s="17">
        <v>44851</v>
      </c>
      <c r="B832">
        <v>342.39</v>
      </c>
      <c r="C832">
        <v>89.65</v>
      </c>
      <c r="D832">
        <f t="shared" si="94"/>
        <v>252.73999999999998</v>
      </c>
      <c r="E832">
        <v>5.16</v>
      </c>
      <c r="F832">
        <f t="shared" si="95"/>
        <v>-247.57999999999998</v>
      </c>
      <c r="I832">
        <f t="shared" si="91"/>
        <v>17</v>
      </c>
      <c r="J832">
        <v>1</v>
      </c>
      <c r="K832">
        <f t="shared" si="92"/>
        <v>10</v>
      </c>
      <c r="L832">
        <f t="shared" si="93"/>
        <v>2022</v>
      </c>
      <c r="N832" s="17">
        <f t="shared" si="96"/>
        <v>44835</v>
      </c>
      <c r="S832">
        <f t="shared" si="97"/>
        <v>0</v>
      </c>
    </row>
    <row r="833" spans="1:19" x14ac:dyDescent="0.3">
      <c r="A833" s="17">
        <v>44848</v>
      </c>
      <c r="B833">
        <v>356.85</v>
      </c>
      <c r="C833">
        <v>92.1</v>
      </c>
      <c r="D833">
        <f t="shared" si="94"/>
        <v>264.75</v>
      </c>
      <c r="E833">
        <v>5.28</v>
      </c>
      <c r="F833">
        <f t="shared" si="95"/>
        <v>-259.47000000000003</v>
      </c>
      <c r="I833">
        <f t="shared" si="91"/>
        <v>14</v>
      </c>
      <c r="J833">
        <v>1</v>
      </c>
      <c r="K833">
        <f t="shared" si="92"/>
        <v>10</v>
      </c>
      <c r="L833">
        <f t="shared" si="93"/>
        <v>2022</v>
      </c>
      <c r="N833" s="17">
        <f t="shared" si="96"/>
        <v>44835</v>
      </c>
      <c r="S833">
        <f t="shared" si="97"/>
        <v>0</v>
      </c>
    </row>
    <row r="834" spans="1:19" x14ac:dyDescent="0.3">
      <c r="A834" s="17">
        <v>44847</v>
      </c>
      <c r="B834">
        <v>353.92</v>
      </c>
      <c r="C834">
        <v>91.16</v>
      </c>
      <c r="D834">
        <f t="shared" si="94"/>
        <v>262.76</v>
      </c>
      <c r="E834">
        <v>5.26</v>
      </c>
      <c r="F834">
        <f t="shared" si="95"/>
        <v>-257.5</v>
      </c>
      <c r="I834">
        <f t="shared" si="91"/>
        <v>13</v>
      </c>
      <c r="J834">
        <v>1</v>
      </c>
      <c r="K834">
        <f t="shared" si="92"/>
        <v>10</v>
      </c>
      <c r="L834">
        <f t="shared" si="93"/>
        <v>2022</v>
      </c>
      <c r="N834" s="17">
        <f t="shared" si="96"/>
        <v>44835</v>
      </c>
      <c r="S834">
        <f t="shared" si="97"/>
        <v>0</v>
      </c>
    </row>
    <row r="835" spans="1:19" x14ac:dyDescent="0.3">
      <c r="A835" s="17">
        <v>44846</v>
      </c>
      <c r="B835">
        <v>374.9</v>
      </c>
      <c r="C835">
        <v>92.9</v>
      </c>
      <c r="D835">
        <f t="shared" si="94"/>
        <v>282</v>
      </c>
      <c r="E835">
        <v>5.15</v>
      </c>
      <c r="F835">
        <f t="shared" si="95"/>
        <v>-276.85000000000002</v>
      </c>
      <c r="I835">
        <f t="shared" si="91"/>
        <v>12</v>
      </c>
      <c r="J835">
        <v>1</v>
      </c>
      <c r="K835">
        <f t="shared" si="92"/>
        <v>10</v>
      </c>
      <c r="L835">
        <f t="shared" si="93"/>
        <v>2022</v>
      </c>
      <c r="N835" s="17">
        <f t="shared" si="96"/>
        <v>44835</v>
      </c>
      <c r="S835">
        <f t="shared" si="97"/>
        <v>0</v>
      </c>
    </row>
    <row r="836" spans="1:19" x14ac:dyDescent="0.3">
      <c r="A836" s="17">
        <v>44845</v>
      </c>
      <c r="B836">
        <v>378.23</v>
      </c>
      <c r="C836">
        <v>93.7</v>
      </c>
      <c r="D836">
        <f t="shared" si="94"/>
        <v>284.53000000000003</v>
      </c>
      <c r="E836">
        <v>5.37</v>
      </c>
      <c r="F836">
        <f t="shared" si="95"/>
        <v>-279.16000000000003</v>
      </c>
      <c r="I836">
        <f t="shared" si="91"/>
        <v>11</v>
      </c>
      <c r="J836">
        <v>1</v>
      </c>
      <c r="K836">
        <f t="shared" si="92"/>
        <v>10</v>
      </c>
      <c r="L836">
        <f t="shared" si="93"/>
        <v>2022</v>
      </c>
      <c r="N836" s="17">
        <f t="shared" si="96"/>
        <v>44835</v>
      </c>
      <c r="S836">
        <f t="shared" si="97"/>
        <v>0</v>
      </c>
    </row>
    <row r="837" spans="1:19" x14ac:dyDescent="0.3">
      <c r="A837" s="17">
        <v>44844</v>
      </c>
      <c r="B837">
        <v>397.92</v>
      </c>
      <c r="C837">
        <v>96.54</v>
      </c>
      <c r="D837">
        <f t="shared" si="94"/>
        <v>301.38</v>
      </c>
      <c r="E837">
        <v>5.75</v>
      </c>
      <c r="F837">
        <f t="shared" si="95"/>
        <v>-295.63</v>
      </c>
      <c r="I837">
        <f t="shared" ref="I837:I900" si="98">+DAY(A837)</f>
        <v>10</v>
      </c>
      <c r="J837">
        <v>1</v>
      </c>
      <c r="K837">
        <f t="shared" ref="K837:K900" si="99">+MONTH(A837)</f>
        <v>10</v>
      </c>
      <c r="L837">
        <f t="shared" ref="L837:L900" si="100">+YEAR(A837)</f>
        <v>2022</v>
      </c>
      <c r="N837" s="17">
        <f t="shared" si="96"/>
        <v>44835</v>
      </c>
      <c r="S837">
        <f t="shared" si="97"/>
        <v>0</v>
      </c>
    </row>
    <row r="838" spans="1:19" x14ac:dyDescent="0.3">
      <c r="A838" s="17">
        <v>44841</v>
      </c>
      <c r="B838">
        <v>386.52</v>
      </c>
      <c r="C838">
        <v>94.35</v>
      </c>
      <c r="D838">
        <f t="shared" ref="D838:D901" si="101">+B838-C838</f>
        <v>292.16999999999996</v>
      </c>
      <c r="E838">
        <v>5.4</v>
      </c>
      <c r="F838">
        <f t="shared" ref="F838:F901" si="102">+E838-D838</f>
        <v>-286.77</v>
      </c>
      <c r="I838">
        <f t="shared" si="98"/>
        <v>7</v>
      </c>
      <c r="J838">
        <v>1</v>
      </c>
      <c r="K838">
        <f t="shared" si="99"/>
        <v>10</v>
      </c>
      <c r="L838">
        <f t="shared" si="100"/>
        <v>2022</v>
      </c>
      <c r="N838" s="17">
        <f t="shared" ref="N838:N901" si="103">+DATE(L838,K838,J838)</f>
        <v>44835</v>
      </c>
      <c r="S838">
        <f t="shared" ref="S838:S901" si="104">IF(AND(I838&gt;=1, I838&lt;=4), 1, 0)</f>
        <v>0</v>
      </c>
    </row>
    <row r="839" spans="1:19" x14ac:dyDescent="0.3">
      <c r="A839" s="17">
        <v>44840</v>
      </c>
      <c r="B839">
        <v>383.78</v>
      </c>
      <c r="C839">
        <v>93.26</v>
      </c>
      <c r="D839">
        <f t="shared" si="101"/>
        <v>290.52</v>
      </c>
      <c r="E839">
        <v>5.0599999999999996</v>
      </c>
      <c r="F839">
        <f t="shared" si="102"/>
        <v>-285.45999999999998</v>
      </c>
      <c r="I839">
        <f t="shared" si="98"/>
        <v>6</v>
      </c>
      <c r="J839">
        <v>1</v>
      </c>
      <c r="K839">
        <f t="shared" si="99"/>
        <v>10</v>
      </c>
      <c r="L839">
        <f t="shared" si="100"/>
        <v>2022</v>
      </c>
      <c r="N839" s="17">
        <f t="shared" si="103"/>
        <v>44835</v>
      </c>
      <c r="S839">
        <f t="shared" si="104"/>
        <v>0</v>
      </c>
    </row>
    <row r="840" spans="1:19" x14ac:dyDescent="0.3">
      <c r="A840" s="17">
        <v>44839</v>
      </c>
      <c r="B840">
        <v>382.03</v>
      </c>
      <c r="C840">
        <v>91.18</v>
      </c>
      <c r="D840">
        <f t="shared" si="101"/>
        <v>290.84999999999997</v>
      </c>
      <c r="E840">
        <v>4.3499999999999996</v>
      </c>
      <c r="F840">
        <f t="shared" si="102"/>
        <v>-286.49999999999994</v>
      </c>
      <c r="I840">
        <f t="shared" si="98"/>
        <v>5</v>
      </c>
      <c r="J840">
        <v>1</v>
      </c>
      <c r="K840">
        <f t="shared" si="99"/>
        <v>10</v>
      </c>
      <c r="L840">
        <f t="shared" si="100"/>
        <v>2022</v>
      </c>
      <c r="N840" s="17">
        <f t="shared" si="103"/>
        <v>44835</v>
      </c>
      <c r="S840">
        <f t="shared" si="104"/>
        <v>0</v>
      </c>
    </row>
    <row r="841" spans="1:19" x14ac:dyDescent="0.3">
      <c r="A841" s="17">
        <v>44838</v>
      </c>
      <c r="B841">
        <v>363.01</v>
      </c>
      <c r="C841">
        <v>88.8</v>
      </c>
      <c r="D841">
        <f t="shared" si="101"/>
        <v>274.20999999999998</v>
      </c>
      <c r="E841">
        <v>3.73</v>
      </c>
      <c r="F841">
        <f t="shared" si="102"/>
        <v>-270.47999999999996</v>
      </c>
      <c r="I841">
        <f t="shared" si="98"/>
        <v>4</v>
      </c>
      <c r="J841">
        <v>1</v>
      </c>
      <c r="K841">
        <f t="shared" si="99"/>
        <v>10</v>
      </c>
      <c r="L841">
        <f t="shared" si="100"/>
        <v>2022</v>
      </c>
      <c r="N841" s="17">
        <f t="shared" si="103"/>
        <v>44835</v>
      </c>
      <c r="S841">
        <f t="shared" si="104"/>
        <v>1</v>
      </c>
    </row>
    <row r="842" spans="1:19" x14ac:dyDescent="0.3">
      <c r="A842" s="17">
        <v>44837</v>
      </c>
      <c r="B842">
        <v>357.68</v>
      </c>
      <c r="C842">
        <v>88.26</v>
      </c>
      <c r="D842">
        <f t="shared" si="101"/>
        <v>269.42</v>
      </c>
      <c r="E842">
        <v>2.83</v>
      </c>
      <c r="F842">
        <f t="shared" si="102"/>
        <v>-266.59000000000003</v>
      </c>
      <c r="I842">
        <f t="shared" si="98"/>
        <v>3</v>
      </c>
      <c r="J842">
        <v>1</v>
      </c>
      <c r="K842">
        <f t="shared" si="99"/>
        <v>10</v>
      </c>
      <c r="L842">
        <f t="shared" si="100"/>
        <v>2022</v>
      </c>
      <c r="N842" s="17">
        <f t="shared" si="103"/>
        <v>44835</v>
      </c>
      <c r="S842">
        <f t="shared" si="104"/>
        <v>1</v>
      </c>
    </row>
    <row r="843" spans="1:19" x14ac:dyDescent="0.3">
      <c r="A843" s="17">
        <v>44834</v>
      </c>
      <c r="B843">
        <v>361.55</v>
      </c>
      <c r="C843">
        <v>89.5</v>
      </c>
      <c r="D843">
        <f t="shared" si="101"/>
        <v>272.05</v>
      </c>
      <c r="E843">
        <v>2.35</v>
      </c>
      <c r="F843">
        <f t="shared" si="102"/>
        <v>-269.7</v>
      </c>
      <c r="I843">
        <f t="shared" si="98"/>
        <v>30</v>
      </c>
      <c r="J843">
        <v>1</v>
      </c>
      <c r="K843">
        <f t="shared" si="99"/>
        <v>9</v>
      </c>
      <c r="L843">
        <f t="shared" si="100"/>
        <v>2022</v>
      </c>
      <c r="N843" s="17">
        <f t="shared" si="103"/>
        <v>44805</v>
      </c>
      <c r="S843">
        <f t="shared" si="104"/>
        <v>0</v>
      </c>
    </row>
    <row r="844" spans="1:19" x14ac:dyDescent="0.3">
      <c r="A844" s="17">
        <v>44833</v>
      </c>
      <c r="B844">
        <v>358.56</v>
      </c>
      <c r="C844">
        <v>87.3</v>
      </c>
      <c r="D844">
        <f t="shared" si="101"/>
        <v>271.26</v>
      </c>
      <c r="E844">
        <v>2.2000000000000002</v>
      </c>
      <c r="F844">
        <f t="shared" si="102"/>
        <v>-269.06</v>
      </c>
      <c r="I844">
        <f t="shared" si="98"/>
        <v>29</v>
      </c>
      <c r="J844">
        <v>1</v>
      </c>
      <c r="K844">
        <f t="shared" si="99"/>
        <v>9</v>
      </c>
      <c r="L844">
        <f t="shared" si="100"/>
        <v>2022</v>
      </c>
      <c r="N844" s="17">
        <f t="shared" si="103"/>
        <v>44805</v>
      </c>
      <c r="S844">
        <f t="shared" si="104"/>
        <v>0</v>
      </c>
    </row>
    <row r="845" spans="1:19" x14ac:dyDescent="0.3">
      <c r="A845" s="17">
        <v>44832</v>
      </c>
      <c r="B845">
        <v>349.7</v>
      </c>
      <c r="C845">
        <v>84.61</v>
      </c>
      <c r="D845">
        <f t="shared" si="101"/>
        <v>265.08999999999997</v>
      </c>
      <c r="E845">
        <v>2.13</v>
      </c>
      <c r="F845">
        <f t="shared" si="102"/>
        <v>-262.95999999999998</v>
      </c>
      <c r="I845">
        <f t="shared" si="98"/>
        <v>28</v>
      </c>
      <c r="J845">
        <v>1</v>
      </c>
      <c r="K845">
        <f t="shared" si="99"/>
        <v>9</v>
      </c>
      <c r="L845">
        <f t="shared" si="100"/>
        <v>2022</v>
      </c>
      <c r="N845" s="17">
        <f t="shared" si="103"/>
        <v>44805</v>
      </c>
      <c r="S845">
        <f t="shared" si="104"/>
        <v>0</v>
      </c>
    </row>
    <row r="846" spans="1:19" x14ac:dyDescent="0.3">
      <c r="A846" s="17">
        <v>44831</v>
      </c>
      <c r="B846">
        <v>350.58</v>
      </c>
      <c r="C846">
        <v>84.2</v>
      </c>
      <c r="D846">
        <f t="shared" si="101"/>
        <v>266.38</v>
      </c>
      <c r="E846">
        <v>1.97</v>
      </c>
      <c r="F846">
        <f t="shared" si="102"/>
        <v>-264.40999999999997</v>
      </c>
      <c r="I846">
        <f t="shared" si="98"/>
        <v>27</v>
      </c>
      <c r="J846">
        <v>1</v>
      </c>
      <c r="K846">
        <f t="shared" si="99"/>
        <v>9</v>
      </c>
      <c r="L846">
        <f t="shared" si="100"/>
        <v>2022</v>
      </c>
      <c r="N846" s="17">
        <f t="shared" si="103"/>
        <v>44805</v>
      </c>
      <c r="S846">
        <f t="shared" si="104"/>
        <v>0</v>
      </c>
    </row>
    <row r="847" spans="1:19" x14ac:dyDescent="0.3">
      <c r="A847" s="17">
        <v>44830</v>
      </c>
      <c r="B847">
        <v>357.66</v>
      </c>
      <c r="C847">
        <v>84.85</v>
      </c>
      <c r="D847">
        <f t="shared" si="101"/>
        <v>272.81000000000006</v>
      </c>
      <c r="E847">
        <v>1.79</v>
      </c>
      <c r="F847">
        <f t="shared" si="102"/>
        <v>-271.02000000000004</v>
      </c>
      <c r="I847">
        <f t="shared" si="98"/>
        <v>26</v>
      </c>
      <c r="J847">
        <v>1</v>
      </c>
      <c r="K847">
        <f t="shared" si="99"/>
        <v>9</v>
      </c>
      <c r="L847">
        <f t="shared" si="100"/>
        <v>2022</v>
      </c>
      <c r="N847" s="17">
        <f t="shared" si="103"/>
        <v>44805</v>
      </c>
      <c r="S847">
        <f t="shared" si="104"/>
        <v>0</v>
      </c>
    </row>
    <row r="848" spans="1:19" x14ac:dyDescent="0.3">
      <c r="A848" s="17">
        <v>44827</v>
      </c>
      <c r="B848">
        <v>367.78</v>
      </c>
      <c r="C848">
        <v>88.8</v>
      </c>
      <c r="D848">
        <f t="shared" si="101"/>
        <v>278.97999999999996</v>
      </c>
      <c r="E848">
        <v>1.74</v>
      </c>
      <c r="F848">
        <f t="shared" si="102"/>
        <v>-277.23999999999995</v>
      </c>
      <c r="I848">
        <f t="shared" si="98"/>
        <v>23</v>
      </c>
      <c r="J848">
        <v>1</v>
      </c>
      <c r="K848">
        <f t="shared" si="99"/>
        <v>9</v>
      </c>
      <c r="L848">
        <f t="shared" si="100"/>
        <v>2022</v>
      </c>
      <c r="N848" s="17">
        <f t="shared" si="103"/>
        <v>44805</v>
      </c>
      <c r="S848">
        <f t="shared" si="104"/>
        <v>0</v>
      </c>
    </row>
    <row r="849" spans="1:19" x14ac:dyDescent="0.3">
      <c r="A849" s="17">
        <v>44826</v>
      </c>
      <c r="B849">
        <v>379.55</v>
      </c>
      <c r="C849">
        <v>91.2</v>
      </c>
      <c r="D849">
        <f t="shared" si="101"/>
        <v>288.35000000000002</v>
      </c>
      <c r="E849">
        <v>1.86</v>
      </c>
      <c r="F849">
        <f t="shared" si="102"/>
        <v>-286.49</v>
      </c>
      <c r="I849">
        <f t="shared" si="98"/>
        <v>22</v>
      </c>
      <c r="J849">
        <v>1</v>
      </c>
      <c r="K849">
        <f t="shared" si="99"/>
        <v>9</v>
      </c>
      <c r="L849">
        <f t="shared" si="100"/>
        <v>2022</v>
      </c>
      <c r="N849" s="17">
        <f t="shared" si="103"/>
        <v>44805</v>
      </c>
      <c r="S849">
        <f t="shared" si="104"/>
        <v>0</v>
      </c>
    </row>
    <row r="850" spans="1:19" x14ac:dyDescent="0.3">
      <c r="A850" s="17">
        <v>44825</v>
      </c>
      <c r="B850">
        <v>379.6</v>
      </c>
      <c r="C850">
        <v>92.7</v>
      </c>
      <c r="D850">
        <f t="shared" si="101"/>
        <v>286.90000000000003</v>
      </c>
      <c r="E850">
        <v>2.34</v>
      </c>
      <c r="F850">
        <f t="shared" si="102"/>
        <v>-284.56000000000006</v>
      </c>
      <c r="I850">
        <f t="shared" si="98"/>
        <v>21</v>
      </c>
      <c r="J850">
        <v>1</v>
      </c>
      <c r="K850">
        <f t="shared" si="99"/>
        <v>9</v>
      </c>
      <c r="L850">
        <f t="shared" si="100"/>
        <v>2022</v>
      </c>
      <c r="N850" s="17">
        <f t="shared" si="103"/>
        <v>44805</v>
      </c>
      <c r="S850">
        <f t="shared" si="104"/>
        <v>0</v>
      </c>
    </row>
    <row r="851" spans="1:19" x14ac:dyDescent="0.3">
      <c r="A851" s="17">
        <v>44824</v>
      </c>
      <c r="B851">
        <v>378.06</v>
      </c>
      <c r="C851">
        <v>92.55</v>
      </c>
      <c r="D851">
        <f t="shared" si="101"/>
        <v>285.51</v>
      </c>
      <c r="E851">
        <v>1.91</v>
      </c>
      <c r="F851">
        <f t="shared" si="102"/>
        <v>-283.59999999999997</v>
      </c>
      <c r="I851">
        <f t="shared" si="98"/>
        <v>20</v>
      </c>
      <c r="J851">
        <v>1</v>
      </c>
      <c r="K851">
        <f t="shared" si="99"/>
        <v>9</v>
      </c>
      <c r="L851">
        <f t="shared" si="100"/>
        <v>2022</v>
      </c>
      <c r="N851" s="17">
        <f t="shared" si="103"/>
        <v>44805</v>
      </c>
      <c r="S851">
        <f t="shared" si="104"/>
        <v>0</v>
      </c>
    </row>
    <row r="852" spans="1:19" x14ac:dyDescent="0.3">
      <c r="A852" s="17">
        <v>44823</v>
      </c>
      <c r="B852">
        <v>371.12</v>
      </c>
      <c r="C852">
        <v>90.34</v>
      </c>
      <c r="D852">
        <f t="shared" si="101"/>
        <v>280.77999999999997</v>
      </c>
      <c r="E852">
        <v>1.74</v>
      </c>
      <c r="F852">
        <f t="shared" si="102"/>
        <v>-279.03999999999996</v>
      </c>
      <c r="I852">
        <f t="shared" si="98"/>
        <v>19</v>
      </c>
      <c r="J852">
        <v>1</v>
      </c>
      <c r="K852">
        <f t="shared" si="99"/>
        <v>9</v>
      </c>
      <c r="L852">
        <f t="shared" si="100"/>
        <v>2022</v>
      </c>
      <c r="N852" s="17">
        <f t="shared" si="103"/>
        <v>44805</v>
      </c>
      <c r="S852">
        <f t="shared" si="104"/>
        <v>0</v>
      </c>
    </row>
    <row r="853" spans="1:19" x14ac:dyDescent="0.3">
      <c r="A853" s="17">
        <v>44820</v>
      </c>
      <c r="B853">
        <v>380.68</v>
      </c>
      <c r="C853">
        <v>91.01</v>
      </c>
      <c r="D853">
        <f t="shared" si="101"/>
        <v>289.67</v>
      </c>
      <c r="E853">
        <v>1.56</v>
      </c>
      <c r="F853">
        <f t="shared" si="102"/>
        <v>-288.11</v>
      </c>
      <c r="I853">
        <f t="shared" si="98"/>
        <v>16</v>
      </c>
      <c r="J853">
        <v>1</v>
      </c>
      <c r="K853">
        <f t="shared" si="99"/>
        <v>9</v>
      </c>
      <c r="L853">
        <f t="shared" si="100"/>
        <v>2022</v>
      </c>
      <c r="N853" s="17">
        <f t="shared" si="103"/>
        <v>44805</v>
      </c>
      <c r="S853">
        <f t="shared" si="104"/>
        <v>0</v>
      </c>
    </row>
    <row r="854" spans="1:19" x14ac:dyDescent="0.3">
      <c r="A854" s="17">
        <v>44819</v>
      </c>
      <c r="B854">
        <v>384.42</v>
      </c>
      <c r="C854">
        <v>93.61</v>
      </c>
      <c r="D854">
        <f t="shared" si="101"/>
        <v>290.81</v>
      </c>
      <c r="E854">
        <v>1.38</v>
      </c>
      <c r="F854">
        <f t="shared" si="102"/>
        <v>-289.43</v>
      </c>
      <c r="I854">
        <f t="shared" si="98"/>
        <v>15</v>
      </c>
      <c r="J854">
        <v>1</v>
      </c>
      <c r="K854">
        <f t="shared" si="99"/>
        <v>9</v>
      </c>
      <c r="L854">
        <f t="shared" si="100"/>
        <v>2022</v>
      </c>
      <c r="N854" s="17">
        <f t="shared" si="103"/>
        <v>44805</v>
      </c>
      <c r="S854">
        <f t="shared" si="104"/>
        <v>0</v>
      </c>
    </row>
    <row r="855" spans="1:19" x14ac:dyDescent="0.3">
      <c r="A855" s="17">
        <v>44818</v>
      </c>
      <c r="B855">
        <v>382.75</v>
      </c>
      <c r="C855">
        <v>92.704999999999998</v>
      </c>
      <c r="D855">
        <f t="shared" si="101"/>
        <v>290.04500000000002</v>
      </c>
      <c r="E855">
        <v>2.02</v>
      </c>
      <c r="F855">
        <f t="shared" si="102"/>
        <v>-288.02500000000003</v>
      </c>
      <c r="I855">
        <f t="shared" si="98"/>
        <v>14</v>
      </c>
      <c r="J855">
        <v>1</v>
      </c>
      <c r="K855">
        <f t="shared" si="99"/>
        <v>9</v>
      </c>
      <c r="L855">
        <f t="shared" si="100"/>
        <v>2022</v>
      </c>
      <c r="N855" s="17">
        <f t="shared" si="103"/>
        <v>44805</v>
      </c>
      <c r="S855">
        <f t="shared" si="104"/>
        <v>0</v>
      </c>
    </row>
    <row r="856" spans="1:19" x14ac:dyDescent="0.3">
      <c r="A856" s="17">
        <v>44817</v>
      </c>
      <c r="B856">
        <v>395.01</v>
      </c>
      <c r="C856">
        <v>94.444999999999993</v>
      </c>
      <c r="D856">
        <f t="shared" si="101"/>
        <v>300.565</v>
      </c>
      <c r="E856">
        <v>2.27</v>
      </c>
      <c r="F856">
        <f t="shared" si="102"/>
        <v>-298.29500000000002</v>
      </c>
      <c r="I856">
        <f t="shared" si="98"/>
        <v>13</v>
      </c>
      <c r="J856">
        <v>1</v>
      </c>
      <c r="K856">
        <f t="shared" si="99"/>
        <v>9</v>
      </c>
      <c r="L856">
        <f t="shared" si="100"/>
        <v>2022</v>
      </c>
      <c r="N856" s="17">
        <f t="shared" si="103"/>
        <v>44805</v>
      </c>
      <c r="S856">
        <f t="shared" si="104"/>
        <v>0</v>
      </c>
    </row>
    <row r="857" spans="1:19" x14ac:dyDescent="0.3">
      <c r="A857" s="17">
        <v>44816</v>
      </c>
      <c r="B857">
        <v>385.08</v>
      </c>
      <c r="C857">
        <v>92.36</v>
      </c>
      <c r="D857">
        <f t="shared" si="101"/>
        <v>292.71999999999997</v>
      </c>
      <c r="E857">
        <v>2.52</v>
      </c>
      <c r="F857">
        <f t="shared" si="102"/>
        <v>-290.2</v>
      </c>
      <c r="I857">
        <f t="shared" si="98"/>
        <v>12</v>
      </c>
      <c r="J857">
        <v>1</v>
      </c>
      <c r="K857">
        <f t="shared" si="99"/>
        <v>9</v>
      </c>
      <c r="L857">
        <f t="shared" si="100"/>
        <v>2022</v>
      </c>
      <c r="N857" s="17">
        <f t="shared" si="103"/>
        <v>44805</v>
      </c>
      <c r="S857">
        <f t="shared" si="104"/>
        <v>0</v>
      </c>
    </row>
    <row r="858" spans="1:19" x14ac:dyDescent="0.3">
      <c r="A858" s="17">
        <v>44813</v>
      </c>
      <c r="B858">
        <v>371.44</v>
      </c>
      <c r="C858">
        <v>90.41</v>
      </c>
      <c r="D858">
        <f t="shared" si="101"/>
        <v>281.02999999999997</v>
      </c>
      <c r="E858">
        <v>2.41</v>
      </c>
      <c r="F858">
        <f t="shared" si="102"/>
        <v>-278.61999999999995</v>
      </c>
      <c r="I858">
        <f t="shared" si="98"/>
        <v>9</v>
      </c>
      <c r="J858">
        <v>1</v>
      </c>
      <c r="K858">
        <f t="shared" si="99"/>
        <v>9</v>
      </c>
      <c r="L858">
        <f t="shared" si="100"/>
        <v>2022</v>
      </c>
      <c r="N858" s="17">
        <f t="shared" si="103"/>
        <v>44805</v>
      </c>
      <c r="S858">
        <f t="shared" si="104"/>
        <v>0</v>
      </c>
    </row>
    <row r="859" spans="1:19" x14ac:dyDescent="0.3">
      <c r="A859" s="17">
        <v>44812</v>
      </c>
      <c r="B859">
        <v>359.97</v>
      </c>
      <c r="C859">
        <v>88</v>
      </c>
      <c r="D859">
        <f t="shared" si="101"/>
        <v>271.97000000000003</v>
      </c>
      <c r="E859">
        <v>2.1800000000000002</v>
      </c>
      <c r="F859">
        <f t="shared" si="102"/>
        <v>-269.79000000000002</v>
      </c>
      <c r="I859">
        <f t="shared" si="98"/>
        <v>8</v>
      </c>
      <c r="J859">
        <v>1</v>
      </c>
      <c r="K859">
        <f t="shared" si="99"/>
        <v>9</v>
      </c>
      <c r="L859">
        <f t="shared" si="100"/>
        <v>2022</v>
      </c>
      <c r="N859" s="17">
        <f t="shared" si="103"/>
        <v>44805</v>
      </c>
      <c r="S859">
        <f t="shared" si="104"/>
        <v>0</v>
      </c>
    </row>
    <row r="860" spans="1:19" x14ac:dyDescent="0.3">
      <c r="A860" s="17">
        <v>44811</v>
      </c>
      <c r="B860">
        <v>392.43</v>
      </c>
      <c r="C860">
        <v>92.2</v>
      </c>
      <c r="D860">
        <f t="shared" si="101"/>
        <v>300.23</v>
      </c>
      <c r="E860">
        <v>2.15</v>
      </c>
      <c r="F860">
        <f t="shared" si="102"/>
        <v>-298.08000000000004</v>
      </c>
      <c r="I860">
        <f t="shared" si="98"/>
        <v>7</v>
      </c>
      <c r="J860">
        <v>1</v>
      </c>
      <c r="K860">
        <f t="shared" si="99"/>
        <v>9</v>
      </c>
      <c r="L860">
        <f t="shared" si="100"/>
        <v>2022</v>
      </c>
      <c r="N860" s="17">
        <f t="shared" si="103"/>
        <v>44805</v>
      </c>
      <c r="S860">
        <f t="shared" si="104"/>
        <v>0</v>
      </c>
    </row>
    <row r="861" spans="1:19" x14ac:dyDescent="0.3">
      <c r="A861" s="17">
        <v>44810</v>
      </c>
      <c r="B861">
        <v>421.4</v>
      </c>
      <c r="C861">
        <v>95.21</v>
      </c>
      <c r="D861">
        <f t="shared" si="101"/>
        <v>326.19</v>
      </c>
      <c r="E861">
        <v>1.98</v>
      </c>
      <c r="F861">
        <f t="shared" si="102"/>
        <v>-324.20999999999998</v>
      </c>
      <c r="I861">
        <f t="shared" si="98"/>
        <v>6</v>
      </c>
      <c r="J861">
        <v>1</v>
      </c>
      <c r="K861">
        <f t="shared" si="99"/>
        <v>9</v>
      </c>
      <c r="L861">
        <f t="shared" si="100"/>
        <v>2022</v>
      </c>
      <c r="N861" s="17">
        <f t="shared" si="103"/>
        <v>44805</v>
      </c>
      <c r="S861">
        <f t="shared" si="104"/>
        <v>0</v>
      </c>
    </row>
    <row r="862" spans="1:19" x14ac:dyDescent="0.3">
      <c r="A862" s="17">
        <v>44809</v>
      </c>
      <c r="B862">
        <v>428.31</v>
      </c>
      <c r="C862">
        <v>95.34</v>
      </c>
      <c r="D862">
        <f t="shared" si="101"/>
        <v>332.97</v>
      </c>
      <c r="E862">
        <v>1.93</v>
      </c>
      <c r="F862">
        <f t="shared" si="102"/>
        <v>-331.04</v>
      </c>
      <c r="I862">
        <f t="shared" si="98"/>
        <v>5</v>
      </c>
      <c r="J862">
        <v>1</v>
      </c>
      <c r="K862">
        <f t="shared" si="99"/>
        <v>9</v>
      </c>
      <c r="L862">
        <f t="shared" si="100"/>
        <v>2022</v>
      </c>
      <c r="N862" s="17">
        <f t="shared" si="103"/>
        <v>44805</v>
      </c>
      <c r="S862">
        <f t="shared" si="104"/>
        <v>0</v>
      </c>
    </row>
    <row r="863" spans="1:19" x14ac:dyDescent="0.3">
      <c r="A863" s="17">
        <v>44806</v>
      </c>
      <c r="B863">
        <v>422.43</v>
      </c>
      <c r="C863">
        <v>94.75</v>
      </c>
      <c r="D863">
        <f t="shared" si="101"/>
        <v>327.68</v>
      </c>
      <c r="E863">
        <v>2.15</v>
      </c>
      <c r="F863">
        <f t="shared" si="102"/>
        <v>-325.53000000000003</v>
      </c>
      <c r="I863">
        <f t="shared" si="98"/>
        <v>2</v>
      </c>
      <c r="J863">
        <v>1</v>
      </c>
      <c r="K863">
        <f t="shared" si="99"/>
        <v>9</v>
      </c>
      <c r="L863">
        <f t="shared" si="100"/>
        <v>2022</v>
      </c>
      <c r="N863" s="17">
        <f t="shared" si="103"/>
        <v>44805</v>
      </c>
      <c r="S863">
        <f t="shared" si="104"/>
        <v>1</v>
      </c>
    </row>
    <row r="864" spans="1:19" x14ac:dyDescent="0.3">
      <c r="A864" s="17">
        <v>44805</v>
      </c>
      <c r="B864">
        <v>414.1</v>
      </c>
      <c r="C864">
        <v>93.95</v>
      </c>
      <c r="D864">
        <f t="shared" si="101"/>
        <v>320.15000000000003</v>
      </c>
      <c r="E864">
        <v>2.2400000000000002</v>
      </c>
      <c r="F864">
        <f t="shared" si="102"/>
        <v>-317.91000000000003</v>
      </c>
      <c r="I864">
        <f t="shared" si="98"/>
        <v>1</v>
      </c>
      <c r="J864">
        <v>1</v>
      </c>
      <c r="K864">
        <f t="shared" si="99"/>
        <v>9</v>
      </c>
      <c r="L864">
        <f t="shared" si="100"/>
        <v>2022</v>
      </c>
      <c r="N864" s="17">
        <f t="shared" si="103"/>
        <v>44805</v>
      </c>
      <c r="S864">
        <f t="shared" si="104"/>
        <v>1</v>
      </c>
    </row>
    <row r="865" spans="1:19" x14ac:dyDescent="0.3">
      <c r="A865" s="17">
        <v>44804</v>
      </c>
      <c r="B865">
        <v>431.42</v>
      </c>
      <c r="C865">
        <v>97.85</v>
      </c>
      <c r="D865">
        <f t="shared" si="101"/>
        <v>333.57000000000005</v>
      </c>
      <c r="E865">
        <v>2.15</v>
      </c>
      <c r="F865">
        <f t="shared" si="102"/>
        <v>-331.42000000000007</v>
      </c>
      <c r="I865">
        <f t="shared" si="98"/>
        <v>31</v>
      </c>
      <c r="J865">
        <v>1</v>
      </c>
      <c r="K865">
        <f t="shared" si="99"/>
        <v>8</v>
      </c>
      <c r="L865">
        <f t="shared" si="100"/>
        <v>2022</v>
      </c>
      <c r="N865" s="17">
        <f t="shared" si="103"/>
        <v>44774</v>
      </c>
      <c r="S865">
        <f t="shared" si="104"/>
        <v>0</v>
      </c>
    </row>
    <row r="866" spans="1:19" x14ac:dyDescent="0.3">
      <c r="A866" s="17">
        <v>44803</v>
      </c>
      <c r="B866">
        <v>470.14</v>
      </c>
      <c r="C866">
        <v>102.8</v>
      </c>
      <c r="D866">
        <f t="shared" si="101"/>
        <v>367.34</v>
      </c>
      <c r="E866">
        <v>2.11</v>
      </c>
      <c r="F866">
        <f t="shared" si="102"/>
        <v>-365.22999999999996</v>
      </c>
      <c r="I866">
        <f t="shared" si="98"/>
        <v>30</v>
      </c>
      <c r="J866">
        <v>1</v>
      </c>
      <c r="K866">
        <f t="shared" si="99"/>
        <v>8</v>
      </c>
      <c r="L866">
        <f t="shared" si="100"/>
        <v>2022</v>
      </c>
      <c r="N866" s="17">
        <f t="shared" si="103"/>
        <v>44774</v>
      </c>
      <c r="S866">
        <f t="shared" si="104"/>
        <v>0</v>
      </c>
    </row>
    <row r="867" spans="1:19" x14ac:dyDescent="0.3">
      <c r="A867" s="17">
        <v>44802</v>
      </c>
      <c r="B867">
        <v>474.62</v>
      </c>
      <c r="C867">
        <v>100.16</v>
      </c>
      <c r="D867">
        <f t="shared" si="101"/>
        <v>374.46000000000004</v>
      </c>
      <c r="E867">
        <v>2.16</v>
      </c>
      <c r="F867">
        <f t="shared" si="102"/>
        <v>-372.3</v>
      </c>
      <c r="I867">
        <f t="shared" si="98"/>
        <v>29</v>
      </c>
      <c r="J867">
        <v>1</v>
      </c>
      <c r="K867">
        <f t="shared" si="99"/>
        <v>8</v>
      </c>
      <c r="L867">
        <f t="shared" si="100"/>
        <v>2022</v>
      </c>
      <c r="N867" s="17">
        <f t="shared" si="103"/>
        <v>44774</v>
      </c>
      <c r="S867">
        <f t="shared" si="104"/>
        <v>0</v>
      </c>
    </row>
    <row r="868" spans="1:19" x14ac:dyDescent="0.3">
      <c r="A868" s="17">
        <v>44799</v>
      </c>
      <c r="B868">
        <v>474.57</v>
      </c>
      <c r="C868">
        <v>99.65</v>
      </c>
      <c r="D868">
        <f t="shared" si="101"/>
        <v>374.91999999999996</v>
      </c>
      <c r="E868">
        <v>2.12</v>
      </c>
      <c r="F868">
        <f t="shared" si="102"/>
        <v>-372.79999999999995</v>
      </c>
      <c r="I868">
        <f t="shared" si="98"/>
        <v>26</v>
      </c>
      <c r="J868">
        <v>1</v>
      </c>
      <c r="K868">
        <f t="shared" si="99"/>
        <v>8</v>
      </c>
      <c r="L868">
        <f t="shared" si="100"/>
        <v>2022</v>
      </c>
      <c r="N868" s="17">
        <f t="shared" si="103"/>
        <v>44774</v>
      </c>
      <c r="S868">
        <f t="shared" si="104"/>
        <v>0</v>
      </c>
    </row>
    <row r="869" spans="1:19" x14ac:dyDescent="0.3">
      <c r="A869" s="17">
        <v>44798</v>
      </c>
      <c r="B869">
        <v>480.97</v>
      </c>
      <c r="C869">
        <v>99.9</v>
      </c>
      <c r="D869">
        <f t="shared" si="101"/>
        <v>381.07000000000005</v>
      </c>
      <c r="E869">
        <v>1.88</v>
      </c>
      <c r="F869">
        <f t="shared" si="102"/>
        <v>-379.19000000000005</v>
      </c>
      <c r="I869">
        <f t="shared" si="98"/>
        <v>25</v>
      </c>
      <c r="J869">
        <v>1</v>
      </c>
      <c r="K869">
        <f t="shared" si="99"/>
        <v>8</v>
      </c>
      <c r="L869">
        <f t="shared" si="100"/>
        <v>2022</v>
      </c>
      <c r="N869" s="17">
        <f t="shared" si="103"/>
        <v>44774</v>
      </c>
      <c r="S869">
        <f t="shared" si="104"/>
        <v>0</v>
      </c>
    </row>
    <row r="870" spans="1:19" x14ac:dyDescent="0.3">
      <c r="A870" s="17">
        <v>44797</v>
      </c>
      <c r="B870">
        <v>480.46</v>
      </c>
      <c r="C870">
        <v>99.5</v>
      </c>
      <c r="D870">
        <f t="shared" si="101"/>
        <v>380.96</v>
      </c>
      <c r="E870">
        <v>1.6</v>
      </c>
      <c r="F870">
        <f t="shared" si="102"/>
        <v>-379.35999999999996</v>
      </c>
      <c r="I870">
        <f t="shared" si="98"/>
        <v>24</v>
      </c>
      <c r="J870">
        <v>1</v>
      </c>
      <c r="K870">
        <f t="shared" si="99"/>
        <v>8</v>
      </c>
      <c r="L870">
        <f t="shared" si="100"/>
        <v>2022</v>
      </c>
      <c r="N870" s="17">
        <f t="shared" si="103"/>
        <v>44774</v>
      </c>
      <c r="S870">
        <f t="shared" si="104"/>
        <v>0</v>
      </c>
    </row>
    <row r="871" spans="1:19" x14ac:dyDescent="0.3">
      <c r="A871" s="17">
        <v>44796</v>
      </c>
      <c r="B871">
        <v>469.13</v>
      </c>
      <c r="C871">
        <v>96.5</v>
      </c>
      <c r="D871">
        <f t="shared" si="101"/>
        <v>372.63</v>
      </c>
      <c r="E871">
        <v>1.51</v>
      </c>
      <c r="F871">
        <f t="shared" si="102"/>
        <v>-371.12</v>
      </c>
      <c r="I871">
        <f t="shared" si="98"/>
        <v>23</v>
      </c>
      <c r="J871">
        <v>1</v>
      </c>
      <c r="K871">
        <f t="shared" si="99"/>
        <v>8</v>
      </c>
      <c r="L871">
        <f t="shared" si="100"/>
        <v>2022</v>
      </c>
      <c r="N871" s="17">
        <f t="shared" si="103"/>
        <v>44774</v>
      </c>
      <c r="S871">
        <f t="shared" si="104"/>
        <v>0</v>
      </c>
    </row>
    <row r="872" spans="1:19" x14ac:dyDescent="0.3">
      <c r="A872" s="17">
        <v>44795</v>
      </c>
      <c r="B872">
        <v>464.46</v>
      </c>
      <c r="C872">
        <v>93.95</v>
      </c>
      <c r="D872">
        <f t="shared" si="101"/>
        <v>370.51</v>
      </c>
      <c r="E872">
        <v>1.1200000000000001</v>
      </c>
      <c r="F872">
        <f t="shared" si="102"/>
        <v>-369.39</v>
      </c>
      <c r="I872">
        <f t="shared" si="98"/>
        <v>22</v>
      </c>
      <c r="J872">
        <v>1</v>
      </c>
      <c r="K872">
        <f t="shared" si="99"/>
        <v>8</v>
      </c>
      <c r="L872">
        <f t="shared" si="100"/>
        <v>2022</v>
      </c>
      <c r="N872" s="17">
        <f t="shared" si="103"/>
        <v>44774</v>
      </c>
      <c r="S872">
        <f t="shared" si="104"/>
        <v>0</v>
      </c>
    </row>
    <row r="873" spans="1:19" x14ac:dyDescent="0.3">
      <c r="A873" s="17">
        <v>44792</v>
      </c>
      <c r="B873">
        <v>465.46</v>
      </c>
      <c r="C873">
        <v>94.35</v>
      </c>
      <c r="D873">
        <f t="shared" si="101"/>
        <v>371.11</v>
      </c>
      <c r="E873">
        <v>0.94</v>
      </c>
      <c r="F873">
        <f t="shared" si="102"/>
        <v>-370.17</v>
      </c>
      <c r="I873">
        <f t="shared" si="98"/>
        <v>19</v>
      </c>
      <c r="J873">
        <v>1</v>
      </c>
      <c r="K873">
        <f t="shared" si="99"/>
        <v>8</v>
      </c>
      <c r="L873">
        <f t="shared" si="100"/>
        <v>2022</v>
      </c>
      <c r="N873" s="17">
        <f t="shared" si="103"/>
        <v>44774</v>
      </c>
      <c r="S873">
        <f t="shared" si="104"/>
        <v>0</v>
      </c>
    </row>
    <row r="874" spans="1:19" x14ac:dyDescent="0.3">
      <c r="A874" s="17">
        <v>44791</v>
      </c>
      <c r="B874">
        <v>468.17</v>
      </c>
      <c r="C874">
        <v>92.8</v>
      </c>
      <c r="D874">
        <f t="shared" si="101"/>
        <v>375.37</v>
      </c>
      <c r="E874">
        <v>0.83</v>
      </c>
      <c r="F874">
        <f t="shared" si="102"/>
        <v>-374.54</v>
      </c>
      <c r="I874">
        <f t="shared" si="98"/>
        <v>18</v>
      </c>
      <c r="J874">
        <v>1</v>
      </c>
      <c r="K874">
        <f t="shared" si="99"/>
        <v>8</v>
      </c>
      <c r="L874">
        <f t="shared" si="100"/>
        <v>2022</v>
      </c>
      <c r="N874" s="17">
        <f t="shared" si="103"/>
        <v>44774</v>
      </c>
      <c r="S874">
        <f t="shared" si="104"/>
        <v>0</v>
      </c>
    </row>
    <row r="875" spans="1:19" x14ac:dyDescent="0.3">
      <c r="A875" s="17">
        <v>44790</v>
      </c>
      <c r="B875">
        <v>473.21</v>
      </c>
      <c r="C875">
        <v>90.4</v>
      </c>
      <c r="D875">
        <f t="shared" si="101"/>
        <v>382.80999999999995</v>
      </c>
      <c r="E875">
        <v>0.89</v>
      </c>
      <c r="F875">
        <f t="shared" si="102"/>
        <v>-381.91999999999996</v>
      </c>
      <c r="I875">
        <f t="shared" si="98"/>
        <v>17</v>
      </c>
      <c r="J875">
        <v>1</v>
      </c>
      <c r="K875">
        <f t="shared" si="99"/>
        <v>8</v>
      </c>
      <c r="L875">
        <f t="shared" si="100"/>
        <v>2022</v>
      </c>
      <c r="N875" s="17">
        <f t="shared" si="103"/>
        <v>44774</v>
      </c>
      <c r="S875">
        <f t="shared" si="104"/>
        <v>0</v>
      </c>
    </row>
    <row r="876" spans="1:19" x14ac:dyDescent="0.3">
      <c r="A876" s="17">
        <v>44789</v>
      </c>
      <c r="B876">
        <v>480.72</v>
      </c>
      <c r="C876">
        <v>92.1</v>
      </c>
      <c r="D876">
        <f t="shared" si="101"/>
        <v>388.62</v>
      </c>
      <c r="E876">
        <v>0.76</v>
      </c>
      <c r="F876">
        <f t="shared" si="102"/>
        <v>-387.86</v>
      </c>
      <c r="I876">
        <f t="shared" si="98"/>
        <v>16</v>
      </c>
      <c r="J876">
        <v>1</v>
      </c>
      <c r="K876">
        <f t="shared" si="99"/>
        <v>8</v>
      </c>
      <c r="L876">
        <f t="shared" si="100"/>
        <v>2022</v>
      </c>
      <c r="N876" s="17">
        <f t="shared" si="103"/>
        <v>44774</v>
      </c>
      <c r="S876">
        <f t="shared" si="104"/>
        <v>0</v>
      </c>
    </row>
    <row r="877" spans="1:19" x14ac:dyDescent="0.3">
      <c r="A877" s="17">
        <v>44788</v>
      </c>
      <c r="B877">
        <v>508.5</v>
      </c>
      <c r="C877">
        <v>94.56</v>
      </c>
      <c r="D877">
        <f t="shared" si="101"/>
        <v>413.94</v>
      </c>
      <c r="E877">
        <v>0.7</v>
      </c>
      <c r="F877">
        <f t="shared" si="102"/>
        <v>-413.24</v>
      </c>
      <c r="I877">
        <f t="shared" si="98"/>
        <v>15</v>
      </c>
      <c r="J877">
        <v>1</v>
      </c>
      <c r="K877">
        <f t="shared" si="99"/>
        <v>8</v>
      </c>
      <c r="L877">
        <f t="shared" si="100"/>
        <v>2022</v>
      </c>
      <c r="N877" s="17">
        <f t="shared" si="103"/>
        <v>44774</v>
      </c>
      <c r="S877">
        <f t="shared" si="104"/>
        <v>0</v>
      </c>
    </row>
    <row r="878" spans="1:19" x14ac:dyDescent="0.3">
      <c r="A878" s="17">
        <v>44785</v>
      </c>
      <c r="B878">
        <v>528.41999999999996</v>
      </c>
      <c r="C878">
        <v>98.28</v>
      </c>
      <c r="D878">
        <f t="shared" si="101"/>
        <v>430.14</v>
      </c>
      <c r="E878">
        <v>0.61</v>
      </c>
      <c r="F878">
        <f t="shared" si="102"/>
        <v>-429.53</v>
      </c>
      <c r="I878">
        <f t="shared" si="98"/>
        <v>12</v>
      </c>
      <c r="J878">
        <v>1</v>
      </c>
      <c r="K878">
        <f t="shared" si="99"/>
        <v>8</v>
      </c>
      <c r="L878">
        <f t="shared" si="100"/>
        <v>2022</v>
      </c>
      <c r="N878" s="17">
        <f t="shared" si="103"/>
        <v>44774</v>
      </c>
      <c r="S878">
        <f t="shared" si="104"/>
        <v>0</v>
      </c>
    </row>
    <row r="879" spans="1:19" x14ac:dyDescent="0.3">
      <c r="A879" s="17">
        <v>44784</v>
      </c>
      <c r="B879">
        <v>496.05</v>
      </c>
      <c r="C879">
        <v>96</v>
      </c>
      <c r="D879">
        <f t="shared" si="101"/>
        <v>400.05</v>
      </c>
      <c r="E879">
        <v>0.61</v>
      </c>
      <c r="F879">
        <f t="shared" si="102"/>
        <v>-399.44</v>
      </c>
      <c r="I879">
        <f t="shared" si="98"/>
        <v>11</v>
      </c>
      <c r="J879">
        <v>1</v>
      </c>
      <c r="K879">
        <f t="shared" si="99"/>
        <v>8</v>
      </c>
      <c r="L879">
        <f t="shared" si="100"/>
        <v>2022</v>
      </c>
      <c r="N879" s="17">
        <f t="shared" si="103"/>
        <v>44774</v>
      </c>
      <c r="S879">
        <f t="shared" si="104"/>
        <v>0</v>
      </c>
    </row>
    <row r="880" spans="1:19" x14ac:dyDescent="0.3">
      <c r="A880" s="17">
        <v>44783</v>
      </c>
      <c r="B880">
        <v>470.89</v>
      </c>
      <c r="C880">
        <v>94.86</v>
      </c>
      <c r="D880">
        <f t="shared" si="101"/>
        <v>376.03</v>
      </c>
      <c r="E880">
        <v>0.6</v>
      </c>
      <c r="F880">
        <f t="shared" si="102"/>
        <v>-375.42999999999995</v>
      </c>
      <c r="I880">
        <f t="shared" si="98"/>
        <v>10</v>
      </c>
      <c r="J880">
        <v>1</v>
      </c>
      <c r="K880">
        <f t="shared" si="99"/>
        <v>8</v>
      </c>
      <c r="L880">
        <f t="shared" si="100"/>
        <v>2022</v>
      </c>
      <c r="N880" s="17">
        <f t="shared" si="103"/>
        <v>44774</v>
      </c>
      <c r="S880">
        <f t="shared" si="104"/>
        <v>0</v>
      </c>
    </row>
    <row r="881" spans="1:19" x14ac:dyDescent="0.3">
      <c r="A881" s="17">
        <v>44781</v>
      </c>
      <c r="B881">
        <v>461.16</v>
      </c>
      <c r="C881">
        <v>94.26</v>
      </c>
      <c r="D881">
        <f t="shared" si="101"/>
        <v>366.90000000000003</v>
      </c>
      <c r="E881">
        <v>0.91</v>
      </c>
      <c r="F881">
        <f t="shared" si="102"/>
        <v>-365.99</v>
      </c>
      <c r="I881">
        <f t="shared" si="98"/>
        <v>8</v>
      </c>
      <c r="J881">
        <v>1</v>
      </c>
      <c r="K881">
        <f t="shared" si="99"/>
        <v>8</v>
      </c>
      <c r="L881">
        <f t="shared" si="100"/>
        <v>2022</v>
      </c>
      <c r="N881" s="17">
        <f t="shared" si="103"/>
        <v>44774</v>
      </c>
      <c r="S881">
        <f t="shared" si="104"/>
        <v>0</v>
      </c>
    </row>
    <row r="882" spans="1:19" x14ac:dyDescent="0.3">
      <c r="A882" s="17">
        <v>44778</v>
      </c>
      <c r="B882">
        <v>457.22</v>
      </c>
      <c r="C882">
        <v>93.76</v>
      </c>
      <c r="D882">
        <f t="shared" si="101"/>
        <v>363.46000000000004</v>
      </c>
      <c r="E882">
        <v>1.42</v>
      </c>
      <c r="F882">
        <f t="shared" si="102"/>
        <v>-362.04</v>
      </c>
      <c r="I882">
        <f t="shared" si="98"/>
        <v>5</v>
      </c>
      <c r="J882">
        <v>1</v>
      </c>
      <c r="K882">
        <f t="shared" si="99"/>
        <v>8</v>
      </c>
      <c r="L882">
        <f t="shared" si="100"/>
        <v>2022</v>
      </c>
      <c r="N882" s="17">
        <f t="shared" si="103"/>
        <v>44774</v>
      </c>
      <c r="S882">
        <f t="shared" si="104"/>
        <v>0</v>
      </c>
    </row>
    <row r="883" spans="1:19" x14ac:dyDescent="0.3">
      <c r="A883" s="17">
        <v>44777</v>
      </c>
      <c r="B883">
        <v>468.11</v>
      </c>
      <c r="C883">
        <v>95.7</v>
      </c>
      <c r="D883">
        <f t="shared" si="101"/>
        <v>372.41</v>
      </c>
      <c r="E883">
        <v>1.64</v>
      </c>
      <c r="F883">
        <f t="shared" si="102"/>
        <v>-370.77000000000004</v>
      </c>
      <c r="I883">
        <f t="shared" si="98"/>
        <v>4</v>
      </c>
      <c r="J883">
        <v>1</v>
      </c>
      <c r="K883">
        <f t="shared" si="99"/>
        <v>8</v>
      </c>
      <c r="L883">
        <f t="shared" si="100"/>
        <v>2022</v>
      </c>
      <c r="N883" s="17">
        <f t="shared" si="103"/>
        <v>44774</v>
      </c>
      <c r="S883">
        <f t="shared" si="104"/>
        <v>1</v>
      </c>
    </row>
    <row r="884" spans="1:19" x14ac:dyDescent="0.3">
      <c r="A884" s="17">
        <v>44776</v>
      </c>
      <c r="B884">
        <v>468.67</v>
      </c>
      <c r="C884">
        <v>98.36</v>
      </c>
      <c r="D884">
        <f t="shared" si="101"/>
        <v>370.31</v>
      </c>
      <c r="E884">
        <v>1.69</v>
      </c>
      <c r="F884">
        <f t="shared" si="102"/>
        <v>-368.62</v>
      </c>
      <c r="I884">
        <f t="shared" si="98"/>
        <v>3</v>
      </c>
      <c r="J884">
        <v>1</v>
      </c>
      <c r="K884">
        <f t="shared" si="99"/>
        <v>8</v>
      </c>
      <c r="L884">
        <f t="shared" si="100"/>
        <v>2022</v>
      </c>
      <c r="N884" s="17">
        <f t="shared" si="103"/>
        <v>44774</v>
      </c>
      <c r="S884">
        <f t="shared" si="104"/>
        <v>1</v>
      </c>
    </row>
    <row r="885" spans="1:19" x14ac:dyDescent="0.3">
      <c r="A885" s="17">
        <v>44775</v>
      </c>
      <c r="B885">
        <v>475.38</v>
      </c>
      <c r="C885">
        <v>97.98</v>
      </c>
      <c r="D885">
        <f t="shared" si="101"/>
        <v>377.4</v>
      </c>
      <c r="E885">
        <v>1.62</v>
      </c>
      <c r="F885">
        <f t="shared" si="102"/>
        <v>-375.78</v>
      </c>
      <c r="I885">
        <f t="shared" si="98"/>
        <v>2</v>
      </c>
      <c r="J885">
        <v>1</v>
      </c>
      <c r="K885">
        <f t="shared" si="99"/>
        <v>8</v>
      </c>
      <c r="L885">
        <f t="shared" si="100"/>
        <v>2022</v>
      </c>
      <c r="N885" s="17">
        <f t="shared" si="103"/>
        <v>44774</v>
      </c>
      <c r="S885">
        <f t="shared" si="104"/>
        <v>1</v>
      </c>
    </row>
    <row r="886" spans="1:19" x14ac:dyDescent="0.3">
      <c r="A886" s="17">
        <v>44774</v>
      </c>
      <c r="B886">
        <v>485.01</v>
      </c>
      <c r="C886">
        <v>101.5</v>
      </c>
      <c r="D886">
        <f t="shared" si="101"/>
        <v>383.51</v>
      </c>
      <c r="E886">
        <v>1.71</v>
      </c>
      <c r="F886">
        <f t="shared" si="102"/>
        <v>-381.8</v>
      </c>
      <c r="I886">
        <f t="shared" si="98"/>
        <v>1</v>
      </c>
      <c r="J886">
        <v>1</v>
      </c>
      <c r="K886">
        <f t="shared" si="99"/>
        <v>8</v>
      </c>
      <c r="L886">
        <f t="shared" si="100"/>
        <v>2022</v>
      </c>
      <c r="N886" s="17">
        <f t="shared" si="103"/>
        <v>44774</v>
      </c>
      <c r="S886">
        <f t="shared" si="104"/>
        <v>1</v>
      </c>
    </row>
    <row r="887" spans="1:19" x14ac:dyDescent="0.3">
      <c r="A887" s="17">
        <v>44771</v>
      </c>
      <c r="B887">
        <v>478.82</v>
      </c>
      <c r="C887">
        <v>107.24</v>
      </c>
      <c r="D887">
        <f t="shared" si="101"/>
        <v>371.58</v>
      </c>
      <c r="E887">
        <v>1.67</v>
      </c>
      <c r="F887">
        <f t="shared" si="102"/>
        <v>-369.90999999999997</v>
      </c>
      <c r="I887">
        <f t="shared" si="98"/>
        <v>29</v>
      </c>
      <c r="J887">
        <v>1</v>
      </c>
      <c r="K887">
        <f t="shared" si="99"/>
        <v>7</v>
      </c>
      <c r="L887">
        <f t="shared" si="100"/>
        <v>2022</v>
      </c>
      <c r="N887" s="17">
        <f t="shared" si="103"/>
        <v>44743</v>
      </c>
      <c r="S887">
        <f t="shared" si="104"/>
        <v>0</v>
      </c>
    </row>
    <row r="888" spans="1:19" x14ac:dyDescent="0.3">
      <c r="A888" s="17">
        <v>44770</v>
      </c>
      <c r="B888">
        <v>477.53</v>
      </c>
      <c r="C888">
        <v>105</v>
      </c>
      <c r="D888">
        <f t="shared" si="101"/>
        <v>372.53</v>
      </c>
      <c r="E888">
        <v>1.54</v>
      </c>
      <c r="F888">
        <f t="shared" si="102"/>
        <v>-370.98999999999995</v>
      </c>
      <c r="I888">
        <f t="shared" si="98"/>
        <v>28</v>
      </c>
      <c r="J888">
        <v>1</v>
      </c>
      <c r="K888">
        <f t="shared" si="99"/>
        <v>7</v>
      </c>
      <c r="L888">
        <f t="shared" si="100"/>
        <v>2022</v>
      </c>
      <c r="N888" s="17">
        <f t="shared" si="103"/>
        <v>44743</v>
      </c>
      <c r="S888">
        <f t="shared" si="104"/>
        <v>0</v>
      </c>
    </row>
    <row r="889" spans="1:19" x14ac:dyDescent="0.3">
      <c r="A889" s="17">
        <v>44769</v>
      </c>
      <c r="B889">
        <v>455.32</v>
      </c>
      <c r="C889">
        <v>101.4</v>
      </c>
      <c r="D889">
        <f t="shared" si="101"/>
        <v>353.91999999999996</v>
      </c>
      <c r="E889">
        <v>1.43</v>
      </c>
      <c r="F889">
        <f t="shared" si="102"/>
        <v>-352.48999999999995</v>
      </c>
      <c r="I889">
        <f t="shared" si="98"/>
        <v>27</v>
      </c>
      <c r="J889">
        <v>1</v>
      </c>
      <c r="K889">
        <f t="shared" si="99"/>
        <v>7</v>
      </c>
      <c r="L889">
        <f t="shared" si="100"/>
        <v>2022</v>
      </c>
      <c r="N889" s="17">
        <f t="shared" si="103"/>
        <v>44743</v>
      </c>
      <c r="S889">
        <f t="shared" si="104"/>
        <v>0</v>
      </c>
    </row>
    <row r="890" spans="1:19" x14ac:dyDescent="0.3">
      <c r="A890" s="17">
        <v>44768</v>
      </c>
      <c r="B890">
        <v>471.51</v>
      </c>
      <c r="C890">
        <v>104.9</v>
      </c>
      <c r="D890">
        <f t="shared" si="101"/>
        <v>366.61</v>
      </c>
      <c r="E890">
        <v>1.62</v>
      </c>
      <c r="F890">
        <f t="shared" si="102"/>
        <v>-364.99</v>
      </c>
      <c r="I890">
        <f t="shared" si="98"/>
        <v>26</v>
      </c>
      <c r="J890">
        <v>1</v>
      </c>
      <c r="K890">
        <f t="shared" si="99"/>
        <v>7</v>
      </c>
      <c r="L890">
        <f t="shared" si="100"/>
        <v>2022</v>
      </c>
      <c r="N890" s="17">
        <f t="shared" si="103"/>
        <v>44743</v>
      </c>
      <c r="S890">
        <f t="shared" si="104"/>
        <v>0</v>
      </c>
    </row>
    <row r="891" spans="1:19" x14ac:dyDescent="0.3">
      <c r="A891" s="17">
        <v>44767</v>
      </c>
      <c r="B891">
        <v>450.58</v>
      </c>
      <c r="C891">
        <v>101.21</v>
      </c>
      <c r="D891">
        <f t="shared" si="101"/>
        <v>349.37</v>
      </c>
      <c r="E891">
        <v>1.66</v>
      </c>
      <c r="F891">
        <f t="shared" si="102"/>
        <v>-347.71</v>
      </c>
      <c r="I891">
        <f t="shared" si="98"/>
        <v>25</v>
      </c>
      <c r="J891">
        <v>1</v>
      </c>
      <c r="K891">
        <f t="shared" si="99"/>
        <v>7</v>
      </c>
      <c r="L891">
        <f t="shared" si="100"/>
        <v>2022</v>
      </c>
      <c r="N891" s="17">
        <f t="shared" si="103"/>
        <v>44743</v>
      </c>
      <c r="S891">
        <f t="shared" si="104"/>
        <v>0</v>
      </c>
    </row>
    <row r="892" spans="1:19" x14ac:dyDescent="0.3">
      <c r="A892" s="17">
        <v>44764</v>
      </c>
      <c r="B892">
        <v>450.21</v>
      </c>
      <c r="C892">
        <v>102.69</v>
      </c>
      <c r="D892">
        <f t="shared" si="101"/>
        <v>347.52</v>
      </c>
      <c r="E892">
        <v>1.95</v>
      </c>
      <c r="F892">
        <f t="shared" si="102"/>
        <v>-345.57</v>
      </c>
      <c r="I892">
        <f t="shared" si="98"/>
        <v>22</v>
      </c>
      <c r="J892">
        <v>1</v>
      </c>
      <c r="K892">
        <f t="shared" si="99"/>
        <v>7</v>
      </c>
      <c r="L892">
        <f t="shared" si="100"/>
        <v>2022</v>
      </c>
      <c r="N892" s="17">
        <f t="shared" si="103"/>
        <v>44743</v>
      </c>
      <c r="S892">
        <f t="shared" si="104"/>
        <v>0</v>
      </c>
    </row>
    <row r="893" spans="1:19" x14ac:dyDescent="0.3">
      <c r="A893" s="17">
        <v>44763</v>
      </c>
      <c r="B893">
        <v>453.55</v>
      </c>
      <c r="C893">
        <v>102</v>
      </c>
      <c r="D893">
        <f t="shared" si="101"/>
        <v>351.55</v>
      </c>
      <c r="E893">
        <v>2.0499999999999998</v>
      </c>
      <c r="F893">
        <f t="shared" si="102"/>
        <v>-349.5</v>
      </c>
      <c r="I893">
        <f t="shared" si="98"/>
        <v>21</v>
      </c>
      <c r="J893">
        <v>1</v>
      </c>
      <c r="K893">
        <f t="shared" si="99"/>
        <v>7</v>
      </c>
      <c r="L893">
        <f t="shared" si="100"/>
        <v>2022</v>
      </c>
      <c r="N893" s="17">
        <f t="shared" si="103"/>
        <v>44743</v>
      </c>
      <c r="S893">
        <f t="shared" si="104"/>
        <v>0</v>
      </c>
    </row>
    <row r="894" spans="1:19" x14ac:dyDescent="0.3">
      <c r="A894" s="17">
        <v>44762</v>
      </c>
      <c r="B894">
        <v>459.49</v>
      </c>
      <c r="C894">
        <v>104.44</v>
      </c>
      <c r="D894">
        <f t="shared" si="101"/>
        <v>355.05</v>
      </c>
      <c r="E894">
        <v>2.0099999999999998</v>
      </c>
      <c r="F894">
        <f t="shared" si="102"/>
        <v>-353.04</v>
      </c>
      <c r="I894">
        <f t="shared" si="98"/>
        <v>20</v>
      </c>
      <c r="J894">
        <v>1</v>
      </c>
      <c r="K894">
        <f t="shared" si="99"/>
        <v>7</v>
      </c>
      <c r="L894">
        <f t="shared" si="100"/>
        <v>2022</v>
      </c>
      <c r="N894" s="17">
        <f t="shared" si="103"/>
        <v>44743</v>
      </c>
      <c r="S894">
        <f t="shared" si="104"/>
        <v>0</v>
      </c>
    </row>
    <row r="895" spans="1:19" x14ac:dyDescent="0.3">
      <c r="A895" s="17">
        <v>44761</v>
      </c>
      <c r="B895">
        <v>464.17</v>
      </c>
      <c r="C895">
        <v>104.80500000000001</v>
      </c>
      <c r="D895">
        <f t="shared" si="101"/>
        <v>359.36500000000001</v>
      </c>
      <c r="E895">
        <v>2.0299999999999998</v>
      </c>
      <c r="F895">
        <f t="shared" si="102"/>
        <v>-357.33500000000004</v>
      </c>
      <c r="I895">
        <f t="shared" si="98"/>
        <v>19</v>
      </c>
      <c r="J895">
        <v>1</v>
      </c>
      <c r="K895">
        <f t="shared" si="99"/>
        <v>7</v>
      </c>
      <c r="L895">
        <f t="shared" si="100"/>
        <v>2022</v>
      </c>
      <c r="N895" s="17">
        <f t="shared" si="103"/>
        <v>44743</v>
      </c>
      <c r="S895">
        <f t="shared" si="104"/>
        <v>0</v>
      </c>
    </row>
    <row r="896" spans="1:19" x14ac:dyDescent="0.3">
      <c r="A896" s="17">
        <v>44760</v>
      </c>
      <c r="B896">
        <v>464.36</v>
      </c>
      <c r="C896">
        <v>102.59</v>
      </c>
      <c r="D896">
        <f t="shared" si="101"/>
        <v>361.77</v>
      </c>
      <c r="E896">
        <v>2.15</v>
      </c>
      <c r="F896">
        <f t="shared" si="102"/>
        <v>-359.62</v>
      </c>
      <c r="I896">
        <f t="shared" si="98"/>
        <v>18</v>
      </c>
      <c r="J896">
        <v>1</v>
      </c>
      <c r="K896">
        <f t="shared" si="99"/>
        <v>7</v>
      </c>
      <c r="L896">
        <f t="shared" si="100"/>
        <v>2022</v>
      </c>
      <c r="N896" s="17">
        <f t="shared" si="103"/>
        <v>44743</v>
      </c>
      <c r="S896">
        <f t="shared" si="104"/>
        <v>0</v>
      </c>
    </row>
    <row r="897" spans="1:19" x14ac:dyDescent="0.3">
      <c r="A897" s="17">
        <v>44757</v>
      </c>
      <c r="B897">
        <v>424.28</v>
      </c>
      <c r="C897">
        <v>98.32</v>
      </c>
      <c r="D897">
        <f t="shared" si="101"/>
        <v>325.95999999999998</v>
      </c>
      <c r="E897">
        <v>2.59</v>
      </c>
      <c r="F897">
        <f t="shared" si="102"/>
        <v>-323.37</v>
      </c>
      <c r="I897">
        <f t="shared" si="98"/>
        <v>15</v>
      </c>
      <c r="J897">
        <v>1</v>
      </c>
      <c r="K897">
        <f t="shared" si="99"/>
        <v>7</v>
      </c>
      <c r="L897">
        <f t="shared" si="100"/>
        <v>2022</v>
      </c>
      <c r="N897" s="17">
        <f t="shared" si="103"/>
        <v>44743</v>
      </c>
      <c r="S897">
        <f t="shared" si="104"/>
        <v>0</v>
      </c>
    </row>
    <row r="898" spans="1:19" x14ac:dyDescent="0.3">
      <c r="A898" s="17">
        <v>44756</v>
      </c>
      <c r="B898">
        <v>428.19</v>
      </c>
      <c r="C898">
        <v>97.69</v>
      </c>
      <c r="D898">
        <f t="shared" si="101"/>
        <v>330.5</v>
      </c>
      <c r="E898">
        <v>2.64</v>
      </c>
      <c r="F898">
        <f t="shared" si="102"/>
        <v>-327.86</v>
      </c>
      <c r="I898">
        <f t="shared" si="98"/>
        <v>14</v>
      </c>
      <c r="J898">
        <v>1</v>
      </c>
      <c r="K898">
        <f t="shared" si="99"/>
        <v>7</v>
      </c>
      <c r="L898">
        <f t="shared" si="100"/>
        <v>2022</v>
      </c>
      <c r="N898" s="17">
        <f t="shared" si="103"/>
        <v>44743</v>
      </c>
      <c r="S898">
        <f t="shared" si="104"/>
        <v>0</v>
      </c>
    </row>
    <row r="899" spans="1:19" x14ac:dyDescent="0.3">
      <c r="A899" s="17">
        <v>44755</v>
      </c>
      <c r="B899">
        <v>433.9</v>
      </c>
      <c r="C899">
        <v>98.45</v>
      </c>
      <c r="D899">
        <f t="shared" si="101"/>
        <v>335.45</v>
      </c>
      <c r="E899">
        <v>2.97</v>
      </c>
      <c r="F899">
        <f t="shared" si="102"/>
        <v>-332.47999999999996</v>
      </c>
      <c r="I899">
        <f t="shared" si="98"/>
        <v>13</v>
      </c>
      <c r="J899">
        <v>1</v>
      </c>
      <c r="K899">
        <f t="shared" si="99"/>
        <v>7</v>
      </c>
      <c r="L899">
        <f t="shared" si="100"/>
        <v>2022</v>
      </c>
      <c r="N899" s="17">
        <f t="shared" si="103"/>
        <v>44743</v>
      </c>
      <c r="S899">
        <f t="shared" si="104"/>
        <v>0</v>
      </c>
    </row>
    <row r="900" spans="1:19" x14ac:dyDescent="0.3">
      <c r="A900" s="17">
        <v>44754</v>
      </c>
      <c r="B900">
        <v>468.82</v>
      </c>
      <c r="C900">
        <v>102.1</v>
      </c>
      <c r="D900">
        <f t="shared" si="101"/>
        <v>366.72</v>
      </c>
      <c r="E900">
        <v>3.11</v>
      </c>
      <c r="F900">
        <f t="shared" si="102"/>
        <v>-363.61</v>
      </c>
      <c r="I900">
        <f t="shared" si="98"/>
        <v>12</v>
      </c>
      <c r="J900">
        <v>1</v>
      </c>
      <c r="K900">
        <f t="shared" si="99"/>
        <v>7</v>
      </c>
      <c r="L900">
        <f t="shared" si="100"/>
        <v>2022</v>
      </c>
      <c r="N900" s="17">
        <f t="shared" si="103"/>
        <v>44743</v>
      </c>
      <c r="S900">
        <f t="shared" si="104"/>
        <v>0</v>
      </c>
    </row>
    <row r="901" spans="1:19" x14ac:dyDescent="0.3">
      <c r="A901" s="17">
        <v>44750</v>
      </c>
      <c r="B901">
        <v>485.58</v>
      </c>
      <c r="C901">
        <v>104.05</v>
      </c>
      <c r="D901">
        <f t="shared" si="101"/>
        <v>381.53</v>
      </c>
      <c r="E901">
        <v>3.58</v>
      </c>
      <c r="F901">
        <f t="shared" si="102"/>
        <v>-377.95</v>
      </c>
      <c r="I901">
        <f t="shared" ref="I901:I964" si="105">+DAY(A901)</f>
        <v>8</v>
      </c>
      <c r="J901">
        <v>1</v>
      </c>
      <c r="K901">
        <f t="shared" ref="K901:K964" si="106">+MONTH(A901)</f>
        <v>7</v>
      </c>
      <c r="L901">
        <f t="shared" ref="L901:L964" si="107">+YEAR(A901)</f>
        <v>2022</v>
      </c>
      <c r="N901" s="17">
        <f t="shared" si="103"/>
        <v>44743</v>
      </c>
      <c r="S901">
        <f t="shared" si="104"/>
        <v>0</v>
      </c>
    </row>
    <row r="902" spans="1:19" x14ac:dyDescent="0.3">
      <c r="A902" s="17">
        <v>44749</v>
      </c>
      <c r="B902">
        <v>464.44</v>
      </c>
      <c r="C902">
        <v>98.2</v>
      </c>
      <c r="D902">
        <f t="shared" ref="D902:D965" si="108">+B902-C902</f>
        <v>366.24</v>
      </c>
      <c r="E902">
        <v>3.88</v>
      </c>
      <c r="F902">
        <f t="shared" ref="F902:F965" si="109">+E902-D902</f>
        <v>-362.36</v>
      </c>
      <c r="I902">
        <f t="shared" si="105"/>
        <v>7</v>
      </c>
      <c r="J902">
        <v>1</v>
      </c>
      <c r="K902">
        <f t="shared" si="106"/>
        <v>7</v>
      </c>
      <c r="L902">
        <f t="shared" si="107"/>
        <v>2022</v>
      </c>
      <c r="N902" s="17">
        <f t="shared" ref="N902:N965" si="110">+DATE(L902,K902,J902)</f>
        <v>44743</v>
      </c>
      <c r="S902">
        <f t="shared" ref="S902:S965" si="111">IF(AND(I902&gt;=1, I902&lt;=4), 1, 0)</f>
        <v>0</v>
      </c>
    </row>
    <row r="903" spans="1:19" x14ac:dyDescent="0.3">
      <c r="A903" s="17">
        <v>44748</v>
      </c>
      <c r="B903">
        <v>480.72</v>
      </c>
      <c r="C903">
        <v>101.69</v>
      </c>
      <c r="D903">
        <f t="shared" si="108"/>
        <v>379.03000000000003</v>
      </c>
      <c r="E903">
        <v>4.26</v>
      </c>
      <c r="F903">
        <f t="shared" si="109"/>
        <v>-374.77000000000004</v>
      </c>
      <c r="I903">
        <f t="shared" si="105"/>
        <v>6</v>
      </c>
      <c r="J903">
        <v>1</v>
      </c>
      <c r="K903">
        <f t="shared" si="106"/>
        <v>7</v>
      </c>
      <c r="L903">
        <f t="shared" si="107"/>
        <v>2022</v>
      </c>
      <c r="N903" s="17">
        <f t="shared" si="110"/>
        <v>44743</v>
      </c>
      <c r="S903">
        <f t="shared" si="111"/>
        <v>0</v>
      </c>
    </row>
    <row r="904" spans="1:19" x14ac:dyDescent="0.3">
      <c r="A904" s="17">
        <v>44747</v>
      </c>
      <c r="B904">
        <v>515.20000000000005</v>
      </c>
      <c r="C904">
        <v>111.01</v>
      </c>
      <c r="D904">
        <f t="shared" si="108"/>
        <v>404.19000000000005</v>
      </c>
      <c r="E904">
        <v>4.83</v>
      </c>
      <c r="F904">
        <f t="shared" si="109"/>
        <v>-399.36000000000007</v>
      </c>
      <c r="I904">
        <f t="shared" si="105"/>
        <v>5</v>
      </c>
      <c r="J904">
        <v>1</v>
      </c>
      <c r="K904">
        <f t="shared" si="106"/>
        <v>7</v>
      </c>
      <c r="L904">
        <f t="shared" si="107"/>
        <v>2022</v>
      </c>
      <c r="N904" s="17">
        <f t="shared" si="110"/>
        <v>44743</v>
      </c>
      <c r="S904">
        <f t="shared" si="111"/>
        <v>0</v>
      </c>
    </row>
    <row r="905" spans="1:19" x14ac:dyDescent="0.3">
      <c r="A905" s="17">
        <v>44746</v>
      </c>
      <c r="B905">
        <v>518.16999999999996</v>
      </c>
      <c r="C905">
        <v>108.37</v>
      </c>
      <c r="D905">
        <f t="shared" si="108"/>
        <v>409.79999999999995</v>
      </c>
      <c r="E905">
        <v>5.4</v>
      </c>
      <c r="F905">
        <f t="shared" si="109"/>
        <v>-404.4</v>
      </c>
      <c r="I905">
        <f t="shared" si="105"/>
        <v>4</v>
      </c>
      <c r="J905">
        <v>1</v>
      </c>
      <c r="K905">
        <f t="shared" si="106"/>
        <v>7</v>
      </c>
      <c r="L905">
        <f t="shared" si="107"/>
        <v>2022</v>
      </c>
      <c r="N905" s="17">
        <f t="shared" si="110"/>
        <v>44743</v>
      </c>
      <c r="S905">
        <f t="shared" si="111"/>
        <v>1</v>
      </c>
    </row>
    <row r="906" spans="1:19" x14ac:dyDescent="0.3">
      <c r="A906" s="17">
        <v>44743</v>
      </c>
      <c r="B906">
        <v>540.03</v>
      </c>
      <c r="C906">
        <v>106.31</v>
      </c>
      <c r="D906">
        <f t="shared" si="108"/>
        <v>433.71999999999997</v>
      </c>
      <c r="E906">
        <v>5.95</v>
      </c>
      <c r="F906">
        <f t="shared" si="109"/>
        <v>-427.77</v>
      </c>
      <c r="I906">
        <f t="shared" si="105"/>
        <v>1</v>
      </c>
      <c r="J906">
        <v>1</v>
      </c>
      <c r="K906">
        <f t="shared" si="106"/>
        <v>7</v>
      </c>
      <c r="L906">
        <f t="shared" si="107"/>
        <v>2022</v>
      </c>
      <c r="N906" s="17">
        <f t="shared" si="110"/>
        <v>44743</v>
      </c>
      <c r="S906">
        <f t="shared" si="111"/>
        <v>1</v>
      </c>
    </row>
    <row r="907" spans="1:19" x14ac:dyDescent="0.3">
      <c r="A907" s="17">
        <v>44742</v>
      </c>
      <c r="B907">
        <v>570.25</v>
      </c>
      <c r="C907">
        <v>113.35</v>
      </c>
      <c r="D907">
        <f t="shared" si="108"/>
        <v>456.9</v>
      </c>
      <c r="E907">
        <v>6.19</v>
      </c>
      <c r="F907">
        <f t="shared" si="109"/>
        <v>-450.71</v>
      </c>
      <c r="I907">
        <f t="shared" si="105"/>
        <v>30</v>
      </c>
      <c r="J907">
        <v>1</v>
      </c>
      <c r="K907">
        <f t="shared" si="106"/>
        <v>6</v>
      </c>
      <c r="L907">
        <f t="shared" si="107"/>
        <v>2022</v>
      </c>
      <c r="N907" s="17">
        <f t="shared" si="110"/>
        <v>44713</v>
      </c>
      <c r="S907">
        <f t="shared" si="111"/>
        <v>0</v>
      </c>
    </row>
    <row r="908" spans="1:19" x14ac:dyDescent="0.3">
      <c r="A908" s="17">
        <v>44741</v>
      </c>
      <c r="B908">
        <v>586.4</v>
      </c>
      <c r="C908">
        <v>114.19</v>
      </c>
      <c r="D908">
        <f t="shared" si="108"/>
        <v>472.21</v>
      </c>
      <c r="E908">
        <v>6.22</v>
      </c>
      <c r="F908">
        <f t="shared" si="109"/>
        <v>-465.98999999999995</v>
      </c>
      <c r="I908">
        <f t="shared" si="105"/>
        <v>29</v>
      </c>
      <c r="J908">
        <v>1</v>
      </c>
      <c r="K908">
        <f t="shared" si="106"/>
        <v>6</v>
      </c>
      <c r="L908">
        <f t="shared" si="107"/>
        <v>2022</v>
      </c>
      <c r="N908" s="17">
        <f t="shared" si="110"/>
        <v>44713</v>
      </c>
      <c r="S908">
        <f t="shared" si="111"/>
        <v>0</v>
      </c>
    </row>
    <row r="909" spans="1:19" x14ac:dyDescent="0.3">
      <c r="A909" s="17">
        <v>44740</v>
      </c>
      <c r="B909">
        <v>580.47</v>
      </c>
      <c r="C909">
        <v>113.16</v>
      </c>
      <c r="D909">
        <f t="shared" si="108"/>
        <v>467.31000000000006</v>
      </c>
      <c r="E909">
        <v>6.88</v>
      </c>
      <c r="F909">
        <f t="shared" si="109"/>
        <v>-460.43000000000006</v>
      </c>
      <c r="I909">
        <f t="shared" si="105"/>
        <v>28</v>
      </c>
      <c r="J909">
        <v>1</v>
      </c>
      <c r="K909">
        <f t="shared" si="106"/>
        <v>6</v>
      </c>
      <c r="L909">
        <f t="shared" si="107"/>
        <v>2022</v>
      </c>
      <c r="N909" s="17">
        <f t="shared" si="110"/>
        <v>44713</v>
      </c>
      <c r="S909">
        <f t="shared" si="111"/>
        <v>0</v>
      </c>
    </row>
    <row r="910" spans="1:19" x14ac:dyDescent="0.3">
      <c r="A910" s="17">
        <v>44739</v>
      </c>
      <c r="B910">
        <v>571.87</v>
      </c>
      <c r="C910">
        <v>110</v>
      </c>
      <c r="D910">
        <f t="shared" si="108"/>
        <v>461.87</v>
      </c>
      <c r="E910">
        <v>7.38</v>
      </c>
      <c r="F910">
        <f t="shared" si="109"/>
        <v>-454.49</v>
      </c>
      <c r="I910">
        <f t="shared" si="105"/>
        <v>27</v>
      </c>
      <c r="J910">
        <v>1</v>
      </c>
      <c r="K910">
        <f t="shared" si="106"/>
        <v>6</v>
      </c>
      <c r="L910">
        <f t="shared" si="107"/>
        <v>2022</v>
      </c>
      <c r="N910" s="17">
        <f t="shared" si="110"/>
        <v>44713</v>
      </c>
      <c r="S910">
        <f t="shared" si="111"/>
        <v>0</v>
      </c>
    </row>
    <row r="911" spans="1:19" x14ac:dyDescent="0.3">
      <c r="A911" s="17">
        <v>44736</v>
      </c>
      <c r="B911">
        <v>561.42999999999995</v>
      </c>
      <c r="C911">
        <v>106.5</v>
      </c>
      <c r="D911">
        <f t="shared" si="108"/>
        <v>454.92999999999995</v>
      </c>
      <c r="E911">
        <v>7.61</v>
      </c>
      <c r="F911">
        <f t="shared" si="109"/>
        <v>-447.31999999999994</v>
      </c>
      <c r="I911">
        <f t="shared" si="105"/>
        <v>24</v>
      </c>
      <c r="J911">
        <v>1</v>
      </c>
      <c r="K911">
        <f t="shared" si="106"/>
        <v>6</v>
      </c>
      <c r="L911">
        <f t="shared" si="107"/>
        <v>2022</v>
      </c>
      <c r="N911" s="17">
        <f t="shared" si="110"/>
        <v>44713</v>
      </c>
      <c r="S911">
        <f t="shared" si="111"/>
        <v>0</v>
      </c>
    </row>
    <row r="912" spans="1:19" x14ac:dyDescent="0.3">
      <c r="A912" s="17">
        <v>44735</v>
      </c>
      <c r="B912">
        <v>559.49</v>
      </c>
      <c r="C912">
        <v>106.45</v>
      </c>
      <c r="D912">
        <f t="shared" si="108"/>
        <v>453.04</v>
      </c>
      <c r="E912">
        <v>7.25</v>
      </c>
      <c r="F912">
        <f t="shared" si="109"/>
        <v>-445.79</v>
      </c>
      <c r="I912">
        <f t="shared" si="105"/>
        <v>23</v>
      </c>
      <c r="J912">
        <v>1</v>
      </c>
      <c r="K912">
        <f t="shared" si="106"/>
        <v>6</v>
      </c>
      <c r="L912">
        <f t="shared" si="107"/>
        <v>2022</v>
      </c>
      <c r="N912" s="17">
        <f t="shared" si="110"/>
        <v>44713</v>
      </c>
      <c r="S912">
        <f t="shared" si="111"/>
        <v>0</v>
      </c>
    </row>
    <row r="913" spans="1:19" x14ac:dyDescent="0.3">
      <c r="A913" s="17">
        <v>44734</v>
      </c>
      <c r="B913">
        <v>549.83000000000004</v>
      </c>
      <c r="C913">
        <v>106.6</v>
      </c>
      <c r="D913">
        <f t="shared" si="108"/>
        <v>443.23</v>
      </c>
      <c r="E913">
        <v>6.91</v>
      </c>
      <c r="F913">
        <f t="shared" si="109"/>
        <v>-436.32</v>
      </c>
      <c r="I913">
        <f t="shared" si="105"/>
        <v>22</v>
      </c>
      <c r="J913">
        <v>1</v>
      </c>
      <c r="K913">
        <f t="shared" si="106"/>
        <v>6</v>
      </c>
      <c r="L913">
        <f t="shared" si="107"/>
        <v>2022</v>
      </c>
      <c r="N913" s="17">
        <f t="shared" si="110"/>
        <v>44713</v>
      </c>
      <c r="S913">
        <f t="shared" si="111"/>
        <v>0</v>
      </c>
    </row>
    <row r="914" spans="1:19" x14ac:dyDescent="0.3">
      <c r="A914" s="17">
        <v>44733</v>
      </c>
      <c r="B914">
        <v>580.32000000000005</v>
      </c>
      <c r="C914">
        <v>111.75</v>
      </c>
      <c r="D914">
        <f t="shared" si="108"/>
        <v>468.57000000000005</v>
      </c>
      <c r="E914">
        <v>6.82</v>
      </c>
      <c r="F914">
        <f t="shared" si="109"/>
        <v>-461.75000000000006</v>
      </c>
      <c r="I914">
        <f t="shared" si="105"/>
        <v>21</v>
      </c>
      <c r="J914">
        <v>1</v>
      </c>
      <c r="K914">
        <f t="shared" si="106"/>
        <v>6</v>
      </c>
      <c r="L914">
        <f t="shared" si="107"/>
        <v>2022</v>
      </c>
      <c r="N914" s="17">
        <f t="shared" si="110"/>
        <v>44713</v>
      </c>
      <c r="S914">
        <f t="shared" si="111"/>
        <v>0</v>
      </c>
    </row>
    <row r="915" spans="1:19" x14ac:dyDescent="0.3">
      <c r="A915" s="17">
        <v>44732</v>
      </c>
      <c r="B915">
        <v>562.99</v>
      </c>
      <c r="C915">
        <v>108.4</v>
      </c>
      <c r="D915">
        <f t="shared" si="108"/>
        <v>454.59000000000003</v>
      </c>
      <c r="E915">
        <v>6.39</v>
      </c>
      <c r="F915">
        <f t="shared" si="109"/>
        <v>-448.20000000000005</v>
      </c>
      <c r="I915">
        <f t="shared" si="105"/>
        <v>20</v>
      </c>
      <c r="J915">
        <v>1</v>
      </c>
      <c r="K915">
        <f t="shared" si="106"/>
        <v>6</v>
      </c>
      <c r="L915">
        <f t="shared" si="107"/>
        <v>2022</v>
      </c>
      <c r="N915" s="17">
        <f t="shared" si="110"/>
        <v>44713</v>
      </c>
      <c r="S915">
        <f t="shared" si="111"/>
        <v>0</v>
      </c>
    </row>
    <row r="916" spans="1:19" x14ac:dyDescent="0.3">
      <c r="A916" s="17">
        <v>44729</v>
      </c>
      <c r="B916">
        <v>606.98</v>
      </c>
      <c r="C916">
        <v>116.3</v>
      </c>
      <c r="D916">
        <f t="shared" si="108"/>
        <v>490.68</v>
      </c>
      <c r="E916">
        <v>6.82</v>
      </c>
      <c r="F916">
        <f t="shared" si="109"/>
        <v>-483.86</v>
      </c>
      <c r="I916">
        <f t="shared" si="105"/>
        <v>17</v>
      </c>
      <c r="J916">
        <v>1</v>
      </c>
      <c r="K916">
        <f t="shared" si="106"/>
        <v>6</v>
      </c>
      <c r="L916">
        <f t="shared" si="107"/>
        <v>2022</v>
      </c>
      <c r="N916" s="17">
        <f t="shared" si="110"/>
        <v>44713</v>
      </c>
      <c r="S916">
        <f t="shared" si="111"/>
        <v>0</v>
      </c>
    </row>
    <row r="917" spans="1:19" x14ac:dyDescent="0.3">
      <c r="A917" s="17">
        <v>44728</v>
      </c>
      <c r="B917">
        <v>594.33000000000004</v>
      </c>
      <c r="C917">
        <v>114.94</v>
      </c>
      <c r="D917">
        <f t="shared" si="108"/>
        <v>479.39000000000004</v>
      </c>
      <c r="E917">
        <v>6.83</v>
      </c>
      <c r="F917">
        <f t="shared" si="109"/>
        <v>-472.56000000000006</v>
      </c>
      <c r="I917">
        <f t="shared" si="105"/>
        <v>16</v>
      </c>
      <c r="J917">
        <v>1</v>
      </c>
      <c r="K917">
        <f t="shared" si="106"/>
        <v>6</v>
      </c>
      <c r="L917">
        <f t="shared" si="107"/>
        <v>2022</v>
      </c>
      <c r="N917" s="17">
        <f t="shared" si="110"/>
        <v>44713</v>
      </c>
      <c r="S917">
        <f t="shared" si="111"/>
        <v>0</v>
      </c>
    </row>
    <row r="918" spans="1:19" x14ac:dyDescent="0.3">
      <c r="A918" s="17">
        <v>44727</v>
      </c>
      <c r="B918">
        <v>605.03</v>
      </c>
      <c r="C918">
        <v>116.3</v>
      </c>
      <c r="D918">
        <f t="shared" si="108"/>
        <v>488.72999999999996</v>
      </c>
      <c r="E918">
        <v>6.73</v>
      </c>
      <c r="F918">
        <f t="shared" si="109"/>
        <v>-481.99999999999994</v>
      </c>
      <c r="I918">
        <f t="shared" si="105"/>
        <v>15</v>
      </c>
      <c r="J918">
        <v>1</v>
      </c>
      <c r="K918">
        <f t="shared" si="106"/>
        <v>6</v>
      </c>
      <c r="L918">
        <f t="shared" si="107"/>
        <v>2022</v>
      </c>
      <c r="N918" s="17">
        <f t="shared" si="110"/>
        <v>44713</v>
      </c>
      <c r="S918">
        <f t="shared" si="111"/>
        <v>0</v>
      </c>
    </row>
    <row r="919" spans="1:19" x14ac:dyDescent="0.3">
      <c r="A919" s="17">
        <v>44726</v>
      </c>
      <c r="B919">
        <v>635.91999999999996</v>
      </c>
      <c r="C919">
        <v>118.61</v>
      </c>
      <c r="D919">
        <f t="shared" si="108"/>
        <v>517.30999999999995</v>
      </c>
      <c r="E919">
        <v>6.54</v>
      </c>
      <c r="F919">
        <f t="shared" si="109"/>
        <v>-510.76999999999992</v>
      </c>
      <c r="I919">
        <f t="shared" si="105"/>
        <v>14</v>
      </c>
      <c r="J919">
        <v>1</v>
      </c>
      <c r="K919">
        <f t="shared" si="106"/>
        <v>6</v>
      </c>
      <c r="L919">
        <f t="shared" si="107"/>
        <v>2022</v>
      </c>
      <c r="N919" s="17">
        <f t="shared" si="110"/>
        <v>44713</v>
      </c>
      <c r="S919">
        <f t="shared" si="111"/>
        <v>0</v>
      </c>
    </row>
    <row r="920" spans="1:19" x14ac:dyDescent="0.3">
      <c r="A920" s="17">
        <v>44725</v>
      </c>
      <c r="B920">
        <v>598.87</v>
      </c>
      <c r="C920">
        <v>115.66</v>
      </c>
      <c r="D920">
        <f t="shared" si="108"/>
        <v>483.21000000000004</v>
      </c>
      <c r="E920">
        <v>6.6</v>
      </c>
      <c r="F920">
        <f t="shared" si="109"/>
        <v>-476.61</v>
      </c>
      <c r="I920">
        <f t="shared" si="105"/>
        <v>13</v>
      </c>
      <c r="J920">
        <v>1</v>
      </c>
      <c r="K920">
        <f t="shared" si="106"/>
        <v>6</v>
      </c>
      <c r="L920">
        <f t="shared" si="107"/>
        <v>2022</v>
      </c>
      <c r="N920" s="17">
        <f t="shared" si="110"/>
        <v>44713</v>
      </c>
      <c r="S920">
        <f t="shared" si="111"/>
        <v>0</v>
      </c>
    </row>
    <row r="921" spans="1:19" x14ac:dyDescent="0.3">
      <c r="A921" s="17">
        <v>44722</v>
      </c>
      <c r="B921">
        <v>594.45000000000005</v>
      </c>
      <c r="C921">
        <v>118.95</v>
      </c>
      <c r="D921">
        <f t="shared" si="108"/>
        <v>475.50000000000006</v>
      </c>
      <c r="E921">
        <v>5.92</v>
      </c>
      <c r="F921">
        <f t="shared" si="109"/>
        <v>-469.58000000000004</v>
      </c>
      <c r="I921">
        <f t="shared" si="105"/>
        <v>10</v>
      </c>
      <c r="J921">
        <v>1</v>
      </c>
      <c r="K921">
        <f t="shared" si="106"/>
        <v>6</v>
      </c>
      <c r="L921">
        <f t="shared" si="107"/>
        <v>2022</v>
      </c>
      <c r="N921" s="17">
        <f t="shared" si="110"/>
        <v>44713</v>
      </c>
      <c r="S921">
        <f t="shared" si="111"/>
        <v>0</v>
      </c>
    </row>
    <row r="922" spans="1:19" x14ac:dyDescent="0.3">
      <c r="A922" s="17">
        <v>44721</v>
      </c>
      <c r="B922">
        <v>579.99</v>
      </c>
      <c r="C922">
        <v>118.79</v>
      </c>
      <c r="D922">
        <f t="shared" si="108"/>
        <v>461.2</v>
      </c>
      <c r="E922">
        <v>5.51</v>
      </c>
      <c r="F922">
        <f t="shared" si="109"/>
        <v>-455.69</v>
      </c>
      <c r="I922">
        <f t="shared" si="105"/>
        <v>9</v>
      </c>
      <c r="J922">
        <v>1</v>
      </c>
      <c r="K922">
        <f t="shared" si="106"/>
        <v>6</v>
      </c>
      <c r="L922">
        <f t="shared" si="107"/>
        <v>2022</v>
      </c>
      <c r="N922" s="17">
        <f t="shared" si="110"/>
        <v>44713</v>
      </c>
      <c r="S922">
        <f t="shared" si="111"/>
        <v>0</v>
      </c>
    </row>
    <row r="923" spans="1:19" x14ac:dyDescent="0.3">
      <c r="A923" s="17">
        <v>44720</v>
      </c>
      <c r="B923">
        <v>579.64</v>
      </c>
      <c r="C923">
        <v>116.51</v>
      </c>
      <c r="D923">
        <f t="shared" si="108"/>
        <v>463.13</v>
      </c>
      <c r="E923">
        <v>5.29</v>
      </c>
      <c r="F923">
        <f t="shared" si="109"/>
        <v>-457.84</v>
      </c>
      <c r="I923">
        <f t="shared" si="105"/>
        <v>8</v>
      </c>
      <c r="J923">
        <v>1</v>
      </c>
      <c r="K923">
        <f t="shared" si="106"/>
        <v>6</v>
      </c>
      <c r="L923">
        <f t="shared" si="107"/>
        <v>2022</v>
      </c>
      <c r="N923" s="17">
        <f t="shared" si="110"/>
        <v>44713</v>
      </c>
      <c r="S923">
        <f t="shared" si="111"/>
        <v>0</v>
      </c>
    </row>
    <row r="924" spans="1:19" x14ac:dyDescent="0.3">
      <c r="A924" s="17">
        <v>44719</v>
      </c>
      <c r="B924">
        <v>588.05999999999995</v>
      </c>
      <c r="C924">
        <v>115.56</v>
      </c>
      <c r="D924">
        <f t="shared" si="108"/>
        <v>472.49999999999994</v>
      </c>
      <c r="E924">
        <v>5.3</v>
      </c>
      <c r="F924">
        <f t="shared" si="109"/>
        <v>-467.19999999999993</v>
      </c>
      <c r="I924">
        <f t="shared" si="105"/>
        <v>7</v>
      </c>
      <c r="J924">
        <v>1</v>
      </c>
      <c r="K924">
        <f t="shared" si="106"/>
        <v>6</v>
      </c>
      <c r="L924">
        <f t="shared" si="107"/>
        <v>2022</v>
      </c>
      <c r="N924" s="17">
        <f t="shared" si="110"/>
        <v>44713</v>
      </c>
      <c r="S924">
        <f t="shared" si="111"/>
        <v>0</v>
      </c>
    </row>
    <row r="925" spans="1:19" x14ac:dyDescent="0.3">
      <c r="A925" s="17">
        <v>44718</v>
      </c>
      <c r="B925">
        <v>614.09</v>
      </c>
      <c r="C925">
        <v>115.6</v>
      </c>
      <c r="D925">
        <f t="shared" si="108"/>
        <v>498.49</v>
      </c>
      <c r="E925">
        <v>5.59</v>
      </c>
      <c r="F925">
        <f t="shared" si="109"/>
        <v>-492.90000000000003</v>
      </c>
      <c r="I925">
        <f t="shared" si="105"/>
        <v>6</v>
      </c>
      <c r="J925">
        <v>1</v>
      </c>
      <c r="K925">
        <f t="shared" si="106"/>
        <v>6</v>
      </c>
      <c r="L925">
        <f t="shared" si="107"/>
        <v>2022</v>
      </c>
      <c r="N925" s="17">
        <f t="shared" si="110"/>
        <v>44713</v>
      </c>
      <c r="S925">
        <f t="shared" si="111"/>
        <v>0</v>
      </c>
    </row>
    <row r="926" spans="1:19" x14ac:dyDescent="0.3">
      <c r="A926" s="17">
        <v>44715</v>
      </c>
      <c r="B926">
        <v>615.72</v>
      </c>
      <c r="C926">
        <v>112.1</v>
      </c>
      <c r="D926">
        <f t="shared" si="108"/>
        <v>503.62</v>
      </c>
      <c r="E926">
        <v>5.1100000000000003</v>
      </c>
      <c r="F926">
        <f t="shared" si="109"/>
        <v>-498.51</v>
      </c>
      <c r="I926">
        <f t="shared" si="105"/>
        <v>3</v>
      </c>
      <c r="J926">
        <v>1</v>
      </c>
      <c r="K926">
        <f t="shared" si="106"/>
        <v>6</v>
      </c>
      <c r="L926">
        <f t="shared" si="107"/>
        <v>2022</v>
      </c>
      <c r="N926" s="17">
        <f t="shared" si="110"/>
        <v>44713</v>
      </c>
      <c r="S926">
        <f t="shared" si="111"/>
        <v>1</v>
      </c>
    </row>
    <row r="927" spans="1:19" x14ac:dyDescent="0.3">
      <c r="A927" s="17">
        <v>44714</v>
      </c>
      <c r="B927">
        <v>592.62</v>
      </c>
      <c r="C927">
        <v>108.94</v>
      </c>
      <c r="D927">
        <f t="shared" si="108"/>
        <v>483.68</v>
      </c>
      <c r="E927">
        <v>5.73</v>
      </c>
      <c r="F927">
        <f t="shared" si="109"/>
        <v>-477.95</v>
      </c>
      <c r="I927">
        <f t="shared" si="105"/>
        <v>2</v>
      </c>
      <c r="J927">
        <v>1</v>
      </c>
      <c r="K927">
        <f t="shared" si="106"/>
        <v>6</v>
      </c>
      <c r="L927">
        <f t="shared" si="107"/>
        <v>2022</v>
      </c>
      <c r="N927" s="17">
        <f t="shared" si="110"/>
        <v>44713</v>
      </c>
      <c r="S927">
        <f t="shared" si="111"/>
        <v>1</v>
      </c>
    </row>
    <row r="928" spans="1:19" x14ac:dyDescent="0.3">
      <c r="A928" s="17">
        <v>44713</v>
      </c>
      <c r="B928">
        <v>615.15</v>
      </c>
      <c r="C928">
        <v>112.66</v>
      </c>
      <c r="D928">
        <f t="shared" si="108"/>
        <v>502.49</v>
      </c>
      <c r="E928">
        <v>5.63</v>
      </c>
      <c r="F928">
        <f t="shared" si="109"/>
        <v>-496.86</v>
      </c>
      <c r="I928">
        <f t="shared" si="105"/>
        <v>1</v>
      </c>
      <c r="J928">
        <v>1</v>
      </c>
      <c r="K928">
        <f t="shared" si="106"/>
        <v>6</v>
      </c>
      <c r="L928">
        <f t="shared" si="107"/>
        <v>2022</v>
      </c>
      <c r="N928" s="17">
        <f t="shared" si="110"/>
        <v>44713</v>
      </c>
      <c r="S928">
        <f t="shared" si="111"/>
        <v>1</v>
      </c>
    </row>
    <row r="929" spans="1:19" x14ac:dyDescent="0.3">
      <c r="A929" s="17">
        <v>44712</v>
      </c>
      <c r="B929">
        <v>630.74</v>
      </c>
      <c r="C929">
        <v>116.35</v>
      </c>
      <c r="D929">
        <f t="shared" si="108"/>
        <v>514.39</v>
      </c>
      <c r="E929">
        <v>5.48</v>
      </c>
      <c r="F929">
        <f t="shared" si="109"/>
        <v>-508.90999999999997</v>
      </c>
      <c r="I929">
        <f t="shared" si="105"/>
        <v>31</v>
      </c>
      <c r="J929">
        <v>1</v>
      </c>
      <c r="K929">
        <f t="shared" si="106"/>
        <v>5</v>
      </c>
      <c r="L929">
        <f t="shared" si="107"/>
        <v>2022</v>
      </c>
      <c r="N929" s="17">
        <f t="shared" si="110"/>
        <v>44682</v>
      </c>
      <c r="S929">
        <f t="shared" si="111"/>
        <v>0</v>
      </c>
    </row>
    <row r="930" spans="1:19" x14ac:dyDescent="0.3">
      <c r="A930" s="17">
        <v>44711</v>
      </c>
      <c r="B930">
        <v>585.69000000000005</v>
      </c>
      <c r="C930">
        <v>113.79</v>
      </c>
      <c r="D930">
        <f t="shared" si="108"/>
        <v>471.90000000000003</v>
      </c>
      <c r="E930">
        <v>4.8499999999999996</v>
      </c>
      <c r="F930">
        <f t="shared" si="109"/>
        <v>-467.05</v>
      </c>
      <c r="I930">
        <f t="shared" si="105"/>
        <v>30</v>
      </c>
      <c r="J930">
        <v>1</v>
      </c>
      <c r="K930">
        <f t="shared" si="106"/>
        <v>5</v>
      </c>
      <c r="L930">
        <f t="shared" si="107"/>
        <v>2022</v>
      </c>
      <c r="N930" s="17">
        <f t="shared" si="110"/>
        <v>44682</v>
      </c>
      <c r="S930">
        <f t="shared" si="111"/>
        <v>0</v>
      </c>
    </row>
    <row r="931" spans="1:19" x14ac:dyDescent="0.3">
      <c r="A931" s="17">
        <v>44708</v>
      </c>
      <c r="B931">
        <v>612.75</v>
      </c>
      <c r="C931">
        <v>112.355</v>
      </c>
      <c r="D931">
        <f t="shared" si="108"/>
        <v>500.39499999999998</v>
      </c>
      <c r="E931">
        <v>4.4400000000000004</v>
      </c>
      <c r="F931">
        <f t="shared" si="109"/>
        <v>-495.95499999999998</v>
      </c>
      <c r="I931">
        <f t="shared" si="105"/>
        <v>27</v>
      </c>
      <c r="J931">
        <v>1</v>
      </c>
      <c r="K931">
        <f t="shared" si="106"/>
        <v>5</v>
      </c>
      <c r="L931">
        <f t="shared" si="107"/>
        <v>2022</v>
      </c>
      <c r="N931" s="17">
        <f t="shared" si="110"/>
        <v>44682</v>
      </c>
      <c r="S931">
        <f t="shared" si="111"/>
        <v>0</v>
      </c>
    </row>
    <row r="932" spans="1:19" x14ac:dyDescent="0.3">
      <c r="A932" s="17">
        <v>44707</v>
      </c>
      <c r="B932">
        <v>619.73</v>
      </c>
      <c r="C932">
        <v>108.91</v>
      </c>
      <c r="D932">
        <f t="shared" si="108"/>
        <v>510.82000000000005</v>
      </c>
      <c r="E932">
        <v>4.1900000000000004</v>
      </c>
      <c r="F932">
        <f t="shared" si="109"/>
        <v>-506.63000000000005</v>
      </c>
      <c r="I932">
        <f t="shared" si="105"/>
        <v>26</v>
      </c>
      <c r="J932">
        <v>1</v>
      </c>
      <c r="K932">
        <f t="shared" si="106"/>
        <v>5</v>
      </c>
      <c r="L932">
        <f t="shared" si="107"/>
        <v>2022</v>
      </c>
      <c r="N932" s="17">
        <f t="shared" si="110"/>
        <v>44682</v>
      </c>
      <c r="S932">
        <f t="shared" si="111"/>
        <v>0</v>
      </c>
    </row>
    <row r="933" spans="1:19" x14ac:dyDescent="0.3">
      <c r="A933" s="17">
        <v>44706</v>
      </c>
      <c r="B933">
        <v>628.32000000000005</v>
      </c>
      <c r="C933">
        <v>109.2</v>
      </c>
      <c r="D933">
        <f t="shared" si="108"/>
        <v>519.12</v>
      </c>
      <c r="E933">
        <v>4.2</v>
      </c>
      <c r="F933">
        <f t="shared" si="109"/>
        <v>-514.91999999999996</v>
      </c>
      <c r="I933">
        <f t="shared" si="105"/>
        <v>25</v>
      </c>
      <c r="J933">
        <v>1</v>
      </c>
      <c r="K933">
        <f t="shared" si="106"/>
        <v>5</v>
      </c>
      <c r="L933">
        <f t="shared" si="107"/>
        <v>2022</v>
      </c>
      <c r="N933" s="17">
        <f t="shared" si="110"/>
        <v>44682</v>
      </c>
      <c r="S933">
        <f t="shared" si="111"/>
        <v>0</v>
      </c>
    </row>
    <row r="934" spans="1:19" x14ac:dyDescent="0.3">
      <c r="A934" s="17">
        <v>44705</v>
      </c>
      <c r="B934">
        <v>621.86</v>
      </c>
      <c r="C934">
        <v>107.89</v>
      </c>
      <c r="D934">
        <f t="shared" si="108"/>
        <v>513.97</v>
      </c>
      <c r="E934">
        <v>4.12</v>
      </c>
      <c r="F934">
        <f t="shared" si="109"/>
        <v>-509.85</v>
      </c>
      <c r="I934">
        <f t="shared" si="105"/>
        <v>24</v>
      </c>
      <c r="J934">
        <v>1</v>
      </c>
      <c r="K934">
        <f t="shared" si="106"/>
        <v>5</v>
      </c>
      <c r="L934">
        <f t="shared" si="107"/>
        <v>2022</v>
      </c>
      <c r="N934" s="17">
        <f t="shared" si="110"/>
        <v>44682</v>
      </c>
      <c r="S934">
        <f t="shared" si="111"/>
        <v>0</v>
      </c>
    </row>
    <row r="935" spans="1:19" x14ac:dyDescent="0.3">
      <c r="A935" s="17">
        <v>44704</v>
      </c>
      <c r="B935">
        <v>631.16</v>
      </c>
      <c r="C935">
        <v>109.39</v>
      </c>
      <c r="D935">
        <f t="shared" si="108"/>
        <v>521.77</v>
      </c>
      <c r="E935">
        <v>4.63</v>
      </c>
      <c r="F935">
        <f t="shared" si="109"/>
        <v>-517.14</v>
      </c>
      <c r="I935">
        <f t="shared" si="105"/>
        <v>23</v>
      </c>
      <c r="J935">
        <v>1</v>
      </c>
      <c r="K935">
        <f t="shared" si="106"/>
        <v>5</v>
      </c>
      <c r="L935">
        <f t="shared" si="107"/>
        <v>2022</v>
      </c>
      <c r="N935" s="17">
        <f t="shared" si="110"/>
        <v>44682</v>
      </c>
      <c r="S935">
        <f t="shared" si="111"/>
        <v>0</v>
      </c>
    </row>
    <row r="936" spans="1:19" x14ac:dyDescent="0.3">
      <c r="A936" s="17">
        <v>44701</v>
      </c>
      <c r="B936">
        <v>617.29</v>
      </c>
      <c r="C936">
        <v>108.04</v>
      </c>
      <c r="D936">
        <f t="shared" si="108"/>
        <v>509.24999999999994</v>
      </c>
      <c r="E936">
        <v>4.92</v>
      </c>
      <c r="F936">
        <f t="shared" si="109"/>
        <v>-504.32999999999993</v>
      </c>
      <c r="I936">
        <f t="shared" si="105"/>
        <v>20</v>
      </c>
      <c r="J936">
        <v>1</v>
      </c>
      <c r="K936">
        <f t="shared" si="106"/>
        <v>5</v>
      </c>
      <c r="L936">
        <f t="shared" si="107"/>
        <v>2022</v>
      </c>
      <c r="N936" s="17">
        <f t="shared" si="110"/>
        <v>44682</v>
      </c>
      <c r="S936">
        <f t="shared" si="111"/>
        <v>0</v>
      </c>
    </row>
    <row r="937" spans="1:19" x14ac:dyDescent="0.3">
      <c r="A937" s="17">
        <v>44700</v>
      </c>
      <c r="B937">
        <v>591.5</v>
      </c>
      <c r="C937">
        <v>105.58</v>
      </c>
      <c r="D937">
        <f t="shared" si="108"/>
        <v>485.92</v>
      </c>
      <c r="E937">
        <v>5.28</v>
      </c>
      <c r="F937">
        <f t="shared" si="109"/>
        <v>-480.64000000000004</v>
      </c>
      <c r="I937">
        <f t="shared" si="105"/>
        <v>19</v>
      </c>
      <c r="J937">
        <v>1</v>
      </c>
      <c r="K937">
        <f t="shared" si="106"/>
        <v>5</v>
      </c>
      <c r="L937">
        <f t="shared" si="107"/>
        <v>2022</v>
      </c>
      <c r="N937" s="17">
        <f t="shared" si="110"/>
        <v>44682</v>
      </c>
      <c r="S937">
        <f t="shared" si="111"/>
        <v>0</v>
      </c>
    </row>
    <row r="938" spans="1:19" x14ac:dyDescent="0.3">
      <c r="A938" s="17">
        <v>44699</v>
      </c>
      <c r="B938">
        <v>627.57000000000005</v>
      </c>
      <c r="C938">
        <v>109.71</v>
      </c>
      <c r="D938">
        <f t="shared" si="108"/>
        <v>517.86</v>
      </c>
      <c r="E938">
        <v>5.55</v>
      </c>
      <c r="F938">
        <f t="shared" si="109"/>
        <v>-512.31000000000006</v>
      </c>
      <c r="I938">
        <f t="shared" si="105"/>
        <v>18</v>
      </c>
      <c r="J938">
        <v>1</v>
      </c>
      <c r="K938">
        <f t="shared" si="106"/>
        <v>5</v>
      </c>
      <c r="L938">
        <f t="shared" si="107"/>
        <v>2022</v>
      </c>
      <c r="N938" s="17">
        <f t="shared" si="110"/>
        <v>44682</v>
      </c>
      <c r="S938">
        <f t="shared" si="111"/>
        <v>0</v>
      </c>
    </row>
    <row r="939" spans="1:19" x14ac:dyDescent="0.3">
      <c r="A939" s="17">
        <v>44698</v>
      </c>
      <c r="B939">
        <v>640.28</v>
      </c>
      <c r="C939">
        <v>110.80500000000001</v>
      </c>
      <c r="D939">
        <f t="shared" si="108"/>
        <v>529.47499999999991</v>
      </c>
      <c r="E939">
        <v>6.12</v>
      </c>
      <c r="F939">
        <f t="shared" si="109"/>
        <v>-523.3549999999999</v>
      </c>
      <c r="I939">
        <f t="shared" si="105"/>
        <v>17</v>
      </c>
      <c r="J939">
        <v>1</v>
      </c>
      <c r="K939">
        <f t="shared" si="106"/>
        <v>5</v>
      </c>
      <c r="L939">
        <f t="shared" si="107"/>
        <v>2022</v>
      </c>
      <c r="N939" s="17">
        <f t="shared" si="110"/>
        <v>44682</v>
      </c>
      <c r="S939">
        <f t="shared" si="111"/>
        <v>0</v>
      </c>
    </row>
    <row r="940" spans="1:19" x14ac:dyDescent="0.3">
      <c r="A940" s="17">
        <v>44694</v>
      </c>
      <c r="B940">
        <v>614.87</v>
      </c>
      <c r="C940">
        <v>106.64</v>
      </c>
      <c r="D940">
        <f t="shared" si="108"/>
        <v>508.23</v>
      </c>
      <c r="E940">
        <v>6.79</v>
      </c>
      <c r="F940">
        <f t="shared" si="109"/>
        <v>-501.44</v>
      </c>
      <c r="I940">
        <f t="shared" si="105"/>
        <v>13</v>
      </c>
      <c r="J940">
        <v>1</v>
      </c>
      <c r="K940">
        <f t="shared" si="106"/>
        <v>5</v>
      </c>
      <c r="L940">
        <f t="shared" si="107"/>
        <v>2022</v>
      </c>
      <c r="N940" s="17">
        <f t="shared" si="110"/>
        <v>44682</v>
      </c>
      <c r="S940">
        <f t="shared" si="111"/>
        <v>0</v>
      </c>
    </row>
    <row r="941" spans="1:19" x14ac:dyDescent="0.3">
      <c r="A941" s="17">
        <v>44693</v>
      </c>
      <c r="B941">
        <v>591.09</v>
      </c>
      <c r="C941">
        <v>102.84</v>
      </c>
      <c r="D941">
        <f t="shared" si="108"/>
        <v>488.25</v>
      </c>
      <c r="E941">
        <v>7.31</v>
      </c>
      <c r="F941">
        <f t="shared" si="109"/>
        <v>-480.94</v>
      </c>
      <c r="I941">
        <f t="shared" si="105"/>
        <v>12</v>
      </c>
      <c r="J941">
        <v>1</v>
      </c>
      <c r="K941">
        <f t="shared" si="106"/>
        <v>5</v>
      </c>
      <c r="L941">
        <f t="shared" si="107"/>
        <v>2022</v>
      </c>
      <c r="N941" s="17">
        <f t="shared" si="110"/>
        <v>44682</v>
      </c>
      <c r="S941">
        <f t="shared" si="111"/>
        <v>0</v>
      </c>
    </row>
    <row r="942" spans="1:19" x14ac:dyDescent="0.3">
      <c r="A942" s="17">
        <v>44692</v>
      </c>
      <c r="B942">
        <v>594.37</v>
      </c>
      <c r="C942">
        <v>102.89</v>
      </c>
      <c r="D942">
        <f t="shared" si="108"/>
        <v>491.48</v>
      </c>
      <c r="E942">
        <v>7.68</v>
      </c>
      <c r="F942">
        <f t="shared" si="109"/>
        <v>-483.8</v>
      </c>
      <c r="I942">
        <f t="shared" si="105"/>
        <v>11</v>
      </c>
      <c r="J942">
        <v>1</v>
      </c>
      <c r="K942">
        <f t="shared" si="106"/>
        <v>5</v>
      </c>
      <c r="L942">
        <f t="shared" si="107"/>
        <v>2022</v>
      </c>
      <c r="N942" s="17">
        <f t="shared" si="110"/>
        <v>44682</v>
      </c>
      <c r="S942">
        <f t="shared" si="111"/>
        <v>0</v>
      </c>
    </row>
    <row r="943" spans="1:19" x14ac:dyDescent="0.3">
      <c r="A943" s="17">
        <v>44691</v>
      </c>
      <c r="B943">
        <v>606.74</v>
      </c>
      <c r="C943">
        <v>103.1</v>
      </c>
      <c r="D943">
        <f t="shared" si="108"/>
        <v>503.64</v>
      </c>
      <c r="E943">
        <v>7.74</v>
      </c>
      <c r="F943">
        <f t="shared" si="109"/>
        <v>-495.9</v>
      </c>
      <c r="I943">
        <f t="shared" si="105"/>
        <v>10</v>
      </c>
      <c r="J943">
        <v>1</v>
      </c>
      <c r="K943">
        <f t="shared" si="106"/>
        <v>5</v>
      </c>
      <c r="L943">
        <f t="shared" si="107"/>
        <v>2022</v>
      </c>
      <c r="N943" s="17">
        <f t="shared" si="110"/>
        <v>44682</v>
      </c>
      <c r="S943">
        <f t="shared" si="111"/>
        <v>0</v>
      </c>
    </row>
    <row r="944" spans="1:19" x14ac:dyDescent="0.3">
      <c r="A944" s="17">
        <v>44690</v>
      </c>
      <c r="B944">
        <v>645.13</v>
      </c>
      <c r="C944">
        <v>107.95</v>
      </c>
      <c r="D944">
        <f t="shared" si="108"/>
        <v>537.17999999999995</v>
      </c>
      <c r="E944">
        <v>7.89</v>
      </c>
      <c r="F944">
        <f t="shared" si="109"/>
        <v>-529.29</v>
      </c>
      <c r="I944">
        <f t="shared" si="105"/>
        <v>9</v>
      </c>
      <c r="J944">
        <v>1</v>
      </c>
      <c r="K944">
        <f t="shared" si="106"/>
        <v>5</v>
      </c>
      <c r="L944">
        <f t="shared" si="107"/>
        <v>2022</v>
      </c>
      <c r="N944" s="17">
        <f t="shared" si="110"/>
        <v>44682</v>
      </c>
      <c r="S944">
        <f t="shared" si="111"/>
        <v>0</v>
      </c>
    </row>
    <row r="945" spans="1:19" x14ac:dyDescent="0.3">
      <c r="A945" s="17">
        <v>44687</v>
      </c>
      <c r="B945">
        <v>660.38</v>
      </c>
      <c r="C945">
        <v>107.8</v>
      </c>
      <c r="D945">
        <f t="shared" si="108"/>
        <v>552.58000000000004</v>
      </c>
      <c r="E945">
        <v>8.1</v>
      </c>
      <c r="F945">
        <f t="shared" si="109"/>
        <v>-544.48</v>
      </c>
      <c r="I945">
        <f t="shared" si="105"/>
        <v>6</v>
      </c>
      <c r="J945">
        <v>1</v>
      </c>
      <c r="K945">
        <f t="shared" si="106"/>
        <v>5</v>
      </c>
      <c r="L945">
        <f t="shared" si="107"/>
        <v>2022</v>
      </c>
      <c r="N945" s="17">
        <f t="shared" si="110"/>
        <v>44682</v>
      </c>
      <c r="S945">
        <f t="shared" si="111"/>
        <v>0</v>
      </c>
    </row>
    <row r="946" spans="1:19" x14ac:dyDescent="0.3">
      <c r="A946" s="17">
        <v>44686</v>
      </c>
      <c r="B946">
        <v>678.21</v>
      </c>
      <c r="C946">
        <v>106.605</v>
      </c>
      <c r="D946">
        <f t="shared" si="108"/>
        <v>571.60500000000002</v>
      </c>
      <c r="E946">
        <v>8.4700000000000006</v>
      </c>
      <c r="F946">
        <f t="shared" si="109"/>
        <v>-563.13499999999999</v>
      </c>
      <c r="I946">
        <f t="shared" si="105"/>
        <v>5</v>
      </c>
      <c r="J946">
        <v>1</v>
      </c>
      <c r="K946">
        <f t="shared" si="106"/>
        <v>5</v>
      </c>
      <c r="L946">
        <f t="shared" si="107"/>
        <v>2022</v>
      </c>
      <c r="N946" s="17">
        <f t="shared" si="110"/>
        <v>44682</v>
      </c>
      <c r="S946">
        <f t="shared" si="111"/>
        <v>0</v>
      </c>
    </row>
    <row r="947" spans="1:19" x14ac:dyDescent="0.3">
      <c r="A947" s="17">
        <v>44685</v>
      </c>
      <c r="B947">
        <v>691.76</v>
      </c>
      <c r="C947">
        <v>104.66</v>
      </c>
      <c r="D947">
        <f t="shared" si="108"/>
        <v>587.1</v>
      </c>
      <c r="E947">
        <v>8.08</v>
      </c>
      <c r="F947">
        <f t="shared" si="109"/>
        <v>-579.02</v>
      </c>
      <c r="I947">
        <f t="shared" si="105"/>
        <v>4</v>
      </c>
      <c r="J947">
        <v>1</v>
      </c>
      <c r="K947">
        <f t="shared" si="106"/>
        <v>5</v>
      </c>
      <c r="L947">
        <f t="shared" si="107"/>
        <v>2022</v>
      </c>
      <c r="N947" s="17">
        <f t="shared" si="110"/>
        <v>44682</v>
      </c>
      <c r="S947">
        <f t="shared" si="111"/>
        <v>1</v>
      </c>
    </row>
    <row r="948" spans="1:19" x14ac:dyDescent="0.3">
      <c r="A948" s="17">
        <v>44680</v>
      </c>
      <c r="B948">
        <v>682.98</v>
      </c>
      <c r="C948">
        <v>105.4</v>
      </c>
      <c r="D948">
        <f t="shared" si="108"/>
        <v>577.58000000000004</v>
      </c>
      <c r="E948">
        <v>7.7</v>
      </c>
      <c r="F948">
        <f t="shared" si="109"/>
        <v>-569.88</v>
      </c>
      <c r="I948">
        <f t="shared" si="105"/>
        <v>29</v>
      </c>
      <c r="J948">
        <v>1</v>
      </c>
      <c r="K948">
        <f t="shared" si="106"/>
        <v>4</v>
      </c>
      <c r="L948">
        <f t="shared" si="107"/>
        <v>2022</v>
      </c>
      <c r="N948" s="17">
        <f t="shared" si="110"/>
        <v>44652</v>
      </c>
      <c r="S948">
        <f t="shared" si="111"/>
        <v>0</v>
      </c>
    </row>
    <row r="949" spans="1:19" x14ac:dyDescent="0.3">
      <c r="A949" s="17">
        <v>44679</v>
      </c>
      <c r="B949">
        <v>665.22</v>
      </c>
      <c r="C949">
        <v>102.795</v>
      </c>
      <c r="D949">
        <f t="shared" si="108"/>
        <v>562.42500000000007</v>
      </c>
      <c r="E949">
        <v>7.53</v>
      </c>
      <c r="F949">
        <f t="shared" si="109"/>
        <v>-554.8950000000001</v>
      </c>
      <c r="I949">
        <f t="shared" si="105"/>
        <v>28</v>
      </c>
      <c r="J949">
        <v>1</v>
      </c>
      <c r="K949">
        <f t="shared" si="106"/>
        <v>4</v>
      </c>
      <c r="L949">
        <f t="shared" si="107"/>
        <v>2022</v>
      </c>
      <c r="N949" s="17">
        <f t="shared" si="110"/>
        <v>44652</v>
      </c>
      <c r="S949">
        <f t="shared" si="111"/>
        <v>0</v>
      </c>
    </row>
    <row r="950" spans="1:19" x14ac:dyDescent="0.3">
      <c r="A950" s="17">
        <v>44678</v>
      </c>
      <c r="B950">
        <v>668.29</v>
      </c>
      <c r="C950">
        <v>103</v>
      </c>
      <c r="D950">
        <f t="shared" si="108"/>
        <v>565.29</v>
      </c>
      <c r="E950">
        <v>7.83</v>
      </c>
      <c r="F950">
        <f t="shared" si="109"/>
        <v>-557.45999999999992</v>
      </c>
      <c r="I950">
        <f t="shared" si="105"/>
        <v>27</v>
      </c>
      <c r="J950">
        <v>1</v>
      </c>
      <c r="K950">
        <f t="shared" si="106"/>
        <v>4</v>
      </c>
      <c r="L950">
        <f t="shared" si="107"/>
        <v>2022</v>
      </c>
      <c r="N950" s="17">
        <f t="shared" si="110"/>
        <v>44652</v>
      </c>
      <c r="S950">
        <f t="shared" si="111"/>
        <v>0</v>
      </c>
    </row>
    <row r="951" spans="1:19" x14ac:dyDescent="0.3">
      <c r="A951" s="17">
        <v>44677</v>
      </c>
      <c r="B951">
        <v>630.08000000000004</v>
      </c>
      <c r="C951">
        <v>99.55</v>
      </c>
      <c r="D951">
        <f t="shared" si="108"/>
        <v>530.53000000000009</v>
      </c>
      <c r="E951">
        <v>7.41</v>
      </c>
      <c r="F951">
        <f t="shared" si="109"/>
        <v>-523.12000000000012</v>
      </c>
      <c r="I951">
        <f t="shared" si="105"/>
        <v>26</v>
      </c>
      <c r="J951">
        <v>1</v>
      </c>
      <c r="K951">
        <f t="shared" si="106"/>
        <v>4</v>
      </c>
      <c r="L951">
        <f t="shared" si="107"/>
        <v>2022</v>
      </c>
      <c r="N951" s="17">
        <f t="shared" si="110"/>
        <v>44652</v>
      </c>
      <c r="S951">
        <f t="shared" si="111"/>
        <v>0</v>
      </c>
    </row>
    <row r="952" spans="1:19" x14ac:dyDescent="0.3">
      <c r="A952" s="17">
        <v>44676</v>
      </c>
      <c r="B952">
        <v>623.95000000000005</v>
      </c>
      <c r="C952">
        <v>99.69</v>
      </c>
      <c r="D952">
        <f t="shared" si="108"/>
        <v>524.26</v>
      </c>
      <c r="E952">
        <v>7.58</v>
      </c>
      <c r="F952">
        <f t="shared" si="109"/>
        <v>-516.67999999999995</v>
      </c>
      <c r="I952">
        <f t="shared" si="105"/>
        <v>25</v>
      </c>
      <c r="J952">
        <v>1</v>
      </c>
      <c r="K952">
        <f t="shared" si="106"/>
        <v>4</v>
      </c>
      <c r="L952">
        <f t="shared" si="107"/>
        <v>2022</v>
      </c>
      <c r="N952" s="17">
        <f t="shared" si="110"/>
        <v>44652</v>
      </c>
      <c r="S952">
        <f t="shared" si="111"/>
        <v>0</v>
      </c>
    </row>
    <row r="953" spans="1:19" x14ac:dyDescent="0.3">
      <c r="A953" s="17">
        <v>44673</v>
      </c>
      <c r="B953">
        <v>659.47</v>
      </c>
      <c r="C953">
        <v>105.05</v>
      </c>
      <c r="D953">
        <f t="shared" si="108"/>
        <v>554.42000000000007</v>
      </c>
      <c r="E953">
        <v>7.33</v>
      </c>
      <c r="F953">
        <f t="shared" si="109"/>
        <v>-547.09</v>
      </c>
      <c r="I953">
        <f t="shared" si="105"/>
        <v>22</v>
      </c>
      <c r="J953">
        <v>1</v>
      </c>
      <c r="K953">
        <f t="shared" si="106"/>
        <v>4</v>
      </c>
      <c r="L953">
        <f t="shared" si="107"/>
        <v>2022</v>
      </c>
      <c r="N953" s="17">
        <f t="shared" si="110"/>
        <v>44652</v>
      </c>
      <c r="S953">
        <f t="shared" si="111"/>
        <v>0</v>
      </c>
    </row>
    <row r="954" spans="1:19" x14ac:dyDescent="0.3">
      <c r="A954" s="17">
        <v>44672</v>
      </c>
      <c r="B954">
        <v>669.96</v>
      </c>
      <c r="C954">
        <v>106.11</v>
      </c>
      <c r="D954">
        <f t="shared" si="108"/>
        <v>563.85</v>
      </c>
      <c r="E954">
        <v>8.41</v>
      </c>
      <c r="F954">
        <f t="shared" si="109"/>
        <v>-555.44000000000005</v>
      </c>
      <c r="I954">
        <f t="shared" si="105"/>
        <v>21</v>
      </c>
      <c r="J954">
        <v>1</v>
      </c>
      <c r="K954">
        <f t="shared" si="106"/>
        <v>4</v>
      </c>
      <c r="L954">
        <f t="shared" si="107"/>
        <v>2022</v>
      </c>
      <c r="N954" s="17">
        <f t="shared" si="110"/>
        <v>44652</v>
      </c>
      <c r="S954">
        <f t="shared" si="111"/>
        <v>0</v>
      </c>
    </row>
    <row r="955" spans="1:19" x14ac:dyDescent="0.3">
      <c r="A955" s="17">
        <v>44671</v>
      </c>
      <c r="B955">
        <v>669</v>
      </c>
      <c r="C955">
        <v>105.51</v>
      </c>
      <c r="D955">
        <f t="shared" si="108"/>
        <v>563.49</v>
      </c>
      <c r="E955">
        <v>8.84</v>
      </c>
      <c r="F955">
        <f t="shared" si="109"/>
        <v>-554.65</v>
      </c>
      <c r="I955">
        <f t="shared" si="105"/>
        <v>20</v>
      </c>
      <c r="J955">
        <v>1</v>
      </c>
      <c r="K955">
        <f t="shared" si="106"/>
        <v>4</v>
      </c>
      <c r="L955">
        <f t="shared" si="107"/>
        <v>2022</v>
      </c>
      <c r="N955" s="17">
        <f t="shared" si="110"/>
        <v>44652</v>
      </c>
      <c r="S955">
        <f t="shared" si="111"/>
        <v>0</v>
      </c>
    </row>
    <row r="956" spans="1:19" x14ac:dyDescent="0.3">
      <c r="A956" s="17">
        <v>44670</v>
      </c>
      <c r="B956">
        <v>679.14</v>
      </c>
      <c r="C956">
        <v>108.65</v>
      </c>
      <c r="D956">
        <f t="shared" si="108"/>
        <v>570.49</v>
      </c>
      <c r="E956">
        <v>8.3699999999999992</v>
      </c>
      <c r="F956">
        <f t="shared" si="109"/>
        <v>-562.12</v>
      </c>
      <c r="I956">
        <f t="shared" si="105"/>
        <v>19</v>
      </c>
      <c r="J956">
        <v>1</v>
      </c>
      <c r="K956">
        <f t="shared" si="106"/>
        <v>4</v>
      </c>
      <c r="L956">
        <f t="shared" si="107"/>
        <v>2022</v>
      </c>
      <c r="N956" s="17">
        <f t="shared" si="110"/>
        <v>44652</v>
      </c>
      <c r="S956">
        <f t="shared" si="111"/>
        <v>0</v>
      </c>
    </row>
    <row r="957" spans="1:19" x14ac:dyDescent="0.3">
      <c r="A957" s="17">
        <v>44669</v>
      </c>
      <c r="B957">
        <v>674.55</v>
      </c>
      <c r="C957">
        <v>108.09</v>
      </c>
      <c r="D957">
        <f t="shared" si="108"/>
        <v>566.45999999999992</v>
      </c>
      <c r="E957">
        <v>8.0399999999999991</v>
      </c>
      <c r="F957">
        <f t="shared" si="109"/>
        <v>-558.41999999999996</v>
      </c>
      <c r="I957">
        <f t="shared" si="105"/>
        <v>18</v>
      </c>
      <c r="J957">
        <v>1</v>
      </c>
      <c r="K957">
        <f t="shared" si="106"/>
        <v>4</v>
      </c>
      <c r="L957">
        <f t="shared" si="107"/>
        <v>2022</v>
      </c>
      <c r="N957" s="17">
        <f t="shared" si="110"/>
        <v>44652</v>
      </c>
      <c r="S957">
        <f t="shared" si="111"/>
        <v>0</v>
      </c>
    </row>
    <row r="958" spans="1:19" x14ac:dyDescent="0.3">
      <c r="A958" s="17">
        <v>44665</v>
      </c>
      <c r="B958">
        <v>669.72</v>
      </c>
      <c r="C958">
        <v>105.85</v>
      </c>
      <c r="D958">
        <f t="shared" si="108"/>
        <v>563.87</v>
      </c>
      <c r="E958">
        <v>7.61</v>
      </c>
      <c r="F958">
        <f t="shared" si="109"/>
        <v>-556.26</v>
      </c>
      <c r="I958">
        <f t="shared" si="105"/>
        <v>14</v>
      </c>
      <c r="J958">
        <v>1</v>
      </c>
      <c r="K958">
        <f t="shared" si="106"/>
        <v>4</v>
      </c>
      <c r="L958">
        <f t="shared" si="107"/>
        <v>2022</v>
      </c>
      <c r="N958" s="17">
        <f t="shared" si="110"/>
        <v>44652</v>
      </c>
      <c r="S958">
        <f t="shared" si="111"/>
        <v>0</v>
      </c>
    </row>
    <row r="959" spans="1:19" x14ac:dyDescent="0.3">
      <c r="A959" s="17">
        <v>44664</v>
      </c>
      <c r="B959">
        <v>661.3</v>
      </c>
      <c r="C959">
        <v>102.41</v>
      </c>
      <c r="D959">
        <f t="shared" si="108"/>
        <v>558.89</v>
      </c>
      <c r="E959">
        <v>7.9</v>
      </c>
      <c r="F959">
        <f t="shared" si="109"/>
        <v>-550.99</v>
      </c>
      <c r="I959">
        <f t="shared" si="105"/>
        <v>13</v>
      </c>
      <c r="J959">
        <v>1</v>
      </c>
      <c r="K959">
        <f t="shared" si="106"/>
        <v>4</v>
      </c>
      <c r="L959">
        <f t="shared" si="107"/>
        <v>2022</v>
      </c>
      <c r="N959" s="17">
        <f t="shared" si="110"/>
        <v>44652</v>
      </c>
      <c r="S959">
        <f t="shared" si="111"/>
        <v>0</v>
      </c>
    </row>
    <row r="960" spans="1:19" x14ac:dyDescent="0.3">
      <c r="A960" s="17">
        <v>44663</v>
      </c>
      <c r="B960">
        <v>636.45000000000005</v>
      </c>
      <c r="C960">
        <v>98.1</v>
      </c>
      <c r="D960">
        <f t="shared" si="108"/>
        <v>538.35</v>
      </c>
      <c r="E960">
        <v>7.55</v>
      </c>
      <c r="F960">
        <f t="shared" si="109"/>
        <v>-530.80000000000007</v>
      </c>
      <c r="I960">
        <f t="shared" si="105"/>
        <v>12</v>
      </c>
      <c r="J960">
        <v>1</v>
      </c>
      <c r="K960">
        <f t="shared" si="106"/>
        <v>4</v>
      </c>
      <c r="L960">
        <f t="shared" si="107"/>
        <v>2022</v>
      </c>
      <c r="N960" s="17">
        <f t="shared" si="110"/>
        <v>44652</v>
      </c>
      <c r="S960">
        <f t="shared" si="111"/>
        <v>0</v>
      </c>
    </row>
    <row r="961" spans="1:19" x14ac:dyDescent="0.3">
      <c r="A961" s="17">
        <v>44662</v>
      </c>
      <c r="B961">
        <v>634.57000000000005</v>
      </c>
      <c r="C961">
        <v>97.6</v>
      </c>
      <c r="D961">
        <f t="shared" si="108"/>
        <v>536.97</v>
      </c>
      <c r="E961">
        <v>7.44</v>
      </c>
      <c r="F961">
        <f t="shared" si="109"/>
        <v>-529.53</v>
      </c>
      <c r="I961">
        <f t="shared" si="105"/>
        <v>11</v>
      </c>
      <c r="J961">
        <v>1</v>
      </c>
      <c r="K961">
        <f t="shared" si="106"/>
        <v>4</v>
      </c>
      <c r="L961">
        <f t="shared" si="107"/>
        <v>2022</v>
      </c>
      <c r="N961" s="17">
        <f t="shared" si="110"/>
        <v>44652</v>
      </c>
      <c r="S961">
        <f t="shared" si="111"/>
        <v>0</v>
      </c>
    </row>
    <row r="962" spans="1:19" x14ac:dyDescent="0.3">
      <c r="A962" s="17">
        <v>44659</v>
      </c>
      <c r="B962">
        <v>643.33000000000004</v>
      </c>
      <c r="C962">
        <v>98.11</v>
      </c>
      <c r="D962">
        <f t="shared" si="108"/>
        <v>545.22</v>
      </c>
      <c r="E962">
        <v>7.37</v>
      </c>
      <c r="F962">
        <f t="shared" si="109"/>
        <v>-537.85</v>
      </c>
      <c r="I962">
        <f t="shared" si="105"/>
        <v>8</v>
      </c>
      <c r="J962">
        <v>1</v>
      </c>
      <c r="K962">
        <f t="shared" si="106"/>
        <v>4</v>
      </c>
      <c r="L962">
        <f t="shared" si="107"/>
        <v>2022</v>
      </c>
      <c r="N962" s="17">
        <f t="shared" si="110"/>
        <v>44652</v>
      </c>
      <c r="S962">
        <f t="shared" si="111"/>
        <v>0</v>
      </c>
    </row>
    <row r="963" spans="1:19" x14ac:dyDescent="0.3">
      <c r="A963" s="17">
        <v>44658</v>
      </c>
      <c r="B963">
        <v>637.04999999999995</v>
      </c>
      <c r="C963">
        <v>97.37</v>
      </c>
      <c r="D963">
        <f t="shared" si="108"/>
        <v>539.67999999999995</v>
      </c>
      <c r="E963">
        <v>7.52</v>
      </c>
      <c r="F963">
        <f t="shared" si="109"/>
        <v>-532.16</v>
      </c>
      <c r="I963">
        <f t="shared" si="105"/>
        <v>7</v>
      </c>
      <c r="J963">
        <v>1</v>
      </c>
      <c r="K963">
        <f t="shared" si="106"/>
        <v>4</v>
      </c>
      <c r="L963">
        <f t="shared" si="107"/>
        <v>2022</v>
      </c>
      <c r="N963" s="17">
        <f t="shared" si="110"/>
        <v>44652</v>
      </c>
      <c r="S963">
        <f t="shared" si="111"/>
        <v>0</v>
      </c>
    </row>
    <row r="964" spans="1:19" x14ac:dyDescent="0.3">
      <c r="A964" s="17">
        <v>44657</v>
      </c>
      <c r="B964">
        <v>669.83</v>
      </c>
      <c r="C964">
        <v>103.75</v>
      </c>
      <c r="D964">
        <f t="shared" si="108"/>
        <v>566.08000000000004</v>
      </c>
      <c r="E964">
        <v>7.86</v>
      </c>
      <c r="F964">
        <f t="shared" si="109"/>
        <v>-558.22</v>
      </c>
      <c r="I964">
        <f t="shared" si="105"/>
        <v>6</v>
      </c>
      <c r="J964">
        <v>1</v>
      </c>
      <c r="K964">
        <f t="shared" si="106"/>
        <v>4</v>
      </c>
      <c r="L964">
        <f t="shared" si="107"/>
        <v>2022</v>
      </c>
      <c r="N964" s="17">
        <f t="shared" si="110"/>
        <v>44652</v>
      </c>
      <c r="S964">
        <f t="shared" si="111"/>
        <v>0</v>
      </c>
    </row>
    <row r="965" spans="1:19" x14ac:dyDescent="0.3">
      <c r="A965" s="17">
        <v>44656</v>
      </c>
      <c r="B965">
        <v>669.1</v>
      </c>
      <c r="C965">
        <v>105.3</v>
      </c>
      <c r="D965">
        <f t="shared" si="108"/>
        <v>563.80000000000007</v>
      </c>
      <c r="E965">
        <v>8.11</v>
      </c>
      <c r="F965">
        <f t="shared" si="109"/>
        <v>-555.69000000000005</v>
      </c>
      <c r="I965">
        <f t="shared" ref="I965:I1028" si="112">+DAY(A965)</f>
        <v>5</v>
      </c>
      <c r="J965">
        <v>1</v>
      </c>
      <c r="K965">
        <f t="shared" ref="K965:K1028" si="113">+MONTH(A965)</f>
        <v>4</v>
      </c>
      <c r="L965">
        <f t="shared" ref="L965:L1028" si="114">+YEAR(A965)</f>
        <v>2022</v>
      </c>
      <c r="N965" s="17">
        <f t="shared" si="110"/>
        <v>44652</v>
      </c>
      <c r="S965">
        <f t="shared" si="111"/>
        <v>0</v>
      </c>
    </row>
    <row r="966" spans="1:19" x14ac:dyDescent="0.3">
      <c r="A966" s="17">
        <v>44655</v>
      </c>
      <c r="B966">
        <v>662.27</v>
      </c>
      <c r="C966">
        <v>101.79</v>
      </c>
      <c r="D966">
        <f t="shared" ref="D966:D1029" si="115">+B966-C966</f>
        <v>560.48</v>
      </c>
      <c r="E966">
        <v>8.23</v>
      </c>
      <c r="F966">
        <f t="shared" ref="F966:F1029" si="116">+E966-D966</f>
        <v>-552.25</v>
      </c>
      <c r="I966">
        <f t="shared" si="112"/>
        <v>4</v>
      </c>
      <c r="J966">
        <v>1</v>
      </c>
      <c r="K966">
        <f t="shared" si="113"/>
        <v>4</v>
      </c>
      <c r="L966">
        <f t="shared" si="114"/>
        <v>2022</v>
      </c>
      <c r="N966" s="17">
        <f t="shared" ref="N966:N1029" si="117">+DATE(L966,K966,J966)</f>
        <v>44652</v>
      </c>
      <c r="S966">
        <f t="shared" ref="S966:S1029" si="118">IF(AND(I966&gt;=1, I966&lt;=4), 1, 0)</f>
        <v>1</v>
      </c>
    </row>
    <row r="967" spans="1:19" x14ac:dyDescent="0.3">
      <c r="A967" s="17">
        <v>44652</v>
      </c>
      <c r="B967">
        <v>651.34</v>
      </c>
      <c r="C967">
        <v>101.6</v>
      </c>
      <c r="D967">
        <f t="shared" si="115"/>
        <v>549.74</v>
      </c>
      <c r="E967">
        <v>7.73</v>
      </c>
      <c r="F967">
        <f t="shared" si="116"/>
        <v>-542.01</v>
      </c>
      <c r="I967">
        <f t="shared" si="112"/>
        <v>1</v>
      </c>
      <c r="J967">
        <v>1</v>
      </c>
      <c r="K967">
        <f t="shared" si="113"/>
        <v>4</v>
      </c>
      <c r="L967">
        <f t="shared" si="114"/>
        <v>2022</v>
      </c>
      <c r="N967" s="17">
        <f t="shared" si="117"/>
        <v>44652</v>
      </c>
      <c r="S967">
        <f t="shared" si="118"/>
        <v>1</v>
      </c>
    </row>
    <row r="968" spans="1:19" x14ac:dyDescent="0.3">
      <c r="A968" s="17">
        <v>44651</v>
      </c>
      <c r="B968">
        <v>640.29999999999995</v>
      </c>
      <c r="C968">
        <v>107.66</v>
      </c>
      <c r="D968">
        <f t="shared" si="115"/>
        <v>532.64</v>
      </c>
      <c r="E968">
        <v>7.21</v>
      </c>
      <c r="F968">
        <f t="shared" si="116"/>
        <v>-525.42999999999995</v>
      </c>
      <c r="I968">
        <f t="shared" si="112"/>
        <v>31</v>
      </c>
      <c r="J968">
        <v>1</v>
      </c>
      <c r="K968">
        <f t="shared" si="113"/>
        <v>3</v>
      </c>
      <c r="L968">
        <f t="shared" si="114"/>
        <v>2022</v>
      </c>
      <c r="N968" s="17">
        <f t="shared" si="117"/>
        <v>44621</v>
      </c>
      <c r="S968">
        <f t="shared" si="118"/>
        <v>0</v>
      </c>
    </row>
    <row r="969" spans="1:19" x14ac:dyDescent="0.3">
      <c r="A969" s="17">
        <v>44650</v>
      </c>
      <c r="B969">
        <v>646.36</v>
      </c>
      <c r="C969">
        <v>108.35</v>
      </c>
      <c r="D969">
        <f t="shared" si="115"/>
        <v>538.01</v>
      </c>
      <c r="E969">
        <v>7.22</v>
      </c>
      <c r="F969">
        <f t="shared" si="116"/>
        <v>-530.79</v>
      </c>
      <c r="I969">
        <f t="shared" si="112"/>
        <v>30</v>
      </c>
      <c r="J969">
        <v>1</v>
      </c>
      <c r="K969">
        <f t="shared" si="113"/>
        <v>3</v>
      </c>
      <c r="L969">
        <f t="shared" si="114"/>
        <v>2022</v>
      </c>
      <c r="N969" s="17">
        <f t="shared" si="117"/>
        <v>44621</v>
      </c>
      <c r="S969">
        <f t="shared" si="118"/>
        <v>0</v>
      </c>
    </row>
    <row r="970" spans="1:19" x14ac:dyDescent="0.3">
      <c r="A970" s="17">
        <v>44649</v>
      </c>
      <c r="B970">
        <v>648.29999999999995</v>
      </c>
      <c r="C970">
        <v>108.59</v>
      </c>
      <c r="D970">
        <f t="shared" si="115"/>
        <v>539.70999999999992</v>
      </c>
      <c r="E970">
        <v>6.65</v>
      </c>
      <c r="F970">
        <f t="shared" si="116"/>
        <v>-533.05999999999995</v>
      </c>
      <c r="I970">
        <f t="shared" si="112"/>
        <v>29</v>
      </c>
      <c r="J970">
        <v>1</v>
      </c>
      <c r="K970">
        <f t="shared" si="113"/>
        <v>3</v>
      </c>
      <c r="L970">
        <f t="shared" si="114"/>
        <v>2022</v>
      </c>
      <c r="N970" s="17">
        <f t="shared" si="117"/>
        <v>44621</v>
      </c>
      <c r="S970">
        <f t="shared" si="118"/>
        <v>0</v>
      </c>
    </row>
    <row r="971" spans="1:19" x14ac:dyDescent="0.3">
      <c r="A971" s="17">
        <v>44648</v>
      </c>
      <c r="B971">
        <v>664.54</v>
      </c>
      <c r="C971">
        <v>110.65</v>
      </c>
      <c r="D971">
        <f t="shared" si="115"/>
        <v>553.89</v>
      </c>
      <c r="E971">
        <v>6.58</v>
      </c>
      <c r="F971">
        <f t="shared" si="116"/>
        <v>-547.30999999999995</v>
      </c>
      <c r="I971">
        <f t="shared" si="112"/>
        <v>28</v>
      </c>
      <c r="J971">
        <v>1</v>
      </c>
      <c r="K971">
        <f t="shared" si="113"/>
        <v>3</v>
      </c>
      <c r="L971">
        <f t="shared" si="114"/>
        <v>2022</v>
      </c>
      <c r="N971" s="17">
        <f t="shared" si="117"/>
        <v>44621</v>
      </c>
      <c r="S971">
        <f t="shared" si="118"/>
        <v>0</v>
      </c>
    </row>
    <row r="972" spans="1:19" x14ac:dyDescent="0.3">
      <c r="A972" s="17">
        <v>44645</v>
      </c>
      <c r="B972">
        <v>655.24</v>
      </c>
      <c r="C972">
        <v>111.9</v>
      </c>
      <c r="D972">
        <f t="shared" si="115"/>
        <v>543.34</v>
      </c>
      <c r="E972">
        <v>6.29</v>
      </c>
      <c r="F972">
        <f t="shared" si="116"/>
        <v>-537.05000000000007</v>
      </c>
      <c r="I972">
        <f t="shared" si="112"/>
        <v>25</v>
      </c>
      <c r="J972">
        <v>1</v>
      </c>
      <c r="K972">
        <f t="shared" si="113"/>
        <v>3</v>
      </c>
      <c r="L972">
        <f t="shared" si="114"/>
        <v>2022</v>
      </c>
      <c r="N972" s="17">
        <f t="shared" si="117"/>
        <v>44621</v>
      </c>
      <c r="S972">
        <f t="shared" si="118"/>
        <v>0</v>
      </c>
    </row>
    <row r="973" spans="1:19" x14ac:dyDescent="0.3">
      <c r="A973" s="17">
        <v>44644</v>
      </c>
      <c r="B973">
        <v>683.35</v>
      </c>
      <c r="C973">
        <v>115.55</v>
      </c>
      <c r="D973">
        <f t="shared" si="115"/>
        <v>567.80000000000007</v>
      </c>
      <c r="E973">
        <v>5.98</v>
      </c>
      <c r="F973">
        <f t="shared" si="116"/>
        <v>-561.82000000000005</v>
      </c>
      <c r="I973">
        <f t="shared" si="112"/>
        <v>24</v>
      </c>
      <c r="J973">
        <v>1</v>
      </c>
      <c r="K973">
        <f t="shared" si="113"/>
        <v>3</v>
      </c>
      <c r="L973">
        <f t="shared" si="114"/>
        <v>2022</v>
      </c>
      <c r="N973" s="17">
        <f t="shared" si="117"/>
        <v>44621</v>
      </c>
      <c r="S973">
        <f t="shared" si="118"/>
        <v>0</v>
      </c>
    </row>
    <row r="974" spans="1:19" x14ac:dyDescent="0.3">
      <c r="A974" s="17">
        <v>44643</v>
      </c>
      <c r="B974">
        <v>651.78</v>
      </c>
      <c r="C974">
        <v>111.75</v>
      </c>
      <c r="D974">
        <f t="shared" si="115"/>
        <v>540.03</v>
      </c>
      <c r="E974">
        <v>5.85</v>
      </c>
      <c r="F974">
        <f t="shared" si="116"/>
        <v>-534.17999999999995</v>
      </c>
      <c r="I974">
        <f t="shared" si="112"/>
        <v>23</v>
      </c>
      <c r="J974">
        <v>1</v>
      </c>
      <c r="K974">
        <f t="shared" si="113"/>
        <v>3</v>
      </c>
      <c r="L974">
        <f t="shared" si="114"/>
        <v>2022</v>
      </c>
      <c r="N974" s="17">
        <f t="shared" si="117"/>
        <v>44621</v>
      </c>
      <c r="S974">
        <f t="shared" si="118"/>
        <v>0</v>
      </c>
    </row>
    <row r="975" spans="1:19" x14ac:dyDescent="0.3">
      <c r="A975" s="17">
        <v>44642</v>
      </c>
      <c r="B975">
        <v>628.77</v>
      </c>
      <c r="C975">
        <v>111.15</v>
      </c>
      <c r="D975">
        <f t="shared" si="115"/>
        <v>517.62</v>
      </c>
      <c r="E975">
        <v>5.55</v>
      </c>
      <c r="F975">
        <f t="shared" si="116"/>
        <v>-512.07000000000005</v>
      </c>
      <c r="I975">
        <f t="shared" si="112"/>
        <v>22</v>
      </c>
      <c r="J975">
        <v>1</v>
      </c>
      <c r="K975">
        <f t="shared" si="113"/>
        <v>3</v>
      </c>
      <c r="L975">
        <f t="shared" si="114"/>
        <v>2022</v>
      </c>
      <c r="N975" s="17">
        <f t="shared" si="117"/>
        <v>44621</v>
      </c>
      <c r="S975">
        <f t="shared" si="118"/>
        <v>0</v>
      </c>
    </row>
    <row r="976" spans="1:19" x14ac:dyDescent="0.3">
      <c r="A976" s="17">
        <v>44641</v>
      </c>
      <c r="B976">
        <v>614.52</v>
      </c>
      <c r="C976">
        <v>109.75</v>
      </c>
      <c r="D976">
        <f t="shared" si="115"/>
        <v>504.77</v>
      </c>
      <c r="E976">
        <v>5.61</v>
      </c>
      <c r="F976">
        <f t="shared" si="116"/>
        <v>-499.15999999999997</v>
      </c>
      <c r="I976">
        <f t="shared" si="112"/>
        <v>21</v>
      </c>
      <c r="J976">
        <v>1</v>
      </c>
      <c r="K976">
        <f t="shared" si="113"/>
        <v>3</v>
      </c>
      <c r="L976">
        <f t="shared" si="114"/>
        <v>2022</v>
      </c>
      <c r="N976" s="17">
        <f t="shared" si="117"/>
        <v>44621</v>
      </c>
      <c r="S976">
        <f t="shared" si="118"/>
        <v>0</v>
      </c>
    </row>
    <row r="977" spans="1:19" x14ac:dyDescent="0.3">
      <c r="A977" s="17">
        <v>44638</v>
      </c>
      <c r="B977">
        <v>589.21</v>
      </c>
      <c r="C977">
        <v>106.605</v>
      </c>
      <c r="D977">
        <f t="shared" si="115"/>
        <v>482.60500000000002</v>
      </c>
      <c r="E977">
        <v>4.62</v>
      </c>
      <c r="F977">
        <f t="shared" si="116"/>
        <v>-477.98500000000001</v>
      </c>
      <c r="I977">
        <f t="shared" si="112"/>
        <v>18</v>
      </c>
      <c r="J977">
        <v>1</v>
      </c>
      <c r="K977">
        <f t="shared" si="113"/>
        <v>3</v>
      </c>
      <c r="L977">
        <f t="shared" si="114"/>
        <v>2022</v>
      </c>
      <c r="N977" s="17">
        <f t="shared" si="117"/>
        <v>44621</v>
      </c>
      <c r="S977">
        <f t="shared" si="118"/>
        <v>0</v>
      </c>
    </row>
    <row r="978" spans="1:19" x14ac:dyDescent="0.3">
      <c r="A978" s="17">
        <v>44637</v>
      </c>
      <c r="B978">
        <v>575.1</v>
      </c>
      <c r="C978">
        <v>100.8</v>
      </c>
      <c r="D978">
        <f t="shared" si="115"/>
        <v>474.3</v>
      </c>
      <c r="E978">
        <v>4.09</v>
      </c>
      <c r="F978">
        <f t="shared" si="116"/>
        <v>-470.21000000000004</v>
      </c>
      <c r="I978">
        <f t="shared" si="112"/>
        <v>17</v>
      </c>
      <c r="J978">
        <v>1</v>
      </c>
      <c r="K978">
        <f t="shared" si="113"/>
        <v>3</v>
      </c>
      <c r="L978">
        <f t="shared" si="114"/>
        <v>2022</v>
      </c>
      <c r="N978" s="17">
        <f t="shared" si="117"/>
        <v>44621</v>
      </c>
      <c r="S978">
        <f t="shared" si="118"/>
        <v>0</v>
      </c>
    </row>
    <row r="979" spans="1:19" x14ac:dyDescent="0.3">
      <c r="A979" s="17">
        <v>44636</v>
      </c>
      <c r="B979">
        <v>592.09</v>
      </c>
      <c r="C979">
        <v>102.45</v>
      </c>
      <c r="D979">
        <f t="shared" si="115"/>
        <v>489.64000000000004</v>
      </c>
      <c r="E979">
        <v>3.52</v>
      </c>
      <c r="F979">
        <f t="shared" si="116"/>
        <v>-486.12000000000006</v>
      </c>
      <c r="I979">
        <f t="shared" si="112"/>
        <v>16</v>
      </c>
      <c r="J979">
        <v>1</v>
      </c>
      <c r="K979">
        <f t="shared" si="113"/>
        <v>3</v>
      </c>
      <c r="L979">
        <f t="shared" si="114"/>
        <v>2022</v>
      </c>
      <c r="N979" s="17">
        <f t="shared" si="117"/>
        <v>44621</v>
      </c>
      <c r="S979">
        <f t="shared" si="118"/>
        <v>0</v>
      </c>
    </row>
    <row r="980" spans="1:19" x14ac:dyDescent="0.3">
      <c r="A980" s="17">
        <v>44635</v>
      </c>
      <c r="B980">
        <v>568.16999999999996</v>
      </c>
      <c r="C980">
        <v>99.73</v>
      </c>
      <c r="D980">
        <f t="shared" si="115"/>
        <v>468.43999999999994</v>
      </c>
      <c r="E980">
        <v>3.97</v>
      </c>
      <c r="F980">
        <f t="shared" si="116"/>
        <v>-464.46999999999991</v>
      </c>
      <c r="I980">
        <f t="shared" si="112"/>
        <v>15</v>
      </c>
      <c r="J980">
        <v>1</v>
      </c>
      <c r="K980">
        <f t="shared" si="113"/>
        <v>3</v>
      </c>
      <c r="L980">
        <f t="shared" si="114"/>
        <v>2022</v>
      </c>
      <c r="N980" s="17">
        <f t="shared" si="117"/>
        <v>44621</v>
      </c>
      <c r="S980">
        <f t="shared" si="118"/>
        <v>0</v>
      </c>
    </row>
    <row r="981" spans="1:19" x14ac:dyDescent="0.3">
      <c r="A981" s="17">
        <v>44634</v>
      </c>
      <c r="B981">
        <v>617.62</v>
      </c>
      <c r="C981">
        <v>109.845</v>
      </c>
      <c r="D981">
        <f t="shared" si="115"/>
        <v>507.77499999999998</v>
      </c>
      <c r="E981">
        <v>4.1500000000000004</v>
      </c>
      <c r="F981">
        <f t="shared" si="116"/>
        <v>-503.625</v>
      </c>
      <c r="I981">
        <f t="shared" si="112"/>
        <v>14</v>
      </c>
      <c r="J981">
        <v>1</v>
      </c>
      <c r="K981">
        <f t="shared" si="113"/>
        <v>3</v>
      </c>
      <c r="L981">
        <f t="shared" si="114"/>
        <v>2022</v>
      </c>
      <c r="N981" s="17">
        <f t="shared" si="117"/>
        <v>44621</v>
      </c>
      <c r="S981">
        <f t="shared" si="118"/>
        <v>0</v>
      </c>
    </row>
    <row r="982" spans="1:19" x14ac:dyDescent="0.3">
      <c r="A982" s="17">
        <v>44631</v>
      </c>
      <c r="B982">
        <v>651.9</v>
      </c>
      <c r="C982">
        <v>110.505</v>
      </c>
      <c r="D982">
        <f t="shared" si="115"/>
        <v>541.39499999999998</v>
      </c>
      <c r="E982">
        <v>5.9</v>
      </c>
      <c r="F982">
        <f t="shared" si="116"/>
        <v>-535.495</v>
      </c>
      <c r="I982">
        <f t="shared" si="112"/>
        <v>11</v>
      </c>
      <c r="J982">
        <v>1</v>
      </c>
      <c r="K982">
        <f t="shared" si="113"/>
        <v>3</v>
      </c>
      <c r="L982">
        <f t="shared" si="114"/>
        <v>2022</v>
      </c>
      <c r="N982" s="17">
        <f t="shared" si="117"/>
        <v>44621</v>
      </c>
      <c r="S982">
        <f t="shared" si="118"/>
        <v>0</v>
      </c>
    </row>
    <row r="983" spans="1:19" x14ac:dyDescent="0.3">
      <c r="A983" s="17">
        <v>44630</v>
      </c>
      <c r="B983">
        <v>653.03</v>
      </c>
      <c r="C983">
        <v>115.3</v>
      </c>
      <c r="D983">
        <f t="shared" si="115"/>
        <v>537.73</v>
      </c>
      <c r="E983">
        <v>7.81</v>
      </c>
      <c r="F983">
        <f t="shared" si="116"/>
        <v>-529.92000000000007</v>
      </c>
      <c r="I983">
        <f t="shared" si="112"/>
        <v>10</v>
      </c>
      <c r="J983">
        <v>1</v>
      </c>
      <c r="K983">
        <f t="shared" si="113"/>
        <v>3</v>
      </c>
      <c r="L983">
        <f t="shared" si="114"/>
        <v>2022</v>
      </c>
      <c r="N983" s="17">
        <f t="shared" si="117"/>
        <v>44621</v>
      </c>
      <c r="S983">
        <f t="shared" si="118"/>
        <v>0</v>
      </c>
    </row>
    <row r="984" spans="1:19" x14ac:dyDescent="0.3">
      <c r="A984" s="17">
        <v>44629</v>
      </c>
      <c r="B984">
        <v>715.96</v>
      </c>
      <c r="C984">
        <v>127.81</v>
      </c>
      <c r="D984">
        <f t="shared" si="115"/>
        <v>588.15000000000009</v>
      </c>
      <c r="E984">
        <v>8.39</v>
      </c>
      <c r="F984">
        <f t="shared" si="116"/>
        <v>-579.7600000000001</v>
      </c>
      <c r="I984">
        <f t="shared" si="112"/>
        <v>9</v>
      </c>
      <c r="J984">
        <v>1</v>
      </c>
      <c r="K984">
        <f t="shared" si="113"/>
        <v>3</v>
      </c>
      <c r="L984">
        <f t="shared" si="114"/>
        <v>2022</v>
      </c>
      <c r="N984" s="17">
        <f t="shared" si="117"/>
        <v>44621</v>
      </c>
      <c r="S984">
        <f t="shared" si="118"/>
        <v>0</v>
      </c>
    </row>
    <row r="985" spans="1:19" x14ac:dyDescent="0.3">
      <c r="A985" s="17">
        <v>44628</v>
      </c>
      <c r="B985">
        <v>680.51</v>
      </c>
      <c r="C985">
        <v>122.95</v>
      </c>
      <c r="D985">
        <f t="shared" si="115"/>
        <v>557.55999999999995</v>
      </c>
      <c r="E985">
        <v>6.39</v>
      </c>
      <c r="F985">
        <f t="shared" si="116"/>
        <v>-551.16999999999996</v>
      </c>
      <c r="I985">
        <f t="shared" si="112"/>
        <v>8</v>
      </c>
      <c r="J985">
        <v>1</v>
      </c>
      <c r="K985">
        <f t="shared" si="113"/>
        <v>3</v>
      </c>
      <c r="L985">
        <f t="shared" si="114"/>
        <v>2022</v>
      </c>
      <c r="N985" s="17">
        <f t="shared" si="117"/>
        <v>44621</v>
      </c>
      <c r="S985">
        <f t="shared" si="118"/>
        <v>0</v>
      </c>
    </row>
    <row r="986" spans="1:19" x14ac:dyDescent="0.3">
      <c r="A986" s="17">
        <v>44627</v>
      </c>
      <c r="B986">
        <v>681.73</v>
      </c>
      <c r="C986">
        <v>125.15</v>
      </c>
      <c r="D986">
        <f t="shared" si="115"/>
        <v>556.58000000000004</v>
      </c>
      <c r="E986">
        <v>5.93</v>
      </c>
      <c r="F986">
        <f t="shared" si="116"/>
        <v>-550.65000000000009</v>
      </c>
      <c r="I986">
        <f t="shared" si="112"/>
        <v>7</v>
      </c>
      <c r="J986">
        <v>1</v>
      </c>
      <c r="K986">
        <f t="shared" si="113"/>
        <v>3</v>
      </c>
      <c r="L986">
        <f t="shared" si="114"/>
        <v>2022</v>
      </c>
      <c r="N986" s="17">
        <f t="shared" si="117"/>
        <v>44621</v>
      </c>
      <c r="S986">
        <f t="shared" si="118"/>
        <v>0</v>
      </c>
    </row>
    <row r="987" spans="1:19" x14ac:dyDescent="0.3">
      <c r="A987" s="17">
        <v>44624</v>
      </c>
      <c r="B987">
        <v>598.14</v>
      </c>
      <c r="C987">
        <v>108.8</v>
      </c>
      <c r="D987">
        <f t="shared" si="115"/>
        <v>489.34</v>
      </c>
      <c r="E987">
        <v>4.97</v>
      </c>
      <c r="F987">
        <f t="shared" si="116"/>
        <v>-484.36999999999995</v>
      </c>
      <c r="I987">
        <f t="shared" si="112"/>
        <v>4</v>
      </c>
      <c r="J987">
        <v>1</v>
      </c>
      <c r="K987">
        <f t="shared" si="113"/>
        <v>3</v>
      </c>
      <c r="L987">
        <f t="shared" si="114"/>
        <v>2022</v>
      </c>
      <c r="N987" s="17">
        <f t="shared" si="117"/>
        <v>44621</v>
      </c>
      <c r="S987">
        <f t="shared" si="118"/>
        <v>1</v>
      </c>
    </row>
    <row r="988" spans="1:19" x14ac:dyDescent="0.3">
      <c r="A988" s="17">
        <v>44623</v>
      </c>
      <c r="B988">
        <v>614.46</v>
      </c>
      <c r="C988">
        <v>116.59</v>
      </c>
      <c r="D988">
        <f t="shared" si="115"/>
        <v>497.87</v>
      </c>
      <c r="E988">
        <v>4.71</v>
      </c>
      <c r="F988">
        <f t="shared" si="116"/>
        <v>-493.16</v>
      </c>
      <c r="I988">
        <f t="shared" si="112"/>
        <v>3</v>
      </c>
      <c r="J988">
        <v>1</v>
      </c>
      <c r="K988">
        <f t="shared" si="113"/>
        <v>3</v>
      </c>
      <c r="L988">
        <f t="shared" si="114"/>
        <v>2022</v>
      </c>
      <c r="N988" s="17">
        <f t="shared" si="117"/>
        <v>44621</v>
      </c>
      <c r="S988">
        <f t="shared" si="118"/>
        <v>1</v>
      </c>
    </row>
    <row r="989" spans="1:19" x14ac:dyDescent="0.3">
      <c r="A989" s="17">
        <v>44622</v>
      </c>
      <c r="B989">
        <v>563.79</v>
      </c>
      <c r="C989">
        <v>110.01</v>
      </c>
      <c r="D989">
        <f t="shared" si="115"/>
        <v>453.78</v>
      </c>
      <c r="E989">
        <v>3.11</v>
      </c>
      <c r="F989">
        <f t="shared" si="116"/>
        <v>-450.66999999999996</v>
      </c>
      <c r="I989">
        <f t="shared" si="112"/>
        <v>2</v>
      </c>
      <c r="J989">
        <v>1</v>
      </c>
      <c r="K989">
        <f t="shared" si="113"/>
        <v>3</v>
      </c>
      <c r="L989">
        <f t="shared" si="114"/>
        <v>2022</v>
      </c>
      <c r="N989" s="17">
        <f t="shared" si="117"/>
        <v>44621</v>
      </c>
      <c r="S989">
        <f t="shared" si="118"/>
        <v>1</v>
      </c>
    </row>
    <row r="990" spans="1:19" x14ac:dyDescent="0.3">
      <c r="A990" s="17">
        <v>44621</v>
      </c>
      <c r="B990">
        <v>541.75</v>
      </c>
      <c r="C990">
        <v>98.66</v>
      </c>
      <c r="D990">
        <f t="shared" si="115"/>
        <v>443.09000000000003</v>
      </c>
      <c r="E990">
        <v>2.2799999999999998</v>
      </c>
      <c r="F990">
        <f t="shared" si="116"/>
        <v>-440.81000000000006</v>
      </c>
      <c r="I990">
        <f t="shared" si="112"/>
        <v>1</v>
      </c>
      <c r="J990">
        <v>1</v>
      </c>
      <c r="K990">
        <f t="shared" si="113"/>
        <v>3</v>
      </c>
      <c r="L990">
        <f t="shared" si="114"/>
        <v>2022</v>
      </c>
      <c r="N990" s="17">
        <f t="shared" si="117"/>
        <v>44621</v>
      </c>
      <c r="S990">
        <f t="shared" si="118"/>
        <v>1</v>
      </c>
    </row>
    <row r="991" spans="1:19" x14ac:dyDescent="0.3">
      <c r="A991" s="17">
        <v>44620</v>
      </c>
      <c r="B991">
        <v>532.45000000000005</v>
      </c>
      <c r="C991">
        <v>96.795000000000002</v>
      </c>
      <c r="D991">
        <f t="shared" si="115"/>
        <v>435.65500000000003</v>
      </c>
      <c r="E991">
        <v>2.2000000000000002</v>
      </c>
      <c r="F991">
        <f t="shared" si="116"/>
        <v>-433.45500000000004</v>
      </c>
      <c r="I991">
        <f t="shared" si="112"/>
        <v>28</v>
      </c>
      <c r="J991">
        <v>1</v>
      </c>
      <c r="K991">
        <f t="shared" si="113"/>
        <v>2</v>
      </c>
      <c r="L991">
        <f t="shared" si="114"/>
        <v>2022</v>
      </c>
      <c r="N991" s="17">
        <f t="shared" si="117"/>
        <v>44593</v>
      </c>
      <c r="S991">
        <f t="shared" si="118"/>
        <v>0</v>
      </c>
    </row>
    <row r="992" spans="1:19" x14ac:dyDescent="0.3">
      <c r="A992" s="17">
        <v>44617</v>
      </c>
      <c r="B992">
        <v>525.70000000000005</v>
      </c>
      <c r="C992">
        <v>95.81</v>
      </c>
      <c r="D992">
        <f t="shared" si="115"/>
        <v>429.89000000000004</v>
      </c>
      <c r="E992">
        <v>2.0099999999999998</v>
      </c>
      <c r="F992">
        <f t="shared" si="116"/>
        <v>-427.88000000000005</v>
      </c>
      <c r="I992">
        <f t="shared" si="112"/>
        <v>25</v>
      </c>
      <c r="J992">
        <v>1</v>
      </c>
      <c r="K992">
        <f t="shared" si="113"/>
        <v>2</v>
      </c>
      <c r="L992">
        <f t="shared" si="114"/>
        <v>2022</v>
      </c>
      <c r="N992" s="17">
        <f t="shared" si="117"/>
        <v>44593</v>
      </c>
      <c r="S992">
        <f t="shared" si="118"/>
        <v>0</v>
      </c>
    </row>
    <row r="993" spans="1:19" x14ac:dyDescent="0.3">
      <c r="A993" s="17">
        <v>44616</v>
      </c>
      <c r="B993">
        <v>550.98</v>
      </c>
      <c r="C993">
        <v>98.6</v>
      </c>
      <c r="D993">
        <f t="shared" si="115"/>
        <v>452.38</v>
      </c>
      <c r="E993">
        <v>1.92</v>
      </c>
      <c r="F993">
        <f t="shared" si="116"/>
        <v>-450.46</v>
      </c>
      <c r="I993">
        <f t="shared" si="112"/>
        <v>24</v>
      </c>
      <c r="J993">
        <v>1</v>
      </c>
      <c r="K993">
        <f t="shared" si="113"/>
        <v>2</v>
      </c>
      <c r="L993">
        <f t="shared" si="114"/>
        <v>2022</v>
      </c>
      <c r="N993" s="17">
        <f t="shared" si="117"/>
        <v>44593</v>
      </c>
      <c r="S993">
        <f t="shared" si="118"/>
        <v>0</v>
      </c>
    </row>
    <row r="994" spans="1:19" x14ac:dyDescent="0.3">
      <c r="A994" s="17">
        <v>44615</v>
      </c>
      <c r="B994">
        <v>519.72</v>
      </c>
      <c r="C994">
        <v>93.605000000000004</v>
      </c>
      <c r="D994">
        <f t="shared" si="115"/>
        <v>426.11500000000001</v>
      </c>
      <c r="E994">
        <v>1.84</v>
      </c>
      <c r="F994">
        <f t="shared" si="116"/>
        <v>-424.27500000000003</v>
      </c>
      <c r="I994">
        <f t="shared" si="112"/>
        <v>23</v>
      </c>
      <c r="J994">
        <v>1</v>
      </c>
      <c r="K994">
        <f t="shared" si="113"/>
        <v>2</v>
      </c>
      <c r="L994">
        <f t="shared" si="114"/>
        <v>2022</v>
      </c>
      <c r="N994" s="17">
        <f t="shared" si="117"/>
        <v>44593</v>
      </c>
      <c r="S994">
        <f t="shared" si="118"/>
        <v>0</v>
      </c>
    </row>
    <row r="995" spans="1:19" x14ac:dyDescent="0.3">
      <c r="A995" s="17">
        <v>44614</v>
      </c>
      <c r="B995">
        <v>538.32000000000005</v>
      </c>
      <c r="C995">
        <v>95.96</v>
      </c>
      <c r="D995">
        <f t="shared" si="115"/>
        <v>442.36000000000007</v>
      </c>
      <c r="E995">
        <v>1.99</v>
      </c>
      <c r="F995">
        <f t="shared" si="116"/>
        <v>-440.37000000000006</v>
      </c>
      <c r="I995">
        <f t="shared" si="112"/>
        <v>22</v>
      </c>
      <c r="J995">
        <v>1</v>
      </c>
      <c r="K995">
        <f t="shared" si="113"/>
        <v>2</v>
      </c>
      <c r="L995">
        <f t="shared" si="114"/>
        <v>2022</v>
      </c>
      <c r="N995" s="17">
        <f t="shared" si="117"/>
        <v>44593</v>
      </c>
      <c r="S995">
        <f t="shared" si="118"/>
        <v>0</v>
      </c>
    </row>
    <row r="996" spans="1:19" x14ac:dyDescent="0.3">
      <c r="A996" s="17">
        <v>44613</v>
      </c>
      <c r="B996">
        <v>506.67</v>
      </c>
      <c r="C996">
        <v>91.69</v>
      </c>
      <c r="D996">
        <f t="shared" si="115"/>
        <v>414.98</v>
      </c>
      <c r="E996">
        <v>2.04</v>
      </c>
      <c r="F996">
        <f t="shared" si="116"/>
        <v>-412.94</v>
      </c>
      <c r="I996">
        <f t="shared" si="112"/>
        <v>21</v>
      </c>
      <c r="J996">
        <v>1</v>
      </c>
      <c r="K996">
        <f t="shared" si="113"/>
        <v>2</v>
      </c>
      <c r="L996">
        <f t="shared" si="114"/>
        <v>2022</v>
      </c>
      <c r="N996" s="17">
        <f t="shared" si="117"/>
        <v>44593</v>
      </c>
      <c r="S996">
        <f t="shared" si="118"/>
        <v>0</v>
      </c>
    </row>
    <row r="997" spans="1:19" x14ac:dyDescent="0.3">
      <c r="A997" s="17">
        <v>44610</v>
      </c>
      <c r="B997">
        <v>500.72</v>
      </c>
      <c r="C997">
        <v>90.29</v>
      </c>
      <c r="D997">
        <f t="shared" si="115"/>
        <v>410.43</v>
      </c>
      <c r="E997">
        <v>2.16</v>
      </c>
      <c r="F997">
        <f t="shared" si="116"/>
        <v>-408.27</v>
      </c>
      <c r="I997">
        <f t="shared" si="112"/>
        <v>18</v>
      </c>
      <c r="J997">
        <v>1</v>
      </c>
      <c r="K997">
        <f t="shared" si="113"/>
        <v>2</v>
      </c>
      <c r="L997">
        <f t="shared" si="114"/>
        <v>2022</v>
      </c>
      <c r="N997" s="17">
        <f t="shared" si="117"/>
        <v>44593</v>
      </c>
      <c r="S997">
        <f t="shared" si="118"/>
        <v>0</v>
      </c>
    </row>
    <row r="998" spans="1:19" x14ac:dyDescent="0.3">
      <c r="A998" s="17">
        <v>44609</v>
      </c>
      <c r="B998">
        <v>511.76</v>
      </c>
      <c r="C998">
        <v>91.87</v>
      </c>
      <c r="D998">
        <f t="shared" si="115"/>
        <v>419.89</v>
      </c>
      <c r="E998">
        <v>2.19</v>
      </c>
      <c r="F998">
        <f t="shared" si="116"/>
        <v>-417.7</v>
      </c>
      <c r="I998">
        <f t="shared" si="112"/>
        <v>17</v>
      </c>
      <c r="J998">
        <v>1</v>
      </c>
      <c r="K998">
        <f t="shared" si="113"/>
        <v>2</v>
      </c>
      <c r="L998">
        <f t="shared" si="114"/>
        <v>2022</v>
      </c>
      <c r="N998" s="17">
        <f t="shared" si="117"/>
        <v>44593</v>
      </c>
      <c r="S998">
        <f t="shared" si="118"/>
        <v>0</v>
      </c>
    </row>
    <row r="999" spans="1:19" x14ac:dyDescent="0.3">
      <c r="A999" s="17">
        <v>44608</v>
      </c>
      <c r="B999">
        <v>514.41</v>
      </c>
      <c r="C999">
        <v>92.56</v>
      </c>
      <c r="D999">
        <f t="shared" si="115"/>
        <v>421.84999999999997</v>
      </c>
      <c r="E999">
        <v>2.31</v>
      </c>
      <c r="F999">
        <f t="shared" si="116"/>
        <v>-419.53999999999996</v>
      </c>
      <c r="I999">
        <f t="shared" si="112"/>
        <v>16</v>
      </c>
      <c r="J999">
        <v>1</v>
      </c>
      <c r="K999">
        <f t="shared" si="113"/>
        <v>2</v>
      </c>
      <c r="L999">
        <f t="shared" si="114"/>
        <v>2022</v>
      </c>
      <c r="N999" s="17">
        <f t="shared" si="117"/>
        <v>44593</v>
      </c>
      <c r="S999">
        <f t="shared" si="118"/>
        <v>0</v>
      </c>
    </row>
    <row r="1000" spans="1:19" x14ac:dyDescent="0.3">
      <c r="A1000" s="17">
        <v>44607</v>
      </c>
      <c r="B1000">
        <v>522.78</v>
      </c>
      <c r="C1000">
        <v>93.03</v>
      </c>
      <c r="D1000">
        <f t="shared" si="115"/>
        <v>429.75</v>
      </c>
      <c r="E1000">
        <v>2.25</v>
      </c>
      <c r="F1000">
        <f t="shared" si="116"/>
        <v>-427.5</v>
      </c>
      <c r="I1000">
        <f t="shared" si="112"/>
        <v>15</v>
      </c>
      <c r="J1000">
        <v>1</v>
      </c>
      <c r="K1000">
        <f t="shared" si="113"/>
        <v>2</v>
      </c>
      <c r="L1000">
        <f t="shared" si="114"/>
        <v>2022</v>
      </c>
      <c r="N1000" s="17">
        <f t="shared" si="117"/>
        <v>44593</v>
      </c>
      <c r="S1000">
        <f t="shared" si="118"/>
        <v>0</v>
      </c>
    </row>
    <row r="1001" spans="1:19" x14ac:dyDescent="0.3">
      <c r="A1001" s="17">
        <v>44606</v>
      </c>
      <c r="B1001">
        <v>522.38</v>
      </c>
      <c r="C1001">
        <v>92.75</v>
      </c>
      <c r="D1001">
        <f t="shared" si="115"/>
        <v>429.63</v>
      </c>
      <c r="E1001">
        <v>2.2999999999999998</v>
      </c>
      <c r="F1001">
        <f t="shared" si="116"/>
        <v>-427.33</v>
      </c>
      <c r="I1001">
        <f t="shared" si="112"/>
        <v>14</v>
      </c>
      <c r="J1001">
        <v>1</v>
      </c>
      <c r="K1001">
        <f t="shared" si="113"/>
        <v>2</v>
      </c>
      <c r="L1001">
        <f t="shared" si="114"/>
        <v>2022</v>
      </c>
      <c r="N1001" s="17">
        <f t="shared" si="117"/>
        <v>44593</v>
      </c>
      <c r="S1001">
        <f t="shared" si="118"/>
        <v>0</v>
      </c>
    </row>
    <row r="1002" spans="1:19" x14ac:dyDescent="0.3">
      <c r="A1002" s="17">
        <v>44603</v>
      </c>
      <c r="B1002">
        <v>499.85</v>
      </c>
      <c r="C1002">
        <v>90.204999999999998</v>
      </c>
      <c r="D1002">
        <f t="shared" si="115"/>
        <v>409.64500000000004</v>
      </c>
      <c r="E1002">
        <v>2.04</v>
      </c>
      <c r="F1002">
        <f t="shared" si="116"/>
        <v>-407.60500000000002</v>
      </c>
      <c r="I1002">
        <f t="shared" si="112"/>
        <v>11</v>
      </c>
      <c r="J1002">
        <v>1</v>
      </c>
      <c r="K1002">
        <f t="shared" si="113"/>
        <v>2</v>
      </c>
      <c r="L1002">
        <f t="shared" si="114"/>
        <v>2022</v>
      </c>
      <c r="N1002" s="17">
        <f t="shared" si="117"/>
        <v>44593</v>
      </c>
      <c r="S1002">
        <f t="shared" si="118"/>
        <v>0</v>
      </c>
    </row>
    <row r="1003" spans="1:19" x14ac:dyDescent="0.3">
      <c r="A1003" s="17">
        <v>44602</v>
      </c>
      <c r="B1003">
        <v>500.99</v>
      </c>
      <c r="C1003">
        <v>90.555000000000007</v>
      </c>
      <c r="D1003">
        <f t="shared" si="115"/>
        <v>410.435</v>
      </c>
      <c r="E1003">
        <v>1.97</v>
      </c>
      <c r="F1003">
        <f t="shared" si="116"/>
        <v>-408.46499999999997</v>
      </c>
      <c r="I1003">
        <f t="shared" si="112"/>
        <v>10</v>
      </c>
      <c r="J1003">
        <v>1</v>
      </c>
      <c r="K1003">
        <f t="shared" si="113"/>
        <v>2</v>
      </c>
      <c r="L1003">
        <f t="shared" si="114"/>
        <v>2022</v>
      </c>
      <c r="N1003" s="17">
        <f t="shared" si="117"/>
        <v>44593</v>
      </c>
      <c r="S1003">
        <f t="shared" si="118"/>
        <v>0</v>
      </c>
    </row>
    <row r="1004" spans="1:19" x14ac:dyDescent="0.3">
      <c r="A1004" s="17">
        <v>44601</v>
      </c>
      <c r="B1004">
        <v>495.12</v>
      </c>
      <c r="C1004">
        <v>89.36</v>
      </c>
      <c r="D1004">
        <f t="shared" si="115"/>
        <v>405.76</v>
      </c>
      <c r="E1004">
        <v>1.98</v>
      </c>
      <c r="F1004">
        <f t="shared" si="116"/>
        <v>-403.78</v>
      </c>
      <c r="I1004">
        <f t="shared" si="112"/>
        <v>9</v>
      </c>
      <c r="J1004">
        <v>1</v>
      </c>
      <c r="K1004">
        <f t="shared" si="113"/>
        <v>2</v>
      </c>
      <c r="L1004">
        <f t="shared" si="114"/>
        <v>2022</v>
      </c>
      <c r="N1004" s="17">
        <f t="shared" si="117"/>
        <v>44593</v>
      </c>
      <c r="S1004">
        <f t="shared" si="118"/>
        <v>0</v>
      </c>
    </row>
    <row r="1005" spans="1:19" x14ac:dyDescent="0.3">
      <c r="A1005" s="17">
        <v>44600</v>
      </c>
      <c r="B1005">
        <v>504.61</v>
      </c>
      <c r="C1005">
        <v>90.405000000000001</v>
      </c>
      <c r="D1005">
        <f t="shared" si="115"/>
        <v>414.20500000000004</v>
      </c>
      <c r="E1005">
        <v>2.0699999999999998</v>
      </c>
      <c r="F1005">
        <f t="shared" si="116"/>
        <v>-412.13500000000005</v>
      </c>
      <c r="I1005">
        <f t="shared" si="112"/>
        <v>8</v>
      </c>
      <c r="J1005">
        <v>1</v>
      </c>
      <c r="K1005">
        <f t="shared" si="113"/>
        <v>2</v>
      </c>
      <c r="L1005">
        <f t="shared" si="114"/>
        <v>2022</v>
      </c>
      <c r="N1005" s="17">
        <f t="shared" si="117"/>
        <v>44593</v>
      </c>
      <c r="S1005">
        <f t="shared" si="118"/>
        <v>0</v>
      </c>
    </row>
    <row r="1006" spans="1:19" x14ac:dyDescent="0.3">
      <c r="A1006" s="17">
        <v>44599</v>
      </c>
      <c r="B1006">
        <v>510.55</v>
      </c>
      <c r="C1006">
        <v>90.94</v>
      </c>
      <c r="D1006">
        <f t="shared" si="115"/>
        <v>419.61</v>
      </c>
      <c r="E1006">
        <v>1.92</v>
      </c>
      <c r="F1006">
        <f t="shared" si="116"/>
        <v>-417.69</v>
      </c>
      <c r="I1006">
        <f t="shared" si="112"/>
        <v>7</v>
      </c>
      <c r="J1006">
        <v>1</v>
      </c>
      <c r="K1006">
        <f t="shared" si="113"/>
        <v>2</v>
      </c>
      <c r="L1006">
        <f t="shared" si="114"/>
        <v>2022</v>
      </c>
      <c r="N1006" s="17">
        <f t="shared" si="117"/>
        <v>44593</v>
      </c>
      <c r="S1006">
        <f t="shared" si="118"/>
        <v>0</v>
      </c>
    </row>
    <row r="1007" spans="1:19" x14ac:dyDescent="0.3">
      <c r="A1007" s="17">
        <v>44596</v>
      </c>
      <c r="B1007">
        <v>508.23</v>
      </c>
      <c r="C1007">
        <v>90.25</v>
      </c>
      <c r="D1007">
        <f t="shared" si="115"/>
        <v>417.98</v>
      </c>
      <c r="E1007">
        <v>1.65</v>
      </c>
      <c r="F1007">
        <f t="shared" si="116"/>
        <v>-416.33000000000004</v>
      </c>
      <c r="I1007">
        <f t="shared" si="112"/>
        <v>4</v>
      </c>
      <c r="J1007">
        <v>1</v>
      </c>
      <c r="K1007">
        <f t="shared" si="113"/>
        <v>2</v>
      </c>
      <c r="L1007">
        <f t="shared" si="114"/>
        <v>2022</v>
      </c>
      <c r="N1007" s="17">
        <f t="shared" si="117"/>
        <v>44593</v>
      </c>
      <c r="S1007">
        <f t="shared" si="118"/>
        <v>1</v>
      </c>
    </row>
    <row r="1008" spans="1:19" x14ac:dyDescent="0.3">
      <c r="A1008" s="17">
        <v>44595</v>
      </c>
      <c r="B1008">
        <v>498.75</v>
      </c>
      <c r="C1008">
        <v>87.444999999999993</v>
      </c>
      <c r="D1008">
        <f t="shared" si="115"/>
        <v>411.30500000000001</v>
      </c>
      <c r="E1008">
        <v>1.6</v>
      </c>
      <c r="F1008">
        <f t="shared" si="116"/>
        <v>-409.70499999999998</v>
      </c>
      <c r="I1008">
        <f t="shared" si="112"/>
        <v>3</v>
      </c>
      <c r="J1008">
        <v>1</v>
      </c>
      <c r="K1008">
        <f t="shared" si="113"/>
        <v>2</v>
      </c>
      <c r="L1008">
        <f t="shared" si="114"/>
        <v>2022</v>
      </c>
      <c r="N1008" s="17">
        <f t="shared" si="117"/>
        <v>44593</v>
      </c>
      <c r="S1008">
        <f t="shared" si="118"/>
        <v>1</v>
      </c>
    </row>
    <row r="1009" spans="1:19" x14ac:dyDescent="0.3">
      <c r="A1009" s="17">
        <v>44592</v>
      </c>
      <c r="B1009">
        <v>501.1</v>
      </c>
      <c r="C1009">
        <v>88.37</v>
      </c>
      <c r="D1009">
        <f t="shared" si="115"/>
        <v>412.73</v>
      </c>
      <c r="E1009">
        <v>1.52</v>
      </c>
      <c r="F1009">
        <f t="shared" si="116"/>
        <v>-411.21000000000004</v>
      </c>
      <c r="I1009">
        <f t="shared" si="112"/>
        <v>31</v>
      </c>
      <c r="J1009">
        <v>1</v>
      </c>
      <c r="K1009">
        <f t="shared" si="113"/>
        <v>1</v>
      </c>
      <c r="L1009">
        <f t="shared" si="114"/>
        <v>2022</v>
      </c>
      <c r="N1009" s="17">
        <f t="shared" si="117"/>
        <v>44562</v>
      </c>
      <c r="S1009">
        <f t="shared" si="118"/>
        <v>0</v>
      </c>
    </row>
    <row r="1010" spans="1:19" x14ac:dyDescent="0.3">
      <c r="A1010" s="17">
        <v>44589</v>
      </c>
      <c r="B1010">
        <v>499.8</v>
      </c>
      <c r="C1010">
        <v>87.56</v>
      </c>
      <c r="D1010">
        <f t="shared" si="115"/>
        <v>412.24</v>
      </c>
      <c r="E1010">
        <v>1.52</v>
      </c>
      <c r="F1010">
        <f t="shared" si="116"/>
        <v>-410.72</v>
      </c>
      <c r="I1010">
        <f t="shared" si="112"/>
        <v>28</v>
      </c>
      <c r="J1010">
        <v>1</v>
      </c>
      <c r="K1010">
        <f t="shared" si="113"/>
        <v>1</v>
      </c>
      <c r="L1010">
        <f t="shared" si="114"/>
        <v>2022</v>
      </c>
      <c r="N1010" s="17">
        <f t="shared" si="117"/>
        <v>44562</v>
      </c>
      <c r="S1010">
        <f t="shared" si="118"/>
        <v>0</v>
      </c>
    </row>
    <row r="1011" spans="1:19" x14ac:dyDescent="0.3">
      <c r="A1011" s="17">
        <v>44588</v>
      </c>
      <c r="B1011">
        <v>505.48</v>
      </c>
      <c r="C1011">
        <v>87.77</v>
      </c>
      <c r="D1011">
        <f t="shared" si="115"/>
        <v>417.71000000000004</v>
      </c>
      <c r="E1011">
        <v>1.38</v>
      </c>
      <c r="F1011">
        <f t="shared" si="116"/>
        <v>-416.33000000000004</v>
      </c>
      <c r="I1011">
        <f t="shared" si="112"/>
        <v>27</v>
      </c>
      <c r="J1011">
        <v>1</v>
      </c>
      <c r="K1011">
        <f t="shared" si="113"/>
        <v>1</v>
      </c>
      <c r="L1011">
        <f t="shared" si="114"/>
        <v>2022</v>
      </c>
      <c r="N1011" s="17">
        <f t="shared" si="117"/>
        <v>44562</v>
      </c>
      <c r="S1011">
        <f t="shared" si="118"/>
        <v>0</v>
      </c>
    </row>
    <row r="1012" spans="1:19" x14ac:dyDescent="0.3">
      <c r="A1012" s="17">
        <v>44587</v>
      </c>
      <c r="B1012">
        <v>500.73</v>
      </c>
      <c r="C1012">
        <v>86.74</v>
      </c>
      <c r="D1012">
        <f t="shared" si="115"/>
        <v>413.99</v>
      </c>
      <c r="E1012">
        <v>1.34</v>
      </c>
      <c r="F1012">
        <f t="shared" si="116"/>
        <v>-412.65000000000003</v>
      </c>
      <c r="I1012">
        <f t="shared" si="112"/>
        <v>26</v>
      </c>
      <c r="J1012">
        <v>1</v>
      </c>
      <c r="K1012">
        <f t="shared" si="113"/>
        <v>1</v>
      </c>
      <c r="L1012">
        <f t="shared" si="114"/>
        <v>2022</v>
      </c>
      <c r="N1012" s="17">
        <f t="shared" si="117"/>
        <v>44562</v>
      </c>
      <c r="S1012">
        <f t="shared" si="118"/>
        <v>0</v>
      </c>
    </row>
    <row r="1013" spans="1:19" x14ac:dyDescent="0.3">
      <c r="A1013" s="17">
        <v>44586</v>
      </c>
      <c r="B1013">
        <v>486</v>
      </c>
      <c r="C1013">
        <v>84.85</v>
      </c>
      <c r="D1013">
        <f t="shared" si="115"/>
        <v>401.15</v>
      </c>
      <c r="E1013">
        <v>1.31</v>
      </c>
      <c r="F1013">
        <f t="shared" si="116"/>
        <v>-399.84</v>
      </c>
      <c r="I1013">
        <f t="shared" si="112"/>
        <v>25</v>
      </c>
      <c r="J1013">
        <v>1</v>
      </c>
      <c r="K1013">
        <f t="shared" si="113"/>
        <v>1</v>
      </c>
      <c r="L1013">
        <f t="shared" si="114"/>
        <v>2022</v>
      </c>
      <c r="N1013" s="17">
        <f t="shared" si="117"/>
        <v>44562</v>
      </c>
      <c r="S1013">
        <f t="shared" si="118"/>
        <v>0</v>
      </c>
    </row>
    <row r="1014" spans="1:19" x14ac:dyDescent="0.3">
      <c r="A1014" s="17">
        <v>44585</v>
      </c>
      <c r="B1014">
        <v>494.14</v>
      </c>
      <c r="C1014">
        <v>86.74</v>
      </c>
      <c r="D1014">
        <f t="shared" si="115"/>
        <v>407.4</v>
      </c>
      <c r="E1014">
        <v>1.28</v>
      </c>
      <c r="F1014">
        <f t="shared" si="116"/>
        <v>-406.12</v>
      </c>
      <c r="I1014">
        <f t="shared" si="112"/>
        <v>24</v>
      </c>
      <c r="J1014">
        <v>1</v>
      </c>
      <c r="K1014">
        <f t="shared" si="113"/>
        <v>1</v>
      </c>
      <c r="L1014">
        <f t="shared" si="114"/>
        <v>2022</v>
      </c>
      <c r="N1014" s="17">
        <f t="shared" si="117"/>
        <v>44562</v>
      </c>
      <c r="S1014">
        <f t="shared" si="118"/>
        <v>0</v>
      </c>
    </row>
    <row r="1015" spans="1:19" x14ac:dyDescent="0.3">
      <c r="A1015" s="17">
        <v>44582</v>
      </c>
      <c r="B1015">
        <v>488.49</v>
      </c>
      <c r="C1015">
        <v>85.1</v>
      </c>
      <c r="D1015">
        <f t="shared" si="115"/>
        <v>403.39</v>
      </c>
      <c r="E1015">
        <v>1.19</v>
      </c>
      <c r="F1015">
        <f t="shared" si="116"/>
        <v>-402.2</v>
      </c>
      <c r="I1015">
        <f t="shared" si="112"/>
        <v>21</v>
      </c>
      <c r="J1015">
        <v>1</v>
      </c>
      <c r="K1015">
        <f t="shared" si="113"/>
        <v>1</v>
      </c>
      <c r="L1015">
        <f t="shared" si="114"/>
        <v>2022</v>
      </c>
      <c r="N1015" s="17">
        <f t="shared" si="117"/>
        <v>44562</v>
      </c>
      <c r="S1015">
        <f t="shared" si="118"/>
        <v>0</v>
      </c>
    </row>
    <row r="1016" spans="1:19" x14ac:dyDescent="0.3">
      <c r="A1016" s="17">
        <v>44581</v>
      </c>
      <c r="B1016">
        <v>492.69</v>
      </c>
      <c r="C1016">
        <v>86.295000000000002</v>
      </c>
      <c r="D1016">
        <f t="shared" si="115"/>
        <v>406.39499999999998</v>
      </c>
      <c r="E1016">
        <v>1.1299999999999999</v>
      </c>
      <c r="F1016">
        <f t="shared" si="116"/>
        <v>-405.26499999999999</v>
      </c>
      <c r="I1016">
        <f t="shared" si="112"/>
        <v>20</v>
      </c>
      <c r="J1016">
        <v>1</v>
      </c>
      <c r="K1016">
        <f t="shared" si="113"/>
        <v>1</v>
      </c>
      <c r="L1016">
        <f t="shared" si="114"/>
        <v>2022</v>
      </c>
      <c r="N1016" s="17">
        <f t="shared" si="117"/>
        <v>44562</v>
      </c>
      <c r="S1016">
        <f t="shared" si="118"/>
        <v>0</v>
      </c>
    </row>
    <row r="1017" spans="1:19" x14ac:dyDescent="0.3">
      <c r="A1017" s="17">
        <v>44580</v>
      </c>
      <c r="B1017">
        <v>486.65</v>
      </c>
      <c r="C1017">
        <v>86.34</v>
      </c>
      <c r="D1017">
        <f t="shared" si="115"/>
        <v>400.30999999999995</v>
      </c>
      <c r="E1017">
        <v>1.17</v>
      </c>
      <c r="F1017">
        <f t="shared" si="116"/>
        <v>-399.13999999999993</v>
      </c>
      <c r="I1017">
        <f t="shared" si="112"/>
        <v>19</v>
      </c>
      <c r="J1017">
        <v>1</v>
      </c>
      <c r="K1017">
        <f t="shared" si="113"/>
        <v>1</v>
      </c>
      <c r="L1017">
        <f t="shared" si="114"/>
        <v>2022</v>
      </c>
      <c r="N1017" s="17">
        <f t="shared" si="117"/>
        <v>44562</v>
      </c>
      <c r="S1017">
        <f t="shared" si="118"/>
        <v>0</v>
      </c>
    </row>
    <row r="1018" spans="1:19" x14ac:dyDescent="0.3">
      <c r="A1018" s="17">
        <v>44579</v>
      </c>
      <c r="B1018">
        <v>481.26</v>
      </c>
      <c r="C1018">
        <v>86.55</v>
      </c>
      <c r="D1018">
        <f t="shared" si="115"/>
        <v>394.71</v>
      </c>
      <c r="E1018">
        <v>1.24</v>
      </c>
      <c r="F1018">
        <f t="shared" si="116"/>
        <v>-393.46999999999997</v>
      </c>
      <c r="I1018">
        <f t="shared" si="112"/>
        <v>18</v>
      </c>
      <c r="J1018">
        <v>1</v>
      </c>
      <c r="K1018">
        <f t="shared" si="113"/>
        <v>1</v>
      </c>
      <c r="L1018">
        <f t="shared" si="114"/>
        <v>2022</v>
      </c>
      <c r="N1018" s="17">
        <f t="shared" si="117"/>
        <v>44562</v>
      </c>
      <c r="S1018">
        <f t="shared" si="118"/>
        <v>0</v>
      </c>
    </row>
    <row r="1019" spans="1:19" x14ac:dyDescent="0.3">
      <c r="A1019" s="17">
        <v>44578</v>
      </c>
      <c r="B1019">
        <v>468.05</v>
      </c>
      <c r="C1019">
        <v>84.9</v>
      </c>
      <c r="D1019">
        <f t="shared" si="115"/>
        <v>383.15</v>
      </c>
      <c r="E1019">
        <v>1.23</v>
      </c>
      <c r="F1019">
        <f t="shared" si="116"/>
        <v>-381.91999999999996</v>
      </c>
      <c r="I1019">
        <f t="shared" si="112"/>
        <v>17</v>
      </c>
      <c r="J1019">
        <v>1</v>
      </c>
      <c r="K1019">
        <f t="shared" si="113"/>
        <v>1</v>
      </c>
      <c r="L1019">
        <f t="shared" si="114"/>
        <v>2022</v>
      </c>
      <c r="N1019" s="17">
        <f t="shared" si="117"/>
        <v>44562</v>
      </c>
      <c r="S1019">
        <f t="shared" si="118"/>
        <v>0</v>
      </c>
    </row>
    <row r="1020" spans="1:19" x14ac:dyDescent="0.3">
      <c r="A1020" s="17">
        <v>44575</v>
      </c>
      <c r="B1020">
        <v>463.62</v>
      </c>
      <c r="C1020">
        <v>83.74</v>
      </c>
      <c r="D1020">
        <f t="shared" si="115"/>
        <v>379.88</v>
      </c>
      <c r="E1020">
        <v>1.1499999999999999</v>
      </c>
      <c r="F1020">
        <f t="shared" si="116"/>
        <v>-378.73</v>
      </c>
      <c r="I1020">
        <f t="shared" si="112"/>
        <v>14</v>
      </c>
      <c r="J1020">
        <v>1</v>
      </c>
      <c r="K1020">
        <f t="shared" si="113"/>
        <v>1</v>
      </c>
      <c r="L1020">
        <f t="shared" si="114"/>
        <v>2022</v>
      </c>
      <c r="N1020" s="17">
        <f t="shared" si="117"/>
        <v>44562</v>
      </c>
      <c r="S1020">
        <f t="shared" si="118"/>
        <v>0</v>
      </c>
    </row>
    <row r="1021" spans="1:19" x14ac:dyDescent="0.3">
      <c r="A1021" s="17">
        <v>44574</v>
      </c>
      <c r="B1021">
        <v>463.1</v>
      </c>
      <c r="C1021">
        <v>82.944999999999993</v>
      </c>
      <c r="D1021">
        <f t="shared" si="115"/>
        <v>380.15500000000003</v>
      </c>
      <c r="E1021">
        <v>1.03</v>
      </c>
      <c r="F1021">
        <f t="shared" si="116"/>
        <v>-379.12500000000006</v>
      </c>
      <c r="I1021">
        <f t="shared" si="112"/>
        <v>13</v>
      </c>
      <c r="J1021">
        <v>1</v>
      </c>
      <c r="K1021">
        <f t="shared" si="113"/>
        <v>1</v>
      </c>
      <c r="L1021">
        <f t="shared" si="114"/>
        <v>2022</v>
      </c>
      <c r="N1021" s="17">
        <f t="shared" si="117"/>
        <v>44562</v>
      </c>
      <c r="S1021">
        <f t="shared" si="118"/>
        <v>0</v>
      </c>
    </row>
    <row r="1022" spans="1:19" x14ac:dyDescent="0.3">
      <c r="A1022" s="17">
        <v>44573</v>
      </c>
      <c r="B1022">
        <v>459.03</v>
      </c>
      <c r="C1022">
        <v>82.21</v>
      </c>
      <c r="D1022">
        <f t="shared" si="115"/>
        <v>376.82</v>
      </c>
      <c r="E1022">
        <v>0.96</v>
      </c>
      <c r="F1022">
        <f t="shared" si="116"/>
        <v>-375.86</v>
      </c>
      <c r="I1022">
        <f t="shared" si="112"/>
        <v>12</v>
      </c>
      <c r="J1022">
        <v>1</v>
      </c>
      <c r="K1022">
        <f t="shared" si="113"/>
        <v>1</v>
      </c>
      <c r="L1022">
        <f t="shared" si="114"/>
        <v>2022</v>
      </c>
      <c r="N1022" s="17">
        <f t="shared" si="117"/>
        <v>44562</v>
      </c>
      <c r="S1022">
        <f t="shared" si="118"/>
        <v>0</v>
      </c>
    </row>
    <row r="1023" spans="1:19" x14ac:dyDescent="0.3">
      <c r="A1023" s="17">
        <v>44572</v>
      </c>
      <c r="B1023">
        <v>446.39</v>
      </c>
      <c r="C1023">
        <v>79.98</v>
      </c>
      <c r="D1023">
        <f t="shared" si="115"/>
        <v>366.40999999999997</v>
      </c>
      <c r="E1023">
        <v>0.79</v>
      </c>
      <c r="F1023">
        <f t="shared" si="116"/>
        <v>-365.61999999999995</v>
      </c>
      <c r="I1023">
        <f t="shared" si="112"/>
        <v>11</v>
      </c>
      <c r="J1023">
        <v>1</v>
      </c>
      <c r="K1023">
        <f t="shared" si="113"/>
        <v>1</v>
      </c>
      <c r="L1023">
        <f t="shared" si="114"/>
        <v>2022</v>
      </c>
      <c r="N1023" s="17">
        <f t="shared" si="117"/>
        <v>44562</v>
      </c>
      <c r="S1023">
        <f t="shared" si="118"/>
        <v>0</v>
      </c>
    </row>
    <row r="1024" spans="1:19" x14ac:dyDescent="0.3">
      <c r="A1024" s="17">
        <v>44571</v>
      </c>
      <c r="B1024">
        <v>448.57</v>
      </c>
      <c r="C1024">
        <v>80.34</v>
      </c>
      <c r="D1024">
        <f t="shared" si="115"/>
        <v>368.23</v>
      </c>
      <c r="E1024">
        <v>0.76</v>
      </c>
      <c r="F1024">
        <f t="shared" si="116"/>
        <v>-367.47</v>
      </c>
      <c r="I1024">
        <f t="shared" si="112"/>
        <v>10</v>
      </c>
      <c r="J1024">
        <v>1</v>
      </c>
      <c r="K1024">
        <f t="shared" si="113"/>
        <v>1</v>
      </c>
      <c r="L1024">
        <f t="shared" si="114"/>
        <v>2022</v>
      </c>
      <c r="N1024" s="17">
        <f t="shared" si="117"/>
        <v>44562</v>
      </c>
      <c r="S1024">
        <f t="shared" si="118"/>
        <v>0</v>
      </c>
    </row>
    <row r="1025" spans="1:19" x14ac:dyDescent="0.3">
      <c r="A1025" s="17">
        <v>44568</v>
      </c>
      <c r="B1025">
        <v>450.78</v>
      </c>
      <c r="C1025">
        <v>80.584999999999994</v>
      </c>
      <c r="D1025">
        <f t="shared" si="115"/>
        <v>370.19499999999999</v>
      </c>
      <c r="E1025">
        <v>0.72</v>
      </c>
      <c r="F1025">
        <f t="shared" si="116"/>
        <v>-369.47499999999997</v>
      </c>
      <c r="I1025">
        <f t="shared" si="112"/>
        <v>7</v>
      </c>
      <c r="J1025">
        <v>1</v>
      </c>
      <c r="K1025">
        <f t="shared" si="113"/>
        <v>1</v>
      </c>
      <c r="L1025">
        <f t="shared" si="114"/>
        <v>2022</v>
      </c>
      <c r="N1025" s="17">
        <f t="shared" si="117"/>
        <v>44562</v>
      </c>
      <c r="S1025">
        <f t="shared" si="118"/>
        <v>0</v>
      </c>
    </row>
    <row r="1026" spans="1:19" x14ac:dyDescent="0.3">
      <c r="A1026" s="17">
        <v>44567</v>
      </c>
      <c r="B1026">
        <v>438.37</v>
      </c>
      <c r="C1026">
        <v>78.81</v>
      </c>
      <c r="D1026">
        <f t="shared" si="115"/>
        <v>359.56</v>
      </c>
      <c r="E1026">
        <v>0.88</v>
      </c>
      <c r="F1026">
        <f t="shared" si="116"/>
        <v>-358.68</v>
      </c>
      <c r="I1026">
        <f t="shared" si="112"/>
        <v>6</v>
      </c>
      <c r="J1026">
        <v>1</v>
      </c>
      <c r="K1026">
        <f t="shared" si="113"/>
        <v>1</v>
      </c>
      <c r="L1026">
        <f t="shared" si="114"/>
        <v>2022</v>
      </c>
      <c r="N1026" s="17">
        <f t="shared" si="117"/>
        <v>44562</v>
      </c>
      <c r="S1026">
        <f t="shared" si="118"/>
        <v>0</v>
      </c>
    </row>
    <row r="1027" spans="1:19" x14ac:dyDescent="0.3">
      <c r="A1027" s="17">
        <v>44566</v>
      </c>
      <c r="B1027">
        <v>436.28</v>
      </c>
      <c r="C1027">
        <v>78.394999999999996</v>
      </c>
      <c r="D1027">
        <f t="shared" si="115"/>
        <v>357.88499999999999</v>
      </c>
      <c r="E1027">
        <v>0.95</v>
      </c>
      <c r="F1027">
        <f t="shared" si="116"/>
        <v>-356.935</v>
      </c>
      <c r="I1027">
        <f t="shared" si="112"/>
        <v>5</v>
      </c>
      <c r="J1027">
        <v>1</v>
      </c>
      <c r="K1027">
        <f t="shared" si="113"/>
        <v>1</v>
      </c>
      <c r="L1027">
        <f t="shared" si="114"/>
        <v>2022</v>
      </c>
      <c r="N1027" s="17">
        <f t="shared" si="117"/>
        <v>44562</v>
      </c>
      <c r="S1027">
        <f t="shared" si="118"/>
        <v>0</v>
      </c>
    </row>
    <row r="1028" spans="1:19" x14ac:dyDescent="0.3">
      <c r="A1028" s="17">
        <v>44565</v>
      </c>
      <c r="B1028">
        <v>434.04</v>
      </c>
      <c r="C1028">
        <v>77.489999999999995</v>
      </c>
      <c r="D1028">
        <f t="shared" si="115"/>
        <v>356.55</v>
      </c>
      <c r="E1028">
        <v>0.99</v>
      </c>
      <c r="F1028">
        <f t="shared" si="116"/>
        <v>-355.56</v>
      </c>
      <c r="I1028">
        <f t="shared" si="112"/>
        <v>4</v>
      </c>
      <c r="J1028">
        <v>1</v>
      </c>
      <c r="K1028">
        <f t="shared" si="113"/>
        <v>1</v>
      </c>
      <c r="L1028">
        <f t="shared" si="114"/>
        <v>2022</v>
      </c>
      <c r="N1028" s="17">
        <f t="shared" si="117"/>
        <v>44562</v>
      </c>
      <c r="S1028">
        <f t="shared" si="118"/>
        <v>1</v>
      </c>
    </row>
    <row r="1029" spans="1:19" x14ac:dyDescent="0.3">
      <c r="A1029" s="17">
        <v>44564</v>
      </c>
      <c r="B1029">
        <v>433.25</v>
      </c>
      <c r="C1029">
        <v>76.849999999999994</v>
      </c>
      <c r="D1029">
        <f t="shared" si="115"/>
        <v>356.4</v>
      </c>
      <c r="E1029">
        <v>0.94</v>
      </c>
      <c r="F1029">
        <f t="shared" si="116"/>
        <v>-355.46</v>
      </c>
      <c r="I1029">
        <f t="shared" ref="I1029:I1092" si="119">+DAY(A1029)</f>
        <v>3</v>
      </c>
      <c r="J1029">
        <v>1</v>
      </c>
      <c r="K1029">
        <f t="shared" ref="K1029:K1092" si="120">+MONTH(A1029)</f>
        <v>1</v>
      </c>
      <c r="L1029">
        <f t="shared" ref="L1029:L1092" si="121">+YEAR(A1029)</f>
        <v>2022</v>
      </c>
      <c r="N1029" s="17">
        <f t="shared" si="117"/>
        <v>44562</v>
      </c>
      <c r="S1029">
        <f t="shared" si="118"/>
        <v>1</v>
      </c>
    </row>
    <row r="1030" spans="1:19" x14ac:dyDescent="0.3">
      <c r="A1030" s="17">
        <v>44561</v>
      </c>
      <c r="B1030">
        <v>439.79</v>
      </c>
      <c r="C1030">
        <v>77.099999999999994</v>
      </c>
      <c r="D1030">
        <f t="shared" ref="D1030:D1093" si="122">+B1030-C1030</f>
        <v>362.69000000000005</v>
      </c>
      <c r="E1030">
        <v>0.88</v>
      </c>
      <c r="F1030">
        <f t="shared" ref="F1030:F1093" si="123">+E1030-D1030</f>
        <v>-361.81000000000006</v>
      </c>
      <c r="I1030">
        <f t="shared" si="119"/>
        <v>31</v>
      </c>
      <c r="J1030">
        <v>1</v>
      </c>
      <c r="K1030">
        <f t="shared" si="120"/>
        <v>12</v>
      </c>
      <c r="L1030">
        <f t="shared" si="121"/>
        <v>2021</v>
      </c>
      <c r="N1030" s="17">
        <f t="shared" ref="N1030:N1093" si="124">+DATE(L1030,K1030,J1030)</f>
        <v>44531</v>
      </c>
      <c r="S1030">
        <f t="shared" ref="S1030:S1093" si="125">IF(AND(I1030&gt;=1, I1030&lt;=4), 1, 0)</f>
        <v>0</v>
      </c>
    </row>
    <row r="1031" spans="1:19" x14ac:dyDescent="0.3">
      <c r="A1031" s="17">
        <v>44560</v>
      </c>
      <c r="B1031">
        <v>439.15</v>
      </c>
      <c r="C1031">
        <v>77.254999999999995</v>
      </c>
      <c r="D1031">
        <f t="shared" si="122"/>
        <v>361.89499999999998</v>
      </c>
      <c r="E1031">
        <v>0.88</v>
      </c>
      <c r="F1031">
        <f t="shared" si="123"/>
        <v>-361.01499999999999</v>
      </c>
      <c r="I1031">
        <f t="shared" si="119"/>
        <v>30</v>
      </c>
      <c r="J1031">
        <v>1</v>
      </c>
      <c r="K1031">
        <f t="shared" si="120"/>
        <v>12</v>
      </c>
      <c r="L1031">
        <f t="shared" si="121"/>
        <v>2021</v>
      </c>
      <c r="N1031" s="17">
        <f t="shared" si="124"/>
        <v>44531</v>
      </c>
      <c r="S1031">
        <f t="shared" si="125"/>
        <v>0</v>
      </c>
    </row>
    <row r="1032" spans="1:19" x14ac:dyDescent="0.3">
      <c r="A1032" s="17">
        <v>44559</v>
      </c>
      <c r="B1032">
        <v>438.86</v>
      </c>
      <c r="C1032">
        <v>76.959999999999994</v>
      </c>
      <c r="D1032">
        <f t="shared" si="122"/>
        <v>361.90000000000003</v>
      </c>
      <c r="E1032">
        <v>0.89</v>
      </c>
      <c r="F1032">
        <f t="shared" si="123"/>
        <v>-361.01000000000005</v>
      </c>
      <c r="I1032">
        <f t="shared" si="119"/>
        <v>29</v>
      </c>
      <c r="J1032">
        <v>1</v>
      </c>
      <c r="K1032">
        <f t="shared" si="120"/>
        <v>12</v>
      </c>
      <c r="L1032">
        <f t="shared" si="121"/>
        <v>2021</v>
      </c>
      <c r="N1032" s="17">
        <f t="shared" si="124"/>
        <v>44531</v>
      </c>
      <c r="S1032">
        <f t="shared" si="125"/>
        <v>0</v>
      </c>
    </row>
    <row r="1033" spans="1:19" x14ac:dyDescent="0.3">
      <c r="A1033" s="17">
        <v>44558</v>
      </c>
      <c r="B1033">
        <v>437.97</v>
      </c>
      <c r="C1033">
        <v>76.45</v>
      </c>
      <c r="D1033">
        <f t="shared" si="122"/>
        <v>361.52000000000004</v>
      </c>
      <c r="E1033">
        <v>0.84</v>
      </c>
      <c r="F1033">
        <f t="shared" si="123"/>
        <v>-360.68000000000006</v>
      </c>
      <c r="I1033">
        <f t="shared" si="119"/>
        <v>28</v>
      </c>
      <c r="J1033">
        <v>1</v>
      </c>
      <c r="K1033">
        <f t="shared" si="120"/>
        <v>12</v>
      </c>
      <c r="L1033">
        <f t="shared" si="121"/>
        <v>2021</v>
      </c>
      <c r="N1033" s="17">
        <f t="shared" si="124"/>
        <v>44531</v>
      </c>
      <c r="S1033">
        <f t="shared" si="125"/>
        <v>0</v>
      </c>
    </row>
    <row r="1034" spans="1:19" x14ac:dyDescent="0.3">
      <c r="A1034" s="17">
        <v>44554</v>
      </c>
      <c r="B1034">
        <v>423.75</v>
      </c>
      <c r="C1034">
        <v>74.349999999999994</v>
      </c>
      <c r="D1034">
        <f t="shared" si="122"/>
        <v>349.4</v>
      </c>
      <c r="E1034">
        <v>0.77</v>
      </c>
      <c r="F1034">
        <f t="shared" si="123"/>
        <v>-348.63</v>
      </c>
      <c r="I1034">
        <f t="shared" si="119"/>
        <v>24</v>
      </c>
      <c r="J1034">
        <v>1</v>
      </c>
      <c r="K1034">
        <f t="shared" si="120"/>
        <v>12</v>
      </c>
      <c r="L1034">
        <f t="shared" si="121"/>
        <v>2021</v>
      </c>
      <c r="N1034" s="17">
        <f t="shared" si="124"/>
        <v>44531</v>
      </c>
      <c r="S1034">
        <f t="shared" si="125"/>
        <v>0</v>
      </c>
    </row>
    <row r="1035" spans="1:19" x14ac:dyDescent="0.3">
      <c r="A1035" s="17">
        <v>44553</v>
      </c>
      <c r="B1035">
        <v>419.14</v>
      </c>
      <c r="C1035">
        <v>73.510000000000005</v>
      </c>
      <c r="D1035">
        <f t="shared" si="122"/>
        <v>345.63</v>
      </c>
      <c r="E1035">
        <v>0.76</v>
      </c>
      <c r="F1035">
        <f t="shared" si="123"/>
        <v>-344.87</v>
      </c>
      <c r="I1035">
        <f t="shared" si="119"/>
        <v>23</v>
      </c>
      <c r="J1035">
        <v>1</v>
      </c>
      <c r="K1035">
        <f t="shared" si="120"/>
        <v>12</v>
      </c>
      <c r="L1035">
        <f t="shared" si="121"/>
        <v>2021</v>
      </c>
      <c r="N1035" s="17">
        <f t="shared" si="124"/>
        <v>44531</v>
      </c>
      <c r="S1035">
        <f t="shared" si="125"/>
        <v>0</v>
      </c>
    </row>
    <row r="1036" spans="1:19" x14ac:dyDescent="0.3">
      <c r="A1036" s="17">
        <v>44552</v>
      </c>
      <c r="B1036">
        <v>410.12</v>
      </c>
      <c r="C1036">
        <v>72.545000000000002</v>
      </c>
      <c r="D1036">
        <f t="shared" si="122"/>
        <v>337.57499999999999</v>
      </c>
      <c r="E1036">
        <v>0.71</v>
      </c>
      <c r="F1036">
        <f t="shared" si="123"/>
        <v>-336.86500000000001</v>
      </c>
      <c r="I1036">
        <f t="shared" si="119"/>
        <v>22</v>
      </c>
      <c r="J1036">
        <v>1</v>
      </c>
      <c r="K1036">
        <f t="shared" si="120"/>
        <v>12</v>
      </c>
      <c r="L1036">
        <f t="shared" si="121"/>
        <v>2021</v>
      </c>
      <c r="N1036" s="17">
        <f t="shared" si="124"/>
        <v>44531</v>
      </c>
      <c r="S1036">
        <f t="shared" si="125"/>
        <v>0</v>
      </c>
    </row>
    <row r="1037" spans="1:19" x14ac:dyDescent="0.3">
      <c r="A1037" s="17">
        <v>44551</v>
      </c>
      <c r="B1037">
        <v>397.75</v>
      </c>
      <c r="C1037">
        <v>70.540000000000006</v>
      </c>
      <c r="D1037">
        <f t="shared" si="122"/>
        <v>327.20999999999998</v>
      </c>
      <c r="E1037">
        <v>0.57999999999999996</v>
      </c>
      <c r="F1037">
        <f t="shared" si="123"/>
        <v>-326.63</v>
      </c>
      <c r="I1037">
        <f t="shared" si="119"/>
        <v>21</v>
      </c>
      <c r="J1037">
        <v>1</v>
      </c>
      <c r="K1037">
        <f t="shared" si="120"/>
        <v>12</v>
      </c>
      <c r="L1037">
        <f t="shared" si="121"/>
        <v>2021</v>
      </c>
      <c r="N1037" s="17">
        <f t="shared" si="124"/>
        <v>44531</v>
      </c>
      <c r="S1037">
        <f t="shared" si="125"/>
        <v>0</v>
      </c>
    </row>
    <row r="1038" spans="1:19" x14ac:dyDescent="0.3">
      <c r="A1038" s="17">
        <v>44550</v>
      </c>
      <c r="B1038">
        <v>394.43</v>
      </c>
      <c r="C1038">
        <v>70.09</v>
      </c>
      <c r="D1038">
        <f t="shared" si="122"/>
        <v>324.34000000000003</v>
      </c>
      <c r="E1038">
        <v>0.55000000000000004</v>
      </c>
      <c r="F1038">
        <f t="shared" si="123"/>
        <v>-323.79000000000002</v>
      </c>
      <c r="I1038">
        <f t="shared" si="119"/>
        <v>20</v>
      </c>
      <c r="J1038">
        <v>1</v>
      </c>
      <c r="K1038">
        <f t="shared" si="120"/>
        <v>12</v>
      </c>
      <c r="L1038">
        <f t="shared" si="121"/>
        <v>2021</v>
      </c>
      <c r="N1038" s="17">
        <f t="shared" si="124"/>
        <v>44531</v>
      </c>
      <c r="S1038">
        <f t="shared" si="125"/>
        <v>0</v>
      </c>
    </row>
    <row r="1039" spans="1:19" x14ac:dyDescent="0.3">
      <c r="A1039" s="17">
        <v>44547</v>
      </c>
      <c r="B1039">
        <v>414.4</v>
      </c>
      <c r="C1039">
        <v>73.33</v>
      </c>
      <c r="D1039">
        <f t="shared" si="122"/>
        <v>341.07</v>
      </c>
      <c r="E1039">
        <v>0.6</v>
      </c>
      <c r="F1039">
        <f t="shared" si="123"/>
        <v>-340.46999999999997</v>
      </c>
      <c r="I1039">
        <f t="shared" si="119"/>
        <v>17</v>
      </c>
      <c r="J1039">
        <v>1</v>
      </c>
      <c r="K1039">
        <f t="shared" si="120"/>
        <v>12</v>
      </c>
      <c r="L1039">
        <f t="shared" si="121"/>
        <v>2021</v>
      </c>
      <c r="N1039" s="17">
        <f t="shared" si="124"/>
        <v>44531</v>
      </c>
      <c r="S1039">
        <f t="shared" si="125"/>
        <v>0</v>
      </c>
    </row>
    <row r="1040" spans="1:19" x14ac:dyDescent="0.3">
      <c r="A1040" s="17">
        <v>44546</v>
      </c>
      <c r="B1040">
        <v>416.16</v>
      </c>
      <c r="C1040">
        <v>73.349999999999994</v>
      </c>
      <c r="D1040">
        <f t="shared" si="122"/>
        <v>342.81000000000006</v>
      </c>
      <c r="E1040">
        <v>0.64</v>
      </c>
      <c r="F1040">
        <f t="shared" si="123"/>
        <v>-342.17000000000007</v>
      </c>
      <c r="I1040">
        <f t="shared" si="119"/>
        <v>16</v>
      </c>
      <c r="J1040">
        <v>1</v>
      </c>
      <c r="K1040">
        <f t="shared" si="120"/>
        <v>12</v>
      </c>
      <c r="L1040">
        <f t="shared" si="121"/>
        <v>2021</v>
      </c>
      <c r="N1040" s="17">
        <f t="shared" si="124"/>
        <v>44531</v>
      </c>
      <c r="S1040">
        <f t="shared" si="125"/>
        <v>0</v>
      </c>
    </row>
    <row r="1041" spans="1:19" x14ac:dyDescent="0.3">
      <c r="A1041" s="17">
        <v>44545</v>
      </c>
      <c r="B1041">
        <v>408.19</v>
      </c>
      <c r="C1041">
        <v>71.98</v>
      </c>
      <c r="D1041">
        <f t="shared" si="122"/>
        <v>336.21</v>
      </c>
      <c r="E1041">
        <v>0.64</v>
      </c>
      <c r="F1041">
        <f t="shared" si="123"/>
        <v>-335.57</v>
      </c>
      <c r="I1041">
        <f t="shared" si="119"/>
        <v>15</v>
      </c>
      <c r="J1041">
        <v>1</v>
      </c>
      <c r="K1041">
        <f t="shared" si="120"/>
        <v>12</v>
      </c>
      <c r="L1041">
        <f t="shared" si="121"/>
        <v>2021</v>
      </c>
      <c r="N1041" s="17">
        <f t="shared" si="124"/>
        <v>44531</v>
      </c>
      <c r="S1041">
        <f t="shared" si="125"/>
        <v>0</v>
      </c>
    </row>
    <row r="1042" spans="1:19" x14ac:dyDescent="0.3">
      <c r="A1042" s="17">
        <v>44544</v>
      </c>
      <c r="B1042">
        <v>412.64</v>
      </c>
      <c r="C1042">
        <v>73.34</v>
      </c>
      <c r="D1042">
        <f t="shared" si="122"/>
        <v>339.29999999999995</v>
      </c>
      <c r="E1042">
        <v>0.6</v>
      </c>
      <c r="F1042">
        <f t="shared" si="123"/>
        <v>-338.69999999999993</v>
      </c>
      <c r="I1042">
        <f t="shared" si="119"/>
        <v>14</v>
      </c>
      <c r="J1042">
        <v>1</v>
      </c>
      <c r="K1042">
        <f t="shared" si="120"/>
        <v>12</v>
      </c>
      <c r="L1042">
        <f t="shared" si="121"/>
        <v>2021</v>
      </c>
      <c r="N1042" s="17">
        <f t="shared" si="124"/>
        <v>44531</v>
      </c>
      <c r="S1042">
        <f t="shared" si="125"/>
        <v>0</v>
      </c>
    </row>
    <row r="1043" spans="1:19" x14ac:dyDescent="0.3">
      <c r="A1043" s="17">
        <v>44543</v>
      </c>
      <c r="B1043">
        <v>414.47</v>
      </c>
      <c r="C1043">
        <v>74.09</v>
      </c>
      <c r="D1043">
        <f t="shared" si="122"/>
        <v>340.38</v>
      </c>
      <c r="E1043">
        <v>0.67</v>
      </c>
      <c r="F1043">
        <f t="shared" si="123"/>
        <v>-339.71</v>
      </c>
      <c r="I1043">
        <f t="shared" si="119"/>
        <v>13</v>
      </c>
      <c r="J1043">
        <v>1</v>
      </c>
      <c r="K1043">
        <f t="shared" si="120"/>
        <v>12</v>
      </c>
      <c r="L1043">
        <f t="shared" si="121"/>
        <v>2021</v>
      </c>
      <c r="N1043" s="17">
        <f t="shared" si="124"/>
        <v>44531</v>
      </c>
      <c r="S1043">
        <f t="shared" si="125"/>
        <v>0</v>
      </c>
    </row>
    <row r="1044" spans="1:19" x14ac:dyDescent="0.3">
      <c r="A1044" s="17">
        <v>44540</v>
      </c>
      <c r="B1044">
        <v>406.37</v>
      </c>
      <c r="C1044">
        <v>72.69</v>
      </c>
      <c r="D1044">
        <f t="shared" si="122"/>
        <v>333.68</v>
      </c>
      <c r="E1044">
        <v>0.66</v>
      </c>
      <c r="F1044">
        <f t="shared" si="123"/>
        <v>-333.02</v>
      </c>
      <c r="I1044">
        <f t="shared" si="119"/>
        <v>10</v>
      </c>
      <c r="J1044">
        <v>1</v>
      </c>
      <c r="K1044">
        <f t="shared" si="120"/>
        <v>12</v>
      </c>
      <c r="L1044">
        <f t="shared" si="121"/>
        <v>2021</v>
      </c>
      <c r="N1044" s="17">
        <f t="shared" si="124"/>
        <v>44531</v>
      </c>
      <c r="S1044">
        <f t="shared" si="125"/>
        <v>0</v>
      </c>
    </row>
    <row r="1045" spans="1:19" x14ac:dyDescent="0.3">
      <c r="A1045" s="17">
        <v>44539</v>
      </c>
      <c r="B1045">
        <v>415</v>
      </c>
      <c r="C1045">
        <v>74.444999999999993</v>
      </c>
      <c r="D1045">
        <f t="shared" si="122"/>
        <v>340.55500000000001</v>
      </c>
      <c r="E1045">
        <v>0.56999999999999995</v>
      </c>
      <c r="F1045">
        <f t="shared" si="123"/>
        <v>-339.98500000000001</v>
      </c>
      <c r="I1045">
        <f t="shared" si="119"/>
        <v>9</v>
      </c>
      <c r="J1045">
        <v>1</v>
      </c>
      <c r="K1045">
        <f t="shared" si="120"/>
        <v>12</v>
      </c>
      <c r="L1045">
        <f t="shared" si="121"/>
        <v>2021</v>
      </c>
      <c r="N1045" s="17">
        <f t="shared" si="124"/>
        <v>44531</v>
      </c>
      <c r="S1045">
        <f t="shared" si="125"/>
        <v>0</v>
      </c>
    </row>
    <row r="1046" spans="1:19" x14ac:dyDescent="0.3">
      <c r="A1046" s="17">
        <v>44538</v>
      </c>
      <c r="B1046">
        <v>406.78</v>
      </c>
      <c r="C1046">
        <v>73.805000000000007</v>
      </c>
      <c r="D1046">
        <f t="shared" si="122"/>
        <v>332.97499999999997</v>
      </c>
      <c r="E1046">
        <v>0.62</v>
      </c>
      <c r="F1046">
        <f t="shared" si="123"/>
        <v>-332.35499999999996</v>
      </c>
      <c r="I1046">
        <f t="shared" si="119"/>
        <v>8</v>
      </c>
      <c r="J1046">
        <v>1</v>
      </c>
      <c r="K1046">
        <f t="shared" si="120"/>
        <v>12</v>
      </c>
      <c r="L1046">
        <f t="shared" si="121"/>
        <v>2021</v>
      </c>
      <c r="N1046" s="17">
        <f t="shared" si="124"/>
        <v>44531</v>
      </c>
      <c r="S1046">
        <f t="shared" si="125"/>
        <v>0</v>
      </c>
    </row>
    <row r="1047" spans="1:19" x14ac:dyDescent="0.3">
      <c r="A1047" s="17">
        <v>44537</v>
      </c>
      <c r="B1047">
        <v>402.7</v>
      </c>
      <c r="C1047">
        <v>73.19</v>
      </c>
      <c r="D1047">
        <f t="shared" si="122"/>
        <v>329.51</v>
      </c>
      <c r="E1047">
        <v>0.59</v>
      </c>
      <c r="F1047">
        <f t="shared" si="123"/>
        <v>-328.92</v>
      </c>
      <c r="I1047">
        <f t="shared" si="119"/>
        <v>7</v>
      </c>
      <c r="J1047">
        <v>1</v>
      </c>
      <c r="K1047">
        <f t="shared" si="120"/>
        <v>12</v>
      </c>
      <c r="L1047">
        <f t="shared" si="121"/>
        <v>2021</v>
      </c>
      <c r="N1047" s="17">
        <f t="shared" si="124"/>
        <v>44531</v>
      </c>
      <c r="S1047">
        <f t="shared" si="125"/>
        <v>0</v>
      </c>
    </row>
    <row r="1048" spans="1:19" x14ac:dyDescent="0.3">
      <c r="A1048" s="17">
        <v>44536</v>
      </c>
      <c r="B1048">
        <v>385.98</v>
      </c>
      <c r="C1048">
        <v>70.09</v>
      </c>
      <c r="D1048">
        <f t="shared" si="122"/>
        <v>315.89</v>
      </c>
      <c r="E1048">
        <v>0.53</v>
      </c>
      <c r="F1048">
        <f t="shared" si="123"/>
        <v>-315.36</v>
      </c>
      <c r="I1048">
        <f t="shared" si="119"/>
        <v>6</v>
      </c>
      <c r="J1048">
        <v>1</v>
      </c>
      <c r="K1048">
        <f t="shared" si="120"/>
        <v>12</v>
      </c>
      <c r="L1048">
        <f t="shared" si="121"/>
        <v>2021</v>
      </c>
      <c r="N1048" s="17">
        <f t="shared" si="124"/>
        <v>44531</v>
      </c>
      <c r="S1048">
        <f t="shared" si="125"/>
        <v>0</v>
      </c>
    </row>
    <row r="1049" spans="1:19" x14ac:dyDescent="0.3">
      <c r="A1049" s="17">
        <v>44533</v>
      </c>
      <c r="B1049">
        <v>387.97</v>
      </c>
      <c r="C1049">
        <v>70.760000000000005</v>
      </c>
      <c r="D1049">
        <f t="shared" si="122"/>
        <v>317.21000000000004</v>
      </c>
      <c r="E1049">
        <v>0.47</v>
      </c>
      <c r="F1049">
        <f t="shared" si="123"/>
        <v>-316.74</v>
      </c>
      <c r="I1049">
        <f t="shared" si="119"/>
        <v>3</v>
      </c>
      <c r="J1049">
        <v>1</v>
      </c>
      <c r="K1049">
        <f t="shared" si="120"/>
        <v>12</v>
      </c>
      <c r="L1049">
        <f t="shared" si="121"/>
        <v>2021</v>
      </c>
      <c r="N1049" s="17">
        <f t="shared" si="124"/>
        <v>44531</v>
      </c>
      <c r="S1049">
        <f t="shared" si="125"/>
        <v>1</v>
      </c>
    </row>
    <row r="1050" spans="1:19" x14ac:dyDescent="0.3">
      <c r="A1050" s="17">
        <v>44532</v>
      </c>
      <c r="B1050">
        <v>380.17</v>
      </c>
      <c r="C1050">
        <v>69.11</v>
      </c>
      <c r="D1050">
        <f t="shared" si="122"/>
        <v>311.06</v>
      </c>
      <c r="E1050">
        <v>0.35</v>
      </c>
      <c r="F1050">
        <f t="shared" si="123"/>
        <v>-310.70999999999998</v>
      </c>
      <c r="I1050">
        <f t="shared" si="119"/>
        <v>2</v>
      </c>
      <c r="J1050">
        <v>1</v>
      </c>
      <c r="K1050">
        <f t="shared" si="120"/>
        <v>12</v>
      </c>
      <c r="L1050">
        <f t="shared" si="121"/>
        <v>2021</v>
      </c>
      <c r="N1050" s="17">
        <f t="shared" si="124"/>
        <v>44531</v>
      </c>
      <c r="S1050">
        <f t="shared" si="125"/>
        <v>1</v>
      </c>
    </row>
    <row r="1051" spans="1:19" x14ac:dyDescent="0.3">
      <c r="A1051" s="17">
        <v>44531</v>
      </c>
      <c r="B1051">
        <v>392.8</v>
      </c>
      <c r="C1051">
        <v>71.099999999999994</v>
      </c>
      <c r="D1051">
        <f t="shared" si="122"/>
        <v>321.70000000000005</v>
      </c>
      <c r="E1051">
        <v>0.23</v>
      </c>
      <c r="F1051">
        <f t="shared" si="123"/>
        <v>-321.47000000000003</v>
      </c>
      <c r="I1051">
        <f t="shared" si="119"/>
        <v>1</v>
      </c>
      <c r="J1051">
        <v>1</v>
      </c>
      <c r="K1051">
        <f t="shared" si="120"/>
        <v>12</v>
      </c>
      <c r="L1051">
        <f t="shared" si="121"/>
        <v>2021</v>
      </c>
      <c r="N1051" s="17">
        <f t="shared" si="124"/>
        <v>44531</v>
      </c>
      <c r="S1051">
        <f t="shared" si="125"/>
        <v>1</v>
      </c>
    </row>
    <row r="1052" spans="1:19" x14ac:dyDescent="0.3">
      <c r="A1052" s="17">
        <v>44530</v>
      </c>
      <c r="B1052">
        <v>401.38</v>
      </c>
      <c r="C1052">
        <v>71.849999999999994</v>
      </c>
      <c r="D1052">
        <f t="shared" si="122"/>
        <v>329.53</v>
      </c>
      <c r="E1052">
        <v>0.21</v>
      </c>
      <c r="F1052">
        <f t="shared" si="123"/>
        <v>-329.32</v>
      </c>
      <c r="I1052">
        <f t="shared" si="119"/>
        <v>30</v>
      </c>
      <c r="J1052">
        <v>1</v>
      </c>
      <c r="K1052">
        <f t="shared" si="120"/>
        <v>11</v>
      </c>
      <c r="L1052">
        <f t="shared" si="121"/>
        <v>2021</v>
      </c>
      <c r="N1052" s="17">
        <f t="shared" si="124"/>
        <v>44501</v>
      </c>
      <c r="S1052">
        <f t="shared" si="125"/>
        <v>0</v>
      </c>
    </row>
    <row r="1053" spans="1:19" x14ac:dyDescent="0.3">
      <c r="A1053" s="17">
        <v>44529</v>
      </c>
      <c r="B1053">
        <v>413.58</v>
      </c>
      <c r="C1053">
        <v>75.150000000000006</v>
      </c>
      <c r="D1053">
        <f t="shared" si="122"/>
        <v>338.42999999999995</v>
      </c>
      <c r="E1053">
        <v>0.28000000000000003</v>
      </c>
      <c r="F1053">
        <f t="shared" si="123"/>
        <v>-338.15</v>
      </c>
      <c r="I1053">
        <f t="shared" si="119"/>
        <v>29</v>
      </c>
      <c r="J1053">
        <v>1</v>
      </c>
      <c r="K1053">
        <f t="shared" si="120"/>
        <v>11</v>
      </c>
      <c r="L1053">
        <f t="shared" si="121"/>
        <v>2021</v>
      </c>
      <c r="N1053" s="17">
        <f t="shared" si="124"/>
        <v>44501</v>
      </c>
      <c r="S1053">
        <f t="shared" si="125"/>
        <v>0</v>
      </c>
    </row>
    <row r="1054" spans="1:19" x14ac:dyDescent="0.3">
      <c r="A1054" s="17">
        <v>44526</v>
      </c>
      <c r="B1054">
        <v>425.28</v>
      </c>
      <c r="C1054">
        <v>77.349999999999994</v>
      </c>
      <c r="D1054">
        <f t="shared" si="122"/>
        <v>347.92999999999995</v>
      </c>
      <c r="E1054">
        <v>0.23</v>
      </c>
      <c r="F1054">
        <f t="shared" si="123"/>
        <v>-347.69999999999993</v>
      </c>
      <c r="I1054">
        <f t="shared" si="119"/>
        <v>26</v>
      </c>
      <c r="J1054">
        <v>1</v>
      </c>
      <c r="K1054">
        <f t="shared" si="120"/>
        <v>11</v>
      </c>
      <c r="L1054">
        <f t="shared" si="121"/>
        <v>2021</v>
      </c>
      <c r="N1054" s="17">
        <f t="shared" si="124"/>
        <v>44501</v>
      </c>
      <c r="S1054">
        <f t="shared" si="125"/>
        <v>0</v>
      </c>
    </row>
    <row r="1055" spans="1:19" x14ac:dyDescent="0.3">
      <c r="A1055" s="17">
        <v>44525</v>
      </c>
      <c r="B1055">
        <v>450.67</v>
      </c>
      <c r="C1055">
        <v>81.400000000000006</v>
      </c>
      <c r="D1055">
        <f t="shared" si="122"/>
        <v>369.27</v>
      </c>
      <c r="E1055">
        <v>0.46</v>
      </c>
      <c r="F1055">
        <f t="shared" si="123"/>
        <v>-368.81</v>
      </c>
      <c r="I1055">
        <f t="shared" si="119"/>
        <v>25</v>
      </c>
      <c r="J1055">
        <v>1</v>
      </c>
      <c r="K1055">
        <f t="shared" si="120"/>
        <v>11</v>
      </c>
      <c r="L1055">
        <f t="shared" si="121"/>
        <v>2021</v>
      </c>
      <c r="N1055" s="17">
        <f t="shared" si="124"/>
        <v>44501</v>
      </c>
      <c r="S1055">
        <f t="shared" si="125"/>
        <v>0</v>
      </c>
    </row>
    <row r="1056" spans="1:19" x14ac:dyDescent="0.3">
      <c r="A1056" s="17">
        <v>44524</v>
      </c>
      <c r="B1056">
        <v>453.5</v>
      </c>
      <c r="C1056">
        <v>81.84</v>
      </c>
      <c r="D1056">
        <f t="shared" si="122"/>
        <v>371.65999999999997</v>
      </c>
      <c r="E1056">
        <v>0.5</v>
      </c>
      <c r="F1056">
        <f t="shared" si="123"/>
        <v>-371.15999999999997</v>
      </c>
      <c r="I1056">
        <f t="shared" si="119"/>
        <v>24</v>
      </c>
      <c r="J1056">
        <v>1</v>
      </c>
      <c r="K1056">
        <f t="shared" si="120"/>
        <v>11</v>
      </c>
      <c r="L1056">
        <f t="shared" si="121"/>
        <v>2021</v>
      </c>
      <c r="N1056" s="17">
        <f t="shared" si="124"/>
        <v>44501</v>
      </c>
      <c r="S1056">
        <f t="shared" si="125"/>
        <v>0</v>
      </c>
    </row>
    <row r="1057" spans="1:19" x14ac:dyDescent="0.3">
      <c r="A1057" s="17">
        <v>44523</v>
      </c>
      <c r="B1057">
        <v>434.1</v>
      </c>
      <c r="C1057">
        <v>78.45</v>
      </c>
      <c r="D1057">
        <f t="shared" si="122"/>
        <v>355.65000000000003</v>
      </c>
      <c r="E1057">
        <v>0.46</v>
      </c>
      <c r="F1057">
        <f t="shared" si="123"/>
        <v>-355.19000000000005</v>
      </c>
      <c r="I1057">
        <f t="shared" si="119"/>
        <v>23</v>
      </c>
      <c r="J1057">
        <v>1</v>
      </c>
      <c r="K1057">
        <f t="shared" si="120"/>
        <v>11</v>
      </c>
      <c r="L1057">
        <f t="shared" si="121"/>
        <v>2021</v>
      </c>
      <c r="N1057" s="17">
        <f t="shared" si="124"/>
        <v>44501</v>
      </c>
      <c r="S1057">
        <f t="shared" si="125"/>
        <v>0</v>
      </c>
    </row>
    <row r="1058" spans="1:19" x14ac:dyDescent="0.3">
      <c r="A1058" s="17">
        <v>44522</v>
      </c>
      <c r="B1058">
        <v>434.2</v>
      </c>
      <c r="C1058">
        <v>78.39</v>
      </c>
      <c r="D1058">
        <f t="shared" si="122"/>
        <v>355.81</v>
      </c>
      <c r="E1058">
        <v>0.42</v>
      </c>
      <c r="F1058">
        <f t="shared" si="123"/>
        <v>-355.39</v>
      </c>
      <c r="I1058">
        <f t="shared" si="119"/>
        <v>22</v>
      </c>
      <c r="J1058">
        <v>1</v>
      </c>
      <c r="K1058">
        <f t="shared" si="120"/>
        <v>11</v>
      </c>
      <c r="L1058">
        <f t="shared" si="121"/>
        <v>2021</v>
      </c>
      <c r="N1058" s="17">
        <f t="shared" si="124"/>
        <v>44501</v>
      </c>
      <c r="S1058">
        <f t="shared" si="125"/>
        <v>0</v>
      </c>
    </row>
    <row r="1059" spans="1:19" x14ac:dyDescent="0.3">
      <c r="A1059" s="17">
        <v>44519</v>
      </c>
      <c r="B1059">
        <v>453.84</v>
      </c>
      <c r="C1059">
        <v>80.900000000000006</v>
      </c>
      <c r="D1059">
        <f t="shared" si="122"/>
        <v>372.93999999999994</v>
      </c>
      <c r="E1059">
        <v>0.5</v>
      </c>
      <c r="F1059">
        <f t="shared" si="123"/>
        <v>-372.43999999999994</v>
      </c>
      <c r="I1059">
        <f t="shared" si="119"/>
        <v>19</v>
      </c>
      <c r="J1059">
        <v>1</v>
      </c>
      <c r="K1059">
        <f t="shared" si="120"/>
        <v>11</v>
      </c>
      <c r="L1059">
        <f t="shared" si="121"/>
        <v>2021</v>
      </c>
      <c r="N1059" s="17">
        <f t="shared" si="124"/>
        <v>44501</v>
      </c>
      <c r="S1059">
        <f t="shared" si="125"/>
        <v>0</v>
      </c>
    </row>
    <row r="1060" spans="1:19" x14ac:dyDescent="0.3">
      <c r="A1060" s="17">
        <v>44518</v>
      </c>
      <c r="B1060">
        <v>438.75</v>
      </c>
      <c r="C1060">
        <v>78.64</v>
      </c>
      <c r="D1060">
        <f t="shared" si="122"/>
        <v>360.11</v>
      </c>
      <c r="E1060">
        <v>0.46</v>
      </c>
      <c r="F1060">
        <f t="shared" si="123"/>
        <v>-359.65000000000003</v>
      </c>
      <c r="I1060">
        <f t="shared" si="119"/>
        <v>18</v>
      </c>
      <c r="J1060">
        <v>1</v>
      </c>
      <c r="K1060">
        <f t="shared" si="120"/>
        <v>11</v>
      </c>
      <c r="L1060">
        <f t="shared" si="121"/>
        <v>2021</v>
      </c>
      <c r="N1060" s="17">
        <f t="shared" si="124"/>
        <v>44501</v>
      </c>
      <c r="S1060">
        <f t="shared" si="125"/>
        <v>0</v>
      </c>
    </row>
    <row r="1061" spans="1:19" x14ac:dyDescent="0.3">
      <c r="A1061" s="17">
        <v>44517</v>
      </c>
      <c r="B1061">
        <v>452.85</v>
      </c>
      <c r="C1061">
        <v>80.989999999999995</v>
      </c>
      <c r="D1061">
        <f t="shared" si="122"/>
        <v>371.86</v>
      </c>
      <c r="E1061">
        <v>0.62</v>
      </c>
      <c r="F1061">
        <f t="shared" si="123"/>
        <v>-371.24</v>
      </c>
      <c r="I1061">
        <f t="shared" si="119"/>
        <v>17</v>
      </c>
      <c r="J1061">
        <v>1</v>
      </c>
      <c r="K1061">
        <f t="shared" si="120"/>
        <v>11</v>
      </c>
      <c r="L1061">
        <f t="shared" si="121"/>
        <v>2021</v>
      </c>
      <c r="N1061" s="17">
        <f t="shared" si="124"/>
        <v>44501</v>
      </c>
      <c r="S1061">
        <f t="shared" si="125"/>
        <v>0</v>
      </c>
    </row>
    <row r="1062" spans="1:19" x14ac:dyDescent="0.3">
      <c r="A1062" s="17">
        <v>44516</v>
      </c>
      <c r="B1062">
        <v>455.73</v>
      </c>
      <c r="C1062">
        <v>81.95</v>
      </c>
      <c r="D1062">
        <f t="shared" si="122"/>
        <v>373.78000000000003</v>
      </c>
      <c r="E1062">
        <v>0.61</v>
      </c>
      <c r="F1062">
        <f t="shared" si="123"/>
        <v>-373.17</v>
      </c>
      <c r="I1062">
        <f t="shared" si="119"/>
        <v>16</v>
      </c>
      <c r="J1062">
        <v>1</v>
      </c>
      <c r="K1062">
        <f t="shared" si="120"/>
        <v>11</v>
      </c>
      <c r="L1062">
        <f t="shared" si="121"/>
        <v>2021</v>
      </c>
      <c r="N1062" s="17">
        <f t="shared" si="124"/>
        <v>44501</v>
      </c>
      <c r="S1062">
        <f t="shared" si="125"/>
        <v>0</v>
      </c>
    </row>
    <row r="1063" spans="1:19" x14ac:dyDescent="0.3">
      <c r="A1063" s="17">
        <v>44515</v>
      </c>
      <c r="B1063">
        <v>442.95</v>
      </c>
      <c r="C1063">
        <v>80.849999999999994</v>
      </c>
      <c r="D1063">
        <f t="shared" si="122"/>
        <v>362.1</v>
      </c>
      <c r="E1063">
        <v>0.63</v>
      </c>
      <c r="F1063">
        <f t="shared" si="123"/>
        <v>-361.47</v>
      </c>
      <c r="I1063">
        <f t="shared" si="119"/>
        <v>15</v>
      </c>
      <c r="J1063">
        <v>1</v>
      </c>
      <c r="K1063">
        <f t="shared" si="120"/>
        <v>11</v>
      </c>
      <c r="L1063">
        <f t="shared" si="121"/>
        <v>2021</v>
      </c>
      <c r="N1063" s="17">
        <f t="shared" si="124"/>
        <v>44501</v>
      </c>
      <c r="S1063">
        <f t="shared" si="125"/>
        <v>0</v>
      </c>
    </row>
    <row r="1064" spans="1:19" x14ac:dyDescent="0.3">
      <c r="A1064" s="17">
        <v>44512</v>
      </c>
      <c r="B1064">
        <v>444.29</v>
      </c>
      <c r="C1064">
        <v>81.55</v>
      </c>
      <c r="D1064">
        <f t="shared" si="122"/>
        <v>362.74</v>
      </c>
      <c r="E1064">
        <v>0.75</v>
      </c>
      <c r="F1064">
        <f t="shared" si="123"/>
        <v>-361.99</v>
      </c>
      <c r="I1064">
        <f t="shared" si="119"/>
        <v>12</v>
      </c>
      <c r="J1064">
        <v>1</v>
      </c>
      <c r="K1064">
        <f t="shared" si="120"/>
        <v>11</v>
      </c>
      <c r="L1064">
        <f t="shared" si="121"/>
        <v>2021</v>
      </c>
      <c r="N1064" s="17">
        <f t="shared" si="124"/>
        <v>44501</v>
      </c>
      <c r="S1064">
        <f t="shared" si="125"/>
        <v>0</v>
      </c>
    </row>
    <row r="1065" spans="1:19" x14ac:dyDescent="0.3">
      <c r="A1065" s="17">
        <v>44511</v>
      </c>
      <c r="B1065">
        <v>445.5</v>
      </c>
      <c r="C1065">
        <v>81.795000000000002</v>
      </c>
      <c r="D1065">
        <f t="shared" si="122"/>
        <v>363.70499999999998</v>
      </c>
      <c r="E1065">
        <v>0.78</v>
      </c>
      <c r="F1065">
        <f t="shared" si="123"/>
        <v>-362.92500000000001</v>
      </c>
      <c r="I1065">
        <f t="shared" si="119"/>
        <v>11</v>
      </c>
      <c r="J1065">
        <v>1</v>
      </c>
      <c r="K1065">
        <f t="shared" si="120"/>
        <v>11</v>
      </c>
      <c r="L1065">
        <f t="shared" si="121"/>
        <v>2021</v>
      </c>
      <c r="N1065" s="17">
        <f t="shared" si="124"/>
        <v>44501</v>
      </c>
      <c r="S1065">
        <f t="shared" si="125"/>
        <v>0</v>
      </c>
    </row>
    <row r="1066" spans="1:19" x14ac:dyDescent="0.3">
      <c r="A1066" s="17">
        <v>44510</v>
      </c>
      <c r="B1066">
        <v>455.83</v>
      </c>
      <c r="C1066">
        <v>83.944999999999993</v>
      </c>
      <c r="D1066">
        <f t="shared" si="122"/>
        <v>371.88499999999999</v>
      </c>
      <c r="E1066">
        <v>0.86</v>
      </c>
      <c r="F1066">
        <f t="shared" si="123"/>
        <v>-371.02499999999998</v>
      </c>
      <c r="I1066">
        <f t="shared" si="119"/>
        <v>10</v>
      </c>
      <c r="J1066">
        <v>1</v>
      </c>
      <c r="K1066">
        <f t="shared" si="120"/>
        <v>11</v>
      </c>
      <c r="L1066">
        <f t="shared" si="121"/>
        <v>2021</v>
      </c>
      <c r="N1066" s="17">
        <f t="shared" si="124"/>
        <v>44501</v>
      </c>
      <c r="S1066">
        <f t="shared" si="125"/>
        <v>0</v>
      </c>
    </row>
    <row r="1067" spans="1:19" x14ac:dyDescent="0.3">
      <c r="A1067" s="17">
        <v>44509</v>
      </c>
      <c r="B1067">
        <v>453.12</v>
      </c>
      <c r="C1067">
        <v>82.204999999999998</v>
      </c>
      <c r="D1067">
        <f t="shared" si="122"/>
        <v>370.91500000000002</v>
      </c>
      <c r="E1067">
        <v>0.79</v>
      </c>
      <c r="F1067">
        <f t="shared" si="123"/>
        <v>-370.125</v>
      </c>
      <c r="I1067">
        <f t="shared" si="119"/>
        <v>9</v>
      </c>
      <c r="J1067">
        <v>1</v>
      </c>
      <c r="K1067">
        <f t="shared" si="120"/>
        <v>11</v>
      </c>
      <c r="L1067">
        <f t="shared" si="121"/>
        <v>2021</v>
      </c>
      <c r="N1067" s="17">
        <f t="shared" si="124"/>
        <v>44501</v>
      </c>
      <c r="S1067">
        <f t="shared" si="125"/>
        <v>0</v>
      </c>
    </row>
    <row r="1068" spans="1:19" x14ac:dyDescent="0.3">
      <c r="A1068" s="17">
        <v>44508</v>
      </c>
      <c r="B1068">
        <v>456.26</v>
      </c>
      <c r="C1068">
        <v>81.95</v>
      </c>
      <c r="D1068">
        <f t="shared" si="122"/>
        <v>374.31</v>
      </c>
      <c r="E1068">
        <v>0.85</v>
      </c>
      <c r="F1068">
        <f t="shared" si="123"/>
        <v>-373.46</v>
      </c>
      <c r="I1068">
        <f t="shared" si="119"/>
        <v>8</v>
      </c>
      <c r="J1068">
        <v>1</v>
      </c>
      <c r="K1068">
        <f t="shared" si="120"/>
        <v>11</v>
      </c>
      <c r="L1068">
        <f t="shared" si="121"/>
        <v>2021</v>
      </c>
      <c r="N1068" s="17">
        <f t="shared" si="124"/>
        <v>44501</v>
      </c>
      <c r="S1068">
        <f t="shared" si="125"/>
        <v>0</v>
      </c>
    </row>
    <row r="1069" spans="1:19" x14ac:dyDescent="0.3">
      <c r="A1069" s="17">
        <v>44505</v>
      </c>
      <c r="B1069">
        <v>437.94</v>
      </c>
      <c r="C1069">
        <v>79.45</v>
      </c>
      <c r="D1069">
        <f t="shared" si="122"/>
        <v>358.49</v>
      </c>
      <c r="E1069">
        <v>0.78</v>
      </c>
      <c r="F1069">
        <f t="shared" si="123"/>
        <v>-357.71000000000004</v>
      </c>
      <c r="I1069">
        <f t="shared" si="119"/>
        <v>5</v>
      </c>
      <c r="J1069">
        <v>1</v>
      </c>
      <c r="K1069">
        <f t="shared" si="120"/>
        <v>11</v>
      </c>
      <c r="L1069">
        <f t="shared" si="121"/>
        <v>2021</v>
      </c>
      <c r="N1069" s="17">
        <f t="shared" si="124"/>
        <v>44501</v>
      </c>
      <c r="S1069">
        <f t="shared" si="125"/>
        <v>0</v>
      </c>
    </row>
    <row r="1070" spans="1:19" x14ac:dyDescent="0.3">
      <c r="A1070" s="17">
        <v>44503</v>
      </c>
      <c r="B1070">
        <v>448.51</v>
      </c>
      <c r="C1070">
        <v>81.900000000000006</v>
      </c>
      <c r="D1070">
        <f t="shared" si="122"/>
        <v>366.61</v>
      </c>
      <c r="E1070">
        <v>0.76</v>
      </c>
      <c r="F1070">
        <f t="shared" si="123"/>
        <v>-365.85</v>
      </c>
      <c r="I1070">
        <f t="shared" si="119"/>
        <v>3</v>
      </c>
      <c r="J1070">
        <v>1</v>
      </c>
      <c r="K1070">
        <f t="shared" si="120"/>
        <v>11</v>
      </c>
      <c r="L1070">
        <f t="shared" si="121"/>
        <v>2021</v>
      </c>
      <c r="N1070" s="17">
        <f t="shared" si="124"/>
        <v>44501</v>
      </c>
      <c r="S1070">
        <f t="shared" si="125"/>
        <v>1</v>
      </c>
    </row>
    <row r="1071" spans="1:19" x14ac:dyDescent="0.3">
      <c r="A1071" s="17">
        <v>44502</v>
      </c>
      <c r="B1071">
        <v>459.55</v>
      </c>
      <c r="C1071">
        <v>83.29</v>
      </c>
      <c r="D1071">
        <f t="shared" si="122"/>
        <v>376.26</v>
      </c>
      <c r="E1071">
        <v>0.73</v>
      </c>
      <c r="F1071">
        <f t="shared" si="123"/>
        <v>-375.53</v>
      </c>
      <c r="I1071">
        <f t="shared" si="119"/>
        <v>2</v>
      </c>
      <c r="J1071">
        <v>1</v>
      </c>
      <c r="K1071">
        <f t="shared" si="120"/>
        <v>11</v>
      </c>
      <c r="L1071">
        <f t="shared" si="121"/>
        <v>2021</v>
      </c>
      <c r="N1071" s="17">
        <f t="shared" si="124"/>
        <v>44501</v>
      </c>
      <c r="S1071">
        <f t="shared" si="125"/>
        <v>1</v>
      </c>
    </row>
    <row r="1072" spans="1:19" x14ac:dyDescent="0.3">
      <c r="A1072" s="17">
        <v>44501</v>
      </c>
      <c r="B1072">
        <v>456.43</v>
      </c>
      <c r="C1072">
        <v>81.96</v>
      </c>
      <c r="D1072">
        <f t="shared" si="122"/>
        <v>374.47</v>
      </c>
      <c r="E1072">
        <v>0.79</v>
      </c>
      <c r="F1072">
        <f t="shared" si="123"/>
        <v>-373.68</v>
      </c>
      <c r="I1072">
        <f t="shared" si="119"/>
        <v>1</v>
      </c>
      <c r="J1072">
        <v>1</v>
      </c>
      <c r="K1072">
        <f t="shared" si="120"/>
        <v>11</v>
      </c>
      <c r="L1072">
        <f t="shared" si="121"/>
        <v>2021</v>
      </c>
      <c r="N1072" s="17">
        <f t="shared" si="124"/>
        <v>44501</v>
      </c>
      <c r="S1072">
        <f t="shared" si="125"/>
        <v>1</v>
      </c>
    </row>
    <row r="1073" spans="1:19" x14ac:dyDescent="0.3">
      <c r="A1073" s="17">
        <v>44498</v>
      </c>
      <c r="B1073">
        <v>459.51</v>
      </c>
      <c r="C1073">
        <v>82.55</v>
      </c>
      <c r="D1073">
        <f t="shared" si="122"/>
        <v>376.96</v>
      </c>
      <c r="E1073">
        <v>0.76</v>
      </c>
      <c r="F1073">
        <f t="shared" si="123"/>
        <v>-376.2</v>
      </c>
      <c r="I1073">
        <f t="shared" si="119"/>
        <v>29</v>
      </c>
      <c r="J1073">
        <v>1</v>
      </c>
      <c r="K1073">
        <f t="shared" si="120"/>
        <v>10</v>
      </c>
      <c r="L1073">
        <f t="shared" si="121"/>
        <v>2021</v>
      </c>
      <c r="N1073" s="17">
        <f t="shared" si="124"/>
        <v>44470</v>
      </c>
      <c r="S1073">
        <f t="shared" si="125"/>
        <v>0</v>
      </c>
    </row>
    <row r="1074" spans="1:19" x14ac:dyDescent="0.3">
      <c r="A1074" s="17">
        <v>44497</v>
      </c>
      <c r="B1074">
        <v>449.88</v>
      </c>
      <c r="C1074">
        <v>81.87</v>
      </c>
      <c r="D1074">
        <f t="shared" si="122"/>
        <v>368.01</v>
      </c>
      <c r="E1074">
        <v>0.7</v>
      </c>
      <c r="F1074">
        <f t="shared" si="123"/>
        <v>-367.31</v>
      </c>
      <c r="I1074">
        <f t="shared" si="119"/>
        <v>28</v>
      </c>
      <c r="J1074">
        <v>1</v>
      </c>
      <c r="K1074">
        <f t="shared" si="120"/>
        <v>10</v>
      </c>
      <c r="L1074">
        <f t="shared" si="121"/>
        <v>2021</v>
      </c>
      <c r="N1074" s="17">
        <f t="shared" si="124"/>
        <v>44470</v>
      </c>
      <c r="S1074">
        <f t="shared" si="125"/>
        <v>0</v>
      </c>
    </row>
    <row r="1075" spans="1:19" x14ac:dyDescent="0.3">
      <c r="A1075" s="17">
        <v>44496</v>
      </c>
      <c r="B1075">
        <v>458.3</v>
      </c>
      <c r="C1075">
        <v>83.44</v>
      </c>
      <c r="D1075">
        <f t="shared" si="122"/>
        <v>374.86</v>
      </c>
      <c r="E1075">
        <v>0.63</v>
      </c>
      <c r="F1075">
        <f t="shared" si="123"/>
        <v>-374.23</v>
      </c>
      <c r="I1075">
        <f t="shared" si="119"/>
        <v>27</v>
      </c>
      <c r="J1075">
        <v>1</v>
      </c>
      <c r="K1075">
        <f t="shared" si="120"/>
        <v>10</v>
      </c>
      <c r="L1075">
        <f t="shared" si="121"/>
        <v>2021</v>
      </c>
      <c r="N1075" s="17">
        <f t="shared" si="124"/>
        <v>44470</v>
      </c>
      <c r="S1075">
        <f t="shared" si="125"/>
        <v>0</v>
      </c>
    </row>
    <row r="1076" spans="1:19" x14ac:dyDescent="0.3">
      <c r="A1076" s="17">
        <v>44495</v>
      </c>
      <c r="B1076">
        <v>469.17</v>
      </c>
      <c r="C1076">
        <v>83.91</v>
      </c>
      <c r="D1076">
        <f t="shared" si="122"/>
        <v>385.26</v>
      </c>
      <c r="E1076">
        <v>0.6</v>
      </c>
      <c r="F1076">
        <f t="shared" si="123"/>
        <v>-384.65999999999997</v>
      </c>
      <c r="I1076">
        <f t="shared" si="119"/>
        <v>26</v>
      </c>
      <c r="J1076">
        <v>1</v>
      </c>
      <c r="K1076">
        <f t="shared" si="120"/>
        <v>10</v>
      </c>
      <c r="L1076">
        <f t="shared" si="121"/>
        <v>2021</v>
      </c>
      <c r="N1076" s="17">
        <f t="shared" si="124"/>
        <v>44470</v>
      </c>
      <c r="S1076">
        <f t="shared" si="125"/>
        <v>0</v>
      </c>
    </row>
    <row r="1077" spans="1:19" x14ac:dyDescent="0.3">
      <c r="A1077" s="17">
        <v>44494</v>
      </c>
      <c r="B1077">
        <v>475.77</v>
      </c>
      <c r="C1077">
        <v>84.34</v>
      </c>
      <c r="D1077">
        <f t="shared" si="122"/>
        <v>391.42999999999995</v>
      </c>
      <c r="E1077">
        <v>0.65</v>
      </c>
      <c r="F1077">
        <f t="shared" si="123"/>
        <v>-390.78</v>
      </c>
      <c r="I1077">
        <f t="shared" si="119"/>
        <v>25</v>
      </c>
      <c r="J1077">
        <v>1</v>
      </c>
      <c r="K1077">
        <f t="shared" si="120"/>
        <v>10</v>
      </c>
      <c r="L1077">
        <f t="shared" si="121"/>
        <v>2021</v>
      </c>
      <c r="N1077" s="17">
        <f t="shared" si="124"/>
        <v>44470</v>
      </c>
      <c r="S1077">
        <f t="shared" si="125"/>
        <v>0</v>
      </c>
    </row>
    <row r="1078" spans="1:19" x14ac:dyDescent="0.3">
      <c r="A1078" s="17">
        <v>44491</v>
      </c>
      <c r="B1078">
        <v>464.67</v>
      </c>
      <c r="C1078">
        <v>82.55</v>
      </c>
      <c r="D1078">
        <f t="shared" si="122"/>
        <v>382.12</v>
      </c>
      <c r="E1078">
        <v>0.7</v>
      </c>
      <c r="F1078">
        <f t="shared" si="123"/>
        <v>-381.42</v>
      </c>
      <c r="I1078">
        <f t="shared" si="119"/>
        <v>22</v>
      </c>
      <c r="J1078">
        <v>1</v>
      </c>
      <c r="K1078">
        <f t="shared" si="120"/>
        <v>10</v>
      </c>
      <c r="L1078">
        <f t="shared" si="121"/>
        <v>2021</v>
      </c>
      <c r="N1078" s="17">
        <f t="shared" si="124"/>
        <v>44470</v>
      </c>
      <c r="S1078">
        <f t="shared" si="125"/>
        <v>0</v>
      </c>
    </row>
    <row r="1079" spans="1:19" x14ac:dyDescent="0.3">
      <c r="A1079" s="17">
        <v>44490</v>
      </c>
      <c r="B1079">
        <v>476.06</v>
      </c>
      <c r="C1079">
        <v>83.1</v>
      </c>
      <c r="D1079">
        <f t="shared" si="122"/>
        <v>392.96000000000004</v>
      </c>
      <c r="E1079">
        <v>0.72</v>
      </c>
      <c r="F1079">
        <f t="shared" si="123"/>
        <v>-392.24</v>
      </c>
      <c r="I1079">
        <f t="shared" si="119"/>
        <v>21</v>
      </c>
      <c r="J1079">
        <v>1</v>
      </c>
      <c r="K1079">
        <f t="shared" si="120"/>
        <v>10</v>
      </c>
      <c r="L1079">
        <f t="shared" si="121"/>
        <v>2021</v>
      </c>
      <c r="N1079" s="17">
        <f t="shared" si="124"/>
        <v>44470</v>
      </c>
      <c r="S1079">
        <f t="shared" si="125"/>
        <v>0</v>
      </c>
    </row>
    <row r="1080" spans="1:19" x14ac:dyDescent="0.3">
      <c r="A1080" s="17">
        <v>44489</v>
      </c>
      <c r="B1080">
        <v>481.69</v>
      </c>
      <c r="C1080">
        <v>82.54</v>
      </c>
      <c r="D1080">
        <f t="shared" si="122"/>
        <v>399.15</v>
      </c>
      <c r="E1080">
        <v>0.69</v>
      </c>
      <c r="F1080">
        <f t="shared" si="123"/>
        <v>-398.46</v>
      </c>
      <c r="I1080">
        <f t="shared" si="119"/>
        <v>20</v>
      </c>
      <c r="J1080">
        <v>1</v>
      </c>
      <c r="K1080">
        <f t="shared" si="120"/>
        <v>10</v>
      </c>
      <c r="L1080">
        <f t="shared" si="121"/>
        <v>2021</v>
      </c>
      <c r="N1080" s="17">
        <f t="shared" si="124"/>
        <v>44470</v>
      </c>
      <c r="S1080">
        <f t="shared" si="125"/>
        <v>0</v>
      </c>
    </row>
    <row r="1081" spans="1:19" x14ac:dyDescent="0.3">
      <c r="A1081" s="17">
        <v>44488</v>
      </c>
      <c r="B1081">
        <v>483.05</v>
      </c>
      <c r="C1081">
        <v>82.99</v>
      </c>
      <c r="D1081">
        <f t="shared" si="122"/>
        <v>400.06</v>
      </c>
      <c r="E1081">
        <v>0.65</v>
      </c>
      <c r="F1081">
        <f t="shared" si="123"/>
        <v>-399.41</v>
      </c>
      <c r="I1081">
        <f t="shared" si="119"/>
        <v>19</v>
      </c>
      <c r="J1081">
        <v>1</v>
      </c>
      <c r="K1081">
        <f t="shared" si="120"/>
        <v>10</v>
      </c>
      <c r="L1081">
        <f t="shared" si="121"/>
        <v>2021</v>
      </c>
      <c r="N1081" s="17">
        <f t="shared" si="124"/>
        <v>44470</v>
      </c>
      <c r="S1081">
        <f t="shared" si="125"/>
        <v>0</v>
      </c>
    </row>
    <row r="1082" spans="1:19" x14ac:dyDescent="0.3">
      <c r="A1082" s="17">
        <v>44487</v>
      </c>
      <c r="B1082">
        <v>494.58</v>
      </c>
      <c r="C1082">
        <v>83.86</v>
      </c>
      <c r="D1082">
        <f t="shared" si="122"/>
        <v>410.71999999999997</v>
      </c>
      <c r="E1082">
        <v>0.64</v>
      </c>
      <c r="F1082">
        <f t="shared" si="123"/>
        <v>-410.08</v>
      </c>
      <c r="I1082">
        <f t="shared" si="119"/>
        <v>18</v>
      </c>
      <c r="J1082">
        <v>1</v>
      </c>
      <c r="K1082">
        <f t="shared" si="120"/>
        <v>10</v>
      </c>
      <c r="L1082">
        <f t="shared" si="121"/>
        <v>2021</v>
      </c>
      <c r="N1082" s="17">
        <f t="shared" si="124"/>
        <v>44470</v>
      </c>
      <c r="S1082">
        <f t="shared" si="125"/>
        <v>0</v>
      </c>
    </row>
    <row r="1083" spans="1:19" x14ac:dyDescent="0.3">
      <c r="A1083" s="17">
        <v>44484</v>
      </c>
      <c r="B1083">
        <v>504.59</v>
      </c>
      <c r="C1083">
        <v>82.995000000000005</v>
      </c>
      <c r="D1083">
        <f t="shared" si="122"/>
        <v>421.59499999999997</v>
      </c>
      <c r="E1083">
        <v>0.56000000000000005</v>
      </c>
      <c r="F1083">
        <f t="shared" si="123"/>
        <v>-421.03499999999997</v>
      </c>
      <c r="I1083">
        <f t="shared" si="119"/>
        <v>15</v>
      </c>
      <c r="J1083">
        <v>1</v>
      </c>
      <c r="K1083">
        <f t="shared" si="120"/>
        <v>10</v>
      </c>
      <c r="L1083">
        <f t="shared" si="121"/>
        <v>2021</v>
      </c>
      <c r="N1083" s="17">
        <f t="shared" si="124"/>
        <v>44470</v>
      </c>
      <c r="S1083">
        <f t="shared" si="125"/>
        <v>0</v>
      </c>
    </row>
    <row r="1084" spans="1:19" x14ac:dyDescent="0.3">
      <c r="A1084" s="17">
        <v>44483</v>
      </c>
      <c r="B1084">
        <v>496.76</v>
      </c>
      <c r="C1084">
        <v>82.25</v>
      </c>
      <c r="D1084">
        <f t="shared" si="122"/>
        <v>414.51</v>
      </c>
      <c r="E1084">
        <v>0.43</v>
      </c>
      <c r="F1084">
        <f t="shared" si="123"/>
        <v>-414.08</v>
      </c>
      <c r="I1084">
        <f t="shared" si="119"/>
        <v>14</v>
      </c>
      <c r="J1084">
        <v>1</v>
      </c>
      <c r="K1084">
        <f t="shared" si="120"/>
        <v>10</v>
      </c>
      <c r="L1084">
        <f t="shared" si="121"/>
        <v>2021</v>
      </c>
      <c r="N1084" s="17">
        <f t="shared" si="124"/>
        <v>44470</v>
      </c>
      <c r="S1084">
        <f t="shared" si="125"/>
        <v>0</v>
      </c>
    </row>
    <row r="1085" spans="1:19" x14ac:dyDescent="0.3">
      <c r="A1085" s="17">
        <v>44482</v>
      </c>
      <c r="B1085">
        <v>495.7</v>
      </c>
      <c r="C1085">
        <v>81.400000000000006</v>
      </c>
      <c r="D1085">
        <f t="shared" si="122"/>
        <v>414.29999999999995</v>
      </c>
      <c r="E1085">
        <v>0.45</v>
      </c>
      <c r="F1085">
        <f t="shared" si="123"/>
        <v>-413.84999999999997</v>
      </c>
      <c r="I1085">
        <f t="shared" si="119"/>
        <v>13</v>
      </c>
      <c r="J1085">
        <v>1</v>
      </c>
      <c r="K1085">
        <f t="shared" si="120"/>
        <v>10</v>
      </c>
      <c r="L1085">
        <f t="shared" si="121"/>
        <v>2021</v>
      </c>
      <c r="N1085" s="17">
        <f t="shared" si="124"/>
        <v>44470</v>
      </c>
      <c r="S1085">
        <f t="shared" si="125"/>
        <v>0</v>
      </c>
    </row>
    <row r="1086" spans="1:19" x14ac:dyDescent="0.3">
      <c r="A1086" s="17">
        <v>44481</v>
      </c>
      <c r="B1086">
        <v>508.69</v>
      </c>
      <c r="C1086">
        <v>82.05</v>
      </c>
      <c r="D1086">
        <f t="shared" si="122"/>
        <v>426.64</v>
      </c>
      <c r="E1086">
        <v>0.52</v>
      </c>
      <c r="F1086">
        <f t="shared" si="123"/>
        <v>-426.12</v>
      </c>
      <c r="I1086">
        <f t="shared" si="119"/>
        <v>12</v>
      </c>
      <c r="J1086">
        <v>1</v>
      </c>
      <c r="K1086">
        <f t="shared" si="120"/>
        <v>10</v>
      </c>
      <c r="L1086">
        <f t="shared" si="121"/>
        <v>2021</v>
      </c>
      <c r="N1086" s="17">
        <f t="shared" si="124"/>
        <v>44470</v>
      </c>
      <c r="S1086">
        <f t="shared" si="125"/>
        <v>0</v>
      </c>
    </row>
    <row r="1087" spans="1:19" x14ac:dyDescent="0.3">
      <c r="A1087" s="17">
        <v>44480</v>
      </c>
      <c r="B1087">
        <v>511.17</v>
      </c>
      <c r="C1087">
        <v>81.995000000000005</v>
      </c>
      <c r="D1087">
        <f t="shared" si="122"/>
        <v>429.17500000000001</v>
      </c>
      <c r="E1087">
        <v>0.52</v>
      </c>
      <c r="F1087">
        <f t="shared" si="123"/>
        <v>-428.65500000000003</v>
      </c>
      <c r="I1087">
        <f t="shared" si="119"/>
        <v>11</v>
      </c>
      <c r="J1087">
        <v>1</v>
      </c>
      <c r="K1087">
        <f t="shared" si="120"/>
        <v>10</v>
      </c>
      <c r="L1087">
        <f t="shared" si="121"/>
        <v>2021</v>
      </c>
      <c r="N1087" s="17">
        <f t="shared" si="124"/>
        <v>44470</v>
      </c>
      <c r="S1087">
        <f t="shared" si="125"/>
        <v>0</v>
      </c>
    </row>
    <row r="1088" spans="1:19" x14ac:dyDescent="0.3">
      <c r="A1088" s="17">
        <v>44477</v>
      </c>
      <c r="B1088">
        <v>501.62</v>
      </c>
      <c r="C1088">
        <v>81.194999999999993</v>
      </c>
      <c r="D1088">
        <f t="shared" si="122"/>
        <v>420.42500000000001</v>
      </c>
      <c r="E1088">
        <v>0.34</v>
      </c>
      <c r="F1088">
        <f t="shared" si="123"/>
        <v>-420.08500000000004</v>
      </c>
      <c r="I1088">
        <f t="shared" si="119"/>
        <v>8</v>
      </c>
      <c r="J1088">
        <v>1</v>
      </c>
      <c r="K1088">
        <f t="shared" si="120"/>
        <v>10</v>
      </c>
      <c r="L1088">
        <f t="shared" si="121"/>
        <v>2021</v>
      </c>
      <c r="N1088" s="17">
        <f t="shared" si="124"/>
        <v>44470</v>
      </c>
      <c r="S1088">
        <f t="shared" si="125"/>
        <v>0</v>
      </c>
    </row>
    <row r="1089" spans="1:19" x14ac:dyDescent="0.3">
      <c r="A1089" s="17">
        <v>44476</v>
      </c>
      <c r="B1089">
        <v>486.55</v>
      </c>
      <c r="C1089">
        <v>77.39</v>
      </c>
      <c r="D1089">
        <f t="shared" si="122"/>
        <v>409.16</v>
      </c>
      <c r="E1089">
        <v>0.28999999999999998</v>
      </c>
      <c r="F1089">
        <f t="shared" si="123"/>
        <v>-408.87</v>
      </c>
      <c r="I1089">
        <f t="shared" si="119"/>
        <v>7</v>
      </c>
      <c r="J1089">
        <v>1</v>
      </c>
      <c r="K1089">
        <f t="shared" si="120"/>
        <v>10</v>
      </c>
      <c r="L1089">
        <f t="shared" si="121"/>
        <v>2021</v>
      </c>
      <c r="N1089" s="17">
        <f t="shared" si="124"/>
        <v>44470</v>
      </c>
      <c r="S1089">
        <f t="shared" si="125"/>
        <v>0</v>
      </c>
    </row>
    <row r="1090" spans="1:19" x14ac:dyDescent="0.3">
      <c r="A1090" s="17">
        <v>44475</v>
      </c>
      <c r="B1090">
        <v>498.99</v>
      </c>
      <c r="C1090">
        <v>80.540000000000006</v>
      </c>
      <c r="D1090">
        <f t="shared" si="122"/>
        <v>418.45</v>
      </c>
      <c r="E1090">
        <v>0.31</v>
      </c>
      <c r="F1090">
        <f t="shared" si="123"/>
        <v>-418.14</v>
      </c>
      <c r="I1090">
        <f t="shared" si="119"/>
        <v>6</v>
      </c>
      <c r="J1090">
        <v>1</v>
      </c>
      <c r="K1090">
        <f t="shared" si="120"/>
        <v>10</v>
      </c>
      <c r="L1090">
        <f t="shared" si="121"/>
        <v>2021</v>
      </c>
      <c r="N1090" s="17">
        <f t="shared" si="124"/>
        <v>44470</v>
      </c>
      <c r="S1090">
        <f t="shared" si="125"/>
        <v>0</v>
      </c>
    </row>
    <row r="1091" spans="1:19" x14ac:dyDescent="0.3">
      <c r="A1091" s="17">
        <v>44474</v>
      </c>
      <c r="B1091">
        <v>491.28</v>
      </c>
      <c r="C1091">
        <v>79.540000000000006</v>
      </c>
      <c r="D1091">
        <f t="shared" si="122"/>
        <v>411.73999999999995</v>
      </c>
      <c r="E1091">
        <v>0.28000000000000003</v>
      </c>
      <c r="F1091">
        <f t="shared" si="123"/>
        <v>-411.46</v>
      </c>
      <c r="I1091">
        <f t="shared" si="119"/>
        <v>5</v>
      </c>
      <c r="J1091">
        <v>1</v>
      </c>
      <c r="K1091">
        <f t="shared" si="120"/>
        <v>10</v>
      </c>
      <c r="L1091">
        <f t="shared" si="121"/>
        <v>2021</v>
      </c>
      <c r="N1091" s="17">
        <f t="shared" si="124"/>
        <v>44470</v>
      </c>
      <c r="S1091">
        <f t="shared" si="125"/>
        <v>0</v>
      </c>
    </row>
    <row r="1092" spans="1:19" x14ac:dyDescent="0.3">
      <c r="A1092" s="17">
        <v>44473</v>
      </c>
      <c r="B1092">
        <v>469.59</v>
      </c>
      <c r="C1092">
        <v>77.14</v>
      </c>
      <c r="D1092">
        <f t="shared" si="122"/>
        <v>392.45</v>
      </c>
      <c r="E1092">
        <v>0.33</v>
      </c>
      <c r="F1092">
        <f t="shared" si="123"/>
        <v>-392.12</v>
      </c>
      <c r="I1092">
        <f t="shared" si="119"/>
        <v>4</v>
      </c>
      <c r="J1092">
        <v>1</v>
      </c>
      <c r="K1092">
        <f t="shared" si="120"/>
        <v>10</v>
      </c>
      <c r="L1092">
        <f t="shared" si="121"/>
        <v>2021</v>
      </c>
      <c r="N1092" s="17">
        <f t="shared" si="124"/>
        <v>44470</v>
      </c>
      <c r="S1092">
        <f t="shared" si="125"/>
        <v>1</v>
      </c>
    </row>
    <row r="1093" spans="1:19" x14ac:dyDescent="0.3">
      <c r="A1093" s="17">
        <v>44470</v>
      </c>
      <c r="B1093">
        <v>463.43</v>
      </c>
      <c r="C1093">
        <v>75.650000000000006</v>
      </c>
      <c r="D1093">
        <f t="shared" si="122"/>
        <v>387.78</v>
      </c>
      <c r="E1093">
        <v>0.33</v>
      </c>
      <c r="F1093">
        <f t="shared" si="123"/>
        <v>-387.45</v>
      </c>
      <c r="I1093">
        <f t="shared" ref="I1093:I1156" si="126">+DAY(A1093)</f>
        <v>1</v>
      </c>
      <c r="J1093">
        <v>1</v>
      </c>
      <c r="K1093">
        <f t="shared" ref="K1093:K1156" si="127">+MONTH(A1093)</f>
        <v>10</v>
      </c>
      <c r="L1093">
        <f t="shared" ref="L1093:L1156" si="128">+YEAR(A1093)</f>
        <v>2021</v>
      </c>
      <c r="N1093" s="17">
        <f t="shared" si="124"/>
        <v>44470</v>
      </c>
      <c r="S1093">
        <f t="shared" si="125"/>
        <v>1</v>
      </c>
    </row>
    <row r="1094" spans="1:19" x14ac:dyDescent="0.3">
      <c r="A1094" s="17">
        <v>44469</v>
      </c>
      <c r="B1094">
        <v>466.98</v>
      </c>
      <c r="C1094">
        <v>75.95</v>
      </c>
      <c r="D1094">
        <f t="shared" ref="D1094:D1157" si="129">+B1094-C1094</f>
        <v>391.03000000000003</v>
      </c>
      <c r="E1094">
        <v>0.47</v>
      </c>
      <c r="F1094">
        <f t="shared" ref="F1094:F1157" si="130">+E1094-D1094</f>
        <v>-390.56</v>
      </c>
      <c r="I1094">
        <f t="shared" si="126"/>
        <v>30</v>
      </c>
      <c r="J1094">
        <v>1</v>
      </c>
      <c r="K1094">
        <f t="shared" si="127"/>
        <v>9</v>
      </c>
      <c r="L1094">
        <f t="shared" si="128"/>
        <v>2021</v>
      </c>
      <c r="N1094" s="17">
        <f t="shared" ref="N1094:N1157" si="131">+DATE(L1094,K1094,J1094)</f>
        <v>44440</v>
      </c>
      <c r="S1094">
        <f t="shared" ref="S1094:S1157" si="132">IF(AND(I1094&gt;=1, I1094&lt;=4), 1, 0)</f>
        <v>0</v>
      </c>
    </row>
    <row r="1095" spans="1:19" x14ac:dyDescent="0.3">
      <c r="A1095" s="17">
        <v>44468</v>
      </c>
      <c r="B1095">
        <v>463.14</v>
      </c>
      <c r="C1095">
        <v>75.66</v>
      </c>
      <c r="D1095">
        <f t="shared" si="129"/>
        <v>387.48</v>
      </c>
      <c r="E1095">
        <v>0.51</v>
      </c>
      <c r="F1095">
        <f t="shared" si="130"/>
        <v>-386.97</v>
      </c>
      <c r="I1095">
        <f t="shared" si="126"/>
        <v>29</v>
      </c>
      <c r="J1095">
        <v>1</v>
      </c>
      <c r="K1095">
        <f t="shared" si="127"/>
        <v>9</v>
      </c>
      <c r="L1095">
        <f t="shared" si="128"/>
        <v>2021</v>
      </c>
      <c r="N1095" s="17">
        <f t="shared" si="131"/>
        <v>44440</v>
      </c>
      <c r="S1095">
        <f t="shared" si="132"/>
        <v>0</v>
      </c>
    </row>
    <row r="1096" spans="1:19" x14ac:dyDescent="0.3">
      <c r="A1096" s="17">
        <v>44467</v>
      </c>
      <c r="B1096">
        <v>467.28</v>
      </c>
      <c r="C1096">
        <v>77.3</v>
      </c>
      <c r="D1096">
        <f t="shared" si="129"/>
        <v>389.97999999999996</v>
      </c>
      <c r="E1096">
        <v>0.54</v>
      </c>
      <c r="F1096">
        <f t="shared" si="130"/>
        <v>-389.43999999999994</v>
      </c>
      <c r="I1096">
        <f t="shared" si="126"/>
        <v>28</v>
      </c>
      <c r="J1096">
        <v>1</v>
      </c>
      <c r="K1096">
        <f t="shared" si="127"/>
        <v>9</v>
      </c>
      <c r="L1096">
        <f t="shared" si="128"/>
        <v>2021</v>
      </c>
      <c r="N1096" s="17">
        <f t="shared" si="131"/>
        <v>44440</v>
      </c>
      <c r="S1096">
        <f t="shared" si="132"/>
        <v>0</v>
      </c>
    </row>
    <row r="1097" spans="1:19" x14ac:dyDescent="0.3">
      <c r="A1097" s="17">
        <v>44466</v>
      </c>
      <c r="B1097">
        <v>465.39</v>
      </c>
      <c r="C1097">
        <v>76.150000000000006</v>
      </c>
      <c r="D1097">
        <f t="shared" si="129"/>
        <v>389.24</v>
      </c>
      <c r="E1097">
        <v>0.45</v>
      </c>
      <c r="F1097">
        <f t="shared" si="130"/>
        <v>-388.79</v>
      </c>
      <c r="I1097">
        <f t="shared" si="126"/>
        <v>27</v>
      </c>
      <c r="J1097">
        <v>1</v>
      </c>
      <c r="K1097">
        <f t="shared" si="127"/>
        <v>9</v>
      </c>
      <c r="L1097">
        <f t="shared" si="128"/>
        <v>2021</v>
      </c>
      <c r="N1097" s="17">
        <f t="shared" si="131"/>
        <v>44440</v>
      </c>
      <c r="S1097">
        <f t="shared" si="132"/>
        <v>0</v>
      </c>
    </row>
    <row r="1098" spans="1:19" x14ac:dyDescent="0.3">
      <c r="A1098" s="17">
        <v>44463</v>
      </c>
      <c r="B1098">
        <v>464.42</v>
      </c>
      <c r="C1098">
        <v>74.760000000000005</v>
      </c>
      <c r="D1098">
        <f t="shared" si="129"/>
        <v>389.66</v>
      </c>
      <c r="E1098">
        <v>0.46</v>
      </c>
      <c r="F1098">
        <f t="shared" si="130"/>
        <v>-389.20000000000005</v>
      </c>
      <c r="I1098">
        <f t="shared" si="126"/>
        <v>24</v>
      </c>
      <c r="J1098">
        <v>1</v>
      </c>
      <c r="K1098">
        <f t="shared" si="127"/>
        <v>9</v>
      </c>
      <c r="L1098">
        <f t="shared" si="128"/>
        <v>2021</v>
      </c>
      <c r="N1098" s="17">
        <f t="shared" si="131"/>
        <v>44440</v>
      </c>
      <c r="S1098">
        <f t="shared" si="132"/>
        <v>0</v>
      </c>
    </row>
    <row r="1099" spans="1:19" x14ac:dyDescent="0.3">
      <c r="A1099" s="17">
        <v>44462</v>
      </c>
      <c r="B1099">
        <v>463.58</v>
      </c>
      <c r="C1099">
        <v>74.09</v>
      </c>
      <c r="D1099">
        <f t="shared" si="129"/>
        <v>389.49</v>
      </c>
      <c r="E1099">
        <v>0.44</v>
      </c>
      <c r="F1099">
        <f t="shared" si="130"/>
        <v>-389.05</v>
      </c>
      <c r="I1099">
        <f t="shared" si="126"/>
        <v>23</v>
      </c>
      <c r="J1099">
        <v>1</v>
      </c>
      <c r="K1099">
        <f t="shared" si="127"/>
        <v>9</v>
      </c>
      <c r="L1099">
        <f t="shared" si="128"/>
        <v>2021</v>
      </c>
      <c r="N1099" s="17">
        <f t="shared" si="131"/>
        <v>44440</v>
      </c>
      <c r="S1099">
        <f t="shared" si="132"/>
        <v>0</v>
      </c>
    </row>
    <row r="1100" spans="1:19" x14ac:dyDescent="0.3">
      <c r="A1100" s="17">
        <v>44461</v>
      </c>
      <c r="B1100">
        <v>452.74</v>
      </c>
      <c r="C1100">
        <v>73.260000000000005</v>
      </c>
      <c r="D1100">
        <f t="shared" si="129"/>
        <v>379.48</v>
      </c>
      <c r="E1100">
        <v>0.47</v>
      </c>
      <c r="F1100">
        <f t="shared" si="130"/>
        <v>-379.01</v>
      </c>
      <c r="I1100">
        <f t="shared" si="126"/>
        <v>22</v>
      </c>
      <c r="J1100">
        <v>1</v>
      </c>
      <c r="K1100">
        <f t="shared" si="127"/>
        <v>9</v>
      </c>
      <c r="L1100">
        <f t="shared" si="128"/>
        <v>2021</v>
      </c>
      <c r="N1100" s="17">
        <f t="shared" si="131"/>
        <v>44440</v>
      </c>
      <c r="S1100">
        <f t="shared" si="132"/>
        <v>0</v>
      </c>
    </row>
    <row r="1101" spans="1:19" x14ac:dyDescent="0.3">
      <c r="A1101" s="17">
        <v>44460</v>
      </c>
      <c r="B1101">
        <v>446.21</v>
      </c>
      <c r="C1101">
        <v>72.86</v>
      </c>
      <c r="D1101">
        <f t="shared" si="129"/>
        <v>373.34999999999997</v>
      </c>
      <c r="E1101">
        <v>0.49</v>
      </c>
      <c r="F1101">
        <f t="shared" si="130"/>
        <v>-372.85999999999996</v>
      </c>
      <c r="I1101">
        <f t="shared" si="126"/>
        <v>21</v>
      </c>
      <c r="J1101">
        <v>1</v>
      </c>
      <c r="K1101">
        <f t="shared" si="127"/>
        <v>9</v>
      </c>
      <c r="L1101">
        <f t="shared" si="128"/>
        <v>2021</v>
      </c>
      <c r="N1101" s="17">
        <f t="shared" si="131"/>
        <v>44440</v>
      </c>
      <c r="S1101">
        <f t="shared" si="132"/>
        <v>0</v>
      </c>
    </row>
    <row r="1102" spans="1:19" x14ac:dyDescent="0.3">
      <c r="A1102" s="17">
        <v>44459</v>
      </c>
      <c r="B1102">
        <v>440.29</v>
      </c>
      <c r="C1102">
        <v>72.099999999999994</v>
      </c>
      <c r="D1102">
        <f t="shared" si="129"/>
        <v>368.19000000000005</v>
      </c>
      <c r="E1102">
        <v>0.42</v>
      </c>
      <c r="F1102">
        <f t="shared" si="130"/>
        <v>-367.77000000000004</v>
      </c>
      <c r="I1102">
        <f t="shared" si="126"/>
        <v>20</v>
      </c>
      <c r="J1102">
        <v>1</v>
      </c>
      <c r="K1102">
        <f t="shared" si="127"/>
        <v>9</v>
      </c>
      <c r="L1102">
        <f t="shared" si="128"/>
        <v>2021</v>
      </c>
      <c r="N1102" s="17">
        <f t="shared" si="131"/>
        <v>44440</v>
      </c>
      <c r="S1102">
        <f t="shared" si="132"/>
        <v>0</v>
      </c>
    </row>
    <row r="1103" spans="1:19" x14ac:dyDescent="0.3">
      <c r="A1103" s="17">
        <v>44456</v>
      </c>
      <c r="B1103">
        <v>446.93</v>
      </c>
      <c r="C1103">
        <v>73.05</v>
      </c>
      <c r="D1103">
        <f t="shared" si="129"/>
        <v>373.88</v>
      </c>
      <c r="E1103">
        <v>0.32</v>
      </c>
      <c r="F1103">
        <f t="shared" si="130"/>
        <v>-373.56</v>
      </c>
      <c r="I1103">
        <f t="shared" si="126"/>
        <v>17</v>
      </c>
      <c r="J1103">
        <v>1</v>
      </c>
      <c r="K1103">
        <f t="shared" si="127"/>
        <v>9</v>
      </c>
      <c r="L1103">
        <f t="shared" si="128"/>
        <v>2021</v>
      </c>
      <c r="N1103" s="17">
        <f t="shared" si="131"/>
        <v>44440</v>
      </c>
      <c r="S1103">
        <f t="shared" si="132"/>
        <v>0</v>
      </c>
    </row>
    <row r="1104" spans="1:19" x14ac:dyDescent="0.3">
      <c r="A1104" s="17">
        <v>44455</v>
      </c>
      <c r="B1104">
        <v>451.06</v>
      </c>
      <c r="C1104">
        <v>73.069999999999993</v>
      </c>
      <c r="D1104">
        <f t="shared" si="129"/>
        <v>377.99</v>
      </c>
      <c r="E1104">
        <v>0.31</v>
      </c>
      <c r="F1104">
        <f t="shared" si="130"/>
        <v>-377.68</v>
      </c>
      <c r="I1104">
        <f t="shared" si="126"/>
        <v>16</v>
      </c>
      <c r="J1104">
        <v>1</v>
      </c>
      <c r="K1104">
        <f t="shared" si="127"/>
        <v>9</v>
      </c>
      <c r="L1104">
        <f t="shared" si="128"/>
        <v>2021</v>
      </c>
      <c r="N1104" s="17">
        <f t="shared" si="131"/>
        <v>44440</v>
      </c>
      <c r="S1104">
        <f t="shared" si="132"/>
        <v>0</v>
      </c>
    </row>
    <row r="1105" spans="1:19" x14ac:dyDescent="0.3">
      <c r="A1105" s="17">
        <v>44454</v>
      </c>
      <c r="B1105">
        <v>445.06</v>
      </c>
      <c r="C1105">
        <v>72.239999999999995</v>
      </c>
      <c r="D1105">
        <f t="shared" si="129"/>
        <v>372.82</v>
      </c>
      <c r="E1105">
        <v>0.31</v>
      </c>
      <c r="F1105">
        <f t="shared" si="130"/>
        <v>-372.51</v>
      </c>
      <c r="I1105">
        <f t="shared" si="126"/>
        <v>15</v>
      </c>
      <c r="J1105">
        <v>1</v>
      </c>
      <c r="K1105">
        <f t="shared" si="127"/>
        <v>9</v>
      </c>
      <c r="L1105">
        <f t="shared" si="128"/>
        <v>2021</v>
      </c>
      <c r="N1105" s="17">
        <f t="shared" si="131"/>
        <v>44440</v>
      </c>
      <c r="S1105">
        <f t="shared" si="132"/>
        <v>0</v>
      </c>
    </row>
    <row r="1106" spans="1:19" x14ac:dyDescent="0.3">
      <c r="A1106" s="17">
        <v>44453</v>
      </c>
      <c r="B1106">
        <v>444.76</v>
      </c>
      <c r="C1106">
        <v>72.260000000000005</v>
      </c>
      <c r="D1106">
        <f t="shared" si="129"/>
        <v>372.5</v>
      </c>
      <c r="E1106">
        <v>0.38</v>
      </c>
      <c r="F1106">
        <f t="shared" si="130"/>
        <v>-372.12</v>
      </c>
      <c r="I1106">
        <f t="shared" si="126"/>
        <v>14</v>
      </c>
      <c r="J1106">
        <v>1</v>
      </c>
      <c r="K1106">
        <f t="shared" si="127"/>
        <v>9</v>
      </c>
      <c r="L1106">
        <f t="shared" si="128"/>
        <v>2021</v>
      </c>
      <c r="N1106" s="17">
        <f t="shared" si="131"/>
        <v>44440</v>
      </c>
      <c r="S1106">
        <f t="shared" si="132"/>
        <v>0</v>
      </c>
    </row>
    <row r="1107" spans="1:19" x14ac:dyDescent="0.3">
      <c r="A1107" s="17">
        <v>44452</v>
      </c>
      <c r="B1107">
        <v>441.4</v>
      </c>
      <c r="C1107">
        <v>71.69</v>
      </c>
      <c r="D1107">
        <f t="shared" si="129"/>
        <v>369.71</v>
      </c>
      <c r="E1107">
        <v>0.38</v>
      </c>
      <c r="F1107">
        <f t="shared" si="130"/>
        <v>-369.33</v>
      </c>
      <c r="I1107">
        <f t="shared" si="126"/>
        <v>13</v>
      </c>
      <c r="J1107">
        <v>1</v>
      </c>
      <c r="K1107">
        <f t="shared" si="127"/>
        <v>9</v>
      </c>
      <c r="L1107">
        <f t="shared" si="128"/>
        <v>2021</v>
      </c>
      <c r="N1107" s="17">
        <f t="shared" si="131"/>
        <v>44440</v>
      </c>
      <c r="S1107">
        <f t="shared" si="132"/>
        <v>0</v>
      </c>
    </row>
    <row r="1108" spans="1:19" x14ac:dyDescent="0.3">
      <c r="A1108" s="17">
        <v>44449</v>
      </c>
      <c r="B1108">
        <v>442.25</v>
      </c>
      <c r="C1108">
        <v>70.86</v>
      </c>
      <c r="D1108">
        <f t="shared" si="129"/>
        <v>371.39</v>
      </c>
      <c r="E1108">
        <v>0.38</v>
      </c>
      <c r="F1108">
        <f t="shared" si="130"/>
        <v>-371.01</v>
      </c>
      <c r="I1108">
        <f t="shared" si="126"/>
        <v>10</v>
      </c>
      <c r="J1108">
        <v>1</v>
      </c>
      <c r="K1108">
        <f t="shared" si="127"/>
        <v>9</v>
      </c>
      <c r="L1108">
        <f t="shared" si="128"/>
        <v>2021</v>
      </c>
      <c r="N1108" s="17">
        <f t="shared" si="131"/>
        <v>44440</v>
      </c>
      <c r="S1108">
        <f t="shared" si="132"/>
        <v>0</v>
      </c>
    </row>
    <row r="1109" spans="1:19" x14ac:dyDescent="0.3">
      <c r="A1109" s="17">
        <v>44448</v>
      </c>
      <c r="B1109">
        <v>439.65</v>
      </c>
      <c r="C1109">
        <v>70.644999999999996</v>
      </c>
      <c r="D1109">
        <f t="shared" si="129"/>
        <v>369.005</v>
      </c>
      <c r="E1109">
        <v>0.34</v>
      </c>
      <c r="F1109">
        <f t="shared" si="130"/>
        <v>-368.66500000000002</v>
      </c>
      <c r="I1109">
        <f t="shared" si="126"/>
        <v>9</v>
      </c>
      <c r="J1109">
        <v>1</v>
      </c>
      <c r="K1109">
        <f t="shared" si="127"/>
        <v>9</v>
      </c>
      <c r="L1109">
        <f t="shared" si="128"/>
        <v>2021</v>
      </c>
      <c r="N1109" s="17">
        <f t="shared" si="131"/>
        <v>44440</v>
      </c>
      <c r="S1109">
        <f t="shared" si="132"/>
        <v>0</v>
      </c>
    </row>
    <row r="1110" spans="1:19" x14ac:dyDescent="0.3">
      <c r="A1110" s="17">
        <v>44447</v>
      </c>
      <c r="B1110">
        <v>440.45</v>
      </c>
      <c r="C1110">
        <v>69.75</v>
      </c>
      <c r="D1110">
        <f t="shared" si="129"/>
        <v>370.7</v>
      </c>
      <c r="E1110">
        <v>0.33</v>
      </c>
      <c r="F1110">
        <f t="shared" si="130"/>
        <v>-370.37</v>
      </c>
      <c r="I1110">
        <f t="shared" si="126"/>
        <v>8</v>
      </c>
      <c r="J1110">
        <v>1</v>
      </c>
      <c r="K1110">
        <f t="shared" si="127"/>
        <v>9</v>
      </c>
      <c r="L1110">
        <f t="shared" si="128"/>
        <v>2021</v>
      </c>
      <c r="N1110" s="17">
        <f t="shared" si="131"/>
        <v>44440</v>
      </c>
      <c r="S1110">
        <f t="shared" si="132"/>
        <v>0</v>
      </c>
    </row>
    <row r="1111" spans="1:19" x14ac:dyDescent="0.3">
      <c r="A1111" s="17">
        <v>44446</v>
      </c>
      <c r="B1111">
        <v>432.92</v>
      </c>
      <c r="C1111">
        <v>70.31</v>
      </c>
      <c r="D1111">
        <f t="shared" si="129"/>
        <v>362.61</v>
      </c>
      <c r="E1111">
        <v>0.28999999999999998</v>
      </c>
      <c r="F1111">
        <f t="shared" si="130"/>
        <v>-362.32</v>
      </c>
      <c r="I1111">
        <f t="shared" si="126"/>
        <v>7</v>
      </c>
      <c r="J1111">
        <v>1</v>
      </c>
      <c r="K1111">
        <f t="shared" si="127"/>
        <v>9</v>
      </c>
      <c r="L1111">
        <f t="shared" si="128"/>
        <v>2021</v>
      </c>
      <c r="N1111" s="17">
        <f t="shared" si="131"/>
        <v>44440</v>
      </c>
      <c r="S1111">
        <f t="shared" si="132"/>
        <v>0</v>
      </c>
    </row>
    <row r="1112" spans="1:19" x14ac:dyDescent="0.3">
      <c r="A1112" s="17">
        <v>44445</v>
      </c>
      <c r="B1112">
        <v>427.25</v>
      </c>
      <c r="C1112">
        <v>69.959999999999994</v>
      </c>
      <c r="D1112">
        <f t="shared" si="129"/>
        <v>357.29</v>
      </c>
      <c r="E1112">
        <v>0.28000000000000003</v>
      </c>
      <c r="F1112">
        <f t="shared" si="130"/>
        <v>-357.01000000000005</v>
      </c>
      <c r="I1112">
        <f t="shared" si="126"/>
        <v>6</v>
      </c>
      <c r="J1112">
        <v>1</v>
      </c>
      <c r="K1112">
        <f t="shared" si="127"/>
        <v>9</v>
      </c>
      <c r="L1112">
        <f t="shared" si="128"/>
        <v>2021</v>
      </c>
      <c r="N1112" s="17">
        <f t="shared" si="131"/>
        <v>44440</v>
      </c>
      <c r="S1112">
        <f t="shared" si="132"/>
        <v>0</v>
      </c>
    </row>
    <row r="1113" spans="1:19" x14ac:dyDescent="0.3">
      <c r="A1113" s="17">
        <v>44442</v>
      </c>
      <c r="B1113">
        <v>430.49</v>
      </c>
      <c r="C1113">
        <v>71.3</v>
      </c>
      <c r="D1113">
        <f t="shared" si="129"/>
        <v>359.19</v>
      </c>
      <c r="E1113">
        <v>0.27</v>
      </c>
      <c r="F1113">
        <f t="shared" si="130"/>
        <v>-358.92</v>
      </c>
      <c r="I1113">
        <f t="shared" si="126"/>
        <v>3</v>
      </c>
      <c r="J1113">
        <v>1</v>
      </c>
      <c r="K1113">
        <f t="shared" si="127"/>
        <v>9</v>
      </c>
      <c r="L1113">
        <f t="shared" si="128"/>
        <v>2021</v>
      </c>
      <c r="N1113" s="17">
        <f t="shared" si="131"/>
        <v>44440</v>
      </c>
      <c r="S1113">
        <f t="shared" si="132"/>
        <v>1</v>
      </c>
    </row>
    <row r="1114" spans="1:19" x14ac:dyDescent="0.3">
      <c r="A1114" s="17">
        <v>44441</v>
      </c>
      <c r="B1114">
        <v>418.16</v>
      </c>
      <c r="C1114">
        <v>69.709999999999994</v>
      </c>
      <c r="D1114">
        <f t="shared" si="129"/>
        <v>348.45000000000005</v>
      </c>
      <c r="E1114">
        <v>0.28999999999999998</v>
      </c>
      <c r="F1114">
        <f t="shared" si="130"/>
        <v>-348.16</v>
      </c>
      <c r="I1114">
        <f t="shared" si="126"/>
        <v>2</v>
      </c>
      <c r="J1114">
        <v>1</v>
      </c>
      <c r="K1114">
        <f t="shared" si="127"/>
        <v>9</v>
      </c>
      <c r="L1114">
        <f t="shared" si="128"/>
        <v>2021</v>
      </c>
      <c r="N1114" s="17">
        <f t="shared" si="131"/>
        <v>44440</v>
      </c>
      <c r="S1114">
        <f t="shared" si="132"/>
        <v>1</v>
      </c>
    </row>
    <row r="1115" spans="1:19" x14ac:dyDescent="0.3">
      <c r="A1115" s="17">
        <v>44440</v>
      </c>
      <c r="B1115">
        <v>425.79</v>
      </c>
      <c r="C1115">
        <v>70.400000000000006</v>
      </c>
      <c r="D1115">
        <f t="shared" si="129"/>
        <v>355.39</v>
      </c>
      <c r="E1115">
        <v>0.24</v>
      </c>
      <c r="F1115">
        <f t="shared" si="130"/>
        <v>-355.15</v>
      </c>
      <c r="I1115">
        <f t="shared" si="126"/>
        <v>1</v>
      </c>
      <c r="J1115">
        <v>1</v>
      </c>
      <c r="K1115">
        <f t="shared" si="127"/>
        <v>9</v>
      </c>
      <c r="L1115">
        <f t="shared" si="128"/>
        <v>2021</v>
      </c>
      <c r="N1115" s="17">
        <f t="shared" si="131"/>
        <v>44440</v>
      </c>
      <c r="S1115">
        <f t="shared" si="132"/>
        <v>1</v>
      </c>
    </row>
    <row r="1116" spans="1:19" x14ac:dyDescent="0.3">
      <c r="A1116" s="17">
        <v>44439</v>
      </c>
      <c r="B1116">
        <v>427.98</v>
      </c>
      <c r="C1116">
        <v>71.150000000000006</v>
      </c>
      <c r="D1116">
        <f t="shared" si="129"/>
        <v>356.83000000000004</v>
      </c>
      <c r="E1116">
        <v>0.12</v>
      </c>
      <c r="F1116">
        <f t="shared" si="130"/>
        <v>-356.71000000000004</v>
      </c>
      <c r="I1116">
        <f t="shared" si="126"/>
        <v>31</v>
      </c>
      <c r="J1116">
        <v>1</v>
      </c>
      <c r="K1116">
        <f t="shared" si="127"/>
        <v>8</v>
      </c>
      <c r="L1116">
        <f t="shared" si="128"/>
        <v>2021</v>
      </c>
      <c r="N1116" s="17">
        <f t="shared" si="131"/>
        <v>44409</v>
      </c>
      <c r="S1116">
        <f t="shared" si="132"/>
        <v>0</v>
      </c>
    </row>
    <row r="1117" spans="1:19" x14ac:dyDescent="0.3">
      <c r="A1117" s="17">
        <v>44438</v>
      </c>
      <c r="B1117">
        <v>427.94</v>
      </c>
      <c r="C1117">
        <v>71.11</v>
      </c>
      <c r="D1117">
        <f t="shared" si="129"/>
        <v>356.83</v>
      </c>
      <c r="E1117">
        <v>0.13</v>
      </c>
      <c r="F1117">
        <f t="shared" si="130"/>
        <v>-356.7</v>
      </c>
      <c r="I1117">
        <f t="shared" si="126"/>
        <v>30</v>
      </c>
      <c r="J1117">
        <v>1</v>
      </c>
      <c r="K1117">
        <f t="shared" si="127"/>
        <v>8</v>
      </c>
      <c r="L1117">
        <f t="shared" si="128"/>
        <v>2021</v>
      </c>
      <c r="N1117" s="17">
        <f t="shared" si="131"/>
        <v>44409</v>
      </c>
      <c r="S1117">
        <f t="shared" si="132"/>
        <v>0</v>
      </c>
    </row>
    <row r="1118" spans="1:19" x14ac:dyDescent="0.3">
      <c r="A1118" s="17">
        <v>44435</v>
      </c>
      <c r="B1118">
        <v>427.11</v>
      </c>
      <c r="C1118">
        <v>70.75</v>
      </c>
      <c r="D1118">
        <f t="shared" si="129"/>
        <v>356.36</v>
      </c>
      <c r="E1118">
        <v>0.09</v>
      </c>
      <c r="F1118">
        <f t="shared" si="130"/>
        <v>-356.27000000000004</v>
      </c>
      <c r="I1118">
        <f t="shared" si="126"/>
        <v>27</v>
      </c>
      <c r="J1118">
        <v>1</v>
      </c>
      <c r="K1118">
        <f t="shared" si="127"/>
        <v>8</v>
      </c>
      <c r="L1118">
        <f t="shared" si="128"/>
        <v>2021</v>
      </c>
      <c r="N1118" s="17">
        <f t="shared" si="131"/>
        <v>44409</v>
      </c>
      <c r="S1118">
        <f t="shared" si="132"/>
        <v>0</v>
      </c>
    </row>
    <row r="1119" spans="1:19" x14ac:dyDescent="0.3">
      <c r="A1119" s="17">
        <v>44434</v>
      </c>
      <c r="B1119">
        <v>414.3</v>
      </c>
      <c r="C1119">
        <v>70.09</v>
      </c>
      <c r="D1119">
        <f t="shared" si="129"/>
        <v>344.21000000000004</v>
      </c>
      <c r="E1119">
        <v>7.0000000000000007E-2</v>
      </c>
      <c r="F1119">
        <f t="shared" si="130"/>
        <v>-344.14000000000004</v>
      </c>
      <c r="I1119">
        <f t="shared" si="126"/>
        <v>26</v>
      </c>
      <c r="J1119">
        <v>1</v>
      </c>
      <c r="K1119">
        <f t="shared" si="127"/>
        <v>8</v>
      </c>
      <c r="L1119">
        <f t="shared" si="128"/>
        <v>2021</v>
      </c>
      <c r="N1119" s="17">
        <f t="shared" si="131"/>
        <v>44409</v>
      </c>
      <c r="S1119">
        <f t="shared" si="132"/>
        <v>0</v>
      </c>
    </row>
    <row r="1120" spans="1:19" x14ac:dyDescent="0.3">
      <c r="A1120" s="17">
        <v>44433</v>
      </c>
      <c r="B1120">
        <v>407.54</v>
      </c>
      <c r="C1120">
        <v>69.650000000000006</v>
      </c>
      <c r="D1120">
        <f t="shared" si="129"/>
        <v>337.89</v>
      </c>
      <c r="E1120">
        <v>0.06</v>
      </c>
      <c r="F1120">
        <f t="shared" si="130"/>
        <v>-337.83</v>
      </c>
      <c r="I1120">
        <f t="shared" si="126"/>
        <v>25</v>
      </c>
      <c r="J1120">
        <v>1</v>
      </c>
      <c r="K1120">
        <f t="shared" si="127"/>
        <v>8</v>
      </c>
      <c r="L1120">
        <f t="shared" si="128"/>
        <v>2021</v>
      </c>
      <c r="N1120" s="17">
        <f t="shared" si="131"/>
        <v>44409</v>
      </c>
      <c r="S1120">
        <f t="shared" si="132"/>
        <v>0</v>
      </c>
    </row>
    <row r="1121" spans="1:19" x14ac:dyDescent="0.3">
      <c r="A1121" s="17">
        <v>44432</v>
      </c>
      <c r="B1121">
        <v>406.72</v>
      </c>
      <c r="C1121">
        <v>68.650000000000006</v>
      </c>
      <c r="D1121">
        <f t="shared" si="129"/>
        <v>338.07000000000005</v>
      </c>
      <c r="E1121">
        <v>0.05</v>
      </c>
      <c r="F1121">
        <f t="shared" si="130"/>
        <v>-338.02000000000004</v>
      </c>
      <c r="I1121">
        <f t="shared" si="126"/>
        <v>24</v>
      </c>
      <c r="J1121">
        <v>1</v>
      </c>
      <c r="K1121">
        <f t="shared" si="127"/>
        <v>8</v>
      </c>
      <c r="L1121">
        <f t="shared" si="128"/>
        <v>2021</v>
      </c>
      <c r="N1121" s="17">
        <f t="shared" si="131"/>
        <v>44409</v>
      </c>
      <c r="S1121">
        <f t="shared" si="132"/>
        <v>0</v>
      </c>
    </row>
    <row r="1122" spans="1:19" x14ac:dyDescent="0.3">
      <c r="A1122" s="17">
        <v>44431</v>
      </c>
      <c r="B1122">
        <v>387.49</v>
      </c>
      <c r="C1122">
        <v>66.05</v>
      </c>
      <c r="D1122">
        <f t="shared" si="129"/>
        <v>321.44</v>
      </c>
      <c r="E1122">
        <v>0.06</v>
      </c>
      <c r="F1122">
        <f t="shared" si="130"/>
        <v>-321.38</v>
      </c>
      <c r="I1122">
        <f t="shared" si="126"/>
        <v>23</v>
      </c>
      <c r="J1122">
        <v>1</v>
      </c>
      <c r="K1122">
        <f t="shared" si="127"/>
        <v>8</v>
      </c>
      <c r="L1122">
        <f t="shared" si="128"/>
        <v>2021</v>
      </c>
      <c r="N1122" s="17">
        <f t="shared" si="131"/>
        <v>44409</v>
      </c>
      <c r="S1122">
        <f t="shared" si="132"/>
        <v>0</v>
      </c>
    </row>
    <row r="1123" spans="1:19" x14ac:dyDescent="0.3">
      <c r="A1123" s="17">
        <v>44428</v>
      </c>
      <c r="B1123">
        <v>378.63</v>
      </c>
      <c r="C1123">
        <v>65.349999999999994</v>
      </c>
      <c r="D1123">
        <f t="shared" si="129"/>
        <v>313.27999999999997</v>
      </c>
      <c r="E1123">
        <v>0.04</v>
      </c>
      <c r="F1123">
        <f t="shared" si="130"/>
        <v>-313.23999999999995</v>
      </c>
      <c r="I1123">
        <f t="shared" si="126"/>
        <v>20</v>
      </c>
      <c r="J1123">
        <v>1</v>
      </c>
      <c r="K1123">
        <f t="shared" si="127"/>
        <v>8</v>
      </c>
      <c r="L1123">
        <f t="shared" si="128"/>
        <v>2021</v>
      </c>
      <c r="N1123" s="17">
        <f t="shared" si="131"/>
        <v>44409</v>
      </c>
      <c r="S1123">
        <f t="shared" si="132"/>
        <v>0</v>
      </c>
    </row>
    <row r="1124" spans="1:19" x14ac:dyDescent="0.3">
      <c r="A1124" s="17">
        <v>44427</v>
      </c>
      <c r="B1124">
        <v>377.15</v>
      </c>
      <c r="C1124">
        <v>65.34</v>
      </c>
      <c r="D1124">
        <f t="shared" si="129"/>
        <v>311.80999999999995</v>
      </c>
      <c r="E1124">
        <v>0.08</v>
      </c>
      <c r="F1124">
        <f t="shared" si="130"/>
        <v>-311.72999999999996</v>
      </c>
      <c r="I1124">
        <f t="shared" si="126"/>
        <v>19</v>
      </c>
      <c r="J1124">
        <v>1</v>
      </c>
      <c r="K1124">
        <f t="shared" si="127"/>
        <v>8</v>
      </c>
      <c r="L1124">
        <f t="shared" si="128"/>
        <v>2021</v>
      </c>
      <c r="N1124" s="17">
        <f t="shared" si="131"/>
        <v>44409</v>
      </c>
      <c r="S1124">
        <f t="shared" si="132"/>
        <v>0</v>
      </c>
    </row>
    <row r="1125" spans="1:19" x14ac:dyDescent="0.3">
      <c r="A1125" s="17">
        <v>44426</v>
      </c>
      <c r="B1125">
        <v>391.04</v>
      </c>
      <c r="C1125">
        <v>68.540000000000006</v>
      </c>
      <c r="D1125">
        <f t="shared" si="129"/>
        <v>322.5</v>
      </c>
      <c r="E1125">
        <v>0.1</v>
      </c>
      <c r="F1125">
        <f t="shared" si="130"/>
        <v>-322.39999999999998</v>
      </c>
      <c r="I1125">
        <f t="shared" si="126"/>
        <v>18</v>
      </c>
      <c r="J1125">
        <v>1</v>
      </c>
      <c r="K1125">
        <f t="shared" si="127"/>
        <v>8</v>
      </c>
      <c r="L1125">
        <f t="shared" si="128"/>
        <v>2021</v>
      </c>
      <c r="N1125" s="17">
        <f t="shared" si="131"/>
        <v>44409</v>
      </c>
      <c r="S1125">
        <f t="shared" si="132"/>
        <v>0</v>
      </c>
    </row>
    <row r="1126" spans="1:19" x14ac:dyDescent="0.3">
      <c r="A1126" s="17">
        <v>44425</v>
      </c>
      <c r="B1126">
        <v>386.48</v>
      </c>
      <c r="C1126">
        <v>68.41</v>
      </c>
      <c r="D1126">
        <f t="shared" si="129"/>
        <v>318.07000000000005</v>
      </c>
      <c r="E1126">
        <v>0.11</v>
      </c>
      <c r="F1126">
        <f t="shared" si="130"/>
        <v>-317.96000000000004</v>
      </c>
      <c r="I1126">
        <f t="shared" si="126"/>
        <v>17</v>
      </c>
      <c r="J1126">
        <v>1</v>
      </c>
      <c r="K1126">
        <f t="shared" si="127"/>
        <v>8</v>
      </c>
      <c r="L1126">
        <f t="shared" si="128"/>
        <v>2021</v>
      </c>
      <c r="N1126" s="17">
        <f t="shared" si="131"/>
        <v>44409</v>
      </c>
      <c r="S1126">
        <f t="shared" si="132"/>
        <v>0</v>
      </c>
    </row>
    <row r="1127" spans="1:19" x14ac:dyDescent="0.3">
      <c r="A1127" s="17">
        <v>44424</v>
      </c>
      <c r="B1127">
        <v>388.23</v>
      </c>
      <c r="C1127">
        <v>68.89</v>
      </c>
      <c r="D1127">
        <f t="shared" si="129"/>
        <v>319.34000000000003</v>
      </c>
      <c r="E1127">
        <v>0.04</v>
      </c>
      <c r="F1127">
        <f t="shared" si="130"/>
        <v>-319.3</v>
      </c>
      <c r="I1127">
        <f t="shared" si="126"/>
        <v>16</v>
      </c>
      <c r="J1127">
        <v>1</v>
      </c>
      <c r="K1127">
        <f t="shared" si="127"/>
        <v>8</v>
      </c>
      <c r="L1127">
        <f t="shared" si="128"/>
        <v>2021</v>
      </c>
      <c r="N1127" s="17">
        <f t="shared" si="131"/>
        <v>44409</v>
      </c>
      <c r="S1127">
        <f t="shared" si="132"/>
        <v>0</v>
      </c>
    </row>
    <row r="1128" spans="1:19" x14ac:dyDescent="0.3">
      <c r="A1128" s="17">
        <v>44421</v>
      </c>
      <c r="B1128">
        <v>397.12</v>
      </c>
      <c r="C1128">
        <v>70.02</v>
      </c>
      <c r="D1128">
        <f t="shared" si="129"/>
        <v>327.10000000000002</v>
      </c>
      <c r="E1128">
        <v>0.01</v>
      </c>
      <c r="F1128">
        <f t="shared" si="130"/>
        <v>-327.09000000000003</v>
      </c>
      <c r="I1128">
        <f t="shared" si="126"/>
        <v>13</v>
      </c>
      <c r="J1128">
        <v>1</v>
      </c>
      <c r="K1128">
        <f t="shared" si="127"/>
        <v>8</v>
      </c>
      <c r="L1128">
        <f t="shared" si="128"/>
        <v>2021</v>
      </c>
      <c r="N1128" s="17">
        <f t="shared" si="131"/>
        <v>44409</v>
      </c>
      <c r="S1128">
        <f t="shared" si="132"/>
        <v>0</v>
      </c>
    </row>
    <row r="1129" spans="1:19" x14ac:dyDescent="0.3">
      <c r="A1129" s="17">
        <v>44420</v>
      </c>
      <c r="B1129">
        <v>400.51</v>
      </c>
      <c r="C1129">
        <v>70.5</v>
      </c>
      <c r="D1129">
        <f t="shared" si="129"/>
        <v>330.01</v>
      </c>
      <c r="E1129">
        <v>0.02</v>
      </c>
      <c r="F1129">
        <f t="shared" si="130"/>
        <v>-329.99</v>
      </c>
      <c r="I1129">
        <f t="shared" si="126"/>
        <v>12</v>
      </c>
      <c r="J1129">
        <v>1</v>
      </c>
      <c r="K1129">
        <f t="shared" si="127"/>
        <v>8</v>
      </c>
      <c r="L1129">
        <f t="shared" si="128"/>
        <v>2021</v>
      </c>
      <c r="N1129" s="17">
        <f t="shared" si="131"/>
        <v>44409</v>
      </c>
      <c r="S1129">
        <f t="shared" si="132"/>
        <v>0</v>
      </c>
    </row>
    <row r="1130" spans="1:19" x14ac:dyDescent="0.3">
      <c r="A1130" s="17">
        <v>44419</v>
      </c>
      <c r="B1130">
        <v>398.58</v>
      </c>
      <c r="C1130">
        <v>69.75</v>
      </c>
      <c r="D1130">
        <f t="shared" si="129"/>
        <v>328.83</v>
      </c>
      <c r="E1130">
        <v>0</v>
      </c>
      <c r="F1130">
        <f t="shared" si="130"/>
        <v>-328.83</v>
      </c>
      <c r="I1130">
        <f t="shared" si="126"/>
        <v>11</v>
      </c>
      <c r="J1130">
        <v>1</v>
      </c>
      <c r="K1130">
        <f t="shared" si="127"/>
        <v>8</v>
      </c>
      <c r="L1130">
        <f t="shared" si="128"/>
        <v>2021</v>
      </c>
      <c r="N1130" s="17">
        <f t="shared" si="131"/>
        <v>44409</v>
      </c>
      <c r="S1130">
        <f t="shared" si="132"/>
        <v>0</v>
      </c>
    </row>
    <row r="1131" spans="1:19" x14ac:dyDescent="0.3">
      <c r="A1131" s="17">
        <v>44418</v>
      </c>
      <c r="B1131">
        <v>394.83</v>
      </c>
      <c r="C1131">
        <v>68.89</v>
      </c>
      <c r="D1131">
        <f t="shared" si="129"/>
        <v>325.94</v>
      </c>
      <c r="E1131">
        <v>0.03</v>
      </c>
      <c r="F1131">
        <f t="shared" si="130"/>
        <v>-325.91000000000003</v>
      </c>
      <c r="I1131">
        <f t="shared" si="126"/>
        <v>10</v>
      </c>
      <c r="J1131">
        <v>1</v>
      </c>
      <c r="K1131">
        <f t="shared" si="127"/>
        <v>8</v>
      </c>
      <c r="L1131">
        <f t="shared" si="128"/>
        <v>2021</v>
      </c>
      <c r="N1131" s="17">
        <f t="shared" si="131"/>
        <v>44409</v>
      </c>
      <c r="S1131">
        <f t="shared" si="132"/>
        <v>0</v>
      </c>
    </row>
    <row r="1132" spans="1:19" x14ac:dyDescent="0.3">
      <c r="A1132" s="17">
        <v>44414</v>
      </c>
      <c r="B1132">
        <v>406.78</v>
      </c>
      <c r="C1132">
        <v>70.75</v>
      </c>
      <c r="D1132">
        <f t="shared" si="129"/>
        <v>336.03</v>
      </c>
      <c r="E1132">
        <v>0</v>
      </c>
      <c r="F1132">
        <f t="shared" si="130"/>
        <v>-336.03</v>
      </c>
      <c r="I1132">
        <f t="shared" si="126"/>
        <v>6</v>
      </c>
      <c r="J1132">
        <v>1</v>
      </c>
      <c r="K1132">
        <f t="shared" si="127"/>
        <v>8</v>
      </c>
      <c r="L1132">
        <f t="shared" si="128"/>
        <v>2021</v>
      </c>
      <c r="N1132" s="17">
        <f t="shared" si="131"/>
        <v>44409</v>
      </c>
      <c r="S1132">
        <f t="shared" si="132"/>
        <v>0</v>
      </c>
    </row>
    <row r="1133" spans="1:19" x14ac:dyDescent="0.3">
      <c r="A1133" s="17">
        <v>44413</v>
      </c>
      <c r="B1133">
        <v>395.9</v>
      </c>
      <c r="C1133">
        <v>68.81</v>
      </c>
      <c r="D1133">
        <f t="shared" si="129"/>
        <v>327.08999999999997</v>
      </c>
      <c r="E1133">
        <v>0.01</v>
      </c>
      <c r="F1133">
        <f t="shared" si="130"/>
        <v>-327.08</v>
      </c>
      <c r="I1133">
        <f t="shared" si="126"/>
        <v>5</v>
      </c>
      <c r="J1133">
        <v>1</v>
      </c>
      <c r="K1133">
        <f t="shared" si="127"/>
        <v>8</v>
      </c>
      <c r="L1133">
        <f t="shared" si="128"/>
        <v>2021</v>
      </c>
      <c r="N1133" s="17">
        <f t="shared" si="131"/>
        <v>44409</v>
      </c>
      <c r="S1133">
        <f t="shared" si="132"/>
        <v>0</v>
      </c>
    </row>
    <row r="1134" spans="1:19" x14ac:dyDescent="0.3">
      <c r="A1134" s="17">
        <v>44412</v>
      </c>
      <c r="B1134">
        <v>410.76</v>
      </c>
      <c r="C1134">
        <v>71.39</v>
      </c>
      <c r="D1134">
        <f t="shared" si="129"/>
        <v>339.37</v>
      </c>
      <c r="E1134">
        <v>0.01</v>
      </c>
      <c r="F1134">
        <f t="shared" si="130"/>
        <v>-339.36</v>
      </c>
      <c r="I1134">
        <f t="shared" si="126"/>
        <v>4</v>
      </c>
      <c r="J1134">
        <v>1</v>
      </c>
      <c r="K1134">
        <f t="shared" si="127"/>
        <v>8</v>
      </c>
      <c r="L1134">
        <f t="shared" si="128"/>
        <v>2021</v>
      </c>
      <c r="N1134" s="17">
        <f t="shared" si="131"/>
        <v>44409</v>
      </c>
      <c r="S1134">
        <f t="shared" si="132"/>
        <v>1</v>
      </c>
    </row>
    <row r="1135" spans="1:19" x14ac:dyDescent="0.3">
      <c r="A1135" s="17">
        <v>44411</v>
      </c>
      <c r="B1135">
        <v>409.95</v>
      </c>
      <c r="C1135">
        <v>71.849999999999994</v>
      </c>
      <c r="D1135">
        <f t="shared" si="129"/>
        <v>338.1</v>
      </c>
      <c r="E1135">
        <v>0.02</v>
      </c>
      <c r="F1135">
        <f t="shared" si="130"/>
        <v>-338.08000000000004</v>
      </c>
      <c r="I1135">
        <f t="shared" si="126"/>
        <v>3</v>
      </c>
      <c r="J1135">
        <v>1</v>
      </c>
      <c r="K1135">
        <f t="shared" si="127"/>
        <v>8</v>
      </c>
      <c r="L1135">
        <f t="shared" si="128"/>
        <v>2021</v>
      </c>
      <c r="N1135" s="17">
        <f t="shared" si="131"/>
        <v>44409</v>
      </c>
      <c r="S1135">
        <f t="shared" si="132"/>
        <v>1</v>
      </c>
    </row>
    <row r="1136" spans="1:19" x14ac:dyDescent="0.3">
      <c r="A1136" s="17">
        <v>44410</v>
      </c>
      <c r="B1136">
        <v>417.22</v>
      </c>
      <c r="C1136">
        <v>73.245000000000005</v>
      </c>
      <c r="D1136">
        <f t="shared" si="129"/>
        <v>343.97500000000002</v>
      </c>
      <c r="E1136">
        <v>-0.04</v>
      </c>
      <c r="F1136">
        <f t="shared" si="130"/>
        <v>-344.01500000000004</v>
      </c>
      <c r="I1136">
        <f t="shared" si="126"/>
        <v>2</v>
      </c>
      <c r="J1136">
        <v>1</v>
      </c>
      <c r="K1136">
        <f t="shared" si="127"/>
        <v>8</v>
      </c>
      <c r="L1136">
        <f t="shared" si="128"/>
        <v>2021</v>
      </c>
      <c r="N1136" s="17">
        <f t="shared" si="131"/>
        <v>44409</v>
      </c>
      <c r="S1136">
        <f t="shared" si="132"/>
        <v>1</v>
      </c>
    </row>
    <row r="1137" spans="1:19" x14ac:dyDescent="0.3">
      <c r="A1137" s="17">
        <v>44407</v>
      </c>
      <c r="B1137">
        <v>420.31</v>
      </c>
      <c r="C1137">
        <v>73.900000000000006</v>
      </c>
      <c r="D1137">
        <f t="shared" si="129"/>
        <v>346.40999999999997</v>
      </c>
      <c r="E1137">
        <v>0.02</v>
      </c>
      <c r="F1137">
        <f t="shared" si="130"/>
        <v>-346.39</v>
      </c>
      <c r="I1137">
        <f t="shared" si="126"/>
        <v>30</v>
      </c>
      <c r="J1137">
        <v>1</v>
      </c>
      <c r="K1137">
        <f t="shared" si="127"/>
        <v>7</v>
      </c>
      <c r="L1137">
        <f t="shared" si="128"/>
        <v>2021</v>
      </c>
      <c r="N1137" s="17">
        <f t="shared" si="131"/>
        <v>44378</v>
      </c>
      <c r="S1137">
        <f t="shared" si="132"/>
        <v>0</v>
      </c>
    </row>
    <row r="1138" spans="1:19" x14ac:dyDescent="0.3">
      <c r="A1138" s="17">
        <v>44406</v>
      </c>
      <c r="B1138">
        <v>415.51</v>
      </c>
      <c r="C1138">
        <v>73.7</v>
      </c>
      <c r="D1138">
        <f t="shared" si="129"/>
        <v>341.81</v>
      </c>
      <c r="E1138">
        <v>0.03</v>
      </c>
      <c r="F1138">
        <f t="shared" si="130"/>
        <v>-341.78000000000003</v>
      </c>
      <c r="I1138">
        <f t="shared" si="126"/>
        <v>29</v>
      </c>
      <c r="J1138">
        <v>1</v>
      </c>
      <c r="K1138">
        <f t="shared" si="127"/>
        <v>7</v>
      </c>
      <c r="L1138">
        <f t="shared" si="128"/>
        <v>2021</v>
      </c>
      <c r="N1138" s="17">
        <f t="shared" si="131"/>
        <v>44378</v>
      </c>
      <c r="S1138">
        <f t="shared" si="132"/>
        <v>0</v>
      </c>
    </row>
    <row r="1139" spans="1:19" x14ac:dyDescent="0.3">
      <c r="A1139" s="17">
        <v>44405</v>
      </c>
      <c r="B1139">
        <v>410.83</v>
      </c>
      <c r="C1139">
        <v>72.790000000000006</v>
      </c>
      <c r="D1139">
        <f t="shared" si="129"/>
        <v>338.03999999999996</v>
      </c>
      <c r="E1139">
        <v>0.06</v>
      </c>
      <c r="F1139">
        <f t="shared" si="130"/>
        <v>-337.97999999999996</v>
      </c>
      <c r="I1139">
        <f t="shared" si="126"/>
        <v>28</v>
      </c>
      <c r="J1139">
        <v>1</v>
      </c>
      <c r="K1139">
        <f t="shared" si="127"/>
        <v>7</v>
      </c>
      <c r="L1139">
        <f t="shared" si="128"/>
        <v>2021</v>
      </c>
      <c r="N1139" s="17">
        <f t="shared" si="131"/>
        <v>44378</v>
      </c>
      <c r="S1139">
        <f t="shared" si="132"/>
        <v>0</v>
      </c>
    </row>
    <row r="1140" spans="1:19" x14ac:dyDescent="0.3">
      <c r="A1140" s="17">
        <v>44404</v>
      </c>
      <c r="B1140">
        <v>406.93</v>
      </c>
      <c r="C1140">
        <v>72.989999999999995</v>
      </c>
      <c r="D1140">
        <f t="shared" si="129"/>
        <v>333.94</v>
      </c>
      <c r="E1140">
        <v>0.09</v>
      </c>
      <c r="F1140">
        <f t="shared" si="130"/>
        <v>-333.85</v>
      </c>
      <c r="I1140">
        <f t="shared" si="126"/>
        <v>27</v>
      </c>
      <c r="J1140">
        <v>1</v>
      </c>
      <c r="K1140">
        <f t="shared" si="127"/>
        <v>7</v>
      </c>
      <c r="L1140">
        <f t="shared" si="128"/>
        <v>2021</v>
      </c>
      <c r="N1140" s="17">
        <f t="shared" si="131"/>
        <v>44378</v>
      </c>
      <c r="S1140">
        <f t="shared" si="132"/>
        <v>0</v>
      </c>
    </row>
    <row r="1141" spans="1:19" x14ac:dyDescent="0.3">
      <c r="A1141" s="17">
        <v>44403</v>
      </c>
      <c r="B1141">
        <v>400.42</v>
      </c>
      <c r="C1141">
        <v>71.55</v>
      </c>
      <c r="D1141">
        <f t="shared" si="129"/>
        <v>328.87</v>
      </c>
      <c r="E1141">
        <v>0.03</v>
      </c>
      <c r="F1141">
        <f t="shared" si="130"/>
        <v>-328.84000000000003</v>
      </c>
      <c r="I1141">
        <f t="shared" si="126"/>
        <v>26</v>
      </c>
      <c r="J1141">
        <v>1</v>
      </c>
      <c r="K1141">
        <f t="shared" si="127"/>
        <v>7</v>
      </c>
      <c r="L1141">
        <f t="shared" si="128"/>
        <v>2021</v>
      </c>
      <c r="N1141" s="17">
        <f t="shared" si="131"/>
        <v>44378</v>
      </c>
      <c r="S1141">
        <f t="shared" si="132"/>
        <v>0</v>
      </c>
    </row>
    <row r="1142" spans="1:19" x14ac:dyDescent="0.3">
      <c r="A1142" s="17">
        <v>44400</v>
      </c>
      <c r="B1142">
        <v>407.45</v>
      </c>
      <c r="C1142">
        <v>72.239999999999995</v>
      </c>
      <c r="D1142">
        <f t="shared" si="129"/>
        <v>335.21</v>
      </c>
      <c r="E1142">
        <v>0.04</v>
      </c>
      <c r="F1142">
        <f t="shared" si="130"/>
        <v>-335.16999999999996</v>
      </c>
      <c r="I1142">
        <f t="shared" si="126"/>
        <v>23</v>
      </c>
      <c r="J1142">
        <v>1</v>
      </c>
      <c r="K1142">
        <f t="shared" si="127"/>
        <v>7</v>
      </c>
      <c r="L1142">
        <f t="shared" si="128"/>
        <v>2021</v>
      </c>
      <c r="N1142" s="17">
        <f t="shared" si="131"/>
        <v>44378</v>
      </c>
      <c r="S1142">
        <f t="shared" si="132"/>
        <v>0</v>
      </c>
    </row>
    <row r="1143" spans="1:19" x14ac:dyDescent="0.3">
      <c r="A1143" s="17">
        <v>44399</v>
      </c>
      <c r="B1143">
        <v>402.85</v>
      </c>
      <c r="C1143">
        <v>71.400000000000006</v>
      </c>
      <c r="D1143">
        <f t="shared" si="129"/>
        <v>331.45000000000005</v>
      </c>
      <c r="E1143">
        <v>0.04</v>
      </c>
      <c r="F1143">
        <f t="shared" si="130"/>
        <v>-331.41</v>
      </c>
      <c r="I1143">
        <f t="shared" si="126"/>
        <v>22</v>
      </c>
      <c r="J1143">
        <v>1</v>
      </c>
      <c r="K1143">
        <f t="shared" si="127"/>
        <v>7</v>
      </c>
      <c r="L1143">
        <f t="shared" si="128"/>
        <v>2021</v>
      </c>
      <c r="N1143" s="17">
        <f t="shared" si="131"/>
        <v>44378</v>
      </c>
      <c r="S1143">
        <f t="shared" si="132"/>
        <v>0</v>
      </c>
    </row>
    <row r="1144" spans="1:19" x14ac:dyDescent="0.3">
      <c r="A1144" s="17">
        <v>44398</v>
      </c>
      <c r="B1144">
        <v>389.17</v>
      </c>
      <c r="C1144">
        <v>68.64</v>
      </c>
      <c r="D1144">
        <f t="shared" si="129"/>
        <v>320.53000000000003</v>
      </c>
      <c r="E1144">
        <v>0.02</v>
      </c>
      <c r="F1144">
        <f t="shared" si="130"/>
        <v>-320.51000000000005</v>
      </c>
      <c r="I1144">
        <f t="shared" si="126"/>
        <v>21</v>
      </c>
      <c r="J1144">
        <v>1</v>
      </c>
      <c r="K1144">
        <f t="shared" si="127"/>
        <v>7</v>
      </c>
      <c r="L1144">
        <f t="shared" si="128"/>
        <v>2021</v>
      </c>
      <c r="N1144" s="17">
        <f t="shared" si="131"/>
        <v>44378</v>
      </c>
      <c r="S1144">
        <f t="shared" si="132"/>
        <v>0</v>
      </c>
    </row>
    <row r="1145" spans="1:19" x14ac:dyDescent="0.3">
      <c r="A1145" s="17">
        <v>44396</v>
      </c>
      <c r="B1145">
        <v>400.16</v>
      </c>
      <c r="C1145">
        <v>71.64</v>
      </c>
      <c r="D1145">
        <f t="shared" si="129"/>
        <v>328.52000000000004</v>
      </c>
      <c r="E1145">
        <v>-0.02</v>
      </c>
      <c r="F1145">
        <f t="shared" si="130"/>
        <v>-328.54</v>
      </c>
      <c r="I1145">
        <f t="shared" si="126"/>
        <v>19</v>
      </c>
      <c r="J1145">
        <v>1</v>
      </c>
      <c r="K1145">
        <f t="shared" si="127"/>
        <v>7</v>
      </c>
      <c r="L1145">
        <f t="shared" si="128"/>
        <v>2021</v>
      </c>
      <c r="N1145" s="17">
        <f t="shared" si="131"/>
        <v>44378</v>
      </c>
      <c r="S1145">
        <f t="shared" si="132"/>
        <v>0</v>
      </c>
    </row>
    <row r="1146" spans="1:19" x14ac:dyDescent="0.3">
      <c r="A1146" s="17">
        <v>44393</v>
      </c>
      <c r="B1146">
        <v>406.68</v>
      </c>
      <c r="C1146">
        <v>72.2</v>
      </c>
      <c r="D1146">
        <f t="shared" si="129"/>
        <v>334.48</v>
      </c>
      <c r="E1146">
        <v>-0.05</v>
      </c>
      <c r="F1146">
        <f t="shared" si="130"/>
        <v>-334.53000000000003</v>
      </c>
      <c r="I1146">
        <f t="shared" si="126"/>
        <v>16</v>
      </c>
      <c r="J1146">
        <v>1</v>
      </c>
      <c r="K1146">
        <f t="shared" si="127"/>
        <v>7</v>
      </c>
      <c r="L1146">
        <f t="shared" si="128"/>
        <v>2021</v>
      </c>
      <c r="N1146" s="17">
        <f t="shared" si="131"/>
        <v>44378</v>
      </c>
      <c r="S1146">
        <f t="shared" si="132"/>
        <v>0</v>
      </c>
    </row>
    <row r="1147" spans="1:19" x14ac:dyDescent="0.3">
      <c r="A1147" s="17">
        <v>44392</v>
      </c>
      <c r="B1147">
        <v>404.9</v>
      </c>
      <c r="C1147">
        <v>72.2</v>
      </c>
      <c r="D1147">
        <f t="shared" si="129"/>
        <v>332.7</v>
      </c>
      <c r="E1147">
        <v>-7.0000000000000007E-2</v>
      </c>
      <c r="F1147">
        <f t="shared" si="130"/>
        <v>-332.77</v>
      </c>
      <c r="I1147">
        <f t="shared" si="126"/>
        <v>15</v>
      </c>
      <c r="J1147">
        <v>1</v>
      </c>
      <c r="K1147">
        <f t="shared" si="127"/>
        <v>7</v>
      </c>
      <c r="L1147">
        <f t="shared" si="128"/>
        <v>2021</v>
      </c>
      <c r="N1147" s="17">
        <f t="shared" si="131"/>
        <v>44378</v>
      </c>
      <c r="S1147">
        <f t="shared" si="132"/>
        <v>0</v>
      </c>
    </row>
    <row r="1148" spans="1:19" x14ac:dyDescent="0.3">
      <c r="A1148" s="17">
        <v>44391</v>
      </c>
      <c r="B1148">
        <v>418.46</v>
      </c>
      <c r="C1148">
        <v>74.69</v>
      </c>
      <c r="D1148">
        <f t="shared" si="129"/>
        <v>343.77</v>
      </c>
      <c r="E1148">
        <v>-0.08</v>
      </c>
      <c r="F1148">
        <f t="shared" si="130"/>
        <v>-343.84999999999997</v>
      </c>
      <c r="I1148">
        <f t="shared" si="126"/>
        <v>14</v>
      </c>
      <c r="J1148">
        <v>1</v>
      </c>
      <c r="K1148">
        <f t="shared" si="127"/>
        <v>7</v>
      </c>
      <c r="L1148">
        <f t="shared" si="128"/>
        <v>2021</v>
      </c>
      <c r="N1148" s="17">
        <f t="shared" si="131"/>
        <v>44378</v>
      </c>
      <c r="S1148">
        <f t="shared" si="132"/>
        <v>0</v>
      </c>
    </row>
    <row r="1149" spans="1:19" x14ac:dyDescent="0.3">
      <c r="A1149" s="17">
        <v>44390</v>
      </c>
      <c r="B1149">
        <v>412.6</v>
      </c>
      <c r="C1149">
        <v>74.34</v>
      </c>
      <c r="D1149">
        <f t="shared" si="129"/>
        <v>338.26</v>
      </c>
      <c r="E1149">
        <v>-7.0000000000000007E-2</v>
      </c>
      <c r="F1149">
        <f t="shared" si="130"/>
        <v>-338.33</v>
      </c>
      <c r="I1149">
        <f t="shared" si="126"/>
        <v>13</v>
      </c>
      <c r="J1149">
        <v>1</v>
      </c>
      <c r="K1149">
        <f t="shared" si="127"/>
        <v>7</v>
      </c>
      <c r="L1149">
        <f t="shared" si="128"/>
        <v>2021</v>
      </c>
      <c r="N1149" s="17">
        <f t="shared" si="131"/>
        <v>44378</v>
      </c>
      <c r="S1149">
        <f t="shared" si="132"/>
        <v>0</v>
      </c>
    </row>
    <row r="1150" spans="1:19" x14ac:dyDescent="0.3">
      <c r="A1150" s="17">
        <v>44389</v>
      </c>
      <c r="B1150">
        <v>407.81</v>
      </c>
      <c r="C1150">
        <v>73.5</v>
      </c>
      <c r="D1150">
        <f t="shared" si="129"/>
        <v>334.31</v>
      </c>
      <c r="E1150">
        <v>-0.12</v>
      </c>
      <c r="F1150">
        <f t="shared" si="130"/>
        <v>-334.43</v>
      </c>
      <c r="I1150">
        <f t="shared" si="126"/>
        <v>12</v>
      </c>
      <c r="J1150">
        <v>1</v>
      </c>
      <c r="K1150">
        <f t="shared" si="127"/>
        <v>7</v>
      </c>
      <c r="L1150">
        <f t="shared" si="128"/>
        <v>2021</v>
      </c>
      <c r="N1150" s="17">
        <f t="shared" si="131"/>
        <v>44378</v>
      </c>
      <c r="S1150">
        <f t="shared" si="132"/>
        <v>0</v>
      </c>
    </row>
    <row r="1151" spans="1:19" x14ac:dyDescent="0.3">
      <c r="A1151" s="17">
        <v>44386</v>
      </c>
      <c r="B1151">
        <v>406.65</v>
      </c>
      <c r="C1151">
        <v>73</v>
      </c>
      <c r="D1151">
        <f t="shared" si="129"/>
        <v>333.65</v>
      </c>
      <c r="E1151">
        <v>-0.13</v>
      </c>
      <c r="F1151">
        <f t="shared" si="130"/>
        <v>-333.78</v>
      </c>
      <c r="I1151">
        <f t="shared" si="126"/>
        <v>9</v>
      </c>
      <c r="J1151">
        <v>1</v>
      </c>
      <c r="K1151">
        <f t="shared" si="127"/>
        <v>7</v>
      </c>
      <c r="L1151">
        <f t="shared" si="128"/>
        <v>2021</v>
      </c>
      <c r="N1151" s="17">
        <f t="shared" si="131"/>
        <v>44378</v>
      </c>
      <c r="S1151">
        <f t="shared" si="132"/>
        <v>0</v>
      </c>
    </row>
    <row r="1152" spans="1:19" x14ac:dyDescent="0.3">
      <c r="A1152" s="17">
        <v>44385</v>
      </c>
      <c r="B1152">
        <v>394.83</v>
      </c>
      <c r="C1152">
        <v>70.59</v>
      </c>
      <c r="D1152">
        <f t="shared" si="129"/>
        <v>324.24</v>
      </c>
      <c r="E1152">
        <v>-0.11</v>
      </c>
      <c r="F1152">
        <f t="shared" si="130"/>
        <v>-324.35000000000002</v>
      </c>
      <c r="I1152">
        <f t="shared" si="126"/>
        <v>8</v>
      </c>
      <c r="J1152">
        <v>1</v>
      </c>
      <c r="K1152">
        <f t="shared" si="127"/>
        <v>7</v>
      </c>
      <c r="L1152">
        <f t="shared" si="128"/>
        <v>2021</v>
      </c>
      <c r="N1152" s="17">
        <f t="shared" si="131"/>
        <v>44378</v>
      </c>
      <c r="S1152">
        <f t="shared" si="132"/>
        <v>0</v>
      </c>
    </row>
    <row r="1153" spans="1:19" x14ac:dyDescent="0.3">
      <c r="A1153" s="17">
        <v>44384</v>
      </c>
      <c r="B1153">
        <v>407.28</v>
      </c>
      <c r="C1153">
        <v>73.25</v>
      </c>
      <c r="D1153">
        <f t="shared" si="129"/>
        <v>334.03</v>
      </c>
      <c r="E1153">
        <v>-0.14000000000000001</v>
      </c>
      <c r="F1153">
        <f t="shared" si="130"/>
        <v>-334.16999999999996</v>
      </c>
      <c r="I1153">
        <f t="shared" si="126"/>
        <v>7</v>
      </c>
      <c r="J1153">
        <v>1</v>
      </c>
      <c r="K1153">
        <f t="shared" si="127"/>
        <v>7</v>
      </c>
      <c r="L1153">
        <f t="shared" si="128"/>
        <v>2021</v>
      </c>
      <c r="N1153" s="17">
        <f t="shared" si="131"/>
        <v>44378</v>
      </c>
      <c r="S1153">
        <f t="shared" si="132"/>
        <v>0</v>
      </c>
    </row>
    <row r="1154" spans="1:19" x14ac:dyDescent="0.3">
      <c r="A1154" s="17">
        <v>44383</v>
      </c>
      <c r="B1154">
        <v>426.68</v>
      </c>
      <c r="C1154">
        <v>75.849999999999994</v>
      </c>
      <c r="D1154">
        <f t="shared" si="129"/>
        <v>350.83000000000004</v>
      </c>
      <c r="E1154">
        <v>-0.12</v>
      </c>
      <c r="F1154">
        <f t="shared" si="130"/>
        <v>-350.95000000000005</v>
      </c>
      <c r="I1154">
        <f t="shared" si="126"/>
        <v>6</v>
      </c>
      <c r="J1154">
        <v>1</v>
      </c>
      <c r="K1154">
        <f t="shared" si="127"/>
        <v>7</v>
      </c>
      <c r="L1154">
        <f t="shared" si="128"/>
        <v>2021</v>
      </c>
      <c r="N1154" s="17">
        <f t="shared" si="131"/>
        <v>44378</v>
      </c>
      <c r="S1154">
        <f t="shared" si="132"/>
        <v>0</v>
      </c>
    </row>
    <row r="1155" spans="1:19" x14ac:dyDescent="0.3">
      <c r="A1155" s="17">
        <v>44382</v>
      </c>
      <c r="B1155">
        <v>424.15</v>
      </c>
      <c r="C1155">
        <v>74.650000000000006</v>
      </c>
      <c r="D1155">
        <f t="shared" si="129"/>
        <v>349.5</v>
      </c>
      <c r="E1155">
        <v>-0.12</v>
      </c>
      <c r="F1155">
        <f t="shared" si="130"/>
        <v>-349.62</v>
      </c>
      <c r="I1155">
        <f t="shared" si="126"/>
        <v>5</v>
      </c>
      <c r="J1155">
        <v>1</v>
      </c>
      <c r="K1155">
        <f t="shared" si="127"/>
        <v>7</v>
      </c>
      <c r="L1155">
        <f t="shared" si="128"/>
        <v>2021</v>
      </c>
      <c r="N1155" s="17">
        <f t="shared" si="131"/>
        <v>44378</v>
      </c>
      <c r="S1155">
        <f t="shared" si="132"/>
        <v>0</v>
      </c>
    </row>
    <row r="1156" spans="1:19" x14ac:dyDescent="0.3">
      <c r="A1156" s="17">
        <v>44379</v>
      </c>
      <c r="B1156">
        <v>421.34</v>
      </c>
      <c r="C1156">
        <v>74.05</v>
      </c>
      <c r="D1156">
        <f t="shared" si="129"/>
        <v>347.28999999999996</v>
      </c>
      <c r="E1156">
        <v>-0.09</v>
      </c>
      <c r="F1156">
        <f t="shared" si="130"/>
        <v>-347.37999999999994</v>
      </c>
      <c r="I1156">
        <f t="shared" si="126"/>
        <v>2</v>
      </c>
      <c r="J1156">
        <v>1</v>
      </c>
      <c r="K1156">
        <f t="shared" si="127"/>
        <v>7</v>
      </c>
      <c r="L1156">
        <f t="shared" si="128"/>
        <v>2021</v>
      </c>
      <c r="N1156" s="17">
        <f t="shared" si="131"/>
        <v>44378</v>
      </c>
      <c r="S1156">
        <f t="shared" si="132"/>
        <v>1</v>
      </c>
    </row>
    <row r="1157" spans="1:19" x14ac:dyDescent="0.3">
      <c r="A1157" s="17">
        <v>44378</v>
      </c>
      <c r="B1157">
        <v>419.66</v>
      </c>
      <c r="C1157">
        <v>73.790000000000006</v>
      </c>
      <c r="D1157">
        <f t="shared" si="129"/>
        <v>345.87</v>
      </c>
      <c r="E1157">
        <v>-0.12</v>
      </c>
      <c r="F1157">
        <f t="shared" si="130"/>
        <v>-345.99</v>
      </c>
      <c r="I1157">
        <f t="shared" ref="I1157:I1220" si="133">+DAY(A1157)</f>
        <v>1</v>
      </c>
      <c r="J1157">
        <v>1</v>
      </c>
      <c r="K1157">
        <f t="shared" ref="K1157:K1220" si="134">+MONTH(A1157)</f>
        <v>7</v>
      </c>
      <c r="L1157">
        <f t="shared" ref="L1157:L1220" si="135">+YEAR(A1157)</f>
        <v>2021</v>
      </c>
      <c r="N1157" s="17">
        <f t="shared" si="131"/>
        <v>44378</v>
      </c>
      <c r="S1157">
        <f t="shared" si="132"/>
        <v>1</v>
      </c>
    </row>
    <row r="1158" spans="1:19" x14ac:dyDescent="0.3">
      <c r="A1158" s="17">
        <v>44377</v>
      </c>
      <c r="B1158">
        <v>409.32</v>
      </c>
      <c r="C1158">
        <v>72.849999999999994</v>
      </c>
      <c r="D1158">
        <f t="shared" ref="D1158:D1221" si="136">+B1158-C1158</f>
        <v>336.47</v>
      </c>
      <c r="E1158">
        <v>-0.09</v>
      </c>
      <c r="F1158">
        <f t="shared" ref="F1158:F1221" si="137">+E1158-D1158</f>
        <v>-336.56</v>
      </c>
      <c r="I1158">
        <f t="shared" si="133"/>
        <v>30</v>
      </c>
      <c r="J1158">
        <v>1</v>
      </c>
      <c r="K1158">
        <f t="shared" si="134"/>
        <v>6</v>
      </c>
      <c r="L1158">
        <f t="shared" si="135"/>
        <v>2021</v>
      </c>
      <c r="N1158" s="17">
        <f t="shared" ref="N1158:N1221" si="138">+DATE(L1158,K1158,J1158)</f>
        <v>44348</v>
      </c>
      <c r="S1158">
        <f t="shared" ref="S1158:S1221" si="139">IF(AND(I1158&gt;=1, I1158&lt;=4), 1, 0)</f>
        <v>0</v>
      </c>
    </row>
    <row r="1159" spans="1:19" x14ac:dyDescent="0.3">
      <c r="A1159" s="17">
        <v>44376</v>
      </c>
      <c r="B1159">
        <v>409.16</v>
      </c>
      <c r="C1159">
        <v>72.81</v>
      </c>
      <c r="D1159">
        <f t="shared" si="136"/>
        <v>336.35</v>
      </c>
      <c r="E1159">
        <v>-0.08</v>
      </c>
      <c r="F1159">
        <f t="shared" si="137"/>
        <v>-336.43</v>
      </c>
      <c r="I1159">
        <f t="shared" si="133"/>
        <v>29</v>
      </c>
      <c r="J1159">
        <v>1</v>
      </c>
      <c r="K1159">
        <f t="shared" si="134"/>
        <v>6</v>
      </c>
      <c r="L1159">
        <f t="shared" si="135"/>
        <v>2021</v>
      </c>
      <c r="N1159" s="17">
        <f t="shared" si="138"/>
        <v>44348</v>
      </c>
      <c r="S1159">
        <f t="shared" si="139"/>
        <v>0</v>
      </c>
    </row>
    <row r="1160" spans="1:19" x14ac:dyDescent="0.3">
      <c r="A1160" s="17">
        <v>44375</v>
      </c>
      <c r="B1160">
        <v>420.43</v>
      </c>
      <c r="C1160">
        <v>73.849999999999994</v>
      </c>
      <c r="D1160">
        <f t="shared" si="136"/>
        <v>346.58000000000004</v>
      </c>
      <c r="E1160">
        <v>-7.0000000000000007E-2</v>
      </c>
      <c r="F1160">
        <f t="shared" si="137"/>
        <v>-346.65000000000003</v>
      </c>
      <c r="I1160">
        <f t="shared" si="133"/>
        <v>28</v>
      </c>
      <c r="J1160">
        <v>1</v>
      </c>
      <c r="K1160">
        <f t="shared" si="134"/>
        <v>6</v>
      </c>
      <c r="L1160">
        <f t="shared" si="135"/>
        <v>2021</v>
      </c>
      <c r="N1160" s="17">
        <f t="shared" si="138"/>
        <v>44348</v>
      </c>
      <c r="S1160">
        <f t="shared" si="139"/>
        <v>0</v>
      </c>
    </row>
    <row r="1161" spans="1:19" x14ac:dyDescent="0.3">
      <c r="A1161" s="17">
        <v>44372</v>
      </c>
      <c r="B1161">
        <v>418.1</v>
      </c>
      <c r="C1161">
        <v>73.45</v>
      </c>
      <c r="D1161">
        <f t="shared" si="136"/>
        <v>344.65000000000003</v>
      </c>
      <c r="E1161">
        <v>-0.08</v>
      </c>
      <c r="F1161">
        <f t="shared" si="137"/>
        <v>-344.73</v>
      </c>
      <c r="I1161">
        <f t="shared" si="133"/>
        <v>25</v>
      </c>
      <c r="J1161">
        <v>1</v>
      </c>
      <c r="K1161">
        <f t="shared" si="134"/>
        <v>6</v>
      </c>
      <c r="L1161">
        <f t="shared" si="135"/>
        <v>2021</v>
      </c>
      <c r="N1161" s="17">
        <f t="shared" si="138"/>
        <v>44348</v>
      </c>
      <c r="S1161">
        <f t="shared" si="139"/>
        <v>0</v>
      </c>
    </row>
    <row r="1162" spans="1:19" x14ac:dyDescent="0.3">
      <c r="A1162" s="17">
        <v>44371</v>
      </c>
      <c r="B1162">
        <v>416.52</v>
      </c>
      <c r="C1162">
        <v>73.7</v>
      </c>
      <c r="D1162">
        <f t="shared" si="136"/>
        <v>342.82</v>
      </c>
      <c r="E1162">
        <v>-7.0000000000000007E-2</v>
      </c>
      <c r="F1162">
        <f t="shared" si="137"/>
        <v>-342.89</v>
      </c>
      <c r="I1162">
        <f t="shared" si="133"/>
        <v>24</v>
      </c>
      <c r="J1162">
        <v>1</v>
      </c>
      <c r="K1162">
        <f t="shared" si="134"/>
        <v>6</v>
      </c>
      <c r="L1162">
        <f t="shared" si="135"/>
        <v>2021</v>
      </c>
      <c r="N1162" s="17">
        <f t="shared" si="138"/>
        <v>44348</v>
      </c>
      <c r="S1162">
        <f t="shared" si="139"/>
        <v>0</v>
      </c>
    </row>
    <row r="1163" spans="1:19" x14ac:dyDescent="0.3">
      <c r="A1163" s="17">
        <v>44370</v>
      </c>
      <c r="B1163">
        <v>415.01</v>
      </c>
      <c r="C1163">
        <v>73.400000000000006</v>
      </c>
      <c r="D1163">
        <f t="shared" si="136"/>
        <v>341.61</v>
      </c>
      <c r="E1163">
        <v>-0.06</v>
      </c>
      <c r="F1163">
        <f t="shared" si="137"/>
        <v>-341.67</v>
      </c>
      <c r="I1163">
        <f t="shared" si="133"/>
        <v>23</v>
      </c>
      <c r="J1163">
        <v>1</v>
      </c>
      <c r="K1163">
        <f t="shared" si="134"/>
        <v>6</v>
      </c>
      <c r="L1163">
        <f t="shared" si="135"/>
        <v>2021</v>
      </c>
      <c r="N1163" s="17">
        <f t="shared" si="138"/>
        <v>44348</v>
      </c>
      <c r="S1163">
        <f t="shared" si="139"/>
        <v>0</v>
      </c>
    </row>
    <row r="1164" spans="1:19" x14ac:dyDescent="0.3">
      <c r="A1164" s="17">
        <v>44369</v>
      </c>
      <c r="B1164">
        <v>411.49</v>
      </c>
      <c r="C1164">
        <v>72.5</v>
      </c>
      <c r="D1164">
        <f t="shared" si="136"/>
        <v>338.99</v>
      </c>
      <c r="E1164">
        <v>-0.05</v>
      </c>
      <c r="F1164">
        <f t="shared" si="137"/>
        <v>-339.04</v>
      </c>
      <c r="I1164">
        <f t="shared" si="133"/>
        <v>22</v>
      </c>
      <c r="J1164">
        <v>1</v>
      </c>
      <c r="K1164">
        <f t="shared" si="134"/>
        <v>6</v>
      </c>
      <c r="L1164">
        <f t="shared" si="135"/>
        <v>2021</v>
      </c>
      <c r="N1164" s="17">
        <f t="shared" si="138"/>
        <v>44348</v>
      </c>
      <c r="S1164">
        <f t="shared" si="139"/>
        <v>0</v>
      </c>
    </row>
    <row r="1165" spans="1:19" x14ac:dyDescent="0.3">
      <c r="A1165" s="17">
        <v>44368</v>
      </c>
      <c r="B1165">
        <v>405.21</v>
      </c>
      <c r="C1165">
        <v>71.75</v>
      </c>
      <c r="D1165">
        <f t="shared" si="136"/>
        <v>333.46</v>
      </c>
      <c r="E1165">
        <v>-0.03</v>
      </c>
      <c r="F1165">
        <f t="shared" si="137"/>
        <v>-333.48999999999995</v>
      </c>
      <c r="I1165">
        <f t="shared" si="133"/>
        <v>21</v>
      </c>
      <c r="J1165">
        <v>1</v>
      </c>
      <c r="K1165">
        <f t="shared" si="134"/>
        <v>6</v>
      </c>
      <c r="L1165">
        <f t="shared" si="135"/>
        <v>2021</v>
      </c>
      <c r="N1165" s="17">
        <f t="shared" si="138"/>
        <v>44348</v>
      </c>
      <c r="S1165">
        <f t="shared" si="139"/>
        <v>0</v>
      </c>
    </row>
    <row r="1166" spans="1:19" x14ac:dyDescent="0.3">
      <c r="A1166" s="17">
        <v>44365</v>
      </c>
      <c r="B1166">
        <v>401.32</v>
      </c>
      <c r="C1166">
        <v>70.95</v>
      </c>
      <c r="D1166">
        <f t="shared" si="136"/>
        <v>330.37</v>
      </c>
      <c r="E1166">
        <v>-0.04</v>
      </c>
      <c r="F1166">
        <f t="shared" si="137"/>
        <v>-330.41</v>
      </c>
      <c r="I1166">
        <f t="shared" si="133"/>
        <v>18</v>
      </c>
      <c r="J1166">
        <v>1</v>
      </c>
      <c r="K1166">
        <f t="shared" si="134"/>
        <v>6</v>
      </c>
      <c r="L1166">
        <f t="shared" si="135"/>
        <v>2021</v>
      </c>
      <c r="N1166" s="17">
        <f t="shared" si="138"/>
        <v>44348</v>
      </c>
      <c r="S1166">
        <f t="shared" si="139"/>
        <v>0</v>
      </c>
    </row>
    <row r="1167" spans="1:19" x14ac:dyDescent="0.3">
      <c r="A1167" s="17">
        <v>44364</v>
      </c>
      <c r="B1167">
        <v>412.74</v>
      </c>
      <c r="C1167">
        <v>72.31</v>
      </c>
      <c r="D1167">
        <f t="shared" si="136"/>
        <v>340.43</v>
      </c>
      <c r="E1167">
        <v>-0.02</v>
      </c>
      <c r="F1167">
        <f t="shared" si="137"/>
        <v>-340.45</v>
      </c>
      <c r="I1167">
        <f t="shared" si="133"/>
        <v>17</v>
      </c>
      <c r="J1167">
        <v>1</v>
      </c>
      <c r="K1167">
        <f t="shared" si="134"/>
        <v>6</v>
      </c>
      <c r="L1167">
        <f t="shared" si="135"/>
        <v>2021</v>
      </c>
      <c r="N1167" s="17">
        <f t="shared" si="138"/>
        <v>44348</v>
      </c>
      <c r="S1167">
        <f t="shared" si="139"/>
        <v>0</v>
      </c>
    </row>
    <row r="1168" spans="1:19" x14ac:dyDescent="0.3">
      <c r="A1168" s="17">
        <v>44363</v>
      </c>
      <c r="B1168">
        <v>412.55</v>
      </c>
      <c r="C1168">
        <v>72.739999999999995</v>
      </c>
      <c r="D1168">
        <f t="shared" si="136"/>
        <v>339.81</v>
      </c>
      <c r="E1168">
        <v>0.02</v>
      </c>
      <c r="F1168">
        <f t="shared" si="137"/>
        <v>-339.79</v>
      </c>
      <c r="I1168">
        <f t="shared" si="133"/>
        <v>16</v>
      </c>
      <c r="J1168">
        <v>1</v>
      </c>
      <c r="K1168">
        <f t="shared" si="134"/>
        <v>6</v>
      </c>
      <c r="L1168">
        <f t="shared" si="135"/>
        <v>2021</v>
      </c>
      <c r="N1168" s="17">
        <f t="shared" si="138"/>
        <v>44348</v>
      </c>
      <c r="S1168">
        <f t="shared" si="139"/>
        <v>0</v>
      </c>
    </row>
    <row r="1169" spans="1:19" x14ac:dyDescent="0.3">
      <c r="A1169" s="17">
        <v>44362</v>
      </c>
      <c r="B1169">
        <v>404.23</v>
      </c>
      <c r="C1169">
        <v>71.754999999999995</v>
      </c>
      <c r="D1169">
        <f t="shared" si="136"/>
        <v>332.47500000000002</v>
      </c>
      <c r="E1169">
        <v>7.0000000000000007E-2</v>
      </c>
      <c r="F1169">
        <f t="shared" si="137"/>
        <v>-332.40500000000003</v>
      </c>
      <c r="I1169">
        <f t="shared" si="133"/>
        <v>15</v>
      </c>
      <c r="J1169">
        <v>1</v>
      </c>
      <c r="K1169">
        <f t="shared" si="134"/>
        <v>6</v>
      </c>
      <c r="L1169">
        <f t="shared" si="135"/>
        <v>2021</v>
      </c>
      <c r="N1169" s="17">
        <f t="shared" si="138"/>
        <v>44348</v>
      </c>
      <c r="S1169">
        <f t="shared" si="139"/>
        <v>0</v>
      </c>
    </row>
    <row r="1170" spans="1:19" x14ac:dyDescent="0.3">
      <c r="A1170" s="17">
        <v>44361</v>
      </c>
      <c r="B1170">
        <v>402.89</v>
      </c>
      <c r="C1170">
        <v>72.040000000000006</v>
      </c>
      <c r="D1170">
        <f t="shared" si="136"/>
        <v>330.84999999999997</v>
      </c>
      <c r="E1170">
        <v>-0.05</v>
      </c>
      <c r="F1170">
        <f t="shared" si="137"/>
        <v>-330.9</v>
      </c>
      <c r="I1170">
        <f t="shared" si="133"/>
        <v>14</v>
      </c>
      <c r="J1170">
        <v>1</v>
      </c>
      <c r="K1170">
        <f t="shared" si="134"/>
        <v>6</v>
      </c>
      <c r="L1170">
        <f t="shared" si="135"/>
        <v>2021</v>
      </c>
      <c r="N1170" s="17">
        <f t="shared" si="138"/>
        <v>44348</v>
      </c>
      <c r="S1170">
        <f t="shared" si="139"/>
        <v>0</v>
      </c>
    </row>
    <row r="1171" spans="1:19" x14ac:dyDescent="0.3">
      <c r="A1171" s="17">
        <v>44358</v>
      </c>
      <c r="B1171">
        <v>397.35</v>
      </c>
      <c r="C1171">
        <v>71.16</v>
      </c>
      <c r="D1171">
        <f t="shared" si="136"/>
        <v>326.19000000000005</v>
      </c>
      <c r="E1171">
        <v>-0.16</v>
      </c>
      <c r="F1171">
        <f t="shared" si="137"/>
        <v>-326.35000000000008</v>
      </c>
      <c r="I1171">
        <f t="shared" si="133"/>
        <v>11</v>
      </c>
      <c r="J1171">
        <v>1</v>
      </c>
      <c r="K1171">
        <f t="shared" si="134"/>
        <v>6</v>
      </c>
      <c r="L1171">
        <f t="shared" si="135"/>
        <v>2021</v>
      </c>
      <c r="N1171" s="17">
        <f t="shared" si="138"/>
        <v>44348</v>
      </c>
      <c r="S1171">
        <f t="shared" si="139"/>
        <v>0</v>
      </c>
    </row>
    <row r="1172" spans="1:19" x14ac:dyDescent="0.3">
      <c r="A1172" s="17">
        <v>44357</v>
      </c>
      <c r="B1172">
        <v>392.64</v>
      </c>
      <c r="C1172">
        <v>70.655000000000001</v>
      </c>
      <c r="D1172">
        <f t="shared" si="136"/>
        <v>321.98500000000001</v>
      </c>
      <c r="E1172">
        <v>-0.12</v>
      </c>
      <c r="F1172">
        <f t="shared" si="137"/>
        <v>-322.10500000000002</v>
      </c>
      <c r="I1172">
        <f t="shared" si="133"/>
        <v>10</v>
      </c>
      <c r="J1172">
        <v>1</v>
      </c>
      <c r="K1172">
        <f t="shared" si="134"/>
        <v>6</v>
      </c>
      <c r="L1172">
        <f t="shared" si="135"/>
        <v>2021</v>
      </c>
      <c r="N1172" s="17">
        <f t="shared" si="138"/>
        <v>44348</v>
      </c>
      <c r="S1172">
        <f t="shared" si="139"/>
        <v>0</v>
      </c>
    </row>
    <row r="1173" spans="1:19" x14ac:dyDescent="0.3">
      <c r="A1173" s="17">
        <v>44356</v>
      </c>
      <c r="B1173">
        <v>397.2</v>
      </c>
      <c r="C1173">
        <v>71.099999999999994</v>
      </c>
      <c r="D1173">
        <f t="shared" si="136"/>
        <v>326.10000000000002</v>
      </c>
      <c r="E1173">
        <v>-0.08</v>
      </c>
      <c r="F1173">
        <f t="shared" si="137"/>
        <v>-326.18</v>
      </c>
      <c r="I1173">
        <f t="shared" si="133"/>
        <v>9</v>
      </c>
      <c r="J1173">
        <v>1</v>
      </c>
      <c r="K1173">
        <f t="shared" si="134"/>
        <v>6</v>
      </c>
      <c r="L1173">
        <f t="shared" si="135"/>
        <v>2021</v>
      </c>
      <c r="N1173" s="17">
        <f t="shared" si="138"/>
        <v>44348</v>
      </c>
      <c r="S1173">
        <f t="shared" si="139"/>
        <v>0</v>
      </c>
    </row>
    <row r="1174" spans="1:19" x14ac:dyDescent="0.3">
      <c r="A1174" s="17">
        <v>44355</v>
      </c>
      <c r="B1174">
        <v>387.01</v>
      </c>
      <c r="C1174">
        <v>69.3</v>
      </c>
      <c r="D1174">
        <f t="shared" si="136"/>
        <v>317.70999999999998</v>
      </c>
      <c r="E1174">
        <v>-0.04</v>
      </c>
      <c r="F1174">
        <f t="shared" si="137"/>
        <v>-317.75</v>
      </c>
      <c r="I1174">
        <f t="shared" si="133"/>
        <v>8</v>
      </c>
      <c r="J1174">
        <v>1</v>
      </c>
      <c r="K1174">
        <f t="shared" si="134"/>
        <v>6</v>
      </c>
      <c r="L1174">
        <f t="shared" si="135"/>
        <v>2021</v>
      </c>
      <c r="N1174" s="17">
        <f t="shared" si="138"/>
        <v>44348</v>
      </c>
      <c r="S1174">
        <f t="shared" si="139"/>
        <v>0</v>
      </c>
    </row>
    <row r="1175" spans="1:19" x14ac:dyDescent="0.3">
      <c r="A1175" s="17">
        <v>44354</v>
      </c>
      <c r="B1175">
        <v>393.89</v>
      </c>
      <c r="C1175">
        <v>70</v>
      </c>
      <c r="D1175">
        <f t="shared" si="136"/>
        <v>323.89</v>
      </c>
      <c r="E1175">
        <v>-0.05</v>
      </c>
      <c r="F1175">
        <f t="shared" si="137"/>
        <v>-323.94</v>
      </c>
      <c r="I1175">
        <f t="shared" si="133"/>
        <v>7</v>
      </c>
      <c r="J1175">
        <v>1</v>
      </c>
      <c r="K1175">
        <f t="shared" si="134"/>
        <v>6</v>
      </c>
      <c r="L1175">
        <f t="shared" si="135"/>
        <v>2021</v>
      </c>
      <c r="N1175" s="17">
        <f t="shared" si="138"/>
        <v>44348</v>
      </c>
      <c r="S1175">
        <f t="shared" si="139"/>
        <v>0</v>
      </c>
    </row>
    <row r="1176" spans="1:19" x14ac:dyDescent="0.3">
      <c r="A1176" s="17">
        <v>44351</v>
      </c>
      <c r="B1176">
        <v>398.16</v>
      </c>
      <c r="C1176">
        <v>70.09</v>
      </c>
      <c r="D1176">
        <f t="shared" si="136"/>
        <v>328.07000000000005</v>
      </c>
      <c r="E1176">
        <v>-0.02</v>
      </c>
      <c r="F1176">
        <f t="shared" si="137"/>
        <v>-328.09000000000003</v>
      </c>
      <c r="I1176">
        <f t="shared" si="133"/>
        <v>4</v>
      </c>
      <c r="J1176">
        <v>1</v>
      </c>
      <c r="K1176">
        <f t="shared" si="134"/>
        <v>6</v>
      </c>
      <c r="L1176">
        <f t="shared" si="135"/>
        <v>2021</v>
      </c>
      <c r="N1176" s="17">
        <f t="shared" si="138"/>
        <v>44348</v>
      </c>
      <c r="S1176">
        <f t="shared" si="139"/>
        <v>1</v>
      </c>
    </row>
    <row r="1177" spans="1:19" x14ac:dyDescent="0.3">
      <c r="A1177" s="17">
        <v>44350</v>
      </c>
      <c r="B1177">
        <v>397.79</v>
      </c>
      <c r="C1177">
        <v>69.944999999999993</v>
      </c>
      <c r="D1177">
        <f t="shared" si="136"/>
        <v>327.84500000000003</v>
      </c>
      <c r="E1177">
        <v>-0.04</v>
      </c>
      <c r="F1177">
        <f t="shared" si="137"/>
        <v>-327.88500000000005</v>
      </c>
      <c r="I1177">
        <f t="shared" si="133"/>
        <v>3</v>
      </c>
      <c r="J1177">
        <v>1</v>
      </c>
      <c r="K1177">
        <f t="shared" si="134"/>
        <v>6</v>
      </c>
      <c r="L1177">
        <f t="shared" si="135"/>
        <v>2021</v>
      </c>
      <c r="N1177" s="17">
        <f t="shared" si="138"/>
        <v>44348</v>
      </c>
      <c r="S1177">
        <f t="shared" si="139"/>
        <v>1</v>
      </c>
    </row>
    <row r="1178" spans="1:19" x14ac:dyDescent="0.3">
      <c r="A1178" s="17">
        <v>44349</v>
      </c>
      <c r="B1178">
        <v>392.06</v>
      </c>
      <c r="C1178">
        <v>69.19</v>
      </c>
      <c r="D1178">
        <f t="shared" si="136"/>
        <v>322.87</v>
      </c>
      <c r="E1178">
        <v>-7.0000000000000007E-2</v>
      </c>
      <c r="F1178">
        <f t="shared" si="137"/>
        <v>-322.94</v>
      </c>
      <c r="I1178">
        <f t="shared" si="133"/>
        <v>2</v>
      </c>
      <c r="J1178">
        <v>1</v>
      </c>
      <c r="K1178">
        <f t="shared" si="134"/>
        <v>6</v>
      </c>
      <c r="L1178">
        <f t="shared" si="135"/>
        <v>2021</v>
      </c>
      <c r="N1178" s="17">
        <f t="shared" si="138"/>
        <v>44348</v>
      </c>
      <c r="S1178">
        <f t="shared" si="139"/>
        <v>1</v>
      </c>
    </row>
    <row r="1179" spans="1:19" x14ac:dyDescent="0.3">
      <c r="A1179" s="17">
        <v>44348</v>
      </c>
      <c r="B1179">
        <v>389.48</v>
      </c>
      <c r="C1179">
        <v>69.06</v>
      </c>
      <c r="D1179">
        <f t="shared" si="136"/>
        <v>320.42</v>
      </c>
      <c r="E1179">
        <v>-0.1</v>
      </c>
      <c r="F1179">
        <f t="shared" si="137"/>
        <v>-320.52000000000004</v>
      </c>
      <c r="I1179">
        <f t="shared" si="133"/>
        <v>1</v>
      </c>
      <c r="J1179">
        <v>1</v>
      </c>
      <c r="K1179">
        <f t="shared" si="134"/>
        <v>6</v>
      </c>
      <c r="L1179">
        <f t="shared" si="135"/>
        <v>2021</v>
      </c>
      <c r="N1179" s="17">
        <f t="shared" si="138"/>
        <v>44348</v>
      </c>
      <c r="S1179">
        <f t="shared" si="139"/>
        <v>1</v>
      </c>
    </row>
    <row r="1180" spans="1:19" x14ac:dyDescent="0.3">
      <c r="A1180" s="17">
        <v>44347</v>
      </c>
      <c r="B1180">
        <v>378.18</v>
      </c>
      <c r="C1180">
        <v>67.900000000000006</v>
      </c>
      <c r="D1180">
        <f t="shared" si="136"/>
        <v>310.27999999999997</v>
      </c>
      <c r="E1180">
        <v>0.03</v>
      </c>
      <c r="F1180">
        <f t="shared" si="137"/>
        <v>-310.25</v>
      </c>
      <c r="I1180">
        <f t="shared" si="133"/>
        <v>31</v>
      </c>
      <c r="J1180">
        <v>1</v>
      </c>
      <c r="K1180">
        <f t="shared" si="134"/>
        <v>5</v>
      </c>
      <c r="L1180">
        <f t="shared" si="135"/>
        <v>2021</v>
      </c>
      <c r="N1180" s="17">
        <f t="shared" si="138"/>
        <v>44317</v>
      </c>
      <c r="S1180">
        <f t="shared" si="139"/>
        <v>0</v>
      </c>
    </row>
    <row r="1181" spans="1:19" x14ac:dyDescent="0.3">
      <c r="A1181" s="17">
        <v>44344</v>
      </c>
      <c r="B1181">
        <v>373.57</v>
      </c>
      <c r="C1181">
        <v>67.459999999999994</v>
      </c>
      <c r="D1181">
        <f t="shared" si="136"/>
        <v>306.11</v>
      </c>
      <c r="E1181">
        <v>0.03</v>
      </c>
      <c r="F1181">
        <f t="shared" si="137"/>
        <v>-306.08000000000004</v>
      </c>
      <c r="I1181">
        <f t="shared" si="133"/>
        <v>28</v>
      </c>
      <c r="J1181">
        <v>1</v>
      </c>
      <c r="K1181">
        <f t="shared" si="134"/>
        <v>5</v>
      </c>
      <c r="L1181">
        <f t="shared" si="135"/>
        <v>2021</v>
      </c>
      <c r="N1181" s="17">
        <f t="shared" si="138"/>
        <v>44317</v>
      </c>
      <c r="S1181">
        <f t="shared" si="139"/>
        <v>0</v>
      </c>
    </row>
    <row r="1182" spans="1:19" x14ac:dyDescent="0.3">
      <c r="A1182" s="17">
        <v>44343</v>
      </c>
      <c r="B1182">
        <v>366.7</v>
      </c>
      <c r="C1182">
        <v>66.38</v>
      </c>
      <c r="D1182">
        <f t="shared" si="136"/>
        <v>300.32</v>
      </c>
      <c r="E1182">
        <v>0.1</v>
      </c>
      <c r="F1182">
        <f t="shared" si="137"/>
        <v>-300.21999999999997</v>
      </c>
      <c r="I1182">
        <f t="shared" si="133"/>
        <v>27</v>
      </c>
      <c r="J1182">
        <v>1</v>
      </c>
      <c r="K1182">
        <f t="shared" si="134"/>
        <v>5</v>
      </c>
      <c r="L1182">
        <f t="shared" si="135"/>
        <v>2021</v>
      </c>
      <c r="N1182" s="17">
        <f t="shared" si="138"/>
        <v>44317</v>
      </c>
      <c r="S1182">
        <f t="shared" si="139"/>
        <v>0</v>
      </c>
    </row>
    <row r="1183" spans="1:19" x14ac:dyDescent="0.3">
      <c r="A1183" s="17">
        <v>44341</v>
      </c>
      <c r="B1183">
        <v>364.29</v>
      </c>
      <c r="C1183">
        <v>67.344999999999999</v>
      </c>
      <c r="D1183">
        <f t="shared" si="136"/>
        <v>296.94500000000005</v>
      </c>
      <c r="E1183">
        <v>0.14000000000000001</v>
      </c>
      <c r="F1183">
        <f t="shared" si="137"/>
        <v>-296.80500000000006</v>
      </c>
      <c r="I1183">
        <f t="shared" si="133"/>
        <v>25</v>
      </c>
      <c r="J1183">
        <v>1</v>
      </c>
      <c r="K1183">
        <f t="shared" si="134"/>
        <v>5</v>
      </c>
      <c r="L1183">
        <f t="shared" si="135"/>
        <v>2021</v>
      </c>
      <c r="N1183" s="17">
        <f t="shared" si="138"/>
        <v>44317</v>
      </c>
      <c r="S1183">
        <f t="shared" si="139"/>
        <v>0</v>
      </c>
    </row>
    <row r="1184" spans="1:19" x14ac:dyDescent="0.3">
      <c r="A1184" s="17">
        <v>44340</v>
      </c>
      <c r="B1184">
        <v>357.03</v>
      </c>
      <c r="C1184">
        <v>66.22</v>
      </c>
      <c r="D1184">
        <f t="shared" si="136"/>
        <v>290.80999999999995</v>
      </c>
      <c r="E1184">
        <v>0.21</v>
      </c>
      <c r="F1184">
        <f t="shared" si="137"/>
        <v>-290.59999999999997</v>
      </c>
      <c r="I1184">
        <f t="shared" si="133"/>
        <v>24</v>
      </c>
      <c r="J1184">
        <v>1</v>
      </c>
      <c r="K1184">
        <f t="shared" si="134"/>
        <v>5</v>
      </c>
      <c r="L1184">
        <f t="shared" si="135"/>
        <v>2021</v>
      </c>
      <c r="N1184" s="17">
        <f t="shared" si="138"/>
        <v>44317</v>
      </c>
      <c r="S1184">
        <f t="shared" si="139"/>
        <v>0</v>
      </c>
    </row>
    <row r="1185" spans="1:19" x14ac:dyDescent="0.3">
      <c r="A1185" s="17">
        <v>44337</v>
      </c>
      <c r="B1185">
        <v>345.37</v>
      </c>
      <c r="C1185">
        <v>63.2</v>
      </c>
      <c r="D1185">
        <f t="shared" si="136"/>
        <v>282.17</v>
      </c>
      <c r="E1185">
        <v>0.15</v>
      </c>
      <c r="F1185">
        <f t="shared" si="137"/>
        <v>-282.02000000000004</v>
      </c>
      <c r="I1185">
        <f t="shared" si="133"/>
        <v>21</v>
      </c>
      <c r="J1185">
        <v>1</v>
      </c>
      <c r="K1185">
        <f t="shared" si="134"/>
        <v>5</v>
      </c>
      <c r="L1185">
        <f t="shared" si="135"/>
        <v>2021</v>
      </c>
      <c r="N1185" s="17">
        <f t="shared" si="138"/>
        <v>44317</v>
      </c>
      <c r="S1185">
        <f t="shared" si="139"/>
        <v>0</v>
      </c>
    </row>
    <row r="1186" spans="1:19" x14ac:dyDescent="0.3">
      <c r="A1186" s="17">
        <v>44336</v>
      </c>
      <c r="B1186">
        <v>357.92</v>
      </c>
      <c r="C1186">
        <v>65</v>
      </c>
      <c r="D1186">
        <f t="shared" si="136"/>
        <v>292.92</v>
      </c>
      <c r="E1186">
        <v>0.14000000000000001</v>
      </c>
      <c r="F1186">
        <f t="shared" si="137"/>
        <v>-292.78000000000003</v>
      </c>
      <c r="I1186">
        <f t="shared" si="133"/>
        <v>20</v>
      </c>
      <c r="J1186">
        <v>1</v>
      </c>
      <c r="K1186">
        <f t="shared" si="134"/>
        <v>5</v>
      </c>
      <c r="L1186">
        <f t="shared" si="135"/>
        <v>2021</v>
      </c>
      <c r="N1186" s="17">
        <f t="shared" si="138"/>
        <v>44317</v>
      </c>
      <c r="S1186">
        <f t="shared" si="139"/>
        <v>0</v>
      </c>
    </row>
    <row r="1187" spans="1:19" x14ac:dyDescent="0.3">
      <c r="A1187" s="17">
        <v>44335</v>
      </c>
      <c r="B1187">
        <v>357.81</v>
      </c>
      <c r="C1187">
        <v>66.09</v>
      </c>
      <c r="D1187">
        <f t="shared" si="136"/>
        <v>291.72000000000003</v>
      </c>
      <c r="E1187">
        <v>0.18</v>
      </c>
      <c r="F1187">
        <f t="shared" si="137"/>
        <v>-291.54000000000002</v>
      </c>
      <c r="I1187">
        <f t="shared" si="133"/>
        <v>19</v>
      </c>
      <c r="J1187">
        <v>1</v>
      </c>
      <c r="K1187">
        <f t="shared" si="134"/>
        <v>5</v>
      </c>
      <c r="L1187">
        <f t="shared" si="135"/>
        <v>2021</v>
      </c>
      <c r="N1187" s="17">
        <f t="shared" si="138"/>
        <v>44317</v>
      </c>
      <c r="S1187">
        <f t="shared" si="139"/>
        <v>0</v>
      </c>
    </row>
    <row r="1188" spans="1:19" x14ac:dyDescent="0.3">
      <c r="A1188" s="17">
        <v>44334</v>
      </c>
      <c r="B1188">
        <v>370.77</v>
      </c>
      <c r="C1188">
        <v>68.38</v>
      </c>
      <c r="D1188">
        <f t="shared" si="136"/>
        <v>302.39</v>
      </c>
      <c r="E1188">
        <v>0.17</v>
      </c>
      <c r="F1188">
        <f t="shared" si="137"/>
        <v>-302.21999999999997</v>
      </c>
      <c r="I1188">
        <f t="shared" si="133"/>
        <v>18</v>
      </c>
      <c r="J1188">
        <v>1</v>
      </c>
      <c r="K1188">
        <f t="shared" si="134"/>
        <v>5</v>
      </c>
      <c r="L1188">
        <f t="shared" si="135"/>
        <v>2021</v>
      </c>
      <c r="N1188" s="17">
        <f t="shared" si="138"/>
        <v>44317</v>
      </c>
      <c r="S1188">
        <f t="shared" si="139"/>
        <v>0</v>
      </c>
    </row>
    <row r="1189" spans="1:19" x14ac:dyDescent="0.3">
      <c r="A1189" s="17">
        <v>44333</v>
      </c>
      <c r="B1189">
        <v>371.35</v>
      </c>
      <c r="C1189">
        <v>67.13</v>
      </c>
      <c r="D1189">
        <f t="shared" si="136"/>
        <v>304.22000000000003</v>
      </c>
      <c r="E1189">
        <v>0.16</v>
      </c>
      <c r="F1189">
        <f t="shared" si="137"/>
        <v>-304.06</v>
      </c>
      <c r="I1189">
        <f t="shared" si="133"/>
        <v>17</v>
      </c>
      <c r="J1189">
        <v>1</v>
      </c>
      <c r="K1189">
        <f t="shared" si="134"/>
        <v>5</v>
      </c>
      <c r="L1189">
        <f t="shared" si="135"/>
        <v>2021</v>
      </c>
      <c r="N1189" s="17">
        <f t="shared" si="138"/>
        <v>44317</v>
      </c>
      <c r="S1189">
        <f t="shared" si="139"/>
        <v>0</v>
      </c>
    </row>
    <row r="1190" spans="1:19" x14ac:dyDescent="0.3">
      <c r="A1190" s="17">
        <v>44330</v>
      </c>
      <c r="B1190">
        <v>366.21</v>
      </c>
      <c r="C1190">
        <v>65.290000000000006</v>
      </c>
      <c r="D1190">
        <f t="shared" si="136"/>
        <v>300.91999999999996</v>
      </c>
      <c r="E1190">
        <v>0.21</v>
      </c>
      <c r="F1190">
        <f t="shared" si="137"/>
        <v>-300.70999999999998</v>
      </c>
      <c r="I1190">
        <f t="shared" si="133"/>
        <v>14</v>
      </c>
      <c r="J1190">
        <v>1</v>
      </c>
      <c r="K1190">
        <f t="shared" si="134"/>
        <v>5</v>
      </c>
      <c r="L1190">
        <f t="shared" si="135"/>
        <v>2021</v>
      </c>
      <c r="N1190" s="17">
        <f t="shared" si="138"/>
        <v>44317</v>
      </c>
      <c r="S1190">
        <f t="shared" si="139"/>
        <v>0</v>
      </c>
    </row>
    <row r="1191" spans="1:19" x14ac:dyDescent="0.3">
      <c r="A1191" s="17">
        <v>44328</v>
      </c>
      <c r="B1191">
        <v>381.43</v>
      </c>
      <c r="C1191">
        <v>66.52</v>
      </c>
      <c r="D1191">
        <f t="shared" si="136"/>
        <v>314.91000000000003</v>
      </c>
      <c r="E1191">
        <v>0.05</v>
      </c>
      <c r="F1191">
        <f t="shared" si="137"/>
        <v>-314.86</v>
      </c>
      <c r="I1191">
        <f t="shared" si="133"/>
        <v>12</v>
      </c>
      <c r="J1191">
        <v>1</v>
      </c>
      <c r="K1191">
        <f t="shared" si="134"/>
        <v>5</v>
      </c>
      <c r="L1191">
        <f t="shared" si="135"/>
        <v>2021</v>
      </c>
      <c r="N1191" s="17">
        <f t="shared" si="138"/>
        <v>44317</v>
      </c>
      <c r="S1191">
        <f t="shared" si="139"/>
        <v>0</v>
      </c>
    </row>
    <row r="1192" spans="1:19" x14ac:dyDescent="0.3">
      <c r="A1192" s="17">
        <v>44327</v>
      </c>
      <c r="B1192">
        <v>371.95</v>
      </c>
      <c r="C1192">
        <v>65.5</v>
      </c>
      <c r="D1192">
        <f t="shared" si="136"/>
        <v>306.45</v>
      </c>
      <c r="E1192">
        <v>-0.1</v>
      </c>
      <c r="F1192">
        <f t="shared" si="137"/>
        <v>-306.55</v>
      </c>
      <c r="I1192">
        <f t="shared" si="133"/>
        <v>11</v>
      </c>
      <c r="J1192">
        <v>1</v>
      </c>
      <c r="K1192">
        <f t="shared" si="134"/>
        <v>5</v>
      </c>
      <c r="L1192">
        <f t="shared" si="135"/>
        <v>2021</v>
      </c>
      <c r="N1192" s="17">
        <f t="shared" si="138"/>
        <v>44317</v>
      </c>
      <c r="S1192">
        <f t="shared" si="139"/>
        <v>0</v>
      </c>
    </row>
    <row r="1193" spans="1:19" x14ac:dyDescent="0.3">
      <c r="A1193" s="17">
        <v>44326</v>
      </c>
      <c r="B1193">
        <v>382.7</v>
      </c>
      <c r="C1193">
        <v>66.709999999999994</v>
      </c>
      <c r="D1193">
        <f t="shared" si="136"/>
        <v>315.99</v>
      </c>
      <c r="E1193">
        <v>-0.14000000000000001</v>
      </c>
      <c r="F1193">
        <f t="shared" si="137"/>
        <v>-316.13</v>
      </c>
      <c r="I1193">
        <f t="shared" si="133"/>
        <v>10</v>
      </c>
      <c r="J1193">
        <v>1</v>
      </c>
      <c r="K1193">
        <f t="shared" si="134"/>
        <v>5</v>
      </c>
      <c r="L1193">
        <f t="shared" si="135"/>
        <v>2021</v>
      </c>
      <c r="N1193" s="17">
        <f t="shared" si="138"/>
        <v>44317</v>
      </c>
      <c r="S1193">
        <f t="shared" si="139"/>
        <v>0</v>
      </c>
    </row>
    <row r="1194" spans="1:19" x14ac:dyDescent="0.3">
      <c r="A1194" s="17">
        <v>44323</v>
      </c>
      <c r="B1194">
        <v>380.51</v>
      </c>
      <c r="C1194">
        <v>65.89</v>
      </c>
      <c r="D1194">
        <f t="shared" si="136"/>
        <v>314.62</v>
      </c>
      <c r="E1194">
        <v>-7.0000000000000007E-2</v>
      </c>
      <c r="F1194">
        <f t="shared" si="137"/>
        <v>-314.69</v>
      </c>
      <c r="I1194">
        <f t="shared" si="133"/>
        <v>7</v>
      </c>
      <c r="J1194">
        <v>1</v>
      </c>
      <c r="K1194">
        <f t="shared" si="134"/>
        <v>5</v>
      </c>
      <c r="L1194">
        <f t="shared" si="135"/>
        <v>2021</v>
      </c>
      <c r="N1194" s="17">
        <f t="shared" si="138"/>
        <v>44317</v>
      </c>
      <c r="S1194">
        <f t="shared" si="139"/>
        <v>0</v>
      </c>
    </row>
    <row r="1195" spans="1:19" x14ac:dyDescent="0.3">
      <c r="A1195" s="17">
        <v>44322</v>
      </c>
      <c r="B1195">
        <v>388.7</v>
      </c>
      <c r="C1195">
        <v>67.11</v>
      </c>
      <c r="D1195">
        <f t="shared" si="136"/>
        <v>321.58999999999997</v>
      </c>
      <c r="E1195">
        <v>-0.1</v>
      </c>
      <c r="F1195">
        <f t="shared" si="137"/>
        <v>-321.69</v>
      </c>
      <c r="I1195">
        <f t="shared" si="133"/>
        <v>6</v>
      </c>
      <c r="J1195">
        <v>1</v>
      </c>
      <c r="K1195">
        <f t="shared" si="134"/>
        <v>5</v>
      </c>
      <c r="L1195">
        <f t="shared" si="135"/>
        <v>2021</v>
      </c>
      <c r="N1195" s="17">
        <f t="shared" si="138"/>
        <v>44317</v>
      </c>
      <c r="S1195">
        <f t="shared" si="139"/>
        <v>0</v>
      </c>
    </row>
    <row r="1196" spans="1:19" x14ac:dyDescent="0.3">
      <c r="A1196" s="17">
        <v>44321</v>
      </c>
      <c r="B1196">
        <v>391.92</v>
      </c>
      <c r="C1196">
        <v>67.709999999999994</v>
      </c>
      <c r="D1196">
        <f t="shared" si="136"/>
        <v>324.21000000000004</v>
      </c>
      <c r="E1196">
        <v>-0.15</v>
      </c>
      <c r="F1196">
        <f t="shared" si="137"/>
        <v>-324.36</v>
      </c>
      <c r="I1196">
        <f t="shared" si="133"/>
        <v>5</v>
      </c>
      <c r="J1196">
        <v>1</v>
      </c>
      <c r="K1196">
        <f t="shared" si="134"/>
        <v>5</v>
      </c>
      <c r="L1196">
        <f t="shared" si="135"/>
        <v>2021</v>
      </c>
      <c r="N1196" s="17">
        <f t="shared" si="138"/>
        <v>44317</v>
      </c>
      <c r="S1196">
        <f t="shared" si="139"/>
        <v>0</v>
      </c>
    </row>
    <row r="1197" spans="1:19" x14ac:dyDescent="0.3">
      <c r="A1197" s="17">
        <v>44320</v>
      </c>
      <c r="B1197">
        <v>386.34</v>
      </c>
      <c r="C1197">
        <v>65.790000000000006</v>
      </c>
      <c r="D1197">
        <f t="shared" si="136"/>
        <v>320.54999999999995</v>
      </c>
      <c r="E1197">
        <v>-0.18</v>
      </c>
      <c r="F1197">
        <f t="shared" si="137"/>
        <v>-320.72999999999996</v>
      </c>
      <c r="I1197">
        <f t="shared" si="133"/>
        <v>4</v>
      </c>
      <c r="J1197">
        <v>1</v>
      </c>
      <c r="K1197">
        <f t="shared" si="134"/>
        <v>5</v>
      </c>
      <c r="L1197">
        <f t="shared" si="135"/>
        <v>2021</v>
      </c>
      <c r="N1197" s="17">
        <f t="shared" si="138"/>
        <v>44317</v>
      </c>
      <c r="S1197">
        <f t="shared" si="139"/>
        <v>1</v>
      </c>
    </row>
    <row r="1198" spans="1:19" x14ac:dyDescent="0.3">
      <c r="A1198" s="17">
        <v>44319</v>
      </c>
      <c r="B1198">
        <v>379.89</v>
      </c>
      <c r="C1198">
        <v>64.349999999999994</v>
      </c>
      <c r="D1198">
        <f t="shared" si="136"/>
        <v>315.53999999999996</v>
      </c>
      <c r="E1198">
        <v>-0.18</v>
      </c>
      <c r="F1198">
        <f t="shared" si="137"/>
        <v>-315.71999999999997</v>
      </c>
      <c r="I1198">
        <f t="shared" si="133"/>
        <v>3</v>
      </c>
      <c r="J1198">
        <v>1</v>
      </c>
      <c r="K1198">
        <f t="shared" si="134"/>
        <v>5</v>
      </c>
      <c r="L1198">
        <f t="shared" si="135"/>
        <v>2021</v>
      </c>
      <c r="N1198" s="17">
        <f t="shared" si="138"/>
        <v>44317</v>
      </c>
      <c r="S1198">
        <f t="shared" si="139"/>
        <v>1</v>
      </c>
    </row>
    <row r="1199" spans="1:19" x14ac:dyDescent="0.3">
      <c r="A1199" s="17">
        <v>44316</v>
      </c>
      <c r="B1199">
        <v>385.77</v>
      </c>
      <c r="C1199">
        <v>65.260000000000005</v>
      </c>
      <c r="D1199">
        <f t="shared" si="136"/>
        <v>320.51</v>
      </c>
      <c r="E1199">
        <v>-0.15</v>
      </c>
      <c r="F1199">
        <f t="shared" si="137"/>
        <v>-320.65999999999997</v>
      </c>
      <c r="I1199">
        <f t="shared" si="133"/>
        <v>30</v>
      </c>
      <c r="J1199">
        <v>1</v>
      </c>
      <c r="K1199">
        <f t="shared" si="134"/>
        <v>4</v>
      </c>
      <c r="L1199">
        <f t="shared" si="135"/>
        <v>2021</v>
      </c>
      <c r="N1199" s="17">
        <f t="shared" si="138"/>
        <v>44287</v>
      </c>
      <c r="S1199">
        <f t="shared" si="139"/>
        <v>0</v>
      </c>
    </row>
    <row r="1200" spans="1:19" x14ac:dyDescent="0.3">
      <c r="A1200" s="17">
        <v>44315</v>
      </c>
      <c r="B1200">
        <v>383.71</v>
      </c>
      <c r="C1200">
        <v>65.05</v>
      </c>
      <c r="D1200">
        <f t="shared" si="136"/>
        <v>318.65999999999997</v>
      </c>
      <c r="E1200">
        <v>-0.2</v>
      </c>
      <c r="F1200">
        <f t="shared" si="137"/>
        <v>-318.85999999999996</v>
      </c>
      <c r="I1200">
        <f t="shared" si="133"/>
        <v>29</v>
      </c>
      <c r="J1200">
        <v>1</v>
      </c>
      <c r="K1200">
        <f t="shared" si="134"/>
        <v>4</v>
      </c>
      <c r="L1200">
        <f t="shared" si="135"/>
        <v>2021</v>
      </c>
      <c r="N1200" s="17">
        <f t="shared" si="138"/>
        <v>44287</v>
      </c>
      <c r="S1200">
        <f t="shared" si="139"/>
        <v>0</v>
      </c>
    </row>
    <row r="1201" spans="1:19" x14ac:dyDescent="0.3">
      <c r="A1201" s="17">
        <v>44314</v>
      </c>
      <c r="B1201">
        <v>375</v>
      </c>
      <c r="C1201">
        <v>63.54</v>
      </c>
      <c r="D1201">
        <f t="shared" si="136"/>
        <v>311.45999999999998</v>
      </c>
      <c r="E1201">
        <v>-0.22</v>
      </c>
      <c r="F1201">
        <f t="shared" si="137"/>
        <v>-311.68</v>
      </c>
      <c r="I1201">
        <f t="shared" si="133"/>
        <v>28</v>
      </c>
      <c r="J1201">
        <v>1</v>
      </c>
      <c r="K1201">
        <f t="shared" si="134"/>
        <v>4</v>
      </c>
      <c r="L1201">
        <f t="shared" si="135"/>
        <v>2021</v>
      </c>
      <c r="N1201" s="17">
        <f t="shared" si="138"/>
        <v>44287</v>
      </c>
      <c r="S1201">
        <f t="shared" si="139"/>
        <v>0</v>
      </c>
    </row>
    <row r="1202" spans="1:19" x14ac:dyDescent="0.3">
      <c r="A1202" s="17">
        <v>44313</v>
      </c>
      <c r="B1202">
        <v>374.27</v>
      </c>
      <c r="C1202">
        <v>63.24</v>
      </c>
      <c r="D1202">
        <f t="shared" si="136"/>
        <v>311.02999999999997</v>
      </c>
      <c r="E1202">
        <v>-0.21</v>
      </c>
      <c r="F1202">
        <f t="shared" si="137"/>
        <v>-311.23999999999995</v>
      </c>
      <c r="I1202">
        <f t="shared" si="133"/>
        <v>27</v>
      </c>
      <c r="J1202">
        <v>1</v>
      </c>
      <c r="K1202">
        <f t="shared" si="134"/>
        <v>4</v>
      </c>
      <c r="L1202">
        <f t="shared" si="135"/>
        <v>2021</v>
      </c>
      <c r="N1202" s="17">
        <f t="shared" si="138"/>
        <v>44287</v>
      </c>
      <c r="S1202">
        <f t="shared" si="139"/>
        <v>0</v>
      </c>
    </row>
    <row r="1203" spans="1:19" x14ac:dyDescent="0.3">
      <c r="A1203" s="17">
        <v>44312</v>
      </c>
      <c r="B1203">
        <v>368.72</v>
      </c>
      <c r="C1203">
        <v>62.35</v>
      </c>
      <c r="D1203">
        <f t="shared" si="136"/>
        <v>306.37</v>
      </c>
      <c r="E1203">
        <v>-0.21</v>
      </c>
      <c r="F1203">
        <f t="shared" si="137"/>
        <v>-306.58</v>
      </c>
      <c r="I1203">
        <f t="shared" si="133"/>
        <v>26</v>
      </c>
      <c r="J1203">
        <v>1</v>
      </c>
      <c r="K1203">
        <f t="shared" si="134"/>
        <v>4</v>
      </c>
      <c r="L1203">
        <f t="shared" si="135"/>
        <v>2021</v>
      </c>
      <c r="N1203" s="17">
        <f t="shared" si="138"/>
        <v>44287</v>
      </c>
      <c r="S1203">
        <f t="shared" si="139"/>
        <v>0</v>
      </c>
    </row>
    <row r="1204" spans="1:19" x14ac:dyDescent="0.3">
      <c r="A1204" s="17">
        <v>44309</v>
      </c>
      <c r="B1204">
        <v>373.77</v>
      </c>
      <c r="C1204">
        <v>62.89</v>
      </c>
      <c r="D1204">
        <f t="shared" si="136"/>
        <v>310.88</v>
      </c>
      <c r="E1204">
        <v>-0.24</v>
      </c>
      <c r="F1204">
        <f t="shared" si="137"/>
        <v>-311.12</v>
      </c>
      <c r="I1204">
        <f t="shared" si="133"/>
        <v>23</v>
      </c>
      <c r="J1204">
        <v>1</v>
      </c>
      <c r="K1204">
        <f t="shared" si="134"/>
        <v>4</v>
      </c>
      <c r="L1204">
        <f t="shared" si="135"/>
        <v>2021</v>
      </c>
      <c r="N1204" s="17">
        <f t="shared" si="138"/>
        <v>44287</v>
      </c>
      <c r="S1204">
        <f t="shared" si="139"/>
        <v>0</v>
      </c>
    </row>
    <row r="1205" spans="1:19" x14ac:dyDescent="0.3">
      <c r="A1205" s="17">
        <v>44308</v>
      </c>
      <c r="B1205">
        <v>370.73</v>
      </c>
      <c r="C1205">
        <v>62.21</v>
      </c>
      <c r="D1205">
        <f t="shared" si="136"/>
        <v>308.52000000000004</v>
      </c>
      <c r="E1205">
        <v>-0.32</v>
      </c>
      <c r="F1205">
        <f t="shared" si="137"/>
        <v>-308.84000000000003</v>
      </c>
      <c r="I1205">
        <f t="shared" si="133"/>
        <v>22</v>
      </c>
      <c r="J1205">
        <v>1</v>
      </c>
      <c r="K1205">
        <f t="shared" si="134"/>
        <v>4</v>
      </c>
      <c r="L1205">
        <f t="shared" si="135"/>
        <v>2021</v>
      </c>
      <c r="N1205" s="17">
        <f t="shared" si="138"/>
        <v>44287</v>
      </c>
      <c r="S1205">
        <f t="shared" si="139"/>
        <v>0</v>
      </c>
    </row>
    <row r="1206" spans="1:19" x14ac:dyDescent="0.3">
      <c r="A1206" s="17">
        <v>44307</v>
      </c>
      <c r="B1206">
        <v>378</v>
      </c>
      <c r="C1206">
        <v>63.69</v>
      </c>
      <c r="D1206">
        <f t="shared" si="136"/>
        <v>314.31</v>
      </c>
      <c r="E1206">
        <v>-0.42</v>
      </c>
      <c r="F1206">
        <f t="shared" si="137"/>
        <v>-314.73</v>
      </c>
      <c r="I1206">
        <f t="shared" si="133"/>
        <v>21</v>
      </c>
      <c r="J1206">
        <v>1</v>
      </c>
      <c r="K1206">
        <f t="shared" si="134"/>
        <v>4</v>
      </c>
      <c r="L1206">
        <f t="shared" si="135"/>
        <v>2021</v>
      </c>
      <c r="N1206" s="17">
        <f t="shared" si="138"/>
        <v>44287</v>
      </c>
      <c r="S1206">
        <f t="shared" si="139"/>
        <v>0</v>
      </c>
    </row>
    <row r="1207" spans="1:19" x14ac:dyDescent="0.3">
      <c r="A1207" s="17">
        <v>44306</v>
      </c>
      <c r="B1207">
        <v>386.42</v>
      </c>
      <c r="C1207">
        <v>65.7</v>
      </c>
      <c r="D1207">
        <f t="shared" si="136"/>
        <v>320.72000000000003</v>
      </c>
      <c r="E1207">
        <v>-0.41</v>
      </c>
      <c r="F1207">
        <f t="shared" si="137"/>
        <v>-321.13000000000005</v>
      </c>
      <c r="I1207">
        <f t="shared" si="133"/>
        <v>20</v>
      </c>
      <c r="J1207">
        <v>1</v>
      </c>
      <c r="K1207">
        <f t="shared" si="134"/>
        <v>4</v>
      </c>
      <c r="L1207">
        <f t="shared" si="135"/>
        <v>2021</v>
      </c>
      <c r="N1207" s="17">
        <f t="shared" si="138"/>
        <v>44287</v>
      </c>
      <c r="S1207">
        <f t="shared" si="139"/>
        <v>0</v>
      </c>
    </row>
    <row r="1208" spans="1:19" x14ac:dyDescent="0.3">
      <c r="A1208" s="17">
        <v>44305</v>
      </c>
      <c r="B1208">
        <v>381.21</v>
      </c>
      <c r="C1208">
        <v>64.790000000000006</v>
      </c>
      <c r="D1208">
        <f t="shared" si="136"/>
        <v>316.41999999999996</v>
      </c>
      <c r="E1208">
        <v>-0.33</v>
      </c>
      <c r="F1208">
        <f t="shared" si="137"/>
        <v>-316.74999999999994</v>
      </c>
      <c r="I1208">
        <f t="shared" si="133"/>
        <v>19</v>
      </c>
      <c r="J1208">
        <v>1</v>
      </c>
      <c r="K1208">
        <f t="shared" si="134"/>
        <v>4</v>
      </c>
      <c r="L1208">
        <f t="shared" si="135"/>
        <v>2021</v>
      </c>
      <c r="N1208" s="17">
        <f t="shared" si="138"/>
        <v>44287</v>
      </c>
      <c r="S1208">
        <f t="shared" si="139"/>
        <v>0</v>
      </c>
    </row>
    <row r="1209" spans="1:19" x14ac:dyDescent="0.3">
      <c r="A1209" s="17">
        <v>44302</v>
      </c>
      <c r="B1209">
        <v>383.65</v>
      </c>
      <c r="C1209">
        <v>65.11</v>
      </c>
      <c r="D1209">
        <f t="shared" si="136"/>
        <v>318.53999999999996</v>
      </c>
      <c r="E1209">
        <v>-0.27</v>
      </c>
      <c r="F1209">
        <f t="shared" si="137"/>
        <v>-318.80999999999995</v>
      </c>
      <c r="I1209">
        <f t="shared" si="133"/>
        <v>16</v>
      </c>
      <c r="J1209">
        <v>1</v>
      </c>
      <c r="K1209">
        <f t="shared" si="134"/>
        <v>4</v>
      </c>
      <c r="L1209">
        <f t="shared" si="135"/>
        <v>2021</v>
      </c>
      <c r="N1209" s="17">
        <f t="shared" si="138"/>
        <v>44287</v>
      </c>
      <c r="S1209">
        <f t="shared" si="139"/>
        <v>0</v>
      </c>
    </row>
    <row r="1210" spans="1:19" x14ac:dyDescent="0.3">
      <c r="A1210" s="17">
        <v>44301</v>
      </c>
      <c r="B1210">
        <v>378.62</v>
      </c>
      <c r="C1210">
        <v>64.144999999999996</v>
      </c>
      <c r="D1210">
        <f t="shared" si="136"/>
        <v>314.47500000000002</v>
      </c>
      <c r="E1210">
        <v>-0.19</v>
      </c>
      <c r="F1210">
        <f t="shared" si="137"/>
        <v>-314.66500000000002</v>
      </c>
      <c r="I1210">
        <f t="shared" si="133"/>
        <v>15</v>
      </c>
      <c r="J1210">
        <v>1</v>
      </c>
      <c r="K1210">
        <f t="shared" si="134"/>
        <v>4</v>
      </c>
      <c r="L1210">
        <f t="shared" si="135"/>
        <v>2021</v>
      </c>
      <c r="N1210" s="17">
        <f t="shared" si="138"/>
        <v>44287</v>
      </c>
      <c r="S1210">
        <f t="shared" si="139"/>
        <v>0</v>
      </c>
    </row>
    <row r="1211" spans="1:19" x14ac:dyDescent="0.3">
      <c r="A1211" s="17">
        <v>44300</v>
      </c>
      <c r="B1211">
        <v>368.71</v>
      </c>
      <c r="C1211">
        <v>62.54</v>
      </c>
      <c r="D1211">
        <f t="shared" si="136"/>
        <v>306.16999999999996</v>
      </c>
      <c r="E1211">
        <v>-0.13</v>
      </c>
      <c r="F1211">
        <f t="shared" si="137"/>
        <v>-306.29999999999995</v>
      </c>
      <c r="I1211">
        <f t="shared" si="133"/>
        <v>14</v>
      </c>
      <c r="J1211">
        <v>1</v>
      </c>
      <c r="K1211">
        <f t="shared" si="134"/>
        <v>4</v>
      </c>
      <c r="L1211">
        <f t="shared" si="135"/>
        <v>2021</v>
      </c>
      <c r="N1211" s="17">
        <f t="shared" si="138"/>
        <v>44287</v>
      </c>
      <c r="S1211">
        <f t="shared" si="139"/>
        <v>0</v>
      </c>
    </row>
    <row r="1212" spans="1:19" x14ac:dyDescent="0.3">
      <c r="A1212" s="17">
        <v>44299</v>
      </c>
      <c r="B1212">
        <v>357.6</v>
      </c>
      <c r="C1212">
        <v>61.55</v>
      </c>
      <c r="D1212">
        <f t="shared" si="136"/>
        <v>296.05</v>
      </c>
      <c r="E1212">
        <v>-0.1</v>
      </c>
      <c r="F1212">
        <f t="shared" si="137"/>
        <v>-296.15000000000003</v>
      </c>
      <c r="I1212">
        <f t="shared" si="133"/>
        <v>13</v>
      </c>
      <c r="J1212">
        <v>1</v>
      </c>
      <c r="K1212">
        <f t="shared" si="134"/>
        <v>4</v>
      </c>
      <c r="L1212">
        <f t="shared" si="135"/>
        <v>2021</v>
      </c>
      <c r="N1212" s="17">
        <f t="shared" si="138"/>
        <v>44287</v>
      </c>
      <c r="S1212">
        <f t="shared" si="139"/>
        <v>0</v>
      </c>
    </row>
    <row r="1213" spans="1:19" x14ac:dyDescent="0.3">
      <c r="A1213" s="17">
        <v>44298</v>
      </c>
      <c r="B1213">
        <v>349.92</v>
      </c>
      <c r="C1213">
        <v>61.055</v>
      </c>
      <c r="D1213">
        <f t="shared" si="136"/>
        <v>288.86500000000001</v>
      </c>
      <c r="E1213">
        <v>-0.12</v>
      </c>
      <c r="F1213">
        <f t="shared" si="137"/>
        <v>-288.98500000000001</v>
      </c>
      <c r="I1213">
        <f t="shared" si="133"/>
        <v>12</v>
      </c>
      <c r="J1213">
        <v>1</v>
      </c>
      <c r="K1213">
        <f t="shared" si="134"/>
        <v>4</v>
      </c>
      <c r="L1213">
        <f t="shared" si="135"/>
        <v>2021</v>
      </c>
      <c r="N1213" s="17">
        <f t="shared" si="138"/>
        <v>44287</v>
      </c>
      <c r="S1213">
        <f t="shared" si="139"/>
        <v>0</v>
      </c>
    </row>
    <row r="1214" spans="1:19" x14ac:dyDescent="0.3">
      <c r="A1214" s="17">
        <v>44295</v>
      </c>
      <c r="B1214">
        <v>347.61</v>
      </c>
      <c r="C1214">
        <v>60.9</v>
      </c>
      <c r="D1214">
        <f t="shared" si="136"/>
        <v>286.71000000000004</v>
      </c>
      <c r="E1214">
        <v>-0.02</v>
      </c>
      <c r="F1214">
        <f t="shared" si="137"/>
        <v>-286.73</v>
      </c>
      <c r="I1214">
        <f t="shared" si="133"/>
        <v>9</v>
      </c>
      <c r="J1214">
        <v>1</v>
      </c>
      <c r="K1214">
        <f t="shared" si="134"/>
        <v>4</v>
      </c>
      <c r="L1214">
        <f t="shared" si="135"/>
        <v>2021</v>
      </c>
      <c r="N1214" s="17">
        <f t="shared" si="138"/>
        <v>44287</v>
      </c>
      <c r="S1214">
        <f t="shared" si="139"/>
        <v>0</v>
      </c>
    </row>
    <row r="1215" spans="1:19" x14ac:dyDescent="0.3">
      <c r="A1215" s="17">
        <v>44294</v>
      </c>
      <c r="B1215">
        <v>351.17</v>
      </c>
      <c r="C1215">
        <v>61.2</v>
      </c>
      <c r="D1215">
        <f t="shared" si="136"/>
        <v>289.97000000000003</v>
      </c>
      <c r="E1215">
        <v>-7.0000000000000007E-2</v>
      </c>
      <c r="F1215">
        <f t="shared" si="137"/>
        <v>-290.04000000000002</v>
      </c>
      <c r="I1215">
        <f t="shared" si="133"/>
        <v>8</v>
      </c>
      <c r="J1215">
        <v>1</v>
      </c>
      <c r="K1215">
        <f t="shared" si="134"/>
        <v>4</v>
      </c>
      <c r="L1215">
        <f t="shared" si="135"/>
        <v>2021</v>
      </c>
      <c r="N1215" s="17">
        <f t="shared" si="138"/>
        <v>44287</v>
      </c>
      <c r="S1215">
        <f t="shared" si="139"/>
        <v>0</v>
      </c>
    </row>
    <row r="1216" spans="1:19" x14ac:dyDescent="0.3">
      <c r="A1216" s="17">
        <v>44293</v>
      </c>
      <c r="B1216">
        <v>350.75</v>
      </c>
      <c r="C1216">
        <v>60.85</v>
      </c>
      <c r="D1216">
        <f t="shared" si="136"/>
        <v>289.89999999999998</v>
      </c>
      <c r="E1216">
        <v>-0.01</v>
      </c>
      <c r="F1216">
        <f t="shared" si="137"/>
        <v>-289.90999999999997</v>
      </c>
      <c r="I1216">
        <f t="shared" si="133"/>
        <v>7</v>
      </c>
      <c r="J1216">
        <v>1</v>
      </c>
      <c r="K1216">
        <f t="shared" si="134"/>
        <v>4</v>
      </c>
      <c r="L1216">
        <f t="shared" si="135"/>
        <v>2021</v>
      </c>
      <c r="N1216" s="17">
        <f t="shared" si="138"/>
        <v>44287</v>
      </c>
      <c r="S1216">
        <f t="shared" si="139"/>
        <v>0</v>
      </c>
    </row>
    <row r="1217" spans="1:19" x14ac:dyDescent="0.3">
      <c r="A1217" s="17">
        <v>44292</v>
      </c>
      <c r="B1217">
        <v>356.24</v>
      </c>
      <c r="C1217">
        <v>61.31</v>
      </c>
      <c r="D1217">
        <f t="shared" si="136"/>
        <v>294.93</v>
      </c>
      <c r="E1217">
        <v>-0.03</v>
      </c>
      <c r="F1217">
        <f t="shared" si="137"/>
        <v>-294.95999999999998</v>
      </c>
      <c r="I1217">
        <f t="shared" si="133"/>
        <v>6</v>
      </c>
      <c r="J1217">
        <v>1</v>
      </c>
      <c r="K1217">
        <f t="shared" si="134"/>
        <v>4</v>
      </c>
      <c r="L1217">
        <f t="shared" si="135"/>
        <v>2021</v>
      </c>
      <c r="N1217" s="17">
        <f t="shared" si="138"/>
        <v>44287</v>
      </c>
      <c r="S1217">
        <f t="shared" si="139"/>
        <v>0</v>
      </c>
    </row>
    <row r="1218" spans="1:19" x14ac:dyDescent="0.3">
      <c r="A1218" s="17">
        <v>44291</v>
      </c>
      <c r="B1218">
        <v>361.13</v>
      </c>
      <c r="C1218">
        <v>61.95</v>
      </c>
      <c r="D1218">
        <f t="shared" si="136"/>
        <v>299.18</v>
      </c>
      <c r="E1218">
        <v>-0.14000000000000001</v>
      </c>
      <c r="F1218">
        <f t="shared" si="137"/>
        <v>-299.32</v>
      </c>
      <c r="I1218">
        <f t="shared" si="133"/>
        <v>5</v>
      </c>
      <c r="J1218">
        <v>1</v>
      </c>
      <c r="K1218">
        <f t="shared" si="134"/>
        <v>4</v>
      </c>
      <c r="L1218">
        <f t="shared" si="135"/>
        <v>2021</v>
      </c>
      <c r="N1218" s="17">
        <f t="shared" si="138"/>
        <v>44287</v>
      </c>
      <c r="S1218">
        <f t="shared" si="139"/>
        <v>0</v>
      </c>
    </row>
    <row r="1219" spans="1:19" x14ac:dyDescent="0.3">
      <c r="A1219" s="17">
        <v>44287</v>
      </c>
      <c r="B1219">
        <v>357.43</v>
      </c>
      <c r="C1219">
        <v>61.45</v>
      </c>
      <c r="D1219">
        <f t="shared" si="136"/>
        <v>295.98</v>
      </c>
      <c r="E1219">
        <v>-0.28999999999999998</v>
      </c>
      <c r="F1219">
        <f t="shared" si="137"/>
        <v>-296.27000000000004</v>
      </c>
      <c r="I1219">
        <f t="shared" si="133"/>
        <v>1</v>
      </c>
      <c r="J1219">
        <v>1</v>
      </c>
      <c r="K1219">
        <f t="shared" si="134"/>
        <v>4</v>
      </c>
      <c r="L1219">
        <f t="shared" si="135"/>
        <v>2021</v>
      </c>
      <c r="N1219" s="17">
        <f t="shared" si="138"/>
        <v>44287</v>
      </c>
      <c r="S1219">
        <f t="shared" si="139"/>
        <v>1</v>
      </c>
    </row>
    <row r="1220" spans="1:19" x14ac:dyDescent="0.3">
      <c r="A1220" s="17">
        <v>44286</v>
      </c>
      <c r="B1220">
        <v>367.4</v>
      </c>
      <c r="C1220">
        <v>63.31</v>
      </c>
      <c r="D1220">
        <f t="shared" si="136"/>
        <v>304.08999999999997</v>
      </c>
      <c r="E1220">
        <v>-0.31</v>
      </c>
      <c r="F1220">
        <f t="shared" si="137"/>
        <v>-304.39999999999998</v>
      </c>
      <c r="I1220">
        <f t="shared" si="133"/>
        <v>31</v>
      </c>
      <c r="J1220">
        <v>1</v>
      </c>
      <c r="K1220">
        <f t="shared" si="134"/>
        <v>3</v>
      </c>
      <c r="L1220">
        <f t="shared" si="135"/>
        <v>2021</v>
      </c>
      <c r="N1220" s="17">
        <f t="shared" si="138"/>
        <v>44256</v>
      </c>
      <c r="S1220">
        <f t="shared" si="139"/>
        <v>0</v>
      </c>
    </row>
    <row r="1221" spans="1:19" x14ac:dyDescent="0.3">
      <c r="A1221" s="17">
        <v>44285</v>
      </c>
      <c r="B1221">
        <v>369.59</v>
      </c>
      <c r="C1221">
        <v>63.86</v>
      </c>
      <c r="D1221">
        <f t="shared" si="136"/>
        <v>305.72999999999996</v>
      </c>
      <c r="E1221">
        <v>-0.28000000000000003</v>
      </c>
      <c r="F1221">
        <f t="shared" si="137"/>
        <v>-306.00999999999993</v>
      </c>
      <c r="I1221">
        <f t="shared" ref="I1221:I1284" si="140">+DAY(A1221)</f>
        <v>30</v>
      </c>
      <c r="J1221">
        <v>1</v>
      </c>
      <c r="K1221">
        <f t="shared" ref="K1221:K1284" si="141">+MONTH(A1221)</f>
        <v>3</v>
      </c>
      <c r="L1221">
        <f t="shared" ref="L1221:L1284" si="142">+YEAR(A1221)</f>
        <v>2021</v>
      </c>
      <c r="N1221" s="17">
        <f t="shared" si="138"/>
        <v>44256</v>
      </c>
      <c r="S1221">
        <f t="shared" si="139"/>
        <v>0</v>
      </c>
    </row>
    <row r="1222" spans="1:19" x14ac:dyDescent="0.3">
      <c r="A1222" s="17">
        <v>44284</v>
      </c>
      <c r="B1222">
        <v>366.73</v>
      </c>
      <c r="C1222">
        <v>63.05</v>
      </c>
      <c r="D1222">
        <f t="shared" ref="D1222:D1285" si="143">+B1222-C1222</f>
        <v>303.68</v>
      </c>
      <c r="E1222">
        <v>-0.24</v>
      </c>
      <c r="F1222">
        <f t="shared" ref="F1222:F1285" si="144">+E1222-D1222</f>
        <v>-303.92</v>
      </c>
      <c r="I1222">
        <f t="shared" si="140"/>
        <v>29</v>
      </c>
      <c r="J1222">
        <v>1</v>
      </c>
      <c r="K1222">
        <f t="shared" si="141"/>
        <v>3</v>
      </c>
      <c r="L1222">
        <f t="shared" si="142"/>
        <v>2021</v>
      </c>
      <c r="N1222" s="17">
        <f t="shared" ref="N1222:N1285" si="145">+DATE(L1222,K1222,J1222)</f>
        <v>44256</v>
      </c>
      <c r="S1222">
        <f t="shared" ref="S1222:S1285" si="146">IF(AND(I1222&gt;=1, I1222&lt;=4), 1, 0)</f>
        <v>0</v>
      </c>
    </row>
    <row r="1223" spans="1:19" x14ac:dyDescent="0.3">
      <c r="A1223" s="17">
        <v>44281</v>
      </c>
      <c r="B1223">
        <v>365.97</v>
      </c>
      <c r="C1223">
        <v>62.05</v>
      </c>
      <c r="D1223">
        <f t="shared" si="143"/>
        <v>303.92</v>
      </c>
      <c r="E1223">
        <v>-0.27</v>
      </c>
      <c r="F1223">
        <f t="shared" si="144"/>
        <v>-304.19</v>
      </c>
      <c r="I1223">
        <f t="shared" si="140"/>
        <v>26</v>
      </c>
      <c r="J1223">
        <v>1</v>
      </c>
      <c r="K1223">
        <f t="shared" si="141"/>
        <v>3</v>
      </c>
      <c r="L1223">
        <f t="shared" si="142"/>
        <v>2021</v>
      </c>
      <c r="N1223" s="17">
        <f t="shared" si="145"/>
        <v>44256</v>
      </c>
      <c r="S1223">
        <f t="shared" si="146"/>
        <v>0</v>
      </c>
    </row>
    <row r="1224" spans="1:19" x14ac:dyDescent="0.3">
      <c r="A1224" s="17">
        <v>44280</v>
      </c>
      <c r="B1224">
        <v>364.79</v>
      </c>
      <c r="C1224">
        <v>62.4</v>
      </c>
      <c r="D1224">
        <f t="shared" si="143"/>
        <v>302.39000000000004</v>
      </c>
      <c r="E1224">
        <v>-0.27</v>
      </c>
      <c r="F1224">
        <f t="shared" si="144"/>
        <v>-302.66000000000003</v>
      </c>
      <c r="I1224">
        <f t="shared" si="140"/>
        <v>25</v>
      </c>
      <c r="J1224">
        <v>1</v>
      </c>
      <c r="K1224">
        <f t="shared" si="141"/>
        <v>3</v>
      </c>
      <c r="L1224">
        <f t="shared" si="142"/>
        <v>2021</v>
      </c>
      <c r="N1224" s="17">
        <f t="shared" si="145"/>
        <v>44256</v>
      </c>
      <c r="S1224">
        <f t="shared" si="146"/>
        <v>0</v>
      </c>
    </row>
    <row r="1225" spans="1:19" x14ac:dyDescent="0.3">
      <c r="A1225" s="17">
        <v>44279</v>
      </c>
      <c r="B1225">
        <v>358.35</v>
      </c>
      <c r="C1225">
        <v>60.95</v>
      </c>
      <c r="D1225">
        <f t="shared" si="143"/>
        <v>297.40000000000003</v>
      </c>
      <c r="E1225">
        <v>-0.28999999999999998</v>
      </c>
      <c r="F1225">
        <f t="shared" si="144"/>
        <v>-297.69000000000005</v>
      </c>
      <c r="I1225">
        <f t="shared" si="140"/>
        <v>24</v>
      </c>
      <c r="J1225">
        <v>1</v>
      </c>
      <c r="K1225">
        <f t="shared" si="141"/>
        <v>3</v>
      </c>
      <c r="L1225">
        <f t="shared" si="142"/>
        <v>2021</v>
      </c>
      <c r="N1225" s="17">
        <f t="shared" si="145"/>
        <v>44256</v>
      </c>
      <c r="S1225">
        <f t="shared" si="146"/>
        <v>0</v>
      </c>
    </row>
    <row r="1226" spans="1:19" x14ac:dyDescent="0.3">
      <c r="A1226" s="17">
        <v>44278</v>
      </c>
      <c r="B1226">
        <v>366.99</v>
      </c>
      <c r="C1226">
        <v>62.954999999999998</v>
      </c>
      <c r="D1226">
        <f t="shared" si="143"/>
        <v>304.03500000000003</v>
      </c>
      <c r="E1226">
        <v>-0.26</v>
      </c>
      <c r="F1226">
        <f t="shared" si="144"/>
        <v>-304.29500000000002</v>
      </c>
      <c r="I1226">
        <f t="shared" si="140"/>
        <v>23</v>
      </c>
      <c r="J1226">
        <v>1</v>
      </c>
      <c r="K1226">
        <f t="shared" si="141"/>
        <v>3</v>
      </c>
      <c r="L1226">
        <f t="shared" si="142"/>
        <v>2021</v>
      </c>
      <c r="N1226" s="17">
        <f t="shared" si="145"/>
        <v>44256</v>
      </c>
      <c r="S1226">
        <f t="shared" si="146"/>
        <v>0</v>
      </c>
    </row>
    <row r="1227" spans="1:19" x14ac:dyDescent="0.3">
      <c r="A1227" s="17">
        <v>44277</v>
      </c>
      <c r="B1227">
        <v>374.09</v>
      </c>
      <c r="C1227">
        <v>63.16</v>
      </c>
      <c r="D1227">
        <f t="shared" si="143"/>
        <v>310.92999999999995</v>
      </c>
      <c r="E1227">
        <v>-0.18</v>
      </c>
      <c r="F1227">
        <f t="shared" si="144"/>
        <v>-311.10999999999996</v>
      </c>
      <c r="I1227">
        <f t="shared" si="140"/>
        <v>22</v>
      </c>
      <c r="J1227">
        <v>1</v>
      </c>
      <c r="K1227">
        <f t="shared" si="141"/>
        <v>3</v>
      </c>
      <c r="L1227">
        <f t="shared" si="142"/>
        <v>2021</v>
      </c>
      <c r="N1227" s="17">
        <f t="shared" si="145"/>
        <v>44256</v>
      </c>
      <c r="S1227">
        <f t="shared" si="146"/>
        <v>0</v>
      </c>
    </row>
    <row r="1228" spans="1:19" x14ac:dyDescent="0.3">
      <c r="A1228" s="17">
        <v>44274</v>
      </c>
      <c r="B1228">
        <v>371.05</v>
      </c>
      <c r="C1228">
        <v>62.25</v>
      </c>
      <c r="D1228">
        <f t="shared" si="143"/>
        <v>308.8</v>
      </c>
      <c r="E1228">
        <v>-0.19</v>
      </c>
      <c r="F1228">
        <f t="shared" si="144"/>
        <v>-308.99</v>
      </c>
      <c r="I1228">
        <f t="shared" si="140"/>
        <v>19</v>
      </c>
      <c r="J1228">
        <v>1</v>
      </c>
      <c r="K1228">
        <f t="shared" si="141"/>
        <v>3</v>
      </c>
      <c r="L1228">
        <f t="shared" si="142"/>
        <v>2021</v>
      </c>
      <c r="N1228" s="17">
        <f t="shared" si="145"/>
        <v>44256</v>
      </c>
      <c r="S1228">
        <f t="shared" si="146"/>
        <v>0</v>
      </c>
    </row>
    <row r="1229" spans="1:19" x14ac:dyDescent="0.3">
      <c r="A1229" s="17">
        <v>44273</v>
      </c>
      <c r="B1229">
        <v>389.3</v>
      </c>
      <c r="C1229">
        <v>65.25</v>
      </c>
      <c r="D1229">
        <f t="shared" si="143"/>
        <v>324.05</v>
      </c>
      <c r="E1229">
        <v>-0.27</v>
      </c>
      <c r="F1229">
        <f t="shared" si="144"/>
        <v>-324.32</v>
      </c>
      <c r="I1229">
        <f t="shared" si="140"/>
        <v>18</v>
      </c>
      <c r="J1229">
        <v>1</v>
      </c>
      <c r="K1229">
        <f t="shared" si="141"/>
        <v>3</v>
      </c>
      <c r="L1229">
        <f t="shared" si="142"/>
        <v>2021</v>
      </c>
      <c r="N1229" s="17">
        <f t="shared" si="145"/>
        <v>44256</v>
      </c>
      <c r="S1229">
        <f t="shared" si="146"/>
        <v>0</v>
      </c>
    </row>
    <row r="1230" spans="1:19" x14ac:dyDescent="0.3">
      <c r="A1230" s="17">
        <v>44272</v>
      </c>
      <c r="B1230">
        <v>397.2</v>
      </c>
      <c r="C1230">
        <v>66.599999999999994</v>
      </c>
      <c r="D1230">
        <f t="shared" si="143"/>
        <v>330.6</v>
      </c>
      <c r="E1230">
        <v>-0.16</v>
      </c>
      <c r="F1230">
        <f t="shared" si="144"/>
        <v>-330.76000000000005</v>
      </c>
      <c r="I1230">
        <f t="shared" si="140"/>
        <v>17</v>
      </c>
      <c r="J1230">
        <v>1</v>
      </c>
      <c r="K1230">
        <f t="shared" si="141"/>
        <v>3</v>
      </c>
      <c r="L1230">
        <f t="shared" si="142"/>
        <v>2021</v>
      </c>
      <c r="N1230" s="17">
        <f t="shared" si="145"/>
        <v>44256</v>
      </c>
      <c r="S1230">
        <f t="shared" si="146"/>
        <v>0</v>
      </c>
    </row>
    <row r="1231" spans="1:19" x14ac:dyDescent="0.3">
      <c r="A1231" s="17">
        <v>44271</v>
      </c>
      <c r="B1231">
        <v>395.73</v>
      </c>
      <c r="C1231">
        <v>66.504999999999995</v>
      </c>
      <c r="D1231">
        <f t="shared" si="143"/>
        <v>329.22500000000002</v>
      </c>
      <c r="E1231">
        <v>-0.18</v>
      </c>
      <c r="F1231">
        <f t="shared" si="144"/>
        <v>-329.40500000000003</v>
      </c>
      <c r="I1231">
        <f t="shared" si="140"/>
        <v>16</v>
      </c>
      <c r="J1231">
        <v>1</v>
      </c>
      <c r="K1231">
        <f t="shared" si="141"/>
        <v>3</v>
      </c>
      <c r="L1231">
        <f t="shared" si="142"/>
        <v>2021</v>
      </c>
      <c r="N1231" s="17">
        <f t="shared" si="145"/>
        <v>44256</v>
      </c>
      <c r="S1231">
        <f t="shared" si="146"/>
        <v>0</v>
      </c>
    </row>
    <row r="1232" spans="1:19" x14ac:dyDescent="0.3">
      <c r="A1232" s="17">
        <v>44270</v>
      </c>
      <c r="B1232">
        <v>404.82</v>
      </c>
      <c r="C1232">
        <v>68.2</v>
      </c>
      <c r="D1232">
        <f t="shared" si="143"/>
        <v>336.62</v>
      </c>
      <c r="E1232">
        <v>-0.17</v>
      </c>
      <c r="F1232">
        <f t="shared" si="144"/>
        <v>-336.79</v>
      </c>
      <c r="I1232">
        <f t="shared" si="140"/>
        <v>15</v>
      </c>
      <c r="J1232">
        <v>1</v>
      </c>
      <c r="K1232">
        <f t="shared" si="141"/>
        <v>3</v>
      </c>
      <c r="L1232">
        <f t="shared" si="142"/>
        <v>2021</v>
      </c>
      <c r="N1232" s="17">
        <f t="shared" si="145"/>
        <v>44256</v>
      </c>
      <c r="S1232">
        <f t="shared" si="146"/>
        <v>0</v>
      </c>
    </row>
    <row r="1233" spans="1:19" x14ac:dyDescent="0.3">
      <c r="A1233" s="17">
        <v>44267</v>
      </c>
      <c r="B1233">
        <v>399.63</v>
      </c>
      <c r="C1233">
        <v>67.894999999999996</v>
      </c>
      <c r="D1233">
        <f t="shared" si="143"/>
        <v>331.73500000000001</v>
      </c>
      <c r="E1233">
        <v>-0.22</v>
      </c>
      <c r="F1233">
        <f t="shared" si="144"/>
        <v>-331.95500000000004</v>
      </c>
      <c r="I1233">
        <f t="shared" si="140"/>
        <v>12</v>
      </c>
      <c r="J1233">
        <v>1</v>
      </c>
      <c r="K1233">
        <f t="shared" si="141"/>
        <v>3</v>
      </c>
      <c r="L1233">
        <f t="shared" si="142"/>
        <v>2021</v>
      </c>
      <c r="N1233" s="17">
        <f t="shared" si="145"/>
        <v>44256</v>
      </c>
      <c r="S1233">
        <f t="shared" si="146"/>
        <v>0</v>
      </c>
    </row>
    <row r="1234" spans="1:19" x14ac:dyDescent="0.3">
      <c r="A1234" s="17">
        <v>44266</v>
      </c>
      <c r="B1234">
        <v>397.16</v>
      </c>
      <c r="C1234">
        <v>66.790000000000006</v>
      </c>
      <c r="D1234">
        <f t="shared" si="143"/>
        <v>330.37</v>
      </c>
      <c r="E1234">
        <v>-0.23</v>
      </c>
      <c r="F1234">
        <f t="shared" si="144"/>
        <v>-330.6</v>
      </c>
      <c r="I1234">
        <f t="shared" si="140"/>
        <v>11</v>
      </c>
      <c r="J1234">
        <v>1</v>
      </c>
      <c r="K1234">
        <f t="shared" si="141"/>
        <v>3</v>
      </c>
      <c r="L1234">
        <f t="shared" si="142"/>
        <v>2021</v>
      </c>
      <c r="N1234" s="17">
        <f t="shared" si="145"/>
        <v>44256</v>
      </c>
      <c r="S1234">
        <f t="shared" si="146"/>
        <v>0</v>
      </c>
    </row>
    <row r="1235" spans="1:19" x14ac:dyDescent="0.3">
      <c r="A1235" s="17">
        <v>44265</v>
      </c>
      <c r="B1235">
        <v>389.28</v>
      </c>
      <c r="C1235">
        <v>65.25</v>
      </c>
      <c r="D1235">
        <f t="shared" si="143"/>
        <v>324.02999999999997</v>
      </c>
      <c r="E1235">
        <v>-0.22</v>
      </c>
      <c r="F1235">
        <f t="shared" si="144"/>
        <v>-324.25</v>
      </c>
      <c r="I1235">
        <f t="shared" si="140"/>
        <v>10</v>
      </c>
      <c r="J1235">
        <v>1</v>
      </c>
      <c r="K1235">
        <f t="shared" si="141"/>
        <v>3</v>
      </c>
      <c r="L1235">
        <f t="shared" si="142"/>
        <v>2021</v>
      </c>
      <c r="N1235" s="17">
        <f t="shared" si="145"/>
        <v>44256</v>
      </c>
      <c r="S1235">
        <f t="shared" si="146"/>
        <v>0</v>
      </c>
    </row>
    <row r="1236" spans="1:19" x14ac:dyDescent="0.3">
      <c r="A1236" s="17">
        <v>44264</v>
      </c>
      <c r="B1236">
        <v>396.81</v>
      </c>
      <c r="C1236">
        <v>66.36</v>
      </c>
      <c r="D1236">
        <f t="shared" si="143"/>
        <v>330.45</v>
      </c>
      <c r="E1236">
        <v>-0.22</v>
      </c>
      <c r="F1236">
        <f t="shared" si="144"/>
        <v>-330.67</v>
      </c>
      <c r="I1236">
        <f t="shared" si="140"/>
        <v>9</v>
      </c>
      <c r="J1236">
        <v>1</v>
      </c>
      <c r="K1236">
        <f t="shared" si="141"/>
        <v>3</v>
      </c>
      <c r="L1236">
        <f t="shared" si="142"/>
        <v>2021</v>
      </c>
      <c r="N1236" s="17">
        <f t="shared" si="145"/>
        <v>44256</v>
      </c>
      <c r="S1236">
        <f t="shared" si="146"/>
        <v>0</v>
      </c>
    </row>
    <row r="1237" spans="1:19" x14ac:dyDescent="0.3">
      <c r="A1237" s="17">
        <v>44263</v>
      </c>
      <c r="B1237">
        <v>406.46</v>
      </c>
      <c r="C1237">
        <v>68.3</v>
      </c>
      <c r="D1237">
        <f t="shared" si="143"/>
        <v>338.15999999999997</v>
      </c>
      <c r="E1237">
        <v>-0.21</v>
      </c>
      <c r="F1237">
        <f t="shared" si="144"/>
        <v>-338.36999999999995</v>
      </c>
      <c r="I1237">
        <f t="shared" si="140"/>
        <v>8</v>
      </c>
      <c r="J1237">
        <v>1</v>
      </c>
      <c r="K1237">
        <f t="shared" si="141"/>
        <v>3</v>
      </c>
      <c r="L1237">
        <f t="shared" si="142"/>
        <v>2021</v>
      </c>
      <c r="N1237" s="17">
        <f t="shared" si="145"/>
        <v>44256</v>
      </c>
      <c r="S1237">
        <f t="shared" si="146"/>
        <v>0</v>
      </c>
    </row>
    <row r="1238" spans="1:19" x14ac:dyDescent="0.3">
      <c r="A1238" s="17">
        <v>44260</v>
      </c>
      <c r="B1238">
        <v>392.49</v>
      </c>
      <c r="C1238">
        <v>66.42</v>
      </c>
      <c r="D1238">
        <f t="shared" si="143"/>
        <v>326.07</v>
      </c>
      <c r="E1238">
        <v>-0.26</v>
      </c>
      <c r="F1238">
        <f t="shared" si="144"/>
        <v>-326.33</v>
      </c>
      <c r="I1238">
        <f t="shared" si="140"/>
        <v>5</v>
      </c>
      <c r="J1238">
        <v>1</v>
      </c>
      <c r="K1238">
        <f t="shared" si="141"/>
        <v>3</v>
      </c>
      <c r="L1238">
        <f t="shared" si="142"/>
        <v>2021</v>
      </c>
      <c r="N1238" s="17">
        <f t="shared" si="145"/>
        <v>44256</v>
      </c>
      <c r="S1238">
        <f t="shared" si="146"/>
        <v>0</v>
      </c>
    </row>
    <row r="1239" spans="1:19" x14ac:dyDescent="0.3">
      <c r="A1239" s="17">
        <v>44259</v>
      </c>
      <c r="B1239">
        <v>369.57</v>
      </c>
      <c r="C1239">
        <v>63.04</v>
      </c>
      <c r="D1239">
        <f t="shared" si="143"/>
        <v>306.52999999999997</v>
      </c>
      <c r="E1239">
        <v>-0.22</v>
      </c>
      <c r="F1239">
        <f t="shared" si="144"/>
        <v>-306.75</v>
      </c>
      <c r="I1239">
        <f t="shared" si="140"/>
        <v>4</v>
      </c>
      <c r="J1239">
        <v>1</v>
      </c>
      <c r="K1239">
        <f t="shared" si="141"/>
        <v>3</v>
      </c>
      <c r="L1239">
        <f t="shared" si="142"/>
        <v>2021</v>
      </c>
      <c r="N1239" s="17">
        <f t="shared" si="145"/>
        <v>44256</v>
      </c>
      <c r="S1239">
        <f t="shared" si="146"/>
        <v>1</v>
      </c>
    </row>
    <row r="1240" spans="1:19" x14ac:dyDescent="0.3">
      <c r="A1240" s="17">
        <v>44258</v>
      </c>
      <c r="B1240">
        <v>363.38</v>
      </c>
      <c r="C1240">
        <v>61.39</v>
      </c>
      <c r="D1240">
        <f t="shared" si="143"/>
        <v>301.99</v>
      </c>
      <c r="E1240">
        <v>-0.2</v>
      </c>
      <c r="F1240">
        <f t="shared" si="144"/>
        <v>-302.19</v>
      </c>
      <c r="I1240">
        <f t="shared" si="140"/>
        <v>3</v>
      </c>
      <c r="J1240">
        <v>1</v>
      </c>
      <c r="K1240">
        <f t="shared" si="141"/>
        <v>3</v>
      </c>
      <c r="L1240">
        <f t="shared" si="142"/>
        <v>2021</v>
      </c>
      <c r="N1240" s="17">
        <f t="shared" si="145"/>
        <v>44256</v>
      </c>
      <c r="S1240">
        <f t="shared" si="146"/>
        <v>1</v>
      </c>
    </row>
    <row r="1241" spans="1:19" x14ac:dyDescent="0.3">
      <c r="A1241" s="17">
        <v>44257</v>
      </c>
      <c r="B1241">
        <v>363.82</v>
      </c>
      <c r="C1241">
        <v>61.354999999999997</v>
      </c>
      <c r="D1241">
        <f t="shared" si="143"/>
        <v>302.46499999999997</v>
      </c>
      <c r="E1241">
        <v>-0.17</v>
      </c>
      <c r="F1241">
        <f t="shared" si="144"/>
        <v>-302.63499999999999</v>
      </c>
      <c r="I1241">
        <f t="shared" si="140"/>
        <v>2</v>
      </c>
      <c r="J1241">
        <v>1</v>
      </c>
      <c r="K1241">
        <f t="shared" si="141"/>
        <v>3</v>
      </c>
      <c r="L1241">
        <f t="shared" si="142"/>
        <v>2021</v>
      </c>
      <c r="N1241" s="17">
        <f t="shared" si="145"/>
        <v>44256</v>
      </c>
      <c r="S1241">
        <f t="shared" si="146"/>
        <v>1</v>
      </c>
    </row>
    <row r="1242" spans="1:19" x14ac:dyDescent="0.3">
      <c r="A1242" s="17">
        <v>44256</v>
      </c>
      <c r="B1242">
        <v>378.59</v>
      </c>
      <c r="C1242">
        <v>64.19</v>
      </c>
      <c r="D1242">
        <f t="shared" si="143"/>
        <v>314.39999999999998</v>
      </c>
      <c r="E1242">
        <v>-0.08</v>
      </c>
      <c r="F1242">
        <f t="shared" si="144"/>
        <v>-314.47999999999996</v>
      </c>
      <c r="I1242">
        <f t="shared" si="140"/>
        <v>1</v>
      </c>
      <c r="J1242">
        <v>1</v>
      </c>
      <c r="K1242">
        <f t="shared" si="141"/>
        <v>3</v>
      </c>
      <c r="L1242">
        <f t="shared" si="142"/>
        <v>2021</v>
      </c>
      <c r="N1242" s="17">
        <f t="shared" si="145"/>
        <v>44256</v>
      </c>
      <c r="S1242">
        <f t="shared" si="146"/>
        <v>1</v>
      </c>
    </row>
    <row r="1243" spans="1:19" x14ac:dyDescent="0.3">
      <c r="A1243" s="17">
        <v>44253</v>
      </c>
      <c r="B1243">
        <v>377.6</v>
      </c>
      <c r="C1243">
        <v>64.28</v>
      </c>
      <c r="D1243">
        <f t="shared" si="143"/>
        <v>313.32000000000005</v>
      </c>
      <c r="E1243">
        <v>0.02</v>
      </c>
      <c r="F1243">
        <f t="shared" si="144"/>
        <v>-313.30000000000007</v>
      </c>
      <c r="I1243">
        <f t="shared" si="140"/>
        <v>26</v>
      </c>
      <c r="J1243">
        <v>1</v>
      </c>
      <c r="K1243">
        <f t="shared" si="141"/>
        <v>2</v>
      </c>
      <c r="L1243">
        <f t="shared" si="142"/>
        <v>2021</v>
      </c>
      <c r="N1243" s="17">
        <f t="shared" si="145"/>
        <v>44228</v>
      </c>
      <c r="S1243">
        <f t="shared" si="146"/>
        <v>0</v>
      </c>
    </row>
    <row r="1244" spans="1:19" x14ac:dyDescent="0.3">
      <c r="A1244" s="17">
        <v>44252</v>
      </c>
      <c r="B1244">
        <v>384.03</v>
      </c>
      <c r="C1244">
        <v>65.349999999999994</v>
      </c>
      <c r="D1244">
        <f t="shared" si="143"/>
        <v>318.67999999999995</v>
      </c>
      <c r="E1244">
        <v>0.04</v>
      </c>
      <c r="F1244">
        <f t="shared" si="144"/>
        <v>-318.63999999999993</v>
      </c>
      <c r="I1244">
        <f t="shared" si="140"/>
        <v>25</v>
      </c>
      <c r="J1244">
        <v>1</v>
      </c>
      <c r="K1244">
        <f t="shared" si="141"/>
        <v>2</v>
      </c>
      <c r="L1244">
        <f t="shared" si="142"/>
        <v>2021</v>
      </c>
      <c r="N1244" s="17">
        <f t="shared" si="145"/>
        <v>44228</v>
      </c>
      <c r="S1244">
        <f t="shared" si="146"/>
        <v>0</v>
      </c>
    </row>
    <row r="1245" spans="1:19" x14ac:dyDescent="0.3">
      <c r="A1245" s="17">
        <v>44251</v>
      </c>
      <c r="B1245">
        <v>370.44</v>
      </c>
      <c r="C1245">
        <v>62.85</v>
      </c>
      <c r="D1245">
        <f t="shared" si="143"/>
        <v>307.58999999999997</v>
      </c>
      <c r="E1245">
        <v>0</v>
      </c>
      <c r="F1245">
        <f t="shared" si="144"/>
        <v>-307.58999999999997</v>
      </c>
      <c r="I1245">
        <f t="shared" si="140"/>
        <v>24</v>
      </c>
      <c r="J1245">
        <v>1</v>
      </c>
      <c r="K1245">
        <f t="shared" si="141"/>
        <v>2</v>
      </c>
      <c r="L1245">
        <f t="shared" si="142"/>
        <v>2021</v>
      </c>
      <c r="N1245" s="17">
        <f t="shared" si="145"/>
        <v>44228</v>
      </c>
      <c r="S1245">
        <f t="shared" si="146"/>
        <v>0</v>
      </c>
    </row>
    <row r="1246" spans="1:19" x14ac:dyDescent="0.3">
      <c r="A1246" s="17">
        <v>44250</v>
      </c>
      <c r="B1246">
        <v>375.39</v>
      </c>
      <c r="C1246">
        <v>63.5</v>
      </c>
      <c r="D1246">
        <f t="shared" si="143"/>
        <v>311.89</v>
      </c>
      <c r="E1246">
        <v>0.06</v>
      </c>
      <c r="F1246">
        <f t="shared" si="144"/>
        <v>-311.83</v>
      </c>
      <c r="I1246">
        <f t="shared" si="140"/>
        <v>23</v>
      </c>
      <c r="J1246">
        <v>1</v>
      </c>
      <c r="K1246">
        <f t="shared" si="141"/>
        <v>2</v>
      </c>
      <c r="L1246">
        <f t="shared" si="142"/>
        <v>2021</v>
      </c>
      <c r="N1246" s="17">
        <f t="shared" si="145"/>
        <v>44228</v>
      </c>
      <c r="S1246">
        <f t="shared" si="146"/>
        <v>0</v>
      </c>
    </row>
    <row r="1247" spans="1:19" x14ac:dyDescent="0.3">
      <c r="A1247" s="17">
        <v>44249</v>
      </c>
      <c r="B1247">
        <v>358.99</v>
      </c>
      <c r="C1247">
        <v>61.24</v>
      </c>
      <c r="D1247">
        <f t="shared" si="143"/>
        <v>297.75</v>
      </c>
      <c r="E1247">
        <v>0.03</v>
      </c>
      <c r="F1247">
        <f t="shared" si="144"/>
        <v>-297.72000000000003</v>
      </c>
      <c r="I1247">
        <f t="shared" si="140"/>
        <v>22</v>
      </c>
      <c r="J1247">
        <v>1</v>
      </c>
      <c r="K1247">
        <f t="shared" si="141"/>
        <v>2</v>
      </c>
      <c r="L1247">
        <f t="shared" si="142"/>
        <v>2021</v>
      </c>
      <c r="N1247" s="17">
        <f t="shared" si="145"/>
        <v>44228</v>
      </c>
      <c r="S1247">
        <f t="shared" si="146"/>
        <v>0</v>
      </c>
    </row>
    <row r="1248" spans="1:19" x14ac:dyDescent="0.3">
      <c r="A1248" s="17">
        <v>44246</v>
      </c>
      <c r="B1248">
        <v>356.85</v>
      </c>
      <c r="C1248">
        <v>60.795000000000002</v>
      </c>
      <c r="D1248">
        <f t="shared" si="143"/>
        <v>296.05500000000001</v>
      </c>
      <c r="E1248">
        <v>7.0000000000000007E-2</v>
      </c>
      <c r="F1248">
        <f t="shared" si="144"/>
        <v>-295.98500000000001</v>
      </c>
      <c r="I1248">
        <f t="shared" si="140"/>
        <v>19</v>
      </c>
      <c r="J1248">
        <v>1</v>
      </c>
      <c r="K1248">
        <f t="shared" si="141"/>
        <v>2</v>
      </c>
      <c r="L1248">
        <f t="shared" si="142"/>
        <v>2021</v>
      </c>
      <c r="N1248" s="17">
        <f t="shared" si="145"/>
        <v>44228</v>
      </c>
      <c r="S1248">
        <f t="shared" si="146"/>
        <v>0</v>
      </c>
    </row>
    <row r="1249" spans="1:19" x14ac:dyDescent="0.3">
      <c r="A1249" s="17">
        <v>44245</v>
      </c>
      <c r="B1249">
        <v>372.85</v>
      </c>
      <c r="C1249">
        <v>63.21</v>
      </c>
      <c r="D1249">
        <f t="shared" si="143"/>
        <v>309.64000000000004</v>
      </c>
      <c r="E1249">
        <v>0.03</v>
      </c>
      <c r="F1249">
        <f t="shared" si="144"/>
        <v>-309.61000000000007</v>
      </c>
      <c r="I1249">
        <f t="shared" si="140"/>
        <v>18</v>
      </c>
      <c r="J1249">
        <v>1</v>
      </c>
      <c r="K1249">
        <f t="shared" si="141"/>
        <v>2</v>
      </c>
      <c r="L1249">
        <f t="shared" si="142"/>
        <v>2021</v>
      </c>
      <c r="N1249" s="17">
        <f t="shared" si="145"/>
        <v>44228</v>
      </c>
      <c r="S1249">
        <f t="shared" si="146"/>
        <v>0</v>
      </c>
    </row>
    <row r="1250" spans="1:19" x14ac:dyDescent="0.3">
      <c r="A1250" s="17">
        <v>44244</v>
      </c>
      <c r="B1250">
        <v>369.01</v>
      </c>
      <c r="C1250">
        <v>62.76</v>
      </c>
      <c r="D1250">
        <f t="shared" si="143"/>
        <v>306.25</v>
      </c>
      <c r="E1250">
        <v>-0.04</v>
      </c>
      <c r="F1250">
        <f t="shared" si="144"/>
        <v>-306.29000000000002</v>
      </c>
      <c r="I1250">
        <f t="shared" si="140"/>
        <v>17</v>
      </c>
      <c r="J1250">
        <v>1</v>
      </c>
      <c r="K1250">
        <f t="shared" si="141"/>
        <v>2</v>
      </c>
      <c r="L1250">
        <f t="shared" si="142"/>
        <v>2021</v>
      </c>
      <c r="N1250" s="17">
        <f t="shared" si="145"/>
        <v>44228</v>
      </c>
      <c r="S1250">
        <f t="shared" si="146"/>
        <v>0</v>
      </c>
    </row>
    <row r="1251" spans="1:19" x14ac:dyDescent="0.3">
      <c r="A1251" s="17">
        <v>44243</v>
      </c>
      <c r="B1251">
        <v>368.03</v>
      </c>
      <c r="C1251">
        <v>62.255000000000003</v>
      </c>
      <c r="D1251">
        <f t="shared" si="143"/>
        <v>305.77499999999998</v>
      </c>
      <c r="E1251">
        <v>-0.02</v>
      </c>
      <c r="F1251">
        <f t="shared" si="144"/>
        <v>-305.79499999999996</v>
      </c>
      <c r="I1251">
        <f t="shared" si="140"/>
        <v>16</v>
      </c>
      <c r="J1251">
        <v>1</v>
      </c>
      <c r="K1251">
        <f t="shared" si="141"/>
        <v>2</v>
      </c>
      <c r="L1251">
        <f t="shared" si="142"/>
        <v>2021</v>
      </c>
      <c r="N1251" s="17">
        <f t="shared" si="145"/>
        <v>44228</v>
      </c>
      <c r="S1251">
        <f t="shared" si="146"/>
        <v>0</v>
      </c>
    </row>
    <row r="1252" spans="1:19" x14ac:dyDescent="0.3">
      <c r="A1252" s="17">
        <v>44242</v>
      </c>
      <c r="B1252">
        <v>369.77</v>
      </c>
      <c r="C1252">
        <v>62.46</v>
      </c>
      <c r="D1252">
        <f t="shared" si="143"/>
        <v>307.31</v>
      </c>
      <c r="E1252">
        <v>0.04</v>
      </c>
      <c r="F1252">
        <f t="shared" si="144"/>
        <v>-307.27</v>
      </c>
      <c r="I1252">
        <f t="shared" si="140"/>
        <v>15</v>
      </c>
      <c r="J1252">
        <v>1</v>
      </c>
      <c r="K1252">
        <f t="shared" si="141"/>
        <v>2</v>
      </c>
      <c r="L1252">
        <f t="shared" si="142"/>
        <v>2021</v>
      </c>
      <c r="N1252" s="17">
        <f t="shared" si="145"/>
        <v>44228</v>
      </c>
      <c r="S1252">
        <f t="shared" si="146"/>
        <v>0</v>
      </c>
    </row>
    <row r="1253" spans="1:19" x14ac:dyDescent="0.3">
      <c r="A1253" s="17">
        <v>44238</v>
      </c>
      <c r="B1253">
        <v>357.21</v>
      </c>
      <c r="C1253">
        <v>60.51</v>
      </c>
      <c r="D1253">
        <f t="shared" si="143"/>
        <v>296.7</v>
      </c>
      <c r="E1253">
        <v>0.02</v>
      </c>
      <c r="F1253">
        <f t="shared" si="144"/>
        <v>-296.68</v>
      </c>
      <c r="I1253">
        <f t="shared" si="140"/>
        <v>11</v>
      </c>
      <c r="J1253">
        <v>1</v>
      </c>
      <c r="K1253">
        <f t="shared" si="141"/>
        <v>2</v>
      </c>
      <c r="L1253">
        <f t="shared" si="142"/>
        <v>2021</v>
      </c>
      <c r="N1253" s="17">
        <f t="shared" si="145"/>
        <v>44228</v>
      </c>
      <c r="S1253">
        <f t="shared" si="146"/>
        <v>0</v>
      </c>
    </row>
    <row r="1254" spans="1:19" x14ac:dyDescent="0.3">
      <c r="A1254" s="17">
        <v>44237</v>
      </c>
      <c r="B1254">
        <v>356.23</v>
      </c>
      <c r="C1254">
        <v>60.35</v>
      </c>
      <c r="D1254">
        <f t="shared" si="143"/>
        <v>295.88</v>
      </c>
      <c r="E1254">
        <v>0.09</v>
      </c>
      <c r="F1254">
        <f t="shared" si="144"/>
        <v>-295.79000000000002</v>
      </c>
      <c r="I1254">
        <f t="shared" si="140"/>
        <v>10</v>
      </c>
      <c r="J1254">
        <v>1</v>
      </c>
      <c r="K1254">
        <f t="shared" si="141"/>
        <v>2</v>
      </c>
      <c r="L1254">
        <f t="shared" si="142"/>
        <v>2021</v>
      </c>
      <c r="N1254" s="17">
        <f t="shared" si="145"/>
        <v>44228</v>
      </c>
      <c r="S1254">
        <f t="shared" si="146"/>
        <v>0</v>
      </c>
    </row>
    <row r="1255" spans="1:19" x14ac:dyDescent="0.3">
      <c r="A1255" s="17">
        <v>44236</v>
      </c>
      <c r="B1255">
        <v>358.47</v>
      </c>
      <c r="C1255">
        <v>60.46</v>
      </c>
      <c r="D1255">
        <f t="shared" si="143"/>
        <v>298.01000000000005</v>
      </c>
      <c r="E1255">
        <v>0.02</v>
      </c>
      <c r="F1255">
        <f t="shared" si="144"/>
        <v>-297.99000000000007</v>
      </c>
      <c r="I1255">
        <f t="shared" si="140"/>
        <v>9</v>
      </c>
      <c r="J1255">
        <v>1</v>
      </c>
      <c r="K1255">
        <f t="shared" si="141"/>
        <v>2</v>
      </c>
      <c r="L1255">
        <f t="shared" si="142"/>
        <v>2021</v>
      </c>
      <c r="N1255" s="17">
        <f t="shared" si="145"/>
        <v>44228</v>
      </c>
      <c r="S1255">
        <f t="shared" si="146"/>
        <v>0</v>
      </c>
    </row>
    <row r="1256" spans="1:19" x14ac:dyDescent="0.3">
      <c r="A1256" s="17">
        <v>44235</v>
      </c>
      <c r="B1256">
        <v>355.82</v>
      </c>
      <c r="C1256">
        <v>59.74</v>
      </c>
      <c r="D1256">
        <f t="shared" si="143"/>
        <v>296.08</v>
      </c>
      <c r="E1256">
        <v>-0.04</v>
      </c>
      <c r="F1256">
        <f t="shared" si="144"/>
        <v>-296.12</v>
      </c>
      <c r="I1256">
        <f t="shared" si="140"/>
        <v>8</v>
      </c>
      <c r="J1256">
        <v>1</v>
      </c>
      <c r="K1256">
        <f t="shared" si="141"/>
        <v>2</v>
      </c>
      <c r="L1256">
        <f t="shared" si="142"/>
        <v>2021</v>
      </c>
      <c r="N1256" s="17">
        <f t="shared" si="145"/>
        <v>44228</v>
      </c>
      <c r="S1256">
        <f t="shared" si="146"/>
        <v>0</v>
      </c>
    </row>
    <row r="1257" spans="1:19" x14ac:dyDescent="0.3">
      <c r="A1257" s="17">
        <v>44232</v>
      </c>
      <c r="B1257">
        <v>350.5</v>
      </c>
      <c r="C1257">
        <v>58.91</v>
      </c>
      <c r="D1257">
        <f t="shared" si="143"/>
        <v>291.59000000000003</v>
      </c>
      <c r="E1257">
        <v>-0.08</v>
      </c>
      <c r="F1257">
        <f t="shared" si="144"/>
        <v>-291.67</v>
      </c>
      <c r="I1257">
        <f t="shared" si="140"/>
        <v>5</v>
      </c>
      <c r="J1257">
        <v>1</v>
      </c>
      <c r="K1257">
        <f t="shared" si="141"/>
        <v>2</v>
      </c>
      <c r="L1257">
        <f t="shared" si="142"/>
        <v>2021</v>
      </c>
      <c r="N1257" s="17">
        <f t="shared" si="145"/>
        <v>44228</v>
      </c>
      <c r="S1257">
        <f t="shared" si="146"/>
        <v>0</v>
      </c>
    </row>
    <row r="1258" spans="1:19" x14ac:dyDescent="0.3">
      <c r="A1258" s="17">
        <v>44231</v>
      </c>
      <c r="B1258">
        <v>346.52</v>
      </c>
      <c r="C1258">
        <v>58.31</v>
      </c>
      <c r="D1258">
        <f t="shared" si="143"/>
        <v>288.20999999999998</v>
      </c>
      <c r="E1258">
        <v>-0.03</v>
      </c>
      <c r="F1258">
        <f t="shared" si="144"/>
        <v>-288.23999999999995</v>
      </c>
      <c r="I1258">
        <f t="shared" si="140"/>
        <v>4</v>
      </c>
      <c r="J1258">
        <v>1</v>
      </c>
      <c r="K1258">
        <f t="shared" si="141"/>
        <v>2</v>
      </c>
      <c r="L1258">
        <f t="shared" si="142"/>
        <v>2021</v>
      </c>
      <c r="N1258" s="17">
        <f t="shared" si="145"/>
        <v>44228</v>
      </c>
      <c r="S1258">
        <f t="shared" si="146"/>
        <v>1</v>
      </c>
    </row>
    <row r="1259" spans="1:19" x14ac:dyDescent="0.3">
      <c r="A1259" s="17">
        <v>44230</v>
      </c>
      <c r="B1259">
        <v>341.53</v>
      </c>
      <c r="C1259">
        <v>57.61</v>
      </c>
      <c r="D1259">
        <f t="shared" si="143"/>
        <v>283.91999999999996</v>
      </c>
      <c r="E1259">
        <v>-0.03</v>
      </c>
      <c r="F1259">
        <f t="shared" si="144"/>
        <v>-283.94999999999993</v>
      </c>
      <c r="I1259">
        <f t="shared" si="140"/>
        <v>3</v>
      </c>
      <c r="J1259">
        <v>1</v>
      </c>
      <c r="K1259">
        <f t="shared" si="141"/>
        <v>2</v>
      </c>
      <c r="L1259">
        <f t="shared" si="142"/>
        <v>2021</v>
      </c>
      <c r="N1259" s="17">
        <f t="shared" si="145"/>
        <v>44228</v>
      </c>
      <c r="S1259">
        <f t="shared" si="146"/>
        <v>1</v>
      </c>
    </row>
    <row r="1260" spans="1:19" x14ac:dyDescent="0.3">
      <c r="A1260" s="17">
        <v>44229</v>
      </c>
      <c r="B1260">
        <v>337.68</v>
      </c>
      <c r="C1260">
        <v>56.704999999999998</v>
      </c>
      <c r="D1260">
        <f t="shared" si="143"/>
        <v>280.97500000000002</v>
      </c>
      <c r="E1260">
        <v>0.01</v>
      </c>
      <c r="F1260">
        <f t="shared" si="144"/>
        <v>-280.96500000000003</v>
      </c>
      <c r="I1260">
        <f t="shared" si="140"/>
        <v>2</v>
      </c>
      <c r="J1260">
        <v>1</v>
      </c>
      <c r="K1260">
        <f t="shared" si="141"/>
        <v>2</v>
      </c>
      <c r="L1260">
        <f t="shared" si="142"/>
        <v>2021</v>
      </c>
      <c r="N1260" s="17">
        <f t="shared" si="145"/>
        <v>44228</v>
      </c>
      <c r="S1260">
        <f t="shared" si="146"/>
        <v>1</v>
      </c>
    </row>
    <row r="1261" spans="1:19" x14ac:dyDescent="0.3">
      <c r="A1261" s="17">
        <v>44228</v>
      </c>
      <c r="B1261">
        <v>328.86</v>
      </c>
      <c r="C1261">
        <v>54.95</v>
      </c>
      <c r="D1261">
        <f t="shared" si="143"/>
        <v>273.91000000000003</v>
      </c>
      <c r="E1261">
        <v>-0.01</v>
      </c>
      <c r="F1261">
        <f t="shared" si="144"/>
        <v>-273.92</v>
      </c>
      <c r="I1261">
        <f t="shared" si="140"/>
        <v>1</v>
      </c>
      <c r="J1261">
        <v>1</v>
      </c>
      <c r="K1261">
        <f t="shared" si="141"/>
        <v>2</v>
      </c>
      <c r="L1261">
        <f t="shared" si="142"/>
        <v>2021</v>
      </c>
      <c r="N1261" s="17">
        <f t="shared" si="145"/>
        <v>44228</v>
      </c>
      <c r="S1261">
        <f t="shared" si="146"/>
        <v>1</v>
      </c>
    </row>
    <row r="1262" spans="1:19" x14ac:dyDescent="0.3">
      <c r="A1262" s="17">
        <v>44225</v>
      </c>
      <c r="B1262">
        <v>324.05</v>
      </c>
      <c r="C1262">
        <v>54.64</v>
      </c>
      <c r="D1262">
        <f t="shared" si="143"/>
        <v>269.41000000000003</v>
      </c>
      <c r="E1262">
        <v>-7.0000000000000007E-2</v>
      </c>
      <c r="F1262">
        <f t="shared" si="144"/>
        <v>-269.48</v>
      </c>
      <c r="I1262">
        <f t="shared" si="140"/>
        <v>29</v>
      </c>
      <c r="J1262">
        <v>1</v>
      </c>
      <c r="K1262">
        <f t="shared" si="141"/>
        <v>1</v>
      </c>
      <c r="L1262">
        <f t="shared" si="142"/>
        <v>2021</v>
      </c>
      <c r="N1262" s="17">
        <f t="shared" si="145"/>
        <v>44197</v>
      </c>
      <c r="S1262">
        <f t="shared" si="146"/>
        <v>0</v>
      </c>
    </row>
    <row r="1263" spans="1:19" x14ac:dyDescent="0.3">
      <c r="A1263" s="17">
        <v>44224</v>
      </c>
      <c r="B1263">
        <v>325.33</v>
      </c>
      <c r="C1263">
        <v>54.79</v>
      </c>
      <c r="D1263">
        <f t="shared" si="143"/>
        <v>270.53999999999996</v>
      </c>
      <c r="E1263">
        <v>-0.13</v>
      </c>
      <c r="F1263">
        <f t="shared" si="144"/>
        <v>-270.66999999999996</v>
      </c>
      <c r="I1263">
        <f t="shared" si="140"/>
        <v>28</v>
      </c>
      <c r="J1263">
        <v>1</v>
      </c>
      <c r="K1263">
        <f t="shared" si="141"/>
        <v>1</v>
      </c>
      <c r="L1263">
        <f t="shared" si="142"/>
        <v>2021</v>
      </c>
      <c r="N1263" s="17">
        <f t="shared" si="145"/>
        <v>44197</v>
      </c>
      <c r="S1263">
        <f t="shared" si="146"/>
        <v>0</v>
      </c>
    </row>
    <row r="1264" spans="1:19" x14ac:dyDescent="0.3">
      <c r="A1264" s="17">
        <v>44223</v>
      </c>
      <c r="B1264">
        <v>332.03</v>
      </c>
      <c r="C1264">
        <v>55.7</v>
      </c>
      <c r="D1264">
        <f t="shared" si="143"/>
        <v>276.33</v>
      </c>
      <c r="E1264">
        <v>-0.13</v>
      </c>
      <c r="F1264">
        <f t="shared" si="144"/>
        <v>-276.45999999999998</v>
      </c>
      <c r="I1264">
        <f t="shared" si="140"/>
        <v>27</v>
      </c>
      <c r="J1264">
        <v>1</v>
      </c>
      <c r="K1264">
        <f t="shared" si="141"/>
        <v>1</v>
      </c>
      <c r="L1264">
        <f t="shared" si="142"/>
        <v>2021</v>
      </c>
      <c r="N1264" s="17">
        <f t="shared" si="145"/>
        <v>44197</v>
      </c>
      <c r="S1264">
        <f t="shared" si="146"/>
        <v>0</v>
      </c>
    </row>
    <row r="1265" spans="1:19" x14ac:dyDescent="0.3">
      <c r="A1265" s="17">
        <v>44222</v>
      </c>
      <c r="B1265">
        <v>325.87</v>
      </c>
      <c r="C1265">
        <v>55.26</v>
      </c>
      <c r="D1265">
        <f t="shared" si="143"/>
        <v>270.61</v>
      </c>
      <c r="E1265">
        <v>-0.28000000000000003</v>
      </c>
      <c r="F1265">
        <f t="shared" si="144"/>
        <v>-270.89</v>
      </c>
      <c r="I1265">
        <f t="shared" si="140"/>
        <v>26</v>
      </c>
      <c r="J1265">
        <v>1</v>
      </c>
      <c r="K1265">
        <f t="shared" si="141"/>
        <v>1</v>
      </c>
      <c r="L1265">
        <f t="shared" si="142"/>
        <v>2021</v>
      </c>
      <c r="N1265" s="17">
        <f t="shared" si="145"/>
        <v>44197</v>
      </c>
      <c r="S1265">
        <f t="shared" si="146"/>
        <v>0</v>
      </c>
    </row>
    <row r="1266" spans="1:19" x14ac:dyDescent="0.3">
      <c r="A1266" s="17">
        <v>44221</v>
      </c>
      <c r="B1266">
        <v>326.25</v>
      </c>
      <c r="C1266">
        <v>55.344999999999999</v>
      </c>
      <c r="D1266">
        <f t="shared" si="143"/>
        <v>270.90499999999997</v>
      </c>
      <c r="E1266">
        <v>-0.28000000000000003</v>
      </c>
      <c r="F1266">
        <f t="shared" si="144"/>
        <v>-271.18499999999995</v>
      </c>
      <c r="I1266">
        <f t="shared" si="140"/>
        <v>25</v>
      </c>
      <c r="J1266">
        <v>1</v>
      </c>
      <c r="K1266">
        <f t="shared" si="141"/>
        <v>1</v>
      </c>
      <c r="L1266">
        <f t="shared" si="142"/>
        <v>2021</v>
      </c>
      <c r="N1266" s="17">
        <f t="shared" si="145"/>
        <v>44197</v>
      </c>
      <c r="S1266">
        <f t="shared" si="146"/>
        <v>0</v>
      </c>
    </row>
    <row r="1267" spans="1:19" x14ac:dyDescent="0.3">
      <c r="A1267" s="17">
        <v>44218</v>
      </c>
      <c r="B1267">
        <v>324.5</v>
      </c>
      <c r="C1267">
        <v>55.15</v>
      </c>
      <c r="D1267">
        <f t="shared" si="143"/>
        <v>269.35000000000002</v>
      </c>
      <c r="E1267">
        <v>-0.3</v>
      </c>
      <c r="F1267">
        <f t="shared" si="144"/>
        <v>-269.65000000000003</v>
      </c>
      <c r="I1267">
        <f t="shared" si="140"/>
        <v>22</v>
      </c>
      <c r="J1267">
        <v>1</v>
      </c>
      <c r="K1267">
        <f t="shared" si="141"/>
        <v>1</v>
      </c>
      <c r="L1267">
        <f t="shared" si="142"/>
        <v>2021</v>
      </c>
      <c r="N1267" s="17">
        <f t="shared" si="145"/>
        <v>44197</v>
      </c>
      <c r="S1267">
        <f t="shared" si="146"/>
        <v>0</v>
      </c>
    </row>
    <row r="1268" spans="1:19" x14ac:dyDescent="0.3">
      <c r="A1268" s="17">
        <v>44217</v>
      </c>
      <c r="B1268">
        <v>327.07</v>
      </c>
      <c r="C1268">
        <v>55.45</v>
      </c>
      <c r="D1268">
        <f t="shared" si="143"/>
        <v>271.62</v>
      </c>
      <c r="E1268">
        <v>-0.24</v>
      </c>
      <c r="F1268">
        <f t="shared" si="144"/>
        <v>-271.86</v>
      </c>
      <c r="I1268">
        <f t="shared" si="140"/>
        <v>21</v>
      </c>
      <c r="J1268">
        <v>1</v>
      </c>
      <c r="K1268">
        <f t="shared" si="141"/>
        <v>1</v>
      </c>
      <c r="L1268">
        <f t="shared" si="142"/>
        <v>2021</v>
      </c>
      <c r="N1268" s="17">
        <f t="shared" si="145"/>
        <v>44197</v>
      </c>
      <c r="S1268">
        <f t="shared" si="146"/>
        <v>0</v>
      </c>
    </row>
    <row r="1269" spans="1:19" x14ac:dyDescent="0.3">
      <c r="A1269" s="17">
        <v>44216</v>
      </c>
      <c r="B1269">
        <v>331.5</v>
      </c>
      <c r="C1269">
        <v>56.204999999999998</v>
      </c>
      <c r="D1269">
        <f t="shared" si="143"/>
        <v>275.29500000000002</v>
      </c>
      <c r="E1269">
        <v>-0.21</v>
      </c>
      <c r="F1269">
        <f t="shared" si="144"/>
        <v>-275.505</v>
      </c>
      <c r="I1269">
        <f t="shared" si="140"/>
        <v>20</v>
      </c>
      <c r="J1269">
        <v>1</v>
      </c>
      <c r="K1269">
        <f t="shared" si="141"/>
        <v>1</v>
      </c>
      <c r="L1269">
        <f t="shared" si="142"/>
        <v>2021</v>
      </c>
      <c r="N1269" s="17">
        <f t="shared" si="145"/>
        <v>44197</v>
      </c>
      <c r="S1269">
        <f t="shared" si="146"/>
        <v>0</v>
      </c>
    </row>
    <row r="1270" spans="1:19" x14ac:dyDescent="0.3">
      <c r="A1270" s="17">
        <v>44215</v>
      </c>
      <c r="B1270">
        <v>323.45</v>
      </c>
      <c r="C1270">
        <v>55.15</v>
      </c>
      <c r="D1270">
        <f t="shared" si="143"/>
        <v>268.3</v>
      </c>
      <c r="E1270">
        <v>-0.23</v>
      </c>
      <c r="F1270">
        <f t="shared" si="144"/>
        <v>-268.53000000000003</v>
      </c>
      <c r="I1270">
        <f t="shared" si="140"/>
        <v>19</v>
      </c>
      <c r="J1270">
        <v>1</v>
      </c>
      <c r="K1270">
        <f t="shared" si="141"/>
        <v>1</v>
      </c>
      <c r="L1270">
        <f t="shared" si="142"/>
        <v>2021</v>
      </c>
      <c r="N1270" s="17">
        <f t="shared" si="145"/>
        <v>44197</v>
      </c>
      <c r="S1270">
        <f t="shared" si="146"/>
        <v>0</v>
      </c>
    </row>
    <row r="1271" spans="1:19" x14ac:dyDescent="0.3">
      <c r="A1271" s="17">
        <v>44214</v>
      </c>
      <c r="B1271">
        <v>319.08</v>
      </c>
      <c r="C1271">
        <v>54.14</v>
      </c>
      <c r="D1271">
        <f t="shared" si="143"/>
        <v>264.94</v>
      </c>
      <c r="E1271">
        <v>-0.16</v>
      </c>
      <c r="F1271">
        <f t="shared" si="144"/>
        <v>-265.10000000000002</v>
      </c>
      <c r="I1271">
        <f t="shared" si="140"/>
        <v>18</v>
      </c>
      <c r="J1271">
        <v>1</v>
      </c>
      <c r="K1271">
        <f t="shared" si="141"/>
        <v>1</v>
      </c>
      <c r="L1271">
        <f t="shared" si="142"/>
        <v>2021</v>
      </c>
      <c r="N1271" s="17">
        <f t="shared" si="145"/>
        <v>44197</v>
      </c>
      <c r="S1271">
        <f t="shared" si="146"/>
        <v>0</v>
      </c>
    </row>
    <row r="1272" spans="1:19" x14ac:dyDescent="0.3">
      <c r="A1272" s="17">
        <v>44211</v>
      </c>
      <c r="B1272">
        <v>326.7</v>
      </c>
      <c r="C1272">
        <v>55.34</v>
      </c>
      <c r="D1272">
        <f t="shared" si="143"/>
        <v>271.36</v>
      </c>
      <c r="E1272">
        <v>-0.12</v>
      </c>
      <c r="F1272">
        <f t="shared" si="144"/>
        <v>-271.48</v>
      </c>
      <c r="I1272">
        <f t="shared" si="140"/>
        <v>15</v>
      </c>
      <c r="J1272">
        <v>1</v>
      </c>
      <c r="K1272">
        <f t="shared" si="141"/>
        <v>1</v>
      </c>
      <c r="L1272">
        <f t="shared" si="142"/>
        <v>2021</v>
      </c>
      <c r="N1272" s="17">
        <f t="shared" si="145"/>
        <v>44197</v>
      </c>
      <c r="S1272">
        <f t="shared" si="146"/>
        <v>0</v>
      </c>
    </row>
    <row r="1273" spans="1:19" x14ac:dyDescent="0.3">
      <c r="A1273" s="17">
        <v>44210</v>
      </c>
      <c r="B1273">
        <v>330.32</v>
      </c>
      <c r="C1273">
        <v>55.64</v>
      </c>
      <c r="D1273">
        <f t="shared" si="143"/>
        <v>274.68</v>
      </c>
      <c r="E1273">
        <v>-0.14000000000000001</v>
      </c>
      <c r="F1273">
        <f t="shared" si="144"/>
        <v>-274.82</v>
      </c>
      <c r="I1273">
        <f t="shared" si="140"/>
        <v>14</v>
      </c>
      <c r="J1273">
        <v>1</v>
      </c>
      <c r="K1273">
        <f t="shared" si="141"/>
        <v>1</v>
      </c>
      <c r="L1273">
        <f t="shared" si="142"/>
        <v>2021</v>
      </c>
      <c r="N1273" s="17">
        <f t="shared" si="145"/>
        <v>44197</v>
      </c>
      <c r="S1273">
        <f t="shared" si="146"/>
        <v>0</v>
      </c>
    </row>
    <row r="1274" spans="1:19" x14ac:dyDescent="0.3">
      <c r="A1274" s="17">
        <v>44209</v>
      </c>
      <c r="B1274">
        <v>335.16</v>
      </c>
      <c r="C1274">
        <v>56.38</v>
      </c>
      <c r="D1274">
        <f t="shared" si="143"/>
        <v>278.78000000000003</v>
      </c>
      <c r="E1274">
        <v>-0.24</v>
      </c>
      <c r="F1274">
        <f t="shared" si="144"/>
        <v>-279.02000000000004</v>
      </c>
      <c r="I1274">
        <f t="shared" si="140"/>
        <v>13</v>
      </c>
      <c r="J1274">
        <v>1</v>
      </c>
      <c r="K1274">
        <f t="shared" si="141"/>
        <v>1</v>
      </c>
      <c r="L1274">
        <f t="shared" si="142"/>
        <v>2021</v>
      </c>
      <c r="N1274" s="17">
        <f t="shared" si="145"/>
        <v>44197</v>
      </c>
      <c r="S1274">
        <f t="shared" si="146"/>
        <v>0</v>
      </c>
    </row>
    <row r="1275" spans="1:19" x14ac:dyDescent="0.3">
      <c r="A1275" s="17">
        <v>44208</v>
      </c>
      <c r="B1275">
        <v>331.44</v>
      </c>
      <c r="C1275">
        <v>55.65</v>
      </c>
      <c r="D1275">
        <f t="shared" si="143"/>
        <v>275.79000000000002</v>
      </c>
      <c r="E1275">
        <v>-0.24</v>
      </c>
      <c r="F1275">
        <f t="shared" si="144"/>
        <v>-276.03000000000003</v>
      </c>
      <c r="I1275">
        <f t="shared" si="140"/>
        <v>12</v>
      </c>
      <c r="J1275">
        <v>1</v>
      </c>
      <c r="K1275">
        <f t="shared" si="141"/>
        <v>1</v>
      </c>
      <c r="L1275">
        <f t="shared" si="142"/>
        <v>2021</v>
      </c>
      <c r="N1275" s="17">
        <f t="shared" si="145"/>
        <v>44197</v>
      </c>
      <c r="S1275">
        <f t="shared" si="146"/>
        <v>0</v>
      </c>
    </row>
    <row r="1276" spans="1:19" x14ac:dyDescent="0.3">
      <c r="A1276" s="17">
        <v>44207</v>
      </c>
      <c r="B1276">
        <v>329.28</v>
      </c>
      <c r="C1276">
        <v>55.255000000000003</v>
      </c>
      <c r="D1276">
        <f t="shared" si="143"/>
        <v>274.02499999999998</v>
      </c>
      <c r="E1276">
        <v>-0.17</v>
      </c>
      <c r="F1276">
        <f t="shared" si="144"/>
        <v>-274.19499999999999</v>
      </c>
      <c r="I1276">
        <f t="shared" si="140"/>
        <v>11</v>
      </c>
      <c r="J1276">
        <v>1</v>
      </c>
      <c r="K1276">
        <f t="shared" si="141"/>
        <v>1</v>
      </c>
      <c r="L1276">
        <f t="shared" si="142"/>
        <v>2021</v>
      </c>
      <c r="N1276" s="17">
        <f t="shared" si="145"/>
        <v>44197</v>
      </c>
      <c r="S1276">
        <f t="shared" si="146"/>
        <v>0</v>
      </c>
    </row>
    <row r="1277" spans="1:19" x14ac:dyDescent="0.3">
      <c r="A1277" s="17">
        <v>44204</v>
      </c>
      <c r="B1277">
        <v>325.8</v>
      </c>
      <c r="C1277">
        <v>54.555</v>
      </c>
      <c r="D1277">
        <f t="shared" si="143"/>
        <v>271.245</v>
      </c>
      <c r="E1277">
        <v>-0.22</v>
      </c>
      <c r="F1277">
        <f t="shared" si="144"/>
        <v>-271.46500000000003</v>
      </c>
      <c r="I1277">
        <f t="shared" si="140"/>
        <v>8</v>
      </c>
      <c r="J1277">
        <v>1</v>
      </c>
      <c r="K1277">
        <f t="shared" si="141"/>
        <v>1</v>
      </c>
      <c r="L1277">
        <f t="shared" si="142"/>
        <v>2021</v>
      </c>
      <c r="N1277" s="17">
        <f t="shared" si="145"/>
        <v>44197</v>
      </c>
      <c r="S1277">
        <f t="shared" si="146"/>
        <v>0</v>
      </c>
    </row>
    <row r="1278" spans="1:19" x14ac:dyDescent="0.3">
      <c r="A1278" s="17">
        <v>44203</v>
      </c>
      <c r="B1278">
        <v>326.89</v>
      </c>
      <c r="C1278">
        <v>54.46</v>
      </c>
      <c r="D1278">
        <f t="shared" si="143"/>
        <v>272.43</v>
      </c>
      <c r="E1278">
        <v>-0.28999999999999998</v>
      </c>
      <c r="F1278">
        <f t="shared" si="144"/>
        <v>-272.72000000000003</v>
      </c>
      <c r="I1278">
        <f t="shared" si="140"/>
        <v>7</v>
      </c>
      <c r="J1278">
        <v>1</v>
      </c>
      <c r="K1278">
        <f t="shared" si="141"/>
        <v>1</v>
      </c>
      <c r="L1278">
        <f t="shared" si="142"/>
        <v>2021</v>
      </c>
      <c r="N1278" s="17">
        <f t="shared" si="145"/>
        <v>44197</v>
      </c>
      <c r="S1278">
        <f t="shared" si="146"/>
        <v>0</v>
      </c>
    </row>
    <row r="1279" spans="1:19" x14ac:dyDescent="0.3">
      <c r="A1279" s="17">
        <v>44202</v>
      </c>
      <c r="B1279">
        <v>319.87</v>
      </c>
      <c r="C1279">
        <v>53.44</v>
      </c>
      <c r="D1279">
        <f t="shared" si="143"/>
        <v>266.43</v>
      </c>
      <c r="E1279">
        <v>-0.26</v>
      </c>
      <c r="F1279">
        <f t="shared" si="144"/>
        <v>-266.69</v>
      </c>
      <c r="I1279">
        <f t="shared" si="140"/>
        <v>6</v>
      </c>
      <c r="J1279">
        <v>1</v>
      </c>
      <c r="K1279">
        <f t="shared" si="141"/>
        <v>1</v>
      </c>
      <c r="L1279">
        <f t="shared" si="142"/>
        <v>2021</v>
      </c>
      <c r="N1279" s="17">
        <f t="shared" si="145"/>
        <v>44197</v>
      </c>
      <c r="S1279">
        <f t="shared" si="146"/>
        <v>0</v>
      </c>
    </row>
    <row r="1280" spans="1:19" x14ac:dyDescent="0.3">
      <c r="A1280" s="17">
        <v>44201</v>
      </c>
      <c r="B1280">
        <v>301.10000000000002</v>
      </c>
      <c r="C1280">
        <v>50.45</v>
      </c>
      <c r="D1280">
        <f t="shared" si="143"/>
        <v>250.65000000000003</v>
      </c>
      <c r="E1280">
        <v>-0.24</v>
      </c>
      <c r="F1280">
        <f t="shared" si="144"/>
        <v>-250.89000000000004</v>
      </c>
      <c r="I1280">
        <f t="shared" si="140"/>
        <v>5</v>
      </c>
      <c r="J1280">
        <v>1</v>
      </c>
      <c r="K1280">
        <f t="shared" si="141"/>
        <v>1</v>
      </c>
      <c r="L1280">
        <f t="shared" si="142"/>
        <v>2021</v>
      </c>
      <c r="N1280" s="17">
        <f t="shared" si="145"/>
        <v>44197</v>
      </c>
      <c r="S1280">
        <f t="shared" si="146"/>
        <v>0</v>
      </c>
    </row>
    <row r="1281" spans="1:19" x14ac:dyDescent="0.3">
      <c r="A1281" s="17">
        <v>44200</v>
      </c>
      <c r="B1281">
        <v>312.35000000000002</v>
      </c>
      <c r="C1281">
        <v>52.44</v>
      </c>
      <c r="D1281">
        <f t="shared" si="143"/>
        <v>259.91000000000003</v>
      </c>
      <c r="E1281">
        <v>-0.17</v>
      </c>
      <c r="F1281">
        <f t="shared" si="144"/>
        <v>-260.08000000000004</v>
      </c>
      <c r="I1281">
        <f t="shared" si="140"/>
        <v>4</v>
      </c>
      <c r="J1281">
        <v>1</v>
      </c>
      <c r="K1281">
        <f t="shared" si="141"/>
        <v>1</v>
      </c>
      <c r="L1281">
        <f t="shared" si="142"/>
        <v>2021</v>
      </c>
      <c r="N1281" s="17">
        <f t="shared" si="145"/>
        <v>44197</v>
      </c>
      <c r="S1281">
        <f t="shared" si="146"/>
        <v>1</v>
      </c>
    </row>
    <row r="1282" spans="1:19" x14ac:dyDescent="0.3">
      <c r="A1282" s="17">
        <v>44196</v>
      </c>
      <c r="B1282">
        <v>301.07</v>
      </c>
      <c r="C1282">
        <v>51.1</v>
      </c>
      <c r="D1282">
        <f t="shared" si="143"/>
        <v>249.97</v>
      </c>
      <c r="E1282">
        <v>-0.17</v>
      </c>
      <c r="F1282">
        <f t="shared" si="144"/>
        <v>-250.14</v>
      </c>
      <c r="I1282">
        <f t="shared" si="140"/>
        <v>31</v>
      </c>
      <c r="J1282">
        <v>1</v>
      </c>
      <c r="K1282">
        <f t="shared" si="141"/>
        <v>12</v>
      </c>
      <c r="L1282">
        <f t="shared" si="142"/>
        <v>2020</v>
      </c>
      <c r="N1282" s="17">
        <f t="shared" si="145"/>
        <v>44166</v>
      </c>
      <c r="S1282">
        <f t="shared" si="146"/>
        <v>0</v>
      </c>
    </row>
    <row r="1283" spans="1:19" x14ac:dyDescent="0.3">
      <c r="A1283" s="17">
        <v>44195</v>
      </c>
      <c r="B1283">
        <v>301.32</v>
      </c>
      <c r="C1283">
        <v>51.01</v>
      </c>
      <c r="D1283">
        <f t="shared" si="143"/>
        <v>250.31</v>
      </c>
      <c r="E1283">
        <v>-0.15</v>
      </c>
      <c r="F1283">
        <f t="shared" si="144"/>
        <v>-250.46</v>
      </c>
      <c r="I1283">
        <f t="shared" si="140"/>
        <v>30</v>
      </c>
      <c r="J1283">
        <v>1</v>
      </c>
      <c r="K1283">
        <f t="shared" si="141"/>
        <v>12</v>
      </c>
      <c r="L1283">
        <f t="shared" si="142"/>
        <v>2020</v>
      </c>
      <c r="N1283" s="17">
        <f t="shared" si="145"/>
        <v>44166</v>
      </c>
      <c r="S1283">
        <f t="shared" si="146"/>
        <v>0</v>
      </c>
    </row>
    <row r="1284" spans="1:19" x14ac:dyDescent="0.3">
      <c r="A1284" s="17">
        <v>44194</v>
      </c>
      <c r="B1284">
        <v>301.75</v>
      </c>
      <c r="C1284">
        <v>50.95</v>
      </c>
      <c r="D1284">
        <f t="shared" si="143"/>
        <v>250.8</v>
      </c>
      <c r="E1284">
        <v>-0.09</v>
      </c>
      <c r="F1284">
        <f t="shared" si="144"/>
        <v>-250.89000000000001</v>
      </c>
      <c r="I1284">
        <f t="shared" si="140"/>
        <v>29</v>
      </c>
      <c r="J1284">
        <v>1</v>
      </c>
      <c r="K1284">
        <f t="shared" si="141"/>
        <v>12</v>
      </c>
      <c r="L1284">
        <f t="shared" si="142"/>
        <v>2020</v>
      </c>
      <c r="N1284" s="17">
        <f t="shared" si="145"/>
        <v>44166</v>
      </c>
      <c r="S1284">
        <f t="shared" si="146"/>
        <v>0</v>
      </c>
    </row>
    <row r="1285" spans="1:19" x14ac:dyDescent="0.3">
      <c r="A1285" s="17">
        <v>44193</v>
      </c>
      <c r="B1285">
        <v>302.41000000000003</v>
      </c>
      <c r="C1285">
        <v>51.05</v>
      </c>
      <c r="D1285">
        <f t="shared" si="143"/>
        <v>251.36</v>
      </c>
      <c r="E1285">
        <v>-0.06</v>
      </c>
      <c r="F1285">
        <f t="shared" si="144"/>
        <v>-251.42000000000002</v>
      </c>
      <c r="I1285">
        <f t="shared" ref="I1285:I1348" si="147">+DAY(A1285)</f>
        <v>28</v>
      </c>
      <c r="J1285">
        <v>1</v>
      </c>
      <c r="K1285">
        <f t="shared" ref="K1285:K1348" si="148">+MONTH(A1285)</f>
        <v>12</v>
      </c>
      <c r="L1285">
        <f t="shared" ref="L1285:L1348" si="149">+YEAR(A1285)</f>
        <v>2020</v>
      </c>
      <c r="N1285" s="17">
        <f t="shared" si="145"/>
        <v>44166</v>
      </c>
      <c r="S1285">
        <f t="shared" si="146"/>
        <v>0</v>
      </c>
    </row>
    <row r="1286" spans="1:19" x14ac:dyDescent="0.3">
      <c r="A1286" s="17">
        <v>44189</v>
      </c>
      <c r="B1286">
        <v>303</v>
      </c>
      <c r="C1286">
        <v>51.26</v>
      </c>
      <c r="D1286">
        <f t="shared" ref="D1286:D1349" si="150">+B1286-C1286</f>
        <v>251.74</v>
      </c>
      <c r="E1286">
        <v>-0.06</v>
      </c>
      <c r="F1286">
        <f t="shared" ref="F1286:F1349" si="151">+E1286-D1286</f>
        <v>-251.8</v>
      </c>
      <c r="I1286">
        <f t="shared" si="147"/>
        <v>24</v>
      </c>
      <c r="J1286">
        <v>1</v>
      </c>
      <c r="K1286">
        <f t="shared" si="148"/>
        <v>12</v>
      </c>
      <c r="L1286">
        <f t="shared" si="149"/>
        <v>2020</v>
      </c>
      <c r="N1286" s="17">
        <f t="shared" ref="N1286:N1349" si="152">+DATE(L1286,K1286,J1286)</f>
        <v>44166</v>
      </c>
      <c r="S1286">
        <f t="shared" ref="S1286:S1349" si="153">IF(AND(I1286&gt;=1, I1286&lt;=4), 1, 0)</f>
        <v>0</v>
      </c>
    </row>
    <row r="1287" spans="1:19" x14ac:dyDescent="0.3">
      <c r="A1287" s="17">
        <v>44188</v>
      </c>
      <c r="B1287">
        <v>294.82</v>
      </c>
      <c r="C1287">
        <v>49.594999999999999</v>
      </c>
      <c r="D1287">
        <f t="shared" si="150"/>
        <v>245.22499999999999</v>
      </c>
      <c r="E1287">
        <v>-0.08</v>
      </c>
      <c r="F1287">
        <f t="shared" si="151"/>
        <v>-245.30500000000001</v>
      </c>
      <c r="I1287">
        <f t="shared" si="147"/>
        <v>23</v>
      </c>
      <c r="J1287">
        <v>1</v>
      </c>
      <c r="K1287">
        <f t="shared" si="148"/>
        <v>12</v>
      </c>
      <c r="L1287">
        <f t="shared" si="149"/>
        <v>2020</v>
      </c>
      <c r="N1287" s="17">
        <f t="shared" si="152"/>
        <v>44166</v>
      </c>
      <c r="S1287">
        <f t="shared" si="153"/>
        <v>0</v>
      </c>
    </row>
    <row r="1288" spans="1:19" x14ac:dyDescent="0.3">
      <c r="A1288" s="17">
        <v>44187</v>
      </c>
      <c r="B1288">
        <v>297.91000000000003</v>
      </c>
      <c r="C1288">
        <v>49.79</v>
      </c>
      <c r="D1288">
        <f t="shared" si="150"/>
        <v>248.12000000000003</v>
      </c>
      <c r="E1288">
        <v>-0.03</v>
      </c>
      <c r="F1288">
        <f t="shared" si="151"/>
        <v>-248.15000000000003</v>
      </c>
      <c r="I1288">
        <f t="shared" si="147"/>
        <v>22</v>
      </c>
      <c r="J1288">
        <v>1</v>
      </c>
      <c r="K1288">
        <f t="shared" si="148"/>
        <v>12</v>
      </c>
      <c r="L1288">
        <f t="shared" si="149"/>
        <v>2020</v>
      </c>
      <c r="N1288" s="17">
        <f t="shared" si="152"/>
        <v>44166</v>
      </c>
      <c r="S1288">
        <f t="shared" si="153"/>
        <v>0</v>
      </c>
    </row>
    <row r="1289" spans="1:19" x14ac:dyDescent="0.3">
      <c r="A1289" s="17">
        <v>44186</v>
      </c>
      <c r="B1289">
        <v>302.73</v>
      </c>
      <c r="C1289">
        <v>50.29</v>
      </c>
      <c r="D1289">
        <f t="shared" si="150"/>
        <v>252.44000000000003</v>
      </c>
      <c r="E1289">
        <v>-0.02</v>
      </c>
      <c r="F1289">
        <f t="shared" si="151"/>
        <v>-252.46000000000004</v>
      </c>
      <c r="I1289">
        <f t="shared" si="147"/>
        <v>21</v>
      </c>
      <c r="J1289">
        <v>1</v>
      </c>
      <c r="K1289">
        <f t="shared" si="148"/>
        <v>12</v>
      </c>
      <c r="L1289">
        <f t="shared" si="149"/>
        <v>2020</v>
      </c>
      <c r="N1289" s="17">
        <f t="shared" si="152"/>
        <v>44166</v>
      </c>
      <c r="S1289">
        <f t="shared" si="153"/>
        <v>0</v>
      </c>
    </row>
    <row r="1290" spans="1:19" x14ac:dyDescent="0.3">
      <c r="A1290" s="17">
        <v>44183</v>
      </c>
      <c r="B1290">
        <v>310.41000000000003</v>
      </c>
      <c r="C1290">
        <v>51.1</v>
      </c>
      <c r="D1290">
        <f t="shared" si="150"/>
        <v>259.31</v>
      </c>
      <c r="E1290">
        <v>-0.04</v>
      </c>
      <c r="F1290">
        <f t="shared" si="151"/>
        <v>-259.35000000000002</v>
      </c>
      <c r="I1290">
        <f t="shared" si="147"/>
        <v>18</v>
      </c>
      <c r="J1290">
        <v>1</v>
      </c>
      <c r="K1290">
        <f t="shared" si="148"/>
        <v>12</v>
      </c>
      <c r="L1290">
        <f t="shared" si="149"/>
        <v>2020</v>
      </c>
      <c r="N1290" s="17">
        <f t="shared" si="152"/>
        <v>44166</v>
      </c>
      <c r="S1290">
        <f t="shared" si="153"/>
        <v>0</v>
      </c>
    </row>
    <row r="1291" spans="1:19" x14ac:dyDescent="0.3">
      <c r="A1291" s="17">
        <v>44182</v>
      </c>
      <c r="B1291">
        <v>312.17</v>
      </c>
      <c r="C1291">
        <v>51.44</v>
      </c>
      <c r="D1291">
        <f t="shared" si="150"/>
        <v>260.73</v>
      </c>
      <c r="E1291">
        <v>-0.08</v>
      </c>
      <c r="F1291">
        <f t="shared" si="151"/>
        <v>-260.81</v>
      </c>
      <c r="I1291">
        <f t="shared" si="147"/>
        <v>17</v>
      </c>
      <c r="J1291">
        <v>1</v>
      </c>
      <c r="K1291">
        <f t="shared" si="148"/>
        <v>12</v>
      </c>
      <c r="L1291">
        <f t="shared" si="149"/>
        <v>2020</v>
      </c>
      <c r="N1291" s="17">
        <f t="shared" si="152"/>
        <v>44166</v>
      </c>
      <c r="S1291">
        <f t="shared" si="153"/>
        <v>0</v>
      </c>
    </row>
    <row r="1292" spans="1:19" x14ac:dyDescent="0.3">
      <c r="A1292" s="17">
        <v>44181</v>
      </c>
      <c r="B1292">
        <v>305.41000000000003</v>
      </c>
      <c r="C1292">
        <v>50.8</v>
      </c>
      <c r="D1292">
        <f t="shared" si="150"/>
        <v>254.61</v>
      </c>
      <c r="E1292">
        <v>-0.09</v>
      </c>
      <c r="F1292">
        <f t="shared" si="151"/>
        <v>-254.70000000000002</v>
      </c>
      <c r="I1292">
        <f t="shared" si="147"/>
        <v>16</v>
      </c>
      <c r="J1292">
        <v>1</v>
      </c>
      <c r="K1292">
        <f t="shared" si="148"/>
        <v>12</v>
      </c>
      <c r="L1292">
        <f t="shared" si="149"/>
        <v>2020</v>
      </c>
      <c r="N1292" s="17">
        <f t="shared" si="152"/>
        <v>44166</v>
      </c>
      <c r="S1292">
        <f t="shared" si="153"/>
        <v>0</v>
      </c>
    </row>
    <row r="1293" spans="1:19" x14ac:dyDescent="0.3">
      <c r="A1293" s="17">
        <v>44180</v>
      </c>
      <c r="B1293">
        <v>298.8</v>
      </c>
      <c r="C1293">
        <v>50.155000000000001</v>
      </c>
      <c r="D1293">
        <f t="shared" si="150"/>
        <v>248.64500000000001</v>
      </c>
      <c r="E1293">
        <v>-0.05</v>
      </c>
      <c r="F1293">
        <f t="shared" si="151"/>
        <v>-248.69500000000002</v>
      </c>
      <c r="I1293">
        <f t="shared" si="147"/>
        <v>15</v>
      </c>
      <c r="J1293">
        <v>1</v>
      </c>
      <c r="K1293">
        <f t="shared" si="148"/>
        <v>12</v>
      </c>
      <c r="L1293">
        <f t="shared" si="149"/>
        <v>2020</v>
      </c>
      <c r="N1293" s="17">
        <f t="shared" si="152"/>
        <v>44166</v>
      </c>
      <c r="S1293">
        <f t="shared" si="153"/>
        <v>0</v>
      </c>
    </row>
    <row r="1294" spans="1:19" x14ac:dyDescent="0.3">
      <c r="A1294" s="17">
        <v>44179</v>
      </c>
      <c r="B1294">
        <v>297.20999999999998</v>
      </c>
      <c r="C1294">
        <v>50.6</v>
      </c>
      <c r="D1294">
        <f t="shared" si="150"/>
        <v>246.60999999999999</v>
      </c>
      <c r="E1294">
        <v>-0.03</v>
      </c>
      <c r="F1294">
        <f t="shared" si="151"/>
        <v>-246.64</v>
      </c>
      <c r="I1294">
        <f t="shared" si="147"/>
        <v>14</v>
      </c>
      <c r="J1294">
        <v>1</v>
      </c>
      <c r="K1294">
        <f t="shared" si="148"/>
        <v>12</v>
      </c>
      <c r="L1294">
        <f t="shared" si="149"/>
        <v>2020</v>
      </c>
      <c r="N1294" s="17">
        <f t="shared" si="152"/>
        <v>44166</v>
      </c>
      <c r="S1294">
        <f t="shared" si="153"/>
        <v>0</v>
      </c>
    </row>
    <row r="1295" spans="1:19" x14ac:dyDescent="0.3">
      <c r="A1295" s="17">
        <v>44176</v>
      </c>
      <c r="B1295">
        <v>291.14999999999998</v>
      </c>
      <c r="C1295">
        <v>50.454999999999998</v>
      </c>
      <c r="D1295">
        <f t="shared" si="150"/>
        <v>240.69499999999999</v>
      </c>
      <c r="E1295">
        <v>-0.09</v>
      </c>
      <c r="F1295">
        <f t="shared" si="151"/>
        <v>-240.785</v>
      </c>
      <c r="I1295">
        <f t="shared" si="147"/>
        <v>11</v>
      </c>
      <c r="J1295">
        <v>1</v>
      </c>
      <c r="K1295">
        <f t="shared" si="148"/>
        <v>12</v>
      </c>
      <c r="L1295">
        <f t="shared" si="149"/>
        <v>2020</v>
      </c>
      <c r="N1295" s="17">
        <f t="shared" si="152"/>
        <v>44166</v>
      </c>
      <c r="S1295">
        <f t="shared" si="153"/>
        <v>0</v>
      </c>
    </row>
    <row r="1296" spans="1:19" x14ac:dyDescent="0.3">
      <c r="A1296" s="17">
        <v>44175</v>
      </c>
      <c r="B1296">
        <v>288.68</v>
      </c>
      <c r="C1296">
        <v>48.994999999999997</v>
      </c>
      <c r="D1296">
        <f t="shared" si="150"/>
        <v>239.685</v>
      </c>
      <c r="E1296">
        <v>-0.19</v>
      </c>
      <c r="F1296">
        <f t="shared" si="151"/>
        <v>-239.875</v>
      </c>
      <c r="I1296">
        <f t="shared" si="147"/>
        <v>10</v>
      </c>
      <c r="J1296">
        <v>1</v>
      </c>
      <c r="K1296">
        <f t="shared" si="148"/>
        <v>12</v>
      </c>
      <c r="L1296">
        <f t="shared" si="149"/>
        <v>2020</v>
      </c>
      <c r="N1296" s="17">
        <f t="shared" si="152"/>
        <v>44166</v>
      </c>
      <c r="S1296">
        <f t="shared" si="153"/>
        <v>0</v>
      </c>
    </row>
    <row r="1297" spans="1:19" x14ac:dyDescent="0.3">
      <c r="A1297" s="17">
        <v>44174</v>
      </c>
      <c r="B1297">
        <v>290.94</v>
      </c>
      <c r="C1297">
        <v>49.11</v>
      </c>
      <c r="D1297">
        <f t="shared" si="150"/>
        <v>241.82999999999998</v>
      </c>
      <c r="E1297">
        <v>-0.1</v>
      </c>
      <c r="F1297">
        <f t="shared" si="151"/>
        <v>-241.92999999999998</v>
      </c>
      <c r="I1297">
        <f t="shared" si="147"/>
        <v>9</v>
      </c>
      <c r="J1297">
        <v>1</v>
      </c>
      <c r="K1297">
        <f t="shared" si="148"/>
        <v>12</v>
      </c>
      <c r="L1297">
        <f t="shared" si="149"/>
        <v>2020</v>
      </c>
      <c r="N1297" s="17">
        <f t="shared" si="152"/>
        <v>44166</v>
      </c>
      <c r="S1297">
        <f t="shared" si="153"/>
        <v>0</v>
      </c>
    </row>
    <row r="1298" spans="1:19" x14ac:dyDescent="0.3">
      <c r="A1298" s="17">
        <v>44173</v>
      </c>
      <c r="B1298">
        <v>285.17</v>
      </c>
      <c r="C1298">
        <v>48.29</v>
      </c>
      <c r="D1298">
        <f t="shared" si="150"/>
        <v>236.88000000000002</v>
      </c>
      <c r="E1298">
        <v>-0.09</v>
      </c>
      <c r="F1298">
        <f t="shared" si="151"/>
        <v>-236.97000000000003</v>
      </c>
      <c r="I1298">
        <f t="shared" si="147"/>
        <v>8</v>
      </c>
      <c r="J1298">
        <v>1</v>
      </c>
      <c r="K1298">
        <f t="shared" si="148"/>
        <v>12</v>
      </c>
      <c r="L1298">
        <f t="shared" si="149"/>
        <v>2020</v>
      </c>
      <c r="N1298" s="17">
        <f t="shared" si="152"/>
        <v>44166</v>
      </c>
      <c r="S1298">
        <f t="shared" si="153"/>
        <v>0</v>
      </c>
    </row>
    <row r="1299" spans="1:19" x14ac:dyDescent="0.3">
      <c r="A1299" s="17">
        <v>44172</v>
      </c>
      <c r="B1299">
        <v>287.64999999999998</v>
      </c>
      <c r="C1299">
        <v>48.255000000000003</v>
      </c>
      <c r="D1299">
        <f t="shared" si="150"/>
        <v>239.39499999999998</v>
      </c>
      <c r="E1299">
        <v>-0.16</v>
      </c>
      <c r="F1299">
        <f t="shared" si="151"/>
        <v>-239.55499999999998</v>
      </c>
      <c r="I1299">
        <f t="shared" si="147"/>
        <v>7</v>
      </c>
      <c r="J1299">
        <v>1</v>
      </c>
      <c r="K1299">
        <f t="shared" si="148"/>
        <v>12</v>
      </c>
      <c r="L1299">
        <f t="shared" si="149"/>
        <v>2020</v>
      </c>
      <c r="N1299" s="17">
        <f t="shared" si="152"/>
        <v>44166</v>
      </c>
      <c r="S1299">
        <f t="shared" si="153"/>
        <v>0</v>
      </c>
    </row>
    <row r="1300" spans="1:19" x14ac:dyDescent="0.3">
      <c r="A1300" s="17">
        <v>44169</v>
      </c>
      <c r="B1300">
        <v>294.07</v>
      </c>
      <c r="C1300">
        <v>49.055</v>
      </c>
      <c r="D1300">
        <f t="shared" si="150"/>
        <v>245.01499999999999</v>
      </c>
      <c r="E1300">
        <v>-0.19</v>
      </c>
      <c r="F1300">
        <f t="shared" si="151"/>
        <v>-245.20499999999998</v>
      </c>
      <c r="I1300">
        <f t="shared" si="147"/>
        <v>4</v>
      </c>
      <c r="J1300">
        <v>1</v>
      </c>
      <c r="K1300">
        <f t="shared" si="148"/>
        <v>12</v>
      </c>
      <c r="L1300">
        <f t="shared" si="149"/>
        <v>2020</v>
      </c>
      <c r="N1300" s="17">
        <f t="shared" si="152"/>
        <v>44166</v>
      </c>
      <c r="S1300">
        <f t="shared" si="153"/>
        <v>1</v>
      </c>
    </row>
    <row r="1301" spans="1:19" x14ac:dyDescent="0.3">
      <c r="A1301" s="17">
        <v>44168</v>
      </c>
      <c r="B1301">
        <v>295.43</v>
      </c>
      <c r="C1301">
        <v>48.03</v>
      </c>
      <c r="D1301">
        <f t="shared" si="150"/>
        <v>247.4</v>
      </c>
      <c r="E1301">
        <v>-0.18</v>
      </c>
      <c r="F1301">
        <f t="shared" si="151"/>
        <v>-247.58</v>
      </c>
      <c r="I1301">
        <f t="shared" si="147"/>
        <v>3</v>
      </c>
      <c r="J1301">
        <v>1</v>
      </c>
      <c r="K1301">
        <f t="shared" si="148"/>
        <v>12</v>
      </c>
      <c r="L1301">
        <f t="shared" si="149"/>
        <v>2020</v>
      </c>
      <c r="N1301" s="17">
        <f t="shared" si="152"/>
        <v>44166</v>
      </c>
      <c r="S1301">
        <f t="shared" si="153"/>
        <v>1</v>
      </c>
    </row>
    <row r="1302" spans="1:19" x14ac:dyDescent="0.3">
      <c r="A1302" s="17">
        <v>44167</v>
      </c>
      <c r="B1302">
        <v>286.05</v>
      </c>
      <c r="C1302">
        <v>47.045000000000002</v>
      </c>
      <c r="D1302">
        <f t="shared" si="150"/>
        <v>239.005</v>
      </c>
      <c r="E1302">
        <v>-0.23</v>
      </c>
      <c r="F1302">
        <f t="shared" si="151"/>
        <v>-239.23499999999999</v>
      </c>
      <c r="I1302">
        <f t="shared" si="147"/>
        <v>2</v>
      </c>
      <c r="J1302">
        <v>1</v>
      </c>
      <c r="K1302">
        <f t="shared" si="148"/>
        <v>12</v>
      </c>
      <c r="L1302">
        <f t="shared" si="149"/>
        <v>2020</v>
      </c>
      <c r="N1302" s="17">
        <f t="shared" si="152"/>
        <v>44166</v>
      </c>
      <c r="S1302">
        <f t="shared" si="153"/>
        <v>1</v>
      </c>
    </row>
    <row r="1303" spans="1:19" x14ac:dyDescent="0.3">
      <c r="A1303" s="17">
        <v>44166</v>
      </c>
      <c r="B1303">
        <v>288.13</v>
      </c>
      <c r="C1303">
        <v>47.56</v>
      </c>
      <c r="D1303">
        <f t="shared" si="150"/>
        <v>240.57</v>
      </c>
      <c r="E1303">
        <v>-0.21</v>
      </c>
      <c r="F1303">
        <f t="shared" si="151"/>
        <v>-240.78</v>
      </c>
      <c r="I1303">
        <f t="shared" si="147"/>
        <v>1</v>
      </c>
      <c r="J1303">
        <v>1</v>
      </c>
      <c r="K1303">
        <f t="shared" si="148"/>
        <v>12</v>
      </c>
      <c r="L1303">
        <f t="shared" si="149"/>
        <v>2020</v>
      </c>
      <c r="N1303" s="17">
        <f t="shared" si="152"/>
        <v>44166</v>
      </c>
      <c r="S1303">
        <f t="shared" si="153"/>
        <v>1</v>
      </c>
    </row>
    <row r="1304" spans="1:19" x14ac:dyDescent="0.3">
      <c r="A1304" s="17">
        <v>44165</v>
      </c>
      <c r="B1304">
        <v>290.2</v>
      </c>
      <c r="C1304">
        <v>46.99</v>
      </c>
      <c r="D1304">
        <f t="shared" si="150"/>
        <v>243.20999999999998</v>
      </c>
      <c r="E1304">
        <v>-0.19</v>
      </c>
      <c r="F1304">
        <f t="shared" si="151"/>
        <v>-243.39999999999998</v>
      </c>
      <c r="I1304">
        <f t="shared" si="147"/>
        <v>30</v>
      </c>
      <c r="J1304">
        <v>1</v>
      </c>
      <c r="K1304">
        <f t="shared" si="148"/>
        <v>11</v>
      </c>
      <c r="L1304">
        <f t="shared" si="149"/>
        <v>2020</v>
      </c>
      <c r="N1304" s="17">
        <f t="shared" si="152"/>
        <v>44136</v>
      </c>
      <c r="S1304">
        <f t="shared" si="153"/>
        <v>0</v>
      </c>
    </row>
    <row r="1305" spans="1:19" x14ac:dyDescent="0.3">
      <c r="A1305" s="17">
        <v>44162</v>
      </c>
      <c r="B1305">
        <v>293.43</v>
      </c>
      <c r="C1305">
        <v>47.12</v>
      </c>
      <c r="D1305">
        <f t="shared" si="150"/>
        <v>246.31</v>
      </c>
      <c r="E1305">
        <v>-0.2</v>
      </c>
      <c r="F1305">
        <f t="shared" si="151"/>
        <v>-246.51</v>
      </c>
      <c r="I1305">
        <f t="shared" si="147"/>
        <v>27</v>
      </c>
      <c r="J1305">
        <v>1</v>
      </c>
      <c r="K1305">
        <f t="shared" si="148"/>
        <v>11</v>
      </c>
      <c r="L1305">
        <f t="shared" si="149"/>
        <v>2020</v>
      </c>
      <c r="N1305" s="17">
        <f t="shared" si="152"/>
        <v>44136</v>
      </c>
      <c r="S1305">
        <f t="shared" si="153"/>
        <v>0</v>
      </c>
    </row>
    <row r="1306" spans="1:19" x14ac:dyDescent="0.3">
      <c r="A1306" s="17">
        <v>44161</v>
      </c>
      <c r="B1306">
        <v>295.79000000000002</v>
      </c>
      <c r="C1306">
        <v>47.454999999999998</v>
      </c>
      <c r="D1306">
        <f t="shared" si="150"/>
        <v>248.33500000000004</v>
      </c>
      <c r="E1306">
        <v>-0.14000000000000001</v>
      </c>
      <c r="F1306">
        <f t="shared" si="151"/>
        <v>-248.47500000000002</v>
      </c>
      <c r="I1306">
        <f t="shared" si="147"/>
        <v>26</v>
      </c>
      <c r="J1306">
        <v>1</v>
      </c>
      <c r="K1306">
        <f t="shared" si="148"/>
        <v>11</v>
      </c>
      <c r="L1306">
        <f t="shared" si="149"/>
        <v>2020</v>
      </c>
      <c r="N1306" s="17">
        <f t="shared" si="152"/>
        <v>44136</v>
      </c>
      <c r="S1306">
        <f t="shared" si="153"/>
        <v>0</v>
      </c>
    </row>
    <row r="1307" spans="1:19" x14ac:dyDescent="0.3">
      <c r="A1307" s="17">
        <v>44160</v>
      </c>
      <c r="B1307">
        <v>295.79000000000002</v>
      </c>
      <c r="C1307">
        <v>47.84</v>
      </c>
      <c r="D1307">
        <f t="shared" si="150"/>
        <v>247.95000000000002</v>
      </c>
      <c r="E1307">
        <v>-0.16</v>
      </c>
      <c r="F1307">
        <f t="shared" si="151"/>
        <v>-248.11</v>
      </c>
      <c r="I1307">
        <f t="shared" si="147"/>
        <v>25</v>
      </c>
      <c r="J1307">
        <v>1</v>
      </c>
      <c r="K1307">
        <f t="shared" si="148"/>
        <v>11</v>
      </c>
      <c r="L1307">
        <f t="shared" si="149"/>
        <v>2020</v>
      </c>
      <c r="N1307" s="17">
        <f t="shared" si="152"/>
        <v>44136</v>
      </c>
      <c r="S1307">
        <f t="shared" si="153"/>
        <v>0</v>
      </c>
    </row>
    <row r="1308" spans="1:19" x14ac:dyDescent="0.3">
      <c r="A1308" s="17">
        <v>44159</v>
      </c>
      <c r="B1308">
        <v>289.87</v>
      </c>
      <c r="C1308">
        <v>45.83</v>
      </c>
      <c r="D1308">
        <f t="shared" si="150"/>
        <v>244.04000000000002</v>
      </c>
      <c r="E1308">
        <v>-0.16</v>
      </c>
      <c r="F1308">
        <f t="shared" si="151"/>
        <v>-244.20000000000002</v>
      </c>
      <c r="I1308">
        <f t="shared" si="147"/>
        <v>24</v>
      </c>
      <c r="J1308">
        <v>1</v>
      </c>
      <c r="K1308">
        <f t="shared" si="148"/>
        <v>11</v>
      </c>
      <c r="L1308">
        <f t="shared" si="149"/>
        <v>2020</v>
      </c>
      <c r="N1308" s="17">
        <f t="shared" si="152"/>
        <v>44136</v>
      </c>
      <c r="S1308">
        <f t="shared" si="153"/>
        <v>0</v>
      </c>
    </row>
    <row r="1309" spans="1:19" x14ac:dyDescent="0.3">
      <c r="A1309" s="17">
        <v>44158</v>
      </c>
      <c r="B1309">
        <v>288.57</v>
      </c>
      <c r="C1309">
        <v>45.59</v>
      </c>
      <c r="D1309">
        <f t="shared" si="150"/>
        <v>242.98</v>
      </c>
      <c r="E1309">
        <v>-0.17</v>
      </c>
      <c r="F1309">
        <f t="shared" si="151"/>
        <v>-243.14999999999998</v>
      </c>
      <c r="I1309">
        <f t="shared" si="147"/>
        <v>23</v>
      </c>
      <c r="J1309">
        <v>1</v>
      </c>
      <c r="K1309">
        <f t="shared" si="148"/>
        <v>11</v>
      </c>
      <c r="L1309">
        <f t="shared" si="149"/>
        <v>2020</v>
      </c>
      <c r="N1309" s="17">
        <f t="shared" si="152"/>
        <v>44136</v>
      </c>
      <c r="S1309">
        <f t="shared" si="153"/>
        <v>0</v>
      </c>
    </row>
    <row r="1310" spans="1:19" x14ac:dyDescent="0.3">
      <c r="A1310" s="17">
        <v>44155</v>
      </c>
      <c r="B1310">
        <v>282.66000000000003</v>
      </c>
      <c r="C1310">
        <v>44.21</v>
      </c>
      <c r="D1310">
        <f t="shared" si="150"/>
        <v>238.45000000000002</v>
      </c>
      <c r="E1310">
        <v>-0.13</v>
      </c>
      <c r="F1310">
        <f t="shared" si="151"/>
        <v>-238.58</v>
      </c>
      <c r="I1310">
        <f t="shared" si="147"/>
        <v>20</v>
      </c>
      <c r="J1310">
        <v>1</v>
      </c>
      <c r="K1310">
        <f t="shared" si="148"/>
        <v>11</v>
      </c>
      <c r="L1310">
        <f t="shared" si="149"/>
        <v>2020</v>
      </c>
      <c r="N1310" s="17">
        <f t="shared" si="152"/>
        <v>44136</v>
      </c>
      <c r="S1310">
        <f t="shared" si="153"/>
        <v>0</v>
      </c>
    </row>
    <row r="1311" spans="1:19" x14ac:dyDescent="0.3">
      <c r="A1311" s="17">
        <v>44154</v>
      </c>
      <c r="B1311">
        <v>280.67</v>
      </c>
      <c r="C1311">
        <v>43.97</v>
      </c>
      <c r="D1311">
        <f t="shared" si="150"/>
        <v>236.70000000000002</v>
      </c>
      <c r="E1311">
        <v>-0.18</v>
      </c>
      <c r="F1311">
        <f t="shared" si="151"/>
        <v>-236.88000000000002</v>
      </c>
      <c r="I1311">
        <f t="shared" si="147"/>
        <v>19</v>
      </c>
      <c r="J1311">
        <v>1</v>
      </c>
      <c r="K1311">
        <f t="shared" si="148"/>
        <v>11</v>
      </c>
      <c r="L1311">
        <f t="shared" si="149"/>
        <v>2020</v>
      </c>
      <c r="N1311" s="17">
        <f t="shared" si="152"/>
        <v>44136</v>
      </c>
      <c r="S1311">
        <f t="shared" si="153"/>
        <v>0</v>
      </c>
    </row>
    <row r="1312" spans="1:19" x14ac:dyDescent="0.3">
      <c r="A1312" s="17">
        <v>44153</v>
      </c>
      <c r="B1312">
        <v>280.97000000000003</v>
      </c>
      <c r="C1312">
        <v>43.8</v>
      </c>
      <c r="D1312">
        <f t="shared" si="150"/>
        <v>237.17000000000002</v>
      </c>
      <c r="E1312">
        <v>-0.14000000000000001</v>
      </c>
      <c r="F1312">
        <f t="shared" si="151"/>
        <v>-237.31</v>
      </c>
      <c r="I1312">
        <f t="shared" si="147"/>
        <v>18</v>
      </c>
      <c r="J1312">
        <v>1</v>
      </c>
      <c r="K1312">
        <f t="shared" si="148"/>
        <v>11</v>
      </c>
      <c r="L1312">
        <f t="shared" si="149"/>
        <v>2020</v>
      </c>
      <c r="N1312" s="17">
        <f t="shared" si="152"/>
        <v>44136</v>
      </c>
      <c r="S1312">
        <f t="shared" si="153"/>
        <v>0</v>
      </c>
    </row>
    <row r="1313" spans="1:19" x14ac:dyDescent="0.3">
      <c r="A1313" s="17">
        <v>44152</v>
      </c>
      <c r="B1313">
        <v>282.37</v>
      </c>
      <c r="C1313">
        <v>43.86</v>
      </c>
      <c r="D1313">
        <f t="shared" si="150"/>
        <v>238.51</v>
      </c>
      <c r="E1313">
        <v>-0.15</v>
      </c>
      <c r="F1313">
        <f t="shared" si="151"/>
        <v>-238.66</v>
      </c>
      <c r="I1313">
        <f t="shared" si="147"/>
        <v>17</v>
      </c>
      <c r="J1313">
        <v>1</v>
      </c>
      <c r="K1313">
        <f t="shared" si="148"/>
        <v>11</v>
      </c>
      <c r="L1313">
        <f t="shared" si="149"/>
        <v>2020</v>
      </c>
      <c r="N1313" s="17">
        <f t="shared" si="152"/>
        <v>44136</v>
      </c>
      <c r="S1313">
        <f t="shared" si="153"/>
        <v>0</v>
      </c>
    </row>
    <row r="1314" spans="1:19" x14ac:dyDescent="0.3">
      <c r="A1314" s="17">
        <v>44151</v>
      </c>
      <c r="B1314">
        <v>279.06</v>
      </c>
      <c r="C1314">
        <v>43.69</v>
      </c>
      <c r="D1314">
        <f t="shared" si="150"/>
        <v>235.37</v>
      </c>
      <c r="E1314">
        <v>-0.23</v>
      </c>
      <c r="F1314">
        <f t="shared" si="151"/>
        <v>-235.6</v>
      </c>
      <c r="I1314">
        <f t="shared" si="147"/>
        <v>16</v>
      </c>
      <c r="J1314">
        <v>1</v>
      </c>
      <c r="K1314">
        <f t="shared" si="148"/>
        <v>11</v>
      </c>
      <c r="L1314">
        <f t="shared" si="149"/>
        <v>2020</v>
      </c>
      <c r="N1314" s="17">
        <f t="shared" si="152"/>
        <v>44136</v>
      </c>
      <c r="S1314">
        <f t="shared" si="153"/>
        <v>0</v>
      </c>
    </row>
    <row r="1315" spans="1:19" x14ac:dyDescent="0.3">
      <c r="A1315" s="17">
        <v>44148</v>
      </c>
      <c r="B1315">
        <v>277.02999999999997</v>
      </c>
      <c r="C1315">
        <v>43.104999999999997</v>
      </c>
      <c r="D1315">
        <f t="shared" si="150"/>
        <v>233.92499999999998</v>
      </c>
      <c r="E1315">
        <v>-0.21</v>
      </c>
      <c r="F1315">
        <f t="shared" si="151"/>
        <v>-234.13499999999999</v>
      </c>
      <c r="I1315">
        <f t="shared" si="147"/>
        <v>13</v>
      </c>
      <c r="J1315">
        <v>1</v>
      </c>
      <c r="K1315">
        <f t="shared" si="148"/>
        <v>11</v>
      </c>
      <c r="L1315">
        <f t="shared" si="149"/>
        <v>2020</v>
      </c>
      <c r="N1315" s="17">
        <f t="shared" si="152"/>
        <v>44136</v>
      </c>
      <c r="S1315">
        <f t="shared" si="153"/>
        <v>0</v>
      </c>
    </row>
    <row r="1316" spans="1:19" x14ac:dyDescent="0.3">
      <c r="A1316" s="17">
        <v>44147</v>
      </c>
      <c r="B1316">
        <v>280.19</v>
      </c>
      <c r="C1316">
        <v>43.905000000000001</v>
      </c>
      <c r="D1316">
        <f t="shared" si="150"/>
        <v>236.285</v>
      </c>
      <c r="E1316">
        <v>-0.19</v>
      </c>
      <c r="F1316">
        <f t="shared" si="151"/>
        <v>-236.47499999999999</v>
      </c>
      <c r="I1316">
        <f t="shared" si="147"/>
        <v>12</v>
      </c>
      <c r="J1316">
        <v>1</v>
      </c>
      <c r="K1316">
        <f t="shared" si="148"/>
        <v>11</v>
      </c>
      <c r="L1316">
        <f t="shared" si="149"/>
        <v>2020</v>
      </c>
      <c r="N1316" s="17">
        <f t="shared" si="152"/>
        <v>44136</v>
      </c>
      <c r="S1316">
        <f t="shared" si="153"/>
        <v>0</v>
      </c>
    </row>
    <row r="1317" spans="1:19" x14ac:dyDescent="0.3">
      <c r="A1317" s="17">
        <v>44146</v>
      </c>
      <c r="B1317">
        <v>281.69</v>
      </c>
      <c r="C1317">
        <v>44.4</v>
      </c>
      <c r="D1317">
        <f t="shared" si="150"/>
        <v>237.29</v>
      </c>
      <c r="E1317">
        <v>-0.17</v>
      </c>
      <c r="F1317">
        <f t="shared" si="151"/>
        <v>-237.45999999999998</v>
      </c>
      <c r="I1317">
        <f t="shared" si="147"/>
        <v>11</v>
      </c>
      <c r="J1317">
        <v>1</v>
      </c>
      <c r="K1317">
        <f t="shared" si="148"/>
        <v>11</v>
      </c>
      <c r="L1317">
        <f t="shared" si="149"/>
        <v>2020</v>
      </c>
      <c r="N1317" s="17">
        <f t="shared" si="152"/>
        <v>44136</v>
      </c>
      <c r="S1317">
        <f t="shared" si="153"/>
        <v>0</v>
      </c>
    </row>
    <row r="1318" spans="1:19" x14ac:dyDescent="0.3">
      <c r="A1318" s="17">
        <v>44145</v>
      </c>
      <c r="B1318">
        <v>271.54000000000002</v>
      </c>
      <c r="C1318">
        <v>42.47</v>
      </c>
      <c r="D1318">
        <f t="shared" si="150"/>
        <v>229.07000000000002</v>
      </c>
      <c r="E1318">
        <v>-0.17</v>
      </c>
      <c r="F1318">
        <f t="shared" si="151"/>
        <v>-229.24</v>
      </c>
      <c r="I1318">
        <f t="shared" si="147"/>
        <v>10</v>
      </c>
      <c r="J1318">
        <v>1</v>
      </c>
      <c r="K1318">
        <f t="shared" si="148"/>
        <v>11</v>
      </c>
      <c r="L1318">
        <f t="shared" si="149"/>
        <v>2020</v>
      </c>
      <c r="N1318" s="17">
        <f t="shared" si="152"/>
        <v>44136</v>
      </c>
      <c r="S1318">
        <f t="shared" si="153"/>
        <v>0</v>
      </c>
    </row>
    <row r="1319" spans="1:19" x14ac:dyDescent="0.3">
      <c r="A1319" s="17">
        <v>44144</v>
      </c>
      <c r="B1319">
        <v>257.75</v>
      </c>
      <c r="C1319">
        <v>40.31</v>
      </c>
      <c r="D1319">
        <f t="shared" si="150"/>
        <v>217.44</v>
      </c>
      <c r="E1319">
        <v>-0.36</v>
      </c>
      <c r="F1319">
        <f t="shared" si="151"/>
        <v>-217.8</v>
      </c>
      <c r="I1319">
        <f t="shared" si="147"/>
        <v>9</v>
      </c>
      <c r="J1319">
        <v>1</v>
      </c>
      <c r="K1319">
        <f t="shared" si="148"/>
        <v>11</v>
      </c>
      <c r="L1319">
        <f t="shared" si="149"/>
        <v>2020</v>
      </c>
      <c r="N1319" s="17">
        <f t="shared" si="152"/>
        <v>44136</v>
      </c>
      <c r="S1319">
        <f t="shared" si="153"/>
        <v>0</v>
      </c>
    </row>
    <row r="1320" spans="1:19" x14ac:dyDescent="0.3">
      <c r="A1320" s="17">
        <v>44141</v>
      </c>
      <c r="B1320">
        <v>256.05</v>
      </c>
      <c r="C1320">
        <v>40.56</v>
      </c>
      <c r="D1320">
        <f t="shared" si="150"/>
        <v>215.49</v>
      </c>
      <c r="E1320">
        <v>-0.42</v>
      </c>
      <c r="F1320">
        <f t="shared" si="151"/>
        <v>-215.91</v>
      </c>
      <c r="I1320">
        <f t="shared" si="147"/>
        <v>6</v>
      </c>
      <c r="J1320">
        <v>1</v>
      </c>
      <c r="K1320">
        <f t="shared" si="148"/>
        <v>11</v>
      </c>
      <c r="L1320">
        <f t="shared" si="149"/>
        <v>2020</v>
      </c>
      <c r="N1320" s="17">
        <f t="shared" si="152"/>
        <v>44136</v>
      </c>
      <c r="S1320">
        <f t="shared" si="153"/>
        <v>0</v>
      </c>
    </row>
    <row r="1321" spans="1:19" x14ac:dyDescent="0.3">
      <c r="A1321" s="17">
        <v>44140</v>
      </c>
      <c r="B1321">
        <v>257.27</v>
      </c>
      <c r="C1321">
        <v>40.71</v>
      </c>
      <c r="D1321">
        <f t="shared" si="150"/>
        <v>216.55999999999997</v>
      </c>
      <c r="E1321">
        <v>-0.41</v>
      </c>
      <c r="F1321">
        <f t="shared" si="151"/>
        <v>-216.96999999999997</v>
      </c>
      <c r="I1321">
        <f t="shared" si="147"/>
        <v>5</v>
      </c>
      <c r="J1321">
        <v>1</v>
      </c>
      <c r="K1321">
        <f t="shared" si="148"/>
        <v>11</v>
      </c>
      <c r="L1321">
        <f t="shared" si="149"/>
        <v>2020</v>
      </c>
      <c r="N1321" s="17">
        <f t="shared" si="152"/>
        <v>44136</v>
      </c>
      <c r="S1321">
        <f t="shared" si="153"/>
        <v>0</v>
      </c>
    </row>
    <row r="1322" spans="1:19" x14ac:dyDescent="0.3">
      <c r="A1322" s="17">
        <v>44139</v>
      </c>
      <c r="B1322">
        <v>250.64</v>
      </c>
      <c r="C1322">
        <v>39.74</v>
      </c>
      <c r="D1322">
        <f t="shared" si="150"/>
        <v>210.89999999999998</v>
      </c>
      <c r="E1322">
        <v>-0.45</v>
      </c>
      <c r="F1322">
        <f t="shared" si="151"/>
        <v>-211.34999999999997</v>
      </c>
      <c r="I1322">
        <f t="shared" si="147"/>
        <v>4</v>
      </c>
      <c r="J1322">
        <v>1</v>
      </c>
      <c r="K1322">
        <f t="shared" si="148"/>
        <v>11</v>
      </c>
      <c r="L1322">
        <f t="shared" si="149"/>
        <v>2020</v>
      </c>
      <c r="N1322" s="17">
        <f t="shared" si="152"/>
        <v>44136</v>
      </c>
      <c r="S1322">
        <f t="shared" si="153"/>
        <v>1</v>
      </c>
    </row>
    <row r="1323" spans="1:19" x14ac:dyDescent="0.3">
      <c r="A1323" s="17">
        <v>44138</v>
      </c>
      <c r="B1323">
        <v>250.36</v>
      </c>
      <c r="C1323">
        <v>39.46</v>
      </c>
      <c r="D1323">
        <f t="shared" si="150"/>
        <v>210.9</v>
      </c>
      <c r="E1323">
        <v>-0.4</v>
      </c>
      <c r="F1323">
        <f t="shared" si="151"/>
        <v>-211.3</v>
      </c>
      <c r="I1323">
        <f t="shared" si="147"/>
        <v>3</v>
      </c>
      <c r="J1323">
        <v>1</v>
      </c>
      <c r="K1323">
        <f t="shared" si="148"/>
        <v>11</v>
      </c>
      <c r="L1323">
        <f t="shared" si="149"/>
        <v>2020</v>
      </c>
      <c r="N1323" s="17">
        <f t="shared" si="152"/>
        <v>44136</v>
      </c>
      <c r="S1323">
        <f t="shared" si="153"/>
        <v>1</v>
      </c>
    </row>
    <row r="1324" spans="1:19" x14ac:dyDescent="0.3">
      <c r="A1324" s="17">
        <v>44137</v>
      </c>
      <c r="B1324">
        <v>235.08</v>
      </c>
      <c r="C1324">
        <v>36.26</v>
      </c>
      <c r="D1324">
        <f t="shared" si="150"/>
        <v>198.82000000000002</v>
      </c>
      <c r="E1324">
        <v>-0.39</v>
      </c>
      <c r="F1324">
        <f t="shared" si="151"/>
        <v>-199.21</v>
      </c>
      <c r="I1324">
        <f t="shared" si="147"/>
        <v>2</v>
      </c>
      <c r="J1324">
        <v>1</v>
      </c>
      <c r="K1324">
        <f t="shared" si="148"/>
        <v>11</v>
      </c>
      <c r="L1324">
        <f t="shared" si="149"/>
        <v>2020</v>
      </c>
      <c r="N1324" s="17">
        <f t="shared" si="152"/>
        <v>44136</v>
      </c>
      <c r="S1324">
        <f t="shared" si="153"/>
        <v>1</v>
      </c>
    </row>
    <row r="1325" spans="1:19" x14ac:dyDescent="0.3">
      <c r="A1325" s="17">
        <v>44134</v>
      </c>
      <c r="B1325">
        <v>237</v>
      </c>
      <c r="C1325">
        <v>37.15</v>
      </c>
      <c r="D1325">
        <f t="shared" si="150"/>
        <v>199.85</v>
      </c>
      <c r="E1325">
        <v>-0.43</v>
      </c>
      <c r="F1325">
        <f t="shared" si="151"/>
        <v>-200.28</v>
      </c>
      <c r="I1325">
        <f t="shared" si="147"/>
        <v>30</v>
      </c>
      <c r="J1325">
        <v>1</v>
      </c>
      <c r="K1325">
        <f t="shared" si="148"/>
        <v>10</v>
      </c>
      <c r="L1325">
        <f t="shared" si="149"/>
        <v>2020</v>
      </c>
      <c r="N1325" s="17">
        <f t="shared" si="152"/>
        <v>44105</v>
      </c>
      <c r="S1325">
        <f t="shared" si="153"/>
        <v>0</v>
      </c>
    </row>
    <row r="1326" spans="1:19" x14ac:dyDescent="0.3">
      <c r="A1326" s="17">
        <v>44133</v>
      </c>
      <c r="B1326">
        <v>246.24</v>
      </c>
      <c r="C1326">
        <v>38.25</v>
      </c>
      <c r="D1326">
        <f t="shared" si="150"/>
        <v>207.99</v>
      </c>
      <c r="E1326">
        <v>-0.49</v>
      </c>
      <c r="F1326">
        <f t="shared" si="151"/>
        <v>-208.48000000000002</v>
      </c>
      <c r="I1326">
        <f t="shared" si="147"/>
        <v>29</v>
      </c>
      <c r="J1326">
        <v>1</v>
      </c>
      <c r="K1326">
        <f t="shared" si="148"/>
        <v>10</v>
      </c>
      <c r="L1326">
        <f t="shared" si="149"/>
        <v>2020</v>
      </c>
      <c r="N1326" s="17">
        <f t="shared" si="152"/>
        <v>44105</v>
      </c>
      <c r="S1326">
        <f t="shared" si="153"/>
        <v>0</v>
      </c>
    </row>
    <row r="1327" spans="1:19" x14ac:dyDescent="0.3">
      <c r="A1327" s="17">
        <v>44132</v>
      </c>
      <c r="B1327">
        <v>249.47</v>
      </c>
      <c r="C1327">
        <v>39.24</v>
      </c>
      <c r="D1327">
        <f t="shared" si="150"/>
        <v>210.23</v>
      </c>
      <c r="E1327">
        <v>-0.56999999999999995</v>
      </c>
      <c r="F1327">
        <f t="shared" si="151"/>
        <v>-210.79999999999998</v>
      </c>
      <c r="I1327">
        <f t="shared" si="147"/>
        <v>28</v>
      </c>
      <c r="J1327">
        <v>1</v>
      </c>
      <c r="K1327">
        <f t="shared" si="148"/>
        <v>10</v>
      </c>
      <c r="L1327">
        <f t="shared" si="149"/>
        <v>2020</v>
      </c>
      <c r="N1327" s="17">
        <f t="shared" si="152"/>
        <v>44105</v>
      </c>
      <c r="S1327">
        <f t="shared" si="153"/>
        <v>0</v>
      </c>
    </row>
    <row r="1328" spans="1:19" x14ac:dyDescent="0.3">
      <c r="A1328" s="17">
        <v>44131</v>
      </c>
      <c r="B1328">
        <v>248.74</v>
      </c>
      <c r="C1328">
        <v>39.86</v>
      </c>
      <c r="D1328">
        <f t="shared" si="150"/>
        <v>208.88</v>
      </c>
      <c r="E1328">
        <v>-0.63</v>
      </c>
      <c r="F1328">
        <f t="shared" si="151"/>
        <v>-209.51</v>
      </c>
      <c r="I1328">
        <f t="shared" si="147"/>
        <v>27</v>
      </c>
      <c r="J1328">
        <v>1</v>
      </c>
      <c r="K1328">
        <f t="shared" si="148"/>
        <v>10</v>
      </c>
      <c r="L1328">
        <f t="shared" si="149"/>
        <v>2020</v>
      </c>
      <c r="N1328" s="17">
        <f t="shared" si="152"/>
        <v>44105</v>
      </c>
      <c r="S1328">
        <f t="shared" si="153"/>
        <v>0</v>
      </c>
    </row>
    <row r="1329" spans="1:19" x14ac:dyDescent="0.3">
      <c r="A1329" s="17">
        <v>44130</v>
      </c>
      <c r="B1329">
        <v>252.12</v>
      </c>
      <c r="C1329">
        <v>39.81</v>
      </c>
      <c r="D1329">
        <f t="shared" si="150"/>
        <v>212.31</v>
      </c>
      <c r="E1329">
        <v>-0.64</v>
      </c>
      <c r="F1329">
        <f t="shared" si="151"/>
        <v>-212.95</v>
      </c>
      <c r="I1329">
        <f t="shared" si="147"/>
        <v>26</v>
      </c>
      <c r="J1329">
        <v>1</v>
      </c>
      <c r="K1329">
        <f t="shared" si="148"/>
        <v>10</v>
      </c>
      <c r="L1329">
        <f t="shared" si="149"/>
        <v>2020</v>
      </c>
      <c r="N1329" s="17">
        <f t="shared" si="152"/>
        <v>44105</v>
      </c>
      <c r="S1329">
        <f t="shared" si="153"/>
        <v>0</v>
      </c>
    </row>
    <row r="1330" spans="1:19" x14ac:dyDescent="0.3">
      <c r="A1330" s="17">
        <v>44127</v>
      </c>
      <c r="B1330">
        <v>269.10000000000002</v>
      </c>
      <c r="C1330">
        <v>41.66</v>
      </c>
      <c r="D1330">
        <f t="shared" si="150"/>
        <v>227.44000000000003</v>
      </c>
      <c r="E1330">
        <v>-0.7</v>
      </c>
      <c r="F1330">
        <f t="shared" si="151"/>
        <v>-228.14000000000001</v>
      </c>
      <c r="I1330">
        <f t="shared" si="147"/>
        <v>23</v>
      </c>
      <c r="J1330">
        <v>1</v>
      </c>
      <c r="K1330">
        <f t="shared" si="148"/>
        <v>10</v>
      </c>
      <c r="L1330">
        <f t="shared" si="149"/>
        <v>2020</v>
      </c>
      <c r="N1330" s="17">
        <f t="shared" si="152"/>
        <v>44105</v>
      </c>
      <c r="S1330">
        <f t="shared" si="153"/>
        <v>0</v>
      </c>
    </row>
    <row r="1331" spans="1:19" x14ac:dyDescent="0.3">
      <c r="A1331" s="17">
        <v>44126</v>
      </c>
      <c r="B1331">
        <v>262.35000000000002</v>
      </c>
      <c r="C1331">
        <v>41.34</v>
      </c>
      <c r="D1331">
        <f t="shared" si="150"/>
        <v>221.01000000000002</v>
      </c>
      <c r="E1331">
        <v>-0.66</v>
      </c>
      <c r="F1331">
        <f t="shared" si="151"/>
        <v>-221.67000000000002</v>
      </c>
      <c r="I1331">
        <f t="shared" si="147"/>
        <v>22</v>
      </c>
      <c r="J1331">
        <v>1</v>
      </c>
      <c r="K1331">
        <f t="shared" si="148"/>
        <v>10</v>
      </c>
      <c r="L1331">
        <f t="shared" si="149"/>
        <v>2020</v>
      </c>
      <c r="N1331" s="17">
        <f t="shared" si="152"/>
        <v>44105</v>
      </c>
      <c r="S1331">
        <f t="shared" si="153"/>
        <v>0</v>
      </c>
    </row>
    <row r="1332" spans="1:19" x14ac:dyDescent="0.3">
      <c r="A1332" s="17">
        <v>44125</v>
      </c>
      <c r="B1332">
        <v>261.91000000000003</v>
      </c>
      <c r="C1332">
        <v>41.69</v>
      </c>
      <c r="D1332">
        <f t="shared" si="150"/>
        <v>220.22000000000003</v>
      </c>
      <c r="E1332">
        <v>-0.51</v>
      </c>
      <c r="F1332">
        <f t="shared" si="151"/>
        <v>-220.73000000000002</v>
      </c>
      <c r="I1332">
        <f t="shared" si="147"/>
        <v>21</v>
      </c>
      <c r="J1332">
        <v>1</v>
      </c>
      <c r="K1332">
        <f t="shared" si="148"/>
        <v>10</v>
      </c>
      <c r="L1332">
        <f t="shared" si="149"/>
        <v>2020</v>
      </c>
      <c r="N1332" s="17">
        <f t="shared" si="152"/>
        <v>44105</v>
      </c>
      <c r="S1332">
        <f t="shared" si="153"/>
        <v>0</v>
      </c>
    </row>
    <row r="1333" spans="1:19" x14ac:dyDescent="0.3">
      <c r="A1333" s="17">
        <v>44124</v>
      </c>
      <c r="B1333">
        <v>262</v>
      </c>
      <c r="C1333">
        <v>41.59</v>
      </c>
      <c r="D1333">
        <f t="shared" si="150"/>
        <v>220.41</v>
      </c>
      <c r="E1333">
        <v>-0.52</v>
      </c>
      <c r="F1333">
        <f t="shared" si="151"/>
        <v>-220.93</v>
      </c>
      <c r="I1333">
        <f t="shared" si="147"/>
        <v>20</v>
      </c>
      <c r="J1333">
        <v>1</v>
      </c>
      <c r="K1333">
        <f t="shared" si="148"/>
        <v>10</v>
      </c>
      <c r="L1333">
        <f t="shared" si="149"/>
        <v>2020</v>
      </c>
      <c r="N1333" s="17">
        <f t="shared" si="152"/>
        <v>44105</v>
      </c>
      <c r="S1333">
        <f t="shared" si="153"/>
        <v>0</v>
      </c>
    </row>
    <row r="1334" spans="1:19" x14ac:dyDescent="0.3">
      <c r="A1334" s="17">
        <v>44123</v>
      </c>
      <c r="B1334">
        <v>261.60000000000002</v>
      </c>
      <c r="C1334">
        <v>41.75</v>
      </c>
      <c r="D1334">
        <f t="shared" si="150"/>
        <v>219.85000000000002</v>
      </c>
      <c r="E1334">
        <v>-0.55000000000000004</v>
      </c>
      <c r="F1334">
        <f t="shared" si="151"/>
        <v>-220.40000000000003</v>
      </c>
      <c r="I1334">
        <f t="shared" si="147"/>
        <v>19</v>
      </c>
      <c r="J1334">
        <v>1</v>
      </c>
      <c r="K1334">
        <f t="shared" si="148"/>
        <v>10</v>
      </c>
      <c r="L1334">
        <f t="shared" si="149"/>
        <v>2020</v>
      </c>
      <c r="N1334" s="17">
        <f t="shared" si="152"/>
        <v>44105</v>
      </c>
      <c r="S1334">
        <f t="shared" si="153"/>
        <v>0</v>
      </c>
    </row>
    <row r="1335" spans="1:19" x14ac:dyDescent="0.3">
      <c r="A1335" s="17">
        <v>44120</v>
      </c>
      <c r="B1335">
        <v>263.97000000000003</v>
      </c>
      <c r="C1335">
        <v>41.89</v>
      </c>
      <c r="D1335">
        <f t="shared" si="150"/>
        <v>222.08000000000004</v>
      </c>
      <c r="E1335">
        <v>-0.55000000000000004</v>
      </c>
      <c r="F1335">
        <f t="shared" si="151"/>
        <v>-222.63000000000005</v>
      </c>
      <c r="I1335">
        <f t="shared" si="147"/>
        <v>16</v>
      </c>
      <c r="J1335">
        <v>1</v>
      </c>
      <c r="K1335">
        <f t="shared" si="148"/>
        <v>10</v>
      </c>
      <c r="L1335">
        <f t="shared" si="149"/>
        <v>2020</v>
      </c>
      <c r="N1335" s="17">
        <f t="shared" si="152"/>
        <v>44105</v>
      </c>
      <c r="S1335">
        <f t="shared" si="153"/>
        <v>0</v>
      </c>
    </row>
    <row r="1336" spans="1:19" x14ac:dyDescent="0.3">
      <c r="A1336" s="17">
        <v>44119</v>
      </c>
      <c r="B1336">
        <v>264.24</v>
      </c>
      <c r="C1336">
        <v>41.98</v>
      </c>
      <c r="D1336">
        <f t="shared" si="150"/>
        <v>222.26000000000002</v>
      </c>
      <c r="E1336">
        <v>-0.54</v>
      </c>
      <c r="F1336">
        <f t="shared" si="151"/>
        <v>-222.8</v>
      </c>
      <c r="I1336">
        <f t="shared" si="147"/>
        <v>15</v>
      </c>
      <c r="J1336">
        <v>1</v>
      </c>
      <c r="K1336">
        <f t="shared" si="148"/>
        <v>10</v>
      </c>
      <c r="L1336">
        <f t="shared" si="149"/>
        <v>2020</v>
      </c>
      <c r="N1336" s="17">
        <f t="shared" si="152"/>
        <v>44105</v>
      </c>
      <c r="S1336">
        <f t="shared" si="153"/>
        <v>0</v>
      </c>
    </row>
    <row r="1337" spans="1:19" x14ac:dyDescent="0.3">
      <c r="A1337" s="17">
        <v>44118</v>
      </c>
      <c r="B1337">
        <v>252.59</v>
      </c>
      <c r="C1337">
        <v>41.59</v>
      </c>
      <c r="D1337">
        <f t="shared" si="150"/>
        <v>211</v>
      </c>
      <c r="E1337">
        <v>-0.49</v>
      </c>
      <c r="F1337">
        <f t="shared" si="151"/>
        <v>-211.49</v>
      </c>
      <c r="I1337">
        <f t="shared" si="147"/>
        <v>14</v>
      </c>
      <c r="J1337">
        <v>1</v>
      </c>
      <c r="K1337">
        <f t="shared" si="148"/>
        <v>10</v>
      </c>
      <c r="L1337">
        <f t="shared" si="149"/>
        <v>2020</v>
      </c>
      <c r="N1337" s="17">
        <f t="shared" si="152"/>
        <v>44105</v>
      </c>
      <c r="S1337">
        <f t="shared" si="153"/>
        <v>0</v>
      </c>
    </row>
    <row r="1338" spans="1:19" x14ac:dyDescent="0.3">
      <c r="A1338" s="17">
        <v>44117</v>
      </c>
      <c r="B1338">
        <v>250.46</v>
      </c>
      <c r="C1338">
        <v>41.155000000000001</v>
      </c>
      <c r="D1338">
        <f t="shared" si="150"/>
        <v>209.30500000000001</v>
      </c>
      <c r="E1338">
        <v>-0.47</v>
      </c>
      <c r="F1338">
        <f t="shared" si="151"/>
        <v>-209.77500000000001</v>
      </c>
      <c r="I1338">
        <f t="shared" si="147"/>
        <v>13</v>
      </c>
      <c r="J1338">
        <v>1</v>
      </c>
      <c r="K1338">
        <f t="shared" si="148"/>
        <v>10</v>
      </c>
      <c r="L1338">
        <f t="shared" si="149"/>
        <v>2020</v>
      </c>
      <c r="N1338" s="17">
        <f t="shared" si="152"/>
        <v>44105</v>
      </c>
      <c r="S1338">
        <f t="shared" si="153"/>
        <v>0</v>
      </c>
    </row>
    <row r="1339" spans="1:19" x14ac:dyDescent="0.3">
      <c r="A1339" s="17">
        <v>44116</v>
      </c>
      <c r="B1339">
        <v>249.27</v>
      </c>
      <c r="C1339">
        <v>41.26</v>
      </c>
      <c r="D1339">
        <f t="shared" si="150"/>
        <v>208.01000000000002</v>
      </c>
      <c r="E1339">
        <v>-0.46</v>
      </c>
      <c r="F1339">
        <f t="shared" si="151"/>
        <v>-208.47000000000003</v>
      </c>
      <c r="I1339">
        <f t="shared" si="147"/>
        <v>12</v>
      </c>
      <c r="J1339">
        <v>1</v>
      </c>
      <c r="K1339">
        <f t="shared" si="148"/>
        <v>10</v>
      </c>
      <c r="L1339">
        <f t="shared" si="149"/>
        <v>2020</v>
      </c>
      <c r="N1339" s="17">
        <f t="shared" si="152"/>
        <v>44105</v>
      </c>
      <c r="S1339">
        <f t="shared" si="153"/>
        <v>0</v>
      </c>
    </row>
    <row r="1340" spans="1:19" x14ac:dyDescent="0.3">
      <c r="A1340" s="17">
        <v>44113</v>
      </c>
      <c r="B1340">
        <v>250.68</v>
      </c>
      <c r="C1340">
        <v>42.07</v>
      </c>
      <c r="D1340">
        <f t="shared" si="150"/>
        <v>208.61</v>
      </c>
      <c r="E1340">
        <v>-0.45</v>
      </c>
      <c r="F1340">
        <f t="shared" si="151"/>
        <v>-209.06</v>
      </c>
      <c r="I1340">
        <f t="shared" si="147"/>
        <v>9</v>
      </c>
      <c r="J1340">
        <v>1</v>
      </c>
      <c r="K1340">
        <f t="shared" si="148"/>
        <v>10</v>
      </c>
      <c r="L1340">
        <f t="shared" si="149"/>
        <v>2020</v>
      </c>
      <c r="N1340" s="17">
        <f t="shared" si="152"/>
        <v>44105</v>
      </c>
      <c r="S1340">
        <f t="shared" si="153"/>
        <v>0</v>
      </c>
    </row>
    <row r="1341" spans="1:19" x14ac:dyDescent="0.3">
      <c r="A1341" s="17">
        <v>44112</v>
      </c>
      <c r="B1341">
        <v>243.58</v>
      </c>
      <c r="C1341">
        <v>41.454999999999998</v>
      </c>
      <c r="D1341">
        <f t="shared" si="150"/>
        <v>202.125</v>
      </c>
      <c r="E1341">
        <v>-0.44</v>
      </c>
      <c r="F1341">
        <f t="shared" si="151"/>
        <v>-202.565</v>
      </c>
      <c r="I1341">
        <f t="shared" si="147"/>
        <v>8</v>
      </c>
      <c r="J1341">
        <v>1</v>
      </c>
      <c r="K1341">
        <f t="shared" si="148"/>
        <v>10</v>
      </c>
      <c r="L1341">
        <f t="shared" si="149"/>
        <v>2020</v>
      </c>
      <c r="N1341" s="17">
        <f t="shared" si="152"/>
        <v>44105</v>
      </c>
      <c r="S1341">
        <f t="shared" si="153"/>
        <v>0</v>
      </c>
    </row>
    <row r="1342" spans="1:19" x14ac:dyDescent="0.3">
      <c r="A1342" s="17">
        <v>44111</v>
      </c>
      <c r="B1342">
        <v>241.45</v>
      </c>
      <c r="C1342">
        <v>41.21</v>
      </c>
      <c r="D1342">
        <f t="shared" si="150"/>
        <v>200.23999999999998</v>
      </c>
      <c r="E1342">
        <v>-0.42</v>
      </c>
      <c r="F1342">
        <f t="shared" si="151"/>
        <v>-200.65999999999997</v>
      </c>
      <c r="I1342">
        <f t="shared" si="147"/>
        <v>7</v>
      </c>
      <c r="J1342">
        <v>1</v>
      </c>
      <c r="K1342">
        <f t="shared" si="148"/>
        <v>10</v>
      </c>
      <c r="L1342">
        <f t="shared" si="149"/>
        <v>2020</v>
      </c>
      <c r="N1342" s="17">
        <f t="shared" si="152"/>
        <v>44105</v>
      </c>
      <c r="S1342">
        <f t="shared" si="153"/>
        <v>0</v>
      </c>
    </row>
    <row r="1343" spans="1:19" x14ac:dyDescent="0.3">
      <c r="A1343" s="17">
        <v>44110</v>
      </c>
      <c r="B1343">
        <v>239.66</v>
      </c>
      <c r="C1343">
        <v>40.51</v>
      </c>
      <c r="D1343">
        <f t="shared" si="150"/>
        <v>199.15</v>
      </c>
      <c r="E1343">
        <v>-0.54</v>
      </c>
      <c r="F1343">
        <f t="shared" si="151"/>
        <v>-199.69</v>
      </c>
      <c r="I1343">
        <f t="shared" si="147"/>
        <v>6</v>
      </c>
      <c r="J1343">
        <v>1</v>
      </c>
      <c r="K1343">
        <f t="shared" si="148"/>
        <v>10</v>
      </c>
      <c r="L1343">
        <f t="shared" si="149"/>
        <v>2020</v>
      </c>
      <c r="N1343" s="17">
        <f t="shared" si="152"/>
        <v>44105</v>
      </c>
      <c r="S1343">
        <f t="shared" si="153"/>
        <v>0</v>
      </c>
    </row>
    <row r="1344" spans="1:19" x14ac:dyDescent="0.3">
      <c r="A1344" s="17">
        <v>44109</v>
      </c>
      <c r="B1344">
        <v>232.57</v>
      </c>
      <c r="C1344">
        <v>39.295000000000002</v>
      </c>
      <c r="D1344">
        <f t="shared" si="150"/>
        <v>193.27499999999998</v>
      </c>
      <c r="E1344">
        <v>-0.56999999999999995</v>
      </c>
      <c r="F1344">
        <f t="shared" si="151"/>
        <v>-193.84499999999997</v>
      </c>
      <c r="I1344">
        <f t="shared" si="147"/>
        <v>5</v>
      </c>
      <c r="J1344">
        <v>1</v>
      </c>
      <c r="K1344">
        <f t="shared" si="148"/>
        <v>10</v>
      </c>
      <c r="L1344">
        <f t="shared" si="149"/>
        <v>2020</v>
      </c>
      <c r="N1344" s="17">
        <f t="shared" si="152"/>
        <v>44105</v>
      </c>
      <c r="S1344">
        <f t="shared" si="153"/>
        <v>0</v>
      </c>
    </row>
    <row r="1345" spans="1:19" x14ac:dyDescent="0.3">
      <c r="A1345" s="17">
        <v>44106</v>
      </c>
      <c r="B1345">
        <v>229.43</v>
      </c>
      <c r="C1345">
        <v>38.65</v>
      </c>
      <c r="D1345">
        <f t="shared" si="150"/>
        <v>190.78</v>
      </c>
      <c r="E1345">
        <v>-0.64</v>
      </c>
      <c r="F1345">
        <f t="shared" si="151"/>
        <v>-191.42</v>
      </c>
      <c r="I1345">
        <f t="shared" si="147"/>
        <v>2</v>
      </c>
      <c r="J1345">
        <v>1</v>
      </c>
      <c r="K1345">
        <f t="shared" si="148"/>
        <v>10</v>
      </c>
      <c r="L1345">
        <f t="shared" si="149"/>
        <v>2020</v>
      </c>
      <c r="N1345" s="17">
        <f t="shared" si="152"/>
        <v>44105</v>
      </c>
      <c r="S1345">
        <f t="shared" si="153"/>
        <v>1</v>
      </c>
    </row>
    <row r="1346" spans="1:19" x14ac:dyDescent="0.3">
      <c r="A1346" s="17">
        <v>44105</v>
      </c>
      <c r="B1346">
        <v>245.22</v>
      </c>
      <c r="C1346">
        <v>41.14</v>
      </c>
      <c r="D1346">
        <f t="shared" si="150"/>
        <v>204.07999999999998</v>
      </c>
      <c r="E1346">
        <v>-0.67</v>
      </c>
      <c r="F1346">
        <f t="shared" si="151"/>
        <v>-204.74999999999997</v>
      </c>
      <c r="I1346">
        <f t="shared" si="147"/>
        <v>1</v>
      </c>
      <c r="J1346">
        <v>1</v>
      </c>
      <c r="K1346">
        <f t="shared" si="148"/>
        <v>10</v>
      </c>
      <c r="L1346">
        <f t="shared" si="149"/>
        <v>2020</v>
      </c>
      <c r="N1346" s="17">
        <f t="shared" si="152"/>
        <v>44105</v>
      </c>
      <c r="S1346">
        <f t="shared" si="153"/>
        <v>1</v>
      </c>
    </row>
    <row r="1347" spans="1:19" x14ac:dyDescent="0.3">
      <c r="A1347" s="17">
        <v>44104</v>
      </c>
      <c r="B1347">
        <v>239.11</v>
      </c>
      <c r="C1347">
        <v>40.33</v>
      </c>
      <c r="D1347">
        <f t="shared" si="150"/>
        <v>198.78000000000003</v>
      </c>
      <c r="E1347">
        <v>-0.54</v>
      </c>
      <c r="F1347">
        <f t="shared" si="151"/>
        <v>-199.32000000000002</v>
      </c>
      <c r="I1347">
        <f t="shared" si="147"/>
        <v>30</v>
      </c>
      <c r="J1347">
        <v>1</v>
      </c>
      <c r="K1347">
        <f t="shared" si="148"/>
        <v>9</v>
      </c>
      <c r="L1347">
        <f t="shared" si="149"/>
        <v>2020</v>
      </c>
      <c r="N1347" s="17">
        <f t="shared" si="152"/>
        <v>44075</v>
      </c>
      <c r="S1347">
        <f t="shared" si="153"/>
        <v>0</v>
      </c>
    </row>
    <row r="1348" spans="1:19" x14ac:dyDescent="0.3">
      <c r="A1348" s="17">
        <v>44103</v>
      </c>
      <c r="B1348">
        <v>243.85</v>
      </c>
      <c r="C1348">
        <v>41.844999999999999</v>
      </c>
      <c r="D1348">
        <f t="shared" si="150"/>
        <v>202.005</v>
      </c>
      <c r="E1348">
        <v>-0.52</v>
      </c>
      <c r="F1348">
        <f t="shared" si="151"/>
        <v>-202.52500000000001</v>
      </c>
      <c r="I1348">
        <f t="shared" si="147"/>
        <v>29</v>
      </c>
      <c r="J1348">
        <v>1</v>
      </c>
      <c r="K1348">
        <f t="shared" si="148"/>
        <v>9</v>
      </c>
      <c r="L1348">
        <f t="shared" si="149"/>
        <v>2020</v>
      </c>
      <c r="N1348" s="17">
        <f t="shared" si="152"/>
        <v>44075</v>
      </c>
      <c r="S1348">
        <f t="shared" si="153"/>
        <v>0</v>
      </c>
    </row>
    <row r="1349" spans="1:19" x14ac:dyDescent="0.3">
      <c r="A1349" s="17">
        <v>44102</v>
      </c>
      <c r="B1349">
        <v>241.76</v>
      </c>
      <c r="C1349">
        <v>41.38</v>
      </c>
      <c r="D1349">
        <f t="shared" si="150"/>
        <v>200.38</v>
      </c>
      <c r="E1349">
        <v>-0.51</v>
      </c>
      <c r="F1349">
        <f t="shared" si="151"/>
        <v>-200.89</v>
      </c>
      <c r="I1349">
        <f t="shared" ref="I1349:I1412" si="154">+DAY(A1349)</f>
        <v>28</v>
      </c>
      <c r="J1349">
        <v>1</v>
      </c>
      <c r="K1349">
        <f t="shared" ref="K1349:K1412" si="155">+MONTH(A1349)</f>
        <v>9</v>
      </c>
      <c r="L1349">
        <f t="shared" ref="L1349:L1412" si="156">+YEAR(A1349)</f>
        <v>2020</v>
      </c>
      <c r="N1349" s="17">
        <f t="shared" si="152"/>
        <v>44075</v>
      </c>
      <c r="S1349">
        <f t="shared" si="153"/>
        <v>0</v>
      </c>
    </row>
    <row r="1350" spans="1:19" x14ac:dyDescent="0.3">
      <c r="A1350" s="17">
        <v>44099</v>
      </c>
      <c r="B1350">
        <v>245.91</v>
      </c>
      <c r="C1350">
        <v>41.994999999999997</v>
      </c>
      <c r="D1350">
        <f t="shared" ref="D1350:D1413" si="157">+B1350-C1350</f>
        <v>203.91499999999999</v>
      </c>
      <c r="E1350">
        <v>-0.55000000000000004</v>
      </c>
      <c r="F1350">
        <f t="shared" ref="F1350:F1413" si="158">+E1350-D1350</f>
        <v>-204.465</v>
      </c>
      <c r="I1350">
        <f t="shared" si="154"/>
        <v>25</v>
      </c>
      <c r="J1350">
        <v>1</v>
      </c>
      <c r="K1350">
        <f t="shared" si="155"/>
        <v>9</v>
      </c>
      <c r="L1350">
        <f t="shared" si="156"/>
        <v>2020</v>
      </c>
      <c r="N1350" s="17">
        <f t="shared" ref="N1350:N1413" si="159">+DATE(L1350,K1350,J1350)</f>
        <v>44075</v>
      </c>
      <c r="S1350">
        <f t="shared" ref="S1350:S1413" si="160">IF(AND(I1350&gt;=1, I1350&lt;=4), 1, 0)</f>
        <v>0</v>
      </c>
    </row>
    <row r="1351" spans="1:19" x14ac:dyDescent="0.3">
      <c r="A1351" s="17">
        <v>44098</v>
      </c>
      <c r="B1351">
        <v>238.53</v>
      </c>
      <c r="C1351">
        <v>41.19</v>
      </c>
      <c r="D1351">
        <f t="shared" si="157"/>
        <v>197.34</v>
      </c>
      <c r="E1351">
        <v>-0.63</v>
      </c>
      <c r="F1351">
        <f t="shared" si="158"/>
        <v>-197.97</v>
      </c>
      <c r="I1351">
        <f t="shared" si="154"/>
        <v>24</v>
      </c>
      <c r="J1351">
        <v>1</v>
      </c>
      <c r="K1351">
        <f t="shared" si="155"/>
        <v>9</v>
      </c>
      <c r="L1351">
        <f t="shared" si="156"/>
        <v>2020</v>
      </c>
      <c r="N1351" s="17">
        <f t="shared" si="159"/>
        <v>44075</v>
      </c>
      <c r="S1351">
        <f t="shared" si="160"/>
        <v>0</v>
      </c>
    </row>
    <row r="1352" spans="1:19" x14ac:dyDescent="0.3">
      <c r="A1352" s="17">
        <v>44097</v>
      </c>
      <c r="B1352">
        <v>240.15</v>
      </c>
      <c r="C1352">
        <v>41.36</v>
      </c>
      <c r="D1352">
        <f t="shared" si="157"/>
        <v>198.79000000000002</v>
      </c>
      <c r="E1352">
        <v>-0.6</v>
      </c>
      <c r="F1352">
        <f t="shared" si="158"/>
        <v>-199.39000000000001</v>
      </c>
      <c r="I1352">
        <f t="shared" si="154"/>
        <v>23</v>
      </c>
      <c r="J1352">
        <v>1</v>
      </c>
      <c r="K1352">
        <f t="shared" si="155"/>
        <v>9</v>
      </c>
      <c r="L1352">
        <f t="shared" si="156"/>
        <v>2020</v>
      </c>
      <c r="N1352" s="17">
        <f t="shared" si="159"/>
        <v>44075</v>
      </c>
      <c r="S1352">
        <f t="shared" si="160"/>
        <v>0</v>
      </c>
    </row>
    <row r="1353" spans="1:19" x14ac:dyDescent="0.3">
      <c r="A1353" s="17">
        <v>44096</v>
      </c>
      <c r="B1353">
        <v>241.08</v>
      </c>
      <c r="C1353">
        <v>41.15</v>
      </c>
      <c r="D1353">
        <f t="shared" si="157"/>
        <v>199.93</v>
      </c>
      <c r="E1353">
        <v>-0.6</v>
      </c>
      <c r="F1353">
        <f t="shared" si="158"/>
        <v>-200.53</v>
      </c>
      <c r="I1353">
        <f t="shared" si="154"/>
        <v>22</v>
      </c>
      <c r="J1353">
        <v>1</v>
      </c>
      <c r="K1353">
        <f t="shared" si="155"/>
        <v>9</v>
      </c>
      <c r="L1353">
        <f t="shared" si="156"/>
        <v>2020</v>
      </c>
      <c r="N1353" s="17">
        <f t="shared" si="159"/>
        <v>44075</v>
      </c>
      <c r="S1353">
        <f t="shared" si="160"/>
        <v>0</v>
      </c>
    </row>
    <row r="1354" spans="1:19" x14ac:dyDescent="0.3">
      <c r="A1354" s="17">
        <v>44095</v>
      </c>
      <c r="B1354">
        <v>244.61</v>
      </c>
      <c r="C1354">
        <v>41.59</v>
      </c>
      <c r="D1354">
        <f t="shared" si="157"/>
        <v>203.02</v>
      </c>
      <c r="E1354">
        <v>-0.55000000000000004</v>
      </c>
      <c r="F1354">
        <f t="shared" si="158"/>
        <v>-203.57000000000002</v>
      </c>
      <c r="I1354">
        <f t="shared" si="154"/>
        <v>21</v>
      </c>
      <c r="J1354">
        <v>1</v>
      </c>
      <c r="K1354">
        <f t="shared" si="155"/>
        <v>9</v>
      </c>
      <c r="L1354">
        <f t="shared" si="156"/>
        <v>2020</v>
      </c>
      <c r="N1354" s="17">
        <f t="shared" si="159"/>
        <v>44075</v>
      </c>
      <c r="S1354">
        <f t="shared" si="160"/>
        <v>0</v>
      </c>
    </row>
    <row r="1355" spans="1:19" x14ac:dyDescent="0.3">
      <c r="A1355" s="17">
        <v>44092</v>
      </c>
      <c r="B1355">
        <v>252.09</v>
      </c>
      <c r="C1355">
        <v>43</v>
      </c>
      <c r="D1355">
        <f t="shared" si="157"/>
        <v>209.09</v>
      </c>
      <c r="E1355">
        <v>-0.66</v>
      </c>
      <c r="F1355">
        <f t="shared" si="158"/>
        <v>-209.75</v>
      </c>
      <c r="I1355">
        <f t="shared" si="154"/>
        <v>18</v>
      </c>
      <c r="J1355">
        <v>1</v>
      </c>
      <c r="K1355">
        <f t="shared" si="155"/>
        <v>9</v>
      </c>
      <c r="L1355">
        <f t="shared" si="156"/>
        <v>2020</v>
      </c>
      <c r="N1355" s="17">
        <f t="shared" si="159"/>
        <v>44075</v>
      </c>
      <c r="S1355">
        <f t="shared" si="160"/>
        <v>0</v>
      </c>
    </row>
    <row r="1356" spans="1:19" x14ac:dyDescent="0.3">
      <c r="A1356" s="17">
        <v>44091</v>
      </c>
      <c r="B1356">
        <v>248.95</v>
      </c>
      <c r="C1356">
        <v>41.69</v>
      </c>
      <c r="D1356">
        <f t="shared" si="157"/>
        <v>207.26</v>
      </c>
      <c r="E1356">
        <v>-0.69</v>
      </c>
      <c r="F1356">
        <f t="shared" si="158"/>
        <v>-207.95</v>
      </c>
      <c r="I1356">
        <f t="shared" si="154"/>
        <v>17</v>
      </c>
      <c r="J1356">
        <v>1</v>
      </c>
      <c r="K1356">
        <f t="shared" si="155"/>
        <v>9</v>
      </c>
      <c r="L1356">
        <f t="shared" si="156"/>
        <v>2020</v>
      </c>
      <c r="N1356" s="17">
        <f t="shared" si="159"/>
        <v>44075</v>
      </c>
      <c r="S1356">
        <f t="shared" si="160"/>
        <v>0</v>
      </c>
    </row>
    <row r="1357" spans="1:19" x14ac:dyDescent="0.3">
      <c r="A1357" s="17">
        <v>44090</v>
      </c>
      <c r="B1357">
        <v>249.17</v>
      </c>
      <c r="C1357">
        <v>41.195</v>
      </c>
      <c r="D1357">
        <f t="shared" si="157"/>
        <v>207.97499999999999</v>
      </c>
      <c r="E1357">
        <v>-0.7</v>
      </c>
      <c r="F1357">
        <f t="shared" si="158"/>
        <v>-208.67499999999998</v>
      </c>
      <c r="I1357">
        <f t="shared" si="154"/>
        <v>16</v>
      </c>
      <c r="J1357">
        <v>1</v>
      </c>
      <c r="K1357">
        <f t="shared" si="155"/>
        <v>9</v>
      </c>
      <c r="L1357">
        <f t="shared" si="156"/>
        <v>2020</v>
      </c>
      <c r="N1357" s="17">
        <f t="shared" si="159"/>
        <v>44075</v>
      </c>
      <c r="S1357">
        <f t="shared" si="160"/>
        <v>0</v>
      </c>
    </row>
    <row r="1358" spans="1:19" x14ac:dyDescent="0.3">
      <c r="A1358" s="17">
        <v>44089</v>
      </c>
      <c r="B1358">
        <v>234.64</v>
      </c>
      <c r="C1358">
        <v>39.195</v>
      </c>
      <c r="D1358">
        <f t="shared" si="157"/>
        <v>195.44499999999999</v>
      </c>
      <c r="E1358">
        <v>-0.64</v>
      </c>
      <c r="F1358">
        <f t="shared" si="158"/>
        <v>-196.08499999999998</v>
      </c>
      <c r="I1358">
        <f t="shared" si="154"/>
        <v>15</v>
      </c>
      <c r="J1358">
        <v>1</v>
      </c>
      <c r="K1358">
        <f t="shared" si="155"/>
        <v>9</v>
      </c>
      <c r="L1358">
        <f t="shared" si="156"/>
        <v>2020</v>
      </c>
      <c r="N1358" s="17">
        <f t="shared" si="159"/>
        <v>44075</v>
      </c>
      <c r="S1358">
        <f t="shared" si="160"/>
        <v>0</v>
      </c>
    </row>
    <row r="1359" spans="1:19" x14ac:dyDescent="0.3">
      <c r="A1359" s="17">
        <v>44088</v>
      </c>
      <c r="B1359">
        <v>233.36</v>
      </c>
      <c r="C1359">
        <v>38.854999999999997</v>
      </c>
      <c r="D1359">
        <f t="shared" si="157"/>
        <v>194.50500000000002</v>
      </c>
      <c r="E1359">
        <v>-0.61</v>
      </c>
      <c r="F1359">
        <f t="shared" si="158"/>
        <v>-195.11500000000004</v>
      </c>
      <c r="I1359">
        <f t="shared" si="154"/>
        <v>14</v>
      </c>
      <c r="J1359">
        <v>1</v>
      </c>
      <c r="K1359">
        <f t="shared" si="155"/>
        <v>9</v>
      </c>
      <c r="L1359">
        <f t="shared" si="156"/>
        <v>2020</v>
      </c>
      <c r="N1359" s="17">
        <f t="shared" si="159"/>
        <v>44075</v>
      </c>
      <c r="S1359">
        <f t="shared" si="160"/>
        <v>0</v>
      </c>
    </row>
    <row r="1360" spans="1:19" x14ac:dyDescent="0.3">
      <c r="A1360" s="17">
        <v>44085</v>
      </c>
      <c r="B1360">
        <v>232.6</v>
      </c>
      <c r="C1360">
        <v>39.255000000000003</v>
      </c>
      <c r="D1360">
        <f t="shared" si="157"/>
        <v>193.345</v>
      </c>
      <c r="E1360">
        <v>-0.68</v>
      </c>
      <c r="F1360">
        <f t="shared" si="158"/>
        <v>-194.02500000000001</v>
      </c>
      <c r="I1360">
        <f t="shared" si="154"/>
        <v>11</v>
      </c>
      <c r="J1360">
        <v>1</v>
      </c>
      <c r="K1360">
        <f t="shared" si="155"/>
        <v>9</v>
      </c>
      <c r="L1360">
        <f t="shared" si="156"/>
        <v>2020</v>
      </c>
      <c r="N1360" s="17">
        <f t="shared" si="159"/>
        <v>44075</v>
      </c>
      <c r="S1360">
        <f t="shared" si="160"/>
        <v>0</v>
      </c>
    </row>
    <row r="1361" spans="1:19" x14ac:dyDescent="0.3">
      <c r="A1361" s="17">
        <v>44084</v>
      </c>
      <c r="B1361">
        <v>233.86</v>
      </c>
      <c r="C1361">
        <v>39.704999999999998</v>
      </c>
      <c r="D1361">
        <f t="shared" si="157"/>
        <v>194.15500000000003</v>
      </c>
      <c r="E1361">
        <v>-0.7</v>
      </c>
      <c r="F1361">
        <f t="shared" si="158"/>
        <v>-194.85500000000002</v>
      </c>
      <c r="I1361">
        <f t="shared" si="154"/>
        <v>10</v>
      </c>
      <c r="J1361">
        <v>1</v>
      </c>
      <c r="K1361">
        <f t="shared" si="155"/>
        <v>9</v>
      </c>
      <c r="L1361">
        <f t="shared" si="156"/>
        <v>2020</v>
      </c>
      <c r="N1361" s="17">
        <f t="shared" si="159"/>
        <v>44075</v>
      </c>
      <c r="S1361">
        <f t="shared" si="160"/>
        <v>0</v>
      </c>
    </row>
    <row r="1362" spans="1:19" x14ac:dyDescent="0.3">
      <c r="A1362" s="17">
        <v>44083</v>
      </c>
      <c r="B1362">
        <v>229.93</v>
      </c>
      <c r="C1362">
        <v>39.46</v>
      </c>
      <c r="D1362">
        <f t="shared" si="157"/>
        <v>190.47</v>
      </c>
      <c r="E1362">
        <v>-0.74</v>
      </c>
      <c r="F1362">
        <f t="shared" si="158"/>
        <v>-191.21</v>
      </c>
      <c r="I1362">
        <f t="shared" si="154"/>
        <v>9</v>
      </c>
      <c r="J1362">
        <v>1</v>
      </c>
      <c r="K1362">
        <f t="shared" si="155"/>
        <v>9</v>
      </c>
      <c r="L1362">
        <f t="shared" si="156"/>
        <v>2020</v>
      </c>
      <c r="N1362" s="17">
        <f t="shared" si="159"/>
        <v>44075</v>
      </c>
      <c r="S1362">
        <f t="shared" si="160"/>
        <v>0</v>
      </c>
    </row>
    <row r="1363" spans="1:19" x14ac:dyDescent="0.3">
      <c r="A1363" s="17">
        <v>44082</v>
      </c>
      <c r="B1363">
        <v>242.33</v>
      </c>
      <c r="C1363">
        <v>40.65</v>
      </c>
      <c r="D1363">
        <f t="shared" si="157"/>
        <v>201.68</v>
      </c>
      <c r="E1363">
        <v>-0.68</v>
      </c>
      <c r="F1363">
        <f t="shared" si="158"/>
        <v>-202.36</v>
      </c>
      <c r="I1363">
        <f t="shared" si="154"/>
        <v>8</v>
      </c>
      <c r="J1363">
        <v>1</v>
      </c>
      <c r="K1363">
        <f t="shared" si="155"/>
        <v>9</v>
      </c>
      <c r="L1363">
        <f t="shared" si="156"/>
        <v>2020</v>
      </c>
      <c r="N1363" s="17">
        <f t="shared" si="159"/>
        <v>44075</v>
      </c>
      <c r="S1363">
        <f t="shared" si="160"/>
        <v>0</v>
      </c>
    </row>
    <row r="1364" spans="1:19" x14ac:dyDescent="0.3">
      <c r="A1364" s="17">
        <v>44081</v>
      </c>
      <c r="B1364">
        <v>247.69</v>
      </c>
      <c r="C1364">
        <v>41.45</v>
      </c>
      <c r="D1364">
        <f t="shared" si="157"/>
        <v>206.24</v>
      </c>
      <c r="E1364">
        <v>-0.67</v>
      </c>
      <c r="F1364">
        <f t="shared" si="158"/>
        <v>-206.91</v>
      </c>
      <c r="I1364">
        <f t="shared" si="154"/>
        <v>7</v>
      </c>
      <c r="J1364">
        <v>1</v>
      </c>
      <c r="K1364">
        <f t="shared" si="155"/>
        <v>9</v>
      </c>
      <c r="L1364">
        <f t="shared" si="156"/>
        <v>2020</v>
      </c>
      <c r="N1364" s="17">
        <f t="shared" si="159"/>
        <v>44075</v>
      </c>
      <c r="S1364">
        <f t="shared" si="160"/>
        <v>0</v>
      </c>
    </row>
    <row r="1365" spans="1:19" x14ac:dyDescent="0.3">
      <c r="A1365" s="17">
        <v>44078</v>
      </c>
      <c r="B1365">
        <v>259.49</v>
      </c>
      <c r="C1365">
        <v>43.81</v>
      </c>
      <c r="D1365">
        <f t="shared" si="157"/>
        <v>215.68</v>
      </c>
      <c r="E1365">
        <v>-0.64</v>
      </c>
      <c r="F1365">
        <f t="shared" si="158"/>
        <v>-216.32</v>
      </c>
      <c r="I1365">
        <f t="shared" si="154"/>
        <v>4</v>
      </c>
      <c r="J1365">
        <v>1</v>
      </c>
      <c r="K1365">
        <f t="shared" si="155"/>
        <v>9</v>
      </c>
      <c r="L1365">
        <f t="shared" si="156"/>
        <v>2020</v>
      </c>
      <c r="N1365" s="17">
        <f t="shared" si="159"/>
        <v>44075</v>
      </c>
      <c r="S1365">
        <f t="shared" si="160"/>
        <v>1</v>
      </c>
    </row>
    <row r="1366" spans="1:19" x14ac:dyDescent="0.3">
      <c r="A1366" s="17">
        <v>44077</v>
      </c>
      <c r="B1366">
        <v>257.39</v>
      </c>
      <c r="C1366">
        <v>43.405000000000001</v>
      </c>
      <c r="D1366">
        <f t="shared" si="157"/>
        <v>213.98499999999999</v>
      </c>
      <c r="E1366">
        <v>-0.63</v>
      </c>
      <c r="F1366">
        <f t="shared" si="158"/>
        <v>-214.61499999999998</v>
      </c>
      <c r="I1366">
        <f t="shared" si="154"/>
        <v>3</v>
      </c>
      <c r="J1366">
        <v>1</v>
      </c>
      <c r="K1366">
        <f t="shared" si="155"/>
        <v>9</v>
      </c>
      <c r="L1366">
        <f t="shared" si="156"/>
        <v>2020</v>
      </c>
      <c r="N1366" s="17">
        <f t="shared" si="159"/>
        <v>44075</v>
      </c>
      <c r="S1366">
        <f t="shared" si="160"/>
        <v>1</v>
      </c>
    </row>
    <row r="1367" spans="1:19" x14ac:dyDescent="0.3">
      <c r="A1367" s="17">
        <v>44076</v>
      </c>
      <c r="B1367">
        <v>271.26</v>
      </c>
      <c r="C1367">
        <v>45.29</v>
      </c>
      <c r="D1367">
        <f t="shared" si="157"/>
        <v>225.97</v>
      </c>
      <c r="E1367">
        <v>-0.61</v>
      </c>
      <c r="F1367">
        <f t="shared" si="158"/>
        <v>-226.58</v>
      </c>
      <c r="I1367">
        <f t="shared" si="154"/>
        <v>2</v>
      </c>
      <c r="J1367">
        <v>1</v>
      </c>
      <c r="K1367">
        <f t="shared" si="155"/>
        <v>9</v>
      </c>
      <c r="L1367">
        <f t="shared" si="156"/>
        <v>2020</v>
      </c>
      <c r="N1367" s="17">
        <f t="shared" si="159"/>
        <v>44075</v>
      </c>
      <c r="S1367">
        <f t="shared" si="160"/>
        <v>1</v>
      </c>
    </row>
    <row r="1368" spans="1:19" x14ac:dyDescent="0.3">
      <c r="A1368" s="17">
        <v>44075</v>
      </c>
      <c r="B1368">
        <v>271.02999999999997</v>
      </c>
      <c r="C1368">
        <v>45.094999999999999</v>
      </c>
      <c r="D1368">
        <f t="shared" si="157"/>
        <v>225.93499999999997</v>
      </c>
      <c r="E1368">
        <v>-0.53</v>
      </c>
      <c r="F1368">
        <f t="shared" si="158"/>
        <v>-226.46499999999997</v>
      </c>
      <c r="I1368">
        <f t="shared" si="154"/>
        <v>1</v>
      </c>
      <c r="J1368">
        <v>1</v>
      </c>
      <c r="K1368">
        <f t="shared" si="155"/>
        <v>9</v>
      </c>
      <c r="L1368">
        <f t="shared" si="156"/>
        <v>2020</v>
      </c>
      <c r="N1368" s="17">
        <f t="shared" si="159"/>
        <v>44075</v>
      </c>
      <c r="S1368">
        <f t="shared" si="160"/>
        <v>1</v>
      </c>
    </row>
    <row r="1369" spans="1:19" x14ac:dyDescent="0.3">
      <c r="A1369" s="17">
        <v>44074</v>
      </c>
      <c r="B1369">
        <v>273.20999999999998</v>
      </c>
      <c r="C1369">
        <v>45.91</v>
      </c>
      <c r="D1369">
        <f t="shared" si="157"/>
        <v>227.29999999999998</v>
      </c>
      <c r="E1369">
        <v>-0.5</v>
      </c>
      <c r="F1369">
        <f t="shared" si="158"/>
        <v>-227.79999999999998</v>
      </c>
      <c r="I1369">
        <f t="shared" si="154"/>
        <v>31</v>
      </c>
      <c r="J1369">
        <v>1</v>
      </c>
      <c r="K1369">
        <f t="shared" si="155"/>
        <v>8</v>
      </c>
      <c r="L1369">
        <f t="shared" si="156"/>
        <v>2020</v>
      </c>
      <c r="N1369" s="17">
        <f t="shared" si="159"/>
        <v>44044</v>
      </c>
      <c r="S1369">
        <f t="shared" si="160"/>
        <v>0</v>
      </c>
    </row>
    <row r="1370" spans="1:19" x14ac:dyDescent="0.3">
      <c r="A1370" s="17">
        <v>44071</v>
      </c>
      <c r="B1370">
        <v>267.49</v>
      </c>
      <c r="C1370">
        <v>44.1</v>
      </c>
      <c r="D1370">
        <f t="shared" si="157"/>
        <v>223.39000000000001</v>
      </c>
      <c r="E1370">
        <v>-0.47</v>
      </c>
      <c r="F1370">
        <f t="shared" si="158"/>
        <v>-223.86</v>
      </c>
      <c r="I1370">
        <f t="shared" si="154"/>
        <v>28</v>
      </c>
      <c r="J1370">
        <v>1</v>
      </c>
      <c r="K1370">
        <f t="shared" si="155"/>
        <v>8</v>
      </c>
      <c r="L1370">
        <f t="shared" si="156"/>
        <v>2020</v>
      </c>
      <c r="N1370" s="17">
        <f t="shared" si="159"/>
        <v>44044</v>
      </c>
      <c r="S1370">
        <f t="shared" si="160"/>
        <v>0</v>
      </c>
    </row>
    <row r="1371" spans="1:19" x14ac:dyDescent="0.3">
      <c r="A1371" s="17">
        <v>44070</v>
      </c>
      <c r="B1371">
        <v>270.33</v>
      </c>
      <c r="C1371">
        <v>44.96</v>
      </c>
      <c r="D1371">
        <f t="shared" si="157"/>
        <v>225.36999999999998</v>
      </c>
      <c r="E1371">
        <v>-0.42</v>
      </c>
      <c r="F1371">
        <f t="shared" si="158"/>
        <v>-225.78999999999996</v>
      </c>
      <c r="I1371">
        <f t="shared" si="154"/>
        <v>27</v>
      </c>
      <c r="J1371">
        <v>1</v>
      </c>
      <c r="K1371">
        <f t="shared" si="155"/>
        <v>8</v>
      </c>
      <c r="L1371">
        <f t="shared" si="156"/>
        <v>2020</v>
      </c>
      <c r="N1371" s="17">
        <f t="shared" si="159"/>
        <v>44044</v>
      </c>
      <c r="S1371">
        <f t="shared" si="160"/>
        <v>0</v>
      </c>
    </row>
    <row r="1372" spans="1:19" x14ac:dyDescent="0.3">
      <c r="A1372" s="17">
        <v>44069</v>
      </c>
      <c r="B1372">
        <v>272.06</v>
      </c>
      <c r="C1372">
        <v>44.805</v>
      </c>
      <c r="D1372">
        <f t="shared" si="157"/>
        <v>227.255</v>
      </c>
      <c r="E1372">
        <v>-0.38</v>
      </c>
      <c r="F1372">
        <f t="shared" si="158"/>
        <v>-227.63499999999999</v>
      </c>
      <c r="I1372">
        <f t="shared" si="154"/>
        <v>26</v>
      </c>
      <c r="J1372">
        <v>1</v>
      </c>
      <c r="K1372">
        <f t="shared" si="155"/>
        <v>8</v>
      </c>
      <c r="L1372">
        <f t="shared" si="156"/>
        <v>2020</v>
      </c>
      <c r="N1372" s="17">
        <f t="shared" si="159"/>
        <v>44044</v>
      </c>
      <c r="S1372">
        <f t="shared" si="160"/>
        <v>0</v>
      </c>
    </row>
    <row r="1373" spans="1:19" x14ac:dyDescent="0.3">
      <c r="A1373" s="17">
        <v>44068</v>
      </c>
      <c r="B1373">
        <v>267.52</v>
      </c>
      <c r="C1373">
        <v>44.36</v>
      </c>
      <c r="D1373">
        <f t="shared" si="157"/>
        <v>223.15999999999997</v>
      </c>
      <c r="E1373">
        <v>-0.35</v>
      </c>
      <c r="F1373">
        <f t="shared" si="158"/>
        <v>-223.50999999999996</v>
      </c>
      <c r="I1373">
        <f t="shared" si="154"/>
        <v>25</v>
      </c>
      <c r="J1373">
        <v>1</v>
      </c>
      <c r="K1373">
        <f t="shared" si="155"/>
        <v>8</v>
      </c>
      <c r="L1373">
        <f t="shared" si="156"/>
        <v>2020</v>
      </c>
      <c r="N1373" s="17">
        <f t="shared" si="159"/>
        <v>44044</v>
      </c>
      <c r="S1373">
        <f t="shared" si="160"/>
        <v>0</v>
      </c>
    </row>
    <row r="1374" spans="1:19" x14ac:dyDescent="0.3">
      <c r="A1374" s="17">
        <v>44067</v>
      </c>
      <c r="B1374">
        <v>264.14999999999998</v>
      </c>
      <c r="C1374">
        <v>43.75</v>
      </c>
      <c r="D1374">
        <f t="shared" si="157"/>
        <v>220.39999999999998</v>
      </c>
      <c r="E1374">
        <v>-0.32</v>
      </c>
      <c r="F1374">
        <f t="shared" si="158"/>
        <v>-220.71999999999997</v>
      </c>
      <c r="I1374">
        <f t="shared" si="154"/>
        <v>24</v>
      </c>
      <c r="J1374">
        <v>1</v>
      </c>
      <c r="K1374">
        <f t="shared" si="155"/>
        <v>8</v>
      </c>
      <c r="L1374">
        <f t="shared" si="156"/>
        <v>2020</v>
      </c>
      <c r="N1374" s="17">
        <f t="shared" si="159"/>
        <v>44044</v>
      </c>
      <c r="S1374">
        <f t="shared" si="160"/>
        <v>0</v>
      </c>
    </row>
    <row r="1375" spans="1:19" x14ac:dyDescent="0.3">
      <c r="A1375" s="17">
        <v>44064</v>
      </c>
      <c r="B1375">
        <v>265.02999999999997</v>
      </c>
      <c r="C1375">
        <v>43.95</v>
      </c>
      <c r="D1375">
        <f t="shared" si="157"/>
        <v>221.07999999999998</v>
      </c>
      <c r="E1375">
        <v>-0.39</v>
      </c>
      <c r="F1375">
        <f t="shared" si="158"/>
        <v>-221.46999999999997</v>
      </c>
      <c r="I1375">
        <f t="shared" si="154"/>
        <v>21</v>
      </c>
      <c r="J1375">
        <v>1</v>
      </c>
      <c r="K1375">
        <f t="shared" si="155"/>
        <v>8</v>
      </c>
      <c r="L1375">
        <f t="shared" si="156"/>
        <v>2020</v>
      </c>
      <c r="N1375" s="17">
        <f t="shared" si="159"/>
        <v>44044</v>
      </c>
      <c r="S1375">
        <f t="shared" si="160"/>
        <v>0</v>
      </c>
    </row>
    <row r="1376" spans="1:19" x14ac:dyDescent="0.3">
      <c r="A1376" s="17">
        <v>44063</v>
      </c>
      <c r="B1376">
        <v>269.20999999999998</v>
      </c>
      <c r="C1376">
        <v>43.86</v>
      </c>
      <c r="D1376">
        <f t="shared" si="157"/>
        <v>225.34999999999997</v>
      </c>
      <c r="E1376">
        <v>-0.45</v>
      </c>
      <c r="F1376">
        <f t="shared" si="158"/>
        <v>-225.79999999999995</v>
      </c>
      <c r="I1376">
        <f t="shared" si="154"/>
        <v>20</v>
      </c>
      <c r="J1376">
        <v>1</v>
      </c>
      <c r="K1376">
        <f t="shared" si="155"/>
        <v>8</v>
      </c>
      <c r="L1376">
        <f t="shared" si="156"/>
        <v>2020</v>
      </c>
      <c r="N1376" s="17">
        <f t="shared" si="159"/>
        <v>44044</v>
      </c>
      <c r="S1376">
        <f t="shared" si="160"/>
        <v>0</v>
      </c>
    </row>
    <row r="1377" spans="1:19" x14ac:dyDescent="0.3">
      <c r="A1377" s="17">
        <v>44062</v>
      </c>
      <c r="B1377">
        <v>265.45999999999998</v>
      </c>
      <c r="C1377">
        <v>43.79</v>
      </c>
      <c r="D1377">
        <f t="shared" si="157"/>
        <v>221.67</v>
      </c>
      <c r="E1377">
        <v>-0.43</v>
      </c>
      <c r="F1377">
        <f t="shared" si="158"/>
        <v>-222.1</v>
      </c>
      <c r="I1377">
        <f t="shared" si="154"/>
        <v>19</v>
      </c>
      <c r="J1377">
        <v>1</v>
      </c>
      <c r="K1377">
        <f t="shared" si="155"/>
        <v>8</v>
      </c>
      <c r="L1377">
        <f t="shared" si="156"/>
        <v>2020</v>
      </c>
      <c r="N1377" s="17">
        <f t="shared" si="159"/>
        <v>44044</v>
      </c>
      <c r="S1377">
        <f t="shared" si="160"/>
        <v>0</v>
      </c>
    </row>
    <row r="1378" spans="1:19" x14ac:dyDescent="0.3">
      <c r="A1378" s="17">
        <v>44061</v>
      </c>
      <c r="B1378">
        <v>270.81</v>
      </c>
      <c r="C1378">
        <v>44.45</v>
      </c>
      <c r="D1378">
        <f t="shared" si="157"/>
        <v>226.36</v>
      </c>
      <c r="E1378">
        <v>-0.47</v>
      </c>
      <c r="F1378">
        <f t="shared" si="158"/>
        <v>-226.83</v>
      </c>
      <c r="I1378">
        <f t="shared" si="154"/>
        <v>18</v>
      </c>
      <c r="J1378">
        <v>1</v>
      </c>
      <c r="K1378">
        <f t="shared" si="155"/>
        <v>8</v>
      </c>
      <c r="L1378">
        <f t="shared" si="156"/>
        <v>2020</v>
      </c>
      <c r="N1378" s="17">
        <f t="shared" si="159"/>
        <v>44044</v>
      </c>
      <c r="S1378">
        <f t="shared" si="160"/>
        <v>0</v>
      </c>
    </row>
    <row r="1379" spans="1:19" x14ac:dyDescent="0.3">
      <c r="A1379" s="17">
        <v>44060</v>
      </c>
      <c r="B1379">
        <v>260.02999999999997</v>
      </c>
      <c r="C1379">
        <v>43.7</v>
      </c>
      <c r="D1379">
        <f t="shared" si="157"/>
        <v>216.32999999999998</v>
      </c>
      <c r="E1379">
        <v>-0.46</v>
      </c>
      <c r="F1379">
        <f t="shared" si="158"/>
        <v>-216.79</v>
      </c>
      <c r="I1379">
        <f t="shared" si="154"/>
        <v>17</v>
      </c>
      <c r="J1379">
        <v>1</v>
      </c>
      <c r="K1379">
        <f t="shared" si="155"/>
        <v>8</v>
      </c>
      <c r="L1379">
        <f t="shared" si="156"/>
        <v>2020</v>
      </c>
      <c r="N1379" s="17">
        <f t="shared" si="159"/>
        <v>44044</v>
      </c>
      <c r="S1379">
        <f t="shared" si="160"/>
        <v>0</v>
      </c>
    </row>
    <row r="1380" spans="1:19" x14ac:dyDescent="0.3">
      <c r="A1380" s="17">
        <v>44057</v>
      </c>
      <c r="B1380">
        <v>257.39999999999998</v>
      </c>
      <c r="C1380">
        <v>43.405000000000001</v>
      </c>
      <c r="D1380">
        <f t="shared" si="157"/>
        <v>213.99499999999998</v>
      </c>
      <c r="E1380">
        <v>-0.35</v>
      </c>
      <c r="F1380">
        <f t="shared" si="158"/>
        <v>-214.34499999999997</v>
      </c>
      <c r="I1380">
        <f t="shared" si="154"/>
        <v>14</v>
      </c>
      <c r="J1380">
        <v>1</v>
      </c>
      <c r="K1380">
        <f t="shared" si="155"/>
        <v>8</v>
      </c>
      <c r="L1380">
        <f t="shared" si="156"/>
        <v>2020</v>
      </c>
      <c r="N1380" s="17">
        <f t="shared" si="159"/>
        <v>44044</v>
      </c>
      <c r="S1380">
        <f t="shared" si="160"/>
        <v>0</v>
      </c>
    </row>
    <row r="1381" spans="1:19" x14ac:dyDescent="0.3">
      <c r="A1381" s="17">
        <v>44056</v>
      </c>
      <c r="B1381">
        <v>260.14999999999998</v>
      </c>
      <c r="C1381">
        <v>44.16</v>
      </c>
      <c r="D1381">
        <f t="shared" si="157"/>
        <v>215.98999999999998</v>
      </c>
      <c r="E1381">
        <v>-0.28000000000000003</v>
      </c>
      <c r="F1381">
        <f t="shared" si="158"/>
        <v>-216.26999999999998</v>
      </c>
      <c r="I1381">
        <f t="shared" si="154"/>
        <v>13</v>
      </c>
      <c r="J1381">
        <v>1</v>
      </c>
      <c r="K1381">
        <f t="shared" si="155"/>
        <v>8</v>
      </c>
      <c r="L1381">
        <f t="shared" si="156"/>
        <v>2020</v>
      </c>
      <c r="N1381" s="17">
        <f t="shared" si="159"/>
        <v>44044</v>
      </c>
      <c r="S1381">
        <f t="shared" si="160"/>
        <v>0</v>
      </c>
    </row>
    <row r="1382" spans="1:19" x14ac:dyDescent="0.3">
      <c r="A1382" s="17">
        <v>44055</v>
      </c>
      <c r="B1382">
        <v>256.36</v>
      </c>
      <c r="C1382">
        <v>43.65</v>
      </c>
      <c r="D1382">
        <f t="shared" si="157"/>
        <v>212.71</v>
      </c>
      <c r="E1382">
        <v>-0.23</v>
      </c>
      <c r="F1382">
        <f t="shared" si="158"/>
        <v>-212.94</v>
      </c>
      <c r="I1382">
        <f t="shared" si="154"/>
        <v>12</v>
      </c>
      <c r="J1382">
        <v>1</v>
      </c>
      <c r="K1382">
        <f t="shared" si="155"/>
        <v>8</v>
      </c>
      <c r="L1382">
        <f t="shared" si="156"/>
        <v>2020</v>
      </c>
      <c r="N1382" s="17">
        <f t="shared" si="159"/>
        <v>44044</v>
      </c>
      <c r="S1382">
        <f t="shared" si="160"/>
        <v>0</v>
      </c>
    </row>
    <row r="1383" spans="1:19" x14ac:dyDescent="0.3">
      <c r="A1383" s="17">
        <v>44054</v>
      </c>
      <c r="B1383">
        <v>254.99</v>
      </c>
      <c r="C1383">
        <v>44.1</v>
      </c>
      <c r="D1383">
        <f t="shared" si="157"/>
        <v>210.89000000000001</v>
      </c>
      <c r="E1383">
        <v>-0.22</v>
      </c>
      <c r="F1383">
        <f t="shared" si="158"/>
        <v>-211.11</v>
      </c>
      <c r="I1383">
        <f t="shared" si="154"/>
        <v>11</v>
      </c>
      <c r="J1383">
        <v>1</v>
      </c>
      <c r="K1383">
        <f t="shared" si="155"/>
        <v>8</v>
      </c>
      <c r="L1383">
        <f t="shared" si="156"/>
        <v>2020</v>
      </c>
      <c r="N1383" s="17">
        <f t="shared" si="159"/>
        <v>44044</v>
      </c>
      <c r="S1383">
        <f t="shared" si="160"/>
        <v>0</v>
      </c>
    </row>
    <row r="1384" spans="1:19" x14ac:dyDescent="0.3">
      <c r="A1384" s="17">
        <v>44050</v>
      </c>
      <c r="B1384">
        <v>253.12</v>
      </c>
      <c r="C1384">
        <v>43.9</v>
      </c>
      <c r="D1384">
        <f t="shared" si="157"/>
        <v>209.22</v>
      </c>
      <c r="E1384">
        <v>-0.1</v>
      </c>
      <c r="F1384">
        <f t="shared" si="158"/>
        <v>-209.32</v>
      </c>
      <c r="I1384">
        <f t="shared" si="154"/>
        <v>7</v>
      </c>
      <c r="J1384">
        <v>1</v>
      </c>
      <c r="K1384">
        <f t="shared" si="155"/>
        <v>8</v>
      </c>
      <c r="L1384">
        <f t="shared" si="156"/>
        <v>2020</v>
      </c>
      <c r="N1384" s="17">
        <f t="shared" si="159"/>
        <v>44044</v>
      </c>
      <c r="S1384">
        <f t="shared" si="160"/>
        <v>0</v>
      </c>
    </row>
    <row r="1385" spans="1:19" x14ac:dyDescent="0.3">
      <c r="A1385" s="17">
        <v>44049</v>
      </c>
      <c r="B1385">
        <v>256.02999999999997</v>
      </c>
      <c r="C1385">
        <v>43.69</v>
      </c>
      <c r="D1385">
        <f t="shared" si="157"/>
        <v>212.33999999999997</v>
      </c>
      <c r="E1385">
        <v>7.0000000000000007E-2</v>
      </c>
      <c r="F1385">
        <f t="shared" si="158"/>
        <v>-212.26999999999998</v>
      </c>
      <c r="I1385">
        <f t="shared" si="154"/>
        <v>6</v>
      </c>
      <c r="J1385">
        <v>1</v>
      </c>
      <c r="K1385">
        <f t="shared" si="155"/>
        <v>8</v>
      </c>
      <c r="L1385">
        <f t="shared" si="156"/>
        <v>2020</v>
      </c>
      <c r="N1385" s="17">
        <f t="shared" si="159"/>
        <v>44044</v>
      </c>
      <c r="S1385">
        <f t="shared" si="160"/>
        <v>0</v>
      </c>
    </row>
    <row r="1386" spans="1:19" x14ac:dyDescent="0.3">
      <c r="A1386" s="17">
        <v>44048</v>
      </c>
      <c r="B1386">
        <v>255</v>
      </c>
      <c r="C1386">
        <v>43.74</v>
      </c>
      <c r="D1386">
        <f t="shared" si="157"/>
        <v>211.26</v>
      </c>
      <c r="E1386">
        <v>-0.01</v>
      </c>
      <c r="F1386">
        <f t="shared" si="158"/>
        <v>-211.26999999999998</v>
      </c>
      <c r="I1386">
        <f t="shared" si="154"/>
        <v>5</v>
      </c>
      <c r="J1386">
        <v>1</v>
      </c>
      <c r="K1386">
        <f t="shared" si="155"/>
        <v>8</v>
      </c>
      <c r="L1386">
        <f t="shared" si="156"/>
        <v>2020</v>
      </c>
      <c r="N1386" s="17">
        <f t="shared" si="159"/>
        <v>44044</v>
      </c>
      <c r="S1386">
        <f t="shared" si="160"/>
        <v>0</v>
      </c>
    </row>
    <row r="1387" spans="1:19" x14ac:dyDescent="0.3">
      <c r="A1387" s="17">
        <v>44047</v>
      </c>
      <c r="B1387">
        <v>245.73</v>
      </c>
      <c r="C1387">
        <v>42.954999999999998</v>
      </c>
      <c r="D1387">
        <f t="shared" si="157"/>
        <v>202.77499999999998</v>
      </c>
      <c r="E1387">
        <v>0.08</v>
      </c>
      <c r="F1387">
        <f t="shared" si="158"/>
        <v>-202.69499999999996</v>
      </c>
      <c r="I1387">
        <f t="shared" si="154"/>
        <v>4</v>
      </c>
      <c r="J1387">
        <v>1</v>
      </c>
      <c r="K1387">
        <f t="shared" si="155"/>
        <v>8</v>
      </c>
      <c r="L1387">
        <f t="shared" si="156"/>
        <v>2020</v>
      </c>
      <c r="N1387" s="17">
        <f t="shared" si="159"/>
        <v>44044</v>
      </c>
      <c r="S1387">
        <f t="shared" si="160"/>
        <v>1</v>
      </c>
    </row>
    <row r="1388" spans="1:19" x14ac:dyDescent="0.3">
      <c r="A1388" s="17">
        <v>44046</v>
      </c>
      <c r="B1388">
        <v>248.87</v>
      </c>
      <c r="C1388">
        <v>42.51</v>
      </c>
      <c r="D1388">
        <f t="shared" si="157"/>
        <v>206.36</v>
      </c>
      <c r="E1388">
        <v>0.14000000000000001</v>
      </c>
      <c r="F1388">
        <f t="shared" si="158"/>
        <v>-206.22000000000003</v>
      </c>
      <c r="I1388">
        <f t="shared" si="154"/>
        <v>3</v>
      </c>
      <c r="J1388">
        <v>1</v>
      </c>
      <c r="K1388">
        <f t="shared" si="155"/>
        <v>8</v>
      </c>
      <c r="L1388">
        <f t="shared" si="156"/>
        <v>2020</v>
      </c>
      <c r="N1388" s="17">
        <f t="shared" si="159"/>
        <v>44044</v>
      </c>
      <c r="S1388">
        <f t="shared" si="160"/>
        <v>1</v>
      </c>
    </row>
    <row r="1389" spans="1:19" x14ac:dyDescent="0.3">
      <c r="A1389" s="17">
        <v>44042</v>
      </c>
      <c r="B1389">
        <v>254.91</v>
      </c>
      <c r="C1389">
        <v>43.1</v>
      </c>
      <c r="D1389">
        <f t="shared" si="157"/>
        <v>211.81</v>
      </c>
      <c r="E1389">
        <v>0.15</v>
      </c>
      <c r="F1389">
        <f t="shared" si="158"/>
        <v>-211.66</v>
      </c>
      <c r="I1389">
        <f t="shared" si="154"/>
        <v>30</v>
      </c>
      <c r="J1389">
        <v>1</v>
      </c>
      <c r="K1389">
        <f t="shared" si="155"/>
        <v>7</v>
      </c>
      <c r="L1389">
        <f t="shared" si="156"/>
        <v>2020</v>
      </c>
      <c r="N1389" s="17">
        <f t="shared" si="159"/>
        <v>44013</v>
      </c>
      <c r="S1389">
        <f t="shared" si="160"/>
        <v>0</v>
      </c>
    </row>
    <row r="1390" spans="1:19" x14ac:dyDescent="0.3">
      <c r="A1390" s="17">
        <v>44041</v>
      </c>
      <c r="B1390">
        <v>256.77</v>
      </c>
      <c r="C1390">
        <v>43.29</v>
      </c>
      <c r="D1390">
        <f t="shared" si="157"/>
        <v>213.48</v>
      </c>
      <c r="E1390">
        <v>0.22</v>
      </c>
      <c r="F1390">
        <f t="shared" si="158"/>
        <v>-213.26</v>
      </c>
      <c r="I1390">
        <f t="shared" si="154"/>
        <v>29</v>
      </c>
      <c r="J1390">
        <v>1</v>
      </c>
      <c r="K1390">
        <f t="shared" si="155"/>
        <v>7</v>
      </c>
      <c r="L1390">
        <f t="shared" si="156"/>
        <v>2020</v>
      </c>
      <c r="N1390" s="17">
        <f t="shared" si="159"/>
        <v>44013</v>
      </c>
      <c r="S1390">
        <f t="shared" si="160"/>
        <v>0</v>
      </c>
    </row>
    <row r="1391" spans="1:19" x14ac:dyDescent="0.3">
      <c r="A1391" s="17">
        <v>44040</v>
      </c>
      <c r="B1391">
        <v>252.09</v>
      </c>
      <c r="C1391">
        <v>43.09</v>
      </c>
      <c r="D1391">
        <f t="shared" si="157"/>
        <v>209</v>
      </c>
      <c r="E1391">
        <v>0.19</v>
      </c>
      <c r="F1391">
        <f t="shared" si="158"/>
        <v>-208.81</v>
      </c>
      <c r="I1391">
        <f t="shared" si="154"/>
        <v>28</v>
      </c>
      <c r="J1391">
        <v>1</v>
      </c>
      <c r="K1391">
        <f t="shared" si="155"/>
        <v>7</v>
      </c>
      <c r="L1391">
        <f t="shared" si="156"/>
        <v>2020</v>
      </c>
      <c r="N1391" s="17">
        <f t="shared" si="159"/>
        <v>44013</v>
      </c>
      <c r="S1391">
        <f t="shared" si="160"/>
        <v>0</v>
      </c>
    </row>
    <row r="1392" spans="1:19" x14ac:dyDescent="0.3">
      <c r="A1392" s="17">
        <v>44039</v>
      </c>
      <c r="B1392">
        <v>247.98</v>
      </c>
      <c r="C1392">
        <v>43.1</v>
      </c>
      <c r="D1392">
        <f t="shared" si="157"/>
        <v>204.88</v>
      </c>
      <c r="E1392">
        <v>0.28999999999999998</v>
      </c>
      <c r="F1392">
        <f t="shared" si="158"/>
        <v>-204.59</v>
      </c>
      <c r="I1392">
        <f t="shared" si="154"/>
        <v>27</v>
      </c>
      <c r="J1392">
        <v>1</v>
      </c>
      <c r="K1392">
        <f t="shared" si="155"/>
        <v>7</v>
      </c>
      <c r="L1392">
        <f t="shared" si="156"/>
        <v>2020</v>
      </c>
      <c r="N1392" s="17">
        <f t="shared" si="159"/>
        <v>44013</v>
      </c>
      <c r="S1392">
        <f t="shared" si="160"/>
        <v>0</v>
      </c>
    </row>
    <row r="1393" spans="1:19" x14ac:dyDescent="0.3">
      <c r="A1393" s="17">
        <v>44036</v>
      </c>
      <c r="B1393">
        <v>247.91</v>
      </c>
      <c r="C1393">
        <v>43.1</v>
      </c>
      <c r="D1393">
        <f t="shared" si="157"/>
        <v>204.81</v>
      </c>
      <c r="E1393">
        <v>0.43</v>
      </c>
      <c r="F1393">
        <f t="shared" si="158"/>
        <v>-204.38</v>
      </c>
      <c r="I1393">
        <f t="shared" si="154"/>
        <v>24</v>
      </c>
      <c r="J1393">
        <v>1</v>
      </c>
      <c r="K1393">
        <f t="shared" si="155"/>
        <v>7</v>
      </c>
      <c r="L1393">
        <f t="shared" si="156"/>
        <v>2020</v>
      </c>
      <c r="N1393" s="17">
        <f t="shared" si="159"/>
        <v>44013</v>
      </c>
      <c r="S1393">
        <f t="shared" si="160"/>
        <v>0</v>
      </c>
    </row>
    <row r="1394" spans="1:19" x14ac:dyDescent="0.3">
      <c r="A1394" s="17">
        <v>44035</v>
      </c>
      <c r="B1394">
        <v>253.58</v>
      </c>
      <c r="C1394">
        <v>44.39</v>
      </c>
      <c r="D1394">
        <f t="shared" si="157"/>
        <v>209.19</v>
      </c>
      <c r="E1394">
        <v>0.49</v>
      </c>
      <c r="F1394">
        <f t="shared" si="158"/>
        <v>-208.7</v>
      </c>
      <c r="I1394">
        <f t="shared" si="154"/>
        <v>23</v>
      </c>
      <c r="J1394">
        <v>1</v>
      </c>
      <c r="K1394">
        <f t="shared" si="155"/>
        <v>7</v>
      </c>
      <c r="L1394">
        <f t="shared" si="156"/>
        <v>2020</v>
      </c>
      <c r="N1394" s="17">
        <f t="shared" si="159"/>
        <v>44013</v>
      </c>
      <c r="S1394">
        <f t="shared" si="160"/>
        <v>0</v>
      </c>
    </row>
    <row r="1395" spans="1:19" x14ac:dyDescent="0.3">
      <c r="A1395" s="17">
        <v>44034</v>
      </c>
      <c r="B1395">
        <v>249.15</v>
      </c>
      <c r="C1395">
        <v>44.1</v>
      </c>
      <c r="D1395">
        <f t="shared" si="157"/>
        <v>205.05</v>
      </c>
      <c r="E1395">
        <v>0.74</v>
      </c>
      <c r="F1395">
        <f t="shared" si="158"/>
        <v>-204.31</v>
      </c>
      <c r="I1395">
        <f t="shared" si="154"/>
        <v>22</v>
      </c>
      <c r="J1395">
        <v>1</v>
      </c>
      <c r="K1395">
        <f t="shared" si="155"/>
        <v>7</v>
      </c>
      <c r="L1395">
        <f t="shared" si="156"/>
        <v>2020</v>
      </c>
      <c r="N1395" s="17">
        <f t="shared" si="159"/>
        <v>44013</v>
      </c>
      <c r="S1395">
        <f t="shared" si="160"/>
        <v>0</v>
      </c>
    </row>
    <row r="1396" spans="1:19" x14ac:dyDescent="0.3">
      <c r="A1396" s="17">
        <v>44033</v>
      </c>
      <c r="B1396">
        <v>246.86</v>
      </c>
      <c r="C1396">
        <v>43.844999999999999</v>
      </c>
      <c r="D1396">
        <f t="shared" si="157"/>
        <v>203.01500000000001</v>
      </c>
      <c r="E1396">
        <v>0.93</v>
      </c>
      <c r="F1396">
        <f t="shared" si="158"/>
        <v>-202.08500000000001</v>
      </c>
      <c r="I1396">
        <f t="shared" si="154"/>
        <v>21</v>
      </c>
      <c r="J1396">
        <v>1</v>
      </c>
      <c r="K1396">
        <f t="shared" si="155"/>
        <v>7</v>
      </c>
      <c r="L1396">
        <f t="shared" si="156"/>
        <v>2020</v>
      </c>
      <c r="N1396" s="17">
        <f t="shared" si="159"/>
        <v>44013</v>
      </c>
      <c r="S1396">
        <f t="shared" si="160"/>
        <v>0</v>
      </c>
    </row>
    <row r="1397" spans="1:19" x14ac:dyDescent="0.3">
      <c r="A1397" s="17">
        <v>44032</v>
      </c>
      <c r="B1397">
        <v>244.01</v>
      </c>
      <c r="C1397">
        <v>42.704999999999998</v>
      </c>
      <c r="D1397">
        <f t="shared" si="157"/>
        <v>201.30500000000001</v>
      </c>
      <c r="E1397">
        <v>0.81</v>
      </c>
      <c r="F1397">
        <f t="shared" si="158"/>
        <v>-200.495</v>
      </c>
      <c r="I1397">
        <f t="shared" si="154"/>
        <v>20</v>
      </c>
      <c r="J1397">
        <v>1</v>
      </c>
      <c r="K1397">
        <f t="shared" si="155"/>
        <v>7</v>
      </c>
      <c r="L1397">
        <f t="shared" si="156"/>
        <v>2020</v>
      </c>
      <c r="N1397" s="17">
        <f t="shared" si="159"/>
        <v>44013</v>
      </c>
      <c r="S1397">
        <f t="shared" si="160"/>
        <v>0</v>
      </c>
    </row>
    <row r="1398" spans="1:19" x14ac:dyDescent="0.3">
      <c r="A1398" s="17">
        <v>44029</v>
      </c>
      <c r="B1398">
        <v>247.09</v>
      </c>
      <c r="C1398">
        <v>42.84</v>
      </c>
      <c r="D1398">
        <f t="shared" si="157"/>
        <v>204.25</v>
      </c>
      <c r="E1398">
        <v>0.8</v>
      </c>
      <c r="F1398">
        <f t="shared" si="158"/>
        <v>-203.45</v>
      </c>
      <c r="I1398">
        <f t="shared" si="154"/>
        <v>17</v>
      </c>
      <c r="J1398">
        <v>1</v>
      </c>
      <c r="K1398">
        <f t="shared" si="155"/>
        <v>7</v>
      </c>
      <c r="L1398">
        <f t="shared" si="156"/>
        <v>2020</v>
      </c>
      <c r="N1398" s="17">
        <f t="shared" si="159"/>
        <v>44013</v>
      </c>
      <c r="S1398">
        <f t="shared" si="160"/>
        <v>0</v>
      </c>
    </row>
    <row r="1399" spans="1:19" x14ac:dyDescent="0.3">
      <c r="A1399" s="17">
        <v>44028</v>
      </c>
      <c r="B1399">
        <v>250.12</v>
      </c>
      <c r="C1399">
        <v>43.35</v>
      </c>
      <c r="D1399">
        <f t="shared" si="157"/>
        <v>206.77</v>
      </c>
      <c r="E1399">
        <v>0.76</v>
      </c>
      <c r="F1399">
        <f t="shared" si="158"/>
        <v>-206.01000000000002</v>
      </c>
      <c r="I1399">
        <f t="shared" si="154"/>
        <v>16</v>
      </c>
      <c r="J1399">
        <v>1</v>
      </c>
      <c r="K1399">
        <f t="shared" si="155"/>
        <v>7</v>
      </c>
      <c r="L1399">
        <f t="shared" si="156"/>
        <v>2020</v>
      </c>
      <c r="N1399" s="17">
        <f t="shared" si="159"/>
        <v>44013</v>
      </c>
      <c r="S1399">
        <f t="shared" si="160"/>
        <v>0</v>
      </c>
    </row>
    <row r="1400" spans="1:19" x14ac:dyDescent="0.3">
      <c r="A1400" s="17">
        <v>44027</v>
      </c>
      <c r="B1400">
        <v>251.03</v>
      </c>
      <c r="C1400">
        <v>44.15</v>
      </c>
      <c r="D1400">
        <f t="shared" si="157"/>
        <v>206.88</v>
      </c>
      <c r="E1400">
        <v>0.76</v>
      </c>
      <c r="F1400">
        <f t="shared" si="158"/>
        <v>-206.12</v>
      </c>
      <c r="I1400">
        <f t="shared" si="154"/>
        <v>15</v>
      </c>
      <c r="J1400">
        <v>1</v>
      </c>
      <c r="K1400">
        <f t="shared" si="155"/>
        <v>7</v>
      </c>
      <c r="L1400">
        <f t="shared" si="156"/>
        <v>2020</v>
      </c>
      <c r="N1400" s="17">
        <f t="shared" si="159"/>
        <v>44013</v>
      </c>
      <c r="S1400">
        <f t="shared" si="160"/>
        <v>0</v>
      </c>
    </row>
    <row r="1401" spans="1:19" x14ac:dyDescent="0.3">
      <c r="A1401" s="17">
        <v>44026</v>
      </c>
      <c r="B1401">
        <v>244.47</v>
      </c>
      <c r="C1401">
        <v>42.75</v>
      </c>
      <c r="D1401">
        <f t="shared" si="157"/>
        <v>201.72</v>
      </c>
      <c r="E1401">
        <v>0.83</v>
      </c>
      <c r="F1401">
        <f t="shared" si="158"/>
        <v>-200.89</v>
      </c>
      <c r="I1401">
        <f t="shared" si="154"/>
        <v>14</v>
      </c>
      <c r="J1401">
        <v>1</v>
      </c>
      <c r="K1401">
        <f t="shared" si="155"/>
        <v>7</v>
      </c>
      <c r="L1401">
        <f t="shared" si="156"/>
        <v>2020</v>
      </c>
      <c r="N1401" s="17">
        <f t="shared" si="159"/>
        <v>44013</v>
      </c>
      <c r="S1401">
        <f t="shared" si="160"/>
        <v>0</v>
      </c>
    </row>
    <row r="1402" spans="1:19" x14ac:dyDescent="0.3">
      <c r="A1402" s="17">
        <v>44025</v>
      </c>
      <c r="B1402">
        <v>250.65</v>
      </c>
      <c r="C1402">
        <v>43.35</v>
      </c>
      <c r="D1402">
        <f t="shared" si="157"/>
        <v>207.3</v>
      </c>
      <c r="E1402">
        <v>0.79</v>
      </c>
      <c r="F1402">
        <f t="shared" si="158"/>
        <v>-206.51000000000002</v>
      </c>
      <c r="I1402">
        <f t="shared" si="154"/>
        <v>13</v>
      </c>
      <c r="J1402">
        <v>1</v>
      </c>
      <c r="K1402">
        <f t="shared" si="155"/>
        <v>7</v>
      </c>
      <c r="L1402">
        <f t="shared" si="156"/>
        <v>2020</v>
      </c>
      <c r="N1402" s="17">
        <f t="shared" si="159"/>
        <v>44013</v>
      </c>
      <c r="S1402">
        <f t="shared" si="160"/>
        <v>0</v>
      </c>
    </row>
    <row r="1403" spans="1:19" x14ac:dyDescent="0.3">
      <c r="A1403" s="17">
        <v>44021</v>
      </c>
      <c r="B1403">
        <v>254.99</v>
      </c>
      <c r="C1403">
        <v>43.66</v>
      </c>
      <c r="D1403">
        <f t="shared" si="157"/>
        <v>211.33</v>
      </c>
      <c r="E1403">
        <v>0.77</v>
      </c>
      <c r="F1403">
        <f t="shared" si="158"/>
        <v>-210.56</v>
      </c>
      <c r="I1403">
        <f t="shared" si="154"/>
        <v>9</v>
      </c>
      <c r="J1403">
        <v>1</v>
      </c>
      <c r="K1403">
        <f t="shared" si="155"/>
        <v>7</v>
      </c>
      <c r="L1403">
        <f t="shared" si="156"/>
        <v>2020</v>
      </c>
      <c r="N1403" s="17">
        <f t="shared" si="159"/>
        <v>44013</v>
      </c>
      <c r="S1403">
        <f t="shared" si="160"/>
        <v>0</v>
      </c>
    </row>
    <row r="1404" spans="1:19" x14ac:dyDescent="0.3">
      <c r="A1404" s="17">
        <v>44020</v>
      </c>
      <c r="B1404">
        <v>256.95</v>
      </c>
      <c r="C1404">
        <v>43.305</v>
      </c>
      <c r="D1404">
        <f t="shared" si="157"/>
        <v>213.64499999999998</v>
      </c>
      <c r="E1404">
        <v>0.61</v>
      </c>
      <c r="F1404">
        <f t="shared" si="158"/>
        <v>-213.03499999999997</v>
      </c>
      <c r="I1404">
        <f t="shared" si="154"/>
        <v>8</v>
      </c>
      <c r="J1404">
        <v>1</v>
      </c>
      <c r="K1404">
        <f t="shared" si="155"/>
        <v>7</v>
      </c>
      <c r="L1404">
        <f t="shared" si="156"/>
        <v>2020</v>
      </c>
      <c r="N1404" s="17">
        <f t="shared" si="159"/>
        <v>44013</v>
      </c>
      <c r="S1404">
        <f t="shared" si="160"/>
        <v>0</v>
      </c>
    </row>
    <row r="1405" spans="1:19" x14ac:dyDescent="0.3">
      <c r="A1405" s="17">
        <v>44019</v>
      </c>
      <c r="B1405">
        <v>246.66</v>
      </c>
      <c r="C1405">
        <v>42.86</v>
      </c>
      <c r="D1405">
        <f t="shared" si="157"/>
        <v>203.8</v>
      </c>
      <c r="E1405">
        <v>0.66</v>
      </c>
      <c r="F1405">
        <f t="shared" si="158"/>
        <v>-203.14000000000001</v>
      </c>
      <c r="I1405">
        <f t="shared" si="154"/>
        <v>7</v>
      </c>
      <c r="J1405">
        <v>1</v>
      </c>
      <c r="K1405">
        <f t="shared" si="155"/>
        <v>7</v>
      </c>
      <c r="L1405">
        <f t="shared" si="156"/>
        <v>2020</v>
      </c>
      <c r="N1405" s="17">
        <f t="shared" si="159"/>
        <v>44013</v>
      </c>
      <c r="S1405">
        <f t="shared" si="160"/>
        <v>0</v>
      </c>
    </row>
    <row r="1406" spans="1:19" x14ac:dyDescent="0.3">
      <c r="A1406" s="17">
        <v>44018</v>
      </c>
      <c r="B1406">
        <v>244.62</v>
      </c>
      <c r="C1406">
        <v>43.69</v>
      </c>
      <c r="D1406">
        <f t="shared" si="157"/>
        <v>200.93</v>
      </c>
      <c r="E1406">
        <v>0.68</v>
      </c>
      <c r="F1406">
        <f t="shared" si="158"/>
        <v>-200.25</v>
      </c>
      <c r="I1406">
        <f t="shared" si="154"/>
        <v>6</v>
      </c>
      <c r="J1406">
        <v>1</v>
      </c>
      <c r="K1406">
        <f t="shared" si="155"/>
        <v>7</v>
      </c>
      <c r="L1406">
        <f t="shared" si="156"/>
        <v>2020</v>
      </c>
      <c r="N1406" s="17">
        <f t="shared" si="159"/>
        <v>44013</v>
      </c>
      <c r="S1406">
        <f t="shared" si="160"/>
        <v>0</v>
      </c>
    </row>
    <row r="1407" spans="1:19" x14ac:dyDescent="0.3">
      <c r="A1407" s="17">
        <v>44015</v>
      </c>
      <c r="B1407">
        <v>234.16</v>
      </c>
      <c r="C1407">
        <v>42.7</v>
      </c>
      <c r="D1407">
        <f t="shared" si="157"/>
        <v>191.45999999999998</v>
      </c>
      <c r="E1407">
        <v>0.74</v>
      </c>
      <c r="F1407">
        <f t="shared" si="158"/>
        <v>-190.71999999999997</v>
      </c>
      <c r="I1407">
        <f t="shared" si="154"/>
        <v>3</v>
      </c>
      <c r="J1407">
        <v>1</v>
      </c>
      <c r="K1407">
        <f t="shared" si="155"/>
        <v>7</v>
      </c>
      <c r="L1407">
        <f t="shared" si="156"/>
        <v>2020</v>
      </c>
      <c r="N1407" s="17">
        <f t="shared" si="159"/>
        <v>44013</v>
      </c>
      <c r="S1407">
        <f t="shared" si="160"/>
        <v>1</v>
      </c>
    </row>
    <row r="1408" spans="1:19" x14ac:dyDescent="0.3">
      <c r="A1408" s="17">
        <v>44014</v>
      </c>
      <c r="B1408">
        <v>234.34</v>
      </c>
      <c r="C1408">
        <v>42.81</v>
      </c>
      <c r="D1408">
        <f t="shared" si="157"/>
        <v>191.53</v>
      </c>
      <c r="E1408">
        <v>0.76</v>
      </c>
      <c r="F1408">
        <f t="shared" si="158"/>
        <v>-190.77</v>
      </c>
      <c r="I1408">
        <f t="shared" si="154"/>
        <v>2</v>
      </c>
      <c r="J1408">
        <v>1</v>
      </c>
      <c r="K1408">
        <f t="shared" si="155"/>
        <v>7</v>
      </c>
      <c r="L1408">
        <f t="shared" si="156"/>
        <v>2020</v>
      </c>
      <c r="N1408" s="17">
        <f t="shared" si="159"/>
        <v>44013</v>
      </c>
      <c r="S1408">
        <f t="shared" si="160"/>
        <v>1</v>
      </c>
    </row>
    <row r="1409" spans="1:19" x14ac:dyDescent="0.3">
      <c r="A1409" s="17">
        <v>44013</v>
      </c>
      <c r="B1409">
        <v>232.35</v>
      </c>
      <c r="C1409">
        <v>42.66</v>
      </c>
      <c r="D1409">
        <f t="shared" si="157"/>
        <v>189.69</v>
      </c>
      <c r="E1409">
        <v>0.79</v>
      </c>
      <c r="F1409">
        <f t="shared" si="158"/>
        <v>-188.9</v>
      </c>
      <c r="I1409">
        <f t="shared" si="154"/>
        <v>1</v>
      </c>
      <c r="J1409">
        <v>1</v>
      </c>
      <c r="K1409">
        <f t="shared" si="155"/>
        <v>7</v>
      </c>
      <c r="L1409">
        <f t="shared" si="156"/>
        <v>2020</v>
      </c>
      <c r="N1409" s="17">
        <f t="shared" si="159"/>
        <v>44013</v>
      </c>
      <c r="S1409">
        <f t="shared" si="160"/>
        <v>1</v>
      </c>
    </row>
    <row r="1410" spans="1:19" x14ac:dyDescent="0.3">
      <c r="A1410" s="17">
        <v>44012</v>
      </c>
      <c r="B1410">
        <v>232.73</v>
      </c>
      <c r="C1410">
        <v>42.05</v>
      </c>
      <c r="D1410">
        <f t="shared" si="157"/>
        <v>190.68</v>
      </c>
      <c r="E1410">
        <v>0.88</v>
      </c>
      <c r="F1410">
        <f t="shared" si="158"/>
        <v>-189.8</v>
      </c>
      <c r="I1410">
        <f t="shared" si="154"/>
        <v>30</v>
      </c>
      <c r="J1410">
        <v>1</v>
      </c>
      <c r="K1410">
        <f t="shared" si="155"/>
        <v>6</v>
      </c>
      <c r="L1410">
        <f t="shared" si="156"/>
        <v>2020</v>
      </c>
      <c r="N1410" s="17">
        <f t="shared" si="159"/>
        <v>43983</v>
      </c>
      <c r="S1410">
        <f t="shared" si="160"/>
        <v>0</v>
      </c>
    </row>
    <row r="1411" spans="1:19" x14ac:dyDescent="0.3">
      <c r="A1411" s="17">
        <v>44011</v>
      </c>
      <c r="B1411">
        <v>223.86</v>
      </c>
      <c r="C1411">
        <v>40.65</v>
      </c>
      <c r="D1411">
        <f t="shared" si="157"/>
        <v>183.21</v>
      </c>
      <c r="E1411">
        <v>0.95</v>
      </c>
      <c r="F1411">
        <f t="shared" si="158"/>
        <v>-182.26000000000002</v>
      </c>
      <c r="I1411">
        <f t="shared" si="154"/>
        <v>29</v>
      </c>
      <c r="J1411">
        <v>1</v>
      </c>
      <c r="K1411">
        <f t="shared" si="155"/>
        <v>6</v>
      </c>
      <c r="L1411">
        <f t="shared" si="156"/>
        <v>2020</v>
      </c>
      <c r="N1411" s="17">
        <f t="shared" si="159"/>
        <v>43983</v>
      </c>
      <c r="S1411">
        <f t="shared" si="160"/>
        <v>0</v>
      </c>
    </row>
    <row r="1412" spans="1:19" x14ac:dyDescent="0.3">
      <c r="A1412" s="17">
        <v>44008</v>
      </c>
      <c r="B1412">
        <v>228.92</v>
      </c>
      <c r="C1412">
        <v>42</v>
      </c>
      <c r="D1412">
        <f t="shared" si="157"/>
        <v>186.92</v>
      </c>
      <c r="E1412">
        <v>0.92</v>
      </c>
      <c r="F1412">
        <f t="shared" si="158"/>
        <v>-186</v>
      </c>
      <c r="I1412">
        <f t="shared" si="154"/>
        <v>26</v>
      </c>
      <c r="J1412">
        <v>1</v>
      </c>
      <c r="K1412">
        <f t="shared" si="155"/>
        <v>6</v>
      </c>
      <c r="L1412">
        <f t="shared" si="156"/>
        <v>2020</v>
      </c>
      <c r="N1412" s="17">
        <f t="shared" si="159"/>
        <v>43983</v>
      </c>
      <c r="S1412">
        <f t="shared" si="160"/>
        <v>0</v>
      </c>
    </row>
    <row r="1413" spans="1:19" x14ac:dyDescent="0.3">
      <c r="A1413" s="17">
        <v>44007</v>
      </c>
      <c r="B1413">
        <v>220.79</v>
      </c>
      <c r="C1413">
        <v>40.549999999999997</v>
      </c>
      <c r="D1413">
        <f t="shared" si="157"/>
        <v>180.24</v>
      </c>
      <c r="E1413">
        <v>0.92</v>
      </c>
      <c r="F1413">
        <f t="shared" si="158"/>
        <v>-179.32000000000002</v>
      </c>
      <c r="I1413">
        <f t="shared" ref="I1413:I1476" si="161">+DAY(A1413)</f>
        <v>25</v>
      </c>
      <c r="J1413">
        <v>1</v>
      </c>
      <c r="K1413">
        <f t="shared" ref="K1413:K1476" si="162">+MONTH(A1413)</f>
        <v>6</v>
      </c>
      <c r="L1413">
        <f t="shared" ref="L1413:L1476" si="163">+YEAR(A1413)</f>
        <v>2020</v>
      </c>
      <c r="N1413" s="17">
        <f t="shared" si="159"/>
        <v>43983</v>
      </c>
      <c r="S1413">
        <f t="shared" si="160"/>
        <v>0</v>
      </c>
    </row>
    <row r="1414" spans="1:19" x14ac:dyDescent="0.3">
      <c r="A1414" s="17">
        <v>44006</v>
      </c>
      <c r="B1414">
        <v>232.44</v>
      </c>
      <c r="C1414">
        <v>42.45</v>
      </c>
      <c r="D1414">
        <f t="shared" ref="D1414:D1477" si="164">+B1414-C1414</f>
        <v>189.99</v>
      </c>
      <c r="E1414">
        <v>0.85</v>
      </c>
      <c r="F1414">
        <f t="shared" ref="F1414:F1477" si="165">+E1414-D1414</f>
        <v>-189.14000000000001</v>
      </c>
      <c r="I1414">
        <f t="shared" si="161"/>
        <v>24</v>
      </c>
      <c r="J1414">
        <v>1</v>
      </c>
      <c r="K1414">
        <f t="shared" si="162"/>
        <v>6</v>
      </c>
      <c r="L1414">
        <f t="shared" si="163"/>
        <v>2020</v>
      </c>
      <c r="N1414" s="17">
        <f t="shared" ref="N1414:N1477" si="166">+DATE(L1414,K1414,J1414)</f>
        <v>43983</v>
      </c>
      <c r="S1414">
        <f t="shared" ref="S1414:S1477" si="167">IF(AND(I1414&gt;=1, I1414&lt;=4), 1, 0)</f>
        <v>0</v>
      </c>
    </row>
    <row r="1415" spans="1:19" x14ac:dyDescent="0.3">
      <c r="A1415" s="17">
        <v>44005</v>
      </c>
      <c r="B1415">
        <v>234.54</v>
      </c>
      <c r="C1415">
        <v>43.35</v>
      </c>
      <c r="D1415">
        <f t="shared" si="164"/>
        <v>191.19</v>
      </c>
      <c r="E1415">
        <v>0.77</v>
      </c>
      <c r="F1415">
        <f t="shared" si="165"/>
        <v>-190.42</v>
      </c>
      <c r="I1415">
        <f t="shared" si="161"/>
        <v>23</v>
      </c>
      <c r="J1415">
        <v>1</v>
      </c>
      <c r="K1415">
        <f t="shared" si="162"/>
        <v>6</v>
      </c>
      <c r="L1415">
        <f t="shared" si="163"/>
        <v>2020</v>
      </c>
      <c r="N1415" s="17">
        <f t="shared" si="166"/>
        <v>43983</v>
      </c>
      <c r="S1415">
        <f t="shared" si="167"/>
        <v>0</v>
      </c>
    </row>
    <row r="1416" spans="1:19" x14ac:dyDescent="0.3">
      <c r="A1416" s="17">
        <v>44004</v>
      </c>
      <c r="B1416">
        <v>227.72</v>
      </c>
      <c r="C1416">
        <v>42.29</v>
      </c>
      <c r="D1416">
        <f t="shared" si="164"/>
        <v>185.43</v>
      </c>
      <c r="E1416">
        <v>0.8</v>
      </c>
      <c r="F1416">
        <f t="shared" si="165"/>
        <v>-184.63</v>
      </c>
      <c r="I1416">
        <f t="shared" si="161"/>
        <v>22</v>
      </c>
      <c r="J1416">
        <v>1</v>
      </c>
      <c r="K1416">
        <f t="shared" si="162"/>
        <v>6</v>
      </c>
      <c r="L1416">
        <f t="shared" si="163"/>
        <v>2020</v>
      </c>
      <c r="N1416" s="17">
        <f t="shared" si="166"/>
        <v>43983</v>
      </c>
      <c r="S1416">
        <f t="shared" si="167"/>
        <v>0</v>
      </c>
    </row>
    <row r="1417" spans="1:19" x14ac:dyDescent="0.3">
      <c r="A1417" s="17">
        <v>44001</v>
      </c>
      <c r="B1417">
        <v>233.55</v>
      </c>
      <c r="C1417">
        <v>42.94</v>
      </c>
      <c r="D1417">
        <f t="shared" si="164"/>
        <v>190.61</v>
      </c>
      <c r="E1417">
        <v>0.81</v>
      </c>
      <c r="F1417">
        <f t="shared" si="165"/>
        <v>-189.8</v>
      </c>
      <c r="I1417">
        <f t="shared" si="161"/>
        <v>19</v>
      </c>
      <c r="J1417">
        <v>1</v>
      </c>
      <c r="K1417">
        <f t="shared" si="162"/>
        <v>6</v>
      </c>
      <c r="L1417">
        <f t="shared" si="163"/>
        <v>2020</v>
      </c>
      <c r="N1417" s="17">
        <f t="shared" si="166"/>
        <v>43983</v>
      </c>
      <c r="S1417">
        <f t="shared" si="167"/>
        <v>0</v>
      </c>
    </row>
    <row r="1418" spans="1:19" x14ac:dyDescent="0.3">
      <c r="A1418" s="17">
        <v>44000</v>
      </c>
      <c r="B1418">
        <v>217.59</v>
      </c>
      <c r="C1418">
        <v>41.05</v>
      </c>
      <c r="D1418">
        <f t="shared" si="164"/>
        <v>176.54000000000002</v>
      </c>
      <c r="E1418">
        <v>0.87</v>
      </c>
      <c r="F1418">
        <f t="shared" si="165"/>
        <v>-175.67000000000002</v>
      </c>
      <c r="I1418">
        <f t="shared" si="161"/>
        <v>18</v>
      </c>
      <c r="J1418">
        <v>1</v>
      </c>
      <c r="K1418">
        <f t="shared" si="162"/>
        <v>6</v>
      </c>
      <c r="L1418">
        <f t="shared" si="163"/>
        <v>2020</v>
      </c>
      <c r="N1418" s="17">
        <f t="shared" si="166"/>
        <v>43983</v>
      </c>
      <c r="S1418">
        <f t="shared" si="167"/>
        <v>0</v>
      </c>
    </row>
    <row r="1419" spans="1:19" x14ac:dyDescent="0.3">
      <c r="A1419" s="17">
        <v>43999</v>
      </c>
      <c r="B1419">
        <v>221.71</v>
      </c>
      <c r="C1419">
        <v>41.5</v>
      </c>
      <c r="D1419">
        <f t="shared" si="164"/>
        <v>180.21</v>
      </c>
      <c r="E1419">
        <v>1.02</v>
      </c>
      <c r="F1419">
        <f t="shared" si="165"/>
        <v>-179.19</v>
      </c>
      <c r="I1419">
        <f t="shared" si="161"/>
        <v>17</v>
      </c>
      <c r="J1419">
        <v>1</v>
      </c>
      <c r="K1419">
        <f t="shared" si="162"/>
        <v>6</v>
      </c>
      <c r="L1419">
        <f t="shared" si="163"/>
        <v>2020</v>
      </c>
      <c r="N1419" s="17">
        <f t="shared" si="166"/>
        <v>43983</v>
      </c>
      <c r="S1419">
        <f t="shared" si="167"/>
        <v>0</v>
      </c>
    </row>
    <row r="1420" spans="1:19" x14ac:dyDescent="0.3">
      <c r="A1420" s="17">
        <v>43998</v>
      </c>
      <c r="B1420">
        <v>222.07</v>
      </c>
      <c r="C1420">
        <v>40.25</v>
      </c>
      <c r="D1420">
        <f t="shared" si="164"/>
        <v>181.82</v>
      </c>
      <c r="E1420">
        <v>0.95</v>
      </c>
      <c r="F1420">
        <f t="shared" si="165"/>
        <v>-180.87</v>
      </c>
      <c r="I1420">
        <f t="shared" si="161"/>
        <v>16</v>
      </c>
      <c r="J1420">
        <v>1</v>
      </c>
      <c r="K1420">
        <f t="shared" si="162"/>
        <v>6</v>
      </c>
      <c r="L1420">
        <f t="shared" si="163"/>
        <v>2020</v>
      </c>
      <c r="N1420" s="17">
        <f t="shared" si="166"/>
        <v>43983</v>
      </c>
      <c r="S1420">
        <f t="shared" si="167"/>
        <v>0</v>
      </c>
    </row>
    <row r="1421" spans="1:19" x14ac:dyDescent="0.3">
      <c r="A1421" s="17">
        <v>43997</v>
      </c>
      <c r="B1421">
        <v>211.42</v>
      </c>
      <c r="C1421">
        <v>38.299999999999997</v>
      </c>
      <c r="D1421">
        <f t="shared" si="164"/>
        <v>173.12</v>
      </c>
      <c r="E1421">
        <v>0.7</v>
      </c>
      <c r="F1421">
        <f t="shared" si="165"/>
        <v>-172.42000000000002</v>
      </c>
      <c r="I1421">
        <f t="shared" si="161"/>
        <v>15</v>
      </c>
      <c r="J1421">
        <v>1</v>
      </c>
      <c r="K1421">
        <f t="shared" si="162"/>
        <v>6</v>
      </c>
      <c r="L1421">
        <f t="shared" si="163"/>
        <v>2020</v>
      </c>
      <c r="N1421" s="17">
        <f t="shared" si="166"/>
        <v>43983</v>
      </c>
      <c r="S1421">
        <f t="shared" si="167"/>
        <v>0</v>
      </c>
    </row>
    <row r="1422" spans="1:19" x14ac:dyDescent="0.3">
      <c r="A1422" s="17">
        <v>43994</v>
      </c>
      <c r="B1422">
        <v>212.14</v>
      </c>
      <c r="C1422">
        <v>38.450000000000003</v>
      </c>
      <c r="D1422">
        <f t="shared" si="164"/>
        <v>173.69</v>
      </c>
      <c r="E1422">
        <v>0.52</v>
      </c>
      <c r="F1422">
        <f t="shared" si="165"/>
        <v>-173.17</v>
      </c>
      <c r="I1422">
        <f t="shared" si="161"/>
        <v>12</v>
      </c>
      <c r="J1422">
        <v>1</v>
      </c>
      <c r="K1422">
        <f t="shared" si="162"/>
        <v>6</v>
      </c>
      <c r="L1422">
        <f t="shared" si="163"/>
        <v>2020</v>
      </c>
      <c r="N1422" s="17">
        <f t="shared" si="166"/>
        <v>43983</v>
      </c>
      <c r="S1422">
        <f t="shared" si="167"/>
        <v>0</v>
      </c>
    </row>
    <row r="1423" spans="1:19" x14ac:dyDescent="0.3">
      <c r="A1423" s="17">
        <v>43993</v>
      </c>
      <c r="B1423">
        <v>229.11</v>
      </c>
      <c r="C1423">
        <v>40.64</v>
      </c>
      <c r="D1423">
        <f t="shared" si="164"/>
        <v>188.47000000000003</v>
      </c>
      <c r="E1423">
        <v>0.6</v>
      </c>
      <c r="F1423">
        <f t="shared" si="165"/>
        <v>-187.87000000000003</v>
      </c>
      <c r="I1423">
        <f t="shared" si="161"/>
        <v>11</v>
      </c>
      <c r="J1423">
        <v>1</v>
      </c>
      <c r="K1423">
        <f t="shared" si="162"/>
        <v>6</v>
      </c>
      <c r="L1423">
        <f t="shared" si="163"/>
        <v>2020</v>
      </c>
      <c r="N1423" s="17">
        <f t="shared" si="166"/>
        <v>43983</v>
      </c>
      <c r="S1423">
        <f t="shared" si="167"/>
        <v>0</v>
      </c>
    </row>
    <row r="1424" spans="1:19" x14ac:dyDescent="0.3">
      <c r="A1424" s="17">
        <v>43992</v>
      </c>
      <c r="B1424">
        <v>230.35</v>
      </c>
      <c r="C1424">
        <v>40.85</v>
      </c>
      <c r="D1424">
        <f t="shared" si="164"/>
        <v>189.5</v>
      </c>
      <c r="E1424">
        <v>0.56999999999999995</v>
      </c>
      <c r="F1424">
        <f t="shared" si="165"/>
        <v>-188.93</v>
      </c>
      <c r="I1424">
        <f t="shared" si="161"/>
        <v>10</v>
      </c>
      <c r="J1424">
        <v>1</v>
      </c>
      <c r="K1424">
        <f t="shared" si="162"/>
        <v>6</v>
      </c>
      <c r="L1424">
        <f t="shared" si="163"/>
        <v>2020</v>
      </c>
      <c r="N1424" s="17">
        <f t="shared" si="166"/>
        <v>43983</v>
      </c>
      <c r="S1424">
        <f t="shared" si="167"/>
        <v>0</v>
      </c>
    </row>
    <row r="1425" spans="1:19" x14ac:dyDescent="0.3">
      <c r="A1425" s="17">
        <v>43991</v>
      </c>
      <c r="B1425">
        <v>226.82</v>
      </c>
      <c r="C1425">
        <v>40.81</v>
      </c>
      <c r="D1425">
        <f t="shared" si="164"/>
        <v>186.01</v>
      </c>
      <c r="E1425">
        <v>0.53</v>
      </c>
      <c r="F1425">
        <f t="shared" si="165"/>
        <v>-185.48</v>
      </c>
      <c r="I1425">
        <f t="shared" si="161"/>
        <v>9</v>
      </c>
      <c r="J1425">
        <v>1</v>
      </c>
      <c r="K1425">
        <f t="shared" si="162"/>
        <v>6</v>
      </c>
      <c r="L1425">
        <f t="shared" si="163"/>
        <v>2020</v>
      </c>
      <c r="N1425" s="17">
        <f t="shared" si="166"/>
        <v>43983</v>
      </c>
      <c r="S1425">
        <f t="shared" si="167"/>
        <v>0</v>
      </c>
    </row>
    <row r="1426" spans="1:19" x14ac:dyDescent="0.3">
      <c r="A1426" s="17">
        <v>43990</v>
      </c>
      <c r="B1426">
        <v>240.93</v>
      </c>
      <c r="C1426">
        <v>42.91</v>
      </c>
      <c r="D1426">
        <f t="shared" si="164"/>
        <v>198.02</v>
      </c>
      <c r="E1426">
        <v>0.4</v>
      </c>
      <c r="F1426">
        <f t="shared" si="165"/>
        <v>-197.62</v>
      </c>
      <c r="I1426">
        <f t="shared" si="161"/>
        <v>8</v>
      </c>
      <c r="J1426">
        <v>1</v>
      </c>
      <c r="K1426">
        <f t="shared" si="162"/>
        <v>6</v>
      </c>
      <c r="L1426">
        <f t="shared" si="163"/>
        <v>2020</v>
      </c>
      <c r="N1426" s="17">
        <f t="shared" si="166"/>
        <v>43983</v>
      </c>
      <c r="S1426">
        <f t="shared" si="167"/>
        <v>0</v>
      </c>
    </row>
    <row r="1427" spans="1:19" x14ac:dyDescent="0.3">
      <c r="A1427" s="17">
        <v>43987</v>
      </c>
      <c r="B1427">
        <v>229.54</v>
      </c>
      <c r="C1427">
        <v>40.65</v>
      </c>
      <c r="D1427">
        <f t="shared" si="164"/>
        <v>188.89</v>
      </c>
      <c r="E1427">
        <v>0.35</v>
      </c>
      <c r="F1427">
        <f t="shared" si="165"/>
        <v>-188.54</v>
      </c>
      <c r="I1427">
        <f t="shared" si="161"/>
        <v>5</v>
      </c>
      <c r="J1427">
        <v>1</v>
      </c>
      <c r="K1427">
        <f t="shared" si="162"/>
        <v>6</v>
      </c>
      <c r="L1427">
        <f t="shared" si="163"/>
        <v>2020</v>
      </c>
      <c r="N1427" s="17">
        <f t="shared" si="166"/>
        <v>43983</v>
      </c>
      <c r="S1427">
        <f t="shared" si="167"/>
        <v>0</v>
      </c>
    </row>
    <row r="1428" spans="1:19" x14ac:dyDescent="0.3">
      <c r="A1428" s="17">
        <v>43986</v>
      </c>
      <c r="B1428">
        <v>221.72</v>
      </c>
      <c r="C1428">
        <v>38.85</v>
      </c>
      <c r="D1428">
        <f t="shared" si="164"/>
        <v>182.87</v>
      </c>
      <c r="E1428">
        <v>0.24</v>
      </c>
      <c r="F1428">
        <f t="shared" si="165"/>
        <v>-182.63</v>
      </c>
      <c r="I1428">
        <f t="shared" si="161"/>
        <v>4</v>
      </c>
      <c r="J1428">
        <v>1</v>
      </c>
      <c r="K1428">
        <f t="shared" si="162"/>
        <v>6</v>
      </c>
      <c r="L1428">
        <f t="shared" si="163"/>
        <v>2020</v>
      </c>
      <c r="N1428" s="17">
        <f t="shared" si="166"/>
        <v>43983</v>
      </c>
      <c r="S1428">
        <f t="shared" si="167"/>
        <v>1</v>
      </c>
    </row>
    <row r="1429" spans="1:19" x14ac:dyDescent="0.3">
      <c r="A1429" s="17">
        <v>43985</v>
      </c>
      <c r="B1429">
        <v>216.26</v>
      </c>
      <c r="C1429">
        <v>39.9</v>
      </c>
      <c r="D1429">
        <f t="shared" si="164"/>
        <v>176.35999999999999</v>
      </c>
      <c r="E1429">
        <v>0.18</v>
      </c>
      <c r="F1429">
        <f t="shared" si="165"/>
        <v>-176.17999999999998</v>
      </c>
      <c r="I1429">
        <f t="shared" si="161"/>
        <v>3</v>
      </c>
      <c r="J1429">
        <v>1</v>
      </c>
      <c r="K1429">
        <f t="shared" si="162"/>
        <v>6</v>
      </c>
      <c r="L1429">
        <f t="shared" si="163"/>
        <v>2020</v>
      </c>
      <c r="N1429" s="17">
        <f t="shared" si="166"/>
        <v>43983</v>
      </c>
      <c r="S1429">
        <f t="shared" si="167"/>
        <v>1</v>
      </c>
    </row>
    <row r="1430" spans="1:19" x14ac:dyDescent="0.3">
      <c r="A1430" s="17">
        <v>43984</v>
      </c>
      <c r="B1430">
        <v>209.89</v>
      </c>
      <c r="C1430">
        <v>38.96</v>
      </c>
      <c r="D1430">
        <f t="shared" si="164"/>
        <v>170.92999999999998</v>
      </c>
      <c r="E1430">
        <v>0.21</v>
      </c>
      <c r="F1430">
        <f t="shared" si="165"/>
        <v>-170.71999999999997</v>
      </c>
      <c r="I1430">
        <f t="shared" si="161"/>
        <v>2</v>
      </c>
      <c r="J1430">
        <v>1</v>
      </c>
      <c r="K1430">
        <f t="shared" si="162"/>
        <v>6</v>
      </c>
      <c r="L1430">
        <f t="shared" si="163"/>
        <v>2020</v>
      </c>
      <c r="N1430" s="17">
        <f t="shared" si="166"/>
        <v>43983</v>
      </c>
      <c r="S1430">
        <f t="shared" si="167"/>
        <v>1</v>
      </c>
    </row>
    <row r="1431" spans="1:19" x14ac:dyDescent="0.3">
      <c r="A1431" s="17">
        <v>43983</v>
      </c>
      <c r="B1431">
        <v>197.51</v>
      </c>
      <c r="C1431">
        <v>38</v>
      </c>
      <c r="D1431">
        <f t="shared" si="164"/>
        <v>159.51</v>
      </c>
      <c r="E1431">
        <v>0.17</v>
      </c>
      <c r="F1431">
        <f t="shared" si="165"/>
        <v>-159.34</v>
      </c>
      <c r="I1431">
        <f t="shared" si="161"/>
        <v>1</v>
      </c>
      <c r="J1431">
        <v>1</v>
      </c>
      <c r="K1431">
        <f t="shared" si="162"/>
        <v>6</v>
      </c>
      <c r="L1431">
        <f t="shared" si="163"/>
        <v>2020</v>
      </c>
      <c r="N1431" s="17">
        <f t="shared" si="166"/>
        <v>43983</v>
      </c>
      <c r="S1431">
        <f t="shared" si="167"/>
        <v>1</v>
      </c>
    </row>
    <row r="1432" spans="1:19" x14ac:dyDescent="0.3">
      <c r="A1432" s="17">
        <v>43980</v>
      </c>
      <c r="B1432">
        <v>179.17</v>
      </c>
      <c r="C1432">
        <v>34.85</v>
      </c>
      <c r="D1432">
        <f t="shared" si="164"/>
        <v>144.32</v>
      </c>
      <c r="E1432">
        <v>-0.05</v>
      </c>
      <c r="F1432">
        <f t="shared" si="165"/>
        <v>-144.37</v>
      </c>
      <c r="I1432">
        <f t="shared" si="161"/>
        <v>29</v>
      </c>
      <c r="J1432">
        <v>1</v>
      </c>
      <c r="K1432">
        <f t="shared" si="162"/>
        <v>5</v>
      </c>
      <c r="L1432">
        <f t="shared" si="163"/>
        <v>2020</v>
      </c>
      <c r="N1432" s="17">
        <f t="shared" si="166"/>
        <v>43952</v>
      </c>
      <c r="S1432">
        <f t="shared" si="167"/>
        <v>0</v>
      </c>
    </row>
    <row r="1433" spans="1:19" x14ac:dyDescent="0.3">
      <c r="A1433" s="17">
        <v>43979</v>
      </c>
      <c r="B1433">
        <v>172.72</v>
      </c>
      <c r="C1433">
        <v>33.21</v>
      </c>
      <c r="D1433">
        <f t="shared" si="164"/>
        <v>139.51</v>
      </c>
      <c r="E1433">
        <v>-0.27</v>
      </c>
      <c r="F1433">
        <f t="shared" si="165"/>
        <v>-139.78</v>
      </c>
      <c r="I1433">
        <f t="shared" si="161"/>
        <v>28</v>
      </c>
      <c r="J1433">
        <v>1</v>
      </c>
      <c r="K1433">
        <f t="shared" si="162"/>
        <v>5</v>
      </c>
      <c r="L1433">
        <f t="shared" si="163"/>
        <v>2020</v>
      </c>
      <c r="N1433" s="17">
        <f t="shared" si="166"/>
        <v>43952</v>
      </c>
      <c r="S1433">
        <f t="shared" si="167"/>
        <v>0</v>
      </c>
    </row>
    <row r="1434" spans="1:19" x14ac:dyDescent="0.3">
      <c r="A1434" s="17">
        <v>43978</v>
      </c>
      <c r="B1434">
        <v>174.45</v>
      </c>
      <c r="C1434">
        <v>34.5</v>
      </c>
      <c r="D1434">
        <f t="shared" si="164"/>
        <v>139.94999999999999</v>
      </c>
      <c r="E1434">
        <v>-0.28999999999999998</v>
      </c>
      <c r="F1434">
        <f t="shared" si="165"/>
        <v>-140.23999999999998</v>
      </c>
      <c r="I1434">
        <f t="shared" si="161"/>
        <v>27</v>
      </c>
      <c r="J1434">
        <v>1</v>
      </c>
      <c r="K1434">
        <f t="shared" si="162"/>
        <v>5</v>
      </c>
      <c r="L1434">
        <f t="shared" si="163"/>
        <v>2020</v>
      </c>
      <c r="N1434" s="17">
        <f t="shared" si="166"/>
        <v>43952</v>
      </c>
      <c r="S1434">
        <f t="shared" si="167"/>
        <v>0</v>
      </c>
    </row>
    <row r="1435" spans="1:19" x14ac:dyDescent="0.3">
      <c r="A1435" s="17">
        <v>43977</v>
      </c>
      <c r="B1435">
        <v>189.61</v>
      </c>
      <c r="C1435">
        <v>34.85</v>
      </c>
      <c r="D1435">
        <f t="shared" si="164"/>
        <v>154.76000000000002</v>
      </c>
      <c r="E1435">
        <v>-0.6</v>
      </c>
      <c r="F1435">
        <f t="shared" si="165"/>
        <v>-155.36000000000001</v>
      </c>
      <c r="I1435">
        <f t="shared" si="161"/>
        <v>26</v>
      </c>
      <c r="J1435">
        <v>1</v>
      </c>
      <c r="K1435">
        <f t="shared" si="162"/>
        <v>5</v>
      </c>
      <c r="L1435">
        <f t="shared" si="163"/>
        <v>2020</v>
      </c>
      <c r="N1435" s="17">
        <f t="shared" si="166"/>
        <v>43952</v>
      </c>
      <c r="S1435">
        <f t="shared" si="167"/>
        <v>0</v>
      </c>
    </row>
    <row r="1436" spans="1:19" x14ac:dyDescent="0.3">
      <c r="A1436" s="17">
        <v>43973</v>
      </c>
      <c r="B1436">
        <v>178.17</v>
      </c>
      <c r="C1436">
        <v>32.56</v>
      </c>
      <c r="D1436">
        <f t="shared" si="164"/>
        <v>145.60999999999999</v>
      </c>
      <c r="E1436">
        <v>-0.72</v>
      </c>
      <c r="F1436">
        <f t="shared" si="165"/>
        <v>-146.32999999999998</v>
      </c>
      <c r="I1436">
        <f t="shared" si="161"/>
        <v>22</v>
      </c>
      <c r="J1436">
        <v>1</v>
      </c>
      <c r="K1436">
        <f t="shared" si="162"/>
        <v>5</v>
      </c>
      <c r="L1436">
        <f t="shared" si="163"/>
        <v>2020</v>
      </c>
      <c r="N1436" s="17">
        <f t="shared" si="166"/>
        <v>43952</v>
      </c>
      <c r="S1436">
        <f t="shared" si="167"/>
        <v>0</v>
      </c>
    </row>
    <row r="1437" spans="1:19" x14ac:dyDescent="0.3">
      <c r="A1437" s="17">
        <v>43972</v>
      </c>
      <c r="B1437">
        <v>192.46</v>
      </c>
      <c r="C1437">
        <v>34.049999999999997</v>
      </c>
      <c r="D1437">
        <f t="shared" si="164"/>
        <v>158.41000000000003</v>
      </c>
      <c r="E1437">
        <v>-0.73</v>
      </c>
      <c r="F1437">
        <f t="shared" si="165"/>
        <v>-159.14000000000001</v>
      </c>
      <c r="I1437">
        <f t="shared" si="161"/>
        <v>21</v>
      </c>
      <c r="J1437">
        <v>1</v>
      </c>
      <c r="K1437">
        <f t="shared" si="162"/>
        <v>5</v>
      </c>
      <c r="L1437">
        <f t="shared" si="163"/>
        <v>2020</v>
      </c>
      <c r="N1437" s="17">
        <f t="shared" si="166"/>
        <v>43952</v>
      </c>
      <c r="S1437">
        <f t="shared" si="167"/>
        <v>0</v>
      </c>
    </row>
    <row r="1438" spans="1:19" x14ac:dyDescent="0.3">
      <c r="A1438" s="17">
        <v>43971</v>
      </c>
      <c r="B1438">
        <v>184.51</v>
      </c>
      <c r="C1438">
        <v>32.94</v>
      </c>
      <c r="D1438">
        <f t="shared" si="164"/>
        <v>151.57</v>
      </c>
      <c r="E1438">
        <v>-0.83</v>
      </c>
      <c r="F1438">
        <f t="shared" si="165"/>
        <v>-152.4</v>
      </c>
      <c r="I1438">
        <f t="shared" si="161"/>
        <v>20</v>
      </c>
      <c r="J1438">
        <v>1</v>
      </c>
      <c r="K1438">
        <f t="shared" si="162"/>
        <v>5</v>
      </c>
      <c r="L1438">
        <f t="shared" si="163"/>
        <v>2020</v>
      </c>
      <c r="N1438" s="17">
        <f t="shared" si="166"/>
        <v>43952</v>
      </c>
      <c r="S1438">
        <f t="shared" si="167"/>
        <v>0</v>
      </c>
    </row>
    <row r="1439" spans="1:19" x14ac:dyDescent="0.3">
      <c r="A1439" s="17">
        <v>43970</v>
      </c>
      <c r="B1439">
        <v>189.23</v>
      </c>
      <c r="C1439">
        <v>33.15</v>
      </c>
      <c r="D1439">
        <f t="shared" si="164"/>
        <v>156.07999999999998</v>
      </c>
      <c r="E1439">
        <v>-0.86</v>
      </c>
      <c r="F1439">
        <f t="shared" si="165"/>
        <v>-156.94</v>
      </c>
      <c r="I1439">
        <f t="shared" si="161"/>
        <v>19</v>
      </c>
      <c r="J1439">
        <v>1</v>
      </c>
      <c r="K1439">
        <f t="shared" si="162"/>
        <v>5</v>
      </c>
      <c r="L1439">
        <f t="shared" si="163"/>
        <v>2020</v>
      </c>
      <c r="N1439" s="17">
        <f t="shared" si="166"/>
        <v>43952</v>
      </c>
      <c r="S1439">
        <f t="shared" si="167"/>
        <v>0</v>
      </c>
    </row>
    <row r="1440" spans="1:19" x14ac:dyDescent="0.3">
      <c r="A1440" s="17">
        <v>43969</v>
      </c>
      <c r="B1440">
        <v>169.33</v>
      </c>
      <c r="C1440">
        <v>32.96</v>
      </c>
      <c r="D1440">
        <f t="shared" si="164"/>
        <v>136.37</v>
      </c>
      <c r="E1440">
        <v>-1</v>
      </c>
      <c r="F1440">
        <f t="shared" si="165"/>
        <v>-137.37</v>
      </c>
      <c r="I1440">
        <f t="shared" si="161"/>
        <v>18</v>
      </c>
      <c r="J1440">
        <v>1</v>
      </c>
      <c r="K1440">
        <f t="shared" si="162"/>
        <v>5</v>
      </c>
      <c r="L1440">
        <f t="shared" si="163"/>
        <v>2020</v>
      </c>
      <c r="N1440" s="17">
        <f t="shared" si="166"/>
        <v>43952</v>
      </c>
      <c r="S1440">
        <f t="shared" si="167"/>
        <v>0</v>
      </c>
    </row>
    <row r="1441" spans="1:19" x14ac:dyDescent="0.3">
      <c r="A1441" s="17">
        <v>43966</v>
      </c>
      <c r="B1441">
        <v>158.44999999999999</v>
      </c>
      <c r="C1441">
        <v>31.96</v>
      </c>
      <c r="D1441">
        <f t="shared" si="164"/>
        <v>126.48999999999998</v>
      </c>
      <c r="E1441">
        <v>-1.25</v>
      </c>
      <c r="F1441">
        <f t="shared" si="165"/>
        <v>-127.73999999999998</v>
      </c>
      <c r="I1441">
        <f t="shared" si="161"/>
        <v>15</v>
      </c>
      <c r="J1441">
        <v>1</v>
      </c>
      <c r="K1441">
        <f t="shared" si="162"/>
        <v>5</v>
      </c>
      <c r="L1441">
        <f t="shared" si="163"/>
        <v>2020</v>
      </c>
      <c r="N1441" s="17">
        <f t="shared" si="166"/>
        <v>43952</v>
      </c>
      <c r="S1441">
        <f t="shared" si="167"/>
        <v>0</v>
      </c>
    </row>
    <row r="1442" spans="1:19" x14ac:dyDescent="0.3">
      <c r="A1442" s="17">
        <v>43965</v>
      </c>
      <c r="B1442">
        <v>145.24</v>
      </c>
      <c r="C1442">
        <v>29.86</v>
      </c>
      <c r="D1442">
        <f t="shared" si="164"/>
        <v>115.38000000000001</v>
      </c>
      <c r="E1442">
        <v>-1.2</v>
      </c>
      <c r="F1442">
        <f t="shared" si="165"/>
        <v>-116.58000000000001</v>
      </c>
      <c r="I1442">
        <f t="shared" si="161"/>
        <v>14</v>
      </c>
      <c r="J1442">
        <v>1</v>
      </c>
      <c r="K1442">
        <f t="shared" si="162"/>
        <v>5</v>
      </c>
      <c r="L1442">
        <f t="shared" si="163"/>
        <v>2020</v>
      </c>
      <c r="N1442" s="17">
        <f t="shared" si="166"/>
        <v>43952</v>
      </c>
      <c r="S1442">
        <f t="shared" si="167"/>
        <v>0</v>
      </c>
    </row>
    <row r="1443" spans="1:19" x14ac:dyDescent="0.3">
      <c r="A1443" s="17">
        <v>43964</v>
      </c>
      <c r="B1443">
        <v>137.04</v>
      </c>
      <c r="C1443">
        <v>26.86</v>
      </c>
      <c r="D1443">
        <f t="shared" si="164"/>
        <v>110.17999999999999</v>
      </c>
      <c r="E1443">
        <v>-1.19</v>
      </c>
      <c r="F1443">
        <f t="shared" si="165"/>
        <v>-111.36999999999999</v>
      </c>
      <c r="I1443">
        <f t="shared" si="161"/>
        <v>13</v>
      </c>
      <c r="J1443">
        <v>1</v>
      </c>
      <c r="K1443">
        <f t="shared" si="162"/>
        <v>5</v>
      </c>
      <c r="L1443">
        <f t="shared" si="163"/>
        <v>2020</v>
      </c>
      <c r="N1443" s="17">
        <f t="shared" si="166"/>
        <v>43952</v>
      </c>
      <c r="S1443">
        <f t="shared" si="167"/>
        <v>0</v>
      </c>
    </row>
    <row r="1444" spans="1:19" x14ac:dyDescent="0.3">
      <c r="A1444" s="17">
        <v>43963</v>
      </c>
      <c r="B1444">
        <v>136.69</v>
      </c>
      <c r="C1444">
        <v>26.9</v>
      </c>
      <c r="D1444">
        <f t="shared" si="164"/>
        <v>109.78999999999999</v>
      </c>
      <c r="E1444">
        <v>-1.3</v>
      </c>
      <c r="F1444">
        <f t="shared" si="165"/>
        <v>-111.08999999999999</v>
      </c>
      <c r="I1444">
        <f t="shared" si="161"/>
        <v>12</v>
      </c>
      <c r="J1444">
        <v>1</v>
      </c>
      <c r="K1444">
        <f t="shared" si="162"/>
        <v>5</v>
      </c>
      <c r="L1444">
        <f t="shared" si="163"/>
        <v>2020</v>
      </c>
      <c r="N1444" s="17">
        <f t="shared" si="166"/>
        <v>43952</v>
      </c>
      <c r="S1444">
        <f t="shared" si="167"/>
        <v>0</v>
      </c>
    </row>
    <row r="1445" spans="1:19" x14ac:dyDescent="0.3">
      <c r="A1445" s="17">
        <v>43962</v>
      </c>
      <c r="B1445">
        <v>142.86000000000001</v>
      </c>
      <c r="C1445">
        <v>26.75</v>
      </c>
      <c r="D1445">
        <f t="shared" si="164"/>
        <v>116.11000000000001</v>
      </c>
      <c r="E1445">
        <v>-1.34</v>
      </c>
      <c r="F1445">
        <f t="shared" si="165"/>
        <v>-117.45000000000002</v>
      </c>
      <c r="I1445">
        <f t="shared" si="161"/>
        <v>11</v>
      </c>
      <c r="J1445">
        <v>1</v>
      </c>
      <c r="K1445">
        <f t="shared" si="162"/>
        <v>5</v>
      </c>
      <c r="L1445">
        <f t="shared" si="163"/>
        <v>2020</v>
      </c>
      <c r="N1445" s="17">
        <f t="shared" si="166"/>
        <v>43952</v>
      </c>
      <c r="S1445">
        <f t="shared" si="167"/>
        <v>0</v>
      </c>
    </row>
    <row r="1446" spans="1:19" x14ac:dyDescent="0.3">
      <c r="A1446" s="17">
        <v>43959</v>
      </c>
      <c r="B1446">
        <v>137.53</v>
      </c>
      <c r="C1446">
        <v>25.9</v>
      </c>
      <c r="D1446">
        <f t="shared" si="164"/>
        <v>111.63</v>
      </c>
      <c r="E1446">
        <v>-1.38</v>
      </c>
      <c r="F1446">
        <f t="shared" si="165"/>
        <v>-113.00999999999999</v>
      </c>
      <c r="I1446">
        <f t="shared" si="161"/>
        <v>8</v>
      </c>
      <c r="J1446">
        <v>1</v>
      </c>
      <c r="K1446">
        <f t="shared" si="162"/>
        <v>5</v>
      </c>
      <c r="L1446">
        <f t="shared" si="163"/>
        <v>2020</v>
      </c>
      <c r="N1446" s="17">
        <f t="shared" si="166"/>
        <v>43952</v>
      </c>
      <c r="S1446">
        <f t="shared" si="167"/>
        <v>0</v>
      </c>
    </row>
    <row r="1447" spans="1:19" x14ac:dyDescent="0.3">
      <c r="A1447" s="17">
        <v>43957</v>
      </c>
      <c r="B1447">
        <v>148.85</v>
      </c>
      <c r="C1447">
        <v>26.85</v>
      </c>
      <c r="D1447">
        <f t="shared" si="164"/>
        <v>122</v>
      </c>
      <c r="E1447">
        <v>-1.4</v>
      </c>
      <c r="F1447">
        <f t="shared" si="165"/>
        <v>-123.4</v>
      </c>
      <c r="I1447">
        <f t="shared" si="161"/>
        <v>6</v>
      </c>
      <c r="J1447">
        <v>1</v>
      </c>
      <c r="K1447">
        <f t="shared" si="162"/>
        <v>5</v>
      </c>
      <c r="L1447">
        <f t="shared" si="163"/>
        <v>2020</v>
      </c>
      <c r="N1447" s="17">
        <f t="shared" si="166"/>
        <v>43952</v>
      </c>
      <c r="S1447">
        <f t="shared" si="167"/>
        <v>0</v>
      </c>
    </row>
    <row r="1448" spans="1:19" x14ac:dyDescent="0.3">
      <c r="A1448" s="17">
        <v>43956</v>
      </c>
      <c r="B1448">
        <v>137.91</v>
      </c>
      <c r="C1448">
        <v>25.954999999999998</v>
      </c>
      <c r="D1448">
        <f t="shared" si="164"/>
        <v>111.955</v>
      </c>
      <c r="E1448">
        <v>-1.32</v>
      </c>
      <c r="F1448">
        <f t="shared" si="165"/>
        <v>-113.27499999999999</v>
      </c>
      <c r="I1448">
        <f t="shared" si="161"/>
        <v>5</v>
      </c>
      <c r="J1448">
        <v>1</v>
      </c>
      <c r="K1448">
        <f t="shared" si="162"/>
        <v>5</v>
      </c>
      <c r="L1448">
        <f t="shared" si="163"/>
        <v>2020</v>
      </c>
      <c r="N1448" s="17">
        <f t="shared" si="166"/>
        <v>43952</v>
      </c>
      <c r="S1448">
        <f t="shared" si="167"/>
        <v>0</v>
      </c>
    </row>
    <row r="1449" spans="1:19" x14ac:dyDescent="0.3">
      <c r="A1449" s="17">
        <v>43955</v>
      </c>
      <c r="B1449">
        <v>114.16</v>
      </c>
      <c r="C1449">
        <v>24.3</v>
      </c>
      <c r="D1449">
        <f t="shared" si="164"/>
        <v>89.86</v>
      </c>
      <c r="E1449">
        <v>-1.51</v>
      </c>
      <c r="F1449">
        <f t="shared" si="165"/>
        <v>-91.37</v>
      </c>
      <c r="I1449">
        <f t="shared" si="161"/>
        <v>4</v>
      </c>
      <c r="J1449">
        <v>1</v>
      </c>
      <c r="K1449">
        <f t="shared" si="162"/>
        <v>5</v>
      </c>
      <c r="L1449">
        <f t="shared" si="163"/>
        <v>2020</v>
      </c>
      <c r="N1449" s="17">
        <f t="shared" si="166"/>
        <v>43952</v>
      </c>
      <c r="S1449">
        <f t="shared" si="167"/>
        <v>1</v>
      </c>
    </row>
    <row r="1450" spans="1:19" x14ac:dyDescent="0.3">
      <c r="A1450" s="17">
        <v>43951</v>
      </c>
      <c r="B1450">
        <v>119.46</v>
      </c>
      <c r="C1450">
        <v>20.7</v>
      </c>
      <c r="D1450">
        <f t="shared" si="164"/>
        <v>98.759999999999991</v>
      </c>
      <c r="E1450">
        <v>-1.65</v>
      </c>
      <c r="F1450">
        <f t="shared" si="165"/>
        <v>-100.41</v>
      </c>
      <c r="I1450">
        <f t="shared" si="161"/>
        <v>30</v>
      </c>
      <c r="J1450">
        <v>1</v>
      </c>
      <c r="K1450">
        <f t="shared" si="162"/>
        <v>4</v>
      </c>
      <c r="L1450">
        <f t="shared" si="163"/>
        <v>2020</v>
      </c>
      <c r="N1450" s="17">
        <f t="shared" si="166"/>
        <v>43922</v>
      </c>
      <c r="S1450">
        <f t="shared" si="167"/>
        <v>0</v>
      </c>
    </row>
    <row r="1451" spans="1:19" x14ac:dyDescent="0.3">
      <c r="A1451" s="17">
        <v>43950</v>
      </c>
      <c r="B1451">
        <v>105.61</v>
      </c>
      <c r="C1451">
        <v>17.100000000000001</v>
      </c>
      <c r="D1451">
        <f t="shared" si="164"/>
        <v>88.509999999999991</v>
      </c>
      <c r="E1451">
        <v>-1.81</v>
      </c>
      <c r="F1451">
        <f t="shared" si="165"/>
        <v>-90.32</v>
      </c>
      <c r="I1451">
        <f t="shared" si="161"/>
        <v>29</v>
      </c>
      <c r="J1451">
        <v>1</v>
      </c>
      <c r="K1451">
        <f t="shared" si="162"/>
        <v>4</v>
      </c>
      <c r="L1451">
        <f t="shared" si="163"/>
        <v>2020</v>
      </c>
      <c r="N1451" s="17">
        <f t="shared" si="166"/>
        <v>43922</v>
      </c>
      <c r="S1451">
        <f t="shared" si="167"/>
        <v>0</v>
      </c>
    </row>
    <row r="1452" spans="1:19" x14ac:dyDescent="0.3">
      <c r="A1452" s="17">
        <v>43949</v>
      </c>
      <c r="B1452">
        <v>111.35</v>
      </c>
      <c r="C1452">
        <v>16.600000000000001</v>
      </c>
      <c r="D1452">
        <f t="shared" si="164"/>
        <v>94.75</v>
      </c>
      <c r="E1452">
        <v>-2.0699999999999998</v>
      </c>
      <c r="F1452">
        <f t="shared" si="165"/>
        <v>-96.82</v>
      </c>
      <c r="I1452">
        <f t="shared" si="161"/>
        <v>28</v>
      </c>
      <c r="J1452">
        <v>1</v>
      </c>
      <c r="K1452">
        <f t="shared" si="162"/>
        <v>4</v>
      </c>
      <c r="L1452">
        <f t="shared" si="163"/>
        <v>2020</v>
      </c>
      <c r="N1452" s="17">
        <f t="shared" si="166"/>
        <v>43922</v>
      </c>
      <c r="S1452">
        <f t="shared" si="167"/>
        <v>0</v>
      </c>
    </row>
    <row r="1453" spans="1:19" x14ac:dyDescent="0.3">
      <c r="A1453" s="17">
        <v>43948</v>
      </c>
      <c r="B1453">
        <v>117.25</v>
      </c>
      <c r="C1453">
        <v>17.989999999999998</v>
      </c>
      <c r="D1453">
        <f t="shared" si="164"/>
        <v>99.26</v>
      </c>
      <c r="E1453">
        <v>-1.87</v>
      </c>
      <c r="F1453">
        <f t="shared" si="165"/>
        <v>-101.13000000000001</v>
      </c>
      <c r="I1453">
        <f t="shared" si="161"/>
        <v>27</v>
      </c>
      <c r="J1453">
        <v>1</v>
      </c>
      <c r="K1453">
        <f t="shared" si="162"/>
        <v>4</v>
      </c>
      <c r="L1453">
        <f t="shared" si="163"/>
        <v>2020</v>
      </c>
      <c r="N1453" s="17">
        <f t="shared" si="166"/>
        <v>43922</v>
      </c>
      <c r="S1453">
        <f t="shared" si="167"/>
        <v>0</v>
      </c>
    </row>
    <row r="1454" spans="1:19" x14ac:dyDescent="0.3">
      <c r="A1454" s="17">
        <v>43945</v>
      </c>
      <c r="B1454">
        <v>114.18</v>
      </c>
      <c r="C1454">
        <v>18.149999999999999</v>
      </c>
      <c r="D1454">
        <f t="shared" si="164"/>
        <v>96.03</v>
      </c>
      <c r="E1454">
        <v>-2.12</v>
      </c>
      <c r="F1454">
        <f t="shared" si="165"/>
        <v>-98.15</v>
      </c>
      <c r="I1454">
        <f t="shared" si="161"/>
        <v>24</v>
      </c>
      <c r="J1454">
        <v>1</v>
      </c>
      <c r="K1454">
        <f t="shared" si="162"/>
        <v>4</v>
      </c>
      <c r="L1454">
        <f t="shared" si="163"/>
        <v>2020</v>
      </c>
      <c r="N1454" s="17">
        <f t="shared" si="166"/>
        <v>43922</v>
      </c>
      <c r="S1454">
        <f t="shared" si="167"/>
        <v>0</v>
      </c>
    </row>
    <row r="1455" spans="1:19" x14ac:dyDescent="0.3">
      <c r="A1455" s="17">
        <v>43944</v>
      </c>
      <c r="B1455">
        <v>117.22</v>
      </c>
      <c r="C1455">
        <v>18.100000000000001</v>
      </c>
      <c r="D1455">
        <f t="shared" si="164"/>
        <v>99.12</v>
      </c>
      <c r="E1455">
        <v>-2.2799999999999998</v>
      </c>
      <c r="F1455">
        <f t="shared" si="165"/>
        <v>-101.4</v>
      </c>
      <c r="I1455">
        <f t="shared" si="161"/>
        <v>23</v>
      </c>
      <c r="J1455">
        <v>1</v>
      </c>
      <c r="K1455">
        <f t="shared" si="162"/>
        <v>4</v>
      </c>
      <c r="L1455">
        <f t="shared" si="163"/>
        <v>2020</v>
      </c>
      <c r="N1455" s="17">
        <f t="shared" si="166"/>
        <v>43922</v>
      </c>
      <c r="S1455">
        <f t="shared" si="167"/>
        <v>0</v>
      </c>
    </row>
    <row r="1456" spans="1:19" x14ac:dyDescent="0.3">
      <c r="A1456" s="17">
        <v>43943</v>
      </c>
      <c r="B1456">
        <v>101.36</v>
      </c>
      <c r="C1456">
        <v>13.55</v>
      </c>
      <c r="D1456">
        <f t="shared" si="164"/>
        <v>87.81</v>
      </c>
      <c r="E1456">
        <v>-2.7</v>
      </c>
      <c r="F1456">
        <f t="shared" si="165"/>
        <v>-90.51</v>
      </c>
      <c r="I1456">
        <f t="shared" si="161"/>
        <v>22</v>
      </c>
      <c r="J1456">
        <v>1</v>
      </c>
      <c r="K1456">
        <f t="shared" si="162"/>
        <v>4</v>
      </c>
      <c r="L1456">
        <f t="shared" si="163"/>
        <v>2020</v>
      </c>
      <c r="N1456" s="17">
        <f t="shared" si="166"/>
        <v>43922</v>
      </c>
      <c r="S1456">
        <f t="shared" si="167"/>
        <v>0</v>
      </c>
    </row>
    <row r="1457" spans="1:19" x14ac:dyDescent="0.3">
      <c r="A1457" s="17">
        <v>43942</v>
      </c>
      <c r="B1457">
        <v>121</v>
      </c>
      <c r="C1457">
        <v>17.399999999999999</v>
      </c>
      <c r="D1457">
        <f t="shared" si="164"/>
        <v>103.6</v>
      </c>
      <c r="E1457">
        <v>-2.58</v>
      </c>
      <c r="F1457">
        <f t="shared" si="165"/>
        <v>-106.17999999999999</v>
      </c>
      <c r="I1457">
        <f t="shared" si="161"/>
        <v>21</v>
      </c>
      <c r="J1457">
        <v>1</v>
      </c>
      <c r="K1457">
        <f t="shared" si="162"/>
        <v>4</v>
      </c>
      <c r="L1457">
        <f t="shared" si="163"/>
        <v>2020</v>
      </c>
      <c r="N1457" s="17">
        <f t="shared" si="166"/>
        <v>43922</v>
      </c>
      <c r="S1457">
        <f t="shared" si="167"/>
        <v>0</v>
      </c>
    </row>
    <row r="1458" spans="1:19" x14ac:dyDescent="0.3">
      <c r="A1458" s="17">
        <v>43941</v>
      </c>
      <c r="B1458">
        <v>137.41</v>
      </c>
      <c r="C1458">
        <v>20.8</v>
      </c>
      <c r="D1458">
        <f t="shared" si="164"/>
        <v>116.61</v>
      </c>
      <c r="E1458">
        <v>-2.65</v>
      </c>
      <c r="F1458">
        <f t="shared" si="165"/>
        <v>-119.26</v>
      </c>
      <c r="I1458">
        <f t="shared" si="161"/>
        <v>20</v>
      </c>
      <c r="J1458">
        <v>1</v>
      </c>
      <c r="K1458">
        <f t="shared" si="162"/>
        <v>4</v>
      </c>
      <c r="L1458">
        <f t="shared" si="163"/>
        <v>2020</v>
      </c>
      <c r="N1458" s="17">
        <f t="shared" si="166"/>
        <v>43922</v>
      </c>
      <c r="S1458">
        <f t="shared" si="167"/>
        <v>0</v>
      </c>
    </row>
    <row r="1459" spans="1:19" x14ac:dyDescent="0.3">
      <c r="A1459" s="17">
        <v>43938</v>
      </c>
      <c r="B1459">
        <v>143.1</v>
      </c>
      <c r="C1459">
        <v>20.59</v>
      </c>
      <c r="D1459">
        <f t="shared" si="164"/>
        <v>122.50999999999999</v>
      </c>
      <c r="E1459">
        <v>-2.59</v>
      </c>
      <c r="F1459">
        <f t="shared" si="165"/>
        <v>-125.1</v>
      </c>
      <c r="I1459">
        <f t="shared" si="161"/>
        <v>17</v>
      </c>
      <c r="J1459">
        <v>1</v>
      </c>
      <c r="K1459">
        <f t="shared" si="162"/>
        <v>4</v>
      </c>
      <c r="L1459">
        <f t="shared" si="163"/>
        <v>2020</v>
      </c>
      <c r="N1459" s="17">
        <f t="shared" si="166"/>
        <v>43922</v>
      </c>
      <c r="S1459">
        <f t="shared" si="167"/>
        <v>0</v>
      </c>
    </row>
    <row r="1460" spans="1:19" x14ac:dyDescent="0.3">
      <c r="A1460" s="17">
        <v>43937</v>
      </c>
      <c r="B1460">
        <v>144.4</v>
      </c>
      <c r="C1460">
        <v>19.690000000000001</v>
      </c>
      <c r="D1460">
        <f t="shared" si="164"/>
        <v>124.71000000000001</v>
      </c>
      <c r="E1460">
        <v>-2.65</v>
      </c>
      <c r="F1460">
        <f t="shared" si="165"/>
        <v>-127.36000000000001</v>
      </c>
      <c r="I1460">
        <f t="shared" si="161"/>
        <v>16</v>
      </c>
      <c r="J1460">
        <v>1</v>
      </c>
      <c r="K1460">
        <f t="shared" si="162"/>
        <v>4</v>
      </c>
      <c r="L1460">
        <f t="shared" si="163"/>
        <v>2020</v>
      </c>
      <c r="N1460" s="17">
        <f t="shared" si="166"/>
        <v>43922</v>
      </c>
      <c r="S1460">
        <f t="shared" si="167"/>
        <v>0</v>
      </c>
    </row>
    <row r="1461" spans="1:19" x14ac:dyDescent="0.3">
      <c r="A1461" s="17">
        <v>43936</v>
      </c>
      <c r="B1461">
        <v>145.96</v>
      </c>
      <c r="C1461">
        <v>19.64</v>
      </c>
      <c r="D1461">
        <f t="shared" si="164"/>
        <v>126.32000000000001</v>
      </c>
      <c r="E1461">
        <v>-2.86</v>
      </c>
      <c r="F1461">
        <f t="shared" si="165"/>
        <v>-129.18</v>
      </c>
      <c r="I1461">
        <f t="shared" si="161"/>
        <v>15</v>
      </c>
      <c r="J1461">
        <v>1</v>
      </c>
      <c r="K1461">
        <f t="shared" si="162"/>
        <v>4</v>
      </c>
      <c r="L1461">
        <f t="shared" si="163"/>
        <v>2020</v>
      </c>
      <c r="N1461" s="17">
        <f t="shared" si="166"/>
        <v>43922</v>
      </c>
      <c r="S1461">
        <f t="shared" si="167"/>
        <v>0</v>
      </c>
    </row>
    <row r="1462" spans="1:19" x14ac:dyDescent="0.3">
      <c r="A1462" s="17">
        <v>43935</v>
      </c>
      <c r="B1462">
        <v>167.34</v>
      </c>
      <c r="C1462">
        <v>21.64</v>
      </c>
      <c r="D1462">
        <f t="shared" si="164"/>
        <v>145.69999999999999</v>
      </c>
      <c r="E1462">
        <v>-2.99</v>
      </c>
      <c r="F1462">
        <f t="shared" si="165"/>
        <v>-148.69</v>
      </c>
      <c r="I1462">
        <f t="shared" si="161"/>
        <v>14</v>
      </c>
      <c r="J1462">
        <v>1</v>
      </c>
      <c r="K1462">
        <f t="shared" si="162"/>
        <v>4</v>
      </c>
      <c r="L1462">
        <f t="shared" si="163"/>
        <v>2020</v>
      </c>
      <c r="N1462" s="17">
        <f t="shared" si="166"/>
        <v>43922</v>
      </c>
      <c r="S1462">
        <f t="shared" si="167"/>
        <v>0</v>
      </c>
    </row>
    <row r="1463" spans="1:19" x14ac:dyDescent="0.3">
      <c r="A1463" s="17">
        <v>43934</v>
      </c>
      <c r="B1463">
        <v>169.63</v>
      </c>
      <c r="C1463">
        <v>22.34</v>
      </c>
      <c r="D1463">
        <f t="shared" si="164"/>
        <v>147.29</v>
      </c>
      <c r="E1463">
        <v>-2.59</v>
      </c>
      <c r="F1463">
        <f t="shared" si="165"/>
        <v>-149.88</v>
      </c>
      <c r="I1463">
        <f t="shared" si="161"/>
        <v>13</v>
      </c>
      <c r="J1463">
        <v>1</v>
      </c>
      <c r="K1463">
        <f t="shared" si="162"/>
        <v>4</v>
      </c>
      <c r="L1463">
        <f t="shared" si="163"/>
        <v>2020</v>
      </c>
      <c r="N1463" s="17">
        <f t="shared" si="166"/>
        <v>43922</v>
      </c>
      <c r="S1463">
        <f t="shared" si="167"/>
        <v>0</v>
      </c>
    </row>
    <row r="1464" spans="1:19" x14ac:dyDescent="0.3">
      <c r="A1464" s="17">
        <v>43930</v>
      </c>
      <c r="B1464">
        <v>178.96</v>
      </c>
      <c r="C1464">
        <v>23.35</v>
      </c>
      <c r="D1464">
        <f t="shared" si="164"/>
        <v>155.61000000000001</v>
      </c>
      <c r="E1464">
        <v>-2.35</v>
      </c>
      <c r="F1464">
        <f t="shared" si="165"/>
        <v>-157.96</v>
      </c>
      <c r="I1464">
        <f t="shared" si="161"/>
        <v>9</v>
      </c>
      <c r="J1464">
        <v>1</v>
      </c>
      <c r="K1464">
        <f t="shared" si="162"/>
        <v>4</v>
      </c>
      <c r="L1464">
        <f t="shared" si="163"/>
        <v>2020</v>
      </c>
      <c r="N1464" s="17">
        <f t="shared" si="166"/>
        <v>43922</v>
      </c>
      <c r="S1464">
        <f t="shared" si="167"/>
        <v>0</v>
      </c>
    </row>
    <row r="1465" spans="1:19" x14ac:dyDescent="0.3">
      <c r="A1465" s="17">
        <v>43929</v>
      </c>
      <c r="B1465">
        <v>179.75</v>
      </c>
      <c r="C1465">
        <v>23.5</v>
      </c>
      <c r="D1465">
        <f t="shared" si="164"/>
        <v>156.25</v>
      </c>
      <c r="E1465">
        <v>-2.14</v>
      </c>
      <c r="F1465">
        <f t="shared" si="165"/>
        <v>-158.38999999999999</v>
      </c>
      <c r="I1465">
        <f t="shared" si="161"/>
        <v>8</v>
      </c>
      <c r="J1465">
        <v>1</v>
      </c>
      <c r="K1465">
        <f t="shared" si="162"/>
        <v>4</v>
      </c>
      <c r="L1465">
        <f t="shared" si="163"/>
        <v>2020</v>
      </c>
      <c r="N1465" s="17">
        <f t="shared" si="166"/>
        <v>43922</v>
      </c>
      <c r="S1465">
        <f t="shared" si="167"/>
        <v>0</v>
      </c>
    </row>
    <row r="1466" spans="1:19" x14ac:dyDescent="0.3">
      <c r="A1466" s="17">
        <v>43928</v>
      </c>
      <c r="B1466">
        <v>182.09</v>
      </c>
      <c r="C1466">
        <v>24.9</v>
      </c>
      <c r="D1466">
        <f t="shared" si="164"/>
        <v>157.19</v>
      </c>
      <c r="E1466">
        <v>-1.88</v>
      </c>
      <c r="F1466">
        <f t="shared" si="165"/>
        <v>-159.07</v>
      </c>
      <c r="I1466">
        <f t="shared" si="161"/>
        <v>7</v>
      </c>
      <c r="J1466">
        <v>1</v>
      </c>
      <c r="K1466">
        <f t="shared" si="162"/>
        <v>4</v>
      </c>
      <c r="L1466">
        <f t="shared" si="163"/>
        <v>2020</v>
      </c>
      <c r="N1466" s="17">
        <f t="shared" si="166"/>
        <v>43922</v>
      </c>
      <c r="S1466">
        <f t="shared" si="167"/>
        <v>0</v>
      </c>
    </row>
    <row r="1467" spans="1:19" x14ac:dyDescent="0.3">
      <c r="A1467" s="17">
        <v>43927</v>
      </c>
      <c r="B1467">
        <v>177.76</v>
      </c>
      <c r="C1467">
        <v>24.89</v>
      </c>
      <c r="D1467">
        <f t="shared" si="164"/>
        <v>152.87</v>
      </c>
      <c r="E1467">
        <v>-1.46</v>
      </c>
      <c r="F1467">
        <f t="shared" si="165"/>
        <v>-154.33000000000001</v>
      </c>
      <c r="I1467">
        <f t="shared" si="161"/>
        <v>6</v>
      </c>
      <c r="J1467">
        <v>1</v>
      </c>
      <c r="K1467">
        <f t="shared" si="162"/>
        <v>4</v>
      </c>
      <c r="L1467">
        <f t="shared" si="163"/>
        <v>2020</v>
      </c>
      <c r="N1467" s="17">
        <f t="shared" si="166"/>
        <v>43922</v>
      </c>
      <c r="S1467">
        <f t="shared" si="167"/>
        <v>0</v>
      </c>
    </row>
    <row r="1468" spans="1:19" x14ac:dyDescent="0.3">
      <c r="A1468" s="17">
        <v>43924</v>
      </c>
      <c r="B1468">
        <v>161.72999999999999</v>
      </c>
      <c r="C1468">
        <v>24.49</v>
      </c>
      <c r="D1468">
        <f t="shared" si="164"/>
        <v>137.23999999999998</v>
      </c>
      <c r="E1468">
        <v>-1.1100000000000001</v>
      </c>
      <c r="F1468">
        <f t="shared" si="165"/>
        <v>-138.35</v>
      </c>
      <c r="I1468">
        <f t="shared" si="161"/>
        <v>3</v>
      </c>
      <c r="J1468">
        <v>1</v>
      </c>
      <c r="K1468">
        <f t="shared" si="162"/>
        <v>4</v>
      </c>
      <c r="L1468">
        <f t="shared" si="163"/>
        <v>2020</v>
      </c>
      <c r="N1468" s="17">
        <f t="shared" si="166"/>
        <v>43922</v>
      </c>
      <c r="S1468">
        <f t="shared" si="167"/>
        <v>1</v>
      </c>
    </row>
    <row r="1469" spans="1:19" x14ac:dyDescent="0.3">
      <c r="A1469" s="17">
        <v>43923</v>
      </c>
      <c r="B1469">
        <v>160.44</v>
      </c>
      <c r="C1469">
        <v>21.5</v>
      </c>
      <c r="D1469">
        <f t="shared" si="164"/>
        <v>138.94</v>
      </c>
      <c r="E1469">
        <v>-0.97</v>
      </c>
      <c r="F1469">
        <f t="shared" si="165"/>
        <v>-139.91</v>
      </c>
      <c r="I1469">
        <f t="shared" si="161"/>
        <v>2</v>
      </c>
      <c r="J1469">
        <v>1</v>
      </c>
      <c r="K1469">
        <f t="shared" si="162"/>
        <v>4</v>
      </c>
      <c r="L1469">
        <f t="shared" si="163"/>
        <v>2020</v>
      </c>
      <c r="N1469" s="17">
        <f t="shared" si="166"/>
        <v>43922</v>
      </c>
      <c r="S1469">
        <f t="shared" si="167"/>
        <v>1</v>
      </c>
    </row>
    <row r="1470" spans="1:19" x14ac:dyDescent="0.3">
      <c r="A1470" s="17">
        <v>43922</v>
      </c>
      <c r="B1470">
        <v>152.04</v>
      </c>
      <c r="C1470">
        <v>21.2</v>
      </c>
      <c r="D1470">
        <f t="shared" si="164"/>
        <v>130.84</v>
      </c>
      <c r="E1470">
        <v>-0.84</v>
      </c>
      <c r="F1470">
        <f t="shared" si="165"/>
        <v>-131.68</v>
      </c>
      <c r="I1470">
        <f t="shared" si="161"/>
        <v>1</v>
      </c>
      <c r="J1470">
        <v>1</v>
      </c>
      <c r="K1470">
        <f t="shared" si="162"/>
        <v>4</v>
      </c>
      <c r="L1470">
        <f t="shared" si="163"/>
        <v>2020</v>
      </c>
      <c r="N1470" s="17">
        <f t="shared" si="166"/>
        <v>43922</v>
      </c>
      <c r="S1470">
        <f t="shared" si="167"/>
        <v>1</v>
      </c>
    </row>
    <row r="1471" spans="1:19" x14ac:dyDescent="0.3">
      <c r="A1471" s="17">
        <v>43921</v>
      </c>
      <c r="B1471">
        <v>159.13999999999999</v>
      </c>
      <c r="C1471">
        <v>23.4</v>
      </c>
      <c r="D1471">
        <f t="shared" si="164"/>
        <v>135.73999999999998</v>
      </c>
      <c r="E1471">
        <v>-0.74</v>
      </c>
      <c r="F1471">
        <f t="shared" si="165"/>
        <v>-136.47999999999999</v>
      </c>
      <c r="I1471">
        <f t="shared" si="161"/>
        <v>31</v>
      </c>
      <c r="J1471">
        <v>1</v>
      </c>
      <c r="K1471">
        <f t="shared" si="162"/>
        <v>3</v>
      </c>
      <c r="L1471">
        <f t="shared" si="163"/>
        <v>2020</v>
      </c>
      <c r="N1471" s="17">
        <f t="shared" si="166"/>
        <v>43891</v>
      </c>
      <c r="S1471">
        <f t="shared" si="167"/>
        <v>0</v>
      </c>
    </row>
    <row r="1472" spans="1:19" x14ac:dyDescent="0.3">
      <c r="A1472" s="17">
        <v>43920</v>
      </c>
      <c r="B1472">
        <v>154.94999999999999</v>
      </c>
      <c r="C1472">
        <v>23.2</v>
      </c>
      <c r="D1472">
        <f t="shared" si="164"/>
        <v>131.75</v>
      </c>
      <c r="E1472">
        <v>-0.68</v>
      </c>
      <c r="F1472">
        <f t="shared" si="165"/>
        <v>-132.43</v>
      </c>
      <c r="I1472">
        <f t="shared" si="161"/>
        <v>30</v>
      </c>
      <c r="J1472">
        <v>1</v>
      </c>
      <c r="K1472">
        <f t="shared" si="162"/>
        <v>3</v>
      </c>
      <c r="L1472">
        <f t="shared" si="163"/>
        <v>2020</v>
      </c>
      <c r="N1472" s="17">
        <f t="shared" si="166"/>
        <v>43891</v>
      </c>
      <c r="S1472">
        <f t="shared" si="167"/>
        <v>0</v>
      </c>
    </row>
    <row r="1473" spans="1:19" x14ac:dyDescent="0.3">
      <c r="A1473" s="17">
        <v>43917</v>
      </c>
      <c r="B1473">
        <v>163.37</v>
      </c>
      <c r="C1473">
        <v>25.1</v>
      </c>
      <c r="D1473">
        <f t="shared" si="164"/>
        <v>138.27000000000001</v>
      </c>
      <c r="E1473">
        <v>-0.56999999999999995</v>
      </c>
      <c r="F1473">
        <f t="shared" si="165"/>
        <v>-138.84</v>
      </c>
      <c r="I1473">
        <f t="shared" si="161"/>
        <v>27</v>
      </c>
      <c r="J1473">
        <v>1</v>
      </c>
      <c r="K1473">
        <f t="shared" si="162"/>
        <v>3</v>
      </c>
      <c r="L1473">
        <f t="shared" si="163"/>
        <v>2020</v>
      </c>
      <c r="N1473" s="17">
        <f t="shared" si="166"/>
        <v>43891</v>
      </c>
      <c r="S1473">
        <f t="shared" si="167"/>
        <v>0</v>
      </c>
    </row>
    <row r="1474" spans="1:19" x14ac:dyDescent="0.3">
      <c r="A1474" s="17">
        <v>43916</v>
      </c>
      <c r="B1474">
        <v>165.08</v>
      </c>
      <c r="C1474">
        <v>25.7</v>
      </c>
      <c r="D1474">
        <f t="shared" si="164"/>
        <v>139.38000000000002</v>
      </c>
      <c r="E1474">
        <v>-0.47</v>
      </c>
      <c r="F1474">
        <f t="shared" si="165"/>
        <v>-139.85000000000002</v>
      </c>
      <c r="I1474">
        <f t="shared" si="161"/>
        <v>26</v>
      </c>
      <c r="J1474">
        <v>1</v>
      </c>
      <c r="K1474">
        <f t="shared" si="162"/>
        <v>3</v>
      </c>
      <c r="L1474">
        <f t="shared" si="163"/>
        <v>2020</v>
      </c>
      <c r="N1474" s="17">
        <f t="shared" si="166"/>
        <v>43891</v>
      </c>
      <c r="S1474">
        <f t="shared" si="167"/>
        <v>0</v>
      </c>
    </row>
    <row r="1475" spans="1:19" x14ac:dyDescent="0.3">
      <c r="A1475" s="17">
        <v>43915</v>
      </c>
      <c r="B1475">
        <v>163.5</v>
      </c>
      <c r="C1475">
        <v>27.01</v>
      </c>
      <c r="D1475">
        <f t="shared" si="164"/>
        <v>136.49</v>
      </c>
      <c r="E1475">
        <v>-0.33</v>
      </c>
      <c r="F1475">
        <f t="shared" si="165"/>
        <v>-136.82000000000002</v>
      </c>
      <c r="I1475">
        <f t="shared" si="161"/>
        <v>25</v>
      </c>
      <c r="J1475">
        <v>1</v>
      </c>
      <c r="K1475">
        <f t="shared" si="162"/>
        <v>3</v>
      </c>
      <c r="L1475">
        <f t="shared" si="163"/>
        <v>2020</v>
      </c>
      <c r="N1475" s="17">
        <f t="shared" si="166"/>
        <v>43891</v>
      </c>
      <c r="S1475">
        <f t="shared" si="167"/>
        <v>0</v>
      </c>
    </row>
    <row r="1476" spans="1:19" x14ac:dyDescent="0.3">
      <c r="A1476" s="17">
        <v>43914</v>
      </c>
      <c r="B1476">
        <v>167.21</v>
      </c>
      <c r="C1476">
        <v>26.62</v>
      </c>
      <c r="D1476">
        <f t="shared" si="164"/>
        <v>140.59</v>
      </c>
      <c r="E1476">
        <v>-0.28000000000000003</v>
      </c>
      <c r="F1476">
        <f t="shared" si="165"/>
        <v>-140.87</v>
      </c>
      <c r="I1476">
        <f t="shared" si="161"/>
        <v>24</v>
      </c>
      <c r="J1476">
        <v>1</v>
      </c>
      <c r="K1476">
        <f t="shared" si="162"/>
        <v>3</v>
      </c>
      <c r="L1476">
        <f t="shared" si="163"/>
        <v>2020</v>
      </c>
      <c r="N1476" s="17">
        <f t="shared" si="166"/>
        <v>43891</v>
      </c>
      <c r="S1476">
        <f t="shared" si="167"/>
        <v>0</v>
      </c>
    </row>
    <row r="1477" spans="1:19" x14ac:dyDescent="0.3">
      <c r="A1477" s="17">
        <v>43913</v>
      </c>
      <c r="B1477">
        <v>166.23</v>
      </c>
      <c r="C1477">
        <v>24.57</v>
      </c>
      <c r="D1477">
        <f t="shared" si="164"/>
        <v>141.66</v>
      </c>
      <c r="E1477">
        <v>-0.28999999999999998</v>
      </c>
      <c r="F1477">
        <f t="shared" si="165"/>
        <v>-141.94999999999999</v>
      </c>
      <c r="I1477">
        <f t="shared" ref="I1477:I1540" si="168">+DAY(A1477)</f>
        <v>23</v>
      </c>
      <c r="J1477">
        <v>1</v>
      </c>
      <c r="K1477">
        <f t="shared" ref="K1477:K1540" si="169">+MONTH(A1477)</f>
        <v>3</v>
      </c>
      <c r="L1477">
        <f t="shared" ref="L1477:L1540" si="170">+YEAR(A1477)</f>
        <v>2020</v>
      </c>
      <c r="N1477" s="17">
        <f t="shared" si="166"/>
        <v>43891</v>
      </c>
      <c r="S1477">
        <f t="shared" si="167"/>
        <v>0</v>
      </c>
    </row>
    <row r="1478" spans="1:19" x14ac:dyDescent="0.3">
      <c r="A1478" s="17">
        <v>43910</v>
      </c>
      <c r="B1478">
        <v>185.66</v>
      </c>
      <c r="C1478">
        <v>28.7</v>
      </c>
      <c r="D1478">
        <f t="shared" ref="D1478:D1541" si="171">+B1478-C1478</f>
        <v>156.96</v>
      </c>
      <c r="E1478">
        <v>-0.17</v>
      </c>
      <c r="F1478">
        <f t="shared" ref="F1478:F1541" si="172">+E1478-D1478</f>
        <v>-157.13</v>
      </c>
      <c r="I1478">
        <f t="shared" si="168"/>
        <v>20</v>
      </c>
      <c r="J1478">
        <v>1</v>
      </c>
      <c r="K1478">
        <f t="shared" si="169"/>
        <v>3</v>
      </c>
      <c r="L1478">
        <f t="shared" si="170"/>
        <v>2020</v>
      </c>
      <c r="N1478" s="17">
        <f t="shared" ref="N1478:N1541" si="173">+DATE(L1478,K1478,J1478)</f>
        <v>43891</v>
      </c>
      <c r="S1478">
        <f t="shared" ref="S1478:S1541" si="174">IF(AND(I1478&gt;=1, I1478&lt;=4), 1, 0)</f>
        <v>0</v>
      </c>
    </row>
    <row r="1479" spans="1:19" x14ac:dyDescent="0.3">
      <c r="A1479" s="17">
        <v>43909</v>
      </c>
      <c r="B1479">
        <v>157.13</v>
      </c>
      <c r="C1479">
        <v>25.84</v>
      </c>
      <c r="D1479">
        <f t="shared" si="171"/>
        <v>131.29</v>
      </c>
      <c r="E1479">
        <v>-7.0000000000000007E-2</v>
      </c>
      <c r="F1479">
        <f t="shared" si="172"/>
        <v>-131.35999999999999</v>
      </c>
      <c r="I1479">
        <f t="shared" si="168"/>
        <v>19</v>
      </c>
      <c r="J1479">
        <v>1</v>
      </c>
      <c r="K1479">
        <f t="shared" si="169"/>
        <v>3</v>
      </c>
      <c r="L1479">
        <f t="shared" si="170"/>
        <v>2020</v>
      </c>
      <c r="N1479" s="17">
        <f t="shared" si="173"/>
        <v>43891</v>
      </c>
      <c r="S1479">
        <f t="shared" si="174"/>
        <v>0</v>
      </c>
    </row>
    <row r="1480" spans="1:19" x14ac:dyDescent="0.3">
      <c r="A1480" s="17">
        <v>43908</v>
      </c>
      <c r="B1480">
        <v>168</v>
      </c>
      <c r="C1480">
        <v>28.29</v>
      </c>
      <c r="D1480">
        <f t="shared" si="171"/>
        <v>139.71</v>
      </c>
      <c r="E1480">
        <v>-0.01</v>
      </c>
      <c r="F1480">
        <f t="shared" si="172"/>
        <v>-139.72</v>
      </c>
      <c r="I1480">
        <f t="shared" si="168"/>
        <v>18</v>
      </c>
      <c r="J1480">
        <v>1</v>
      </c>
      <c r="K1480">
        <f t="shared" si="169"/>
        <v>3</v>
      </c>
      <c r="L1480">
        <f t="shared" si="170"/>
        <v>2020</v>
      </c>
      <c r="N1480" s="17">
        <f t="shared" si="173"/>
        <v>43891</v>
      </c>
      <c r="S1480">
        <f t="shared" si="174"/>
        <v>0</v>
      </c>
    </row>
    <row r="1481" spans="1:19" x14ac:dyDescent="0.3">
      <c r="A1481" s="17">
        <v>43907</v>
      </c>
      <c r="B1481">
        <v>176.52</v>
      </c>
      <c r="C1481">
        <v>30.85</v>
      </c>
      <c r="D1481">
        <f t="shared" si="171"/>
        <v>145.67000000000002</v>
      </c>
      <c r="E1481">
        <v>0.01</v>
      </c>
      <c r="F1481">
        <f t="shared" si="172"/>
        <v>-145.66000000000003</v>
      </c>
      <c r="I1481">
        <f t="shared" si="168"/>
        <v>17</v>
      </c>
      <c r="J1481">
        <v>1</v>
      </c>
      <c r="K1481">
        <f t="shared" si="169"/>
        <v>3</v>
      </c>
      <c r="L1481">
        <f t="shared" si="170"/>
        <v>2020</v>
      </c>
      <c r="N1481" s="17">
        <f t="shared" si="173"/>
        <v>43891</v>
      </c>
      <c r="S1481">
        <f t="shared" si="174"/>
        <v>0</v>
      </c>
    </row>
    <row r="1482" spans="1:19" x14ac:dyDescent="0.3">
      <c r="A1482" s="17">
        <v>43906</v>
      </c>
      <c r="B1482">
        <v>177.51</v>
      </c>
      <c r="C1482">
        <v>31.45</v>
      </c>
      <c r="D1482">
        <f t="shared" si="171"/>
        <v>146.06</v>
      </c>
      <c r="E1482">
        <v>0.03</v>
      </c>
      <c r="F1482">
        <f t="shared" si="172"/>
        <v>-146.03</v>
      </c>
      <c r="I1482">
        <f t="shared" si="168"/>
        <v>16</v>
      </c>
      <c r="J1482">
        <v>1</v>
      </c>
      <c r="K1482">
        <f t="shared" si="169"/>
        <v>3</v>
      </c>
      <c r="L1482">
        <f t="shared" si="170"/>
        <v>2020</v>
      </c>
      <c r="N1482" s="17">
        <f t="shared" si="173"/>
        <v>43891</v>
      </c>
      <c r="S1482">
        <f t="shared" si="174"/>
        <v>0</v>
      </c>
    </row>
    <row r="1483" spans="1:19" x14ac:dyDescent="0.3">
      <c r="A1483" s="17">
        <v>43903</v>
      </c>
      <c r="B1483">
        <v>192.13</v>
      </c>
      <c r="C1483">
        <v>33.950000000000003</v>
      </c>
      <c r="D1483">
        <f t="shared" si="171"/>
        <v>158.18</v>
      </c>
      <c r="E1483">
        <v>0.03</v>
      </c>
      <c r="F1483">
        <f t="shared" si="172"/>
        <v>-158.15</v>
      </c>
      <c r="I1483">
        <f t="shared" si="168"/>
        <v>13</v>
      </c>
      <c r="J1483">
        <v>1</v>
      </c>
      <c r="K1483">
        <f t="shared" si="169"/>
        <v>3</v>
      </c>
      <c r="L1483">
        <f t="shared" si="170"/>
        <v>2020</v>
      </c>
      <c r="N1483" s="17">
        <f t="shared" si="173"/>
        <v>43891</v>
      </c>
      <c r="S1483">
        <f t="shared" si="174"/>
        <v>0</v>
      </c>
    </row>
    <row r="1484" spans="1:19" x14ac:dyDescent="0.3">
      <c r="A1484" s="17">
        <v>43902</v>
      </c>
      <c r="B1484">
        <v>171.78</v>
      </c>
      <c r="C1484">
        <v>32.659999999999997</v>
      </c>
      <c r="D1484">
        <f t="shared" si="171"/>
        <v>139.12</v>
      </c>
      <c r="E1484">
        <v>0.08</v>
      </c>
      <c r="F1484">
        <f t="shared" si="172"/>
        <v>-139.04</v>
      </c>
      <c r="I1484">
        <f t="shared" si="168"/>
        <v>12</v>
      </c>
      <c r="J1484">
        <v>1</v>
      </c>
      <c r="K1484">
        <f t="shared" si="169"/>
        <v>3</v>
      </c>
      <c r="L1484">
        <f t="shared" si="170"/>
        <v>2020</v>
      </c>
      <c r="N1484" s="17">
        <f t="shared" si="173"/>
        <v>43891</v>
      </c>
      <c r="S1484">
        <f t="shared" si="174"/>
        <v>0</v>
      </c>
    </row>
    <row r="1485" spans="1:19" x14ac:dyDescent="0.3">
      <c r="A1485" s="17">
        <v>43901</v>
      </c>
      <c r="B1485">
        <v>185.52</v>
      </c>
      <c r="C1485">
        <v>34.545000000000002</v>
      </c>
      <c r="D1485">
        <f t="shared" si="171"/>
        <v>150.97500000000002</v>
      </c>
      <c r="E1485">
        <v>0.25</v>
      </c>
      <c r="F1485">
        <f t="shared" si="172"/>
        <v>-150.72500000000002</v>
      </c>
      <c r="I1485">
        <f t="shared" si="168"/>
        <v>11</v>
      </c>
      <c r="J1485">
        <v>1</v>
      </c>
      <c r="K1485">
        <f t="shared" si="169"/>
        <v>3</v>
      </c>
      <c r="L1485">
        <f t="shared" si="170"/>
        <v>2020</v>
      </c>
      <c r="N1485" s="17">
        <f t="shared" si="173"/>
        <v>43891</v>
      </c>
      <c r="S1485">
        <f t="shared" si="174"/>
        <v>0</v>
      </c>
    </row>
    <row r="1486" spans="1:19" x14ac:dyDescent="0.3">
      <c r="A1486" s="17">
        <v>43900</v>
      </c>
      <c r="B1486">
        <v>191.49</v>
      </c>
      <c r="C1486">
        <v>34.159999999999997</v>
      </c>
      <c r="D1486">
        <f t="shared" si="171"/>
        <v>157.33000000000001</v>
      </c>
      <c r="E1486">
        <v>0.1</v>
      </c>
      <c r="F1486">
        <f t="shared" si="172"/>
        <v>-157.23000000000002</v>
      </c>
      <c r="I1486">
        <f t="shared" si="168"/>
        <v>10</v>
      </c>
      <c r="J1486">
        <v>1</v>
      </c>
      <c r="K1486">
        <f t="shared" si="169"/>
        <v>3</v>
      </c>
      <c r="L1486">
        <f t="shared" si="170"/>
        <v>2020</v>
      </c>
      <c r="N1486" s="17">
        <f t="shared" si="173"/>
        <v>43891</v>
      </c>
      <c r="S1486">
        <f t="shared" si="174"/>
        <v>0</v>
      </c>
    </row>
    <row r="1487" spans="1:19" x14ac:dyDescent="0.3">
      <c r="A1487" s="17">
        <v>43899</v>
      </c>
      <c r="B1487">
        <v>184.23</v>
      </c>
      <c r="C1487">
        <v>32.85</v>
      </c>
      <c r="D1487">
        <f t="shared" si="171"/>
        <v>151.38</v>
      </c>
      <c r="E1487">
        <v>-0.14000000000000001</v>
      </c>
      <c r="F1487">
        <f t="shared" si="172"/>
        <v>-151.51999999999998</v>
      </c>
      <c r="I1487">
        <f t="shared" si="168"/>
        <v>9</v>
      </c>
      <c r="J1487">
        <v>1</v>
      </c>
      <c r="K1487">
        <f t="shared" si="169"/>
        <v>3</v>
      </c>
      <c r="L1487">
        <f t="shared" si="170"/>
        <v>2020</v>
      </c>
      <c r="N1487" s="17">
        <f t="shared" si="173"/>
        <v>43891</v>
      </c>
      <c r="S1487">
        <f t="shared" si="174"/>
        <v>0</v>
      </c>
    </row>
    <row r="1488" spans="1:19" x14ac:dyDescent="0.3">
      <c r="A1488" s="17">
        <v>43896</v>
      </c>
      <c r="B1488">
        <v>255.1</v>
      </c>
      <c r="C1488">
        <v>48.56</v>
      </c>
      <c r="D1488">
        <f t="shared" si="171"/>
        <v>206.54</v>
      </c>
      <c r="E1488">
        <v>-0.03</v>
      </c>
      <c r="F1488">
        <f t="shared" si="172"/>
        <v>-206.57</v>
      </c>
      <c r="I1488">
        <f t="shared" si="168"/>
        <v>6</v>
      </c>
      <c r="J1488">
        <v>1</v>
      </c>
      <c r="K1488">
        <f t="shared" si="169"/>
        <v>3</v>
      </c>
      <c r="L1488">
        <f t="shared" si="170"/>
        <v>2020</v>
      </c>
      <c r="N1488" s="17">
        <f t="shared" si="173"/>
        <v>43891</v>
      </c>
      <c r="S1488">
        <f t="shared" si="174"/>
        <v>0</v>
      </c>
    </row>
    <row r="1489" spans="1:19" x14ac:dyDescent="0.3">
      <c r="A1489" s="17">
        <v>43895</v>
      </c>
      <c r="B1489">
        <v>269.39999999999998</v>
      </c>
      <c r="C1489">
        <v>50.8</v>
      </c>
      <c r="D1489">
        <f t="shared" si="171"/>
        <v>218.59999999999997</v>
      </c>
      <c r="E1489">
        <v>-0.09</v>
      </c>
      <c r="F1489">
        <f t="shared" si="172"/>
        <v>-218.68999999999997</v>
      </c>
      <c r="I1489">
        <f t="shared" si="168"/>
        <v>5</v>
      </c>
      <c r="J1489">
        <v>1</v>
      </c>
      <c r="K1489">
        <f t="shared" si="169"/>
        <v>3</v>
      </c>
      <c r="L1489">
        <f t="shared" si="170"/>
        <v>2020</v>
      </c>
      <c r="N1489" s="17">
        <f t="shared" si="173"/>
        <v>43891</v>
      </c>
      <c r="S1489">
        <f t="shared" si="174"/>
        <v>0</v>
      </c>
    </row>
    <row r="1490" spans="1:19" x14ac:dyDescent="0.3">
      <c r="A1490" s="17">
        <v>43894</v>
      </c>
      <c r="B1490">
        <v>262.39999999999998</v>
      </c>
      <c r="C1490">
        <v>50.84</v>
      </c>
      <c r="D1490">
        <f t="shared" si="171"/>
        <v>211.55999999999997</v>
      </c>
      <c r="E1490">
        <v>-0.11</v>
      </c>
      <c r="F1490">
        <f t="shared" si="172"/>
        <v>-211.67</v>
      </c>
      <c r="I1490">
        <f t="shared" si="168"/>
        <v>4</v>
      </c>
      <c r="J1490">
        <v>1</v>
      </c>
      <c r="K1490">
        <f t="shared" si="169"/>
        <v>3</v>
      </c>
      <c r="L1490">
        <f t="shared" si="170"/>
        <v>2020</v>
      </c>
      <c r="N1490" s="17">
        <f t="shared" si="173"/>
        <v>43891</v>
      </c>
      <c r="S1490">
        <f t="shared" si="174"/>
        <v>1</v>
      </c>
    </row>
    <row r="1491" spans="1:19" x14ac:dyDescent="0.3">
      <c r="A1491" s="17">
        <v>43893</v>
      </c>
      <c r="B1491">
        <v>268.70999999999998</v>
      </c>
      <c r="C1491">
        <v>51.75</v>
      </c>
      <c r="D1491">
        <f t="shared" si="171"/>
        <v>216.95999999999998</v>
      </c>
      <c r="E1491">
        <v>0.13</v>
      </c>
      <c r="F1491">
        <f t="shared" si="172"/>
        <v>-216.82999999999998</v>
      </c>
      <c r="I1491">
        <f t="shared" si="168"/>
        <v>3</v>
      </c>
      <c r="J1491">
        <v>1</v>
      </c>
      <c r="K1491">
        <f t="shared" si="169"/>
        <v>3</v>
      </c>
      <c r="L1491">
        <f t="shared" si="170"/>
        <v>2020</v>
      </c>
      <c r="N1491" s="17">
        <f t="shared" si="173"/>
        <v>43891</v>
      </c>
      <c r="S1491">
        <f t="shared" si="174"/>
        <v>1</v>
      </c>
    </row>
    <row r="1492" spans="1:19" x14ac:dyDescent="0.3">
      <c r="A1492" s="17">
        <v>43892</v>
      </c>
      <c r="B1492">
        <v>277.91000000000003</v>
      </c>
      <c r="C1492">
        <v>50.56</v>
      </c>
      <c r="D1492">
        <f t="shared" si="171"/>
        <v>227.35000000000002</v>
      </c>
      <c r="E1492">
        <v>0.27</v>
      </c>
      <c r="F1492">
        <f t="shared" si="172"/>
        <v>-227.08</v>
      </c>
      <c r="I1492">
        <f t="shared" si="168"/>
        <v>2</v>
      </c>
      <c r="J1492">
        <v>1</v>
      </c>
      <c r="K1492">
        <f t="shared" si="169"/>
        <v>3</v>
      </c>
      <c r="L1492">
        <f t="shared" si="170"/>
        <v>2020</v>
      </c>
      <c r="N1492" s="17">
        <f t="shared" si="173"/>
        <v>43891</v>
      </c>
      <c r="S1492">
        <f t="shared" si="174"/>
        <v>1</v>
      </c>
    </row>
    <row r="1493" spans="1:19" x14ac:dyDescent="0.3">
      <c r="A1493" s="17">
        <v>43889</v>
      </c>
      <c r="B1493">
        <v>267.31</v>
      </c>
      <c r="C1493">
        <v>49.01</v>
      </c>
      <c r="D1493">
        <f t="shared" si="171"/>
        <v>218.3</v>
      </c>
      <c r="E1493">
        <v>0.36</v>
      </c>
      <c r="F1493">
        <f t="shared" si="172"/>
        <v>-217.94</v>
      </c>
      <c r="I1493">
        <f t="shared" si="168"/>
        <v>28</v>
      </c>
      <c r="J1493">
        <v>1</v>
      </c>
      <c r="K1493">
        <f t="shared" si="169"/>
        <v>2</v>
      </c>
      <c r="L1493">
        <f t="shared" si="170"/>
        <v>2020</v>
      </c>
      <c r="N1493" s="17">
        <f t="shared" si="173"/>
        <v>43862</v>
      </c>
      <c r="S1493">
        <f t="shared" si="174"/>
        <v>0</v>
      </c>
    </row>
    <row r="1494" spans="1:19" x14ac:dyDescent="0.3">
      <c r="A1494" s="17">
        <v>43888</v>
      </c>
      <c r="B1494">
        <v>271.22000000000003</v>
      </c>
      <c r="C1494">
        <v>50.61</v>
      </c>
      <c r="D1494">
        <f t="shared" si="171"/>
        <v>220.61</v>
      </c>
      <c r="E1494">
        <v>0.34</v>
      </c>
      <c r="F1494">
        <f t="shared" si="172"/>
        <v>-220.27</v>
      </c>
      <c r="I1494">
        <f t="shared" si="168"/>
        <v>27</v>
      </c>
      <c r="J1494">
        <v>1</v>
      </c>
      <c r="K1494">
        <f t="shared" si="169"/>
        <v>2</v>
      </c>
      <c r="L1494">
        <f t="shared" si="170"/>
        <v>2020</v>
      </c>
      <c r="N1494" s="17">
        <f t="shared" si="173"/>
        <v>43862</v>
      </c>
      <c r="S1494">
        <f t="shared" si="174"/>
        <v>0</v>
      </c>
    </row>
    <row r="1495" spans="1:19" x14ac:dyDescent="0.3">
      <c r="A1495" s="17">
        <v>43887</v>
      </c>
      <c r="B1495">
        <v>278.08</v>
      </c>
      <c r="C1495">
        <v>52.3</v>
      </c>
      <c r="D1495">
        <f t="shared" si="171"/>
        <v>225.77999999999997</v>
      </c>
      <c r="E1495">
        <v>0.23</v>
      </c>
      <c r="F1495">
        <f t="shared" si="172"/>
        <v>-225.54999999999998</v>
      </c>
      <c r="I1495">
        <f t="shared" si="168"/>
        <v>26</v>
      </c>
      <c r="J1495">
        <v>1</v>
      </c>
      <c r="K1495">
        <f t="shared" si="169"/>
        <v>2</v>
      </c>
      <c r="L1495">
        <f t="shared" si="170"/>
        <v>2020</v>
      </c>
      <c r="N1495" s="17">
        <f t="shared" si="173"/>
        <v>43862</v>
      </c>
      <c r="S1495">
        <f t="shared" si="174"/>
        <v>0</v>
      </c>
    </row>
    <row r="1496" spans="1:19" x14ac:dyDescent="0.3">
      <c r="A1496" s="17">
        <v>43886</v>
      </c>
      <c r="B1496">
        <v>292.42</v>
      </c>
      <c r="C1496">
        <v>54.45</v>
      </c>
      <c r="D1496">
        <f t="shared" si="171"/>
        <v>237.97000000000003</v>
      </c>
      <c r="E1496">
        <v>0.26</v>
      </c>
      <c r="F1496">
        <f t="shared" si="172"/>
        <v>-237.71000000000004</v>
      </c>
      <c r="I1496">
        <f t="shared" si="168"/>
        <v>25</v>
      </c>
      <c r="J1496">
        <v>1</v>
      </c>
      <c r="K1496">
        <f t="shared" si="169"/>
        <v>2</v>
      </c>
      <c r="L1496">
        <f t="shared" si="170"/>
        <v>2020</v>
      </c>
      <c r="N1496" s="17">
        <f t="shared" si="173"/>
        <v>43862</v>
      </c>
      <c r="S1496">
        <f t="shared" si="174"/>
        <v>0</v>
      </c>
    </row>
    <row r="1497" spans="1:19" x14ac:dyDescent="0.3">
      <c r="A1497" s="17">
        <v>43885</v>
      </c>
      <c r="B1497">
        <v>287.73</v>
      </c>
      <c r="C1497">
        <v>54.61</v>
      </c>
      <c r="D1497">
        <f t="shared" si="171"/>
        <v>233.12</v>
      </c>
      <c r="E1497">
        <v>0.36</v>
      </c>
      <c r="F1497">
        <f t="shared" si="172"/>
        <v>-232.76</v>
      </c>
      <c r="I1497">
        <f t="shared" si="168"/>
        <v>24</v>
      </c>
      <c r="J1497">
        <v>1</v>
      </c>
      <c r="K1497">
        <f t="shared" si="169"/>
        <v>2</v>
      </c>
      <c r="L1497">
        <f t="shared" si="170"/>
        <v>2020</v>
      </c>
      <c r="N1497" s="17">
        <f t="shared" si="173"/>
        <v>43862</v>
      </c>
      <c r="S1497">
        <f t="shared" si="174"/>
        <v>0</v>
      </c>
    </row>
    <row r="1498" spans="1:19" x14ac:dyDescent="0.3">
      <c r="A1498" s="17">
        <v>43882</v>
      </c>
      <c r="B1498">
        <v>299.94</v>
      </c>
      <c r="C1498">
        <v>56.4</v>
      </c>
      <c r="D1498">
        <f t="shared" si="171"/>
        <v>243.54</v>
      </c>
      <c r="E1498">
        <v>0.32</v>
      </c>
      <c r="F1498">
        <f t="shared" si="172"/>
        <v>-243.22</v>
      </c>
      <c r="I1498">
        <f t="shared" si="168"/>
        <v>21</v>
      </c>
      <c r="J1498">
        <v>1</v>
      </c>
      <c r="K1498">
        <f t="shared" si="169"/>
        <v>2</v>
      </c>
      <c r="L1498">
        <f t="shared" si="170"/>
        <v>2020</v>
      </c>
      <c r="N1498" s="17">
        <f t="shared" si="173"/>
        <v>43862</v>
      </c>
      <c r="S1498">
        <f t="shared" si="174"/>
        <v>0</v>
      </c>
    </row>
    <row r="1499" spans="1:19" x14ac:dyDescent="0.3">
      <c r="A1499" s="17">
        <v>43881</v>
      </c>
      <c r="B1499">
        <v>299.89</v>
      </c>
      <c r="C1499">
        <v>56.9</v>
      </c>
      <c r="D1499">
        <f t="shared" si="171"/>
        <v>242.98999999999998</v>
      </c>
      <c r="E1499">
        <v>0.36</v>
      </c>
      <c r="F1499">
        <f t="shared" si="172"/>
        <v>-242.62999999999997</v>
      </c>
      <c r="I1499">
        <f t="shared" si="168"/>
        <v>20</v>
      </c>
      <c r="J1499">
        <v>1</v>
      </c>
      <c r="K1499">
        <f t="shared" si="169"/>
        <v>2</v>
      </c>
      <c r="L1499">
        <f t="shared" si="170"/>
        <v>2020</v>
      </c>
      <c r="N1499" s="17">
        <f t="shared" si="173"/>
        <v>43862</v>
      </c>
      <c r="S1499">
        <f t="shared" si="174"/>
        <v>0</v>
      </c>
    </row>
    <row r="1500" spans="1:19" x14ac:dyDescent="0.3">
      <c r="A1500" s="17">
        <v>43880</v>
      </c>
      <c r="B1500">
        <v>297.12</v>
      </c>
      <c r="C1500">
        <v>56.4</v>
      </c>
      <c r="D1500">
        <f t="shared" si="171"/>
        <v>240.72</v>
      </c>
      <c r="E1500">
        <v>0.37</v>
      </c>
      <c r="F1500">
        <f t="shared" si="172"/>
        <v>-240.35</v>
      </c>
      <c r="I1500">
        <f t="shared" si="168"/>
        <v>19</v>
      </c>
      <c r="J1500">
        <v>1</v>
      </c>
      <c r="K1500">
        <f t="shared" si="169"/>
        <v>2</v>
      </c>
      <c r="L1500">
        <f t="shared" si="170"/>
        <v>2020</v>
      </c>
      <c r="N1500" s="17">
        <f t="shared" si="173"/>
        <v>43862</v>
      </c>
      <c r="S1500">
        <f t="shared" si="174"/>
        <v>0</v>
      </c>
    </row>
    <row r="1501" spans="1:19" x14ac:dyDescent="0.3">
      <c r="A1501" s="17">
        <v>43879</v>
      </c>
      <c r="B1501">
        <v>291.66000000000003</v>
      </c>
      <c r="C1501">
        <v>55.09</v>
      </c>
      <c r="D1501">
        <f t="shared" si="171"/>
        <v>236.57000000000002</v>
      </c>
      <c r="E1501">
        <v>0.47</v>
      </c>
      <c r="F1501">
        <f t="shared" si="172"/>
        <v>-236.10000000000002</v>
      </c>
      <c r="I1501">
        <f t="shared" si="168"/>
        <v>18</v>
      </c>
      <c r="J1501">
        <v>1</v>
      </c>
      <c r="K1501">
        <f t="shared" si="169"/>
        <v>2</v>
      </c>
      <c r="L1501">
        <f t="shared" si="170"/>
        <v>2020</v>
      </c>
      <c r="N1501" s="17">
        <f t="shared" si="173"/>
        <v>43862</v>
      </c>
      <c r="S1501">
        <f t="shared" si="174"/>
        <v>0</v>
      </c>
    </row>
    <row r="1502" spans="1:19" x14ac:dyDescent="0.3">
      <c r="A1502" s="17">
        <v>43878</v>
      </c>
      <c r="B1502">
        <v>301.91000000000003</v>
      </c>
      <c r="C1502">
        <v>55.96</v>
      </c>
      <c r="D1502">
        <f t="shared" si="171"/>
        <v>245.95000000000002</v>
      </c>
      <c r="E1502">
        <v>0.52</v>
      </c>
      <c r="F1502">
        <f t="shared" si="172"/>
        <v>-245.43</v>
      </c>
      <c r="I1502">
        <f t="shared" si="168"/>
        <v>17</v>
      </c>
      <c r="J1502">
        <v>1</v>
      </c>
      <c r="K1502">
        <f t="shared" si="169"/>
        <v>2</v>
      </c>
      <c r="L1502">
        <f t="shared" si="170"/>
        <v>2020</v>
      </c>
      <c r="N1502" s="17">
        <f t="shared" si="173"/>
        <v>43862</v>
      </c>
      <c r="S1502">
        <f t="shared" si="174"/>
        <v>0</v>
      </c>
    </row>
    <row r="1503" spans="1:19" x14ac:dyDescent="0.3">
      <c r="A1503" s="17">
        <v>43875</v>
      </c>
      <c r="B1503">
        <v>297.35000000000002</v>
      </c>
      <c r="C1503">
        <v>55.24</v>
      </c>
      <c r="D1503">
        <f t="shared" si="171"/>
        <v>242.11</v>
      </c>
      <c r="E1503">
        <v>0.6</v>
      </c>
      <c r="F1503">
        <f t="shared" si="172"/>
        <v>-241.51000000000002</v>
      </c>
      <c r="I1503">
        <f t="shared" si="168"/>
        <v>14</v>
      </c>
      <c r="J1503">
        <v>1</v>
      </c>
      <c r="K1503">
        <f t="shared" si="169"/>
        <v>2</v>
      </c>
      <c r="L1503">
        <f t="shared" si="170"/>
        <v>2020</v>
      </c>
      <c r="N1503" s="17">
        <f t="shared" si="173"/>
        <v>43862</v>
      </c>
      <c r="S1503">
        <f t="shared" si="174"/>
        <v>0</v>
      </c>
    </row>
    <row r="1504" spans="1:19" x14ac:dyDescent="0.3">
      <c r="A1504" s="17">
        <v>43874</v>
      </c>
      <c r="B1504">
        <v>296.07</v>
      </c>
      <c r="C1504">
        <v>54.51</v>
      </c>
      <c r="D1504">
        <f t="shared" si="171"/>
        <v>241.56</v>
      </c>
      <c r="E1504">
        <v>0.65</v>
      </c>
      <c r="F1504">
        <f t="shared" si="172"/>
        <v>-240.91</v>
      </c>
      <c r="I1504">
        <f t="shared" si="168"/>
        <v>13</v>
      </c>
      <c r="J1504">
        <v>1</v>
      </c>
      <c r="K1504">
        <f t="shared" si="169"/>
        <v>2</v>
      </c>
      <c r="L1504">
        <f t="shared" si="170"/>
        <v>2020</v>
      </c>
      <c r="N1504" s="17">
        <f t="shared" si="173"/>
        <v>43862</v>
      </c>
      <c r="S1504">
        <f t="shared" si="174"/>
        <v>0</v>
      </c>
    </row>
    <row r="1505" spans="1:19" x14ac:dyDescent="0.3">
      <c r="A1505" s="17">
        <v>43873</v>
      </c>
      <c r="B1505">
        <v>286.52999999999997</v>
      </c>
      <c r="C1505">
        <v>54.26</v>
      </c>
      <c r="D1505">
        <f t="shared" si="171"/>
        <v>232.26999999999998</v>
      </c>
      <c r="E1505">
        <v>0.64</v>
      </c>
      <c r="F1505">
        <f t="shared" si="172"/>
        <v>-231.63</v>
      </c>
      <c r="I1505">
        <f t="shared" si="168"/>
        <v>12</v>
      </c>
      <c r="J1505">
        <v>1</v>
      </c>
      <c r="K1505">
        <f t="shared" si="169"/>
        <v>2</v>
      </c>
      <c r="L1505">
        <f t="shared" si="170"/>
        <v>2020</v>
      </c>
      <c r="N1505" s="17">
        <f t="shared" si="173"/>
        <v>43862</v>
      </c>
      <c r="S1505">
        <f t="shared" si="174"/>
        <v>0</v>
      </c>
    </row>
    <row r="1506" spans="1:19" x14ac:dyDescent="0.3">
      <c r="A1506" s="17">
        <v>43872</v>
      </c>
      <c r="B1506">
        <v>281.13</v>
      </c>
      <c r="C1506">
        <v>53.05</v>
      </c>
      <c r="D1506">
        <f t="shared" si="171"/>
        <v>228.07999999999998</v>
      </c>
      <c r="E1506">
        <v>0.67</v>
      </c>
      <c r="F1506">
        <f t="shared" si="172"/>
        <v>-227.41</v>
      </c>
      <c r="I1506">
        <f t="shared" si="168"/>
        <v>11</v>
      </c>
      <c r="J1506">
        <v>1</v>
      </c>
      <c r="K1506">
        <f t="shared" si="169"/>
        <v>2</v>
      </c>
      <c r="L1506">
        <f t="shared" si="170"/>
        <v>2020</v>
      </c>
      <c r="N1506" s="17">
        <f t="shared" si="173"/>
        <v>43862</v>
      </c>
      <c r="S1506">
        <f t="shared" si="174"/>
        <v>0</v>
      </c>
    </row>
    <row r="1507" spans="1:19" x14ac:dyDescent="0.3">
      <c r="A1507" s="17">
        <v>43871</v>
      </c>
      <c r="B1507">
        <v>274.77999999999997</v>
      </c>
      <c r="C1507">
        <v>53.3</v>
      </c>
      <c r="D1507">
        <f t="shared" si="171"/>
        <v>221.47999999999996</v>
      </c>
      <c r="E1507">
        <v>0.64</v>
      </c>
      <c r="F1507">
        <f t="shared" si="172"/>
        <v>-220.83999999999997</v>
      </c>
      <c r="I1507">
        <f t="shared" si="168"/>
        <v>10</v>
      </c>
      <c r="J1507">
        <v>1</v>
      </c>
      <c r="K1507">
        <f t="shared" si="169"/>
        <v>2</v>
      </c>
      <c r="L1507">
        <f t="shared" si="170"/>
        <v>2020</v>
      </c>
      <c r="N1507" s="17">
        <f t="shared" si="173"/>
        <v>43862</v>
      </c>
      <c r="S1507">
        <f t="shared" si="174"/>
        <v>0</v>
      </c>
    </row>
    <row r="1508" spans="1:19" x14ac:dyDescent="0.3">
      <c r="A1508" s="17">
        <v>43868</v>
      </c>
      <c r="B1508">
        <v>278.14999999999998</v>
      </c>
      <c r="C1508">
        <v>54.34</v>
      </c>
      <c r="D1508">
        <f t="shared" si="171"/>
        <v>223.80999999999997</v>
      </c>
      <c r="E1508">
        <v>0.64</v>
      </c>
      <c r="F1508">
        <f t="shared" si="172"/>
        <v>-223.17</v>
      </c>
      <c r="I1508">
        <f t="shared" si="168"/>
        <v>7</v>
      </c>
      <c r="J1508">
        <v>1</v>
      </c>
      <c r="K1508">
        <f t="shared" si="169"/>
        <v>2</v>
      </c>
      <c r="L1508">
        <f t="shared" si="170"/>
        <v>2020</v>
      </c>
      <c r="N1508" s="17">
        <f t="shared" si="173"/>
        <v>43862</v>
      </c>
      <c r="S1508">
        <f t="shared" si="174"/>
        <v>0</v>
      </c>
    </row>
    <row r="1509" spans="1:19" x14ac:dyDescent="0.3">
      <c r="A1509" s="17">
        <v>43867</v>
      </c>
      <c r="B1509">
        <v>288.82</v>
      </c>
      <c r="C1509">
        <v>55.19</v>
      </c>
      <c r="D1509">
        <f t="shared" si="171"/>
        <v>233.63</v>
      </c>
      <c r="E1509">
        <v>0.68</v>
      </c>
      <c r="F1509">
        <f t="shared" si="172"/>
        <v>-232.95</v>
      </c>
      <c r="I1509">
        <f t="shared" si="168"/>
        <v>6</v>
      </c>
      <c r="J1509">
        <v>1</v>
      </c>
      <c r="K1509">
        <f t="shared" si="169"/>
        <v>2</v>
      </c>
      <c r="L1509">
        <f t="shared" si="170"/>
        <v>2020</v>
      </c>
      <c r="N1509" s="17">
        <f t="shared" si="173"/>
        <v>43862</v>
      </c>
      <c r="S1509">
        <f t="shared" si="174"/>
        <v>0</v>
      </c>
    </row>
    <row r="1510" spans="1:19" x14ac:dyDescent="0.3">
      <c r="A1510" s="17">
        <v>43866</v>
      </c>
      <c r="B1510">
        <v>286.56</v>
      </c>
      <c r="C1510">
        <v>53.6</v>
      </c>
      <c r="D1510">
        <f t="shared" si="171"/>
        <v>232.96</v>
      </c>
      <c r="E1510">
        <v>0.74</v>
      </c>
      <c r="F1510">
        <f t="shared" si="172"/>
        <v>-232.22</v>
      </c>
      <c r="I1510">
        <f t="shared" si="168"/>
        <v>5</v>
      </c>
      <c r="J1510">
        <v>1</v>
      </c>
      <c r="K1510">
        <f t="shared" si="169"/>
        <v>2</v>
      </c>
      <c r="L1510">
        <f t="shared" si="170"/>
        <v>2020</v>
      </c>
      <c r="N1510" s="17">
        <f t="shared" si="173"/>
        <v>43862</v>
      </c>
      <c r="S1510">
        <f t="shared" si="174"/>
        <v>0</v>
      </c>
    </row>
    <row r="1511" spans="1:19" x14ac:dyDescent="0.3">
      <c r="A1511" s="17">
        <v>43865</v>
      </c>
      <c r="B1511">
        <v>279.72000000000003</v>
      </c>
      <c r="C1511">
        <v>53.96</v>
      </c>
      <c r="D1511">
        <f t="shared" si="171"/>
        <v>225.76000000000002</v>
      </c>
      <c r="E1511">
        <v>0.92</v>
      </c>
      <c r="F1511">
        <f t="shared" si="172"/>
        <v>-224.84000000000003</v>
      </c>
      <c r="I1511">
        <f t="shared" si="168"/>
        <v>4</v>
      </c>
      <c r="J1511">
        <v>1</v>
      </c>
      <c r="K1511">
        <f t="shared" si="169"/>
        <v>2</v>
      </c>
      <c r="L1511">
        <f t="shared" si="170"/>
        <v>2020</v>
      </c>
      <c r="N1511" s="17">
        <f t="shared" si="173"/>
        <v>43862</v>
      </c>
      <c r="S1511">
        <f t="shared" si="174"/>
        <v>1</v>
      </c>
    </row>
    <row r="1512" spans="1:19" x14ac:dyDescent="0.3">
      <c r="A1512" s="17">
        <v>43864</v>
      </c>
      <c r="B1512">
        <v>262.61</v>
      </c>
      <c r="C1512">
        <v>55.2</v>
      </c>
      <c r="D1512">
        <f t="shared" si="171"/>
        <v>207.41000000000003</v>
      </c>
      <c r="E1512">
        <v>0.74</v>
      </c>
      <c r="F1512">
        <f t="shared" si="172"/>
        <v>-206.67000000000002</v>
      </c>
      <c r="I1512">
        <f t="shared" si="168"/>
        <v>3</v>
      </c>
      <c r="J1512">
        <v>1</v>
      </c>
      <c r="K1512">
        <f t="shared" si="169"/>
        <v>2</v>
      </c>
      <c r="L1512">
        <f t="shared" si="170"/>
        <v>2020</v>
      </c>
      <c r="N1512" s="17">
        <f t="shared" si="173"/>
        <v>43862</v>
      </c>
      <c r="S1512">
        <f t="shared" si="174"/>
        <v>1</v>
      </c>
    </row>
    <row r="1513" spans="1:19" x14ac:dyDescent="0.3">
      <c r="A1513" s="17">
        <v>43861</v>
      </c>
      <c r="B1513">
        <v>284.75</v>
      </c>
      <c r="C1513">
        <v>58.46</v>
      </c>
      <c r="D1513">
        <f t="shared" si="171"/>
        <v>226.29</v>
      </c>
      <c r="E1513">
        <v>0.27</v>
      </c>
      <c r="F1513">
        <f t="shared" si="172"/>
        <v>-226.01999999999998</v>
      </c>
      <c r="I1513">
        <f t="shared" si="168"/>
        <v>31</v>
      </c>
      <c r="J1513">
        <v>1</v>
      </c>
      <c r="K1513">
        <f t="shared" si="169"/>
        <v>1</v>
      </c>
      <c r="L1513">
        <f t="shared" si="170"/>
        <v>2020</v>
      </c>
      <c r="N1513" s="17">
        <f t="shared" si="173"/>
        <v>43831</v>
      </c>
      <c r="S1513">
        <f t="shared" si="174"/>
        <v>0</v>
      </c>
    </row>
    <row r="1514" spans="1:19" x14ac:dyDescent="0.3">
      <c r="A1514" s="17">
        <v>43860</v>
      </c>
      <c r="B1514">
        <v>294.58</v>
      </c>
      <c r="C1514">
        <v>57.71</v>
      </c>
      <c r="D1514">
        <f t="shared" si="171"/>
        <v>236.86999999999998</v>
      </c>
      <c r="E1514">
        <v>0.2</v>
      </c>
      <c r="F1514">
        <f t="shared" si="172"/>
        <v>-236.67</v>
      </c>
      <c r="I1514">
        <f t="shared" si="168"/>
        <v>30</v>
      </c>
      <c r="J1514">
        <v>1</v>
      </c>
      <c r="K1514">
        <f t="shared" si="169"/>
        <v>1</v>
      </c>
      <c r="L1514">
        <f t="shared" si="170"/>
        <v>2020</v>
      </c>
      <c r="N1514" s="17">
        <f t="shared" si="173"/>
        <v>43831</v>
      </c>
      <c r="S1514">
        <f t="shared" si="174"/>
        <v>0</v>
      </c>
    </row>
    <row r="1515" spans="1:19" x14ac:dyDescent="0.3">
      <c r="A1515" s="17">
        <v>43859</v>
      </c>
      <c r="B1515">
        <v>302.92</v>
      </c>
      <c r="C1515">
        <v>59.34</v>
      </c>
      <c r="D1515">
        <f t="shared" si="171"/>
        <v>243.58</v>
      </c>
      <c r="E1515">
        <v>0.12</v>
      </c>
      <c r="F1515">
        <f t="shared" si="172"/>
        <v>-243.46</v>
      </c>
      <c r="I1515">
        <f t="shared" si="168"/>
        <v>29</v>
      </c>
      <c r="J1515">
        <v>1</v>
      </c>
      <c r="K1515">
        <f t="shared" si="169"/>
        <v>1</v>
      </c>
      <c r="L1515">
        <f t="shared" si="170"/>
        <v>2020</v>
      </c>
      <c r="N1515" s="17">
        <f t="shared" si="173"/>
        <v>43831</v>
      </c>
      <c r="S1515">
        <f t="shared" si="174"/>
        <v>0</v>
      </c>
    </row>
    <row r="1516" spans="1:19" x14ac:dyDescent="0.3">
      <c r="A1516" s="17">
        <v>43858</v>
      </c>
      <c r="B1516">
        <v>291.52</v>
      </c>
      <c r="C1516">
        <v>58.55</v>
      </c>
      <c r="D1516">
        <f t="shared" si="171"/>
        <v>232.96999999999997</v>
      </c>
      <c r="E1516">
        <v>0.21</v>
      </c>
      <c r="F1516">
        <f t="shared" si="172"/>
        <v>-232.75999999999996</v>
      </c>
      <c r="I1516">
        <f t="shared" si="168"/>
        <v>28</v>
      </c>
      <c r="J1516">
        <v>1</v>
      </c>
      <c r="K1516">
        <f t="shared" si="169"/>
        <v>1</v>
      </c>
      <c r="L1516">
        <f t="shared" si="170"/>
        <v>2020</v>
      </c>
      <c r="N1516" s="17">
        <f t="shared" si="173"/>
        <v>43831</v>
      </c>
      <c r="S1516">
        <f t="shared" si="174"/>
        <v>0</v>
      </c>
    </row>
    <row r="1517" spans="1:19" x14ac:dyDescent="0.3">
      <c r="A1517" s="17">
        <v>43854</v>
      </c>
      <c r="B1517">
        <v>325.77</v>
      </c>
      <c r="C1517">
        <v>62.2</v>
      </c>
      <c r="D1517">
        <f t="shared" si="171"/>
        <v>263.57</v>
      </c>
      <c r="E1517">
        <v>0.19</v>
      </c>
      <c r="F1517">
        <f t="shared" si="172"/>
        <v>-263.38</v>
      </c>
      <c r="I1517">
        <f t="shared" si="168"/>
        <v>24</v>
      </c>
      <c r="J1517">
        <v>1</v>
      </c>
      <c r="K1517">
        <f t="shared" si="169"/>
        <v>1</v>
      </c>
      <c r="L1517">
        <f t="shared" si="170"/>
        <v>2020</v>
      </c>
      <c r="N1517" s="17">
        <f t="shared" si="173"/>
        <v>43831</v>
      </c>
      <c r="S1517">
        <f t="shared" si="174"/>
        <v>0</v>
      </c>
    </row>
    <row r="1518" spans="1:19" x14ac:dyDescent="0.3">
      <c r="A1518" s="17">
        <v>43853</v>
      </c>
      <c r="B1518">
        <v>323.89999999999998</v>
      </c>
      <c r="C1518">
        <v>62.75</v>
      </c>
      <c r="D1518">
        <f t="shared" si="171"/>
        <v>261.14999999999998</v>
      </c>
      <c r="E1518">
        <v>0.2</v>
      </c>
      <c r="F1518">
        <f t="shared" si="172"/>
        <v>-260.95</v>
      </c>
      <c r="I1518">
        <f t="shared" si="168"/>
        <v>23</v>
      </c>
      <c r="J1518">
        <v>1</v>
      </c>
      <c r="K1518">
        <f t="shared" si="169"/>
        <v>1</v>
      </c>
      <c r="L1518">
        <f t="shared" si="170"/>
        <v>2020</v>
      </c>
      <c r="N1518" s="17">
        <f t="shared" si="173"/>
        <v>43831</v>
      </c>
      <c r="S1518">
        <f t="shared" si="174"/>
        <v>0</v>
      </c>
    </row>
    <row r="1519" spans="1:19" x14ac:dyDescent="0.3">
      <c r="A1519" s="17">
        <v>43852</v>
      </c>
      <c r="B1519">
        <v>316.58999999999997</v>
      </c>
      <c r="C1519">
        <v>64.25</v>
      </c>
      <c r="D1519">
        <f t="shared" si="171"/>
        <v>252.33999999999997</v>
      </c>
      <c r="E1519">
        <v>0.17</v>
      </c>
      <c r="F1519">
        <f t="shared" si="172"/>
        <v>-252.17</v>
      </c>
      <c r="I1519">
        <f t="shared" si="168"/>
        <v>22</v>
      </c>
      <c r="J1519">
        <v>1</v>
      </c>
      <c r="K1519">
        <f t="shared" si="169"/>
        <v>1</v>
      </c>
      <c r="L1519">
        <f t="shared" si="170"/>
        <v>2020</v>
      </c>
      <c r="N1519" s="17">
        <f t="shared" si="173"/>
        <v>43831</v>
      </c>
      <c r="S1519">
        <f t="shared" si="174"/>
        <v>0</v>
      </c>
    </row>
    <row r="1520" spans="1:19" x14ac:dyDescent="0.3">
      <c r="A1520" s="17">
        <v>43851</v>
      </c>
      <c r="B1520">
        <v>316.52</v>
      </c>
      <c r="C1520">
        <v>64.25</v>
      </c>
      <c r="D1520">
        <f t="shared" si="171"/>
        <v>252.26999999999998</v>
      </c>
      <c r="E1520">
        <v>0.19</v>
      </c>
      <c r="F1520">
        <f t="shared" si="172"/>
        <v>-252.07999999999998</v>
      </c>
      <c r="I1520">
        <f t="shared" si="168"/>
        <v>21</v>
      </c>
      <c r="J1520">
        <v>1</v>
      </c>
      <c r="K1520">
        <f t="shared" si="169"/>
        <v>1</v>
      </c>
      <c r="L1520">
        <f t="shared" si="170"/>
        <v>2020</v>
      </c>
      <c r="N1520" s="17">
        <f t="shared" si="173"/>
        <v>43831</v>
      </c>
      <c r="S1520">
        <f t="shared" si="174"/>
        <v>0</v>
      </c>
    </row>
    <row r="1521" spans="1:19" x14ac:dyDescent="0.3">
      <c r="A1521" s="17">
        <v>43850</v>
      </c>
      <c r="B1521">
        <v>321.98</v>
      </c>
      <c r="C1521">
        <v>65.209999999999994</v>
      </c>
      <c r="D1521">
        <f t="shared" si="171"/>
        <v>256.77000000000004</v>
      </c>
      <c r="E1521">
        <v>0.18</v>
      </c>
      <c r="F1521">
        <f t="shared" si="172"/>
        <v>-256.59000000000003</v>
      </c>
      <c r="I1521">
        <f t="shared" si="168"/>
        <v>20</v>
      </c>
      <c r="J1521">
        <v>1</v>
      </c>
      <c r="K1521">
        <f t="shared" si="169"/>
        <v>1</v>
      </c>
      <c r="L1521">
        <f t="shared" si="170"/>
        <v>2020</v>
      </c>
      <c r="N1521" s="17">
        <f t="shared" si="173"/>
        <v>43831</v>
      </c>
      <c r="S1521">
        <f t="shared" si="174"/>
        <v>0</v>
      </c>
    </row>
    <row r="1522" spans="1:19" x14ac:dyDescent="0.3">
      <c r="A1522" s="17">
        <v>43847</v>
      </c>
      <c r="B1522">
        <v>311.54000000000002</v>
      </c>
      <c r="C1522">
        <v>64.855000000000004</v>
      </c>
      <c r="D1522">
        <f t="shared" si="171"/>
        <v>246.685</v>
      </c>
      <c r="E1522">
        <v>0.08</v>
      </c>
      <c r="F1522">
        <f t="shared" si="172"/>
        <v>-246.60499999999999</v>
      </c>
      <c r="I1522">
        <f t="shared" si="168"/>
        <v>17</v>
      </c>
      <c r="J1522">
        <v>1</v>
      </c>
      <c r="K1522">
        <f t="shared" si="169"/>
        <v>1</v>
      </c>
      <c r="L1522">
        <f t="shared" si="170"/>
        <v>2020</v>
      </c>
      <c r="N1522" s="17">
        <f t="shared" si="173"/>
        <v>43831</v>
      </c>
      <c r="S1522">
        <f t="shared" si="174"/>
        <v>0</v>
      </c>
    </row>
    <row r="1523" spans="1:19" x14ac:dyDescent="0.3">
      <c r="A1523" s="17">
        <v>43846</v>
      </c>
      <c r="B1523">
        <v>309.52999999999997</v>
      </c>
      <c r="C1523">
        <v>64.709999999999994</v>
      </c>
      <c r="D1523">
        <f t="shared" si="171"/>
        <v>244.82</v>
      </c>
      <c r="E1523">
        <v>0.12</v>
      </c>
      <c r="F1523">
        <f t="shared" si="172"/>
        <v>-244.7</v>
      </c>
      <c r="I1523">
        <f t="shared" si="168"/>
        <v>16</v>
      </c>
      <c r="J1523">
        <v>1</v>
      </c>
      <c r="K1523">
        <f t="shared" si="169"/>
        <v>1</v>
      </c>
      <c r="L1523">
        <f t="shared" si="170"/>
        <v>2020</v>
      </c>
      <c r="N1523" s="17">
        <f t="shared" si="173"/>
        <v>43831</v>
      </c>
      <c r="S1523">
        <f t="shared" si="174"/>
        <v>0</v>
      </c>
    </row>
    <row r="1524" spans="1:19" x14ac:dyDescent="0.3">
      <c r="A1524" s="17">
        <v>43845</v>
      </c>
      <c r="B1524">
        <v>309.54000000000002</v>
      </c>
      <c r="C1524">
        <v>64.59</v>
      </c>
      <c r="D1524">
        <f t="shared" si="171"/>
        <v>244.95000000000002</v>
      </c>
      <c r="E1524">
        <v>0.28999999999999998</v>
      </c>
      <c r="F1524">
        <f t="shared" si="172"/>
        <v>-244.66000000000003</v>
      </c>
      <c r="I1524">
        <f t="shared" si="168"/>
        <v>15</v>
      </c>
      <c r="J1524">
        <v>1</v>
      </c>
      <c r="K1524">
        <f t="shared" si="169"/>
        <v>1</v>
      </c>
      <c r="L1524">
        <f t="shared" si="170"/>
        <v>2020</v>
      </c>
      <c r="N1524" s="17">
        <f t="shared" si="173"/>
        <v>43831</v>
      </c>
      <c r="S1524">
        <f t="shared" si="174"/>
        <v>0</v>
      </c>
    </row>
    <row r="1525" spans="1:19" x14ac:dyDescent="0.3">
      <c r="A1525" s="17">
        <v>43844</v>
      </c>
      <c r="B1525">
        <v>316.25</v>
      </c>
      <c r="C1525">
        <v>64.75</v>
      </c>
      <c r="D1525">
        <f t="shared" si="171"/>
        <v>251.5</v>
      </c>
      <c r="E1525">
        <v>0.36</v>
      </c>
      <c r="F1525">
        <f t="shared" si="172"/>
        <v>-251.14</v>
      </c>
      <c r="I1525">
        <f t="shared" si="168"/>
        <v>14</v>
      </c>
      <c r="J1525">
        <v>1</v>
      </c>
      <c r="K1525">
        <f t="shared" si="169"/>
        <v>1</v>
      </c>
      <c r="L1525">
        <f t="shared" si="170"/>
        <v>2020</v>
      </c>
      <c r="N1525" s="17">
        <f t="shared" si="173"/>
        <v>43831</v>
      </c>
      <c r="S1525">
        <f t="shared" si="174"/>
        <v>0</v>
      </c>
    </row>
    <row r="1526" spans="1:19" x14ac:dyDescent="0.3">
      <c r="A1526" s="17">
        <v>43843</v>
      </c>
      <c r="B1526">
        <v>332.3</v>
      </c>
      <c r="C1526">
        <v>65.650000000000006</v>
      </c>
      <c r="D1526">
        <f t="shared" si="171"/>
        <v>266.64999999999998</v>
      </c>
      <c r="E1526">
        <v>0.43</v>
      </c>
      <c r="F1526">
        <f t="shared" si="172"/>
        <v>-266.21999999999997</v>
      </c>
      <c r="I1526">
        <f t="shared" si="168"/>
        <v>13</v>
      </c>
      <c r="J1526">
        <v>1</v>
      </c>
      <c r="K1526">
        <f t="shared" si="169"/>
        <v>1</v>
      </c>
      <c r="L1526">
        <f t="shared" si="170"/>
        <v>2020</v>
      </c>
      <c r="N1526" s="17">
        <f t="shared" si="173"/>
        <v>43831</v>
      </c>
      <c r="S1526">
        <f t="shared" si="174"/>
        <v>0</v>
      </c>
    </row>
    <row r="1527" spans="1:19" x14ac:dyDescent="0.3">
      <c r="A1527" s="17">
        <v>43840</v>
      </c>
      <c r="B1527">
        <v>331.53</v>
      </c>
      <c r="C1527">
        <v>65.900000000000006</v>
      </c>
      <c r="D1527">
        <f t="shared" si="171"/>
        <v>265.63</v>
      </c>
      <c r="E1527">
        <v>0.44</v>
      </c>
      <c r="F1527">
        <f t="shared" si="172"/>
        <v>-265.19</v>
      </c>
      <c r="I1527">
        <f t="shared" si="168"/>
        <v>10</v>
      </c>
      <c r="J1527">
        <v>1</v>
      </c>
      <c r="K1527">
        <f t="shared" si="169"/>
        <v>1</v>
      </c>
      <c r="L1527">
        <f t="shared" si="170"/>
        <v>2020</v>
      </c>
      <c r="N1527" s="17">
        <f t="shared" si="173"/>
        <v>43831</v>
      </c>
      <c r="S1527">
        <f t="shared" si="174"/>
        <v>0</v>
      </c>
    </row>
    <row r="1528" spans="1:19" x14ac:dyDescent="0.3">
      <c r="A1528" s="17">
        <v>43839</v>
      </c>
      <c r="B1528">
        <v>333.98</v>
      </c>
      <c r="C1528">
        <v>66.209999999999994</v>
      </c>
      <c r="D1528">
        <f t="shared" si="171"/>
        <v>267.77000000000004</v>
      </c>
      <c r="E1528">
        <v>0.41</v>
      </c>
      <c r="F1528">
        <f t="shared" si="172"/>
        <v>-267.36</v>
      </c>
      <c r="I1528">
        <f t="shared" si="168"/>
        <v>9</v>
      </c>
      <c r="J1528">
        <v>1</v>
      </c>
      <c r="K1528">
        <f t="shared" si="169"/>
        <v>1</v>
      </c>
      <c r="L1528">
        <f t="shared" si="170"/>
        <v>2020</v>
      </c>
      <c r="N1528" s="17">
        <f t="shared" si="173"/>
        <v>43831</v>
      </c>
      <c r="S1528">
        <f t="shared" si="174"/>
        <v>0</v>
      </c>
    </row>
    <row r="1529" spans="1:19" x14ac:dyDescent="0.3">
      <c r="A1529" s="17">
        <v>43838</v>
      </c>
      <c r="B1529">
        <v>344.57</v>
      </c>
      <c r="C1529">
        <v>69.260000000000005</v>
      </c>
      <c r="D1529">
        <f t="shared" si="171"/>
        <v>275.31</v>
      </c>
      <c r="E1529">
        <v>0.37</v>
      </c>
      <c r="F1529">
        <f t="shared" si="172"/>
        <v>-274.94</v>
      </c>
      <c r="I1529">
        <f t="shared" si="168"/>
        <v>8</v>
      </c>
      <c r="J1529">
        <v>1</v>
      </c>
      <c r="K1529">
        <f t="shared" si="169"/>
        <v>1</v>
      </c>
      <c r="L1529">
        <f t="shared" si="170"/>
        <v>2020</v>
      </c>
      <c r="N1529" s="17">
        <f t="shared" si="173"/>
        <v>43831</v>
      </c>
      <c r="S1529">
        <f t="shared" si="174"/>
        <v>0</v>
      </c>
    </row>
    <row r="1530" spans="1:19" x14ac:dyDescent="0.3">
      <c r="A1530" s="17">
        <v>43837</v>
      </c>
      <c r="B1530">
        <v>330.6</v>
      </c>
      <c r="C1530">
        <v>68.3</v>
      </c>
      <c r="D1530">
        <f t="shared" si="171"/>
        <v>262.3</v>
      </c>
      <c r="E1530">
        <v>0.34</v>
      </c>
      <c r="F1530">
        <f t="shared" si="172"/>
        <v>-261.96000000000004</v>
      </c>
      <c r="I1530">
        <f t="shared" si="168"/>
        <v>7</v>
      </c>
      <c r="J1530">
        <v>1</v>
      </c>
      <c r="K1530">
        <f t="shared" si="169"/>
        <v>1</v>
      </c>
      <c r="L1530">
        <f t="shared" si="170"/>
        <v>2020</v>
      </c>
      <c r="N1530" s="17">
        <f t="shared" si="173"/>
        <v>43831</v>
      </c>
      <c r="S1530">
        <f t="shared" si="174"/>
        <v>0</v>
      </c>
    </row>
    <row r="1531" spans="1:19" x14ac:dyDescent="0.3">
      <c r="A1531" s="17">
        <v>43836</v>
      </c>
      <c r="B1531">
        <v>346.64</v>
      </c>
      <c r="C1531">
        <v>69.599999999999994</v>
      </c>
      <c r="D1531">
        <f t="shared" si="171"/>
        <v>277.03999999999996</v>
      </c>
      <c r="E1531">
        <v>0.37</v>
      </c>
      <c r="F1531">
        <f t="shared" si="172"/>
        <v>-276.66999999999996</v>
      </c>
      <c r="I1531">
        <f t="shared" si="168"/>
        <v>6</v>
      </c>
      <c r="J1531">
        <v>1</v>
      </c>
      <c r="K1531">
        <f t="shared" si="169"/>
        <v>1</v>
      </c>
      <c r="L1531">
        <f t="shared" si="170"/>
        <v>2020</v>
      </c>
      <c r="N1531" s="17">
        <f t="shared" si="173"/>
        <v>43831</v>
      </c>
      <c r="S1531">
        <f t="shared" si="174"/>
        <v>0</v>
      </c>
    </row>
    <row r="1532" spans="1:19" x14ac:dyDescent="0.3">
      <c r="A1532" s="17">
        <v>43833</v>
      </c>
      <c r="B1532">
        <v>328.43</v>
      </c>
      <c r="C1532">
        <v>67.81</v>
      </c>
      <c r="D1532">
        <f t="shared" si="171"/>
        <v>260.62</v>
      </c>
      <c r="E1532">
        <v>0.5</v>
      </c>
      <c r="F1532">
        <f t="shared" si="172"/>
        <v>-260.12</v>
      </c>
      <c r="I1532">
        <f t="shared" si="168"/>
        <v>3</v>
      </c>
      <c r="J1532">
        <v>1</v>
      </c>
      <c r="K1532">
        <f t="shared" si="169"/>
        <v>1</v>
      </c>
      <c r="L1532">
        <f t="shared" si="170"/>
        <v>2020</v>
      </c>
      <c r="N1532" s="17">
        <f t="shared" si="173"/>
        <v>43831</v>
      </c>
      <c r="S1532">
        <f t="shared" si="174"/>
        <v>1</v>
      </c>
    </row>
    <row r="1533" spans="1:19" x14ac:dyDescent="0.3">
      <c r="A1533" s="17">
        <v>43832</v>
      </c>
      <c r="B1533">
        <v>304.95</v>
      </c>
      <c r="C1533">
        <v>65.66</v>
      </c>
      <c r="D1533">
        <f t="shared" si="171"/>
        <v>239.29</v>
      </c>
      <c r="E1533">
        <v>0.76</v>
      </c>
      <c r="F1533">
        <f t="shared" si="172"/>
        <v>-238.53</v>
      </c>
      <c r="I1533">
        <f t="shared" si="168"/>
        <v>2</v>
      </c>
      <c r="J1533">
        <v>1</v>
      </c>
      <c r="K1533">
        <f t="shared" si="169"/>
        <v>1</v>
      </c>
      <c r="L1533">
        <f t="shared" si="170"/>
        <v>2020</v>
      </c>
      <c r="N1533" s="17">
        <f t="shared" si="173"/>
        <v>43831</v>
      </c>
      <c r="S1533">
        <f t="shared" si="174"/>
        <v>1</v>
      </c>
    </row>
    <row r="1534" spans="1:19" x14ac:dyDescent="0.3">
      <c r="A1534" s="17">
        <v>43830</v>
      </c>
      <c r="B1534">
        <v>298.11</v>
      </c>
      <c r="C1534">
        <v>67.254999999999995</v>
      </c>
      <c r="D1534">
        <f t="shared" si="171"/>
        <v>230.85500000000002</v>
      </c>
      <c r="E1534">
        <v>0.81</v>
      </c>
      <c r="F1534">
        <f t="shared" si="172"/>
        <v>-230.04500000000002</v>
      </c>
      <c r="I1534">
        <f t="shared" si="168"/>
        <v>31</v>
      </c>
      <c r="J1534">
        <v>1</v>
      </c>
      <c r="K1534">
        <f t="shared" si="169"/>
        <v>12</v>
      </c>
      <c r="L1534">
        <f t="shared" si="170"/>
        <v>2019</v>
      </c>
      <c r="N1534" s="17">
        <f t="shared" si="173"/>
        <v>43800</v>
      </c>
      <c r="S1534">
        <f t="shared" si="174"/>
        <v>0</v>
      </c>
    </row>
    <row r="1535" spans="1:19" x14ac:dyDescent="0.3">
      <c r="A1535" s="17">
        <v>43829</v>
      </c>
      <c r="B1535">
        <v>304.05</v>
      </c>
      <c r="C1535">
        <v>67.8</v>
      </c>
      <c r="D1535">
        <f t="shared" si="171"/>
        <v>236.25</v>
      </c>
      <c r="E1535">
        <v>0.84</v>
      </c>
      <c r="F1535">
        <f t="shared" si="172"/>
        <v>-235.41</v>
      </c>
      <c r="I1535">
        <f t="shared" si="168"/>
        <v>30</v>
      </c>
      <c r="J1535">
        <v>1</v>
      </c>
      <c r="K1535">
        <f t="shared" si="169"/>
        <v>12</v>
      </c>
      <c r="L1535">
        <f t="shared" si="170"/>
        <v>2019</v>
      </c>
      <c r="N1535" s="17">
        <f t="shared" si="173"/>
        <v>43800</v>
      </c>
      <c r="S1535">
        <f t="shared" si="174"/>
        <v>0</v>
      </c>
    </row>
    <row r="1536" spans="1:19" x14ac:dyDescent="0.3">
      <c r="A1536" s="17">
        <v>43826</v>
      </c>
      <c r="B1536">
        <v>303.20999999999998</v>
      </c>
      <c r="C1536">
        <v>67.900000000000006</v>
      </c>
      <c r="D1536">
        <f t="shared" si="171"/>
        <v>235.30999999999997</v>
      </c>
      <c r="E1536">
        <v>0.8</v>
      </c>
      <c r="F1536">
        <f t="shared" si="172"/>
        <v>-234.50999999999996</v>
      </c>
      <c r="I1536">
        <f t="shared" si="168"/>
        <v>27</v>
      </c>
      <c r="J1536">
        <v>1</v>
      </c>
      <c r="K1536">
        <f t="shared" si="169"/>
        <v>12</v>
      </c>
      <c r="L1536">
        <f t="shared" si="170"/>
        <v>2019</v>
      </c>
      <c r="N1536" s="17">
        <f t="shared" si="173"/>
        <v>43800</v>
      </c>
      <c r="S1536">
        <f t="shared" si="174"/>
        <v>0</v>
      </c>
    </row>
    <row r="1537" spans="1:19" x14ac:dyDescent="0.3">
      <c r="A1537" s="17">
        <v>43825</v>
      </c>
      <c r="B1537">
        <v>283.86</v>
      </c>
      <c r="C1537">
        <v>67.45</v>
      </c>
      <c r="D1537">
        <f t="shared" si="171"/>
        <v>216.41000000000003</v>
      </c>
      <c r="E1537">
        <v>0.74</v>
      </c>
      <c r="F1537">
        <f t="shared" si="172"/>
        <v>-215.67000000000002</v>
      </c>
      <c r="I1537">
        <f t="shared" si="168"/>
        <v>26</v>
      </c>
      <c r="J1537">
        <v>1</v>
      </c>
      <c r="K1537">
        <f t="shared" si="169"/>
        <v>12</v>
      </c>
      <c r="L1537">
        <f t="shared" si="170"/>
        <v>2019</v>
      </c>
      <c r="N1537" s="17">
        <f t="shared" si="173"/>
        <v>43800</v>
      </c>
      <c r="S1537">
        <f t="shared" si="174"/>
        <v>0</v>
      </c>
    </row>
    <row r="1538" spans="1:19" x14ac:dyDescent="0.3">
      <c r="A1538" s="17">
        <v>43823</v>
      </c>
      <c r="B1538">
        <v>287.44</v>
      </c>
      <c r="C1538">
        <v>66.739999999999995</v>
      </c>
      <c r="D1538">
        <f t="shared" si="171"/>
        <v>220.7</v>
      </c>
      <c r="E1538">
        <v>0.6</v>
      </c>
      <c r="F1538">
        <f t="shared" si="172"/>
        <v>-220.1</v>
      </c>
      <c r="I1538">
        <f t="shared" si="168"/>
        <v>24</v>
      </c>
      <c r="J1538">
        <v>1</v>
      </c>
      <c r="K1538">
        <f t="shared" si="169"/>
        <v>12</v>
      </c>
      <c r="L1538">
        <f t="shared" si="170"/>
        <v>2019</v>
      </c>
      <c r="N1538" s="17">
        <f t="shared" si="173"/>
        <v>43800</v>
      </c>
      <c r="S1538">
        <f t="shared" si="174"/>
        <v>0</v>
      </c>
    </row>
    <row r="1539" spans="1:19" x14ac:dyDescent="0.3">
      <c r="A1539" s="17">
        <v>43822</v>
      </c>
      <c r="B1539">
        <v>291.68</v>
      </c>
      <c r="C1539">
        <v>66.150000000000006</v>
      </c>
      <c r="D1539">
        <f t="shared" si="171"/>
        <v>225.53</v>
      </c>
      <c r="E1539">
        <v>0.57999999999999996</v>
      </c>
      <c r="F1539">
        <f t="shared" si="172"/>
        <v>-224.95</v>
      </c>
      <c r="I1539">
        <f t="shared" si="168"/>
        <v>23</v>
      </c>
      <c r="J1539">
        <v>1</v>
      </c>
      <c r="K1539">
        <f t="shared" si="169"/>
        <v>12</v>
      </c>
      <c r="L1539">
        <f t="shared" si="170"/>
        <v>2019</v>
      </c>
      <c r="N1539" s="17">
        <f t="shared" si="173"/>
        <v>43800</v>
      </c>
      <c r="S1539">
        <f t="shared" si="174"/>
        <v>0</v>
      </c>
    </row>
    <row r="1540" spans="1:19" x14ac:dyDescent="0.3">
      <c r="A1540" s="17">
        <v>43819</v>
      </c>
      <c r="B1540">
        <v>305.76</v>
      </c>
      <c r="C1540">
        <v>66.905000000000001</v>
      </c>
      <c r="D1540">
        <f t="shared" si="171"/>
        <v>238.85499999999999</v>
      </c>
      <c r="E1540">
        <v>0.63</v>
      </c>
      <c r="F1540">
        <f t="shared" si="172"/>
        <v>-238.22499999999999</v>
      </c>
      <c r="I1540">
        <f t="shared" si="168"/>
        <v>20</v>
      </c>
      <c r="J1540">
        <v>1</v>
      </c>
      <c r="K1540">
        <f t="shared" si="169"/>
        <v>12</v>
      </c>
      <c r="L1540">
        <f t="shared" si="170"/>
        <v>2019</v>
      </c>
      <c r="N1540" s="17">
        <f t="shared" si="173"/>
        <v>43800</v>
      </c>
      <c r="S1540">
        <f t="shared" si="174"/>
        <v>0</v>
      </c>
    </row>
    <row r="1541" spans="1:19" x14ac:dyDescent="0.3">
      <c r="A1541" s="17">
        <v>43818</v>
      </c>
      <c r="B1541">
        <v>278.13</v>
      </c>
      <c r="C1541">
        <v>66.459999999999994</v>
      </c>
      <c r="D1541">
        <f t="shared" si="171"/>
        <v>211.67000000000002</v>
      </c>
      <c r="E1541">
        <v>0.75</v>
      </c>
      <c r="F1541">
        <f t="shared" si="172"/>
        <v>-210.92000000000002</v>
      </c>
      <c r="I1541">
        <f t="shared" ref="I1541:I1604" si="175">+DAY(A1541)</f>
        <v>19</v>
      </c>
      <c r="J1541">
        <v>1</v>
      </c>
      <c r="K1541">
        <f t="shared" ref="K1541:K1604" si="176">+MONTH(A1541)</f>
        <v>12</v>
      </c>
      <c r="L1541">
        <f t="shared" ref="L1541:L1604" si="177">+YEAR(A1541)</f>
        <v>2019</v>
      </c>
      <c r="N1541" s="17">
        <f t="shared" si="173"/>
        <v>43800</v>
      </c>
      <c r="S1541">
        <f t="shared" si="174"/>
        <v>0</v>
      </c>
    </row>
    <row r="1542" spans="1:19" x14ac:dyDescent="0.3">
      <c r="A1542" s="17">
        <v>43817</v>
      </c>
      <c r="B1542">
        <v>276.8</v>
      </c>
      <c r="C1542">
        <v>66.099999999999994</v>
      </c>
      <c r="D1542">
        <f t="shared" ref="D1542:D1605" si="178">+B1542-C1542</f>
        <v>210.70000000000002</v>
      </c>
      <c r="E1542">
        <v>0.79</v>
      </c>
      <c r="F1542">
        <f t="shared" ref="F1542:F1605" si="179">+E1542-D1542</f>
        <v>-209.91000000000003</v>
      </c>
      <c r="I1542">
        <f t="shared" si="175"/>
        <v>18</v>
      </c>
      <c r="J1542">
        <v>1</v>
      </c>
      <c r="K1542">
        <f t="shared" si="176"/>
        <v>12</v>
      </c>
      <c r="L1542">
        <f t="shared" si="177"/>
        <v>2019</v>
      </c>
      <c r="N1542" s="17">
        <f t="shared" ref="N1542:N1605" si="180">+DATE(L1542,K1542,J1542)</f>
        <v>43800</v>
      </c>
      <c r="S1542">
        <f t="shared" ref="S1542:S1605" si="181">IF(AND(I1542&gt;=1, I1542&lt;=4), 1, 0)</f>
        <v>0</v>
      </c>
    </row>
    <row r="1543" spans="1:19" x14ac:dyDescent="0.3">
      <c r="A1543" s="17">
        <v>43816</v>
      </c>
      <c r="B1543">
        <v>266.8</v>
      </c>
      <c r="C1543">
        <v>65.64</v>
      </c>
      <c r="D1543">
        <f t="shared" si="178"/>
        <v>201.16000000000003</v>
      </c>
      <c r="E1543">
        <v>0.67</v>
      </c>
      <c r="F1543">
        <f t="shared" si="179"/>
        <v>-200.49000000000004</v>
      </c>
      <c r="I1543">
        <f t="shared" si="175"/>
        <v>17</v>
      </c>
      <c r="J1543">
        <v>1</v>
      </c>
      <c r="K1543">
        <f t="shared" si="176"/>
        <v>12</v>
      </c>
      <c r="L1543">
        <f t="shared" si="177"/>
        <v>2019</v>
      </c>
      <c r="N1543" s="17">
        <f t="shared" si="180"/>
        <v>43800</v>
      </c>
      <c r="S1543">
        <f t="shared" si="181"/>
        <v>0</v>
      </c>
    </row>
    <row r="1544" spans="1:19" x14ac:dyDescent="0.3">
      <c r="A1544" s="17">
        <v>43815</v>
      </c>
      <c r="B1544">
        <v>266.95</v>
      </c>
      <c r="C1544">
        <v>65.495000000000005</v>
      </c>
      <c r="D1544">
        <f t="shared" si="178"/>
        <v>201.45499999999998</v>
      </c>
      <c r="E1544">
        <v>0.63</v>
      </c>
      <c r="F1544">
        <f t="shared" si="179"/>
        <v>-200.82499999999999</v>
      </c>
      <c r="I1544">
        <f t="shared" si="175"/>
        <v>16</v>
      </c>
      <c r="J1544">
        <v>1</v>
      </c>
      <c r="K1544">
        <f t="shared" si="176"/>
        <v>12</v>
      </c>
      <c r="L1544">
        <f t="shared" si="177"/>
        <v>2019</v>
      </c>
      <c r="N1544" s="17">
        <f t="shared" si="180"/>
        <v>43800</v>
      </c>
      <c r="S1544">
        <f t="shared" si="181"/>
        <v>0</v>
      </c>
    </row>
    <row r="1545" spans="1:19" x14ac:dyDescent="0.3">
      <c r="A1545" s="17">
        <v>43812</v>
      </c>
      <c r="B1545">
        <v>268.06</v>
      </c>
      <c r="C1545">
        <v>64.94</v>
      </c>
      <c r="D1545">
        <f t="shared" si="178"/>
        <v>203.12</v>
      </c>
      <c r="E1545">
        <v>0.56999999999999995</v>
      </c>
      <c r="F1545">
        <f t="shared" si="179"/>
        <v>-202.55</v>
      </c>
      <c r="I1545">
        <f t="shared" si="175"/>
        <v>13</v>
      </c>
      <c r="J1545">
        <v>1</v>
      </c>
      <c r="K1545">
        <f t="shared" si="176"/>
        <v>12</v>
      </c>
      <c r="L1545">
        <f t="shared" si="177"/>
        <v>2019</v>
      </c>
      <c r="N1545" s="17">
        <f t="shared" si="180"/>
        <v>43800</v>
      </c>
      <c r="S1545">
        <f t="shared" si="181"/>
        <v>0</v>
      </c>
    </row>
    <row r="1546" spans="1:19" x14ac:dyDescent="0.3">
      <c r="A1546" s="17">
        <v>43811</v>
      </c>
      <c r="B1546">
        <v>266.98</v>
      </c>
      <c r="C1546">
        <v>63.96</v>
      </c>
      <c r="D1546">
        <f t="shared" si="178"/>
        <v>203.02</v>
      </c>
      <c r="E1546">
        <v>0.44</v>
      </c>
      <c r="F1546">
        <f t="shared" si="179"/>
        <v>-202.58</v>
      </c>
      <c r="I1546">
        <f t="shared" si="175"/>
        <v>12</v>
      </c>
      <c r="J1546">
        <v>1</v>
      </c>
      <c r="K1546">
        <f t="shared" si="176"/>
        <v>12</v>
      </c>
      <c r="L1546">
        <f t="shared" si="177"/>
        <v>2019</v>
      </c>
      <c r="N1546" s="17">
        <f t="shared" si="180"/>
        <v>43800</v>
      </c>
      <c r="S1546">
        <f t="shared" si="181"/>
        <v>0</v>
      </c>
    </row>
    <row r="1547" spans="1:19" x14ac:dyDescent="0.3">
      <c r="A1547" s="17">
        <v>43810</v>
      </c>
      <c r="B1547">
        <v>269.25</v>
      </c>
      <c r="C1547">
        <v>63.74</v>
      </c>
      <c r="D1547">
        <f t="shared" si="178"/>
        <v>205.51</v>
      </c>
      <c r="E1547">
        <v>0.38</v>
      </c>
      <c r="F1547">
        <f t="shared" si="179"/>
        <v>-205.13</v>
      </c>
      <c r="I1547">
        <f t="shared" si="175"/>
        <v>11</v>
      </c>
      <c r="J1547">
        <v>1</v>
      </c>
      <c r="K1547">
        <f t="shared" si="176"/>
        <v>12</v>
      </c>
      <c r="L1547">
        <f t="shared" si="177"/>
        <v>2019</v>
      </c>
      <c r="N1547" s="17">
        <f t="shared" si="180"/>
        <v>43800</v>
      </c>
      <c r="S1547">
        <f t="shared" si="181"/>
        <v>0</v>
      </c>
    </row>
    <row r="1548" spans="1:19" x14ac:dyDescent="0.3">
      <c r="A1548" s="17">
        <v>43809</v>
      </c>
      <c r="B1548">
        <v>254.5</v>
      </c>
      <c r="C1548">
        <v>63.81</v>
      </c>
      <c r="D1548">
        <f t="shared" si="178"/>
        <v>190.69</v>
      </c>
      <c r="E1548">
        <v>0.34</v>
      </c>
      <c r="F1548">
        <f t="shared" si="179"/>
        <v>-190.35</v>
      </c>
      <c r="I1548">
        <f t="shared" si="175"/>
        <v>10</v>
      </c>
      <c r="J1548">
        <v>1</v>
      </c>
      <c r="K1548">
        <f t="shared" si="176"/>
        <v>12</v>
      </c>
      <c r="L1548">
        <f t="shared" si="177"/>
        <v>2019</v>
      </c>
      <c r="N1548" s="17">
        <f t="shared" si="180"/>
        <v>43800</v>
      </c>
      <c r="S1548">
        <f t="shared" si="181"/>
        <v>0</v>
      </c>
    </row>
    <row r="1549" spans="1:19" x14ac:dyDescent="0.3">
      <c r="A1549" s="17">
        <v>43808</v>
      </c>
      <c r="B1549">
        <v>250.31</v>
      </c>
      <c r="C1549">
        <v>63.7</v>
      </c>
      <c r="D1549">
        <f t="shared" si="178"/>
        <v>186.61</v>
      </c>
      <c r="E1549">
        <v>0.74</v>
      </c>
      <c r="F1549">
        <f t="shared" si="179"/>
        <v>-185.87</v>
      </c>
      <c r="I1549">
        <f t="shared" si="175"/>
        <v>9</v>
      </c>
      <c r="J1549">
        <v>1</v>
      </c>
      <c r="K1549">
        <f t="shared" si="176"/>
        <v>12</v>
      </c>
      <c r="L1549">
        <f t="shared" si="177"/>
        <v>2019</v>
      </c>
      <c r="N1549" s="17">
        <f t="shared" si="180"/>
        <v>43800</v>
      </c>
      <c r="S1549">
        <f t="shared" si="181"/>
        <v>0</v>
      </c>
    </row>
    <row r="1550" spans="1:19" x14ac:dyDescent="0.3">
      <c r="A1550" s="17">
        <v>43805</v>
      </c>
      <c r="B1550">
        <v>240.18</v>
      </c>
      <c r="C1550">
        <v>63.01</v>
      </c>
      <c r="D1550">
        <f t="shared" si="178"/>
        <v>177.17000000000002</v>
      </c>
      <c r="E1550">
        <v>1.08</v>
      </c>
      <c r="F1550">
        <f t="shared" si="179"/>
        <v>-176.09</v>
      </c>
      <c r="I1550">
        <f t="shared" si="175"/>
        <v>6</v>
      </c>
      <c r="J1550">
        <v>1</v>
      </c>
      <c r="K1550">
        <f t="shared" si="176"/>
        <v>12</v>
      </c>
      <c r="L1550">
        <f t="shared" si="177"/>
        <v>2019</v>
      </c>
      <c r="N1550" s="17">
        <f t="shared" si="180"/>
        <v>43800</v>
      </c>
      <c r="S1550">
        <f t="shared" si="181"/>
        <v>0</v>
      </c>
    </row>
    <row r="1551" spans="1:19" x14ac:dyDescent="0.3">
      <c r="A1551" s="17">
        <v>43804</v>
      </c>
      <c r="B1551">
        <v>231.23</v>
      </c>
      <c r="C1551">
        <v>62.704999999999998</v>
      </c>
      <c r="D1551">
        <f t="shared" si="178"/>
        <v>168.52499999999998</v>
      </c>
      <c r="E1551">
        <v>0.93</v>
      </c>
      <c r="F1551">
        <f t="shared" si="179"/>
        <v>-167.59499999999997</v>
      </c>
      <c r="I1551">
        <f t="shared" si="175"/>
        <v>5</v>
      </c>
      <c r="J1551">
        <v>1</v>
      </c>
      <c r="K1551">
        <f t="shared" si="176"/>
        <v>12</v>
      </c>
      <c r="L1551">
        <f t="shared" si="177"/>
        <v>2019</v>
      </c>
      <c r="N1551" s="17">
        <f t="shared" si="180"/>
        <v>43800</v>
      </c>
      <c r="S1551">
        <f t="shared" si="181"/>
        <v>0</v>
      </c>
    </row>
    <row r="1552" spans="1:19" x14ac:dyDescent="0.3">
      <c r="A1552" s="17">
        <v>43803</v>
      </c>
      <c r="B1552">
        <v>226.69</v>
      </c>
      <c r="C1552">
        <v>61.094999999999999</v>
      </c>
      <c r="D1552">
        <f t="shared" si="178"/>
        <v>165.595</v>
      </c>
      <c r="E1552">
        <v>0.9</v>
      </c>
      <c r="F1552">
        <f t="shared" si="179"/>
        <v>-164.69499999999999</v>
      </c>
      <c r="I1552">
        <f t="shared" si="175"/>
        <v>4</v>
      </c>
      <c r="J1552">
        <v>1</v>
      </c>
      <c r="K1552">
        <f t="shared" si="176"/>
        <v>12</v>
      </c>
      <c r="L1552">
        <f t="shared" si="177"/>
        <v>2019</v>
      </c>
      <c r="N1552" s="17">
        <f t="shared" si="180"/>
        <v>43800</v>
      </c>
      <c r="S1552">
        <f t="shared" si="181"/>
        <v>1</v>
      </c>
    </row>
    <row r="1553" spans="1:19" x14ac:dyDescent="0.3">
      <c r="A1553" s="17">
        <v>43802</v>
      </c>
      <c r="B1553">
        <v>219.37</v>
      </c>
      <c r="C1553">
        <v>61.005000000000003</v>
      </c>
      <c r="D1553">
        <f t="shared" si="178"/>
        <v>158.36500000000001</v>
      </c>
      <c r="E1553">
        <v>0.56999999999999995</v>
      </c>
      <c r="F1553">
        <f t="shared" si="179"/>
        <v>-157.79500000000002</v>
      </c>
      <c r="I1553">
        <f t="shared" si="175"/>
        <v>3</v>
      </c>
      <c r="J1553">
        <v>1</v>
      </c>
      <c r="K1553">
        <f t="shared" si="176"/>
        <v>12</v>
      </c>
      <c r="L1553">
        <f t="shared" si="177"/>
        <v>2019</v>
      </c>
      <c r="N1553" s="17">
        <f t="shared" si="180"/>
        <v>43800</v>
      </c>
      <c r="S1553">
        <f t="shared" si="181"/>
        <v>1</v>
      </c>
    </row>
    <row r="1554" spans="1:19" x14ac:dyDescent="0.3">
      <c r="A1554" s="17">
        <v>43801</v>
      </c>
      <c r="B1554">
        <v>209.58</v>
      </c>
      <c r="C1554">
        <v>60.8</v>
      </c>
      <c r="D1554">
        <f t="shared" si="178"/>
        <v>148.78000000000003</v>
      </c>
      <c r="E1554">
        <v>0.35</v>
      </c>
      <c r="F1554">
        <f t="shared" si="179"/>
        <v>-148.43000000000004</v>
      </c>
      <c r="I1554">
        <f t="shared" si="175"/>
        <v>2</v>
      </c>
      <c r="J1554">
        <v>1</v>
      </c>
      <c r="K1554">
        <f t="shared" si="176"/>
        <v>12</v>
      </c>
      <c r="L1554">
        <f t="shared" si="177"/>
        <v>2019</v>
      </c>
      <c r="N1554" s="17">
        <f t="shared" si="180"/>
        <v>43800</v>
      </c>
      <c r="S1554">
        <f t="shared" si="181"/>
        <v>1</v>
      </c>
    </row>
    <row r="1555" spans="1:19" x14ac:dyDescent="0.3">
      <c r="A1555" s="17">
        <v>43798</v>
      </c>
      <c r="B1555">
        <v>223.99</v>
      </c>
      <c r="C1555">
        <v>63.85</v>
      </c>
      <c r="D1555">
        <f t="shared" si="178"/>
        <v>160.14000000000001</v>
      </c>
      <c r="E1555">
        <v>0.05</v>
      </c>
      <c r="F1555">
        <f t="shared" si="179"/>
        <v>-160.09</v>
      </c>
      <c r="I1555">
        <f t="shared" si="175"/>
        <v>29</v>
      </c>
      <c r="J1555">
        <v>1</v>
      </c>
      <c r="K1555">
        <f t="shared" si="176"/>
        <v>11</v>
      </c>
      <c r="L1555">
        <f t="shared" si="177"/>
        <v>2019</v>
      </c>
      <c r="N1555" s="17">
        <f t="shared" si="180"/>
        <v>43770</v>
      </c>
      <c r="S1555">
        <f t="shared" si="181"/>
        <v>0</v>
      </c>
    </row>
    <row r="1556" spans="1:19" x14ac:dyDescent="0.3">
      <c r="A1556" s="17">
        <v>43797</v>
      </c>
      <c r="B1556">
        <v>233.77</v>
      </c>
      <c r="C1556">
        <v>63.31</v>
      </c>
      <c r="D1556">
        <f t="shared" si="178"/>
        <v>170.46</v>
      </c>
      <c r="E1556">
        <v>0.06</v>
      </c>
      <c r="F1556">
        <f t="shared" si="179"/>
        <v>-170.4</v>
      </c>
      <c r="I1556">
        <f t="shared" si="175"/>
        <v>28</v>
      </c>
      <c r="J1556">
        <v>1</v>
      </c>
      <c r="K1556">
        <f t="shared" si="176"/>
        <v>11</v>
      </c>
      <c r="L1556">
        <f t="shared" si="177"/>
        <v>2019</v>
      </c>
      <c r="N1556" s="17">
        <f t="shared" si="180"/>
        <v>43770</v>
      </c>
      <c r="S1556">
        <f t="shared" si="181"/>
        <v>0</v>
      </c>
    </row>
    <row r="1557" spans="1:19" x14ac:dyDescent="0.3">
      <c r="A1557" s="17">
        <v>43796</v>
      </c>
      <c r="B1557">
        <v>237.36</v>
      </c>
      <c r="C1557">
        <v>63.64</v>
      </c>
      <c r="D1557">
        <f t="shared" si="178"/>
        <v>173.72000000000003</v>
      </c>
      <c r="E1557">
        <v>0.12</v>
      </c>
      <c r="F1557">
        <f t="shared" si="179"/>
        <v>-173.60000000000002</v>
      </c>
      <c r="I1557">
        <f t="shared" si="175"/>
        <v>27</v>
      </c>
      <c r="J1557">
        <v>1</v>
      </c>
      <c r="K1557">
        <f t="shared" si="176"/>
        <v>11</v>
      </c>
      <c r="L1557">
        <f t="shared" si="177"/>
        <v>2019</v>
      </c>
      <c r="N1557" s="17">
        <f t="shared" si="180"/>
        <v>43770</v>
      </c>
      <c r="S1557">
        <f t="shared" si="181"/>
        <v>0</v>
      </c>
    </row>
    <row r="1558" spans="1:19" x14ac:dyDescent="0.3">
      <c r="A1558" s="17">
        <v>43795</v>
      </c>
      <c r="B1558">
        <v>233.04</v>
      </c>
      <c r="C1558">
        <v>63.06</v>
      </c>
      <c r="D1558">
        <f t="shared" si="178"/>
        <v>169.98</v>
      </c>
      <c r="E1558">
        <v>0.18</v>
      </c>
      <c r="F1558">
        <f t="shared" si="179"/>
        <v>-169.79999999999998</v>
      </c>
      <c r="I1558">
        <f t="shared" si="175"/>
        <v>26</v>
      </c>
      <c r="J1558">
        <v>1</v>
      </c>
      <c r="K1558">
        <f t="shared" si="176"/>
        <v>11</v>
      </c>
      <c r="L1558">
        <f t="shared" si="177"/>
        <v>2019</v>
      </c>
      <c r="N1558" s="17">
        <f t="shared" si="180"/>
        <v>43770</v>
      </c>
      <c r="S1558">
        <f t="shared" si="181"/>
        <v>0</v>
      </c>
    </row>
    <row r="1559" spans="1:19" x14ac:dyDescent="0.3">
      <c r="A1559" s="17">
        <v>43794</v>
      </c>
      <c r="B1559">
        <v>238.23</v>
      </c>
      <c r="C1559">
        <v>63.4</v>
      </c>
      <c r="D1559">
        <f t="shared" si="178"/>
        <v>174.82999999999998</v>
      </c>
      <c r="E1559">
        <v>0.12</v>
      </c>
      <c r="F1559">
        <f t="shared" si="179"/>
        <v>-174.70999999999998</v>
      </c>
      <c r="I1559">
        <f t="shared" si="175"/>
        <v>25</v>
      </c>
      <c r="J1559">
        <v>1</v>
      </c>
      <c r="K1559">
        <f t="shared" si="176"/>
        <v>11</v>
      </c>
      <c r="L1559">
        <f t="shared" si="177"/>
        <v>2019</v>
      </c>
      <c r="N1559" s="17">
        <f t="shared" si="180"/>
        <v>43770</v>
      </c>
      <c r="S1559">
        <f t="shared" si="181"/>
        <v>0</v>
      </c>
    </row>
    <row r="1560" spans="1:19" x14ac:dyDescent="0.3">
      <c r="A1560" s="17">
        <v>43791</v>
      </c>
      <c r="B1560">
        <v>234.95</v>
      </c>
      <c r="C1560">
        <v>63.75</v>
      </c>
      <c r="D1560">
        <f t="shared" si="178"/>
        <v>171.2</v>
      </c>
      <c r="E1560">
        <v>0.17</v>
      </c>
      <c r="F1560">
        <f t="shared" si="179"/>
        <v>-171.03</v>
      </c>
      <c r="I1560">
        <f t="shared" si="175"/>
        <v>22</v>
      </c>
      <c r="J1560">
        <v>1</v>
      </c>
      <c r="K1560">
        <f t="shared" si="176"/>
        <v>11</v>
      </c>
      <c r="L1560">
        <f t="shared" si="177"/>
        <v>2019</v>
      </c>
      <c r="N1560" s="17">
        <f t="shared" si="180"/>
        <v>43770</v>
      </c>
      <c r="S1560">
        <f t="shared" si="181"/>
        <v>0</v>
      </c>
    </row>
    <row r="1561" spans="1:19" x14ac:dyDescent="0.3">
      <c r="A1561" s="17">
        <v>43790</v>
      </c>
      <c r="B1561">
        <v>226.17</v>
      </c>
      <c r="C1561">
        <v>62.1</v>
      </c>
      <c r="D1561">
        <f t="shared" si="178"/>
        <v>164.07</v>
      </c>
      <c r="E1561">
        <v>0.18</v>
      </c>
      <c r="F1561">
        <f t="shared" si="179"/>
        <v>-163.89</v>
      </c>
      <c r="I1561">
        <f t="shared" si="175"/>
        <v>21</v>
      </c>
      <c r="J1561">
        <v>1</v>
      </c>
      <c r="K1561">
        <f t="shared" si="176"/>
        <v>11</v>
      </c>
      <c r="L1561">
        <f t="shared" si="177"/>
        <v>2019</v>
      </c>
      <c r="N1561" s="17">
        <f t="shared" si="180"/>
        <v>43770</v>
      </c>
      <c r="S1561">
        <f t="shared" si="181"/>
        <v>0</v>
      </c>
    </row>
    <row r="1562" spans="1:19" x14ac:dyDescent="0.3">
      <c r="A1562" s="17">
        <v>43789</v>
      </c>
      <c r="B1562">
        <v>214.32</v>
      </c>
      <c r="C1562">
        <v>60.41</v>
      </c>
      <c r="D1562">
        <f t="shared" si="178"/>
        <v>153.91</v>
      </c>
      <c r="E1562">
        <v>0.19</v>
      </c>
      <c r="F1562">
        <f t="shared" si="179"/>
        <v>-153.72</v>
      </c>
      <c r="I1562">
        <f t="shared" si="175"/>
        <v>20</v>
      </c>
      <c r="J1562">
        <v>1</v>
      </c>
      <c r="K1562">
        <f t="shared" si="176"/>
        <v>11</v>
      </c>
      <c r="L1562">
        <f t="shared" si="177"/>
        <v>2019</v>
      </c>
      <c r="N1562" s="17">
        <f t="shared" si="180"/>
        <v>43770</v>
      </c>
      <c r="S1562">
        <f t="shared" si="181"/>
        <v>0</v>
      </c>
    </row>
    <row r="1563" spans="1:19" x14ac:dyDescent="0.3">
      <c r="A1563" s="17">
        <v>43788</v>
      </c>
      <c r="B1563">
        <v>221.5</v>
      </c>
      <c r="C1563">
        <v>61.81</v>
      </c>
      <c r="D1563">
        <f t="shared" si="178"/>
        <v>159.69</v>
      </c>
      <c r="E1563">
        <v>0.2</v>
      </c>
      <c r="F1563">
        <f t="shared" si="179"/>
        <v>-159.49</v>
      </c>
      <c r="I1563">
        <f t="shared" si="175"/>
        <v>19</v>
      </c>
      <c r="J1563">
        <v>1</v>
      </c>
      <c r="K1563">
        <f t="shared" si="176"/>
        <v>11</v>
      </c>
      <c r="L1563">
        <f t="shared" si="177"/>
        <v>2019</v>
      </c>
      <c r="N1563" s="17">
        <f t="shared" si="180"/>
        <v>43770</v>
      </c>
      <c r="S1563">
        <f t="shared" si="181"/>
        <v>0</v>
      </c>
    </row>
    <row r="1564" spans="1:19" x14ac:dyDescent="0.3">
      <c r="A1564" s="17">
        <v>43787</v>
      </c>
      <c r="B1564">
        <v>234.04</v>
      </c>
      <c r="C1564">
        <v>62.8</v>
      </c>
      <c r="D1564">
        <f t="shared" si="178"/>
        <v>171.24</v>
      </c>
      <c r="E1564">
        <v>0.3</v>
      </c>
      <c r="F1564">
        <f t="shared" si="179"/>
        <v>-170.94</v>
      </c>
      <c r="I1564">
        <f t="shared" si="175"/>
        <v>18</v>
      </c>
      <c r="J1564">
        <v>1</v>
      </c>
      <c r="K1564">
        <f t="shared" si="176"/>
        <v>11</v>
      </c>
      <c r="L1564">
        <f t="shared" si="177"/>
        <v>2019</v>
      </c>
      <c r="N1564" s="17">
        <f t="shared" si="180"/>
        <v>43770</v>
      </c>
      <c r="S1564">
        <f t="shared" si="181"/>
        <v>0</v>
      </c>
    </row>
    <row r="1565" spans="1:19" x14ac:dyDescent="0.3">
      <c r="A1565" s="17">
        <v>43784</v>
      </c>
      <c r="B1565">
        <v>217.26</v>
      </c>
      <c r="C1565">
        <v>61.91</v>
      </c>
      <c r="D1565">
        <f t="shared" si="178"/>
        <v>155.35</v>
      </c>
      <c r="E1565">
        <v>0.35</v>
      </c>
      <c r="F1565">
        <f t="shared" si="179"/>
        <v>-155</v>
      </c>
      <c r="I1565">
        <f t="shared" si="175"/>
        <v>15</v>
      </c>
      <c r="J1565">
        <v>1</v>
      </c>
      <c r="K1565">
        <f t="shared" si="176"/>
        <v>11</v>
      </c>
      <c r="L1565">
        <f t="shared" si="177"/>
        <v>2019</v>
      </c>
      <c r="N1565" s="17">
        <f t="shared" si="180"/>
        <v>43770</v>
      </c>
      <c r="S1565">
        <f t="shared" si="181"/>
        <v>0</v>
      </c>
    </row>
    <row r="1566" spans="1:19" x14ac:dyDescent="0.3">
      <c r="A1566" s="17">
        <v>43783</v>
      </c>
      <c r="B1566">
        <v>208.69</v>
      </c>
      <c r="C1566">
        <v>62.51</v>
      </c>
      <c r="D1566">
        <f t="shared" si="178"/>
        <v>146.18</v>
      </c>
      <c r="E1566">
        <v>0.34</v>
      </c>
      <c r="F1566">
        <f t="shared" si="179"/>
        <v>-145.84</v>
      </c>
      <c r="I1566">
        <f t="shared" si="175"/>
        <v>14</v>
      </c>
      <c r="J1566">
        <v>1</v>
      </c>
      <c r="K1566">
        <f t="shared" si="176"/>
        <v>11</v>
      </c>
      <c r="L1566">
        <f t="shared" si="177"/>
        <v>2019</v>
      </c>
      <c r="N1566" s="17">
        <f t="shared" si="180"/>
        <v>43770</v>
      </c>
      <c r="S1566">
        <f t="shared" si="181"/>
        <v>0</v>
      </c>
    </row>
    <row r="1567" spans="1:19" x14ac:dyDescent="0.3">
      <c r="A1567" s="17">
        <v>43782</v>
      </c>
      <c r="B1567">
        <v>218.43</v>
      </c>
      <c r="C1567">
        <v>61.45</v>
      </c>
      <c r="D1567">
        <f t="shared" si="178"/>
        <v>156.98000000000002</v>
      </c>
      <c r="E1567">
        <v>0.34</v>
      </c>
      <c r="F1567">
        <f t="shared" si="179"/>
        <v>-156.64000000000001</v>
      </c>
      <c r="I1567">
        <f t="shared" si="175"/>
        <v>13</v>
      </c>
      <c r="J1567">
        <v>1</v>
      </c>
      <c r="K1567">
        <f t="shared" si="176"/>
        <v>11</v>
      </c>
      <c r="L1567">
        <f t="shared" si="177"/>
        <v>2019</v>
      </c>
      <c r="N1567" s="17">
        <f t="shared" si="180"/>
        <v>43770</v>
      </c>
      <c r="S1567">
        <f t="shared" si="181"/>
        <v>0</v>
      </c>
    </row>
    <row r="1568" spans="1:19" x14ac:dyDescent="0.3">
      <c r="A1568" s="17">
        <v>43781</v>
      </c>
      <c r="B1568">
        <v>239.44</v>
      </c>
      <c r="C1568">
        <v>62.11</v>
      </c>
      <c r="D1568">
        <f t="shared" si="178"/>
        <v>177.32999999999998</v>
      </c>
      <c r="E1568">
        <v>0.41</v>
      </c>
      <c r="F1568">
        <f t="shared" si="179"/>
        <v>-176.92</v>
      </c>
      <c r="I1568">
        <f t="shared" si="175"/>
        <v>12</v>
      </c>
      <c r="J1568">
        <v>1</v>
      </c>
      <c r="K1568">
        <f t="shared" si="176"/>
        <v>11</v>
      </c>
      <c r="L1568">
        <f t="shared" si="177"/>
        <v>2019</v>
      </c>
      <c r="N1568" s="17">
        <f t="shared" si="180"/>
        <v>43770</v>
      </c>
      <c r="S1568">
        <f t="shared" si="181"/>
        <v>0</v>
      </c>
    </row>
    <row r="1569" spans="1:19" x14ac:dyDescent="0.3">
      <c r="A1569" s="17">
        <v>43780</v>
      </c>
      <c r="B1569">
        <v>246.28</v>
      </c>
      <c r="C1569">
        <v>61.12</v>
      </c>
      <c r="D1569">
        <f t="shared" si="178"/>
        <v>185.16</v>
      </c>
      <c r="E1569">
        <v>0.42</v>
      </c>
      <c r="F1569">
        <f t="shared" si="179"/>
        <v>-184.74</v>
      </c>
      <c r="I1569">
        <f t="shared" si="175"/>
        <v>11</v>
      </c>
      <c r="J1569">
        <v>1</v>
      </c>
      <c r="K1569">
        <f t="shared" si="176"/>
        <v>11</v>
      </c>
      <c r="L1569">
        <f t="shared" si="177"/>
        <v>2019</v>
      </c>
      <c r="N1569" s="17">
        <f t="shared" si="180"/>
        <v>43770</v>
      </c>
      <c r="S1569">
        <f t="shared" si="181"/>
        <v>0</v>
      </c>
    </row>
    <row r="1570" spans="1:19" x14ac:dyDescent="0.3">
      <c r="A1570" s="17">
        <v>43777</v>
      </c>
      <c r="B1570">
        <v>261.55</v>
      </c>
      <c r="C1570">
        <v>60.85</v>
      </c>
      <c r="D1570">
        <f t="shared" si="178"/>
        <v>200.70000000000002</v>
      </c>
      <c r="E1570">
        <v>0.48</v>
      </c>
      <c r="F1570">
        <f t="shared" si="179"/>
        <v>-200.22000000000003</v>
      </c>
      <c r="I1570">
        <f t="shared" si="175"/>
        <v>8</v>
      </c>
      <c r="J1570">
        <v>1</v>
      </c>
      <c r="K1570">
        <f t="shared" si="176"/>
        <v>11</v>
      </c>
      <c r="L1570">
        <f t="shared" si="177"/>
        <v>2019</v>
      </c>
      <c r="N1570" s="17">
        <f t="shared" si="180"/>
        <v>43770</v>
      </c>
      <c r="S1570">
        <f t="shared" si="181"/>
        <v>0</v>
      </c>
    </row>
    <row r="1571" spans="1:19" x14ac:dyDescent="0.3">
      <c r="A1571" s="17">
        <v>43776</v>
      </c>
      <c r="B1571">
        <v>278.06</v>
      </c>
      <c r="C1571">
        <v>61.15</v>
      </c>
      <c r="D1571">
        <f t="shared" si="178"/>
        <v>216.91</v>
      </c>
      <c r="E1571">
        <v>0.54</v>
      </c>
      <c r="F1571">
        <f t="shared" si="179"/>
        <v>-216.37</v>
      </c>
      <c r="I1571">
        <f t="shared" si="175"/>
        <v>7</v>
      </c>
      <c r="J1571">
        <v>1</v>
      </c>
      <c r="K1571">
        <f t="shared" si="176"/>
        <v>11</v>
      </c>
      <c r="L1571">
        <f t="shared" si="177"/>
        <v>2019</v>
      </c>
      <c r="N1571" s="17">
        <f t="shared" si="180"/>
        <v>43770</v>
      </c>
      <c r="S1571">
        <f t="shared" si="181"/>
        <v>0</v>
      </c>
    </row>
    <row r="1572" spans="1:19" x14ac:dyDescent="0.3">
      <c r="A1572" s="17">
        <v>43775</v>
      </c>
      <c r="B1572">
        <v>295.27999999999997</v>
      </c>
      <c r="C1572">
        <v>61.52</v>
      </c>
      <c r="D1572">
        <f t="shared" si="178"/>
        <v>233.75999999999996</v>
      </c>
      <c r="E1572">
        <v>0.6</v>
      </c>
      <c r="F1572">
        <f t="shared" si="179"/>
        <v>-233.15999999999997</v>
      </c>
      <c r="I1572">
        <f t="shared" si="175"/>
        <v>6</v>
      </c>
      <c r="J1572">
        <v>1</v>
      </c>
      <c r="K1572">
        <f t="shared" si="176"/>
        <v>11</v>
      </c>
      <c r="L1572">
        <f t="shared" si="177"/>
        <v>2019</v>
      </c>
      <c r="N1572" s="17">
        <f t="shared" si="180"/>
        <v>43770</v>
      </c>
      <c r="S1572">
        <f t="shared" si="181"/>
        <v>0</v>
      </c>
    </row>
    <row r="1573" spans="1:19" x14ac:dyDescent="0.3">
      <c r="A1573" s="17">
        <v>43774</v>
      </c>
      <c r="B1573">
        <v>300.12</v>
      </c>
      <c r="C1573">
        <v>61.31</v>
      </c>
      <c r="D1573">
        <f t="shared" si="178"/>
        <v>238.81</v>
      </c>
      <c r="E1573">
        <v>0.75</v>
      </c>
      <c r="F1573">
        <f t="shared" si="179"/>
        <v>-238.06</v>
      </c>
      <c r="I1573">
        <f t="shared" si="175"/>
        <v>5</v>
      </c>
      <c r="J1573">
        <v>1</v>
      </c>
      <c r="K1573">
        <f t="shared" si="176"/>
        <v>11</v>
      </c>
      <c r="L1573">
        <f t="shared" si="177"/>
        <v>2019</v>
      </c>
      <c r="N1573" s="17">
        <f t="shared" si="180"/>
        <v>43770</v>
      </c>
      <c r="S1573">
        <f t="shared" si="181"/>
        <v>0</v>
      </c>
    </row>
    <row r="1574" spans="1:19" x14ac:dyDescent="0.3">
      <c r="A1574" s="17">
        <v>43773</v>
      </c>
      <c r="B1574">
        <v>307.06</v>
      </c>
      <c r="C1574">
        <v>60.7</v>
      </c>
      <c r="D1574">
        <f t="shared" si="178"/>
        <v>246.36</v>
      </c>
      <c r="E1574">
        <v>0.99</v>
      </c>
      <c r="F1574">
        <f t="shared" si="179"/>
        <v>-245.37</v>
      </c>
      <c r="I1574">
        <f t="shared" si="175"/>
        <v>4</v>
      </c>
      <c r="J1574">
        <v>1</v>
      </c>
      <c r="K1574">
        <f t="shared" si="176"/>
        <v>11</v>
      </c>
      <c r="L1574">
        <f t="shared" si="177"/>
        <v>2019</v>
      </c>
      <c r="N1574" s="17">
        <f t="shared" si="180"/>
        <v>43770</v>
      </c>
      <c r="S1574">
        <f t="shared" si="181"/>
        <v>1</v>
      </c>
    </row>
    <row r="1575" spans="1:19" x14ac:dyDescent="0.3">
      <c r="A1575" s="17">
        <v>43770</v>
      </c>
      <c r="B1575">
        <v>299.67</v>
      </c>
      <c r="C1575">
        <v>58.7</v>
      </c>
      <c r="D1575">
        <f t="shared" si="178"/>
        <v>240.97000000000003</v>
      </c>
      <c r="E1575">
        <v>1.07</v>
      </c>
      <c r="F1575">
        <f t="shared" si="179"/>
        <v>-239.90000000000003</v>
      </c>
      <c r="I1575">
        <f t="shared" si="175"/>
        <v>1</v>
      </c>
      <c r="J1575">
        <v>1</v>
      </c>
      <c r="K1575">
        <f t="shared" si="176"/>
        <v>11</v>
      </c>
      <c r="L1575">
        <f t="shared" si="177"/>
        <v>2019</v>
      </c>
      <c r="N1575" s="17">
        <f t="shared" si="180"/>
        <v>43770</v>
      </c>
      <c r="S1575">
        <f t="shared" si="181"/>
        <v>1</v>
      </c>
    </row>
    <row r="1576" spans="1:19" x14ac:dyDescent="0.3">
      <c r="A1576" s="17">
        <v>43769</v>
      </c>
      <c r="B1576">
        <v>305.24</v>
      </c>
      <c r="C1576">
        <v>61.05</v>
      </c>
      <c r="D1576">
        <f t="shared" si="178"/>
        <v>244.19</v>
      </c>
      <c r="E1576">
        <v>0.87</v>
      </c>
      <c r="F1576">
        <f t="shared" si="179"/>
        <v>-243.32</v>
      </c>
      <c r="I1576">
        <f t="shared" si="175"/>
        <v>31</v>
      </c>
      <c r="J1576">
        <v>1</v>
      </c>
      <c r="K1576">
        <f t="shared" si="176"/>
        <v>10</v>
      </c>
      <c r="L1576">
        <f t="shared" si="177"/>
        <v>2019</v>
      </c>
      <c r="N1576" s="17">
        <f t="shared" si="180"/>
        <v>43739</v>
      </c>
      <c r="S1576">
        <f t="shared" si="181"/>
        <v>0</v>
      </c>
    </row>
    <row r="1577" spans="1:19" x14ac:dyDescent="0.3">
      <c r="A1577" s="17">
        <v>43768</v>
      </c>
      <c r="B1577">
        <v>299.73</v>
      </c>
      <c r="C1577">
        <v>61.31</v>
      </c>
      <c r="D1577">
        <f t="shared" si="178"/>
        <v>238.42000000000002</v>
      </c>
      <c r="E1577">
        <v>0.85</v>
      </c>
      <c r="F1577">
        <f t="shared" si="179"/>
        <v>-237.57000000000002</v>
      </c>
      <c r="I1577">
        <f t="shared" si="175"/>
        <v>30</v>
      </c>
      <c r="J1577">
        <v>1</v>
      </c>
      <c r="K1577">
        <f t="shared" si="176"/>
        <v>10</v>
      </c>
      <c r="L1577">
        <f t="shared" si="177"/>
        <v>2019</v>
      </c>
      <c r="N1577" s="17">
        <f t="shared" si="180"/>
        <v>43739</v>
      </c>
      <c r="S1577">
        <f t="shared" si="181"/>
        <v>0</v>
      </c>
    </row>
    <row r="1578" spans="1:19" x14ac:dyDescent="0.3">
      <c r="A1578" s="17">
        <v>43767</v>
      </c>
      <c r="B1578">
        <v>298.62</v>
      </c>
      <c r="C1578">
        <v>60.99</v>
      </c>
      <c r="D1578">
        <f t="shared" si="178"/>
        <v>237.63</v>
      </c>
      <c r="E1578">
        <v>0.94</v>
      </c>
      <c r="F1578">
        <f t="shared" si="179"/>
        <v>-236.69</v>
      </c>
      <c r="I1578">
        <f t="shared" si="175"/>
        <v>29</v>
      </c>
      <c r="J1578">
        <v>1</v>
      </c>
      <c r="K1578">
        <f t="shared" si="176"/>
        <v>10</v>
      </c>
      <c r="L1578">
        <f t="shared" si="177"/>
        <v>2019</v>
      </c>
      <c r="N1578" s="17">
        <f t="shared" si="180"/>
        <v>43739</v>
      </c>
      <c r="S1578">
        <f t="shared" si="181"/>
        <v>0</v>
      </c>
    </row>
    <row r="1579" spans="1:19" x14ac:dyDescent="0.3">
      <c r="A1579" s="17">
        <v>43763</v>
      </c>
      <c r="B1579">
        <v>307.13</v>
      </c>
      <c r="C1579">
        <v>61.45</v>
      </c>
      <c r="D1579">
        <f t="shared" si="178"/>
        <v>245.68</v>
      </c>
      <c r="E1579">
        <v>1.04</v>
      </c>
      <c r="F1579">
        <f t="shared" si="179"/>
        <v>-244.64000000000001</v>
      </c>
      <c r="I1579">
        <f t="shared" si="175"/>
        <v>25</v>
      </c>
      <c r="J1579">
        <v>1</v>
      </c>
      <c r="K1579">
        <f t="shared" si="176"/>
        <v>10</v>
      </c>
      <c r="L1579">
        <f t="shared" si="177"/>
        <v>2019</v>
      </c>
      <c r="N1579" s="17">
        <f t="shared" si="180"/>
        <v>43739</v>
      </c>
      <c r="S1579">
        <f t="shared" si="181"/>
        <v>0</v>
      </c>
    </row>
    <row r="1580" spans="1:19" x14ac:dyDescent="0.3">
      <c r="A1580" s="17">
        <v>43762</v>
      </c>
      <c r="B1580">
        <v>313.38</v>
      </c>
      <c r="C1580">
        <v>61.01</v>
      </c>
      <c r="D1580">
        <f t="shared" si="178"/>
        <v>252.37</v>
      </c>
      <c r="E1580">
        <v>1.1100000000000001</v>
      </c>
      <c r="F1580">
        <f t="shared" si="179"/>
        <v>-251.26</v>
      </c>
      <c r="I1580">
        <f t="shared" si="175"/>
        <v>24</v>
      </c>
      <c r="J1580">
        <v>1</v>
      </c>
      <c r="K1580">
        <f t="shared" si="176"/>
        <v>10</v>
      </c>
      <c r="L1580">
        <f t="shared" si="177"/>
        <v>2019</v>
      </c>
      <c r="N1580" s="17">
        <f t="shared" si="180"/>
        <v>43739</v>
      </c>
      <c r="S1580">
        <f t="shared" si="181"/>
        <v>0</v>
      </c>
    </row>
    <row r="1581" spans="1:19" x14ac:dyDescent="0.3">
      <c r="A1581" s="17">
        <v>43761</v>
      </c>
      <c r="B1581">
        <v>300.24</v>
      </c>
      <c r="C1581">
        <v>59.61</v>
      </c>
      <c r="D1581">
        <f t="shared" si="178"/>
        <v>240.63</v>
      </c>
      <c r="E1581">
        <v>1.08</v>
      </c>
      <c r="F1581">
        <f t="shared" si="179"/>
        <v>-239.54999999999998</v>
      </c>
      <c r="I1581">
        <f t="shared" si="175"/>
        <v>23</v>
      </c>
      <c r="J1581">
        <v>1</v>
      </c>
      <c r="K1581">
        <f t="shared" si="176"/>
        <v>10</v>
      </c>
      <c r="L1581">
        <f t="shared" si="177"/>
        <v>2019</v>
      </c>
      <c r="N1581" s="17">
        <f t="shared" si="180"/>
        <v>43739</v>
      </c>
      <c r="S1581">
        <f t="shared" si="181"/>
        <v>0</v>
      </c>
    </row>
    <row r="1582" spans="1:19" x14ac:dyDescent="0.3">
      <c r="A1582" s="17">
        <v>43760</v>
      </c>
      <c r="B1582">
        <v>293.18</v>
      </c>
      <c r="C1582">
        <v>58.9</v>
      </c>
      <c r="D1582">
        <f t="shared" si="178"/>
        <v>234.28</v>
      </c>
      <c r="E1582">
        <v>1.1000000000000001</v>
      </c>
      <c r="F1582">
        <f t="shared" si="179"/>
        <v>-233.18</v>
      </c>
      <c r="I1582">
        <f t="shared" si="175"/>
        <v>22</v>
      </c>
      <c r="J1582">
        <v>1</v>
      </c>
      <c r="K1582">
        <f t="shared" si="176"/>
        <v>10</v>
      </c>
      <c r="L1582">
        <f t="shared" si="177"/>
        <v>2019</v>
      </c>
      <c r="N1582" s="17">
        <f t="shared" si="180"/>
        <v>43739</v>
      </c>
      <c r="S1582">
        <f t="shared" si="181"/>
        <v>0</v>
      </c>
    </row>
    <row r="1583" spans="1:19" x14ac:dyDescent="0.3">
      <c r="A1583" s="17">
        <v>43759</v>
      </c>
      <c r="B1583">
        <v>298.39999999999998</v>
      </c>
      <c r="C1583">
        <v>59.41</v>
      </c>
      <c r="D1583">
        <f t="shared" si="178"/>
        <v>238.98999999999998</v>
      </c>
      <c r="E1583">
        <v>1.22</v>
      </c>
      <c r="F1583">
        <f t="shared" si="179"/>
        <v>-237.76999999999998</v>
      </c>
      <c r="I1583">
        <f t="shared" si="175"/>
        <v>21</v>
      </c>
      <c r="J1583">
        <v>1</v>
      </c>
      <c r="K1583">
        <f t="shared" si="176"/>
        <v>10</v>
      </c>
      <c r="L1583">
        <f t="shared" si="177"/>
        <v>2019</v>
      </c>
      <c r="N1583" s="17">
        <f t="shared" si="180"/>
        <v>43739</v>
      </c>
      <c r="S1583">
        <f t="shared" si="181"/>
        <v>0</v>
      </c>
    </row>
    <row r="1584" spans="1:19" x14ac:dyDescent="0.3">
      <c r="A1584" s="17">
        <v>43756</v>
      </c>
      <c r="B1584">
        <v>298.87</v>
      </c>
      <c r="C1584">
        <v>59.71</v>
      </c>
      <c r="D1584">
        <f t="shared" si="178"/>
        <v>239.16</v>
      </c>
      <c r="E1584">
        <v>1.1200000000000001</v>
      </c>
      <c r="F1584">
        <f t="shared" si="179"/>
        <v>-238.04</v>
      </c>
      <c r="I1584">
        <f t="shared" si="175"/>
        <v>18</v>
      </c>
      <c r="J1584">
        <v>1</v>
      </c>
      <c r="K1584">
        <f t="shared" si="176"/>
        <v>10</v>
      </c>
      <c r="L1584">
        <f t="shared" si="177"/>
        <v>2019</v>
      </c>
      <c r="N1584" s="17">
        <f t="shared" si="180"/>
        <v>43739</v>
      </c>
      <c r="S1584">
        <f t="shared" si="181"/>
        <v>0</v>
      </c>
    </row>
    <row r="1585" spans="1:19" x14ac:dyDescent="0.3">
      <c r="A1585" s="17">
        <v>43755</v>
      </c>
      <c r="B1585">
        <v>291.79000000000002</v>
      </c>
      <c r="C1585">
        <v>59.21</v>
      </c>
      <c r="D1585">
        <f t="shared" si="178"/>
        <v>232.58</v>
      </c>
      <c r="E1585">
        <v>1.41</v>
      </c>
      <c r="F1585">
        <f t="shared" si="179"/>
        <v>-231.17000000000002</v>
      </c>
      <c r="I1585">
        <f t="shared" si="175"/>
        <v>17</v>
      </c>
      <c r="J1585">
        <v>1</v>
      </c>
      <c r="K1585">
        <f t="shared" si="176"/>
        <v>10</v>
      </c>
      <c r="L1585">
        <f t="shared" si="177"/>
        <v>2019</v>
      </c>
      <c r="N1585" s="17">
        <f t="shared" si="180"/>
        <v>43739</v>
      </c>
      <c r="S1585">
        <f t="shared" si="181"/>
        <v>0</v>
      </c>
    </row>
    <row r="1586" spans="1:19" x14ac:dyDescent="0.3">
      <c r="A1586" s="17">
        <v>43754</v>
      </c>
      <c r="B1586">
        <v>283.13</v>
      </c>
      <c r="C1586">
        <v>58.755000000000003</v>
      </c>
      <c r="D1586">
        <f t="shared" si="178"/>
        <v>224.375</v>
      </c>
      <c r="E1586">
        <v>1.76</v>
      </c>
      <c r="F1586">
        <f t="shared" si="179"/>
        <v>-222.61500000000001</v>
      </c>
      <c r="I1586">
        <f t="shared" si="175"/>
        <v>16</v>
      </c>
      <c r="J1586">
        <v>1</v>
      </c>
      <c r="K1586">
        <f t="shared" si="176"/>
        <v>10</v>
      </c>
      <c r="L1586">
        <f t="shared" si="177"/>
        <v>2019</v>
      </c>
      <c r="N1586" s="17">
        <f t="shared" si="180"/>
        <v>43739</v>
      </c>
      <c r="S1586">
        <f t="shared" si="181"/>
        <v>0</v>
      </c>
    </row>
    <row r="1587" spans="1:19" x14ac:dyDescent="0.3">
      <c r="A1587" s="17">
        <v>43753</v>
      </c>
      <c r="B1587">
        <v>282.07</v>
      </c>
      <c r="C1587">
        <v>59.45</v>
      </c>
      <c r="D1587">
        <f t="shared" si="178"/>
        <v>222.62</v>
      </c>
      <c r="E1587">
        <v>1.66</v>
      </c>
      <c r="F1587">
        <f t="shared" si="179"/>
        <v>-220.96</v>
      </c>
      <c r="I1587">
        <f t="shared" si="175"/>
        <v>15</v>
      </c>
      <c r="J1587">
        <v>1</v>
      </c>
      <c r="K1587">
        <f t="shared" si="176"/>
        <v>10</v>
      </c>
      <c r="L1587">
        <f t="shared" si="177"/>
        <v>2019</v>
      </c>
      <c r="N1587" s="17">
        <f t="shared" si="180"/>
        <v>43739</v>
      </c>
      <c r="S1587">
        <f t="shared" si="181"/>
        <v>0</v>
      </c>
    </row>
    <row r="1588" spans="1:19" x14ac:dyDescent="0.3">
      <c r="A1588" s="17">
        <v>43752</v>
      </c>
      <c r="B1588">
        <v>285.89</v>
      </c>
      <c r="C1588">
        <v>60</v>
      </c>
      <c r="D1588">
        <f t="shared" si="178"/>
        <v>225.89</v>
      </c>
      <c r="E1588">
        <v>1.43</v>
      </c>
      <c r="F1588">
        <f t="shared" si="179"/>
        <v>-224.45999999999998</v>
      </c>
      <c r="I1588">
        <f t="shared" si="175"/>
        <v>14</v>
      </c>
      <c r="J1588">
        <v>1</v>
      </c>
      <c r="K1588">
        <f t="shared" si="176"/>
        <v>10</v>
      </c>
      <c r="L1588">
        <f t="shared" si="177"/>
        <v>2019</v>
      </c>
      <c r="N1588" s="17">
        <f t="shared" si="180"/>
        <v>43739</v>
      </c>
      <c r="S1588">
        <f t="shared" si="181"/>
        <v>0</v>
      </c>
    </row>
    <row r="1589" spans="1:19" x14ac:dyDescent="0.3">
      <c r="A1589" s="17">
        <v>43749</v>
      </c>
      <c r="B1589">
        <v>310.56</v>
      </c>
      <c r="C1589">
        <v>60.45</v>
      </c>
      <c r="D1589">
        <f t="shared" si="178"/>
        <v>250.11</v>
      </c>
      <c r="E1589">
        <v>1.29</v>
      </c>
      <c r="F1589">
        <f t="shared" si="179"/>
        <v>-248.82000000000002</v>
      </c>
      <c r="I1589">
        <f t="shared" si="175"/>
        <v>11</v>
      </c>
      <c r="J1589">
        <v>1</v>
      </c>
      <c r="K1589">
        <f t="shared" si="176"/>
        <v>10</v>
      </c>
      <c r="L1589">
        <f t="shared" si="177"/>
        <v>2019</v>
      </c>
      <c r="N1589" s="17">
        <f t="shared" si="180"/>
        <v>43739</v>
      </c>
      <c r="S1589">
        <f t="shared" si="181"/>
        <v>0</v>
      </c>
    </row>
    <row r="1590" spans="1:19" x14ac:dyDescent="0.3">
      <c r="A1590" s="17">
        <v>43748</v>
      </c>
      <c r="B1590">
        <v>284.66000000000003</v>
      </c>
      <c r="C1590">
        <v>57.74</v>
      </c>
      <c r="D1590">
        <f t="shared" si="178"/>
        <v>226.92000000000002</v>
      </c>
      <c r="E1590">
        <v>1.22</v>
      </c>
      <c r="F1590">
        <f t="shared" si="179"/>
        <v>-225.70000000000002</v>
      </c>
      <c r="I1590">
        <f t="shared" si="175"/>
        <v>10</v>
      </c>
      <c r="J1590">
        <v>1</v>
      </c>
      <c r="K1590">
        <f t="shared" si="176"/>
        <v>10</v>
      </c>
      <c r="L1590">
        <f t="shared" si="177"/>
        <v>2019</v>
      </c>
      <c r="N1590" s="17">
        <f t="shared" si="180"/>
        <v>43739</v>
      </c>
      <c r="S1590">
        <f t="shared" si="181"/>
        <v>0</v>
      </c>
    </row>
    <row r="1591" spans="1:19" x14ac:dyDescent="0.3">
      <c r="A1591" s="17">
        <v>43747</v>
      </c>
      <c r="B1591">
        <v>269.73</v>
      </c>
      <c r="C1591">
        <v>57.7</v>
      </c>
      <c r="D1591">
        <f t="shared" si="178"/>
        <v>212.03000000000003</v>
      </c>
      <c r="E1591">
        <v>1.1100000000000001</v>
      </c>
      <c r="F1591">
        <f t="shared" si="179"/>
        <v>-210.92000000000002</v>
      </c>
      <c r="I1591">
        <f t="shared" si="175"/>
        <v>9</v>
      </c>
      <c r="J1591">
        <v>1</v>
      </c>
      <c r="K1591">
        <f t="shared" si="176"/>
        <v>10</v>
      </c>
      <c r="L1591">
        <f t="shared" si="177"/>
        <v>2019</v>
      </c>
      <c r="N1591" s="17">
        <f t="shared" si="180"/>
        <v>43739</v>
      </c>
      <c r="S1591">
        <f t="shared" si="181"/>
        <v>0</v>
      </c>
    </row>
    <row r="1592" spans="1:19" x14ac:dyDescent="0.3">
      <c r="A1592" s="17">
        <v>43746</v>
      </c>
      <c r="B1592">
        <v>269.75</v>
      </c>
      <c r="C1592">
        <v>58.01</v>
      </c>
      <c r="D1592">
        <f t="shared" si="178"/>
        <v>211.74</v>
      </c>
      <c r="E1592">
        <v>1.02</v>
      </c>
      <c r="F1592">
        <f t="shared" si="179"/>
        <v>-210.72</v>
      </c>
      <c r="I1592">
        <f t="shared" si="175"/>
        <v>8</v>
      </c>
      <c r="J1592">
        <v>1</v>
      </c>
      <c r="K1592">
        <f t="shared" si="176"/>
        <v>10</v>
      </c>
      <c r="L1592">
        <f t="shared" si="177"/>
        <v>2019</v>
      </c>
      <c r="N1592" s="17">
        <f t="shared" si="180"/>
        <v>43739</v>
      </c>
      <c r="S1592">
        <f t="shared" si="181"/>
        <v>0</v>
      </c>
    </row>
    <row r="1593" spans="1:19" x14ac:dyDescent="0.3">
      <c r="A1593" s="17">
        <v>43745</v>
      </c>
      <c r="B1593">
        <v>280.17</v>
      </c>
      <c r="C1593">
        <v>58.255000000000003</v>
      </c>
      <c r="D1593">
        <f t="shared" si="178"/>
        <v>221.91500000000002</v>
      </c>
      <c r="E1593">
        <v>0.95</v>
      </c>
      <c r="F1593">
        <f t="shared" si="179"/>
        <v>-220.96500000000003</v>
      </c>
      <c r="I1593">
        <f t="shared" si="175"/>
        <v>7</v>
      </c>
      <c r="J1593">
        <v>1</v>
      </c>
      <c r="K1593">
        <f t="shared" si="176"/>
        <v>10</v>
      </c>
      <c r="L1593">
        <f t="shared" si="177"/>
        <v>2019</v>
      </c>
      <c r="N1593" s="17">
        <f t="shared" si="180"/>
        <v>43739</v>
      </c>
      <c r="S1593">
        <f t="shared" si="181"/>
        <v>0</v>
      </c>
    </row>
    <row r="1594" spans="1:19" x14ac:dyDescent="0.3">
      <c r="A1594" s="17">
        <v>43742</v>
      </c>
      <c r="B1594">
        <v>307.97000000000003</v>
      </c>
      <c r="C1594">
        <v>57.85</v>
      </c>
      <c r="D1594">
        <f t="shared" si="178"/>
        <v>250.12000000000003</v>
      </c>
      <c r="E1594">
        <v>0.84</v>
      </c>
      <c r="F1594">
        <f t="shared" si="179"/>
        <v>-249.28000000000003</v>
      </c>
      <c r="I1594">
        <f t="shared" si="175"/>
        <v>4</v>
      </c>
      <c r="J1594">
        <v>1</v>
      </c>
      <c r="K1594">
        <f t="shared" si="176"/>
        <v>10</v>
      </c>
      <c r="L1594">
        <f t="shared" si="177"/>
        <v>2019</v>
      </c>
      <c r="N1594" s="17">
        <f t="shared" si="180"/>
        <v>43739</v>
      </c>
      <c r="S1594">
        <f t="shared" si="181"/>
        <v>1</v>
      </c>
    </row>
    <row r="1595" spans="1:19" x14ac:dyDescent="0.3">
      <c r="A1595" s="17">
        <v>43741</v>
      </c>
      <c r="B1595">
        <v>323.13</v>
      </c>
      <c r="C1595">
        <v>57.4</v>
      </c>
      <c r="D1595">
        <f t="shared" si="178"/>
        <v>265.73</v>
      </c>
      <c r="E1595">
        <v>0.78</v>
      </c>
      <c r="F1595">
        <f t="shared" si="179"/>
        <v>-264.95000000000005</v>
      </c>
      <c r="I1595">
        <f t="shared" si="175"/>
        <v>3</v>
      </c>
      <c r="J1595">
        <v>1</v>
      </c>
      <c r="K1595">
        <f t="shared" si="176"/>
        <v>10</v>
      </c>
      <c r="L1595">
        <f t="shared" si="177"/>
        <v>2019</v>
      </c>
      <c r="N1595" s="17">
        <f t="shared" si="180"/>
        <v>43739</v>
      </c>
      <c r="S1595">
        <f t="shared" si="181"/>
        <v>1</v>
      </c>
    </row>
    <row r="1596" spans="1:19" x14ac:dyDescent="0.3">
      <c r="A1596" s="17">
        <v>43740</v>
      </c>
      <c r="B1596">
        <v>326.24</v>
      </c>
      <c r="C1596">
        <v>58.65</v>
      </c>
      <c r="D1596">
        <f t="shared" si="178"/>
        <v>267.59000000000003</v>
      </c>
      <c r="E1596">
        <v>0.61</v>
      </c>
      <c r="F1596">
        <f t="shared" si="179"/>
        <v>-266.98</v>
      </c>
      <c r="I1596">
        <f t="shared" si="175"/>
        <v>2</v>
      </c>
      <c r="J1596">
        <v>1</v>
      </c>
      <c r="K1596">
        <f t="shared" si="176"/>
        <v>10</v>
      </c>
      <c r="L1596">
        <f t="shared" si="177"/>
        <v>2019</v>
      </c>
      <c r="N1596" s="17">
        <f t="shared" si="180"/>
        <v>43739</v>
      </c>
      <c r="S1596">
        <f t="shared" si="181"/>
        <v>1</v>
      </c>
    </row>
    <row r="1597" spans="1:19" x14ac:dyDescent="0.3">
      <c r="A1597" s="17">
        <v>43739</v>
      </c>
      <c r="B1597">
        <v>334.17</v>
      </c>
      <c r="C1597">
        <v>59.2</v>
      </c>
      <c r="D1597">
        <f t="shared" si="178"/>
        <v>274.97000000000003</v>
      </c>
      <c r="E1597">
        <v>0.59</v>
      </c>
      <c r="F1597">
        <f t="shared" si="179"/>
        <v>-274.38000000000005</v>
      </c>
      <c r="I1597">
        <f t="shared" si="175"/>
        <v>1</v>
      </c>
      <c r="J1597">
        <v>1</v>
      </c>
      <c r="K1597">
        <f t="shared" si="176"/>
        <v>10</v>
      </c>
      <c r="L1597">
        <f t="shared" si="177"/>
        <v>2019</v>
      </c>
      <c r="N1597" s="17">
        <f t="shared" si="180"/>
        <v>43739</v>
      </c>
      <c r="S1597">
        <f t="shared" si="181"/>
        <v>1</v>
      </c>
    </row>
    <row r="1598" spans="1:19" x14ac:dyDescent="0.3">
      <c r="A1598" s="17">
        <v>43738</v>
      </c>
      <c r="B1598">
        <v>351</v>
      </c>
      <c r="C1598">
        <v>60.9</v>
      </c>
      <c r="D1598">
        <f t="shared" si="178"/>
        <v>290.10000000000002</v>
      </c>
      <c r="E1598">
        <v>0.42</v>
      </c>
      <c r="F1598">
        <f t="shared" si="179"/>
        <v>-289.68</v>
      </c>
      <c r="I1598">
        <f t="shared" si="175"/>
        <v>30</v>
      </c>
      <c r="J1598">
        <v>1</v>
      </c>
      <c r="K1598">
        <f t="shared" si="176"/>
        <v>9</v>
      </c>
      <c r="L1598">
        <f t="shared" si="177"/>
        <v>2019</v>
      </c>
      <c r="N1598" s="17">
        <f t="shared" si="180"/>
        <v>43709</v>
      </c>
      <c r="S1598">
        <f t="shared" si="181"/>
        <v>0</v>
      </c>
    </row>
    <row r="1599" spans="1:19" x14ac:dyDescent="0.3">
      <c r="A1599" s="17">
        <v>43735</v>
      </c>
      <c r="B1599">
        <v>395.37</v>
      </c>
      <c r="C1599">
        <v>62.06</v>
      </c>
      <c r="D1599">
        <f t="shared" si="178"/>
        <v>333.31</v>
      </c>
      <c r="E1599">
        <v>0.35</v>
      </c>
      <c r="F1599">
        <f t="shared" si="179"/>
        <v>-332.96</v>
      </c>
      <c r="I1599">
        <f t="shared" si="175"/>
        <v>27</v>
      </c>
      <c r="J1599">
        <v>1</v>
      </c>
      <c r="K1599">
        <f t="shared" si="176"/>
        <v>9</v>
      </c>
      <c r="L1599">
        <f t="shared" si="177"/>
        <v>2019</v>
      </c>
      <c r="N1599" s="17">
        <f t="shared" si="180"/>
        <v>43709</v>
      </c>
      <c r="S1599">
        <f t="shared" si="181"/>
        <v>0</v>
      </c>
    </row>
    <row r="1600" spans="1:19" x14ac:dyDescent="0.3">
      <c r="A1600" s="17">
        <v>43734</v>
      </c>
      <c r="B1600">
        <v>412.09</v>
      </c>
      <c r="C1600">
        <v>61.75</v>
      </c>
      <c r="D1600">
        <f t="shared" si="178"/>
        <v>350.34</v>
      </c>
      <c r="E1600">
        <v>0.33</v>
      </c>
      <c r="F1600">
        <f t="shared" si="179"/>
        <v>-350.01</v>
      </c>
      <c r="I1600">
        <f t="shared" si="175"/>
        <v>26</v>
      </c>
      <c r="J1600">
        <v>1</v>
      </c>
      <c r="K1600">
        <f t="shared" si="176"/>
        <v>9</v>
      </c>
      <c r="L1600">
        <f t="shared" si="177"/>
        <v>2019</v>
      </c>
      <c r="N1600" s="17">
        <f t="shared" si="180"/>
        <v>43709</v>
      </c>
      <c r="S1600">
        <f t="shared" si="181"/>
        <v>0</v>
      </c>
    </row>
    <row r="1601" spans="1:19" x14ac:dyDescent="0.3">
      <c r="A1601" s="17">
        <v>43733</v>
      </c>
      <c r="B1601">
        <v>399.42</v>
      </c>
      <c r="C1601">
        <v>61.55</v>
      </c>
      <c r="D1601">
        <f t="shared" si="178"/>
        <v>337.87</v>
      </c>
      <c r="E1601">
        <v>0.24</v>
      </c>
      <c r="F1601">
        <f t="shared" si="179"/>
        <v>-337.63</v>
      </c>
      <c r="I1601">
        <f t="shared" si="175"/>
        <v>25</v>
      </c>
      <c r="J1601">
        <v>1</v>
      </c>
      <c r="K1601">
        <f t="shared" si="176"/>
        <v>9</v>
      </c>
      <c r="L1601">
        <f t="shared" si="177"/>
        <v>2019</v>
      </c>
      <c r="N1601" s="17">
        <f t="shared" si="180"/>
        <v>43709</v>
      </c>
      <c r="S1601">
        <f t="shared" si="181"/>
        <v>0</v>
      </c>
    </row>
    <row r="1602" spans="1:19" x14ac:dyDescent="0.3">
      <c r="A1602" s="17">
        <v>43732</v>
      </c>
      <c r="B1602">
        <v>379.82</v>
      </c>
      <c r="C1602">
        <v>63.44</v>
      </c>
      <c r="D1602">
        <f t="shared" si="178"/>
        <v>316.38</v>
      </c>
      <c r="E1602">
        <v>0.3</v>
      </c>
      <c r="F1602">
        <f t="shared" si="179"/>
        <v>-316.08</v>
      </c>
      <c r="I1602">
        <f t="shared" si="175"/>
        <v>24</v>
      </c>
      <c r="J1602">
        <v>1</v>
      </c>
      <c r="K1602">
        <f t="shared" si="176"/>
        <v>9</v>
      </c>
      <c r="L1602">
        <f t="shared" si="177"/>
        <v>2019</v>
      </c>
      <c r="N1602" s="17">
        <f t="shared" si="180"/>
        <v>43709</v>
      </c>
      <c r="S1602">
        <f t="shared" si="181"/>
        <v>0</v>
      </c>
    </row>
    <row r="1603" spans="1:19" x14ac:dyDescent="0.3">
      <c r="A1603" s="17">
        <v>43731</v>
      </c>
      <c r="B1603">
        <v>414.25</v>
      </c>
      <c r="C1603">
        <v>63.56</v>
      </c>
      <c r="D1603">
        <f t="shared" si="178"/>
        <v>350.69</v>
      </c>
      <c r="E1603">
        <v>0.36</v>
      </c>
      <c r="F1603">
        <f t="shared" si="179"/>
        <v>-350.33</v>
      </c>
      <c r="I1603">
        <f t="shared" si="175"/>
        <v>23</v>
      </c>
      <c r="J1603">
        <v>1</v>
      </c>
      <c r="K1603">
        <f t="shared" si="176"/>
        <v>9</v>
      </c>
      <c r="L1603">
        <f t="shared" si="177"/>
        <v>2019</v>
      </c>
      <c r="N1603" s="17">
        <f t="shared" si="180"/>
        <v>43709</v>
      </c>
      <c r="S1603">
        <f t="shared" si="181"/>
        <v>0</v>
      </c>
    </row>
    <row r="1604" spans="1:19" x14ac:dyDescent="0.3">
      <c r="A1604" s="17">
        <v>43728</v>
      </c>
      <c r="B1604">
        <v>456.5</v>
      </c>
      <c r="C1604">
        <v>64.31</v>
      </c>
      <c r="D1604">
        <f t="shared" si="178"/>
        <v>392.19</v>
      </c>
      <c r="E1604">
        <v>0.34</v>
      </c>
      <c r="F1604">
        <f t="shared" si="179"/>
        <v>-391.85</v>
      </c>
      <c r="I1604">
        <f t="shared" si="175"/>
        <v>20</v>
      </c>
      <c r="J1604">
        <v>1</v>
      </c>
      <c r="K1604">
        <f t="shared" si="176"/>
        <v>9</v>
      </c>
      <c r="L1604">
        <f t="shared" si="177"/>
        <v>2019</v>
      </c>
      <c r="N1604" s="17">
        <f t="shared" si="180"/>
        <v>43709</v>
      </c>
      <c r="S1604">
        <f t="shared" si="181"/>
        <v>0</v>
      </c>
    </row>
    <row r="1605" spans="1:19" x14ac:dyDescent="0.3">
      <c r="A1605" s="17">
        <v>43727</v>
      </c>
      <c r="B1605">
        <v>427.16</v>
      </c>
      <c r="C1605">
        <v>63.204999999999998</v>
      </c>
      <c r="D1605">
        <f t="shared" si="178"/>
        <v>363.95500000000004</v>
      </c>
      <c r="E1605">
        <v>0.23</v>
      </c>
      <c r="F1605">
        <f t="shared" si="179"/>
        <v>-363.72500000000002</v>
      </c>
      <c r="I1605">
        <f t="shared" ref="I1605:I1668" si="182">+DAY(A1605)</f>
        <v>19</v>
      </c>
      <c r="J1605">
        <v>1</v>
      </c>
      <c r="K1605">
        <f t="shared" ref="K1605:K1668" si="183">+MONTH(A1605)</f>
        <v>9</v>
      </c>
      <c r="L1605">
        <f t="shared" ref="L1605:L1668" si="184">+YEAR(A1605)</f>
        <v>2019</v>
      </c>
      <c r="N1605" s="17">
        <f t="shared" si="180"/>
        <v>43709</v>
      </c>
      <c r="S1605">
        <f t="shared" si="181"/>
        <v>0</v>
      </c>
    </row>
    <row r="1606" spans="1:19" x14ac:dyDescent="0.3">
      <c r="A1606" s="17">
        <v>43726</v>
      </c>
      <c r="B1606">
        <v>463.37</v>
      </c>
      <c r="C1606">
        <v>63.32</v>
      </c>
      <c r="D1606">
        <f t="shared" ref="D1606:D1669" si="185">+B1606-C1606</f>
        <v>400.05</v>
      </c>
      <c r="E1606">
        <v>0.06</v>
      </c>
      <c r="F1606">
        <f t="shared" ref="F1606:F1669" si="186">+E1606-D1606</f>
        <v>-399.99</v>
      </c>
      <c r="I1606">
        <f t="shared" si="182"/>
        <v>18</v>
      </c>
      <c r="J1606">
        <v>1</v>
      </c>
      <c r="K1606">
        <f t="shared" si="183"/>
        <v>9</v>
      </c>
      <c r="L1606">
        <f t="shared" si="184"/>
        <v>2019</v>
      </c>
      <c r="N1606" s="17">
        <f t="shared" ref="N1606:N1669" si="187">+DATE(L1606,K1606,J1606)</f>
        <v>43709</v>
      </c>
      <c r="S1606">
        <f t="shared" ref="S1606:S1669" si="188">IF(AND(I1606&gt;=1, I1606&lt;=4), 1, 0)</f>
        <v>0</v>
      </c>
    </row>
    <row r="1607" spans="1:19" x14ac:dyDescent="0.3">
      <c r="A1607" s="17">
        <v>43725</v>
      </c>
      <c r="B1607">
        <v>518.9</v>
      </c>
      <c r="C1607">
        <v>67.55</v>
      </c>
      <c r="D1607">
        <f t="shared" si="185"/>
        <v>451.34999999999997</v>
      </c>
      <c r="E1607">
        <v>-0.19</v>
      </c>
      <c r="F1607">
        <f t="shared" si="186"/>
        <v>-451.53999999999996</v>
      </c>
      <c r="I1607">
        <f t="shared" si="182"/>
        <v>17</v>
      </c>
      <c r="J1607">
        <v>1</v>
      </c>
      <c r="K1607">
        <f t="shared" si="183"/>
        <v>9</v>
      </c>
      <c r="L1607">
        <f t="shared" si="184"/>
        <v>2019</v>
      </c>
      <c r="N1607" s="17">
        <f t="shared" si="187"/>
        <v>43709</v>
      </c>
      <c r="S1607">
        <f t="shared" si="188"/>
        <v>0</v>
      </c>
    </row>
    <row r="1608" spans="1:19" x14ac:dyDescent="0.3">
      <c r="A1608" s="17">
        <v>43724</v>
      </c>
      <c r="B1608">
        <v>445.78</v>
      </c>
      <c r="C1608">
        <v>63.854999999999997</v>
      </c>
      <c r="D1608">
        <f t="shared" si="185"/>
        <v>381.92499999999995</v>
      </c>
      <c r="E1608">
        <v>-0.15</v>
      </c>
      <c r="F1608">
        <f t="shared" si="186"/>
        <v>-382.07499999999993</v>
      </c>
      <c r="I1608">
        <f t="shared" si="182"/>
        <v>16</v>
      </c>
      <c r="J1608">
        <v>1</v>
      </c>
      <c r="K1608">
        <f t="shared" si="183"/>
        <v>9</v>
      </c>
      <c r="L1608">
        <f t="shared" si="184"/>
        <v>2019</v>
      </c>
      <c r="N1608" s="17">
        <f t="shared" si="187"/>
        <v>43709</v>
      </c>
      <c r="S1608">
        <f t="shared" si="188"/>
        <v>0</v>
      </c>
    </row>
    <row r="1609" spans="1:19" x14ac:dyDescent="0.3">
      <c r="A1609" s="17">
        <v>43721</v>
      </c>
      <c r="B1609">
        <v>419.17</v>
      </c>
      <c r="C1609">
        <v>58.33</v>
      </c>
      <c r="D1609">
        <f t="shared" si="185"/>
        <v>360.84000000000003</v>
      </c>
      <c r="E1609">
        <v>-0.14000000000000001</v>
      </c>
      <c r="F1609">
        <f t="shared" si="186"/>
        <v>-360.98</v>
      </c>
      <c r="I1609">
        <f t="shared" si="182"/>
        <v>13</v>
      </c>
      <c r="J1609">
        <v>1</v>
      </c>
      <c r="K1609">
        <f t="shared" si="183"/>
        <v>9</v>
      </c>
      <c r="L1609">
        <f t="shared" si="184"/>
        <v>2019</v>
      </c>
      <c r="N1609" s="17">
        <f t="shared" si="187"/>
        <v>43709</v>
      </c>
      <c r="S1609">
        <f t="shared" si="188"/>
        <v>0</v>
      </c>
    </row>
    <row r="1610" spans="1:19" x14ac:dyDescent="0.3">
      <c r="A1610" s="17">
        <v>43720</v>
      </c>
      <c r="B1610">
        <v>389.28</v>
      </c>
      <c r="C1610">
        <v>59.3</v>
      </c>
      <c r="D1610">
        <f t="shared" si="185"/>
        <v>329.97999999999996</v>
      </c>
      <c r="E1610">
        <v>-0.08</v>
      </c>
      <c r="F1610">
        <f t="shared" si="186"/>
        <v>-330.05999999999995</v>
      </c>
      <c r="I1610">
        <f t="shared" si="182"/>
        <v>12</v>
      </c>
      <c r="J1610">
        <v>1</v>
      </c>
      <c r="K1610">
        <f t="shared" si="183"/>
        <v>9</v>
      </c>
      <c r="L1610">
        <f t="shared" si="184"/>
        <v>2019</v>
      </c>
      <c r="N1610" s="17">
        <f t="shared" si="187"/>
        <v>43709</v>
      </c>
      <c r="S1610">
        <f t="shared" si="188"/>
        <v>0</v>
      </c>
    </row>
    <row r="1611" spans="1:19" x14ac:dyDescent="0.3">
      <c r="A1611" s="17">
        <v>43719</v>
      </c>
      <c r="B1611">
        <v>361.41</v>
      </c>
      <c r="C1611">
        <v>60.85</v>
      </c>
      <c r="D1611">
        <f t="shared" si="185"/>
        <v>300.56</v>
      </c>
      <c r="E1611">
        <v>-0.01</v>
      </c>
      <c r="F1611">
        <f t="shared" si="186"/>
        <v>-300.57</v>
      </c>
      <c r="I1611">
        <f t="shared" si="182"/>
        <v>11</v>
      </c>
      <c r="J1611">
        <v>1</v>
      </c>
      <c r="K1611">
        <f t="shared" si="183"/>
        <v>9</v>
      </c>
      <c r="L1611">
        <f t="shared" si="184"/>
        <v>2019</v>
      </c>
      <c r="N1611" s="17">
        <f t="shared" si="187"/>
        <v>43709</v>
      </c>
      <c r="S1611">
        <f t="shared" si="188"/>
        <v>0</v>
      </c>
    </row>
    <row r="1612" spans="1:19" x14ac:dyDescent="0.3">
      <c r="A1612" s="17">
        <v>43718</v>
      </c>
      <c r="B1612">
        <v>381.69</v>
      </c>
      <c r="C1612">
        <v>60.85</v>
      </c>
      <c r="D1612">
        <f t="shared" si="185"/>
        <v>320.83999999999997</v>
      </c>
      <c r="E1612">
        <v>-0.05</v>
      </c>
      <c r="F1612">
        <f t="shared" si="186"/>
        <v>-320.89</v>
      </c>
      <c r="I1612">
        <f t="shared" si="182"/>
        <v>10</v>
      </c>
      <c r="J1612">
        <v>1</v>
      </c>
      <c r="K1612">
        <f t="shared" si="183"/>
        <v>9</v>
      </c>
      <c r="L1612">
        <f t="shared" si="184"/>
        <v>2019</v>
      </c>
      <c r="N1612" s="17">
        <f t="shared" si="187"/>
        <v>43709</v>
      </c>
      <c r="S1612">
        <f t="shared" si="188"/>
        <v>0</v>
      </c>
    </row>
    <row r="1613" spans="1:19" x14ac:dyDescent="0.3">
      <c r="A1613" s="17">
        <v>43717</v>
      </c>
      <c r="B1613">
        <v>366.41</v>
      </c>
      <c r="C1613">
        <v>60.1</v>
      </c>
      <c r="D1613">
        <f t="shared" si="185"/>
        <v>306.31</v>
      </c>
      <c r="E1613">
        <v>0.06</v>
      </c>
      <c r="F1613">
        <f t="shared" si="186"/>
        <v>-306.25</v>
      </c>
      <c r="I1613">
        <f t="shared" si="182"/>
        <v>9</v>
      </c>
      <c r="J1613">
        <v>1</v>
      </c>
      <c r="K1613">
        <f t="shared" si="183"/>
        <v>9</v>
      </c>
      <c r="L1613">
        <f t="shared" si="184"/>
        <v>2019</v>
      </c>
      <c r="N1613" s="17">
        <f t="shared" si="187"/>
        <v>43709</v>
      </c>
      <c r="S1613">
        <f t="shared" si="188"/>
        <v>0</v>
      </c>
    </row>
    <row r="1614" spans="1:19" x14ac:dyDescent="0.3">
      <c r="A1614" s="17">
        <v>43714</v>
      </c>
      <c r="B1614">
        <v>376.53</v>
      </c>
      <c r="C1614">
        <v>59.244999999999997</v>
      </c>
      <c r="D1614">
        <f t="shared" si="185"/>
        <v>317.28499999999997</v>
      </c>
      <c r="E1614">
        <v>0.08</v>
      </c>
      <c r="F1614">
        <f t="shared" si="186"/>
        <v>-317.20499999999998</v>
      </c>
      <c r="I1614">
        <f t="shared" si="182"/>
        <v>6</v>
      </c>
      <c r="J1614">
        <v>1</v>
      </c>
      <c r="K1614">
        <f t="shared" si="183"/>
        <v>9</v>
      </c>
      <c r="L1614">
        <f t="shared" si="184"/>
        <v>2019</v>
      </c>
      <c r="N1614" s="17">
        <f t="shared" si="187"/>
        <v>43709</v>
      </c>
      <c r="S1614">
        <f t="shared" si="188"/>
        <v>0</v>
      </c>
    </row>
    <row r="1615" spans="1:19" x14ac:dyDescent="0.3">
      <c r="A1615" s="17">
        <v>43713</v>
      </c>
      <c r="B1615">
        <v>343.89</v>
      </c>
      <c r="C1615">
        <v>58.5</v>
      </c>
      <c r="D1615">
        <f t="shared" si="185"/>
        <v>285.39</v>
      </c>
      <c r="E1615">
        <v>0.08</v>
      </c>
      <c r="F1615">
        <f t="shared" si="186"/>
        <v>-285.31</v>
      </c>
      <c r="I1615">
        <f t="shared" si="182"/>
        <v>5</v>
      </c>
      <c r="J1615">
        <v>1</v>
      </c>
      <c r="K1615">
        <f t="shared" si="183"/>
        <v>9</v>
      </c>
      <c r="L1615">
        <f t="shared" si="184"/>
        <v>2019</v>
      </c>
      <c r="N1615" s="17">
        <f t="shared" si="187"/>
        <v>43709</v>
      </c>
      <c r="S1615">
        <f t="shared" si="188"/>
        <v>0</v>
      </c>
    </row>
    <row r="1616" spans="1:19" x14ac:dyDescent="0.3">
      <c r="A1616" s="17">
        <v>43712</v>
      </c>
      <c r="B1616">
        <v>340.9</v>
      </c>
      <c r="C1616">
        <v>56.69</v>
      </c>
      <c r="D1616">
        <f t="shared" si="185"/>
        <v>284.20999999999998</v>
      </c>
      <c r="E1616">
        <v>0.03</v>
      </c>
      <c r="F1616">
        <f t="shared" si="186"/>
        <v>-284.18</v>
      </c>
      <c r="I1616">
        <f t="shared" si="182"/>
        <v>4</v>
      </c>
      <c r="J1616">
        <v>1</v>
      </c>
      <c r="K1616">
        <f t="shared" si="183"/>
        <v>9</v>
      </c>
      <c r="L1616">
        <f t="shared" si="184"/>
        <v>2019</v>
      </c>
      <c r="N1616" s="17">
        <f t="shared" si="187"/>
        <v>43709</v>
      </c>
      <c r="S1616">
        <f t="shared" si="188"/>
        <v>1</v>
      </c>
    </row>
    <row r="1617" spans="1:19" x14ac:dyDescent="0.3">
      <c r="A1617" s="17">
        <v>43711</v>
      </c>
      <c r="B1617">
        <v>331.69</v>
      </c>
      <c r="C1617">
        <v>56.45</v>
      </c>
      <c r="D1617">
        <f t="shared" si="185"/>
        <v>275.24</v>
      </c>
      <c r="E1617">
        <v>0.12</v>
      </c>
      <c r="F1617">
        <f t="shared" si="186"/>
        <v>-275.12</v>
      </c>
      <c r="I1617">
        <f t="shared" si="182"/>
        <v>3</v>
      </c>
      <c r="J1617">
        <v>1</v>
      </c>
      <c r="K1617">
        <f t="shared" si="183"/>
        <v>9</v>
      </c>
      <c r="L1617">
        <f t="shared" si="184"/>
        <v>2019</v>
      </c>
      <c r="N1617" s="17">
        <f t="shared" si="187"/>
        <v>43709</v>
      </c>
      <c r="S1617">
        <f t="shared" si="188"/>
        <v>1</v>
      </c>
    </row>
    <row r="1618" spans="1:19" x14ac:dyDescent="0.3">
      <c r="A1618" s="17">
        <v>43710</v>
      </c>
      <c r="B1618">
        <v>338.42</v>
      </c>
      <c r="C1618">
        <v>57.6</v>
      </c>
      <c r="D1618">
        <f t="shared" si="185"/>
        <v>280.82</v>
      </c>
      <c r="E1618">
        <v>0.2</v>
      </c>
      <c r="F1618">
        <f t="shared" si="186"/>
        <v>-280.62</v>
      </c>
      <c r="I1618">
        <f t="shared" si="182"/>
        <v>2</v>
      </c>
      <c r="J1618">
        <v>1</v>
      </c>
      <c r="K1618">
        <f t="shared" si="183"/>
        <v>9</v>
      </c>
      <c r="L1618">
        <f t="shared" si="184"/>
        <v>2019</v>
      </c>
      <c r="N1618" s="17">
        <f t="shared" si="187"/>
        <v>43709</v>
      </c>
      <c r="S1618">
        <f t="shared" si="188"/>
        <v>1</v>
      </c>
    </row>
    <row r="1619" spans="1:19" x14ac:dyDescent="0.3">
      <c r="A1619" s="17">
        <v>43707</v>
      </c>
      <c r="B1619">
        <v>366.39</v>
      </c>
      <c r="C1619">
        <v>59.6</v>
      </c>
      <c r="D1619">
        <f t="shared" si="185"/>
        <v>306.78999999999996</v>
      </c>
      <c r="E1619">
        <v>0.27</v>
      </c>
      <c r="F1619">
        <f t="shared" si="186"/>
        <v>-306.52</v>
      </c>
      <c r="I1619">
        <f t="shared" si="182"/>
        <v>30</v>
      </c>
      <c r="J1619">
        <v>1</v>
      </c>
      <c r="K1619">
        <f t="shared" si="183"/>
        <v>8</v>
      </c>
      <c r="L1619">
        <f t="shared" si="184"/>
        <v>2019</v>
      </c>
      <c r="N1619" s="17">
        <f t="shared" si="187"/>
        <v>43678</v>
      </c>
      <c r="S1619">
        <f t="shared" si="188"/>
        <v>0</v>
      </c>
    </row>
    <row r="1620" spans="1:19" x14ac:dyDescent="0.3">
      <c r="A1620" s="17">
        <v>43706</v>
      </c>
      <c r="B1620">
        <v>360.18</v>
      </c>
      <c r="C1620">
        <v>59.3</v>
      </c>
      <c r="D1620">
        <f t="shared" si="185"/>
        <v>300.88</v>
      </c>
      <c r="E1620">
        <v>0.31</v>
      </c>
      <c r="F1620">
        <f t="shared" si="186"/>
        <v>-300.57</v>
      </c>
      <c r="I1620">
        <f t="shared" si="182"/>
        <v>29</v>
      </c>
      <c r="J1620">
        <v>1</v>
      </c>
      <c r="K1620">
        <f t="shared" si="183"/>
        <v>8</v>
      </c>
      <c r="L1620">
        <f t="shared" si="184"/>
        <v>2019</v>
      </c>
      <c r="N1620" s="17">
        <f t="shared" si="187"/>
        <v>43678</v>
      </c>
      <c r="S1620">
        <f t="shared" si="188"/>
        <v>0</v>
      </c>
    </row>
    <row r="1621" spans="1:19" x14ac:dyDescent="0.3">
      <c r="A1621" s="17">
        <v>43705</v>
      </c>
      <c r="B1621">
        <v>380.48</v>
      </c>
      <c r="C1621">
        <v>59</v>
      </c>
      <c r="D1621">
        <f t="shared" si="185"/>
        <v>321.48</v>
      </c>
      <c r="E1621">
        <v>0.24</v>
      </c>
      <c r="F1621">
        <f t="shared" si="186"/>
        <v>-321.24</v>
      </c>
      <c r="I1621">
        <f t="shared" si="182"/>
        <v>28</v>
      </c>
      <c r="J1621">
        <v>1</v>
      </c>
      <c r="K1621">
        <f t="shared" si="183"/>
        <v>8</v>
      </c>
      <c r="L1621">
        <f t="shared" si="184"/>
        <v>2019</v>
      </c>
      <c r="N1621" s="17">
        <f t="shared" si="187"/>
        <v>43678</v>
      </c>
      <c r="S1621">
        <f t="shared" si="188"/>
        <v>0</v>
      </c>
    </row>
    <row r="1622" spans="1:19" x14ac:dyDescent="0.3">
      <c r="A1622" s="17">
        <v>43704</v>
      </c>
      <c r="B1622">
        <v>360.27</v>
      </c>
      <c r="C1622">
        <v>58.06</v>
      </c>
      <c r="D1622">
        <f t="shared" si="185"/>
        <v>302.20999999999998</v>
      </c>
      <c r="E1622">
        <v>0.15</v>
      </c>
      <c r="F1622">
        <f t="shared" si="186"/>
        <v>-302.06</v>
      </c>
      <c r="I1622">
        <f t="shared" si="182"/>
        <v>27</v>
      </c>
      <c r="J1622">
        <v>1</v>
      </c>
      <c r="K1622">
        <f t="shared" si="183"/>
        <v>8</v>
      </c>
      <c r="L1622">
        <f t="shared" si="184"/>
        <v>2019</v>
      </c>
      <c r="N1622" s="17">
        <f t="shared" si="187"/>
        <v>43678</v>
      </c>
      <c r="S1622">
        <f t="shared" si="188"/>
        <v>0</v>
      </c>
    </row>
    <row r="1623" spans="1:19" x14ac:dyDescent="0.3">
      <c r="A1623" s="17">
        <v>43703</v>
      </c>
      <c r="B1623">
        <v>347.22</v>
      </c>
      <c r="C1623">
        <v>58.57</v>
      </c>
      <c r="D1623">
        <f t="shared" si="185"/>
        <v>288.65000000000003</v>
      </c>
      <c r="E1623">
        <v>0.17</v>
      </c>
      <c r="F1623">
        <f t="shared" si="186"/>
        <v>-288.48</v>
      </c>
      <c r="I1623">
        <f t="shared" si="182"/>
        <v>26</v>
      </c>
      <c r="J1623">
        <v>1</v>
      </c>
      <c r="K1623">
        <f t="shared" si="183"/>
        <v>8</v>
      </c>
      <c r="L1623">
        <f t="shared" si="184"/>
        <v>2019</v>
      </c>
      <c r="N1623" s="17">
        <f t="shared" si="187"/>
        <v>43678</v>
      </c>
      <c r="S1623">
        <f t="shared" si="188"/>
        <v>0</v>
      </c>
    </row>
    <row r="1624" spans="1:19" x14ac:dyDescent="0.3">
      <c r="A1624" s="17">
        <v>43700</v>
      </c>
      <c r="B1624">
        <v>343.64</v>
      </c>
      <c r="C1624">
        <v>59.42</v>
      </c>
      <c r="D1624">
        <f t="shared" si="185"/>
        <v>284.21999999999997</v>
      </c>
      <c r="E1624">
        <v>0.32</v>
      </c>
      <c r="F1624">
        <f t="shared" si="186"/>
        <v>-283.89999999999998</v>
      </c>
      <c r="I1624">
        <f t="shared" si="182"/>
        <v>23</v>
      </c>
      <c r="J1624">
        <v>1</v>
      </c>
      <c r="K1624">
        <f t="shared" si="183"/>
        <v>8</v>
      </c>
      <c r="L1624">
        <f t="shared" si="184"/>
        <v>2019</v>
      </c>
      <c r="N1624" s="17">
        <f t="shared" si="187"/>
        <v>43678</v>
      </c>
      <c r="S1624">
        <f t="shared" si="188"/>
        <v>0</v>
      </c>
    </row>
    <row r="1625" spans="1:19" x14ac:dyDescent="0.3">
      <c r="A1625" s="17">
        <v>43699</v>
      </c>
      <c r="B1625">
        <v>340.53</v>
      </c>
      <c r="C1625">
        <v>60.26</v>
      </c>
      <c r="D1625">
        <f t="shared" si="185"/>
        <v>280.27</v>
      </c>
      <c r="E1625">
        <v>0.31</v>
      </c>
      <c r="F1625">
        <f t="shared" si="186"/>
        <v>-279.95999999999998</v>
      </c>
      <c r="I1625">
        <f t="shared" si="182"/>
        <v>22</v>
      </c>
      <c r="J1625">
        <v>1</v>
      </c>
      <c r="K1625">
        <f t="shared" si="183"/>
        <v>8</v>
      </c>
      <c r="L1625">
        <f t="shared" si="184"/>
        <v>2019</v>
      </c>
      <c r="N1625" s="17">
        <f t="shared" si="187"/>
        <v>43678</v>
      </c>
      <c r="S1625">
        <f t="shared" si="188"/>
        <v>0</v>
      </c>
    </row>
    <row r="1626" spans="1:19" x14ac:dyDescent="0.3">
      <c r="A1626" s="17">
        <v>43698</v>
      </c>
      <c r="B1626">
        <v>325.33</v>
      </c>
      <c r="C1626">
        <v>60.05</v>
      </c>
      <c r="D1626">
        <f t="shared" si="185"/>
        <v>265.27999999999997</v>
      </c>
      <c r="E1626">
        <v>0.33</v>
      </c>
      <c r="F1626">
        <f t="shared" si="186"/>
        <v>-264.95</v>
      </c>
      <c r="I1626">
        <f t="shared" si="182"/>
        <v>21</v>
      </c>
      <c r="J1626">
        <v>1</v>
      </c>
      <c r="K1626">
        <f t="shared" si="183"/>
        <v>8</v>
      </c>
      <c r="L1626">
        <f t="shared" si="184"/>
        <v>2019</v>
      </c>
      <c r="N1626" s="17">
        <f t="shared" si="187"/>
        <v>43678</v>
      </c>
      <c r="S1626">
        <f t="shared" si="188"/>
        <v>0</v>
      </c>
    </row>
    <row r="1627" spans="1:19" x14ac:dyDescent="0.3">
      <c r="A1627" s="17">
        <v>43697</v>
      </c>
      <c r="B1627">
        <v>322.75</v>
      </c>
      <c r="C1627">
        <v>59.21</v>
      </c>
      <c r="D1627">
        <f t="shared" si="185"/>
        <v>263.54000000000002</v>
      </c>
      <c r="E1627">
        <v>0.44</v>
      </c>
      <c r="F1627">
        <f t="shared" si="186"/>
        <v>-263.10000000000002</v>
      </c>
      <c r="I1627">
        <f t="shared" si="182"/>
        <v>20</v>
      </c>
      <c r="J1627">
        <v>1</v>
      </c>
      <c r="K1627">
        <f t="shared" si="183"/>
        <v>8</v>
      </c>
      <c r="L1627">
        <f t="shared" si="184"/>
        <v>2019</v>
      </c>
      <c r="N1627" s="17">
        <f t="shared" si="187"/>
        <v>43678</v>
      </c>
      <c r="S1627">
        <f t="shared" si="188"/>
        <v>0</v>
      </c>
    </row>
    <row r="1628" spans="1:19" x14ac:dyDescent="0.3">
      <c r="A1628" s="17">
        <v>43696</v>
      </c>
      <c r="B1628">
        <v>319.95</v>
      </c>
      <c r="C1628">
        <v>58.38</v>
      </c>
      <c r="D1628">
        <f t="shared" si="185"/>
        <v>261.57</v>
      </c>
      <c r="E1628">
        <v>0.42</v>
      </c>
      <c r="F1628">
        <f t="shared" si="186"/>
        <v>-261.14999999999998</v>
      </c>
      <c r="I1628">
        <f t="shared" si="182"/>
        <v>19</v>
      </c>
      <c r="J1628">
        <v>1</v>
      </c>
      <c r="K1628">
        <f t="shared" si="183"/>
        <v>8</v>
      </c>
      <c r="L1628">
        <f t="shared" si="184"/>
        <v>2019</v>
      </c>
      <c r="N1628" s="17">
        <f t="shared" si="187"/>
        <v>43678</v>
      </c>
      <c r="S1628">
        <f t="shared" si="188"/>
        <v>0</v>
      </c>
    </row>
    <row r="1629" spans="1:19" x14ac:dyDescent="0.3">
      <c r="A1629" s="17">
        <v>43693</v>
      </c>
      <c r="B1629">
        <v>314.43</v>
      </c>
      <c r="C1629">
        <v>58.18</v>
      </c>
      <c r="D1629">
        <f t="shared" si="185"/>
        <v>256.25</v>
      </c>
      <c r="E1629">
        <v>0.42</v>
      </c>
      <c r="F1629">
        <f t="shared" si="186"/>
        <v>-255.83</v>
      </c>
      <c r="I1629">
        <f t="shared" si="182"/>
        <v>16</v>
      </c>
      <c r="J1629">
        <v>1</v>
      </c>
      <c r="K1629">
        <f t="shared" si="183"/>
        <v>8</v>
      </c>
      <c r="L1629">
        <f t="shared" si="184"/>
        <v>2019</v>
      </c>
      <c r="N1629" s="17">
        <f t="shared" si="187"/>
        <v>43678</v>
      </c>
      <c r="S1629">
        <f t="shared" si="188"/>
        <v>0</v>
      </c>
    </row>
    <row r="1630" spans="1:19" x14ac:dyDescent="0.3">
      <c r="A1630" s="17">
        <v>43692</v>
      </c>
      <c r="B1630">
        <v>306.49</v>
      </c>
      <c r="C1630">
        <v>58.31</v>
      </c>
      <c r="D1630">
        <f t="shared" si="185"/>
        <v>248.18</v>
      </c>
      <c r="E1630">
        <v>0.35</v>
      </c>
      <c r="F1630">
        <f t="shared" si="186"/>
        <v>-247.83</v>
      </c>
      <c r="I1630">
        <f t="shared" si="182"/>
        <v>15</v>
      </c>
      <c r="J1630">
        <v>1</v>
      </c>
      <c r="K1630">
        <f t="shared" si="183"/>
        <v>8</v>
      </c>
      <c r="L1630">
        <f t="shared" si="184"/>
        <v>2019</v>
      </c>
      <c r="N1630" s="17">
        <f t="shared" si="187"/>
        <v>43678</v>
      </c>
      <c r="S1630">
        <f t="shared" si="188"/>
        <v>0</v>
      </c>
    </row>
    <row r="1631" spans="1:19" x14ac:dyDescent="0.3">
      <c r="A1631" s="17">
        <v>43691</v>
      </c>
      <c r="B1631">
        <v>324.92</v>
      </c>
      <c r="C1631">
        <v>59.63</v>
      </c>
      <c r="D1631">
        <f t="shared" si="185"/>
        <v>265.29000000000002</v>
      </c>
      <c r="E1631">
        <v>0.22</v>
      </c>
      <c r="F1631">
        <f t="shared" si="186"/>
        <v>-265.07</v>
      </c>
      <c r="I1631">
        <f t="shared" si="182"/>
        <v>14</v>
      </c>
      <c r="J1631">
        <v>1</v>
      </c>
      <c r="K1631">
        <f t="shared" si="183"/>
        <v>8</v>
      </c>
      <c r="L1631">
        <f t="shared" si="184"/>
        <v>2019</v>
      </c>
      <c r="N1631" s="17">
        <f t="shared" si="187"/>
        <v>43678</v>
      </c>
      <c r="S1631">
        <f t="shared" si="188"/>
        <v>0</v>
      </c>
    </row>
    <row r="1632" spans="1:19" x14ac:dyDescent="0.3">
      <c r="A1632" s="17">
        <v>43690</v>
      </c>
      <c r="B1632">
        <v>309.39999999999998</v>
      </c>
      <c r="C1632">
        <v>57.75</v>
      </c>
      <c r="D1632">
        <f t="shared" si="185"/>
        <v>251.64999999999998</v>
      </c>
      <c r="E1632">
        <v>0.22</v>
      </c>
      <c r="F1632">
        <f t="shared" si="186"/>
        <v>-251.42999999999998</v>
      </c>
      <c r="I1632">
        <f t="shared" si="182"/>
        <v>13</v>
      </c>
      <c r="J1632">
        <v>1</v>
      </c>
      <c r="K1632">
        <f t="shared" si="183"/>
        <v>8</v>
      </c>
      <c r="L1632">
        <f t="shared" si="184"/>
        <v>2019</v>
      </c>
      <c r="N1632" s="17">
        <f t="shared" si="187"/>
        <v>43678</v>
      </c>
      <c r="S1632">
        <f t="shared" si="188"/>
        <v>0</v>
      </c>
    </row>
    <row r="1633" spans="1:19" x14ac:dyDescent="0.3">
      <c r="A1633" s="17">
        <v>43685</v>
      </c>
      <c r="B1633">
        <v>316.70999999999998</v>
      </c>
      <c r="C1633">
        <v>56.8</v>
      </c>
      <c r="D1633">
        <f t="shared" si="185"/>
        <v>259.90999999999997</v>
      </c>
      <c r="E1633">
        <v>0.04</v>
      </c>
      <c r="F1633">
        <f t="shared" si="186"/>
        <v>-259.86999999999995</v>
      </c>
      <c r="I1633">
        <f t="shared" si="182"/>
        <v>8</v>
      </c>
      <c r="J1633">
        <v>1</v>
      </c>
      <c r="K1633">
        <f t="shared" si="183"/>
        <v>8</v>
      </c>
      <c r="L1633">
        <f t="shared" si="184"/>
        <v>2019</v>
      </c>
      <c r="N1633" s="17">
        <f t="shared" si="187"/>
        <v>43678</v>
      </c>
      <c r="S1633">
        <f t="shared" si="188"/>
        <v>0</v>
      </c>
    </row>
    <row r="1634" spans="1:19" x14ac:dyDescent="0.3">
      <c r="A1634" s="17">
        <v>43684</v>
      </c>
      <c r="B1634">
        <v>337.12</v>
      </c>
      <c r="C1634">
        <v>57.87</v>
      </c>
      <c r="D1634">
        <f t="shared" si="185"/>
        <v>279.25</v>
      </c>
      <c r="E1634">
        <v>0.01</v>
      </c>
      <c r="F1634">
        <f t="shared" si="186"/>
        <v>-279.24</v>
      </c>
      <c r="I1634">
        <f t="shared" si="182"/>
        <v>7</v>
      </c>
      <c r="J1634">
        <v>1</v>
      </c>
      <c r="K1634">
        <f t="shared" si="183"/>
        <v>8</v>
      </c>
      <c r="L1634">
        <f t="shared" si="184"/>
        <v>2019</v>
      </c>
      <c r="N1634" s="17">
        <f t="shared" si="187"/>
        <v>43678</v>
      </c>
      <c r="S1634">
        <f t="shared" si="188"/>
        <v>0</v>
      </c>
    </row>
    <row r="1635" spans="1:19" x14ac:dyDescent="0.3">
      <c r="A1635" s="17">
        <v>43683</v>
      </c>
      <c r="B1635">
        <v>365.89</v>
      </c>
      <c r="C1635">
        <v>58.71</v>
      </c>
      <c r="D1635">
        <f t="shared" si="185"/>
        <v>307.18</v>
      </c>
      <c r="E1635">
        <v>0.01</v>
      </c>
      <c r="F1635">
        <f t="shared" si="186"/>
        <v>-307.17</v>
      </c>
      <c r="I1635">
        <f t="shared" si="182"/>
        <v>6</v>
      </c>
      <c r="J1635">
        <v>1</v>
      </c>
      <c r="K1635">
        <f t="shared" si="183"/>
        <v>8</v>
      </c>
      <c r="L1635">
        <f t="shared" si="184"/>
        <v>2019</v>
      </c>
      <c r="N1635" s="17">
        <f t="shared" si="187"/>
        <v>43678</v>
      </c>
      <c r="S1635">
        <f t="shared" si="188"/>
        <v>0</v>
      </c>
    </row>
    <row r="1636" spans="1:19" x14ac:dyDescent="0.3">
      <c r="A1636" s="17">
        <v>43682</v>
      </c>
      <c r="B1636">
        <v>381.51</v>
      </c>
      <c r="C1636">
        <v>59.65</v>
      </c>
      <c r="D1636">
        <f t="shared" si="185"/>
        <v>321.86</v>
      </c>
      <c r="E1636">
        <v>0.08</v>
      </c>
      <c r="F1636">
        <f t="shared" si="186"/>
        <v>-321.78000000000003</v>
      </c>
      <c r="I1636">
        <f t="shared" si="182"/>
        <v>5</v>
      </c>
      <c r="J1636">
        <v>1</v>
      </c>
      <c r="K1636">
        <f t="shared" si="183"/>
        <v>8</v>
      </c>
      <c r="L1636">
        <f t="shared" si="184"/>
        <v>2019</v>
      </c>
      <c r="N1636" s="17">
        <f t="shared" si="187"/>
        <v>43678</v>
      </c>
      <c r="S1636">
        <f t="shared" si="188"/>
        <v>0</v>
      </c>
    </row>
    <row r="1637" spans="1:19" x14ac:dyDescent="0.3">
      <c r="A1637" s="17">
        <v>43679</v>
      </c>
      <c r="B1637">
        <v>391.12</v>
      </c>
      <c r="C1637">
        <v>60.35</v>
      </c>
      <c r="D1637">
        <f t="shared" si="185"/>
        <v>330.77</v>
      </c>
      <c r="E1637">
        <v>0.1</v>
      </c>
      <c r="F1637">
        <f t="shared" si="186"/>
        <v>-330.66999999999996</v>
      </c>
      <c r="I1637">
        <f t="shared" si="182"/>
        <v>2</v>
      </c>
      <c r="J1637">
        <v>1</v>
      </c>
      <c r="K1637">
        <f t="shared" si="183"/>
        <v>8</v>
      </c>
      <c r="L1637">
        <f t="shared" si="184"/>
        <v>2019</v>
      </c>
      <c r="N1637" s="17">
        <f t="shared" si="187"/>
        <v>43678</v>
      </c>
      <c r="S1637">
        <f t="shared" si="188"/>
        <v>1</v>
      </c>
    </row>
    <row r="1638" spans="1:19" x14ac:dyDescent="0.3">
      <c r="A1638" s="17">
        <v>43678</v>
      </c>
      <c r="B1638">
        <v>432.3</v>
      </c>
      <c r="C1638">
        <v>63.01</v>
      </c>
      <c r="D1638">
        <f t="shared" si="185"/>
        <v>369.29</v>
      </c>
      <c r="E1638">
        <v>0.15</v>
      </c>
      <c r="F1638">
        <f t="shared" si="186"/>
        <v>-369.14000000000004</v>
      </c>
      <c r="I1638">
        <f t="shared" si="182"/>
        <v>1</v>
      </c>
      <c r="J1638">
        <v>1</v>
      </c>
      <c r="K1638">
        <f t="shared" si="183"/>
        <v>8</v>
      </c>
      <c r="L1638">
        <f t="shared" si="184"/>
        <v>2019</v>
      </c>
      <c r="N1638" s="17">
        <f t="shared" si="187"/>
        <v>43678</v>
      </c>
      <c r="S1638">
        <f t="shared" si="188"/>
        <v>1</v>
      </c>
    </row>
    <row r="1639" spans="1:19" x14ac:dyDescent="0.3">
      <c r="A1639" s="17">
        <v>43677</v>
      </c>
      <c r="B1639">
        <v>435.25</v>
      </c>
      <c r="C1639">
        <v>64.55</v>
      </c>
      <c r="D1639">
        <f t="shared" si="185"/>
        <v>370.7</v>
      </c>
      <c r="E1639">
        <v>0.24</v>
      </c>
      <c r="F1639">
        <f t="shared" si="186"/>
        <v>-370.46</v>
      </c>
      <c r="I1639">
        <f t="shared" si="182"/>
        <v>31</v>
      </c>
      <c r="J1639">
        <v>1</v>
      </c>
      <c r="K1639">
        <f t="shared" si="183"/>
        <v>7</v>
      </c>
      <c r="L1639">
        <f t="shared" si="184"/>
        <v>2019</v>
      </c>
      <c r="N1639" s="17">
        <f t="shared" si="187"/>
        <v>43647</v>
      </c>
      <c r="S1639">
        <f t="shared" si="188"/>
        <v>0</v>
      </c>
    </row>
    <row r="1640" spans="1:19" x14ac:dyDescent="0.3">
      <c r="A1640" s="17">
        <v>43676</v>
      </c>
      <c r="B1640">
        <v>418.96</v>
      </c>
      <c r="C1640">
        <v>63.6</v>
      </c>
      <c r="D1640">
        <f t="shared" si="185"/>
        <v>355.35999999999996</v>
      </c>
      <c r="E1640">
        <v>0.21</v>
      </c>
      <c r="F1640">
        <f t="shared" si="186"/>
        <v>-355.15</v>
      </c>
      <c r="I1640">
        <f t="shared" si="182"/>
        <v>30</v>
      </c>
      <c r="J1640">
        <v>1</v>
      </c>
      <c r="K1640">
        <f t="shared" si="183"/>
        <v>7</v>
      </c>
      <c r="L1640">
        <f t="shared" si="184"/>
        <v>2019</v>
      </c>
      <c r="N1640" s="17">
        <f t="shared" si="187"/>
        <v>43647</v>
      </c>
      <c r="S1640">
        <f t="shared" si="188"/>
        <v>0</v>
      </c>
    </row>
    <row r="1641" spans="1:19" x14ac:dyDescent="0.3">
      <c r="A1641" s="17">
        <v>43675</v>
      </c>
      <c r="B1641">
        <v>415.9</v>
      </c>
      <c r="C1641">
        <v>62.5</v>
      </c>
      <c r="D1641">
        <f t="shared" si="185"/>
        <v>353.4</v>
      </c>
      <c r="E1641">
        <v>0.19</v>
      </c>
      <c r="F1641">
        <f t="shared" si="186"/>
        <v>-353.21</v>
      </c>
      <c r="I1641">
        <f t="shared" si="182"/>
        <v>29</v>
      </c>
      <c r="J1641">
        <v>1</v>
      </c>
      <c r="K1641">
        <f t="shared" si="183"/>
        <v>7</v>
      </c>
      <c r="L1641">
        <f t="shared" si="184"/>
        <v>2019</v>
      </c>
      <c r="N1641" s="17">
        <f t="shared" si="187"/>
        <v>43647</v>
      </c>
      <c r="S1641">
        <f t="shared" si="188"/>
        <v>0</v>
      </c>
    </row>
    <row r="1642" spans="1:19" x14ac:dyDescent="0.3">
      <c r="A1642" s="17">
        <v>43672</v>
      </c>
      <c r="B1642">
        <v>417.81</v>
      </c>
      <c r="C1642">
        <v>62.81</v>
      </c>
      <c r="D1642">
        <f t="shared" si="185"/>
        <v>355</v>
      </c>
      <c r="E1642">
        <v>0.12</v>
      </c>
      <c r="F1642">
        <f t="shared" si="186"/>
        <v>-354.88</v>
      </c>
      <c r="I1642">
        <f t="shared" si="182"/>
        <v>26</v>
      </c>
      <c r="J1642">
        <v>1</v>
      </c>
      <c r="K1642">
        <f t="shared" si="183"/>
        <v>7</v>
      </c>
      <c r="L1642">
        <f t="shared" si="184"/>
        <v>2019</v>
      </c>
      <c r="N1642" s="17">
        <f t="shared" si="187"/>
        <v>43647</v>
      </c>
      <c r="S1642">
        <f t="shared" si="188"/>
        <v>0</v>
      </c>
    </row>
    <row r="1643" spans="1:19" x14ac:dyDescent="0.3">
      <c r="A1643" s="17">
        <v>43671</v>
      </c>
      <c r="B1643">
        <v>411.49</v>
      </c>
      <c r="C1643">
        <v>63.01</v>
      </c>
      <c r="D1643">
        <f t="shared" si="185"/>
        <v>348.48</v>
      </c>
      <c r="E1643">
        <v>0.12</v>
      </c>
      <c r="F1643">
        <f t="shared" si="186"/>
        <v>-348.36</v>
      </c>
      <c r="I1643">
        <f t="shared" si="182"/>
        <v>25</v>
      </c>
      <c r="J1643">
        <v>1</v>
      </c>
      <c r="K1643">
        <f t="shared" si="183"/>
        <v>7</v>
      </c>
      <c r="L1643">
        <f t="shared" si="184"/>
        <v>2019</v>
      </c>
      <c r="N1643" s="17">
        <f t="shared" si="187"/>
        <v>43647</v>
      </c>
      <c r="S1643">
        <f t="shared" si="188"/>
        <v>0</v>
      </c>
    </row>
    <row r="1644" spans="1:19" x14ac:dyDescent="0.3">
      <c r="A1644" s="17">
        <v>43670</v>
      </c>
      <c r="B1644">
        <v>407.42</v>
      </c>
      <c r="C1644">
        <v>63.17</v>
      </c>
      <c r="D1644">
        <f t="shared" si="185"/>
        <v>344.25</v>
      </c>
      <c r="E1644">
        <v>0.21</v>
      </c>
      <c r="F1644">
        <f t="shared" si="186"/>
        <v>-344.04</v>
      </c>
      <c r="I1644">
        <f t="shared" si="182"/>
        <v>24</v>
      </c>
      <c r="J1644">
        <v>1</v>
      </c>
      <c r="K1644">
        <f t="shared" si="183"/>
        <v>7</v>
      </c>
      <c r="L1644">
        <f t="shared" si="184"/>
        <v>2019</v>
      </c>
      <c r="N1644" s="17">
        <f t="shared" si="187"/>
        <v>43647</v>
      </c>
      <c r="S1644">
        <f t="shared" si="188"/>
        <v>0</v>
      </c>
    </row>
    <row r="1645" spans="1:19" x14ac:dyDescent="0.3">
      <c r="A1645" s="17">
        <v>43669</v>
      </c>
      <c r="B1645">
        <v>408.75</v>
      </c>
      <c r="C1645">
        <v>62.08</v>
      </c>
      <c r="D1645">
        <f t="shared" si="185"/>
        <v>346.67</v>
      </c>
      <c r="E1645">
        <v>0.25</v>
      </c>
      <c r="F1645">
        <f t="shared" si="186"/>
        <v>-346.42</v>
      </c>
      <c r="I1645">
        <f t="shared" si="182"/>
        <v>23</v>
      </c>
      <c r="J1645">
        <v>1</v>
      </c>
      <c r="K1645">
        <f t="shared" si="183"/>
        <v>7</v>
      </c>
      <c r="L1645">
        <f t="shared" si="184"/>
        <v>2019</v>
      </c>
      <c r="N1645" s="17">
        <f t="shared" si="187"/>
        <v>43647</v>
      </c>
      <c r="S1645">
        <f t="shared" si="188"/>
        <v>0</v>
      </c>
    </row>
    <row r="1646" spans="1:19" x14ac:dyDescent="0.3">
      <c r="A1646" s="17">
        <v>43668</v>
      </c>
      <c r="B1646">
        <v>424.16</v>
      </c>
      <c r="C1646">
        <v>62.71</v>
      </c>
      <c r="D1646">
        <f t="shared" si="185"/>
        <v>361.45000000000005</v>
      </c>
      <c r="E1646">
        <v>0.28999999999999998</v>
      </c>
      <c r="F1646">
        <f t="shared" si="186"/>
        <v>-361.16</v>
      </c>
      <c r="I1646">
        <f t="shared" si="182"/>
        <v>22</v>
      </c>
      <c r="J1646">
        <v>1</v>
      </c>
      <c r="K1646">
        <f t="shared" si="183"/>
        <v>7</v>
      </c>
      <c r="L1646">
        <f t="shared" si="184"/>
        <v>2019</v>
      </c>
      <c r="N1646" s="17">
        <f t="shared" si="187"/>
        <v>43647</v>
      </c>
      <c r="S1646">
        <f t="shared" si="188"/>
        <v>0</v>
      </c>
    </row>
    <row r="1647" spans="1:19" x14ac:dyDescent="0.3">
      <c r="A1647" s="17">
        <v>43665</v>
      </c>
      <c r="B1647">
        <v>423.53</v>
      </c>
      <c r="C1647">
        <v>61.54</v>
      </c>
      <c r="D1647">
        <f t="shared" si="185"/>
        <v>361.98999999999995</v>
      </c>
      <c r="E1647">
        <v>0.27</v>
      </c>
      <c r="F1647">
        <f t="shared" si="186"/>
        <v>-361.71999999999997</v>
      </c>
      <c r="I1647">
        <f t="shared" si="182"/>
        <v>19</v>
      </c>
      <c r="J1647">
        <v>1</v>
      </c>
      <c r="K1647">
        <f t="shared" si="183"/>
        <v>7</v>
      </c>
      <c r="L1647">
        <f t="shared" si="184"/>
        <v>2019</v>
      </c>
      <c r="N1647" s="17">
        <f t="shared" si="187"/>
        <v>43647</v>
      </c>
      <c r="S1647">
        <f t="shared" si="188"/>
        <v>0</v>
      </c>
    </row>
    <row r="1648" spans="1:19" x14ac:dyDescent="0.3">
      <c r="A1648" s="17">
        <v>43664</v>
      </c>
      <c r="B1648">
        <v>422.33</v>
      </c>
      <c r="C1648">
        <v>62.104999999999997</v>
      </c>
      <c r="D1648">
        <f t="shared" si="185"/>
        <v>360.22499999999997</v>
      </c>
      <c r="E1648">
        <v>0.24</v>
      </c>
      <c r="F1648">
        <f t="shared" si="186"/>
        <v>-359.98499999999996</v>
      </c>
      <c r="I1648">
        <f t="shared" si="182"/>
        <v>18</v>
      </c>
      <c r="J1648">
        <v>1</v>
      </c>
      <c r="K1648">
        <f t="shared" si="183"/>
        <v>7</v>
      </c>
      <c r="L1648">
        <f t="shared" si="184"/>
        <v>2019</v>
      </c>
      <c r="N1648" s="17">
        <f t="shared" si="187"/>
        <v>43647</v>
      </c>
      <c r="S1648">
        <f t="shared" si="188"/>
        <v>0</v>
      </c>
    </row>
    <row r="1649" spans="1:19" x14ac:dyDescent="0.3">
      <c r="A1649" s="17">
        <v>43663</v>
      </c>
      <c r="B1649">
        <v>424.6</v>
      </c>
      <c r="C1649">
        <v>63.2</v>
      </c>
      <c r="D1649">
        <f t="shared" si="185"/>
        <v>361.40000000000003</v>
      </c>
      <c r="E1649">
        <v>0.15</v>
      </c>
      <c r="F1649">
        <f t="shared" si="186"/>
        <v>-361.25000000000006</v>
      </c>
      <c r="I1649">
        <f t="shared" si="182"/>
        <v>17</v>
      </c>
      <c r="J1649">
        <v>1</v>
      </c>
      <c r="K1649">
        <f t="shared" si="183"/>
        <v>7</v>
      </c>
      <c r="L1649">
        <f t="shared" si="184"/>
        <v>2019</v>
      </c>
      <c r="N1649" s="17">
        <f t="shared" si="187"/>
        <v>43647</v>
      </c>
      <c r="S1649">
        <f t="shared" si="188"/>
        <v>0</v>
      </c>
    </row>
    <row r="1650" spans="1:19" x14ac:dyDescent="0.3">
      <c r="A1650" s="17">
        <v>43662</v>
      </c>
      <c r="B1650">
        <v>420.07</v>
      </c>
      <c r="C1650">
        <v>64.56</v>
      </c>
      <c r="D1650">
        <f t="shared" si="185"/>
        <v>355.51</v>
      </c>
      <c r="E1650">
        <v>0.06</v>
      </c>
      <c r="F1650">
        <f t="shared" si="186"/>
        <v>-355.45</v>
      </c>
      <c r="I1650">
        <f t="shared" si="182"/>
        <v>16</v>
      </c>
      <c r="J1650">
        <v>1</v>
      </c>
      <c r="K1650">
        <f t="shared" si="183"/>
        <v>7</v>
      </c>
      <c r="L1650">
        <f t="shared" si="184"/>
        <v>2019</v>
      </c>
      <c r="N1650" s="17">
        <f t="shared" si="187"/>
        <v>43647</v>
      </c>
      <c r="S1650">
        <f t="shared" si="188"/>
        <v>0</v>
      </c>
    </row>
    <row r="1651" spans="1:19" x14ac:dyDescent="0.3">
      <c r="A1651" s="17">
        <v>43661</v>
      </c>
      <c r="B1651">
        <v>431.56</v>
      </c>
      <c r="C1651">
        <v>65.19</v>
      </c>
      <c r="D1651">
        <f t="shared" si="185"/>
        <v>366.37</v>
      </c>
      <c r="E1651">
        <v>-0.04</v>
      </c>
      <c r="F1651">
        <f t="shared" si="186"/>
        <v>-366.41</v>
      </c>
      <c r="I1651">
        <f t="shared" si="182"/>
        <v>15</v>
      </c>
      <c r="J1651">
        <v>1</v>
      </c>
      <c r="K1651">
        <f t="shared" si="183"/>
        <v>7</v>
      </c>
      <c r="L1651">
        <f t="shared" si="184"/>
        <v>2019</v>
      </c>
      <c r="N1651" s="17">
        <f t="shared" si="187"/>
        <v>43647</v>
      </c>
      <c r="S1651">
        <f t="shared" si="188"/>
        <v>0</v>
      </c>
    </row>
    <row r="1652" spans="1:19" x14ac:dyDescent="0.3">
      <c r="A1652" s="17">
        <v>43658</v>
      </c>
      <c r="B1652">
        <v>455.62</v>
      </c>
      <c r="C1652">
        <v>65.855000000000004</v>
      </c>
      <c r="D1652">
        <f t="shared" si="185"/>
        <v>389.76499999999999</v>
      </c>
      <c r="E1652">
        <v>-0.08</v>
      </c>
      <c r="F1652">
        <f t="shared" si="186"/>
        <v>-389.84499999999997</v>
      </c>
      <c r="I1652">
        <f t="shared" si="182"/>
        <v>12</v>
      </c>
      <c r="J1652">
        <v>1</v>
      </c>
      <c r="K1652">
        <f t="shared" si="183"/>
        <v>7</v>
      </c>
      <c r="L1652">
        <f t="shared" si="184"/>
        <v>2019</v>
      </c>
      <c r="N1652" s="17">
        <f t="shared" si="187"/>
        <v>43647</v>
      </c>
      <c r="S1652">
        <f t="shared" si="188"/>
        <v>0</v>
      </c>
    </row>
    <row r="1653" spans="1:19" x14ac:dyDescent="0.3">
      <c r="A1653" s="17">
        <v>43657</v>
      </c>
      <c r="B1653">
        <v>476.43</v>
      </c>
      <c r="C1653">
        <v>65.930000000000007</v>
      </c>
      <c r="D1653">
        <f t="shared" si="185"/>
        <v>410.5</v>
      </c>
      <c r="E1653">
        <v>-0.11</v>
      </c>
      <c r="F1653">
        <f t="shared" si="186"/>
        <v>-410.61</v>
      </c>
      <c r="I1653">
        <f t="shared" si="182"/>
        <v>11</v>
      </c>
      <c r="J1653">
        <v>1</v>
      </c>
      <c r="K1653">
        <f t="shared" si="183"/>
        <v>7</v>
      </c>
      <c r="L1653">
        <f t="shared" si="184"/>
        <v>2019</v>
      </c>
      <c r="N1653" s="17">
        <f t="shared" si="187"/>
        <v>43647</v>
      </c>
      <c r="S1653">
        <f t="shared" si="188"/>
        <v>0</v>
      </c>
    </row>
    <row r="1654" spans="1:19" x14ac:dyDescent="0.3">
      <c r="A1654" s="17">
        <v>43656</v>
      </c>
      <c r="B1654">
        <v>441.62</v>
      </c>
      <c r="C1654">
        <v>63.854999999999997</v>
      </c>
      <c r="D1654">
        <f t="shared" si="185"/>
        <v>377.76499999999999</v>
      </c>
      <c r="E1654">
        <v>-0.13</v>
      </c>
      <c r="F1654">
        <f t="shared" si="186"/>
        <v>-377.89499999999998</v>
      </c>
      <c r="I1654">
        <f t="shared" si="182"/>
        <v>10</v>
      </c>
      <c r="J1654">
        <v>1</v>
      </c>
      <c r="K1654">
        <f t="shared" si="183"/>
        <v>7</v>
      </c>
      <c r="L1654">
        <f t="shared" si="184"/>
        <v>2019</v>
      </c>
      <c r="N1654" s="17">
        <f t="shared" si="187"/>
        <v>43647</v>
      </c>
      <c r="S1654">
        <f t="shared" si="188"/>
        <v>0</v>
      </c>
    </row>
    <row r="1655" spans="1:19" x14ac:dyDescent="0.3">
      <c r="A1655" s="17">
        <v>43655</v>
      </c>
      <c r="B1655">
        <v>421.8</v>
      </c>
      <c r="C1655">
        <v>62.6</v>
      </c>
      <c r="D1655">
        <f t="shared" si="185"/>
        <v>359.2</v>
      </c>
      <c r="E1655">
        <v>-0.15</v>
      </c>
      <c r="F1655">
        <f t="shared" si="186"/>
        <v>-359.34999999999997</v>
      </c>
      <c r="I1655">
        <f t="shared" si="182"/>
        <v>9</v>
      </c>
      <c r="J1655">
        <v>1</v>
      </c>
      <c r="K1655">
        <f t="shared" si="183"/>
        <v>7</v>
      </c>
      <c r="L1655">
        <f t="shared" si="184"/>
        <v>2019</v>
      </c>
      <c r="N1655" s="17">
        <f t="shared" si="187"/>
        <v>43647</v>
      </c>
      <c r="S1655">
        <f t="shared" si="188"/>
        <v>0</v>
      </c>
    </row>
    <row r="1656" spans="1:19" x14ac:dyDescent="0.3">
      <c r="A1656" s="17">
        <v>43654</v>
      </c>
      <c r="B1656">
        <v>422.51</v>
      </c>
      <c r="C1656">
        <v>63.3</v>
      </c>
      <c r="D1656">
        <f t="shared" si="185"/>
        <v>359.21</v>
      </c>
      <c r="E1656">
        <v>-0.21</v>
      </c>
      <c r="F1656">
        <f t="shared" si="186"/>
        <v>-359.41999999999996</v>
      </c>
      <c r="I1656">
        <f t="shared" si="182"/>
        <v>8</v>
      </c>
      <c r="J1656">
        <v>1</v>
      </c>
      <c r="K1656">
        <f t="shared" si="183"/>
        <v>7</v>
      </c>
      <c r="L1656">
        <f t="shared" si="184"/>
        <v>2019</v>
      </c>
      <c r="N1656" s="17">
        <f t="shared" si="187"/>
        <v>43647</v>
      </c>
      <c r="S1656">
        <f t="shared" si="188"/>
        <v>0</v>
      </c>
    </row>
    <row r="1657" spans="1:19" x14ac:dyDescent="0.3">
      <c r="A1657" s="17">
        <v>43651</v>
      </c>
      <c r="B1657">
        <v>413.81</v>
      </c>
      <c r="C1657">
        <v>61.6</v>
      </c>
      <c r="D1657">
        <f t="shared" si="185"/>
        <v>352.21</v>
      </c>
      <c r="E1657">
        <v>-0.21</v>
      </c>
      <c r="F1657">
        <f t="shared" si="186"/>
        <v>-352.41999999999996</v>
      </c>
      <c r="I1657">
        <f t="shared" si="182"/>
        <v>5</v>
      </c>
      <c r="J1657">
        <v>1</v>
      </c>
      <c r="K1657">
        <f t="shared" si="183"/>
        <v>7</v>
      </c>
      <c r="L1657">
        <f t="shared" si="184"/>
        <v>2019</v>
      </c>
      <c r="N1657" s="17">
        <f t="shared" si="187"/>
        <v>43647</v>
      </c>
      <c r="S1657">
        <f t="shared" si="188"/>
        <v>0</v>
      </c>
    </row>
    <row r="1658" spans="1:19" x14ac:dyDescent="0.3">
      <c r="A1658" s="17">
        <v>43650</v>
      </c>
      <c r="B1658">
        <v>412.16</v>
      </c>
      <c r="C1658">
        <v>61.72</v>
      </c>
      <c r="D1658">
        <f t="shared" si="185"/>
        <v>350.44000000000005</v>
      </c>
      <c r="E1658">
        <v>-0.2</v>
      </c>
      <c r="F1658">
        <f t="shared" si="186"/>
        <v>-350.64000000000004</v>
      </c>
      <c r="I1658">
        <f t="shared" si="182"/>
        <v>4</v>
      </c>
      <c r="J1658">
        <v>1</v>
      </c>
      <c r="K1658">
        <f t="shared" si="183"/>
        <v>7</v>
      </c>
      <c r="L1658">
        <f t="shared" si="184"/>
        <v>2019</v>
      </c>
      <c r="N1658" s="17">
        <f t="shared" si="187"/>
        <v>43647</v>
      </c>
      <c r="S1658">
        <f t="shared" si="188"/>
        <v>1</v>
      </c>
    </row>
    <row r="1659" spans="1:19" x14ac:dyDescent="0.3">
      <c r="A1659" s="17">
        <v>43649</v>
      </c>
      <c r="B1659">
        <v>398.31</v>
      </c>
      <c r="C1659">
        <v>60.645000000000003</v>
      </c>
      <c r="D1659">
        <f t="shared" si="185"/>
        <v>337.66500000000002</v>
      </c>
      <c r="E1659">
        <v>-0.15</v>
      </c>
      <c r="F1659">
        <f t="shared" si="186"/>
        <v>-337.815</v>
      </c>
      <c r="I1659">
        <f t="shared" si="182"/>
        <v>3</v>
      </c>
      <c r="J1659">
        <v>1</v>
      </c>
      <c r="K1659">
        <f t="shared" si="183"/>
        <v>7</v>
      </c>
      <c r="L1659">
        <f t="shared" si="184"/>
        <v>2019</v>
      </c>
      <c r="N1659" s="17">
        <f t="shared" si="187"/>
        <v>43647</v>
      </c>
      <c r="S1659">
        <f t="shared" si="188"/>
        <v>1</v>
      </c>
    </row>
    <row r="1660" spans="1:19" x14ac:dyDescent="0.3">
      <c r="A1660" s="17">
        <v>43648</v>
      </c>
      <c r="B1660">
        <v>402.79</v>
      </c>
      <c r="C1660">
        <v>63.405000000000001</v>
      </c>
      <c r="D1660">
        <f t="shared" si="185"/>
        <v>339.38499999999999</v>
      </c>
      <c r="E1660">
        <v>-0.17</v>
      </c>
      <c r="F1660">
        <f t="shared" si="186"/>
        <v>-339.55500000000001</v>
      </c>
      <c r="I1660">
        <f t="shared" si="182"/>
        <v>2</v>
      </c>
      <c r="J1660">
        <v>1</v>
      </c>
      <c r="K1660">
        <f t="shared" si="183"/>
        <v>7</v>
      </c>
      <c r="L1660">
        <f t="shared" si="184"/>
        <v>2019</v>
      </c>
      <c r="N1660" s="17">
        <f t="shared" si="187"/>
        <v>43647</v>
      </c>
      <c r="S1660">
        <f t="shared" si="188"/>
        <v>1</v>
      </c>
    </row>
    <row r="1661" spans="1:19" x14ac:dyDescent="0.3">
      <c r="A1661" s="17">
        <v>43647</v>
      </c>
      <c r="B1661">
        <v>419.64</v>
      </c>
      <c r="C1661">
        <v>64.900000000000006</v>
      </c>
      <c r="D1661">
        <f t="shared" si="185"/>
        <v>354.74</v>
      </c>
      <c r="E1661">
        <v>-0.16</v>
      </c>
      <c r="F1661">
        <f t="shared" si="186"/>
        <v>-354.90000000000003</v>
      </c>
      <c r="I1661">
        <f t="shared" si="182"/>
        <v>1</v>
      </c>
      <c r="J1661">
        <v>1</v>
      </c>
      <c r="K1661">
        <f t="shared" si="183"/>
        <v>7</v>
      </c>
      <c r="L1661">
        <f t="shared" si="184"/>
        <v>2019</v>
      </c>
      <c r="N1661" s="17">
        <f t="shared" si="187"/>
        <v>43647</v>
      </c>
      <c r="S1661">
        <f t="shared" si="188"/>
        <v>1</v>
      </c>
    </row>
    <row r="1662" spans="1:19" x14ac:dyDescent="0.3">
      <c r="A1662" s="17">
        <v>43644</v>
      </c>
      <c r="B1662">
        <v>410.19</v>
      </c>
      <c r="C1662">
        <v>64.89</v>
      </c>
      <c r="D1662">
        <f t="shared" si="185"/>
        <v>345.3</v>
      </c>
      <c r="E1662">
        <v>-0.14000000000000001</v>
      </c>
      <c r="F1662">
        <f t="shared" si="186"/>
        <v>-345.44</v>
      </c>
      <c r="I1662">
        <f t="shared" si="182"/>
        <v>28</v>
      </c>
      <c r="J1662">
        <v>1</v>
      </c>
      <c r="K1662">
        <f t="shared" si="183"/>
        <v>6</v>
      </c>
      <c r="L1662">
        <f t="shared" si="184"/>
        <v>2019</v>
      </c>
      <c r="N1662" s="17">
        <f t="shared" si="187"/>
        <v>43617</v>
      </c>
      <c r="S1662">
        <f t="shared" si="188"/>
        <v>0</v>
      </c>
    </row>
    <row r="1663" spans="1:19" x14ac:dyDescent="0.3">
      <c r="A1663" s="17">
        <v>43643</v>
      </c>
      <c r="B1663">
        <v>405.04</v>
      </c>
      <c r="C1663">
        <v>64.400000000000006</v>
      </c>
      <c r="D1663">
        <f t="shared" si="185"/>
        <v>340.64</v>
      </c>
      <c r="E1663">
        <v>-0.13</v>
      </c>
      <c r="F1663">
        <f t="shared" si="186"/>
        <v>-340.77</v>
      </c>
      <c r="I1663">
        <f t="shared" si="182"/>
        <v>27</v>
      </c>
      <c r="J1663">
        <v>1</v>
      </c>
      <c r="K1663">
        <f t="shared" si="183"/>
        <v>6</v>
      </c>
      <c r="L1663">
        <f t="shared" si="184"/>
        <v>2019</v>
      </c>
      <c r="N1663" s="17">
        <f t="shared" si="187"/>
        <v>43617</v>
      </c>
      <c r="S1663">
        <f t="shared" si="188"/>
        <v>0</v>
      </c>
    </row>
    <row r="1664" spans="1:19" x14ac:dyDescent="0.3">
      <c r="A1664" s="17">
        <v>43642</v>
      </c>
      <c r="B1664">
        <v>393.23</v>
      </c>
      <c r="C1664">
        <v>64.260000000000005</v>
      </c>
      <c r="D1664">
        <f t="shared" si="185"/>
        <v>328.97</v>
      </c>
      <c r="E1664">
        <v>-0.12</v>
      </c>
      <c r="F1664">
        <f t="shared" si="186"/>
        <v>-329.09000000000003</v>
      </c>
      <c r="I1664">
        <f t="shared" si="182"/>
        <v>26</v>
      </c>
      <c r="J1664">
        <v>1</v>
      </c>
      <c r="K1664">
        <f t="shared" si="183"/>
        <v>6</v>
      </c>
      <c r="L1664">
        <f t="shared" si="184"/>
        <v>2019</v>
      </c>
      <c r="N1664" s="17">
        <f t="shared" si="187"/>
        <v>43617</v>
      </c>
      <c r="S1664">
        <f t="shared" si="188"/>
        <v>0</v>
      </c>
    </row>
    <row r="1665" spans="1:19" x14ac:dyDescent="0.3">
      <c r="A1665" s="17">
        <v>43641</v>
      </c>
      <c r="B1665">
        <v>388.69</v>
      </c>
      <c r="C1665">
        <v>63.35</v>
      </c>
      <c r="D1665">
        <f t="shared" si="185"/>
        <v>325.33999999999997</v>
      </c>
      <c r="E1665">
        <v>-0.13</v>
      </c>
      <c r="F1665">
        <f t="shared" si="186"/>
        <v>-325.46999999999997</v>
      </c>
      <c r="I1665">
        <f t="shared" si="182"/>
        <v>25</v>
      </c>
      <c r="J1665">
        <v>1</v>
      </c>
      <c r="K1665">
        <f t="shared" si="183"/>
        <v>6</v>
      </c>
      <c r="L1665">
        <f t="shared" si="184"/>
        <v>2019</v>
      </c>
      <c r="N1665" s="17">
        <f t="shared" si="187"/>
        <v>43617</v>
      </c>
      <c r="S1665">
        <f t="shared" si="188"/>
        <v>0</v>
      </c>
    </row>
    <row r="1666" spans="1:19" x14ac:dyDescent="0.3">
      <c r="A1666" s="17">
        <v>43640</v>
      </c>
      <c r="B1666">
        <v>386.95</v>
      </c>
      <c r="C1666">
        <v>63.994999999999997</v>
      </c>
      <c r="D1666">
        <f t="shared" si="185"/>
        <v>322.95499999999998</v>
      </c>
      <c r="E1666">
        <v>-0.06</v>
      </c>
      <c r="F1666">
        <f t="shared" si="186"/>
        <v>-323.01499999999999</v>
      </c>
      <c r="I1666">
        <f t="shared" si="182"/>
        <v>24</v>
      </c>
      <c r="J1666">
        <v>1</v>
      </c>
      <c r="K1666">
        <f t="shared" si="183"/>
        <v>6</v>
      </c>
      <c r="L1666">
        <f t="shared" si="184"/>
        <v>2019</v>
      </c>
      <c r="N1666" s="17">
        <f t="shared" si="187"/>
        <v>43617</v>
      </c>
      <c r="S1666">
        <f t="shared" si="188"/>
        <v>0</v>
      </c>
    </row>
    <row r="1667" spans="1:19" x14ac:dyDescent="0.3">
      <c r="A1667" s="17">
        <v>43637</v>
      </c>
      <c r="B1667">
        <v>380.83</v>
      </c>
      <c r="C1667">
        <v>64.2</v>
      </c>
      <c r="D1667">
        <f t="shared" si="185"/>
        <v>316.63</v>
      </c>
      <c r="E1667">
        <v>-0.04</v>
      </c>
      <c r="F1667">
        <f t="shared" si="186"/>
        <v>-316.67</v>
      </c>
      <c r="I1667">
        <f t="shared" si="182"/>
        <v>21</v>
      </c>
      <c r="J1667">
        <v>1</v>
      </c>
      <c r="K1667">
        <f t="shared" si="183"/>
        <v>6</v>
      </c>
      <c r="L1667">
        <f t="shared" si="184"/>
        <v>2019</v>
      </c>
      <c r="N1667" s="17">
        <f t="shared" si="187"/>
        <v>43617</v>
      </c>
      <c r="S1667">
        <f t="shared" si="188"/>
        <v>0</v>
      </c>
    </row>
    <row r="1668" spans="1:19" x14ac:dyDescent="0.3">
      <c r="A1668" s="17">
        <v>43636</v>
      </c>
      <c r="B1668">
        <v>373.9</v>
      </c>
      <c r="C1668">
        <v>62.59</v>
      </c>
      <c r="D1668">
        <f t="shared" si="185"/>
        <v>311.30999999999995</v>
      </c>
      <c r="E1668">
        <v>-0.01</v>
      </c>
      <c r="F1668">
        <f t="shared" si="186"/>
        <v>-311.31999999999994</v>
      </c>
      <c r="I1668">
        <f t="shared" si="182"/>
        <v>20</v>
      </c>
      <c r="J1668">
        <v>1</v>
      </c>
      <c r="K1668">
        <f t="shared" si="183"/>
        <v>6</v>
      </c>
      <c r="L1668">
        <f t="shared" si="184"/>
        <v>2019</v>
      </c>
      <c r="N1668" s="17">
        <f t="shared" si="187"/>
        <v>43617</v>
      </c>
      <c r="S1668">
        <f t="shared" si="188"/>
        <v>0</v>
      </c>
    </row>
    <row r="1669" spans="1:19" x14ac:dyDescent="0.3">
      <c r="A1669" s="17">
        <v>43635</v>
      </c>
      <c r="B1669">
        <v>369.21</v>
      </c>
      <c r="C1669">
        <v>61.19</v>
      </c>
      <c r="D1669">
        <f t="shared" si="185"/>
        <v>308.02</v>
      </c>
      <c r="E1669">
        <v>0.02</v>
      </c>
      <c r="F1669">
        <f t="shared" si="186"/>
        <v>-308</v>
      </c>
      <c r="I1669">
        <f t="shared" ref="I1669:I1732" si="189">+DAY(A1669)</f>
        <v>19</v>
      </c>
      <c r="J1669">
        <v>1</v>
      </c>
      <c r="K1669">
        <f t="shared" ref="K1669:K1732" si="190">+MONTH(A1669)</f>
        <v>6</v>
      </c>
      <c r="L1669">
        <f t="shared" ref="L1669:L1732" si="191">+YEAR(A1669)</f>
        <v>2019</v>
      </c>
      <c r="N1669" s="17">
        <f t="shared" si="187"/>
        <v>43617</v>
      </c>
      <c r="S1669">
        <f t="shared" si="188"/>
        <v>0</v>
      </c>
    </row>
    <row r="1670" spans="1:19" x14ac:dyDescent="0.3">
      <c r="A1670" s="17">
        <v>43634</v>
      </c>
      <c r="B1670">
        <v>355.71</v>
      </c>
      <c r="C1670">
        <v>59.89</v>
      </c>
      <c r="D1670">
        <f t="shared" ref="D1670:D1733" si="192">+B1670-C1670</f>
        <v>295.82</v>
      </c>
      <c r="E1670">
        <v>-0.05</v>
      </c>
      <c r="F1670">
        <f t="shared" ref="F1670:F1733" si="193">+E1670-D1670</f>
        <v>-295.87</v>
      </c>
      <c r="I1670">
        <f t="shared" si="189"/>
        <v>18</v>
      </c>
      <c r="J1670">
        <v>1</v>
      </c>
      <c r="K1670">
        <f t="shared" si="190"/>
        <v>6</v>
      </c>
      <c r="L1670">
        <f t="shared" si="191"/>
        <v>2019</v>
      </c>
      <c r="N1670" s="17">
        <f t="shared" ref="N1670:N1733" si="194">+DATE(L1670,K1670,J1670)</f>
        <v>43617</v>
      </c>
      <c r="S1670">
        <f t="shared" ref="S1670:S1733" si="195">IF(AND(I1670&gt;=1, I1670&lt;=4), 1, 0)</f>
        <v>0</v>
      </c>
    </row>
    <row r="1671" spans="1:19" x14ac:dyDescent="0.3">
      <c r="A1671" s="17">
        <v>43633</v>
      </c>
      <c r="B1671">
        <v>362.03</v>
      </c>
      <c r="C1671">
        <v>60.71</v>
      </c>
      <c r="D1671">
        <f t="shared" si="192"/>
        <v>301.32</v>
      </c>
      <c r="E1671">
        <v>-0.14000000000000001</v>
      </c>
      <c r="F1671">
        <f t="shared" si="193"/>
        <v>-301.45999999999998</v>
      </c>
      <c r="I1671">
        <f t="shared" si="189"/>
        <v>17</v>
      </c>
      <c r="J1671">
        <v>1</v>
      </c>
      <c r="K1671">
        <f t="shared" si="190"/>
        <v>6</v>
      </c>
      <c r="L1671">
        <f t="shared" si="191"/>
        <v>2019</v>
      </c>
      <c r="N1671" s="17">
        <f t="shared" si="194"/>
        <v>43617</v>
      </c>
      <c r="S1671">
        <f t="shared" si="195"/>
        <v>0</v>
      </c>
    </row>
    <row r="1672" spans="1:19" x14ac:dyDescent="0.3">
      <c r="A1672" s="17">
        <v>43630</v>
      </c>
      <c r="B1672">
        <v>354.97</v>
      </c>
      <c r="C1672">
        <v>59.89</v>
      </c>
      <c r="D1672">
        <f t="shared" si="192"/>
        <v>295.08000000000004</v>
      </c>
      <c r="E1672">
        <v>-0.15</v>
      </c>
      <c r="F1672">
        <f t="shared" si="193"/>
        <v>-295.23</v>
      </c>
      <c r="I1672">
        <f t="shared" si="189"/>
        <v>14</v>
      </c>
      <c r="J1672">
        <v>1</v>
      </c>
      <c r="K1672">
        <f t="shared" si="190"/>
        <v>6</v>
      </c>
      <c r="L1672">
        <f t="shared" si="191"/>
        <v>2019</v>
      </c>
      <c r="N1672" s="17">
        <f t="shared" si="194"/>
        <v>43617</v>
      </c>
      <c r="S1672">
        <f t="shared" si="195"/>
        <v>0</v>
      </c>
    </row>
    <row r="1673" spans="1:19" x14ac:dyDescent="0.3">
      <c r="A1673" s="17">
        <v>43629</v>
      </c>
      <c r="B1673">
        <v>358.26</v>
      </c>
      <c r="C1673">
        <v>60.3</v>
      </c>
      <c r="D1673">
        <f t="shared" si="192"/>
        <v>297.95999999999998</v>
      </c>
      <c r="E1673">
        <v>-0.16</v>
      </c>
      <c r="F1673">
        <f t="shared" si="193"/>
        <v>-298.12</v>
      </c>
      <c r="I1673">
        <f t="shared" si="189"/>
        <v>13</v>
      </c>
      <c r="J1673">
        <v>1</v>
      </c>
      <c r="K1673">
        <f t="shared" si="190"/>
        <v>6</v>
      </c>
      <c r="L1673">
        <f t="shared" si="191"/>
        <v>2019</v>
      </c>
      <c r="N1673" s="17">
        <f t="shared" si="194"/>
        <v>43617</v>
      </c>
      <c r="S1673">
        <f t="shared" si="195"/>
        <v>0</v>
      </c>
    </row>
    <row r="1674" spans="1:19" x14ac:dyDescent="0.3">
      <c r="A1674" s="17">
        <v>43628</v>
      </c>
      <c r="B1674">
        <v>363.49</v>
      </c>
      <c r="C1674">
        <v>59.884999999999998</v>
      </c>
      <c r="D1674">
        <f t="shared" si="192"/>
        <v>303.60500000000002</v>
      </c>
      <c r="E1674">
        <v>-0.26</v>
      </c>
      <c r="F1674">
        <f t="shared" si="193"/>
        <v>-303.86500000000001</v>
      </c>
      <c r="I1674">
        <f t="shared" si="189"/>
        <v>12</v>
      </c>
      <c r="J1674">
        <v>1</v>
      </c>
      <c r="K1674">
        <f t="shared" si="190"/>
        <v>6</v>
      </c>
      <c r="L1674">
        <f t="shared" si="191"/>
        <v>2019</v>
      </c>
      <c r="N1674" s="17">
        <f t="shared" si="194"/>
        <v>43617</v>
      </c>
      <c r="S1674">
        <f t="shared" si="195"/>
        <v>0</v>
      </c>
    </row>
    <row r="1675" spans="1:19" x14ac:dyDescent="0.3">
      <c r="A1675" s="17">
        <v>43627</v>
      </c>
      <c r="B1675">
        <v>376.98</v>
      </c>
      <c r="C1675">
        <v>61.25</v>
      </c>
      <c r="D1675">
        <f t="shared" si="192"/>
        <v>315.73</v>
      </c>
      <c r="E1675">
        <v>-0.21</v>
      </c>
      <c r="F1675">
        <f t="shared" si="193"/>
        <v>-315.94</v>
      </c>
      <c r="I1675">
        <f t="shared" si="189"/>
        <v>11</v>
      </c>
      <c r="J1675">
        <v>1</v>
      </c>
      <c r="K1675">
        <f t="shared" si="190"/>
        <v>6</v>
      </c>
      <c r="L1675">
        <f t="shared" si="191"/>
        <v>2019</v>
      </c>
      <c r="N1675" s="17">
        <f t="shared" si="194"/>
        <v>43617</v>
      </c>
      <c r="S1675">
        <f t="shared" si="195"/>
        <v>0</v>
      </c>
    </row>
    <row r="1676" spans="1:19" x14ac:dyDescent="0.3">
      <c r="A1676" s="17">
        <v>43626</v>
      </c>
      <c r="B1676">
        <v>380.71</v>
      </c>
      <c r="C1676">
        <v>61.89</v>
      </c>
      <c r="D1676">
        <f t="shared" si="192"/>
        <v>318.82</v>
      </c>
      <c r="E1676">
        <v>-0.17</v>
      </c>
      <c r="F1676">
        <f t="shared" si="193"/>
        <v>-318.99</v>
      </c>
      <c r="I1676">
        <f t="shared" si="189"/>
        <v>10</v>
      </c>
      <c r="J1676">
        <v>1</v>
      </c>
      <c r="K1676">
        <f t="shared" si="190"/>
        <v>6</v>
      </c>
      <c r="L1676">
        <f t="shared" si="191"/>
        <v>2019</v>
      </c>
      <c r="N1676" s="17">
        <f t="shared" si="194"/>
        <v>43617</v>
      </c>
      <c r="S1676">
        <f t="shared" si="195"/>
        <v>0</v>
      </c>
    </row>
    <row r="1677" spans="1:19" x14ac:dyDescent="0.3">
      <c r="A1677" s="17">
        <v>43623</v>
      </c>
      <c r="B1677">
        <v>385.43</v>
      </c>
      <c r="C1677">
        <v>61.19</v>
      </c>
      <c r="D1677">
        <f t="shared" si="192"/>
        <v>324.24</v>
      </c>
      <c r="E1677">
        <v>-0.16</v>
      </c>
      <c r="F1677">
        <f t="shared" si="193"/>
        <v>-324.40000000000003</v>
      </c>
      <c r="I1677">
        <f t="shared" si="189"/>
        <v>7</v>
      </c>
      <c r="J1677">
        <v>1</v>
      </c>
      <c r="K1677">
        <f t="shared" si="190"/>
        <v>6</v>
      </c>
      <c r="L1677">
        <f t="shared" si="191"/>
        <v>2019</v>
      </c>
      <c r="N1677" s="17">
        <f t="shared" si="194"/>
        <v>43617</v>
      </c>
      <c r="S1677">
        <f t="shared" si="195"/>
        <v>0</v>
      </c>
    </row>
    <row r="1678" spans="1:19" x14ac:dyDescent="0.3">
      <c r="A1678" s="17">
        <v>43622</v>
      </c>
      <c r="B1678">
        <v>368.56</v>
      </c>
      <c r="C1678">
        <v>59.33</v>
      </c>
      <c r="D1678">
        <f t="shared" si="192"/>
        <v>309.23</v>
      </c>
      <c r="E1678">
        <v>-0.13</v>
      </c>
      <c r="F1678">
        <f t="shared" si="193"/>
        <v>-309.36</v>
      </c>
      <c r="I1678">
        <f t="shared" si="189"/>
        <v>6</v>
      </c>
      <c r="J1678">
        <v>1</v>
      </c>
      <c r="K1678">
        <f t="shared" si="190"/>
        <v>6</v>
      </c>
      <c r="L1678">
        <f t="shared" si="191"/>
        <v>2019</v>
      </c>
      <c r="N1678" s="17">
        <f t="shared" si="194"/>
        <v>43617</v>
      </c>
      <c r="S1678">
        <f t="shared" si="195"/>
        <v>0</v>
      </c>
    </row>
    <row r="1679" spans="1:19" x14ac:dyDescent="0.3">
      <c r="A1679" s="17">
        <v>43620</v>
      </c>
      <c r="B1679">
        <v>365.56</v>
      </c>
      <c r="C1679">
        <v>60.05</v>
      </c>
      <c r="D1679">
        <f t="shared" si="192"/>
        <v>305.51</v>
      </c>
      <c r="E1679">
        <v>-0.16</v>
      </c>
      <c r="F1679">
        <f t="shared" si="193"/>
        <v>-305.67</v>
      </c>
      <c r="I1679">
        <f t="shared" si="189"/>
        <v>4</v>
      </c>
      <c r="J1679">
        <v>1</v>
      </c>
      <c r="K1679">
        <f t="shared" si="190"/>
        <v>6</v>
      </c>
      <c r="L1679">
        <f t="shared" si="191"/>
        <v>2019</v>
      </c>
      <c r="N1679" s="17">
        <f t="shared" si="194"/>
        <v>43617</v>
      </c>
      <c r="S1679">
        <f t="shared" si="195"/>
        <v>1</v>
      </c>
    </row>
    <row r="1680" spans="1:19" x14ac:dyDescent="0.3">
      <c r="A1680" s="17">
        <v>43619</v>
      </c>
      <c r="B1680">
        <v>363.73</v>
      </c>
      <c r="C1680">
        <v>60.16</v>
      </c>
      <c r="D1680">
        <f t="shared" si="192"/>
        <v>303.57000000000005</v>
      </c>
      <c r="E1680">
        <v>-0.08</v>
      </c>
      <c r="F1680">
        <f t="shared" si="193"/>
        <v>-303.65000000000003</v>
      </c>
      <c r="I1680">
        <f t="shared" si="189"/>
        <v>3</v>
      </c>
      <c r="J1680">
        <v>1</v>
      </c>
      <c r="K1680">
        <f t="shared" si="190"/>
        <v>6</v>
      </c>
      <c r="L1680">
        <f t="shared" si="191"/>
        <v>2019</v>
      </c>
      <c r="N1680" s="17">
        <f t="shared" si="194"/>
        <v>43617</v>
      </c>
      <c r="S1680">
        <f t="shared" si="195"/>
        <v>1</v>
      </c>
    </row>
    <row r="1681" spans="1:19" x14ac:dyDescent="0.3">
      <c r="A1681" s="17">
        <v>43616</v>
      </c>
      <c r="B1681">
        <v>384.25</v>
      </c>
      <c r="C1681">
        <v>63.81</v>
      </c>
      <c r="D1681">
        <f t="shared" si="192"/>
        <v>320.44</v>
      </c>
      <c r="E1681">
        <v>0.02</v>
      </c>
      <c r="F1681">
        <f t="shared" si="193"/>
        <v>-320.42</v>
      </c>
      <c r="I1681">
        <f t="shared" si="189"/>
        <v>31</v>
      </c>
      <c r="J1681">
        <v>1</v>
      </c>
      <c r="K1681">
        <f t="shared" si="190"/>
        <v>5</v>
      </c>
      <c r="L1681">
        <f t="shared" si="191"/>
        <v>2019</v>
      </c>
      <c r="N1681" s="17">
        <f t="shared" si="194"/>
        <v>43586</v>
      </c>
      <c r="S1681">
        <f t="shared" si="195"/>
        <v>0</v>
      </c>
    </row>
    <row r="1682" spans="1:19" x14ac:dyDescent="0.3">
      <c r="A1682" s="17">
        <v>43615</v>
      </c>
      <c r="B1682">
        <v>394.65</v>
      </c>
      <c r="C1682">
        <v>67.150000000000006</v>
      </c>
      <c r="D1682">
        <f t="shared" si="192"/>
        <v>327.5</v>
      </c>
      <c r="E1682">
        <v>-0.02</v>
      </c>
      <c r="F1682">
        <f t="shared" si="193"/>
        <v>-327.52</v>
      </c>
      <c r="I1682">
        <f t="shared" si="189"/>
        <v>30</v>
      </c>
      <c r="J1682">
        <v>1</v>
      </c>
      <c r="K1682">
        <f t="shared" si="190"/>
        <v>5</v>
      </c>
      <c r="L1682">
        <f t="shared" si="191"/>
        <v>2019</v>
      </c>
      <c r="N1682" s="17">
        <f t="shared" si="194"/>
        <v>43586</v>
      </c>
      <c r="S1682">
        <f t="shared" si="195"/>
        <v>0</v>
      </c>
    </row>
    <row r="1683" spans="1:19" x14ac:dyDescent="0.3">
      <c r="A1683" s="17">
        <v>43614</v>
      </c>
      <c r="B1683">
        <v>391.2</v>
      </c>
      <c r="C1683">
        <v>67.155000000000001</v>
      </c>
      <c r="D1683">
        <f t="shared" si="192"/>
        <v>324.04499999999996</v>
      </c>
      <c r="E1683">
        <v>0.02</v>
      </c>
      <c r="F1683">
        <f t="shared" si="193"/>
        <v>-324.02499999999998</v>
      </c>
      <c r="I1683">
        <f t="shared" si="189"/>
        <v>29</v>
      </c>
      <c r="J1683">
        <v>1</v>
      </c>
      <c r="K1683">
        <f t="shared" si="190"/>
        <v>5</v>
      </c>
      <c r="L1683">
        <f t="shared" si="191"/>
        <v>2019</v>
      </c>
      <c r="N1683" s="17">
        <f t="shared" si="194"/>
        <v>43586</v>
      </c>
      <c r="S1683">
        <f t="shared" si="195"/>
        <v>0</v>
      </c>
    </row>
    <row r="1684" spans="1:19" x14ac:dyDescent="0.3">
      <c r="A1684" s="17">
        <v>43613</v>
      </c>
      <c r="B1684">
        <v>396.33</v>
      </c>
      <c r="C1684">
        <v>68.3</v>
      </c>
      <c r="D1684">
        <f t="shared" si="192"/>
        <v>328.03</v>
      </c>
      <c r="E1684">
        <v>-0.04</v>
      </c>
      <c r="F1684">
        <f t="shared" si="193"/>
        <v>-328.07</v>
      </c>
      <c r="I1684">
        <f t="shared" si="189"/>
        <v>28</v>
      </c>
      <c r="J1684">
        <v>1</v>
      </c>
      <c r="K1684">
        <f t="shared" si="190"/>
        <v>5</v>
      </c>
      <c r="L1684">
        <f t="shared" si="191"/>
        <v>2019</v>
      </c>
      <c r="N1684" s="17">
        <f t="shared" si="194"/>
        <v>43586</v>
      </c>
      <c r="S1684">
        <f t="shared" si="195"/>
        <v>0</v>
      </c>
    </row>
    <row r="1685" spans="1:19" x14ac:dyDescent="0.3">
      <c r="A1685" s="17">
        <v>43612</v>
      </c>
      <c r="B1685">
        <v>391.68</v>
      </c>
      <c r="C1685">
        <v>66.849999999999994</v>
      </c>
      <c r="D1685">
        <f t="shared" si="192"/>
        <v>324.83000000000004</v>
      </c>
      <c r="E1685">
        <v>-0.05</v>
      </c>
      <c r="F1685">
        <f t="shared" si="193"/>
        <v>-324.88000000000005</v>
      </c>
      <c r="I1685">
        <f t="shared" si="189"/>
        <v>27</v>
      </c>
      <c r="J1685">
        <v>1</v>
      </c>
      <c r="K1685">
        <f t="shared" si="190"/>
        <v>5</v>
      </c>
      <c r="L1685">
        <f t="shared" si="191"/>
        <v>2019</v>
      </c>
      <c r="N1685" s="17">
        <f t="shared" si="194"/>
        <v>43586</v>
      </c>
      <c r="S1685">
        <f t="shared" si="195"/>
        <v>0</v>
      </c>
    </row>
    <row r="1686" spans="1:19" x14ac:dyDescent="0.3">
      <c r="A1686" s="17">
        <v>43609</v>
      </c>
      <c r="B1686">
        <v>391.61</v>
      </c>
      <c r="C1686">
        <v>66.739999999999995</v>
      </c>
      <c r="D1686">
        <f t="shared" si="192"/>
        <v>324.87</v>
      </c>
      <c r="E1686">
        <v>-0.1</v>
      </c>
      <c r="F1686">
        <f t="shared" si="193"/>
        <v>-324.97000000000003</v>
      </c>
      <c r="I1686">
        <f t="shared" si="189"/>
        <v>24</v>
      </c>
      <c r="J1686">
        <v>1</v>
      </c>
      <c r="K1686">
        <f t="shared" si="190"/>
        <v>5</v>
      </c>
      <c r="L1686">
        <f t="shared" si="191"/>
        <v>2019</v>
      </c>
      <c r="N1686" s="17">
        <f t="shared" si="194"/>
        <v>43586</v>
      </c>
      <c r="S1686">
        <f t="shared" si="195"/>
        <v>0</v>
      </c>
    </row>
    <row r="1687" spans="1:19" x14ac:dyDescent="0.3">
      <c r="A1687" s="17">
        <v>43608</v>
      </c>
      <c r="B1687">
        <v>399.37</v>
      </c>
      <c r="C1687">
        <v>69.19</v>
      </c>
      <c r="D1687">
        <f t="shared" si="192"/>
        <v>330.18</v>
      </c>
      <c r="E1687">
        <v>0</v>
      </c>
      <c r="F1687">
        <f t="shared" si="193"/>
        <v>-330.18</v>
      </c>
      <c r="I1687">
        <f t="shared" si="189"/>
        <v>23</v>
      </c>
      <c r="J1687">
        <v>1</v>
      </c>
      <c r="K1687">
        <f t="shared" si="190"/>
        <v>5</v>
      </c>
      <c r="L1687">
        <f t="shared" si="191"/>
        <v>2019</v>
      </c>
      <c r="N1687" s="17">
        <f t="shared" si="194"/>
        <v>43586</v>
      </c>
      <c r="S1687">
        <f t="shared" si="195"/>
        <v>0</v>
      </c>
    </row>
    <row r="1688" spans="1:19" x14ac:dyDescent="0.3">
      <c r="A1688" s="17">
        <v>43607</v>
      </c>
      <c r="B1688">
        <v>411.21</v>
      </c>
      <c r="C1688">
        <v>71.239999999999995</v>
      </c>
      <c r="D1688">
        <f t="shared" si="192"/>
        <v>339.96999999999997</v>
      </c>
      <c r="E1688">
        <v>-0.02</v>
      </c>
      <c r="F1688">
        <f t="shared" si="193"/>
        <v>-339.98999999999995</v>
      </c>
      <c r="I1688">
        <f t="shared" si="189"/>
        <v>22</v>
      </c>
      <c r="J1688">
        <v>1</v>
      </c>
      <c r="K1688">
        <f t="shared" si="190"/>
        <v>5</v>
      </c>
      <c r="L1688">
        <f t="shared" si="191"/>
        <v>2019</v>
      </c>
      <c r="N1688" s="17">
        <f t="shared" si="194"/>
        <v>43586</v>
      </c>
      <c r="S1688">
        <f t="shared" si="195"/>
        <v>0</v>
      </c>
    </row>
    <row r="1689" spans="1:19" x14ac:dyDescent="0.3">
      <c r="A1689" s="17">
        <v>43606</v>
      </c>
      <c r="B1689">
        <v>416.36</v>
      </c>
      <c r="C1689">
        <v>71.599999999999994</v>
      </c>
      <c r="D1689">
        <f t="shared" si="192"/>
        <v>344.76</v>
      </c>
      <c r="E1689">
        <v>0</v>
      </c>
      <c r="F1689">
        <f t="shared" si="193"/>
        <v>-344.76</v>
      </c>
      <c r="I1689">
        <f t="shared" si="189"/>
        <v>21</v>
      </c>
      <c r="J1689">
        <v>1</v>
      </c>
      <c r="K1689">
        <f t="shared" si="190"/>
        <v>5</v>
      </c>
      <c r="L1689">
        <f t="shared" si="191"/>
        <v>2019</v>
      </c>
      <c r="N1689" s="17">
        <f t="shared" si="194"/>
        <v>43586</v>
      </c>
      <c r="S1689">
        <f t="shared" si="195"/>
        <v>0</v>
      </c>
    </row>
    <row r="1690" spans="1:19" x14ac:dyDescent="0.3">
      <c r="A1690" s="17">
        <v>43602</v>
      </c>
      <c r="B1690">
        <v>419.21</v>
      </c>
      <c r="C1690">
        <v>72.45</v>
      </c>
      <c r="D1690">
        <f t="shared" si="192"/>
        <v>346.76</v>
      </c>
      <c r="E1690">
        <v>0.02</v>
      </c>
      <c r="F1690">
        <f t="shared" si="193"/>
        <v>-346.74</v>
      </c>
      <c r="I1690">
        <f t="shared" si="189"/>
        <v>17</v>
      </c>
      <c r="J1690">
        <v>1</v>
      </c>
      <c r="K1690">
        <f t="shared" si="190"/>
        <v>5</v>
      </c>
      <c r="L1690">
        <f t="shared" si="191"/>
        <v>2019</v>
      </c>
      <c r="N1690" s="17">
        <f t="shared" si="194"/>
        <v>43586</v>
      </c>
      <c r="S1690">
        <f t="shared" si="195"/>
        <v>0</v>
      </c>
    </row>
    <row r="1691" spans="1:19" x14ac:dyDescent="0.3">
      <c r="A1691" s="17">
        <v>43601</v>
      </c>
      <c r="B1691">
        <v>413.81</v>
      </c>
      <c r="C1691">
        <v>72</v>
      </c>
      <c r="D1691">
        <f t="shared" si="192"/>
        <v>341.81</v>
      </c>
      <c r="E1691">
        <v>-7.0000000000000007E-2</v>
      </c>
      <c r="F1691">
        <f t="shared" si="193"/>
        <v>-341.88</v>
      </c>
      <c r="I1691">
        <f t="shared" si="189"/>
        <v>16</v>
      </c>
      <c r="J1691">
        <v>1</v>
      </c>
      <c r="K1691">
        <f t="shared" si="190"/>
        <v>5</v>
      </c>
      <c r="L1691">
        <f t="shared" si="191"/>
        <v>2019</v>
      </c>
      <c r="N1691" s="17">
        <f t="shared" si="194"/>
        <v>43586</v>
      </c>
      <c r="S1691">
        <f t="shared" si="195"/>
        <v>0</v>
      </c>
    </row>
    <row r="1692" spans="1:19" x14ac:dyDescent="0.3">
      <c r="A1692" s="17">
        <v>43600</v>
      </c>
      <c r="B1692">
        <v>397.08</v>
      </c>
      <c r="C1692">
        <v>70.44</v>
      </c>
      <c r="D1692">
        <f t="shared" si="192"/>
        <v>326.64</v>
      </c>
      <c r="E1692">
        <v>-0.05</v>
      </c>
      <c r="F1692">
        <f t="shared" si="193"/>
        <v>-326.69</v>
      </c>
      <c r="I1692">
        <f t="shared" si="189"/>
        <v>15</v>
      </c>
      <c r="J1692">
        <v>1</v>
      </c>
      <c r="K1692">
        <f t="shared" si="190"/>
        <v>5</v>
      </c>
      <c r="L1692">
        <f t="shared" si="191"/>
        <v>2019</v>
      </c>
      <c r="N1692" s="17">
        <f t="shared" si="194"/>
        <v>43586</v>
      </c>
      <c r="S1692">
        <f t="shared" si="195"/>
        <v>0</v>
      </c>
    </row>
    <row r="1693" spans="1:19" x14ac:dyDescent="0.3">
      <c r="A1693" s="17">
        <v>43599</v>
      </c>
      <c r="B1693">
        <v>397.26</v>
      </c>
      <c r="C1693">
        <v>69.67</v>
      </c>
      <c r="D1693">
        <f t="shared" si="192"/>
        <v>327.58999999999997</v>
      </c>
      <c r="E1693">
        <v>-0.06</v>
      </c>
      <c r="F1693">
        <f t="shared" si="193"/>
        <v>-327.64999999999998</v>
      </c>
      <c r="I1693">
        <f t="shared" si="189"/>
        <v>14</v>
      </c>
      <c r="J1693">
        <v>1</v>
      </c>
      <c r="K1693">
        <f t="shared" si="190"/>
        <v>5</v>
      </c>
      <c r="L1693">
        <f t="shared" si="191"/>
        <v>2019</v>
      </c>
      <c r="N1693" s="17">
        <f t="shared" si="194"/>
        <v>43586</v>
      </c>
      <c r="S1693">
        <f t="shared" si="195"/>
        <v>0</v>
      </c>
    </row>
    <row r="1694" spans="1:19" x14ac:dyDescent="0.3">
      <c r="A1694" s="17">
        <v>43598</v>
      </c>
      <c r="B1694">
        <v>413.17</v>
      </c>
      <c r="C1694">
        <v>70.94</v>
      </c>
      <c r="D1694">
        <f t="shared" si="192"/>
        <v>342.23</v>
      </c>
      <c r="E1694">
        <v>-0.06</v>
      </c>
      <c r="F1694">
        <f t="shared" si="193"/>
        <v>-342.29</v>
      </c>
      <c r="I1694">
        <f t="shared" si="189"/>
        <v>13</v>
      </c>
      <c r="J1694">
        <v>1</v>
      </c>
      <c r="K1694">
        <f t="shared" si="190"/>
        <v>5</v>
      </c>
      <c r="L1694">
        <f t="shared" si="191"/>
        <v>2019</v>
      </c>
      <c r="N1694" s="17">
        <f t="shared" si="194"/>
        <v>43586</v>
      </c>
      <c r="S1694">
        <f t="shared" si="195"/>
        <v>0</v>
      </c>
    </row>
    <row r="1695" spans="1:19" x14ac:dyDescent="0.3">
      <c r="A1695" s="17">
        <v>43595</v>
      </c>
      <c r="B1695">
        <v>412.11</v>
      </c>
      <c r="C1695">
        <v>70.09</v>
      </c>
      <c r="D1695">
        <f t="shared" si="192"/>
        <v>342.02</v>
      </c>
      <c r="E1695">
        <v>-0.16</v>
      </c>
      <c r="F1695">
        <f t="shared" si="193"/>
        <v>-342.18</v>
      </c>
      <c r="I1695">
        <f t="shared" si="189"/>
        <v>10</v>
      </c>
      <c r="J1695">
        <v>1</v>
      </c>
      <c r="K1695">
        <f t="shared" si="190"/>
        <v>5</v>
      </c>
      <c r="L1695">
        <f t="shared" si="191"/>
        <v>2019</v>
      </c>
      <c r="N1695" s="17">
        <f t="shared" si="194"/>
        <v>43586</v>
      </c>
      <c r="S1695">
        <f t="shared" si="195"/>
        <v>0</v>
      </c>
    </row>
    <row r="1696" spans="1:19" x14ac:dyDescent="0.3">
      <c r="A1696" s="17">
        <v>43594</v>
      </c>
      <c r="B1696">
        <v>408.16</v>
      </c>
      <c r="C1696">
        <v>69.099999999999994</v>
      </c>
      <c r="D1696">
        <f t="shared" si="192"/>
        <v>339.06000000000006</v>
      </c>
      <c r="E1696">
        <v>-0.12</v>
      </c>
      <c r="F1696">
        <f t="shared" si="193"/>
        <v>-339.18000000000006</v>
      </c>
      <c r="I1696">
        <f t="shared" si="189"/>
        <v>9</v>
      </c>
      <c r="J1696">
        <v>1</v>
      </c>
      <c r="K1696">
        <f t="shared" si="190"/>
        <v>5</v>
      </c>
      <c r="L1696">
        <f t="shared" si="191"/>
        <v>2019</v>
      </c>
      <c r="N1696" s="17">
        <f t="shared" si="194"/>
        <v>43586</v>
      </c>
      <c r="S1696">
        <f t="shared" si="195"/>
        <v>0</v>
      </c>
    </row>
    <row r="1697" spans="1:19" x14ac:dyDescent="0.3">
      <c r="A1697" s="17">
        <v>43593</v>
      </c>
      <c r="B1697">
        <v>405.5</v>
      </c>
      <c r="C1697">
        <v>69.25</v>
      </c>
      <c r="D1697">
        <f t="shared" si="192"/>
        <v>336.25</v>
      </c>
      <c r="E1697">
        <v>-0.15</v>
      </c>
      <c r="F1697">
        <f t="shared" si="193"/>
        <v>-336.4</v>
      </c>
      <c r="I1697">
        <f t="shared" si="189"/>
        <v>8</v>
      </c>
      <c r="J1697">
        <v>1</v>
      </c>
      <c r="K1697">
        <f t="shared" si="190"/>
        <v>5</v>
      </c>
      <c r="L1697">
        <f t="shared" si="191"/>
        <v>2019</v>
      </c>
      <c r="N1697" s="17">
        <f t="shared" si="194"/>
        <v>43586</v>
      </c>
      <c r="S1697">
        <f t="shared" si="195"/>
        <v>0</v>
      </c>
    </row>
    <row r="1698" spans="1:19" x14ac:dyDescent="0.3">
      <c r="A1698" s="17">
        <v>43592</v>
      </c>
      <c r="B1698">
        <v>412.29</v>
      </c>
      <c r="C1698">
        <v>70.25</v>
      </c>
      <c r="D1698">
        <f t="shared" si="192"/>
        <v>342.04</v>
      </c>
      <c r="E1698">
        <v>-0.13</v>
      </c>
      <c r="F1698">
        <f t="shared" si="193"/>
        <v>-342.17</v>
      </c>
      <c r="I1698">
        <f t="shared" si="189"/>
        <v>7</v>
      </c>
      <c r="J1698">
        <v>1</v>
      </c>
      <c r="K1698">
        <f t="shared" si="190"/>
        <v>5</v>
      </c>
      <c r="L1698">
        <f t="shared" si="191"/>
        <v>2019</v>
      </c>
      <c r="N1698" s="17">
        <f t="shared" si="194"/>
        <v>43586</v>
      </c>
      <c r="S1698">
        <f t="shared" si="195"/>
        <v>0</v>
      </c>
    </row>
    <row r="1699" spans="1:19" x14ac:dyDescent="0.3">
      <c r="A1699" s="17">
        <v>43591</v>
      </c>
      <c r="B1699">
        <v>407.3</v>
      </c>
      <c r="C1699">
        <v>69.239999999999995</v>
      </c>
      <c r="D1699">
        <f t="shared" si="192"/>
        <v>338.06</v>
      </c>
      <c r="E1699">
        <v>-0.05</v>
      </c>
      <c r="F1699">
        <f t="shared" si="193"/>
        <v>-338.11</v>
      </c>
      <c r="I1699">
        <f t="shared" si="189"/>
        <v>6</v>
      </c>
      <c r="J1699">
        <v>1</v>
      </c>
      <c r="K1699">
        <f t="shared" si="190"/>
        <v>5</v>
      </c>
      <c r="L1699">
        <f t="shared" si="191"/>
        <v>2019</v>
      </c>
      <c r="N1699" s="17">
        <f t="shared" si="194"/>
        <v>43586</v>
      </c>
      <c r="S1699">
        <f t="shared" si="195"/>
        <v>0</v>
      </c>
    </row>
    <row r="1700" spans="1:19" x14ac:dyDescent="0.3">
      <c r="A1700" s="17">
        <v>43588</v>
      </c>
      <c r="B1700">
        <v>411.56</v>
      </c>
      <c r="C1700">
        <v>69.959999999999994</v>
      </c>
      <c r="D1700">
        <f t="shared" si="192"/>
        <v>341.6</v>
      </c>
      <c r="E1700">
        <v>-0.25</v>
      </c>
      <c r="F1700">
        <f t="shared" si="193"/>
        <v>-341.85</v>
      </c>
      <c r="I1700">
        <f t="shared" si="189"/>
        <v>3</v>
      </c>
      <c r="J1700">
        <v>1</v>
      </c>
      <c r="K1700">
        <f t="shared" si="190"/>
        <v>5</v>
      </c>
      <c r="L1700">
        <f t="shared" si="191"/>
        <v>2019</v>
      </c>
      <c r="N1700" s="17">
        <f t="shared" si="194"/>
        <v>43586</v>
      </c>
      <c r="S1700">
        <f t="shared" si="195"/>
        <v>1</v>
      </c>
    </row>
    <row r="1701" spans="1:19" x14ac:dyDescent="0.3">
      <c r="A1701" s="17">
        <v>43587</v>
      </c>
      <c r="B1701">
        <v>423.5</v>
      </c>
      <c r="C1701">
        <v>71.45</v>
      </c>
      <c r="D1701">
        <f t="shared" si="192"/>
        <v>352.05</v>
      </c>
      <c r="E1701">
        <v>-0.32</v>
      </c>
      <c r="F1701">
        <f t="shared" si="193"/>
        <v>-352.37</v>
      </c>
      <c r="I1701">
        <f t="shared" si="189"/>
        <v>2</v>
      </c>
      <c r="J1701">
        <v>1</v>
      </c>
      <c r="K1701">
        <f t="shared" si="190"/>
        <v>5</v>
      </c>
      <c r="L1701">
        <f t="shared" si="191"/>
        <v>2019</v>
      </c>
      <c r="N1701" s="17">
        <f t="shared" si="194"/>
        <v>43586</v>
      </c>
      <c r="S1701">
        <f t="shared" si="195"/>
        <v>1</v>
      </c>
    </row>
    <row r="1702" spans="1:19" x14ac:dyDescent="0.3">
      <c r="A1702" s="17">
        <v>43585</v>
      </c>
      <c r="B1702">
        <v>432.5</v>
      </c>
      <c r="C1702">
        <v>71.599999999999994</v>
      </c>
      <c r="D1702">
        <f t="shared" si="192"/>
        <v>360.9</v>
      </c>
      <c r="E1702">
        <v>-0.2</v>
      </c>
      <c r="F1702">
        <f t="shared" si="193"/>
        <v>-361.09999999999997</v>
      </c>
      <c r="I1702">
        <f t="shared" si="189"/>
        <v>30</v>
      </c>
      <c r="J1702">
        <v>1</v>
      </c>
      <c r="K1702">
        <f t="shared" si="190"/>
        <v>4</v>
      </c>
      <c r="L1702">
        <f t="shared" si="191"/>
        <v>2019</v>
      </c>
      <c r="N1702" s="17">
        <f t="shared" si="194"/>
        <v>43556</v>
      </c>
      <c r="S1702">
        <f t="shared" si="195"/>
        <v>0</v>
      </c>
    </row>
    <row r="1703" spans="1:19" x14ac:dyDescent="0.3">
      <c r="A1703" s="17">
        <v>43584</v>
      </c>
      <c r="B1703">
        <v>425.87</v>
      </c>
      <c r="C1703">
        <v>71.06</v>
      </c>
      <c r="D1703">
        <f t="shared" si="192"/>
        <v>354.81</v>
      </c>
      <c r="E1703">
        <v>-0.14000000000000001</v>
      </c>
      <c r="F1703">
        <f t="shared" si="193"/>
        <v>-354.95</v>
      </c>
      <c r="I1703">
        <f t="shared" si="189"/>
        <v>29</v>
      </c>
      <c r="J1703">
        <v>1</v>
      </c>
      <c r="K1703">
        <f t="shared" si="190"/>
        <v>4</v>
      </c>
      <c r="L1703">
        <f t="shared" si="191"/>
        <v>2019</v>
      </c>
      <c r="N1703" s="17">
        <f t="shared" si="194"/>
        <v>43556</v>
      </c>
      <c r="S1703">
        <f t="shared" si="195"/>
        <v>0</v>
      </c>
    </row>
    <row r="1704" spans="1:19" x14ac:dyDescent="0.3">
      <c r="A1704" s="17">
        <v>43581</v>
      </c>
      <c r="B1704">
        <v>438.67</v>
      </c>
      <c r="C1704">
        <v>73.430000000000007</v>
      </c>
      <c r="D1704">
        <f t="shared" si="192"/>
        <v>365.24</v>
      </c>
      <c r="E1704">
        <v>-0.15</v>
      </c>
      <c r="F1704">
        <f t="shared" si="193"/>
        <v>-365.39</v>
      </c>
      <c r="I1704">
        <f t="shared" si="189"/>
        <v>26</v>
      </c>
      <c r="J1704">
        <v>1</v>
      </c>
      <c r="K1704">
        <f t="shared" si="190"/>
        <v>4</v>
      </c>
      <c r="L1704">
        <f t="shared" si="191"/>
        <v>2019</v>
      </c>
      <c r="N1704" s="17">
        <f t="shared" si="194"/>
        <v>43556</v>
      </c>
      <c r="S1704">
        <f t="shared" si="195"/>
        <v>0</v>
      </c>
    </row>
    <row r="1705" spans="1:19" x14ac:dyDescent="0.3">
      <c r="A1705" s="17">
        <v>43580</v>
      </c>
      <c r="B1705">
        <v>447.92</v>
      </c>
      <c r="C1705">
        <v>74.489999999999995</v>
      </c>
      <c r="D1705">
        <f t="shared" si="192"/>
        <v>373.43</v>
      </c>
      <c r="E1705">
        <v>-0.17</v>
      </c>
      <c r="F1705">
        <f t="shared" si="193"/>
        <v>-373.6</v>
      </c>
      <c r="I1705">
        <f t="shared" si="189"/>
        <v>25</v>
      </c>
      <c r="J1705">
        <v>1</v>
      </c>
      <c r="K1705">
        <f t="shared" si="190"/>
        <v>4</v>
      </c>
      <c r="L1705">
        <f t="shared" si="191"/>
        <v>2019</v>
      </c>
      <c r="N1705" s="17">
        <f t="shared" si="194"/>
        <v>43556</v>
      </c>
      <c r="S1705">
        <f t="shared" si="195"/>
        <v>0</v>
      </c>
    </row>
    <row r="1706" spans="1:19" x14ac:dyDescent="0.3">
      <c r="A1706" s="17">
        <v>43579</v>
      </c>
      <c r="B1706">
        <v>431.64</v>
      </c>
      <c r="C1706">
        <v>73.64</v>
      </c>
      <c r="D1706">
        <f t="shared" si="192"/>
        <v>358</v>
      </c>
      <c r="E1706">
        <v>-0.15</v>
      </c>
      <c r="F1706">
        <f t="shared" si="193"/>
        <v>-358.15</v>
      </c>
      <c r="I1706">
        <f t="shared" si="189"/>
        <v>24</v>
      </c>
      <c r="J1706">
        <v>1</v>
      </c>
      <c r="K1706">
        <f t="shared" si="190"/>
        <v>4</v>
      </c>
      <c r="L1706">
        <f t="shared" si="191"/>
        <v>2019</v>
      </c>
      <c r="N1706" s="17">
        <f t="shared" si="194"/>
        <v>43556</v>
      </c>
      <c r="S1706">
        <f t="shared" si="195"/>
        <v>0</v>
      </c>
    </row>
    <row r="1707" spans="1:19" x14ac:dyDescent="0.3">
      <c r="A1707" s="17">
        <v>43578</v>
      </c>
      <c r="B1707">
        <v>427.03</v>
      </c>
      <c r="C1707">
        <v>73.75</v>
      </c>
      <c r="D1707">
        <f t="shared" si="192"/>
        <v>353.28</v>
      </c>
      <c r="E1707">
        <v>-0.17</v>
      </c>
      <c r="F1707">
        <f t="shared" si="193"/>
        <v>-353.45</v>
      </c>
      <c r="I1707">
        <f t="shared" si="189"/>
        <v>23</v>
      </c>
      <c r="J1707">
        <v>1</v>
      </c>
      <c r="K1707">
        <f t="shared" si="190"/>
        <v>4</v>
      </c>
      <c r="L1707">
        <f t="shared" si="191"/>
        <v>2019</v>
      </c>
      <c r="N1707" s="17">
        <f t="shared" si="194"/>
        <v>43556</v>
      </c>
      <c r="S1707">
        <f t="shared" si="195"/>
        <v>0</v>
      </c>
    </row>
    <row r="1708" spans="1:19" x14ac:dyDescent="0.3">
      <c r="A1708" s="17">
        <v>43577</v>
      </c>
      <c r="B1708">
        <v>429</v>
      </c>
      <c r="C1708">
        <v>73.400000000000006</v>
      </c>
      <c r="D1708">
        <f t="shared" si="192"/>
        <v>355.6</v>
      </c>
      <c r="E1708">
        <v>-0.32</v>
      </c>
      <c r="F1708">
        <f t="shared" si="193"/>
        <v>-355.92</v>
      </c>
      <c r="I1708">
        <f t="shared" si="189"/>
        <v>22</v>
      </c>
      <c r="J1708">
        <v>1</v>
      </c>
      <c r="K1708">
        <f t="shared" si="190"/>
        <v>4</v>
      </c>
      <c r="L1708">
        <f t="shared" si="191"/>
        <v>2019</v>
      </c>
      <c r="N1708" s="17">
        <f t="shared" si="194"/>
        <v>43556</v>
      </c>
      <c r="S1708">
        <f t="shared" si="195"/>
        <v>0</v>
      </c>
    </row>
    <row r="1709" spans="1:19" x14ac:dyDescent="0.3">
      <c r="A1709" s="17">
        <v>43573</v>
      </c>
      <c r="B1709">
        <v>418.36</v>
      </c>
      <c r="C1709">
        <v>71.05</v>
      </c>
      <c r="D1709">
        <f t="shared" si="192"/>
        <v>347.31</v>
      </c>
      <c r="E1709">
        <v>-0.3</v>
      </c>
      <c r="F1709">
        <f t="shared" si="193"/>
        <v>-347.61</v>
      </c>
      <c r="I1709">
        <f t="shared" si="189"/>
        <v>18</v>
      </c>
      <c r="J1709">
        <v>1</v>
      </c>
      <c r="K1709">
        <f t="shared" si="190"/>
        <v>4</v>
      </c>
      <c r="L1709">
        <f t="shared" si="191"/>
        <v>2019</v>
      </c>
      <c r="N1709" s="17">
        <f t="shared" si="194"/>
        <v>43556</v>
      </c>
      <c r="S1709">
        <f t="shared" si="195"/>
        <v>0</v>
      </c>
    </row>
    <row r="1710" spans="1:19" x14ac:dyDescent="0.3">
      <c r="A1710" s="17">
        <v>43572</v>
      </c>
      <c r="B1710">
        <v>420.62</v>
      </c>
      <c r="C1710">
        <v>71.349999999999994</v>
      </c>
      <c r="D1710">
        <f t="shared" si="192"/>
        <v>349.27</v>
      </c>
      <c r="E1710">
        <v>-0.34</v>
      </c>
      <c r="F1710">
        <f t="shared" si="193"/>
        <v>-349.60999999999996</v>
      </c>
      <c r="I1710">
        <f t="shared" si="189"/>
        <v>17</v>
      </c>
      <c r="J1710">
        <v>1</v>
      </c>
      <c r="K1710">
        <f t="shared" si="190"/>
        <v>4</v>
      </c>
      <c r="L1710">
        <f t="shared" si="191"/>
        <v>2019</v>
      </c>
      <c r="N1710" s="17">
        <f t="shared" si="194"/>
        <v>43556</v>
      </c>
      <c r="S1710">
        <f t="shared" si="195"/>
        <v>0</v>
      </c>
    </row>
    <row r="1711" spans="1:19" x14ac:dyDescent="0.3">
      <c r="A1711" s="17">
        <v>43571</v>
      </c>
      <c r="B1711">
        <v>414.13</v>
      </c>
      <c r="C1711">
        <v>70.260000000000005</v>
      </c>
      <c r="D1711">
        <f t="shared" si="192"/>
        <v>343.87</v>
      </c>
      <c r="E1711">
        <v>-0.1</v>
      </c>
      <c r="F1711">
        <f t="shared" si="193"/>
        <v>-343.97</v>
      </c>
      <c r="I1711">
        <f t="shared" si="189"/>
        <v>16</v>
      </c>
      <c r="J1711">
        <v>1</v>
      </c>
      <c r="K1711">
        <f t="shared" si="190"/>
        <v>4</v>
      </c>
      <c r="L1711">
        <f t="shared" si="191"/>
        <v>2019</v>
      </c>
      <c r="N1711" s="17">
        <f t="shared" si="194"/>
        <v>43556</v>
      </c>
      <c r="S1711">
        <f t="shared" si="195"/>
        <v>0</v>
      </c>
    </row>
    <row r="1712" spans="1:19" x14ac:dyDescent="0.3">
      <c r="A1712" s="17">
        <v>43570</v>
      </c>
      <c r="B1712">
        <v>420.01</v>
      </c>
      <c r="C1712">
        <v>70.36</v>
      </c>
      <c r="D1712">
        <f t="shared" si="192"/>
        <v>349.65</v>
      </c>
      <c r="E1712">
        <v>-0.2</v>
      </c>
      <c r="F1712">
        <f t="shared" si="193"/>
        <v>-349.84999999999997</v>
      </c>
      <c r="I1712">
        <f t="shared" si="189"/>
        <v>15</v>
      </c>
      <c r="J1712">
        <v>1</v>
      </c>
      <c r="K1712">
        <f t="shared" si="190"/>
        <v>4</v>
      </c>
      <c r="L1712">
        <f t="shared" si="191"/>
        <v>2019</v>
      </c>
      <c r="N1712" s="17">
        <f t="shared" si="194"/>
        <v>43556</v>
      </c>
      <c r="S1712">
        <f t="shared" si="195"/>
        <v>0</v>
      </c>
    </row>
    <row r="1713" spans="1:19" x14ac:dyDescent="0.3">
      <c r="A1713" s="17">
        <v>43567</v>
      </c>
      <c r="B1713">
        <v>422.85</v>
      </c>
      <c r="C1713">
        <v>70.25</v>
      </c>
      <c r="D1713">
        <f t="shared" si="192"/>
        <v>352.6</v>
      </c>
      <c r="E1713">
        <v>-0.28999999999999998</v>
      </c>
      <c r="F1713">
        <f t="shared" si="193"/>
        <v>-352.89000000000004</v>
      </c>
      <c r="I1713">
        <f t="shared" si="189"/>
        <v>12</v>
      </c>
      <c r="J1713">
        <v>1</v>
      </c>
      <c r="K1713">
        <f t="shared" si="190"/>
        <v>4</v>
      </c>
      <c r="L1713">
        <f t="shared" si="191"/>
        <v>2019</v>
      </c>
      <c r="N1713" s="17">
        <f t="shared" si="194"/>
        <v>43556</v>
      </c>
      <c r="S1713">
        <f t="shared" si="195"/>
        <v>0</v>
      </c>
    </row>
    <row r="1714" spans="1:19" x14ac:dyDescent="0.3">
      <c r="A1714" s="17">
        <v>43566</v>
      </c>
      <c r="B1714">
        <v>420.45</v>
      </c>
      <c r="C1714">
        <v>70.5</v>
      </c>
      <c r="D1714">
        <f t="shared" si="192"/>
        <v>349.95</v>
      </c>
      <c r="E1714">
        <v>-0.31</v>
      </c>
      <c r="F1714">
        <f t="shared" si="193"/>
        <v>-350.26</v>
      </c>
      <c r="I1714">
        <f t="shared" si="189"/>
        <v>11</v>
      </c>
      <c r="J1714">
        <v>1</v>
      </c>
      <c r="K1714">
        <f t="shared" si="190"/>
        <v>4</v>
      </c>
      <c r="L1714">
        <f t="shared" si="191"/>
        <v>2019</v>
      </c>
      <c r="N1714" s="17">
        <f t="shared" si="194"/>
        <v>43556</v>
      </c>
      <c r="S1714">
        <f t="shared" si="195"/>
        <v>0</v>
      </c>
    </row>
    <row r="1715" spans="1:19" x14ac:dyDescent="0.3">
      <c r="A1715" s="17">
        <v>43565</v>
      </c>
      <c r="B1715">
        <v>416.03</v>
      </c>
      <c r="C1715">
        <v>70.099999999999994</v>
      </c>
      <c r="D1715">
        <f t="shared" si="192"/>
        <v>345.92999999999995</v>
      </c>
      <c r="E1715">
        <v>-0.37</v>
      </c>
      <c r="F1715">
        <f t="shared" si="193"/>
        <v>-346.29999999999995</v>
      </c>
      <c r="I1715">
        <f t="shared" si="189"/>
        <v>10</v>
      </c>
      <c r="J1715">
        <v>1</v>
      </c>
      <c r="K1715">
        <f t="shared" si="190"/>
        <v>4</v>
      </c>
      <c r="L1715">
        <f t="shared" si="191"/>
        <v>2019</v>
      </c>
      <c r="N1715" s="17">
        <f t="shared" si="194"/>
        <v>43556</v>
      </c>
      <c r="S1715">
        <f t="shared" si="195"/>
        <v>0</v>
      </c>
    </row>
    <row r="1716" spans="1:19" x14ac:dyDescent="0.3">
      <c r="A1716" s="17">
        <v>43564</v>
      </c>
      <c r="B1716">
        <v>426.03</v>
      </c>
      <c r="C1716">
        <v>70.545000000000002</v>
      </c>
      <c r="D1716">
        <f t="shared" si="192"/>
        <v>355.48499999999996</v>
      </c>
      <c r="E1716">
        <v>-0.36</v>
      </c>
      <c r="F1716">
        <f t="shared" si="193"/>
        <v>-355.84499999999997</v>
      </c>
      <c r="I1716">
        <f t="shared" si="189"/>
        <v>9</v>
      </c>
      <c r="J1716">
        <v>1</v>
      </c>
      <c r="K1716">
        <f t="shared" si="190"/>
        <v>4</v>
      </c>
      <c r="L1716">
        <f t="shared" si="191"/>
        <v>2019</v>
      </c>
      <c r="N1716" s="17">
        <f t="shared" si="194"/>
        <v>43556</v>
      </c>
      <c r="S1716">
        <f t="shared" si="195"/>
        <v>0</v>
      </c>
    </row>
    <row r="1717" spans="1:19" x14ac:dyDescent="0.3">
      <c r="A1717" s="17">
        <v>43563</v>
      </c>
      <c r="B1717">
        <v>421.67</v>
      </c>
      <c r="C1717">
        <v>70.31</v>
      </c>
      <c r="D1717">
        <f t="shared" si="192"/>
        <v>351.36</v>
      </c>
      <c r="E1717">
        <v>-0.38</v>
      </c>
      <c r="F1717">
        <f t="shared" si="193"/>
        <v>-351.74</v>
      </c>
      <c r="I1717">
        <f t="shared" si="189"/>
        <v>8</v>
      </c>
      <c r="J1717">
        <v>1</v>
      </c>
      <c r="K1717">
        <f t="shared" si="190"/>
        <v>4</v>
      </c>
      <c r="L1717">
        <f t="shared" si="191"/>
        <v>2019</v>
      </c>
      <c r="N1717" s="17">
        <f t="shared" si="194"/>
        <v>43556</v>
      </c>
      <c r="S1717">
        <f t="shared" si="195"/>
        <v>0</v>
      </c>
    </row>
    <row r="1718" spans="1:19" x14ac:dyDescent="0.3">
      <c r="A1718" s="17">
        <v>43560</v>
      </c>
      <c r="B1718">
        <v>410.95</v>
      </c>
      <c r="C1718">
        <v>68.84</v>
      </c>
      <c r="D1718">
        <f t="shared" si="192"/>
        <v>342.11</v>
      </c>
      <c r="E1718">
        <v>-0.4</v>
      </c>
      <c r="F1718">
        <f t="shared" si="193"/>
        <v>-342.51</v>
      </c>
      <c r="I1718">
        <f t="shared" si="189"/>
        <v>5</v>
      </c>
      <c r="J1718">
        <v>1</v>
      </c>
      <c r="K1718">
        <f t="shared" si="190"/>
        <v>4</v>
      </c>
      <c r="L1718">
        <f t="shared" si="191"/>
        <v>2019</v>
      </c>
      <c r="N1718" s="17">
        <f t="shared" si="194"/>
        <v>43556</v>
      </c>
      <c r="S1718">
        <f t="shared" si="195"/>
        <v>0</v>
      </c>
    </row>
    <row r="1719" spans="1:19" x14ac:dyDescent="0.3">
      <c r="A1719" s="17">
        <v>43559</v>
      </c>
      <c r="B1719">
        <v>420.14</v>
      </c>
      <c r="C1719">
        <v>68.650000000000006</v>
      </c>
      <c r="D1719">
        <f t="shared" si="192"/>
        <v>351.49</v>
      </c>
      <c r="E1719">
        <v>-0.41</v>
      </c>
      <c r="F1719">
        <f t="shared" si="193"/>
        <v>-351.90000000000003</v>
      </c>
      <c r="I1719">
        <f t="shared" si="189"/>
        <v>4</v>
      </c>
      <c r="J1719">
        <v>1</v>
      </c>
      <c r="K1719">
        <f t="shared" si="190"/>
        <v>4</v>
      </c>
      <c r="L1719">
        <f t="shared" si="191"/>
        <v>2019</v>
      </c>
      <c r="N1719" s="17">
        <f t="shared" si="194"/>
        <v>43556</v>
      </c>
      <c r="S1719">
        <f t="shared" si="195"/>
        <v>1</v>
      </c>
    </row>
    <row r="1720" spans="1:19" x14ac:dyDescent="0.3">
      <c r="A1720" s="17">
        <v>43558</v>
      </c>
      <c r="B1720">
        <v>426.31</v>
      </c>
      <c r="C1720">
        <v>69.405000000000001</v>
      </c>
      <c r="D1720">
        <f t="shared" si="192"/>
        <v>356.90499999999997</v>
      </c>
      <c r="E1720">
        <v>-0.38</v>
      </c>
      <c r="F1720">
        <f t="shared" si="193"/>
        <v>-357.28499999999997</v>
      </c>
      <c r="I1720">
        <f t="shared" si="189"/>
        <v>3</v>
      </c>
      <c r="J1720">
        <v>1</v>
      </c>
      <c r="K1720">
        <f t="shared" si="190"/>
        <v>4</v>
      </c>
      <c r="L1720">
        <f t="shared" si="191"/>
        <v>2019</v>
      </c>
      <c r="N1720" s="17">
        <f t="shared" si="194"/>
        <v>43556</v>
      </c>
      <c r="S1720">
        <f t="shared" si="195"/>
        <v>1</v>
      </c>
    </row>
    <row r="1721" spans="1:19" x14ac:dyDescent="0.3">
      <c r="A1721" s="17">
        <v>43557</v>
      </c>
      <c r="B1721">
        <v>419.93</v>
      </c>
      <c r="C1721">
        <v>68.77</v>
      </c>
      <c r="D1721">
        <f t="shared" si="192"/>
        <v>351.16</v>
      </c>
      <c r="E1721">
        <v>-0.35</v>
      </c>
      <c r="F1721">
        <f t="shared" si="193"/>
        <v>-351.51000000000005</v>
      </c>
      <c r="I1721">
        <f t="shared" si="189"/>
        <v>2</v>
      </c>
      <c r="J1721">
        <v>1</v>
      </c>
      <c r="K1721">
        <f t="shared" si="190"/>
        <v>4</v>
      </c>
      <c r="L1721">
        <f t="shared" si="191"/>
        <v>2019</v>
      </c>
      <c r="N1721" s="17">
        <f t="shared" si="194"/>
        <v>43556</v>
      </c>
      <c r="S1721">
        <f t="shared" si="195"/>
        <v>1</v>
      </c>
    </row>
    <row r="1722" spans="1:19" x14ac:dyDescent="0.3">
      <c r="A1722" s="17">
        <v>43556</v>
      </c>
      <c r="B1722">
        <v>421.68</v>
      </c>
      <c r="C1722">
        <v>68.2</v>
      </c>
      <c r="D1722">
        <f t="shared" si="192"/>
        <v>353.48</v>
      </c>
      <c r="E1722">
        <v>-0.28999999999999998</v>
      </c>
      <c r="F1722">
        <f t="shared" si="193"/>
        <v>-353.77000000000004</v>
      </c>
      <c r="I1722">
        <f t="shared" si="189"/>
        <v>1</v>
      </c>
      <c r="J1722">
        <v>1</v>
      </c>
      <c r="K1722">
        <f t="shared" si="190"/>
        <v>4</v>
      </c>
      <c r="L1722">
        <f t="shared" si="191"/>
        <v>2019</v>
      </c>
      <c r="N1722" s="17">
        <f t="shared" si="194"/>
        <v>43556</v>
      </c>
      <c r="S1722">
        <f t="shared" si="195"/>
        <v>1</v>
      </c>
    </row>
    <row r="1723" spans="1:19" x14ac:dyDescent="0.3">
      <c r="A1723" s="17">
        <v>43553</v>
      </c>
      <c r="B1723">
        <v>418.64</v>
      </c>
      <c r="C1723">
        <v>67.2</v>
      </c>
      <c r="D1723">
        <f t="shared" si="192"/>
        <v>351.44</v>
      </c>
      <c r="E1723">
        <v>-0.16</v>
      </c>
      <c r="F1723">
        <f t="shared" si="193"/>
        <v>-351.6</v>
      </c>
      <c r="I1723">
        <f t="shared" si="189"/>
        <v>29</v>
      </c>
      <c r="J1723">
        <v>1</v>
      </c>
      <c r="K1723">
        <f t="shared" si="190"/>
        <v>3</v>
      </c>
      <c r="L1723">
        <f t="shared" si="191"/>
        <v>2019</v>
      </c>
      <c r="N1723" s="17">
        <f t="shared" si="194"/>
        <v>43525</v>
      </c>
      <c r="S1723">
        <f t="shared" si="195"/>
        <v>0</v>
      </c>
    </row>
    <row r="1724" spans="1:19" x14ac:dyDescent="0.3">
      <c r="A1724" s="17">
        <v>43552</v>
      </c>
      <c r="B1724">
        <v>415.92</v>
      </c>
      <c r="C1724">
        <v>66.540000000000006</v>
      </c>
      <c r="D1724">
        <f t="shared" si="192"/>
        <v>349.38</v>
      </c>
      <c r="E1724">
        <v>-0.14000000000000001</v>
      </c>
      <c r="F1724">
        <f t="shared" si="193"/>
        <v>-349.52</v>
      </c>
      <c r="I1724">
        <f t="shared" si="189"/>
        <v>28</v>
      </c>
      <c r="J1724">
        <v>1</v>
      </c>
      <c r="K1724">
        <f t="shared" si="190"/>
        <v>3</v>
      </c>
      <c r="L1724">
        <f t="shared" si="191"/>
        <v>2019</v>
      </c>
      <c r="N1724" s="17">
        <f t="shared" si="194"/>
        <v>43525</v>
      </c>
      <c r="S1724">
        <f t="shared" si="195"/>
        <v>0</v>
      </c>
    </row>
    <row r="1725" spans="1:19" x14ac:dyDescent="0.3">
      <c r="A1725" s="17">
        <v>43551</v>
      </c>
      <c r="B1725">
        <v>417.28</v>
      </c>
      <c r="C1725">
        <v>67.400000000000006</v>
      </c>
      <c r="D1725">
        <f t="shared" si="192"/>
        <v>349.88</v>
      </c>
      <c r="E1725">
        <v>-0.17</v>
      </c>
      <c r="F1725">
        <f t="shared" si="193"/>
        <v>-350.05</v>
      </c>
      <c r="I1725">
        <f t="shared" si="189"/>
        <v>27</v>
      </c>
      <c r="J1725">
        <v>1</v>
      </c>
      <c r="K1725">
        <f t="shared" si="190"/>
        <v>3</v>
      </c>
      <c r="L1725">
        <f t="shared" si="191"/>
        <v>2019</v>
      </c>
      <c r="N1725" s="17">
        <f t="shared" si="194"/>
        <v>43525</v>
      </c>
      <c r="S1725">
        <f t="shared" si="195"/>
        <v>0</v>
      </c>
    </row>
    <row r="1726" spans="1:19" x14ac:dyDescent="0.3">
      <c r="A1726" s="17">
        <v>43550</v>
      </c>
      <c r="B1726">
        <v>414.88</v>
      </c>
      <c r="C1726">
        <v>67.150000000000006</v>
      </c>
      <c r="D1726">
        <f t="shared" si="192"/>
        <v>347.73</v>
      </c>
      <c r="E1726">
        <v>-0.23</v>
      </c>
      <c r="F1726">
        <f t="shared" si="193"/>
        <v>-347.96000000000004</v>
      </c>
      <c r="I1726">
        <f t="shared" si="189"/>
        <v>26</v>
      </c>
      <c r="J1726">
        <v>1</v>
      </c>
      <c r="K1726">
        <f t="shared" si="190"/>
        <v>3</v>
      </c>
      <c r="L1726">
        <f t="shared" si="191"/>
        <v>2019</v>
      </c>
      <c r="N1726" s="17">
        <f t="shared" si="194"/>
        <v>43525</v>
      </c>
      <c r="S1726">
        <f t="shared" si="195"/>
        <v>0</v>
      </c>
    </row>
    <row r="1727" spans="1:19" x14ac:dyDescent="0.3">
      <c r="A1727" s="17">
        <v>43549</v>
      </c>
      <c r="B1727">
        <v>407.26</v>
      </c>
      <c r="C1727">
        <v>66.36</v>
      </c>
      <c r="D1727">
        <f t="shared" si="192"/>
        <v>340.9</v>
      </c>
      <c r="E1727">
        <v>-0.2</v>
      </c>
      <c r="F1727">
        <f t="shared" si="193"/>
        <v>-341.09999999999997</v>
      </c>
      <c r="I1727">
        <f t="shared" si="189"/>
        <v>25</v>
      </c>
      <c r="J1727">
        <v>1</v>
      </c>
      <c r="K1727">
        <f t="shared" si="190"/>
        <v>3</v>
      </c>
      <c r="L1727">
        <f t="shared" si="191"/>
        <v>2019</v>
      </c>
      <c r="N1727" s="17">
        <f t="shared" si="194"/>
        <v>43525</v>
      </c>
      <c r="S1727">
        <f t="shared" si="195"/>
        <v>0</v>
      </c>
    </row>
    <row r="1728" spans="1:19" x14ac:dyDescent="0.3">
      <c r="A1728" s="17">
        <v>43546</v>
      </c>
      <c r="B1728">
        <v>416.43</v>
      </c>
      <c r="C1728">
        <v>67.45</v>
      </c>
      <c r="D1728">
        <f t="shared" si="192"/>
        <v>348.98</v>
      </c>
      <c r="E1728">
        <v>-0.18</v>
      </c>
      <c r="F1728">
        <f t="shared" si="193"/>
        <v>-349.16</v>
      </c>
      <c r="I1728">
        <f t="shared" si="189"/>
        <v>22</v>
      </c>
      <c r="J1728">
        <v>1</v>
      </c>
      <c r="K1728">
        <f t="shared" si="190"/>
        <v>3</v>
      </c>
      <c r="L1728">
        <f t="shared" si="191"/>
        <v>2019</v>
      </c>
      <c r="N1728" s="17">
        <f t="shared" si="194"/>
        <v>43525</v>
      </c>
      <c r="S1728">
        <f t="shared" si="195"/>
        <v>0</v>
      </c>
    </row>
    <row r="1729" spans="1:19" x14ac:dyDescent="0.3">
      <c r="A1729" s="17">
        <v>43545</v>
      </c>
      <c r="B1729">
        <v>421.15</v>
      </c>
      <c r="C1729">
        <v>68.25</v>
      </c>
      <c r="D1729">
        <f t="shared" si="192"/>
        <v>352.9</v>
      </c>
      <c r="E1729">
        <v>-0.16</v>
      </c>
      <c r="F1729">
        <f t="shared" si="193"/>
        <v>-353.06</v>
      </c>
      <c r="I1729">
        <f t="shared" si="189"/>
        <v>21</v>
      </c>
      <c r="J1729">
        <v>1</v>
      </c>
      <c r="K1729">
        <f t="shared" si="190"/>
        <v>3</v>
      </c>
      <c r="L1729">
        <f t="shared" si="191"/>
        <v>2019</v>
      </c>
      <c r="N1729" s="17">
        <f t="shared" si="194"/>
        <v>43525</v>
      </c>
      <c r="S1729">
        <f t="shared" si="195"/>
        <v>0</v>
      </c>
    </row>
    <row r="1730" spans="1:19" x14ac:dyDescent="0.3">
      <c r="A1730" s="17">
        <v>43544</v>
      </c>
      <c r="B1730">
        <v>423.09</v>
      </c>
      <c r="C1730">
        <v>67.644999999999996</v>
      </c>
      <c r="D1730">
        <f t="shared" si="192"/>
        <v>355.44499999999999</v>
      </c>
      <c r="E1730">
        <v>-0.19</v>
      </c>
      <c r="F1730">
        <f t="shared" si="193"/>
        <v>-355.63499999999999</v>
      </c>
      <c r="I1730">
        <f t="shared" si="189"/>
        <v>20</v>
      </c>
      <c r="J1730">
        <v>1</v>
      </c>
      <c r="K1730">
        <f t="shared" si="190"/>
        <v>3</v>
      </c>
      <c r="L1730">
        <f t="shared" si="191"/>
        <v>2019</v>
      </c>
      <c r="N1730" s="17">
        <f t="shared" si="194"/>
        <v>43525</v>
      </c>
      <c r="S1730">
        <f t="shared" si="195"/>
        <v>0</v>
      </c>
    </row>
    <row r="1731" spans="1:19" x14ac:dyDescent="0.3">
      <c r="A1731" s="17">
        <v>43543</v>
      </c>
      <c r="B1731">
        <v>421.92</v>
      </c>
      <c r="C1731">
        <v>67.650000000000006</v>
      </c>
      <c r="D1731">
        <f t="shared" si="192"/>
        <v>354.27</v>
      </c>
      <c r="E1731">
        <v>-0.2</v>
      </c>
      <c r="F1731">
        <f t="shared" si="193"/>
        <v>-354.46999999999997</v>
      </c>
      <c r="I1731">
        <f t="shared" si="189"/>
        <v>19</v>
      </c>
      <c r="J1731">
        <v>1</v>
      </c>
      <c r="K1731">
        <f t="shared" si="190"/>
        <v>3</v>
      </c>
      <c r="L1731">
        <f t="shared" si="191"/>
        <v>2019</v>
      </c>
      <c r="N1731" s="17">
        <f t="shared" si="194"/>
        <v>43525</v>
      </c>
      <c r="S1731">
        <f t="shared" si="195"/>
        <v>0</v>
      </c>
    </row>
    <row r="1732" spans="1:19" x14ac:dyDescent="0.3">
      <c r="A1732" s="17">
        <v>43542</v>
      </c>
      <c r="B1732">
        <v>421.57</v>
      </c>
      <c r="C1732">
        <v>67.295000000000002</v>
      </c>
      <c r="D1732">
        <f t="shared" si="192"/>
        <v>354.27499999999998</v>
      </c>
      <c r="E1732">
        <v>-0.23</v>
      </c>
      <c r="F1732">
        <f t="shared" si="193"/>
        <v>-354.505</v>
      </c>
      <c r="I1732">
        <f t="shared" si="189"/>
        <v>18</v>
      </c>
      <c r="J1732">
        <v>1</v>
      </c>
      <c r="K1732">
        <f t="shared" si="190"/>
        <v>3</v>
      </c>
      <c r="L1732">
        <f t="shared" si="191"/>
        <v>2019</v>
      </c>
      <c r="N1732" s="17">
        <f t="shared" si="194"/>
        <v>43525</v>
      </c>
      <c r="S1732">
        <f t="shared" si="195"/>
        <v>0</v>
      </c>
    </row>
    <row r="1733" spans="1:19" x14ac:dyDescent="0.3">
      <c r="A1733" s="17">
        <v>43539</v>
      </c>
      <c r="B1733">
        <v>424.19</v>
      </c>
      <c r="C1733">
        <v>67.694999999999993</v>
      </c>
      <c r="D1733">
        <f t="shared" si="192"/>
        <v>356.495</v>
      </c>
      <c r="E1733">
        <v>-0.15</v>
      </c>
      <c r="F1733">
        <f t="shared" si="193"/>
        <v>-356.64499999999998</v>
      </c>
      <c r="I1733">
        <f t="shared" ref="I1733:I1796" si="196">+DAY(A1733)</f>
        <v>15</v>
      </c>
      <c r="J1733">
        <v>1</v>
      </c>
      <c r="K1733">
        <f t="shared" ref="K1733:K1796" si="197">+MONTH(A1733)</f>
        <v>3</v>
      </c>
      <c r="L1733">
        <f t="shared" ref="L1733:L1796" si="198">+YEAR(A1733)</f>
        <v>2019</v>
      </c>
      <c r="N1733" s="17">
        <f t="shared" si="194"/>
        <v>43525</v>
      </c>
      <c r="S1733">
        <f t="shared" si="195"/>
        <v>0</v>
      </c>
    </row>
    <row r="1734" spans="1:19" x14ac:dyDescent="0.3">
      <c r="A1734" s="17">
        <v>43538</v>
      </c>
      <c r="B1734">
        <v>431.01</v>
      </c>
      <c r="C1734">
        <v>68.150000000000006</v>
      </c>
      <c r="D1734">
        <f t="shared" ref="D1734:D1797" si="199">+B1734-C1734</f>
        <v>362.86</v>
      </c>
      <c r="E1734">
        <v>-0.08</v>
      </c>
      <c r="F1734">
        <f t="shared" ref="F1734:F1797" si="200">+E1734-D1734</f>
        <v>-362.94</v>
      </c>
      <c r="I1734">
        <f t="shared" si="196"/>
        <v>14</v>
      </c>
      <c r="J1734">
        <v>1</v>
      </c>
      <c r="K1734">
        <f t="shared" si="197"/>
        <v>3</v>
      </c>
      <c r="L1734">
        <f t="shared" si="198"/>
        <v>2019</v>
      </c>
      <c r="N1734" s="17">
        <f t="shared" ref="N1734:N1797" si="201">+DATE(L1734,K1734,J1734)</f>
        <v>43525</v>
      </c>
      <c r="S1734">
        <f t="shared" ref="S1734:S1797" si="202">IF(AND(I1734&gt;=1, I1734&lt;=4), 1, 0)</f>
        <v>0</v>
      </c>
    </row>
    <row r="1735" spans="1:19" x14ac:dyDescent="0.3">
      <c r="A1735" s="17">
        <v>43537</v>
      </c>
      <c r="B1735">
        <v>426.7</v>
      </c>
      <c r="C1735">
        <v>67.19</v>
      </c>
      <c r="D1735">
        <f t="shared" si="199"/>
        <v>359.51</v>
      </c>
      <c r="E1735">
        <v>-0.03</v>
      </c>
      <c r="F1735">
        <f t="shared" si="200"/>
        <v>-359.53999999999996</v>
      </c>
      <c r="I1735">
        <f t="shared" si="196"/>
        <v>13</v>
      </c>
      <c r="J1735">
        <v>1</v>
      </c>
      <c r="K1735">
        <f t="shared" si="197"/>
        <v>3</v>
      </c>
      <c r="L1735">
        <f t="shared" si="198"/>
        <v>2019</v>
      </c>
      <c r="N1735" s="17">
        <f t="shared" si="201"/>
        <v>43525</v>
      </c>
      <c r="S1735">
        <f t="shared" si="202"/>
        <v>0</v>
      </c>
    </row>
    <row r="1736" spans="1:19" x14ac:dyDescent="0.3">
      <c r="A1736" s="17">
        <v>43536</v>
      </c>
      <c r="B1736">
        <v>430.3</v>
      </c>
      <c r="C1736">
        <v>67.14</v>
      </c>
      <c r="D1736">
        <f t="shared" si="199"/>
        <v>363.16</v>
      </c>
      <c r="E1736">
        <v>-0.02</v>
      </c>
      <c r="F1736">
        <f t="shared" si="200"/>
        <v>-363.18</v>
      </c>
      <c r="I1736">
        <f t="shared" si="196"/>
        <v>12</v>
      </c>
      <c r="J1736">
        <v>1</v>
      </c>
      <c r="K1736">
        <f t="shared" si="197"/>
        <v>3</v>
      </c>
      <c r="L1736">
        <f t="shared" si="198"/>
        <v>2019</v>
      </c>
      <c r="N1736" s="17">
        <f t="shared" si="201"/>
        <v>43525</v>
      </c>
      <c r="S1736">
        <f t="shared" si="202"/>
        <v>0</v>
      </c>
    </row>
    <row r="1737" spans="1:19" x14ac:dyDescent="0.3">
      <c r="A1737" s="17">
        <v>43535</v>
      </c>
      <c r="B1737">
        <v>427.44</v>
      </c>
      <c r="C1737">
        <v>66.790000000000006</v>
      </c>
      <c r="D1737">
        <f t="shared" si="199"/>
        <v>360.65</v>
      </c>
      <c r="E1737">
        <v>-0.04</v>
      </c>
      <c r="F1737">
        <f t="shared" si="200"/>
        <v>-360.69</v>
      </c>
      <c r="I1737">
        <f t="shared" si="196"/>
        <v>11</v>
      </c>
      <c r="J1737">
        <v>1</v>
      </c>
      <c r="K1737">
        <f t="shared" si="197"/>
        <v>3</v>
      </c>
      <c r="L1737">
        <f t="shared" si="198"/>
        <v>2019</v>
      </c>
      <c r="N1737" s="17">
        <f t="shared" si="201"/>
        <v>43525</v>
      </c>
      <c r="S1737">
        <f t="shared" si="202"/>
        <v>0</v>
      </c>
    </row>
    <row r="1738" spans="1:19" x14ac:dyDescent="0.3">
      <c r="A1738" s="17">
        <v>43532</v>
      </c>
      <c r="B1738">
        <v>420.76</v>
      </c>
      <c r="C1738">
        <v>65.75</v>
      </c>
      <c r="D1738">
        <f t="shared" si="199"/>
        <v>355.01</v>
      </c>
      <c r="E1738">
        <v>-0.04</v>
      </c>
      <c r="F1738">
        <f t="shared" si="200"/>
        <v>-355.05</v>
      </c>
      <c r="I1738">
        <f t="shared" si="196"/>
        <v>8</v>
      </c>
      <c r="J1738">
        <v>1</v>
      </c>
      <c r="K1738">
        <f t="shared" si="197"/>
        <v>3</v>
      </c>
      <c r="L1738">
        <f t="shared" si="198"/>
        <v>2019</v>
      </c>
      <c r="N1738" s="17">
        <f t="shared" si="201"/>
        <v>43525</v>
      </c>
      <c r="S1738">
        <f t="shared" si="202"/>
        <v>0</v>
      </c>
    </row>
    <row r="1739" spans="1:19" x14ac:dyDescent="0.3">
      <c r="A1739" s="17">
        <v>43531</v>
      </c>
      <c r="B1739">
        <v>429</v>
      </c>
      <c r="C1739">
        <v>66.5</v>
      </c>
      <c r="D1739">
        <f t="shared" si="199"/>
        <v>362.5</v>
      </c>
      <c r="E1739">
        <v>-0.19</v>
      </c>
      <c r="F1739">
        <f t="shared" si="200"/>
        <v>-362.69</v>
      </c>
      <c r="I1739">
        <f t="shared" si="196"/>
        <v>7</v>
      </c>
      <c r="J1739">
        <v>1</v>
      </c>
      <c r="K1739">
        <f t="shared" si="197"/>
        <v>3</v>
      </c>
      <c r="L1739">
        <f t="shared" si="198"/>
        <v>2019</v>
      </c>
      <c r="N1739" s="17">
        <f t="shared" si="201"/>
        <v>43525</v>
      </c>
      <c r="S1739">
        <f t="shared" si="202"/>
        <v>0</v>
      </c>
    </row>
    <row r="1740" spans="1:19" x14ac:dyDescent="0.3">
      <c r="A1740" s="17">
        <v>43530</v>
      </c>
      <c r="B1740">
        <v>426.35</v>
      </c>
      <c r="C1740">
        <v>65.81</v>
      </c>
      <c r="D1740">
        <f t="shared" si="199"/>
        <v>360.54</v>
      </c>
      <c r="E1740">
        <v>-0.22</v>
      </c>
      <c r="F1740">
        <f t="shared" si="200"/>
        <v>-360.76000000000005</v>
      </c>
      <c r="I1740">
        <f t="shared" si="196"/>
        <v>6</v>
      </c>
      <c r="J1740">
        <v>1</v>
      </c>
      <c r="K1740">
        <f t="shared" si="197"/>
        <v>3</v>
      </c>
      <c r="L1740">
        <f t="shared" si="198"/>
        <v>2019</v>
      </c>
      <c r="N1740" s="17">
        <f t="shared" si="201"/>
        <v>43525</v>
      </c>
      <c r="S1740">
        <f t="shared" si="202"/>
        <v>0</v>
      </c>
    </row>
    <row r="1741" spans="1:19" x14ac:dyDescent="0.3">
      <c r="A1741" s="17">
        <v>43529</v>
      </c>
      <c r="B1741">
        <v>428.72</v>
      </c>
      <c r="C1741">
        <v>65.709999999999994</v>
      </c>
      <c r="D1741">
        <f t="shared" si="199"/>
        <v>363.01000000000005</v>
      </c>
      <c r="E1741">
        <v>-0.27</v>
      </c>
      <c r="F1741">
        <f t="shared" si="200"/>
        <v>-363.28000000000003</v>
      </c>
      <c r="I1741">
        <f t="shared" si="196"/>
        <v>5</v>
      </c>
      <c r="J1741">
        <v>1</v>
      </c>
      <c r="K1741">
        <f t="shared" si="197"/>
        <v>3</v>
      </c>
      <c r="L1741">
        <f t="shared" si="198"/>
        <v>2019</v>
      </c>
      <c r="N1741" s="17">
        <f t="shared" si="201"/>
        <v>43525</v>
      </c>
      <c r="S1741">
        <f t="shared" si="202"/>
        <v>0</v>
      </c>
    </row>
    <row r="1742" spans="1:19" x14ac:dyDescent="0.3">
      <c r="A1742" s="17">
        <v>43528</v>
      </c>
      <c r="B1742">
        <v>428.27</v>
      </c>
      <c r="C1742">
        <v>65.34</v>
      </c>
      <c r="D1742">
        <f t="shared" si="199"/>
        <v>362.92999999999995</v>
      </c>
      <c r="E1742">
        <v>-0.22</v>
      </c>
      <c r="F1742">
        <f t="shared" si="200"/>
        <v>-363.15</v>
      </c>
      <c r="I1742">
        <f t="shared" si="196"/>
        <v>4</v>
      </c>
      <c r="J1742">
        <v>1</v>
      </c>
      <c r="K1742">
        <f t="shared" si="197"/>
        <v>3</v>
      </c>
      <c r="L1742">
        <f t="shared" si="198"/>
        <v>2019</v>
      </c>
      <c r="N1742" s="17">
        <f t="shared" si="201"/>
        <v>43525</v>
      </c>
      <c r="S1742">
        <f t="shared" si="202"/>
        <v>1</v>
      </c>
    </row>
    <row r="1743" spans="1:19" x14ac:dyDescent="0.3">
      <c r="A1743" s="17">
        <v>43525</v>
      </c>
      <c r="B1743">
        <v>430.28</v>
      </c>
      <c r="C1743">
        <v>66.599999999999994</v>
      </c>
      <c r="D1743">
        <f t="shared" si="199"/>
        <v>363.67999999999995</v>
      </c>
      <c r="E1743">
        <v>-0.19</v>
      </c>
      <c r="F1743">
        <f t="shared" si="200"/>
        <v>-363.86999999999995</v>
      </c>
      <c r="I1743">
        <f t="shared" si="196"/>
        <v>1</v>
      </c>
      <c r="J1743">
        <v>1</v>
      </c>
      <c r="K1743">
        <f t="shared" si="197"/>
        <v>3</v>
      </c>
      <c r="L1743">
        <f t="shared" si="198"/>
        <v>2019</v>
      </c>
      <c r="N1743" s="17">
        <f t="shared" si="201"/>
        <v>43525</v>
      </c>
      <c r="S1743">
        <f t="shared" si="202"/>
        <v>1</v>
      </c>
    </row>
    <row r="1744" spans="1:19" x14ac:dyDescent="0.3">
      <c r="A1744" s="17">
        <v>43524</v>
      </c>
      <c r="B1744">
        <v>419.5</v>
      </c>
      <c r="C1744">
        <v>66</v>
      </c>
      <c r="D1744">
        <f t="shared" si="199"/>
        <v>353.5</v>
      </c>
      <c r="E1744">
        <v>-0.09</v>
      </c>
      <c r="F1744">
        <f t="shared" si="200"/>
        <v>-353.59</v>
      </c>
      <c r="I1744">
        <f t="shared" si="196"/>
        <v>28</v>
      </c>
      <c r="J1744">
        <v>1</v>
      </c>
      <c r="K1744">
        <f t="shared" si="197"/>
        <v>2</v>
      </c>
      <c r="L1744">
        <f t="shared" si="198"/>
        <v>2019</v>
      </c>
      <c r="N1744" s="17">
        <f t="shared" si="201"/>
        <v>43497</v>
      </c>
      <c r="S1744">
        <f t="shared" si="202"/>
        <v>0</v>
      </c>
    </row>
    <row r="1745" spans="1:19" x14ac:dyDescent="0.3">
      <c r="A1745" s="17">
        <v>43523</v>
      </c>
      <c r="B1745">
        <v>414.1</v>
      </c>
      <c r="C1745">
        <v>65.290000000000006</v>
      </c>
      <c r="D1745">
        <f t="shared" si="199"/>
        <v>348.81</v>
      </c>
      <c r="E1745">
        <v>-0.17</v>
      </c>
      <c r="F1745">
        <f t="shared" si="200"/>
        <v>-348.98</v>
      </c>
      <c r="I1745">
        <f t="shared" si="196"/>
        <v>27</v>
      </c>
      <c r="J1745">
        <v>1</v>
      </c>
      <c r="K1745">
        <f t="shared" si="197"/>
        <v>2</v>
      </c>
      <c r="L1745">
        <f t="shared" si="198"/>
        <v>2019</v>
      </c>
      <c r="N1745" s="17">
        <f t="shared" si="201"/>
        <v>43497</v>
      </c>
      <c r="S1745">
        <f t="shared" si="202"/>
        <v>0</v>
      </c>
    </row>
    <row r="1746" spans="1:19" x14ac:dyDescent="0.3">
      <c r="A1746" s="17">
        <v>43522</v>
      </c>
      <c r="B1746">
        <v>407.53</v>
      </c>
      <c r="C1746">
        <v>64.55</v>
      </c>
      <c r="D1746">
        <f t="shared" si="199"/>
        <v>342.97999999999996</v>
      </c>
      <c r="E1746">
        <v>-0.21</v>
      </c>
      <c r="F1746">
        <f t="shared" si="200"/>
        <v>-343.18999999999994</v>
      </c>
      <c r="I1746">
        <f t="shared" si="196"/>
        <v>26</v>
      </c>
      <c r="J1746">
        <v>1</v>
      </c>
      <c r="K1746">
        <f t="shared" si="197"/>
        <v>2</v>
      </c>
      <c r="L1746">
        <f t="shared" si="198"/>
        <v>2019</v>
      </c>
      <c r="N1746" s="17">
        <f t="shared" si="201"/>
        <v>43497</v>
      </c>
      <c r="S1746">
        <f t="shared" si="202"/>
        <v>0</v>
      </c>
    </row>
    <row r="1747" spans="1:19" x14ac:dyDescent="0.3">
      <c r="A1747" s="17">
        <v>43521</v>
      </c>
      <c r="B1747">
        <v>414.82</v>
      </c>
      <c r="C1747">
        <v>66.86</v>
      </c>
      <c r="D1747">
        <f t="shared" si="199"/>
        <v>347.96</v>
      </c>
      <c r="E1747">
        <v>-0.21</v>
      </c>
      <c r="F1747">
        <f t="shared" si="200"/>
        <v>-348.16999999999996</v>
      </c>
      <c r="I1747">
        <f t="shared" si="196"/>
        <v>25</v>
      </c>
      <c r="J1747">
        <v>1</v>
      </c>
      <c r="K1747">
        <f t="shared" si="197"/>
        <v>2</v>
      </c>
      <c r="L1747">
        <f t="shared" si="198"/>
        <v>2019</v>
      </c>
      <c r="N1747" s="17">
        <f t="shared" si="201"/>
        <v>43497</v>
      </c>
      <c r="S1747">
        <f t="shared" si="202"/>
        <v>0</v>
      </c>
    </row>
    <row r="1748" spans="1:19" x14ac:dyDescent="0.3">
      <c r="A1748" s="17">
        <v>43518</v>
      </c>
      <c r="B1748">
        <v>422.2</v>
      </c>
      <c r="C1748">
        <v>67.209999999999994</v>
      </c>
      <c r="D1748">
        <f t="shared" si="199"/>
        <v>354.99</v>
      </c>
      <c r="E1748">
        <v>-0.34</v>
      </c>
      <c r="F1748">
        <f t="shared" si="200"/>
        <v>-355.33</v>
      </c>
      <c r="I1748">
        <f t="shared" si="196"/>
        <v>22</v>
      </c>
      <c r="J1748">
        <v>1</v>
      </c>
      <c r="K1748">
        <f t="shared" si="197"/>
        <v>2</v>
      </c>
      <c r="L1748">
        <f t="shared" si="198"/>
        <v>2019</v>
      </c>
      <c r="N1748" s="17">
        <f t="shared" si="201"/>
        <v>43497</v>
      </c>
      <c r="S1748">
        <f t="shared" si="202"/>
        <v>0</v>
      </c>
    </row>
    <row r="1749" spans="1:19" x14ac:dyDescent="0.3">
      <c r="A1749" s="17">
        <v>43517</v>
      </c>
      <c r="B1749">
        <v>421.95</v>
      </c>
      <c r="C1749">
        <v>67.11</v>
      </c>
      <c r="D1749">
        <f t="shared" si="199"/>
        <v>354.84</v>
      </c>
      <c r="E1749">
        <v>-0.39</v>
      </c>
      <c r="F1749">
        <f t="shared" si="200"/>
        <v>-355.22999999999996</v>
      </c>
      <c r="I1749">
        <f t="shared" si="196"/>
        <v>21</v>
      </c>
      <c r="J1749">
        <v>1</v>
      </c>
      <c r="K1749">
        <f t="shared" si="197"/>
        <v>2</v>
      </c>
      <c r="L1749">
        <f t="shared" si="198"/>
        <v>2019</v>
      </c>
      <c r="N1749" s="17">
        <f t="shared" si="201"/>
        <v>43497</v>
      </c>
      <c r="S1749">
        <f t="shared" si="202"/>
        <v>0</v>
      </c>
    </row>
    <row r="1750" spans="1:19" x14ac:dyDescent="0.3">
      <c r="A1750" s="17">
        <v>43516</v>
      </c>
      <c r="B1750">
        <v>419.49</v>
      </c>
      <c r="C1750">
        <v>66.349999999999994</v>
      </c>
      <c r="D1750">
        <f t="shared" si="199"/>
        <v>353.14</v>
      </c>
      <c r="E1750">
        <v>-0.42</v>
      </c>
      <c r="F1750">
        <f t="shared" si="200"/>
        <v>-353.56</v>
      </c>
      <c r="I1750">
        <f t="shared" si="196"/>
        <v>20</v>
      </c>
      <c r="J1750">
        <v>1</v>
      </c>
      <c r="K1750">
        <f t="shared" si="197"/>
        <v>2</v>
      </c>
      <c r="L1750">
        <f t="shared" si="198"/>
        <v>2019</v>
      </c>
      <c r="N1750" s="17">
        <f t="shared" si="201"/>
        <v>43497</v>
      </c>
      <c r="S1750">
        <f t="shared" si="202"/>
        <v>0</v>
      </c>
    </row>
    <row r="1751" spans="1:19" x14ac:dyDescent="0.3">
      <c r="A1751" s="17">
        <v>43515</v>
      </c>
      <c r="B1751">
        <v>423.19</v>
      </c>
      <c r="C1751">
        <v>66.459999999999994</v>
      </c>
      <c r="D1751">
        <f t="shared" si="199"/>
        <v>356.73</v>
      </c>
      <c r="E1751">
        <v>-0.45</v>
      </c>
      <c r="F1751">
        <f t="shared" si="200"/>
        <v>-357.18</v>
      </c>
      <c r="I1751">
        <f t="shared" si="196"/>
        <v>19</v>
      </c>
      <c r="J1751">
        <v>1</v>
      </c>
      <c r="K1751">
        <f t="shared" si="197"/>
        <v>2</v>
      </c>
      <c r="L1751">
        <f t="shared" si="198"/>
        <v>2019</v>
      </c>
      <c r="N1751" s="17">
        <f t="shared" si="201"/>
        <v>43497</v>
      </c>
      <c r="S1751">
        <f t="shared" si="202"/>
        <v>0</v>
      </c>
    </row>
    <row r="1752" spans="1:19" x14ac:dyDescent="0.3">
      <c r="A1752" s="17">
        <v>43514</v>
      </c>
      <c r="B1752">
        <v>424.5</v>
      </c>
      <c r="C1752">
        <v>66.709999999999994</v>
      </c>
      <c r="D1752">
        <f t="shared" si="199"/>
        <v>357.79</v>
      </c>
      <c r="E1752">
        <v>-0.42</v>
      </c>
      <c r="F1752">
        <f t="shared" si="200"/>
        <v>-358.21000000000004</v>
      </c>
      <c r="I1752">
        <f t="shared" si="196"/>
        <v>18</v>
      </c>
      <c r="J1752">
        <v>1</v>
      </c>
      <c r="K1752">
        <f t="shared" si="197"/>
        <v>2</v>
      </c>
      <c r="L1752">
        <f t="shared" si="198"/>
        <v>2019</v>
      </c>
      <c r="N1752" s="17">
        <f t="shared" si="201"/>
        <v>43497</v>
      </c>
      <c r="S1752">
        <f t="shared" si="202"/>
        <v>0</v>
      </c>
    </row>
    <row r="1753" spans="1:19" x14ac:dyDescent="0.3">
      <c r="A1753" s="17">
        <v>43511</v>
      </c>
      <c r="B1753">
        <v>412.23</v>
      </c>
      <c r="C1753">
        <v>65.09</v>
      </c>
      <c r="D1753">
        <f t="shared" si="199"/>
        <v>347.14</v>
      </c>
      <c r="E1753">
        <v>-0.43</v>
      </c>
      <c r="F1753">
        <f t="shared" si="200"/>
        <v>-347.57</v>
      </c>
      <c r="I1753">
        <f t="shared" si="196"/>
        <v>15</v>
      </c>
      <c r="J1753">
        <v>1</v>
      </c>
      <c r="K1753">
        <f t="shared" si="197"/>
        <v>2</v>
      </c>
      <c r="L1753">
        <f t="shared" si="198"/>
        <v>2019</v>
      </c>
      <c r="N1753" s="17">
        <f t="shared" si="201"/>
        <v>43497</v>
      </c>
      <c r="S1753">
        <f t="shared" si="202"/>
        <v>0</v>
      </c>
    </row>
    <row r="1754" spans="1:19" x14ac:dyDescent="0.3">
      <c r="A1754" s="17">
        <v>43510</v>
      </c>
      <c r="B1754">
        <v>419.78</v>
      </c>
      <c r="C1754">
        <v>65.3</v>
      </c>
      <c r="D1754">
        <f t="shared" si="199"/>
        <v>354.47999999999996</v>
      </c>
      <c r="E1754">
        <v>-0.45</v>
      </c>
      <c r="F1754">
        <f t="shared" si="200"/>
        <v>-354.92999999999995</v>
      </c>
      <c r="I1754">
        <f t="shared" si="196"/>
        <v>14</v>
      </c>
      <c r="J1754">
        <v>1</v>
      </c>
      <c r="K1754">
        <f t="shared" si="197"/>
        <v>2</v>
      </c>
      <c r="L1754">
        <f t="shared" si="198"/>
        <v>2019</v>
      </c>
      <c r="N1754" s="17">
        <f t="shared" si="201"/>
        <v>43497</v>
      </c>
      <c r="S1754">
        <f t="shared" si="202"/>
        <v>0</v>
      </c>
    </row>
    <row r="1755" spans="1:19" x14ac:dyDescent="0.3">
      <c r="A1755" s="17">
        <v>43509</v>
      </c>
      <c r="B1755">
        <v>408.52</v>
      </c>
      <c r="C1755">
        <v>63.354999999999997</v>
      </c>
      <c r="D1755">
        <f t="shared" si="199"/>
        <v>345.16499999999996</v>
      </c>
      <c r="E1755">
        <v>-0.45</v>
      </c>
      <c r="F1755">
        <f t="shared" si="200"/>
        <v>-345.61499999999995</v>
      </c>
      <c r="I1755">
        <f t="shared" si="196"/>
        <v>13</v>
      </c>
      <c r="J1755">
        <v>1</v>
      </c>
      <c r="K1755">
        <f t="shared" si="197"/>
        <v>2</v>
      </c>
      <c r="L1755">
        <f t="shared" si="198"/>
        <v>2019</v>
      </c>
      <c r="N1755" s="17">
        <f t="shared" si="201"/>
        <v>43497</v>
      </c>
      <c r="S1755">
        <f t="shared" si="202"/>
        <v>0</v>
      </c>
    </row>
    <row r="1756" spans="1:19" x14ac:dyDescent="0.3">
      <c r="A1756" s="17">
        <v>43508</v>
      </c>
      <c r="B1756">
        <v>400.17</v>
      </c>
      <c r="C1756">
        <v>62.21</v>
      </c>
      <c r="D1756">
        <f t="shared" si="199"/>
        <v>337.96000000000004</v>
      </c>
      <c r="E1756">
        <v>-0.42</v>
      </c>
      <c r="F1756">
        <f t="shared" si="200"/>
        <v>-338.38000000000005</v>
      </c>
      <c r="I1756">
        <f t="shared" si="196"/>
        <v>12</v>
      </c>
      <c r="J1756">
        <v>1</v>
      </c>
      <c r="K1756">
        <f t="shared" si="197"/>
        <v>2</v>
      </c>
      <c r="L1756">
        <f t="shared" si="198"/>
        <v>2019</v>
      </c>
      <c r="N1756" s="17">
        <f t="shared" si="201"/>
        <v>43497</v>
      </c>
      <c r="S1756">
        <f t="shared" si="202"/>
        <v>0</v>
      </c>
    </row>
    <row r="1757" spans="1:19" x14ac:dyDescent="0.3">
      <c r="A1757" s="17">
        <v>43507</v>
      </c>
      <c r="B1757">
        <v>400.46</v>
      </c>
      <c r="C1757">
        <v>62</v>
      </c>
      <c r="D1757">
        <f t="shared" si="199"/>
        <v>338.46</v>
      </c>
      <c r="E1757">
        <v>-0.35</v>
      </c>
      <c r="F1757">
        <f t="shared" si="200"/>
        <v>-338.81</v>
      </c>
      <c r="I1757">
        <f t="shared" si="196"/>
        <v>11</v>
      </c>
      <c r="J1757">
        <v>1</v>
      </c>
      <c r="K1757">
        <f t="shared" si="197"/>
        <v>2</v>
      </c>
      <c r="L1757">
        <f t="shared" si="198"/>
        <v>2019</v>
      </c>
      <c r="N1757" s="17">
        <f t="shared" si="201"/>
        <v>43497</v>
      </c>
      <c r="S1757">
        <f t="shared" si="202"/>
        <v>0</v>
      </c>
    </row>
    <row r="1758" spans="1:19" x14ac:dyDescent="0.3">
      <c r="A1758" s="17">
        <v>43504</v>
      </c>
      <c r="B1758">
        <v>400.86</v>
      </c>
      <c r="C1758">
        <v>61.6</v>
      </c>
      <c r="D1758">
        <f t="shared" si="199"/>
        <v>339.26</v>
      </c>
      <c r="E1758">
        <v>-0.4</v>
      </c>
      <c r="F1758">
        <f t="shared" si="200"/>
        <v>-339.65999999999997</v>
      </c>
      <c r="I1758">
        <f t="shared" si="196"/>
        <v>8</v>
      </c>
      <c r="J1758">
        <v>1</v>
      </c>
      <c r="K1758">
        <f t="shared" si="197"/>
        <v>2</v>
      </c>
      <c r="L1758">
        <f t="shared" si="198"/>
        <v>2019</v>
      </c>
      <c r="N1758" s="17">
        <f t="shared" si="201"/>
        <v>43497</v>
      </c>
      <c r="S1758">
        <f t="shared" si="202"/>
        <v>0</v>
      </c>
    </row>
    <row r="1759" spans="1:19" x14ac:dyDescent="0.3">
      <c r="A1759" s="17">
        <v>43503</v>
      </c>
      <c r="B1759">
        <v>405.16</v>
      </c>
      <c r="C1759">
        <v>62.5</v>
      </c>
      <c r="D1759">
        <f t="shared" si="199"/>
        <v>342.66</v>
      </c>
      <c r="E1759">
        <v>-0.34</v>
      </c>
      <c r="F1759">
        <f t="shared" si="200"/>
        <v>-343</v>
      </c>
      <c r="I1759">
        <f t="shared" si="196"/>
        <v>7</v>
      </c>
      <c r="J1759">
        <v>1</v>
      </c>
      <c r="K1759">
        <f t="shared" si="197"/>
        <v>2</v>
      </c>
      <c r="L1759">
        <f t="shared" si="198"/>
        <v>2019</v>
      </c>
      <c r="N1759" s="17">
        <f t="shared" si="201"/>
        <v>43497</v>
      </c>
      <c r="S1759">
        <f t="shared" si="202"/>
        <v>0</v>
      </c>
    </row>
    <row r="1760" spans="1:19" x14ac:dyDescent="0.3">
      <c r="A1760" s="17">
        <v>43500</v>
      </c>
      <c r="B1760">
        <v>400.2</v>
      </c>
      <c r="C1760">
        <v>62.9</v>
      </c>
      <c r="D1760">
        <f t="shared" si="199"/>
        <v>337.3</v>
      </c>
      <c r="E1760">
        <v>-0.31</v>
      </c>
      <c r="F1760">
        <f t="shared" si="200"/>
        <v>-337.61</v>
      </c>
      <c r="I1760">
        <f t="shared" si="196"/>
        <v>4</v>
      </c>
      <c r="J1760">
        <v>1</v>
      </c>
      <c r="K1760">
        <f t="shared" si="197"/>
        <v>2</v>
      </c>
      <c r="L1760">
        <f t="shared" si="198"/>
        <v>2019</v>
      </c>
      <c r="N1760" s="17">
        <f t="shared" si="201"/>
        <v>43497</v>
      </c>
      <c r="S1760">
        <f t="shared" si="202"/>
        <v>1</v>
      </c>
    </row>
    <row r="1761" spans="1:19" x14ac:dyDescent="0.3">
      <c r="A1761" s="17">
        <v>43497</v>
      </c>
      <c r="B1761">
        <v>390.16</v>
      </c>
      <c r="C1761">
        <v>60.85</v>
      </c>
      <c r="D1761">
        <f t="shared" si="199"/>
        <v>329.31</v>
      </c>
      <c r="E1761">
        <v>-0.42</v>
      </c>
      <c r="F1761">
        <f t="shared" si="200"/>
        <v>-329.73</v>
      </c>
      <c r="I1761">
        <f t="shared" si="196"/>
        <v>1</v>
      </c>
      <c r="J1761">
        <v>1</v>
      </c>
      <c r="K1761">
        <f t="shared" si="197"/>
        <v>2</v>
      </c>
      <c r="L1761">
        <f t="shared" si="198"/>
        <v>2019</v>
      </c>
      <c r="N1761" s="17">
        <f t="shared" si="201"/>
        <v>43497</v>
      </c>
      <c r="S1761">
        <f t="shared" si="202"/>
        <v>1</v>
      </c>
    </row>
    <row r="1762" spans="1:19" x14ac:dyDescent="0.3">
      <c r="A1762" s="17">
        <v>43496</v>
      </c>
      <c r="B1762">
        <v>396.97</v>
      </c>
      <c r="C1762">
        <v>61.8</v>
      </c>
      <c r="D1762">
        <f t="shared" si="199"/>
        <v>335.17</v>
      </c>
      <c r="E1762">
        <v>-0.44</v>
      </c>
      <c r="F1762">
        <f t="shared" si="200"/>
        <v>-335.61</v>
      </c>
      <c r="I1762">
        <f t="shared" si="196"/>
        <v>31</v>
      </c>
      <c r="J1762">
        <v>1</v>
      </c>
      <c r="K1762">
        <f t="shared" si="197"/>
        <v>1</v>
      </c>
      <c r="L1762">
        <f t="shared" si="198"/>
        <v>2019</v>
      </c>
      <c r="N1762" s="17">
        <f t="shared" si="201"/>
        <v>43466</v>
      </c>
      <c r="S1762">
        <f t="shared" si="202"/>
        <v>0</v>
      </c>
    </row>
    <row r="1763" spans="1:19" x14ac:dyDescent="0.3">
      <c r="A1763" s="17">
        <v>43495</v>
      </c>
      <c r="B1763">
        <v>392.2</v>
      </c>
      <c r="C1763">
        <v>60.91</v>
      </c>
      <c r="D1763">
        <f t="shared" si="199"/>
        <v>331.28999999999996</v>
      </c>
      <c r="E1763">
        <v>-0.4</v>
      </c>
      <c r="F1763">
        <f t="shared" si="200"/>
        <v>-331.68999999999994</v>
      </c>
      <c r="I1763">
        <f t="shared" si="196"/>
        <v>30</v>
      </c>
      <c r="J1763">
        <v>1</v>
      </c>
      <c r="K1763">
        <f t="shared" si="197"/>
        <v>1</v>
      </c>
      <c r="L1763">
        <f t="shared" si="198"/>
        <v>2019</v>
      </c>
      <c r="N1763" s="17">
        <f t="shared" si="201"/>
        <v>43466</v>
      </c>
      <c r="S1763">
        <f t="shared" si="202"/>
        <v>0</v>
      </c>
    </row>
    <row r="1764" spans="1:19" x14ac:dyDescent="0.3">
      <c r="A1764" s="17">
        <v>43494</v>
      </c>
      <c r="B1764">
        <v>380.48</v>
      </c>
      <c r="C1764">
        <v>59.46</v>
      </c>
      <c r="D1764">
        <f t="shared" si="199"/>
        <v>321.02000000000004</v>
      </c>
      <c r="E1764">
        <v>-0.38</v>
      </c>
      <c r="F1764">
        <f t="shared" si="200"/>
        <v>-321.40000000000003</v>
      </c>
      <c r="I1764">
        <f t="shared" si="196"/>
        <v>29</v>
      </c>
      <c r="J1764">
        <v>1</v>
      </c>
      <c r="K1764">
        <f t="shared" si="197"/>
        <v>1</v>
      </c>
      <c r="L1764">
        <f t="shared" si="198"/>
        <v>2019</v>
      </c>
      <c r="N1764" s="17">
        <f t="shared" si="201"/>
        <v>43466</v>
      </c>
      <c r="S1764">
        <f t="shared" si="202"/>
        <v>0</v>
      </c>
    </row>
    <row r="1765" spans="1:19" x14ac:dyDescent="0.3">
      <c r="A1765" s="17">
        <v>43493</v>
      </c>
      <c r="B1765">
        <v>384.48</v>
      </c>
      <c r="C1765">
        <v>60.3</v>
      </c>
      <c r="D1765">
        <f t="shared" si="199"/>
        <v>324.18</v>
      </c>
      <c r="E1765">
        <v>-0.39</v>
      </c>
      <c r="F1765">
        <f t="shared" si="200"/>
        <v>-324.57</v>
      </c>
      <c r="I1765">
        <f t="shared" si="196"/>
        <v>28</v>
      </c>
      <c r="J1765">
        <v>1</v>
      </c>
      <c r="K1765">
        <f t="shared" si="197"/>
        <v>1</v>
      </c>
      <c r="L1765">
        <f t="shared" si="198"/>
        <v>2019</v>
      </c>
      <c r="N1765" s="17">
        <f t="shared" si="201"/>
        <v>43466</v>
      </c>
      <c r="S1765">
        <f t="shared" si="202"/>
        <v>0</v>
      </c>
    </row>
    <row r="1766" spans="1:19" x14ac:dyDescent="0.3">
      <c r="A1766" s="17">
        <v>43490</v>
      </c>
      <c r="B1766">
        <v>387.98</v>
      </c>
      <c r="C1766">
        <v>61.15</v>
      </c>
      <c r="D1766">
        <f t="shared" si="199"/>
        <v>326.83000000000004</v>
      </c>
      <c r="E1766">
        <v>-0.38</v>
      </c>
      <c r="F1766">
        <f t="shared" si="200"/>
        <v>-327.21000000000004</v>
      </c>
      <c r="I1766">
        <f t="shared" si="196"/>
        <v>25</v>
      </c>
      <c r="J1766">
        <v>1</v>
      </c>
      <c r="K1766">
        <f t="shared" si="197"/>
        <v>1</v>
      </c>
      <c r="L1766">
        <f t="shared" si="198"/>
        <v>2019</v>
      </c>
      <c r="N1766" s="17">
        <f t="shared" si="201"/>
        <v>43466</v>
      </c>
      <c r="S1766">
        <f t="shared" si="202"/>
        <v>0</v>
      </c>
    </row>
    <row r="1767" spans="1:19" x14ac:dyDescent="0.3">
      <c r="A1767" s="17">
        <v>43489</v>
      </c>
      <c r="B1767">
        <v>387.48</v>
      </c>
      <c r="C1767">
        <v>60.39</v>
      </c>
      <c r="D1767">
        <f t="shared" si="199"/>
        <v>327.09000000000003</v>
      </c>
      <c r="E1767">
        <v>-0.4</v>
      </c>
      <c r="F1767">
        <f t="shared" si="200"/>
        <v>-327.49</v>
      </c>
      <c r="I1767">
        <f t="shared" si="196"/>
        <v>24</v>
      </c>
      <c r="J1767">
        <v>1</v>
      </c>
      <c r="K1767">
        <f t="shared" si="197"/>
        <v>1</v>
      </c>
      <c r="L1767">
        <f t="shared" si="198"/>
        <v>2019</v>
      </c>
      <c r="N1767" s="17">
        <f t="shared" si="201"/>
        <v>43466</v>
      </c>
      <c r="S1767">
        <f t="shared" si="202"/>
        <v>0</v>
      </c>
    </row>
    <row r="1768" spans="1:19" x14ac:dyDescent="0.3">
      <c r="A1768" s="17">
        <v>43488</v>
      </c>
      <c r="B1768">
        <v>389.88</v>
      </c>
      <c r="C1768">
        <v>61.25</v>
      </c>
      <c r="D1768">
        <f t="shared" si="199"/>
        <v>328.63</v>
      </c>
      <c r="E1768">
        <v>-0.46</v>
      </c>
      <c r="F1768">
        <f t="shared" si="200"/>
        <v>-329.09</v>
      </c>
      <c r="I1768">
        <f t="shared" si="196"/>
        <v>23</v>
      </c>
      <c r="J1768">
        <v>1</v>
      </c>
      <c r="K1768">
        <f t="shared" si="197"/>
        <v>1</v>
      </c>
      <c r="L1768">
        <f t="shared" si="198"/>
        <v>2019</v>
      </c>
      <c r="N1768" s="17">
        <f t="shared" si="201"/>
        <v>43466</v>
      </c>
      <c r="S1768">
        <f t="shared" si="202"/>
        <v>0</v>
      </c>
    </row>
    <row r="1769" spans="1:19" x14ac:dyDescent="0.3">
      <c r="A1769" s="17">
        <v>43487</v>
      </c>
      <c r="B1769">
        <v>390.65</v>
      </c>
      <c r="C1769">
        <v>61.41</v>
      </c>
      <c r="D1769">
        <f t="shared" si="199"/>
        <v>329.24</v>
      </c>
      <c r="E1769">
        <v>-0.41</v>
      </c>
      <c r="F1769">
        <f t="shared" si="200"/>
        <v>-329.65000000000003</v>
      </c>
      <c r="I1769">
        <f t="shared" si="196"/>
        <v>22</v>
      </c>
      <c r="J1769">
        <v>1</v>
      </c>
      <c r="K1769">
        <f t="shared" si="197"/>
        <v>1</v>
      </c>
      <c r="L1769">
        <f t="shared" si="198"/>
        <v>2019</v>
      </c>
      <c r="N1769" s="17">
        <f t="shared" si="201"/>
        <v>43466</v>
      </c>
      <c r="S1769">
        <f t="shared" si="202"/>
        <v>0</v>
      </c>
    </row>
    <row r="1770" spans="1:19" x14ac:dyDescent="0.3">
      <c r="A1770" s="17">
        <v>43486</v>
      </c>
      <c r="B1770">
        <v>389.09</v>
      </c>
      <c r="C1770">
        <v>61.85</v>
      </c>
      <c r="D1770">
        <f t="shared" si="199"/>
        <v>327.23999999999995</v>
      </c>
      <c r="E1770">
        <v>-0.43</v>
      </c>
      <c r="F1770">
        <f t="shared" si="200"/>
        <v>-327.66999999999996</v>
      </c>
      <c r="I1770">
        <f t="shared" si="196"/>
        <v>21</v>
      </c>
      <c r="J1770">
        <v>1</v>
      </c>
      <c r="K1770">
        <f t="shared" si="197"/>
        <v>1</v>
      </c>
      <c r="L1770">
        <f t="shared" si="198"/>
        <v>2019</v>
      </c>
      <c r="N1770" s="17">
        <f t="shared" si="201"/>
        <v>43466</v>
      </c>
      <c r="S1770">
        <f t="shared" si="202"/>
        <v>0</v>
      </c>
    </row>
    <row r="1771" spans="1:19" x14ac:dyDescent="0.3">
      <c r="A1771" s="17">
        <v>43483</v>
      </c>
      <c r="B1771">
        <v>381.24</v>
      </c>
      <c r="C1771">
        <v>61.1</v>
      </c>
      <c r="D1771">
        <f t="shared" si="199"/>
        <v>320.14</v>
      </c>
      <c r="E1771">
        <v>-0.43</v>
      </c>
      <c r="F1771">
        <f t="shared" si="200"/>
        <v>-320.57</v>
      </c>
      <c r="I1771">
        <f t="shared" si="196"/>
        <v>18</v>
      </c>
      <c r="J1771">
        <v>1</v>
      </c>
      <c r="K1771">
        <f t="shared" si="197"/>
        <v>1</v>
      </c>
      <c r="L1771">
        <f t="shared" si="198"/>
        <v>2019</v>
      </c>
      <c r="N1771" s="17">
        <f t="shared" si="201"/>
        <v>43466</v>
      </c>
      <c r="S1771">
        <f t="shared" si="202"/>
        <v>0</v>
      </c>
    </row>
    <row r="1772" spans="1:19" x14ac:dyDescent="0.3">
      <c r="A1772" s="17">
        <v>43482</v>
      </c>
      <c r="B1772">
        <v>375.87</v>
      </c>
      <c r="C1772">
        <v>60.01</v>
      </c>
      <c r="D1772">
        <f t="shared" si="199"/>
        <v>315.86</v>
      </c>
      <c r="E1772">
        <v>-0.45</v>
      </c>
      <c r="F1772">
        <f t="shared" si="200"/>
        <v>-316.31</v>
      </c>
      <c r="I1772">
        <f t="shared" si="196"/>
        <v>17</v>
      </c>
      <c r="J1772">
        <v>1</v>
      </c>
      <c r="K1772">
        <f t="shared" si="197"/>
        <v>1</v>
      </c>
      <c r="L1772">
        <f t="shared" si="198"/>
        <v>2019</v>
      </c>
      <c r="N1772" s="17">
        <f t="shared" si="201"/>
        <v>43466</v>
      </c>
      <c r="S1772">
        <f t="shared" si="202"/>
        <v>0</v>
      </c>
    </row>
    <row r="1773" spans="1:19" x14ac:dyDescent="0.3">
      <c r="A1773" s="17">
        <v>43481</v>
      </c>
      <c r="B1773">
        <v>375.69</v>
      </c>
      <c r="C1773">
        <v>60.11</v>
      </c>
      <c r="D1773">
        <f t="shared" si="199"/>
        <v>315.58</v>
      </c>
      <c r="E1773">
        <v>-0.46</v>
      </c>
      <c r="F1773">
        <f t="shared" si="200"/>
        <v>-316.03999999999996</v>
      </c>
      <c r="I1773">
        <f t="shared" si="196"/>
        <v>16</v>
      </c>
      <c r="J1773">
        <v>1</v>
      </c>
      <c r="K1773">
        <f t="shared" si="197"/>
        <v>1</v>
      </c>
      <c r="L1773">
        <f t="shared" si="198"/>
        <v>2019</v>
      </c>
      <c r="N1773" s="17">
        <f t="shared" si="201"/>
        <v>43466</v>
      </c>
      <c r="S1773">
        <f t="shared" si="202"/>
        <v>0</v>
      </c>
    </row>
    <row r="1774" spans="1:19" x14ac:dyDescent="0.3">
      <c r="A1774" s="17">
        <v>43480</v>
      </c>
      <c r="B1774">
        <v>366.21</v>
      </c>
      <c r="C1774">
        <v>58.6</v>
      </c>
      <c r="D1774">
        <f t="shared" si="199"/>
        <v>307.60999999999996</v>
      </c>
      <c r="E1774">
        <v>-0.4</v>
      </c>
      <c r="F1774">
        <f t="shared" si="200"/>
        <v>-308.00999999999993</v>
      </c>
      <c r="I1774">
        <f t="shared" si="196"/>
        <v>15</v>
      </c>
      <c r="J1774">
        <v>1</v>
      </c>
      <c r="K1774">
        <f t="shared" si="197"/>
        <v>1</v>
      </c>
      <c r="L1774">
        <f t="shared" si="198"/>
        <v>2019</v>
      </c>
      <c r="N1774" s="17">
        <f t="shared" si="201"/>
        <v>43466</v>
      </c>
      <c r="S1774">
        <f t="shared" si="202"/>
        <v>0</v>
      </c>
    </row>
    <row r="1775" spans="1:19" x14ac:dyDescent="0.3">
      <c r="A1775" s="17">
        <v>43479</v>
      </c>
      <c r="B1775">
        <v>371.93</v>
      </c>
      <c r="C1775">
        <v>58.89</v>
      </c>
      <c r="D1775">
        <f t="shared" si="199"/>
        <v>313.04000000000002</v>
      </c>
      <c r="E1775">
        <v>-0.38</v>
      </c>
      <c r="F1775">
        <f t="shared" si="200"/>
        <v>-313.42</v>
      </c>
      <c r="I1775">
        <f t="shared" si="196"/>
        <v>14</v>
      </c>
      <c r="J1775">
        <v>1</v>
      </c>
      <c r="K1775">
        <f t="shared" si="197"/>
        <v>1</v>
      </c>
      <c r="L1775">
        <f t="shared" si="198"/>
        <v>2019</v>
      </c>
      <c r="N1775" s="17">
        <f t="shared" si="201"/>
        <v>43466</v>
      </c>
      <c r="S1775">
        <f t="shared" si="202"/>
        <v>0</v>
      </c>
    </row>
    <row r="1776" spans="1:19" x14ac:dyDescent="0.3">
      <c r="A1776" s="17">
        <v>43476</v>
      </c>
      <c r="B1776">
        <v>386.09</v>
      </c>
      <c r="C1776">
        <v>61.155000000000001</v>
      </c>
      <c r="D1776">
        <f t="shared" si="199"/>
        <v>324.93499999999995</v>
      </c>
      <c r="E1776">
        <v>-0.41</v>
      </c>
      <c r="F1776">
        <f t="shared" si="200"/>
        <v>-325.34499999999997</v>
      </c>
      <c r="I1776">
        <f t="shared" si="196"/>
        <v>11</v>
      </c>
      <c r="J1776">
        <v>1</v>
      </c>
      <c r="K1776">
        <f t="shared" si="197"/>
        <v>1</v>
      </c>
      <c r="L1776">
        <f t="shared" si="198"/>
        <v>2019</v>
      </c>
      <c r="N1776" s="17">
        <f t="shared" si="201"/>
        <v>43466</v>
      </c>
      <c r="S1776">
        <f t="shared" si="202"/>
        <v>0</v>
      </c>
    </row>
    <row r="1777" spans="1:19" x14ac:dyDescent="0.3">
      <c r="A1777" s="17">
        <v>43475</v>
      </c>
      <c r="B1777">
        <v>379.89</v>
      </c>
      <c r="C1777">
        <v>59.61</v>
      </c>
      <c r="D1777">
        <f t="shared" si="199"/>
        <v>320.27999999999997</v>
      </c>
      <c r="E1777">
        <v>-0.38</v>
      </c>
      <c r="F1777">
        <f t="shared" si="200"/>
        <v>-320.65999999999997</v>
      </c>
      <c r="I1777">
        <f t="shared" si="196"/>
        <v>10</v>
      </c>
      <c r="J1777">
        <v>1</v>
      </c>
      <c r="K1777">
        <f t="shared" si="197"/>
        <v>1</v>
      </c>
      <c r="L1777">
        <f t="shared" si="198"/>
        <v>2019</v>
      </c>
      <c r="N1777" s="17">
        <f t="shared" si="201"/>
        <v>43466</v>
      </c>
      <c r="S1777">
        <f t="shared" si="202"/>
        <v>0</v>
      </c>
    </row>
    <row r="1778" spans="1:19" x14ac:dyDescent="0.3">
      <c r="A1778" s="17">
        <v>43474</v>
      </c>
      <c r="B1778">
        <v>370.15</v>
      </c>
      <c r="C1778">
        <v>58.11</v>
      </c>
      <c r="D1778">
        <f t="shared" si="199"/>
        <v>312.03999999999996</v>
      </c>
      <c r="E1778">
        <v>-0.41</v>
      </c>
      <c r="F1778">
        <f t="shared" si="200"/>
        <v>-312.45</v>
      </c>
      <c r="I1778">
        <f t="shared" si="196"/>
        <v>9</v>
      </c>
      <c r="J1778">
        <v>1</v>
      </c>
      <c r="K1778">
        <f t="shared" si="197"/>
        <v>1</v>
      </c>
      <c r="L1778">
        <f t="shared" si="198"/>
        <v>2019</v>
      </c>
      <c r="N1778" s="17">
        <f t="shared" si="201"/>
        <v>43466</v>
      </c>
      <c r="S1778">
        <f t="shared" si="202"/>
        <v>0</v>
      </c>
    </row>
    <row r="1779" spans="1:19" x14ac:dyDescent="0.3">
      <c r="A1779" s="17">
        <v>43473</v>
      </c>
      <c r="B1779">
        <v>359.98</v>
      </c>
      <c r="C1779">
        <v>56.21</v>
      </c>
      <c r="D1779">
        <f t="shared" si="199"/>
        <v>303.77000000000004</v>
      </c>
      <c r="E1779">
        <v>-0.34</v>
      </c>
      <c r="F1779">
        <f t="shared" si="200"/>
        <v>-304.11</v>
      </c>
      <c r="I1779">
        <f t="shared" si="196"/>
        <v>8</v>
      </c>
      <c r="J1779">
        <v>1</v>
      </c>
      <c r="K1779">
        <f t="shared" si="197"/>
        <v>1</v>
      </c>
      <c r="L1779">
        <f t="shared" si="198"/>
        <v>2019</v>
      </c>
      <c r="N1779" s="17">
        <f t="shared" si="201"/>
        <v>43466</v>
      </c>
      <c r="S1779">
        <f t="shared" si="202"/>
        <v>0</v>
      </c>
    </row>
    <row r="1780" spans="1:19" x14ac:dyDescent="0.3">
      <c r="A1780" s="17">
        <v>43472</v>
      </c>
      <c r="B1780">
        <v>363.99</v>
      </c>
      <c r="C1780">
        <v>56.8</v>
      </c>
      <c r="D1780">
        <f t="shared" si="199"/>
        <v>307.19</v>
      </c>
      <c r="E1780">
        <v>-0.34</v>
      </c>
      <c r="F1780">
        <f t="shared" si="200"/>
        <v>-307.52999999999997</v>
      </c>
      <c r="I1780">
        <f t="shared" si="196"/>
        <v>7</v>
      </c>
      <c r="J1780">
        <v>1</v>
      </c>
      <c r="K1780">
        <f t="shared" si="197"/>
        <v>1</v>
      </c>
      <c r="L1780">
        <f t="shared" si="198"/>
        <v>2019</v>
      </c>
      <c r="N1780" s="17">
        <f t="shared" si="201"/>
        <v>43466</v>
      </c>
      <c r="S1780">
        <f t="shared" si="202"/>
        <v>0</v>
      </c>
    </row>
    <row r="1781" spans="1:19" x14ac:dyDescent="0.3">
      <c r="A1781" s="17">
        <v>43469</v>
      </c>
      <c r="B1781">
        <v>354.56</v>
      </c>
      <c r="C1781">
        <v>55.6</v>
      </c>
      <c r="D1781">
        <f t="shared" si="199"/>
        <v>298.95999999999998</v>
      </c>
      <c r="E1781">
        <v>-0.41</v>
      </c>
      <c r="F1781">
        <f t="shared" si="200"/>
        <v>-299.37</v>
      </c>
      <c r="I1781">
        <f t="shared" si="196"/>
        <v>4</v>
      </c>
      <c r="J1781">
        <v>1</v>
      </c>
      <c r="K1781">
        <f t="shared" si="197"/>
        <v>1</v>
      </c>
      <c r="L1781">
        <f t="shared" si="198"/>
        <v>2019</v>
      </c>
      <c r="N1781" s="17">
        <f t="shared" si="201"/>
        <v>43466</v>
      </c>
      <c r="S1781">
        <f t="shared" si="202"/>
        <v>1</v>
      </c>
    </row>
    <row r="1782" spans="1:19" x14ac:dyDescent="0.3">
      <c r="A1782" s="17">
        <v>43468</v>
      </c>
      <c r="B1782">
        <v>335.76</v>
      </c>
      <c r="C1782">
        <v>53.2</v>
      </c>
      <c r="D1782">
        <f t="shared" si="199"/>
        <v>282.56</v>
      </c>
      <c r="E1782">
        <v>-0.63</v>
      </c>
      <c r="F1782">
        <f t="shared" si="200"/>
        <v>-283.19</v>
      </c>
      <c r="I1782">
        <f t="shared" si="196"/>
        <v>3</v>
      </c>
      <c r="J1782">
        <v>1</v>
      </c>
      <c r="K1782">
        <f t="shared" si="197"/>
        <v>1</v>
      </c>
      <c r="L1782">
        <f t="shared" si="198"/>
        <v>2019</v>
      </c>
      <c r="N1782" s="17">
        <f t="shared" si="201"/>
        <v>43466</v>
      </c>
      <c r="S1782">
        <f t="shared" si="202"/>
        <v>1</v>
      </c>
    </row>
    <row r="1783" spans="1:19" x14ac:dyDescent="0.3">
      <c r="A1783" s="17">
        <v>43467</v>
      </c>
      <c r="B1783">
        <v>325.93</v>
      </c>
      <c r="C1783">
        <v>51.85</v>
      </c>
      <c r="D1783">
        <f t="shared" si="199"/>
        <v>274.08</v>
      </c>
      <c r="E1783">
        <v>-0.69</v>
      </c>
      <c r="F1783">
        <f t="shared" si="200"/>
        <v>-274.77</v>
      </c>
      <c r="I1783">
        <f t="shared" si="196"/>
        <v>2</v>
      </c>
      <c r="J1783">
        <v>1</v>
      </c>
      <c r="K1783">
        <f t="shared" si="197"/>
        <v>1</v>
      </c>
      <c r="L1783">
        <f t="shared" si="198"/>
        <v>2019</v>
      </c>
      <c r="N1783" s="17">
        <f t="shared" si="201"/>
        <v>43466</v>
      </c>
      <c r="S1783">
        <f t="shared" si="202"/>
        <v>1</v>
      </c>
    </row>
    <row r="1784" spans="1:19" x14ac:dyDescent="0.3">
      <c r="A1784" s="17">
        <v>43462</v>
      </c>
      <c r="B1784">
        <v>333.79</v>
      </c>
      <c r="C1784">
        <v>52.85</v>
      </c>
      <c r="D1784">
        <f t="shared" si="199"/>
        <v>280.94</v>
      </c>
      <c r="E1784">
        <v>-0.71</v>
      </c>
      <c r="F1784">
        <f t="shared" si="200"/>
        <v>-281.64999999999998</v>
      </c>
      <c r="I1784">
        <f t="shared" si="196"/>
        <v>28</v>
      </c>
      <c r="J1784">
        <v>1</v>
      </c>
      <c r="K1784">
        <f t="shared" si="197"/>
        <v>12</v>
      </c>
      <c r="L1784">
        <f t="shared" si="198"/>
        <v>2018</v>
      </c>
      <c r="N1784" s="17">
        <f t="shared" si="201"/>
        <v>43435</v>
      </c>
      <c r="S1784">
        <f t="shared" si="202"/>
        <v>0</v>
      </c>
    </row>
    <row r="1785" spans="1:19" x14ac:dyDescent="0.3">
      <c r="A1785" s="17">
        <v>43461</v>
      </c>
      <c r="B1785">
        <v>336.17</v>
      </c>
      <c r="C1785">
        <v>53.1</v>
      </c>
      <c r="D1785">
        <f t="shared" si="199"/>
        <v>283.07</v>
      </c>
      <c r="E1785">
        <v>-0.8</v>
      </c>
      <c r="F1785">
        <f t="shared" si="200"/>
        <v>-283.87</v>
      </c>
      <c r="I1785">
        <f t="shared" si="196"/>
        <v>27</v>
      </c>
      <c r="J1785">
        <v>1</v>
      </c>
      <c r="K1785">
        <f t="shared" si="197"/>
        <v>12</v>
      </c>
      <c r="L1785">
        <f t="shared" si="198"/>
        <v>2018</v>
      </c>
      <c r="N1785" s="17">
        <f t="shared" si="201"/>
        <v>43435</v>
      </c>
      <c r="S1785">
        <f t="shared" si="202"/>
        <v>0</v>
      </c>
    </row>
    <row r="1786" spans="1:19" x14ac:dyDescent="0.3">
      <c r="A1786" s="17">
        <v>43460</v>
      </c>
      <c r="B1786">
        <v>314.5</v>
      </c>
      <c r="C1786">
        <v>49.5</v>
      </c>
      <c r="D1786">
        <f t="shared" si="199"/>
        <v>265</v>
      </c>
      <c r="E1786">
        <v>-0.87</v>
      </c>
      <c r="F1786">
        <f t="shared" si="200"/>
        <v>-265.87</v>
      </c>
      <c r="I1786">
        <f t="shared" si="196"/>
        <v>26</v>
      </c>
      <c r="J1786">
        <v>1</v>
      </c>
      <c r="K1786">
        <f t="shared" si="197"/>
        <v>12</v>
      </c>
      <c r="L1786">
        <f t="shared" si="198"/>
        <v>2018</v>
      </c>
      <c r="N1786" s="17">
        <f t="shared" si="201"/>
        <v>43435</v>
      </c>
      <c r="S1786">
        <f t="shared" si="202"/>
        <v>0</v>
      </c>
    </row>
    <row r="1787" spans="1:19" x14ac:dyDescent="0.3">
      <c r="A1787" s="17">
        <v>43455</v>
      </c>
      <c r="B1787">
        <v>337.24</v>
      </c>
      <c r="C1787">
        <v>53.56</v>
      </c>
      <c r="D1787">
        <f t="shared" si="199"/>
        <v>283.68</v>
      </c>
      <c r="E1787">
        <v>-1.02</v>
      </c>
      <c r="F1787">
        <f t="shared" si="200"/>
        <v>-284.7</v>
      </c>
      <c r="I1787">
        <f t="shared" si="196"/>
        <v>21</v>
      </c>
      <c r="J1787">
        <v>1</v>
      </c>
      <c r="K1787">
        <f t="shared" si="197"/>
        <v>12</v>
      </c>
      <c r="L1787">
        <f t="shared" si="198"/>
        <v>2018</v>
      </c>
      <c r="N1787" s="17">
        <f t="shared" si="201"/>
        <v>43435</v>
      </c>
      <c r="S1787">
        <f t="shared" si="202"/>
        <v>0</v>
      </c>
    </row>
    <row r="1788" spans="1:19" x14ac:dyDescent="0.3">
      <c r="A1788" s="17">
        <v>43454</v>
      </c>
      <c r="B1788">
        <v>336.85</v>
      </c>
      <c r="C1788">
        <v>54.45</v>
      </c>
      <c r="D1788">
        <f t="shared" si="199"/>
        <v>282.40000000000003</v>
      </c>
      <c r="E1788">
        <v>-0.97</v>
      </c>
      <c r="F1788">
        <f t="shared" si="200"/>
        <v>-283.37000000000006</v>
      </c>
      <c r="I1788">
        <f t="shared" si="196"/>
        <v>20</v>
      </c>
      <c r="J1788">
        <v>1</v>
      </c>
      <c r="K1788">
        <f t="shared" si="197"/>
        <v>12</v>
      </c>
      <c r="L1788">
        <f t="shared" si="198"/>
        <v>2018</v>
      </c>
      <c r="N1788" s="17">
        <f t="shared" si="201"/>
        <v>43435</v>
      </c>
      <c r="S1788">
        <f t="shared" si="202"/>
        <v>0</v>
      </c>
    </row>
    <row r="1789" spans="1:19" x14ac:dyDescent="0.3">
      <c r="A1789" s="17">
        <v>43453</v>
      </c>
      <c r="B1789">
        <v>332.94</v>
      </c>
      <c r="C1789">
        <v>55.15</v>
      </c>
      <c r="D1789">
        <f t="shared" si="199"/>
        <v>277.79000000000002</v>
      </c>
      <c r="E1789">
        <v>-0.92</v>
      </c>
      <c r="F1789">
        <f t="shared" si="200"/>
        <v>-278.71000000000004</v>
      </c>
      <c r="I1789">
        <f t="shared" si="196"/>
        <v>19</v>
      </c>
      <c r="J1789">
        <v>1</v>
      </c>
      <c r="K1789">
        <f t="shared" si="197"/>
        <v>12</v>
      </c>
      <c r="L1789">
        <f t="shared" si="198"/>
        <v>2018</v>
      </c>
      <c r="N1789" s="17">
        <f t="shared" si="201"/>
        <v>43435</v>
      </c>
      <c r="S1789">
        <f t="shared" si="202"/>
        <v>0</v>
      </c>
    </row>
    <row r="1790" spans="1:19" x14ac:dyDescent="0.3">
      <c r="A1790" s="17">
        <v>43452</v>
      </c>
      <c r="B1790">
        <v>346.83</v>
      </c>
      <c r="C1790">
        <v>57.2</v>
      </c>
      <c r="D1790">
        <f t="shared" si="199"/>
        <v>289.63</v>
      </c>
      <c r="E1790">
        <v>-0.82</v>
      </c>
      <c r="F1790">
        <f t="shared" si="200"/>
        <v>-290.45</v>
      </c>
      <c r="I1790">
        <f t="shared" si="196"/>
        <v>18</v>
      </c>
      <c r="J1790">
        <v>1</v>
      </c>
      <c r="K1790">
        <f t="shared" si="197"/>
        <v>12</v>
      </c>
      <c r="L1790">
        <f t="shared" si="198"/>
        <v>2018</v>
      </c>
      <c r="N1790" s="17">
        <f t="shared" si="201"/>
        <v>43435</v>
      </c>
      <c r="S1790">
        <f t="shared" si="202"/>
        <v>0</v>
      </c>
    </row>
    <row r="1791" spans="1:19" x14ac:dyDescent="0.3">
      <c r="A1791" s="17">
        <v>43451</v>
      </c>
      <c r="B1791">
        <v>361.55</v>
      </c>
      <c r="C1791">
        <v>58.96</v>
      </c>
      <c r="D1791">
        <f t="shared" si="199"/>
        <v>302.59000000000003</v>
      </c>
      <c r="E1791">
        <v>-0.72</v>
      </c>
      <c r="F1791">
        <f t="shared" si="200"/>
        <v>-303.31000000000006</v>
      </c>
      <c r="I1791">
        <f t="shared" si="196"/>
        <v>17</v>
      </c>
      <c r="J1791">
        <v>1</v>
      </c>
      <c r="K1791">
        <f t="shared" si="197"/>
        <v>12</v>
      </c>
      <c r="L1791">
        <f t="shared" si="198"/>
        <v>2018</v>
      </c>
      <c r="N1791" s="17">
        <f t="shared" si="201"/>
        <v>43435</v>
      </c>
      <c r="S1791">
        <f t="shared" si="202"/>
        <v>0</v>
      </c>
    </row>
    <row r="1792" spans="1:19" x14ac:dyDescent="0.3">
      <c r="A1792" s="17">
        <v>43448</v>
      </c>
      <c r="B1792">
        <v>376.97</v>
      </c>
      <c r="C1792">
        <v>59.65</v>
      </c>
      <c r="D1792">
        <f t="shared" si="199"/>
        <v>317.32000000000005</v>
      </c>
      <c r="E1792">
        <v>-0.5</v>
      </c>
      <c r="F1792">
        <f t="shared" si="200"/>
        <v>-317.82000000000005</v>
      </c>
      <c r="I1792">
        <f t="shared" si="196"/>
        <v>14</v>
      </c>
      <c r="J1792">
        <v>1</v>
      </c>
      <c r="K1792">
        <f t="shared" si="197"/>
        <v>12</v>
      </c>
      <c r="L1792">
        <f t="shared" si="198"/>
        <v>2018</v>
      </c>
      <c r="N1792" s="17">
        <f t="shared" si="201"/>
        <v>43435</v>
      </c>
      <c r="S1792">
        <f t="shared" si="202"/>
        <v>0</v>
      </c>
    </row>
    <row r="1793" spans="1:19" x14ac:dyDescent="0.3">
      <c r="A1793" s="17">
        <v>43447</v>
      </c>
      <c r="B1793">
        <v>373.72</v>
      </c>
      <c r="C1793">
        <v>58.79</v>
      </c>
      <c r="D1793">
        <f t="shared" si="199"/>
        <v>314.93</v>
      </c>
      <c r="E1793">
        <v>-0.59</v>
      </c>
      <c r="F1793">
        <f t="shared" si="200"/>
        <v>-315.52</v>
      </c>
      <c r="I1793">
        <f t="shared" si="196"/>
        <v>13</v>
      </c>
      <c r="J1793">
        <v>1</v>
      </c>
      <c r="K1793">
        <f t="shared" si="197"/>
        <v>12</v>
      </c>
      <c r="L1793">
        <f t="shared" si="198"/>
        <v>2018</v>
      </c>
      <c r="N1793" s="17">
        <f t="shared" si="201"/>
        <v>43435</v>
      </c>
      <c r="S1793">
        <f t="shared" si="202"/>
        <v>0</v>
      </c>
    </row>
    <row r="1794" spans="1:19" x14ac:dyDescent="0.3">
      <c r="A1794" s="17">
        <v>43446</v>
      </c>
      <c r="B1794">
        <v>379.24</v>
      </c>
      <c r="C1794">
        <v>59.3</v>
      </c>
      <c r="D1794">
        <f t="shared" si="199"/>
        <v>319.94</v>
      </c>
      <c r="E1794">
        <v>-0.75</v>
      </c>
      <c r="F1794">
        <f t="shared" si="200"/>
        <v>-320.69</v>
      </c>
      <c r="I1794">
        <f t="shared" si="196"/>
        <v>12</v>
      </c>
      <c r="J1794">
        <v>1</v>
      </c>
      <c r="K1794">
        <f t="shared" si="197"/>
        <v>12</v>
      </c>
      <c r="L1794">
        <f t="shared" si="198"/>
        <v>2018</v>
      </c>
      <c r="N1794" s="17">
        <f t="shared" si="201"/>
        <v>43435</v>
      </c>
      <c r="S1794">
        <f t="shared" si="202"/>
        <v>0</v>
      </c>
    </row>
    <row r="1795" spans="1:19" x14ac:dyDescent="0.3">
      <c r="A1795" s="17">
        <v>43445</v>
      </c>
      <c r="B1795">
        <v>376.42</v>
      </c>
      <c r="C1795">
        <v>58.34</v>
      </c>
      <c r="D1795">
        <f t="shared" si="199"/>
        <v>318.08000000000004</v>
      </c>
      <c r="E1795">
        <v>-0.74</v>
      </c>
      <c r="F1795">
        <f t="shared" si="200"/>
        <v>-318.82000000000005</v>
      </c>
      <c r="I1795">
        <f t="shared" si="196"/>
        <v>11</v>
      </c>
      <c r="J1795">
        <v>1</v>
      </c>
      <c r="K1795">
        <f t="shared" si="197"/>
        <v>12</v>
      </c>
      <c r="L1795">
        <f t="shared" si="198"/>
        <v>2018</v>
      </c>
      <c r="N1795" s="17">
        <f t="shared" si="201"/>
        <v>43435</v>
      </c>
      <c r="S1795">
        <f t="shared" si="202"/>
        <v>0</v>
      </c>
    </row>
    <row r="1796" spans="1:19" x14ac:dyDescent="0.3">
      <c r="A1796" s="17">
        <v>43444</v>
      </c>
      <c r="B1796">
        <v>390.24</v>
      </c>
      <c r="C1796">
        <v>60.21</v>
      </c>
      <c r="D1796">
        <f t="shared" si="199"/>
        <v>330.03000000000003</v>
      </c>
      <c r="E1796">
        <v>-0.63</v>
      </c>
      <c r="F1796">
        <f t="shared" si="200"/>
        <v>-330.66</v>
      </c>
      <c r="I1796">
        <f t="shared" si="196"/>
        <v>10</v>
      </c>
      <c r="J1796">
        <v>1</v>
      </c>
      <c r="K1796">
        <f t="shared" si="197"/>
        <v>12</v>
      </c>
      <c r="L1796">
        <f t="shared" si="198"/>
        <v>2018</v>
      </c>
      <c r="N1796" s="17">
        <f t="shared" si="201"/>
        <v>43435</v>
      </c>
      <c r="S1796">
        <f t="shared" si="202"/>
        <v>0</v>
      </c>
    </row>
    <row r="1797" spans="1:19" x14ac:dyDescent="0.3">
      <c r="A1797" s="17">
        <v>43441</v>
      </c>
      <c r="B1797">
        <v>375.96</v>
      </c>
      <c r="C1797">
        <v>58.39</v>
      </c>
      <c r="D1797">
        <f t="shared" si="199"/>
        <v>317.57</v>
      </c>
      <c r="E1797">
        <v>-0.64</v>
      </c>
      <c r="F1797">
        <f t="shared" si="200"/>
        <v>-318.20999999999998</v>
      </c>
      <c r="I1797">
        <f t="shared" ref="I1797:I1860" si="203">+DAY(A1797)</f>
        <v>7</v>
      </c>
      <c r="J1797">
        <v>1</v>
      </c>
      <c r="K1797">
        <f t="shared" ref="K1797:K1860" si="204">+MONTH(A1797)</f>
        <v>12</v>
      </c>
      <c r="L1797">
        <f t="shared" ref="L1797:L1860" si="205">+YEAR(A1797)</f>
        <v>2018</v>
      </c>
      <c r="N1797" s="17">
        <f t="shared" si="201"/>
        <v>43435</v>
      </c>
      <c r="S1797">
        <f t="shared" si="202"/>
        <v>0</v>
      </c>
    </row>
    <row r="1798" spans="1:19" x14ac:dyDescent="0.3">
      <c r="A1798" s="17">
        <v>43440</v>
      </c>
      <c r="B1798">
        <v>389.83</v>
      </c>
      <c r="C1798">
        <v>59.82</v>
      </c>
      <c r="D1798">
        <f t="shared" ref="D1798:D1861" si="206">+B1798-C1798</f>
        <v>330.01</v>
      </c>
      <c r="E1798">
        <v>-0.63</v>
      </c>
      <c r="F1798">
        <f t="shared" ref="F1798:F1861" si="207">+E1798-D1798</f>
        <v>-330.64</v>
      </c>
      <c r="I1798">
        <f t="shared" si="203"/>
        <v>6</v>
      </c>
      <c r="J1798">
        <v>1</v>
      </c>
      <c r="K1798">
        <f t="shared" si="204"/>
        <v>12</v>
      </c>
      <c r="L1798">
        <f t="shared" si="205"/>
        <v>2018</v>
      </c>
      <c r="N1798" s="17">
        <f t="shared" ref="N1798:N1861" si="208">+DATE(L1798,K1798,J1798)</f>
        <v>43435</v>
      </c>
      <c r="S1798">
        <f t="shared" ref="S1798:S1861" si="209">IF(AND(I1798&gt;=1, I1798&lt;=4), 1, 0)</f>
        <v>0</v>
      </c>
    </row>
    <row r="1799" spans="1:19" x14ac:dyDescent="0.3">
      <c r="A1799" s="17">
        <v>43439</v>
      </c>
      <c r="B1799">
        <v>395.76</v>
      </c>
      <c r="C1799">
        <v>59.79</v>
      </c>
      <c r="D1799">
        <f t="shared" si="206"/>
        <v>335.96999999999997</v>
      </c>
      <c r="E1799">
        <v>-0.62</v>
      </c>
      <c r="F1799">
        <f t="shared" si="207"/>
        <v>-336.59</v>
      </c>
      <c r="I1799">
        <f t="shared" si="203"/>
        <v>5</v>
      </c>
      <c r="J1799">
        <v>1</v>
      </c>
      <c r="K1799">
        <f t="shared" si="204"/>
        <v>12</v>
      </c>
      <c r="L1799">
        <f t="shared" si="205"/>
        <v>2018</v>
      </c>
      <c r="N1799" s="17">
        <f t="shared" si="208"/>
        <v>43435</v>
      </c>
      <c r="S1799">
        <f t="shared" si="209"/>
        <v>0</v>
      </c>
    </row>
    <row r="1800" spans="1:19" x14ac:dyDescent="0.3">
      <c r="A1800" s="17">
        <v>43438</v>
      </c>
      <c r="B1800">
        <v>410.71</v>
      </c>
      <c r="C1800">
        <v>61.5</v>
      </c>
      <c r="D1800">
        <f t="shared" si="206"/>
        <v>349.21</v>
      </c>
      <c r="E1800">
        <v>-0.55000000000000004</v>
      </c>
      <c r="F1800">
        <f t="shared" si="207"/>
        <v>-349.76</v>
      </c>
      <c r="I1800">
        <f t="shared" si="203"/>
        <v>4</v>
      </c>
      <c r="J1800">
        <v>1</v>
      </c>
      <c r="K1800">
        <f t="shared" si="204"/>
        <v>12</v>
      </c>
      <c r="L1800">
        <f t="shared" si="205"/>
        <v>2018</v>
      </c>
      <c r="N1800" s="17">
        <f t="shared" si="208"/>
        <v>43435</v>
      </c>
      <c r="S1800">
        <f t="shared" si="209"/>
        <v>1</v>
      </c>
    </row>
    <row r="1801" spans="1:19" x14ac:dyDescent="0.3">
      <c r="A1801" s="17">
        <v>43437</v>
      </c>
      <c r="B1801">
        <v>406.4</v>
      </c>
      <c r="C1801">
        <v>61.16</v>
      </c>
      <c r="D1801">
        <f t="shared" si="206"/>
        <v>345.24</v>
      </c>
      <c r="E1801">
        <v>-0.46</v>
      </c>
      <c r="F1801">
        <f t="shared" si="207"/>
        <v>-345.7</v>
      </c>
      <c r="I1801">
        <f t="shared" si="203"/>
        <v>3</v>
      </c>
      <c r="J1801">
        <v>1</v>
      </c>
      <c r="K1801">
        <f t="shared" si="204"/>
        <v>12</v>
      </c>
      <c r="L1801">
        <f t="shared" si="205"/>
        <v>2018</v>
      </c>
      <c r="N1801" s="17">
        <f t="shared" si="208"/>
        <v>43435</v>
      </c>
      <c r="S1801">
        <f t="shared" si="209"/>
        <v>1</v>
      </c>
    </row>
    <row r="1802" spans="1:19" x14ac:dyDescent="0.3">
      <c r="A1802" s="17">
        <v>43434</v>
      </c>
      <c r="B1802">
        <v>388.78</v>
      </c>
      <c r="C1802">
        <v>58.99</v>
      </c>
      <c r="D1802">
        <f t="shared" si="206"/>
        <v>329.78999999999996</v>
      </c>
      <c r="E1802">
        <v>-0.45</v>
      </c>
      <c r="F1802">
        <f t="shared" si="207"/>
        <v>-330.23999999999995</v>
      </c>
      <c r="I1802">
        <f t="shared" si="203"/>
        <v>30</v>
      </c>
      <c r="J1802">
        <v>1</v>
      </c>
      <c r="K1802">
        <f t="shared" si="204"/>
        <v>11</v>
      </c>
      <c r="L1802">
        <f t="shared" si="205"/>
        <v>2018</v>
      </c>
      <c r="N1802" s="17">
        <f t="shared" si="208"/>
        <v>43405</v>
      </c>
      <c r="S1802">
        <f t="shared" si="209"/>
        <v>0</v>
      </c>
    </row>
    <row r="1803" spans="1:19" x14ac:dyDescent="0.3">
      <c r="A1803" s="17">
        <v>43433</v>
      </c>
      <c r="B1803">
        <v>379.25</v>
      </c>
      <c r="C1803">
        <v>58.25</v>
      </c>
      <c r="D1803">
        <f t="shared" si="206"/>
        <v>321</v>
      </c>
      <c r="E1803">
        <v>-0.42</v>
      </c>
      <c r="F1803">
        <f t="shared" si="207"/>
        <v>-321.42</v>
      </c>
      <c r="I1803">
        <f t="shared" si="203"/>
        <v>29</v>
      </c>
      <c r="J1803">
        <v>1</v>
      </c>
      <c r="K1803">
        <f t="shared" si="204"/>
        <v>11</v>
      </c>
      <c r="L1803">
        <f t="shared" si="205"/>
        <v>2018</v>
      </c>
      <c r="N1803" s="17">
        <f t="shared" si="208"/>
        <v>43405</v>
      </c>
      <c r="S1803">
        <f t="shared" si="209"/>
        <v>0</v>
      </c>
    </row>
    <row r="1804" spans="1:19" x14ac:dyDescent="0.3">
      <c r="A1804" s="17">
        <v>43432</v>
      </c>
      <c r="B1804">
        <v>405.23</v>
      </c>
      <c r="C1804">
        <v>60.2</v>
      </c>
      <c r="D1804">
        <f t="shared" si="206"/>
        <v>345.03000000000003</v>
      </c>
      <c r="E1804">
        <v>-0.45</v>
      </c>
      <c r="F1804">
        <f t="shared" si="207"/>
        <v>-345.48</v>
      </c>
      <c r="I1804">
        <f t="shared" si="203"/>
        <v>28</v>
      </c>
      <c r="J1804">
        <v>1</v>
      </c>
      <c r="K1804">
        <f t="shared" si="204"/>
        <v>11</v>
      </c>
      <c r="L1804">
        <f t="shared" si="205"/>
        <v>2018</v>
      </c>
      <c r="N1804" s="17">
        <f t="shared" si="208"/>
        <v>43405</v>
      </c>
      <c r="S1804">
        <f t="shared" si="209"/>
        <v>0</v>
      </c>
    </row>
    <row r="1805" spans="1:19" x14ac:dyDescent="0.3">
      <c r="A1805" s="17">
        <v>43431</v>
      </c>
      <c r="B1805">
        <v>405.48</v>
      </c>
      <c r="C1805">
        <v>59.11</v>
      </c>
      <c r="D1805">
        <f t="shared" si="206"/>
        <v>346.37</v>
      </c>
      <c r="E1805">
        <v>-0.37</v>
      </c>
      <c r="F1805">
        <f t="shared" si="207"/>
        <v>-346.74</v>
      </c>
      <c r="I1805">
        <f t="shared" si="203"/>
        <v>27</v>
      </c>
      <c r="J1805">
        <v>1</v>
      </c>
      <c r="K1805">
        <f t="shared" si="204"/>
        <v>11</v>
      </c>
      <c r="L1805">
        <f t="shared" si="205"/>
        <v>2018</v>
      </c>
      <c r="N1805" s="17">
        <f t="shared" si="208"/>
        <v>43405</v>
      </c>
      <c r="S1805">
        <f t="shared" si="209"/>
        <v>0</v>
      </c>
    </row>
    <row r="1806" spans="1:19" x14ac:dyDescent="0.3">
      <c r="A1806" s="17">
        <v>43430</v>
      </c>
      <c r="B1806">
        <v>406.54</v>
      </c>
      <c r="C1806">
        <v>59.2</v>
      </c>
      <c r="D1806">
        <f t="shared" si="206"/>
        <v>347.34000000000003</v>
      </c>
      <c r="E1806">
        <v>-0.4</v>
      </c>
      <c r="F1806">
        <f t="shared" si="207"/>
        <v>-347.74</v>
      </c>
      <c r="I1806">
        <f t="shared" si="203"/>
        <v>26</v>
      </c>
      <c r="J1806">
        <v>1</v>
      </c>
      <c r="K1806">
        <f t="shared" si="204"/>
        <v>11</v>
      </c>
      <c r="L1806">
        <f t="shared" si="205"/>
        <v>2018</v>
      </c>
      <c r="N1806" s="17">
        <f t="shared" si="208"/>
        <v>43405</v>
      </c>
      <c r="S1806">
        <f t="shared" si="209"/>
        <v>0</v>
      </c>
    </row>
    <row r="1807" spans="1:19" x14ac:dyDescent="0.3">
      <c r="A1807" s="17">
        <v>43427</v>
      </c>
      <c r="B1807">
        <v>416.41</v>
      </c>
      <c r="C1807">
        <v>61.06</v>
      </c>
      <c r="D1807">
        <f t="shared" si="206"/>
        <v>355.35</v>
      </c>
      <c r="E1807">
        <v>-0.37</v>
      </c>
      <c r="F1807">
        <f t="shared" si="207"/>
        <v>-355.72</v>
      </c>
      <c r="I1807">
        <f t="shared" si="203"/>
        <v>23</v>
      </c>
      <c r="J1807">
        <v>1</v>
      </c>
      <c r="K1807">
        <f t="shared" si="204"/>
        <v>11</v>
      </c>
      <c r="L1807">
        <f t="shared" si="205"/>
        <v>2018</v>
      </c>
      <c r="N1807" s="17">
        <f t="shared" si="208"/>
        <v>43405</v>
      </c>
      <c r="S1807">
        <f t="shared" si="209"/>
        <v>0</v>
      </c>
    </row>
    <row r="1808" spans="1:19" x14ac:dyDescent="0.3">
      <c r="A1808" s="17">
        <v>43426</v>
      </c>
      <c r="B1808">
        <v>425.11</v>
      </c>
      <c r="C1808">
        <v>62.45</v>
      </c>
      <c r="D1808">
        <f t="shared" si="206"/>
        <v>362.66</v>
      </c>
      <c r="E1808">
        <v>-0.16</v>
      </c>
      <c r="F1808">
        <f t="shared" si="207"/>
        <v>-362.82000000000005</v>
      </c>
      <c r="I1808">
        <f t="shared" si="203"/>
        <v>22</v>
      </c>
      <c r="J1808">
        <v>1</v>
      </c>
      <c r="K1808">
        <f t="shared" si="204"/>
        <v>11</v>
      </c>
      <c r="L1808">
        <f t="shared" si="205"/>
        <v>2018</v>
      </c>
      <c r="N1808" s="17">
        <f t="shared" si="208"/>
        <v>43405</v>
      </c>
      <c r="S1808">
        <f t="shared" si="209"/>
        <v>0</v>
      </c>
    </row>
    <row r="1809" spans="1:19" x14ac:dyDescent="0.3">
      <c r="A1809" s="17">
        <v>43425</v>
      </c>
      <c r="B1809">
        <v>425.13</v>
      </c>
      <c r="C1809">
        <v>62.655000000000001</v>
      </c>
      <c r="D1809">
        <f t="shared" si="206"/>
        <v>362.47500000000002</v>
      </c>
      <c r="E1809">
        <v>-0.16</v>
      </c>
      <c r="F1809">
        <f t="shared" si="207"/>
        <v>-362.63500000000005</v>
      </c>
      <c r="I1809">
        <f t="shared" si="203"/>
        <v>21</v>
      </c>
      <c r="J1809">
        <v>1</v>
      </c>
      <c r="K1809">
        <f t="shared" si="204"/>
        <v>11</v>
      </c>
      <c r="L1809">
        <f t="shared" si="205"/>
        <v>2018</v>
      </c>
      <c r="N1809" s="17">
        <f t="shared" si="208"/>
        <v>43405</v>
      </c>
      <c r="S1809">
        <f t="shared" si="209"/>
        <v>0</v>
      </c>
    </row>
    <row r="1810" spans="1:19" x14ac:dyDescent="0.3">
      <c r="A1810" s="17">
        <v>43424</v>
      </c>
      <c r="B1810">
        <v>449.25</v>
      </c>
      <c r="C1810">
        <v>65.5</v>
      </c>
      <c r="D1810">
        <f t="shared" si="206"/>
        <v>383.75</v>
      </c>
      <c r="E1810">
        <v>-0.11</v>
      </c>
      <c r="F1810">
        <f t="shared" si="207"/>
        <v>-383.86</v>
      </c>
      <c r="I1810">
        <f t="shared" si="203"/>
        <v>20</v>
      </c>
      <c r="J1810">
        <v>1</v>
      </c>
      <c r="K1810">
        <f t="shared" si="204"/>
        <v>11</v>
      </c>
      <c r="L1810">
        <f t="shared" si="205"/>
        <v>2018</v>
      </c>
      <c r="N1810" s="17">
        <f t="shared" si="208"/>
        <v>43405</v>
      </c>
      <c r="S1810">
        <f t="shared" si="209"/>
        <v>0</v>
      </c>
    </row>
    <row r="1811" spans="1:19" x14ac:dyDescent="0.3">
      <c r="A1811" s="17">
        <v>43423</v>
      </c>
      <c r="B1811">
        <v>443.49</v>
      </c>
      <c r="C1811">
        <v>66.16</v>
      </c>
      <c r="D1811">
        <f t="shared" si="206"/>
        <v>377.33000000000004</v>
      </c>
      <c r="E1811">
        <v>-0.08</v>
      </c>
      <c r="F1811">
        <f t="shared" si="207"/>
        <v>-377.41</v>
      </c>
      <c r="I1811">
        <f t="shared" si="203"/>
        <v>19</v>
      </c>
      <c r="J1811">
        <v>1</v>
      </c>
      <c r="K1811">
        <f t="shared" si="204"/>
        <v>11</v>
      </c>
      <c r="L1811">
        <f t="shared" si="205"/>
        <v>2018</v>
      </c>
      <c r="N1811" s="17">
        <f t="shared" si="208"/>
        <v>43405</v>
      </c>
      <c r="S1811">
        <f t="shared" si="209"/>
        <v>0</v>
      </c>
    </row>
    <row r="1812" spans="1:19" x14ac:dyDescent="0.3">
      <c r="A1812" s="17">
        <v>43420</v>
      </c>
      <c r="B1812">
        <v>446.38</v>
      </c>
      <c r="C1812">
        <v>66.489999999999995</v>
      </c>
      <c r="D1812">
        <f t="shared" si="206"/>
        <v>379.89</v>
      </c>
      <c r="E1812">
        <v>-0.02</v>
      </c>
      <c r="F1812">
        <f t="shared" si="207"/>
        <v>-379.90999999999997</v>
      </c>
      <c r="I1812">
        <f t="shared" si="203"/>
        <v>16</v>
      </c>
      <c r="J1812">
        <v>1</v>
      </c>
      <c r="K1812">
        <f t="shared" si="204"/>
        <v>11</v>
      </c>
      <c r="L1812">
        <f t="shared" si="205"/>
        <v>2018</v>
      </c>
      <c r="N1812" s="17">
        <f t="shared" si="208"/>
        <v>43405</v>
      </c>
      <c r="S1812">
        <f t="shared" si="209"/>
        <v>0</v>
      </c>
    </row>
    <row r="1813" spans="1:19" x14ac:dyDescent="0.3">
      <c r="A1813" s="17">
        <v>43419</v>
      </c>
      <c r="B1813">
        <v>441.68</v>
      </c>
      <c r="C1813">
        <v>65.400000000000006</v>
      </c>
      <c r="D1813">
        <f t="shared" si="206"/>
        <v>376.28</v>
      </c>
      <c r="E1813">
        <v>0.03</v>
      </c>
      <c r="F1813">
        <f t="shared" si="207"/>
        <v>-376.25</v>
      </c>
      <c r="I1813">
        <f t="shared" si="203"/>
        <v>15</v>
      </c>
      <c r="J1813">
        <v>1</v>
      </c>
      <c r="K1813">
        <f t="shared" si="204"/>
        <v>11</v>
      </c>
      <c r="L1813">
        <f t="shared" si="205"/>
        <v>2018</v>
      </c>
      <c r="N1813" s="17">
        <f t="shared" si="208"/>
        <v>43405</v>
      </c>
      <c r="S1813">
        <f t="shared" si="209"/>
        <v>0</v>
      </c>
    </row>
    <row r="1814" spans="1:19" x14ac:dyDescent="0.3">
      <c r="A1814" s="17">
        <v>43418</v>
      </c>
      <c r="B1814">
        <v>432.3</v>
      </c>
      <c r="C1814">
        <v>64.45</v>
      </c>
      <c r="D1814">
        <f t="shared" si="206"/>
        <v>367.85</v>
      </c>
      <c r="E1814">
        <v>0.15</v>
      </c>
      <c r="F1814">
        <f t="shared" si="207"/>
        <v>-367.70000000000005</v>
      </c>
      <c r="I1814">
        <f t="shared" si="203"/>
        <v>14</v>
      </c>
      <c r="J1814">
        <v>1</v>
      </c>
      <c r="K1814">
        <f t="shared" si="204"/>
        <v>11</v>
      </c>
      <c r="L1814">
        <f t="shared" si="205"/>
        <v>2018</v>
      </c>
      <c r="N1814" s="17">
        <f t="shared" si="208"/>
        <v>43405</v>
      </c>
      <c r="S1814">
        <f t="shared" si="209"/>
        <v>0</v>
      </c>
    </row>
    <row r="1815" spans="1:19" x14ac:dyDescent="0.3">
      <c r="A1815" s="17">
        <v>43417</v>
      </c>
      <c r="B1815">
        <v>452.97</v>
      </c>
      <c r="C1815">
        <v>68.459999999999994</v>
      </c>
      <c r="D1815">
        <f t="shared" si="206"/>
        <v>384.51000000000005</v>
      </c>
      <c r="E1815">
        <v>0.18</v>
      </c>
      <c r="F1815">
        <f t="shared" si="207"/>
        <v>-384.33000000000004</v>
      </c>
      <c r="I1815">
        <f t="shared" si="203"/>
        <v>13</v>
      </c>
      <c r="J1815">
        <v>1</v>
      </c>
      <c r="K1815">
        <f t="shared" si="204"/>
        <v>11</v>
      </c>
      <c r="L1815">
        <f t="shared" si="205"/>
        <v>2018</v>
      </c>
      <c r="N1815" s="17">
        <f t="shared" si="208"/>
        <v>43405</v>
      </c>
      <c r="S1815">
        <f t="shared" si="209"/>
        <v>0</v>
      </c>
    </row>
    <row r="1816" spans="1:19" x14ac:dyDescent="0.3">
      <c r="A1816" s="17">
        <v>43416</v>
      </c>
      <c r="B1816">
        <v>465.25</v>
      </c>
      <c r="C1816">
        <v>70.66</v>
      </c>
      <c r="D1816">
        <f t="shared" si="206"/>
        <v>394.59000000000003</v>
      </c>
      <c r="E1816">
        <v>0.14000000000000001</v>
      </c>
      <c r="F1816">
        <f t="shared" si="207"/>
        <v>-394.45000000000005</v>
      </c>
      <c r="I1816">
        <f t="shared" si="203"/>
        <v>12</v>
      </c>
      <c r="J1816">
        <v>1</v>
      </c>
      <c r="K1816">
        <f t="shared" si="204"/>
        <v>11</v>
      </c>
      <c r="L1816">
        <f t="shared" si="205"/>
        <v>2018</v>
      </c>
      <c r="N1816" s="17">
        <f t="shared" si="208"/>
        <v>43405</v>
      </c>
      <c r="S1816">
        <f t="shared" si="209"/>
        <v>0</v>
      </c>
    </row>
    <row r="1817" spans="1:19" x14ac:dyDescent="0.3">
      <c r="A1817" s="17">
        <v>43413</v>
      </c>
      <c r="B1817">
        <v>460.28</v>
      </c>
      <c r="C1817">
        <v>69.344999999999999</v>
      </c>
      <c r="D1817">
        <f t="shared" si="206"/>
        <v>390.93499999999995</v>
      </c>
      <c r="E1817">
        <v>0.13</v>
      </c>
      <c r="F1817">
        <f t="shared" si="207"/>
        <v>-390.80499999999995</v>
      </c>
      <c r="I1817">
        <f t="shared" si="203"/>
        <v>9</v>
      </c>
      <c r="J1817">
        <v>1</v>
      </c>
      <c r="K1817">
        <f t="shared" si="204"/>
        <v>11</v>
      </c>
      <c r="L1817">
        <f t="shared" si="205"/>
        <v>2018</v>
      </c>
      <c r="N1817" s="17">
        <f t="shared" si="208"/>
        <v>43405</v>
      </c>
      <c r="S1817">
        <f t="shared" si="209"/>
        <v>0</v>
      </c>
    </row>
    <row r="1818" spans="1:19" x14ac:dyDescent="0.3">
      <c r="A1818" s="17">
        <v>43412</v>
      </c>
      <c r="B1818">
        <v>481.65</v>
      </c>
      <c r="C1818">
        <v>71.55</v>
      </c>
      <c r="D1818">
        <f t="shared" si="206"/>
        <v>410.09999999999997</v>
      </c>
      <c r="E1818">
        <v>0.26</v>
      </c>
      <c r="F1818">
        <f t="shared" si="207"/>
        <v>-409.84</v>
      </c>
      <c r="I1818">
        <f t="shared" si="203"/>
        <v>8</v>
      </c>
      <c r="J1818">
        <v>1</v>
      </c>
      <c r="K1818">
        <f t="shared" si="204"/>
        <v>11</v>
      </c>
      <c r="L1818">
        <f t="shared" si="205"/>
        <v>2018</v>
      </c>
      <c r="N1818" s="17">
        <f t="shared" si="208"/>
        <v>43405</v>
      </c>
      <c r="S1818">
        <f t="shared" si="209"/>
        <v>0</v>
      </c>
    </row>
    <row r="1819" spans="1:19" x14ac:dyDescent="0.3">
      <c r="A1819" s="17">
        <v>43411</v>
      </c>
      <c r="B1819">
        <v>477.18</v>
      </c>
      <c r="C1819">
        <v>70.644999999999996</v>
      </c>
      <c r="D1819">
        <f t="shared" si="206"/>
        <v>406.53500000000003</v>
      </c>
      <c r="E1819">
        <v>0.44</v>
      </c>
      <c r="F1819">
        <f t="shared" si="207"/>
        <v>-406.09500000000003</v>
      </c>
      <c r="I1819">
        <f t="shared" si="203"/>
        <v>7</v>
      </c>
      <c r="J1819">
        <v>1</v>
      </c>
      <c r="K1819">
        <f t="shared" si="204"/>
        <v>11</v>
      </c>
      <c r="L1819">
        <f t="shared" si="205"/>
        <v>2018</v>
      </c>
      <c r="N1819" s="17">
        <f t="shared" si="208"/>
        <v>43405</v>
      </c>
      <c r="S1819">
        <f t="shared" si="209"/>
        <v>0</v>
      </c>
    </row>
    <row r="1820" spans="1:19" x14ac:dyDescent="0.3">
      <c r="A1820" s="17">
        <v>43409</v>
      </c>
      <c r="B1820">
        <v>479.87</v>
      </c>
      <c r="C1820">
        <v>71.155000000000001</v>
      </c>
      <c r="D1820">
        <f t="shared" si="206"/>
        <v>408.71500000000003</v>
      </c>
      <c r="E1820">
        <v>0.61</v>
      </c>
      <c r="F1820">
        <f t="shared" si="207"/>
        <v>-408.10500000000002</v>
      </c>
      <c r="I1820">
        <f t="shared" si="203"/>
        <v>5</v>
      </c>
      <c r="J1820">
        <v>1</v>
      </c>
      <c r="K1820">
        <f t="shared" si="204"/>
        <v>11</v>
      </c>
      <c r="L1820">
        <f t="shared" si="205"/>
        <v>2018</v>
      </c>
      <c r="N1820" s="17">
        <f t="shared" si="208"/>
        <v>43405</v>
      </c>
      <c r="S1820">
        <f t="shared" si="209"/>
        <v>0</v>
      </c>
    </row>
    <row r="1821" spans="1:19" x14ac:dyDescent="0.3">
      <c r="A1821" s="17">
        <v>43406</v>
      </c>
      <c r="B1821">
        <v>479.05</v>
      </c>
      <c r="C1821">
        <v>71.650000000000006</v>
      </c>
      <c r="D1821">
        <f t="shared" si="206"/>
        <v>407.4</v>
      </c>
      <c r="E1821">
        <v>0.69</v>
      </c>
      <c r="F1821">
        <f t="shared" si="207"/>
        <v>-406.71</v>
      </c>
      <c r="I1821">
        <f t="shared" si="203"/>
        <v>2</v>
      </c>
      <c r="J1821">
        <v>1</v>
      </c>
      <c r="K1821">
        <f t="shared" si="204"/>
        <v>11</v>
      </c>
      <c r="L1821">
        <f t="shared" si="205"/>
        <v>2018</v>
      </c>
      <c r="N1821" s="17">
        <f t="shared" si="208"/>
        <v>43405</v>
      </c>
      <c r="S1821">
        <f t="shared" si="209"/>
        <v>1</v>
      </c>
    </row>
    <row r="1822" spans="1:19" x14ac:dyDescent="0.3">
      <c r="A1822" s="17">
        <v>43405</v>
      </c>
      <c r="B1822">
        <v>485.78</v>
      </c>
      <c r="C1822">
        <v>73.394999999999996</v>
      </c>
      <c r="D1822">
        <f t="shared" si="206"/>
        <v>412.38499999999999</v>
      </c>
      <c r="E1822">
        <v>0.56000000000000005</v>
      </c>
      <c r="F1822">
        <f t="shared" si="207"/>
        <v>-411.82499999999999</v>
      </c>
      <c r="I1822">
        <f t="shared" si="203"/>
        <v>1</v>
      </c>
      <c r="J1822">
        <v>1</v>
      </c>
      <c r="K1822">
        <f t="shared" si="204"/>
        <v>11</v>
      </c>
      <c r="L1822">
        <f t="shared" si="205"/>
        <v>2018</v>
      </c>
      <c r="N1822" s="17">
        <f t="shared" si="208"/>
        <v>43405</v>
      </c>
      <c r="S1822">
        <f t="shared" si="209"/>
        <v>1</v>
      </c>
    </row>
    <row r="1823" spans="1:19" x14ac:dyDescent="0.3">
      <c r="A1823" s="17">
        <v>43404</v>
      </c>
      <c r="B1823">
        <v>486.59</v>
      </c>
      <c r="C1823">
        <v>75.67</v>
      </c>
      <c r="D1823">
        <f t="shared" si="206"/>
        <v>410.91999999999996</v>
      </c>
      <c r="E1823">
        <v>0.6</v>
      </c>
      <c r="F1823">
        <f t="shared" si="207"/>
        <v>-410.31999999999994</v>
      </c>
      <c r="I1823">
        <f t="shared" si="203"/>
        <v>31</v>
      </c>
      <c r="J1823">
        <v>1</v>
      </c>
      <c r="K1823">
        <f t="shared" si="204"/>
        <v>10</v>
      </c>
      <c r="L1823">
        <f t="shared" si="205"/>
        <v>2018</v>
      </c>
      <c r="N1823" s="17">
        <f t="shared" si="208"/>
        <v>43374</v>
      </c>
      <c r="S1823">
        <f t="shared" si="209"/>
        <v>0</v>
      </c>
    </row>
    <row r="1824" spans="1:19" x14ac:dyDescent="0.3">
      <c r="A1824" s="17">
        <v>43403</v>
      </c>
      <c r="B1824">
        <v>487.98</v>
      </c>
      <c r="C1824">
        <v>76.19</v>
      </c>
      <c r="D1824">
        <f t="shared" si="206"/>
        <v>411.79</v>
      </c>
      <c r="E1824">
        <v>0.96</v>
      </c>
      <c r="F1824">
        <f t="shared" si="207"/>
        <v>-410.83000000000004</v>
      </c>
      <c r="I1824">
        <f t="shared" si="203"/>
        <v>30</v>
      </c>
      <c r="J1824">
        <v>1</v>
      </c>
      <c r="K1824">
        <f t="shared" si="204"/>
        <v>10</v>
      </c>
      <c r="L1824">
        <f t="shared" si="205"/>
        <v>2018</v>
      </c>
      <c r="N1824" s="17">
        <f t="shared" si="208"/>
        <v>43374</v>
      </c>
      <c r="S1824">
        <f t="shared" si="209"/>
        <v>0</v>
      </c>
    </row>
    <row r="1825" spans="1:19" x14ac:dyDescent="0.3">
      <c r="A1825" s="17">
        <v>43402</v>
      </c>
      <c r="B1825">
        <v>491.71</v>
      </c>
      <c r="C1825">
        <v>76.010000000000005</v>
      </c>
      <c r="D1825">
        <f t="shared" si="206"/>
        <v>415.7</v>
      </c>
      <c r="E1825">
        <v>1.65</v>
      </c>
      <c r="F1825">
        <f t="shared" si="207"/>
        <v>-414.05</v>
      </c>
      <c r="I1825">
        <f t="shared" si="203"/>
        <v>29</v>
      </c>
      <c r="J1825">
        <v>1</v>
      </c>
      <c r="K1825">
        <f t="shared" si="204"/>
        <v>10</v>
      </c>
      <c r="L1825">
        <f t="shared" si="205"/>
        <v>2018</v>
      </c>
      <c r="N1825" s="17">
        <f t="shared" si="208"/>
        <v>43374</v>
      </c>
      <c r="S1825">
        <f t="shared" si="209"/>
        <v>0</v>
      </c>
    </row>
    <row r="1826" spans="1:19" x14ac:dyDescent="0.3">
      <c r="A1826" s="17">
        <v>43399</v>
      </c>
      <c r="B1826">
        <v>485.93</v>
      </c>
      <c r="C1826">
        <v>75.400000000000006</v>
      </c>
      <c r="D1826">
        <f t="shared" si="206"/>
        <v>410.53</v>
      </c>
      <c r="E1826">
        <v>1.84</v>
      </c>
      <c r="F1826">
        <f t="shared" si="207"/>
        <v>-408.69</v>
      </c>
      <c r="I1826">
        <f t="shared" si="203"/>
        <v>26</v>
      </c>
      <c r="J1826">
        <v>1</v>
      </c>
      <c r="K1826">
        <f t="shared" si="204"/>
        <v>10</v>
      </c>
      <c r="L1826">
        <f t="shared" si="205"/>
        <v>2018</v>
      </c>
      <c r="N1826" s="17">
        <f t="shared" si="208"/>
        <v>43374</v>
      </c>
      <c r="S1826">
        <f t="shared" si="209"/>
        <v>0</v>
      </c>
    </row>
    <row r="1827" spans="1:19" x14ac:dyDescent="0.3">
      <c r="A1827" s="17">
        <v>43398</v>
      </c>
      <c r="B1827">
        <v>479.45</v>
      </c>
      <c r="C1827">
        <v>74.95</v>
      </c>
      <c r="D1827">
        <f t="shared" si="206"/>
        <v>404.5</v>
      </c>
      <c r="E1827">
        <v>1.88</v>
      </c>
      <c r="F1827">
        <f t="shared" si="207"/>
        <v>-402.62</v>
      </c>
      <c r="I1827">
        <f t="shared" si="203"/>
        <v>25</v>
      </c>
      <c r="J1827">
        <v>1</v>
      </c>
      <c r="K1827">
        <f t="shared" si="204"/>
        <v>10</v>
      </c>
      <c r="L1827">
        <f t="shared" si="205"/>
        <v>2018</v>
      </c>
      <c r="N1827" s="17">
        <f t="shared" si="208"/>
        <v>43374</v>
      </c>
      <c r="S1827">
        <f t="shared" si="209"/>
        <v>0</v>
      </c>
    </row>
    <row r="1828" spans="1:19" x14ac:dyDescent="0.3">
      <c r="A1828" s="17">
        <v>43397</v>
      </c>
      <c r="B1828">
        <v>475.7</v>
      </c>
      <c r="C1828">
        <v>74.400000000000006</v>
      </c>
      <c r="D1828">
        <f t="shared" si="206"/>
        <v>401.29999999999995</v>
      </c>
      <c r="E1828">
        <v>1.7</v>
      </c>
      <c r="F1828">
        <f t="shared" si="207"/>
        <v>-399.59999999999997</v>
      </c>
      <c r="I1828">
        <f t="shared" si="203"/>
        <v>24</v>
      </c>
      <c r="J1828">
        <v>1</v>
      </c>
      <c r="K1828">
        <f t="shared" si="204"/>
        <v>10</v>
      </c>
      <c r="L1828">
        <f t="shared" si="205"/>
        <v>2018</v>
      </c>
      <c r="N1828" s="17">
        <f t="shared" si="208"/>
        <v>43374</v>
      </c>
      <c r="S1828">
        <f t="shared" si="209"/>
        <v>0</v>
      </c>
    </row>
    <row r="1829" spans="1:19" x14ac:dyDescent="0.3">
      <c r="A1829" s="17">
        <v>43396</v>
      </c>
      <c r="B1829">
        <v>486.36</v>
      </c>
      <c r="C1829">
        <v>77.84</v>
      </c>
      <c r="D1829">
        <f t="shared" si="206"/>
        <v>408.52</v>
      </c>
      <c r="E1829">
        <v>1.87</v>
      </c>
      <c r="F1829">
        <f t="shared" si="207"/>
        <v>-406.65</v>
      </c>
      <c r="I1829">
        <f t="shared" si="203"/>
        <v>23</v>
      </c>
      <c r="J1829">
        <v>1</v>
      </c>
      <c r="K1829">
        <f t="shared" si="204"/>
        <v>10</v>
      </c>
      <c r="L1829">
        <f t="shared" si="205"/>
        <v>2018</v>
      </c>
      <c r="N1829" s="17">
        <f t="shared" si="208"/>
        <v>43374</v>
      </c>
      <c r="S1829">
        <f t="shared" si="209"/>
        <v>0</v>
      </c>
    </row>
    <row r="1830" spans="1:19" x14ac:dyDescent="0.3">
      <c r="A1830" s="17">
        <v>43395</v>
      </c>
      <c r="B1830">
        <v>497.84</v>
      </c>
      <c r="C1830">
        <v>78.790000000000006</v>
      </c>
      <c r="D1830">
        <f t="shared" si="206"/>
        <v>419.04999999999995</v>
      </c>
      <c r="E1830">
        <v>1.82</v>
      </c>
      <c r="F1830">
        <f t="shared" si="207"/>
        <v>-417.22999999999996</v>
      </c>
      <c r="I1830">
        <f t="shared" si="203"/>
        <v>22</v>
      </c>
      <c r="J1830">
        <v>1</v>
      </c>
      <c r="K1830">
        <f t="shared" si="204"/>
        <v>10</v>
      </c>
      <c r="L1830">
        <f t="shared" si="205"/>
        <v>2018</v>
      </c>
      <c r="N1830" s="17">
        <f t="shared" si="208"/>
        <v>43374</v>
      </c>
      <c r="S1830">
        <f t="shared" si="209"/>
        <v>0</v>
      </c>
    </row>
    <row r="1831" spans="1:19" x14ac:dyDescent="0.3">
      <c r="A1831" s="17">
        <v>43392</v>
      </c>
      <c r="B1831">
        <v>491.45</v>
      </c>
      <c r="C1831">
        <v>77.89</v>
      </c>
      <c r="D1831">
        <f t="shared" si="206"/>
        <v>413.56</v>
      </c>
      <c r="E1831">
        <v>1.71</v>
      </c>
      <c r="F1831">
        <f t="shared" si="207"/>
        <v>-411.85</v>
      </c>
      <c r="I1831">
        <f t="shared" si="203"/>
        <v>19</v>
      </c>
      <c r="J1831">
        <v>1</v>
      </c>
      <c r="K1831">
        <f t="shared" si="204"/>
        <v>10</v>
      </c>
      <c r="L1831">
        <f t="shared" si="205"/>
        <v>2018</v>
      </c>
      <c r="N1831" s="17">
        <f t="shared" si="208"/>
        <v>43374</v>
      </c>
      <c r="S1831">
        <f t="shared" si="209"/>
        <v>0</v>
      </c>
    </row>
    <row r="1832" spans="1:19" x14ac:dyDescent="0.3">
      <c r="A1832" s="17">
        <v>43391</v>
      </c>
      <c r="B1832">
        <v>490.53</v>
      </c>
      <c r="C1832">
        <v>78.400000000000006</v>
      </c>
      <c r="D1832">
        <f t="shared" si="206"/>
        <v>412.13</v>
      </c>
      <c r="E1832">
        <v>1.64</v>
      </c>
      <c r="F1832">
        <f t="shared" si="207"/>
        <v>-410.49</v>
      </c>
      <c r="I1832">
        <f t="shared" si="203"/>
        <v>18</v>
      </c>
      <c r="J1832">
        <v>1</v>
      </c>
      <c r="K1832">
        <f t="shared" si="204"/>
        <v>10</v>
      </c>
      <c r="L1832">
        <f t="shared" si="205"/>
        <v>2018</v>
      </c>
      <c r="N1832" s="17">
        <f t="shared" si="208"/>
        <v>43374</v>
      </c>
      <c r="S1832">
        <f t="shared" si="209"/>
        <v>0</v>
      </c>
    </row>
    <row r="1833" spans="1:19" x14ac:dyDescent="0.3">
      <c r="A1833" s="17">
        <v>43390</v>
      </c>
      <c r="B1833">
        <v>498.21</v>
      </c>
      <c r="C1833">
        <v>80.2</v>
      </c>
      <c r="D1833">
        <f t="shared" si="206"/>
        <v>418.01</v>
      </c>
      <c r="E1833">
        <v>1.64</v>
      </c>
      <c r="F1833">
        <f t="shared" si="207"/>
        <v>-416.37</v>
      </c>
      <c r="I1833">
        <f t="shared" si="203"/>
        <v>17</v>
      </c>
      <c r="J1833">
        <v>1</v>
      </c>
      <c r="K1833">
        <f t="shared" si="204"/>
        <v>10</v>
      </c>
      <c r="L1833">
        <f t="shared" si="205"/>
        <v>2018</v>
      </c>
      <c r="N1833" s="17">
        <f t="shared" si="208"/>
        <v>43374</v>
      </c>
      <c r="S1833">
        <f t="shared" si="209"/>
        <v>0</v>
      </c>
    </row>
    <row r="1834" spans="1:19" x14ac:dyDescent="0.3">
      <c r="A1834" s="17">
        <v>43389</v>
      </c>
      <c r="B1834">
        <v>488.5</v>
      </c>
      <c r="C1834">
        <v>78.8</v>
      </c>
      <c r="D1834">
        <f t="shared" si="206"/>
        <v>409.7</v>
      </c>
      <c r="E1834">
        <v>1.36</v>
      </c>
      <c r="F1834">
        <f t="shared" si="207"/>
        <v>-408.34</v>
      </c>
      <c r="I1834">
        <f t="shared" si="203"/>
        <v>16</v>
      </c>
      <c r="J1834">
        <v>1</v>
      </c>
      <c r="K1834">
        <f t="shared" si="204"/>
        <v>10</v>
      </c>
      <c r="L1834">
        <f t="shared" si="205"/>
        <v>2018</v>
      </c>
      <c r="N1834" s="17">
        <f t="shared" si="208"/>
        <v>43374</v>
      </c>
      <c r="S1834">
        <f t="shared" si="209"/>
        <v>0</v>
      </c>
    </row>
    <row r="1835" spans="1:19" x14ac:dyDescent="0.3">
      <c r="A1835" s="17">
        <v>43388</v>
      </c>
      <c r="B1835">
        <v>493.28</v>
      </c>
      <c r="C1835">
        <v>79.290000000000006</v>
      </c>
      <c r="D1835">
        <f t="shared" si="206"/>
        <v>413.98999999999995</v>
      </c>
      <c r="E1835">
        <v>1.07</v>
      </c>
      <c r="F1835">
        <f t="shared" si="207"/>
        <v>-412.91999999999996</v>
      </c>
      <c r="I1835">
        <f t="shared" si="203"/>
        <v>15</v>
      </c>
      <c r="J1835">
        <v>1</v>
      </c>
      <c r="K1835">
        <f t="shared" si="204"/>
        <v>10</v>
      </c>
      <c r="L1835">
        <f t="shared" si="205"/>
        <v>2018</v>
      </c>
      <c r="N1835" s="17">
        <f t="shared" si="208"/>
        <v>43374</v>
      </c>
      <c r="S1835">
        <f t="shared" si="209"/>
        <v>0</v>
      </c>
    </row>
    <row r="1836" spans="1:19" x14ac:dyDescent="0.3">
      <c r="A1836" s="17">
        <v>43385</v>
      </c>
      <c r="B1836">
        <v>489.12</v>
      </c>
      <c r="C1836">
        <v>79.349999999999994</v>
      </c>
      <c r="D1836">
        <f t="shared" si="206"/>
        <v>409.77</v>
      </c>
      <c r="E1836">
        <v>0.97</v>
      </c>
      <c r="F1836">
        <f t="shared" si="207"/>
        <v>-408.79999999999995</v>
      </c>
      <c r="I1836">
        <f t="shared" si="203"/>
        <v>12</v>
      </c>
      <c r="J1836">
        <v>1</v>
      </c>
      <c r="K1836">
        <f t="shared" si="204"/>
        <v>10</v>
      </c>
      <c r="L1836">
        <f t="shared" si="205"/>
        <v>2018</v>
      </c>
      <c r="N1836" s="17">
        <f t="shared" si="208"/>
        <v>43374</v>
      </c>
      <c r="S1836">
        <f t="shared" si="209"/>
        <v>0</v>
      </c>
    </row>
    <row r="1837" spans="1:19" x14ac:dyDescent="0.3">
      <c r="A1837" s="17">
        <v>43384</v>
      </c>
      <c r="B1837">
        <v>490.88</v>
      </c>
      <c r="C1837">
        <v>80.599999999999994</v>
      </c>
      <c r="D1837">
        <f t="shared" si="206"/>
        <v>410.28</v>
      </c>
      <c r="E1837">
        <v>0.83</v>
      </c>
      <c r="F1837">
        <f t="shared" si="207"/>
        <v>-409.45</v>
      </c>
      <c r="I1837">
        <f t="shared" si="203"/>
        <v>11</v>
      </c>
      <c r="J1837">
        <v>1</v>
      </c>
      <c r="K1837">
        <f t="shared" si="204"/>
        <v>10</v>
      </c>
      <c r="L1837">
        <f t="shared" si="205"/>
        <v>2018</v>
      </c>
      <c r="N1837" s="17">
        <f t="shared" si="208"/>
        <v>43374</v>
      </c>
      <c r="S1837">
        <f t="shared" si="209"/>
        <v>0</v>
      </c>
    </row>
    <row r="1838" spans="1:19" x14ac:dyDescent="0.3">
      <c r="A1838" s="17">
        <v>43383</v>
      </c>
      <c r="B1838">
        <v>508.11</v>
      </c>
      <c r="C1838">
        <v>82.95</v>
      </c>
      <c r="D1838">
        <f t="shared" si="206"/>
        <v>425.16</v>
      </c>
      <c r="E1838">
        <v>0.76</v>
      </c>
      <c r="F1838">
        <f t="shared" si="207"/>
        <v>-424.40000000000003</v>
      </c>
      <c r="I1838">
        <f t="shared" si="203"/>
        <v>10</v>
      </c>
      <c r="J1838">
        <v>1</v>
      </c>
      <c r="K1838">
        <f t="shared" si="204"/>
        <v>10</v>
      </c>
      <c r="L1838">
        <f t="shared" si="205"/>
        <v>2018</v>
      </c>
      <c r="N1838" s="17">
        <f t="shared" si="208"/>
        <v>43374</v>
      </c>
      <c r="S1838">
        <f t="shared" si="209"/>
        <v>0</v>
      </c>
    </row>
    <row r="1839" spans="1:19" x14ac:dyDescent="0.3">
      <c r="A1839" s="17">
        <v>43382</v>
      </c>
      <c r="B1839">
        <v>512.22</v>
      </c>
      <c r="C1839">
        <v>82.85</v>
      </c>
      <c r="D1839">
        <f t="shared" si="206"/>
        <v>429.37</v>
      </c>
      <c r="E1839">
        <v>0.68</v>
      </c>
      <c r="F1839">
        <f t="shared" si="207"/>
        <v>-428.69</v>
      </c>
      <c r="I1839">
        <f t="shared" si="203"/>
        <v>9</v>
      </c>
      <c r="J1839">
        <v>1</v>
      </c>
      <c r="K1839">
        <f t="shared" si="204"/>
        <v>10</v>
      </c>
      <c r="L1839">
        <f t="shared" si="205"/>
        <v>2018</v>
      </c>
      <c r="N1839" s="17">
        <f t="shared" si="208"/>
        <v>43374</v>
      </c>
      <c r="S1839">
        <f t="shared" si="209"/>
        <v>0</v>
      </c>
    </row>
    <row r="1840" spans="1:19" x14ac:dyDescent="0.3">
      <c r="A1840" s="17">
        <v>43381</v>
      </c>
      <c r="B1840">
        <v>497.64</v>
      </c>
      <c r="C1840">
        <v>81.59</v>
      </c>
      <c r="D1840">
        <f t="shared" si="206"/>
        <v>416.04999999999995</v>
      </c>
      <c r="E1840">
        <v>0.65</v>
      </c>
      <c r="F1840">
        <f t="shared" si="207"/>
        <v>-415.4</v>
      </c>
      <c r="I1840">
        <f t="shared" si="203"/>
        <v>8</v>
      </c>
      <c r="J1840">
        <v>1</v>
      </c>
      <c r="K1840">
        <f t="shared" si="204"/>
        <v>10</v>
      </c>
      <c r="L1840">
        <f t="shared" si="205"/>
        <v>2018</v>
      </c>
      <c r="N1840" s="17">
        <f t="shared" si="208"/>
        <v>43374</v>
      </c>
      <c r="S1840">
        <f t="shared" si="209"/>
        <v>0</v>
      </c>
    </row>
    <row r="1841" spans="1:19" x14ac:dyDescent="0.3">
      <c r="A1841" s="17">
        <v>43378</v>
      </c>
      <c r="B1841">
        <v>506.63</v>
      </c>
      <c r="C1841">
        <v>83.25</v>
      </c>
      <c r="D1841">
        <f t="shared" si="206"/>
        <v>423.38</v>
      </c>
      <c r="E1841">
        <v>0.56999999999999995</v>
      </c>
      <c r="F1841">
        <f t="shared" si="207"/>
        <v>-422.81</v>
      </c>
      <c r="I1841">
        <f t="shared" si="203"/>
        <v>5</v>
      </c>
      <c r="J1841">
        <v>1</v>
      </c>
      <c r="K1841">
        <f t="shared" si="204"/>
        <v>10</v>
      </c>
      <c r="L1841">
        <f t="shared" si="205"/>
        <v>2018</v>
      </c>
      <c r="N1841" s="17">
        <f t="shared" si="208"/>
        <v>43374</v>
      </c>
      <c r="S1841">
        <f t="shared" si="209"/>
        <v>0</v>
      </c>
    </row>
    <row r="1842" spans="1:19" x14ac:dyDescent="0.3">
      <c r="A1842" s="17">
        <v>43377</v>
      </c>
      <c r="B1842">
        <v>515.26</v>
      </c>
      <c r="C1842">
        <v>84.405000000000001</v>
      </c>
      <c r="D1842">
        <f t="shared" si="206"/>
        <v>430.85500000000002</v>
      </c>
      <c r="E1842">
        <v>0.56999999999999995</v>
      </c>
      <c r="F1842">
        <f t="shared" si="207"/>
        <v>-430.28500000000003</v>
      </c>
      <c r="I1842">
        <f t="shared" si="203"/>
        <v>4</v>
      </c>
      <c r="J1842">
        <v>1</v>
      </c>
      <c r="K1842">
        <f t="shared" si="204"/>
        <v>10</v>
      </c>
      <c r="L1842">
        <f t="shared" si="205"/>
        <v>2018</v>
      </c>
      <c r="N1842" s="17">
        <f t="shared" si="208"/>
        <v>43374</v>
      </c>
      <c r="S1842">
        <f t="shared" si="209"/>
        <v>1</v>
      </c>
    </row>
    <row r="1843" spans="1:19" x14ac:dyDescent="0.3">
      <c r="A1843" s="17">
        <v>43376</v>
      </c>
      <c r="B1843">
        <v>504.63</v>
      </c>
      <c r="C1843">
        <v>83.35</v>
      </c>
      <c r="D1843">
        <f t="shared" si="206"/>
        <v>421.28</v>
      </c>
      <c r="E1843">
        <v>0.71</v>
      </c>
      <c r="F1843">
        <f t="shared" si="207"/>
        <v>-420.57</v>
      </c>
      <c r="I1843">
        <f t="shared" si="203"/>
        <v>3</v>
      </c>
      <c r="J1843">
        <v>1</v>
      </c>
      <c r="K1843">
        <f t="shared" si="204"/>
        <v>10</v>
      </c>
      <c r="L1843">
        <f t="shared" si="205"/>
        <v>2018</v>
      </c>
      <c r="N1843" s="17">
        <f t="shared" si="208"/>
        <v>43374</v>
      </c>
      <c r="S1843">
        <f t="shared" si="209"/>
        <v>1</v>
      </c>
    </row>
    <row r="1844" spans="1:19" x14ac:dyDescent="0.3">
      <c r="A1844" s="17">
        <v>43375</v>
      </c>
      <c r="B1844">
        <v>500.17</v>
      </c>
      <c r="C1844">
        <v>82.95</v>
      </c>
      <c r="D1844">
        <f t="shared" si="206"/>
        <v>417.22</v>
      </c>
      <c r="E1844">
        <v>0.78</v>
      </c>
      <c r="F1844">
        <f t="shared" si="207"/>
        <v>-416.44000000000005</v>
      </c>
      <c r="I1844">
        <f t="shared" si="203"/>
        <v>2</v>
      </c>
      <c r="J1844">
        <v>1</v>
      </c>
      <c r="K1844">
        <f t="shared" si="204"/>
        <v>10</v>
      </c>
      <c r="L1844">
        <f t="shared" si="205"/>
        <v>2018</v>
      </c>
      <c r="N1844" s="17">
        <f t="shared" si="208"/>
        <v>43374</v>
      </c>
      <c r="S1844">
        <f t="shared" si="209"/>
        <v>1</v>
      </c>
    </row>
    <row r="1845" spans="1:19" x14ac:dyDescent="0.3">
      <c r="A1845" s="17">
        <v>43374</v>
      </c>
      <c r="B1845">
        <v>484.61</v>
      </c>
      <c r="C1845">
        <v>80.8</v>
      </c>
      <c r="D1845">
        <f t="shared" si="206"/>
        <v>403.81</v>
      </c>
      <c r="E1845">
        <v>0.81</v>
      </c>
      <c r="F1845">
        <f t="shared" si="207"/>
        <v>-403</v>
      </c>
      <c r="I1845">
        <f t="shared" si="203"/>
        <v>1</v>
      </c>
      <c r="J1845">
        <v>1</v>
      </c>
      <c r="K1845">
        <f t="shared" si="204"/>
        <v>10</v>
      </c>
      <c r="L1845">
        <f t="shared" si="205"/>
        <v>2018</v>
      </c>
      <c r="N1845" s="17">
        <f t="shared" si="208"/>
        <v>43374</v>
      </c>
      <c r="S1845">
        <f t="shared" si="209"/>
        <v>1</v>
      </c>
    </row>
    <row r="1846" spans="1:19" x14ac:dyDescent="0.3">
      <c r="A1846" s="17">
        <v>43371</v>
      </c>
      <c r="B1846">
        <v>478.93</v>
      </c>
      <c r="C1846">
        <v>80</v>
      </c>
      <c r="D1846">
        <f t="shared" si="206"/>
        <v>398.93</v>
      </c>
      <c r="E1846">
        <v>0.69</v>
      </c>
      <c r="F1846">
        <f t="shared" si="207"/>
        <v>-398.24</v>
      </c>
      <c r="I1846">
        <f t="shared" si="203"/>
        <v>28</v>
      </c>
      <c r="J1846">
        <v>1</v>
      </c>
      <c r="K1846">
        <f t="shared" si="204"/>
        <v>9</v>
      </c>
      <c r="L1846">
        <f t="shared" si="205"/>
        <v>2018</v>
      </c>
      <c r="N1846" s="17">
        <f t="shared" si="208"/>
        <v>43344</v>
      </c>
      <c r="S1846">
        <f t="shared" si="209"/>
        <v>0</v>
      </c>
    </row>
    <row r="1847" spans="1:19" x14ac:dyDescent="0.3">
      <c r="A1847" s="17">
        <v>43370</v>
      </c>
      <c r="B1847">
        <v>478.59</v>
      </c>
      <c r="C1847">
        <v>80.45</v>
      </c>
      <c r="D1847">
        <f t="shared" si="206"/>
        <v>398.14</v>
      </c>
      <c r="E1847">
        <v>0.72</v>
      </c>
      <c r="F1847">
        <f t="shared" si="207"/>
        <v>-397.41999999999996</v>
      </c>
      <c r="I1847">
        <f t="shared" si="203"/>
        <v>27</v>
      </c>
      <c r="J1847">
        <v>1</v>
      </c>
      <c r="K1847">
        <f t="shared" si="204"/>
        <v>9</v>
      </c>
      <c r="L1847">
        <f t="shared" si="205"/>
        <v>2018</v>
      </c>
      <c r="N1847" s="17">
        <f t="shared" si="208"/>
        <v>43344</v>
      </c>
      <c r="S1847">
        <f t="shared" si="209"/>
        <v>0</v>
      </c>
    </row>
    <row r="1848" spans="1:19" x14ac:dyDescent="0.3">
      <c r="A1848" s="17">
        <v>43369</v>
      </c>
      <c r="B1848">
        <v>474.83</v>
      </c>
      <c r="C1848">
        <v>80.05</v>
      </c>
      <c r="D1848">
        <f t="shared" si="206"/>
        <v>394.78</v>
      </c>
      <c r="E1848">
        <v>0.76</v>
      </c>
      <c r="F1848">
        <f t="shared" si="207"/>
        <v>-394.02</v>
      </c>
      <c r="I1848">
        <f t="shared" si="203"/>
        <v>26</v>
      </c>
      <c r="J1848">
        <v>1</v>
      </c>
      <c r="K1848">
        <f t="shared" si="204"/>
        <v>9</v>
      </c>
      <c r="L1848">
        <f t="shared" si="205"/>
        <v>2018</v>
      </c>
      <c r="N1848" s="17">
        <f t="shared" si="208"/>
        <v>43344</v>
      </c>
      <c r="S1848">
        <f t="shared" si="209"/>
        <v>0</v>
      </c>
    </row>
    <row r="1849" spans="1:19" x14ac:dyDescent="0.3">
      <c r="A1849" s="17">
        <v>43368</v>
      </c>
      <c r="B1849">
        <v>474.08</v>
      </c>
      <c r="C1849">
        <v>79.7</v>
      </c>
      <c r="D1849">
        <f t="shared" si="206"/>
        <v>394.38</v>
      </c>
      <c r="E1849">
        <v>0.72</v>
      </c>
      <c r="F1849">
        <f t="shared" si="207"/>
        <v>-393.65999999999997</v>
      </c>
      <c r="I1849">
        <f t="shared" si="203"/>
        <v>25</v>
      </c>
      <c r="J1849">
        <v>1</v>
      </c>
      <c r="K1849">
        <f t="shared" si="204"/>
        <v>9</v>
      </c>
      <c r="L1849">
        <f t="shared" si="205"/>
        <v>2018</v>
      </c>
      <c r="N1849" s="17">
        <f t="shared" si="208"/>
        <v>43344</v>
      </c>
      <c r="S1849">
        <f t="shared" si="209"/>
        <v>0</v>
      </c>
    </row>
    <row r="1850" spans="1:19" x14ac:dyDescent="0.3">
      <c r="A1850" s="17">
        <v>43367</v>
      </c>
      <c r="B1850">
        <v>466.96</v>
      </c>
      <c r="C1850">
        <v>78.44</v>
      </c>
      <c r="D1850">
        <f t="shared" si="206"/>
        <v>388.52</v>
      </c>
      <c r="E1850">
        <v>0.81</v>
      </c>
      <c r="F1850">
        <f t="shared" si="207"/>
        <v>-387.71</v>
      </c>
      <c r="I1850">
        <f t="shared" si="203"/>
        <v>24</v>
      </c>
      <c r="J1850">
        <v>1</v>
      </c>
      <c r="K1850">
        <f t="shared" si="204"/>
        <v>9</v>
      </c>
      <c r="L1850">
        <f t="shared" si="205"/>
        <v>2018</v>
      </c>
      <c r="N1850" s="17">
        <f t="shared" si="208"/>
        <v>43344</v>
      </c>
      <c r="S1850">
        <f t="shared" si="209"/>
        <v>0</v>
      </c>
    </row>
    <row r="1851" spans="1:19" x14ac:dyDescent="0.3">
      <c r="A1851" s="17">
        <v>43364</v>
      </c>
      <c r="B1851">
        <v>460.21</v>
      </c>
      <c r="C1851">
        <v>77.400000000000006</v>
      </c>
      <c r="D1851">
        <f t="shared" si="206"/>
        <v>382.80999999999995</v>
      </c>
      <c r="E1851">
        <v>0.91</v>
      </c>
      <c r="F1851">
        <f t="shared" si="207"/>
        <v>-381.89999999999992</v>
      </c>
      <c r="I1851">
        <f t="shared" si="203"/>
        <v>21</v>
      </c>
      <c r="J1851">
        <v>1</v>
      </c>
      <c r="K1851">
        <f t="shared" si="204"/>
        <v>9</v>
      </c>
      <c r="L1851">
        <f t="shared" si="205"/>
        <v>2018</v>
      </c>
      <c r="N1851" s="17">
        <f t="shared" si="208"/>
        <v>43344</v>
      </c>
      <c r="S1851">
        <f t="shared" si="209"/>
        <v>0</v>
      </c>
    </row>
    <row r="1852" spans="1:19" x14ac:dyDescent="0.3">
      <c r="A1852" s="17">
        <v>43363</v>
      </c>
      <c r="B1852">
        <v>459.74</v>
      </c>
      <c r="C1852">
        <v>77.55</v>
      </c>
      <c r="D1852">
        <f t="shared" si="206"/>
        <v>382.19</v>
      </c>
      <c r="E1852">
        <v>0.88</v>
      </c>
      <c r="F1852">
        <f t="shared" si="207"/>
        <v>-381.31</v>
      </c>
      <c r="I1852">
        <f t="shared" si="203"/>
        <v>20</v>
      </c>
      <c r="J1852">
        <v>1</v>
      </c>
      <c r="K1852">
        <f t="shared" si="204"/>
        <v>9</v>
      </c>
      <c r="L1852">
        <f t="shared" si="205"/>
        <v>2018</v>
      </c>
      <c r="N1852" s="17">
        <f t="shared" si="208"/>
        <v>43344</v>
      </c>
      <c r="S1852">
        <f t="shared" si="209"/>
        <v>0</v>
      </c>
    </row>
    <row r="1853" spans="1:19" x14ac:dyDescent="0.3">
      <c r="A1853" s="17">
        <v>43362</v>
      </c>
      <c r="B1853">
        <v>453.93</v>
      </c>
      <c r="C1853">
        <v>77.05</v>
      </c>
      <c r="D1853">
        <f t="shared" si="206"/>
        <v>376.88</v>
      </c>
      <c r="E1853">
        <v>0.84</v>
      </c>
      <c r="F1853">
        <f t="shared" si="207"/>
        <v>-376.04</v>
      </c>
      <c r="I1853">
        <f t="shared" si="203"/>
        <v>19</v>
      </c>
      <c r="J1853">
        <v>1</v>
      </c>
      <c r="K1853">
        <f t="shared" si="204"/>
        <v>9</v>
      </c>
      <c r="L1853">
        <f t="shared" si="205"/>
        <v>2018</v>
      </c>
      <c r="N1853" s="17">
        <f t="shared" si="208"/>
        <v>43344</v>
      </c>
      <c r="S1853">
        <f t="shared" si="209"/>
        <v>0</v>
      </c>
    </row>
    <row r="1854" spans="1:19" x14ac:dyDescent="0.3">
      <c r="A1854" s="17">
        <v>43361</v>
      </c>
      <c r="B1854">
        <v>445.41</v>
      </c>
      <c r="C1854">
        <v>75.78</v>
      </c>
      <c r="D1854">
        <f t="shared" si="206"/>
        <v>369.63</v>
      </c>
      <c r="E1854">
        <v>0.74</v>
      </c>
      <c r="F1854">
        <f t="shared" si="207"/>
        <v>-368.89</v>
      </c>
      <c r="I1854">
        <f t="shared" si="203"/>
        <v>18</v>
      </c>
      <c r="J1854">
        <v>1</v>
      </c>
      <c r="K1854">
        <f t="shared" si="204"/>
        <v>9</v>
      </c>
      <c r="L1854">
        <f t="shared" si="205"/>
        <v>2018</v>
      </c>
      <c r="N1854" s="17">
        <f t="shared" si="208"/>
        <v>43344</v>
      </c>
      <c r="S1854">
        <f t="shared" si="209"/>
        <v>0</v>
      </c>
    </row>
    <row r="1855" spans="1:19" x14ac:dyDescent="0.3">
      <c r="A1855" s="17">
        <v>43360</v>
      </c>
      <c r="B1855">
        <v>449.19</v>
      </c>
      <c r="C1855">
        <v>76.45</v>
      </c>
      <c r="D1855">
        <f t="shared" si="206"/>
        <v>372.74</v>
      </c>
      <c r="E1855">
        <v>0.64</v>
      </c>
      <c r="F1855">
        <f t="shared" si="207"/>
        <v>-372.1</v>
      </c>
      <c r="I1855">
        <f t="shared" si="203"/>
        <v>17</v>
      </c>
      <c r="J1855">
        <v>1</v>
      </c>
      <c r="K1855">
        <f t="shared" si="204"/>
        <v>9</v>
      </c>
      <c r="L1855">
        <f t="shared" si="205"/>
        <v>2018</v>
      </c>
      <c r="N1855" s="17">
        <f t="shared" si="208"/>
        <v>43344</v>
      </c>
      <c r="S1855">
        <f t="shared" si="209"/>
        <v>0</v>
      </c>
    </row>
    <row r="1856" spans="1:19" x14ac:dyDescent="0.3">
      <c r="A1856" s="17">
        <v>43357</v>
      </c>
      <c r="B1856">
        <v>447.75</v>
      </c>
      <c r="C1856">
        <v>76.39</v>
      </c>
      <c r="D1856">
        <f t="shared" si="206"/>
        <v>371.36</v>
      </c>
      <c r="E1856">
        <v>0.6</v>
      </c>
      <c r="F1856">
        <f t="shared" si="207"/>
        <v>-370.76</v>
      </c>
      <c r="I1856">
        <f t="shared" si="203"/>
        <v>14</v>
      </c>
      <c r="J1856">
        <v>1</v>
      </c>
      <c r="K1856">
        <f t="shared" si="204"/>
        <v>9</v>
      </c>
      <c r="L1856">
        <f t="shared" si="205"/>
        <v>2018</v>
      </c>
      <c r="N1856" s="17">
        <f t="shared" si="208"/>
        <v>43344</v>
      </c>
      <c r="S1856">
        <f t="shared" si="209"/>
        <v>0</v>
      </c>
    </row>
    <row r="1857" spans="1:19" x14ac:dyDescent="0.3">
      <c r="A1857" s="17">
        <v>43356</v>
      </c>
      <c r="B1857">
        <v>451.55</v>
      </c>
      <c r="C1857">
        <v>77.099999999999994</v>
      </c>
      <c r="D1857">
        <f t="shared" si="206"/>
        <v>374.45000000000005</v>
      </c>
      <c r="E1857">
        <v>0.63</v>
      </c>
      <c r="F1857">
        <f t="shared" si="207"/>
        <v>-373.82000000000005</v>
      </c>
      <c r="I1857">
        <f t="shared" si="203"/>
        <v>13</v>
      </c>
      <c r="J1857">
        <v>1</v>
      </c>
      <c r="K1857">
        <f t="shared" si="204"/>
        <v>9</v>
      </c>
      <c r="L1857">
        <f t="shared" si="205"/>
        <v>2018</v>
      </c>
      <c r="N1857" s="17">
        <f t="shared" si="208"/>
        <v>43344</v>
      </c>
      <c r="S1857">
        <f t="shared" si="209"/>
        <v>0</v>
      </c>
    </row>
    <row r="1858" spans="1:19" x14ac:dyDescent="0.3">
      <c r="A1858" s="17">
        <v>43355</v>
      </c>
      <c r="B1858">
        <v>452.52</v>
      </c>
      <c r="C1858">
        <v>77.400000000000006</v>
      </c>
      <c r="D1858">
        <f t="shared" si="206"/>
        <v>375.12</v>
      </c>
      <c r="E1858">
        <v>0.61</v>
      </c>
      <c r="F1858">
        <f t="shared" si="207"/>
        <v>-374.51</v>
      </c>
      <c r="I1858">
        <f t="shared" si="203"/>
        <v>12</v>
      </c>
      <c r="J1858">
        <v>1</v>
      </c>
      <c r="K1858">
        <f t="shared" si="204"/>
        <v>9</v>
      </c>
      <c r="L1858">
        <f t="shared" si="205"/>
        <v>2018</v>
      </c>
      <c r="N1858" s="17">
        <f t="shared" si="208"/>
        <v>43344</v>
      </c>
      <c r="S1858">
        <f t="shared" si="209"/>
        <v>0</v>
      </c>
    </row>
    <row r="1859" spans="1:19" x14ac:dyDescent="0.3">
      <c r="A1859" s="17">
        <v>43354</v>
      </c>
      <c r="B1859">
        <v>448.49</v>
      </c>
      <c r="C1859">
        <v>76.260000000000005</v>
      </c>
      <c r="D1859">
        <f t="shared" si="206"/>
        <v>372.23</v>
      </c>
      <c r="E1859">
        <v>0.59</v>
      </c>
      <c r="F1859">
        <f t="shared" si="207"/>
        <v>-371.64000000000004</v>
      </c>
      <c r="I1859">
        <f t="shared" si="203"/>
        <v>11</v>
      </c>
      <c r="J1859">
        <v>1</v>
      </c>
      <c r="K1859">
        <f t="shared" si="204"/>
        <v>9</v>
      </c>
      <c r="L1859">
        <f t="shared" si="205"/>
        <v>2018</v>
      </c>
      <c r="N1859" s="17">
        <f t="shared" si="208"/>
        <v>43344</v>
      </c>
      <c r="S1859">
        <f t="shared" si="209"/>
        <v>0</v>
      </c>
    </row>
    <row r="1860" spans="1:19" x14ac:dyDescent="0.3">
      <c r="A1860" s="17">
        <v>43353</v>
      </c>
      <c r="B1860">
        <v>445.77</v>
      </c>
      <c r="C1860">
        <v>75.905000000000001</v>
      </c>
      <c r="D1860">
        <f t="shared" si="206"/>
        <v>369.86500000000001</v>
      </c>
      <c r="E1860">
        <v>0.63</v>
      </c>
      <c r="F1860">
        <f t="shared" si="207"/>
        <v>-369.23500000000001</v>
      </c>
      <c r="I1860">
        <f t="shared" si="203"/>
        <v>10</v>
      </c>
      <c r="J1860">
        <v>1</v>
      </c>
      <c r="K1860">
        <f t="shared" si="204"/>
        <v>9</v>
      </c>
      <c r="L1860">
        <f t="shared" si="205"/>
        <v>2018</v>
      </c>
      <c r="N1860" s="17">
        <f t="shared" si="208"/>
        <v>43344</v>
      </c>
      <c r="S1860">
        <f t="shared" si="209"/>
        <v>0</v>
      </c>
    </row>
    <row r="1861" spans="1:19" x14ac:dyDescent="0.3">
      <c r="A1861" s="17">
        <v>43350</v>
      </c>
      <c r="B1861">
        <v>439.93</v>
      </c>
      <c r="C1861">
        <v>74.75</v>
      </c>
      <c r="D1861">
        <f t="shared" si="206"/>
        <v>365.18</v>
      </c>
      <c r="E1861">
        <v>0.56999999999999995</v>
      </c>
      <c r="F1861">
        <f t="shared" si="207"/>
        <v>-364.61</v>
      </c>
      <c r="I1861">
        <f t="shared" ref="I1861:I1924" si="210">+DAY(A1861)</f>
        <v>7</v>
      </c>
      <c r="J1861">
        <v>1</v>
      </c>
      <c r="K1861">
        <f t="shared" ref="K1861:K1924" si="211">+MONTH(A1861)</f>
        <v>9</v>
      </c>
      <c r="L1861">
        <f t="shared" ref="L1861:L1924" si="212">+YEAR(A1861)</f>
        <v>2018</v>
      </c>
      <c r="N1861" s="17">
        <f t="shared" si="208"/>
        <v>43344</v>
      </c>
      <c r="S1861">
        <f t="shared" si="209"/>
        <v>0</v>
      </c>
    </row>
    <row r="1862" spans="1:19" x14ac:dyDescent="0.3">
      <c r="A1862" s="17">
        <v>43349</v>
      </c>
      <c r="B1862">
        <v>436.88</v>
      </c>
      <c r="C1862">
        <v>75.349999999999994</v>
      </c>
      <c r="D1862">
        <f t="shared" ref="D1862:D1925" si="213">+B1862-C1862</f>
        <v>361.53</v>
      </c>
      <c r="E1862">
        <v>0.62</v>
      </c>
      <c r="F1862">
        <f t="shared" ref="F1862:F1925" si="214">+E1862-D1862</f>
        <v>-360.90999999999997</v>
      </c>
      <c r="I1862">
        <f t="shared" si="210"/>
        <v>6</v>
      </c>
      <c r="J1862">
        <v>1</v>
      </c>
      <c r="K1862">
        <f t="shared" si="211"/>
        <v>9</v>
      </c>
      <c r="L1862">
        <f t="shared" si="212"/>
        <v>2018</v>
      </c>
      <c r="N1862" s="17">
        <f t="shared" ref="N1862:N1925" si="215">+DATE(L1862,K1862,J1862)</f>
        <v>43344</v>
      </c>
      <c r="S1862">
        <f t="shared" ref="S1862:S1925" si="216">IF(AND(I1862&gt;=1, I1862&lt;=4), 1, 0)</f>
        <v>0</v>
      </c>
    </row>
    <row r="1863" spans="1:19" x14ac:dyDescent="0.3">
      <c r="A1863" s="17">
        <v>43348</v>
      </c>
      <c r="B1863">
        <v>439.11</v>
      </c>
      <c r="C1863">
        <v>75.8</v>
      </c>
      <c r="D1863">
        <f t="shared" si="213"/>
        <v>363.31</v>
      </c>
      <c r="E1863">
        <v>0.56999999999999995</v>
      </c>
      <c r="F1863">
        <f t="shared" si="214"/>
        <v>-362.74</v>
      </c>
      <c r="I1863">
        <f t="shared" si="210"/>
        <v>5</v>
      </c>
      <c r="J1863">
        <v>1</v>
      </c>
      <c r="K1863">
        <f t="shared" si="211"/>
        <v>9</v>
      </c>
      <c r="L1863">
        <f t="shared" si="212"/>
        <v>2018</v>
      </c>
      <c r="N1863" s="17">
        <f t="shared" si="215"/>
        <v>43344</v>
      </c>
      <c r="S1863">
        <f t="shared" si="216"/>
        <v>0</v>
      </c>
    </row>
    <row r="1864" spans="1:19" x14ac:dyDescent="0.3">
      <c r="A1864" s="17">
        <v>43347</v>
      </c>
      <c r="B1864">
        <v>451.11</v>
      </c>
      <c r="C1864">
        <v>76.87</v>
      </c>
      <c r="D1864">
        <f t="shared" si="213"/>
        <v>374.24</v>
      </c>
      <c r="E1864">
        <v>0.62</v>
      </c>
      <c r="F1864">
        <f t="shared" si="214"/>
        <v>-373.62</v>
      </c>
      <c r="I1864">
        <f t="shared" si="210"/>
        <v>4</v>
      </c>
      <c r="J1864">
        <v>1</v>
      </c>
      <c r="K1864">
        <f t="shared" si="211"/>
        <v>9</v>
      </c>
      <c r="L1864">
        <f t="shared" si="212"/>
        <v>2018</v>
      </c>
      <c r="N1864" s="17">
        <f t="shared" si="215"/>
        <v>43344</v>
      </c>
      <c r="S1864">
        <f t="shared" si="216"/>
        <v>1</v>
      </c>
    </row>
    <row r="1865" spans="1:19" x14ac:dyDescent="0.3">
      <c r="A1865" s="17">
        <v>43346</v>
      </c>
      <c r="B1865">
        <v>448</v>
      </c>
      <c r="C1865">
        <v>76.25</v>
      </c>
      <c r="D1865">
        <f t="shared" si="213"/>
        <v>371.75</v>
      </c>
      <c r="E1865">
        <v>0.53</v>
      </c>
      <c r="F1865">
        <f t="shared" si="214"/>
        <v>-371.22</v>
      </c>
      <c r="I1865">
        <f t="shared" si="210"/>
        <v>3</v>
      </c>
      <c r="J1865">
        <v>1</v>
      </c>
      <c r="K1865">
        <f t="shared" si="211"/>
        <v>9</v>
      </c>
      <c r="L1865">
        <f t="shared" si="212"/>
        <v>2018</v>
      </c>
      <c r="N1865" s="17">
        <f t="shared" si="215"/>
        <v>43344</v>
      </c>
      <c r="S1865">
        <f t="shared" si="216"/>
        <v>1</v>
      </c>
    </row>
    <row r="1866" spans="1:19" x14ac:dyDescent="0.3">
      <c r="A1866" s="17">
        <v>43343</v>
      </c>
      <c r="B1866">
        <v>448.93</v>
      </c>
      <c r="C1866">
        <v>75.8</v>
      </c>
      <c r="D1866">
        <f t="shared" si="213"/>
        <v>373.13</v>
      </c>
      <c r="E1866">
        <v>0.47</v>
      </c>
      <c r="F1866">
        <f t="shared" si="214"/>
        <v>-372.65999999999997</v>
      </c>
      <c r="I1866">
        <f t="shared" si="210"/>
        <v>31</v>
      </c>
      <c r="J1866">
        <v>1</v>
      </c>
      <c r="K1866">
        <f t="shared" si="211"/>
        <v>8</v>
      </c>
      <c r="L1866">
        <f t="shared" si="212"/>
        <v>2018</v>
      </c>
      <c r="N1866" s="17">
        <f t="shared" si="215"/>
        <v>43313</v>
      </c>
      <c r="S1866">
        <f t="shared" si="216"/>
        <v>0</v>
      </c>
    </row>
    <row r="1867" spans="1:19" x14ac:dyDescent="0.3">
      <c r="A1867" s="17">
        <v>43342</v>
      </c>
      <c r="B1867">
        <v>451.82</v>
      </c>
      <c r="C1867">
        <v>75.790000000000006</v>
      </c>
      <c r="D1867">
        <f t="shared" si="213"/>
        <v>376.03</v>
      </c>
      <c r="E1867">
        <v>0.35</v>
      </c>
      <c r="F1867">
        <f t="shared" si="214"/>
        <v>-375.67999999999995</v>
      </c>
      <c r="I1867">
        <f t="shared" si="210"/>
        <v>30</v>
      </c>
      <c r="J1867">
        <v>1</v>
      </c>
      <c r="K1867">
        <f t="shared" si="211"/>
        <v>8</v>
      </c>
      <c r="L1867">
        <f t="shared" si="212"/>
        <v>2018</v>
      </c>
      <c r="N1867" s="17">
        <f t="shared" si="215"/>
        <v>43313</v>
      </c>
      <c r="S1867">
        <f t="shared" si="216"/>
        <v>0</v>
      </c>
    </row>
    <row r="1868" spans="1:19" x14ac:dyDescent="0.3">
      <c r="A1868" s="17">
        <v>43341</v>
      </c>
      <c r="B1868">
        <v>443.53</v>
      </c>
      <c r="C1868">
        <v>74.290000000000006</v>
      </c>
      <c r="D1868">
        <f t="shared" si="213"/>
        <v>369.23999999999995</v>
      </c>
      <c r="E1868">
        <v>0.35</v>
      </c>
      <c r="F1868">
        <f t="shared" si="214"/>
        <v>-368.88999999999993</v>
      </c>
      <c r="I1868">
        <f t="shared" si="210"/>
        <v>29</v>
      </c>
      <c r="J1868">
        <v>1</v>
      </c>
      <c r="K1868">
        <f t="shared" si="211"/>
        <v>8</v>
      </c>
      <c r="L1868">
        <f t="shared" si="212"/>
        <v>2018</v>
      </c>
      <c r="N1868" s="17">
        <f t="shared" si="215"/>
        <v>43313</v>
      </c>
      <c r="S1868">
        <f t="shared" si="216"/>
        <v>0</v>
      </c>
    </row>
    <row r="1869" spans="1:19" x14ac:dyDescent="0.3">
      <c r="A1869" s="17">
        <v>43340</v>
      </c>
      <c r="B1869">
        <v>444.69</v>
      </c>
      <c r="C1869">
        <v>75.05</v>
      </c>
      <c r="D1869">
        <f t="shared" si="213"/>
        <v>369.64</v>
      </c>
      <c r="E1869">
        <v>0.45</v>
      </c>
      <c r="F1869">
        <f t="shared" si="214"/>
        <v>-369.19</v>
      </c>
      <c r="I1869">
        <f t="shared" si="210"/>
        <v>28</v>
      </c>
      <c r="J1869">
        <v>1</v>
      </c>
      <c r="K1869">
        <f t="shared" si="211"/>
        <v>8</v>
      </c>
      <c r="L1869">
        <f t="shared" si="212"/>
        <v>2018</v>
      </c>
      <c r="N1869" s="17">
        <f t="shared" si="215"/>
        <v>43313</v>
      </c>
      <c r="S1869">
        <f t="shared" si="216"/>
        <v>0</v>
      </c>
    </row>
    <row r="1870" spans="1:19" x14ac:dyDescent="0.3">
      <c r="A1870" s="17">
        <v>43339</v>
      </c>
      <c r="B1870">
        <v>441.18</v>
      </c>
      <c r="C1870">
        <v>74.34</v>
      </c>
      <c r="D1870">
        <f t="shared" si="213"/>
        <v>366.84000000000003</v>
      </c>
      <c r="E1870">
        <v>0.44</v>
      </c>
      <c r="F1870">
        <f t="shared" si="214"/>
        <v>-366.40000000000003</v>
      </c>
      <c r="I1870">
        <f t="shared" si="210"/>
        <v>27</v>
      </c>
      <c r="J1870">
        <v>1</v>
      </c>
      <c r="K1870">
        <f t="shared" si="211"/>
        <v>8</v>
      </c>
      <c r="L1870">
        <f t="shared" si="212"/>
        <v>2018</v>
      </c>
      <c r="N1870" s="17">
        <f t="shared" si="215"/>
        <v>43313</v>
      </c>
      <c r="S1870">
        <f t="shared" si="216"/>
        <v>0</v>
      </c>
    </row>
    <row r="1871" spans="1:19" x14ac:dyDescent="0.3">
      <c r="A1871" s="17">
        <v>43336</v>
      </c>
      <c r="B1871">
        <v>444.94</v>
      </c>
      <c r="C1871">
        <v>74.11</v>
      </c>
      <c r="D1871">
        <f t="shared" si="213"/>
        <v>370.83</v>
      </c>
      <c r="E1871">
        <v>0.4</v>
      </c>
      <c r="F1871">
        <f t="shared" si="214"/>
        <v>-370.43</v>
      </c>
      <c r="I1871">
        <f t="shared" si="210"/>
        <v>24</v>
      </c>
      <c r="J1871">
        <v>1</v>
      </c>
      <c r="K1871">
        <f t="shared" si="211"/>
        <v>8</v>
      </c>
      <c r="L1871">
        <f t="shared" si="212"/>
        <v>2018</v>
      </c>
      <c r="N1871" s="17">
        <f t="shared" si="215"/>
        <v>43313</v>
      </c>
      <c r="S1871">
        <f t="shared" si="216"/>
        <v>0</v>
      </c>
    </row>
    <row r="1872" spans="1:19" x14ac:dyDescent="0.3">
      <c r="A1872" s="17">
        <v>43335</v>
      </c>
      <c r="B1872">
        <v>440.81</v>
      </c>
      <c r="C1872">
        <v>73.14</v>
      </c>
      <c r="D1872">
        <f t="shared" si="213"/>
        <v>367.67</v>
      </c>
      <c r="E1872">
        <v>0.33</v>
      </c>
      <c r="F1872">
        <f t="shared" si="214"/>
        <v>-367.34000000000003</v>
      </c>
      <c r="I1872">
        <f t="shared" si="210"/>
        <v>23</v>
      </c>
      <c r="J1872">
        <v>1</v>
      </c>
      <c r="K1872">
        <f t="shared" si="211"/>
        <v>8</v>
      </c>
      <c r="L1872">
        <f t="shared" si="212"/>
        <v>2018</v>
      </c>
      <c r="N1872" s="17">
        <f t="shared" si="215"/>
        <v>43313</v>
      </c>
      <c r="S1872">
        <f t="shared" si="216"/>
        <v>0</v>
      </c>
    </row>
    <row r="1873" spans="1:19" x14ac:dyDescent="0.3">
      <c r="A1873" s="17">
        <v>43333</v>
      </c>
      <c r="B1873">
        <v>431.01</v>
      </c>
      <c r="C1873">
        <v>71.099999999999994</v>
      </c>
      <c r="D1873">
        <f t="shared" si="213"/>
        <v>359.90999999999997</v>
      </c>
      <c r="E1873">
        <v>0.27</v>
      </c>
      <c r="F1873">
        <f t="shared" si="214"/>
        <v>-359.64</v>
      </c>
      <c r="I1873">
        <f t="shared" si="210"/>
        <v>21</v>
      </c>
      <c r="J1873">
        <v>1</v>
      </c>
      <c r="K1873">
        <f t="shared" si="211"/>
        <v>8</v>
      </c>
      <c r="L1873">
        <f t="shared" si="212"/>
        <v>2018</v>
      </c>
      <c r="N1873" s="17">
        <f t="shared" si="215"/>
        <v>43313</v>
      </c>
      <c r="S1873">
        <f t="shared" si="216"/>
        <v>0</v>
      </c>
    </row>
    <row r="1874" spans="1:19" x14ac:dyDescent="0.3">
      <c r="A1874" s="17">
        <v>43332</v>
      </c>
      <c r="B1874">
        <v>430.73</v>
      </c>
      <c r="C1874">
        <v>70.81</v>
      </c>
      <c r="D1874">
        <f t="shared" si="213"/>
        <v>359.92</v>
      </c>
      <c r="E1874">
        <v>0.27</v>
      </c>
      <c r="F1874">
        <f t="shared" si="214"/>
        <v>-359.65000000000003</v>
      </c>
      <c r="I1874">
        <f t="shared" si="210"/>
        <v>20</v>
      </c>
      <c r="J1874">
        <v>1</v>
      </c>
      <c r="K1874">
        <f t="shared" si="211"/>
        <v>8</v>
      </c>
      <c r="L1874">
        <f t="shared" si="212"/>
        <v>2018</v>
      </c>
      <c r="N1874" s="17">
        <f t="shared" si="215"/>
        <v>43313</v>
      </c>
      <c r="S1874">
        <f t="shared" si="216"/>
        <v>0</v>
      </c>
    </row>
    <row r="1875" spans="1:19" x14ac:dyDescent="0.3">
      <c r="A1875" s="17">
        <v>43329</v>
      </c>
      <c r="B1875">
        <v>431.15</v>
      </c>
      <c r="C1875">
        <v>70.39</v>
      </c>
      <c r="D1875">
        <f t="shared" si="213"/>
        <v>360.76</v>
      </c>
      <c r="E1875">
        <v>0.27</v>
      </c>
      <c r="F1875">
        <f t="shared" si="214"/>
        <v>-360.49</v>
      </c>
      <c r="I1875">
        <f t="shared" si="210"/>
        <v>17</v>
      </c>
      <c r="J1875">
        <v>1</v>
      </c>
      <c r="K1875">
        <f t="shared" si="211"/>
        <v>8</v>
      </c>
      <c r="L1875">
        <f t="shared" si="212"/>
        <v>2018</v>
      </c>
      <c r="N1875" s="17">
        <f t="shared" si="215"/>
        <v>43313</v>
      </c>
      <c r="S1875">
        <f t="shared" si="216"/>
        <v>0</v>
      </c>
    </row>
    <row r="1876" spans="1:19" x14ac:dyDescent="0.3">
      <c r="A1876" s="17">
        <v>43328</v>
      </c>
      <c r="B1876">
        <v>428.05</v>
      </c>
      <c r="C1876">
        <v>69.66</v>
      </c>
      <c r="D1876">
        <f t="shared" si="213"/>
        <v>358.39</v>
      </c>
      <c r="E1876">
        <v>0.23</v>
      </c>
      <c r="F1876">
        <f t="shared" si="214"/>
        <v>-358.15999999999997</v>
      </c>
      <c r="I1876">
        <f t="shared" si="210"/>
        <v>16</v>
      </c>
      <c r="J1876">
        <v>1</v>
      </c>
      <c r="K1876">
        <f t="shared" si="211"/>
        <v>8</v>
      </c>
      <c r="L1876">
        <f t="shared" si="212"/>
        <v>2018</v>
      </c>
      <c r="N1876" s="17">
        <f t="shared" si="215"/>
        <v>43313</v>
      </c>
      <c r="S1876">
        <f t="shared" si="216"/>
        <v>0</v>
      </c>
    </row>
    <row r="1877" spans="1:19" x14ac:dyDescent="0.3">
      <c r="A1877" s="17">
        <v>43327</v>
      </c>
      <c r="B1877">
        <v>432.26</v>
      </c>
      <c r="C1877">
        <v>70.650000000000006</v>
      </c>
      <c r="D1877">
        <f t="shared" si="213"/>
        <v>361.61</v>
      </c>
      <c r="E1877">
        <v>0.19</v>
      </c>
      <c r="F1877">
        <f t="shared" si="214"/>
        <v>-361.42</v>
      </c>
      <c r="I1877">
        <f t="shared" si="210"/>
        <v>15</v>
      </c>
      <c r="J1877">
        <v>1</v>
      </c>
      <c r="K1877">
        <f t="shared" si="211"/>
        <v>8</v>
      </c>
      <c r="L1877">
        <f t="shared" si="212"/>
        <v>2018</v>
      </c>
      <c r="N1877" s="17">
        <f t="shared" si="215"/>
        <v>43313</v>
      </c>
      <c r="S1877">
        <f t="shared" si="216"/>
        <v>0</v>
      </c>
    </row>
    <row r="1878" spans="1:19" x14ac:dyDescent="0.3">
      <c r="A1878" s="17">
        <v>43326</v>
      </c>
      <c r="B1878">
        <v>440.93</v>
      </c>
      <c r="C1878">
        <v>71.8</v>
      </c>
      <c r="D1878">
        <f t="shared" si="213"/>
        <v>369.13</v>
      </c>
      <c r="E1878">
        <v>0.2</v>
      </c>
      <c r="F1878">
        <f t="shared" si="214"/>
        <v>-368.93</v>
      </c>
      <c r="I1878">
        <f t="shared" si="210"/>
        <v>14</v>
      </c>
      <c r="J1878">
        <v>1</v>
      </c>
      <c r="K1878">
        <f t="shared" si="211"/>
        <v>8</v>
      </c>
      <c r="L1878">
        <f t="shared" si="212"/>
        <v>2018</v>
      </c>
      <c r="N1878" s="17">
        <f t="shared" si="215"/>
        <v>43313</v>
      </c>
      <c r="S1878">
        <f t="shared" si="216"/>
        <v>0</v>
      </c>
    </row>
    <row r="1879" spans="1:19" x14ac:dyDescent="0.3">
      <c r="A1879" s="17">
        <v>43325</v>
      </c>
      <c r="B1879">
        <v>440.2</v>
      </c>
      <c r="C1879">
        <v>71.25</v>
      </c>
      <c r="D1879">
        <f t="shared" si="213"/>
        <v>368.95</v>
      </c>
      <c r="E1879">
        <v>0.21</v>
      </c>
      <c r="F1879">
        <f t="shared" si="214"/>
        <v>-368.74</v>
      </c>
      <c r="I1879">
        <f t="shared" si="210"/>
        <v>13</v>
      </c>
      <c r="J1879">
        <v>1</v>
      </c>
      <c r="K1879">
        <f t="shared" si="211"/>
        <v>8</v>
      </c>
      <c r="L1879">
        <f t="shared" si="212"/>
        <v>2018</v>
      </c>
      <c r="N1879" s="17">
        <f t="shared" si="215"/>
        <v>43313</v>
      </c>
      <c r="S1879">
        <f t="shared" si="216"/>
        <v>0</v>
      </c>
    </row>
    <row r="1880" spans="1:19" x14ac:dyDescent="0.3">
      <c r="A1880" s="17">
        <v>43322</v>
      </c>
      <c r="B1880">
        <v>439.64</v>
      </c>
      <c r="C1880">
        <v>70.489999999999995</v>
      </c>
      <c r="D1880">
        <f t="shared" si="213"/>
        <v>369.15</v>
      </c>
      <c r="E1880">
        <v>0.18</v>
      </c>
      <c r="F1880">
        <f t="shared" si="214"/>
        <v>-368.96999999999997</v>
      </c>
      <c r="I1880">
        <f t="shared" si="210"/>
        <v>10</v>
      </c>
      <c r="J1880">
        <v>1</v>
      </c>
      <c r="K1880">
        <f t="shared" si="211"/>
        <v>8</v>
      </c>
      <c r="L1880">
        <f t="shared" si="212"/>
        <v>2018</v>
      </c>
      <c r="N1880" s="17">
        <f t="shared" si="215"/>
        <v>43313</v>
      </c>
      <c r="S1880">
        <f t="shared" si="216"/>
        <v>0</v>
      </c>
    </row>
    <row r="1881" spans="1:19" x14ac:dyDescent="0.3">
      <c r="A1881" s="17">
        <v>43320</v>
      </c>
      <c r="B1881">
        <v>455.14</v>
      </c>
      <c r="C1881">
        <v>73.3</v>
      </c>
      <c r="D1881">
        <f t="shared" si="213"/>
        <v>381.84</v>
      </c>
      <c r="E1881">
        <v>0.19</v>
      </c>
      <c r="F1881">
        <f t="shared" si="214"/>
        <v>-381.65</v>
      </c>
      <c r="I1881">
        <f t="shared" si="210"/>
        <v>8</v>
      </c>
      <c r="J1881">
        <v>1</v>
      </c>
      <c r="K1881">
        <f t="shared" si="211"/>
        <v>8</v>
      </c>
      <c r="L1881">
        <f t="shared" si="212"/>
        <v>2018</v>
      </c>
      <c r="N1881" s="17">
        <f t="shared" si="215"/>
        <v>43313</v>
      </c>
      <c r="S1881">
        <f t="shared" si="216"/>
        <v>0</v>
      </c>
    </row>
    <row r="1882" spans="1:19" x14ac:dyDescent="0.3">
      <c r="A1882" s="17">
        <v>43319</v>
      </c>
      <c r="B1882">
        <v>446.46</v>
      </c>
      <c r="C1882">
        <v>72.650000000000006</v>
      </c>
      <c r="D1882">
        <f t="shared" si="213"/>
        <v>373.80999999999995</v>
      </c>
      <c r="E1882">
        <v>0.21</v>
      </c>
      <c r="F1882">
        <f t="shared" si="214"/>
        <v>-373.59999999999997</v>
      </c>
      <c r="I1882">
        <f t="shared" si="210"/>
        <v>7</v>
      </c>
      <c r="J1882">
        <v>1</v>
      </c>
      <c r="K1882">
        <f t="shared" si="211"/>
        <v>8</v>
      </c>
      <c r="L1882">
        <f t="shared" si="212"/>
        <v>2018</v>
      </c>
      <c r="N1882" s="17">
        <f t="shared" si="215"/>
        <v>43313</v>
      </c>
      <c r="S1882">
        <f t="shared" si="216"/>
        <v>0</v>
      </c>
    </row>
    <row r="1883" spans="1:19" x14ac:dyDescent="0.3">
      <c r="A1883" s="17">
        <v>43318</v>
      </c>
      <c r="B1883">
        <v>446.26</v>
      </c>
      <c r="C1883">
        <v>72.16</v>
      </c>
      <c r="D1883">
        <f t="shared" si="213"/>
        <v>374.1</v>
      </c>
      <c r="E1883">
        <v>0.17</v>
      </c>
      <c r="F1883">
        <f t="shared" si="214"/>
        <v>-373.93</v>
      </c>
      <c r="I1883">
        <f t="shared" si="210"/>
        <v>6</v>
      </c>
      <c r="J1883">
        <v>1</v>
      </c>
      <c r="K1883">
        <f t="shared" si="211"/>
        <v>8</v>
      </c>
      <c r="L1883">
        <f t="shared" si="212"/>
        <v>2018</v>
      </c>
      <c r="N1883" s="17">
        <f t="shared" si="215"/>
        <v>43313</v>
      </c>
      <c r="S1883">
        <f t="shared" si="216"/>
        <v>0</v>
      </c>
    </row>
    <row r="1884" spans="1:19" x14ac:dyDescent="0.3">
      <c r="A1884" s="17">
        <v>43315</v>
      </c>
      <c r="B1884">
        <v>446.44</v>
      </c>
      <c r="C1884">
        <v>71.900000000000006</v>
      </c>
      <c r="D1884">
        <f t="shared" si="213"/>
        <v>374.53999999999996</v>
      </c>
      <c r="E1884">
        <v>0.2</v>
      </c>
      <c r="F1884">
        <f t="shared" si="214"/>
        <v>-374.34</v>
      </c>
      <c r="I1884">
        <f t="shared" si="210"/>
        <v>3</v>
      </c>
      <c r="J1884">
        <v>1</v>
      </c>
      <c r="K1884">
        <f t="shared" si="211"/>
        <v>8</v>
      </c>
      <c r="L1884">
        <f t="shared" si="212"/>
        <v>2018</v>
      </c>
      <c r="N1884" s="17">
        <f t="shared" si="215"/>
        <v>43313</v>
      </c>
      <c r="S1884">
        <f t="shared" si="216"/>
        <v>1</v>
      </c>
    </row>
    <row r="1885" spans="1:19" x14ac:dyDescent="0.3">
      <c r="A1885" s="17">
        <v>43314</v>
      </c>
      <c r="B1885">
        <v>447.07</v>
      </c>
      <c r="C1885">
        <v>71.2</v>
      </c>
      <c r="D1885">
        <f t="shared" si="213"/>
        <v>375.87</v>
      </c>
      <c r="E1885">
        <v>0.21</v>
      </c>
      <c r="F1885">
        <f t="shared" si="214"/>
        <v>-375.66</v>
      </c>
      <c r="I1885">
        <f t="shared" si="210"/>
        <v>2</v>
      </c>
      <c r="J1885">
        <v>1</v>
      </c>
      <c r="K1885">
        <f t="shared" si="211"/>
        <v>8</v>
      </c>
      <c r="L1885">
        <f t="shared" si="212"/>
        <v>2018</v>
      </c>
      <c r="N1885" s="17">
        <f t="shared" si="215"/>
        <v>43313</v>
      </c>
      <c r="S1885">
        <f t="shared" si="216"/>
        <v>1</v>
      </c>
    </row>
    <row r="1886" spans="1:19" x14ac:dyDescent="0.3">
      <c r="A1886" s="17">
        <v>43313</v>
      </c>
      <c r="B1886">
        <v>458.29</v>
      </c>
      <c r="C1886">
        <v>72.349999999999994</v>
      </c>
      <c r="D1886">
        <f t="shared" si="213"/>
        <v>385.94000000000005</v>
      </c>
      <c r="E1886">
        <v>0.18</v>
      </c>
      <c r="F1886">
        <f t="shared" si="214"/>
        <v>-385.76000000000005</v>
      </c>
      <c r="I1886">
        <f t="shared" si="210"/>
        <v>1</v>
      </c>
      <c r="J1886">
        <v>1</v>
      </c>
      <c r="K1886">
        <f t="shared" si="211"/>
        <v>8</v>
      </c>
      <c r="L1886">
        <f t="shared" si="212"/>
        <v>2018</v>
      </c>
      <c r="N1886" s="17">
        <f t="shared" si="215"/>
        <v>43313</v>
      </c>
      <c r="S1886">
        <f t="shared" si="216"/>
        <v>1</v>
      </c>
    </row>
    <row r="1887" spans="1:19" x14ac:dyDescent="0.3">
      <c r="A1887" s="17">
        <v>43312</v>
      </c>
      <c r="B1887">
        <v>458.75</v>
      </c>
      <c r="C1887">
        <v>73.650000000000006</v>
      </c>
      <c r="D1887">
        <f t="shared" si="213"/>
        <v>385.1</v>
      </c>
      <c r="E1887">
        <v>0.03</v>
      </c>
      <c r="F1887">
        <f t="shared" si="214"/>
        <v>-385.07000000000005</v>
      </c>
      <c r="I1887">
        <f t="shared" si="210"/>
        <v>31</v>
      </c>
      <c r="J1887">
        <v>1</v>
      </c>
      <c r="K1887">
        <f t="shared" si="211"/>
        <v>7</v>
      </c>
      <c r="L1887">
        <f t="shared" si="212"/>
        <v>2018</v>
      </c>
      <c r="N1887" s="17">
        <f t="shared" si="215"/>
        <v>43282</v>
      </c>
      <c r="S1887">
        <f t="shared" si="216"/>
        <v>0</v>
      </c>
    </row>
    <row r="1888" spans="1:19" x14ac:dyDescent="0.3">
      <c r="A1888" s="17">
        <v>43311</v>
      </c>
      <c r="B1888">
        <v>460.59</v>
      </c>
      <c r="C1888">
        <v>73.400000000000006</v>
      </c>
      <c r="D1888">
        <f t="shared" si="213"/>
        <v>387.18999999999994</v>
      </c>
      <c r="E1888">
        <v>0.01</v>
      </c>
      <c r="F1888">
        <f t="shared" si="214"/>
        <v>-387.17999999999995</v>
      </c>
      <c r="I1888">
        <f t="shared" si="210"/>
        <v>30</v>
      </c>
      <c r="J1888">
        <v>1</v>
      </c>
      <c r="K1888">
        <f t="shared" si="211"/>
        <v>7</v>
      </c>
      <c r="L1888">
        <f t="shared" si="212"/>
        <v>2018</v>
      </c>
      <c r="N1888" s="17">
        <f t="shared" si="215"/>
        <v>43282</v>
      </c>
      <c r="S1888">
        <f t="shared" si="216"/>
        <v>0</v>
      </c>
    </row>
    <row r="1889" spans="1:19" x14ac:dyDescent="0.3">
      <c r="A1889" s="17">
        <v>43308</v>
      </c>
      <c r="B1889">
        <v>460.88</v>
      </c>
      <c r="C1889">
        <v>73.400000000000006</v>
      </c>
      <c r="D1889">
        <f t="shared" si="213"/>
        <v>387.48</v>
      </c>
      <c r="E1889">
        <v>0.02</v>
      </c>
      <c r="F1889">
        <f t="shared" si="214"/>
        <v>-387.46000000000004</v>
      </c>
      <c r="I1889">
        <f t="shared" si="210"/>
        <v>27</v>
      </c>
      <c r="J1889">
        <v>1</v>
      </c>
      <c r="K1889">
        <f t="shared" si="211"/>
        <v>7</v>
      </c>
      <c r="L1889">
        <f t="shared" si="212"/>
        <v>2018</v>
      </c>
      <c r="N1889" s="17">
        <f t="shared" si="215"/>
        <v>43282</v>
      </c>
      <c r="S1889">
        <f t="shared" si="216"/>
        <v>0</v>
      </c>
    </row>
    <row r="1890" spans="1:19" x14ac:dyDescent="0.3">
      <c r="A1890" s="17">
        <v>43307</v>
      </c>
      <c r="B1890">
        <v>455.42</v>
      </c>
      <c r="C1890">
        <v>73.459999999999994</v>
      </c>
      <c r="D1890">
        <f t="shared" si="213"/>
        <v>381.96000000000004</v>
      </c>
      <c r="E1890">
        <v>0.02</v>
      </c>
      <c r="F1890">
        <f t="shared" si="214"/>
        <v>-381.94000000000005</v>
      </c>
      <c r="I1890">
        <f t="shared" si="210"/>
        <v>26</v>
      </c>
      <c r="J1890">
        <v>1</v>
      </c>
      <c r="K1890">
        <f t="shared" si="211"/>
        <v>7</v>
      </c>
      <c r="L1890">
        <f t="shared" si="212"/>
        <v>2018</v>
      </c>
      <c r="N1890" s="17">
        <f t="shared" si="215"/>
        <v>43282</v>
      </c>
      <c r="S1890">
        <f t="shared" si="216"/>
        <v>0</v>
      </c>
    </row>
    <row r="1891" spans="1:19" x14ac:dyDescent="0.3">
      <c r="A1891" s="17">
        <v>43306</v>
      </c>
      <c r="B1891">
        <v>449.91</v>
      </c>
      <c r="C1891">
        <v>72.55</v>
      </c>
      <c r="D1891">
        <f t="shared" si="213"/>
        <v>377.36</v>
      </c>
      <c r="E1891">
        <v>-0.02</v>
      </c>
      <c r="F1891">
        <f t="shared" si="214"/>
        <v>-377.38</v>
      </c>
      <c r="I1891">
        <f t="shared" si="210"/>
        <v>25</v>
      </c>
      <c r="J1891">
        <v>1</v>
      </c>
      <c r="K1891">
        <f t="shared" si="211"/>
        <v>7</v>
      </c>
      <c r="L1891">
        <f t="shared" si="212"/>
        <v>2018</v>
      </c>
      <c r="N1891" s="17">
        <f t="shared" si="215"/>
        <v>43282</v>
      </c>
      <c r="S1891">
        <f t="shared" si="216"/>
        <v>0</v>
      </c>
    </row>
    <row r="1892" spans="1:19" x14ac:dyDescent="0.3">
      <c r="A1892" s="17">
        <v>43305</v>
      </c>
      <c r="B1892">
        <v>444.85</v>
      </c>
      <c r="C1892">
        <v>71.599999999999994</v>
      </c>
      <c r="D1892">
        <f t="shared" si="213"/>
        <v>373.25</v>
      </c>
      <c r="E1892">
        <v>-0.04</v>
      </c>
      <c r="F1892">
        <f t="shared" si="214"/>
        <v>-373.29</v>
      </c>
      <c r="I1892">
        <f t="shared" si="210"/>
        <v>24</v>
      </c>
      <c r="J1892">
        <v>1</v>
      </c>
      <c r="K1892">
        <f t="shared" si="211"/>
        <v>7</v>
      </c>
      <c r="L1892">
        <f t="shared" si="212"/>
        <v>2018</v>
      </c>
      <c r="N1892" s="17">
        <f t="shared" si="215"/>
        <v>43282</v>
      </c>
      <c r="S1892">
        <f t="shared" si="216"/>
        <v>0</v>
      </c>
    </row>
    <row r="1893" spans="1:19" x14ac:dyDescent="0.3">
      <c r="A1893" s="17">
        <v>43304</v>
      </c>
      <c r="B1893">
        <v>447.64</v>
      </c>
      <c r="C1893">
        <v>71.45</v>
      </c>
      <c r="D1893">
        <f t="shared" si="213"/>
        <v>376.19</v>
      </c>
      <c r="E1893">
        <v>-0.12</v>
      </c>
      <c r="F1893">
        <f t="shared" si="214"/>
        <v>-376.31</v>
      </c>
      <c r="I1893">
        <f t="shared" si="210"/>
        <v>23</v>
      </c>
      <c r="J1893">
        <v>1</v>
      </c>
      <c r="K1893">
        <f t="shared" si="211"/>
        <v>7</v>
      </c>
      <c r="L1893">
        <f t="shared" si="212"/>
        <v>2018</v>
      </c>
      <c r="N1893" s="17">
        <f t="shared" si="215"/>
        <v>43282</v>
      </c>
      <c r="S1893">
        <f t="shared" si="216"/>
        <v>0</v>
      </c>
    </row>
    <row r="1894" spans="1:19" x14ac:dyDescent="0.3">
      <c r="A1894" s="17">
        <v>43301</v>
      </c>
      <c r="B1894">
        <v>447.41</v>
      </c>
      <c r="C1894">
        <v>71.5</v>
      </c>
      <c r="D1894">
        <f t="shared" si="213"/>
        <v>375.91</v>
      </c>
      <c r="E1894">
        <v>-0.13</v>
      </c>
      <c r="F1894">
        <f t="shared" si="214"/>
        <v>-376.04</v>
      </c>
      <c r="I1894">
        <f t="shared" si="210"/>
        <v>20</v>
      </c>
      <c r="J1894">
        <v>1</v>
      </c>
      <c r="K1894">
        <f t="shared" si="211"/>
        <v>7</v>
      </c>
      <c r="L1894">
        <f t="shared" si="212"/>
        <v>2018</v>
      </c>
      <c r="N1894" s="17">
        <f t="shared" si="215"/>
        <v>43282</v>
      </c>
      <c r="S1894">
        <f t="shared" si="216"/>
        <v>0</v>
      </c>
    </row>
    <row r="1895" spans="1:19" x14ac:dyDescent="0.3">
      <c r="A1895" s="17">
        <v>43300</v>
      </c>
      <c r="B1895">
        <v>436.96</v>
      </c>
      <c r="C1895">
        <v>70.41</v>
      </c>
      <c r="D1895">
        <f t="shared" si="213"/>
        <v>366.54999999999995</v>
      </c>
      <c r="E1895">
        <v>-0.2</v>
      </c>
      <c r="F1895">
        <f t="shared" si="214"/>
        <v>-366.74999999999994</v>
      </c>
      <c r="I1895">
        <f t="shared" si="210"/>
        <v>19</v>
      </c>
      <c r="J1895">
        <v>1</v>
      </c>
      <c r="K1895">
        <f t="shared" si="211"/>
        <v>7</v>
      </c>
      <c r="L1895">
        <f t="shared" si="212"/>
        <v>2018</v>
      </c>
      <c r="N1895" s="17">
        <f t="shared" si="215"/>
        <v>43282</v>
      </c>
      <c r="S1895">
        <f t="shared" si="216"/>
        <v>0</v>
      </c>
    </row>
    <row r="1896" spans="1:19" x14ac:dyDescent="0.3">
      <c r="A1896" s="17">
        <v>43299</v>
      </c>
      <c r="B1896">
        <v>427.9</v>
      </c>
      <c r="C1896">
        <v>69.605000000000004</v>
      </c>
      <c r="D1896">
        <f t="shared" si="213"/>
        <v>358.29499999999996</v>
      </c>
      <c r="E1896">
        <v>-0.22</v>
      </c>
      <c r="F1896">
        <f t="shared" si="214"/>
        <v>-358.51499999999999</v>
      </c>
      <c r="I1896">
        <f t="shared" si="210"/>
        <v>18</v>
      </c>
      <c r="J1896">
        <v>1</v>
      </c>
      <c r="K1896">
        <f t="shared" si="211"/>
        <v>7</v>
      </c>
      <c r="L1896">
        <f t="shared" si="212"/>
        <v>2018</v>
      </c>
      <c r="N1896" s="17">
        <f t="shared" si="215"/>
        <v>43282</v>
      </c>
      <c r="S1896">
        <f t="shared" si="216"/>
        <v>0</v>
      </c>
    </row>
    <row r="1897" spans="1:19" x14ac:dyDescent="0.3">
      <c r="A1897" s="17">
        <v>43298</v>
      </c>
      <c r="B1897">
        <v>432.78</v>
      </c>
      <c r="C1897">
        <v>70.430000000000007</v>
      </c>
      <c r="D1897">
        <f t="shared" si="213"/>
        <v>362.34999999999997</v>
      </c>
      <c r="E1897">
        <v>-0.18</v>
      </c>
      <c r="F1897">
        <f t="shared" si="214"/>
        <v>-362.53</v>
      </c>
      <c r="I1897">
        <f t="shared" si="210"/>
        <v>17</v>
      </c>
      <c r="J1897">
        <v>1</v>
      </c>
      <c r="K1897">
        <f t="shared" si="211"/>
        <v>7</v>
      </c>
      <c r="L1897">
        <f t="shared" si="212"/>
        <v>2018</v>
      </c>
      <c r="N1897" s="17">
        <f t="shared" si="215"/>
        <v>43282</v>
      </c>
      <c r="S1897">
        <f t="shared" si="216"/>
        <v>0</v>
      </c>
    </row>
    <row r="1898" spans="1:19" x14ac:dyDescent="0.3">
      <c r="A1898" s="17">
        <v>43297</v>
      </c>
      <c r="B1898">
        <v>451.43</v>
      </c>
      <c r="C1898">
        <v>73</v>
      </c>
      <c r="D1898">
        <f t="shared" si="213"/>
        <v>378.43</v>
      </c>
      <c r="E1898">
        <v>-0.22</v>
      </c>
      <c r="F1898">
        <f t="shared" si="214"/>
        <v>-378.65000000000003</v>
      </c>
      <c r="I1898">
        <f t="shared" si="210"/>
        <v>16</v>
      </c>
      <c r="J1898">
        <v>1</v>
      </c>
      <c r="K1898">
        <f t="shared" si="211"/>
        <v>7</v>
      </c>
      <c r="L1898">
        <f t="shared" si="212"/>
        <v>2018</v>
      </c>
      <c r="N1898" s="17">
        <f t="shared" si="215"/>
        <v>43282</v>
      </c>
      <c r="S1898">
        <f t="shared" si="216"/>
        <v>0</v>
      </c>
    </row>
    <row r="1899" spans="1:19" x14ac:dyDescent="0.3">
      <c r="A1899" s="17">
        <v>43294</v>
      </c>
      <c r="B1899">
        <v>442.42</v>
      </c>
      <c r="C1899">
        <v>71.55</v>
      </c>
      <c r="D1899">
        <f t="shared" si="213"/>
        <v>370.87</v>
      </c>
      <c r="E1899">
        <v>-0.21</v>
      </c>
      <c r="F1899">
        <f t="shared" si="214"/>
        <v>-371.08</v>
      </c>
      <c r="I1899">
        <f t="shared" si="210"/>
        <v>13</v>
      </c>
      <c r="J1899">
        <v>1</v>
      </c>
      <c r="K1899">
        <f t="shared" si="211"/>
        <v>7</v>
      </c>
      <c r="L1899">
        <f t="shared" si="212"/>
        <v>2018</v>
      </c>
      <c r="N1899" s="17">
        <f t="shared" si="215"/>
        <v>43282</v>
      </c>
      <c r="S1899">
        <f t="shared" si="216"/>
        <v>0</v>
      </c>
    </row>
    <row r="1900" spans="1:19" x14ac:dyDescent="0.3">
      <c r="A1900" s="17">
        <v>43293</v>
      </c>
      <c r="B1900">
        <v>446.43</v>
      </c>
      <c r="C1900">
        <v>72.555000000000007</v>
      </c>
      <c r="D1900">
        <f t="shared" si="213"/>
        <v>373.875</v>
      </c>
      <c r="E1900">
        <v>-0.26</v>
      </c>
      <c r="F1900">
        <f t="shared" si="214"/>
        <v>-374.13499999999999</v>
      </c>
      <c r="I1900">
        <f t="shared" si="210"/>
        <v>12</v>
      </c>
      <c r="J1900">
        <v>1</v>
      </c>
      <c r="K1900">
        <f t="shared" si="211"/>
        <v>7</v>
      </c>
      <c r="L1900">
        <f t="shared" si="212"/>
        <v>2018</v>
      </c>
      <c r="N1900" s="17">
        <f t="shared" si="215"/>
        <v>43282</v>
      </c>
      <c r="S1900">
        <f t="shared" si="216"/>
        <v>0</v>
      </c>
    </row>
    <row r="1901" spans="1:19" x14ac:dyDescent="0.3">
      <c r="A1901" s="17">
        <v>43292</v>
      </c>
      <c r="B1901">
        <v>456.79</v>
      </c>
      <c r="C1901">
        <v>74.709999999999994</v>
      </c>
      <c r="D1901">
        <f t="shared" si="213"/>
        <v>382.08000000000004</v>
      </c>
      <c r="E1901">
        <v>-0.25</v>
      </c>
      <c r="F1901">
        <f t="shared" si="214"/>
        <v>-382.33000000000004</v>
      </c>
      <c r="I1901">
        <f t="shared" si="210"/>
        <v>11</v>
      </c>
      <c r="J1901">
        <v>1</v>
      </c>
      <c r="K1901">
        <f t="shared" si="211"/>
        <v>7</v>
      </c>
      <c r="L1901">
        <f t="shared" si="212"/>
        <v>2018</v>
      </c>
      <c r="N1901" s="17">
        <f t="shared" si="215"/>
        <v>43282</v>
      </c>
      <c r="S1901">
        <f t="shared" si="216"/>
        <v>0</v>
      </c>
    </row>
    <row r="1902" spans="1:19" x14ac:dyDescent="0.3">
      <c r="A1902" s="17">
        <v>43291</v>
      </c>
      <c r="B1902">
        <v>463.01</v>
      </c>
      <c r="C1902">
        <v>76.05</v>
      </c>
      <c r="D1902">
        <f t="shared" si="213"/>
        <v>386.96</v>
      </c>
      <c r="E1902">
        <v>-0.15</v>
      </c>
      <c r="F1902">
        <f t="shared" si="214"/>
        <v>-387.10999999999996</v>
      </c>
      <c r="I1902">
        <f t="shared" si="210"/>
        <v>10</v>
      </c>
      <c r="J1902">
        <v>1</v>
      </c>
      <c r="K1902">
        <f t="shared" si="211"/>
        <v>7</v>
      </c>
      <c r="L1902">
        <f t="shared" si="212"/>
        <v>2018</v>
      </c>
      <c r="N1902" s="17">
        <f t="shared" si="215"/>
        <v>43282</v>
      </c>
      <c r="S1902">
        <f t="shared" si="216"/>
        <v>0</v>
      </c>
    </row>
    <row r="1903" spans="1:19" x14ac:dyDescent="0.3">
      <c r="A1903" s="17">
        <v>43290</v>
      </c>
      <c r="B1903">
        <v>460.11</v>
      </c>
      <c r="C1903">
        <v>74.75</v>
      </c>
      <c r="D1903">
        <f t="shared" si="213"/>
        <v>385.36</v>
      </c>
      <c r="E1903">
        <v>-0.15</v>
      </c>
      <c r="F1903">
        <f t="shared" si="214"/>
        <v>-385.51</v>
      </c>
      <c r="I1903">
        <f t="shared" si="210"/>
        <v>9</v>
      </c>
      <c r="J1903">
        <v>1</v>
      </c>
      <c r="K1903">
        <f t="shared" si="211"/>
        <v>7</v>
      </c>
      <c r="L1903">
        <f t="shared" si="212"/>
        <v>2018</v>
      </c>
      <c r="N1903" s="17">
        <f t="shared" si="215"/>
        <v>43282</v>
      </c>
      <c r="S1903">
        <f t="shared" si="216"/>
        <v>0</v>
      </c>
    </row>
    <row r="1904" spans="1:19" x14ac:dyDescent="0.3">
      <c r="A1904" s="17">
        <v>43287</v>
      </c>
      <c r="B1904">
        <v>457.01</v>
      </c>
      <c r="C1904">
        <v>74.19</v>
      </c>
      <c r="D1904">
        <f t="shared" si="213"/>
        <v>382.82</v>
      </c>
      <c r="E1904">
        <v>-0.15</v>
      </c>
      <c r="F1904">
        <f t="shared" si="214"/>
        <v>-382.96999999999997</v>
      </c>
      <c r="I1904">
        <f t="shared" si="210"/>
        <v>6</v>
      </c>
      <c r="J1904">
        <v>1</v>
      </c>
      <c r="K1904">
        <f t="shared" si="211"/>
        <v>7</v>
      </c>
      <c r="L1904">
        <f t="shared" si="212"/>
        <v>2018</v>
      </c>
      <c r="N1904" s="17">
        <f t="shared" si="215"/>
        <v>43282</v>
      </c>
      <c r="S1904">
        <f t="shared" si="216"/>
        <v>0</v>
      </c>
    </row>
    <row r="1905" spans="1:19" x14ac:dyDescent="0.3">
      <c r="A1905" s="17">
        <v>43286</v>
      </c>
      <c r="B1905">
        <v>453.04</v>
      </c>
      <c r="C1905">
        <v>74.849999999999994</v>
      </c>
      <c r="D1905">
        <f t="shared" si="213"/>
        <v>378.19000000000005</v>
      </c>
      <c r="E1905">
        <v>-0.19</v>
      </c>
      <c r="F1905">
        <f t="shared" si="214"/>
        <v>-378.38000000000005</v>
      </c>
      <c r="I1905">
        <f t="shared" si="210"/>
        <v>5</v>
      </c>
      <c r="J1905">
        <v>1</v>
      </c>
      <c r="K1905">
        <f t="shared" si="211"/>
        <v>7</v>
      </c>
      <c r="L1905">
        <f t="shared" si="212"/>
        <v>2018</v>
      </c>
      <c r="N1905" s="17">
        <f t="shared" si="215"/>
        <v>43282</v>
      </c>
      <c r="S1905">
        <f t="shared" si="216"/>
        <v>0</v>
      </c>
    </row>
    <row r="1906" spans="1:19" x14ac:dyDescent="0.3">
      <c r="A1906" s="17">
        <v>43285</v>
      </c>
      <c r="B1906">
        <v>452.84</v>
      </c>
      <c r="C1906">
        <v>75.05</v>
      </c>
      <c r="D1906">
        <f t="shared" si="213"/>
        <v>377.78999999999996</v>
      </c>
      <c r="E1906">
        <v>-0.24</v>
      </c>
      <c r="F1906">
        <f t="shared" si="214"/>
        <v>-378.03</v>
      </c>
      <c r="I1906">
        <f t="shared" si="210"/>
        <v>4</v>
      </c>
      <c r="J1906">
        <v>1</v>
      </c>
      <c r="K1906">
        <f t="shared" si="211"/>
        <v>7</v>
      </c>
      <c r="L1906">
        <f t="shared" si="212"/>
        <v>2018</v>
      </c>
      <c r="N1906" s="17">
        <f t="shared" si="215"/>
        <v>43282</v>
      </c>
      <c r="S1906">
        <f t="shared" si="216"/>
        <v>1</v>
      </c>
    </row>
    <row r="1907" spans="1:19" x14ac:dyDescent="0.3">
      <c r="A1907" s="17">
        <v>43284</v>
      </c>
      <c r="B1907">
        <v>457.34</v>
      </c>
      <c r="C1907">
        <v>74.89</v>
      </c>
      <c r="D1907">
        <f t="shared" si="213"/>
        <v>382.45</v>
      </c>
      <c r="E1907">
        <v>-0.27</v>
      </c>
      <c r="F1907">
        <f t="shared" si="214"/>
        <v>-382.71999999999997</v>
      </c>
      <c r="I1907">
        <f t="shared" si="210"/>
        <v>3</v>
      </c>
      <c r="J1907">
        <v>1</v>
      </c>
      <c r="K1907">
        <f t="shared" si="211"/>
        <v>7</v>
      </c>
      <c r="L1907">
        <f t="shared" si="212"/>
        <v>2018</v>
      </c>
      <c r="N1907" s="17">
        <f t="shared" si="215"/>
        <v>43282</v>
      </c>
      <c r="S1907">
        <f t="shared" si="216"/>
        <v>1</v>
      </c>
    </row>
    <row r="1908" spans="1:19" x14ac:dyDescent="0.3">
      <c r="A1908" s="17">
        <v>43283</v>
      </c>
      <c r="B1908">
        <v>462.35</v>
      </c>
      <c r="C1908">
        <v>75.599999999999994</v>
      </c>
      <c r="D1908">
        <f t="shared" si="213"/>
        <v>386.75</v>
      </c>
      <c r="E1908">
        <v>-0.27</v>
      </c>
      <c r="F1908">
        <f t="shared" si="214"/>
        <v>-387.02</v>
      </c>
      <c r="I1908">
        <f t="shared" si="210"/>
        <v>2</v>
      </c>
      <c r="J1908">
        <v>1</v>
      </c>
      <c r="K1908">
        <f t="shared" si="211"/>
        <v>7</v>
      </c>
      <c r="L1908">
        <f t="shared" si="212"/>
        <v>2018</v>
      </c>
      <c r="N1908" s="17">
        <f t="shared" si="215"/>
        <v>43282</v>
      </c>
      <c r="S1908">
        <f t="shared" si="216"/>
        <v>1</v>
      </c>
    </row>
    <row r="1909" spans="1:19" x14ac:dyDescent="0.3">
      <c r="A1909" s="17">
        <v>43280</v>
      </c>
      <c r="B1909">
        <v>461.17</v>
      </c>
      <c r="C1909">
        <v>75.849999999999994</v>
      </c>
      <c r="D1909">
        <f t="shared" si="213"/>
        <v>385.32000000000005</v>
      </c>
      <c r="E1909">
        <v>-0.19</v>
      </c>
      <c r="F1909">
        <f t="shared" si="214"/>
        <v>-385.51000000000005</v>
      </c>
      <c r="I1909">
        <f t="shared" si="210"/>
        <v>29</v>
      </c>
      <c r="J1909">
        <v>1</v>
      </c>
      <c r="K1909">
        <f t="shared" si="211"/>
        <v>6</v>
      </c>
      <c r="L1909">
        <f t="shared" si="212"/>
        <v>2018</v>
      </c>
      <c r="N1909" s="17">
        <f t="shared" si="215"/>
        <v>43252</v>
      </c>
      <c r="S1909">
        <f t="shared" si="216"/>
        <v>0</v>
      </c>
    </row>
    <row r="1910" spans="1:19" x14ac:dyDescent="0.3">
      <c r="A1910" s="17">
        <v>43279</v>
      </c>
      <c r="B1910">
        <v>458.98</v>
      </c>
      <c r="C1910">
        <v>75.150000000000006</v>
      </c>
      <c r="D1910">
        <f t="shared" si="213"/>
        <v>383.83000000000004</v>
      </c>
      <c r="E1910">
        <v>-0.14000000000000001</v>
      </c>
      <c r="F1910">
        <f t="shared" si="214"/>
        <v>-383.97</v>
      </c>
      <c r="I1910">
        <f t="shared" si="210"/>
        <v>28</v>
      </c>
      <c r="J1910">
        <v>1</v>
      </c>
      <c r="K1910">
        <f t="shared" si="211"/>
        <v>6</v>
      </c>
      <c r="L1910">
        <f t="shared" si="212"/>
        <v>2018</v>
      </c>
      <c r="N1910" s="17">
        <f t="shared" si="215"/>
        <v>43252</v>
      </c>
      <c r="S1910">
        <f t="shared" si="216"/>
        <v>0</v>
      </c>
    </row>
    <row r="1911" spans="1:19" x14ac:dyDescent="0.3">
      <c r="A1911" s="17">
        <v>43278</v>
      </c>
      <c r="B1911">
        <v>450.32</v>
      </c>
      <c r="C1911">
        <v>74.36</v>
      </c>
      <c r="D1911">
        <f t="shared" si="213"/>
        <v>375.96</v>
      </c>
      <c r="E1911">
        <v>-0.12</v>
      </c>
      <c r="F1911">
        <f t="shared" si="214"/>
        <v>-376.08</v>
      </c>
      <c r="I1911">
        <f t="shared" si="210"/>
        <v>27</v>
      </c>
      <c r="J1911">
        <v>1</v>
      </c>
      <c r="K1911">
        <f t="shared" si="211"/>
        <v>6</v>
      </c>
      <c r="L1911">
        <f t="shared" si="212"/>
        <v>2018</v>
      </c>
      <c r="N1911" s="17">
        <f t="shared" si="215"/>
        <v>43252</v>
      </c>
      <c r="S1911">
        <f t="shared" si="216"/>
        <v>0</v>
      </c>
    </row>
    <row r="1912" spans="1:19" x14ac:dyDescent="0.3">
      <c r="A1912" s="17">
        <v>43277</v>
      </c>
      <c r="B1912">
        <v>440.41</v>
      </c>
      <c r="C1912">
        <v>73</v>
      </c>
      <c r="D1912">
        <f t="shared" si="213"/>
        <v>367.41</v>
      </c>
      <c r="E1912">
        <v>-0.12</v>
      </c>
      <c r="F1912">
        <f t="shared" si="214"/>
        <v>-367.53000000000003</v>
      </c>
      <c r="I1912">
        <f t="shared" si="210"/>
        <v>26</v>
      </c>
      <c r="J1912">
        <v>1</v>
      </c>
      <c r="K1912">
        <f t="shared" si="211"/>
        <v>6</v>
      </c>
      <c r="L1912">
        <f t="shared" si="212"/>
        <v>2018</v>
      </c>
      <c r="N1912" s="17">
        <f t="shared" si="215"/>
        <v>43252</v>
      </c>
      <c r="S1912">
        <f t="shared" si="216"/>
        <v>0</v>
      </c>
    </row>
    <row r="1913" spans="1:19" x14ac:dyDescent="0.3">
      <c r="A1913" s="17">
        <v>43276</v>
      </c>
      <c r="B1913">
        <v>438.97</v>
      </c>
      <c r="C1913">
        <v>72.754999999999995</v>
      </c>
      <c r="D1913">
        <f t="shared" si="213"/>
        <v>366.21500000000003</v>
      </c>
      <c r="E1913">
        <v>-0.05</v>
      </c>
      <c r="F1913">
        <f t="shared" si="214"/>
        <v>-366.26500000000004</v>
      </c>
      <c r="I1913">
        <f t="shared" si="210"/>
        <v>25</v>
      </c>
      <c r="J1913">
        <v>1</v>
      </c>
      <c r="K1913">
        <f t="shared" si="211"/>
        <v>6</v>
      </c>
      <c r="L1913">
        <f t="shared" si="212"/>
        <v>2018</v>
      </c>
      <c r="N1913" s="17">
        <f t="shared" si="215"/>
        <v>43252</v>
      </c>
      <c r="S1913">
        <f t="shared" si="216"/>
        <v>0</v>
      </c>
    </row>
    <row r="1914" spans="1:19" x14ac:dyDescent="0.3">
      <c r="A1914" s="17">
        <v>43273</v>
      </c>
      <c r="B1914">
        <v>431.38</v>
      </c>
      <c r="C1914">
        <v>71.75</v>
      </c>
      <c r="D1914">
        <f t="shared" si="213"/>
        <v>359.63</v>
      </c>
      <c r="E1914">
        <v>-0.04</v>
      </c>
      <c r="F1914">
        <f t="shared" si="214"/>
        <v>-359.67</v>
      </c>
      <c r="I1914">
        <f t="shared" si="210"/>
        <v>22</v>
      </c>
      <c r="J1914">
        <v>1</v>
      </c>
      <c r="K1914">
        <f t="shared" si="211"/>
        <v>6</v>
      </c>
      <c r="L1914">
        <f t="shared" si="212"/>
        <v>2018</v>
      </c>
      <c r="N1914" s="17">
        <f t="shared" si="215"/>
        <v>43252</v>
      </c>
      <c r="S1914">
        <f t="shared" si="216"/>
        <v>0</v>
      </c>
    </row>
    <row r="1915" spans="1:19" x14ac:dyDescent="0.3">
      <c r="A1915" s="17">
        <v>43272</v>
      </c>
      <c r="B1915">
        <v>426.38</v>
      </c>
      <c r="C1915">
        <v>71.239999999999995</v>
      </c>
      <c r="D1915">
        <f t="shared" si="213"/>
        <v>355.14</v>
      </c>
      <c r="E1915">
        <v>0.08</v>
      </c>
      <c r="F1915">
        <f t="shared" si="214"/>
        <v>-355.06</v>
      </c>
      <c r="I1915">
        <f t="shared" si="210"/>
        <v>21</v>
      </c>
      <c r="J1915">
        <v>1</v>
      </c>
      <c r="K1915">
        <f t="shared" si="211"/>
        <v>6</v>
      </c>
      <c r="L1915">
        <f t="shared" si="212"/>
        <v>2018</v>
      </c>
      <c r="N1915" s="17">
        <f t="shared" si="215"/>
        <v>43252</v>
      </c>
      <c r="S1915">
        <f t="shared" si="216"/>
        <v>0</v>
      </c>
    </row>
    <row r="1916" spans="1:19" x14ac:dyDescent="0.3">
      <c r="A1916" s="17">
        <v>43271</v>
      </c>
      <c r="B1916">
        <v>436.69</v>
      </c>
      <c r="C1916">
        <v>72.7</v>
      </c>
      <c r="D1916">
        <f t="shared" si="213"/>
        <v>363.99</v>
      </c>
      <c r="E1916">
        <v>0.09</v>
      </c>
      <c r="F1916">
        <f t="shared" si="214"/>
        <v>-363.90000000000003</v>
      </c>
      <c r="I1916">
        <f t="shared" si="210"/>
        <v>20</v>
      </c>
      <c r="J1916">
        <v>1</v>
      </c>
      <c r="K1916">
        <f t="shared" si="211"/>
        <v>6</v>
      </c>
      <c r="L1916">
        <f t="shared" si="212"/>
        <v>2018</v>
      </c>
      <c r="N1916" s="17">
        <f t="shared" si="215"/>
        <v>43252</v>
      </c>
      <c r="S1916">
        <f t="shared" si="216"/>
        <v>0</v>
      </c>
    </row>
    <row r="1917" spans="1:19" x14ac:dyDescent="0.3">
      <c r="A1917" s="17">
        <v>43270</v>
      </c>
      <c r="B1917">
        <v>427.86</v>
      </c>
      <c r="C1917">
        <v>72</v>
      </c>
      <c r="D1917">
        <f t="shared" si="213"/>
        <v>355.86</v>
      </c>
      <c r="E1917">
        <v>0.06</v>
      </c>
      <c r="F1917">
        <f t="shared" si="214"/>
        <v>-355.8</v>
      </c>
      <c r="I1917">
        <f t="shared" si="210"/>
        <v>19</v>
      </c>
      <c r="J1917">
        <v>1</v>
      </c>
      <c r="K1917">
        <f t="shared" si="211"/>
        <v>6</v>
      </c>
      <c r="L1917">
        <f t="shared" si="212"/>
        <v>2018</v>
      </c>
      <c r="N1917" s="17">
        <f t="shared" si="215"/>
        <v>43252</v>
      </c>
      <c r="S1917">
        <f t="shared" si="216"/>
        <v>0</v>
      </c>
    </row>
    <row r="1918" spans="1:19" x14ac:dyDescent="0.3">
      <c r="A1918" s="17">
        <v>43269</v>
      </c>
      <c r="B1918">
        <v>420.37</v>
      </c>
      <c r="C1918">
        <v>70.94</v>
      </c>
      <c r="D1918">
        <f t="shared" si="213"/>
        <v>349.43</v>
      </c>
      <c r="E1918">
        <v>0.06</v>
      </c>
      <c r="F1918">
        <f t="shared" si="214"/>
        <v>-349.37</v>
      </c>
      <c r="I1918">
        <f t="shared" si="210"/>
        <v>18</v>
      </c>
      <c r="J1918">
        <v>1</v>
      </c>
      <c r="K1918">
        <f t="shared" si="211"/>
        <v>6</v>
      </c>
      <c r="L1918">
        <f t="shared" si="212"/>
        <v>2018</v>
      </c>
      <c r="N1918" s="17">
        <f t="shared" si="215"/>
        <v>43252</v>
      </c>
      <c r="S1918">
        <f t="shared" si="216"/>
        <v>0</v>
      </c>
    </row>
    <row r="1919" spans="1:19" x14ac:dyDescent="0.3">
      <c r="A1919" s="17">
        <v>43265</v>
      </c>
      <c r="B1919">
        <v>436.32</v>
      </c>
      <c r="C1919">
        <v>74.319999999999993</v>
      </c>
      <c r="D1919">
        <f t="shared" si="213"/>
        <v>362</v>
      </c>
      <c r="E1919">
        <v>0.11</v>
      </c>
      <c r="F1919">
        <f t="shared" si="214"/>
        <v>-361.89</v>
      </c>
      <c r="I1919">
        <f t="shared" si="210"/>
        <v>14</v>
      </c>
      <c r="J1919">
        <v>1</v>
      </c>
      <c r="K1919">
        <f t="shared" si="211"/>
        <v>6</v>
      </c>
      <c r="L1919">
        <f t="shared" si="212"/>
        <v>2018</v>
      </c>
      <c r="N1919" s="17">
        <f t="shared" si="215"/>
        <v>43252</v>
      </c>
      <c r="S1919">
        <f t="shared" si="216"/>
        <v>0</v>
      </c>
    </row>
    <row r="1920" spans="1:19" x14ac:dyDescent="0.3">
      <c r="A1920" s="17">
        <v>43264</v>
      </c>
      <c r="B1920">
        <v>432.65</v>
      </c>
      <c r="C1920">
        <v>73.400000000000006</v>
      </c>
      <c r="D1920">
        <f t="shared" si="213"/>
        <v>359.25</v>
      </c>
      <c r="E1920">
        <v>0.1</v>
      </c>
      <c r="F1920">
        <f t="shared" si="214"/>
        <v>-359.15</v>
      </c>
      <c r="I1920">
        <f t="shared" si="210"/>
        <v>13</v>
      </c>
      <c r="J1920">
        <v>1</v>
      </c>
      <c r="K1920">
        <f t="shared" si="211"/>
        <v>6</v>
      </c>
      <c r="L1920">
        <f t="shared" si="212"/>
        <v>2018</v>
      </c>
      <c r="N1920" s="17">
        <f t="shared" si="215"/>
        <v>43252</v>
      </c>
      <c r="S1920">
        <f t="shared" si="216"/>
        <v>0</v>
      </c>
    </row>
    <row r="1921" spans="1:19" x14ac:dyDescent="0.3">
      <c r="A1921" s="17">
        <v>43263</v>
      </c>
      <c r="B1921">
        <v>442.44</v>
      </c>
      <c r="C1921">
        <v>74.775000000000006</v>
      </c>
      <c r="D1921">
        <f t="shared" si="213"/>
        <v>367.66499999999996</v>
      </c>
      <c r="E1921">
        <v>0.08</v>
      </c>
      <c r="F1921">
        <f t="shared" si="214"/>
        <v>-367.58499999999998</v>
      </c>
      <c r="I1921">
        <f t="shared" si="210"/>
        <v>12</v>
      </c>
      <c r="J1921">
        <v>1</v>
      </c>
      <c r="K1921">
        <f t="shared" si="211"/>
        <v>6</v>
      </c>
      <c r="L1921">
        <f t="shared" si="212"/>
        <v>2018</v>
      </c>
      <c r="N1921" s="17">
        <f t="shared" si="215"/>
        <v>43252</v>
      </c>
      <c r="S1921">
        <f t="shared" si="216"/>
        <v>0</v>
      </c>
    </row>
    <row r="1922" spans="1:19" x14ac:dyDescent="0.3">
      <c r="A1922" s="17">
        <v>43262</v>
      </c>
      <c r="B1922">
        <v>441.01</v>
      </c>
      <c r="C1922">
        <v>74.400000000000006</v>
      </c>
      <c r="D1922">
        <f t="shared" si="213"/>
        <v>366.61</v>
      </c>
      <c r="E1922">
        <v>0.09</v>
      </c>
      <c r="F1922">
        <f t="shared" si="214"/>
        <v>-366.52000000000004</v>
      </c>
      <c r="I1922">
        <f t="shared" si="210"/>
        <v>11</v>
      </c>
      <c r="J1922">
        <v>1</v>
      </c>
      <c r="K1922">
        <f t="shared" si="211"/>
        <v>6</v>
      </c>
      <c r="L1922">
        <f t="shared" si="212"/>
        <v>2018</v>
      </c>
      <c r="N1922" s="17">
        <f t="shared" si="215"/>
        <v>43252</v>
      </c>
      <c r="S1922">
        <f t="shared" si="216"/>
        <v>0</v>
      </c>
    </row>
    <row r="1923" spans="1:19" x14ac:dyDescent="0.3">
      <c r="A1923" s="17">
        <v>43259</v>
      </c>
      <c r="B1923">
        <v>442.8</v>
      </c>
      <c r="C1923">
        <v>74.81</v>
      </c>
      <c r="D1923">
        <f t="shared" si="213"/>
        <v>367.99</v>
      </c>
      <c r="E1923">
        <v>0.12</v>
      </c>
      <c r="F1923">
        <f t="shared" si="214"/>
        <v>-367.87</v>
      </c>
      <c r="I1923">
        <f t="shared" si="210"/>
        <v>8</v>
      </c>
      <c r="J1923">
        <v>1</v>
      </c>
      <c r="K1923">
        <f t="shared" si="211"/>
        <v>6</v>
      </c>
      <c r="L1923">
        <f t="shared" si="212"/>
        <v>2018</v>
      </c>
      <c r="N1923" s="17">
        <f t="shared" si="215"/>
        <v>43252</v>
      </c>
      <c r="S1923">
        <f t="shared" si="216"/>
        <v>0</v>
      </c>
    </row>
    <row r="1924" spans="1:19" x14ac:dyDescent="0.3">
      <c r="A1924" s="17">
        <v>43258</v>
      </c>
      <c r="B1924">
        <v>435.84</v>
      </c>
      <c r="C1924">
        <v>73.56</v>
      </c>
      <c r="D1924">
        <f t="shared" si="213"/>
        <v>362.28</v>
      </c>
      <c r="E1924">
        <v>0.15</v>
      </c>
      <c r="F1924">
        <f t="shared" si="214"/>
        <v>-362.13</v>
      </c>
      <c r="I1924">
        <f t="shared" si="210"/>
        <v>7</v>
      </c>
      <c r="J1924">
        <v>1</v>
      </c>
      <c r="K1924">
        <f t="shared" si="211"/>
        <v>6</v>
      </c>
      <c r="L1924">
        <f t="shared" si="212"/>
        <v>2018</v>
      </c>
      <c r="N1924" s="17">
        <f t="shared" si="215"/>
        <v>43252</v>
      </c>
      <c r="S1924">
        <f t="shared" si="216"/>
        <v>0</v>
      </c>
    </row>
    <row r="1925" spans="1:19" x14ac:dyDescent="0.3">
      <c r="A1925" s="17">
        <v>43257</v>
      </c>
      <c r="B1925">
        <v>442.93</v>
      </c>
      <c r="C1925">
        <v>73.75</v>
      </c>
      <c r="D1925">
        <f t="shared" si="213"/>
        <v>369.18</v>
      </c>
      <c r="E1925">
        <v>0.11</v>
      </c>
      <c r="F1925">
        <f t="shared" si="214"/>
        <v>-369.07</v>
      </c>
      <c r="I1925">
        <f t="shared" ref="I1925:I1988" si="217">+DAY(A1925)</f>
        <v>6</v>
      </c>
      <c r="J1925">
        <v>1</v>
      </c>
      <c r="K1925">
        <f t="shared" ref="K1925:K1988" si="218">+MONTH(A1925)</f>
        <v>6</v>
      </c>
      <c r="L1925">
        <f t="shared" ref="L1925:L1988" si="219">+YEAR(A1925)</f>
        <v>2018</v>
      </c>
      <c r="N1925" s="17">
        <f t="shared" si="215"/>
        <v>43252</v>
      </c>
      <c r="S1925">
        <f t="shared" si="216"/>
        <v>0</v>
      </c>
    </row>
    <row r="1926" spans="1:19" x14ac:dyDescent="0.3">
      <c r="A1926" s="17">
        <v>43256</v>
      </c>
      <c r="B1926">
        <v>439.47</v>
      </c>
      <c r="C1926">
        <v>73.599999999999994</v>
      </c>
      <c r="D1926">
        <f t="shared" ref="D1926:D1989" si="220">+B1926-C1926</f>
        <v>365.87</v>
      </c>
      <c r="E1926">
        <v>0.18</v>
      </c>
      <c r="F1926">
        <f t="shared" ref="F1926:F1989" si="221">+E1926-D1926</f>
        <v>-365.69</v>
      </c>
      <c r="I1926">
        <f t="shared" si="217"/>
        <v>5</v>
      </c>
      <c r="J1926">
        <v>1</v>
      </c>
      <c r="K1926">
        <f t="shared" si="218"/>
        <v>6</v>
      </c>
      <c r="L1926">
        <f t="shared" si="219"/>
        <v>2018</v>
      </c>
      <c r="N1926" s="17">
        <f t="shared" ref="N1926:N1989" si="222">+DATE(L1926,K1926,J1926)</f>
        <v>43252</v>
      </c>
      <c r="S1926">
        <f t="shared" ref="S1926:S1989" si="223">IF(AND(I1926&gt;=1, I1926&lt;=4), 1, 0)</f>
        <v>0</v>
      </c>
    </row>
    <row r="1927" spans="1:19" x14ac:dyDescent="0.3">
      <c r="A1927" s="17">
        <v>43255</v>
      </c>
      <c r="B1927">
        <v>441.1</v>
      </c>
      <c r="C1927">
        <v>74.41</v>
      </c>
      <c r="D1927">
        <f t="shared" si="220"/>
        <v>366.69000000000005</v>
      </c>
      <c r="E1927">
        <v>0.17</v>
      </c>
      <c r="F1927">
        <f t="shared" si="221"/>
        <v>-366.52000000000004</v>
      </c>
      <c r="I1927">
        <f t="shared" si="217"/>
        <v>4</v>
      </c>
      <c r="J1927">
        <v>1</v>
      </c>
      <c r="K1927">
        <f t="shared" si="218"/>
        <v>6</v>
      </c>
      <c r="L1927">
        <f t="shared" si="219"/>
        <v>2018</v>
      </c>
      <c r="N1927" s="17">
        <f t="shared" si="222"/>
        <v>43252</v>
      </c>
      <c r="S1927">
        <f t="shared" si="223"/>
        <v>1</v>
      </c>
    </row>
    <row r="1928" spans="1:19" x14ac:dyDescent="0.3">
      <c r="A1928" s="17">
        <v>43252</v>
      </c>
      <c r="B1928">
        <v>445.79</v>
      </c>
      <c r="C1928">
        <v>75.06</v>
      </c>
      <c r="D1928">
        <f t="shared" si="220"/>
        <v>370.73</v>
      </c>
      <c r="E1928">
        <v>0.25</v>
      </c>
      <c r="F1928">
        <f t="shared" si="221"/>
        <v>-370.48</v>
      </c>
      <c r="I1928">
        <f t="shared" si="217"/>
        <v>1</v>
      </c>
      <c r="J1928">
        <v>1</v>
      </c>
      <c r="K1928">
        <f t="shared" si="218"/>
        <v>6</v>
      </c>
      <c r="L1928">
        <f t="shared" si="219"/>
        <v>2018</v>
      </c>
      <c r="N1928" s="17">
        <f t="shared" si="222"/>
        <v>43252</v>
      </c>
      <c r="S1928">
        <f t="shared" si="223"/>
        <v>1</v>
      </c>
    </row>
    <row r="1929" spans="1:19" x14ac:dyDescent="0.3">
      <c r="A1929" s="17">
        <v>43251</v>
      </c>
      <c r="B1929">
        <v>443.11</v>
      </c>
      <c r="C1929">
        <v>75.45</v>
      </c>
      <c r="D1929">
        <f t="shared" si="220"/>
        <v>367.66</v>
      </c>
      <c r="E1929">
        <v>0.37</v>
      </c>
      <c r="F1929">
        <f t="shared" si="221"/>
        <v>-367.29</v>
      </c>
      <c r="I1929">
        <f t="shared" si="217"/>
        <v>31</v>
      </c>
      <c r="J1929">
        <v>1</v>
      </c>
      <c r="K1929">
        <f t="shared" si="218"/>
        <v>5</v>
      </c>
      <c r="L1929">
        <f t="shared" si="219"/>
        <v>2018</v>
      </c>
      <c r="N1929" s="17">
        <f t="shared" si="222"/>
        <v>43221</v>
      </c>
      <c r="S1929">
        <f t="shared" si="223"/>
        <v>0</v>
      </c>
    </row>
    <row r="1930" spans="1:19" x14ac:dyDescent="0.3">
      <c r="A1930" s="17">
        <v>43250</v>
      </c>
      <c r="B1930">
        <v>431.31</v>
      </c>
      <c r="C1930">
        <v>73.55</v>
      </c>
      <c r="D1930">
        <f t="shared" si="220"/>
        <v>357.76</v>
      </c>
      <c r="E1930">
        <v>0.4</v>
      </c>
      <c r="F1930">
        <f t="shared" si="221"/>
        <v>-357.36</v>
      </c>
      <c r="I1930">
        <f t="shared" si="217"/>
        <v>30</v>
      </c>
      <c r="J1930">
        <v>1</v>
      </c>
      <c r="K1930">
        <f t="shared" si="218"/>
        <v>5</v>
      </c>
      <c r="L1930">
        <f t="shared" si="219"/>
        <v>2018</v>
      </c>
      <c r="N1930" s="17">
        <f t="shared" si="222"/>
        <v>43221</v>
      </c>
      <c r="S1930">
        <f t="shared" si="223"/>
        <v>0</v>
      </c>
    </row>
    <row r="1931" spans="1:19" x14ac:dyDescent="0.3">
      <c r="A1931" s="17">
        <v>43248</v>
      </c>
      <c r="B1931">
        <v>430.04</v>
      </c>
      <c r="C1931">
        <v>73.2</v>
      </c>
      <c r="D1931">
        <f t="shared" si="220"/>
        <v>356.84000000000003</v>
      </c>
      <c r="E1931">
        <v>0.39</v>
      </c>
      <c r="F1931">
        <f t="shared" si="221"/>
        <v>-356.45000000000005</v>
      </c>
      <c r="I1931">
        <f t="shared" si="217"/>
        <v>28</v>
      </c>
      <c r="J1931">
        <v>1</v>
      </c>
      <c r="K1931">
        <f t="shared" si="218"/>
        <v>5</v>
      </c>
      <c r="L1931">
        <f t="shared" si="219"/>
        <v>2018</v>
      </c>
      <c r="N1931" s="17">
        <f t="shared" si="222"/>
        <v>43221</v>
      </c>
      <c r="S1931">
        <f t="shared" si="223"/>
        <v>0</v>
      </c>
    </row>
    <row r="1932" spans="1:19" x14ac:dyDescent="0.3">
      <c r="A1932" s="17">
        <v>43245</v>
      </c>
      <c r="B1932">
        <v>440.93</v>
      </c>
      <c r="C1932">
        <v>75.75</v>
      </c>
      <c r="D1932">
        <f t="shared" si="220"/>
        <v>365.18</v>
      </c>
      <c r="E1932">
        <v>0.46</v>
      </c>
      <c r="F1932">
        <f t="shared" si="221"/>
        <v>-364.72</v>
      </c>
      <c r="I1932">
        <f t="shared" si="217"/>
        <v>25</v>
      </c>
      <c r="J1932">
        <v>1</v>
      </c>
      <c r="K1932">
        <f t="shared" si="218"/>
        <v>5</v>
      </c>
      <c r="L1932">
        <f t="shared" si="219"/>
        <v>2018</v>
      </c>
      <c r="N1932" s="17">
        <f t="shared" si="222"/>
        <v>43221</v>
      </c>
      <c r="S1932">
        <f t="shared" si="223"/>
        <v>0</v>
      </c>
    </row>
    <row r="1933" spans="1:19" x14ac:dyDescent="0.3">
      <c r="A1933" s="17">
        <v>43244</v>
      </c>
      <c r="B1933">
        <v>451.39</v>
      </c>
      <c r="C1933">
        <v>77.05</v>
      </c>
      <c r="D1933">
        <f t="shared" si="220"/>
        <v>374.34</v>
      </c>
      <c r="E1933">
        <v>0.51</v>
      </c>
      <c r="F1933">
        <f t="shared" si="221"/>
        <v>-373.83</v>
      </c>
      <c r="I1933">
        <f t="shared" si="217"/>
        <v>24</v>
      </c>
      <c r="J1933">
        <v>1</v>
      </c>
      <c r="K1933">
        <f t="shared" si="218"/>
        <v>5</v>
      </c>
      <c r="L1933">
        <f t="shared" si="219"/>
        <v>2018</v>
      </c>
      <c r="N1933" s="17">
        <f t="shared" si="222"/>
        <v>43221</v>
      </c>
      <c r="S1933">
        <f t="shared" si="223"/>
        <v>0</v>
      </c>
    </row>
    <row r="1934" spans="1:19" x14ac:dyDescent="0.3">
      <c r="A1934" s="17">
        <v>43243</v>
      </c>
      <c r="B1934">
        <v>450.63</v>
      </c>
      <c r="C1934">
        <v>76.599999999999994</v>
      </c>
      <c r="D1934">
        <f t="shared" si="220"/>
        <v>374.03</v>
      </c>
      <c r="E1934">
        <v>0.52</v>
      </c>
      <c r="F1934">
        <f t="shared" si="221"/>
        <v>-373.51</v>
      </c>
      <c r="I1934">
        <f t="shared" si="217"/>
        <v>23</v>
      </c>
      <c r="J1934">
        <v>1</v>
      </c>
      <c r="K1934">
        <f t="shared" si="218"/>
        <v>5</v>
      </c>
      <c r="L1934">
        <f t="shared" si="219"/>
        <v>2018</v>
      </c>
      <c r="N1934" s="17">
        <f t="shared" si="222"/>
        <v>43221</v>
      </c>
      <c r="S1934">
        <f t="shared" si="223"/>
        <v>0</v>
      </c>
    </row>
    <row r="1935" spans="1:19" x14ac:dyDescent="0.3">
      <c r="A1935" s="17">
        <v>43242</v>
      </c>
      <c r="B1935">
        <v>454.09</v>
      </c>
      <c r="C1935">
        <v>77.290000000000006</v>
      </c>
      <c r="D1935">
        <f t="shared" si="220"/>
        <v>376.79999999999995</v>
      </c>
      <c r="E1935">
        <v>0.51</v>
      </c>
      <c r="F1935">
        <f t="shared" si="221"/>
        <v>-376.28999999999996</v>
      </c>
      <c r="I1935">
        <f t="shared" si="217"/>
        <v>22</v>
      </c>
      <c r="J1935">
        <v>1</v>
      </c>
      <c r="K1935">
        <f t="shared" si="218"/>
        <v>5</v>
      </c>
      <c r="L1935">
        <f t="shared" si="219"/>
        <v>2018</v>
      </c>
      <c r="N1935" s="17">
        <f t="shared" si="222"/>
        <v>43221</v>
      </c>
      <c r="S1935">
        <f t="shared" si="223"/>
        <v>0</v>
      </c>
    </row>
    <row r="1936" spans="1:19" x14ac:dyDescent="0.3">
      <c r="A1936" s="17">
        <v>43241</v>
      </c>
      <c r="B1936">
        <v>449.8</v>
      </c>
      <c r="C1936">
        <v>76.45</v>
      </c>
      <c r="D1936">
        <f t="shared" si="220"/>
        <v>373.35</v>
      </c>
      <c r="E1936">
        <v>0.54</v>
      </c>
      <c r="F1936">
        <f t="shared" si="221"/>
        <v>-372.81</v>
      </c>
      <c r="I1936">
        <f t="shared" si="217"/>
        <v>21</v>
      </c>
      <c r="J1936">
        <v>1</v>
      </c>
      <c r="K1936">
        <f t="shared" si="218"/>
        <v>5</v>
      </c>
      <c r="L1936">
        <f t="shared" si="219"/>
        <v>2018</v>
      </c>
      <c r="N1936" s="17">
        <f t="shared" si="222"/>
        <v>43221</v>
      </c>
      <c r="S1936">
        <f t="shared" si="223"/>
        <v>0</v>
      </c>
    </row>
    <row r="1937" spans="1:19" x14ac:dyDescent="0.3">
      <c r="A1937" s="17">
        <v>43238</v>
      </c>
      <c r="B1937">
        <v>451.33</v>
      </c>
      <c r="C1937">
        <v>77.05</v>
      </c>
      <c r="D1937">
        <f t="shared" si="220"/>
        <v>374.28</v>
      </c>
      <c r="E1937">
        <v>0.59</v>
      </c>
      <c r="F1937">
        <f t="shared" si="221"/>
        <v>-373.69</v>
      </c>
      <c r="I1937">
        <f t="shared" si="217"/>
        <v>18</v>
      </c>
      <c r="J1937">
        <v>1</v>
      </c>
      <c r="K1937">
        <f t="shared" si="218"/>
        <v>5</v>
      </c>
      <c r="L1937">
        <f t="shared" si="219"/>
        <v>2018</v>
      </c>
      <c r="N1937" s="17">
        <f t="shared" si="222"/>
        <v>43221</v>
      </c>
      <c r="S1937">
        <f t="shared" si="223"/>
        <v>0</v>
      </c>
    </row>
    <row r="1938" spans="1:19" x14ac:dyDescent="0.3">
      <c r="A1938" s="17">
        <v>43237</v>
      </c>
      <c r="B1938">
        <v>449.34</v>
      </c>
      <c r="C1938">
        <v>76.75</v>
      </c>
      <c r="D1938">
        <f t="shared" si="220"/>
        <v>372.59</v>
      </c>
      <c r="E1938">
        <v>0.5</v>
      </c>
      <c r="F1938">
        <f t="shared" si="221"/>
        <v>-372.09</v>
      </c>
      <c r="I1938">
        <f t="shared" si="217"/>
        <v>17</v>
      </c>
      <c r="J1938">
        <v>1</v>
      </c>
      <c r="K1938">
        <f t="shared" si="218"/>
        <v>5</v>
      </c>
      <c r="L1938">
        <f t="shared" si="219"/>
        <v>2018</v>
      </c>
      <c r="N1938" s="17">
        <f t="shared" si="222"/>
        <v>43221</v>
      </c>
      <c r="S1938">
        <f t="shared" si="223"/>
        <v>0</v>
      </c>
    </row>
    <row r="1939" spans="1:19" x14ac:dyDescent="0.3">
      <c r="A1939" s="17">
        <v>43236</v>
      </c>
      <c r="B1939">
        <v>438.02</v>
      </c>
      <c r="C1939">
        <v>75.06</v>
      </c>
      <c r="D1939">
        <f t="shared" si="220"/>
        <v>362.96</v>
      </c>
      <c r="E1939">
        <v>0.59</v>
      </c>
      <c r="F1939">
        <f t="shared" si="221"/>
        <v>-362.37</v>
      </c>
      <c r="I1939">
        <f t="shared" si="217"/>
        <v>16</v>
      </c>
      <c r="J1939">
        <v>1</v>
      </c>
      <c r="K1939">
        <f t="shared" si="218"/>
        <v>5</v>
      </c>
      <c r="L1939">
        <f t="shared" si="219"/>
        <v>2018</v>
      </c>
      <c r="N1939" s="17">
        <f t="shared" si="222"/>
        <v>43221</v>
      </c>
      <c r="S1939">
        <f t="shared" si="223"/>
        <v>0</v>
      </c>
    </row>
    <row r="1940" spans="1:19" x14ac:dyDescent="0.3">
      <c r="A1940" s="17">
        <v>43235</v>
      </c>
      <c r="B1940">
        <v>436.54</v>
      </c>
      <c r="C1940">
        <v>75.349999999999994</v>
      </c>
      <c r="D1940">
        <f t="shared" si="220"/>
        <v>361.19000000000005</v>
      </c>
      <c r="E1940">
        <v>0.56000000000000005</v>
      </c>
      <c r="F1940">
        <f t="shared" si="221"/>
        <v>-360.63000000000005</v>
      </c>
      <c r="I1940">
        <f t="shared" si="217"/>
        <v>15</v>
      </c>
      <c r="J1940">
        <v>1</v>
      </c>
      <c r="K1940">
        <f t="shared" si="218"/>
        <v>5</v>
      </c>
      <c r="L1940">
        <f t="shared" si="219"/>
        <v>2018</v>
      </c>
      <c r="N1940" s="17">
        <f t="shared" si="222"/>
        <v>43221</v>
      </c>
      <c r="S1940">
        <f t="shared" si="223"/>
        <v>0</v>
      </c>
    </row>
    <row r="1941" spans="1:19" x14ac:dyDescent="0.3">
      <c r="A1941" s="17">
        <v>43234</v>
      </c>
      <c r="B1941">
        <v>429.68</v>
      </c>
      <c r="C1941">
        <v>73.75</v>
      </c>
      <c r="D1941">
        <f t="shared" si="220"/>
        <v>355.93</v>
      </c>
      <c r="E1941">
        <v>0.54</v>
      </c>
      <c r="F1941">
        <f t="shared" si="221"/>
        <v>-355.39</v>
      </c>
      <c r="I1941">
        <f t="shared" si="217"/>
        <v>14</v>
      </c>
      <c r="J1941">
        <v>1</v>
      </c>
      <c r="K1941">
        <f t="shared" si="218"/>
        <v>5</v>
      </c>
      <c r="L1941">
        <f t="shared" si="219"/>
        <v>2018</v>
      </c>
      <c r="N1941" s="17">
        <f t="shared" si="222"/>
        <v>43221</v>
      </c>
      <c r="S1941">
        <f t="shared" si="223"/>
        <v>0</v>
      </c>
    </row>
    <row r="1942" spans="1:19" x14ac:dyDescent="0.3">
      <c r="A1942" s="17">
        <v>43231</v>
      </c>
      <c r="B1942">
        <v>433.55</v>
      </c>
      <c r="C1942">
        <v>74.400000000000006</v>
      </c>
      <c r="D1942">
        <f t="shared" si="220"/>
        <v>359.15</v>
      </c>
      <c r="E1942">
        <v>0.52</v>
      </c>
      <c r="F1942">
        <f t="shared" si="221"/>
        <v>-358.63</v>
      </c>
      <c r="I1942">
        <f t="shared" si="217"/>
        <v>11</v>
      </c>
      <c r="J1942">
        <v>1</v>
      </c>
      <c r="K1942">
        <f t="shared" si="218"/>
        <v>5</v>
      </c>
      <c r="L1942">
        <f t="shared" si="219"/>
        <v>2018</v>
      </c>
      <c r="N1942" s="17">
        <f t="shared" si="222"/>
        <v>43221</v>
      </c>
      <c r="S1942">
        <f t="shared" si="223"/>
        <v>0</v>
      </c>
    </row>
    <row r="1943" spans="1:19" x14ac:dyDescent="0.3">
      <c r="A1943" s="17">
        <v>43230</v>
      </c>
      <c r="B1943">
        <v>428.89</v>
      </c>
      <c r="C1943">
        <v>74.58</v>
      </c>
      <c r="D1943">
        <f t="shared" si="220"/>
        <v>354.31</v>
      </c>
      <c r="E1943">
        <v>0.49</v>
      </c>
      <c r="F1943">
        <f t="shared" si="221"/>
        <v>-353.82</v>
      </c>
      <c r="I1943">
        <f t="shared" si="217"/>
        <v>10</v>
      </c>
      <c r="J1943">
        <v>1</v>
      </c>
      <c r="K1943">
        <f t="shared" si="218"/>
        <v>5</v>
      </c>
      <c r="L1943">
        <f t="shared" si="219"/>
        <v>2018</v>
      </c>
      <c r="N1943" s="17">
        <f t="shared" si="222"/>
        <v>43221</v>
      </c>
      <c r="S1943">
        <f t="shared" si="223"/>
        <v>0</v>
      </c>
    </row>
    <row r="1944" spans="1:19" x14ac:dyDescent="0.3">
      <c r="A1944" s="17">
        <v>43229</v>
      </c>
      <c r="B1944">
        <v>424.96</v>
      </c>
      <c r="C1944">
        <v>73.900000000000006</v>
      </c>
      <c r="D1944">
        <f t="shared" si="220"/>
        <v>351.05999999999995</v>
      </c>
      <c r="E1944">
        <v>0.49</v>
      </c>
      <c r="F1944">
        <f t="shared" si="221"/>
        <v>-350.56999999999994</v>
      </c>
      <c r="I1944">
        <f t="shared" si="217"/>
        <v>9</v>
      </c>
      <c r="J1944">
        <v>1</v>
      </c>
      <c r="K1944">
        <f t="shared" si="218"/>
        <v>5</v>
      </c>
      <c r="L1944">
        <f t="shared" si="219"/>
        <v>2018</v>
      </c>
      <c r="N1944" s="17">
        <f t="shared" si="222"/>
        <v>43221</v>
      </c>
      <c r="S1944">
        <f t="shared" si="223"/>
        <v>0</v>
      </c>
    </row>
    <row r="1945" spans="1:19" x14ac:dyDescent="0.3">
      <c r="A1945" s="17">
        <v>43228</v>
      </c>
      <c r="B1945">
        <v>415.12</v>
      </c>
      <c r="C1945">
        <v>72.459999999999994</v>
      </c>
      <c r="D1945">
        <f t="shared" si="220"/>
        <v>342.66</v>
      </c>
      <c r="E1945">
        <v>0.47</v>
      </c>
      <c r="F1945">
        <f t="shared" si="221"/>
        <v>-342.19</v>
      </c>
      <c r="I1945">
        <f t="shared" si="217"/>
        <v>8</v>
      </c>
      <c r="J1945">
        <v>1</v>
      </c>
      <c r="K1945">
        <f t="shared" si="218"/>
        <v>5</v>
      </c>
      <c r="L1945">
        <f t="shared" si="219"/>
        <v>2018</v>
      </c>
      <c r="N1945" s="17">
        <f t="shared" si="222"/>
        <v>43221</v>
      </c>
      <c r="S1945">
        <f t="shared" si="223"/>
        <v>0</v>
      </c>
    </row>
    <row r="1946" spans="1:19" x14ac:dyDescent="0.3">
      <c r="A1946" s="17">
        <v>43227</v>
      </c>
      <c r="B1946">
        <v>413.39</v>
      </c>
      <c r="C1946">
        <v>72.55</v>
      </c>
      <c r="D1946">
        <f t="shared" si="220"/>
        <v>340.84</v>
      </c>
      <c r="E1946">
        <v>0.43</v>
      </c>
      <c r="F1946">
        <f t="shared" si="221"/>
        <v>-340.40999999999997</v>
      </c>
      <c r="I1946">
        <f t="shared" si="217"/>
        <v>7</v>
      </c>
      <c r="J1946">
        <v>1</v>
      </c>
      <c r="K1946">
        <f t="shared" si="218"/>
        <v>5</v>
      </c>
      <c r="L1946">
        <f t="shared" si="219"/>
        <v>2018</v>
      </c>
      <c r="N1946" s="17">
        <f t="shared" si="222"/>
        <v>43221</v>
      </c>
      <c r="S1946">
        <f t="shared" si="223"/>
        <v>0</v>
      </c>
    </row>
    <row r="1947" spans="1:19" x14ac:dyDescent="0.3">
      <c r="A1947" s="17">
        <v>43224</v>
      </c>
      <c r="B1947">
        <v>401.15</v>
      </c>
      <c r="C1947">
        <v>70.454999999999998</v>
      </c>
      <c r="D1947">
        <f t="shared" si="220"/>
        <v>330.69499999999999</v>
      </c>
      <c r="E1947">
        <v>0.5</v>
      </c>
      <c r="F1947">
        <f t="shared" si="221"/>
        <v>-330.19499999999999</v>
      </c>
      <c r="I1947">
        <f t="shared" si="217"/>
        <v>4</v>
      </c>
      <c r="J1947">
        <v>1</v>
      </c>
      <c r="K1947">
        <f t="shared" si="218"/>
        <v>5</v>
      </c>
      <c r="L1947">
        <f t="shared" si="219"/>
        <v>2018</v>
      </c>
      <c r="N1947" s="17">
        <f t="shared" si="222"/>
        <v>43221</v>
      </c>
      <c r="S1947">
        <f t="shared" si="223"/>
        <v>1</v>
      </c>
    </row>
    <row r="1948" spans="1:19" x14ac:dyDescent="0.3">
      <c r="A1948" s="17">
        <v>43223</v>
      </c>
      <c r="B1948">
        <v>402.82</v>
      </c>
      <c r="C1948">
        <v>70.56</v>
      </c>
      <c r="D1948">
        <f t="shared" si="220"/>
        <v>332.26</v>
      </c>
      <c r="E1948">
        <v>0.5</v>
      </c>
      <c r="F1948">
        <f t="shared" si="221"/>
        <v>-331.76</v>
      </c>
      <c r="I1948">
        <f t="shared" si="217"/>
        <v>3</v>
      </c>
      <c r="J1948">
        <v>1</v>
      </c>
      <c r="K1948">
        <f t="shared" si="218"/>
        <v>5</v>
      </c>
      <c r="L1948">
        <f t="shared" si="219"/>
        <v>2018</v>
      </c>
      <c r="N1948" s="17">
        <f t="shared" si="222"/>
        <v>43221</v>
      </c>
      <c r="S1948">
        <f t="shared" si="223"/>
        <v>1</v>
      </c>
    </row>
    <row r="1949" spans="1:19" x14ac:dyDescent="0.3">
      <c r="A1949" s="17">
        <v>43222</v>
      </c>
      <c r="B1949">
        <v>409.96</v>
      </c>
      <c r="C1949">
        <v>70.459999999999994</v>
      </c>
      <c r="D1949">
        <f t="shared" si="220"/>
        <v>339.5</v>
      </c>
      <c r="E1949">
        <v>0.51</v>
      </c>
      <c r="F1949">
        <f t="shared" si="221"/>
        <v>-338.99</v>
      </c>
      <c r="I1949">
        <f t="shared" si="217"/>
        <v>2</v>
      </c>
      <c r="J1949">
        <v>1</v>
      </c>
      <c r="K1949">
        <f t="shared" si="218"/>
        <v>5</v>
      </c>
      <c r="L1949">
        <f t="shared" si="219"/>
        <v>2018</v>
      </c>
      <c r="N1949" s="17">
        <f t="shared" si="222"/>
        <v>43221</v>
      </c>
      <c r="S1949">
        <f t="shared" si="223"/>
        <v>1</v>
      </c>
    </row>
    <row r="1950" spans="1:19" x14ac:dyDescent="0.3">
      <c r="A1950" s="17">
        <v>43220</v>
      </c>
      <c r="B1950">
        <v>401.86</v>
      </c>
      <c r="C1950">
        <v>69.97</v>
      </c>
      <c r="D1950">
        <f t="shared" si="220"/>
        <v>331.89</v>
      </c>
      <c r="E1950">
        <v>0.44</v>
      </c>
      <c r="F1950">
        <f t="shared" si="221"/>
        <v>-331.45</v>
      </c>
      <c r="I1950">
        <f t="shared" si="217"/>
        <v>30</v>
      </c>
      <c r="J1950">
        <v>1</v>
      </c>
      <c r="K1950">
        <f t="shared" si="218"/>
        <v>4</v>
      </c>
      <c r="L1950">
        <f t="shared" si="219"/>
        <v>2018</v>
      </c>
      <c r="N1950" s="17">
        <f t="shared" si="222"/>
        <v>43191</v>
      </c>
      <c r="S1950">
        <f t="shared" si="223"/>
        <v>0</v>
      </c>
    </row>
    <row r="1951" spans="1:19" x14ac:dyDescent="0.3">
      <c r="A1951" s="17">
        <v>43217</v>
      </c>
      <c r="B1951">
        <v>403.13</v>
      </c>
      <c r="C1951">
        <v>70.81</v>
      </c>
      <c r="D1951">
        <f t="shared" si="220"/>
        <v>332.32</v>
      </c>
      <c r="E1951">
        <v>0.44</v>
      </c>
      <c r="F1951">
        <f t="shared" si="221"/>
        <v>-331.88</v>
      </c>
      <c r="I1951">
        <f t="shared" si="217"/>
        <v>27</v>
      </c>
      <c r="J1951">
        <v>1</v>
      </c>
      <c r="K1951">
        <f t="shared" si="218"/>
        <v>4</v>
      </c>
      <c r="L1951">
        <f t="shared" si="219"/>
        <v>2018</v>
      </c>
      <c r="N1951" s="17">
        <f t="shared" si="222"/>
        <v>43191</v>
      </c>
      <c r="S1951">
        <f t="shared" si="223"/>
        <v>0</v>
      </c>
    </row>
    <row r="1952" spans="1:19" x14ac:dyDescent="0.3">
      <c r="A1952" s="17">
        <v>43216</v>
      </c>
      <c r="B1952">
        <v>400.83</v>
      </c>
      <c r="C1952">
        <v>70.650000000000006</v>
      </c>
      <c r="D1952">
        <f t="shared" si="220"/>
        <v>330.17999999999995</v>
      </c>
      <c r="E1952">
        <v>0.48</v>
      </c>
      <c r="F1952">
        <f t="shared" si="221"/>
        <v>-329.69999999999993</v>
      </c>
      <c r="I1952">
        <f t="shared" si="217"/>
        <v>26</v>
      </c>
      <c r="J1952">
        <v>1</v>
      </c>
      <c r="K1952">
        <f t="shared" si="218"/>
        <v>4</v>
      </c>
      <c r="L1952">
        <f t="shared" si="219"/>
        <v>2018</v>
      </c>
      <c r="N1952" s="17">
        <f t="shared" si="222"/>
        <v>43191</v>
      </c>
      <c r="S1952">
        <f t="shared" si="223"/>
        <v>0</v>
      </c>
    </row>
    <row r="1953" spans="1:19" x14ac:dyDescent="0.3">
      <c r="A1953" s="17">
        <v>43215</v>
      </c>
      <c r="B1953">
        <v>393.31</v>
      </c>
      <c r="C1953">
        <v>70.349999999999994</v>
      </c>
      <c r="D1953">
        <f t="shared" si="220"/>
        <v>322.96000000000004</v>
      </c>
      <c r="E1953">
        <v>0.47</v>
      </c>
      <c r="F1953">
        <f t="shared" si="221"/>
        <v>-322.49</v>
      </c>
      <c r="I1953">
        <f t="shared" si="217"/>
        <v>25</v>
      </c>
      <c r="J1953">
        <v>1</v>
      </c>
      <c r="K1953">
        <f t="shared" si="218"/>
        <v>4</v>
      </c>
      <c r="L1953">
        <f t="shared" si="219"/>
        <v>2018</v>
      </c>
      <c r="N1953" s="17">
        <f t="shared" si="222"/>
        <v>43191</v>
      </c>
      <c r="S1953">
        <f t="shared" si="223"/>
        <v>0</v>
      </c>
    </row>
    <row r="1954" spans="1:19" x14ac:dyDescent="0.3">
      <c r="A1954" s="17">
        <v>43214</v>
      </c>
      <c r="B1954">
        <v>398.93</v>
      </c>
      <c r="C1954">
        <v>71.260000000000005</v>
      </c>
      <c r="D1954">
        <f t="shared" si="220"/>
        <v>327.67</v>
      </c>
      <c r="E1954">
        <v>0.53</v>
      </c>
      <c r="F1954">
        <f t="shared" si="221"/>
        <v>-327.14000000000004</v>
      </c>
      <c r="I1954">
        <f t="shared" si="217"/>
        <v>24</v>
      </c>
      <c r="J1954">
        <v>1</v>
      </c>
      <c r="K1954">
        <f t="shared" si="218"/>
        <v>4</v>
      </c>
      <c r="L1954">
        <f t="shared" si="219"/>
        <v>2018</v>
      </c>
      <c r="N1954" s="17">
        <f t="shared" si="222"/>
        <v>43191</v>
      </c>
      <c r="S1954">
        <f t="shared" si="223"/>
        <v>0</v>
      </c>
    </row>
    <row r="1955" spans="1:19" x14ac:dyDescent="0.3">
      <c r="A1955" s="17">
        <v>43213</v>
      </c>
      <c r="B1955">
        <v>394.8</v>
      </c>
      <c r="C1955">
        <v>70.25</v>
      </c>
      <c r="D1955">
        <f t="shared" si="220"/>
        <v>324.55</v>
      </c>
      <c r="E1955">
        <v>0.55000000000000004</v>
      </c>
      <c r="F1955">
        <f t="shared" si="221"/>
        <v>-324</v>
      </c>
      <c r="I1955">
        <f t="shared" si="217"/>
        <v>23</v>
      </c>
      <c r="J1955">
        <v>1</v>
      </c>
      <c r="K1955">
        <f t="shared" si="218"/>
        <v>4</v>
      </c>
      <c r="L1955">
        <f t="shared" si="219"/>
        <v>2018</v>
      </c>
      <c r="N1955" s="17">
        <f t="shared" si="222"/>
        <v>43191</v>
      </c>
      <c r="S1955">
        <f t="shared" si="223"/>
        <v>0</v>
      </c>
    </row>
    <row r="1956" spans="1:19" x14ac:dyDescent="0.3">
      <c r="A1956" s="17">
        <v>43210</v>
      </c>
      <c r="B1956">
        <v>394.79</v>
      </c>
      <c r="C1956">
        <v>70.349999999999994</v>
      </c>
      <c r="D1956">
        <f t="shared" si="220"/>
        <v>324.44000000000005</v>
      </c>
      <c r="E1956">
        <v>0.55000000000000004</v>
      </c>
      <c r="F1956">
        <f t="shared" si="221"/>
        <v>-323.89000000000004</v>
      </c>
      <c r="I1956">
        <f t="shared" si="217"/>
        <v>20</v>
      </c>
      <c r="J1956">
        <v>1</v>
      </c>
      <c r="K1956">
        <f t="shared" si="218"/>
        <v>4</v>
      </c>
      <c r="L1956">
        <f t="shared" si="219"/>
        <v>2018</v>
      </c>
      <c r="N1956" s="17">
        <f t="shared" si="222"/>
        <v>43191</v>
      </c>
      <c r="S1956">
        <f t="shared" si="223"/>
        <v>0</v>
      </c>
    </row>
    <row r="1957" spans="1:19" x14ac:dyDescent="0.3">
      <c r="A1957" s="17">
        <v>43209</v>
      </c>
      <c r="B1957">
        <v>396.24</v>
      </c>
      <c r="C1957">
        <v>70.790000000000006</v>
      </c>
      <c r="D1957">
        <f t="shared" si="220"/>
        <v>325.45</v>
      </c>
      <c r="E1957">
        <v>0.5</v>
      </c>
      <c r="F1957">
        <f t="shared" si="221"/>
        <v>-324.95</v>
      </c>
      <c r="I1957">
        <f t="shared" si="217"/>
        <v>19</v>
      </c>
      <c r="J1957">
        <v>1</v>
      </c>
      <c r="K1957">
        <f t="shared" si="218"/>
        <v>4</v>
      </c>
      <c r="L1957">
        <f t="shared" si="219"/>
        <v>2018</v>
      </c>
      <c r="N1957" s="17">
        <f t="shared" si="222"/>
        <v>43191</v>
      </c>
      <c r="S1957">
        <f t="shared" si="223"/>
        <v>0</v>
      </c>
    </row>
    <row r="1958" spans="1:19" x14ac:dyDescent="0.3">
      <c r="A1958" s="17">
        <v>43208</v>
      </c>
      <c r="B1958">
        <v>386.6</v>
      </c>
      <c r="C1958">
        <v>68.855000000000004</v>
      </c>
      <c r="D1958">
        <f t="shared" si="220"/>
        <v>317.745</v>
      </c>
      <c r="E1958">
        <v>0.46</v>
      </c>
      <c r="F1958">
        <f t="shared" si="221"/>
        <v>-317.28500000000003</v>
      </c>
      <c r="I1958">
        <f t="shared" si="217"/>
        <v>18</v>
      </c>
      <c r="J1958">
        <v>1</v>
      </c>
      <c r="K1958">
        <f t="shared" si="218"/>
        <v>4</v>
      </c>
      <c r="L1958">
        <f t="shared" si="219"/>
        <v>2018</v>
      </c>
      <c r="N1958" s="17">
        <f t="shared" si="222"/>
        <v>43191</v>
      </c>
      <c r="S1958">
        <f t="shared" si="223"/>
        <v>0</v>
      </c>
    </row>
    <row r="1959" spans="1:19" x14ac:dyDescent="0.3">
      <c r="A1959" s="17">
        <v>43207</v>
      </c>
      <c r="B1959">
        <v>383.76</v>
      </c>
      <c r="C1959">
        <v>68.19</v>
      </c>
      <c r="D1959">
        <f t="shared" si="220"/>
        <v>315.57</v>
      </c>
      <c r="E1959">
        <v>0.41</v>
      </c>
      <c r="F1959">
        <f t="shared" si="221"/>
        <v>-315.15999999999997</v>
      </c>
      <c r="I1959">
        <f t="shared" si="217"/>
        <v>17</v>
      </c>
      <c r="J1959">
        <v>1</v>
      </c>
      <c r="K1959">
        <f t="shared" si="218"/>
        <v>4</v>
      </c>
      <c r="L1959">
        <f t="shared" si="219"/>
        <v>2018</v>
      </c>
      <c r="N1959" s="17">
        <f t="shared" si="222"/>
        <v>43191</v>
      </c>
      <c r="S1959">
        <f t="shared" si="223"/>
        <v>0</v>
      </c>
    </row>
    <row r="1960" spans="1:19" x14ac:dyDescent="0.3">
      <c r="A1960" s="17">
        <v>43206</v>
      </c>
      <c r="B1960">
        <v>384.89</v>
      </c>
      <c r="C1960">
        <v>68.14</v>
      </c>
      <c r="D1960">
        <f t="shared" si="220"/>
        <v>316.75</v>
      </c>
      <c r="E1960">
        <v>0.33</v>
      </c>
      <c r="F1960">
        <f t="shared" si="221"/>
        <v>-316.42</v>
      </c>
      <c r="I1960">
        <f t="shared" si="217"/>
        <v>16</v>
      </c>
      <c r="J1960">
        <v>1</v>
      </c>
      <c r="K1960">
        <f t="shared" si="218"/>
        <v>4</v>
      </c>
      <c r="L1960">
        <f t="shared" si="219"/>
        <v>2018</v>
      </c>
      <c r="N1960" s="17">
        <f t="shared" si="222"/>
        <v>43191</v>
      </c>
      <c r="S1960">
        <f t="shared" si="223"/>
        <v>0</v>
      </c>
    </row>
    <row r="1961" spans="1:19" x14ac:dyDescent="0.3">
      <c r="A1961" s="17">
        <v>43203</v>
      </c>
      <c r="B1961">
        <v>388.45</v>
      </c>
      <c r="C1961">
        <v>69.09</v>
      </c>
      <c r="D1961">
        <f t="shared" si="220"/>
        <v>319.36</v>
      </c>
      <c r="E1961">
        <v>0.26</v>
      </c>
      <c r="F1961">
        <f t="shared" si="221"/>
        <v>-319.10000000000002</v>
      </c>
      <c r="I1961">
        <f t="shared" si="217"/>
        <v>13</v>
      </c>
      <c r="J1961">
        <v>1</v>
      </c>
      <c r="K1961">
        <f t="shared" si="218"/>
        <v>4</v>
      </c>
      <c r="L1961">
        <f t="shared" si="219"/>
        <v>2018</v>
      </c>
      <c r="N1961" s="17">
        <f t="shared" si="222"/>
        <v>43191</v>
      </c>
      <c r="S1961">
        <f t="shared" si="223"/>
        <v>0</v>
      </c>
    </row>
    <row r="1962" spans="1:19" x14ac:dyDescent="0.3">
      <c r="A1962" s="17">
        <v>43202</v>
      </c>
      <c r="B1962">
        <v>384.98</v>
      </c>
      <c r="C1962">
        <v>68.64</v>
      </c>
      <c r="D1962">
        <f t="shared" si="220"/>
        <v>316.34000000000003</v>
      </c>
      <c r="E1962">
        <v>0.28000000000000003</v>
      </c>
      <c r="F1962">
        <f t="shared" si="221"/>
        <v>-316.06000000000006</v>
      </c>
      <c r="I1962">
        <f t="shared" si="217"/>
        <v>12</v>
      </c>
      <c r="J1962">
        <v>1</v>
      </c>
      <c r="K1962">
        <f t="shared" si="218"/>
        <v>4</v>
      </c>
      <c r="L1962">
        <f t="shared" si="219"/>
        <v>2018</v>
      </c>
      <c r="N1962" s="17">
        <f t="shared" si="222"/>
        <v>43191</v>
      </c>
      <c r="S1962">
        <f t="shared" si="223"/>
        <v>0</v>
      </c>
    </row>
    <row r="1963" spans="1:19" x14ac:dyDescent="0.3">
      <c r="A1963" s="17">
        <v>43201</v>
      </c>
      <c r="B1963">
        <v>377.82</v>
      </c>
      <c r="C1963">
        <v>67.55</v>
      </c>
      <c r="D1963">
        <f t="shared" si="220"/>
        <v>310.27</v>
      </c>
      <c r="E1963">
        <v>0.28000000000000003</v>
      </c>
      <c r="F1963">
        <f t="shared" si="221"/>
        <v>-309.99</v>
      </c>
      <c r="I1963">
        <f t="shared" si="217"/>
        <v>11</v>
      </c>
      <c r="J1963">
        <v>1</v>
      </c>
      <c r="K1963">
        <f t="shared" si="218"/>
        <v>4</v>
      </c>
      <c r="L1963">
        <f t="shared" si="219"/>
        <v>2018</v>
      </c>
      <c r="N1963" s="17">
        <f t="shared" si="222"/>
        <v>43191</v>
      </c>
      <c r="S1963">
        <f t="shared" si="223"/>
        <v>0</v>
      </c>
    </row>
    <row r="1964" spans="1:19" x14ac:dyDescent="0.3">
      <c r="A1964" s="17">
        <v>43200</v>
      </c>
      <c r="B1964">
        <v>376.93</v>
      </c>
      <c r="C1964">
        <v>66.545000000000002</v>
      </c>
      <c r="D1964">
        <f t="shared" si="220"/>
        <v>310.38499999999999</v>
      </c>
      <c r="E1964">
        <v>0.28000000000000003</v>
      </c>
      <c r="F1964">
        <f t="shared" si="221"/>
        <v>-310.10500000000002</v>
      </c>
      <c r="I1964">
        <f t="shared" si="217"/>
        <v>10</v>
      </c>
      <c r="J1964">
        <v>1</v>
      </c>
      <c r="K1964">
        <f t="shared" si="218"/>
        <v>4</v>
      </c>
      <c r="L1964">
        <f t="shared" si="219"/>
        <v>2018</v>
      </c>
      <c r="N1964" s="17">
        <f t="shared" si="222"/>
        <v>43191</v>
      </c>
      <c r="S1964">
        <f t="shared" si="223"/>
        <v>0</v>
      </c>
    </row>
    <row r="1965" spans="1:19" x14ac:dyDescent="0.3">
      <c r="A1965" s="17">
        <v>43199</v>
      </c>
      <c r="B1965">
        <v>371.11</v>
      </c>
      <c r="C1965">
        <v>64.75</v>
      </c>
      <c r="D1965">
        <f t="shared" si="220"/>
        <v>306.36</v>
      </c>
      <c r="E1965">
        <v>0.3</v>
      </c>
      <c r="F1965">
        <f t="shared" si="221"/>
        <v>-306.06</v>
      </c>
      <c r="I1965">
        <f t="shared" si="217"/>
        <v>9</v>
      </c>
      <c r="J1965">
        <v>1</v>
      </c>
      <c r="K1965">
        <f t="shared" si="218"/>
        <v>4</v>
      </c>
      <c r="L1965">
        <f t="shared" si="219"/>
        <v>2018</v>
      </c>
      <c r="N1965" s="17">
        <f t="shared" si="222"/>
        <v>43191</v>
      </c>
      <c r="S1965">
        <f t="shared" si="223"/>
        <v>0</v>
      </c>
    </row>
    <row r="1966" spans="1:19" x14ac:dyDescent="0.3">
      <c r="A1966" s="17">
        <v>43196</v>
      </c>
      <c r="B1966">
        <v>371.29</v>
      </c>
      <c r="C1966">
        <v>65.34</v>
      </c>
      <c r="D1966">
        <f t="shared" si="220"/>
        <v>305.95000000000005</v>
      </c>
      <c r="E1966">
        <v>0.36</v>
      </c>
      <c r="F1966">
        <f t="shared" si="221"/>
        <v>-305.59000000000003</v>
      </c>
      <c r="I1966">
        <f t="shared" si="217"/>
        <v>6</v>
      </c>
      <c r="J1966">
        <v>1</v>
      </c>
      <c r="K1966">
        <f t="shared" si="218"/>
        <v>4</v>
      </c>
      <c r="L1966">
        <f t="shared" si="219"/>
        <v>2018</v>
      </c>
      <c r="N1966" s="17">
        <f t="shared" si="222"/>
        <v>43191</v>
      </c>
      <c r="S1966">
        <f t="shared" si="223"/>
        <v>0</v>
      </c>
    </row>
    <row r="1967" spans="1:19" x14ac:dyDescent="0.3">
      <c r="A1967" s="17">
        <v>43195</v>
      </c>
      <c r="B1967">
        <v>371.58</v>
      </c>
      <c r="C1967">
        <v>65.400000000000006</v>
      </c>
      <c r="D1967">
        <f t="shared" si="220"/>
        <v>306.17999999999995</v>
      </c>
      <c r="E1967">
        <v>0.36</v>
      </c>
      <c r="F1967">
        <f t="shared" si="221"/>
        <v>-305.81999999999994</v>
      </c>
      <c r="I1967">
        <f t="shared" si="217"/>
        <v>5</v>
      </c>
      <c r="J1967">
        <v>1</v>
      </c>
      <c r="K1967">
        <f t="shared" si="218"/>
        <v>4</v>
      </c>
      <c r="L1967">
        <f t="shared" si="219"/>
        <v>2018</v>
      </c>
      <c r="N1967" s="17">
        <f t="shared" si="222"/>
        <v>43191</v>
      </c>
      <c r="S1967">
        <f t="shared" si="223"/>
        <v>0</v>
      </c>
    </row>
    <row r="1968" spans="1:19" x14ac:dyDescent="0.3">
      <c r="A1968" s="17">
        <v>43194</v>
      </c>
      <c r="B1968">
        <v>363.47</v>
      </c>
      <c r="C1968">
        <v>64.69</v>
      </c>
      <c r="D1968">
        <f t="shared" si="220"/>
        <v>298.78000000000003</v>
      </c>
      <c r="E1968">
        <v>0.41</v>
      </c>
      <c r="F1968">
        <f t="shared" si="221"/>
        <v>-298.37</v>
      </c>
      <c r="I1968">
        <f t="shared" si="217"/>
        <v>4</v>
      </c>
      <c r="J1968">
        <v>1</v>
      </c>
      <c r="K1968">
        <f t="shared" si="218"/>
        <v>4</v>
      </c>
      <c r="L1968">
        <f t="shared" si="219"/>
        <v>2018</v>
      </c>
      <c r="N1968" s="17">
        <f t="shared" si="222"/>
        <v>43191</v>
      </c>
      <c r="S1968">
        <f t="shared" si="223"/>
        <v>1</v>
      </c>
    </row>
    <row r="1969" spans="1:19" x14ac:dyDescent="0.3">
      <c r="A1969" s="17">
        <v>43193</v>
      </c>
      <c r="B1969">
        <v>363.14</v>
      </c>
      <c r="C1969">
        <v>65.204999999999998</v>
      </c>
      <c r="D1969">
        <f t="shared" si="220"/>
        <v>297.935</v>
      </c>
      <c r="E1969">
        <v>0.45</v>
      </c>
      <c r="F1969">
        <f t="shared" si="221"/>
        <v>-297.48500000000001</v>
      </c>
      <c r="I1969">
        <f t="shared" si="217"/>
        <v>3</v>
      </c>
      <c r="J1969">
        <v>1</v>
      </c>
      <c r="K1969">
        <f t="shared" si="218"/>
        <v>4</v>
      </c>
      <c r="L1969">
        <f t="shared" si="219"/>
        <v>2018</v>
      </c>
      <c r="N1969" s="17">
        <f t="shared" si="222"/>
        <v>43191</v>
      </c>
      <c r="S1969">
        <f t="shared" si="223"/>
        <v>1</v>
      </c>
    </row>
    <row r="1970" spans="1:19" x14ac:dyDescent="0.3">
      <c r="A1970" s="17">
        <v>43192</v>
      </c>
      <c r="B1970">
        <v>369.78</v>
      </c>
      <c r="C1970">
        <v>66.86</v>
      </c>
      <c r="D1970">
        <f t="shared" si="220"/>
        <v>302.91999999999996</v>
      </c>
      <c r="E1970">
        <v>0.51</v>
      </c>
      <c r="F1970">
        <f t="shared" si="221"/>
        <v>-302.40999999999997</v>
      </c>
      <c r="I1970">
        <f t="shared" si="217"/>
        <v>2</v>
      </c>
      <c r="J1970">
        <v>1</v>
      </c>
      <c r="K1970">
        <f t="shared" si="218"/>
        <v>4</v>
      </c>
      <c r="L1970">
        <f t="shared" si="219"/>
        <v>2018</v>
      </c>
      <c r="N1970" s="17">
        <f t="shared" si="222"/>
        <v>43191</v>
      </c>
      <c r="S1970">
        <f t="shared" si="223"/>
        <v>1</v>
      </c>
    </row>
    <row r="1971" spans="1:19" x14ac:dyDescent="0.3">
      <c r="A1971" s="17">
        <v>43188</v>
      </c>
      <c r="B1971">
        <v>366.48</v>
      </c>
      <c r="C1971">
        <v>65.400000000000006</v>
      </c>
      <c r="D1971">
        <f t="shared" si="220"/>
        <v>301.08000000000004</v>
      </c>
      <c r="E1971">
        <v>0.48</v>
      </c>
      <c r="F1971">
        <f t="shared" si="221"/>
        <v>-300.60000000000002</v>
      </c>
      <c r="I1971">
        <f t="shared" si="217"/>
        <v>29</v>
      </c>
      <c r="J1971">
        <v>1</v>
      </c>
      <c r="K1971">
        <f t="shared" si="218"/>
        <v>3</v>
      </c>
      <c r="L1971">
        <f t="shared" si="219"/>
        <v>2018</v>
      </c>
      <c r="N1971" s="17">
        <f t="shared" si="222"/>
        <v>43160</v>
      </c>
      <c r="S1971">
        <f t="shared" si="223"/>
        <v>0</v>
      </c>
    </row>
    <row r="1972" spans="1:19" x14ac:dyDescent="0.3">
      <c r="A1972" s="17">
        <v>43187</v>
      </c>
      <c r="B1972">
        <v>368.41</v>
      </c>
      <c r="C1972">
        <v>65.2</v>
      </c>
      <c r="D1972">
        <f t="shared" si="220"/>
        <v>303.21000000000004</v>
      </c>
      <c r="E1972">
        <v>0.45</v>
      </c>
      <c r="F1972">
        <f t="shared" si="221"/>
        <v>-302.76000000000005</v>
      </c>
      <c r="I1972">
        <f t="shared" si="217"/>
        <v>28</v>
      </c>
      <c r="J1972">
        <v>1</v>
      </c>
      <c r="K1972">
        <f t="shared" si="218"/>
        <v>3</v>
      </c>
      <c r="L1972">
        <f t="shared" si="219"/>
        <v>2018</v>
      </c>
      <c r="N1972" s="17">
        <f t="shared" si="222"/>
        <v>43160</v>
      </c>
      <c r="S1972">
        <f t="shared" si="223"/>
        <v>0</v>
      </c>
    </row>
    <row r="1973" spans="1:19" x14ac:dyDescent="0.3">
      <c r="A1973" s="17">
        <v>43186</v>
      </c>
      <c r="B1973">
        <v>371.47</v>
      </c>
      <c r="C1973">
        <v>65.849999999999994</v>
      </c>
      <c r="D1973">
        <f t="shared" si="220"/>
        <v>305.62</v>
      </c>
      <c r="E1973">
        <v>0.38</v>
      </c>
      <c r="F1973">
        <f t="shared" si="221"/>
        <v>-305.24</v>
      </c>
      <c r="I1973">
        <f t="shared" si="217"/>
        <v>27</v>
      </c>
      <c r="J1973">
        <v>1</v>
      </c>
      <c r="K1973">
        <f t="shared" si="218"/>
        <v>3</v>
      </c>
      <c r="L1973">
        <f t="shared" si="219"/>
        <v>2018</v>
      </c>
      <c r="N1973" s="17">
        <f t="shared" si="222"/>
        <v>43160</v>
      </c>
      <c r="S1973">
        <f t="shared" si="223"/>
        <v>0</v>
      </c>
    </row>
    <row r="1974" spans="1:19" x14ac:dyDescent="0.3">
      <c r="A1974" s="17">
        <v>43185</v>
      </c>
      <c r="B1974">
        <v>374.75</v>
      </c>
      <c r="C1974">
        <v>65.83</v>
      </c>
      <c r="D1974">
        <f t="shared" si="220"/>
        <v>308.92</v>
      </c>
      <c r="E1974">
        <v>0.3</v>
      </c>
      <c r="F1974">
        <f t="shared" si="221"/>
        <v>-308.62</v>
      </c>
      <c r="I1974">
        <f t="shared" si="217"/>
        <v>26</v>
      </c>
      <c r="J1974">
        <v>1</v>
      </c>
      <c r="K1974">
        <f t="shared" si="218"/>
        <v>3</v>
      </c>
      <c r="L1974">
        <f t="shared" si="219"/>
        <v>2018</v>
      </c>
      <c r="N1974" s="17">
        <f t="shared" si="222"/>
        <v>43160</v>
      </c>
      <c r="S1974">
        <f t="shared" si="223"/>
        <v>0</v>
      </c>
    </row>
    <row r="1975" spans="1:19" x14ac:dyDescent="0.3">
      <c r="A1975" s="17">
        <v>43182</v>
      </c>
      <c r="B1975">
        <v>371.52</v>
      </c>
      <c r="C1975">
        <v>65.400000000000006</v>
      </c>
      <c r="D1975">
        <f t="shared" si="220"/>
        <v>306.12</v>
      </c>
      <c r="E1975">
        <v>0.3</v>
      </c>
      <c r="F1975">
        <f t="shared" si="221"/>
        <v>-305.82</v>
      </c>
      <c r="I1975">
        <f t="shared" si="217"/>
        <v>23</v>
      </c>
      <c r="J1975">
        <v>1</v>
      </c>
      <c r="K1975">
        <f t="shared" si="218"/>
        <v>3</v>
      </c>
      <c r="L1975">
        <f t="shared" si="219"/>
        <v>2018</v>
      </c>
      <c r="N1975" s="17">
        <f t="shared" si="222"/>
        <v>43160</v>
      </c>
      <c r="S1975">
        <f t="shared" si="223"/>
        <v>0</v>
      </c>
    </row>
    <row r="1976" spans="1:19" x14ac:dyDescent="0.3">
      <c r="A1976" s="17">
        <v>43181</v>
      </c>
      <c r="B1976">
        <v>369.37</v>
      </c>
      <c r="C1976">
        <v>65.41</v>
      </c>
      <c r="D1976">
        <f t="shared" si="220"/>
        <v>303.96000000000004</v>
      </c>
      <c r="E1976">
        <v>0.25</v>
      </c>
      <c r="F1976">
        <f t="shared" si="221"/>
        <v>-303.71000000000004</v>
      </c>
      <c r="I1976">
        <f t="shared" si="217"/>
        <v>22</v>
      </c>
      <c r="J1976">
        <v>1</v>
      </c>
      <c r="K1976">
        <f t="shared" si="218"/>
        <v>3</v>
      </c>
      <c r="L1976">
        <f t="shared" si="219"/>
        <v>2018</v>
      </c>
      <c r="N1976" s="17">
        <f t="shared" si="222"/>
        <v>43160</v>
      </c>
      <c r="S1976">
        <f t="shared" si="223"/>
        <v>0</v>
      </c>
    </row>
    <row r="1977" spans="1:19" x14ac:dyDescent="0.3">
      <c r="A1977" s="17">
        <v>43180</v>
      </c>
      <c r="B1977">
        <v>363.1</v>
      </c>
      <c r="C1977">
        <v>63.86</v>
      </c>
      <c r="D1977">
        <f t="shared" si="220"/>
        <v>299.24</v>
      </c>
      <c r="E1977">
        <v>0.28999999999999998</v>
      </c>
      <c r="F1977">
        <f t="shared" si="221"/>
        <v>-298.95</v>
      </c>
      <c r="I1977">
        <f t="shared" si="217"/>
        <v>21</v>
      </c>
      <c r="J1977">
        <v>1</v>
      </c>
      <c r="K1977">
        <f t="shared" si="218"/>
        <v>3</v>
      </c>
      <c r="L1977">
        <f t="shared" si="219"/>
        <v>2018</v>
      </c>
      <c r="N1977" s="17">
        <f t="shared" si="222"/>
        <v>43160</v>
      </c>
      <c r="S1977">
        <f t="shared" si="223"/>
        <v>0</v>
      </c>
    </row>
    <row r="1978" spans="1:19" x14ac:dyDescent="0.3">
      <c r="A1978" s="17">
        <v>43179</v>
      </c>
      <c r="B1978">
        <v>361.27</v>
      </c>
      <c r="C1978">
        <v>63</v>
      </c>
      <c r="D1978">
        <f t="shared" si="220"/>
        <v>298.27</v>
      </c>
      <c r="E1978">
        <v>0.28000000000000003</v>
      </c>
      <c r="F1978">
        <f t="shared" si="221"/>
        <v>-297.99</v>
      </c>
      <c r="I1978">
        <f t="shared" si="217"/>
        <v>20</v>
      </c>
      <c r="J1978">
        <v>1</v>
      </c>
      <c r="K1978">
        <f t="shared" si="218"/>
        <v>3</v>
      </c>
      <c r="L1978">
        <f t="shared" si="219"/>
        <v>2018</v>
      </c>
      <c r="N1978" s="17">
        <f t="shared" si="222"/>
        <v>43160</v>
      </c>
      <c r="S1978">
        <f t="shared" si="223"/>
        <v>0</v>
      </c>
    </row>
    <row r="1979" spans="1:19" x14ac:dyDescent="0.3">
      <c r="A1979" s="17">
        <v>43178</v>
      </c>
      <c r="B1979">
        <v>359.22</v>
      </c>
      <c r="C1979">
        <v>62.46</v>
      </c>
      <c r="D1979">
        <f t="shared" si="220"/>
        <v>296.76000000000005</v>
      </c>
      <c r="E1979">
        <v>0.3</v>
      </c>
      <c r="F1979">
        <f t="shared" si="221"/>
        <v>-296.46000000000004</v>
      </c>
      <c r="I1979">
        <f t="shared" si="217"/>
        <v>19</v>
      </c>
      <c r="J1979">
        <v>1</v>
      </c>
      <c r="K1979">
        <f t="shared" si="218"/>
        <v>3</v>
      </c>
      <c r="L1979">
        <f t="shared" si="219"/>
        <v>2018</v>
      </c>
      <c r="N1979" s="17">
        <f t="shared" si="222"/>
        <v>43160</v>
      </c>
      <c r="S1979">
        <f t="shared" si="223"/>
        <v>0</v>
      </c>
    </row>
    <row r="1980" spans="1:19" x14ac:dyDescent="0.3">
      <c r="A1980" s="17">
        <v>43175</v>
      </c>
      <c r="B1980">
        <v>358.26</v>
      </c>
      <c r="C1980">
        <v>61.75</v>
      </c>
      <c r="D1980">
        <f t="shared" si="220"/>
        <v>296.51</v>
      </c>
      <c r="E1980">
        <v>0.28999999999999998</v>
      </c>
      <c r="F1980">
        <f t="shared" si="221"/>
        <v>-296.21999999999997</v>
      </c>
      <c r="I1980">
        <f t="shared" si="217"/>
        <v>16</v>
      </c>
      <c r="J1980">
        <v>1</v>
      </c>
      <c r="K1980">
        <f t="shared" si="218"/>
        <v>3</v>
      </c>
      <c r="L1980">
        <f t="shared" si="219"/>
        <v>2018</v>
      </c>
      <c r="N1980" s="17">
        <f t="shared" si="222"/>
        <v>43160</v>
      </c>
      <c r="S1980">
        <f t="shared" si="223"/>
        <v>0</v>
      </c>
    </row>
    <row r="1981" spans="1:19" x14ac:dyDescent="0.3">
      <c r="A1981" s="17">
        <v>43174</v>
      </c>
      <c r="B1981">
        <v>357.08</v>
      </c>
      <c r="C1981">
        <v>61.4</v>
      </c>
      <c r="D1981">
        <f t="shared" si="220"/>
        <v>295.68</v>
      </c>
      <c r="E1981">
        <v>0.31</v>
      </c>
      <c r="F1981">
        <f t="shared" si="221"/>
        <v>-295.37</v>
      </c>
      <c r="I1981">
        <f t="shared" si="217"/>
        <v>15</v>
      </c>
      <c r="J1981">
        <v>1</v>
      </c>
      <c r="K1981">
        <f t="shared" si="218"/>
        <v>3</v>
      </c>
      <c r="L1981">
        <f t="shared" si="219"/>
        <v>2018</v>
      </c>
      <c r="N1981" s="17">
        <f t="shared" si="222"/>
        <v>43160</v>
      </c>
      <c r="S1981">
        <f t="shared" si="223"/>
        <v>0</v>
      </c>
    </row>
    <row r="1982" spans="1:19" x14ac:dyDescent="0.3">
      <c r="A1982" s="17">
        <v>43173</v>
      </c>
      <c r="B1982">
        <v>357.15</v>
      </c>
      <c r="C1982">
        <v>61.25</v>
      </c>
      <c r="D1982">
        <f t="shared" si="220"/>
        <v>295.89999999999998</v>
      </c>
      <c r="E1982">
        <v>0.27</v>
      </c>
      <c r="F1982">
        <f t="shared" si="221"/>
        <v>-295.63</v>
      </c>
      <c r="I1982">
        <f t="shared" si="217"/>
        <v>14</v>
      </c>
      <c r="J1982">
        <v>1</v>
      </c>
      <c r="K1982">
        <f t="shared" si="218"/>
        <v>3</v>
      </c>
      <c r="L1982">
        <f t="shared" si="219"/>
        <v>2018</v>
      </c>
      <c r="N1982" s="17">
        <f t="shared" si="222"/>
        <v>43160</v>
      </c>
      <c r="S1982">
        <f t="shared" si="223"/>
        <v>0</v>
      </c>
    </row>
    <row r="1983" spans="1:19" x14ac:dyDescent="0.3">
      <c r="A1983" s="17">
        <v>43172</v>
      </c>
      <c r="B1983">
        <v>360.54</v>
      </c>
      <c r="C1983">
        <v>61.27</v>
      </c>
      <c r="D1983">
        <f t="shared" si="220"/>
        <v>299.27000000000004</v>
      </c>
      <c r="E1983">
        <v>0.22</v>
      </c>
      <c r="F1983">
        <f t="shared" si="221"/>
        <v>-299.05</v>
      </c>
      <c r="I1983">
        <f t="shared" si="217"/>
        <v>13</v>
      </c>
      <c r="J1983">
        <v>1</v>
      </c>
      <c r="K1983">
        <f t="shared" si="218"/>
        <v>3</v>
      </c>
      <c r="L1983">
        <f t="shared" si="219"/>
        <v>2018</v>
      </c>
      <c r="N1983" s="17">
        <f t="shared" si="222"/>
        <v>43160</v>
      </c>
      <c r="S1983">
        <f t="shared" si="223"/>
        <v>0</v>
      </c>
    </row>
    <row r="1984" spans="1:19" x14ac:dyDescent="0.3">
      <c r="A1984" s="17">
        <v>43171</v>
      </c>
      <c r="B1984">
        <v>362.49</v>
      </c>
      <c r="C1984">
        <v>61.65</v>
      </c>
      <c r="D1984">
        <f t="shared" si="220"/>
        <v>300.84000000000003</v>
      </c>
      <c r="E1984">
        <v>0.2</v>
      </c>
      <c r="F1984">
        <f t="shared" si="221"/>
        <v>-300.64000000000004</v>
      </c>
      <c r="I1984">
        <f t="shared" si="217"/>
        <v>12</v>
      </c>
      <c r="J1984">
        <v>1</v>
      </c>
      <c r="K1984">
        <f t="shared" si="218"/>
        <v>3</v>
      </c>
      <c r="L1984">
        <f t="shared" si="219"/>
        <v>2018</v>
      </c>
      <c r="N1984" s="17">
        <f t="shared" si="222"/>
        <v>43160</v>
      </c>
      <c r="S1984">
        <f t="shared" si="223"/>
        <v>0</v>
      </c>
    </row>
    <row r="1985" spans="1:19" x14ac:dyDescent="0.3">
      <c r="A1985" s="17">
        <v>43168</v>
      </c>
      <c r="B1985">
        <v>351.42</v>
      </c>
      <c r="C1985">
        <v>60.24</v>
      </c>
      <c r="D1985">
        <f t="shared" si="220"/>
        <v>291.18</v>
      </c>
      <c r="E1985">
        <v>0.18</v>
      </c>
      <c r="F1985">
        <f t="shared" si="221"/>
        <v>-291</v>
      </c>
      <c r="I1985">
        <f t="shared" si="217"/>
        <v>9</v>
      </c>
      <c r="J1985">
        <v>1</v>
      </c>
      <c r="K1985">
        <f t="shared" si="218"/>
        <v>3</v>
      </c>
      <c r="L1985">
        <f t="shared" si="219"/>
        <v>2018</v>
      </c>
      <c r="N1985" s="17">
        <f t="shared" si="222"/>
        <v>43160</v>
      </c>
      <c r="S1985">
        <f t="shared" si="223"/>
        <v>0</v>
      </c>
    </row>
    <row r="1986" spans="1:19" x14ac:dyDescent="0.3">
      <c r="A1986" s="17">
        <v>43167</v>
      </c>
      <c r="B1986">
        <v>354.59</v>
      </c>
      <c r="C1986">
        <v>60.86</v>
      </c>
      <c r="D1986">
        <f t="shared" si="220"/>
        <v>293.72999999999996</v>
      </c>
      <c r="E1986">
        <v>0.16</v>
      </c>
      <c r="F1986">
        <f t="shared" si="221"/>
        <v>-293.56999999999994</v>
      </c>
      <c r="I1986">
        <f t="shared" si="217"/>
        <v>8</v>
      </c>
      <c r="J1986">
        <v>1</v>
      </c>
      <c r="K1986">
        <f t="shared" si="218"/>
        <v>3</v>
      </c>
      <c r="L1986">
        <f t="shared" si="219"/>
        <v>2018</v>
      </c>
      <c r="N1986" s="17">
        <f t="shared" si="222"/>
        <v>43160</v>
      </c>
      <c r="S1986">
        <f t="shared" si="223"/>
        <v>0</v>
      </c>
    </row>
    <row r="1987" spans="1:19" x14ac:dyDescent="0.3">
      <c r="A1987" s="17">
        <v>43166</v>
      </c>
      <c r="B1987">
        <v>359.34</v>
      </c>
      <c r="C1987">
        <v>61.56</v>
      </c>
      <c r="D1987">
        <f t="shared" si="220"/>
        <v>297.77999999999997</v>
      </c>
      <c r="E1987">
        <v>0.05</v>
      </c>
      <c r="F1987">
        <f t="shared" si="221"/>
        <v>-297.72999999999996</v>
      </c>
      <c r="I1987">
        <f t="shared" si="217"/>
        <v>7</v>
      </c>
      <c r="J1987">
        <v>1</v>
      </c>
      <c r="K1987">
        <f t="shared" si="218"/>
        <v>3</v>
      </c>
      <c r="L1987">
        <f t="shared" si="219"/>
        <v>2018</v>
      </c>
      <c r="N1987" s="17">
        <f t="shared" si="222"/>
        <v>43160</v>
      </c>
      <c r="S1987">
        <f t="shared" si="223"/>
        <v>0</v>
      </c>
    </row>
    <row r="1988" spans="1:19" x14ac:dyDescent="0.3">
      <c r="A1988" s="17">
        <v>43165</v>
      </c>
      <c r="B1988">
        <v>360.69</v>
      </c>
      <c r="C1988">
        <v>62</v>
      </c>
      <c r="D1988">
        <f t="shared" si="220"/>
        <v>298.69</v>
      </c>
      <c r="E1988">
        <v>-0.04</v>
      </c>
      <c r="F1988">
        <f t="shared" si="221"/>
        <v>-298.73</v>
      </c>
      <c r="I1988">
        <f t="shared" si="217"/>
        <v>6</v>
      </c>
      <c r="J1988">
        <v>1</v>
      </c>
      <c r="K1988">
        <f t="shared" si="218"/>
        <v>3</v>
      </c>
      <c r="L1988">
        <f t="shared" si="219"/>
        <v>2018</v>
      </c>
      <c r="N1988" s="17">
        <f t="shared" si="222"/>
        <v>43160</v>
      </c>
      <c r="S1988">
        <f t="shared" si="223"/>
        <v>0</v>
      </c>
    </row>
    <row r="1989" spans="1:19" x14ac:dyDescent="0.3">
      <c r="A1989" s="17">
        <v>43164</v>
      </c>
      <c r="B1989">
        <v>357.25</v>
      </c>
      <c r="C1989">
        <v>61.375</v>
      </c>
      <c r="D1989">
        <f t="shared" si="220"/>
        <v>295.875</v>
      </c>
      <c r="E1989">
        <v>-0.06</v>
      </c>
      <c r="F1989">
        <f t="shared" si="221"/>
        <v>-295.935</v>
      </c>
      <c r="I1989">
        <f t="shared" ref="I1989:I2052" si="224">+DAY(A1989)</f>
        <v>5</v>
      </c>
      <c r="J1989">
        <v>1</v>
      </c>
      <c r="K1989">
        <f t="shared" ref="K1989:K2052" si="225">+MONTH(A1989)</f>
        <v>3</v>
      </c>
      <c r="L1989">
        <f t="shared" ref="L1989:L2052" si="226">+YEAR(A1989)</f>
        <v>2018</v>
      </c>
      <c r="N1989" s="17">
        <f t="shared" si="222"/>
        <v>43160</v>
      </c>
      <c r="S1989">
        <f t="shared" si="223"/>
        <v>0</v>
      </c>
    </row>
    <row r="1990" spans="1:19" x14ac:dyDescent="0.3">
      <c r="A1990" s="17">
        <v>43161</v>
      </c>
      <c r="B1990">
        <v>351.49</v>
      </c>
      <c r="C1990">
        <v>60.31</v>
      </c>
      <c r="D1990">
        <f t="shared" ref="D1990:D2053" si="227">+B1990-C1990</f>
        <v>291.18</v>
      </c>
      <c r="E1990">
        <v>0.02</v>
      </c>
      <c r="F1990">
        <f t="shared" ref="F1990:F2053" si="228">+E1990-D1990</f>
        <v>-291.16000000000003</v>
      </c>
      <c r="I1990">
        <f t="shared" si="224"/>
        <v>2</v>
      </c>
      <c r="J1990">
        <v>1</v>
      </c>
      <c r="K1990">
        <f t="shared" si="225"/>
        <v>3</v>
      </c>
      <c r="L1990">
        <f t="shared" si="226"/>
        <v>2018</v>
      </c>
      <c r="N1990" s="17">
        <f t="shared" ref="N1990:N2053" si="229">+DATE(L1990,K1990,J1990)</f>
        <v>43160</v>
      </c>
      <c r="S1990">
        <f t="shared" ref="S1990:S2053" si="230">IF(AND(I1990&gt;=1, I1990&lt;=4), 1, 0)</f>
        <v>1</v>
      </c>
    </row>
    <row r="1991" spans="1:19" x14ac:dyDescent="0.3">
      <c r="A1991" s="17">
        <v>43160</v>
      </c>
      <c r="B1991">
        <v>354.71</v>
      </c>
      <c r="C1991">
        <v>61.36</v>
      </c>
      <c r="D1991">
        <f t="shared" si="227"/>
        <v>293.34999999999997</v>
      </c>
      <c r="E1991">
        <v>0.09</v>
      </c>
      <c r="F1991">
        <f t="shared" si="228"/>
        <v>-293.26</v>
      </c>
      <c r="I1991">
        <f t="shared" si="224"/>
        <v>1</v>
      </c>
      <c r="J1991">
        <v>1</v>
      </c>
      <c r="K1991">
        <f t="shared" si="225"/>
        <v>3</v>
      </c>
      <c r="L1991">
        <f t="shared" si="226"/>
        <v>2018</v>
      </c>
      <c r="N1991" s="17">
        <f t="shared" si="229"/>
        <v>43160</v>
      </c>
      <c r="S1991">
        <f t="shared" si="230"/>
        <v>1</v>
      </c>
    </row>
    <row r="1992" spans="1:19" x14ac:dyDescent="0.3">
      <c r="A1992" s="17">
        <v>43159</v>
      </c>
      <c r="B1992">
        <v>361.81</v>
      </c>
      <c r="C1992">
        <v>63.2</v>
      </c>
      <c r="D1992">
        <f t="shared" si="227"/>
        <v>298.61</v>
      </c>
      <c r="E1992">
        <v>0.12</v>
      </c>
      <c r="F1992">
        <f t="shared" si="228"/>
        <v>-298.49</v>
      </c>
      <c r="I1992">
        <f t="shared" si="224"/>
        <v>28</v>
      </c>
      <c r="J1992">
        <v>1</v>
      </c>
      <c r="K1992">
        <f t="shared" si="225"/>
        <v>2</v>
      </c>
      <c r="L1992">
        <f t="shared" si="226"/>
        <v>2018</v>
      </c>
      <c r="N1992" s="17">
        <f t="shared" si="229"/>
        <v>43132</v>
      </c>
      <c r="S1992">
        <f t="shared" si="230"/>
        <v>0</v>
      </c>
    </row>
    <row r="1993" spans="1:19" x14ac:dyDescent="0.3">
      <c r="A1993" s="17">
        <v>43158</v>
      </c>
      <c r="B1993">
        <v>366.32</v>
      </c>
      <c r="C1993">
        <v>64.010000000000005</v>
      </c>
      <c r="D1993">
        <f t="shared" si="227"/>
        <v>302.31</v>
      </c>
      <c r="E1993">
        <v>0.09</v>
      </c>
      <c r="F1993">
        <f t="shared" si="228"/>
        <v>-302.22000000000003</v>
      </c>
      <c r="I1993">
        <f t="shared" si="224"/>
        <v>27</v>
      </c>
      <c r="J1993">
        <v>1</v>
      </c>
      <c r="K1993">
        <f t="shared" si="225"/>
        <v>2</v>
      </c>
      <c r="L1993">
        <f t="shared" si="226"/>
        <v>2018</v>
      </c>
      <c r="N1993" s="17">
        <f t="shared" si="229"/>
        <v>43132</v>
      </c>
      <c r="S1993">
        <f t="shared" si="230"/>
        <v>0</v>
      </c>
    </row>
    <row r="1994" spans="1:19" x14ac:dyDescent="0.3">
      <c r="A1994" s="17">
        <v>43157</v>
      </c>
      <c r="B1994">
        <v>367.92</v>
      </c>
      <c r="C1994">
        <v>63.93</v>
      </c>
      <c r="D1994">
        <f t="shared" si="227"/>
        <v>303.99</v>
      </c>
      <c r="E1994">
        <v>7.0000000000000007E-2</v>
      </c>
      <c r="F1994">
        <f t="shared" si="228"/>
        <v>-303.92</v>
      </c>
      <c r="I1994">
        <f t="shared" si="224"/>
        <v>26</v>
      </c>
      <c r="J1994">
        <v>1</v>
      </c>
      <c r="K1994">
        <f t="shared" si="225"/>
        <v>2</v>
      </c>
      <c r="L1994">
        <f t="shared" si="226"/>
        <v>2018</v>
      </c>
      <c r="N1994" s="17">
        <f t="shared" si="229"/>
        <v>43132</v>
      </c>
      <c r="S1994">
        <f t="shared" si="230"/>
        <v>0</v>
      </c>
    </row>
    <row r="1995" spans="1:19" x14ac:dyDescent="0.3">
      <c r="A1995" s="17">
        <v>43154</v>
      </c>
      <c r="B1995">
        <v>364.67</v>
      </c>
      <c r="C1995">
        <v>62.805</v>
      </c>
      <c r="D1995">
        <f t="shared" si="227"/>
        <v>301.86500000000001</v>
      </c>
      <c r="E1995">
        <v>0.05</v>
      </c>
      <c r="F1995">
        <f t="shared" si="228"/>
        <v>-301.815</v>
      </c>
      <c r="I1995">
        <f t="shared" si="224"/>
        <v>23</v>
      </c>
      <c r="J1995">
        <v>1</v>
      </c>
      <c r="K1995">
        <f t="shared" si="225"/>
        <v>2</v>
      </c>
      <c r="L1995">
        <f t="shared" si="226"/>
        <v>2018</v>
      </c>
      <c r="N1995" s="17">
        <f t="shared" si="229"/>
        <v>43132</v>
      </c>
      <c r="S1995">
        <f t="shared" si="230"/>
        <v>0</v>
      </c>
    </row>
    <row r="1996" spans="1:19" x14ac:dyDescent="0.3">
      <c r="A1996" s="17">
        <v>43153</v>
      </c>
      <c r="B1996">
        <v>358.68</v>
      </c>
      <c r="C1996">
        <v>61.61</v>
      </c>
      <c r="D1996">
        <f t="shared" si="227"/>
        <v>297.07</v>
      </c>
      <c r="E1996">
        <v>0.05</v>
      </c>
      <c r="F1996">
        <f t="shared" si="228"/>
        <v>-297.02</v>
      </c>
      <c r="I1996">
        <f t="shared" si="224"/>
        <v>22</v>
      </c>
      <c r="J1996">
        <v>1</v>
      </c>
      <c r="K1996">
        <f t="shared" si="225"/>
        <v>2</v>
      </c>
      <c r="L1996">
        <f t="shared" si="226"/>
        <v>2018</v>
      </c>
      <c r="N1996" s="17">
        <f t="shared" si="229"/>
        <v>43132</v>
      </c>
      <c r="S1996">
        <f t="shared" si="230"/>
        <v>0</v>
      </c>
    </row>
    <row r="1997" spans="1:19" x14ac:dyDescent="0.3">
      <c r="A1997" s="17">
        <v>43152</v>
      </c>
      <c r="B1997">
        <v>355.88</v>
      </c>
      <c r="C1997">
        <v>61.255000000000003</v>
      </c>
      <c r="D1997">
        <f t="shared" si="227"/>
        <v>294.625</v>
      </c>
      <c r="E1997">
        <v>7.0000000000000007E-2</v>
      </c>
      <c r="F1997">
        <f t="shared" si="228"/>
        <v>-294.55500000000001</v>
      </c>
      <c r="I1997">
        <f t="shared" si="224"/>
        <v>21</v>
      </c>
      <c r="J1997">
        <v>1</v>
      </c>
      <c r="K1997">
        <f t="shared" si="225"/>
        <v>2</v>
      </c>
      <c r="L1997">
        <f t="shared" si="226"/>
        <v>2018</v>
      </c>
      <c r="N1997" s="17">
        <f t="shared" si="229"/>
        <v>43132</v>
      </c>
      <c r="S1997">
        <f t="shared" si="230"/>
        <v>0</v>
      </c>
    </row>
    <row r="1998" spans="1:19" x14ac:dyDescent="0.3">
      <c r="A1998" s="17">
        <v>43151</v>
      </c>
      <c r="B1998">
        <v>363.06</v>
      </c>
      <c r="C1998">
        <v>62.01</v>
      </c>
      <c r="D1998">
        <f t="shared" si="227"/>
        <v>301.05</v>
      </c>
      <c r="E1998">
        <v>0.09</v>
      </c>
      <c r="F1998">
        <f t="shared" si="228"/>
        <v>-300.96000000000004</v>
      </c>
      <c r="I1998">
        <f t="shared" si="224"/>
        <v>20</v>
      </c>
      <c r="J1998">
        <v>1</v>
      </c>
      <c r="K1998">
        <f t="shared" si="225"/>
        <v>2</v>
      </c>
      <c r="L1998">
        <f t="shared" si="226"/>
        <v>2018</v>
      </c>
      <c r="N1998" s="17">
        <f t="shared" si="229"/>
        <v>43132</v>
      </c>
      <c r="S1998">
        <f t="shared" si="230"/>
        <v>0</v>
      </c>
    </row>
    <row r="1999" spans="1:19" x14ac:dyDescent="0.3">
      <c r="A1999" s="17">
        <v>43150</v>
      </c>
      <c r="B1999">
        <v>363.43</v>
      </c>
      <c r="C1999">
        <v>61.74</v>
      </c>
      <c r="D1999">
        <f t="shared" si="227"/>
        <v>301.69</v>
      </c>
      <c r="E1999">
        <v>0.1</v>
      </c>
      <c r="F1999">
        <f t="shared" si="228"/>
        <v>-301.58999999999997</v>
      </c>
      <c r="I1999">
        <f t="shared" si="224"/>
        <v>19</v>
      </c>
      <c r="J1999">
        <v>1</v>
      </c>
      <c r="K1999">
        <f t="shared" si="225"/>
        <v>2</v>
      </c>
      <c r="L1999">
        <f t="shared" si="226"/>
        <v>2018</v>
      </c>
      <c r="N1999" s="17">
        <f t="shared" si="229"/>
        <v>43132</v>
      </c>
      <c r="S1999">
        <f t="shared" si="230"/>
        <v>0</v>
      </c>
    </row>
    <row r="2000" spans="1:19" x14ac:dyDescent="0.3">
      <c r="A2000" s="17">
        <v>43146</v>
      </c>
      <c r="B2000">
        <v>358.76</v>
      </c>
      <c r="C2000">
        <v>61.64</v>
      </c>
      <c r="D2000">
        <f t="shared" si="227"/>
        <v>297.12</v>
      </c>
      <c r="E2000">
        <v>0.1</v>
      </c>
      <c r="F2000">
        <f t="shared" si="228"/>
        <v>-297.02</v>
      </c>
      <c r="I2000">
        <f t="shared" si="224"/>
        <v>15</v>
      </c>
      <c r="J2000">
        <v>1</v>
      </c>
      <c r="K2000">
        <f t="shared" si="225"/>
        <v>2</v>
      </c>
      <c r="L2000">
        <f t="shared" si="226"/>
        <v>2018</v>
      </c>
      <c r="N2000" s="17">
        <f t="shared" si="229"/>
        <v>43132</v>
      </c>
      <c r="S2000">
        <f t="shared" si="230"/>
        <v>0</v>
      </c>
    </row>
    <row r="2001" spans="1:19" x14ac:dyDescent="0.3">
      <c r="A2001" s="17">
        <v>43145</v>
      </c>
      <c r="B2001">
        <v>352.36</v>
      </c>
      <c r="C2001">
        <v>59.36</v>
      </c>
      <c r="D2001">
        <f t="shared" si="227"/>
        <v>293</v>
      </c>
      <c r="E2001">
        <v>0.15</v>
      </c>
      <c r="F2001">
        <f t="shared" si="228"/>
        <v>-292.85000000000002</v>
      </c>
      <c r="I2001">
        <f t="shared" si="224"/>
        <v>14</v>
      </c>
      <c r="J2001">
        <v>1</v>
      </c>
      <c r="K2001">
        <f t="shared" si="225"/>
        <v>2</v>
      </c>
      <c r="L2001">
        <f t="shared" si="226"/>
        <v>2018</v>
      </c>
      <c r="N2001" s="17">
        <f t="shared" si="229"/>
        <v>43132</v>
      </c>
      <c r="S2001">
        <f t="shared" si="230"/>
        <v>0</v>
      </c>
    </row>
    <row r="2002" spans="1:19" x14ac:dyDescent="0.3">
      <c r="A2002" s="17">
        <v>43144</v>
      </c>
      <c r="B2002">
        <v>354.09</v>
      </c>
      <c r="C2002">
        <v>59.84</v>
      </c>
      <c r="D2002">
        <f t="shared" si="227"/>
        <v>294.25</v>
      </c>
      <c r="E2002">
        <v>0.17</v>
      </c>
      <c r="F2002">
        <f t="shared" si="228"/>
        <v>-294.08</v>
      </c>
      <c r="I2002">
        <f t="shared" si="224"/>
        <v>13</v>
      </c>
      <c r="J2002">
        <v>1</v>
      </c>
      <c r="K2002">
        <f t="shared" si="225"/>
        <v>2</v>
      </c>
      <c r="L2002">
        <f t="shared" si="226"/>
        <v>2018</v>
      </c>
      <c r="N2002" s="17">
        <f t="shared" si="229"/>
        <v>43132</v>
      </c>
      <c r="S2002">
        <f t="shared" si="230"/>
        <v>0</v>
      </c>
    </row>
    <row r="2003" spans="1:19" x14ac:dyDescent="0.3">
      <c r="A2003" s="17">
        <v>43143</v>
      </c>
      <c r="B2003">
        <v>353.02</v>
      </c>
      <c r="C2003">
        <v>60.41</v>
      </c>
      <c r="D2003">
        <f t="shared" si="227"/>
        <v>292.61</v>
      </c>
      <c r="E2003">
        <v>0.23</v>
      </c>
      <c r="F2003">
        <f t="shared" si="228"/>
        <v>-292.38</v>
      </c>
      <c r="I2003">
        <f t="shared" si="224"/>
        <v>12</v>
      </c>
      <c r="J2003">
        <v>1</v>
      </c>
      <c r="K2003">
        <f t="shared" si="225"/>
        <v>2</v>
      </c>
      <c r="L2003">
        <f t="shared" si="226"/>
        <v>2018</v>
      </c>
      <c r="N2003" s="17">
        <f t="shared" si="229"/>
        <v>43132</v>
      </c>
      <c r="S2003">
        <f t="shared" si="230"/>
        <v>0</v>
      </c>
    </row>
    <row r="2004" spans="1:19" x14ac:dyDescent="0.3">
      <c r="A2004" s="17">
        <v>43140</v>
      </c>
      <c r="B2004">
        <v>354.88</v>
      </c>
      <c r="C2004">
        <v>61.09</v>
      </c>
      <c r="D2004">
        <f t="shared" si="227"/>
        <v>293.78999999999996</v>
      </c>
      <c r="E2004">
        <v>0.22</v>
      </c>
      <c r="F2004">
        <f t="shared" si="228"/>
        <v>-293.56999999999994</v>
      </c>
      <c r="I2004">
        <f t="shared" si="224"/>
        <v>9</v>
      </c>
      <c r="J2004">
        <v>1</v>
      </c>
      <c r="K2004">
        <f t="shared" si="225"/>
        <v>2</v>
      </c>
      <c r="L2004">
        <f t="shared" si="226"/>
        <v>2018</v>
      </c>
      <c r="N2004" s="17">
        <f t="shared" si="229"/>
        <v>43132</v>
      </c>
      <c r="S2004">
        <f t="shared" si="230"/>
        <v>0</v>
      </c>
    </row>
    <row r="2005" spans="1:19" x14ac:dyDescent="0.3">
      <c r="A2005" s="17">
        <v>43139</v>
      </c>
      <c r="B2005">
        <v>359.8</v>
      </c>
      <c r="C2005">
        <v>62.2</v>
      </c>
      <c r="D2005">
        <f t="shared" si="227"/>
        <v>297.60000000000002</v>
      </c>
      <c r="E2005">
        <v>0.18</v>
      </c>
      <c r="F2005">
        <f t="shared" si="228"/>
        <v>-297.42</v>
      </c>
      <c r="I2005">
        <f t="shared" si="224"/>
        <v>8</v>
      </c>
      <c r="J2005">
        <v>1</v>
      </c>
      <c r="K2005">
        <f t="shared" si="225"/>
        <v>2</v>
      </c>
      <c r="L2005">
        <f t="shared" si="226"/>
        <v>2018</v>
      </c>
      <c r="N2005" s="17">
        <f t="shared" si="229"/>
        <v>43132</v>
      </c>
      <c r="S2005">
        <f t="shared" si="230"/>
        <v>0</v>
      </c>
    </row>
    <row r="2006" spans="1:19" x14ac:dyDescent="0.3">
      <c r="A2006" s="17">
        <v>43138</v>
      </c>
      <c r="B2006">
        <v>372.62</v>
      </c>
      <c r="C2006">
        <v>64.11</v>
      </c>
      <c r="D2006">
        <f t="shared" si="227"/>
        <v>308.51</v>
      </c>
      <c r="E2006">
        <v>0.19</v>
      </c>
      <c r="F2006">
        <f t="shared" si="228"/>
        <v>-308.32</v>
      </c>
      <c r="I2006">
        <f t="shared" si="224"/>
        <v>7</v>
      </c>
      <c r="J2006">
        <v>1</v>
      </c>
      <c r="K2006">
        <f t="shared" si="225"/>
        <v>2</v>
      </c>
      <c r="L2006">
        <f t="shared" si="226"/>
        <v>2018</v>
      </c>
      <c r="N2006" s="17">
        <f t="shared" si="229"/>
        <v>43132</v>
      </c>
      <c r="S2006">
        <f t="shared" si="230"/>
        <v>0</v>
      </c>
    </row>
    <row r="2007" spans="1:19" x14ac:dyDescent="0.3">
      <c r="A2007" s="17">
        <v>43137</v>
      </c>
      <c r="B2007">
        <v>373.66</v>
      </c>
      <c r="C2007">
        <v>64.260000000000005</v>
      </c>
      <c r="D2007">
        <f t="shared" si="227"/>
        <v>309.40000000000003</v>
      </c>
      <c r="E2007">
        <v>0.17</v>
      </c>
      <c r="F2007">
        <f t="shared" si="228"/>
        <v>-309.23</v>
      </c>
      <c r="I2007">
        <f t="shared" si="224"/>
        <v>6</v>
      </c>
      <c r="J2007">
        <v>1</v>
      </c>
      <c r="K2007">
        <f t="shared" si="225"/>
        <v>2</v>
      </c>
      <c r="L2007">
        <f t="shared" si="226"/>
        <v>2018</v>
      </c>
      <c r="N2007" s="17">
        <f t="shared" si="229"/>
        <v>43132</v>
      </c>
      <c r="S2007">
        <f t="shared" si="230"/>
        <v>0</v>
      </c>
    </row>
    <row r="2008" spans="1:19" x14ac:dyDescent="0.3">
      <c r="A2008" s="17">
        <v>43136</v>
      </c>
      <c r="B2008">
        <v>376.66</v>
      </c>
      <c r="C2008">
        <v>65.010000000000005</v>
      </c>
      <c r="D2008">
        <f t="shared" si="227"/>
        <v>311.65000000000003</v>
      </c>
      <c r="E2008">
        <v>0.25</v>
      </c>
      <c r="F2008">
        <f t="shared" si="228"/>
        <v>-311.40000000000003</v>
      </c>
      <c r="I2008">
        <f t="shared" si="224"/>
        <v>5</v>
      </c>
      <c r="J2008">
        <v>1</v>
      </c>
      <c r="K2008">
        <f t="shared" si="225"/>
        <v>2</v>
      </c>
      <c r="L2008">
        <f t="shared" si="226"/>
        <v>2018</v>
      </c>
      <c r="N2008" s="17">
        <f t="shared" si="229"/>
        <v>43132</v>
      </c>
      <c r="S2008">
        <f t="shared" si="230"/>
        <v>0</v>
      </c>
    </row>
    <row r="2009" spans="1:19" x14ac:dyDescent="0.3">
      <c r="A2009" s="17">
        <v>43133</v>
      </c>
      <c r="B2009">
        <v>386.12</v>
      </c>
      <c r="C2009">
        <v>67.06</v>
      </c>
      <c r="D2009">
        <f t="shared" si="227"/>
        <v>319.06</v>
      </c>
      <c r="E2009">
        <v>0.25</v>
      </c>
      <c r="F2009">
        <f t="shared" si="228"/>
        <v>-318.81</v>
      </c>
      <c r="I2009">
        <f t="shared" si="224"/>
        <v>2</v>
      </c>
      <c r="J2009">
        <v>1</v>
      </c>
      <c r="K2009">
        <f t="shared" si="225"/>
        <v>2</v>
      </c>
      <c r="L2009">
        <f t="shared" si="226"/>
        <v>2018</v>
      </c>
      <c r="N2009" s="17">
        <f t="shared" si="229"/>
        <v>43132</v>
      </c>
      <c r="S2009">
        <f t="shared" si="230"/>
        <v>1</v>
      </c>
    </row>
    <row r="2010" spans="1:19" x14ac:dyDescent="0.3">
      <c r="A2010" s="17">
        <v>43132</v>
      </c>
      <c r="B2010">
        <v>385.7</v>
      </c>
      <c r="C2010">
        <v>66.155000000000001</v>
      </c>
      <c r="D2010">
        <f t="shared" si="227"/>
        <v>319.54499999999996</v>
      </c>
      <c r="E2010">
        <v>0.28999999999999998</v>
      </c>
      <c r="F2010">
        <f t="shared" si="228"/>
        <v>-319.25499999999994</v>
      </c>
      <c r="I2010">
        <f t="shared" si="224"/>
        <v>1</v>
      </c>
      <c r="J2010">
        <v>1</v>
      </c>
      <c r="K2010">
        <f t="shared" si="225"/>
        <v>2</v>
      </c>
      <c r="L2010">
        <f t="shared" si="226"/>
        <v>2018</v>
      </c>
      <c r="N2010" s="17">
        <f t="shared" si="229"/>
        <v>43132</v>
      </c>
      <c r="S2010">
        <f t="shared" si="230"/>
        <v>1</v>
      </c>
    </row>
    <row r="2011" spans="1:19" x14ac:dyDescent="0.3">
      <c r="A2011" s="17">
        <v>43131</v>
      </c>
      <c r="B2011">
        <v>380.12</v>
      </c>
      <c r="C2011">
        <v>65.75</v>
      </c>
      <c r="D2011">
        <f t="shared" si="227"/>
        <v>314.37</v>
      </c>
      <c r="E2011">
        <v>0.35</v>
      </c>
      <c r="F2011">
        <f t="shared" si="228"/>
        <v>-314.02</v>
      </c>
      <c r="I2011">
        <f t="shared" si="224"/>
        <v>31</v>
      </c>
      <c r="J2011">
        <v>1</v>
      </c>
      <c r="K2011">
        <f t="shared" si="225"/>
        <v>1</v>
      </c>
      <c r="L2011">
        <f t="shared" si="226"/>
        <v>2018</v>
      </c>
      <c r="N2011" s="17">
        <f t="shared" si="229"/>
        <v>43101</v>
      </c>
      <c r="S2011">
        <f t="shared" si="230"/>
        <v>0</v>
      </c>
    </row>
    <row r="2012" spans="1:19" x14ac:dyDescent="0.3">
      <c r="A2012" s="17">
        <v>43130</v>
      </c>
      <c r="B2012">
        <v>380.95</v>
      </c>
      <c r="C2012">
        <v>66.36</v>
      </c>
      <c r="D2012">
        <f t="shared" si="227"/>
        <v>314.58999999999997</v>
      </c>
      <c r="E2012">
        <v>0.38</v>
      </c>
      <c r="F2012">
        <f t="shared" si="228"/>
        <v>-314.20999999999998</v>
      </c>
      <c r="I2012">
        <f t="shared" si="224"/>
        <v>30</v>
      </c>
      <c r="J2012">
        <v>1</v>
      </c>
      <c r="K2012">
        <f t="shared" si="225"/>
        <v>1</v>
      </c>
      <c r="L2012">
        <f t="shared" si="226"/>
        <v>2018</v>
      </c>
      <c r="N2012" s="17">
        <f t="shared" si="229"/>
        <v>43101</v>
      </c>
      <c r="S2012">
        <f t="shared" si="230"/>
        <v>0</v>
      </c>
    </row>
    <row r="2013" spans="1:19" x14ac:dyDescent="0.3">
      <c r="A2013" s="17">
        <v>43129</v>
      </c>
      <c r="B2013">
        <v>385.81</v>
      </c>
      <c r="C2013">
        <v>67.56</v>
      </c>
      <c r="D2013">
        <f t="shared" si="227"/>
        <v>318.25</v>
      </c>
      <c r="E2013">
        <v>0.43</v>
      </c>
      <c r="F2013">
        <f t="shared" si="228"/>
        <v>-317.82</v>
      </c>
      <c r="I2013">
        <f t="shared" si="224"/>
        <v>29</v>
      </c>
      <c r="J2013">
        <v>1</v>
      </c>
      <c r="K2013">
        <f t="shared" si="225"/>
        <v>1</v>
      </c>
      <c r="L2013">
        <f t="shared" si="226"/>
        <v>2018</v>
      </c>
      <c r="N2013" s="17">
        <f t="shared" si="229"/>
        <v>43101</v>
      </c>
      <c r="S2013">
        <f t="shared" si="230"/>
        <v>0</v>
      </c>
    </row>
    <row r="2014" spans="1:19" x14ac:dyDescent="0.3">
      <c r="A2014" s="17">
        <v>43126</v>
      </c>
      <c r="B2014">
        <v>384.87</v>
      </c>
      <c r="C2014">
        <v>67.349999999999994</v>
      </c>
      <c r="D2014">
        <f t="shared" si="227"/>
        <v>317.52</v>
      </c>
      <c r="E2014">
        <v>0.39</v>
      </c>
      <c r="F2014">
        <f t="shared" si="228"/>
        <v>-317.13</v>
      </c>
      <c r="I2014">
        <f t="shared" si="224"/>
        <v>26</v>
      </c>
      <c r="J2014">
        <v>1</v>
      </c>
      <c r="K2014">
        <f t="shared" si="225"/>
        <v>1</v>
      </c>
      <c r="L2014">
        <f t="shared" si="226"/>
        <v>2018</v>
      </c>
      <c r="N2014" s="17">
        <f t="shared" si="229"/>
        <v>43101</v>
      </c>
      <c r="S2014">
        <f t="shared" si="230"/>
        <v>0</v>
      </c>
    </row>
    <row r="2015" spans="1:19" x14ac:dyDescent="0.3">
      <c r="A2015" s="17">
        <v>43125</v>
      </c>
      <c r="B2015">
        <v>389.37</v>
      </c>
      <c r="C2015">
        <v>68.05</v>
      </c>
      <c r="D2015">
        <f t="shared" si="227"/>
        <v>321.32</v>
      </c>
      <c r="E2015">
        <v>0.44</v>
      </c>
      <c r="F2015">
        <f t="shared" si="228"/>
        <v>-320.88</v>
      </c>
      <c r="I2015">
        <f t="shared" si="224"/>
        <v>25</v>
      </c>
      <c r="J2015">
        <v>1</v>
      </c>
      <c r="K2015">
        <f t="shared" si="225"/>
        <v>1</v>
      </c>
      <c r="L2015">
        <f t="shared" si="226"/>
        <v>2018</v>
      </c>
      <c r="N2015" s="17">
        <f t="shared" si="229"/>
        <v>43101</v>
      </c>
      <c r="S2015">
        <f t="shared" si="230"/>
        <v>0</v>
      </c>
    </row>
    <row r="2016" spans="1:19" x14ac:dyDescent="0.3">
      <c r="A2016" s="17">
        <v>43124</v>
      </c>
      <c r="B2016">
        <v>381</v>
      </c>
      <c r="C2016">
        <v>66.8</v>
      </c>
      <c r="D2016">
        <f t="shared" si="227"/>
        <v>314.2</v>
      </c>
      <c r="E2016">
        <v>0.37</v>
      </c>
      <c r="F2016">
        <f t="shared" si="228"/>
        <v>-313.83</v>
      </c>
      <c r="I2016">
        <f t="shared" si="224"/>
        <v>24</v>
      </c>
      <c r="J2016">
        <v>1</v>
      </c>
      <c r="K2016">
        <f t="shared" si="225"/>
        <v>1</v>
      </c>
      <c r="L2016">
        <f t="shared" si="226"/>
        <v>2018</v>
      </c>
      <c r="N2016" s="17">
        <f t="shared" si="229"/>
        <v>43101</v>
      </c>
      <c r="S2016">
        <f t="shared" si="230"/>
        <v>0</v>
      </c>
    </row>
    <row r="2017" spans="1:19" x14ac:dyDescent="0.3">
      <c r="A2017" s="17">
        <v>43123</v>
      </c>
      <c r="B2017">
        <v>379.38</v>
      </c>
      <c r="C2017">
        <v>66.489999999999995</v>
      </c>
      <c r="D2017">
        <f t="shared" si="227"/>
        <v>312.89</v>
      </c>
      <c r="E2017">
        <v>0.34</v>
      </c>
      <c r="F2017">
        <f t="shared" si="228"/>
        <v>-312.55</v>
      </c>
      <c r="I2017">
        <f t="shared" si="224"/>
        <v>23</v>
      </c>
      <c r="J2017">
        <v>1</v>
      </c>
      <c r="K2017">
        <f t="shared" si="225"/>
        <v>1</v>
      </c>
      <c r="L2017">
        <f t="shared" si="226"/>
        <v>2018</v>
      </c>
      <c r="N2017" s="17">
        <f t="shared" si="229"/>
        <v>43101</v>
      </c>
      <c r="S2017">
        <f t="shared" si="230"/>
        <v>0</v>
      </c>
    </row>
    <row r="2018" spans="1:19" x14ac:dyDescent="0.3">
      <c r="A2018" s="17">
        <v>43122</v>
      </c>
      <c r="B2018">
        <v>381.75</v>
      </c>
      <c r="C2018">
        <v>66.12</v>
      </c>
      <c r="D2018">
        <f t="shared" si="227"/>
        <v>315.63</v>
      </c>
      <c r="E2018">
        <v>0.33</v>
      </c>
      <c r="F2018">
        <f t="shared" si="228"/>
        <v>-315.3</v>
      </c>
      <c r="I2018">
        <f t="shared" si="224"/>
        <v>22</v>
      </c>
      <c r="J2018">
        <v>1</v>
      </c>
      <c r="K2018">
        <f t="shared" si="225"/>
        <v>1</v>
      </c>
      <c r="L2018">
        <f t="shared" si="226"/>
        <v>2018</v>
      </c>
      <c r="N2018" s="17">
        <f t="shared" si="229"/>
        <v>43101</v>
      </c>
      <c r="S2018">
        <f t="shared" si="230"/>
        <v>0</v>
      </c>
    </row>
    <row r="2019" spans="1:19" x14ac:dyDescent="0.3">
      <c r="A2019" s="17">
        <v>43119</v>
      </c>
      <c r="B2019">
        <v>378.69</v>
      </c>
      <c r="C2019">
        <v>65.900000000000006</v>
      </c>
      <c r="D2019">
        <f t="shared" si="227"/>
        <v>312.78999999999996</v>
      </c>
      <c r="E2019">
        <v>0.32</v>
      </c>
      <c r="F2019">
        <f t="shared" si="228"/>
        <v>-312.46999999999997</v>
      </c>
      <c r="I2019">
        <f t="shared" si="224"/>
        <v>19</v>
      </c>
      <c r="J2019">
        <v>1</v>
      </c>
      <c r="K2019">
        <f t="shared" si="225"/>
        <v>1</v>
      </c>
      <c r="L2019">
        <f t="shared" si="226"/>
        <v>2018</v>
      </c>
      <c r="N2019" s="17">
        <f t="shared" si="229"/>
        <v>43101</v>
      </c>
      <c r="S2019">
        <f t="shared" si="230"/>
        <v>0</v>
      </c>
    </row>
    <row r="2020" spans="1:19" x14ac:dyDescent="0.3">
      <c r="A2020" s="17">
        <v>43118</v>
      </c>
      <c r="B2020">
        <v>379.61</v>
      </c>
      <c r="C2020">
        <v>66.41</v>
      </c>
      <c r="D2020">
        <f t="shared" si="227"/>
        <v>313.20000000000005</v>
      </c>
      <c r="E2020">
        <v>0.37</v>
      </c>
      <c r="F2020">
        <f t="shared" si="228"/>
        <v>-312.83000000000004</v>
      </c>
      <c r="I2020">
        <f t="shared" si="224"/>
        <v>18</v>
      </c>
      <c r="J2020">
        <v>1</v>
      </c>
      <c r="K2020">
        <f t="shared" si="225"/>
        <v>1</v>
      </c>
      <c r="L2020">
        <f t="shared" si="226"/>
        <v>2018</v>
      </c>
      <c r="N2020" s="17">
        <f t="shared" si="229"/>
        <v>43101</v>
      </c>
      <c r="S2020">
        <f t="shared" si="230"/>
        <v>0</v>
      </c>
    </row>
    <row r="2021" spans="1:19" x14ac:dyDescent="0.3">
      <c r="A2021" s="17">
        <v>43117</v>
      </c>
      <c r="B2021">
        <v>374.9</v>
      </c>
      <c r="C2021">
        <v>66.290000000000006</v>
      </c>
      <c r="D2021">
        <f t="shared" si="227"/>
        <v>308.60999999999996</v>
      </c>
      <c r="E2021">
        <v>0.36</v>
      </c>
      <c r="F2021">
        <f t="shared" si="228"/>
        <v>-308.24999999999994</v>
      </c>
      <c r="I2021">
        <f t="shared" si="224"/>
        <v>17</v>
      </c>
      <c r="J2021">
        <v>1</v>
      </c>
      <c r="K2021">
        <f t="shared" si="225"/>
        <v>1</v>
      </c>
      <c r="L2021">
        <f t="shared" si="226"/>
        <v>2018</v>
      </c>
      <c r="N2021" s="17">
        <f t="shared" si="229"/>
        <v>43101</v>
      </c>
      <c r="S2021">
        <f t="shared" si="230"/>
        <v>0</v>
      </c>
    </row>
    <row r="2022" spans="1:19" x14ac:dyDescent="0.3">
      <c r="A2022" s="17">
        <v>43116</v>
      </c>
      <c r="B2022">
        <v>379.09</v>
      </c>
      <c r="C2022">
        <v>67.055000000000007</v>
      </c>
      <c r="D2022">
        <f t="shared" si="227"/>
        <v>312.03499999999997</v>
      </c>
      <c r="E2022">
        <v>0.33</v>
      </c>
      <c r="F2022">
        <f t="shared" si="228"/>
        <v>-311.70499999999998</v>
      </c>
      <c r="I2022">
        <f t="shared" si="224"/>
        <v>16</v>
      </c>
      <c r="J2022">
        <v>1</v>
      </c>
      <c r="K2022">
        <f t="shared" si="225"/>
        <v>1</v>
      </c>
      <c r="L2022">
        <f t="shared" si="226"/>
        <v>2018</v>
      </c>
      <c r="N2022" s="17">
        <f t="shared" si="229"/>
        <v>43101</v>
      </c>
      <c r="S2022">
        <f t="shared" si="230"/>
        <v>0</v>
      </c>
    </row>
    <row r="2023" spans="1:19" x14ac:dyDescent="0.3">
      <c r="A2023" s="17">
        <v>43115</v>
      </c>
      <c r="B2023">
        <v>381.98</v>
      </c>
      <c r="C2023">
        <v>67.010000000000005</v>
      </c>
      <c r="D2023">
        <f t="shared" si="227"/>
        <v>314.97000000000003</v>
      </c>
      <c r="E2023">
        <v>0.32</v>
      </c>
      <c r="F2023">
        <f t="shared" si="228"/>
        <v>-314.65000000000003</v>
      </c>
      <c r="I2023">
        <f t="shared" si="224"/>
        <v>15</v>
      </c>
      <c r="J2023">
        <v>1</v>
      </c>
      <c r="K2023">
        <f t="shared" si="225"/>
        <v>1</v>
      </c>
      <c r="L2023">
        <f t="shared" si="226"/>
        <v>2018</v>
      </c>
      <c r="N2023" s="17">
        <f t="shared" si="229"/>
        <v>43101</v>
      </c>
      <c r="S2023">
        <f t="shared" si="230"/>
        <v>0</v>
      </c>
    </row>
    <row r="2024" spans="1:19" x14ac:dyDescent="0.3">
      <c r="A2024" s="17">
        <v>43112</v>
      </c>
      <c r="B2024">
        <v>377.76</v>
      </c>
      <c r="C2024">
        <v>66.260000000000005</v>
      </c>
      <c r="D2024">
        <f t="shared" si="227"/>
        <v>311.5</v>
      </c>
      <c r="E2024">
        <v>0.28999999999999998</v>
      </c>
      <c r="F2024">
        <f t="shared" si="228"/>
        <v>-311.20999999999998</v>
      </c>
      <c r="I2024">
        <f t="shared" si="224"/>
        <v>12</v>
      </c>
      <c r="J2024">
        <v>1</v>
      </c>
      <c r="K2024">
        <f t="shared" si="225"/>
        <v>1</v>
      </c>
      <c r="L2024">
        <f t="shared" si="226"/>
        <v>2018</v>
      </c>
      <c r="N2024" s="17">
        <f t="shared" si="229"/>
        <v>43101</v>
      </c>
      <c r="S2024">
        <f t="shared" si="230"/>
        <v>0</v>
      </c>
    </row>
    <row r="2025" spans="1:19" x14ac:dyDescent="0.3">
      <c r="A2025" s="17">
        <v>43111</v>
      </c>
      <c r="B2025">
        <v>377.54</v>
      </c>
      <c r="C2025">
        <v>66.45</v>
      </c>
      <c r="D2025">
        <f t="shared" si="227"/>
        <v>311.09000000000003</v>
      </c>
      <c r="E2025">
        <v>0.26</v>
      </c>
      <c r="F2025">
        <f t="shared" si="228"/>
        <v>-310.83000000000004</v>
      </c>
      <c r="I2025">
        <f t="shared" si="224"/>
        <v>11</v>
      </c>
      <c r="J2025">
        <v>1</v>
      </c>
      <c r="K2025">
        <f t="shared" si="225"/>
        <v>1</v>
      </c>
      <c r="L2025">
        <f t="shared" si="226"/>
        <v>2018</v>
      </c>
      <c r="N2025" s="17">
        <f t="shared" si="229"/>
        <v>43101</v>
      </c>
      <c r="S2025">
        <f t="shared" si="230"/>
        <v>0</v>
      </c>
    </row>
    <row r="2026" spans="1:19" x14ac:dyDescent="0.3">
      <c r="A2026" s="17">
        <v>43110</v>
      </c>
      <c r="B2026">
        <v>376.42</v>
      </c>
      <c r="C2026">
        <v>66.55</v>
      </c>
      <c r="D2026">
        <f t="shared" si="227"/>
        <v>309.87</v>
      </c>
      <c r="E2026">
        <v>0.22</v>
      </c>
      <c r="F2026">
        <f t="shared" si="228"/>
        <v>-309.64999999999998</v>
      </c>
      <c r="I2026">
        <f t="shared" si="224"/>
        <v>10</v>
      </c>
      <c r="J2026">
        <v>1</v>
      </c>
      <c r="K2026">
        <f t="shared" si="225"/>
        <v>1</v>
      </c>
      <c r="L2026">
        <f t="shared" si="226"/>
        <v>2018</v>
      </c>
      <c r="N2026" s="17">
        <f t="shared" si="229"/>
        <v>43101</v>
      </c>
      <c r="S2026">
        <f t="shared" si="230"/>
        <v>0</v>
      </c>
    </row>
    <row r="2027" spans="1:19" x14ac:dyDescent="0.3">
      <c r="A2027" s="17">
        <v>43109</v>
      </c>
      <c r="B2027">
        <v>377.3</v>
      </c>
      <c r="C2027">
        <v>65.55</v>
      </c>
      <c r="D2027">
        <f t="shared" si="227"/>
        <v>311.75</v>
      </c>
      <c r="E2027">
        <v>0.13</v>
      </c>
      <c r="F2027">
        <f t="shared" si="228"/>
        <v>-311.62</v>
      </c>
      <c r="I2027">
        <f t="shared" si="224"/>
        <v>9</v>
      </c>
      <c r="J2027">
        <v>1</v>
      </c>
      <c r="K2027">
        <f t="shared" si="225"/>
        <v>1</v>
      </c>
      <c r="L2027">
        <f t="shared" si="226"/>
        <v>2018</v>
      </c>
      <c r="N2027" s="17">
        <f t="shared" si="229"/>
        <v>43101</v>
      </c>
      <c r="S2027">
        <f t="shared" si="230"/>
        <v>0</v>
      </c>
    </row>
    <row r="2028" spans="1:19" x14ac:dyDescent="0.3">
      <c r="A2028" s="17">
        <v>43108</v>
      </c>
      <c r="B2028">
        <v>375.92</v>
      </c>
      <c r="C2028">
        <v>65.055000000000007</v>
      </c>
      <c r="D2028">
        <f t="shared" si="227"/>
        <v>310.86500000000001</v>
      </c>
      <c r="E2028">
        <v>0.19</v>
      </c>
      <c r="F2028">
        <f t="shared" si="228"/>
        <v>-310.67500000000001</v>
      </c>
      <c r="I2028">
        <f t="shared" si="224"/>
        <v>8</v>
      </c>
      <c r="J2028">
        <v>1</v>
      </c>
      <c r="K2028">
        <f t="shared" si="225"/>
        <v>1</v>
      </c>
      <c r="L2028">
        <f t="shared" si="226"/>
        <v>2018</v>
      </c>
      <c r="N2028" s="17">
        <f t="shared" si="229"/>
        <v>43101</v>
      </c>
      <c r="S2028">
        <f t="shared" si="230"/>
        <v>0</v>
      </c>
    </row>
    <row r="2029" spans="1:19" x14ac:dyDescent="0.3">
      <c r="A2029" s="17">
        <v>43105</v>
      </c>
      <c r="B2029">
        <v>377.39</v>
      </c>
      <c r="C2029">
        <v>65.3</v>
      </c>
      <c r="D2029">
        <f t="shared" si="227"/>
        <v>312.08999999999997</v>
      </c>
      <c r="E2029">
        <v>0.21</v>
      </c>
      <c r="F2029">
        <f t="shared" si="228"/>
        <v>-311.88</v>
      </c>
      <c r="I2029">
        <f t="shared" si="224"/>
        <v>5</v>
      </c>
      <c r="J2029">
        <v>1</v>
      </c>
      <c r="K2029">
        <f t="shared" si="225"/>
        <v>1</v>
      </c>
      <c r="L2029">
        <f t="shared" si="226"/>
        <v>2018</v>
      </c>
      <c r="N2029" s="17">
        <f t="shared" si="229"/>
        <v>43101</v>
      </c>
      <c r="S2029">
        <f t="shared" si="230"/>
        <v>0</v>
      </c>
    </row>
    <row r="2030" spans="1:19" x14ac:dyDescent="0.3">
      <c r="A2030" s="17">
        <v>43104</v>
      </c>
      <c r="B2030">
        <v>378.12</v>
      </c>
      <c r="C2030">
        <v>65.355000000000004</v>
      </c>
      <c r="D2030">
        <f t="shared" si="227"/>
        <v>312.76499999999999</v>
      </c>
      <c r="E2030">
        <v>0.2</v>
      </c>
      <c r="F2030">
        <f t="shared" si="228"/>
        <v>-312.565</v>
      </c>
      <c r="I2030">
        <f t="shared" si="224"/>
        <v>4</v>
      </c>
      <c r="J2030">
        <v>1</v>
      </c>
      <c r="K2030">
        <f t="shared" si="225"/>
        <v>1</v>
      </c>
      <c r="L2030">
        <f t="shared" si="226"/>
        <v>2018</v>
      </c>
      <c r="N2030" s="17">
        <f t="shared" si="229"/>
        <v>43101</v>
      </c>
      <c r="S2030">
        <f t="shared" si="230"/>
        <v>1</v>
      </c>
    </row>
    <row r="2031" spans="1:19" x14ac:dyDescent="0.3">
      <c r="A2031" s="17">
        <v>43103</v>
      </c>
      <c r="B2031">
        <v>374.72</v>
      </c>
      <c r="C2031">
        <v>64.144999999999996</v>
      </c>
      <c r="D2031">
        <f t="shared" si="227"/>
        <v>310.57500000000005</v>
      </c>
      <c r="E2031">
        <v>0.21</v>
      </c>
      <c r="F2031">
        <f t="shared" si="228"/>
        <v>-310.36500000000007</v>
      </c>
      <c r="I2031">
        <f t="shared" si="224"/>
        <v>3</v>
      </c>
      <c r="J2031">
        <v>1</v>
      </c>
      <c r="K2031">
        <f t="shared" si="225"/>
        <v>1</v>
      </c>
      <c r="L2031">
        <f t="shared" si="226"/>
        <v>2018</v>
      </c>
      <c r="N2031" s="17">
        <f t="shared" si="229"/>
        <v>43101</v>
      </c>
      <c r="S2031">
        <f t="shared" si="230"/>
        <v>1</v>
      </c>
    </row>
    <row r="2032" spans="1:19" x14ac:dyDescent="0.3">
      <c r="A2032" s="17">
        <v>43102</v>
      </c>
      <c r="B2032">
        <v>378.04</v>
      </c>
      <c r="C2032">
        <v>64.355000000000004</v>
      </c>
      <c r="D2032">
        <f t="shared" si="227"/>
        <v>313.685</v>
      </c>
      <c r="E2032">
        <v>0.2</v>
      </c>
      <c r="F2032">
        <f t="shared" si="228"/>
        <v>-313.48500000000001</v>
      </c>
      <c r="I2032">
        <f t="shared" si="224"/>
        <v>2</v>
      </c>
      <c r="J2032">
        <v>1</v>
      </c>
      <c r="K2032">
        <f t="shared" si="225"/>
        <v>1</v>
      </c>
      <c r="L2032">
        <f t="shared" si="226"/>
        <v>2018</v>
      </c>
      <c r="N2032" s="17">
        <f t="shared" si="229"/>
        <v>43101</v>
      </c>
      <c r="S2032">
        <f t="shared" si="230"/>
        <v>1</v>
      </c>
    </row>
    <row r="2033" spans="1:19" x14ac:dyDescent="0.3">
      <c r="A2033" s="17">
        <v>43098</v>
      </c>
      <c r="B2033">
        <v>375.3</v>
      </c>
      <c r="C2033">
        <v>64.36</v>
      </c>
      <c r="D2033">
        <f t="shared" si="227"/>
        <v>310.94</v>
      </c>
      <c r="E2033">
        <v>1.06</v>
      </c>
      <c r="F2033">
        <f t="shared" si="228"/>
        <v>-309.88</v>
      </c>
      <c r="I2033">
        <f t="shared" si="224"/>
        <v>29</v>
      </c>
      <c r="J2033">
        <v>1</v>
      </c>
      <c r="K2033">
        <f t="shared" si="225"/>
        <v>12</v>
      </c>
      <c r="L2033">
        <f t="shared" si="226"/>
        <v>2017</v>
      </c>
      <c r="N2033" s="17">
        <f t="shared" si="229"/>
        <v>43070</v>
      </c>
      <c r="S2033">
        <f t="shared" si="230"/>
        <v>0</v>
      </c>
    </row>
    <row r="2034" spans="1:19" x14ac:dyDescent="0.3">
      <c r="A2034" s="17">
        <v>43097</v>
      </c>
      <c r="B2034">
        <v>374.24</v>
      </c>
      <c r="C2034">
        <v>63.9</v>
      </c>
      <c r="D2034">
        <f t="shared" si="227"/>
        <v>310.34000000000003</v>
      </c>
      <c r="E2034">
        <v>1.05</v>
      </c>
      <c r="F2034">
        <f t="shared" si="228"/>
        <v>-309.29000000000002</v>
      </c>
      <c r="I2034">
        <f t="shared" si="224"/>
        <v>28</v>
      </c>
      <c r="J2034">
        <v>1</v>
      </c>
      <c r="K2034">
        <f t="shared" si="225"/>
        <v>12</v>
      </c>
      <c r="L2034">
        <f t="shared" si="226"/>
        <v>2017</v>
      </c>
      <c r="N2034" s="17">
        <f t="shared" si="229"/>
        <v>43070</v>
      </c>
      <c r="S2034">
        <f t="shared" si="230"/>
        <v>0</v>
      </c>
    </row>
    <row r="2035" spans="1:19" x14ac:dyDescent="0.3">
      <c r="A2035" s="17">
        <v>43096</v>
      </c>
      <c r="B2035">
        <v>377.02</v>
      </c>
      <c r="C2035">
        <v>63.91</v>
      </c>
      <c r="D2035">
        <f t="shared" si="227"/>
        <v>313.11</v>
      </c>
      <c r="E2035">
        <v>1.03</v>
      </c>
      <c r="F2035">
        <f t="shared" si="228"/>
        <v>-312.08000000000004</v>
      </c>
      <c r="I2035">
        <f t="shared" si="224"/>
        <v>27</v>
      </c>
      <c r="J2035">
        <v>1</v>
      </c>
      <c r="K2035">
        <f t="shared" si="225"/>
        <v>12</v>
      </c>
      <c r="L2035">
        <f t="shared" si="226"/>
        <v>2017</v>
      </c>
      <c r="N2035" s="17">
        <f t="shared" si="229"/>
        <v>43070</v>
      </c>
      <c r="S2035">
        <f t="shared" si="230"/>
        <v>0</v>
      </c>
    </row>
    <row r="2036" spans="1:19" x14ac:dyDescent="0.3">
      <c r="A2036" s="17">
        <v>43095</v>
      </c>
      <c r="B2036">
        <v>369.69</v>
      </c>
      <c r="C2036">
        <v>62.6</v>
      </c>
      <c r="D2036">
        <f t="shared" si="227"/>
        <v>307.08999999999997</v>
      </c>
      <c r="E2036">
        <v>1.06</v>
      </c>
      <c r="F2036">
        <f t="shared" si="228"/>
        <v>-306.02999999999997</v>
      </c>
      <c r="I2036">
        <f t="shared" si="224"/>
        <v>26</v>
      </c>
      <c r="J2036">
        <v>1</v>
      </c>
      <c r="K2036">
        <f t="shared" si="225"/>
        <v>12</v>
      </c>
      <c r="L2036">
        <f t="shared" si="226"/>
        <v>2017</v>
      </c>
      <c r="N2036" s="17">
        <f t="shared" si="229"/>
        <v>43070</v>
      </c>
      <c r="S2036">
        <f t="shared" si="230"/>
        <v>0</v>
      </c>
    </row>
    <row r="2037" spans="1:19" x14ac:dyDescent="0.3">
      <c r="A2037" s="17">
        <v>43091</v>
      </c>
      <c r="B2037">
        <v>367.4</v>
      </c>
      <c r="C2037">
        <v>62.36</v>
      </c>
      <c r="D2037">
        <f t="shared" si="227"/>
        <v>305.03999999999996</v>
      </c>
      <c r="E2037">
        <v>1.07</v>
      </c>
      <c r="F2037">
        <f t="shared" si="228"/>
        <v>-303.96999999999997</v>
      </c>
      <c r="I2037">
        <f t="shared" si="224"/>
        <v>22</v>
      </c>
      <c r="J2037">
        <v>1</v>
      </c>
      <c r="K2037">
        <f t="shared" si="225"/>
        <v>12</v>
      </c>
      <c r="L2037">
        <f t="shared" si="226"/>
        <v>2017</v>
      </c>
      <c r="N2037" s="17">
        <f t="shared" si="229"/>
        <v>43070</v>
      </c>
      <c r="S2037">
        <f t="shared" si="230"/>
        <v>0</v>
      </c>
    </row>
    <row r="2038" spans="1:19" x14ac:dyDescent="0.3">
      <c r="A2038" s="17">
        <v>43090</v>
      </c>
      <c r="B2038">
        <v>367.07</v>
      </c>
      <c r="C2038">
        <v>62.15</v>
      </c>
      <c r="D2038">
        <f t="shared" si="227"/>
        <v>304.92</v>
      </c>
      <c r="E2038">
        <v>1.02</v>
      </c>
      <c r="F2038">
        <f t="shared" si="228"/>
        <v>-303.90000000000003</v>
      </c>
      <c r="I2038">
        <f t="shared" si="224"/>
        <v>21</v>
      </c>
      <c r="J2038">
        <v>1</v>
      </c>
      <c r="K2038">
        <f t="shared" si="225"/>
        <v>12</v>
      </c>
      <c r="L2038">
        <f t="shared" si="226"/>
        <v>2017</v>
      </c>
      <c r="N2038" s="17">
        <f t="shared" si="229"/>
        <v>43070</v>
      </c>
      <c r="S2038">
        <f t="shared" si="230"/>
        <v>0</v>
      </c>
    </row>
    <row r="2039" spans="1:19" x14ac:dyDescent="0.3">
      <c r="A2039" s="17">
        <v>43089</v>
      </c>
      <c r="B2039">
        <v>364.79</v>
      </c>
      <c r="C2039">
        <v>61.555</v>
      </c>
      <c r="D2039">
        <f t="shared" si="227"/>
        <v>303.23500000000001</v>
      </c>
      <c r="E2039">
        <v>1.03</v>
      </c>
      <c r="F2039">
        <f t="shared" si="228"/>
        <v>-302.20500000000004</v>
      </c>
      <c r="I2039">
        <f t="shared" si="224"/>
        <v>20</v>
      </c>
      <c r="J2039">
        <v>1</v>
      </c>
      <c r="K2039">
        <f t="shared" si="225"/>
        <v>12</v>
      </c>
      <c r="L2039">
        <f t="shared" si="226"/>
        <v>2017</v>
      </c>
      <c r="N2039" s="17">
        <f t="shared" si="229"/>
        <v>43070</v>
      </c>
      <c r="S2039">
        <f t="shared" si="230"/>
        <v>0</v>
      </c>
    </row>
    <row r="2040" spans="1:19" x14ac:dyDescent="0.3">
      <c r="A2040" s="17">
        <v>43088</v>
      </c>
      <c r="B2040">
        <v>364.88</v>
      </c>
      <c r="C2040">
        <v>61.39</v>
      </c>
      <c r="D2040">
        <f t="shared" si="227"/>
        <v>303.49</v>
      </c>
      <c r="E2040">
        <v>1.08</v>
      </c>
      <c r="F2040">
        <f t="shared" si="228"/>
        <v>-302.41000000000003</v>
      </c>
      <c r="I2040">
        <f t="shared" si="224"/>
        <v>19</v>
      </c>
      <c r="J2040">
        <v>1</v>
      </c>
      <c r="K2040">
        <f t="shared" si="225"/>
        <v>12</v>
      </c>
      <c r="L2040">
        <f t="shared" si="226"/>
        <v>2017</v>
      </c>
      <c r="N2040" s="17">
        <f t="shared" si="229"/>
        <v>43070</v>
      </c>
      <c r="S2040">
        <f t="shared" si="230"/>
        <v>0</v>
      </c>
    </row>
    <row r="2041" spans="1:19" x14ac:dyDescent="0.3">
      <c r="A2041" s="17">
        <v>43087</v>
      </c>
      <c r="B2041">
        <v>361.44</v>
      </c>
      <c r="C2041">
        <v>61.3</v>
      </c>
      <c r="D2041">
        <f t="shared" si="227"/>
        <v>300.14</v>
      </c>
      <c r="E2041">
        <v>1.07</v>
      </c>
      <c r="F2041">
        <f t="shared" si="228"/>
        <v>-299.07</v>
      </c>
      <c r="I2041">
        <f t="shared" si="224"/>
        <v>18</v>
      </c>
      <c r="J2041">
        <v>1</v>
      </c>
      <c r="K2041">
        <f t="shared" si="225"/>
        <v>12</v>
      </c>
      <c r="L2041">
        <f t="shared" si="226"/>
        <v>2017</v>
      </c>
      <c r="N2041" s="17">
        <f t="shared" si="229"/>
        <v>43070</v>
      </c>
      <c r="S2041">
        <f t="shared" si="230"/>
        <v>0</v>
      </c>
    </row>
    <row r="2042" spans="1:19" x14ac:dyDescent="0.3">
      <c r="A2042" s="17">
        <v>43084</v>
      </c>
      <c r="B2042">
        <v>359.77</v>
      </c>
      <c r="C2042">
        <v>61.195</v>
      </c>
      <c r="D2042">
        <f t="shared" si="227"/>
        <v>298.57499999999999</v>
      </c>
      <c r="E2042">
        <v>1.07</v>
      </c>
      <c r="F2042">
        <f t="shared" si="228"/>
        <v>-297.505</v>
      </c>
      <c r="I2042">
        <f t="shared" si="224"/>
        <v>15</v>
      </c>
      <c r="J2042">
        <v>1</v>
      </c>
      <c r="K2042">
        <f t="shared" si="225"/>
        <v>12</v>
      </c>
      <c r="L2042">
        <f t="shared" si="226"/>
        <v>2017</v>
      </c>
      <c r="N2042" s="17">
        <f t="shared" si="229"/>
        <v>43070</v>
      </c>
      <c r="S2042">
        <f t="shared" si="230"/>
        <v>0</v>
      </c>
    </row>
    <row r="2043" spans="1:19" x14ac:dyDescent="0.3">
      <c r="A2043" s="17">
        <v>43083</v>
      </c>
      <c r="B2043">
        <v>354.05</v>
      </c>
      <c r="C2043">
        <v>60.2</v>
      </c>
      <c r="D2043">
        <f t="shared" si="227"/>
        <v>293.85000000000002</v>
      </c>
      <c r="E2043">
        <v>1.04</v>
      </c>
      <c r="F2043">
        <f t="shared" si="228"/>
        <v>-292.81</v>
      </c>
      <c r="I2043">
        <f t="shared" si="224"/>
        <v>14</v>
      </c>
      <c r="J2043">
        <v>1</v>
      </c>
      <c r="K2043">
        <f t="shared" si="225"/>
        <v>12</v>
      </c>
      <c r="L2043">
        <f t="shared" si="226"/>
        <v>2017</v>
      </c>
      <c r="N2043" s="17">
        <f t="shared" si="229"/>
        <v>43070</v>
      </c>
      <c r="S2043">
        <f t="shared" si="230"/>
        <v>0</v>
      </c>
    </row>
    <row r="2044" spans="1:19" x14ac:dyDescent="0.3">
      <c r="A2044" s="17">
        <v>43082</v>
      </c>
      <c r="B2044">
        <v>357.78</v>
      </c>
      <c r="C2044">
        <v>61.34</v>
      </c>
      <c r="D2044">
        <f t="shared" si="227"/>
        <v>296.43999999999994</v>
      </c>
      <c r="E2044">
        <v>1.03</v>
      </c>
      <c r="F2044">
        <f t="shared" si="228"/>
        <v>-295.40999999999997</v>
      </c>
      <c r="I2044">
        <f t="shared" si="224"/>
        <v>13</v>
      </c>
      <c r="J2044">
        <v>1</v>
      </c>
      <c r="K2044">
        <f t="shared" si="225"/>
        <v>12</v>
      </c>
      <c r="L2044">
        <f t="shared" si="226"/>
        <v>2017</v>
      </c>
      <c r="N2044" s="17">
        <f t="shared" si="229"/>
        <v>43070</v>
      </c>
      <c r="S2044">
        <f t="shared" si="230"/>
        <v>0</v>
      </c>
    </row>
    <row r="2045" spans="1:19" x14ac:dyDescent="0.3">
      <c r="A2045" s="17">
        <v>43081</v>
      </c>
      <c r="B2045">
        <v>367.89</v>
      </c>
      <c r="C2045">
        <v>62.56</v>
      </c>
      <c r="D2045">
        <f t="shared" si="227"/>
        <v>305.33</v>
      </c>
      <c r="E2045">
        <v>1.08</v>
      </c>
      <c r="F2045">
        <f t="shared" si="228"/>
        <v>-304.25</v>
      </c>
      <c r="I2045">
        <f t="shared" si="224"/>
        <v>12</v>
      </c>
      <c r="J2045">
        <v>1</v>
      </c>
      <c r="K2045">
        <f t="shared" si="225"/>
        <v>12</v>
      </c>
      <c r="L2045">
        <f t="shared" si="226"/>
        <v>2017</v>
      </c>
      <c r="N2045" s="17">
        <f t="shared" si="229"/>
        <v>43070</v>
      </c>
      <c r="S2045">
        <f t="shared" si="230"/>
        <v>0</v>
      </c>
    </row>
    <row r="2046" spans="1:19" x14ac:dyDescent="0.3">
      <c r="A2046" s="17">
        <v>43080</v>
      </c>
      <c r="B2046">
        <v>355.09</v>
      </c>
      <c r="C2046">
        <v>60.905000000000001</v>
      </c>
      <c r="D2046">
        <f t="shared" si="227"/>
        <v>294.18499999999995</v>
      </c>
      <c r="E2046">
        <v>1.1000000000000001</v>
      </c>
      <c r="F2046">
        <f t="shared" si="228"/>
        <v>-293.08499999999992</v>
      </c>
      <c r="I2046">
        <f t="shared" si="224"/>
        <v>11</v>
      </c>
      <c r="J2046">
        <v>1</v>
      </c>
      <c r="K2046">
        <f t="shared" si="225"/>
        <v>12</v>
      </c>
      <c r="L2046">
        <f t="shared" si="226"/>
        <v>2017</v>
      </c>
      <c r="N2046" s="17">
        <f t="shared" si="229"/>
        <v>43070</v>
      </c>
      <c r="S2046">
        <f t="shared" si="230"/>
        <v>0</v>
      </c>
    </row>
    <row r="2047" spans="1:19" x14ac:dyDescent="0.3">
      <c r="A2047" s="17">
        <v>43077</v>
      </c>
      <c r="B2047">
        <v>350.24</v>
      </c>
      <c r="C2047">
        <v>60.25</v>
      </c>
      <c r="D2047">
        <f t="shared" si="227"/>
        <v>289.99</v>
      </c>
      <c r="E2047">
        <v>1.08</v>
      </c>
      <c r="F2047">
        <f t="shared" si="228"/>
        <v>-288.91000000000003</v>
      </c>
      <c r="I2047">
        <f t="shared" si="224"/>
        <v>8</v>
      </c>
      <c r="J2047">
        <v>1</v>
      </c>
      <c r="K2047">
        <f t="shared" si="225"/>
        <v>12</v>
      </c>
      <c r="L2047">
        <f t="shared" si="226"/>
        <v>2017</v>
      </c>
      <c r="N2047" s="17">
        <f t="shared" si="229"/>
        <v>43070</v>
      </c>
      <c r="S2047">
        <f t="shared" si="230"/>
        <v>0</v>
      </c>
    </row>
    <row r="2048" spans="1:19" x14ac:dyDescent="0.3">
      <c r="A2048" s="17">
        <v>43076</v>
      </c>
      <c r="B2048">
        <v>347.21</v>
      </c>
      <c r="C2048">
        <v>59.46</v>
      </c>
      <c r="D2048">
        <f t="shared" si="227"/>
        <v>287.75</v>
      </c>
      <c r="E2048">
        <v>1.08</v>
      </c>
      <c r="F2048">
        <f t="shared" si="228"/>
        <v>-286.67</v>
      </c>
      <c r="I2048">
        <f t="shared" si="224"/>
        <v>7</v>
      </c>
      <c r="J2048">
        <v>1</v>
      </c>
      <c r="K2048">
        <f t="shared" si="225"/>
        <v>12</v>
      </c>
      <c r="L2048">
        <f t="shared" si="226"/>
        <v>2017</v>
      </c>
      <c r="N2048" s="17">
        <f t="shared" si="229"/>
        <v>43070</v>
      </c>
      <c r="S2048">
        <f t="shared" si="230"/>
        <v>0</v>
      </c>
    </row>
    <row r="2049" spans="1:19" x14ac:dyDescent="0.3">
      <c r="A2049" s="17">
        <v>43075</v>
      </c>
      <c r="B2049">
        <v>355.51</v>
      </c>
      <c r="C2049">
        <v>60.72</v>
      </c>
      <c r="D2049">
        <f t="shared" si="227"/>
        <v>294.78999999999996</v>
      </c>
      <c r="E2049">
        <v>1.1100000000000001</v>
      </c>
      <c r="F2049">
        <f t="shared" si="228"/>
        <v>-293.67999999999995</v>
      </c>
      <c r="I2049">
        <f t="shared" si="224"/>
        <v>6</v>
      </c>
      <c r="J2049">
        <v>1</v>
      </c>
      <c r="K2049">
        <f t="shared" si="225"/>
        <v>12</v>
      </c>
      <c r="L2049">
        <f t="shared" si="226"/>
        <v>2017</v>
      </c>
      <c r="N2049" s="17">
        <f t="shared" si="229"/>
        <v>43070</v>
      </c>
      <c r="S2049">
        <f t="shared" si="230"/>
        <v>0</v>
      </c>
    </row>
    <row r="2050" spans="1:19" x14ac:dyDescent="0.3">
      <c r="A2050" s="17">
        <v>43074</v>
      </c>
      <c r="B2050">
        <v>356.04</v>
      </c>
      <c r="C2050">
        <v>60.05</v>
      </c>
      <c r="D2050">
        <f t="shared" si="227"/>
        <v>295.99</v>
      </c>
      <c r="E2050">
        <v>1.08</v>
      </c>
      <c r="F2050">
        <f t="shared" si="228"/>
        <v>-294.91000000000003</v>
      </c>
      <c r="I2050">
        <f t="shared" si="224"/>
        <v>5</v>
      </c>
      <c r="J2050">
        <v>1</v>
      </c>
      <c r="K2050">
        <f t="shared" si="225"/>
        <v>12</v>
      </c>
      <c r="L2050">
        <f t="shared" si="226"/>
        <v>2017</v>
      </c>
      <c r="N2050" s="17">
        <f t="shared" si="229"/>
        <v>43070</v>
      </c>
      <c r="S2050">
        <f t="shared" si="230"/>
        <v>0</v>
      </c>
    </row>
    <row r="2051" spans="1:19" x14ac:dyDescent="0.3">
      <c r="A2051" s="17">
        <v>43073</v>
      </c>
      <c r="B2051">
        <v>362.92</v>
      </c>
      <c r="C2051">
        <v>60.99</v>
      </c>
      <c r="D2051">
        <f t="shared" si="227"/>
        <v>301.93</v>
      </c>
      <c r="E2051">
        <v>1.01</v>
      </c>
      <c r="F2051">
        <f t="shared" si="228"/>
        <v>-300.92</v>
      </c>
      <c r="I2051">
        <f t="shared" si="224"/>
        <v>4</v>
      </c>
      <c r="J2051">
        <v>1</v>
      </c>
      <c r="K2051">
        <f t="shared" si="225"/>
        <v>12</v>
      </c>
      <c r="L2051">
        <f t="shared" si="226"/>
        <v>2017</v>
      </c>
      <c r="N2051" s="17">
        <f t="shared" si="229"/>
        <v>43070</v>
      </c>
      <c r="S2051">
        <f t="shared" si="230"/>
        <v>1</v>
      </c>
    </row>
    <row r="2052" spans="1:19" x14ac:dyDescent="0.3">
      <c r="A2052" s="17">
        <v>43070</v>
      </c>
      <c r="B2052">
        <v>362.03</v>
      </c>
      <c r="C2052">
        <v>60.76</v>
      </c>
      <c r="D2052">
        <f t="shared" si="227"/>
        <v>301.27</v>
      </c>
      <c r="E2052">
        <v>0.98</v>
      </c>
      <c r="F2052">
        <f t="shared" si="228"/>
        <v>-300.28999999999996</v>
      </c>
      <c r="I2052">
        <f t="shared" si="224"/>
        <v>1</v>
      </c>
      <c r="J2052">
        <v>1</v>
      </c>
      <c r="K2052">
        <f t="shared" si="225"/>
        <v>12</v>
      </c>
      <c r="L2052">
        <f t="shared" si="226"/>
        <v>2017</v>
      </c>
      <c r="N2052" s="17">
        <f t="shared" si="229"/>
        <v>43070</v>
      </c>
      <c r="S2052">
        <f t="shared" si="230"/>
        <v>1</v>
      </c>
    </row>
    <row r="2053" spans="1:19" x14ac:dyDescent="0.3">
      <c r="A2053" s="17">
        <v>43069</v>
      </c>
      <c r="B2053">
        <v>361.46</v>
      </c>
      <c r="C2053">
        <v>60.85</v>
      </c>
      <c r="D2053">
        <f t="shared" si="227"/>
        <v>300.60999999999996</v>
      </c>
      <c r="E2053">
        <v>0.96</v>
      </c>
      <c r="F2053">
        <f t="shared" si="228"/>
        <v>-299.64999999999998</v>
      </c>
      <c r="I2053">
        <f t="shared" ref="I2053:I2116" si="231">+DAY(A2053)</f>
        <v>30</v>
      </c>
      <c r="J2053">
        <v>1</v>
      </c>
      <c r="K2053">
        <f t="shared" ref="K2053:K2116" si="232">+MONTH(A2053)</f>
        <v>11</v>
      </c>
      <c r="L2053">
        <f t="shared" ref="L2053:L2116" si="233">+YEAR(A2053)</f>
        <v>2017</v>
      </c>
      <c r="N2053" s="17">
        <f t="shared" si="229"/>
        <v>43040</v>
      </c>
      <c r="S2053">
        <f t="shared" si="230"/>
        <v>0</v>
      </c>
    </row>
    <row r="2054" spans="1:19" x14ac:dyDescent="0.3">
      <c r="A2054" s="17">
        <v>43068</v>
      </c>
      <c r="B2054">
        <v>361.06</v>
      </c>
      <c r="C2054">
        <v>60.96</v>
      </c>
      <c r="D2054">
        <f t="shared" ref="D2054:D2117" si="234">+B2054-C2054</f>
        <v>300.10000000000002</v>
      </c>
      <c r="E2054">
        <v>0.88</v>
      </c>
      <c r="F2054">
        <f t="shared" ref="F2054:F2117" si="235">+E2054-D2054</f>
        <v>-299.22000000000003</v>
      </c>
      <c r="I2054">
        <f t="shared" si="231"/>
        <v>29</v>
      </c>
      <c r="J2054">
        <v>1</v>
      </c>
      <c r="K2054">
        <f t="shared" si="232"/>
        <v>11</v>
      </c>
      <c r="L2054">
        <f t="shared" si="233"/>
        <v>2017</v>
      </c>
      <c r="N2054" s="17">
        <f t="shared" ref="N2054:N2117" si="236">+DATE(L2054,K2054,J2054)</f>
        <v>43040</v>
      </c>
      <c r="S2054">
        <f t="shared" ref="S2054:S2117" si="237">IF(AND(I2054&gt;=1, I2054&lt;=4), 1, 0)</f>
        <v>0</v>
      </c>
    </row>
    <row r="2055" spans="1:19" x14ac:dyDescent="0.3">
      <c r="A2055" s="17">
        <v>43067</v>
      </c>
      <c r="B2055">
        <v>363.36</v>
      </c>
      <c r="C2055">
        <v>61.25</v>
      </c>
      <c r="D2055">
        <f t="shared" si="234"/>
        <v>302.11</v>
      </c>
      <c r="E2055">
        <v>0.86</v>
      </c>
      <c r="F2055">
        <f t="shared" si="235"/>
        <v>-301.25</v>
      </c>
      <c r="I2055">
        <f t="shared" si="231"/>
        <v>28</v>
      </c>
      <c r="J2055">
        <v>1</v>
      </c>
      <c r="K2055">
        <f t="shared" si="232"/>
        <v>11</v>
      </c>
      <c r="L2055">
        <f t="shared" si="233"/>
        <v>2017</v>
      </c>
      <c r="N2055" s="17">
        <f t="shared" si="236"/>
        <v>43040</v>
      </c>
      <c r="S2055">
        <f t="shared" si="237"/>
        <v>0</v>
      </c>
    </row>
    <row r="2056" spans="1:19" x14ac:dyDescent="0.3">
      <c r="A2056" s="17">
        <v>43066</v>
      </c>
      <c r="B2056">
        <v>365.82</v>
      </c>
      <c r="C2056">
        <v>61.45</v>
      </c>
      <c r="D2056">
        <f t="shared" si="234"/>
        <v>304.37</v>
      </c>
      <c r="E2056">
        <v>0.83</v>
      </c>
      <c r="F2056">
        <f t="shared" si="235"/>
        <v>-303.54000000000002</v>
      </c>
      <c r="I2056">
        <f t="shared" si="231"/>
        <v>27</v>
      </c>
      <c r="J2056">
        <v>1</v>
      </c>
      <c r="K2056">
        <f t="shared" si="232"/>
        <v>11</v>
      </c>
      <c r="L2056">
        <f t="shared" si="233"/>
        <v>2017</v>
      </c>
      <c r="N2056" s="17">
        <f t="shared" si="236"/>
        <v>43040</v>
      </c>
      <c r="S2056">
        <f t="shared" si="237"/>
        <v>0</v>
      </c>
    </row>
    <row r="2057" spans="1:19" x14ac:dyDescent="0.3">
      <c r="A2057" s="17">
        <v>43063</v>
      </c>
      <c r="B2057">
        <v>366.16</v>
      </c>
      <c r="C2057">
        <v>61.645000000000003</v>
      </c>
      <c r="D2057">
        <f t="shared" si="234"/>
        <v>304.51500000000004</v>
      </c>
      <c r="E2057">
        <v>0.88</v>
      </c>
      <c r="F2057">
        <f t="shared" si="235"/>
        <v>-303.63500000000005</v>
      </c>
      <c r="I2057">
        <f t="shared" si="231"/>
        <v>24</v>
      </c>
      <c r="J2057">
        <v>1</v>
      </c>
      <c r="K2057">
        <f t="shared" si="232"/>
        <v>11</v>
      </c>
      <c r="L2057">
        <f t="shared" si="233"/>
        <v>2017</v>
      </c>
      <c r="N2057" s="17">
        <f t="shared" si="236"/>
        <v>43040</v>
      </c>
      <c r="S2057">
        <f t="shared" si="237"/>
        <v>0</v>
      </c>
    </row>
    <row r="2058" spans="1:19" x14ac:dyDescent="0.3">
      <c r="A2058" s="17">
        <v>43062</v>
      </c>
      <c r="B2058">
        <v>364.03</v>
      </c>
      <c r="C2058">
        <v>61.055</v>
      </c>
      <c r="D2058">
        <f t="shared" si="234"/>
        <v>302.97499999999997</v>
      </c>
      <c r="E2058">
        <v>0.89</v>
      </c>
      <c r="F2058">
        <f t="shared" si="235"/>
        <v>-302.08499999999998</v>
      </c>
      <c r="I2058">
        <f t="shared" si="231"/>
        <v>23</v>
      </c>
      <c r="J2058">
        <v>1</v>
      </c>
      <c r="K2058">
        <f t="shared" si="232"/>
        <v>11</v>
      </c>
      <c r="L2058">
        <f t="shared" si="233"/>
        <v>2017</v>
      </c>
      <c r="N2058" s="17">
        <f t="shared" si="236"/>
        <v>43040</v>
      </c>
      <c r="S2058">
        <f t="shared" si="237"/>
        <v>0</v>
      </c>
    </row>
    <row r="2059" spans="1:19" x14ac:dyDescent="0.3">
      <c r="A2059" s="17">
        <v>43061</v>
      </c>
      <c r="B2059">
        <v>365.82</v>
      </c>
      <c r="C2059">
        <v>61.15</v>
      </c>
      <c r="D2059">
        <f t="shared" si="234"/>
        <v>304.67</v>
      </c>
      <c r="E2059">
        <v>0.94</v>
      </c>
      <c r="F2059">
        <f t="shared" si="235"/>
        <v>-303.73</v>
      </c>
      <c r="I2059">
        <f t="shared" si="231"/>
        <v>22</v>
      </c>
      <c r="J2059">
        <v>1</v>
      </c>
      <c r="K2059">
        <f t="shared" si="232"/>
        <v>11</v>
      </c>
      <c r="L2059">
        <f t="shared" si="233"/>
        <v>2017</v>
      </c>
      <c r="N2059" s="17">
        <f t="shared" si="236"/>
        <v>43040</v>
      </c>
      <c r="S2059">
        <f t="shared" si="237"/>
        <v>0</v>
      </c>
    </row>
    <row r="2060" spans="1:19" x14ac:dyDescent="0.3">
      <c r="A2060" s="17">
        <v>43060</v>
      </c>
      <c r="B2060">
        <v>363.11</v>
      </c>
      <c r="C2060">
        <v>60.51</v>
      </c>
      <c r="D2060">
        <f t="shared" si="234"/>
        <v>302.60000000000002</v>
      </c>
      <c r="E2060">
        <v>0.96</v>
      </c>
      <c r="F2060">
        <f t="shared" si="235"/>
        <v>-301.64000000000004</v>
      </c>
      <c r="I2060">
        <f t="shared" si="231"/>
        <v>21</v>
      </c>
      <c r="J2060">
        <v>1</v>
      </c>
      <c r="K2060">
        <f t="shared" si="232"/>
        <v>11</v>
      </c>
      <c r="L2060">
        <f t="shared" si="233"/>
        <v>2017</v>
      </c>
      <c r="N2060" s="17">
        <f t="shared" si="236"/>
        <v>43040</v>
      </c>
      <c r="S2060">
        <f t="shared" si="237"/>
        <v>0</v>
      </c>
    </row>
    <row r="2061" spans="1:19" x14ac:dyDescent="0.3">
      <c r="A2061" s="17">
        <v>43059</v>
      </c>
      <c r="B2061">
        <v>365.06</v>
      </c>
      <c r="C2061">
        <v>60.66</v>
      </c>
      <c r="D2061">
        <f t="shared" si="234"/>
        <v>304.39999999999998</v>
      </c>
      <c r="E2061">
        <v>0.95</v>
      </c>
      <c r="F2061">
        <f t="shared" si="235"/>
        <v>-303.45</v>
      </c>
      <c r="I2061">
        <f t="shared" si="231"/>
        <v>20</v>
      </c>
      <c r="J2061">
        <v>1</v>
      </c>
      <c r="K2061">
        <f t="shared" si="232"/>
        <v>11</v>
      </c>
      <c r="L2061">
        <f t="shared" si="233"/>
        <v>2017</v>
      </c>
      <c r="N2061" s="17">
        <f t="shared" si="236"/>
        <v>43040</v>
      </c>
      <c r="S2061">
        <f t="shared" si="237"/>
        <v>0</v>
      </c>
    </row>
    <row r="2062" spans="1:19" x14ac:dyDescent="0.3">
      <c r="A2062" s="17">
        <v>43056</v>
      </c>
      <c r="B2062">
        <v>359.94</v>
      </c>
      <c r="C2062">
        <v>59.65</v>
      </c>
      <c r="D2062">
        <f t="shared" si="234"/>
        <v>300.29000000000002</v>
      </c>
      <c r="E2062">
        <v>0.99</v>
      </c>
      <c r="F2062">
        <f t="shared" si="235"/>
        <v>-299.3</v>
      </c>
      <c r="I2062">
        <f t="shared" si="231"/>
        <v>17</v>
      </c>
      <c r="J2062">
        <v>1</v>
      </c>
      <c r="K2062">
        <f t="shared" si="232"/>
        <v>11</v>
      </c>
      <c r="L2062">
        <f t="shared" si="233"/>
        <v>2017</v>
      </c>
      <c r="N2062" s="17">
        <f t="shared" si="236"/>
        <v>43040</v>
      </c>
      <c r="S2062">
        <f t="shared" si="237"/>
        <v>0</v>
      </c>
    </row>
    <row r="2063" spans="1:19" x14ac:dyDescent="0.3">
      <c r="A2063" s="17">
        <v>43055</v>
      </c>
      <c r="B2063">
        <v>363.92</v>
      </c>
      <c r="C2063">
        <v>60.35</v>
      </c>
      <c r="D2063">
        <f t="shared" si="234"/>
        <v>303.57</v>
      </c>
      <c r="E2063">
        <v>1.01</v>
      </c>
      <c r="F2063">
        <f t="shared" si="235"/>
        <v>-302.56</v>
      </c>
      <c r="I2063">
        <f t="shared" si="231"/>
        <v>16</v>
      </c>
      <c r="J2063">
        <v>1</v>
      </c>
      <c r="K2063">
        <f t="shared" si="232"/>
        <v>11</v>
      </c>
      <c r="L2063">
        <f t="shared" si="233"/>
        <v>2017</v>
      </c>
      <c r="N2063" s="17">
        <f t="shared" si="236"/>
        <v>43040</v>
      </c>
      <c r="S2063">
        <f t="shared" si="237"/>
        <v>0</v>
      </c>
    </row>
    <row r="2064" spans="1:19" x14ac:dyDescent="0.3">
      <c r="A2064" s="17">
        <v>43054</v>
      </c>
      <c r="B2064">
        <v>360.32</v>
      </c>
      <c r="C2064">
        <v>60.01</v>
      </c>
      <c r="D2064">
        <f t="shared" si="234"/>
        <v>300.31</v>
      </c>
      <c r="E2064">
        <v>1.05</v>
      </c>
      <c r="F2064">
        <f t="shared" si="235"/>
        <v>-299.26</v>
      </c>
      <c r="I2064">
        <f t="shared" si="231"/>
        <v>15</v>
      </c>
      <c r="J2064">
        <v>1</v>
      </c>
      <c r="K2064">
        <f t="shared" si="232"/>
        <v>11</v>
      </c>
      <c r="L2064">
        <f t="shared" si="233"/>
        <v>2017</v>
      </c>
      <c r="N2064" s="17">
        <f t="shared" si="236"/>
        <v>43040</v>
      </c>
      <c r="S2064">
        <f t="shared" si="237"/>
        <v>0</v>
      </c>
    </row>
    <row r="2065" spans="1:19" x14ac:dyDescent="0.3">
      <c r="A2065" s="17">
        <v>43053</v>
      </c>
      <c r="B2065">
        <v>368.46</v>
      </c>
      <c r="C2065">
        <v>61.24</v>
      </c>
      <c r="D2065">
        <f t="shared" si="234"/>
        <v>307.21999999999997</v>
      </c>
      <c r="E2065">
        <v>1.07</v>
      </c>
      <c r="F2065">
        <f t="shared" si="235"/>
        <v>-306.14999999999998</v>
      </c>
      <c r="I2065">
        <f t="shared" si="231"/>
        <v>14</v>
      </c>
      <c r="J2065">
        <v>1</v>
      </c>
      <c r="K2065">
        <f t="shared" si="232"/>
        <v>11</v>
      </c>
      <c r="L2065">
        <f t="shared" si="233"/>
        <v>2017</v>
      </c>
      <c r="N2065" s="17">
        <f t="shared" si="236"/>
        <v>43040</v>
      </c>
      <c r="S2065">
        <f t="shared" si="237"/>
        <v>0</v>
      </c>
    </row>
    <row r="2066" spans="1:19" x14ac:dyDescent="0.3">
      <c r="A2066" s="17">
        <v>43052</v>
      </c>
      <c r="B2066">
        <v>372.35</v>
      </c>
      <c r="C2066">
        <v>61.61</v>
      </c>
      <c r="D2066">
        <f t="shared" si="234"/>
        <v>310.74</v>
      </c>
      <c r="E2066">
        <v>1.07</v>
      </c>
      <c r="F2066">
        <f t="shared" si="235"/>
        <v>-309.67</v>
      </c>
      <c r="I2066">
        <f t="shared" si="231"/>
        <v>13</v>
      </c>
      <c r="J2066">
        <v>1</v>
      </c>
      <c r="K2066">
        <f t="shared" si="232"/>
        <v>11</v>
      </c>
      <c r="L2066">
        <f t="shared" si="233"/>
        <v>2017</v>
      </c>
      <c r="N2066" s="17">
        <f t="shared" si="236"/>
        <v>43040</v>
      </c>
      <c r="S2066">
        <f t="shared" si="237"/>
        <v>0</v>
      </c>
    </row>
    <row r="2067" spans="1:19" x14ac:dyDescent="0.3">
      <c r="A2067" s="17">
        <v>43049</v>
      </c>
      <c r="B2067">
        <v>374.29</v>
      </c>
      <c r="C2067">
        <v>62.06</v>
      </c>
      <c r="D2067">
        <f t="shared" si="234"/>
        <v>312.23</v>
      </c>
      <c r="E2067">
        <v>0.97</v>
      </c>
      <c r="F2067">
        <f t="shared" si="235"/>
        <v>-311.26</v>
      </c>
      <c r="I2067">
        <f t="shared" si="231"/>
        <v>10</v>
      </c>
      <c r="J2067">
        <v>1</v>
      </c>
      <c r="K2067">
        <f t="shared" si="232"/>
        <v>11</v>
      </c>
      <c r="L2067">
        <f t="shared" si="233"/>
        <v>2017</v>
      </c>
      <c r="N2067" s="17">
        <f t="shared" si="236"/>
        <v>43040</v>
      </c>
      <c r="S2067">
        <f t="shared" si="237"/>
        <v>0</v>
      </c>
    </row>
    <row r="2068" spans="1:19" x14ac:dyDescent="0.3">
      <c r="A2068" s="17">
        <v>43048</v>
      </c>
      <c r="B2068">
        <v>371.05</v>
      </c>
      <c r="C2068">
        <v>61.61</v>
      </c>
      <c r="D2068">
        <f t="shared" si="234"/>
        <v>309.44</v>
      </c>
      <c r="E2068">
        <v>0.96</v>
      </c>
      <c r="F2068">
        <f t="shared" si="235"/>
        <v>-308.48</v>
      </c>
      <c r="I2068">
        <f t="shared" si="231"/>
        <v>9</v>
      </c>
      <c r="J2068">
        <v>1</v>
      </c>
      <c r="K2068">
        <f t="shared" si="232"/>
        <v>11</v>
      </c>
      <c r="L2068">
        <f t="shared" si="233"/>
        <v>2017</v>
      </c>
      <c r="N2068" s="17">
        <f t="shared" si="236"/>
        <v>43040</v>
      </c>
      <c r="S2068">
        <f t="shared" si="237"/>
        <v>0</v>
      </c>
    </row>
    <row r="2069" spans="1:19" x14ac:dyDescent="0.3">
      <c r="A2069" s="17">
        <v>43047</v>
      </c>
      <c r="B2069">
        <v>369.8</v>
      </c>
      <c r="C2069">
        <v>61.8</v>
      </c>
      <c r="D2069">
        <f t="shared" si="234"/>
        <v>308</v>
      </c>
      <c r="E2069">
        <v>0.99</v>
      </c>
      <c r="F2069">
        <f t="shared" si="235"/>
        <v>-307.01</v>
      </c>
      <c r="I2069">
        <f t="shared" si="231"/>
        <v>8</v>
      </c>
      <c r="J2069">
        <v>1</v>
      </c>
      <c r="K2069">
        <f t="shared" si="232"/>
        <v>11</v>
      </c>
      <c r="L2069">
        <f t="shared" si="233"/>
        <v>2017</v>
      </c>
      <c r="N2069" s="17">
        <f t="shared" si="236"/>
        <v>43040</v>
      </c>
      <c r="S2069">
        <f t="shared" si="237"/>
        <v>0</v>
      </c>
    </row>
    <row r="2070" spans="1:19" x14ac:dyDescent="0.3">
      <c r="A2070" s="17">
        <v>43046</v>
      </c>
      <c r="B2070">
        <v>379.03</v>
      </c>
      <c r="C2070">
        <v>62.36</v>
      </c>
      <c r="D2070">
        <f t="shared" si="234"/>
        <v>316.66999999999996</v>
      </c>
      <c r="E2070">
        <v>1.01</v>
      </c>
      <c r="F2070">
        <f t="shared" si="235"/>
        <v>-315.65999999999997</v>
      </c>
      <c r="I2070">
        <f t="shared" si="231"/>
        <v>7</v>
      </c>
      <c r="J2070">
        <v>1</v>
      </c>
      <c r="K2070">
        <f t="shared" si="232"/>
        <v>11</v>
      </c>
      <c r="L2070">
        <f t="shared" si="233"/>
        <v>2017</v>
      </c>
      <c r="N2070" s="17">
        <f t="shared" si="236"/>
        <v>43040</v>
      </c>
      <c r="S2070">
        <f t="shared" si="237"/>
        <v>0</v>
      </c>
    </row>
    <row r="2071" spans="1:19" x14ac:dyDescent="0.3">
      <c r="A2071" s="17">
        <v>43045</v>
      </c>
      <c r="B2071">
        <v>369.97</v>
      </c>
      <c r="C2071">
        <v>60.61</v>
      </c>
      <c r="D2071">
        <f t="shared" si="234"/>
        <v>309.36</v>
      </c>
      <c r="E2071">
        <v>0.99</v>
      </c>
      <c r="F2071">
        <f t="shared" si="235"/>
        <v>-308.37</v>
      </c>
      <c r="I2071">
        <f t="shared" si="231"/>
        <v>6</v>
      </c>
      <c r="J2071">
        <v>1</v>
      </c>
      <c r="K2071">
        <f t="shared" si="232"/>
        <v>11</v>
      </c>
      <c r="L2071">
        <f t="shared" si="233"/>
        <v>2017</v>
      </c>
      <c r="N2071" s="17">
        <f t="shared" si="236"/>
        <v>43040</v>
      </c>
      <c r="S2071">
        <f t="shared" si="237"/>
        <v>0</v>
      </c>
    </row>
    <row r="2072" spans="1:19" x14ac:dyDescent="0.3">
      <c r="A2072" s="17">
        <v>43042</v>
      </c>
      <c r="B2072">
        <v>359.13</v>
      </c>
      <c r="C2072">
        <v>58.96</v>
      </c>
      <c r="D2072">
        <f t="shared" si="234"/>
        <v>300.17</v>
      </c>
      <c r="E2072">
        <v>1.07</v>
      </c>
      <c r="F2072">
        <f t="shared" si="235"/>
        <v>-299.10000000000002</v>
      </c>
      <c r="I2072">
        <f t="shared" si="231"/>
        <v>3</v>
      </c>
      <c r="J2072">
        <v>1</v>
      </c>
      <c r="K2072">
        <f t="shared" si="232"/>
        <v>11</v>
      </c>
      <c r="L2072">
        <f t="shared" si="233"/>
        <v>2017</v>
      </c>
      <c r="N2072" s="17">
        <f t="shared" si="236"/>
        <v>43040</v>
      </c>
      <c r="S2072">
        <f t="shared" si="237"/>
        <v>1</v>
      </c>
    </row>
    <row r="2073" spans="1:19" x14ac:dyDescent="0.3">
      <c r="A2073" s="17">
        <v>43041</v>
      </c>
      <c r="B2073">
        <v>356.41</v>
      </c>
      <c r="C2073">
        <v>58.54</v>
      </c>
      <c r="D2073">
        <f t="shared" si="234"/>
        <v>297.87</v>
      </c>
      <c r="E2073">
        <v>1.1599999999999999</v>
      </c>
      <c r="F2073">
        <f t="shared" si="235"/>
        <v>-296.70999999999998</v>
      </c>
      <c r="I2073">
        <f t="shared" si="231"/>
        <v>2</v>
      </c>
      <c r="J2073">
        <v>1</v>
      </c>
      <c r="K2073">
        <f t="shared" si="232"/>
        <v>11</v>
      </c>
      <c r="L2073">
        <f t="shared" si="233"/>
        <v>2017</v>
      </c>
      <c r="N2073" s="17">
        <f t="shared" si="236"/>
        <v>43040</v>
      </c>
      <c r="S2073">
        <f t="shared" si="237"/>
        <v>1</v>
      </c>
    </row>
    <row r="2074" spans="1:19" x14ac:dyDescent="0.3">
      <c r="A2074" s="17">
        <v>43040</v>
      </c>
      <c r="B2074">
        <v>362.44</v>
      </c>
      <c r="C2074">
        <v>59.66</v>
      </c>
      <c r="D2074">
        <f t="shared" si="234"/>
        <v>302.77999999999997</v>
      </c>
      <c r="E2074">
        <v>1.1599999999999999</v>
      </c>
      <c r="F2074">
        <f t="shared" si="235"/>
        <v>-301.61999999999995</v>
      </c>
      <c r="I2074">
        <f t="shared" si="231"/>
        <v>1</v>
      </c>
      <c r="J2074">
        <v>1</v>
      </c>
      <c r="K2074">
        <f t="shared" si="232"/>
        <v>11</v>
      </c>
      <c r="L2074">
        <f t="shared" si="233"/>
        <v>2017</v>
      </c>
      <c r="N2074" s="17">
        <f t="shared" si="236"/>
        <v>43040</v>
      </c>
      <c r="S2074">
        <f t="shared" si="237"/>
        <v>1</v>
      </c>
    </row>
    <row r="2075" spans="1:19" x14ac:dyDescent="0.3">
      <c r="A2075" s="17">
        <v>43039</v>
      </c>
      <c r="B2075">
        <v>354.5</v>
      </c>
      <c r="C2075">
        <v>58.3</v>
      </c>
      <c r="D2075">
        <f t="shared" si="234"/>
        <v>296.2</v>
      </c>
      <c r="E2075">
        <v>1.2</v>
      </c>
      <c r="F2075">
        <f t="shared" si="235"/>
        <v>-295</v>
      </c>
      <c r="I2075">
        <f t="shared" si="231"/>
        <v>31</v>
      </c>
      <c r="J2075">
        <v>1</v>
      </c>
      <c r="K2075">
        <f t="shared" si="232"/>
        <v>10</v>
      </c>
      <c r="L2075">
        <f t="shared" si="233"/>
        <v>2017</v>
      </c>
      <c r="N2075" s="17">
        <f t="shared" si="236"/>
        <v>43009</v>
      </c>
      <c r="S2075">
        <f t="shared" si="237"/>
        <v>0</v>
      </c>
    </row>
    <row r="2076" spans="1:19" x14ac:dyDescent="0.3">
      <c r="A2076" s="17">
        <v>43038</v>
      </c>
      <c r="B2076">
        <v>350.9</v>
      </c>
      <c r="C2076">
        <v>58.36</v>
      </c>
      <c r="D2076">
        <f t="shared" si="234"/>
        <v>292.53999999999996</v>
      </c>
      <c r="E2076">
        <v>1.21</v>
      </c>
      <c r="F2076">
        <f t="shared" si="235"/>
        <v>-291.33</v>
      </c>
      <c r="I2076">
        <f t="shared" si="231"/>
        <v>30</v>
      </c>
      <c r="J2076">
        <v>1</v>
      </c>
      <c r="K2076">
        <f t="shared" si="232"/>
        <v>10</v>
      </c>
      <c r="L2076">
        <f t="shared" si="233"/>
        <v>2017</v>
      </c>
      <c r="N2076" s="17">
        <f t="shared" si="236"/>
        <v>43009</v>
      </c>
      <c r="S2076">
        <f t="shared" si="237"/>
        <v>0</v>
      </c>
    </row>
    <row r="2077" spans="1:19" x14ac:dyDescent="0.3">
      <c r="A2077" s="17">
        <v>43035</v>
      </c>
      <c r="B2077">
        <v>341.81</v>
      </c>
      <c r="C2077">
        <v>57</v>
      </c>
      <c r="D2077">
        <f t="shared" si="234"/>
        <v>284.81</v>
      </c>
      <c r="E2077">
        <v>1.25</v>
      </c>
      <c r="F2077">
        <f t="shared" si="235"/>
        <v>-283.56</v>
      </c>
      <c r="I2077">
        <f t="shared" si="231"/>
        <v>27</v>
      </c>
      <c r="J2077">
        <v>1</v>
      </c>
      <c r="K2077">
        <f t="shared" si="232"/>
        <v>10</v>
      </c>
      <c r="L2077">
        <f t="shared" si="233"/>
        <v>2017</v>
      </c>
      <c r="N2077" s="17">
        <f t="shared" si="236"/>
        <v>43009</v>
      </c>
      <c r="S2077">
        <f t="shared" si="237"/>
        <v>0</v>
      </c>
    </row>
    <row r="2078" spans="1:19" x14ac:dyDescent="0.3">
      <c r="A2078" s="17">
        <v>43034</v>
      </c>
      <c r="B2078">
        <v>337.48</v>
      </c>
      <c r="C2078">
        <v>56.2</v>
      </c>
      <c r="D2078">
        <f t="shared" si="234"/>
        <v>281.28000000000003</v>
      </c>
      <c r="E2078">
        <v>1.32</v>
      </c>
      <c r="F2078">
        <f t="shared" si="235"/>
        <v>-279.96000000000004</v>
      </c>
      <c r="I2078">
        <f t="shared" si="231"/>
        <v>26</v>
      </c>
      <c r="J2078">
        <v>1</v>
      </c>
      <c r="K2078">
        <f t="shared" si="232"/>
        <v>10</v>
      </c>
      <c r="L2078">
        <f t="shared" si="233"/>
        <v>2017</v>
      </c>
      <c r="N2078" s="17">
        <f t="shared" si="236"/>
        <v>43009</v>
      </c>
      <c r="S2078">
        <f t="shared" si="237"/>
        <v>0</v>
      </c>
    </row>
    <row r="2079" spans="1:19" x14ac:dyDescent="0.3">
      <c r="A2079" s="17">
        <v>43033</v>
      </c>
      <c r="B2079">
        <v>338.83</v>
      </c>
      <c r="C2079">
        <v>56.21</v>
      </c>
      <c r="D2079">
        <f t="shared" si="234"/>
        <v>282.62</v>
      </c>
      <c r="E2079">
        <v>1.35</v>
      </c>
      <c r="F2079">
        <f t="shared" si="235"/>
        <v>-281.27</v>
      </c>
      <c r="I2079">
        <f t="shared" si="231"/>
        <v>25</v>
      </c>
      <c r="J2079">
        <v>1</v>
      </c>
      <c r="K2079">
        <f t="shared" si="232"/>
        <v>10</v>
      </c>
      <c r="L2079">
        <f t="shared" si="233"/>
        <v>2017</v>
      </c>
      <c r="N2079" s="17">
        <f t="shared" si="236"/>
        <v>43009</v>
      </c>
      <c r="S2079">
        <f t="shared" si="237"/>
        <v>0</v>
      </c>
    </row>
    <row r="2080" spans="1:19" x14ac:dyDescent="0.3">
      <c r="A2080" s="17">
        <v>43032</v>
      </c>
      <c r="B2080">
        <v>334.24</v>
      </c>
      <c r="C2080">
        <v>55.27</v>
      </c>
      <c r="D2080">
        <f t="shared" si="234"/>
        <v>278.97000000000003</v>
      </c>
      <c r="E2080">
        <v>1.66</v>
      </c>
      <c r="F2080">
        <f t="shared" si="235"/>
        <v>-277.31</v>
      </c>
      <c r="I2080">
        <f t="shared" si="231"/>
        <v>24</v>
      </c>
      <c r="J2080">
        <v>1</v>
      </c>
      <c r="K2080">
        <f t="shared" si="232"/>
        <v>10</v>
      </c>
      <c r="L2080">
        <f t="shared" si="233"/>
        <v>2017</v>
      </c>
      <c r="N2080" s="17">
        <f t="shared" si="236"/>
        <v>43009</v>
      </c>
      <c r="S2080">
        <f t="shared" si="237"/>
        <v>0</v>
      </c>
    </row>
    <row r="2081" spans="1:19" x14ac:dyDescent="0.3">
      <c r="A2081" s="17">
        <v>43031</v>
      </c>
      <c r="B2081">
        <v>337.97</v>
      </c>
      <c r="C2081">
        <v>55.88</v>
      </c>
      <c r="D2081">
        <f t="shared" si="234"/>
        <v>282.09000000000003</v>
      </c>
      <c r="E2081">
        <v>1.65</v>
      </c>
      <c r="F2081">
        <f t="shared" si="235"/>
        <v>-280.44000000000005</v>
      </c>
      <c r="I2081">
        <f t="shared" si="231"/>
        <v>23</v>
      </c>
      <c r="J2081">
        <v>1</v>
      </c>
      <c r="K2081">
        <f t="shared" si="232"/>
        <v>10</v>
      </c>
      <c r="L2081">
        <f t="shared" si="233"/>
        <v>2017</v>
      </c>
      <c r="N2081" s="17">
        <f t="shared" si="236"/>
        <v>43009</v>
      </c>
      <c r="S2081">
        <f t="shared" si="237"/>
        <v>0</v>
      </c>
    </row>
    <row r="2082" spans="1:19" x14ac:dyDescent="0.3">
      <c r="A2082" s="17">
        <v>43028</v>
      </c>
      <c r="B2082">
        <v>331.82</v>
      </c>
      <c r="C2082">
        <v>55.15</v>
      </c>
      <c r="D2082">
        <f t="shared" si="234"/>
        <v>276.67</v>
      </c>
      <c r="E2082">
        <v>1.6</v>
      </c>
      <c r="F2082">
        <f t="shared" si="235"/>
        <v>-275.07</v>
      </c>
      <c r="I2082">
        <f t="shared" si="231"/>
        <v>20</v>
      </c>
      <c r="J2082">
        <v>1</v>
      </c>
      <c r="K2082">
        <f t="shared" si="232"/>
        <v>10</v>
      </c>
      <c r="L2082">
        <f t="shared" si="233"/>
        <v>2017</v>
      </c>
      <c r="N2082" s="17">
        <f t="shared" si="236"/>
        <v>43009</v>
      </c>
      <c r="S2082">
        <f t="shared" si="237"/>
        <v>0</v>
      </c>
    </row>
    <row r="2083" spans="1:19" x14ac:dyDescent="0.3">
      <c r="A2083" s="17">
        <v>43027</v>
      </c>
      <c r="B2083">
        <v>332.65</v>
      </c>
      <c r="C2083">
        <v>55.5</v>
      </c>
      <c r="D2083">
        <f t="shared" si="234"/>
        <v>277.14999999999998</v>
      </c>
      <c r="E2083">
        <v>1.75</v>
      </c>
      <c r="F2083">
        <f t="shared" si="235"/>
        <v>-275.39999999999998</v>
      </c>
      <c r="I2083">
        <f t="shared" si="231"/>
        <v>19</v>
      </c>
      <c r="J2083">
        <v>1</v>
      </c>
      <c r="K2083">
        <f t="shared" si="232"/>
        <v>10</v>
      </c>
      <c r="L2083">
        <f t="shared" si="233"/>
        <v>2017</v>
      </c>
      <c r="N2083" s="17">
        <f t="shared" si="236"/>
        <v>43009</v>
      </c>
      <c r="S2083">
        <f t="shared" si="237"/>
        <v>0</v>
      </c>
    </row>
    <row r="2084" spans="1:19" x14ac:dyDescent="0.3">
      <c r="A2084" s="17">
        <v>43025</v>
      </c>
      <c r="B2084">
        <v>338.48</v>
      </c>
      <c r="C2084">
        <v>56.3</v>
      </c>
      <c r="D2084">
        <f t="shared" si="234"/>
        <v>282.18</v>
      </c>
      <c r="E2084">
        <v>1.88</v>
      </c>
      <c r="F2084">
        <f t="shared" si="235"/>
        <v>-280.3</v>
      </c>
      <c r="I2084">
        <f t="shared" si="231"/>
        <v>17</v>
      </c>
      <c r="J2084">
        <v>1</v>
      </c>
      <c r="K2084">
        <f t="shared" si="232"/>
        <v>10</v>
      </c>
      <c r="L2084">
        <f t="shared" si="233"/>
        <v>2017</v>
      </c>
      <c r="N2084" s="17">
        <f t="shared" si="236"/>
        <v>43009</v>
      </c>
      <c r="S2084">
        <f t="shared" si="237"/>
        <v>0</v>
      </c>
    </row>
    <row r="2085" spans="1:19" x14ac:dyDescent="0.3">
      <c r="A2085" s="17">
        <v>43024</v>
      </c>
      <c r="B2085">
        <v>335.9</v>
      </c>
      <c r="C2085">
        <v>55.95</v>
      </c>
      <c r="D2085">
        <f t="shared" si="234"/>
        <v>279.95</v>
      </c>
      <c r="E2085">
        <v>1.91</v>
      </c>
      <c r="F2085">
        <f t="shared" si="235"/>
        <v>-278.03999999999996</v>
      </c>
      <c r="I2085">
        <f t="shared" si="231"/>
        <v>16</v>
      </c>
      <c r="J2085">
        <v>1</v>
      </c>
      <c r="K2085">
        <f t="shared" si="232"/>
        <v>10</v>
      </c>
      <c r="L2085">
        <f t="shared" si="233"/>
        <v>2017</v>
      </c>
      <c r="N2085" s="17">
        <f t="shared" si="236"/>
        <v>43009</v>
      </c>
      <c r="S2085">
        <f t="shared" si="237"/>
        <v>0</v>
      </c>
    </row>
    <row r="2086" spans="1:19" x14ac:dyDescent="0.3">
      <c r="A2086" s="17">
        <v>43021</v>
      </c>
      <c r="B2086">
        <v>332.79</v>
      </c>
      <c r="C2086">
        <v>55.54</v>
      </c>
      <c r="D2086">
        <f t="shared" si="234"/>
        <v>277.25</v>
      </c>
      <c r="E2086">
        <v>1.96</v>
      </c>
      <c r="F2086">
        <f t="shared" si="235"/>
        <v>-275.29000000000002</v>
      </c>
      <c r="I2086">
        <f t="shared" si="231"/>
        <v>13</v>
      </c>
      <c r="J2086">
        <v>1</v>
      </c>
      <c r="K2086">
        <f t="shared" si="232"/>
        <v>10</v>
      </c>
      <c r="L2086">
        <f t="shared" si="233"/>
        <v>2017</v>
      </c>
      <c r="N2086" s="17">
        <f t="shared" si="236"/>
        <v>43009</v>
      </c>
      <c r="S2086">
        <f t="shared" si="237"/>
        <v>0</v>
      </c>
    </row>
    <row r="2087" spans="1:19" x14ac:dyDescent="0.3">
      <c r="A2087" s="17">
        <v>43020</v>
      </c>
      <c r="B2087">
        <v>330.03</v>
      </c>
      <c r="C2087">
        <v>54.96</v>
      </c>
      <c r="D2087">
        <f t="shared" si="234"/>
        <v>275.07</v>
      </c>
      <c r="E2087">
        <v>2.1</v>
      </c>
      <c r="F2087">
        <f t="shared" si="235"/>
        <v>-272.96999999999997</v>
      </c>
      <c r="I2087">
        <f t="shared" si="231"/>
        <v>12</v>
      </c>
      <c r="J2087">
        <v>1</v>
      </c>
      <c r="K2087">
        <f t="shared" si="232"/>
        <v>10</v>
      </c>
      <c r="L2087">
        <f t="shared" si="233"/>
        <v>2017</v>
      </c>
      <c r="N2087" s="17">
        <f t="shared" si="236"/>
        <v>43009</v>
      </c>
      <c r="S2087">
        <f t="shared" si="237"/>
        <v>0</v>
      </c>
    </row>
    <row r="2088" spans="1:19" x14ac:dyDescent="0.3">
      <c r="A2088" s="17">
        <v>43019</v>
      </c>
      <c r="B2088">
        <v>328.02</v>
      </c>
      <c r="C2088">
        <v>54.79</v>
      </c>
      <c r="D2088">
        <f t="shared" si="234"/>
        <v>273.22999999999996</v>
      </c>
      <c r="E2088">
        <v>2.17</v>
      </c>
      <c r="F2088">
        <f t="shared" si="235"/>
        <v>-271.05999999999995</v>
      </c>
      <c r="I2088">
        <f t="shared" si="231"/>
        <v>11</v>
      </c>
      <c r="J2088">
        <v>1</v>
      </c>
      <c r="K2088">
        <f t="shared" si="232"/>
        <v>10</v>
      </c>
      <c r="L2088">
        <f t="shared" si="233"/>
        <v>2017</v>
      </c>
      <c r="N2088" s="17">
        <f t="shared" si="236"/>
        <v>43009</v>
      </c>
      <c r="S2088">
        <f t="shared" si="237"/>
        <v>0</v>
      </c>
    </row>
    <row r="2089" spans="1:19" x14ac:dyDescent="0.3">
      <c r="A2089" s="17">
        <v>43018</v>
      </c>
      <c r="B2089">
        <v>322.61</v>
      </c>
      <c r="C2089">
        <v>54.1</v>
      </c>
      <c r="D2089">
        <f t="shared" si="234"/>
        <v>268.51</v>
      </c>
      <c r="E2089">
        <v>2.16</v>
      </c>
      <c r="F2089">
        <f t="shared" si="235"/>
        <v>-266.34999999999997</v>
      </c>
      <c r="I2089">
        <f t="shared" si="231"/>
        <v>10</v>
      </c>
      <c r="J2089">
        <v>1</v>
      </c>
      <c r="K2089">
        <f t="shared" si="232"/>
        <v>10</v>
      </c>
      <c r="L2089">
        <f t="shared" si="233"/>
        <v>2017</v>
      </c>
      <c r="N2089" s="17">
        <f t="shared" si="236"/>
        <v>43009</v>
      </c>
      <c r="S2089">
        <f t="shared" si="237"/>
        <v>0</v>
      </c>
    </row>
    <row r="2090" spans="1:19" x14ac:dyDescent="0.3">
      <c r="A2090" s="17">
        <v>43017</v>
      </c>
      <c r="B2090">
        <v>320.31</v>
      </c>
      <c r="C2090">
        <v>53.73</v>
      </c>
      <c r="D2090">
        <f t="shared" si="234"/>
        <v>266.58</v>
      </c>
      <c r="E2090">
        <v>2.17</v>
      </c>
      <c r="F2090">
        <f t="shared" si="235"/>
        <v>-264.40999999999997</v>
      </c>
      <c r="I2090">
        <f t="shared" si="231"/>
        <v>9</v>
      </c>
      <c r="J2090">
        <v>1</v>
      </c>
      <c r="K2090">
        <f t="shared" si="232"/>
        <v>10</v>
      </c>
      <c r="L2090">
        <f t="shared" si="233"/>
        <v>2017</v>
      </c>
      <c r="N2090" s="17">
        <f t="shared" si="236"/>
        <v>43009</v>
      </c>
      <c r="S2090">
        <f t="shared" si="237"/>
        <v>0</v>
      </c>
    </row>
    <row r="2091" spans="1:19" x14ac:dyDescent="0.3">
      <c r="A2091" s="17">
        <v>43014</v>
      </c>
      <c r="B2091">
        <v>329.72</v>
      </c>
      <c r="C2091">
        <v>55.25</v>
      </c>
      <c r="D2091">
        <f t="shared" si="234"/>
        <v>274.47000000000003</v>
      </c>
      <c r="E2091">
        <v>2.2000000000000002</v>
      </c>
      <c r="F2091">
        <f t="shared" si="235"/>
        <v>-272.27000000000004</v>
      </c>
      <c r="I2091">
        <f t="shared" si="231"/>
        <v>6</v>
      </c>
      <c r="J2091">
        <v>1</v>
      </c>
      <c r="K2091">
        <f t="shared" si="232"/>
        <v>10</v>
      </c>
      <c r="L2091">
        <f t="shared" si="233"/>
        <v>2017</v>
      </c>
      <c r="N2091" s="17">
        <f t="shared" si="236"/>
        <v>43009</v>
      </c>
      <c r="S2091">
        <f t="shared" si="237"/>
        <v>0</v>
      </c>
    </row>
    <row r="2092" spans="1:19" x14ac:dyDescent="0.3">
      <c r="A2092" s="17">
        <v>43013</v>
      </c>
      <c r="B2092">
        <v>325.5</v>
      </c>
      <c r="C2092">
        <v>54.41</v>
      </c>
      <c r="D2092">
        <f t="shared" si="234"/>
        <v>271.09000000000003</v>
      </c>
      <c r="E2092">
        <v>2.15</v>
      </c>
      <c r="F2092">
        <f t="shared" si="235"/>
        <v>-268.94000000000005</v>
      </c>
      <c r="I2092">
        <f t="shared" si="231"/>
        <v>5</v>
      </c>
      <c r="J2092">
        <v>1</v>
      </c>
      <c r="K2092">
        <f t="shared" si="232"/>
        <v>10</v>
      </c>
      <c r="L2092">
        <f t="shared" si="233"/>
        <v>2017</v>
      </c>
      <c r="N2092" s="17">
        <f t="shared" si="236"/>
        <v>43009</v>
      </c>
      <c r="S2092">
        <f t="shared" si="237"/>
        <v>0</v>
      </c>
    </row>
    <row r="2093" spans="1:19" x14ac:dyDescent="0.3">
      <c r="A2093" s="17">
        <v>43012</v>
      </c>
      <c r="B2093">
        <v>322</v>
      </c>
      <c r="C2093">
        <v>53.95</v>
      </c>
      <c r="D2093">
        <f t="shared" si="234"/>
        <v>268.05</v>
      </c>
      <c r="E2093">
        <v>2.1</v>
      </c>
      <c r="F2093">
        <f t="shared" si="235"/>
        <v>-265.95</v>
      </c>
      <c r="I2093">
        <f t="shared" si="231"/>
        <v>4</v>
      </c>
      <c r="J2093">
        <v>1</v>
      </c>
      <c r="K2093">
        <f t="shared" si="232"/>
        <v>10</v>
      </c>
      <c r="L2093">
        <f t="shared" si="233"/>
        <v>2017</v>
      </c>
      <c r="N2093" s="17">
        <f t="shared" si="236"/>
        <v>43009</v>
      </c>
      <c r="S2093">
        <f t="shared" si="237"/>
        <v>1</v>
      </c>
    </row>
    <row r="2094" spans="1:19" x14ac:dyDescent="0.3">
      <c r="A2094" s="17">
        <v>43011</v>
      </c>
      <c r="B2094">
        <v>327.84</v>
      </c>
      <c r="C2094">
        <v>54.5</v>
      </c>
      <c r="D2094">
        <f t="shared" si="234"/>
        <v>273.33999999999997</v>
      </c>
      <c r="E2094">
        <v>2.0099999999999998</v>
      </c>
      <c r="F2094">
        <f t="shared" si="235"/>
        <v>-271.33</v>
      </c>
      <c r="I2094">
        <f t="shared" si="231"/>
        <v>3</v>
      </c>
      <c r="J2094">
        <v>1</v>
      </c>
      <c r="K2094">
        <f t="shared" si="232"/>
        <v>10</v>
      </c>
      <c r="L2094">
        <f t="shared" si="233"/>
        <v>2017</v>
      </c>
      <c r="N2094" s="17">
        <f t="shared" si="236"/>
        <v>43009</v>
      </c>
      <c r="S2094">
        <f t="shared" si="237"/>
        <v>1</v>
      </c>
    </row>
    <row r="2095" spans="1:19" x14ac:dyDescent="0.3">
      <c r="A2095" s="17">
        <v>43010</v>
      </c>
      <c r="B2095">
        <v>332.38</v>
      </c>
      <c r="C2095">
        <v>55.16</v>
      </c>
      <c r="D2095">
        <f t="shared" si="234"/>
        <v>277.22000000000003</v>
      </c>
      <c r="E2095">
        <v>1.85</v>
      </c>
      <c r="F2095">
        <f t="shared" si="235"/>
        <v>-275.37</v>
      </c>
      <c r="I2095">
        <f t="shared" si="231"/>
        <v>2</v>
      </c>
      <c r="J2095">
        <v>1</v>
      </c>
      <c r="K2095">
        <f t="shared" si="232"/>
        <v>10</v>
      </c>
      <c r="L2095">
        <f t="shared" si="233"/>
        <v>2017</v>
      </c>
      <c r="N2095" s="17">
        <f t="shared" si="236"/>
        <v>43009</v>
      </c>
      <c r="S2095">
        <f t="shared" si="237"/>
        <v>1</v>
      </c>
    </row>
    <row r="2096" spans="1:19" x14ac:dyDescent="0.3">
      <c r="A2096" s="17">
        <v>43007</v>
      </c>
      <c r="B2096">
        <v>336.23</v>
      </c>
      <c r="C2096">
        <v>55.2</v>
      </c>
      <c r="D2096">
        <f t="shared" si="234"/>
        <v>281.03000000000003</v>
      </c>
      <c r="E2096">
        <v>1.94</v>
      </c>
      <c r="F2096">
        <f t="shared" si="235"/>
        <v>-279.09000000000003</v>
      </c>
      <c r="I2096">
        <f t="shared" si="231"/>
        <v>29</v>
      </c>
      <c r="J2096">
        <v>1</v>
      </c>
      <c r="K2096">
        <f t="shared" si="232"/>
        <v>9</v>
      </c>
      <c r="L2096">
        <f t="shared" si="233"/>
        <v>2017</v>
      </c>
      <c r="N2096" s="17">
        <f t="shared" si="236"/>
        <v>42979</v>
      </c>
      <c r="S2096">
        <f t="shared" si="237"/>
        <v>0</v>
      </c>
    </row>
    <row r="2097" spans="1:19" x14ac:dyDescent="0.3">
      <c r="A2097" s="17">
        <v>43006</v>
      </c>
      <c r="B2097">
        <v>334.68</v>
      </c>
      <c r="C2097">
        <v>55.59</v>
      </c>
      <c r="D2097">
        <f t="shared" si="234"/>
        <v>279.09000000000003</v>
      </c>
      <c r="E2097">
        <v>1.73</v>
      </c>
      <c r="F2097">
        <f t="shared" si="235"/>
        <v>-277.36</v>
      </c>
      <c r="I2097">
        <f t="shared" si="231"/>
        <v>28</v>
      </c>
      <c r="J2097">
        <v>1</v>
      </c>
      <c r="K2097">
        <f t="shared" si="232"/>
        <v>9</v>
      </c>
      <c r="L2097">
        <f t="shared" si="233"/>
        <v>2017</v>
      </c>
      <c r="N2097" s="17">
        <f t="shared" si="236"/>
        <v>42979</v>
      </c>
      <c r="S2097">
        <f t="shared" si="237"/>
        <v>0</v>
      </c>
    </row>
    <row r="2098" spans="1:19" x14ac:dyDescent="0.3">
      <c r="A2098" s="17">
        <v>43005</v>
      </c>
      <c r="B2098">
        <v>334.37</v>
      </c>
      <c r="C2098">
        <v>55.65</v>
      </c>
      <c r="D2098">
        <f t="shared" si="234"/>
        <v>278.72000000000003</v>
      </c>
      <c r="E2098">
        <v>1.62</v>
      </c>
      <c r="F2098">
        <f t="shared" si="235"/>
        <v>-277.10000000000002</v>
      </c>
      <c r="I2098">
        <f t="shared" si="231"/>
        <v>27</v>
      </c>
      <c r="J2098">
        <v>1</v>
      </c>
      <c r="K2098">
        <f t="shared" si="232"/>
        <v>9</v>
      </c>
      <c r="L2098">
        <f t="shared" si="233"/>
        <v>2017</v>
      </c>
      <c r="N2098" s="17">
        <f t="shared" si="236"/>
        <v>42979</v>
      </c>
      <c r="S2098">
        <f t="shared" si="237"/>
        <v>0</v>
      </c>
    </row>
    <row r="2099" spans="1:19" x14ac:dyDescent="0.3">
      <c r="A2099" s="17">
        <v>43004</v>
      </c>
      <c r="B2099">
        <v>334.73</v>
      </c>
      <c r="C2099">
        <v>56.09</v>
      </c>
      <c r="D2099">
        <f t="shared" si="234"/>
        <v>278.64</v>
      </c>
      <c r="E2099">
        <v>1.54</v>
      </c>
      <c r="F2099">
        <f t="shared" si="235"/>
        <v>-277.09999999999997</v>
      </c>
      <c r="I2099">
        <f t="shared" si="231"/>
        <v>26</v>
      </c>
      <c r="J2099">
        <v>1</v>
      </c>
      <c r="K2099">
        <f t="shared" si="232"/>
        <v>9</v>
      </c>
      <c r="L2099">
        <f t="shared" si="233"/>
        <v>2017</v>
      </c>
      <c r="N2099" s="17">
        <f t="shared" si="236"/>
        <v>42979</v>
      </c>
      <c r="S2099">
        <f t="shared" si="237"/>
        <v>0</v>
      </c>
    </row>
    <row r="2100" spans="1:19" x14ac:dyDescent="0.3">
      <c r="A2100" s="17">
        <v>43003</v>
      </c>
      <c r="B2100">
        <v>333.46</v>
      </c>
      <c r="C2100">
        <v>54.81</v>
      </c>
      <c r="D2100">
        <f t="shared" si="234"/>
        <v>278.64999999999998</v>
      </c>
      <c r="E2100">
        <v>1.58</v>
      </c>
      <c r="F2100">
        <f t="shared" si="235"/>
        <v>-277.07</v>
      </c>
      <c r="I2100">
        <f t="shared" si="231"/>
        <v>25</v>
      </c>
      <c r="J2100">
        <v>1</v>
      </c>
      <c r="K2100">
        <f t="shared" si="232"/>
        <v>9</v>
      </c>
      <c r="L2100">
        <f t="shared" si="233"/>
        <v>2017</v>
      </c>
      <c r="N2100" s="17">
        <f t="shared" si="236"/>
        <v>42979</v>
      </c>
      <c r="S2100">
        <f t="shared" si="237"/>
        <v>0</v>
      </c>
    </row>
    <row r="2101" spans="1:19" x14ac:dyDescent="0.3">
      <c r="A2101" s="17">
        <v>43000</v>
      </c>
      <c r="B2101">
        <v>330.91</v>
      </c>
      <c r="C2101">
        <v>54.65</v>
      </c>
      <c r="D2101">
        <f t="shared" si="234"/>
        <v>276.26000000000005</v>
      </c>
      <c r="E2101">
        <v>1.65</v>
      </c>
      <c r="F2101">
        <f t="shared" si="235"/>
        <v>-274.61000000000007</v>
      </c>
      <c r="I2101">
        <f t="shared" si="231"/>
        <v>22</v>
      </c>
      <c r="J2101">
        <v>1</v>
      </c>
      <c r="K2101">
        <f t="shared" si="232"/>
        <v>9</v>
      </c>
      <c r="L2101">
        <f t="shared" si="233"/>
        <v>2017</v>
      </c>
      <c r="N2101" s="17">
        <f t="shared" si="236"/>
        <v>42979</v>
      </c>
      <c r="S2101">
        <f t="shared" si="237"/>
        <v>0</v>
      </c>
    </row>
    <row r="2102" spans="1:19" x14ac:dyDescent="0.3">
      <c r="A2102" s="17">
        <v>42999</v>
      </c>
      <c r="B2102">
        <v>331.25</v>
      </c>
      <c r="C2102">
        <v>54.61</v>
      </c>
      <c r="D2102">
        <f t="shared" si="234"/>
        <v>276.64</v>
      </c>
      <c r="E2102">
        <v>1.47</v>
      </c>
      <c r="F2102">
        <f t="shared" si="235"/>
        <v>-275.16999999999996</v>
      </c>
      <c r="I2102">
        <f t="shared" si="231"/>
        <v>21</v>
      </c>
      <c r="J2102">
        <v>1</v>
      </c>
      <c r="K2102">
        <f t="shared" si="232"/>
        <v>9</v>
      </c>
      <c r="L2102">
        <f t="shared" si="233"/>
        <v>2017</v>
      </c>
      <c r="N2102" s="17">
        <f t="shared" si="236"/>
        <v>42979</v>
      </c>
      <c r="S2102">
        <f t="shared" si="237"/>
        <v>0</v>
      </c>
    </row>
    <row r="2103" spans="1:19" x14ac:dyDescent="0.3">
      <c r="A2103" s="17">
        <v>42998</v>
      </c>
      <c r="B2103">
        <v>329.02</v>
      </c>
      <c r="C2103">
        <v>53.95</v>
      </c>
      <c r="D2103">
        <f t="shared" si="234"/>
        <v>275.07</v>
      </c>
      <c r="E2103">
        <v>1.42</v>
      </c>
      <c r="F2103">
        <f t="shared" si="235"/>
        <v>-273.64999999999998</v>
      </c>
      <c r="I2103">
        <f t="shared" si="231"/>
        <v>20</v>
      </c>
      <c r="J2103">
        <v>1</v>
      </c>
      <c r="K2103">
        <f t="shared" si="232"/>
        <v>9</v>
      </c>
      <c r="L2103">
        <f t="shared" si="233"/>
        <v>2017</v>
      </c>
      <c r="N2103" s="17">
        <f t="shared" si="236"/>
        <v>42979</v>
      </c>
      <c r="S2103">
        <f t="shared" si="237"/>
        <v>0</v>
      </c>
    </row>
    <row r="2104" spans="1:19" x14ac:dyDescent="0.3">
      <c r="A2104" s="17">
        <v>42997</v>
      </c>
      <c r="B2104">
        <v>328.99</v>
      </c>
      <c r="C2104">
        <v>54.06</v>
      </c>
      <c r="D2104">
        <f t="shared" si="234"/>
        <v>274.93</v>
      </c>
      <c r="E2104">
        <v>1.28</v>
      </c>
      <c r="F2104">
        <f t="shared" si="235"/>
        <v>-273.65000000000003</v>
      </c>
      <c r="I2104">
        <f t="shared" si="231"/>
        <v>19</v>
      </c>
      <c r="J2104">
        <v>1</v>
      </c>
      <c r="K2104">
        <f t="shared" si="232"/>
        <v>9</v>
      </c>
      <c r="L2104">
        <f t="shared" si="233"/>
        <v>2017</v>
      </c>
      <c r="N2104" s="17">
        <f t="shared" si="236"/>
        <v>42979</v>
      </c>
      <c r="S2104">
        <f t="shared" si="237"/>
        <v>0</v>
      </c>
    </row>
    <row r="2105" spans="1:19" x14ac:dyDescent="0.3">
      <c r="A2105" s="17">
        <v>42996</v>
      </c>
      <c r="B2105">
        <v>330.51</v>
      </c>
      <c r="C2105">
        <v>54.26</v>
      </c>
      <c r="D2105">
        <f t="shared" si="234"/>
        <v>276.25</v>
      </c>
      <c r="E2105">
        <v>1.23</v>
      </c>
      <c r="F2105">
        <f t="shared" si="235"/>
        <v>-275.02</v>
      </c>
      <c r="I2105">
        <f t="shared" si="231"/>
        <v>18</v>
      </c>
      <c r="J2105">
        <v>1</v>
      </c>
      <c r="K2105">
        <f t="shared" si="232"/>
        <v>9</v>
      </c>
      <c r="L2105">
        <f t="shared" si="233"/>
        <v>2017</v>
      </c>
      <c r="N2105" s="17">
        <f t="shared" si="236"/>
        <v>42979</v>
      </c>
      <c r="S2105">
        <f t="shared" si="237"/>
        <v>0</v>
      </c>
    </row>
    <row r="2106" spans="1:19" x14ac:dyDescent="0.3">
      <c r="A2106" s="17">
        <v>42993</v>
      </c>
      <c r="B2106">
        <v>327.36</v>
      </c>
      <c r="C2106">
        <v>53.62</v>
      </c>
      <c r="D2106">
        <f t="shared" si="234"/>
        <v>273.74</v>
      </c>
      <c r="E2106">
        <v>1.1200000000000001</v>
      </c>
      <c r="F2106">
        <f t="shared" si="235"/>
        <v>-272.62</v>
      </c>
      <c r="I2106">
        <f t="shared" si="231"/>
        <v>15</v>
      </c>
      <c r="J2106">
        <v>1</v>
      </c>
      <c r="K2106">
        <f t="shared" si="232"/>
        <v>9</v>
      </c>
      <c r="L2106">
        <f t="shared" si="233"/>
        <v>2017</v>
      </c>
      <c r="N2106" s="17">
        <f t="shared" si="236"/>
        <v>42979</v>
      </c>
      <c r="S2106">
        <f t="shared" si="237"/>
        <v>0</v>
      </c>
    </row>
    <row r="2107" spans="1:19" x14ac:dyDescent="0.3">
      <c r="A2107" s="17">
        <v>42992</v>
      </c>
      <c r="B2107">
        <v>329.27</v>
      </c>
      <c r="C2107">
        <v>53.55</v>
      </c>
      <c r="D2107">
        <f t="shared" si="234"/>
        <v>275.71999999999997</v>
      </c>
      <c r="E2107">
        <v>1.1000000000000001</v>
      </c>
      <c r="F2107">
        <f t="shared" si="235"/>
        <v>-274.61999999999995</v>
      </c>
      <c r="I2107">
        <f t="shared" si="231"/>
        <v>14</v>
      </c>
      <c r="J2107">
        <v>1</v>
      </c>
      <c r="K2107">
        <f t="shared" si="232"/>
        <v>9</v>
      </c>
      <c r="L2107">
        <f t="shared" si="233"/>
        <v>2017</v>
      </c>
      <c r="N2107" s="17">
        <f t="shared" si="236"/>
        <v>42979</v>
      </c>
      <c r="S2107">
        <f t="shared" si="237"/>
        <v>0</v>
      </c>
    </row>
    <row r="2108" spans="1:19" x14ac:dyDescent="0.3">
      <c r="A2108" s="17">
        <v>42991</v>
      </c>
      <c r="B2108">
        <v>322.02</v>
      </c>
      <c r="C2108">
        <v>52.9</v>
      </c>
      <c r="D2108">
        <f t="shared" si="234"/>
        <v>269.12</v>
      </c>
      <c r="E2108">
        <v>1.04</v>
      </c>
      <c r="F2108">
        <f t="shared" si="235"/>
        <v>-268.08</v>
      </c>
      <c r="I2108">
        <f t="shared" si="231"/>
        <v>13</v>
      </c>
      <c r="J2108">
        <v>1</v>
      </c>
      <c r="K2108">
        <f t="shared" si="232"/>
        <v>9</v>
      </c>
      <c r="L2108">
        <f t="shared" si="233"/>
        <v>2017</v>
      </c>
      <c r="N2108" s="17">
        <f t="shared" si="236"/>
        <v>42979</v>
      </c>
      <c r="S2108">
        <f t="shared" si="237"/>
        <v>0</v>
      </c>
    </row>
    <row r="2109" spans="1:19" x14ac:dyDescent="0.3">
      <c r="A2109" s="17">
        <v>42990</v>
      </c>
      <c r="B2109">
        <v>315.92</v>
      </c>
      <c r="C2109">
        <v>52.16</v>
      </c>
      <c r="D2109">
        <f t="shared" si="234"/>
        <v>263.76</v>
      </c>
      <c r="E2109">
        <v>0.93</v>
      </c>
      <c r="F2109">
        <f t="shared" si="235"/>
        <v>-262.83</v>
      </c>
      <c r="I2109">
        <f t="shared" si="231"/>
        <v>12</v>
      </c>
      <c r="J2109">
        <v>1</v>
      </c>
      <c r="K2109">
        <f t="shared" si="232"/>
        <v>9</v>
      </c>
      <c r="L2109">
        <f t="shared" si="233"/>
        <v>2017</v>
      </c>
      <c r="N2109" s="17">
        <f t="shared" si="236"/>
        <v>42979</v>
      </c>
      <c r="S2109">
        <f t="shared" si="237"/>
        <v>0</v>
      </c>
    </row>
    <row r="2110" spans="1:19" x14ac:dyDescent="0.3">
      <c r="A2110" s="17">
        <v>42989</v>
      </c>
      <c r="B2110">
        <v>317.77</v>
      </c>
      <c r="C2110">
        <v>52.1</v>
      </c>
      <c r="D2110">
        <f t="shared" si="234"/>
        <v>265.66999999999996</v>
      </c>
      <c r="E2110">
        <v>1.02</v>
      </c>
      <c r="F2110">
        <f t="shared" si="235"/>
        <v>-264.64999999999998</v>
      </c>
      <c r="I2110">
        <f t="shared" si="231"/>
        <v>11</v>
      </c>
      <c r="J2110">
        <v>1</v>
      </c>
      <c r="K2110">
        <f t="shared" si="232"/>
        <v>9</v>
      </c>
      <c r="L2110">
        <f t="shared" si="233"/>
        <v>2017</v>
      </c>
      <c r="N2110" s="17">
        <f t="shared" si="236"/>
        <v>42979</v>
      </c>
      <c r="S2110">
        <f t="shared" si="237"/>
        <v>0</v>
      </c>
    </row>
    <row r="2111" spans="1:19" x14ac:dyDescent="0.3">
      <c r="A2111" s="17">
        <v>42986</v>
      </c>
      <c r="B2111">
        <v>323.62</v>
      </c>
      <c r="C2111">
        <v>53.19</v>
      </c>
      <c r="D2111">
        <f t="shared" si="234"/>
        <v>270.43</v>
      </c>
      <c r="E2111">
        <v>1.05</v>
      </c>
      <c r="F2111">
        <f t="shared" si="235"/>
        <v>-269.38</v>
      </c>
      <c r="I2111">
        <f t="shared" si="231"/>
        <v>8</v>
      </c>
      <c r="J2111">
        <v>1</v>
      </c>
      <c r="K2111">
        <f t="shared" si="232"/>
        <v>9</v>
      </c>
      <c r="L2111">
        <f t="shared" si="233"/>
        <v>2017</v>
      </c>
      <c r="N2111" s="17">
        <f t="shared" si="236"/>
        <v>42979</v>
      </c>
      <c r="S2111">
        <f t="shared" si="237"/>
        <v>0</v>
      </c>
    </row>
    <row r="2112" spans="1:19" x14ac:dyDescent="0.3">
      <c r="A2112" s="17">
        <v>42985</v>
      </c>
      <c r="B2112">
        <v>325.94</v>
      </c>
      <c r="C2112">
        <v>53</v>
      </c>
      <c r="D2112">
        <f t="shared" si="234"/>
        <v>272.94</v>
      </c>
      <c r="E2112">
        <v>1.03</v>
      </c>
      <c r="F2112">
        <f t="shared" si="235"/>
        <v>-271.91000000000003</v>
      </c>
      <c r="I2112">
        <f t="shared" si="231"/>
        <v>7</v>
      </c>
      <c r="J2112">
        <v>1</v>
      </c>
      <c r="K2112">
        <f t="shared" si="232"/>
        <v>9</v>
      </c>
      <c r="L2112">
        <f t="shared" si="233"/>
        <v>2017</v>
      </c>
      <c r="N2112" s="17">
        <f t="shared" si="236"/>
        <v>42979</v>
      </c>
      <c r="S2112">
        <f t="shared" si="237"/>
        <v>0</v>
      </c>
    </row>
    <row r="2113" spans="1:19" x14ac:dyDescent="0.3">
      <c r="A2113" s="17">
        <v>42984</v>
      </c>
      <c r="B2113">
        <v>318.11</v>
      </c>
      <c r="C2113">
        <v>52.16</v>
      </c>
      <c r="D2113">
        <f t="shared" si="234"/>
        <v>265.95000000000005</v>
      </c>
      <c r="E2113">
        <v>0.95</v>
      </c>
      <c r="F2113">
        <f t="shared" si="235"/>
        <v>-265.00000000000006</v>
      </c>
      <c r="I2113">
        <f t="shared" si="231"/>
        <v>6</v>
      </c>
      <c r="J2113">
        <v>1</v>
      </c>
      <c r="K2113">
        <f t="shared" si="232"/>
        <v>9</v>
      </c>
      <c r="L2113">
        <f t="shared" si="233"/>
        <v>2017</v>
      </c>
      <c r="N2113" s="17">
        <f t="shared" si="236"/>
        <v>42979</v>
      </c>
      <c r="S2113">
        <f t="shared" si="237"/>
        <v>0</v>
      </c>
    </row>
    <row r="2114" spans="1:19" x14ac:dyDescent="0.3">
      <c r="A2114" s="17">
        <v>42983</v>
      </c>
      <c r="B2114">
        <v>309.58999999999997</v>
      </c>
      <c r="C2114">
        <v>51.1</v>
      </c>
      <c r="D2114">
        <f t="shared" si="234"/>
        <v>258.48999999999995</v>
      </c>
      <c r="E2114">
        <v>0.98</v>
      </c>
      <c r="F2114">
        <f t="shared" si="235"/>
        <v>-257.50999999999993</v>
      </c>
      <c r="I2114">
        <f t="shared" si="231"/>
        <v>5</v>
      </c>
      <c r="J2114">
        <v>1</v>
      </c>
      <c r="K2114">
        <f t="shared" si="232"/>
        <v>9</v>
      </c>
      <c r="L2114">
        <f t="shared" si="233"/>
        <v>2017</v>
      </c>
      <c r="N2114" s="17">
        <f t="shared" si="236"/>
        <v>42979</v>
      </c>
      <c r="S2114">
        <f t="shared" si="237"/>
        <v>0</v>
      </c>
    </row>
    <row r="2115" spans="1:19" x14ac:dyDescent="0.3">
      <c r="A2115" s="17">
        <v>42982</v>
      </c>
      <c r="B2115">
        <v>307.54000000000002</v>
      </c>
      <c r="C2115">
        <v>50.72</v>
      </c>
      <c r="D2115">
        <f t="shared" si="234"/>
        <v>256.82000000000005</v>
      </c>
      <c r="E2115">
        <v>0.88</v>
      </c>
      <c r="F2115">
        <f t="shared" si="235"/>
        <v>-255.94000000000005</v>
      </c>
      <c r="I2115">
        <f t="shared" si="231"/>
        <v>4</v>
      </c>
      <c r="J2115">
        <v>1</v>
      </c>
      <c r="K2115">
        <f t="shared" si="232"/>
        <v>9</v>
      </c>
      <c r="L2115">
        <f t="shared" si="233"/>
        <v>2017</v>
      </c>
      <c r="N2115" s="17">
        <f t="shared" si="236"/>
        <v>42979</v>
      </c>
      <c r="S2115">
        <f t="shared" si="237"/>
        <v>1</v>
      </c>
    </row>
    <row r="2116" spans="1:19" x14ac:dyDescent="0.3">
      <c r="A2116" s="17">
        <v>42978</v>
      </c>
      <c r="B2116">
        <v>301.22000000000003</v>
      </c>
      <c r="C2116">
        <v>49.3</v>
      </c>
      <c r="D2116">
        <f t="shared" si="234"/>
        <v>251.92000000000002</v>
      </c>
      <c r="E2116">
        <v>0.8</v>
      </c>
      <c r="F2116">
        <f t="shared" si="235"/>
        <v>-251.12</v>
      </c>
      <c r="I2116">
        <f t="shared" si="231"/>
        <v>31</v>
      </c>
      <c r="J2116">
        <v>1</v>
      </c>
      <c r="K2116">
        <f t="shared" si="232"/>
        <v>8</v>
      </c>
      <c r="L2116">
        <f t="shared" si="233"/>
        <v>2017</v>
      </c>
      <c r="N2116" s="17">
        <f t="shared" si="236"/>
        <v>42948</v>
      </c>
      <c r="S2116">
        <f t="shared" si="237"/>
        <v>0</v>
      </c>
    </row>
    <row r="2117" spans="1:19" x14ac:dyDescent="0.3">
      <c r="A2117" s="17">
        <v>42977</v>
      </c>
      <c r="B2117">
        <v>305.44</v>
      </c>
      <c r="C2117">
        <v>49.9</v>
      </c>
      <c r="D2117">
        <f t="shared" si="234"/>
        <v>255.54</v>
      </c>
      <c r="E2117">
        <v>0.77</v>
      </c>
      <c r="F2117">
        <f t="shared" si="235"/>
        <v>-254.76999999999998</v>
      </c>
      <c r="I2117">
        <f t="shared" ref="I2117:I2180" si="238">+DAY(A2117)</f>
        <v>30</v>
      </c>
      <c r="J2117">
        <v>1</v>
      </c>
      <c r="K2117">
        <f t="shared" ref="K2117:K2180" si="239">+MONTH(A2117)</f>
        <v>8</v>
      </c>
      <c r="L2117">
        <f t="shared" ref="L2117:L2180" si="240">+YEAR(A2117)</f>
        <v>2017</v>
      </c>
      <c r="N2117" s="17">
        <f t="shared" si="236"/>
        <v>42948</v>
      </c>
      <c r="S2117">
        <f t="shared" si="237"/>
        <v>0</v>
      </c>
    </row>
    <row r="2118" spans="1:19" x14ac:dyDescent="0.3">
      <c r="A2118" s="17">
        <v>42976</v>
      </c>
      <c r="B2118">
        <v>303.98</v>
      </c>
      <c r="C2118">
        <v>50.1</v>
      </c>
      <c r="D2118">
        <f t="shared" ref="D2118:D2181" si="241">+B2118-C2118</f>
        <v>253.88000000000002</v>
      </c>
      <c r="E2118">
        <v>0.65</v>
      </c>
      <c r="F2118">
        <f t="shared" ref="F2118:F2181" si="242">+E2118-D2118</f>
        <v>-253.23000000000002</v>
      </c>
      <c r="I2118">
        <f t="shared" si="238"/>
        <v>29</v>
      </c>
      <c r="J2118">
        <v>1</v>
      </c>
      <c r="K2118">
        <f t="shared" si="239"/>
        <v>8</v>
      </c>
      <c r="L2118">
        <f t="shared" si="240"/>
        <v>2017</v>
      </c>
      <c r="N2118" s="17">
        <f t="shared" ref="N2118:N2181" si="243">+DATE(L2118,K2118,J2118)</f>
        <v>42948</v>
      </c>
      <c r="S2118">
        <f t="shared" ref="S2118:S2181" si="244">IF(AND(I2118&gt;=1, I2118&lt;=4), 1, 0)</f>
        <v>0</v>
      </c>
    </row>
    <row r="2119" spans="1:19" x14ac:dyDescent="0.3">
      <c r="A2119" s="17">
        <v>42975</v>
      </c>
      <c r="B2119">
        <v>305.79000000000002</v>
      </c>
      <c r="C2119">
        <v>50.51</v>
      </c>
      <c r="D2119">
        <f t="shared" si="241"/>
        <v>255.28000000000003</v>
      </c>
      <c r="E2119">
        <v>0.53</v>
      </c>
      <c r="F2119">
        <f t="shared" si="242"/>
        <v>-254.75000000000003</v>
      </c>
      <c r="I2119">
        <f t="shared" si="238"/>
        <v>28</v>
      </c>
      <c r="J2119">
        <v>1</v>
      </c>
      <c r="K2119">
        <f t="shared" si="239"/>
        <v>8</v>
      </c>
      <c r="L2119">
        <f t="shared" si="240"/>
        <v>2017</v>
      </c>
      <c r="N2119" s="17">
        <f t="shared" si="243"/>
        <v>42948</v>
      </c>
      <c r="S2119">
        <f t="shared" si="244"/>
        <v>0</v>
      </c>
    </row>
    <row r="2120" spans="1:19" x14ac:dyDescent="0.3">
      <c r="A2120" s="17">
        <v>42972</v>
      </c>
      <c r="B2120">
        <v>306.35000000000002</v>
      </c>
      <c r="C2120">
        <v>50.59</v>
      </c>
      <c r="D2120">
        <f t="shared" si="241"/>
        <v>255.76000000000002</v>
      </c>
      <c r="E2120">
        <v>0.46</v>
      </c>
      <c r="F2120">
        <f t="shared" si="242"/>
        <v>-255.3</v>
      </c>
      <c r="I2120">
        <f t="shared" si="238"/>
        <v>25</v>
      </c>
      <c r="J2120">
        <v>1</v>
      </c>
      <c r="K2120">
        <f t="shared" si="239"/>
        <v>8</v>
      </c>
      <c r="L2120">
        <f t="shared" si="240"/>
        <v>2017</v>
      </c>
      <c r="N2120" s="17">
        <f t="shared" si="243"/>
        <v>42948</v>
      </c>
      <c r="S2120">
        <f t="shared" si="244"/>
        <v>0</v>
      </c>
    </row>
    <row r="2121" spans="1:19" x14ac:dyDescent="0.3">
      <c r="A2121" s="17">
        <v>42971</v>
      </c>
      <c r="B2121">
        <v>304.3</v>
      </c>
      <c r="C2121">
        <v>50.55</v>
      </c>
      <c r="D2121">
        <f t="shared" si="241"/>
        <v>253.75</v>
      </c>
      <c r="E2121">
        <v>0.47</v>
      </c>
      <c r="F2121">
        <f t="shared" si="242"/>
        <v>-253.28</v>
      </c>
      <c r="I2121">
        <f t="shared" si="238"/>
        <v>24</v>
      </c>
      <c r="J2121">
        <v>1</v>
      </c>
      <c r="K2121">
        <f t="shared" si="239"/>
        <v>8</v>
      </c>
      <c r="L2121">
        <f t="shared" si="240"/>
        <v>2017</v>
      </c>
      <c r="N2121" s="17">
        <f t="shared" si="243"/>
        <v>42948</v>
      </c>
      <c r="S2121">
        <f t="shared" si="244"/>
        <v>0</v>
      </c>
    </row>
    <row r="2122" spans="1:19" x14ac:dyDescent="0.3">
      <c r="A2122" s="17">
        <v>42970</v>
      </c>
      <c r="B2122">
        <v>300.95</v>
      </c>
      <c r="C2122">
        <v>49.91</v>
      </c>
      <c r="D2122">
        <f t="shared" si="241"/>
        <v>251.04</v>
      </c>
      <c r="E2122">
        <v>0.5</v>
      </c>
      <c r="F2122">
        <f t="shared" si="242"/>
        <v>-250.54</v>
      </c>
      <c r="I2122">
        <f t="shared" si="238"/>
        <v>23</v>
      </c>
      <c r="J2122">
        <v>1</v>
      </c>
      <c r="K2122">
        <f t="shared" si="239"/>
        <v>8</v>
      </c>
      <c r="L2122">
        <f t="shared" si="240"/>
        <v>2017</v>
      </c>
      <c r="N2122" s="17">
        <f t="shared" si="243"/>
        <v>42948</v>
      </c>
      <c r="S2122">
        <f t="shared" si="244"/>
        <v>0</v>
      </c>
    </row>
    <row r="2123" spans="1:19" x14ac:dyDescent="0.3">
      <c r="A2123" s="17">
        <v>42969</v>
      </c>
      <c r="B2123">
        <v>302.8</v>
      </c>
      <c r="C2123">
        <v>50</v>
      </c>
      <c r="D2123">
        <f t="shared" si="241"/>
        <v>252.8</v>
      </c>
      <c r="E2123">
        <v>0.5</v>
      </c>
      <c r="F2123">
        <f t="shared" si="242"/>
        <v>-252.3</v>
      </c>
      <c r="I2123">
        <f t="shared" si="238"/>
        <v>22</v>
      </c>
      <c r="J2123">
        <v>1</v>
      </c>
      <c r="K2123">
        <f t="shared" si="239"/>
        <v>8</v>
      </c>
      <c r="L2123">
        <f t="shared" si="240"/>
        <v>2017</v>
      </c>
      <c r="N2123" s="17">
        <f t="shared" si="243"/>
        <v>42948</v>
      </c>
      <c r="S2123">
        <f t="shared" si="244"/>
        <v>0</v>
      </c>
    </row>
    <row r="2124" spans="1:19" x14ac:dyDescent="0.3">
      <c r="A2124" s="17">
        <v>42968</v>
      </c>
      <c r="B2124">
        <v>306.69</v>
      </c>
      <c r="C2124">
        <v>50.71</v>
      </c>
      <c r="D2124">
        <f t="shared" si="241"/>
        <v>255.98</v>
      </c>
      <c r="E2124">
        <v>0.48</v>
      </c>
      <c r="F2124">
        <f t="shared" si="242"/>
        <v>-255.5</v>
      </c>
      <c r="I2124">
        <f t="shared" si="238"/>
        <v>21</v>
      </c>
      <c r="J2124">
        <v>1</v>
      </c>
      <c r="K2124">
        <f t="shared" si="239"/>
        <v>8</v>
      </c>
      <c r="L2124">
        <f t="shared" si="240"/>
        <v>2017</v>
      </c>
      <c r="N2124" s="17">
        <f t="shared" si="243"/>
        <v>42948</v>
      </c>
      <c r="S2124">
        <f t="shared" si="244"/>
        <v>0</v>
      </c>
    </row>
    <row r="2125" spans="1:19" x14ac:dyDescent="0.3">
      <c r="A2125" s="17">
        <v>42965</v>
      </c>
      <c r="B2125">
        <v>299.20999999999998</v>
      </c>
      <c r="C2125">
        <v>49.25</v>
      </c>
      <c r="D2125">
        <f t="shared" si="241"/>
        <v>249.95999999999998</v>
      </c>
      <c r="E2125">
        <v>0.5</v>
      </c>
      <c r="F2125">
        <f t="shared" si="242"/>
        <v>-249.45999999999998</v>
      </c>
      <c r="I2125">
        <f t="shared" si="238"/>
        <v>18</v>
      </c>
      <c r="J2125">
        <v>1</v>
      </c>
      <c r="K2125">
        <f t="shared" si="239"/>
        <v>8</v>
      </c>
      <c r="L2125">
        <f t="shared" si="240"/>
        <v>2017</v>
      </c>
      <c r="N2125" s="17">
        <f t="shared" si="243"/>
        <v>42948</v>
      </c>
      <c r="S2125">
        <f t="shared" si="244"/>
        <v>0</v>
      </c>
    </row>
    <row r="2126" spans="1:19" x14ac:dyDescent="0.3">
      <c r="A2126" s="17">
        <v>42964</v>
      </c>
      <c r="B2126">
        <v>295.25</v>
      </c>
      <c r="C2126">
        <v>48.61</v>
      </c>
      <c r="D2126">
        <f t="shared" si="241"/>
        <v>246.64</v>
      </c>
      <c r="E2126">
        <v>0.57999999999999996</v>
      </c>
      <c r="F2126">
        <f t="shared" si="242"/>
        <v>-246.05999999999997</v>
      </c>
      <c r="I2126">
        <f t="shared" si="238"/>
        <v>17</v>
      </c>
      <c r="J2126">
        <v>1</v>
      </c>
      <c r="K2126">
        <f t="shared" si="239"/>
        <v>8</v>
      </c>
      <c r="L2126">
        <f t="shared" si="240"/>
        <v>2017</v>
      </c>
      <c r="N2126" s="17">
        <f t="shared" si="243"/>
        <v>42948</v>
      </c>
      <c r="S2126">
        <f t="shared" si="244"/>
        <v>0</v>
      </c>
    </row>
    <row r="2127" spans="1:19" x14ac:dyDescent="0.3">
      <c r="A2127" s="17">
        <v>42963</v>
      </c>
      <c r="B2127">
        <v>300.73</v>
      </c>
      <c r="C2127">
        <v>49.56</v>
      </c>
      <c r="D2127">
        <f t="shared" si="241"/>
        <v>251.17000000000002</v>
      </c>
      <c r="E2127">
        <v>0.63</v>
      </c>
      <c r="F2127">
        <f t="shared" si="242"/>
        <v>-250.54000000000002</v>
      </c>
      <c r="I2127">
        <f t="shared" si="238"/>
        <v>16</v>
      </c>
      <c r="J2127">
        <v>1</v>
      </c>
      <c r="K2127">
        <f t="shared" si="239"/>
        <v>8</v>
      </c>
      <c r="L2127">
        <f t="shared" si="240"/>
        <v>2017</v>
      </c>
      <c r="N2127" s="17">
        <f t="shared" si="243"/>
        <v>42948</v>
      </c>
      <c r="S2127">
        <f t="shared" si="244"/>
        <v>0</v>
      </c>
    </row>
    <row r="2128" spans="1:19" x14ac:dyDescent="0.3">
      <c r="A2128" s="17">
        <v>42962</v>
      </c>
      <c r="B2128">
        <v>298.27999999999997</v>
      </c>
      <c r="C2128">
        <v>49.25</v>
      </c>
      <c r="D2128">
        <f t="shared" si="241"/>
        <v>249.02999999999997</v>
      </c>
      <c r="E2128">
        <v>0.64</v>
      </c>
      <c r="F2128">
        <f t="shared" si="242"/>
        <v>-248.39</v>
      </c>
      <c r="I2128">
        <f t="shared" si="238"/>
        <v>15</v>
      </c>
      <c r="J2128">
        <v>1</v>
      </c>
      <c r="K2128">
        <f t="shared" si="239"/>
        <v>8</v>
      </c>
      <c r="L2128">
        <f t="shared" si="240"/>
        <v>2017</v>
      </c>
      <c r="N2128" s="17">
        <f t="shared" si="243"/>
        <v>42948</v>
      </c>
      <c r="S2128">
        <f t="shared" si="244"/>
        <v>0</v>
      </c>
    </row>
    <row r="2129" spans="1:19" x14ac:dyDescent="0.3">
      <c r="A2129" s="17">
        <v>42961</v>
      </c>
      <c r="B2129">
        <v>303.85000000000002</v>
      </c>
      <c r="C2129">
        <v>50.38</v>
      </c>
      <c r="D2129">
        <f t="shared" si="241"/>
        <v>253.47000000000003</v>
      </c>
      <c r="E2129">
        <v>0.71</v>
      </c>
      <c r="F2129">
        <f t="shared" si="242"/>
        <v>-252.76000000000002</v>
      </c>
      <c r="I2129">
        <f t="shared" si="238"/>
        <v>14</v>
      </c>
      <c r="J2129">
        <v>1</v>
      </c>
      <c r="K2129">
        <f t="shared" si="239"/>
        <v>8</v>
      </c>
      <c r="L2129">
        <f t="shared" si="240"/>
        <v>2017</v>
      </c>
      <c r="N2129" s="17">
        <f t="shared" si="243"/>
        <v>42948</v>
      </c>
      <c r="S2129">
        <f t="shared" si="244"/>
        <v>0</v>
      </c>
    </row>
    <row r="2130" spans="1:19" x14ac:dyDescent="0.3">
      <c r="A2130" s="17">
        <v>42958</v>
      </c>
      <c r="B2130">
        <v>300.37</v>
      </c>
      <c r="C2130">
        <v>49.84</v>
      </c>
      <c r="D2130">
        <f t="shared" si="241"/>
        <v>250.53</v>
      </c>
      <c r="E2130">
        <v>0.75</v>
      </c>
      <c r="F2130">
        <f t="shared" si="242"/>
        <v>-249.78</v>
      </c>
      <c r="I2130">
        <f t="shared" si="238"/>
        <v>11</v>
      </c>
      <c r="J2130">
        <v>1</v>
      </c>
      <c r="K2130">
        <f t="shared" si="239"/>
        <v>8</v>
      </c>
      <c r="L2130">
        <f t="shared" si="240"/>
        <v>2017</v>
      </c>
      <c r="N2130" s="17">
        <f t="shared" si="243"/>
        <v>42948</v>
      </c>
      <c r="S2130">
        <f t="shared" si="244"/>
        <v>0</v>
      </c>
    </row>
    <row r="2131" spans="1:19" x14ac:dyDescent="0.3">
      <c r="A2131" s="17">
        <v>42957</v>
      </c>
      <c r="B2131">
        <v>311.14</v>
      </c>
      <c r="C2131">
        <v>51.6</v>
      </c>
      <c r="D2131">
        <f t="shared" si="241"/>
        <v>259.53999999999996</v>
      </c>
      <c r="E2131">
        <v>0.82</v>
      </c>
      <c r="F2131">
        <f t="shared" si="242"/>
        <v>-258.71999999999997</v>
      </c>
      <c r="I2131">
        <f t="shared" si="238"/>
        <v>10</v>
      </c>
      <c r="J2131">
        <v>1</v>
      </c>
      <c r="K2131">
        <f t="shared" si="239"/>
        <v>8</v>
      </c>
      <c r="L2131">
        <f t="shared" si="240"/>
        <v>2017</v>
      </c>
      <c r="N2131" s="17">
        <f t="shared" si="243"/>
        <v>42948</v>
      </c>
      <c r="S2131">
        <f t="shared" si="244"/>
        <v>0</v>
      </c>
    </row>
    <row r="2132" spans="1:19" x14ac:dyDescent="0.3">
      <c r="A2132" s="17">
        <v>42955</v>
      </c>
      <c r="B2132">
        <v>311.08999999999997</v>
      </c>
      <c r="C2132">
        <v>51.3</v>
      </c>
      <c r="D2132">
        <f t="shared" si="241"/>
        <v>259.78999999999996</v>
      </c>
      <c r="E2132">
        <v>0.82</v>
      </c>
      <c r="F2132">
        <f t="shared" si="242"/>
        <v>-258.96999999999997</v>
      </c>
      <c r="I2132">
        <f t="shared" si="238"/>
        <v>8</v>
      </c>
      <c r="J2132">
        <v>1</v>
      </c>
      <c r="K2132">
        <f t="shared" si="239"/>
        <v>8</v>
      </c>
      <c r="L2132">
        <f t="shared" si="240"/>
        <v>2017</v>
      </c>
      <c r="N2132" s="17">
        <f t="shared" si="243"/>
        <v>42948</v>
      </c>
      <c r="S2132">
        <f t="shared" si="244"/>
        <v>0</v>
      </c>
    </row>
    <row r="2133" spans="1:19" x14ac:dyDescent="0.3">
      <c r="A2133" s="17">
        <v>42954</v>
      </c>
      <c r="B2133">
        <v>307.24</v>
      </c>
      <c r="C2133">
        <v>50.8</v>
      </c>
      <c r="D2133">
        <f t="shared" si="241"/>
        <v>256.44</v>
      </c>
      <c r="E2133">
        <v>0.76</v>
      </c>
      <c r="F2133">
        <f t="shared" si="242"/>
        <v>-255.68</v>
      </c>
      <c r="I2133">
        <f t="shared" si="238"/>
        <v>7</v>
      </c>
      <c r="J2133">
        <v>1</v>
      </c>
      <c r="K2133">
        <f t="shared" si="239"/>
        <v>8</v>
      </c>
      <c r="L2133">
        <f t="shared" si="240"/>
        <v>2017</v>
      </c>
      <c r="N2133" s="17">
        <f t="shared" si="243"/>
        <v>42948</v>
      </c>
      <c r="S2133">
        <f t="shared" si="244"/>
        <v>0</v>
      </c>
    </row>
    <row r="2134" spans="1:19" x14ac:dyDescent="0.3">
      <c r="A2134" s="17">
        <v>42951</v>
      </c>
      <c r="B2134">
        <v>302.77999999999997</v>
      </c>
      <c r="C2134">
        <v>50.34</v>
      </c>
      <c r="D2134">
        <f t="shared" si="241"/>
        <v>252.43999999999997</v>
      </c>
      <c r="E2134">
        <v>0.62</v>
      </c>
      <c r="F2134">
        <f t="shared" si="242"/>
        <v>-251.81999999999996</v>
      </c>
      <c r="I2134">
        <f t="shared" si="238"/>
        <v>4</v>
      </c>
      <c r="J2134">
        <v>1</v>
      </c>
      <c r="K2134">
        <f t="shared" si="239"/>
        <v>8</v>
      </c>
      <c r="L2134">
        <f t="shared" si="240"/>
        <v>2017</v>
      </c>
      <c r="N2134" s="17">
        <f t="shared" si="243"/>
        <v>42948</v>
      </c>
      <c r="S2134">
        <f t="shared" si="244"/>
        <v>1</v>
      </c>
    </row>
    <row r="2135" spans="1:19" x14ac:dyDescent="0.3">
      <c r="A2135" s="17">
        <v>42950</v>
      </c>
      <c r="B2135">
        <v>303.7</v>
      </c>
      <c r="C2135">
        <v>50.85</v>
      </c>
      <c r="D2135">
        <f t="shared" si="241"/>
        <v>252.85</v>
      </c>
      <c r="E2135">
        <v>0.71</v>
      </c>
      <c r="F2135">
        <f t="shared" si="242"/>
        <v>-252.14</v>
      </c>
      <c r="I2135">
        <f t="shared" si="238"/>
        <v>3</v>
      </c>
      <c r="J2135">
        <v>1</v>
      </c>
      <c r="K2135">
        <f t="shared" si="239"/>
        <v>8</v>
      </c>
      <c r="L2135">
        <f t="shared" si="240"/>
        <v>2017</v>
      </c>
      <c r="N2135" s="17">
        <f t="shared" si="243"/>
        <v>42948</v>
      </c>
      <c r="S2135">
        <f t="shared" si="244"/>
        <v>1</v>
      </c>
    </row>
    <row r="2136" spans="1:19" x14ac:dyDescent="0.3">
      <c r="A2136" s="17">
        <v>42949</v>
      </c>
      <c r="B2136">
        <v>300.33</v>
      </c>
      <c r="C2136">
        <v>50.255000000000003</v>
      </c>
      <c r="D2136">
        <f t="shared" si="241"/>
        <v>250.07499999999999</v>
      </c>
      <c r="E2136">
        <v>0.76</v>
      </c>
      <c r="F2136">
        <f t="shared" si="242"/>
        <v>-249.315</v>
      </c>
      <c r="I2136">
        <f t="shared" si="238"/>
        <v>2</v>
      </c>
      <c r="J2136">
        <v>1</v>
      </c>
      <c r="K2136">
        <f t="shared" si="239"/>
        <v>8</v>
      </c>
      <c r="L2136">
        <f t="shared" si="240"/>
        <v>2017</v>
      </c>
      <c r="N2136" s="17">
        <f t="shared" si="243"/>
        <v>42948</v>
      </c>
      <c r="S2136">
        <f t="shared" si="244"/>
        <v>1</v>
      </c>
    </row>
    <row r="2137" spans="1:19" x14ac:dyDescent="0.3">
      <c r="A2137" s="17">
        <v>42948</v>
      </c>
      <c r="B2137">
        <v>310.10000000000002</v>
      </c>
      <c r="C2137">
        <v>51.3</v>
      </c>
      <c r="D2137">
        <f t="shared" si="241"/>
        <v>258.8</v>
      </c>
      <c r="E2137">
        <v>0.69</v>
      </c>
      <c r="F2137">
        <f t="shared" si="242"/>
        <v>-258.11</v>
      </c>
      <c r="I2137">
        <f t="shared" si="238"/>
        <v>1</v>
      </c>
      <c r="J2137">
        <v>1</v>
      </c>
      <c r="K2137">
        <f t="shared" si="239"/>
        <v>8</v>
      </c>
      <c r="L2137">
        <f t="shared" si="240"/>
        <v>2017</v>
      </c>
      <c r="N2137" s="17">
        <f t="shared" si="243"/>
        <v>42948</v>
      </c>
      <c r="S2137">
        <f t="shared" si="244"/>
        <v>1</v>
      </c>
    </row>
    <row r="2138" spans="1:19" x14ac:dyDescent="0.3">
      <c r="A2138" s="17">
        <v>42947</v>
      </c>
      <c r="B2138">
        <v>307.44</v>
      </c>
      <c r="C2138">
        <v>50.35</v>
      </c>
      <c r="D2138">
        <f t="shared" si="241"/>
        <v>257.08999999999997</v>
      </c>
      <c r="E2138">
        <v>0.65</v>
      </c>
      <c r="F2138">
        <f t="shared" si="242"/>
        <v>-256.44</v>
      </c>
      <c r="I2138">
        <f t="shared" si="238"/>
        <v>31</v>
      </c>
      <c r="J2138">
        <v>1</v>
      </c>
      <c r="K2138">
        <f t="shared" si="239"/>
        <v>7</v>
      </c>
      <c r="L2138">
        <f t="shared" si="240"/>
        <v>2017</v>
      </c>
      <c r="N2138" s="17">
        <f t="shared" si="243"/>
        <v>42917</v>
      </c>
      <c r="S2138">
        <f t="shared" si="244"/>
        <v>0</v>
      </c>
    </row>
    <row r="2139" spans="1:19" x14ac:dyDescent="0.3">
      <c r="A2139" s="17">
        <v>42944</v>
      </c>
      <c r="B2139">
        <v>302.13</v>
      </c>
      <c r="C2139">
        <v>49.7</v>
      </c>
      <c r="D2139">
        <f t="shared" si="241"/>
        <v>252.43</v>
      </c>
      <c r="E2139">
        <v>0.61</v>
      </c>
      <c r="F2139">
        <f t="shared" si="242"/>
        <v>-251.82</v>
      </c>
      <c r="I2139">
        <f t="shared" si="238"/>
        <v>28</v>
      </c>
      <c r="J2139">
        <v>1</v>
      </c>
      <c r="K2139">
        <f t="shared" si="239"/>
        <v>7</v>
      </c>
      <c r="L2139">
        <f t="shared" si="240"/>
        <v>2017</v>
      </c>
      <c r="N2139" s="17">
        <f t="shared" si="243"/>
        <v>42917</v>
      </c>
      <c r="S2139">
        <f t="shared" si="244"/>
        <v>0</v>
      </c>
    </row>
    <row r="2140" spans="1:19" x14ac:dyDescent="0.3">
      <c r="A2140" s="17">
        <v>42943</v>
      </c>
      <c r="B2140">
        <v>302.70999999999998</v>
      </c>
      <c r="C2140">
        <v>49.3</v>
      </c>
      <c r="D2140">
        <f t="shared" si="241"/>
        <v>253.40999999999997</v>
      </c>
      <c r="E2140">
        <v>0.64</v>
      </c>
      <c r="F2140">
        <f t="shared" si="242"/>
        <v>-252.76999999999998</v>
      </c>
      <c r="I2140">
        <f t="shared" si="238"/>
        <v>27</v>
      </c>
      <c r="J2140">
        <v>1</v>
      </c>
      <c r="K2140">
        <f t="shared" si="239"/>
        <v>7</v>
      </c>
      <c r="L2140">
        <f t="shared" si="240"/>
        <v>2017</v>
      </c>
      <c r="N2140" s="17">
        <f t="shared" si="243"/>
        <v>42917</v>
      </c>
      <c r="S2140">
        <f t="shared" si="244"/>
        <v>0</v>
      </c>
    </row>
    <row r="2141" spans="1:19" x14ac:dyDescent="0.3">
      <c r="A2141" s="17">
        <v>42942</v>
      </c>
      <c r="B2141">
        <v>301.11</v>
      </c>
      <c r="C2141">
        <v>49.09</v>
      </c>
      <c r="D2141">
        <f t="shared" si="241"/>
        <v>252.02</v>
      </c>
      <c r="E2141">
        <v>0.61</v>
      </c>
      <c r="F2141">
        <f t="shared" si="242"/>
        <v>-251.41</v>
      </c>
      <c r="I2141">
        <f t="shared" si="238"/>
        <v>26</v>
      </c>
      <c r="J2141">
        <v>1</v>
      </c>
      <c r="K2141">
        <f t="shared" si="239"/>
        <v>7</v>
      </c>
      <c r="L2141">
        <f t="shared" si="240"/>
        <v>2017</v>
      </c>
      <c r="N2141" s="17">
        <f t="shared" si="243"/>
        <v>42917</v>
      </c>
      <c r="S2141">
        <f t="shared" si="244"/>
        <v>0</v>
      </c>
    </row>
    <row r="2142" spans="1:19" x14ac:dyDescent="0.3">
      <c r="A2142" s="17">
        <v>42941</v>
      </c>
      <c r="B2142">
        <v>292.33999999999997</v>
      </c>
      <c r="C2142">
        <v>47.32</v>
      </c>
      <c r="D2142">
        <f t="shared" si="241"/>
        <v>245.01999999999998</v>
      </c>
      <c r="E2142">
        <v>0.6</v>
      </c>
      <c r="F2142">
        <f t="shared" si="242"/>
        <v>-244.42</v>
      </c>
      <c r="I2142">
        <f t="shared" si="238"/>
        <v>25</v>
      </c>
      <c r="J2142">
        <v>1</v>
      </c>
      <c r="K2142">
        <f t="shared" si="239"/>
        <v>7</v>
      </c>
      <c r="L2142">
        <f t="shared" si="240"/>
        <v>2017</v>
      </c>
      <c r="N2142" s="17">
        <f t="shared" si="243"/>
        <v>42917</v>
      </c>
      <c r="S2142">
        <f t="shared" si="244"/>
        <v>0</v>
      </c>
    </row>
    <row r="2143" spans="1:19" x14ac:dyDescent="0.3">
      <c r="A2143" s="17">
        <v>42940</v>
      </c>
      <c r="B2143">
        <v>287.83</v>
      </c>
      <c r="C2143">
        <v>46.45</v>
      </c>
      <c r="D2143">
        <f t="shared" si="241"/>
        <v>241.38</v>
      </c>
      <c r="E2143">
        <v>0.67</v>
      </c>
      <c r="F2143">
        <f t="shared" si="242"/>
        <v>-240.71</v>
      </c>
      <c r="I2143">
        <f t="shared" si="238"/>
        <v>24</v>
      </c>
      <c r="J2143">
        <v>1</v>
      </c>
      <c r="K2143">
        <f t="shared" si="239"/>
        <v>7</v>
      </c>
      <c r="L2143">
        <f t="shared" si="240"/>
        <v>2017</v>
      </c>
      <c r="N2143" s="17">
        <f t="shared" si="243"/>
        <v>42917</v>
      </c>
      <c r="S2143">
        <f t="shared" si="244"/>
        <v>0</v>
      </c>
    </row>
    <row r="2144" spans="1:19" x14ac:dyDescent="0.3">
      <c r="A2144" s="17">
        <v>42937</v>
      </c>
      <c r="B2144">
        <v>295.88</v>
      </c>
      <c r="C2144">
        <v>48.16</v>
      </c>
      <c r="D2144">
        <f t="shared" si="241"/>
        <v>247.72</v>
      </c>
      <c r="E2144">
        <v>0.66</v>
      </c>
      <c r="F2144">
        <f t="shared" si="242"/>
        <v>-247.06</v>
      </c>
      <c r="I2144">
        <f t="shared" si="238"/>
        <v>21</v>
      </c>
      <c r="J2144">
        <v>1</v>
      </c>
      <c r="K2144">
        <f t="shared" si="239"/>
        <v>7</v>
      </c>
      <c r="L2144">
        <f t="shared" si="240"/>
        <v>2017</v>
      </c>
      <c r="N2144" s="17">
        <f t="shared" si="243"/>
        <v>42917</v>
      </c>
      <c r="S2144">
        <f t="shared" si="244"/>
        <v>0</v>
      </c>
    </row>
    <row r="2145" spans="1:19" x14ac:dyDescent="0.3">
      <c r="A2145" s="17">
        <v>42936</v>
      </c>
      <c r="B2145">
        <v>300.86</v>
      </c>
      <c r="C2145">
        <v>48.35</v>
      </c>
      <c r="D2145">
        <f t="shared" si="241"/>
        <v>252.51000000000002</v>
      </c>
      <c r="E2145">
        <v>0.62</v>
      </c>
      <c r="F2145">
        <f t="shared" si="242"/>
        <v>-251.89000000000001</v>
      </c>
      <c r="I2145">
        <f t="shared" si="238"/>
        <v>20</v>
      </c>
      <c r="J2145">
        <v>1</v>
      </c>
      <c r="K2145">
        <f t="shared" si="239"/>
        <v>7</v>
      </c>
      <c r="L2145">
        <f t="shared" si="240"/>
        <v>2017</v>
      </c>
      <c r="N2145" s="17">
        <f t="shared" si="243"/>
        <v>42917</v>
      </c>
      <c r="S2145">
        <f t="shared" si="244"/>
        <v>0</v>
      </c>
    </row>
    <row r="2146" spans="1:19" x14ac:dyDescent="0.3">
      <c r="A2146" s="17">
        <v>42935</v>
      </c>
      <c r="B2146">
        <v>292.85000000000002</v>
      </c>
      <c r="C2146">
        <v>47.39</v>
      </c>
      <c r="D2146">
        <f t="shared" si="241"/>
        <v>245.46000000000004</v>
      </c>
      <c r="E2146">
        <v>0.5</v>
      </c>
      <c r="F2146">
        <f t="shared" si="242"/>
        <v>-244.96000000000004</v>
      </c>
      <c r="I2146">
        <f t="shared" si="238"/>
        <v>19</v>
      </c>
      <c r="J2146">
        <v>1</v>
      </c>
      <c r="K2146">
        <f t="shared" si="239"/>
        <v>7</v>
      </c>
      <c r="L2146">
        <f t="shared" si="240"/>
        <v>2017</v>
      </c>
      <c r="N2146" s="17">
        <f t="shared" si="243"/>
        <v>42917</v>
      </c>
      <c r="S2146">
        <f t="shared" si="244"/>
        <v>0</v>
      </c>
    </row>
    <row r="2147" spans="1:19" x14ac:dyDescent="0.3">
      <c r="A2147" s="17">
        <v>42934</v>
      </c>
      <c r="B2147">
        <v>289.33</v>
      </c>
      <c r="C2147">
        <v>47.19</v>
      </c>
      <c r="D2147">
        <f t="shared" si="241"/>
        <v>242.14</v>
      </c>
      <c r="E2147">
        <v>0.52</v>
      </c>
      <c r="F2147">
        <f t="shared" si="242"/>
        <v>-241.61999999999998</v>
      </c>
      <c r="I2147">
        <f t="shared" si="238"/>
        <v>18</v>
      </c>
      <c r="J2147">
        <v>1</v>
      </c>
      <c r="K2147">
        <f t="shared" si="239"/>
        <v>7</v>
      </c>
      <c r="L2147">
        <f t="shared" si="240"/>
        <v>2017</v>
      </c>
      <c r="N2147" s="17">
        <f t="shared" si="243"/>
        <v>42917</v>
      </c>
      <c r="S2147">
        <f t="shared" si="244"/>
        <v>0</v>
      </c>
    </row>
    <row r="2148" spans="1:19" x14ac:dyDescent="0.3">
      <c r="A2148" s="17">
        <v>42933</v>
      </c>
      <c r="B2148">
        <v>294.24</v>
      </c>
      <c r="C2148">
        <v>47.7</v>
      </c>
      <c r="D2148">
        <f t="shared" si="241"/>
        <v>246.54000000000002</v>
      </c>
      <c r="E2148">
        <v>0.57999999999999996</v>
      </c>
      <c r="F2148">
        <f t="shared" si="242"/>
        <v>-245.96</v>
      </c>
      <c r="I2148">
        <f t="shared" si="238"/>
        <v>17</v>
      </c>
      <c r="J2148">
        <v>1</v>
      </c>
      <c r="K2148">
        <f t="shared" si="239"/>
        <v>7</v>
      </c>
      <c r="L2148">
        <f t="shared" si="240"/>
        <v>2017</v>
      </c>
      <c r="N2148" s="17">
        <f t="shared" si="243"/>
        <v>42917</v>
      </c>
      <c r="S2148">
        <f t="shared" si="244"/>
        <v>0</v>
      </c>
    </row>
    <row r="2149" spans="1:19" x14ac:dyDescent="0.3">
      <c r="A2149" s="17">
        <v>42930</v>
      </c>
      <c r="B2149">
        <v>291.79000000000002</v>
      </c>
      <c r="C2149">
        <v>47.02</v>
      </c>
      <c r="D2149">
        <f t="shared" si="241"/>
        <v>244.77</v>
      </c>
      <c r="E2149">
        <v>0.71</v>
      </c>
      <c r="F2149">
        <f t="shared" si="242"/>
        <v>-244.06</v>
      </c>
      <c r="I2149">
        <f t="shared" si="238"/>
        <v>14</v>
      </c>
      <c r="J2149">
        <v>1</v>
      </c>
      <c r="K2149">
        <f t="shared" si="239"/>
        <v>7</v>
      </c>
      <c r="L2149">
        <f t="shared" si="240"/>
        <v>2017</v>
      </c>
      <c r="N2149" s="17">
        <f t="shared" si="243"/>
        <v>42917</v>
      </c>
      <c r="S2149">
        <f t="shared" si="244"/>
        <v>0</v>
      </c>
    </row>
    <row r="2150" spans="1:19" x14ac:dyDescent="0.3">
      <c r="A2150" s="17">
        <v>42929</v>
      </c>
      <c r="B2150">
        <v>285.83999999999997</v>
      </c>
      <c r="C2150">
        <v>46</v>
      </c>
      <c r="D2150">
        <f t="shared" si="241"/>
        <v>239.83999999999997</v>
      </c>
      <c r="E2150">
        <v>0.79</v>
      </c>
      <c r="F2150">
        <f t="shared" si="242"/>
        <v>-239.04999999999998</v>
      </c>
      <c r="I2150">
        <f t="shared" si="238"/>
        <v>13</v>
      </c>
      <c r="J2150">
        <v>1</v>
      </c>
      <c r="K2150">
        <f t="shared" si="239"/>
        <v>7</v>
      </c>
      <c r="L2150">
        <f t="shared" si="240"/>
        <v>2017</v>
      </c>
      <c r="N2150" s="17">
        <f t="shared" si="243"/>
        <v>42917</v>
      </c>
      <c r="S2150">
        <f t="shared" si="244"/>
        <v>0</v>
      </c>
    </row>
    <row r="2151" spans="1:19" x14ac:dyDescent="0.3">
      <c r="A2151" s="17">
        <v>42928</v>
      </c>
      <c r="B2151">
        <v>289.12</v>
      </c>
      <c r="C2151">
        <v>46.91</v>
      </c>
      <c r="D2151">
        <f t="shared" si="241"/>
        <v>242.21</v>
      </c>
      <c r="E2151">
        <v>0.86</v>
      </c>
      <c r="F2151">
        <f t="shared" si="242"/>
        <v>-241.35</v>
      </c>
      <c r="I2151">
        <f t="shared" si="238"/>
        <v>12</v>
      </c>
      <c r="J2151">
        <v>1</v>
      </c>
      <c r="K2151">
        <f t="shared" si="239"/>
        <v>7</v>
      </c>
      <c r="L2151">
        <f t="shared" si="240"/>
        <v>2017</v>
      </c>
      <c r="N2151" s="17">
        <f t="shared" si="243"/>
        <v>42917</v>
      </c>
      <c r="S2151">
        <f t="shared" si="244"/>
        <v>0</v>
      </c>
    </row>
    <row r="2152" spans="1:19" x14ac:dyDescent="0.3">
      <c r="A2152" s="17">
        <v>42927</v>
      </c>
      <c r="B2152">
        <v>279.56</v>
      </c>
      <c r="C2152">
        <v>45.27</v>
      </c>
      <c r="D2152">
        <f t="shared" si="241"/>
        <v>234.29</v>
      </c>
      <c r="E2152">
        <v>0.94</v>
      </c>
      <c r="F2152">
        <f t="shared" si="242"/>
        <v>-233.35</v>
      </c>
      <c r="I2152">
        <f t="shared" si="238"/>
        <v>11</v>
      </c>
      <c r="J2152">
        <v>1</v>
      </c>
      <c r="K2152">
        <f t="shared" si="239"/>
        <v>7</v>
      </c>
      <c r="L2152">
        <f t="shared" si="240"/>
        <v>2017</v>
      </c>
      <c r="N2152" s="17">
        <f t="shared" si="243"/>
        <v>42917</v>
      </c>
      <c r="S2152">
        <f t="shared" si="244"/>
        <v>0</v>
      </c>
    </row>
    <row r="2153" spans="1:19" x14ac:dyDescent="0.3">
      <c r="A2153" s="17">
        <v>42926</v>
      </c>
      <c r="B2153">
        <v>284.43</v>
      </c>
      <c r="C2153">
        <v>45.3</v>
      </c>
      <c r="D2153">
        <f t="shared" si="241"/>
        <v>239.13</v>
      </c>
      <c r="E2153">
        <v>1.07</v>
      </c>
      <c r="F2153">
        <f t="shared" si="242"/>
        <v>-238.06</v>
      </c>
      <c r="I2153">
        <f t="shared" si="238"/>
        <v>10</v>
      </c>
      <c r="J2153">
        <v>1</v>
      </c>
      <c r="K2153">
        <f t="shared" si="239"/>
        <v>7</v>
      </c>
      <c r="L2153">
        <f t="shared" si="240"/>
        <v>2017</v>
      </c>
      <c r="N2153" s="17">
        <f t="shared" si="243"/>
        <v>42917</v>
      </c>
      <c r="S2153">
        <f t="shared" si="244"/>
        <v>0</v>
      </c>
    </row>
    <row r="2154" spans="1:19" x14ac:dyDescent="0.3">
      <c r="A2154" s="17">
        <v>42923</v>
      </c>
      <c r="B2154">
        <v>286.91000000000003</v>
      </c>
      <c r="C2154">
        <v>45.95</v>
      </c>
      <c r="D2154">
        <f t="shared" si="241"/>
        <v>240.96000000000004</v>
      </c>
      <c r="E2154">
        <v>1.1499999999999999</v>
      </c>
      <c r="F2154">
        <f t="shared" si="242"/>
        <v>-239.81000000000003</v>
      </c>
      <c r="I2154">
        <f t="shared" si="238"/>
        <v>7</v>
      </c>
      <c r="J2154">
        <v>1</v>
      </c>
      <c r="K2154">
        <f t="shared" si="239"/>
        <v>7</v>
      </c>
      <c r="L2154">
        <f t="shared" si="240"/>
        <v>2017</v>
      </c>
      <c r="N2154" s="17">
        <f t="shared" si="243"/>
        <v>42917</v>
      </c>
      <c r="S2154">
        <f t="shared" si="244"/>
        <v>0</v>
      </c>
    </row>
    <row r="2155" spans="1:19" x14ac:dyDescent="0.3">
      <c r="A2155" s="17">
        <v>42922</v>
      </c>
      <c r="B2155">
        <v>292.48</v>
      </c>
      <c r="C2155">
        <v>47.145000000000003</v>
      </c>
      <c r="D2155">
        <f t="shared" si="241"/>
        <v>245.33500000000001</v>
      </c>
      <c r="E2155">
        <v>1.1599999999999999</v>
      </c>
      <c r="F2155">
        <f t="shared" si="242"/>
        <v>-244.17500000000001</v>
      </c>
      <c r="I2155">
        <f t="shared" si="238"/>
        <v>6</v>
      </c>
      <c r="J2155">
        <v>1</v>
      </c>
      <c r="K2155">
        <f t="shared" si="239"/>
        <v>7</v>
      </c>
      <c r="L2155">
        <f t="shared" si="240"/>
        <v>2017</v>
      </c>
      <c r="N2155" s="17">
        <f t="shared" si="243"/>
        <v>42917</v>
      </c>
      <c r="S2155">
        <f t="shared" si="244"/>
        <v>0</v>
      </c>
    </row>
    <row r="2156" spans="1:19" x14ac:dyDescent="0.3">
      <c r="A2156" s="17">
        <v>42921</v>
      </c>
      <c r="B2156">
        <v>299.13</v>
      </c>
      <c r="C2156">
        <v>48.31</v>
      </c>
      <c r="D2156">
        <f t="shared" si="241"/>
        <v>250.82</v>
      </c>
      <c r="E2156">
        <v>1.35</v>
      </c>
      <c r="F2156">
        <f t="shared" si="242"/>
        <v>-249.47</v>
      </c>
      <c r="I2156">
        <f t="shared" si="238"/>
        <v>5</v>
      </c>
      <c r="J2156">
        <v>1</v>
      </c>
      <c r="K2156">
        <f t="shared" si="239"/>
        <v>7</v>
      </c>
      <c r="L2156">
        <f t="shared" si="240"/>
        <v>2017</v>
      </c>
      <c r="N2156" s="17">
        <f t="shared" si="243"/>
        <v>42917</v>
      </c>
      <c r="S2156">
        <f t="shared" si="244"/>
        <v>0</v>
      </c>
    </row>
    <row r="2157" spans="1:19" x14ac:dyDescent="0.3">
      <c r="A2157" s="17">
        <v>42920</v>
      </c>
      <c r="B2157">
        <v>298.14999999999998</v>
      </c>
      <c r="C2157">
        <v>48.34</v>
      </c>
      <c r="D2157">
        <f t="shared" si="241"/>
        <v>249.80999999999997</v>
      </c>
      <c r="E2157">
        <v>1.29</v>
      </c>
      <c r="F2157">
        <f t="shared" si="242"/>
        <v>-248.51999999999998</v>
      </c>
      <c r="I2157">
        <f t="shared" si="238"/>
        <v>4</v>
      </c>
      <c r="J2157">
        <v>1</v>
      </c>
      <c r="K2157">
        <f t="shared" si="239"/>
        <v>7</v>
      </c>
      <c r="L2157">
        <f t="shared" si="240"/>
        <v>2017</v>
      </c>
      <c r="N2157" s="17">
        <f t="shared" si="243"/>
        <v>42917</v>
      </c>
      <c r="S2157">
        <f t="shared" si="244"/>
        <v>1</v>
      </c>
    </row>
    <row r="2158" spans="1:19" x14ac:dyDescent="0.3">
      <c r="A2158" s="17">
        <v>42919</v>
      </c>
      <c r="B2158">
        <v>299.54000000000002</v>
      </c>
      <c r="C2158">
        <v>47.7</v>
      </c>
      <c r="D2158">
        <f t="shared" si="241"/>
        <v>251.84000000000003</v>
      </c>
      <c r="E2158">
        <v>1.0900000000000001</v>
      </c>
      <c r="F2158">
        <f t="shared" si="242"/>
        <v>-250.75000000000003</v>
      </c>
      <c r="I2158">
        <f t="shared" si="238"/>
        <v>3</v>
      </c>
      <c r="J2158">
        <v>1</v>
      </c>
      <c r="K2158">
        <f t="shared" si="239"/>
        <v>7</v>
      </c>
      <c r="L2158">
        <f t="shared" si="240"/>
        <v>2017</v>
      </c>
      <c r="N2158" s="17">
        <f t="shared" si="243"/>
        <v>42917</v>
      </c>
      <c r="S2158">
        <f t="shared" si="244"/>
        <v>1</v>
      </c>
    </row>
    <row r="2159" spans="1:19" x14ac:dyDescent="0.3">
      <c r="A2159" s="17">
        <v>42916</v>
      </c>
      <c r="B2159">
        <v>294.33999999999997</v>
      </c>
      <c r="C2159">
        <v>46.44</v>
      </c>
      <c r="D2159">
        <f t="shared" si="241"/>
        <v>247.89999999999998</v>
      </c>
      <c r="E2159">
        <v>1.05</v>
      </c>
      <c r="F2159">
        <f t="shared" si="242"/>
        <v>-246.84999999999997</v>
      </c>
      <c r="I2159">
        <f t="shared" si="238"/>
        <v>30</v>
      </c>
      <c r="J2159">
        <v>1</v>
      </c>
      <c r="K2159">
        <f t="shared" si="239"/>
        <v>6</v>
      </c>
      <c r="L2159">
        <f t="shared" si="240"/>
        <v>2017</v>
      </c>
      <c r="N2159" s="17">
        <f t="shared" si="243"/>
        <v>42887</v>
      </c>
      <c r="S2159">
        <f t="shared" si="244"/>
        <v>0</v>
      </c>
    </row>
    <row r="2160" spans="1:19" x14ac:dyDescent="0.3">
      <c r="A2160" s="17">
        <v>42915</v>
      </c>
      <c r="B2160">
        <v>290.74</v>
      </c>
      <c r="C2160">
        <v>46.41</v>
      </c>
      <c r="D2160">
        <f t="shared" si="241"/>
        <v>244.33</v>
      </c>
      <c r="E2160">
        <v>1.04</v>
      </c>
      <c r="F2160">
        <f t="shared" si="242"/>
        <v>-243.29000000000002</v>
      </c>
      <c r="I2160">
        <f t="shared" si="238"/>
        <v>29</v>
      </c>
      <c r="J2160">
        <v>1</v>
      </c>
      <c r="K2160">
        <f t="shared" si="239"/>
        <v>6</v>
      </c>
      <c r="L2160">
        <f t="shared" si="240"/>
        <v>2017</v>
      </c>
      <c r="N2160" s="17">
        <f t="shared" si="243"/>
        <v>42887</v>
      </c>
      <c r="S2160">
        <f t="shared" si="244"/>
        <v>0</v>
      </c>
    </row>
    <row r="2161" spans="1:19" x14ac:dyDescent="0.3">
      <c r="A2161" s="17">
        <v>42914</v>
      </c>
      <c r="B2161">
        <v>286.08999999999997</v>
      </c>
      <c r="C2161">
        <v>45.25</v>
      </c>
      <c r="D2161">
        <f t="shared" si="241"/>
        <v>240.83999999999997</v>
      </c>
      <c r="E2161">
        <v>1.01</v>
      </c>
      <c r="F2161">
        <f t="shared" si="242"/>
        <v>-239.82999999999998</v>
      </c>
      <c r="I2161">
        <f t="shared" si="238"/>
        <v>28</v>
      </c>
      <c r="J2161">
        <v>1</v>
      </c>
      <c r="K2161">
        <f t="shared" si="239"/>
        <v>6</v>
      </c>
      <c r="L2161">
        <f t="shared" si="240"/>
        <v>2017</v>
      </c>
      <c r="N2161" s="17">
        <f t="shared" si="243"/>
        <v>42887</v>
      </c>
      <c r="S2161">
        <f t="shared" si="244"/>
        <v>0</v>
      </c>
    </row>
    <row r="2162" spans="1:19" x14ac:dyDescent="0.3">
      <c r="A2162" s="17">
        <v>42913</v>
      </c>
      <c r="B2162">
        <v>285.11</v>
      </c>
      <c r="C2162">
        <v>45.08</v>
      </c>
      <c r="D2162">
        <f t="shared" si="241"/>
        <v>240.03000000000003</v>
      </c>
      <c r="E2162">
        <v>0.98</v>
      </c>
      <c r="F2162">
        <f t="shared" si="242"/>
        <v>-239.05000000000004</v>
      </c>
      <c r="I2162">
        <f t="shared" si="238"/>
        <v>27</v>
      </c>
      <c r="J2162">
        <v>1</v>
      </c>
      <c r="K2162">
        <f t="shared" si="239"/>
        <v>6</v>
      </c>
      <c r="L2162">
        <f t="shared" si="240"/>
        <v>2017</v>
      </c>
      <c r="N2162" s="17">
        <f t="shared" si="243"/>
        <v>42887</v>
      </c>
      <c r="S2162">
        <f t="shared" si="244"/>
        <v>0</v>
      </c>
    </row>
    <row r="2163" spans="1:19" x14ac:dyDescent="0.3">
      <c r="A2163" s="17">
        <v>42909</v>
      </c>
      <c r="B2163">
        <v>280.45999999999998</v>
      </c>
      <c r="C2163">
        <v>44.2</v>
      </c>
      <c r="D2163">
        <f t="shared" si="241"/>
        <v>236.26</v>
      </c>
      <c r="E2163">
        <v>0.96</v>
      </c>
      <c r="F2163">
        <f t="shared" si="242"/>
        <v>-235.29999999999998</v>
      </c>
      <c r="I2163">
        <f t="shared" si="238"/>
        <v>23</v>
      </c>
      <c r="J2163">
        <v>1</v>
      </c>
      <c r="K2163">
        <f t="shared" si="239"/>
        <v>6</v>
      </c>
      <c r="L2163">
        <f t="shared" si="240"/>
        <v>2017</v>
      </c>
      <c r="N2163" s="17">
        <f t="shared" si="243"/>
        <v>42887</v>
      </c>
      <c r="S2163">
        <f t="shared" si="244"/>
        <v>0</v>
      </c>
    </row>
    <row r="2164" spans="1:19" x14ac:dyDescent="0.3">
      <c r="A2164" s="17">
        <v>42908</v>
      </c>
      <c r="B2164">
        <v>277.58999999999997</v>
      </c>
      <c r="C2164">
        <v>43.5</v>
      </c>
      <c r="D2164">
        <f t="shared" si="241"/>
        <v>234.08999999999997</v>
      </c>
      <c r="E2164">
        <v>0.98</v>
      </c>
      <c r="F2164">
        <f t="shared" si="242"/>
        <v>-233.10999999999999</v>
      </c>
      <c r="I2164">
        <f t="shared" si="238"/>
        <v>22</v>
      </c>
      <c r="J2164">
        <v>1</v>
      </c>
      <c r="K2164">
        <f t="shared" si="239"/>
        <v>6</v>
      </c>
      <c r="L2164">
        <f t="shared" si="240"/>
        <v>2017</v>
      </c>
      <c r="N2164" s="17">
        <f t="shared" si="243"/>
        <v>42887</v>
      </c>
      <c r="S2164">
        <f t="shared" si="244"/>
        <v>0</v>
      </c>
    </row>
    <row r="2165" spans="1:19" x14ac:dyDescent="0.3">
      <c r="A2165" s="17">
        <v>42907</v>
      </c>
      <c r="B2165">
        <v>280.95999999999998</v>
      </c>
      <c r="C2165">
        <v>44.32</v>
      </c>
      <c r="D2165">
        <f t="shared" si="241"/>
        <v>236.64</v>
      </c>
      <c r="E2165">
        <v>0.97</v>
      </c>
      <c r="F2165">
        <f t="shared" si="242"/>
        <v>-235.67</v>
      </c>
      <c r="I2165">
        <f t="shared" si="238"/>
        <v>21</v>
      </c>
      <c r="J2165">
        <v>1</v>
      </c>
      <c r="K2165">
        <f t="shared" si="239"/>
        <v>6</v>
      </c>
      <c r="L2165">
        <f t="shared" si="240"/>
        <v>2017</v>
      </c>
      <c r="N2165" s="17">
        <f t="shared" si="243"/>
        <v>42887</v>
      </c>
      <c r="S2165">
        <f t="shared" si="244"/>
        <v>0</v>
      </c>
    </row>
    <row r="2166" spans="1:19" x14ac:dyDescent="0.3">
      <c r="A2166" s="17">
        <v>42906</v>
      </c>
      <c r="B2166">
        <v>286.33999999999997</v>
      </c>
      <c r="C2166">
        <v>45.66</v>
      </c>
      <c r="D2166">
        <f t="shared" si="241"/>
        <v>240.67999999999998</v>
      </c>
      <c r="E2166">
        <v>0.99</v>
      </c>
      <c r="F2166">
        <f t="shared" si="242"/>
        <v>-239.68999999999997</v>
      </c>
      <c r="I2166">
        <f t="shared" si="238"/>
        <v>20</v>
      </c>
      <c r="J2166">
        <v>1</v>
      </c>
      <c r="K2166">
        <f t="shared" si="239"/>
        <v>6</v>
      </c>
      <c r="L2166">
        <f t="shared" si="240"/>
        <v>2017</v>
      </c>
      <c r="N2166" s="17">
        <f t="shared" si="243"/>
        <v>42887</v>
      </c>
      <c r="S2166">
        <f t="shared" si="244"/>
        <v>0</v>
      </c>
    </row>
    <row r="2167" spans="1:19" x14ac:dyDescent="0.3">
      <c r="A2167" s="17">
        <v>42905</v>
      </c>
      <c r="B2167">
        <v>286.26</v>
      </c>
      <c r="C2167">
        <v>45.62</v>
      </c>
      <c r="D2167">
        <f t="shared" si="241"/>
        <v>240.64</v>
      </c>
      <c r="E2167">
        <v>1</v>
      </c>
      <c r="F2167">
        <f t="shared" si="242"/>
        <v>-239.64</v>
      </c>
      <c r="I2167">
        <f t="shared" si="238"/>
        <v>19</v>
      </c>
      <c r="J2167">
        <v>1</v>
      </c>
      <c r="K2167">
        <f t="shared" si="239"/>
        <v>6</v>
      </c>
      <c r="L2167">
        <f t="shared" si="240"/>
        <v>2017</v>
      </c>
      <c r="N2167" s="17">
        <f t="shared" si="243"/>
        <v>42887</v>
      </c>
      <c r="S2167">
        <f t="shared" si="244"/>
        <v>0</v>
      </c>
    </row>
    <row r="2168" spans="1:19" x14ac:dyDescent="0.3">
      <c r="A2168" s="17">
        <v>42902</v>
      </c>
      <c r="B2168">
        <v>285.17</v>
      </c>
      <c r="C2168">
        <v>45.854999999999997</v>
      </c>
      <c r="D2168">
        <f t="shared" si="241"/>
        <v>239.31500000000003</v>
      </c>
      <c r="E2168">
        <v>0.98</v>
      </c>
      <c r="F2168">
        <f t="shared" si="242"/>
        <v>-238.33500000000004</v>
      </c>
      <c r="I2168">
        <f t="shared" si="238"/>
        <v>16</v>
      </c>
      <c r="J2168">
        <v>1</v>
      </c>
      <c r="K2168">
        <f t="shared" si="239"/>
        <v>6</v>
      </c>
      <c r="L2168">
        <f t="shared" si="240"/>
        <v>2017</v>
      </c>
      <c r="N2168" s="17">
        <f t="shared" si="243"/>
        <v>42887</v>
      </c>
      <c r="S2168">
        <f t="shared" si="244"/>
        <v>0</v>
      </c>
    </row>
    <row r="2169" spans="1:19" x14ac:dyDescent="0.3">
      <c r="A2169" s="17">
        <v>42901</v>
      </c>
      <c r="B2169">
        <v>283.92</v>
      </c>
      <c r="C2169">
        <v>45.39</v>
      </c>
      <c r="D2169">
        <f t="shared" si="241"/>
        <v>238.53000000000003</v>
      </c>
      <c r="E2169">
        <v>0.95</v>
      </c>
      <c r="F2169">
        <f t="shared" si="242"/>
        <v>-237.58000000000004</v>
      </c>
      <c r="I2169">
        <f t="shared" si="238"/>
        <v>15</v>
      </c>
      <c r="J2169">
        <v>1</v>
      </c>
      <c r="K2169">
        <f t="shared" si="239"/>
        <v>6</v>
      </c>
      <c r="L2169">
        <f t="shared" si="240"/>
        <v>2017</v>
      </c>
      <c r="N2169" s="17">
        <f t="shared" si="243"/>
        <v>42887</v>
      </c>
      <c r="S2169">
        <f t="shared" si="244"/>
        <v>0</v>
      </c>
    </row>
    <row r="2170" spans="1:19" x14ac:dyDescent="0.3">
      <c r="A2170" s="17">
        <v>42900</v>
      </c>
      <c r="B2170">
        <v>289.49</v>
      </c>
      <c r="C2170">
        <v>46.75</v>
      </c>
      <c r="D2170">
        <f t="shared" si="241"/>
        <v>242.74</v>
      </c>
      <c r="E2170">
        <v>1.08</v>
      </c>
      <c r="F2170">
        <f t="shared" si="242"/>
        <v>-241.66</v>
      </c>
      <c r="I2170">
        <f t="shared" si="238"/>
        <v>14</v>
      </c>
      <c r="J2170">
        <v>1</v>
      </c>
      <c r="K2170">
        <f t="shared" si="239"/>
        <v>6</v>
      </c>
      <c r="L2170">
        <f t="shared" si="240"/>
        <v>2017</v>
      </c>
      <c r="N2170" s="17">
        <f t="shared" si="243"/>
        <v>42887</v>
      </c>
      <c r="S2170">
        <f t="shared" si="244"/>
        <v>0</v>
      </c>
    </row>
    <row r="2171" spans="1:19" x14ac:dyDescent="0.3">
      <c r="A2171" s="17">
        <v>42899</v>
      </c>
      <c r="B2171">
        <v>290.89999999999998</v>
      </c>
      <c r="C2171">
        <v>47.31</v>
      </c>
      <c r="D2171">
        <f t="shared" si="241"/>
        <v>243.58999999999997</v>
      </c>
      <c r="E2171">
        <v>1.06</v>
      </c>
      <c r="F2171">
        <f t="shared" si="242"/>
        <v>-242.52999999999997</v>
      </c>
      <c r="I2171">
        <f t="shared" si="238"/>
        <v>13</v>
      </c>
      <c r="J2171">
        <v>1</v>
      </c>
      <c r="K2171">
        <f t="shared" si="239"/>
        <v>6</v>
      </c>
      <c r="L2171">
        <f t="shared" si="240"/>
        <v>2017</v>
      </c>
      <c r="N2171" s="17">
        <f t="shared" si="243"/>
        <v>42887</v>
      </c>
      <c r="S2171">
        <f t="shared" si="244"/>
        <v>0</v>
      </c>
    </row>
    <row r="2172" spans="1:19" x14ac:dyDescent="0.3">
      <c r="A2172" s="17">
        <v>42898</v>
      </c>
      <c r="B2172">
        <v>288.39999999999998</v>
      </c>
      <c r="C2172">
        <v>47.04</v>
      </c>
      <c r="D2172">
        <f t="shared" si="241"/>
        <v>241.35999999999999</v>
      </c>
      <c r="E2172">
        <v>1.03</v>
      </c>
      <c r="F2172">
        <f t="shared" si="242"/>
        <v>-240.32999999999998</v>
      </c>
      <c r="I2172">
        <f t="shared" si="238"/>
        <v>12</v>
      </c>
      <c r="J2172">
        <v>1</v>
      </c>
      <c r="K2172">
        <f t="shared" si="239"/>
        <v>6</v>
      </c>
      <c r="L2172">
        <f t="shared" si="240"/>
        <v>2017</v>
      </c>
      <c r="N2172" s="17">
        <f t="shared" si="243"/>
        <v>42887</v>
      </c>
      <c r="S2172">
        <f t="shared" si="244"/>
        <v>0</v>
      </c>
    </row>
    <row r="2173" spans="1:19" x14ac:dyDescent="0.3">
      <c r="A2173" s="17">
        <v>42895</v>
      </c>
      <c r="B2173">
        <v>288.41000000000003</v>
      </c>
      <c r="C2173">
        <v>46.45</v>
      </c>
      <c r="D2173">
        <f t="shared" si="241"/>
        <v>241.96000000000004</v>
      </c>
      <c r="E2173">
        <v>1.03</v>
      </c>
      <c r="F2173">
        <f t="shared" si="242"/>
        <v>-240.93000000000004</v>
      </c>
      <c r="I2173">
        <f t="shared" si="238"/>
        <v>9</v>
      </c>
      <c r="J2173">
        <v>1</v>
      </c>
      <c r="K2173">
        <f t="shared" si="239"/>
        <v>6</v>
      </c>
      <c r="L2173">
        <f t="shared" si="240"/>
        <v>2017</v>
      </c>
      <c r="N2173" s="17">
        <f t="shared" si="243"/>
        <v>42887</v>
      </c>
      <c r="S2173">
        <f t="shared" si="244"/>
        <v>0</v>
      </c>
    </row>
    <row r="2174" spans="1:19" x14ac:dyDescent="0.3">
      <c r="A2174" s="17">
        <v>42894</v>
      </c>
      <c r="B2174">
        <v>288.23</v>
      </c>
      <c r="C2174">
        <v>47.09</v>
      </c>
      <c r="D2174">
        <f t="shared" si="241"/>
        <v>241.14000000000001</v>
      </c>
      <c r="E2174">
        <v>1.0900000000000001</v>
      </c>
      <c r="F2174">
        <f t="shared" si="242"/>
        <v>-240.05</v>
      </c>
      <c r="I2174">
        <f t="shared" si="238"/>
        <v>8</v>
      </c>
      <c r="J2174">
        <v>1</v>
      </c>
      <c r="K2174">
        <f t="shared" si="239"/>
        <v>6</v>
      </c>
      <c r="L2174">
        <f t="shared" si="240"/>
        <v>2017</v>
      </c>
      <c r="N2174" s="17">
        <f t="shared" si="243"/>
        <v>42887</v>
      </c>
      <c r="S2174">
        <f t="shared" si="244"/>
        <v>0</v>
      </c>
    </row>
    <row r="2175" spans="1:19" x14ac:dyDescent="0.3">
      <c r="A2175" s="17">
        <v>42893</v>
      </c>
      <c r="B2175">
        <v>291.32</v>
      </c>
      <c r="C2175">
        <v>48.41</v>
      </c>
      <c r="D2175">
        <f t="shared" si="241"/>
        <v>242.91</v>
      </c>
      <c r="E2175">
        <v>1.07</v>
      </c>
      <c r="F2175">
        <f t="shared" si="242"/>
        <v>-241.84</v>
      </c>
      <c r="I2175">
        <f t="shared" si="238"/>
        <v>7</v>
      </c>
      <c r="J2175">
        <v>1</v>
      </c>
      <c r="K2175">
        <f t="shared" si="239"/>
        <v>6</v>
      </c>
      <c r="L2175">
        <f t="shared" si="240"/>
        <v>2017</v>
      </c>
      <c r="N2175" s="17">
        <f t="shared" si="243"/>
        <v>42887</v>
      </c>
      <c r="S2175">
        <f t="shared" si="244"/>
        <v>0</v>
      </c>
    </row>
    <row r="2176" spans="1:19" x14ac:dyDescent="0.3">
      <c r="A2176" s="17">
        <v>42892</v>
      </c>
      <c r="B2176">
        <v>289.27</v>
      </c>
      <c r="C2176">
        <v>47.9</v>
      </c>
      <c r="D2176">
        <f t="shared" si="241"/>
        <v>241.36999999999998</v>
      </c>
      <c r="E2176">
        <v>1.04</v>
      </c>
      <c r="F2176">
        <f t="shared" si="242"/>
        <v>-240.32999999999998</v>
      </c>
      <c r="I2176">
        <f t="shared" si="238"/>
        <v>6</v>
      </c>
      <c r="J2176">
        <v>1</v>
      </c>
      <c r="K2176">
        <f t="shared" si="239"/>
        <v>6</v>
      </c>
      <c r="L2176">
        <f t="shared" si="240"/>
        <v>2017</v>
      </c>
      <c r="N2176" s="17">
        <f t="shared" si="243"/>
        <v>42887</v>
      </c>
      <c r="S2176">
        <f t="shared" si="244"/>
        <v>0</v>
      </c>
    </row>
    <row r="2177" spans="1:19" x14ac:dyDescent="0.3">
      <c r="A2177" s="17">
        <v>42891</v>
      </c>
      <c r="B2177">
        <v>295.33999999999997</v>
      </c>
      <c r="C2177">
        <v>48.75</v>
      </c>
      <c r="D2177">
        <f t="shared" si="241"/>
        <v>246.58999999999997</v>
      </c>
      <c r="E2177">
        <v>1.05</v>
      </c>
      <c r="F2177">
        <f t="shared" si="242"/>
        <v>-245.53999999999996</v>
      </c>
      <c r="I2177">
        <f t="shared" si="238"/>
        <v>5</v>
      </c>
      <c r="J2177">
        <v>1</v>
      </c>
      <c r="K2177">
        <f t="shared" si="239"/>
        <v>6</v>
      </c>
      <c r="L2177">
        <f t="shared" si="240"/>
        <v>2017</v>
      </c>
      <c r="N2177" s="17">
        <f t="shared" si="243"/>
        <v>42887</v>
      </c>
      <c r="S2177">
        <f t="shared" si="244"/>
        <v>0</v>
      </c>
    </row>
    <row r="2178" spans="1:19" x14ac:dyDescent="0.3">
      <c r="A2178" s="17">
        <v>42888</v>
      </c>
      <c r="B2178">
        <v>289.2</v>
      </c>
      <c r="C2178">
        <v>48.305</v>
      </c>
      <c r="D2178">
        <f t="shared" si="241"/>
        <v>240.89499999999998</v>
      </c>
      <c r="E2178">
        <v>1</v>
      </c>
      <c r="F2178">
        <f t="shared" si="242"/>
        <v>-239.89499999999998</v>
      </c>
      <c r="I2178">
        <f t="shared" si="238"/>
        <v>2</v>
      </c>
      <c r="J2178">
        <v>1</v>
      </c>
      <c r="K2178">
        <f t="shared" si="239"/>
        <v>6</v>
      </c>
      <c r="L2178">
        <f t="shared" si="240"/>
        <v>2017</v>
      </c>
      <c r="N2178" s="17">
        <f t="shared" si="243"/>
        <v>42887</v>
      </c>
      <c r="S2178">
        <f t="shared" si="244"/>
        <v>1</v>
      </c>
    </row>
    <row r="2179" spans="1:19" x14ac:dyDescent="0.3">
      <c r="A2179" s="17">
        <v>42887</v>
      </c>
      <c r="B2179">
        <v>294.05</v>
      </c>
      <c r="C2179">
        <v>50.19</v>
      </c>
      <c r="D2179">
        <f t="shared" si="241"/>
        <v>243.86</v>
      </c>
      <c r="E2179">
        <v>1.01</v>
      </c>
      <c r="F2179">
        <f t="shared" si="242"/>
        <v>-242.85000000000002</v>
      </c>
      <c r="I2179">
        <f t="shared" si="238"/>
        <v>1</v>
      </c>
      <c r="J2179">
        <v>1</v>
      </c>
      <c r="K2179">
        <f t="shared" si="239"/>
        <v>6</v>
      </c>
      <c r="L2179">
        <f t="shared" si="240"/>
        <v>2017</v>
      </c>
      <c r="N2179" s="17">
        <f t="shared" si="243"/>
        <v>42887</v>
      </c>
      <c r="S2179">
        <f t="shared" si="244"/>
        <v>1</v>
      </c>
    </row>
    <row r="2180" spans="1:19" x14ac:dyDescent="0.3">
      <c r="A2180" s="17">
        <v>42886</v>
      </c>
      <c r="B2180">
        <v>292.45999999999998</v>
      </c>
      <c r="C2180">
        <v>50.1</v>
      </c>
      <c r="D2180">
        <f t="shared" si="241"/>
        <v>242.35999999999999</v>
      </c>
      <c r="E2180">
        <v>1.05</v>
      </c>
      <c r="F2180">
        <f t="shared" si="242"/>
        <v>-241.30999999999997</v>
      </c>
      <c r="I2180">
        <f t="shared" si="238"/>
        <v>31</v>
      </c>
      <c r="J2180">
        <v>1</v>
      </c>
      <c r="K2180">
        <f t="shared" si="239"/>
        <v>5</v>
      </c>
      <c r="L2180">
        <f t="shared" si="240"/>
        <v>2017</v>
      </c>
      <c r="N2180" s="17">
        <f t="shared" si="243"/>
        <v>42856</v>
      </c>
      <c r="S2180">
        <f t="shared" si="244"/>
        <v>0</v>
      </c>
    </row>
    <row r="2181" spans="1:19" x14ac:dyDescent="0.3">
      <c r="A2181" s="17">
        <v>42885</v>
      </c>
      <c r="B2181">
        <v>294.57</v>
      </c>
      <c r="C2181">
        <v>50.4</v>
      </c>
      <c r="D2181">
        <f t="shared" si="241"/>
        <v>244.17</v>
      </c>
      <c r="E2181">
        <v>1.06</v>
      </c>
      <c r="F2181">
        <f t="shared" si="242"/>
        <v>-243.10999999999999</v>
      </c>
      <c r="I2181">
        <f t="shared" ref="I2181:I2244" si="245">+DAY(A2181)</f>
        <v>30</v>
      </c>
      <c r="J2181">
        <v>1</v>
      </c>
      <c r="K2181">
        <f t="shared" ref="K2181:K2244" si="246">+MONTH(A2181)</f>
        <v>5</v>
      </c>
      <c r="L2181">
        <f t="shared" ref="L2181:L2244" si="247">+YEAR(A2181)</f>
        <v>2017</v>
      </c>
      <c r="N2181" s="17">
        <f t="shared" si="243"/>
        <v>42856</v>
      </c>
      <c r="S2181">
        <f t="shared" si="244"/>
        <v>0</v>
      </c>
    </row>
    <row r="2182" spans="1:19" x14ac:dyDescent="0.3">
      <c r="A2182" s="17">
        <v>42884</v>
      </c>
      <c r="B2182">
        <v>294.32</v>
      </c>
      <c r="C2182">
        <v>50.61</v>
      </c>
      <c r="D2182">
        <f t="shared" ref="D2182:D2245" si="248">+B2182-C2182</f>
        <v>243.70999999999998</v>
      </c>
      <c r="E2182">
        <v>1.06</v>
      </c>
      <c r="F2182">
        <f t="shared" ref="F2182:F2245" si="249">+E2182-D2182</f>
        <v>-242.64999999999998</v>
      </c>
      <c r="I2182">
        <f t="shared" si="245"/>
        <v>29</v>
      </c>
      <c r="J2182">
        <v>1</v>
      </c>
      <c r="K2182">
        <f t="shared" si="246"/>
        <v>5</v>
      </c>
      <c r="L2182">
        <f t="shared" si="247"/>
        <v>2017</v>
      </c>
      <c r="N2182" s="17">
        <f t="shared" ref="N2182:N2245" si="250">+DATE(L2182,K2182,J2182)</f>
        <v>42856</v>
      </c>
      <c r="S2182">
        <f t="shared" ref="S2182:S2245" si="251">IF(AND(I2182&gt;=1, I2182&lt;=4), 1, 0)</f>
        <v>0</v>
      </c>
    </row>
    <row r="2183" spans="1:19" x14ac:dyDescent="0.3">
      <c r="A2183" s="17">
        <v>42881</v>
      </c>
      <c r="B2183">
        <v>294.68</v>
      </c>
      <c r="C2183">
        <v>50.4</v>
      </c>
      <c r="D2183">
        <f t="shared" si="248"/>
        <v>244.28</v>
      </c>
      <c r="E2183">
        <v>1.06</v>
      </c>
      <c r="F2183">
        <f t="shared" si="249"/>
        <v>-243.22</v>
      </c>
      <c r="I2183">
        <f t="shared" si="245"/>
        <v>26</v>
      </c>
      <c r="J2183">
        <v>1</v>
      </c>
      <c r="K2183">
        <f t="shared" si="246"/>
        <v>5</v>
      </c>
      <c r="L2183">
        <f t="shared" si="247"/>
        <v>2017</v>
      </c>
      <c r="N2183" s="17">
        <f t="shared" si="250"/>
        <v>42856</v>
      </c>
      <c r="S2183">
        <f t="shared" si="251"/>
        <v>0</v>
      </c>
    </row>
    <row r="2184" spans="1:19" x14ac:dyDescent="0.3">
      <c r="A2184" s="17">
        <v>42880</v>
      </c>
      <c r="B2184">
        <v>312.08999999999997</v>
      </c>
      <c r="C2184">
        <v>52.75</v>
      </c>
      <c r="D2184">
        <f t="shared" si="248"/>
        <v>259.33999999999997</v>
      </c>
      <c r="E2184">
        <v>0.91</v>
      </c>
      <c r="F2184">
        <f t="shared" si="249"/>
        <v>-258.42999999999995</v>
      </c>
      <c r="I2184">
        <f t="shared" si="245"/>
        <v>25</v>
      </c>
      <c r="J2184">
        <v>1</v>
      </c>
      <c r="K2184">
        <f t="shared" si="246"/>
        <v>5</v>
      </c>
      <c r="L2184">
        <f t="shared" si="247"/>
        <v>2017</v>
      </c>
      <c r="N2184" s="17">
        <f t="shared" si="250"/>
        <v>42856</v>
      </c>
      <c r="S2184">
        <f t="shared" si="251"/>
        <v>0</v>
      </c>
    </row>
    <row r="2185" spans="1:19" x14ac:dyDescent="0.3">
      <c r="A2185" s="17">
        <v>42879</v>
      </c>
      <c r="B2185">
        <v>308.98</v>
      </c>
      <c r="C2185">
        <v>53.15</v>
      </c>
      <c r="D2185">
        <f t="shared" si="248"/>
        <v>255.83</v>
      </c>
      <c r="E2185">
        <v>0.9</v>
      </c>
      <c r="F2185">
        <f t="shared" si="249"/>
        <v>-254.93</v>
      </c>
      <c r="I2185">
        <f t="shared" si="245"/>
        <v>24</v>
      </c>
      <c r="J2185">
        <v>1</v>
      </c>
      <c r="K2185">
        <f t="shared" si="246"/>
        <v>5</v>
      </c>
      <c r="L2185">
        <f t="shared" si="247"/>
        <v>2017</v>
      </c>
      <c r="N2185" s="17">
        <f t="shared" si="250"/>
        <v>42856</v>
      </c>
      <c r="S2185">
        <f t="shared" si="251"/>
        <v>0</v>
      </c>
    </row>
    <row r="2186" spans="1:19" x14ac:dyDescent="0.3">
      <c r="A2186" s="17">
        <v>42878</v>
      </c>
      <c r="B2186">
        <v>301.77999999999997</v>
      </c>
      <c r="C2186">
        <v>52.3</v>
      </c>
      <c r="D2186">
        <f t="shared" si="248"/>
        <v>249.47999999999996</v>
      </c>
      <c r="E2186">
        <v>0.96</v>
      </c>
      <c r="F2186">
        <f t="shared" si="249"/>
        <v>-248.51999999999995</v>
      </c>
      <c r="I2186">
        <f t="shared" si="245"/>
        <v>23</v>
      </c>
      <c r="J2186">
        <v>1</v>
      </c>
      <c r="K2186">
        <f t="shared" si="246"/>
        <v>5</v>
      </c>
      <c r="L2186">
        <f t="shared" si="247"/>
        <v>2017</v>
      </c>
      <c r="N2186" s="17">
        <f t="shared" si="250"/>
        <v>42856</v>
      </c>
      <c r="S2186">
        <f t="shared" si="251"/>
        <v>0</v>
      </c>
    </row>
    <row r="2187" spans="1:19" x14ac:dyDescent="0.3">
      <c r="A2187" s="17">
        <v>42877</v>
      </c>
      <c r="B2187">
        <v>306.20999999999998</v>
      </c>
      <c r="C2187">
        <v>52.78</v>
      </c>
      <c r="D2187">
        <f t="shared" si="248"/>
        <v>253.42999999999998</v>
      </c>
      <c r="E2187">
        <v>1.07</v>
      </c>
      <c r="F2187">
        <f t="shared" si="249"/>
        <v>-252.35999999999999</v>
      </c>
      <c r="I2187">
        <f t="shared" si="245"/>
        <v>22</v>
      </c>
      <c r="J2187">
        <v>1</v>
      </c>
      <c r="K2187">
        <f t="shared" si="246"/>
        <v>5</v>
      </c>
      <c r="L2187">
        <f t="shared" si="247"/>
        <v>2017</v>
      </c>
      <c r="N2187" s="17">
        <f t="shared" si="250"/>
        <v>42856</v>
      </c>
      <c r="S2187">
        <f t="shared" si="251"/>
        <v>0</v>
      </c>
    </row>
    <row r="2188" spans="1:19" x14ac:dyDescent="0.3">
      <c r="A2188" s="17">
        <v>42874</v>
      </c>
      <c r="B2188">
        <v>306.37</v>
      </c>
      <c r="C2188">
        <v>52.05</v>
      </c>
      <c r="D2188">
        <f t="shared" si="248"/>
        <v>254.32</v>
      </c>
      <c r="E2188">
        <v>1.06</v>
      </c>
      <c r="F2188">
        <f t="shared" si="249"/>
        <v>-253.26</v>
      </c>
      <c r="I2188">
        <f t="shared" si="245"/>
        <v>19</v>
      </c>
      <c r="J2188">
        <v>1</v>
      </c>
      <c r="K2188">
        <f t="shared" si="246"/>
        <v>5</v>
      </c>
      <c r="L2188">
        <f t="shared" si="247"/>
        <v>2017</v>
      </c>
      <c r="N2188" s="17">
        <f t="shared" si="250"/>
        <v>42856</v>
      </c>
      <c r="S2188">
        <f t="shared" si="251"/>
        <v>0</v>
      </c>
    </row>
    <row r="2189" spans="1:19" x14ac:dyDescent="0.3">
      <c r="A2189" s="17">
        <v>42873</v>
      </c>
      <c r="B2189">
        <v>303.37</v>
      </c>
      <c r="C2189">
        <v>51.01</v>
      </c>
      <c r="D2189">
        <f t="shared" si="248"/>
        <v>252.36</v>
      </c>
      <c r="E2189">
        <v>1.02</v>
      </c>
      <c r="F2189">
        <f t="shared" si="249"/>
        <v>-251.34</v>
      </c>
      <c r="I2189">
        <f t="shared" si="245"/>
        <v>18</v>
      </c>
      <c r="J2189">
        <v>1</v>
      </c>
      <c r="K2189">
        <f t="shared" si="246"/>
        <v>5</v>
      </c>
      <c r="L2189">
        <f t="shared" si="247"/>
        <v>2017</v>
      </c>
      <c r="N2189" s="17">
        <f t="shared" si="250"/>
        <v>42856</v>
      </c>
      <c r="S2189">
        <f t="shared" si="251"/>
        <v>0</v>
      </c>
    </row>
    <row r="2190" spans="1:19" x14ac:dyDescent="0.3">
      <c r="A2190" s="17">
        <v>42872</v>
      </c>
      <c r="B2190">
        <v>297.73</v>
      </c>
      <c r="C2190">
        <v>50.41</v>
      </c>
      <c r="D2190">
        <f t="shared" si="248"/>
        <v>247.32000000000002</v>
      </c>
      <c r="E2190">
        <v>0.78</v>
      </c>
      <c r="F2190">
        <f t="shared" si="249"/>
        <v>-246.54000000000002</v>
      </c>
      <c r="I2190">
        <f t="shared" si="245"/>
        <v>17</v>
      </c>
      <c r="J2190">
        <v>1</v>
      </c>
      <c r="K2190">
        <f t="shared" si="246"/>
        <v>5</v>
      </c>
      <c r="L2190">
        <f t="shared" si="247"/>
        <v>2017</v>
      </c>
      <c r="N2190" s="17">
        <f t="shared" si="250"/>
        <v>42856</v>
      </c>
      <c r="S2190">
        <f t="shared" si="251"/>
        <v>0</v>
      </c>
    </row>
    <row r="2191" spans="1:19" x14ac:dyDescent="0.3">
      <c r="A2191" s="17">
        <v>42871</v>
      </c>
      <c r="B2191">
        <v>299.91000000000003</v>
      </c>
      <c r="C2191">
        <v>51.01</v>
      </c>
      <c r="D2191">
        <f t="shared" si="248"/>
        <v>248.90000000000003</v>
      </c>
      <c r="E2191">
        <v>0.67</v>
      </c>
      <c r="F2191">
        <f t="shared" si="249"/>
        <v>-248.23000000000005</v>
      </c>
      <c r="I2191">
        <f t="shared" si="245"/>
        <v>16</v>
      </c>
      <c r="J2191">
        <v>1</v>
      </c>
      <c r="K2191">
        <f t="shared" si="246"/>
        <v>5</v>
      </c>
      <c r="L2191">
        <f t="shared" si="247"/>
        <v>2017</v>
      </c>
      <c r="N2191" s="17">
        <f t="shared" si="250"/>
        <v>42856</v>
      </c>
      <c r="S2191">
        <f t="shared" si="251"/>
        <v>0</v>
      </c>
    </row>
    <row r="2192" spans="1:19" x14ac:dyDescent="0.3">
      <c r="A2192" s="17">
        <v>42870</v>
      </c>
      <c r="B2192">
        <v>299.18</v>
      </c>
      <c r="C2192">
        <v>50.91</v>
      </c>
      <c r="D2192">
        <f t="shared" si="248"/>
        <v>248.27</v>
      </c>
      <c r="E2192">
        <v>0.67</v>
      </c>
      <c r="F2192">
        <f t="shared" si="249"/>
        <v>-247.60000000000002</v>
      </c>
      <c r="I2192">
        <f t="shared" si="245"/>
        <v>15</v>
      </c>
      <c r="J2192">
        <v>1</v>
      </c>
      <c r="K2192">
        <f t="shared" si="246"/>
        <v>5</v>
      </c>
      <c r="L2192">
        <f t="shared" si="247"/>
        <v>2017</v>
      </c>
      <c r="N2192" s="17">
        <f t="shared" si="250"/>
        <v>42856</v>
      </c>
      <c r="S2192">
        <f t="shared" si="251"/>
        <v>0</v>
      </c>
    </row>
    <row r="2193" spans="1:19" x14ac:dyDescent="0.3">
      <c r="A2193" s="17">
        <v>42867</v>
      </c>
      <c r="B2193">
        <v>293.97000000000003</v>
      </c>
      <c r="C2193">
        <v>49.51</v>
      </c>
      <c r="D2193">
        <f t="shared" si="248"/>
        <v>244.46000000000004</v>
      </c>
      <c r="E2193">
        <v>0.69</v>
      </c>
      <c r="F2193">
        <f t="shared" si="249"/>
        <v>-243.77000000000004</v>
      </c>
      <c r="I2193">
        <f t="shared" si="245"/>
        <v>12</v>
      </c>
      <c r="J2193">
        <v>1</v>
      </c>
      <c r="K2193">
        <f t="shared" si="246"/>
        <v>5</v>
      </c>
      <c r="L2193">
        <f t="shared" si="247"/>
        <v>2017</v>
      </c>
      <c r="N2193" s="17">
        <f t="shared" si="250"/>
        <v>42856</v>
      </c>
      <c r="S2193">
        <f t="shared" si="251"/>
        <v>0</v>
      </c>
    </row>
    <row r="2194" spans="1:19" x14ac:dyDescent="0.3">
      <c r="A2194" s="17">
        <v>42866</v>
      </c>
      <c r="B2194">
        <v>294.77</v>
      </c>
      <c r="C2194">
        <v>49.655000000000001</v>
      </c>
      <c r="D2194">
        <f t="shared" si="248"/>
        <v>245.11499999999998</v>
      </c>
      <c r="E2194">
        <v>0.67</v>
      </c>
      <c r="F2194">
        <f t="shared" si="249"/>
        <v>-244.44499999999999</v>
      </c>
      <c r="I2194">
        <f t="shared" si="245"/>
        <v>11</v>
      </c>
      <c r="J2194">
        <v>1</v>
      </c>
      <c r="K2194">
        <f t="shared" si="246"/>
        <v>5</v>
      </c>
      <c r="L2194">
        <f t="shared" si="247"/>
        <v>2017</v>
      </c>
      <c r="N2194" s="17">
        <f t="shared" si="250"/>
        <v>42856</v>
      </c>
      <c r="S2194">
        <f t="shared" si="251"/>
        <v>0</v>
      </c>
    </row>
    <row r="2195" spans="1:19" x14ac:dyDescent="0.3">
      <c r="A2195" s="17">
        <v>42864</v>
      </c>
      <c r="B2195">
        <v>286.04000000000002</v>
      </c>
      <c r="C2195">
        <v>48.4</v>
      </c>
      <c r="D2195">
        <f t="shared" si="248"/>
        <v>237.64000000000001</v>
      </c>
      <c r="E2195">
        <v>0.53</v>
      </c>
      <c r="F2195">
        <f t="shared" si="249"/>
        <v>-237.11</v>
      </c>
      <c r="I2195">
        <f t="shared" si="245"/>
        <v>9</v>
      </c>
      <c r="J2195">
        <v>1</v>
      </c>
      <c r="K2195">
        <f t="shared" si="246"/>
        <v>5</v>
      </c>
      <c r="L2195">
        <f t="shared" si="247"/>
        <v>2017</v>
      </c>
      <c r="N2195" s="17">
        <f t="shared" si="250"/>
        <v>42856</v>
      </c>
      <c r="S2195">
        <f t="shared" si="251"/>
        <v>0</v>
      </c>
    </row>
    <row r="2196" spans="1:19" x14ac:dyDescent="0.3">
      <c r="A2196" s="17">
        <v>42863</v>
      </c>
      <c r="B2196">
        <v>287.31</v>
      </c>
      <c r="C2196">
        <v>48.5</v>
      </c>
      <c r="D2196">
        <f t="shared" si="248"/>
        <v>238.81</v>
      </c>
      <c r="E2196">
        <v>0.57999999999999996</v>
      </c>
      <c r="F2196">
        <f t="shared" si="249"/>
        <v>-238.23</v>
      </c>
      <c r="I2196">
        <f t="shared" si="245"/>
        <v>8</v>
      </c>
      <c r="J2196">
        <v>1</v>
      </c>
      <c r="K2196">
        <f t="shared" si="246"/>
        <v>5</v>
      </c>
      <c r="L2196">
        <f t="shared" si="247"/>
        <v>2017</v>
      </c>
      <c r="N2196" s="17">
        <f t="shared" si="250"/>
        <v>42856</v>
      </c>
      <c r="S2196">
        <f t="shared" si="251"/>
        <v>0</v>
      </c>
    </row>
    <row r="2197" spans="1:19" x14ac:dyDescent="0.3">
      <c r="A2197" s="17">
        <v>42860</v>
      </c>
      <c r="B2197">
        <v>282.77999999999997</v>
      </c>
      <c r="C2197">
        <v>47.8</v>
      </c>
      <c r="D2197">
        <f t="shared" si="248"/>
        <v>234.97999999999996</v>
      </c>
      <c r="E2197">
        <v>0.63</v>
      </c>
      <c r="F2197">
        <f t="shared" si="249"/>
        <v>-234.34999999999997</v>
      </c>
      <c r="I2197">
        <f t="shared" si="245"/>
        <v>5</v>
      </c>
      <c r="J2197">
        <v>1</v>
      </c>
      <c r="K2197">
        <f t="shared" si="246"/>
        <v>5</v>
      </c>
      <c r="L2197">
        <f t="shared" si="247"/>
        <v>2017</v>
      </c>
      <c r="N2197" s="17">
        <f t="shared" si="250"/>
        <v>42856</v>
      </c>
      <c r="S2197">
        <f t="shared" si="251"/>
        <v>0</v>
      </c>
    </row>
    <row r="2198" spans="1:19" x14ac:dyDescent="0.3">
      <c r="A2198" s="17">
        <v>42859</v>
      </c>
      <c r="B2198">
        <v>290.32</v>
      </c>
      <c r="C2198">
        <v>49.25</v>
      </c>
      <c r="D2198">
        <f t="shared" si="248"/>
        <v>241.07</v>
      </c>
      <c r="E2198">
        <v>0.63</v>
      </c>
      <c r="F2198">
        <f t="shared" si="249"/>
        <v>-240.44</v>
      </c>
      <c r="I2198">
        <f t="shared" si="245"/>
        <v>4</v>
      </c>
      <c r="J2198">
        <v>1</v>
      </c>
      <c r="K2198">
        <f t="shared" si="246"/>
        <v>5</v>
      </c>
      <c r="L2198">
        <f t="shared" si="247"/>
        <v>2017</v>
      </c>
      <c r="N2198" s="17">
        <f t="shared" si="250"/>
        <v>42856</v>
      </c>
      <c r="S2198">
        <f t="shared" si="251"/>
        <v>1</v>
      </c>
    </row>
    <row r="2199" spans="1:19" x14ac:dyDescent="0.3">
      <c r="A2199" s="17">
        <v>42858</v>
      </c>
      <c r="B2199">
        <v>292.24</v>
      </c>
      <c r="C2199">
        <v>49.75</v>
      </c>
      <c r="D2199">
        <f t="shared" si="248"/>
        <v>242.49</v>
      </c>
      <c r="E2199">
        <v>0.65</v>
      </c>
      <c r="F2199">
        <f t="shared" si="249"/>
        <v>-241.84</v>
      </c>
      <c r="I2199">
        <f t="shared" si="245"/>
        <v>3</v>
      </c>
      <c r="J2199">
        <v>1</v>
      </c>
      <c r="K2199">
        <f t="shared" si="246"/>
        <v>5</v>
      </c>
      <c r="L2199">
        <f t="shared" si="247"/>
        <v>2017</v>
      </c>
      <c r="N2199" s="17">
        <f t="shared" si="250"/>
        <v>42856</v>
      </c>
      <c r="S2199">
        <f t="shared" si="251"/>
        <v>1</v>
      </c>
    </row>
    <row r="2200" spans="1:19" x14ac:dyDescent="0.3">
      <c r="A2200" s="17">
        <v>42857</v>
      </c>
      <c r="B2200">
        <v>296.52</v>
      </c>
      <c r="C2200">
        <v>50.53</v>
      </c>
      <c r="D2200">
        <f t="shared" si="248"/>
        <v>245.98999999999998</v>
      </c>
      <c r="E2200">
        <v>0.64</v>
      </c>
      <c r="F2200">
        <f t="shared" si="249"/>
        <v>-245.35</v>
      </c>
      <c r="I2200">
        <f t="shared" si="245"/>
        <v>2</v>
      </c>
      <c r="J2200">
        <v>1</v>
      </c>
      <c r="K2200">
        <f t="shared" si="246"/>
        <v>5</v>
      </c>
      <c r="L2200">
        <f t="shared" si="247"/>
        <v>2017</v>
      </c>
      <c r="N2200" s="17">
        <f t="shared" si="250"/>
        <v>42856</v>
      </c>
      <c r="S2200">
        <f t="shared" si="251"/>
        <v>1</v>
      </c>
    </row>
    <row r="2201" spans="1:19" x14ac:dyDescent="0.3">
      <c r="A2201" s="17">
        <v>42853</v>
      </c>
      <c r="B2201">
        <v>296.64</v>
      </c>
      <c r="C2201">
        <v>50.18</v>
      </c>
      <c r="D2201">
        <f t="shared" si="248"/>
        <v>246.45999999999998</v>
      </c>
      <c r="E2201">
        <v>0.67</v>
      </c>
      <c r="F2201">
        <f t="shared" si="249"/>
        <v>-245.79</v>
      </c>
      <c r="I2201">
        <f t="shared" si="245"/>
        <v>28</v>
      </c>
      <c r="J2201">
        <v>1</v>
      </c>
      <c r="K2201">
        <f t="shared" si="246"/>
        <v>4</v>
      </c>
      <c r="L2201">
        <f t="shared" si="247"/>
        <v>2017</v>
      </c>
      <c r="N2201" s="17">
        <f t="shared" si="250"/>
        <v>42826</v>
      </c>
      <c r="S2201">
        <f t="shared" si="251"/>
        <v>0</v>
      </c>
    </row>
    <row r="2202" spans="1:19" x14ac:dyDescent="0.3">
      <c r="A2202" s="17">
        <v>42852</v>
      </c>
      <c r="B2202">
        <v>292.62</v>
      </c>
      <c r="C2202">
        <v>49.9</v>
      </c>
      <c r="D2202">
        <f t="shared" si="248"/>
        <v>242.72</v>
      </c>
      <c r="E2202">
        <v>0.71</v>
      </c>
      <c r="F2202">
        <f t="shared" si="249"/>
        <v>-242.01</v>
      </c>
      <c r="I2202">
        <f t="shared" si="245"/>
        <v>27</v>
      </c>
      <c r="J2202">
        <v>1</v>
      </c>
      <c r="K2202">
        <f t="shared" si="246"/>
        <v>4</v>
      </c>
      <c r="L2202">
        <f t="shared" si="247"/>
        <v>2017</v>
      </c>
      <c r="N2202" s="17">
        <f t="shared" si="250"/>
        <v>42826</v>
      </c>
      <c r="S2202">
        <f t="shared" si="251"/>
        <v>0</v>
      </c>
    </row>
    <row r="2203" spans="1:19" x14ac:dyDescent="0.3">
      <c r="A2203" s="17">
        <v>42851</v>
      </c>
      <c r="B2203">
        <v>295.61</v>
      </c>
      <c r="C2203">
        <v>50.52</v>
      </c>
      <c r="D2203">
        <f t="shared" si="248"/>
        <v>245.09</v>
      </c>
      <c r="E2203">
        <v>0.78</v>
      </c>
      <c r="F2203">
        <f t="shared" si="249"/>
        <v>-244.31</v>
      </c>
      <c r="I2203">
        <f t="shared" si="245"/>
        <v>26</v>
      </c>
      <c r="J2203">
        <v>1</v>
      </c>
      <c r="K2203">
        <f t="shared" si="246"/>
        <v>4</v>
      </c>
      <c r="L2203">
        <f t="shared" si="247"/>
        <v>2017</v>
      </c>
      <c r="N2203" s="17">
        <f t="shared" si="250"/>
        <v>42826</v>
      </c>
      <c r="S2203">
        <f t="shared" si="251"/>
        <v>0</v>
      </c>
    </row>
    <row r="2204" spans="1:19" x14ac:dyDescent="0.3">
      <c r="A2204" s="17">
        <v>42850</v>
      </c>
      <c r="B2204">
        <v>293.36</v>
      </c>
      <c r="C2204">
        <v>50.15</v>
      </c>
      <c r="D2204">
        <f t="shared" si="248"/>
        <v>243.21</v>
      </c>
      <c r="E2204">
        <v>0.86</v>
      </c>
      <c r="F2204">
        <f t="shared" si="249"/>
        <v>-242.35</v>
      </c>
      <c r="I2204">
        <f t="shared" si="245"/>
        <v>25</v>
      </c>
      <c r="J2204">
        <v>1</v>
      </c>
      <c r="K2204">
        <f t="shared" si="246"/>
        <v>4</v>
      </c>
      <c r="L2204">
        <f t="shared" si="247"/>
        <v>2017</v>
      </c>
      <c r="N2204" s="17">
        <f t="shared" si="250"/>
        <v>42826</v>
      </c>
      <c r="S2204">
        <f t="shared" si="251"/>
        <v>0</v>
      </c>
    </row>
    <row r="2205" spans="1:19" x14ac:dyDescent="0.3">
      <c r="A2205" s="17">
        <v>42849</v>
      </c>
      <c r="B2205">
        <v>297.57</v>
      </c>
      <c r="C2205">
        <v>50.99</v>
      </c>
      <c r="D2205">
        <f t="shared" si="248"/>
        <v>246.57999999999998</v>
      </c>
      <c r="E2205">
        <v>0.82</v>
      </c>
      <c r="F2205">
        <f t="shared" si="249"/>
        <v>-245.76</v>
      </c>
      <c r="I2205">
        <f t="shared" si="245"/>
        <v>24</v>
      </c>
      <c r="J2205">
        <v>1</v>
      </c>
      <c r="K2205">
        <f t="shared" si="246"/>
        <v>4</v>
      </c>
      <c r="L2205">
        <f t="shared" si="247"/>
        <v>2017</v>
      </c>
      <c r="N2205" s="17">
        <f t="shared" si="250"/>
        <v>42826</v>
      </c>
      <c r="S2205">
        <f t="shared" si="251"/>
        <v>0</v>
      </c>
    </row>
    <row r="2206" spans="1:19" x14ac:dyDescent="0.3">
      <c r="A2206" s="17">
        <v>42846</v>
      </c>
      <c r="B2206">
        <v>300.01</v>
      </c>
      <c r="C2206">
        <v>51.3</v>
      </c>
      <c r="D2206">
        <f t="shared" si="248"/>
        <v>248.70999999999998</v>
      </c>
      <c r="E2206">
        <v>0.79</v>
      </c>
      <c r="F2206">
        <f t="shared" si="249"/>
        <v>-247.92</v>
      </c>
      <c r="I2206">
        <f t="shared" si="245"/>
        <v>21</v>
      </c>
      <c r="J2206">
        <v>1</v>
      </c>
      <c r="K2206">
        <f t="shared" si="246"/>
        <v>4</v>
      </c>
      <c r="L2206">
        <f t="shared" si="247"/>
        <v>2017</v>
      </c>
      <c r="N2206" s="17">
        <f t="shared" si="250"/>
        <v>42826</v>
      </c>
      <c r="S2206">
        <f t="shared" si="251"/>
        <v>0</v>
      </c>
    </row>
    <row r="2207" spans="1:19" x14ac:dyDescent="0.3">
      <c r="A2207" s="17">
        <v>42845</v>
      </c>
      <c r="B2207">
        <v>302.06</v>
      </c>
      <c r="C2207">
        <v>51.49</v>
      </c>
      <c r="D2207">
        <f t="shared" si="248"/>
        <v>250.57</v>
      </c>
      <c r="E2207">
        <v>0.77</v>
      </c>
      <c r="F2207">
        <f t="shared" si="249"/>
        <v>-249.79999999999998</v>
      </c>
      <c r="I2207">
        <f t="shared" si="245"/>
        <v>20</v>
      </c>
      <c r="J2207">
        <v>1</v>
      </c>
      <c r="K2207">
        <f t="shared" si="246"/>
        <v>4</v>
      </c>
      <c r="L2207">
        <f t="shared" si="247"/>
        <v>2017</v>
      </c>
      <c r="N2207" s="17">
        <f t="shared" si="250"/>
        <v>42826</v>
      </c>
      <c r="S2207">
        <f t="shared" si="251"/>
        <v>0</v>
      </c>
    </row>
    <row r="2208" spans="1:19" x14ac:dyDescent="0.3">
      <c r="A2208" s="17">
        <v>42844</v>
      </c>
      <c r="B2208">
        <v>311.83999999999997</v>
      </c>
      <c r="C2208">
        <v>53.05</v>
      </c>
      <c r="D2208">
        <f t="shared" si="248"/>
        <v>258.78999999999996</v>
      </c>
      <c r="E2208">
        <v>0.62</v>
      </c>
      <c r="F2208">
        <f t="shared" si="249"/>
        <v>-258.16999999999996</v>
      </c>
      <c r="I2208">
        <f t="shared" si="245"/>
        <v>19</v>
      </c>
      <c r="J2208">
        <v>1</v>
      </c>
      <c r="K2208">
        <f t="shared" si="246"/>
        <v>4</v>
      </c>
      <c r="L2208">
        <f t="shared" si="247"/>
        <v>2017</v>
      </c>
      <c r="N2208" s="17">
        <f t="shared" si="250"/>
        <v>42826</v>
      </c>
      <c r="S2208">
        <f t="shared" si="251"/>
        <v>0</v>
      </c>
    </row>
    <row r="2209" spans="1:19" x14ac:dyDescent="0.3">
      <c r="A2209" s="17">
        <v>42843</v>
      </c>
      <c r="B2209">
        <v>310.31</v>
      </c>
      <c r="C2209">
        <v>53.16</v>
      </c>
      <c r="D2209">
        <f t="shared" si="248"/>
        <v>257.14999999999998</v>
      </c>
      <c r="E2209">
        <v>0.55000000000000004</v>
      </c>
      <c r="F2209">
        <f t="shared" si="249"/>
        <v>-256.59999999999997</v>
      </c>
      <c r="I2209">
        <f t="shared" si="245"/>
        <v>18</v>
      </c>
      <c r="J2209">
        <v>1</v>
      </c>
      <c r="K2209">
        <f t="shared" si="246"/>
        <v>4</v>
      </c>
      <c r="L2209">
        <f t="shared" si="247"/>
        <v>2017</v>
      </c>
      <c r="N2209" s="17">
        <f t="shared" si="250"/>
        <v>42826</v>
      </c>
      <c r="S2209">
        <f t="shared" si="251"/>
        <v>0</v>
      </c>
    </row>
    <row r="2210" spans="1:19" x14ac:dyDescent="0.3">
      <c r="A2210" s="17">
        <v>42842</v>
      </c>
      <c r="B2210">
        <v>312.36</v>
      </c>
      <c r="C2210">
        <v>53.5</v>
      </c>
      <c r="D2210">
        <f t="shared" si="248"/>
        <v>258.86</v>
      </c>
      <c r="E2210">
        <v>0.48</v>
      </c>
      <c r="F2210">
        <f t="shared" si="249"/>
        <v>-258.38</v>
      </c>
      <c r="I2210">
        <f t="shared" si="245"/>
        <v>17</v>
      </c>
      <c r="J2210">
        <v>1</v>
      </c>
      <c r="K2210">
        <f t="shared" si="246"/>
        <v>4</v>
      </c>
      <c r="L2210">
        <f t="shared" si="247"/>
        <v>2017</v>
      </c>
      <c r="N2210" s="17">
        <f t="shared" si="250"/>
        <v>42826</v>
      </c>
      <c r="S2210">
        <f t="shared" si="251"/>
        <v>0</v>
      </c>
    </row>
    <row r="2211" spans="1:19" x14ac:dyDescent="0.3">
      <c r="A2211" s="17">
        <v>42838</v>
      </c>
      <c r="B2211">
        <v>315.45</v>
      </c>
      <c r="C2211">
        <v>54.15</v>
      </c>
      <c r="D2211">
        <f t="shared" si="248"/>
        <v>261.3</v>
      </c>
      <c r="E2211">
        <v>0.47</v>
      </c>
      <c r="F2211">
        <f t="shared" si="249"/>
        <v>-260.83</v>
      </c>
      <c r="I2211">
        <f t="shared" si="245"/>
        <v>13</v>
      </c>
      <c r="J2211">
        <v>1</v>
      </c>
      <c r="K2211">
        <f t="shared" si="246"/>
        <v>4</v>
      </c>
      <c r="L2211">
        <f t="shared" si="247"/>
        <v>2017</v>
      </c>
      <c r="N2211" s="17">
        <f t="shared" si="250"/>
        <v>42826</v>
      </c>
      <c r="S2211">
        <f t="shared" si="251"/>
        <v>0</v>
      </c>
    </row>
    <row r="2212" spans="1:19" x14ac:dyDescent="0.3">
      <c r="A2212" s="17">
        <v>42837</v>
      </c>
      <c r="B2212">
        <v>318.33999999999997</v>
      </c>
      <c r="C2212">
        <v>54.65</v>
      </c>
      <c r="D2212">
        <f t="shared" si="248"/>
        <v>263.69</v>
      </c>
      <c r="E2212">
        <v>0.46</v>
      </c>
      <c r="F2212">
        <f t="shared" si="249"/>
        <v>-263.23</v>
      </c>
      <c r="I2212">
        <f t="shared" si="245"/>
        <v>12</v>
      </c>
      <c r="J2212">
        <v>1</v>
      </c>
      <c r="K2212">
        <f t="shared" si="246"/>
        <v>4</v>
      </c>
      <c r="L2212">
        <f t="shared" si="247"/>
        <v>2017</v>
      </c>
      <c r="N2212" s="17">
        <f t="shared" si="250"/>
        <v>42826</v>
      </c>
      <c r="S2212">
        <f t="shared" si="251"/>
        <v>0</v>
      </c>
    </row>
    <row r="2213" spans="1:19" x14ac:dyDescent="0.3">
      <c r="A2213" s="17">
        <v>42836</v>
      </c>
      <c r="B2213">
        <v>315.08999999999997</v>
      </c>
      <c r="C2213">
        <v>54.3</v>
      </c>
      <c r="D2213">
        <f t="shared" si="248"/>
        <v>260.78999999999996</v>
      </c>
      <c r="E2213">
        <v>0.44</v>
      </c>
      <c r="F2213">
        <f t="shared" si="249"/>
        <v>-260.34999999999997</v>
      </c>
      <c r="I2213">
        <f t="shared" si="245"/>
        <v>11</v>
      </c>
      <c r="J2213">
        <v>1</v>
      </c>
      <c r="K2213">
        <f t="shared" si="246"/>
        <v>4</v>
      </c>
      <c r="L2213">
        <f t="shared" si="247"/>
        <v>2017</v>
      </c>
      <c r="N2213" s="17">
        <f t="shared" si="250"/>
        <v>42826</v>
      </c>
      <c r="S2213">
        <f t="shared" si="251"/>
        <v>0</v>
      </c>
    </row>
    <row r="2214" spans="1:19" x14ac:dyDescent="0.3">
      <c r="A2214" s="17">
        <v>42835</v>
      </c>
      <c r="B2214">
        <v>315.04000000000002</v>
      </c>
      <c r="C2214">
        <v>53.9</v>
      </c>
      <c r="D2214">
        <f t="shared" si="248"/>
        <v>261.14000000000004</v>
      </c>
      <c r="E2214">
        <v>0.42</v>
      </c>
      <c r="F2214">
        <f t="shared" si="249"/>
        <v>-260.72000000000003</v>
      </c>
      <c r="I2214">
        <f t="shared" si="245"/>
        <v>10</v>
      </c>
      <c r="J2214">
        <v>1</v>
      </c>
      <c r="K2214">
        <f t="shared" si="246"/>
        <v>4</v>
      </c>
      <c r="L2214">
        <f t="shared" si="247"/>
        <v>2017</v>
      </c>
      <c r="N2214" s="17">
        <f t="shared" si="250"/>
        <v>42826</v>
      </c>
      <c r="S2214">
        <f t="shared" si="251"/>
        <v>0</v>
      </c>
    </row>
    <row r="2215" spans="1:19" x14ac:dyDescent="0.3">
      <c r="A2215" s="17">
        <v>42832</v>
      </c>
      <c r="B2215">
        <v>316.85000000000002</v>
      </c>
      <c r="C2215">
        <v>53.99</v>
      </c>
      <c r="D2215">
        <f t="shared" si="248"/>
        <v>262.86</v>
      </c>
      <c r="E2215">
        <v>0.38</v>
      </c>
      <c r="F2215">
        <f t="shared" si="249"/>
        <v>-262.48</v>
      </c>
      <c r="I2215">
        <f t="shared" si="245"/>
        <v>7</v>
      </c>
      <c r="J2215">
        <v>1</v>
      </c>
      <c r="K2215">
        <f t="shared" si="246"/>
        <v>4</v>
      </c>
      <c r="L2215">
        <f t="shared" si="247"/>
        <v>2017</v>
      </c>
      <c r="N2215" s="17">
        <f t="shared" si="250"/>
        <v>42826</v>
      </c>
      <c r="S2215">
        <f t="shared" si="251"/>
        <v>0</v>
      </c>
    </row>
    <row r="2216" spans="1:19" x14ac:dyDescent="0.3">
      <c r="A2216" s="17">
        <v>42831</v>
      </c>
      <c r="B2216">
        <v>307</v>
      </c>
      <c r="C2216">
        <v>52.58</v>
      </c>
      <c r="D2216">
        <f t="shared" si="248"/>
        <v>254.42000000000002</v>
      </c>
      <c r="E2216">
        <v>0.47</v>
      </c>
      <c r="F2216">
        <f t="shared" si="249"/>
        <v>-253.95000000000002</v>
      </c>
      <c r="I2216">
        <f t="shared" si="245"/>
        <v>6</v>
      </c>
      <c r="J2216">
        <v>1</v>
      </c>
      <c r="K2216">
        <f t="shared" si="246"/>
        <v>4</v>
      </c>
      <c r="L2216">
        <f t="shared" si="247"/>
        <v>2017</v>
      </c>
      <c r="N2216" s="17">
        <f t="shared" si="250"/>
        <v>42826</v>
      </c>
      <c r="S2216">
        <f t="shared" si="251"/>
        <v>0</v>
      </c>
    </row>
    <row r="2217" spans="1:19" x14ac:dyDescent="0.3">
      <c r="A2217" s="17">
        <v>42830</v>
      </c>
      <c r="B2217">
        <v>307.94</v>
      </c>
      <c r="C2217">
        <v>53</v>
      </c>
      <c r="D2217">
        <f t="shared" si="248"/>
        <v>254.94</v>
      </c>
      <c r="E2217">
        <v>0.39</v>
      </c>
      <c r="F2217">
        <f t="shared" si="249"/>
        <v>-254.55</v>
      </c>
      <c r="I2217">
        <f t="shared" si="245"/>
        <v>5</v>
      </c>
      <c r="J2217">
        <v>1</v>
      </c>
      <c r="K2217">
        <f t="shared" si="246"/>
        <v>4</v>
      </c>
      <c r="L2217">
        <f t="shared" si="247"/>
        <v>2017</v>
      </c>
      <c r="N2217" s="17">
        <f t="shared" si="250"/>
        <v>42826</v>
      </c>
      <c r="S2217">
        <f t="shared" si="251"/>
        <v>0</v>
      </c>
    </row>
    <row r="2218" spans="1:19" x14ac:dyDescent="0.3">
      <c r="A2218" s="17">
        <v>42829</v>
      </c>
      <c r="B2218">
        <v>296.06</v>
      </c>
      <c r="C2218">
        <v>51.06</v>
      </c>
      <c r="D2218">
        <f t="shared" si="248"/>
        <v>245</v>
      </c>
      <c r="E2218">
        <v>0.4</v>
      </c>
      <c r="F2218">
        <f t="shared" si="249"/>
        <v>-244.6</v>
      </c>
      <c r="I2218">
        <f t="shared" si="245"/>
        <v>4</v>
      </c>
      <c r="J2218">
        <v>1</v>
      </c>
      <c r="K2218">
        <f t="shared" si="246"/>
        <v>4</v>
      </c>
      <c r="L2218">
        <f t="shared" si="247"/>
        <v>2017</v>
      </c>
      <c r="N2218" s="17">
        <f t="shared" si="250"/>
        <v>42826</v>
      </c>
      <c r="S2218">
        <f t="shared" si="251"/>
        <v>1</v>
      </c>
    </row>
    <row r="2219" spans="1:19" x14ac:dyDescent="0.3">
      <c r="A2219" s="17">
        <v>42828</v>
      </c>
      <c r="B2219">
        <v>296.95</v>
      </c>
      <c r="C2219">
        <v>51.69</v>
      </c>
      <c r="D2219">
        <f t="shared" si="248"/>
        <v>245.26</v>
      </c>
      <c r="E2219">
        <v>0.43</v>
      </c>
      <c r="F2219">
        <f t="shared" si="249"/>
        <v>-244.82999999999998</v>
      </c>
      <c r="I2219">
        <f t="shared" si="245"/>
        <v>3</v>
      </c>
      <c r="J2219">
        <v>1</v>
      </c>
      <c r="K2219">
        <f t="shared" si="246"/>
        <v>4</v>
      </c>
      <c r="L2219">
        <f t="shared" si="247"/>
        <v>2017</v>
      </c>
      <c r="N2219" s="17">
        <f t="shared" si="250"/>
        <v>42826</v>
      </c>
      <c r="S2219">
        <f t="shared" si="251"/>
        <v>1</v>
      </c>
    </row>
    <row r="2220" spans="1:19" x14ac:dyDescent="0.3">
      <c r="A2220" s="17">
        <v>42825</v>
      </c>
      <c r="B2220">
        <v>293.52</v>
      </c>
      <c r="C2220">
        <v>50.7</v>
      </c>
      <c r="D2220">
        <f t="shared" si="248"/>
        <v>242.82</v>
      </c>
      <c r="E2220">
        <v>0.41</v>
      </c>
      <c r="F2220">
        <f t="shared" si="249"/>
        <v>-242.41</v>
      </c>
      <c r="I2220">
        <f t="shared" si="245"/>
        <v>31</v>
      </c>
      <c r="J2220">
        <v>1</v>
      </c>
      <c r="K2220">
        <f t="shared" si="246"/>
        <v>3</v>
      </c>
      <c r="L2220">
        <f t="shared" si="247"/>
        <v>2017</v>
      </c>
      <c r="N2220" s="17">
        <f t="shared" si="250"/>
        <v>42795</v>
      </c>
      <c r="S2220">
        <f t="shared" si="251"/>
        <v>0</v>
      </c>
    </row>
    <row r="2221" spans="1:19" x14ac:dyDescent="0.3">
      <c r="A2221" s="17">
        <v>42824</v>
      </c>
      <c r="B2221">
        <v>290.94</v>
      </c>
      <c r="C2221">
        <v>50.7</v>
      </c>
      <c r="D2221">
        <f t="shared" si="248"/>
        <v>240.24</v>
      </c>
      <c r="E2221">
        <v>0.45</v>
      </c>
      <c r="F2221">
        <f t="shared" si="249"/>
        <v>-239.79000000000002</v>
      </c>
      <c r="I2221">
        <f t="shared" si="245"/>
        <v>30</v>
      </c>
      <c r="J2221">
        <v>1</v>
      </c>
      <c r="K2221">
        <f t="shared" si="246"/>
        <v>3</v>
      </c>
      <c r="L2221">
        <f t="shared" si="247"/>
        <v>2017</v>
      </c>
      <c r="N2221" s="17">
        <f t="shared" si="250"/>
        <v>42795</v>
      </c>
      <c r="S2221">
        <f t="shared" si="251"/>
        <v>0</v>
      </c>
    </row>
    <row r="2222" spans="1:19" x14ac:dyDescent="0.3">
      <c r="A2222" s="17">
        <v>42823</v>
      </c>
      <c r="B2222">
        <v>286.27999999999997</v>
      </c>
      <c r="C2222">
        <v>50.16</v>
      </c>
      <c r="D2222">
        <f t="shared" si="248"/>
        <v>236.11999999999998</v>
      </c>
      <c r="E2222">
        <v>0.39</v>
      </c>
      <c r="F2222">
        <f t="shared" si="249"/>
        <v>-235.73</v>
      </c>
      <c r="I2222">
        <f t="shared" si="245"/>
        <v>29</v>
      </c>
      <c r="J2222">
        <v>1</v>
      </c>
      <c r="K2222">
        <f t="shared" si="246"/>
        <v>3</v>
      </c>
      <c r="L2222">
        <f t="shared" si="247"/>
        <v>2017</v>
      </c>
      <c r="N2222" s="17">
        <f t="shared" si="250"/>
        <v>42795</v>
      </c>
      <c r="S2222">
        <f t="shared" si="251"/>
        <v>0</v>
      </c>
    </row>
    <row r="2223" spans="1:19" x14ac:dyDescent="0.3">
      <c r="A2223" s="17">
        <v>42822</v>
      </c>
      <c r="B2223">
        <v>281.66000000000003</v>
      </c>
      <c r="C2223">
        <v>49.25</v>
      </c>
      <c r="D2223">
        <f t="shared" si="248"/>
        <v>232.41000000000003</v>
      </c>
      <c r="E2223">
        <v>0.36</v>
      </c>
      <c r="F2223">
        <f t="shared" si="249"/>
        <v>-232.05</v>
      </c>
      <c r="I2223">
        <f t="shared" si="245"/>
        <v>28</v>
      </c>
      <c r="J2223">
        <v>1</v>
      </c>
      <c r="K2223">
        <f t="shared" si="246"/>
        <v>3</v>
      </c>
      <c r="L2223">
        <f t="shared" si="247"/>
        <v>2017</v>
      </c>
      <c r="N2223" s="17">
        <f t="shared" si="250"/>
        <v>42795</v>
      </c>
      <c r="S2223">
        <f t="shared" si="251"/>
        <v>0</v>
      </c>
    </row>
    <row r="2224" spans="1:19" x14ac:dyDescent="0.3">
      <c r="A2224" s="17">
        <v>42821</v>
      </c>
      <c r="B2224">
        <v>278.75</v>
      </c>
      <c r="C2224">
        <v>48.79</v>
      </c>
      <c r="D2224">
        <f t="shared" si="248"/>
        <v>229.96</v>
      </c>
      <c r="E2224">
        <v>0.35</v>
      </c>
      <c r="F2224">
        <f t="shared" si="249"/>
        <v>-229.61</v>
      </c>
      <c r="I2224">
        <f t="shared" si="245"/>
        <v>27</v>
      </c>
      <c r="J2224">
        <v>1</v>
      </c>
      <c r="K2224">
        <f t="shared" si="246"/>
        <v>3</v>
      </c>
      <c r="L2224">
        <f t="shared" si="247"/>
        <v>2017</v>
      </c>
      <c r="N2224" s="17">
        <f t="shared" si="250"/>
        <v>42795</v>
      </c>
      <c r="S2224">
        <f t="shared" si="251"/>
        <v>0</v>
      </c>
    </row>
    <row r="2225" spans="1:19" x14ac:dyDescent="0.3">
      <c r="A2225" s="17">
        <v>42818</v>
      </c>
      <c r="B2225">
        <v>279.93</v>
      </c>
      <c r="C2225">
        <v>48.95</v>
      </c>
      <c r="D2225">
        <f t="shared" si="248"/>
        <v>230.98000000000002</v>
      </c>
      <c r="E2225">
        <v>0.26</v>
      </c>
      <c r="F2225">
        <f t="shared" si="249"/>
        <v>-230.72000000000003</v>
      </c>
      <c r="I2225">
        <f t="shared" si="245"/>
        <v>24</v>
      </c>
      <c r="J2225">
        <v>1</v>
      </c>
      <c r="K2225">
        <f t="shared" si="246"/>
        <v>3</v>
      </c>
      <c r="L2225">
        <f t="shared" si="247"/>
        <v>2017</v>
      </c>
      <c r="N2225" s="17">
        <f t="shared" si="250"/>
        <v>42795</v>
      </c>
      <c r="S2225">
        <f t="shared" si="251"/>
        <v>0</v>
      </c>
    </row>
    <row r="2226" spans="1:19" x14ac:dyDescent="0.3">
      <c r="A2226" s="17">
        <v>42817</v>
      </c>
      <c r="B2226">
        <v>282.33999999999997</v>
      </c>
      <c r="C2226">
        <v>49.2</v>
      </c>
      <c r="D2226">
        <f t="shared" si="248"/>
        <v>233.14</v>
      </c>
      <c r="E2226">
        <v>0.24</v>
      </c>
      <c r="F2226">
        <f t="shared" si="249"/>
        <v>-232.89999999999998</v>
      </c>
      <c r="I2226">
        <f t="shared" si="245"/>
        <v>23</v>
      </c>
      <c r="J2226">
        <v>1</v>
      </c>
      <c r="K2226">
        <f t="shared" si="246"/>
        <v>3</v>
      </c>
      <c r="L2226">
        <f t="shared" si="247"/>
        <v>2017</v>
      </c>
      <c r="N2226" s="17">
        <f t="shared" si="250"/>
        <v>42795</v>
      </c>
      <c r="S2226">
        <f t="shared" si="251"/>
        <v>0</v>
      </c>
    </row>
    <row r="2227" spans="1:19" x14ac:dyDescent="0.3">
      <c r="A2227" s="17">
        <v>42816</v>
      </c>
      <c r="B2227">
        <v>281.81</v>
      </c>
      <c r="C2227">
        <v>49</v>
      </c>
      <c r="D2227">
        <f t="shared" si="248"/>
        <v>232.81</v>
      </c>
      <c r="E2227">
        <v>0.26</v>
      </c>
      <c r="F2227">
        <f t="shared" si="249"/>
        <v>-232.55</v>
      </c>
      <c r="I2227">
        <f t="shared" si="245"/>
        <v>22</v>
      </c>
      <c r="J2227">
        <v>1</v>
      </c>
      <c r="K2227">
        <f t="shared" si="246"/>
        <v>3</v>
      </c>
      <c r="L2227">
        <f t="shared" si="247"/>
        <v>2017</v>
      </c>
      <c r="N2227" s="17">
        <f t="shared" si="250"/>
        <v>42795</v>
      </c>
      <c r="S2227">
        <f t="shared" si="251"/>
        <v>0</v>
      </c>
    </row>
    <row r="2228" spans="1:19" x14ac:dyDescent="0.3">
      <c r="A2228" s="17">
        <v>42815</v>
      </c>
      <c r="B2228">
        <v>286.27</v>
      </c>
      <c r="C2228">
        <v>50.45</v>
      </c>
      <c r="D2228">
        <f t="shared" si="248"/>
        <v>235.82</v>
      </c>
      <c r="E2228">
        <v>0.32</v>
      </c>
      <c r="F2228">
        <f t="shared" si="249"/>
        <v>-235.5</v>
      </c>
      <c r="I2228">
        <f t="shared" si="245"/>
        <v>21</v>
      </c>
      <c r="J2228">
        <v>1</v>
      </c>
      <c r="K2228">
        <f t="shared" si="246"/>
        <v>3</v>
      </c>
      <c r="L2228">
        <f t="shared" si="247"/>
        <v>2017</v>
      </c>
      <c r="N2228" s="17">
        <f t="shared" si="250"/>
        <v>42795</v>
      </c>
      <c r="S2228">
        <f t="shared" si="251"/>
        <v>0</v>
      </c>
    </row>
    <row r="2229" spans="1:19" x14ac:dyDescent="0.3">
      <c r="A2229" s="17">
        <v>42814</v>
      </c>
      <c r="B2229">
        <v>285.60000000000002</v>
      </c>
      <c r="C2229">
        <v>50.01</v>
      </c>
      <c r="D2229">
        <f t="shared" si="248"/>
        <v>235.59000000000003</v>
      </c>
      <c r="E2229">
        <v>0.32</v>
      </c>
      <c r="F2229">
        <f t="shared" si="249"/>
        <v>-235.27000000000004</v>
      </c>
      <c r="I2229">
        <f t="shared" si="245"/>
        <v>20</v>
      </c>
      <c r="J2229">
        <v>1</v>
      </c>
      <c r="K2229">
        <f t="shared" si="246"/>
        <v>3</v>
      </c>
      <c r="L2229">
        <f t="shared" si="247"/>
        <v>2017</v>
      </c>
      <c r="N2229" s="17">
        <f t="shared" si="250"/>
        <v>42795</v>
      </c>
      <c r="S2229">
        <f t="shared" si="251"/>
        <v>0</v>
      </c>
    </row>
    <row r="2230" spans="1:19" x14ac:dyDescent="0.3">
      <c r="A2230" s="17">
        <v>42811</v>
      </c>
      <c r="B2230">
        <v>288.14</v>
      </c>
      <c r="C2230">
        <v>50.1</v>
      </c>
      <c r="D2230">
        <f t="shared" si="248"/>
        <v>238.04</v>
      </c>
      <c r="E2230">
        <v>0.3</v>
      </c>
      <c r="F2230">
        <f t="shared" si="249"/>
        <v>-237.73999999999998</v>
      </c>
      <c r="I2230">
        <f t="shared" si="245"/>
        <v>17</v>
      </c>
      <c r="J2230">
        <v>1</v>
      </c>
      <c r="K2230">
        <f t="shared" si="246"/>
        <v>3</v>
      </c>
      <c r="L2230">
        <f t="shared" si="247"/>
        <v>2017</v>
      </c>
      <c r="N2230" s="17">
        <f t="shared" si="250"/>
        <v>42795</v>
      </c>
      <c r="S2230">
        <f t="shared" si="251"/>
        <v>0</v>
      </c>
    </row>
    <row r="2231" spans="1:19" x14ac:dyDescent="0.3">
      <c r="A2231" s="17">
        <v>42810</v>
      </c>
      <c r="B2231">
        <v>292.01</v>
      </c>
      <c r="C2231">
        <v>50.65</v>
      </c>
      <c r="D2231">
        <f t="shared" si="248"/>
        <v>241.35999999999999</v>
      </c>
      <c r="E2231">
        <v>0.31</v>
      </c>
      <c r="F2231">
        <f t="shared" si="249"/>
        <v>-241.04999999999998</v>
      </c>
      <c r="I2231">
        <f t="shared" si="245"/>
        <v>16</v>
      </c>
      <c r="J2231">
        <v>1</v>
      </c>
      <c r="K2231">
        <f t="shared" si="246"/>
        <v>3</v>
      </c>
      <c r="L2231">
        <f t="shared" si="247"/>
        <v>2017</v>
      </c>
      <c r="N2231" s="17">
        <f t="shared" si="250"/>
        <v>42795</v>
      </c>
      <c r="S2231">
        <f t="shared" si="251"/>
        <v>0</v>
      </c>
    </row>
    <row r="2232" spans="1:19" x14ac:dyDescent="0.3">
      <c r="A2232" s="17">
        <v>42809</v>
      </c>
      <c r="B2232">
        <v>284.67</v>
      </c>
      <c r="C2232">
        <v>50.04</v>
      </c>
      <c r="D2232">
        <f t="shared" si="248"/>
        <v>234.63000000000002</v>
      </c>
      <c r="E2232">
        <v>0.23</v>
      </c>
      <c r="F2232">
        <f t="shared" si="249"/>
        <v>-234.40000000000003</v>
      </c>
      <c r="I2232">
        <f t="shared" si="245"/>
        <v>15</v>
      </c>
      <c r="J2232">
        <v>1</v>
      </c>
      <c r="K2232">
        <f t="shared" si="246"/>
        <v>3</v>
      </c>
      <c r="L2232">
        <f t="shared" si="247"/>
        <v>2017</v>
      </c>
      <c r="N2232" s="17">
        <f t="shared" si="250"/>
        <v>42795</v>
      </c>
      <c r="S2232">
        <f t="shared" si="251"/>
        <v>0</v>
      </c>
    </row>
    <row r="2233" spans="1:19" x14ac:dyDescent="0.3">
      <c r="A2233" s="17">
        <v>42808</v>
      </c>
      <c r="B2233">
        <v>283.67</v>
      </c>
      <c r="C2233">
        <v>49.8</v>
      </c>
      <c r="D2233">
        <f t="shared" si="248"/>
        <v>233.87</v>
      </c>
      <c r="E2233">
        <v>0.24</v>
      </c>
      <c r="F2233">
        <f t="shared" si="249"/>
        <v>-233.63</v>
      </c>
      <c r="I2233">
        <f t="shared" si="245"/>
        <v>14</v>
      </c>
      <c r="J2233">
        <v>1</v>
      </c>
      <c r="K2233">
        <f t="shared" si="246"/>
        <v>3</v>
      </c>
      <c r="L2233">
        <f t="shared" si="247"/>
        <v>2017</v>
      </c>
      <c r="N2233" s="17">
        <f t="shared" si="250"/>
        <v>42795</v>
      </c>
      <c r="S2233">
        <f t="shared" si="251"/>
        <v>0</v>
      </c>
    </row>
    <row r="2234" spans="1:19" x14ac:dyDescent="0.3">
      <c r="A2234" s="17">
        <v>42807</v>
      </c>
      <c r="B2234">
        <v>289.47000000000003</v>
      </c>
      <c r="C2234">
        <v>49.99</v>
      </c>
      <c r="D2234">
        <f t="shared" si="248"/>
        <v>239.48000000000002</v>
      </c>
      <c r="E2234">
        <v>0.22</v>
      </c>
      <c r="F2234">
        <f t="shared" si="249"/>
        <v>-239.26000000000002</v>
      </c>
      <c r="I2234">
        <f t="shared" si="245"/>
        <v>13</v>
      </c>
      <c r="J2234">
        <v>1</v>
      </c>
      <c r="K2234">
        <f t="shared" si="246"/>
        <v>3</v>
      </c>
      <c r="L2234">
        <f t="shared" si="247"/>
        <v>2017</v>
      </c>
      <c r="N2234" s="17">
        <f t="shared" si="250"/>
        <v>42795</v>
      </c>
      <c r="S2234">
        <f t="shared" si="251"/>
        <v>0</v>
      </c>
    </row>
    <row r="2235" spans="1:19" x14ac:dyDescent="0.3">
      <c r="A2235" s="17">
        <v>42804</v>
      </c>
      <c r="B2235">
        <v>296.01</v>
      </c>
      <c r="C2235">
        <v>51.15</v>
      </c>
      <c r="D2235">
        <f t="shared" si="248"/>
        <v>244.85999999999999</v>
      </c>
      <c r="E2235">
        <v>0.19</v>
      </c>
      <c r="F2235">
        <f t="shared" si="249"/>
        <v>-244.67</v>
      </c>
      <c r="I2235">
        <f t="shared" si="245"/>
        <v>10</v>
      </c>
      <c r="J2235">
        <v>1</v>
      </c>
      <c r="K2235">
        <f t="shared" si="246"/>
        <v>3</v>
      </c>
      <c r="L2235">
        <f t="shared" si="247"/>
        <v>2017</v>
      </c>
      <c r="N2235" s="17">
        <f t="shared" si="250"/>
        <v>42795</v>
      </c>
      <c r="S2235">
        <f t="shared" si="251"/>
        <v>0</v>
      </c>
    </row>
    <row r="2236" spans="1:19" x14ac:dyDescent="0.3">
      <c r="A2236" s="17">
        <v>42803</v>
      </c>
      <c r="B2236">
        <v>305.10000000000002</v>
      </c>
      <c r="C2236">
        <v>52.55</v>
      </c>
      <c r="D2236">
        <f t="shared" si="248"/>
        <v>252.55</v>
      </c>
      <c r="E2236">
        <v>0.23</v>
      </c>
      <c r="F2236">
        <f t="shared" si="249"/>
        <v>-252.32000000000002</v>
      </c>
      <c r="I2236">
        <f t="shared" si="245"/>
        <v>9</v>
      </c>
      <c r="J2236">
        <v>1</v>
      </c>
      <c r="K2236">
        <f t="shared" si="246"/>
        <v>3</v>
      </c>
      <c r="L2236">
        <f t="shared" si="247"/>
        <v>2017</v>
      </c>
      <c r="N2236" s="17">
        <f t="shared" si="250"/>
        <v>42795</v>
      </c>
      <c r="S2236">
        <f t="shared" si="251"/>
        <v>0</v>
      </c>
    </row>
    <row r="2237" spans="1:19" x14ac:dyDescent="0.3">
      <c r="A2237" s="17">
        <v>42802</v>
      </c>
      <c r="B2237">
        <v>311.56</v>
      </c>
      <c r="C2237">
        <v>54.01</v>
      </c>
      <c r="D2237">
        <f t="shared" si="248"/>
        <v>257.55</v>
      </c>
      <c r="E2237">
        <v>0.22</v>
      </c>
      <c r="F2237">
        <f t="shared" si="249"/>
        <v>-257.33</v>
      </c>
      <c r="I2237">
        <f t="shared" si="245"/>
        <v>8</v>
      </c>
      <c r="J2237">
        <v>1</v>
      </c>
      <c r="K2237">
        <f t="shared" si="246"/>
        <v>3</v>
      </c>
      <c r="L2237">
        <f t="shared" si="247"/>
        <v>2017</v>
      </c>
      <c r="N2237" s="17">
        <f t="shared" si="250"/>
        <v>42795</v>
      </c>
      <c r="S2237">
        <f t="shared" si="251"/>
        <v>0</v>
      </c>
    </row>
    <row r="2238" spans="1:19" x14ac:dyDescent="0.3">
      <c r="A2238" s="17">
        <v>42801</v>
      </c>
      <c r="B2238">
        <v>313.64</v>
      </c>
      <c r="C2238">
        <v>54.494999999999997</v>
      </c>
      <c r="D2238">
        <f t="shared" si="248"/>
        <v>259.14499999999998</v>
      </c>
      <c r="E2238">
        <v>0.19</v>
      </c>
      <c r="F2238">
        <f t="shared" si="249"/>
        <v>-258.95499999999998</v>
      </c>
      <c r="I2238">
        <f t="shared" si="245"/>
        <v>7</v>
      </c>
      <c r="J2238">
        <v>1</v>
      </c>
      <c r="K2238">
        <f t="shared" si="246"/>
        <v>3</v>
      </c>
      <c r="L2238">
        <f t="shared" si="247"/>
        <v>2017</v>
      </c>
      <c r="N2238" s="17">
        <f t="shared" si="250"/>
        <v>42795</v>
      </c>
      <c r="S2238">
        <f t="shared" si="251"/>
        <v>0</v>
      </c>
    </row>
    <row r="2239" spans="1:19" x14ac:dyDescent="0.3">
      <c r="A2239" s="17">
        <v>42800</v>
      </c>
      <c r="B2239">
        <v>310.33999999999997</v>
      </c>
      <c r="C2239">
        <v>53.895000000000003</v>
      </c>
      <c r="D2239">
        <f t="shared" si="248"/>
        <v>256.44499999999999</v>
      </c>
      <c r="E2239">
        <v>0.2</v>
      </c>
      <c r="F2239">
        <f t="shared" si="249"/>
        <v>-256.245</v>
      </c>
      <c r="I2239">
        <f t="shared" si="245"/>
        <v>6</v>
      </c>
      <c r="J2239">
        <v>1</v>
      </c>
      <c r="K2239">
        <f t="shared" si="246"/>
        <v>3</v>
      </c>
      <c r="L2239">
        <f t="shared" si="247"/>
        <v>2017</v>
      </c>
      <c r="N2239" s="17">
        <f t="shared" si="250"/>
        <v>42795</v>
      </c>
      <c r="S2239">
        <f t="shared" si="251"/>
        <v>0</v>
      </c>
    </row>
    <row r="2240" spans="1:19" x14ac:dyDescent="0.3">
      <c r="A2240" s="17">
        <v>42797</v>
      </c>
      <c r="B2240">
        <v>311.63</v>
      </c>
      <c r="C2240">
        <v>53.74</v>
      </c>
      <c r="D2240">
        <f t="shared" si="248"/>
        <v>257.89</v>
      </c>
      <c r="E2240">
        <v>0.27</v>
      </c>
      <c r="F2240">
        <f t="shared" si="249"/>
        <v>-257.62</v>
      </c>
      <c r="I2240">
        <f t="shared" si="245"/>
        <v>3</v>
      </c>
      <c r="J2240">
        <v>1</v>
      </c>
      <c r="K2240">
        <f t="shared" si="246"/>
        <v>3</v>
      </c>
      <c r="L2240">
        <f t="shared" si="247"/>
        <v>2017</v>
      </c>
      <c r="N2240" s="17">
        <f t="shared" si="250"/>
        <v>42795</v>
      </c>
      <c r="S2240">
        <f t="shared" si="251"/>
        <v>1</v>
      </c>
    </row>
    <row r="2241" spans="1:19" x14ac:dyDescent="0.3">
      <c r="A2241" s="17">
        <v>42796</v>
      </c>
      <c r="B2241">
        <v>313.33</v>
      </c>
      <c r="C2241">
        <v>54.9</v>
      </c>
      <c r="D2241">
        <f t="shared" si="248"/>
        <v>258.43</v>
      </c>
      <c r="E2241">
        <v>0.24</v>
      </c>
      <c r="F2241">
        <f t="shared" si="249"/>
        <v>-258.19</v>
      </c>
      <c r="I2241">
        <f t="shared" si="245"/>
        <v>2</v>
      </c>
      <c r="J2241">
        <v>1</v>
      </c>
      <c r="K2241">
        <f t="shared" si="246"/>
        <v>3</v>
      </c>
      <c r="L2241">
        <f t="shared" si="247"/>
        <v>2017</v>
      </c>
      <c r="N2241" s="17">
        <f t="shared" si="250"/>
        <v>42795</v>
      </c>
      <c r="S2241">
        <f t="shared" si="251"/>
        <v>1</v>
      </c>
    </row>
    <row r="2242" spans="1:19" x14ac:dyDescent="0.3">
      <c r="A2242" s="17">
        <v>42795</v>
      </c>
      <c r="B2242">
        <v>322.04000000000002</v>
      </c>
      <c r="C2242">
        <v>55.1</v>
      </c>
      <c r="D2242">
        <f t="shared" si="248"/>
        <v>266.94</v>
      </c>
      <c r="E2242">
        <v>0.28999999999999998</v>
      </c>
      <c r="F2242">
        <f t="shared" si="249"/>
        <v>-266.64999999999998</v>
      </c>
      <c r="I2242">
        <f t="shared" si="245"/>
        <v>1</v>
      </c>
      <c r="J2242">
        <v>1</v>
      </c>
      <c r="K2242">
        <f t="shared" si="246"/>
        <v>3</v>
      </c>
      <c r="L2242">
        <f t="shared" si="247"/>
        <v>2017</v>
      </c>
      <c r="N2242" s="17">
        <f t="shared" si="250"/>
        <v>42795</v>
      </c>
      <c r="S2242">
        <f t="shared" si="251"/>
        <v>1</v>
      </c>
    </row>
    <row r="2243" spans="1:19" x14ac:dyDescent="0.3">
      <c r="A2243" s="17">
        <v>42794</v>
      </c>
      <c r="B2243">
        <v>325.14</v>
      </c>
      <c r="C2243">
        <v>54.95</v>
      </c>
      <c r="D2243">
        <f t="shared" si="248"/>
        <v>270.19</v>
      </c>
      <c r="E2243">
        <v>0.32</v>
      </c>
      <c r="F2243">
        <f t="shared" si="249"/>
        <v>-269.87</v>
      </c>
      <c r="I2243">
        <f t="shared" si="245"/>
        <v>28</v>
      </c>
      <c r="J2243">
        <v>1</v>
      </c>
      <c r="K2243">
        <f t="shared" si="246"/>
        <v>2</v>
      </c>
      <c r="L2243">
        <f t="shared" si="247"/>
        <v>2017</v>
      </c>
      <c r="N2243" s="17">
        <f t="shared" si="250"/>
        <v>42767</v>
      </c>
      <c r="S2243">
        <f t="shared" si="251"/>
        <v>0</v>
      </c>
    </row>
    <row r="2244" spans="1:19" x14ac:dyDescent="0.3">
      <c r="A2244" s="17">
        <v>42793</v>
      </c>
      <c r="B2244">
        <v>325.11</v>
      </c>
      <c r="C2244">
        <v>55.204999999999998</v>
      </c>
      <c r="D2244">
        <f t="shared" si="248"/>
        <v>269.90500000000003</v>
      </c>
      <c r="E2244">
        <v>0.36</v>
      </c>
      <c r="F2244">
        <f t="shared" si="249"/>
        <v>-269.54500000000002</v>
      </c>
      <c r="I2244">
        <f t="shared" si="245"/>
        <v>27</v>
      </c>
      <c r="J2244">
        <v>1</v>
      </c>
      <c r="K2244">
        <f t="shared" si="246"/>
        <v>2</v>
      </c>
      <c r="L2244">
        <f t="shared" si="247"/>
        <v>2017</v>
      </c>
      <c r="N2244" s="17">
        <f t="shared" si="250"/>
        <v>42767</v>
      </c>
      <c r="S2244">
        <f t="shared" si="251"/>
        <v>0</v>
      </c>
    </row>
    <row r="2245" spans="1:19" x14ac:dyDescent="0.3">
      <c r="A2245" s="17">
        <v>42790</v>
      </c>
      <c r="B2245">
        <v>317.45999999999998</v>
      </c>
      <c r="C2245">
        <v>54.77</v>
      </c>
      <c r="D2245">
        <f t="shared" si="248"/>
        <v>262.69</v>
      </c>
      <c r="E2245">
        <v>0.31</v>
      </c>
      <c r="F2245">
        <f t="shared" si="249"/>
        <v>-262.38</v>
      </c>
      <c r="I2245">
        <f t="shared" ref="I2245:I2308" si="252">+DAY(A2245)</f>
        <v>24</v>
      </c>
      <c r="J2245">
        <v>1</v>
      </c>
      <c r="K2245">
        <f t="shared" ref="K2245:K2308" si="253">+MONTH(A2245)</f>
        <v>2</v>
      </c>
      <c r="L2245">
        <f t="shared" ref="L2245:L2308" si="254">+YEAR(A2245)</f>
        <v>2017</v>
      </c>
      <c r="N2245" s="17">
        <f t="shared" si="250"/>
        <v>42767</v>
      </c>
      <c r="S2245">
        <f t="shared" si="251"/>
        <v>0</v>
      </c>
    </row>
    <row r="2246" spans="1:19" x14ac:dyDescent="0.3">
      <c r="A2246" s="17">
        <v>42789</v>
      </c>
      <c r="B2246">
        <v>316.92</v>
      </c>
      <c r="C2246">
        <v>54.844999999999999</v>
      </c>
      <c r="D2246">
        <f t="shared" ref="D2246:D2309" si="255">+B2246-C2246</f>
        <v>262.07500000000005</v>
      </c>
      <c r="E2246">
        <v>0.4</v>
      </c>
      <c r="F2246">
        <f t="shared" ref="F2246:F2309" si="256">+E2246-D2246</f>
        <v>-261.67500000000007</v>
      </c>
      <c r="I2246">
        <f t="shared" si="252"/>
        <v>23</v>
      </c>
      <c r="J2246">
        <v>1</v>
      </c>
      <c r="K2246">
        <f t="shared" si="253"/>
        <v>2</v>
      </c>
      <c r="L2246">
        <f t="shared" si="254"/>
        <v>2017</v>
      </c>
      <c r="N2246" s="17">
        <f t="shared" ref="N2246:N2309" si="257">+DATE(L2246,K2246,J2246)</f>
        <v>42767</v>
      </c>
      <c r="S2246">
        <f t="shared" ref="S2246:S2309" si="258">IF(AND(I2246&gt;=1, I2246&lt;=4), 1, 0)</f>
        <v>0</v>
      </c>
    </row>
    <row r="2247" spans="1:19" x14ac:dyDescent="0.3">
      <c r="A2247" s="17">
        <v>42788</v>
      </c>
      <c r="B2247">
        <v>315.27</v>
      </c>
      <c r="C2247">
        <v>54.65</v>
      </c>
      <c r="D2247">
        <f t="shared" si="255"/>
        <v>260.62</v>
      </c>
      <c r="E2247">
        <v>0.46</v>
      </c>
      <c r="F2247">
        <f t="shared" si="256"/>
        <v>-260.16000000000003</v>
      </c>
      <c r="I2247">
        <f t="shared" si="252"/>
        <v>22</v>
      </c>
      <c r="J2247">
        <v>1</v>
      </c>
      <c r="K2247">
        <f t="shared" si="253"/>
        <v>2</v>
      </c>
      <c r="L2247">
        <f t="shared" si="254"/>
        <v>2017</v>
      </c>
      <c r="N2247" s="17">
        <f t="shared" si="257"/>
        <v>42767</v>
      </c>
      <c r="S2247">
        <f t="shared" si="258"/>
        <v>0</v>
      </c>
    </row>
    <row r="2248" spans="1:19" x14ac:dyDescent="0.3">
      <c r="A2248" s="17">
        <v>42787</v>
      </c>
      <c r="B2248">
        <v>317.91000000000003</v>
      </c>
      <c r="C2248">
        <v>54.604999999999997</v>
      </c>
      <c r="D2248">
        <f t="shared" si="255"/>
        <v>263.30500000000001</v>
      </c>
      <c r="E2248">
        <v>0.52</v>
      </c>
      <c r="F2248">
        <f t="shared" si="256"/>
        <v>-262.78500000000003</v>
      </c>
      <c r="I2248">
        <f t="shared" si="252"/>
        <v>21</v>
      </c>
      <c r="J2248">
        <v>1</v>
      </c>
      <c r="K2248">
        <f t="shared" si="253"/>
        <v>2</v>
      </c>
      <c r="L2248">
        <f t="shared" si="254"/>
        <v>2017</v>
      </c>
      <c r="N2248" s="17">
        <f t="shared" si="257"/>
        <v>42767</v>
      </c>
      <c r="S2248">
        <f t="shared" si="258"/>
        <v>0</v>
      </c>
    </row>
    <row r="2249" spans="1:19" x14ac:dyDescent="0.3">
      <c r="A2249" s="17">
        <v>42786</v>
      </c>
      <c r="B2249">
        <v>317.63</v>
      </c>
      <c r="C2249">
        <v>54.51</v>
      </c>
      <c r="D2249">
        <f t="shared" si="255"/>
        <v>263.12</v>
      </c>
      <c r="E2249">
        <v>0.53</v>
      </c>
      <c r="F2249">
        <f t="shared" si="256"/>
        <v>-262.59000000000003</v>
      </c>
      <c r="I2249">
        <f t="shared" si="252"/>
        <v>20</v>
      </c>
      <c r="J2249">
        <v>1</v>
      </c>
      <c r="K2249">
        <f t="shared" si="253"/>
        <v>2</v>
      </c>
      <c r="L2249">
        <f t="shared" si="254"/>
        <v>2017</v>
      </c>
      <c r="N2249" s="17">
        <f t="shared" si="257"/>
        <v>42767</v>
      </c>
      <c r="S2249">
        <f t="shared" si="258"/>
        <v>0</v>
      </c>
    </row>
    <row r="2250" spans="1:19" x14ac:dyDescent="0.3">
      <c r="A2250" s="17">
        <v>42783</v>
      </c>
      <c r="B2250">
        <v>316.66000000000003</v>
      </c>
      <c r="C2250">
        <v>54.11</v>
      </c>
      <c r="D2250">
        <f t="shared" si="255"/>
        <v>262.55</v>
      </c>
      <c r="E2250">
        <v>0.56999999999999995</v>
      </c>
      <c r="F2250">
        <f t="shared" si="256"/>
        <v>-261.98</v>
      </c>
      <c r="I2250">
        <f t="shared" si="252"/>
        <v>17</v>
      </c>
      <c r="J2250">
        <v>1</v>
      </c>
      <c r="K2250">
        <f t="shared" si="253"/>
        <v>2</v>
      </c>
      <c r="L2250">
        <f t="shared" si="254"/>
        <v>2017</v>
      </c>
      <c r="N2250" s="17">
        <f t="shared" si="257"/>
        <v>42767</v>
      </c>
      <c r="S2250">
        <f t="shared" si="258"/>
        <v>0</v>
      </c>
    </row>
    <row r="2251" spans="1:19" x14ac:dyDescent="0.3">
      <c r="A2251" s="17">
        <v>42782</v>
      </c>
      <c r="B2251">
        <v>322.45999999999998</v>
      </c>
      <c r="C2251">
        <v>54</v>
      </c>
      <c r="D2251">
        <f t="shared" si="255"/>
        <v>268.45999999999998</v>
      </c>
      <c r="E2251">
        <v>0.57999999999999996</v>
      </c>
      <c r="F2251">
        <f t="shared" si="256"/>
        <v>-267.88</v>
      </c>
      <c r="I2251">
        <f t="shared" si="252"/>
        <v>16</v>
      </c>
      <c r="J2251">
        <v>1</v>
      </c>
      <c r="K2251">
        <f t="shared" si="253"/>
        <v>2</v>
      </c>
      <c r="L2251">
        <f t="shared" si="254"/>
        <v>2017</v>
      </c>
      <c r="N2251" s="17">
        <f t="shared" si="257"/>
        <v>42767</v>
      </c>
      <c r="S2251">
        <f t="shared" si="258"/>
        <v>0</v>
      </c>
    </row>
    <row r="2252" spans="1:19" x14ac:dyDescent="0.3">
      <c r="A2252" s="17">
        <v>42781</v>
      </c>
      <c r="B2252">
        <v>317.83999999999997</v>
      </c>
      <c r="C2252">
        <v>54.02</v>
      </c>
      <c r="D2252">
        <f t="shared" si="255"/>
        <v>263.82</v>
      </c>
      <c r="E2252">
        <v>0.57999999999999996</v>
      </c>
      <c r="F2252">
        <f t="shared" si="256"/>
        <v>-263.24</v>
      </c>
      <c r="I2252">
        <f t="shared" si="252"/>
        <v>15</v>
      </c>
      <c r="J2252">
        <v>1</v>
      </c>
      <c r="K2252">
        <f t="shared" si="253"/>
        <v>2</v>
      </c>
      <c r="L2252">
        <f t="shared" si="254"/>
        <v>2017</v>
      </c>
      <c r="N2252" s="17">
        <f t="shared" si="257"/>
        <v>42767</v>
      </c>
      <c r="S2252">
        <f t="shared" si="258"/>
        <v>0</v>
      </c>
    </row>
    <row r="2253" spans="1:19" x14ac:dyDescent="0.3">
      <c r="A2253" s="17">
        <v>42780</v>
      </c>
      <c r="B2253">
        <v>314.88</v>
      </c>
      <c r="C2253">
        <v>54.21</v>
      </c>
      <c r="D2253">
        <f t="shared" si="255"/>
        <v>260.67</v>
      </c>
      <c r="E2253">
        <v>0.6</v>
      </c>
      <c r="F2253">
        <f t="shared" si="256"/>
        <v>-260.07</v>
      </c>
      <c r="I2253">
        <f t="shared" si="252"/>
        <v>14</v>
      </c>
      <c r="J2253">
        <v>1</v>
      </c>
      <c r="K2253">
        <f t="shared" si="253"/>
        <v>2</v>
      </c>
      <c r="L2253">
        <f t="shared" si="254"/>
        <v>2017</v>
      </c>
      <c r="N2253" s="17">
        <f t="shared" si="257"/>
        <v>42767</v>
      </c>
      <c r="S2253">
        <f t="shared" si="258"/>
        <v>0</v>
      </c>
    </row>
    <row r="2254" spans="1:19" x14ac:dyDescent="0.3">
      <c r="A2254" s="17">
        <v>42779</v>
      </c>
      <c r="B2254">
        <v>320</v>
      </c>
      <c r="C2254">
        <v>54.704999999999998</v>
      </c>
      <c r="D2254">
        <f t="shared" si="255"/>
        <v>265.29500000000002</v>
      </c>
      <c r="E2254">
        <v>0.57999999999999996</v>
      </c>
      <c r="F2254">
        <f t="shared" si="256"/>
        <v>-264.71500000000003</v>
      </c>
      <c r="I2254">
        <f t="shared" si="252"/>
        <v>13</v>
      </c>
      <c r="J2254">
        <v>1</v>
      </c>
      <c r="K2254">
        <f t="shared" si="253"/>
        <v>2</v>
      </c>
      <c r="L2254">
        <f t="shared" si="254"/>
        <v>2017</v>
      </c>
      <c r="N2254" s="17">
        <f t="shared" si="257"/>
        <v>42767</v>
      </c>
      <c r="S2254">
        <f t="shared" si="258"/>
        <v>0</v>
      </c>
    </row>
    <row r="2255" spans="1:19" x14ac:dyDescent="0.3">
      <c r="A2255" s="17">
        <v>42776</v>
      </c>
      <c r="B2255">
        <v>313.36</v>
      </c>
      <c r="C2255">
        <v>53.99</v>
      </c>
      <c r="D2255">
        <f t="shared" si="255"/>
        <v>259.37</v>
      </c>
      <c r="E2255">
        <v>0.62</v>
      </c>
      <c r="F2255">
        <f t="shared" si="256"/>
        <v>-258.75</v>
      </c>
      <c r="I2255">
        <f t="shared" si="252"/>
        <v>10</v>
      </c>
      <c r="J2255">
        <v>1</v>
      </c>
      <c r="K2255">
        <f t="shared" si="253"/>
        <v>2</v>
      </c>
      <c r="L2255">
        <f t="shared" si="254"/>
        <v>2017</v>
      </c>
      <c r="N2255" s="17">
        <f t="shared" si="257"/>
        <v>42767</v>
      </c>
      <c r="S2255">
        <f t="shared" si="258"/>
        <v>0</v>
      </c>
    </row>
    <row r="2256" spans="1:19" x14ac:dyDescent="0.3">
      <c r="A2256" s="17">
        <v>42775</v>
      </c>
      <c r="B2256">
        <v>311.92</v>
      </c>
      <c r="C2256">
        <v>53.88</v>
      </c>
      <c r="D2256">
        <f t="shared" si="255"/>
        <v>258.04000000000002</v>
      </c>
      <c r="E2256">
        <v>0.88</v>
      </c>
      <c r="F2256">
        <f t="shared" si="256"/>
        <v>-257.16000000000003</v>
      </c>
      <c r="I2256">
        <f t="shared" si="252"/>
        <v>9</v>
      </c>
      <c r="J2256">
        <v>1</v>
      </c>
      <c r="K2256">
        <f t="shared" si="253"/>
        <v>2</v>
      </c>
      <c r="L2256">
        <f t="shared" si="254"/>
        <v>2017</v>
      </c>
      <c r="N2256" s="17">
        <f t="shared" si="257"/>
        <v>42767</v>
      </c>
      <c r="S2256">
        <f t="shared" si="258"/>
        <v>0</v>
      </c>
    </row>
    <row r="2257" spans="1:19" x14ac:dyDescent="0.3">
      <c r="A2257" s="17">
        <v>42774</v>
      </c>
      <c r="B2257">
        <v>309.02999999999997</v>
      </c>
      <c r="C2257">
        <v>53.03</v>
      </c>
      <c r="D2257">
        <f t="shared" si="255"/>
        <v>255.99999999999997</v>
      </c>
      <c r="E2257">
        <v>0.95</v>
      </c>
      <c r="F2257">
        <f t="shared" si="256"/>
        <v>-255.04999999999998</v>
      </c>
      <c r="I2257">
        <f t="shared" si="252"/>
        <v>8</v>
      </c>
      <c r="J2257">
        <v>1</v>
      </c>
      <c r="K2257">
        <f t="shared" si="253"/>
        <v>2</v>
      </c>
      <c r="L2257">
        <f t="shared" si="254"/>
        <v>2017</v>
      </c>
      <c r="N2257" s="17">
        <f t="shared" si="257"/>
        <v>42767</v>
      </c>
      <c r="S2257">
        <f t="shared" si="258"/>
        <v>0</v>
      </c>
    </row>
    <row r="2258" spans="1:19" x14ac:dyDescent="0.3">
      <c r="A2258" s="17">
        <v>42773</v>
      </c>
      <c r="B2258">
        <v>312.64</v>
      </c>
      <c r="C2258">
        <v>54.104999999999997</v>
      </c>
      <c r="D2258">
        <f t="shared" si="255"/>
        <v>258.53499999999997</v>
      </c>
      <c r="E2258">
        <v>0.95</v>
      </c>
      <c r="F2258">
        <f t="shared" si="256"/>
        <v>-257.58499999999998</v>
      </c>
      <c r="I2258">
        <f t="shared" si="252"/>
        <v>7</v>
      </c>
      <c r="J2258">
        <v>1</v>
      </c>
      <c r="K2258">
        <f t="shared" si="253"/>
        <v>2</v>
      </c>
      <c r="L2258">
        <f t="shared" si="254"/>
        <v>2017</v>
      </c>
      <c r="N2258" s="17">
        <f t="shared" si="257"/>
        <v>42767</v>
      </c>
      <c r="S2258">
        <f t="shared" si="258"/>
        <v>0</v>
      </c>
    </row>
    <row r="2259" spans="1:19" x14ac:dyDescent="0.3">
      <c r="A2259" s="17">
        <v>42772</v>
      </c>
      <c r="B2259">
        <v>318.47000000000003</v>
      </c>
      <c r="C2259">
        <v>55.29</v>
      </c>
      <c r="D2259">
        <f t="shared" si="255"/>
        <v>263.18</v>
      </c>
      <c r="E2259">
        <v>0.92</v>
      </c>
      <c r="F2259">
        <f t="shared" si="256"/>
        <v>-262.26</v>
      </c>
      <c r="I2259">
        <f t="shared" si="252"/>
        <v>6</v>
      </c>
      <c r="J2259">
        <v>1</v>
      </c>
      <c r="K2259">
        <f t="shared" si="253"/>
        <v>2</v>
      </c>
      <c r="L2259">
        <f t="shared" si="254"/>
        <v>2017</v>
      </c>
      <c r="N2259" s="17">
        <f t="shared" si="257"/>
        <v>42767</v>
      </c>
      <c r="S2259">
        <f t="shared" si="258"/>
        <v>0</v>
      </c>
    </row>
    <row r="2260" spans="1:19" x14ac:dyDescent="0.3">
      <c r="A2260" s="17">
        <v>42769</v>
      </c>
      <c r="B2260">
        <v>319.92</v>
      </c>
      <c r="C2260">
        <v>55.41</v>
      </c>
      <c r="D2260">
        <f t="shared" si="255"/>
        <v>264.51</v>
      </c>
      <c r="E2260">
        <v>0.85</v>
      </c>
      <c r="F2260">
        <f t="shared" si="256"/>
        <v>-263.65999999999997</v>
      </c>
      <c r="I2260">
        <f t="shared" si="252"/>
        <v>3</v>
      </c>
      <c r="J2260">
        <v>1</v>
      </c>
      <c r="K2260">
        <f t="shared" si="253"/>
        <v>2</v>
      </c>
      <c r="L2260">
        <f t="shared" si="254"/>
        <v>2017</v>
      </c>
      <c r="N2260" s="17">
        <f t="shared" si="257"/>
        <v>42767</v>
      </c>
      <c r="S2260">
        <f t="shared" si="258"/>
        <v>1</v>
      </c>
    </row>
    <row r="2261" spans="1:19" x14ac:dyDescent="0.3">
      <c r="A2261" s="17">
        <v>42768</v>
      </c>
      <c r="B2261">
        <v>311.36</v>
      </c>
      <c r="C2261">
        <v>55.005000000000003</v>
      </c>
      <c r="D2261">
        <f t="shared" si="255"/>
        <v>256.35500000000002</v>
      </c>
      <c r="E2261">
        <v>0.82</v>
      </c>
      <c r="F2261">
        <f t="shared" si="256"/>
        <v>-255.53500000000003</v>
      </c>
      <c r="I2261">
        <f t="shared" si="252"/>
        <v>2</v>
      </c>
      <c r="J2261">
        <v>1</v>
      </c>
      <c r="K2261">
        <f t="shared" si="253"/>
        <v>2</v>
      </c>
      <c r="L2261">
        <f t="shared" si="254"/>
        <v>2017</v>
      </c>
      <c r="N2261" s="17">
        <f t="shared" si="257"/>
        <v>42767</v>
      </c>
      <c r="S2261">
        <f t="shared" si="258"/>
        <v>1</v>
      </c>
    </row>
    <row r="2262" spans="1:19" x14ac:dyDescent="0.3">
      <c r="A2262" s="17">
        <v>42767</v>
      </c>
      <c r="B2262">
        <v>305.64999999999998</v>
      </c>
      <c r="C2262">
        <v>53.5</v>
      </c>
      <c r="D2262">
        <f t="shared" si="255"/>
        <v>252.14999999999998</v>
      </c>
      <c r="E2262">
        <v>0.81</v>
      </c>
      <c r="F2262">
        <f t="shared" si="256"/>
        <v>-251.33999999999997</v>
      </c>
      <c r="I2262">
        <f t="shared" si="252"/>
        <v>1</v>
      </c>
      <c r="J2262">
        <v>1</v>
      </c>
      <c r="K2262">
        <f t="shared" si="253"/>
        <v>2</v>
      </c>
      <c r="L2262">
        <f t="shared" si="254"/>
        <v>2017</v>
      </c>
      <c r="N2262" s="17">
        <f t="shared" si="257"/>
        <v>42767</v>
      </c>
      <c r="S2262">
        <f t="shared" si="258"/>
        <v>1</v>
      </c>
    </row>
    <row r="2263" spans="1:19" x14ac:dyDescent="0.3">
      <c r="A2263" s="17">
        <v>42766</v>
      </c>
      <c r="B2263">
        <v>303.69</v>
      </c>
      <c r="C2263">
        <v>53.2</v>
      </c>
      <c r="D2263">
        <f t="shared" si="255"/>
        <v>250.49</v>
      </c>
      <c r="E2263">
        <v>0.8</v>
      </c>
      <c r="F2263">
        <f t="shared" si="256"/>
        <v>-249.69</v>
      </c>
      <c r="I2263">
        <f t="shared" si="252"/>
        <v>31</v>
      </c>
      <c r="J2263">
        <v>1</v>
      </c>
      <c r="K2263">
        <f t="shared" si="253"/>
        <v>1</v>
      </c>
      <c r="L2263">
        <f t="shared" si="254"/>
        <v>2017</v>
      </c>
      <c r="N2263" s="17">
        <f t="shared" si="257"/>
        <v>42736</v>
      </c>
      <c r="S2263">
        <f t="shared" si="258"/>
        <v>0</v>
      </c>
    </row>
    <row r="2264" spans="1:19" x14ac:dyDescent="0.3">
      <c r="A2264" s="17">
        <v>42762</v>
      </c>
      <c r="B2264">
        <v>316.31</v>
      </c>
      <c r="C2264">
        <v>54.505000000000003</v>
      </c>
      <c r="D2264">
        <f t="shared" si="255"/>
        <v>261.80500000000001</v>
      </c>
      <c r="E2264">
        <v>0.78</v>
      </c>
      <c r="F2264">
        <f t="shared" si="256"/>
        <v>-261.02500000000003</v>
      </c>
      <c r="I2264">
        <f t="shared" si="252"/>
        <v>27</v>
      </c>
      <c r="J2264">
        <v>1</v>
      </c>
      <c r="K2264">
        <f t="shared" si="253"/>
        <v>1</v>
      </c>
      <c r="L2264">
        <f t="shared" si="254"/>
        <v>2017</v>
      </c>
      <c r="N2264" s="17">
        <f t="shared" si="257"/>
        <v>42736</v>
      </c>
      <c r="S2264">
        <f t="shared" si="258"/>
        <v>0</v>
      </c>
    </row>
    <row r="2265" spans="1:19" x14ac:dyDescent="0.3">
      <c r="A2265" s="17">
        <v>42761</v>
      </c>
      <c r="B2265">
        <v>317.93</v>
      </c>
      <c r="C2265">
        <v>53.9</v>
      </c>
      <c r="D2265">
        <f t="shared" si="255"/>
        <v>264.03000000000003</v>
      </c>
      <c r="E2265">
        <v>0.73</v>
      </c>
      <c r="F2265">
        <f t="shared" si="256"/>
        <v>-263.3</v>
      </c>
      <c r="I2265">
        <f t="shared" si="252"/>
        <v>26</v>
      </c>
      <c r="J2265">
        <v>1</v>
      </c>
      <c r="K2265">
        <f t="shared" si="253"/>
        <v>1</v>
      </c>
      <c r="L2265">
        <f t="shared" si="254"/>
        <v>2017</v>
      </c>
      <c r="N2265" s="17">
        <f t="shared" si="257"/>
        <v>42736</v>
      </c>
      <c r="S2265">
        <f t="shared" si="258"/>
        <v>0</v>
      </c>
    </row>
    <row r="2266" spans="1:19" x14ac:dyDescent="0.3">
      <c r="A2266" s="17">
        <v>42760</v>
      </c>
      <c r="B2266">
        <v>312.72000000000003</v>
      </c>
      <c r="C2266">
        <v>53.505000000000003</v>
      </c>
      <c r="D2266">
        <f t="shared" si="255"/>
        <v>259.21500000000003</v>
      </c>
      <c r="E2266">
        <v>0.69</v>
      </c>
      <c r="F2266">
        <f t="shared" si="256"/>
        <v>-258.52500000000003</v>
      </c>
      <c r="I2266">
        <f t="shared" si="252"/>
        <v>25</v>
      </c>
      <c r="J2266">
        <v>1</v>
      </c>
      <c r="K2266">
        <f t="shared" si="253"/>
        <v>1</v>
      </c>
      <c r="L2266">
        <f t="shared" si="254"/>
        <v>2017</v>
      </c>
      <c r="N2266" s="17">
        <f t="shared" si="257"/>
        <v>42736</v>
      </c>
      <c r="S2266">
        <f t="shared" si="258"/>
        <v>0</v>
      </c>
    </row>
    <row r="2267" spans="1:19" x14ac:dyDescent="0.3">
      <c r="A2267" s="17">
        <v>42759</v>
      </c>
      <c r="B2267">
        <v>321.2</v>
      </c>
      <c r="C2267">
        <v>54</v>
      </c>
      <c r="D2267">
        <f t="shared" si="255"/>
        <v>267.2</v>
      </c>
      <c r="E2267">
        <v>0.66</v>
      </c>
      <c r="F2267">
        <f t="shared" si="256"/>
        <v>-266.53999999999996</v>
      </c>
      <c r="I2267">
        <f t="shared" si="252"/>
        <v>24</v>
      </c>
      <c r="J2267">
        <v>1</v>
      </c>
      <c r="K2267">
        <f t="shared" si="253"/>
        <v>1</v>
      </c>
      <c r="L2267">
        <f t="shared" si="254"/>
        <v>2017</v>
      </c>
      <c r="N2267" s="17">
        <f t="shared" si="257"/>
        <v>42736</v>
      </c>
      <c r="S2267">
        <f t="shared" si="258"/>
        <v>0</v>
      </c>
    </row>
    <row r="2268" spans="1:19" x14ac:dyDescent="0.3">
      <c r="A2268" s="17">
        <v>42758</v>
      </c>
      <c r="B2268">
        <v>322.58999999999997</v>
      </c>
      <c r="C2268">
        <v>53.5</v>
      </c>
      <c r="D2268">
        <f t="shared" si="255"/>
        <v>269.08999999999997</v>
      </c>
      <c r="E2268">
        <v>0.65</v>
      </c>
      <c r="F2268">
        <f t="shared" si="256"/>
        <v>-268.44</v>
      </c>
      <c r="I2268">
        <f t="shared" si="252"/>
        <v>23</v>
      </c>
      <c r="J2268">
        <v>1</v>
      </c>
      <c r="K2268">
        <f t="shared" si="253"/>
        <v>1</v>
      </c>
      <c r="L2268">
        <f t="shared" si="254"/>
        <v>2017</v>
      </c>
      <c r="N2268" s="17">
        <f t="shared" si="257"/>
        <v>42736</v>
      </c>
      <c r="S2268">
        <f t="shared" si="258"/>
        <v>0</v>
      </c>
    </row>
    <row r="2269" spans="1:19" x14ac:dyDescent="0.3">
      <c r="A2269" s="17">
        <v>42755</v>
      </c>
      <c r="B2269">
        <v>315.08999999999997</v>
      </c>
      <c r="C2269">
        <v>52.9</v>
      </c>
      <c r="D2269">
        <f t="shared" si="255"/>
        <v>262.19</v>
      </c>
      <c r="E2269">
        <v>0.64</v>
      </c>
      <c r="F2269">
        <f t="shared" si="256"/>
        <v>-261.55</v>
      </c>
      <c r="I2269">
        <f t="shared" si="252"/>
        <v>20</v>
      </c>
      <c r="J2269">
        <v>1</v>
      </c>
      <c r="K2269">
        <f t="shared" si="253"/>
        <v>1</v>
      </c>
      <c r="L2269">
        <f t="shared" si="254"/>
        <v>2017</v>
      </c>
      <c r="N2269" s="17">
        <f t="shared" si="257"/>
        <v>42736</v>
      </c>
      <c r="S2269">
        <f t="shared" si="258"/>
        <v>0</v>
      </c>
    </row>
    <row r="2270" spans="1:19" x14ac:dyDescent="0.3">
      <c r="A2270" s="17">
        <v>42754</v>
      </c>
      <c r="B2270">
        <v>319.77999999999997</v>
      </c>
      <c r="C2270">
        <v>53.06</v>
      </c>
      <c r="D2270">
        <f t="shared" si="255"/>
        <v>266.71999999999997</v>
      </c>
      <c r="E2270">
        <v>0.63</v>
      </c>
      <c r="F2270">
        <f t="shared" si="256"/>
        <v>-266.08999999999997</v>
      </c>
      <c r="I2270">
        <f t="shared" si="252"/>
        <v>19</v>
      </c>
      <c r="J2270">
        <v>1</v>
      </c>
      <c r="K2270">
        <f t="shared" si="253"/>
        <v>1</v>
      </c>
      <c r="L2270">
        <f t="shared" si="254"/>
        <v>2017</v>
      </c>
      <c r="N2270" s="17">
        <f t="shared" si="257"/>
        <v>42736</v>
      </c>
      <c r="S2270">
        <f t="shared" si="258"/>
        <v>0</v>
      </c>
    </row>
    <row r="2271" spans="1:19" x14ac:dyDescent="0.3">
      <c r="A2271" s="17">
        <v>42753</v>
      </c>
      <c r="B2271">
        <v>331.02</v>
      </c>
      <c r="C2271">
        <v>53.9</v>
      </c>
      <c r="D2271">
        <f t="shared" si="255"/>
        <v>277.12</v>
      </c>
      <c r="E2271">
        <v>0.64</v>
      </c>
      <c r="F2271">
        <f t="shared" si="256"/>
        <v>-276.48</v>
      </c>
      <c r="I2271">
        <f t="shared" si="252"/>
        <v>18</v>
      </c>
      <c r="J2271">
        <v>1</v>
      </c>
      <c r="K2271">
        <f t="shared" si="253"/>
        <v>1</v>
      </c>
      <c r="L2271">
        <f t="shared" si="254"/>
        <v>2017</v>
      </c>
      <c r="N2271" s="17">
        <f t="shared" si="257"/>
        <v>42736</v>
      </c>
      <c r="S2271">
        <f t="shared" si="258"/>
        <v>0</v>
      </c>
    </row>
    <row r="2272" spans="1:19" x14ac:dyDescent="0.3">
      <c r="A2272" s="17">
        <v>42752</v>
      </c>
      <c r="B2272">
        <v>330.48</v>
      </c>
      <c r="C2272">
        <v>53.91</v>
      </c>
      <c r="D2272">
        <f t="shared" si="255"/>
        <v>276.57000000000005</v>
      </c>
      <c r="E2272">
        <v>0.62</v>
      </c>
      <c r="F2272">
        <f t="shared" si="256"/>
        <v>-275.95000000000005</v>
      </c>
      <c r="I2272">
        <f t="shared" si="252"/>
        <v>17</v>
      </c>
      <c r="J2272">
        <v>1</v>
      </c>
      <c r="K2272">
        <f t="shared" si="253"/>
        <v>1</v>
      </c>
      <c r="L2272">
        <f t="shared" si="254"/>
        <v>2017</v>
      </c>
      <c r="N2272" s="17">
        <f t="shared" si="257"/>
        <v>42736</v>
      </c>
      <c r="S2272">
        <f t="shared" si="258"/>
        <v>0</v>
      </c>
    </row>
    <row r="2273" spans="1:19" x14ac:dyDescent="0.3">
      <c r="A2273" s="17">
        <v>42751</v>
      </c>
      <c r="B2273">
        <v>333.17</v>
      </c>
      <c r="C2273">
        <v>53.36</v>
      </c>
      <c r="D2273">
        <f t="shared" si="255"/>
        <v>279.81</v>
      </c>
      <c r="E2273">
        <v>0.65</v>
      </c>
      <c r="F2273">
        <f t="shared" si="256"/>
        <v>-279.16000000000003</v>
      </c>
      <c r="I2273">
        <f t="shared" si="252"/>
        <v>16</v>
      </c>
      <c r="J2273">
        <v>1</v>
      </c>
      <c r="K2273">
        <f t="shared" si="253"/>
        <v>1</v>
      </c>
      <c r="L2273">
        <f t="shared" si="254"/>
        <v>2017</v>
      </c>
      <c r="N2273" s="17">
        <f t="shared" si="257"/>
        <v>42736</v>
      </c>
      <c r="S2273">
        <f t="shared" si="258"/>
        <v>0</v>
      </c>
    </row>
    <row r="2274" spans="1:19" x14ac:dyDescent="0.3">
      <c r="A2274" s="17">
        <v>42748</v>
      </c>
      <c r="B2274">
        <v>335.69</v>
      </c>
      <c r="C2274">
        <v>54.01</v>
      </c>
      <c r="D2274">
        <f t="shared" si="255"/>
        <v>281.68</v>
      </c>
      <c r="E2274">
        <v>0.7</v>
      </c>
      <c r="F2274">
        <f t="shared" si="256"/>
        <v>-280.98</v>
      </c>
      <c r="I2274">
        <f t="shared" si="252"/>
        <v>13</v>
      </c>
      <c r="J2274">
        <v>1</v>
      </c>
      <c r="K2274">
        <f t="shared" si="253"/>
        <v>1</v>
      </c>
      <c r="L2274">
        <f t="shared" si="254"/>
        <v>2017</v>
      </c>
      <c r="N2274" s="17">
        <f t="shared" si="257"/>
        <v>42736</v>
      </c>
      <c r="S2274">
        <f t="shared" si="258"/>
        <v>0</v>
      </c>
    </row>
    <row r="2275" spans="1:19" x14ac:dyDescent="0.3">
      <c r="A2275" s="17">
        <v>42747</v>
      </c>
      <c r="B2275">
        <v>327.05</v>
      </c>
      <c r="C2275">
        <v>53.41</v>
      </c>
      <c r="D2275">
        <f t="shared" si="255"/>
        <v>273.64</v>
      </c>
      <c r="E2275">
        <v>0.86</v>
      </c>
      <c r="F2275">
        <f t="shared" si="256"/>
        <v>-272.77999999999997</v>
      </c>
      <c r="I2275">
        <f t="shared" si="252"/>
        <v>12</v>
      </c>
      <c r="J2275">
        <v>1</v>
      </c>
      <c r="K2275">
        <f t="shared" si="253"/>
        <v>1</v>
      </c>
      <c r="L2275">
        <f t="shared" si="254"/>
        <v>2017</v>
      </c>
      <c r="N2275" s="17">
        <f t="shared" si="257"/>
        <v>42736</v>
      </c>
      <c r="S2275">
        <f t="shared" si="258"/>
        <v>0</v>
      </c>
    </row>
    <row r="2276" spans="1:19" x14ac:dyDescent="0.3">
      <c r="A2276" s="17">
        <v>42746</v>
      </c>
      <c r="B2276">
        <v>313.89</v>
      </c>
      <c r="C2276">
        <v>51.9</v>
      </c>
      <c r="D2276">
        <f t="shared" si="255"/>
        <v>261.99</v>
      </c>
      <c r="E2276">
        <v>0.92</v>
      </c>
      <c r="F2276">
        <f t="shared" si="256"/>
        <v>-261.07</v>
      </c>
      <c r="I2276">
        <f t="shared" si="252"/>
        <v>11</v>
      </c>
      <c r="J2276">
        <v>1</v>
      </c>
      <c r="K2276">
        <f t="shared" si="253"/>
        <v>1</v>
      </c>
      <c r="L2276">
        <f t="shared" si="254"/>
        <v>2017</v>
      </c>
      <c r="N2276" s="17">
        <f t="shared" si="257"/>
        <v>42736</v>
      </c>
      <c r="S2276">
        <f t="shared" si="258"/>
        <v>0</v>
      </c>
    </row>
    <row r="2277" spans="1:19" x14ac:dyDescent="0.3">
      <c r="A2277" s="17">
        <v>42745</v>
      </c>
      <c r="B2277">
        <v>325.24</v>
      </c>
      <c r="C2277">
        <v>53.11</v>
      </c>
      <c r="D2277">
        <f t="shared" si="255"/>
        <v>272.13</v>
      </c>
      <c r="E2277">
        <v>0.94</v>
      </c>
      <c r="F2277">
        <f t="shared" si="256"/>
        <v>-271.19</v>
      </c>
      <c r="I2277">
        <f t="shared" si="252"/>
        <v>10</v>
      </c>
      <c r="J2277">
        <v>1</v>
      </c>
      <c r="K2277">
        <f t="shared" si="253"/>
        <v>1</v>
      </c>
      <c r="L2277">
        <f t="shared" si="254"/>
        <v>2017</v>
      </c>
      <c r="N2277" s="17">
        <f t="shared" si="257"/>
        <v>42736</v>
      </c>
      <c r="S2277">
        <f t="shared" si="258"/>
        <v>0</v>
      </c>
    </row>
    <row r="2278" spans="1:19" x14ac:dyDescent="0.3">
      <c r="A2278" s="17">
        <v>42744</v>
      </c>
      <c r="B2278">
        <v>336.48</v>
      </c>
      <c r="C2278">
        <v>54.61</v>
      </c>
      <c r="D2278">
        <f t="shared" si="255"/>
        <v>281.87</v>
      </c>
      <c r="E2278">
        <v>0.88</v>
      </c>
      <c r="F2278">
        <f t="shared" si="256"/>
        <v>-280.99</v>
      </c>
      <c r="I2278">
        <f t="shared" si="252"/>
        <v>9</v>
      </c>
      <c r="J2278">
        <v>1</v>
      </c>
      <c r="K2278">
        <f t="shared" si="253"/>
        <v>1</v>
      </c>
      <c r="L2278">
        <f t="shared" si="254"/>
        <v>2017</v>
      </c>
      <c r="N2278" s="17">
        <f t="shared" si="257"/>
        <v>42736</v>
      </c>
      <c r="S2278">
        <f t="shared" si="258"/>
        <v>0</v>
      </c>
    </row>
    <row r="2279" spans="1:19" x14ac:dyDescent="0.3">
      <c r="A2279" s="17">
        <v>42741</v>
      </c>
      <c r="B2279">
        <v>341.27</v>
      </c>
      <c r="C2279">
        <v>54.5</v>
      </c>
      <c r="D2279">
        <f t="shared" si="255"/>
        <v>286.77</v>
      </c>
      <c r="E2279">
        <v>0.89</v>
      </c>
      <c r="F2279">
        <f t="shared" si="256"/>
        <v>-285.88</v>
      </c>
      <c r="I2279">
        <f t="shared" si="252"/>
        <v>6</v>
      </c>
      <c r="J2279">
        <v>1</v>
      </c>
      <c r="K2279">
        <f t="shared" si="253"/>
        <v>1</v>
      </c>
      <c r="L2279">
        <f t="shared" si="254"/>
        <v>2017</v>
      </c>
      <c r="N2279" s="17">
        <f t="shared" si="257"/>
        <v>42736</v>
      </c>
      <c r="S2279">
        <f t="shared" si="258"/>
        <v>0</v>
      </c>
    </row>
    <row r="2280" spans="1:19" x14ac:dyDescent="0.3">
      <c r="A2280" s="17">
        <v>42740</v>
      </c>
      <c r="B2280">
        <v>340.69</v>
      </c>
      <c r="C2280">
        <v>54.32</v>
      </c>
      <c r="D2280">
        <f t="shared" si="255"/>
        <v>286.37</v>
      </c>
      <c r="E2280">
        <v>0.96</v>
      </c>
      <c r="F2280">
        <f t="shared" si="256"/>
        <v>-285.41000000000003</v>
      </c>
      <c r="I2280">
        <f t="shared" si="252"/>
        <v>5</v>
      </c>
      <c r="J2280">
        <v>1</v>
      </c>
      <c r="K2280">
        <f t="shared" si="253"/>
        <v>1</v>
      </c>
      <c r="L2280">
        <f t="shared" si="254"/>
        <v>2017</v>
      </c>
      <c r="N2280" s="17">
        <f t="shared" si="257"/>
        <v>42736</v>
      </c>
      <c r="S2280">
        <f t="shared" si="258"/>
        <v>0</v>
      </c>
    </row>
    <row r="2281" spans="1:19" x14ac:dyDescent="0.3">
      <c r="A2281" s="17">
        <v>42739</v>
      </c>
      <c r="B2281">
        <v>332.45</v>
      </c>
      <c r="C2281">
        <v>54.01</v>
      </c>
      <c r="D2281">
        <f t="shared" si="255"/>
        <v>278.44</v>
      </c>
      <c r="E2281">
        <v>1.1100000000000001</v>
      </c>
      <c r="F2281">
        <f t="shared" si="256"/>
        <v>-277.33</v>
      </c>
      <c r="I2281">
        <f t="shared" si="252"/>
        <v>4</v>
      </c>
      <c r="J2281">
        <v>1</v>
      </c>
      <c r="K2281">
        <f t="shared" si="253"/>
        <v>1</v>
      </c>
      <c r="L2281">
        <f t="shared" si="254"/>
        <v>2017</v>
      </c>
      <c r="N2281" s="17">
        <f t="shared" si="257"/>
        <v>42736</v>
      </c>
      <c r="S2281">
        <f t="shared" si="258"/>
        <v>1</v>
      </c>
    </row>
    <row r="2282" spans="1:19" x14ac:dyDescent="0.3">
      <c r="A2282" s="17">
        <v>42738</v>
      </c>
      <c r="B2282">
        <v>333.5</v>
      </c>
      <c r="C2282">
        <v>54.72</v>
      </c>
      <c r="D2282">
        <f t="shared" si="255"/>
        <v>278.77999999999997</v>
      </c>
      <c r="E2282">
        <v>1.1100000000000001</v>
      </c>
      <c r="F2282">
        <f t="shared" si="256"/>
        <v>-277.66999999999996</v>
      </c>
      <c r="I2282">
        <f t="shared" si="252"/>
        <v>3</v>
      </c>
      <c r="J2282">
        <v>1</v>
      </c>
      <c r="K2282">
        <f t="shared" si="253"/>
        <v>1</v>
      </c>
      <c r="L2282">
        <f t="shared" si="254"/>
        <v>2017</v>
      </c>
      <c r="N2282" s="17">
        <f t="shared" si="257"/>
        <v>42736</v>
      </c>
      <c r="S2282">
        <f t="shared" si="258"/>
        <v>1</v>
      </c>
    </row>
    <row r="2283" spans="1:19" x14ac:dyDescent="0.3">
      <c r="A2283" s="17">
        <v>42734</v>
      </c>
      <c r="B2283">
        <v>331.72</v>
      </c>
      <c r="C2283">
        <v>53.85</v>
      </c>
      <c r="D2283">
        <f t="shared" si="255"/>
        <v>277.87</v>
      </c>
      <c r="E2283">
        <v>1.0900000000000001</v>
      </c>
      <c r="F2283">
        <f t="shared" si="256"/>
        <v>-276.78000000000003</v>
      </c>
      <c r="I2283">
        <f t="shared" si="252"/>
        <v>30</v>
      </c>
      <c r="J2283">
        <v>1</v>
      </c>
      <c r="K2283">
        <f t="shared" si="253"/>
        <v>12</v>
      </c>
      <c r="L2283">
        <f t="shared" si="254"/>
        <v>2016</v>
      </c>
      <c r="N2283" s="17">
        <f t="shared" si="257"/>
        <v>42705</v>
      </c>
      <c r="S2283">
        <f t="shared" si="258"/>
        <v>0</v>
      </c>
    </row>
    <row r="2284" spans="1:19" x14ac:dyDescent="0.3">
      <c r="A2284" s="17">
        <v>42733</v>
      </c>
      <c r="B2284">
        <v>332.28</v>
      </c>
      <c r="C2284">
        <v>53.93</v>
      </c>
      <c r="D2284">
        <f t="shared" si="255"/>
        <v>278.34999999999997</v>
      </c>
      <c r="E2284">
        <v>1.1399999999999999</v>
      </c>
      <c r="F2284">
        <f t="shared" si="256"/>
        <v>-277.20999999999998</v>
      </c>
      <c r="I2284">
        <f t="shared" si="252"/>
        <v>29</v>
      </c>
      <c r="J2284">
        <v>1</v>
      </c>
      <c r="K2284">
        <f t="shared" si="253"/>
        <v>12</v>
      </c>
      <c r="L2284">
        <f t="shared" si="254"/>
        <v>2016</v>
      </c>
      <c r="N2284" s="17">
        <f t="shared" si="257"/>
        <v>42705</v>
      </c>
      <c r="S2284">
        <f t="shared" si="258"/>
        <v>0</v>
      </c>
    </row>
    <row r="2285" spans="1:19" x14ac:dyDescent="0.3">
      <c r="A2285" s="17">
        <v>42732</v>
      </c>
      <c r="B2285">
        <v>329.84</v>
      </c>
      <c r="C2285">
        <v>53.79</v>
      </c>
      <c r="D2285">
        <f t="shared" si="255"/>
        <v>276.04999999999995</v>
      </c>
      <c r="E2285">
        <v>1.27</v>
      </c>
      <c r="F2285">
        <f t="shared" si="256"/>
        <v>-274.77999999999997</v>
      </c>
      <c r="I2285">
        <f t="shared" si="252"/>
        <v>28</v>
      </c>
      <c r="J2285">
        <v>1</v>
      </c>
      <c r="K2285">
        <f t="shared" si="253"/>
        <v>12</v>
      </c>
      <c r="L2285">
        <f t="shared" si="254"/>
        <v>2016</v>
      </c>
      <c r="N2285" s="17">
        <f t="shared" si="257"/>
        <v>42705</v>
      </c>
      <c r="S2285">
        <f t="shared" si="258"/>
        <v>0</v>
      </c>
    </row>
    <row r="2286" spans="1:19" x14ac:dyDescent="0.3">
      <c r="A2286" s="17">
        <v>42731</v>
      </c>
      <c r="B2286">
        <v>323.45999999999998</v>
      </c>
      <c r="C2286">
        <v>52.71</v>
      </c>
      <c r="D2286">
        <f t="shared" si="255"/>
        <v>270.75</v>
      </c>
      <c r="E2286">
        <v>1.22</v>
      </c>
      <c r="F2286">
        <f t="shared" si="256"/>
        <v>-269.52999999999997</v>
      </c>
      <c r="I2286">
        <f t="shared" si="252"/>
        <v>27</v>
      </c>
      <c r="J2286">
        <v>1</v>
      </c>
      <c r="K2286">
        <f t="shared" si="253"/>
        <v>12</v>
      </c>
      <c r="L2286">
        <f t="shared" si="254"/>
        <v>2016</v>
      </c>
      <c r="N2286" s="17">
        <f t="shared" si="257"/>
        <v>42705</v>
      </c>
      <c r="S2286">
        <f t="shared" si="258"/>
        <v>0</v>
      </c>
    </row>
    <row r="2287" spans="1:19" x14ac:dyDescent="0.3">
      <c r="A2287" s="17">
        <v>42727</v>
      </c>
      <c r="B2287">
        <v>321.68</v>
      </c>
      <c r="C2287">
        <v>52.2</v>
      </c>
      <c r="D2287">
        <f t="shared" si="255"/>
        <v>269.48</v>
      </c>
      <c r="E2287">
        <v>1.17</v>
      </c>
      <c r="F2287">
        <f t="shared" si="256"/>
        <v>-268.31</v>
      </c>
      <c r="I2287">
        <f t="shared" si="252"/>
        <v>23</v>
      </c>
      <c r="J2287">
        <v>1</v>
      </c>
      <c r="K2287">
        <f t="shared" si="253"/>
        <v>12</v>
      </c>
      <c r="L2287">
        <f t="shared" si="254"/>
        <v>2016</v>
      </c>
      <c r="N2287" s="17">
        <f t="shared" si="257"/>
        <v>42705</v>
      </c>
      <c r="S2287">
        <f t="shared" si="258"/>
        <v>0</v>
      </c>
    </row>
    <row r="2288" spans="1:19" x14ac:dyDescent="0.3">
      <c r="A2288" s="17">
        <v>42726</v>
      </c>
      <c r="B2288">
        <v>322.51</v>
      </c>
      <c r="C2288">
        <v>51.8</v>
      </c>
      <c r="D2288">
        <f t="shared" si="255"/>
        <v>270.70999999999998</v>
      </c>
      <c r="E2288">
        <v>1.1499999999999999</v>
      </c>
      <c r="F2288">
        <f t="shared" si="256"/>
        <v>-269.56</v>
      </c>
      <c r="I2288">
        <f t="shared" si="252"/>
        <v>22</v>
      </c>
      <c r="J2288">
        <v>1</v>
      </c>
      <c r="K2288">
        <f t="shared" si="253"/>
        <v>12</v>
      </c>
      <c r="L2288">
        <f t="shared" si="254"/>
        <v>2016</v>
      </c>
      <c r="N2288" s="17">
        <f t="shared" si="257"/>
        <v>42705</v>
      </c>
      <c r="S2288">
        <f t="shared" si="258"/>
        <v>0</v>
      </c>
    </row>
    <row r="2289" spans="1:19" x14ac:dyDescent="0.3">
      <c r="A2289" s="17">
        <v>42725</v>
      </c>
      <c r="B2289">
        <v>324.02999999999997</v>
      </c>
      <c r="C2289">
        <v>52.9</v>
      </c>
      <c r="D2289">
        <f t="shared" si="255"/>
        <v>271.13</v>
      </c>
      <c r="E2289">
        <v>0.99</v>
      </c>
      <c r="F2289">
        <f t="shared" si="256"/>
        <v>-270.14</v>
      </c>
      <c r="I2289">
        <f t="shared" si="252"/>
        <v>21</v>
      </c>
      <c r="J2289">
        <v>1</v>
      </c>
      <c r="K2289">
        <f t="shared" si="253"/>
        <v>12</v>
      </c>
      <c r="L2289">
        <f t="shared" si="254"/>
        <v>2016</v>
      </c>
      <c r="N2289" s="17">
        <f t="shared" si="257"/>
        <v>42705</v>
      </c>
      <c r="S2289">
        <f t="shared" si="258"/>
        <v>0</v>
      </c>
    </row>
    <row r="2290" spans="1:19" x14ac:dyDescent="0.3">
      <c r="A2290" s="17">
        <v>42724</v>
      </c>
      <c r="B2290">
        <v>322.07</v>
      </c>
      <c r="C2290">
        <v>51.94</v>
      </c>
      <c r="D2290">
        <f t="shared" si="255"/>
        <v>270.13</v>
      </c>
      <c r="E2290">
        <v>1.02</v>
      </c>
      <c r="F2290">
        <f t="shared" si="256"/>
        <v>-269.11</v>
      </c>
      <c r="I2290">
        <f t="shared" si="252"/>
        <v>20</v>
      </c>
      <c r="J2290">
        <v>1</v>
      </c>
      <c r="K2290">
        <f t="shared" si="253"/>
        <v>12</v>
      </c>
      <c r="L2290">
        <f t="shared" si="254"/>
        <v>2016</v>
      </c>
      <c r="N2290" s="17">
        <f t="shared" si="257"/>
        <v>42705</v>
      </c>
      <c r="S2290">
        <f t="shared" si="258"/>
        <v>0</v>
      </c>
    </row>
    <row r="2291" spans="1:19" x14ac:dyDescent="0.3">
      <c r="A2291" s="17">
        <v>42723</v>
      </c>
      <c r="B2291">
        <v>328.21</v>
      </c>
      <c r="C2291">
        <v>52.6</v>
      </c>
      <c r="D2291">
        <f t="shared" si="255"/>
        <v>275.60999999999996</v>
      </c>
      <c r="E2291">
        <v>1.01</v>
      </c>
      <c r="F2291">
        <f t="shared" si="256"/>
        <v>-274.59999999999997</v>
      </c>
      <c r="I2291">
        <f t="shared" si="252"/>
        <v>19</v>
      </c>
      <c r="J2291">
        <v>1</v>
      </c>
      <c r="K2291">
        <f t="shared" si="253"/>
        <v>12</v>
      </c>
      <c r="L2291">
        <f t="shared" si="254"/>
        <v>2016</v>
      </c>
      <c r="N2291" s="17">
        <f t="shared" si="257"/>
        <v>42705</v>
      </c>
      <c r="S2291">
        <f t="shared" si="258"/>
        <v>0</v>
      </c>
    </row>
    <row r="2292" spans="1:19" x14ac:dyDescent="0.3">
      <c r="A2292" s="17">
        <v>42720</v>
      </c>
      <c r="B2292">
        <v>320.26</v>
      </c>
      <c r="C2292">
        <v>51.41</v>
      </c>
      <c r="D2292">
        <f t="shared" si="255"/>
        <v>268.85000000000002</v>
      </c>
      <c r="E2292">
        <v>0.92</v>
      </c>
      <c r="F2292">
        <f t="shared" si="256"/>
        <v>-267.93</v>
      </c>
      <c r="I2292">
        <f t="shared" si="252"/>
        <v>16</v>
      </c>
      <c r="J2292">
        <v>1</v>
      </c>
      <c r="K2292">
        <f t="shared" si="253"/>
        <v>12</v>
      </c>
      <c r="L2292">
        <f t="shared" si="254"/>
        <v>2016</v>
      </c>
      <c r="N2292" s="17">
        <f t="shared" si="257"/>
        <v>42705</v>
      </c>
      <c r="S2292">
        <f t="shared" si="258"/>
        <v>0</v>
      </c>
    </row>
    <row r="2293" spans="1:19" x14ac:dyDescent="0.3">
      <c r="A2293" s="17">
        <v>42719</v>
      </c>
      <c r="B2293">
        <v>317.48</v>
      </c>
      <c r="C2293">
        <v>51.7</v>
      </c>
      <c r="D2293">
        <f t="shared" si="255"/>
        <v>265.78000000000003</v>
      </c>
      <c r="E2293">
        <v>0.85</v>
      </c>
      <c r="F2293">
        <f t="shared" si="256"/>
        <v>-264.93</v>
      </c>
      <c r="I2293">
        <f t="shared" si="252"/>
        <v>15</v>
      </c>
      <c r="J2293">
        <v>1</v>
      </c>
      <c r="K2293">
        <f t="shared" si="253"/>
        <v>12</v>
      </c>
      <c r="L2293">
        <f t="shared" si="254"/>
        <v>2016</v>
      </c>
      <c r="N2293" s="17">
        <f t="shared" si="257"/>
        <v>42705</v>
      </c>
      <c r="S2293">
        <f t="shared" si="258"/>
        <v>0</v>
      </c>
    </row>
    <row r="2294" spans="1:19" x14ac:dyDescent="0.3">
      <c r="A2294" s="17">
        <v>42718</v>
      </c>
      <c r="B2294">
        <v>318.8</v>
      </c>
      <c r="C2294">
        <v>52.59</v>
      </c>
      <c r="D2294">
        <f t="shared" si="255"/>
        <v>266.21000000000004</v>
      </c>
      <c r="E2294">
        <v>0.68</v>
      </c>
      <c r="F2294">
        <f t="shared" si="256"/>
        <v>-265.53000000000003</v>
      </c>
      <c r="I2294">
        <f t="shared" si="252"/>
        <v>14</v>
      </c>
      <c r="J2294">
        <v>1</v>
      </c>
      <c r="K2294">
        <f t="shared" si="253"/>
        <v>12</v>
      </c>
      <c r="L2294">
        <f t="shared" si="254"/>
        <v>2016</v>
      </c>
      <c r="N2294" s="17">
        <f t="shared" si="257"/>
        <v>42705</v>
      </c>
      <c r="S2294">
        <f t="shared" si="258"/>
        <v>0</v>
      </c>
    </row>
    <row r="2295" spans="1:19" x14ac:dyDescent="0.3">
      <c r="A2295" s="17">
        <v>42717</v>
      </c>
      <c r="B2295">
        <v>320.18</v>
      </c>
      <c r="C2295">
        <v>52.8</v>
      </c>
      <c r="D2295">
        <f t="shared" si="255"/>
        <v>267.38</v>
      </c>
      <c r="E2295">
        <v>0.6</v>
      </c>
      <c r="F2295">
        <f t="shared" si="256"/>
        <v>-266.77999999999997</v>
      </c>
      <c r="I2295">
        <f t="shared" si="252"/>
        <v>13</v>
      </c>
      <c r="J2295">
        <v>1</v>
      </c>
      <c r="K2295">
        <f t="shared" si="253"/>
        <v>12</v>
      </c>
      <c r="L2295">
        <f t="shared" si="254"/>
        <v>2016</v>
      </c>
      <c r="N2295" s="17">
        <f t="shared" si="257"/>
        <v>42705</v>
      </c>
      <c r="S2295">
        <f t="shared" si="258"/>
        <v>0</v>
      </c>
    </row>
    <row r="2296" spans="1:19" x14ac:dyDescent="0.3">
      <c r="A2296" s="17">
        <v>42716</v>
      </c>
      <c r="B2296">
        <v>328.93</v>
      </c>
      <c r="C2296">
        <v>54.195</v>
      </c>
      <c r="D2296">
        <f t="shared" si="255"/>
        <v>274.73500000000001</v>
      </c>
      <c r="E2296">
        <v>0.76</v>
      </c>
      <c r="F2296">
        <f t="shared" si="256"/>
        <v>-273.97500000000002</v>
      </c>
      <c r="I2296">
        <f t="shared" si="252"/>
        <v>12</v>
      </c>
      <c r="J2296">
        <v>1</v>
      </c>
      <c r="K2296">
        <f t="shared" si="253"/>
        <v>12</v>
      </c>
      <c r="L2296">
        <f t="shared" si="254"/>
        <v>2016</v>
      </c>
      <c r="N2296" s="17">
        <f t="shared" si="257"/>
        <v>42705</v>
      </c>
      <c r="S2296">
        <f t="shared" si="258"/>
        <v>0</v>
      </c>
    </row>
    <row r="2297" spans="1:19" x14ac:dyDescent="0.3">
      <c r="A2297" s="17">
        <v>42713</v>
      </c>
      <c r="B2297">
        <v>313.42</v>
      </c>
      <c r="C2297">
        <v>51.41</v>
      </c>
      <c r="D2297">
        <f t="shared" si="255"/>
        <v>262.01</v>
      </c>
      <c r="E2297">
        <v>0.85</v>
      </c>
      <c r="F2297">
        <f t="shared" si="256"/>
        <v>-261.15999999999997</v>
      </c>
      <c r="I2297">
        <f t="shared" si="252"/>
        <v>9</v>
      </c>
      <c r="J2297">
        <v>1</v>
      </c>
      <c r="K2297">
        <f t="shared" si="253"/>
        <v>12</v>
      </c>
      <c r="L2297">
        <f t="shared" si="254"/>
        <v>2016</v>
      </c>
      <c r="N2297" s="17">
        <f t="shared" si="257"/>
        <v>42705</v>
      </c>
      <c r="S2297">
        <f t="shared" si="258"/>
        <v>0</v>
      </c>
    </row>
    <row r="2298" spans="1:19" x14ac:dyDescent="0.3">
      <c r="A2298" s="17">
        <v>42712</v>
      </c>
      <c r="B2298">
        <v>307.81</v>
      </c>
      <c r="C2298">
        <v>50.305</v>
      </c>
      <c r="D2298">
        <f t="shared" si="255"/>
        <v>257.505</v>
      </c>
      <c r="E2298">
        <v>0.87</v>
      </c>
      <c r="F2298">
        <f t="shared" si="256"/>
        <v>-256.63499999999999</v>
      </c>
      <c r="I2298">
        <f t="shared" si="252"/>
        <v>8</v>
      </c>
      <c r="J2298">
        <v>1</v>
      </c>
      <c r="K2298">
        <f t="shared" si="253"/>
        <v>12</v>
      </c>
      <c r="L2298">
        <f t="shared" si="254"/>
        <v>2016</v>
      </c>
      <c r="N2298" s="17">
        <f t="shared" si="257"/>
        <v>42705</v>
      </c>
      <c r="S2298">
        <f t="shared" si="258"/>
        <v>0</v>
      </c>
    </row>
    <row r="2299" spans="1:19" x14ac:dyDescent="0.3">
      <c r="A2299" s="17">
        <v>42711</v>
      </c>
      <c r="B2299">
        <v>311.77999999999997</v>
      </c>
      <c r="C2299">
        <v>50.81</v>
      </c>
      <c r="D2299">
        <f t="shared" si="255"/>
        <v>260.96999999999997</v>
      </c>
      <c r="E2299">
        <v>0.75</v>
      </c>
      <c r="F2299">
        <f t="shared" si="256"/>
        <v>-260.21999999999997</v>
      </c>
      <c r="I2299">
        <f t="shared" si="252"/>
        <v>7</v>
      </c>
      <c r="J2299">
        <v>1</v>
      </c>
      <c r="K2299">
        <f t="shared" si="253"/>
        <v>12</v>
      </c>
      <c r="L2299">
        <f t="shared" si="254"/>
        <v>2016</v>
      </c>
      <c r="N2299" s="17">
        <f t="shared" si="257"/>
        <v>42705</v>
      </c>
      <c r="S2299">
        <f t="shared" si="258"/>
        <v>0</v>
      </c>
    </row>
    <row r="2300" spans="1:19" x14ac:dyDescent="0.3">
      <c r="A2300" s="17">
        <v>42710</v>
      </c>
      <c r="B2300">
        <v>315.83</v>
      </c>
      <c r="C2300">
        <v>51.7</v>
      </c>
      <c r="D2300">
        <f t="shared" si="255"/>
        <v>264.13</v>
      </c>
      <c r="E2300">
        <v>0.76</v>
      </c>
      <c r="F2300">
        <f t="shared" si="256"/>
        <v>-263.37</v>
      </c>
      <c r="I2300">
        <f t="shared" si="252"/>
        <v>6</v>
      </c>
      <c r="J2300">
        <v>1</v>
      </c>
      <c r="K2300">
        <f t="shared" si="253"/>
        <v>12</v>
      </c>
      <c r="L2300">
        <f t="shared" si="254"/>
        <v>2016</v>
      </c>
      <c r="N2300" s="17">
        <f t="shared" si="257"/>
        <v>42705</v>
      </c>
      <c r="S2300">
        <f t="shared" si="258"/>
        <v>0</v>
      </c>
    </row>
    <row r="2301" spans="1:19" x14ac:dyDescent="0.3">
      <c r="A2301" s="17">
        <v>42709</v>
      </c>
      <c r="B2301">
        <v>309.18</v>
      </c>
      <c r="C2301">
        <v>51.7</v>
      </c>
      <c r="D2301">
        <f t="shared" si="255"/>
        <v>257.48</v>
      </c>
      <c r="E2301">
        <v>0.77</v>
      </c>
      <c r="F2301">
        <f t="shared" si="256"/>
        <v>-256.71000000000004</v>
      </c>
      <c r="I2301">
        <f t="shared" si="252"/>
        <v>5</v>
      </c>
      <c r="J2301">
        <v>1</v>
      </c>
      <c r="K2301">
        <f t="shared" si="253"/>
        <v>12</v>
      </c>
      <c r="L2301">
        <f t="shared" si="254"/>
        <v>2016</v>
      </c>
      <c r="N2301" s="17">
        <f t="shared" si="257"/>
        <v>42705</v>
      </c>
      <c r="S2301">
        <f t="shared" si="258"/>
        <v>0</v>
      </c>
    </row>
    <row r="2302" spans="1:19" x14ac:dyDescent="0.3">
      <c r="A2302" s="17">
        <v>42706</v>
      </c>
      <c r="B2302">
        <v>301.73</v>
      </c>
      <c r="C2302">
        <v>50.65</v>
      </c>
      <c r="D2302">
        <f t="shared" si="255"/>
        <v>251.08</v>
      </c>
      <c r="E2302">
        <v>0.78</v>
      </c>
      <c r="F2302">
        <f t="shared" si="256"/>
        <v>-250.3</v>
      </c>
      <c r="I2302">
        <f t="shared" si="252"/>
        <v>2</v>
      </c>
      <c r="J2302">
        <v>1</v>
      </c>
      <c r="K2302">
        <f t="shared" si="253"/>
        <v>12</v>
      </c>
      <c r="L2302">
        <f t="shared" si="254"/>
        <v>2016</v>
      </c>
      <c r="N2302" s="17">
        <f t="shared" si="257"/>
        <v>42705</v>
      </c>
      <c r="S2302">
        <f t="shared" si="258"/>
        <v>1</v>
      </c>
    </row>
    <row r="2303" spans="1:19" x14ac:dyDescent="0.3">
      <c r="A2303" s="17">
        <v>42705</v>
      </c>
      <c r="B2303">
        <v>299.72000000000003</v>
      </c>
      <c r="C2303">
        <v>49.06</v>
      </c>
      <c r="D2303">
        <f t="shared" si="255"/>
        <v>250.66000000000003</v>
      </c>
      <c r="E2303">
        <v>0.71</v>
      </c>
      <c r="F2303">
        <f t="shared" si="256"/>
        <v>-249.95000000000002</v>
      </c>
      <c r="I2303">
        <f t="shared" si="252"/>
        <v>1</v>
      </c>
      <c r="J2303">
        <v>1</v>
      </c>
      <c r="K2303">
        <f t="shared" si="253"/>
        <v>12</v>
      </c>
      <c r="L2303">
        <f t="shared" si="254"/>
        <v>2016</v>
      </c>
      <c r="N2303" s="17">
        <f t="shared" si="257"/>
        <v>42705</v>
      </c>
      <c r="S2303">
        <f t="shared" si="258"/>
        <v>1</v>
      </c>
    </row>
    <row r="2304" spans="1:19" x14ac:dyDescent="0.3">
      <c r="A2304" s="17">
        <v>42704</v>
      </c>
      <c r="B2304">
        <v>277.85000000000002</v>
      </c>
      <c r="C2304">
        <v>44.1</v>
      </c>
      <c r="D2304">
        <f t="shared" si="255"/>
        <v>233.75000000000003</v>
      </c>
      <c r="E2304">
        <v>0.82</v>
      </c>
      <c r="F2304">
        <f t="shared" si="256"/>
        <v>-232.93000000000004</v>
      </c>
      <c r="I2304">
        <f t="shared" si="252"/>
        <v>30</v>
      </c>
      <c r="J2304">
        <v>1</v>
      </c>
      <c r="K2304">
        <f t="shared" si="253"/>
        <v>11</v>
      </c>
      <c r="L2304">
        <f t="shared" si="254"/>
        <v>2016</v>
      </c>
      <c r="N2304" s="17">
        <f t="shared" si="257"/>
        <v>42675</v>
      </c>
      <c r="S2304">
        <f t="shared" si="258"/>
        <v>0</v>
      </c>
    </row>
    <row r="2305" spans="1:19" x14ac:dyDescent="0.3">
      <c r="A2305" s="17">
        <v>42703</v>
      </c>
      <c r="B2305">
        <v>280.33</v>
      </c>
      <c r="C2305">
        <v>44.71</v>
      </c>
      <c r="D2305">
        <f t="shared" si="255"/>
        <v>235.61999999999998</v>
      </c>
      <c r="E2305">
        <v>0.88</v>
      </c>
      <c r="F2305">
        <f t="shared" si="256"/>
        <v>-234.73999999999998</v>
      </c>
      <c r="I2305">
        <f t="shared" si="252"/>
        <v>29</v>
      </c>
      <c r="J2305">
        <v>1</v>
      </c>
      <c r="K2305">
        <f t="shared" si="253"/>
        <v>11</v>
      </c>
      <c r="L2305">
        <f t="shared" si="254"/>
        <v>2016</v>
      </c>
      <c r="N2305" s="17">
        <f t="shared" si="257"/>
        <v>42675</v>
      </c>
      <c r="S2305">
        <f t="shared" si="258"/>
        <v>0</v>
      </c>
    </row>
    <row r="2306" spans="1:19" x14ac:dyDescent="0.3">
      <c r="A2306" s="17">
        <v>42702</v>
      </c>
      <c r="B2306">
        <v>273.83999999999997</v>
      </c>
      <c r="C2306">
        <v>43.905000000000001</v>
      </c>
      <c r="D2306">
        <f t="shared" si="255"/>
        <v>229.93499999999997</v>
      </c>
      <c r="E2306">
        <v>0.86</v>
      </c>
      <c r="F2306">
        <f t="shared" si="256"/>
        <v>-229.07499999999996</v>
      </c>
      <c r="I2306">
        <f t="shared" si="252"/>
        <v>28</v>
      </c>
      <c r="J2306">
        <v>1</v>
      </c>
      <c r="K2306">
        <f t="shared" si="253"/>
        <v>11</v>
      </c>
      <c r="L2306">
        <f t="shared" si="254"/>
        <v>2016</v>
      </c>
      <c r="N2306" s="17">
        <f t="shared" si="257"/>
        <v>42675</v>
      </c>
      <c r="S2306">
        <f t="shared" si="258"/>
        <v>0</v>
      </c>
    </row>
    <row r="2307" spans="1:19" x14ac:dyDescent="0.3">
      <c r="A2307" s="17">
        <v>42699</v>
      </c>
      <c r="B2307">
        <v>281.39999999999998</v>
      </c>
      <c r="C2307">
        <v>45.92</v>
      </c>
      <c r="D2307">
        <f t="shared" si="255"/>
        <v>235.47999999999996</v>
      </c>
      <c r="E2307">
        <v>0.96</v>
      </c>
      <c r="F2307">
        <f t="shared" si="256"/>
        <v>-234.51999999999995</v>
      </c>
      <c r="I2307">
        <f t="shared" si="252"/>
        <v>25</v>
      </c>
      <c r="J2307">
        <v>1</v>
      </c>
      <c r="K2307">
        <f t="shared" si="253"/>
        <v>11</v>
      </c>
      <c r="L2307">
        <f t="shared" si="254"/>
        <v>2016</v>
      </c>
      <c r="N2307" s="17">
        <f t="shared" si="257"/>
        <v>42675</v>
      </c>
      <c r="S2307">
        <f t="shared" si="258"/>
        <v>0</v>
      </c>
    </row>
    <row r="2308" spans="1:19" x14ac:dyDescent="0.3">
      <c r="A2308" s="17">
        <v>42698</v>
      </c>
      <c r="B2308">
        <v>279.67</v>
      </c>
      <c r="C2308">
        <v>45.69</v>
      </c>
      <c r="D2308">
        <f t="shared" si="255"/>
        <v>233.98000000000002</v>
      </c>
      <c r="E2308">
        <v>0.76</v>
      </c>
      <c r="F2308">
        <f t="shared" si="256"/>
        <v>-233.22000000000003</v>
      </c>
      <c r="I2308">
        <f t="shared" si="252"/>
        <v>24</v>
      </c>
      <c r="J2308">
        <v>1</v>
      </c>
      <c r="K2308">
        <f t="shared" si="253"/>
        <v>11</v>
      </c>
      <c r="L2308">
        <f t="shared" si="254"/>
        <v>2016</v>
      </c>
      <c r="N2308" s="17">
        <f t="shared" si="257"/>
        <v>42675</v>
      </c>
      <c r="S2308">
        <f t="shared" si="258"/>
        <v>0</v>
      </c>
    </row>
    <row r="2309" spans="1:19" x14ac:dyDescent="0.3">
      <c r="A2309" s="17">
        <v>42697</v>
      </c>
      <c r="B2309">
        <v>282.58</v>
      </c>
      <c r="C2309">
        <v>45.994999999999997</v>
      </c>
      <c r="D2309">
        <f t="shared" si="255"/>
        <v>236.58499999999998</v>
      </c>
      <c r="E2309">
        <v>0.56000000000000005</v>
      </c>
      <c r="F2309">
        <f t="shared" si="256"/>
        <v>-236.02499999999998</v>
      </c>
      <c r="I2309">
        <f t="shared" ref="I2309:I2372" si="259">+DAY(A2309)</f>
        <v>23</v>
      </c>
      <c r="J2309">
        <v>1</v>
      </c>
      <c r="K2309">
        <f t="shared" ref="K2309:K2372" si="260">+MONTH(A2309)</f>
        <v>11</v>
      </c>
      <c r="L2309">
        <f t="shared" ref="L2309:L2372" si="261">+YEAR(A2309)</f>
        <v>2016</v>
      </c>
      <c r="N2309" s="17">
        <f t="shared" si="257"/>
        <v>42675</v>
      </c>
      <c r="S2309">
        <f t="shared" si="258"/>
        <v>0</v>
      </c>
    </row>
    <row r="2310" spans="1:19" x14ac:dyDescent="0.3">
      <c r="A2310" s="17">
        <v>42696</v>
      </c>
      <c r="B2310">
        <v>283.02999999999997</v>
      </c>
      <c r="C2310">
        <v>46.07</v>
      </c>
      <c r="D2310">
        <f t="shared" ref="D2310:D2373" si="262">+B2310-C2310</f>
        <v>236.95999999999998</v>
      </c>
      <c r="E2310">
        <v>0.46</v>
      </c>
      <c r="F2310">
        <f t="shared" ref="F2310:F2373" si="263">+E2310-D2310</f>
        <v>-236.49999999999997</v>
      </c>
      <c r="I2310">
        <f t="shared" si="259"/>
        <v>22</v>
      </c>
      <c r="J2310">
        <v>1</v>
      </c>
      <c r="K2310">
        <f t="shared" si="260"/>
        <v>11</v>
      </c>
      <c r="L2310">
        <f t="shared" si="261"/>
        <v>2016</v>
      </c>
      <c r="N2310" s="17">
        <f t="shared" ref="N2310:N2373" si="264">+DATE(L2310,K2310,J2310)</f>
        <v>42675</v>
      </c>
      <c r="S2310">
        <f t="shared" ref="S2310:S2373" si="265">IF(AND(I2310&gt;=1, I2310&lt;=4), 1, 0)</f>
        <v>0</v>
      </c>
    </row>
    <row r="2311" spans="1:19" x14ac:dyDescent="0.3">
      <c r="A2311" s="17">
        <v>42695</v>
      </c>
      <c r="B2311">
        <v>275.12</v>
      </c>
      <c r="C2311">
        <v>44.56</v>
      </c>
      <c r="D2311">
        <f t="shared" si="262"/>
        <v>230.56</v>
      </c>
      <c r="E2311">
        <v>0.53</v>
      </c>
      <c r="F2311">
        <f t="shared" si="263"/>
        <v>-230.03</v>
      </c>
      <c r="I2311">
        <f t="shared" si="259"/>
        <v>21</v>
      </c>
      <c r="J2311">
        <v>1</v>
      </c>
      <c r="K2311">
        <f t="shared" si="260"/>
        <v>11</v>
      </c>
      <c r="L2311">
        <f t="shared" si="261"/>
        <v>2016</v>
      </c>
      <c r="N2311" s="17">
        <f t="shared" si="264"/>
        <v>42675</v>
      </c>
      <c r="S2311">
        <f t="shared" si="265"/>
        <v>0</v>
      </c>
    </row>
    <row r="2312" spans="1:19" x14ac:dyDescent="0.3">
      <c r="A2312" s="17">
        <v>42692</v>
      </c>
      <c r="B2312">
        <v>263.07</v>
      </c>
      <c r="C2312">
        <v>42.78</v>
      </c>
      <c r="D2312">
        <f t="shared" si="262"/>
        <v>220.29</v>
      </c>
      <c r="E2312">
        <v>0.54</v>
      </c>
      <c r="F2312">
        <f t="shared" si="263"/>
        <v>-219.75</v>
      </c>
      <c r="I2312">
        <f t="shared" si="259"/>
        <v>18</v>
      </c>
      <c r="J2312">
        <v>1</v>
      </c>
      <c r="K2312">
        <f t="shared" si="260"/>
        <v>11</v>
      </c>
      <c r="L2312">
        <f t="shared" si="261"/>
        <v>2016</v>
      </c>
      <c r="N2312" s="17">
        <f t="shared" si="264"/>
        <v>42675</v>
      </c>
      <c r="S2312">
        <f t="shared" si="265"/>
        <v>0</v>
      </c>
    </row>
    <row r="2313" spans="1:19" x14ac:dyDescent="0.3">
      <c r="A2313" s="17">
        <v>42691</v>
      </c>
      <c r="B2313">
        <v>266.97000000000003</v>
      </c>
      <c r="C2313">
        <v>43.49</v>
      </c>
      <c r="D2313">
        <f t="shared" si="262"/>
        <v>223.48000000000002</v>
      </c>
      <c r="E2313">
        <v>0.56000000000000005</v>
      </c>
      <c r="F2313">
        <f t="shared" si="263"/>
        <v>-222.92000000000002</v>
      </c>
      <c r="I2313">
        <f t="shared" si="259"/>
        <v>17</v>
      </c>
      <c r="J2313">
        <v>1</v>
      </c>
      <c r="K2313">
        <f t="shared" si="260"/>
        <v>11</v>
      </c>
      <c r="L2313">
        <f t="shared" si="261"/>
        <v>2016</v>
      </c>
      <c r="N2313" s="17">
        <f t="shared" si="264"/>
        <v>42675</v>
      </c>
      <c r="S2313">
        <f t="shared" si="265"/>
        <v>0</v>
      </c>
    </row>
    <row r="2314" spans="1:19" x14ac:dyDescent="0.3">
      <c r="A2314" s="17">
        <v>42690</v>
      </c>
      <c r="B2314">
        <v>265.61</v>
      </c>
      <c r="C2314">
        <v>43.5</v>
      </c>
      <c r="D2314">
        <f t="shared" si="262"/>
        <v>222.11</v>
      </c>
      <c r="E2314">
        <v>0.6</v>
      </c>
      <c r="F2314">
        <f t="shared" si="263"/>
        <v>-221.51000000000002</v>
      </c>
      <c r="I2314">
        <f t="shared" si="259"/>
        <v>16</v>
      </c>
      <c r="J2314">
        <v>1</v>
      </c>
      <c r="K2314">
        <f t="shared" si="260"/>
        <v>11</v>
      </c>
      <c r="L2314">
        <f t="shared" si="261"/>
        <v>2016</v>
      </c>
      <c r="N2314" s="17">
        <f t="shared" si="264"/>
        <v>42675</v>
      </c>
      <c r="S2314">
        <f t="shared" si="265"/>
        <v>0</v>
      </c>
    </row>
    <row r="2315" spans="1:19" x14ac:dyDescent="0.3">
      <c r="A2315" s="17">
        <v>42689</v>
      </c>
      <c r="B2315">
        <v>255.79</v>
      </c>
      <c r="C2315">
        <v>42</v>
      </c>
      <c r="D2315">
        <f t="shared" si="262"/>
        <v>213.79</v>
      </c>
      <c r="E2315">
        <v>0.46</v>
      </c>
      <c r="F2315">
        <f t="shared" si="263"/>
        <v>-213.32999999999998</v>
      </c>
      <c r="I2315">
        <f t="shared" si="259"/>
        <v>15</v>
      </c>
      <c r="J2315">
        <v>1</v>
      </c>
      <c r="K2315">
        <f t="shared" si="260"/>
        <v>11</v>
      </c>
      <c r="L2315">
        <f t="shared" si="261"/>
        <v>2016</v>
      </c>
      <c r="N2315" s="17">
        <f t="shared" si="264"/>
        <v>42675</v>
      </c>
      <c r="S2315">
        <f t="shared" si="265"/>
        <v>0</v>
      </c>
    </row>
    <row r="2316" spans="1:19" x14ac:dyDescent="0.3">
      <c r="A2316" s="17">
        <v>42688</v>
      </c>
      <c r="B2316">
        <v>256.13</v>
      </c>
      <c r="C2316">
        <v>41.9</v>
      </c>
      <c r="D2316">
        <f t="shared" si="262"/>
        <v>214.23</v>
      </c>
      <c r="E2316">
        <v>0.42</v>
      </c>
      <c r="F2316">
        <f t="shared" si="263"/>
        <v>-213.81</v>
      </c>
      <c r="I2316">
        <f t="shared" si="259"/>
        <v>14</v>
      </c>
      <c r="J2316">
        <v>1</v>
      </c>
      <c r="K2316">
        <f t="shared" si="260"/>
        <v>11</v>
      </c>
      <c r="L2316">
        <f t="shared" si="261"/>
        <v>2016</v>
      </c>
      <c r="N2316" s="17">
        <f t="shared" si="264"/>
        <v>42675</v>
      </c>
      <c r="S2316">
        <f t="shared" si="265"/>
        <v>0</v>
      </c>
    </row>
    <row r="2317" spans="1:19" x14ac:dyDescent="0.3">
      <c r="A2317" s="17">
        <v>42685</v>
      </c>
      <c r="B2317">
        <v>259.93</v>
      </c>
      <c r="C2317">
        <v>42.7</v>
      </c>
      <c r="D2317">
        <f t="shared" si="262"/>
        <v>217.23000000000002</v>
      </c>
      <c r="E2317">
        <v>0.28000000000000003</v>
      </c>
      <c r="F2317">
        <f t="shared" si="263"/>
        <v>-216.95000000000002</v>
      </c>
      <c r="I2317">
        <f t="shared" si="259"/>
        <v>11</v>
      </c>
      <c r="J2317">
        <v>1</v>
      </c>
      <c r="K2317">
        <f t="shared" si="260"/>
        <v>11</v>
      </c>
      <c r="L2317">
        <f t="shared" si="261"/>
        <v>2016</v>
      </c>
      <c r="N2317" s="17">
        <f t="shared" si="264"/>
        <v>42675</v>
      </c>
      <c r="S2317">
        <f t="shared" si="265"/>
        <v>0</v>
      </c>
    </row>
    <row r="2318" spans="1:19" x14ac:dyDescent="0.3">
      <c r="A2318" s="17">
        <v>42684</v>
      </c>
      <c r="B2318">
        <v>267.07</v>
      </c>
      <c r="C2318">
        <v>43.72</v>
      </c>
      <c r="D2318">
        <f t="shared" si="262"/>
        <v>223.35</v>
      </c>
      <c r="E2318">
        <v>0.28999999999999998</v>
      </c>
      <c r="F2318">
        <f t="shared" si="263"/>
        <v>-223.06</v>
      </c>
      <c r="I2318">
        <f t="shared" si="259"/>
        <v>10</v>
      </c>
      <c r="J2318">
        <v>1</v>
      </c>
      <c r="K2318">
        <f t="shared" si="260"/>
        <v>11</v>
      </c>
      <c r="L2318">
        <f t="shared" si="261"/>
        <v>2016</v>
      </c>
      <c r="N2318" s="17">
        <f t="shared" si="264"/>
        <v>42675</v>
      </c>
      <c r="S2318">
        <f t="shared" si="265"/>
        <v>0</v>
      </c>
    </row>
    <row r="2319" spans="1:19" x14ac:dyDescent="0.3">
      <c r="A2319" s="17">
        <v>42683</v>
      </c>
      <c r="B2319">
        <v>260.98</v>
      </c>
      <c r="C2319">
        <v>42.51</v>
      </c>
      <c r="D2319">
        <f t="shared" si="262"/>
        <v>218.47000000000003</v>
      </c>
      <c r="E2319">
        <v>0.28999999999999998</v>
      </c>
      <c r="F2319">
        <f t="shared" si="263"/>
        <v>-218.18000000000004</v>
      </c>
      <c r="I2319">
        <f t="shared" si="259"/>
        <v>9</v>
      </c>
      <c r="J2319">
        <v>1</v>
      </c>
      <c r="K2319">
        <f t="shared" si="260"/>
        <v>11</v>
      </c>
      <c r="L2319">
        <f t="shared" si="261"/>
        <v>2016</v>
      </c>
      <c r="N2319" s="17">
        <f t="shared" si="264"/>
        <v>42675</v>
      </c>
      <c r="S2319">
        <f t="shared" si="265"/>
        <v>0</v>
      </c>
    </row>
    <row r="2320" spans="1:19" x14ac:dyDescent="0.3">
      <c r="A2320" s="17">
        <v>42682</v>
      </c>
      <c r="B2320">
        <v>263.98</v>
      </c>
      <c r="C2320">
        <v>42.85</v>
      </c>
      <c r="D2320">
        <f t="shared" si="262"/>
        <v>221.13000000000002</v>
      </c>
      <c r="E2320">
        <v>0.26</v>
      </c>
      <c r="F2320">
        <f t="shared" si="263"/>
        <v>-220.87000000000003</v>
      </c>
      <c r="I2320">
        <f t="shared" si="259"/>
        <v>8</v>
      </c>
      <c r="J2320">
        <v>1</v>
      </c>
      <c r="K2320">
        <f t="shared" si="260"/>
        <v>11</v>
      </c>
      <c r="L2320">
        <f t="shared" si="261"/>
        <v>2016</v>
      </c>
      <c r="N2320" s="17">
        <f t="shared" si="264"/>
        <v>42675</v>
      </c>
      <c r="S2320">
        <f t="shared" si="265"/>
        <v>0</v>
      </c>
    </row>
    <row r="2321" spans="1:19" x14ac:dyDescent="0.3">
      <c r="A2321" s="17">
        <v>42681</v>
      </c>
      <c r="B2321">
        <v>264.2</v>
      </c>
      <c r="C2321">
        <v>42.78</v>
      </c>
      <c r="D2321">
        <f t="shared" si="262"/>
        <v>221.42</v>
      </c>
      <c r="E2321">
        <v>0.25</v>
      </c>
      <c r="F2321">
        <f t="shared" si="263"/>
        <v>-221.17</v>
      </c>
      <c r="I2321">
        <f t="shared" si="259"/>
        <v>7</v>
      </c>
      <c r="J2321">
        <v>1</v>
      </c>
      <c r="K2321">
        <f t="shared" si="260"/>
        <v>11</v>
      </c>
      <c r="L2321">
        <f t="shared" si="261"/>
        <v>2016</v>
      </c>
      <c r="N2321" s="17">
        <f t="shared" si="264"/>
        <v>42675</v>
      </c>
      <c r="S2321">
        <f t="shared" si="265"/>
        <v>0</v>
      </c>
    </row>
    <row r="2322" spans="1:19" x14ac:dyDescent="0.3">
      <c r="A2322" s="17">
        <v>42678</v>
      </c>
      <c r="B2322">
        <v>264.01</v>
      </c>
      <c r="C2322">
        <v>42.7</v>
      </c>
      <c r="D2322">
        <f t="shared" si="262"/>
        <v>221.31</v>
      </c>
      <c r="E2322">
        <v>0.28000000000000003</v>
      </c>
      <c r="F2322">
        <f t="shared" si="263"/>
        <v>-221.03</v>
      </c>
      <c r="I2322">
        <f t="shared" si="259"/>
        <v>4</v>
      </c>
      <c r="J2322">
        <v>1</v>
      </c>
      <c r="K2322">
        <f t="shared" si="260"/>
        <v>11</v>
      </c>
      <c r="L2322">
        <f t="shared" si="261"/>
        <v>2016</v>
      </c>
      <c r="N2322" s="17">
        <f t="shared" si="264"/>
        <v>42675</v>
      </c>
      <c r="S2322">
        <f t="shared" si="265"/>
        <v>1</v>
      </c>
    </row>
    <row r="2323" spans="1:19" x14ac:dyDescent="0.3">
      <c r="A2323" s="17">
        <v>42677</v>
      </c>
      <c r="B2323">
        <v>262.91000000000003</v>
      </c>
      <c r="C2323">
        <v>43.49</v>
      </c>
      <c r="D2323">
        <f t="shared" si="262"/>
        <v>219.42000000000002</v>
      </c>
      <c r="E2323">
        <v>0.34</v>
      </c>
      <c r="F2323">
        <f t="shared" si="263"/>
        <v>-219.08</v>
      </c>
      <c r="I2323">
        <f t="shared" si="259"/>
        <v>3</v>
      </c>
      <c r="J2323">
        <v>1</v>
      </c>
      <c r="K2323">
        <f t="shared" si="260"/>
        <v>11</v>
      </c>
      <c r="L2323">
        <f t="shared" si="261"/>
        <v>2016</v>
      </c>
      <c r="N2323" s="17">
        <f t="shared" si="264"/>
        <v>42675</v>
      </c>
      <c r="S2323">
        <f t="shared" si="265"/>
        <v>1</v>
      </c>
    </row>
    <row r="2324" spans="1:19" x14ac:dyDescent="0.3">
      <c r="A2324" s="17">
        <v>42676</v>
      </c>
      <c r="B2324">
        <v>261.92</v>
      </c>
      <c r="C2324">
        <v>44.15</v>
      </c>
      <c r="D2324">
        <f t="shared" si="262"/>
        <v>217.77</v>
      </c>
      <c r="E2324">
        <v>0.32</v>
      </c>
      <c r="F2324">
        <f t="shared" si="263"/>
        <v>-217.45000000000002</v>
      </c>
      <c r="I2324">
        <f t="shared" si="259"/>
        <v>2</v>
      </c>
      <c r="J2324">
        <v>1</v>
      </c>
      <c r="K2324">
        <f t="shared" si="260"/>
        <v>11</v>
      </c>
      <c r="L2324">
        <f t="shared" si="261"/>
        <v>2016</v>
      </c>
      <c r="N2324" s="17">
        <f t="shared" si="264"/>
        <v>42675</v>
      </c>
      <c r="S2324">
        <f t="shared" si="265"/>
        <v>1</v>
      </c>
    </row>
    <row r="2325" spans="1:19" x14ac:dyDescent="0.3">
      <c r="A2325" s="17">
        <v>42675</v>
      </c>
      <c r="B2325">
        <v>270.37</v>
      </c>
      <c r="C2325">
        <v>45.5</v>
      </c>
      <c r="D2325">
        <f t="shared" si="262"/>
        <v>224.87</v>
      </c>
      <c r="E2325">
        <v>0.34</v>
      </c>
      <c r="F2325">
        <f t="shared" si="263"/>
        <v>-224.53</v>
      </c>
      <c r="I2325">
        <f t="shared" si="259"/>
        <v>1</v>
      </c>
      <c r="J2325">
        <v>1</v>
      </c>
      <c r="K2325">
        <f t="shared" si="260"/>
        <v>11</v>
      </c>
      <c r="L2325">
        <f t="shared" si="261"/>
        <v>2016</v>
      </c>
      <c r="N2325" s="17">
        <f t="shared" si="264"/>
        <v>42675</v>
      </c>
      <c r="S2325">
        <f t="shared" si="265"/>
        <v>1</v>
      </c>
    </row>
    <row r="2326" spans="1:19" x14ac:dyDescent="0.3">
      <c r="A2326" s="17">
        <v>42674</v>
      </c>
      <c r="B2326">
        <v>276.66000000000003</v>
      </c>
      <c r="C2326">
        <v>47.52</v>
      </c>
      <c r="D2326">
        <f t="shared" si="262"/>
        <v>229.14000000000001</v>
      </c>
      <c r="E2326">
        <v>0.25</v>
      </c>
      <c r="F2326">
        <f t="shared" si="263"/>
        <v>-228.89000000000001</v>
      </c>
      <c r="I2326">
        <f t="shared" si="259"/>
        <v>31</v>
      </c>
      <c r="J2326">
        <v>1</v>
      </c>
      <c r="K2326">
        <f t="shared" si="260"/>
        <v>10</v>
      </c>
      <c r="L2326">
        <f t="shared" si="261"/>
        <v>2016</v>
      </c>
      <c r="N2326" s="17">
        <f t="shared" si="264"/>
        <v>42644</v>
      </c>
      <c r="S2326">
        <f t="shared" si="265"/>
        <v>0</v>
      </c>
    </row>
    <row r="2327" spans="1:19" x14ac:dyDescent="0.3">
      <c r="A2327" s="17">
        <v>42671</v>
      </c>
      <c r="B2327">
        <v>277.95999999999998</v>
      </c>
      <c r="C2327">
        <v>48.31</v>
      </c>
      <c r="D2327">
        <f t="shared" si="262"/>
        <v>229.64999999999998</v>
      </c>
      <c r="E2327">
        <v>0.31</v>
      </c>
      <c r="F2327">
        <f t="shared" si="263"/>
        <v>-229.33999999999997</v>
      </c>
      <c r="I2327">
        <f t="shared" si="259"/>
        <v>28</v>
      </c>
      <c r="J2327">
        <v>1</v>
      </c>
      <c r="K2327">
        <f t="shared" si="260"/>
        <v>10</v>
      </c>
      <c r="L2327">
        <f t="shared" si="261"/>
        <v>2016</v>
      </c>
      <c r="N2327" s="17">
        <f t="shared" si="264"/>
        <v>42644</v>
      </c>
      <c r="S2327">
        <f t="shared" si="265"/>
        <v>0</v>
      </c>
    </row>
    <row r="2328" spans="1:19" x14ac:dyDescent="0.3">
      <c r="A2328" s="17">
        <v>42670</v>
      </c>
      <c r="B2328">
        <v>278.81</v>
      </c>
      <c r="C2328">
        <v>48.15</v>
      </c>
      <c r="D2328">
        <f t="shared" si="262"/>
        <v>230.66</v>
      </c>
      <c r="E2328">
        <v>0.33</v>
      </c>
      <c r="F2328">
        <f t="shared" si="263"/>
        <v>-230.32999999999998</v>
      </c>
      <c r="I2328">
        <f t="shared" si="259"/>
        <v>27</v>
      </c>
      <c r="J2328">
        <v>1</v>
      </c>
      <c r="K2328">
        <f t="shared" si="260"/>
        <v>10</v>
      </c>
      <c r="L2328">
        <f t="shared" si="261"/>
        <v>2016</v>
      </c>
      <c r="N2328" s="17">
        <f t="shared" si="264"/>
        <v>42644</v>
      </c>
      <c r="S2328">
        <f t="shared" si="265"/>
        <v>0</v>
      </c>
    </row>
    <row r="2329" spans="1:19" x14ac:dyDescent="0.3">
      <c r="A2329" s="17">
        <v>42669</v>
      </c>
      <c r="B2329">
        <v>279.93</v>
      </c>
      <c r="C2329">
        <v>47.9</v>
      </c>
      <c r="D2329">
        <f t="shared" si="262"/>
        <v>232.03</v>
      </c>
      <c r="E2329">
        <v>0.36</v>
      </c>
      <c r="F2329">
        <f t="shared" si="263"/>
        <v>-231.67</v>
      </c>
      <c r="I2329">
        <f t="shared" si="259"/>
        <v>26</v>
      </c>
      <c r="J2329">
        <v>1</v>
      </c>
      <c r="K2329">
        <f t="shared" si="260"/>
        <v>10</v>
      </c>
      <c r="L2329">
        <f t="shared" si="261"/>
        <v>2016</v>
      </c>
      <c r="N2329" s="17">
        <f t="shared" si="264"/>
        <v>42644</v>
      </c>
      <c r="S2329">
        <f t="shared" si="265"/>
        <v>0</v>
      </c>
    </row>
    <row r="2330" spans="1:19" x14ac:dyDescent="0.3">
      <c r="A2330" s="17">
        <v>42668</v>
      </c>
      <c r="B2330">
        <v>285.08</v>
      </c>
      <c r="C2330">
        <v>49.21</v>
      </c>
      <c r="D2330">
        <f t="shared" si="262"/>
        <v>235.86999999999998</v>
      </c>
      <c r="E2330">
        <v>0.44</v>
      </c>
      <c r="F2330">
        <f t="shared" si="263"/>
        <v>-235.42999999999998</v>
      </c>
      <c r="I2330">
        <f t="shared" si="259"/>
        <v>25</v>
      </c>
      <c r="J2330">
        <v>1</v>
      </c>
      <c r="K2330">
        <f t="shared" si="260"/>
        <v>10</v>
      </c>
      <c r="L2330">
        <f t="shared" si="261"/>
        <v>2016</v>
      </c>
      <c r="N2330" s="17">
        <f t="shared" si="264"/>
        <v>42644</v>
      </c>
      <c r="S2330">
        <f t="shared" si="265"/>
        <v>0</v>
      </c>
    </row>
    <row r="2331" spans="1:19" x14ac:dyDescent="0.3">
      <c r="A2331" s="17">
        <v>42667</v>
      </c>
      <c r="B2331">
        <v>285.52</v>
      </c>
      <c r="C2331">
        <v>49.45</v>
      </c>
      <c r="D2331">
        <f t="shared" si="262"/>
        <v>236.07</v>
      </c>
      <c r="E2331">
        <v>0.46</v>
      </c>
      <c r="F2331">
        <f t="shared" si="263"/>
        <v>-235.60999999999999</v>
      </c>
      <c r="I2331">
        <f t="shared" si="259"/>
        <v>24</v>
      </c>
      <c r="J2331">
        <v>1</v>
      </c>
      <c r="K2331">
        <f t="shared" si="260"/>
        <v>10</v>
      </c>
      <c r="L2331">
        <f t="shared" si="261"/>
        <v>2016</v>
      </c>
      <c r="N2331" s="17">
        <f t="shared" si="264"/>
        <v>42644</v>
      </c>
      <c r="S2331">
        <f t="shared" si="265"/>
        <v>0</v>
      </c>
    </row>
    <row r="2332" spans="1:19" x14ac:dyDescent="0.3">
      <c r="A2332" s="17">
        <v>42664</v>
      </c>
      <c r="B2332">
        <v>281.73</v>
      </c>
      <c r="C2332">
        <v>48.9</v>
      </c>
      <c r="D2332">
        <f t="shared" si="262"/>
        <v>232.83</v>
      </c>
      <c r="E2332">
        <v>0.46</v>
      </c>
      <c r="F2332">
        <f t="shared" si="263"/>
        <v>-232.37</v>
      </c>
      <c r="I2332">
        <f t="shared" si="259"/>
        <v>21</v>
      </c>
      <c r="J2332">
        <v>1</v>
      </c>
      <c r="K2332">
        <f t="shared" si="260"/>
        <v>10</v>
      </c>
      <c r="L2332">
        <f t="shared" si="261"/>
        <v>2016</v>
      </c>
      <c r="N2332" s="17">
        <f t="shared" si="264"/>
        <v>42644</v>
      </c>
      <c r="S2332">
        <f t="shared" si="265"/>
        <v>0</v>
      </c>
    </row>
    <row r="2333" spans="1:19" x14ac:dyDescent="0.3">
      <c r="A2333" s="17">
        <v>42663</v>
      </c>
      <c r="B2333">
        <v>283.97000000000003</v>
      </c>
      <c r="C2333">
        <v>49.7</v>
      </c>
      <c r="D2333">
        <f t="shared" si="262"/>
        <v>234.27000000000004</v>
      </c>
      <c r="E2333">
        <v>0.48</v>
      </c>
      <c r="F2333">
        <f t="shared" si="263"/>
        <v>-233.79000000000005</v>
      </c>
      <c r="I2333">
        <f t="shared" si="259"/>
        <v>20</v>
      </c>
      <c r="J2333">
        <v>1</v>
      </c>
      <c r="K2333">
        <f t="shared" si="260"/>
        <v>10</v>
      </c>
      <c r="L2333">
        <f t="shared" si="261"/>
        <v>2016</v>
      </c>
      <c r="N2333" s="17">
        <f t="shared" si="264"/>
        <v>42644</v>
      </c>
      <c r="S2333">
        <f t="shared" si="265"/>
        <v>0</v>
      </c>
    </row>
    <row r="2334" spans="1:19" x14ac:dyDescent="0.3">
      <c r="A2334" s="17">
        <v>42662</v>
      </c>
      <c r="B2334">
        <v>284.19</v>
      </c>
      <c r="C2334">
        <v>49.7</v>
      </c>
      <c r="D2334">
        <f t="shared" si="262"/>
        <v>234.49</v>
      </c>
      <c r="E2334">
        <v>0.46</v>
      </c>
      <c r="F2334">
        <f t="shared" si="263"/>
        <v>-234.03</v>
      </c>
      <c r="I2334">
        <f t="shared" si="259"/>
        <v>19</v>
      </c>
      <c r="J2334">
        <v>1</v>
      </c>
      <c r="K2334">
        <f t="shared" si="260"/>
        <v>10</v>
      </c>
      <c r="L2334">
        <f t="shared" si="261"/>
        <v>2016</v>
      </c>
      <c r="N2334" s="17">
        <f t="shared" si="264"/>
        <v>42644</v>
      </c>
      <c r="S2334">
        <f t="shared" si="265"/>
        <v>0</v>
      </c>
    </row>
    <row r="2335" spans="1:19" x14ac:dyDescent="0.3">
      <c r="A2335" s="17">
        <v>42661</v>
      </c>
      <c r="B2335">
        <v>279.76</v>
      </c>
      <c r="C2335">
        <v>49.3</v>
      </c>
      <c r="D2335">
        <f t="shared" si="262"/>
        <v>230.45999999999998</v>
      </c>
      <c r="E2335">
        <v>0.44</v>
      </c>
      <c r="F2335">
        <f t="shared" si="263"/>
        <v>-230.01999999999998</v>
      </c>
      <c r="I2335">
        <f t="shared" si="259"/>
        <v>18</v>
      </c>
      <c r="J2335">
        <v>1</v>
      </c>
      <c r="K2335">
        <f t="shared" si="260"/>
        <v>10</v>
      </c>
      <c r="L2335">
        <f t="shared" si="261"/>
        <v>2016</v>
      </c>
      <c r="N2335" s="17">
        <f t="shared" si="264"/>
        <v>42644</v>
      </c>
      <c r="S2335">
        <f t="shared" si="265"/>
        <v>0</v>
      </c>
    </row>
    <row r="2336" spans="1:19" x14ac:dyDescent="0.3">
      <c r="A2336" s="17">
        <v>42660</v>
      </c>
      <c r="B2336">
        <v>277.43</v>
      </c>
      <c r="C2336">
        <v>49.195</v>
      </c>
      <c r="D2336">
        <f t="shared" si="262"/>
        <v>228.23500000000001</v>
      </c>
      <c r="E2336">
        <v>0.44</v>
      </c>
      <c r="F2336">
        <f t="shared" si="263"/>
        <v>-227.79500000000002</v>
      </c>
      <c r="I2336">
        <f t="shared" si="259"/>
        <v>17</v>
      </c>
      <c r="J2336">
        <v>1</v>
      </c>
      <c r="K2336">
        <f t="shared" si="260"/>
        <v>10</v>
      </c>
      <c r="L2336">
        <f t="shared" si="261"/>
        <v>2016</v>
      </c>
      <c r="N2336" s="17">
        <f t="shared" si="264"/>
        <v>42644</v>
      </c>
      <c r="S2336">
        <f t="shared" si="265"/>
        <v>0</v>
      </c>
    </row>
    <row r="2337" spans="1:19" x14ac:dyDescent="0.3">
      <c r="A2337" s="17">
        <v>42657</v>
      </c>
      <c r="B2337">
        <v>280.81</v>
      </c>
      <c r="C2337">
        <v>49.87</v>
      </c>
      <c r="D2337">
        <f t="shared" si="262"/>
        <v>230.94</v>
      </c>
      <c r="E2337">
        <v>0.44</v>
      </c>
      <c r="F2337">
        <f t="shared" si="263"/>
        <v>-230.5</v>
      </c>
      <c r="I2337">
        <f t="shared" si="259"/>
        <v>14</v>
      </c>
      <c r="J2337">
        <v>1</v>
      </c>
      <c r="K2337">
        <f t="shared" si="260"/>
        <v>10</v>
      </c>
      <c r="L2337">
        <f t="shared" si="261"/>
        <v>2016</v>
      </c>
      <c r="N2337" s="17">
        <f t="shared" si="264"/>
        <v>42644</v>
      </c>
      <c r="S2337">
        <f t="shared" si="265"/>
        <v>0</v>
      </c>
    </row>
    <row r="2338" spans="1:19" x14ac:dyDescent="0.3">
      <c r="A2338" s="17">
        <v>42656</v>
      </c>
      <c r="B2338">
        <v>274.74</v>
      </c>
      <c r="C2338">
        <v>49.11</v>
      </c>
      <c r="D2338">
        <f t="shared" si="262"/>
        <v>225.63</v>
      </c>
      <c r="E2338">
        <v>0.52</v>
      </c>
      <c r="F2338">
        <f t="shared" si="263"/>
        <v>-225.10999999999999</v>
      </c>
      <c r="I2338">
        <f t="shared" si="259"/>
        <v>13</v>
      </c>
      <c r="J2338">
        <v>1</v>
      </c>
      <c r="K2338">
        <f t="shared" si="260"/>
        <v>10</v>
      </c>
      <c r="L2338">
        <f t="shared" si="261"/>
        <v>2016</v>
      </c>
      <c r="N2338" s="17">
        <f t="shared" si="264"/>
        <v>42644</v>
      </c>
      <c r="S2338">
        <f t="shared" si="265"/>
        <v>0</v>
      </c>
    </row>
    <row r="2339" spans="1:19" x14ac:dyDescent="0.3">
      <c r="A2339" s="17">
        <v>42655</v>
      </c>
      <c r="B2339">
        <v>280.35000000000002</v>
      </c>
      <c r="C2339">
        <v>50.03</v>
      </c>
      <c r="D2339">
        <f t="shared" si="262"/>
        <v>230.32000000000002</v>
      </c>
      <c r="E2339">
        <v>0.57999999999999996</v>
      </c>
      <c r="F2339">
        <f t="shared" si="263"/>
        <v>-229.74</v>
      </c>
      <c r="I2339">
        <f t="shared" si="259"/>
        <v>12</v>
      </c>
      <c r="J2339">
        <v>1</v>
      </c>
      <c r="K2339">
        <f t="shared" si="260"/>
        <v>10</v>
      </c>
      <c r="L2339">
        <f t="shared" si="261"/>
        <v>2016</v>
      </c>
      <c r="N2339" s="17">
        <f t="shared" si="264"/>
        <v>42644</v>
      </c>
      <c r="S2339">
        <f t="shared" si="265"/>
        <v>0</v>
      </c>
    </row>
    <row r="2340" spans="1:19" x14ac:dyDescent="0.3">
      <c r="A2340" s="17">
        <v>42654</v>
      </c>
      <c r="B2340">
        <v>283.37</v>
      </c>
      <c r="C2340">
        <v>49.99</v>
      </c>
      <c r="D2340">
        <f t="shared" si="262"/>
        <v>233.38</v>
      </c>
      <c r="E2340">
        <v>0.57999999999999996</v>
      </c>
      <c r="F2340">
        <f t="shared" si="263"/>
        <v>-232.79999999999998</v>
      </c>
      <c r="I2340">
        <f t="shared" si="259"/>
        <v>11</v>
      </c>
      <c r="J2340">
        <v>1</v>
      </c>
      <c r="K2340">
        <f t="shared" si="260"/>
        <v>10</v>
      </c>
      <c r="L2340">
        <f t="shared" si="261"/>
        <v>2016</v>
      </c>
      <c r="N2340" s="17">
        <f t="shared" si="264"/>
        <v>42644</v>
      </c>
      <c r="S2340">
        <f t="shared" si="265"/>
        <v>0</v>
      </c>
    </row>
    <row r="2341" spans="1:19" x14ac:dyDescent="0.3">
      <c r="A2341" s="17">
        <v>42653</v>
      </c>
      <c r="B2341">
        <v>276.36</v>
      </c>
      <c r="C2341">
        <v>48.9</v>
      </c>
      <c r="D2341">
        <f t="shared" si="262"/>
        <v>227.46</v>
      </c>
      <c r="E2341">
        <v>0.5</v>
      </c>
      <c r="F2341">
        <f t="shared" si="263"/>
        <v>-226.96</v>
      </c>
      <c r="I2341">
        <f t="shared" si="259"/>
        <v>10</v>
      </c>
      <c r="J2341">
        <v>1</v>
      </c>
      <c r="K2341">
        <f t="shared" si="260"/>
        <v>10</v>
      </c>
      <c r="L2341">
        <f t="shared" si="261"/>
        <v>2016</v>
      </c>
      <c r="N2341" s="17">
        <f t="shared" si="264"/>
        <v>42644</v>
      </c>
      <c r="S2341">
        <f t="shared" si="265"/>
        <v>0</v>
      </c>
    </row>
    <row r="2342" spans="1:19" x14ac:dyDescent="0.3">
      <c r="A2342" s="17">
        <v>42650</v>
      </c>
      <c r="B2342">
        <v>280.94</v>
      </c>
      <c r="C2342">
        <v>49.99</v>
      </c>
      <c r="D2342">
        <f t="shared" si="262"/>
        <v>230.95</v>
      </c>
      <c r="E2342">
        <v>0.44</v>
      </c>
      <c r="F2342">
        <f t="shared" si="263"/>
        <v>-230.51</v>
      </c>
      <c r="I2342">
        <f t="shared" si="259"/>
        <v>7</v>
      </c>
      <c r="J2342">
        <v>1</v>
      </c>
      <c r="K2342">
        <f t="shared" si="260"/>
        <v>10</v>
      </c>
      <c r="L2342">
        <f t="shared" si="261"/>
        <v>2016</v>
      </c>
      <c r="N2342" s="17">
        <f t="shared" si="264"/>
        <v>42644</v>
      </c>
      <c r="S2342">
        <f t="shared" si="265"/>
        <v>0</v>
      </c>
    </row>
    <row r="2343" spans="1:19" x14ac:dyDescent="0.3">
      <c r="A2343" s="17">
        <v>42649</v>
      </c>
      <c r="B2343">
        <v>269.67</v>
      </c>
      <c r="C2343">
        <v>48.8</v>
      </c>
      <c r="D2343">
        <f t="shared" si="262"/>
        <v>220.87</v>
      </c>
      <c r="E2343">
        <v>0.45</v>
      </c>
      <c r="F2343">
        <f t="shared" si="263"/>
        <v>-220.42000000000002</v>
      </c>
      <c r="I2343">
        <f t="shared" si="259"/>
        <v>6</v>
      </c>
      <c r="J2343">
        <v>1</v>
      </c>
      <c r="K2343">
        <f t="shared" si="260"/>
        <v>10</v>
      </c>
      <c r="L2343">
        <f t="shared" si="261"/>
        <v>2016</v>
      </c>
      <c r="N2343" s="17">
        <f t="shared" si="264"/>
        <v>42644</v>
      </c>
      <c r="S2343">
        <f t="shared" si="265"/>
        <v>0</v>
      </c>
    </row>
    <row r="2344" spans="1:19" x14ac:dyDescent="0.3">
      <c r="A2344" s="17">
        <v>42648</v>
      </c>
      <c r="B2344">
        <v>269.17</v>
      </c>
      <c r="C2344">
        <v>48.8</v>
      </c>
      <c r="D2344">
        <f t="shared" si="262"/>
        <v>220.37</v>
      </c>
      <c r="E2344">
        <v>0.46</v>
      </c>
      <c r="F2344">
        <f t="shared" si="263"/>
        <v>-219.91</v>
      </c>
      <c r="I2344">
        <f t="shared" si="259"/>
        <v>5</v>
      </c>
      <c r="J2344">
        <v>1</v>
      </c>
      <c r="K2344">
        <f t="shared" si="260"/>
        <v>10</v>
      </c>
      <c r="L2344">
        <f t="shared" si="261"/>
        <v>2016</v>
      </c>
      <c r="N2344" s="17">
        <f t="shared" si="264"/>
        <v>42644</v>
      </c>
      <c r="S2344">
        <f t="shared" si="265"/>
        <v>0</v>
      </c>
    </row>
    <row r="2345" spans="1:19" x14ac:dyDescent="0.3">
      <c r="A2345" s="17">
        <v>42647</v>
      </c>
      <c r="B2345">
        <v>259.29000000000002</v>
      </c>
      <c r="C2345">
        <v>47.9</v>
      </c>
      <c r="D2345">
        <f t="shared" si="262"/>
        <v>211.39000000000001</v>
      </c>
      <c r="E2345">
        <v>0.48</v>
      </c>
      <c r="F2345">
        <f t="shared" si="263"/>
        <v>-210.91000000000003</v>
      </c>
      <c r="I2345">
        <f t="shared" si="259"/>
        <v>4</v>
      </c>
      <c r="J2345">
        <v>1</v>
      </c>
      <c r="K2345">
        <f t="shared" si="260"/>
        <v>10</v>
      </c>
      <c r="L2345">
        <f t="shared" si="261"/>
        <v>2016</v>
      </c>
      <c r="N2345" s="17">
        <f t="shared" si="264"/>
        <v>42644</v>
      </c>
      <c r="S2345">
        <f t="shared" si="265"/>
        <v>1</v>
      </c>
    </row>
    <row r="2346" spans="1:19" x14ac:dyDescent="0.3">
      <c r="A2346" s="17">
        <v>42646</v>
      </c>
      <c r="B2346">
        <v>264.83999999999997</v>
      </c>
      <c r="C2346">
        <v>47.95</v>
      </c>
      <c r="D2346">
        <f t="shared" si="262"/>
        <v>216.89</v>
      </c>
      <c r="E2346">
        <v>0.47</v>
      </c>
      <c r="F2346">
        <f t="shared" si="263"/>
        <v>-216.42</v>
      </c>
      <c r="I2346">
        <f t="shared" si="259"/>
        <v>3</v>
      </c>
      <c r="J2346">
        <v>1</v>
      </c>
      <c r="K2346">
        <f t="shared" si="260"/>
        <v>10</v>
      </c>
      <c r="L2346">
        <f t="shared" si="261"/>
        <v>2016</v>
      </c>
      <c r="N2346" s="17">
        <f t="shared" si="264"/>
        <v>42644</v>
      </c>
      <c r="S2346">
        <f t="shared" si="265"/>
        <v>1</v>
      </c>
    </row>
    <row r="2347" spans="1:19" x14ac:dyDescent="0.3">
      <c r="A2347" s="17">
        <v>42643</v>
      </c>
      <c r="B2347">
        <v>255.53</v>
      </c>
      <c r="C2347">
        <v>45.1</v>
      </c>
      <c r="D2347">
        <f t="shared" si="262"/>
        <v>210.43</v>
      </c>
      <c r="E2347">
        <v>0.44</v>
      </c>
      <c r="F2347">
        <f t="shared" si="263"/>
        <v>-209.99</v>
      </c>
      <c r="I2347">
        <f t="shared" si="259"/>
        <v>30</v>
      </c>
      <c r="J2347">
        <v>1</v>
      </c>
      <c r="K2347">
        <f t="shared" si="260"/>
        <v>9</v>
      </c>
      <c r="L2347">
        <f t="shared" si="261"/>
        <v>2016</v>
      </c>
      <c r="N2347" s="17">
        <f t="shared" si="264"/>
        <v>42614</v>
      </c>
      <c r="S2347">
        <f t="shared" si="265"/>
        <v>0</v>
      </c>
    </row>
    <row r="2348" spans="1:19" x14ac:dyDescent="0.3">
      <c r="A2348" s="17">
        <v>42642</v>
      </c>
      <c r="B2348">
        <v>256.32</v>
      </c>
      <c r="C2348">
        <v>44.61</v>
      </c>
      <c r="D2348">
        <f t="shared" si="262"/>
        <v>211.70999999999998</v>
      </c>
      <c r="E2348">
        <v>0.5</v>
      </c>
      <c r="F2348">
        <f t="shared" si="263"/>
        <v>-211.20999999999998</v>
      </c>
      <c r="I2348">
        <f t="shared" si="259"/>
        <v>29</v>
      </c>
      <c r="J2348">
        <v>1</v>
      </c>
      <c r="K2348">
        <f t="shared" si="260"/>
        <v>9</v>
      </c>
      <c r="L2348">
        <f t="shared" si="261"/>
        <v>2016</v>
      </c>
      <c r="N2348" s="17">
        <f t="shared" si="264"/>
        <v>42614</v>
      </c>
      <c r="S2348">
        <f t="shared" si="265"/>
        <v>0</v>
      </c>
    </row>
    <row r="2349" spans="1:19" x14ac:dyDescent="0.3">
      <c r="A2349" s="17">
        <v>42641</v>
      </c>
      <c r="B2349">
        <v>245.84</v>
      </c>
      <c r="C2349">
        <v>42.4</v>
      </c>
      <c r="D2349">
        <f t="shared" si="262"/>
        <v>203.44</v>
      </c>
      <c r="E2349">
        <v>0.67</v>
      </c>
      <c r="F2349">
        <f t="shared" si="263"/>
        <v>-202.77</v>
      </c>
      <c r="I2349">
        <f t="shared" si="259"/>
        <v>28</v>
      </c>
      <c r="J2349">
        <v>1</v>
      </c>
      <c r="K2349">
        <f t="shared" si="260"/>
        <v>9</v>
      </c>
      <c r="L2349">
        <f t="shared" si="261"/>
        <v>2016</v>
      </c>
      <c r="N2349" s="17">
        <f t="shared" si="264"/>
        <v>42614</v>
      </c>
      <c r="S2349">
        <f t="shared" si="265"/>
        <v>0</v>
      </c>
    </row>
    <row r="2350" spans="1:19" x14ac:dyDescent="0.3">
      <c r="A2350" s="17">
        <v>42640</v>
      </c>
      <c r="B2350">
        <v>251.34</v>
      </c>
      <c r="C2350">
        <v>43.05</v>
      </c>
      <c r="D2350">
        <f t="shared" si="262"/>
        <v>208.29000000000002</v>
      </c>
      <c r="E2350">
        <v>0.65</v>
      </c>
      <c r="F2350">
        <f t="shared" si="263"/>
        <v>-207.64000000000001</v>
      </c>
      <c r="I2350">
        <f t="shared" si="259"/>
        <v>27</v>
      </c>
      <c r="J2350">
        <v>1</v>
      </c>
      <c r="K2350">
        <f t="shared" si="260"/>
        <v>9</v>
      </c>
      <c r="L2350">
        <f t="shared" si="261"/>
        <v>2016</v>
      </c>
      <c r="N2350" s="17">
        <f t="shared" si="264"/>
        <v>42614</v>
      </c>
      <c r="S2350">
        <f t="shared" si="265"/>
        <v>0</v>
      </c>
    </row>
    <row r="2351" spans="1:19" x14ac:dyDescent="0.3">
      <c r="A2351" s="17">
        <v>42639</v>
      </c>
      <c r="B2351">
        <v>249.22</v>
      </c>
      <c r="C2351">
        <v>42.2</v>
      </c>
      <c r="D2351">
        <f t="shared" si="262"/>
        <v>207.01999999999998</v>
      </c>
      <c r="E2351">
        <v>0.66</v>
      </c>
      <c r="F2351">
        <f t="shared" si="263"/>
        <v>-206.35999999999999</v>
      </c>
      <c r="I2351">
        <f t="shared" si="259"/>
        <v>26</v>
      </c>
      <c r="J2351">
        <v>1</v>
      </c>
      <c r="K2351">
        <f t="shared" si="260"/>
        <v>9</v>
      </c>
      <c r="L2351">
        <f t="shared" si="261"/>
        <v>2016</v>
      </c>
      <c r="N2351" s="17">
        <f t="shared" si="264"/>
        <v>42614</v>
      </c>
      <c r="S2351">
        <f t="shared" si="265"/>
        <v>0</v>
      </c>
    </row>
    <row r="2352" spans="1:19" x14ac:dyDescent="0.3">
      <c r="A2352" s="17">
        <v>42636</v>
      </c>
      <c r="B2352">
        <v>254.53</v>
      </c>
      <c r="C2352">
        <v>43.45</v>
      </c>
      <c r="D2352">
        <f t="shared" si="262"/>
        <v>211.07999999999998</v>
      </c>
      <c r="E2352">
        <v>0.52</v>
      </c>
      <c r="F2352">
        <f t="shared" si="263"/>
        <v>-210.55999999999997</v>
      </c>
      <c r="I2352">
        <f t="shared" si="259"/>
        <v>23</v>
      </c>
      <c r="J2352">
        <v>1</v>
      </c>
      <c r="K2352">
        <f t="shared" si="260"/>
        <v>9</v>
      </c>
      <c r="L2352">
        <f t="shared" si="261"/>
        <v>2016</v>
      </c>
      <c r="N2352" s="17">
        <f t="shared" si="264"/>
        <v>42614</v>
      </c>
      <c r="S2352">
        <f t="shared" si="265"/>
        <v>0</v>
      </c>
    </row>
    <row r="2353" spans="1:19" x14ac:dyDescent="0.3">
      <c r="A2353" s="17">
        <v>42635</v>
      </c>
      <c r="B2353">
        <v>254.91</v>
      </c>
      <c r="C2353">
        <v>43.61</v>
      </c>
      <c r="D2353">
        <f t="shared" si="262"/>
        <v>211.3</v>
      </c>
      <c r="E2353">
        <v>0.49</v>
      </c>
      <c r="F2353">
        <f t="shared" si="263"/>
        <v>-210.81</v>
      </c>
      <c r="I2353">
        <f t="shared" si="259"/>
        <v>22</v>
      </c>
      <c r="J2353">
        <v>1</v>
      </c>
      <c r="K2353">
        <f t="shared" si="260"/>
        <v>9</v>
      </c>
      <c r="L2353">
        <f t="shared" si="261"/>
        <v>2016</v>
      </c>
      <c r="N2353" s="17">
        <f t="shared" si="264"/>
        <v>42614</v>
      </c>
      <c r="S2353">
        <f t="shared" si="265"/>
        <v>0</v>
      </c>
    </row>
    <row r="2354" spans="1:19" x14ac:dyDescent="0.3">
      <c r="A2354" s="17">
        <v>42634</v>
      </c>
      <c r="B2354">
        <v>253.32</v>
      </c>
      <c r="C2354">
        <v>43.06</v>
      </c>
      <c r="D2354">
        <f t="shared" si="262"/>
        <v>210.26</v>
      </c>
      <c r="E2354">
        <v>0.49</v>
      </c>
      <c r="F2354">
        <f t="shared" si="263"/>
        <v>-209.76999999999998</v>
      </c>
      <c r="I2354">
        <f t="shared" si="259"/>
        <v>21</v>
      </c>
      <c r="J2354">
        <v>1</v>
      </c>
      <c r="K2354">
        <f t="shared" si="260"/>
        <v>9</v>
      </c>
      <c r="L2354">
        <f t="shared" si="261"/>
        <v>2016</v>
      </c>
      <c r="N2354" s="17">
        <f t="shared" si="264"/>
        <v>42614</v>
      </c>
      <c r="S2354">
        <f t="shared" si="265"/>
        <v>0</v>
      </c>
    </row>
    <row r="2355" spans="1:19" x14ac:dyDescent="0.3">
      <c r="A2355" s="17">
        <v>42633</v>
      </c>
      <c r="B2355">
        <v>247.78</v>
      </c>
      <c r="C2355">
        <v>42.01</v>
      </c>
      <c r="D2355">
        <f t="shared" si="262"/>
        <v>205.77</v>
      </c>
      <c r="E2355">
        <v>0.5</v>
      </c>
      <c r="F2355">
        <f t="shared" si="263"/>
        <v>-205.27</v>
      </c>
      <c r="I2355">
        <f t="shared" si="259"/>
        <v>20</v>
      </c>
      <c r="J2355">
        <v>1</v>
      </c>
      <c r="K2355">
        <f t="shared" si="260"/>
        <v>9</v>
      </c>
      <c r="L2355">
        <f t="shared" si="261"/>
        <v>2016</v>
      </c>
      <c r="N2355" s="17">
        <f t="shared" si="264"/>
        <v>42614</v>
      </c>
      <c r="S2355">
        <f t="shared" si="265"/>
        <v>0</v>
      </c>
    </row>
    <row r="2356" spans="1:19" x14ac:dyDescent="0.3">
      <c r="A2356" s="17">
        <v>42632</v>
      </c>
      <c r="B2356">
        <v>247.67</v>
      </c>
      <c r="C2356">
        <v>42.45</v>
      </c>
      <c r="D2356">
        <f t="shared" si="262"/>
        <v>205.21999999999997</v>
      </c>
      <c r="E2356">
        <v>0.49</v>
      </c>
      <c r="F2356">
        <f t="shared" si="263"/>
        <v>-204.72999999999996</v>
      </c>
      <c r="I2356">
        <f t="shared" si="259"/>
        <v>19</v>
      </c>
      <c r="J2356">
        <v>1</v>
      </c>
      <c r="K2356">
        <f t="shared" si="260"/>
        <v>9</v>
      </c>
      <c r="L2356">
        <f t="shared" si="261"/>
        <v>2016</v>
      </c>
      <c r="N2356" s="17">
        <f t="shared" si="264"/>
        <v>42614</v>
      </c>
      <c r="S2356">
        <f t="shared" si="265"/>
        <v>0</v>
      </c>
    </row>
    <row r="2357" spans="1:19" x14ac:dyDescent="0.3">
      <c r="A2357" s="17">
        <v>42629</v>
      </c>
      <c r="B2357">
        <v>245.88</v>
      </c>
      <c r="C2357">
        <v>42.29</v>
      </c>
      <c r="D2357">
        <f t="shared" si="262"/>
        <v>203.59</v>
      </c>
      <c r="E2357">
        <v>0.38</v>
      </c>
      <c r="F2357">
        <f t="shared" si="263"/>
        <v>-203.21</v>
      </c>
      <c r="I2357">
        <f t="shared" si="259"/>
        <v>16</v>
      </c>
      <c r="J2357">
        <v>1</v>
      </c>
      <c r="K2357">
        <f t="shared" si="260"/>
        <v>9</v>
      </c>
      <c r="L2357">
        <f t="shared" si="261"/>
        <v>2016</v>
      </c>
      <c r="N2357" s="17">
        <f t="shared" si="264"/>
        <v>42614</v>
      </c>
      <c r="S2357">
        <f t="shared" si="265"/>
        <v>0</v>
      </c>
    </row>
    <row r="2358" spans="1:19" x14ac:dyDescent="0.3">
      <c r="A2358" s="17">
        <v>42628</v>
      </c>
      <c r="B2358">
        <v>242.08</v>
      </c>
      <c r="C2358">
        <v>41.95</v>
      </c>
      <c r="D2358">
        <f t="shared" si="262"/>
        <v>200.13</v>
      </c>
      <c r="E2358">
        <v>0.37</v>
      </c>
      <c r="F2358">
        <f t="shared" si="263"/>
        <v>-199.76</v>
      </c>
      <c r="I2358">
        <f t="shared" si="259"/>
        <v>15</v>
      </c>
      <c r="J2358">
        <v>1</v>
      </c>
      <c r="K2358">
        <f t="shared" si="260"/>
        <v>9</v>
      </c>
      <c r="L2358">
        <f t="shared" si="261"/>
        <v>2016</v>
      </c>
      <c r="N2358" s="17">
        <f t="shared" si="264"/>
        <v>42614</v>
      </c>
      <c r="S2358">
        <f t="shared" si="265"/>
        <v>0</v>
      </c>
    </row>
    <row r="2359" spans="1:19" x14ac:dyDescent="0.3">
      <c r="A2359" s="17">
        <v>42627</v>
      </c>
      <c r="B2359">
        <v>248.35</v>
      </c>
      <c r="C2359">
        <v>43.61</v>
      </c>
      <c r="D2359">
        <f t="shared" si="262"/>
        <v>204.74</v>
      </c>
      <c r="E2359">
        <v>0.35</v>
      </c>
      <c r="F2359">
        <f t="shared" si="263"/>
        <v>-204.39000000000001</v>
      </c>
      <c r="I2359">
        <f t="shared" si="259"/>
        <v>14</v>
      </c>
      <c r="J2359">
        <v>1</v>
      </c>
      <c r="K2359">
        <f t="shared" si="260"/>
        <v>9</v>
      </c>
      <c r="L2359">
        <f t="shared" si="261"/>
        <v>2016</v>
      </c>
      <c r="N2359" s="17">
        <f t="shared" si="264"/>
        <v>42614</v>
      </c>
      <c r="S2359">
        <f t="shared" si="265"/>
        <v>0</v>
      </c>
    </row>
    <row r="2360" spans="1:19" x14ac:dyDescent="0.3">
      <c r="A2360" s="17">
        <v>42626</v>
      </c>
      <c r="B2360">
        <v>246.79</v>
      </c>
      <c r="C2360">
        <v>43.66</v>
      </c>
      <c r="D2360">
        <f t="shared" si="262"/>
        <v>203.13</v>
      </c>
      <c r="E2360">
        <v>0.36</v>
      </c>
      <c r="F2360">
        <f t="shared" si="263"/>
        <v>-202.76999999999998</v>
      </c>
      <c r="I2360">
        <f t="shared" si="259"/>
        <v>13</v>
      </c>
      <c r="J2360">
        <v>1</v>
      </c>
      <c r="K2360">
        <f t="shared" si="260"/>
        <v>9</v>
      </c>
      <c r="L2360">
        <f t="shared" si="261"/>
        <v>2016</v>
      </c>
      <c r="N2360" s="17">
        <f t="shared" si="264"/>
        <v>42614</v>
      </c>
      <c r="S2360">
        <f t="shared" si="265"/>
        <v>0</v>
      </c>
    </row>
    <row r="2361" spans="1:19" x14ac:dyDescent="0.3">
      <c r="A2361" s="17">
        <v>42622</v>
      </c>
      <c r="B2361">
        <v>258.10000000000002</v>
      </c>
      <c r="C2361">
        <v>45.44</v>
      </c>
      <c r="D2361">
        <f t="shared" si="262"/>
        <v>212.66000000000003</v>
      </c>
      <c r="E2361">
        <v>0.33</v>
      </c>
      <c r="F2361">
        <f t="shared" si="263"/>
        <v>-212.33</v>
      </c>
      <c r="I2361">
        <f t="shared" si="259"/>
        <v>9</v>
      </c>
      <c r="J2361">
        <v>1</v>
      </c>
      <c r="K2361">
        <f t="shared" si="260"/>
        <v>9</v>
      </c>
      <c r="L2361">
        <f t="shared" si="261"/>
        <v>2016</v>
      </c>
      <c r="N2361" s="17">
        <f t="shared" si="264"/>
        <v>42614</v>
      </c>
      <c r="S2361">
        <f t="shared" si="265"/>
        <v>0</v>
      </c>
    </row>
    <row r="2362" spans="1:19" x14ac:dyDescent="0.3">
      <c r="A2362" s="17">
        <v>42621</v>
      </c>
      <c r="B2362">
        <v>254.21</v>
      </c>
      <c r="C2362">
        <v>44.81</v>
      </c>
      <c r="D2362">
        <f t="shared" si="262"/>
        <v>209.4</v>
      </c>
      <c r="E2362">
        <v>0.38</v>
      </c>
      <c r="F2362">
        <f t="shared" si="263"/>
        <v>-209.02</v>
      </c>
      <c r="I2362">
        <f t="shared" si="259"/>
        <v>8</v>
      </c>
      <c r="J2362">
        <v>1</v>
      </c>
      <c r="K2362">
        <f t="shared" si="260"/>
        <v>9</v>
      </c>
      <c r="L2362">
        <f t="shared" si="261"/>
        <v>2016</v>
      </c>
      <c r="N2362" s="17">
        <f t="shared" si="264"/>
        <v>42614</v>
      </c>
      <c r="S2362">
        <f t="shared" si="265"/>
        <v>0</v>
      </c>
    </row>
    <row r="2363" spans="1:19" x14ac:dyDescent="0.3">
      <c r="A2363" s="17">
        <v>42620</v>
      </c>
      <c r="B2363">
        <v>248.74</v>
      </c>
      <c r="C2363">
        <v>43.71</v>
      </c>
      <c r="D2363">
        <f t="shared" si="262"/>
        <v>205.03</v>
      </c>
      <c r="E2363">
        <v>0.36</v>
      </c>
      <c r="F2363">
        <f t="shared" si="263"/>
        <v>-204.67</v>
      </c>
      <c r="I2363">
        <f t="shared" si="259"/>
        <v>7</v>
      </c>
      <c r="J2363">
        <v>1</v>
      </c>
      <c r="K2363">
        <f t="shared" si="260"/>
        <v>9</v>
      </c>
      <c r="L2363">
        <f t="shared" si="261"/>
        <v>2016</v>
      </c>
      <c r="N2363" s="17">
        <f t="shared" si="264"/>
        <v>42614</v>
      </c>
      <c r="S2363">
        <f t="shared" si="265"/>
        <v>0</v>
      </c>
    </row>
    <row r="2364" spans="1:19" x14ac:dyDescent="0.3">
      <c r="A2364" s="17">
        <v>42619</v>
      </c>
      <c r="B2364">
        <v>248.97</v>
      </c>
      <c r="C2364">
        <v>43.41</v>
      </c>
      <c r="D2364">
        <f t="shared" si="262"/>
        <v>205.56</v>
      </c>
      <c r="E2364">
        <v>0.42</v>
      </c>
      <c r="F2364">
        <f t="shared" si="263"/>
        <v>-205.14000000000001</v>
      </c>
      <c r="I2364">
        <f t="shared" si="259"/>
        <v>6</v>
      </c>
      <c r="J2364">
        <v>1</v>
      </c>
      <c r="K2364">
        <f t="shared" si="260"/>
        <v>9</v>
      </c>
      <c r="L2364">
        <f t="shared" si="261"/>
        <v>2016</v>
      </c>
      <c r="N2364" s="17">
        <f t="shared" si="264"/>
        <v>42614</v>
      </c>
      <c r="S2364">
        <f t="shared" si="265"/>
        <v>0</v>
      </c>
    </row>
    <row r="2365" spans="1:19" x14ac:dyDescent="0.3">
      <c r="A2365" s="17">
        <v>42618</v>
      </c>
      <c r="B2365">
        <v>253.9</v>
      </c>
      <c r="C2365">
        <v>44.41</v>
      </c>
      <c r="D2365">
        <f t="shared" si="262"/>
        <v>209.49</v>
      </c>
      <c r="E2365">
        <v>0.41</v>
      </c>
      <c r="F2365">
        <f t="shared" si="263"/>
        <v>-209.08</v>
      </c>
      <c r="I2365">
        <f t="shared" si="259"/>
        <v>5</v>
      </c>
      <c r="J2365">
        <v>1</v>
      </c>
      <c r="K2365">
        <f t="shared" si="260"/>
        <v>9</v>
      </c>
      <c r="L2365">
        <f t="shared" si="261"/>
        <v>2016</v>
      </c>
      <c r="N2365" s="17">
        <f t="shared" si="264"/>
        <v>42614</v>
      </c>
      <c r="S2365">
        <f t="shared" si="265"/>
        <v>0</v>
      </c>
    </row>
    <row r="2366" spans="1:19" x14ac:dyDescent="0.3">
      <c r="A2366" s="17">
        <v>42615</v>
      </c>
      <c r="B2366">
        <v>237.91</v>
      </c>
      <c r="C2366">
        <v>41.7</v>
      </c>
      <c r="D2366">
        <f t="shared" si="262"/>
        <v>196.20999999999998</v>
      </c>
      <c r="E2366">
        <v>0.38</v>
      </c>
      <c r="F2366">
        <f t="shared" si="263"/>
        <v>-195.82999999999998</v>
      </c>
      <c r="I2366">
        <f t="shared" si="259"/>
        <v>2</v>
      </c>
      <c r="J2366">
        <v>1</v>
      </c>
      <c r="K2366">
        <f t="shared" si="260"/>
        <v>9</v>
      </c>
      <c r="L2366">
        <f t="shared" si="261"/>
        <v>2016</v>
      </c>
      <c r="N2366" s="17">
        <f t="shared" si="264"/>
        <v>42614</v>
      </c>
      <c r="S2366">
        <f t="shared" si="265"/>
        <v>1</v>
      </c>
    </row>
    <row r="2367" spans="1:19" x14ac:dyDescent="0.3">
      <c r="A2367" s="17">
        <v>42614</v>
      </c>
      <c r="B2367">
        <v>244.22</v>
      </c>
      <c r="C2367">
        <v>42.99</v>
      </c>
      <c r="D2367">
        <f t="shared" si="262"/>
        <v>201.23</v>
      </c>
      <c r="E2367">
        <v>0.41</v>
      </c>
      <c r="F2367">
        <f t="shared" si="263"/>
        <v>-200.82</v>
      </c>
      <c r="I2367">
        <f t="shared" si="259"/>
        <v>1</v>
      </c>
      <c r="J2367">
        <v>1</v>
      </c>
      <c r="K2367">
        <f t="shared" si="260"/>
        <v>9</v>
      </c>
      <c r="L2367">
        <f t="shared" si="261"/>
        <v>2016</v>
      </c>
      <c r="N2367" s="17">
        <f t="shared" si="264"/>
        <v>42614</v>
      </c>
      <c r="S2367">
        <f t="shared" si="265"/>
        <v>1</v>
      </c>
    </row>
    <row r="2368" spans="1:19" x14ac:dyDescent="0.3">
      <c r="A2368" s="17">
        <v>42613</v>
      </c>
      <c r="B2368">
        <v>252</v>
      </c>
      <c r="C2368">
        <v>44.81</v>
      </c>
      <c r="D2368">
        <f t="shared" si="262"/>
        <v>207.19</v>
      </c>
      <c r="E2368">
        <v>0.35</v>
      </c>
      <c r="F2368">
        <f t="shared" si="263"/>
        <v>-206.84</v>
      </c>
      <c r="I2368">
        <f t="shared" si="259"/>
        <v>31</v>
      </c>
      <c r="J2368">
        <v>1</v>
      </c>
      <c r="K2368">
        <f t="shared" si="260"/>
        <v>8</v>
      </c>
      <c r="L2368">
        <f t="shared" si="261"/>
        <v>2016</v>
      </c>
      <c r="N2368" s="17">
        <f t="shared" si="264"/>
        <v>42583</v>
      </c>
      <c r="S2368">
        <f t="shared" si="265"/>
        <v>0</v>
      </c>
    </row>
    <row r="2369" spans="1:19" x14ac:dyDescent="0.3">
      <c r="A2369" s="17">
        <v>42612</v>
      </c>
      <c r="B2369">
        <v>256.77999999999997</v>
      </c>
      <c r="C2369">
        <v>46.2</v>
      </c>
      <c r="D2369">
        <f t="shared" si="262"/>
        <v>210.57999999999998</v>
      </c>
      <c r="E2369">
        <v>0.36</v>
      </c>
      <c r="F2369">
        <f t="shared" si="263"/>
        <v>-210.21999999999997</v>
      </c>
      <c r="I2369">
        <f t="shared" si="259"/>
        <v>30</v>
      </c>
      <c r="J2369">
        <v>1</v>
      </c>
      <c r="K2369">
        <f t="shared" si="260"/>
        <v>8</v>
      </c>
      <c r="L2369">
        <f t="shared" si="261"/>
        <v>2016</v>
      </c>
      <c r="N2369" s="17">
        <f t="shared" si="264"/>
        <v>42583</v>
      </c>
      <c r="S2369">
        <f t="shared" si="265"/>
        <v>0</v>
      </c>
    </row>
    <row r="2370" spans="1:19" x14ac:dyDescent="0.3">
      <c r="A2370" s="17">
        <v>42611</v>
      </c>
      <c r="B2370">
        <v>251.81</v>
      </c>
      <c r="C2370">
        <v>45.86</v>
      </c>
      <c r="D2370">
        <f t="shared" si="262"/>
        <v>205.95</v>
      </c>
      <c r="E2370">
        <v>0.35</v>
      </c>
      <c r="F2370">
        <f t="shared" si="263"/>
        <v>-205.6</v>
      </c>
      <c r="I2370">
        <f t="shared" si="259"/>
        <v>29</v>
      </c>
      <c r="J2370">
        <v>1</v>
      </c>
      <c r="K2370">
        <f t="shared" si="260"/>
        <v>8</v>
      </c>
      <c r="L2370">
        <f t="shared" si="261"/>
        <v>2016</v>
      </c>
      <c r="N2370" s="17">
        <f t="shared" si="264"/>
        <v>42583</v>
      </c>
      <c r="S2370">
        <f t="shared" si="265"/>
        <v>0</v>
      </c>
    </row>
    <row r="2371" spans="1:19" x14ac:dyDescent="0.3">
      <c r="A2371" s="17">
        <v>42608</v>
      </c>
      <c r="B2371">
        <v>253.29</v>
      </c>
      <c r="C2371">
        <v>46.11</v>
      </c>
      <c r="D2371">
        <f t="shared" si="262"/>
        <v>207.18</v>
      </c>
      <c r="E2371">
        <v>0.3</v>
      </c>
      <c r="F2371">
        <f t="shared" si="263"/>
        <v>-206.88</v>
      </c>
      <c r="I2371">
        <f t="shared" si="259"/>
        <v>26</v>
      </c>
      <c r="J2371">
        <v>1</v>
      </c>
      <c r="K2371">
        <f t="shared" si="260"/>
        <v>8</v>
      </c>
      <c r="L2371">
        <f t="shared" si="261"/>
        <v>2016</v>
      </c>
      <c r="N2371" s="17">
        <f t="shared" si="264"/>
        <v>42583</v>
      </c>
      <c r="S2371">
        <f t="shared" si="265"/>
        <v>0</v>
      </c>
    </row>
    <row r="2372" spans="1:19" x14ac:dyDescent="0.3">
      <c r="A2372" s="17">
        <v>42607</v>
      </c>
      <c r="B2372">
        <v>248.08</v>
      </c>
      <c r="C2372">
        <v>45.61</v>
      </c>
      <c r="D2372">
        <f t="shared" si="262"/>
        <v>202.47000000000003</v>
      </c>
      <c r="E2372">
        <v>0.31</v>
      </c>
      <c r="F2372">
        <f t="shared" si="263"/>
        <v>-202.16000000000003</v>
      </c>
      <c r="I2372">
        <f t="shared" si="259"/>
        <v>25</v>
      </c>
      <c r="J2372">
        <v>1</v>
      </c>
      <c r="K2372">
        <f t="shared" si="260"/>
        <v>8</v>
      </c>
      <c r="L2372">
        <f t="shared" si="261"/>
        <v>2016</v>
      </c>
      <c r="N2372" s="17">
        <f t="shared" si="264"/>
        <v>42583</v>
      </c>
      <c r="S2372">
        <f t="shared" si="265"/>
        <v>0</v>
      </c>
    </row>
    <row r="2373" spans="1:19" x14ac:dyDescent="0.3">
      <c r="A2373" s="17">
        <v>42606</v>
      </c>
      <c r="B2373">
        <v>249.94</v>
      </c>
      <c r="C2373">
        <v>45.95</v>
      </c>
      <c r="D2373">
        <f t="shared" si="262"/>
        <v>203.99</v>
      </c>
      <c r="E2373">
        <v>0.37</v>
      </c>
      <c r="F2373">
        <f t="shared" si="263"/>
        <v>-203.62</v>
      </c>
      <c r="I2373">
        <f t="shared" ref="I2373:I2436" si="266">+DAY(A2373)</f>
        <v>24</v>
      </c>
      <c r="J2373">
        <v>1</v>
      </c>
      <c r="K2373">
        <f t="shared" ref="K2373:K2436" si="267">+MONTH(A2373)</f>
        <v>8</v>
      </c>
      <c r="L2373">
        <f t="shared" ref="L2373:L2436" si="268">+YEAR(A2373)</f>
        <v>2016</v>
      </c>
      <c r="N2373" s="17">
        <f t="shared" si="264"/>
        <v>42583</v>
      </c>
      <c r="S2373">
        <f t="shared" si="265"/>
        <v>0</v>
      </c>
    </row>
    <row r="2374" spans="1:19" x14ac:dyDescent="0.3">
      <c r="A2374" s="17">
        <v>42605</v>
      </c>
      <c r="B2374">
        <v>248.08</v>
      </c>
      <c r="C2374">
        <v>45.4</v>
      </c>
      <c r="D2374">
        <f t="shared" ref="D2374:D2437" si="269">+B2374-C2374</f>
        <v>202.68</v>
      </c>
      <c r="E2374">
        <v>0.34</v>
      </c>
      <c r="F2374">
        <f t="shared" ref="F2374:F2437" si="270">+E2374-D2374</f>
        <v>-202.34</v>
      </c>
      <c r="I2374">
        <f t="shared" si="266"/>
        <v>23</v>
      </c>
      <c r="J2374">
        <v>1</v>
      </c>
      <c r="K2374">
        <f t="shared" si="267"/>
        <v>8</v>
      </c>
      <c r="L2374">
        <f t="shared" si="268"/>
        <v>2016</v>
      </c>
      <c r="N2374" s="17">
        <f t="shared" ref="N2374:N2437" si="271">+DATE(L2374,K2374,J2374)</f>
        <v>42583</v>
      </c>
      <c r="S2374">
        <f t="shared" ref="S2374:S2437" si="272">IF(AND(I2374&gt;=1, I2374&lt;=4), 1, 0)</f>
        <v>0</v>
      </c>
    </row>
    <row r="2375" spans="1:19" x14ac:dyDescent="0.3">
      <c r="A2375" s="17">
        <v>42604</v>
      </c>
      <c r="B2375">
        <v>257.95999999999998</v>
      </c>
      <c r="C2375">
        <v>46.75</v>
      </c>
      <c r="D2375">
        <f t="shared" si="269"/>
        <v>211.20999999999998</v>
      </c>
      <c r="E2375">
        <v>0.4</v>
      </c>
      <c r="F2375">
        <f t="shared" si="270"/>
        <v>-210.80999999999997</v>
      </c>
      <c r="I2375">
        <f t="shared" si="266"/>
        <v>22</v>
      </c>
      <c r="J2375">
        <v>1</v>
      </c>
      <c r="K2375">
        <f t="shared" si="267"/>
        <v>8</v>
      </c>
      <c r="L2375">
        <f t="shared" si="268"/>
        <v>2016</v>
      </c>
      <c r="N2375" s="17">
        <f t="shared" si="271"/>
        <v>42583</v>
      </c>
      <c r="S2375">
        <f t="shared" si="272"/>
        <v>0</v>
      </c>
    </row>
    <row r="2376" spans="1:19" x14ac:dyDescent="0.3">
      <c r="A2376" s="17">
        <v>42601</v>
      </c>
      <c r="B2376">
        <v>259.61</v>
      </c>
      <c r="C2376">
        <v>47.21</v>
      </c>
      <c r="D2376">
        <f t="shared" si="269"/>
        <v>212.4</v>
      </c>
      <c r="E2376">
        <v>0.42</v>
      </c>
      <c r="F2376">
        <f t="shared" si="270"/>
        <v>-211.98000000000002</v>
      </c>
      <c r="I2376">
        <f t="shared" si="266"/>
        <v>19</v>
      </c>
      <c r="J2376">
        <v>1</v>
      </c>
      <c r="K2376">
        <f t="shared" si="267"/>
        <v>8</v>
      </c>
      <c r="L2376">
        <f t="shared" si="268"/>
        <v>2016</v>
      </c>
      <c r="N2376" s="17">
        <f t="shared" si="271"/>
        <v>42583</v>
      </c>
      <c r="S2376">
        <f t="shared" si="272"/>
        <v>0</v>
      </c>
    </row>
    <row r="2377" spans="1:19" x14ac:dyDescent="0.3">
      <c r="A2377" s="17">
        <v>42600</v>
      </c>
      <c r="B2377">
        <v>255.52</v>
      </c>
      <c r="C2377">
        <v>46.7</v>
      </c>
      <c r="D2377">
        <f t="shared" si="269"/>
        <v>208.82</v>
      </c>
      <c r="E2377">
        <v>0.41</v>
      </c>
      <c r="F2377">
        <f t="shared" si="270"/>
        <v>-208.41</v>
      </c>
      <c r="I2377">
        <f t="shared" si="266"/>
        <v>18</v>
      </c>
      <c r="J2377">
        <v>1</v>
      </c>
      <c r="K2377">
        <f t="shared" si="267"/>
        <v>8</v>
      </c>
      <c r="L2377">
        <f t="shared" si="268"/>
        <v>2016</v>
      </c>
      <c r="N2377" s="17">
        <f t="shared" si="271"/>
        <v>42583</v>
      </c>
      <c r="S2377">
        <f t="shared" si="272"/>
        <v>0</v>
      </c>
    </row>
    <row r="2378" spans="1:19" x14ac:dyDescent="0.3">
      <c r="A2378" s="17">
        <v>42599</v>
      </c>
      <c r="B2378">
        <v>248.91</v>
      </c>
      <c r="C2378">
        <v>45.91</v>
      </c>
      <c r="D2378">
        <f t="shared" si="269"/>
        <v>203</v>
      </c>
      <c r="E2378">
        <v>0.38</v>
      </c>
      <c r="F2378">
        <f t="shared" si="270"/>
        <v>-202.62</v>
      </c>
      <c r="I2378">
        <f t="shared" si="266"/>
        <v>17</v>
      </c>
      <c r="J2378">
        <v>1</v>
      </c>
      <c r="K2378">
        <f t="shared" si="267"/>
        <v>8</v>
      </c>
      <c r="L2378">
        <f t="shared" si="268"/>
        <v>2016</v>
      </c>
      <c r="N2378" s="17">
        <f t="shared" si="271"/>
        <v>42583</v>
      </c>
      <c r="S2378">
        <f t="shared" si="272"/>
        <v>0</v>
      </c>
    </row>
    <row r="2379" spans="1:19" x14ac:dyDescent="0.3">
      <c r="A2379" s="17">
        <v>42598</v>
      </c>
      <c r="B2379">
        <v>242.9</v>
      </c>
      <c r="C2379">
        <v>45.76</v>
      </c>
      <c r="D2379">
        <f t="shared" si="269"/>
        <v>197.14000000000001</v>
      </c>
      <c r="E2379">
        <v>0.39</v>
      </c>
      <c r="F2379">
        <f t="shared" si="270"/>
        <v>-196.75000000000003</v>
      </c>
      <c r="I2379">
        <f t="shared" si="266"/>
        <v>16</v>
      </c>
      <c r="J2379">
        <v>1</v>
      </c>
      <c r="K2379">
        <f t="shared" si="267"/>
        <v>8</v>
      </c>
      <c r="L2379">
        <f t="shared" si="268"/>
        <v>2016</v>
      </c>
      <c r="N2379" s="17">
        <f t="shared" si="271"/>
        <v>42583</v>
      </c>
      <c r="S2379">
        <f t="shared" si="272"/>
        <v>0</v>
      </c>
    </row>
    <row r="2380" spans="1:19" x14ac:dyDescent="0.3">
      <c r="A2380" s="17">
        <v>42597</v>
      </c>
      <c r="B2380">
        <v>234.67</v>
      </c>
      <c r="C2380">
        <v>44.4</v>
      </c>
      <c r="D2380">
        <f t="shared" si="269"/>
        <v>190.26999999999998</v>
      </c>
      <c r="E2380">
        <v>0.41</v>
      </c>
      <c r="F2380">
        <f t="shared" si="270"/>
        <v>-189.85999999999999</v>
      </c>
      <c r="I2380">
        <f t="shared" si="266"/>
        <v>15</v>
      </c>
      <c r="J2380">
        <v>1</v>
      </c>
      <c r="K2380">
        <f t="shared" si="267"/>
        <v>8</v>
      </c>
      <c r="L2380">
        <f t="shared" si="268"/>
        <v>2016</v>
      </c>
      <c r="N2380" s="17">
        <f t="shared" si="271"/>
        <v>42583</v>
      </c>
      <c r="S2380">
        <f t="shared" si="272"/>
        <v>0</v>
      </c>
    </row>
    <row r="2381" spans="1:19" x14ac:dyDescent="0.3">
      <c r="A2381" s="17">
        <v>42594</v>
      </c>
      <c r="B2381">
        <v>226.31</v>
      </c>
      <c r="C2381">
        <v>42.91</v>
      </c>
      <c r="D2381">
        <f t="shared" si="269"/>
        <v>183.4</v>
      </c>
      <c r="E2381">
        <v>0.44</v>
      </c>
      <c r="F2381">
        <f t="shared" si="270"/>
        <v>-182.96</v>
      </c>
      <c r="I2381">
        <f t="shared" si="266"/>
        <v>12</v>
      </c>
      <c r="J2381">
        <v>1</v>
      </c>
      <c r="K2381">
        <f t="shared" si="267"/>
        <v>8</v>
      </c>
      <c r="L2381">
        <f t="shared" si="268"/>
        <v>2016</v>
      </c>
      <c r="N2381" s="17">
        <f t="shared" si="271"/>
        <v>42583</v>
      </c>
      <c r="S2381">
        <f t="shared" si="272"/>
        <v>0</v>
      </c>
    </row>
    <row r="2382" spans="1:19" x14ac:dyDescent="0.3">
      <c r="A2382" s="17">
        <v>42593</v>
      </c>
      <c r="B2382">
        <v>213.67</v>
      </c>
      <c r="C2382">
        <v>40.51</v>
      </c>
      <c r="D2382">
        <f t="shared" si="269"/>
        <v>173.16</v>
      </c>
      <c r="E2382">
        <v>0.43</v>
      </c>
      <c r="F2382">
        <f t="shared" si="270"/>
        <v>-172.73</v>
      </c>
      <c r="I2382">
        <f t="shared" si="266"/>
        <v>11</v>
      </c>
      <c r="J2382">
        <v>1</v>
      </c>
      <c r="K2382">
        <f t="shared" si="267"/>
        <v>8</v>
      </c>
      <c r="L2382">
        <f t="shared" si="268"/>
        <v>2016</v>
      </c>
      <c r="N2382" s="17">
        <f t="shared" si="271"/>
        <v>42583</v>
      </c>
      <c r="S2382">
        <f t="shared" si="272"/>
        <v>0</v>
      </c>
    </row>
    <row r="2383" spans="1:19" x14ac:dyDescent="0.3">
      <c r="A2383" s="17">
        <v>42592</v>
      </c>
      <c r="B2383">
        <v>218.13</v>
      </c>
      <c r="C2383">
        <v>41.36</v>
      </c>
      <c r="D2383">
        <f t="shared" si="269"/>
        <v>176.76999999999998</v>
      </c>
      <c r="E2383">
        <v>0.44</v>
      </c>
      <c r="F2383">
        <f t="shared" si="270"/>
        <v>-176.32999999999998</v>
      </c>
      <c r="I2383">
        <f t="shared" si="266"/>
        <v>10</v>
      </c>
      <c r="J2383">
        <v>1</v>
      </c>
      <c r="K2383">
        <f t="shared" si="267"/>
        <v>8</v>
      </c>
      <c r="L2383">
        <f t="shared" si="268"/>
        <v>2016</v>
      </c>
      <c r="N2383" s="17">
        <f t="shared" si="271"/>
        <v>42583</v>
      </c>
      <c r="S2383">
        <f t="shared" si="272"/>
        <v>0</v>
      </c>
    </row>
    <row r="2384" spans="1:19" x14ac:dyDescent="0.3">
      <c r="A2384" s="17">
        <v>42590</v>
      </c>
      <c r="B2384">
        <v>220.9</v>
      </c>
      <c r="C2384">
        <v>41.61</v>
      </c>
      <c r="D2384">
        <f t="shared" si="269"/>
        <v>179.29000000000002</v>
      </c>
      <c r="E2384">
        <v>0.43</v>
      </c>
      <c r="F2384">
        <f t="shared" si="270"/>
        <v>-178.86</v>
      </c>
      <c r="I2384">
        <f t="shared" si="266"/>
        <v>8</v>
      </c>
      <c r="J2384">
        <v>1</v>
      </c>
      <c r="K2384">
        <f t="shared" si="267"/>
        <v>8</v>
      </c>
      <c r="L2384">
        <f t="shared" si="268"/>
        <v>2016</v>
      </c>
      <c r="N2384" s="17">
        <f t="shared" si="271"/>
        <v>42583</v>
      </c>
      <c r="S2384">
        <f t="shared" si="272"/>
        <v>0</v>
      </c>
    </row>
    <row r="2385" spans="1:19" x14ac:dyDescent="0.3">
      <c r="A2385" s="17">
        <v>42587</v>
      </c>
      <c r="B2385">
        <v>217.82</v>
      </c>
      <c r="C2385">
        <v>40.76</v>
      </c>
      <c r="D2385">
        <f t="shared" si="269"/>
        <v>177.06</v>
      </c>
      <c r="E2385">
        <v>0.41</v>
      </c>
      <c r="F2385">
        <f t="shared" si="270"/>
        <v>-176.65</v>
      </c>
      <c r="I2385">
        <f t="shared" si="266"/>
        <v>5</v>
      </c>
      <c r="J2385">
        <v>1</v>
      </c>
      <c r="K2385">
        <f t="shared" si="267"/>
        <v>8</v>
      </c>
      <c r="L2385">
        <f t="shared" si="268"/>
        <v>2016</v>
      </c>
      <c r="N2385" s="17">
        <f t="shared" si="271"/>
        <v>42583</v>
      </c>
      <c r="S2385">
        <f t="shared" si="272"/>
        <v>0</v>
      </c>
    </row>
    <row r="2386" spans="1:19" x14ac:dyDescent="0.3">
      <c r="A2386" s="17">
        <v>42586</v>
      </c>
      <c r="B2386">
        <v>213.72</v>
      </c>
      <c r="C2386">
        <v>40.01</v>
      </c>
      <c r="D2386">
        <f t="shared" si="269"/>
        <v>173.71</v>
      </c>
      <c r="E2386">
        <v>0.41</v>
      </c>
      <c r="F2386">
        <f t="shared" si="270"/>
        <v>-173.3</v>
      </c>
      <c r="I2386">
        <f t="shared" si="266"/>
        <v>4</v>
      </c>
      <c r="J2386">
        <v>1</v>
      </c>
      <c r="K2386">
        <f t="shared" si="267"/>
        <v>8</v>
      </c>
      <c r="L2386">
        <f t="shared" si="268"/>
        <v>2016</v>
      </c>
      <c r="N2386" s="17">
        <f t="shared" si="271"/>
        <v>42583</v>
      </c>
      <c r="S2386">
        <f t="shared" si="272"/>
        <v>1</v>
      </c>
    </row>
    <row r="2387" spans="1:19" x14ac:dyDescent="0.3">
      <c r="A2387" s="17">
        <v>42585</v>
      </c>
      <c r="B2387">
        <v>203.95</v>
      </c>
      <c r="C2387">
        <v>38.6</v>
      </c>
      <c r="D2387">
        <f t="shared" si="269"/>
        <v>165.35</v>
      </c>
      <c r="E2387">
        <v>0.32</v>
      </c>
      <c r="F2387">
        <f t="shared" si="270"/>
        <v>-165.03</v>
      </c>
      <c r="I2387">
        <f t="shared" si="266"/>
        <v>3</v>
      </c>
      <c r="J2387">
        <v>1</v>
      </c>
      <c r="K2387">
        <f t="shared" si="267"/>
        <v>8</v>
      </c>
      <c r="L2387">
        <f t="shared" si="268"/>
        <v>2016</v>
      </c>
      <c r="N2387" s="17">
        <f t="shared" si="271"/>
        <v>42583</v>
      </c>
      <c r="S2387">
        <f t="shared" si="272"/>
        <v>1</v>
      </c>
    </row>
    <row r="2388" spans="1:19" x14ac:dyDescent="0.3">
      <c r="A2388" s="17">
        <v>42584</v>
      </c>
      <c r="B2388">
        <v>206.68</v>
      </c>
      <c r="C2388">
        <v>38.909999999999997</v>
      </c>
      <c r="D2388">
        <f t="shared" si="269"/>
        <v>167.77</v>
      </c>
      <c r="E2388">
        <v>0.35</v>
      </c>
      <c r="F2388">
        <f t="shared" si="270"/>
        <v>-167.42000000000002</v>
      </c>
      <c r="I2388">
        <f t="shared" si="266"/>
        <v>2</v>
      </c>
      <c r="J2388">
        <v>1</v>
      </c>
      <c r="K2388">
        <f t="shared" si="267"/>
        <v>8</v>
      </c>
      <c r="L2388">
        <f t="shared" si="268"/>
        <v>2016</v>
      </c>
      <c r="N2388" s="17">
        <f t="shared" si="271"/>
        <v>42583</v>
      </c>
      <c r="S2388">
        <f t="shared" si="272"/>
        <v>1</v>
      </c>
    </row>
    <row r="2389" spans="1:19" x14ac:dyDescent="0.3">
      <c r="A2389" s="17">
        <v>42583</v>
      </c>
      <c r="B2389">
        <v>215.14</v>
      </c>
      <c r="C2389">
        <v>40.11</v>
      </c>
      <c r="D2389">
        <f t="shared" si="269"/>
        <v>175.02999999999997</v>
      </c>
      <c r="E2389">
        <v>0.37</v>
      </c>
      <c r="F2389">
        <f t="shared" si="270"/>
        <v>-174.65999999999997</v>
      </c>
      <c r="I2389">
        <f t="shared" si="266"/>
        <v>1</v>
      </c>
      <c r="J2389">
        <v>1</v>
      </c>
      <c r="K2389">
        <f t="shared" si="267"/>
        <v>8</v>
      </c>
      <c r="L2389">
        <f t="shared" si="268"/>
        <v>2016</v>
      </c>
      <c r="N2389" s="17">
        <f t="shared" si="271"/>
        <v>42583</v>
      </c>
      <c r="S2389">
        <f t="shared" si="272"/>
        <v>1</v>
      </c>
    </row>
    <row r="2390" spans="1:19" x14ac:dyDescent="0.3">
      <c r="A2390" s="17">
        <v>42580</v>
      </c>
      <c r="B2390">
        <v>213</v>
      </c>
      <c r="C2390">
        <v>38.700000000000003</v>
      </c>
      <c r="D2390">
        <f t="shared" si="269"/>
        <v>174.3</v>
      </c>
      <c r="E2390">
        <v>0.33</v>
      </c>
      <c r="F2390">
        <f t="shared" si="270"/>
        <v>-173.97</v>
      </c>
      <c r="I2390">
        <f t="shared" si="266"/>
        <v>29</v>
      </c>
      <c r="J2390">
        <v>1</v>
      </c>
      <c r="K2390">
        <f t="shared" si="267"/>
        <v>7</v>
      </c>
      <c r="L2390">
        <f t="shared" si="268"/>
        <v>2016</v>
      </c>
      <c r="N2390" s="17">
        <f t="shared" si="271"/>
        <v>42552</v>
      </c>
      <c r="S2390">
        <f t="shared" si="272"/>
        <v>0</v>
      </c>
    </row>
    <row r="2391" spans="1:19" x14ac:dyDescent="0.3">
      <c r="A2391" s="17">
        <v>42579</v>
      </c>
      <c r="B2391">
        <v>217.48</v>
      </c>
      <c r="C2391">
        <v>39.9</v>
      </c>
      <c r="D2391">
        <f t="shared" si="269"/>
        <v>177.57999999999998</v>
      </c>
      <c r="E2391">
        <v>0.34</v>
      </c>
      <c r="F2391">
        <f t="shared" si="270"/>
        <v>-177.23999999999998</v>
      </c>
      <c r="I2391">
        <f t="shared" si="266"/>
        <v>28</v>
      </c>
      <c r="J2391">
        <v>1</v>
      </c>
      <c r="K2391">
        <f t="shared" si="267"/>
        <v>7</v>
      </c>
      <c r="L2391">
        <f t="shared" si="268"/>
        <v>2016</v>
      </c>
      <c r="N2391" s="17">
        <f t="shared" si="271"/>
        <v>42552</v>
      </c>
      <c r="S2391">
        <f t="shared" si="272"/>
        <v>0</v>
      </c>
    </row>
    <row r="2392" spans="1:19" x14ac:dyDescent="0.3">
      <c r="A2392" s="17">
        <v>42578</v>
      </c>
      <c r="B2392">
        <v>221.05</v>
      </c>
      <c r="C2392">
        <v>40.6</v>
      </c>
      <c r="D2392">
        <f t="shared" si="269"/>
        <v>180.45000000000002</v>
      </c>
      <c r="E2392">
        <v>0.45</v>
      </c>
      <c r="F2392">
        <f t="shared" si="270"/>
        <v>-180.00000000000003</v>
      </c>
      <c r="I2392">
        <f t="shared" si="266"/>
        <v>27</v>
      </c>
      <c r="J2392">
        <v>1</v>
      </c>
      <c r="K2392">
        <f t="shared" si="267"/>
        <v>7</v>
      </c>
      <c r="L2392">
        <f t="shared" si="268"/>
        <v>2016</v>
      </c>
      <c r="N2392" s="17">
        <f t="shared" si="271"/>
        <v>42552</v>
      </c>
      <c r="S2392">
        <f t="shared" si="272"/>
        <v>0</v>
      </c>
    </row>
    <row r="2393" spans="1:19" x14ac:dyDescent="0.3">
      <c r="A2393" s="17">
        <v>42577</v>
      </c>
      <c r="B2393">
        <v>220.41</v>
      </c>
      <c r="C2393">
        <v>40.4</v>
      </c>
      <c r="D2393">
        <f t="shared" si="269"/>
        <v>180.01</v>
      </c>
      <c r="E2393">
        <v>0.48</v>
      </c>
      <c r="F2393">
        <f t="shared" si="270"/>
        <v>-179.53</v>
      </c>
      <c r="I2393">
        <f t="shared" si="266"/>
        <v>26</v>
      </c>
      <c r="J2393">
        <v>1</v>
      </c>
      <c r="K2393">
        <f t="shared" si="267"/>
        <v>7</v>
      </c>
      <c r="L2393">
        <f t="shared" si="268"/>
        <v>2016</v>
      </c>
      <c r="N2393" s="17">
        <f t="shared" si="271"/>
        <v>42552</v>
      </c>
      <c r="S2393">
        <f t="shared" si="272"/>
        <v>0</v>
      </c>
    </row>
    <row r="2394" spans="1:19" x14ac:dyDescent="0.3">
      <c r="A2394" s="17">
        <v>42576</v>
      </c>
      <c r="B2394">
        <v>227.15</v>
      </c>
      <c r="C2394">
        <v>41.28</v>
      </c>
      <c r="D2394">
        <f t="shared" si="269"/>
        <v>185.87</v>
      </c>
      <c r="E2394">
        <v>0.54</v>
      </c>
      <c r="F2394">
        <f t="shared" si="270"/>
        <v>-185.33</v>
      </c>
      <c r="I2394">
        <f t="shared" si="266"/>
        <v>25</v>
      </c>
      <c r="J2394">
        <v>1</v>
      </c>
      <c r="K2394">
        <f t="shared" si="267"/>
        <v>7</v>
      </c>
      <c r="L2394">
        <f t="shared" si="268"/>
        <v>2016</v>
      </c>
      <c r="N2394" s="17">
        <f t="shared" si="271"/>
        <v>42552</v>
      </c>
      <c r="S2394">
        <f t="shared" si="272"/>
        <v>0</v>
      </c>
    </row>
    <row r="2395" spans="1:19" x14ac:dyDescent="0.3">
      <c r="A2395" s="17">
        <v>42573</v>
      </c>
      <c r="B2395">
        <v>226.63</v>
      </c>
      <c r="C2395">
        <v>41.55</v>
      </c>
      <c r="D2395">
        <f t="shared" si="269"/>
        <v>185.07999999999998</v>
      </c>
      <c r="E2395">
        <v>0.41</v>
      </c>
      <c r="F2395">
        <f t="shared" si="270"/>
        <v>-184.67</v>
      </c>
      <c r="I2395">
        <f t="shared" si="266"/>
        <v>22</v>
      </c>
      <c r="J2395">
        <v>1</v>
      </c>
      <c r="K2395">
        <f t="shared" si="267"/>
        <v>7</v>
      </c>
      <c r="L2395">
        <f t="shared" si="268"/>
        <v>2016</v>
      </c>
      <c r="N2395" s="17">
        <f t="shared" si="271"/>
        <v>42552</v>
      </c>
      <c r="S2395">
        <f t="shared" si="272"/>
        <v>0</v>
      </c>
    </row>
    <row r="2396" spans="1:19" x14ac:dyDescent="0.3">
      <c r="A2396" s="17">
        <v>42572</v>
      </c>
      <c r="B2396">
        <v>234.33</v>
      </c>
      <c r="C2396">
        <v>42.8</v>
      </c>
      <c r="D2396">
        <f t="shared" si="269"/>
        <v>191.53000000000003</v>
      </c>
      <c r="E2396">
        <v>0.43</v>
      </c>
      <c r="F2396">
        <f t="shared" si="270"/>
        <v>-191.10000000000002</v>
      </c>
      <c r="I2396">
        <f t="shared" si="266"/>
        <v>21</v>
      </c>
      <c r="J2396">
        <v>1</v>
      </c>
      <c r="K2396">
        <f t="shared" si="267"/>
        <v>7</v>
      </c>
      <c r="L2396">
        <f t="shared" si="268"/>
        <v>2016</v>
      </c>
      <c r="N2396" s="17">
        <f t="shared" si="271"/>
        <v>42552</v>
      </c>
      <c r="S2396">
        <f t="shared" si="272"/>
        <v>0</v>
      </c>
    </row>
    <row r="2397" spans="1:19" x14ac:dyDescent="0.3">
      <c r="A2397" s="17">
        <v>42571</v>
      </c>
      <c r="B2397">
        <v>232.14</v>
      </c>
      <c r="C2397">
        <v>42.25</v>
      </c>
      <c r="D2397">
        <f t="shared" si="269"/>
        <v>189.89</v>
      </c>
      <c r="E2397">
        <v>0.56999999999999995</v>
      </c>
      <c r="F2397">
        <f t="shared" si="270"/>
        <v>-189.32</v>
      </c>
      <c r="I2397">
        <f t="shared" si="266"/>
        <v>20</v>
      </c>
      <c r="J2397">
        <v>1</v>
      </c>
      <c r="K2397">
        <f t="shared" si="267"/>
        <v>7</v>
      </c>
      <c r="L2397">
        <f t="shared" si="268"/>
        <v>2016</v>
      </c>
      <c r="N2397" s="17">
        <f t="shared" si="271"/>
        <v>42552</v>
      </c>
      <c r="S2397">
        <f t="shared" si="272"/>
        <v>0</v>
      </c>
    </row>
    <row r="2398" spans="1:19" x14ac:dyDescent="0.3">
      <c r="A2398" s="17">
        <v>42570</v>
      </c>
      <c r="B2398">
        <v>237.02</v>
      </c>
      <c r="C2398">
        <v>42.24</v>
      </c>
      <c r="D2398">
        <f t="shared" si="269"/>
        <v>194.78</v>
      </c>
      <c r="E2398">
        <v>0.53</v>
      </c>
      <c r="F2398">
        <f t="shared" si="270"/>
        <v>-194.25</v>
      </c>
      <c r="I2398">
        <f t="shared" si="266"/>
        <v>19</v>
      </c>
      <c r="J2398">
        <v>1</v>
      </c>
      <c r="K2398">
        <f t="shared" si="267"/>
        <v>7</v>
      </c>
      <c r="L2398">
        <f t="shared" si="268"/>
        <v>2016</v>
      </c>
      <c r="N2398" s="17">
        <f t="shared" si="271"/>
        <v>42552</v>
      </c>
      <c r="S2398">
        <f t="shared" si="272"/>
        <v>0</v>
      </c>
    </row>
    <row r="2399" spans="1:19" x14ac:dyDescent="0.3">
      <c r="A2399" s="17">
        <v>42569</v>
      </c>
      <c r="B2399">
        <v>242.44</v>
      </c>
      <c r="C2399">
        <v>43.37</v>
      </c>
      <c r="D2399">
        <f t="shared" si="269"/>
        <v>199.07</v>
      </c>
      <c r="E2399">
        <v>0.56999999999999995</v>
      </c>
      <c r="F2399">
        <f t="shared" si="270"/>
        <v>-198.5</v>
      </c>
      <c r="I2399">
        <f t="shared" si="266"/>
        <v>18</v>
      </c>
      <c r="J2399">
        <v>1</v>
      </c>
      <c r="K2399">
        <f t="shared" si="267"/>
        <v>7</v>
      </c>
      <c r="L2399">
        <f t="shared" si="268"/>
        <v>2016</v>
      </c>
      <c r="N2399" s="17">
        <f t="shared" si="271"/>
        <v>42552</v>
      </c>
      <c r="S2399">
        <f t="shared" si="272"/>
        <v>0</v>
      </c>
    </row>
    <row r="2400" spans="1:19" x14ac:dyDescent="0.3">
      <c r="A2400" s="17">
        <v>42566</v>
      </c>
      <c r="B2400">
        <v>239.08</v>
      </c>
      <c r="C2400">
        <v>42.6</v>
      </c>
      <c r="D2400">
        <f t="shared" si="269"/>
        <v>196.48000000000002</v>
      </c>
      <c r="E2400">
        <v>0.56000000000000005</v>
      </c>
      <c r="F2400">
        <f t="shared" si="270"/>
        <v>-195.92000000000002</v>
      </c>
      <c r="I2400">
        <f t="shared" si="266"/>
        <v>15</v>
      </c>
      <c r="J2400">
        <v>1</v>
      </c>
      <c r="K2400">
        <f t="shared" si="267"/>
        <v>7</v>
      </c>
      <c r="L2400">
        <f t="shared" si="268"/>
        <v>2016</v>
      </c>
      <c r="N2400" s="17">
        <f t="shared" si="271"/>
        <v>42552</v>
      </c>
      <c r="S2400">
        <f t="shared" si="272"/>
        <v>0</v>
      </c>
    </row>
    <row r="2401" spans="1:19" x14ac:dyDescent="0.3">
      <c r="A2401" s="17">
        <v>42565</v>
      </c>
      <c r="B2401">
        <v>238.89</v>
      </c>
      <c r="C2401">
        <v>42.33</v>
      </c>
      <c r="D2401">
        <f t="shared" si="269"/>
        <v>196.56</v>
      </c>
      <c r="E2401">
        <v>0.61</v>
      </c>
      <c r="F2401">
        <f t="shared" si="270"/>
        <v>-195.95</v>
      </c>
      <c r="I2401">
        <f t="shared" si="266"/>
        <v>14</v>
      </c>
      <c r="J2401">
        <v>1</v>
      </c>
      <c r="K2401">
        <f t="shared" si="267"/>
        <v>7</v>
      </c>
      <c r="L2401">
        <f t="shared" si="268"/>
        <v>2016</v>
      </c>
      <c r="N2401" s="17">
        <f t="shared" si="271"/>
        <v>42552</v>
      </c>
      <c r="S2401">
        <f t="shared" si="272"/>
        <v>0</v>
      </c>
    </row>
    <row r="2402" spans="1:19" x14ac:dyDescent="0.3">
      <c r="A2402" s="17">
        <v>42564</v>
      </c>
      <c r="B2402">
        <v>243.98</v>
      </c>
      <c r="C2402">
        <v>43.35</v>
      </c>
      <c r="D2402">
        <f t="shared" si="269"/>
        <v>200.63</v>
      </c>
      <c r="E2402">
        <v>0.71</v>
      </c>
      <c r="F2402">
        <f t="shared" si="270"/>
        <v>-199.92</v>
      </c>
      <c r="I2402">
        <f t="shared" si="266"/>
        <v>13</v>
      </c>
      <c r="J2402">
        <v>1</v>
      </c>
      <c r="K2402">
        <f t="shared" si="267"/>
        <v>7</v>
      </c>
      <c r="L2402">
        <f t="shared" si="268"/>
        <v>2016</v>
      </c>
      <c r="N2402" s="17">
        <f t="shared" si="271"/>
        <v>42552</v>
      </c>
      <c r="S2402">
        <f t="shared" si="272"/>
        <v>0</v>
      </c>
    </row>
    <row r="2403" spans="1:19" x14ac:dyDescent="0.3">
      <c r="A2403" s="17">
        <v>42563</v>
      </c>
      <c r="B2403">
        <v>241.05</v>
      </c>
      <c r="C2403">
        <v>42.73</v>
      </c>
      <c r="D2403">
        <f t="shared" si="269"/>
        <v>198.32000000000002</v>
      </c>
      <c r="E2403">
        <v>0.71</v>
      </c>
      <c r="F2403">
        <f t="shared" si="270"/>
        <v>-197.61</v>
      </c>
      <c r="I2403">
        <f t="shared" si="266"/>
        <v>12</v>
      </c>
      <c r="J2403">
        <v>1</v>
      </c>
      <c r="K2403">
        <f t="shared" si="267"/>
        <v>7</v>
      </c>
      <c r="L2403">
        <f t="shared" si="268"/>
        <v>2016</v>
      </c>
      <c r="N2403" s="17">
        <f t="shared" si="271"/>
        <v>42552</v>
      </c>
      <c r="S2403">
        <f t="shared" si="272"/>
        <v>0</v>
      </c>
    </row>
    <row r="2404" spans="1:19" x14ac:dyDescent="0.3">
      <c r="A2404" s="17">
        <v>42562</v>
      </c>
      <c r="B2404">
        <v>239.5</v>
      </c>
      <c r="C2404">
        <v>41.95</v>
      </c>
      <c r="D2404">
        <f t="shared" si="269"/>
        <v>197.55</v>
      </c>
      <c r="E2404">
        <v>0.75</v>
      </c>
      <c r="F2404">
        <f t="shared" si="270"/>
        <v>-196.8</v>
      </c>
      <c r="I2404">
        <f t="shared" si="266"/>
        <v>11</v>
      </c>
      <c r="J2404">
        <v>1</v>
      </c>
      <c r="K2404">
        <f t="shared" si="267"/>
        <v>7</v>
      </c>
      <c r="L2404">
        <f t="shared" si="268"/>
        <v>2016</v>
      </c>
      <c r="N2404" s="17">
        <f t="shared" si="271"/>
        <v>42552</v>
      </c>
      <c r="S2404">
        <f t="shared" si="272"/>
        <v>0</v>
      </c>
    </row>
    <row r="2405" spans="1:19" x14ac:dyDescent="0.3">
      <c r="A2405" s="17">
        <v>42559</v>
      </c>
      <c r="B2405">
        <v>241.56</v>
      </c>
      <c r="C2405">
        <v>42.49</v>
      </c>
      <c r="D2405">
        <f t="shared" si="269"/>
        <v>199.07</v>
      </c>
      <c r="E2405">
        <v>0.71</v>
      </c>
      <c r="F2405">
        <f t="shared" si="270"/>
        <v>-198.35999999999999</v>
      </c>
      <c r="I2405">
        <f t="shared" si="266"/>
        <v>8</v>
      </c>
      <c r="J2405">
        <v>1</v>
      </c>
      <c r="K2405">
        <f t="shared" si="267"/>
        <v>7</v>
      </c>
      <c r="L2405">
        <f t="shared" si="268"/>
        <v>2016</v>
      </c>
      <c r="N2405" s="17">
        <f t="shared" si="271"/>
        <v>42552</v>
      </c>
      <c r="S2405">
        <f t="shared" si="272"/>
        <v>0</v>
      </c>
    </row>
    <row r="2406" spans="1:19" x14ac:dyDescent="0.3">
      <c r="A2406" s="17">
        <v>42558</v>
      </c>
      <c r="B2406">
        <v>250.42</v>
      </c>
      <c r="C2406">
        <v>44.7</v>
      </c>
      <c r="D2406">
        <f t="shared" si="269"/>
        <v>205.71999999999997</v>
      </c>
      <c r="E2406">
        <v>0.75</v>
      </c>
      <c r="F2406">
        <f t="shared" si="270"/>
        <v>-204.96999999999997</v>
      </c>
      <c r="I2406">
        <f t="shared" si="266"/>
        <v>7</v>
      </c>
      <c r="J2406">
        <v>1</v>
      </c>
      <c r="K2406">
        <f t="shared" si="267"/>
        <v>7</v>
      </c>
      <c r="L2406">
        <f t="shared" si="268"/>
        <v>2016</v>
      </c>
      <c r="N2406" s="17">
        <f t="shared" si="271"/>
        <v>42552</v>
      </c>
      <c r="S2406">
        <f t="shared" si="272"/>
        <v>0</v>
      </c>
    </row>
    <row r="2407" spans="1:19" x14ac:dyDescent="0.3">
      <c r="A2407" s="17">
        <v>42556</v>
      </c>
      <c r="B2407">
        <v>243.05</v>
      </c>
      <c r="C2407">
        <v>44.72</v>
      </c>
      <c r="D2407">
        <f t="shared" si="269"/>
        <v>198.33</v>
      </c>
      <c r="E2407">
        <v>0.75</v>
      </c>
      <c r="F2407">
        <f t="shared" si="270"/>
        <v>-197.58</v>
      </c>
      <c r="I2407">
        <f t="shared" si="266"/>
        <v>5</v>
      </c>
      <c r="J2407">
        <v>1</v>
      </c>
      <c r="K2407">
        <f t="shared" si="267"/>
        <v>7</v>
      </c>
      <c r="L2407">
        <f t="shared" si="268"/>
        <v>2016</v>
      </c>
      <c r="N2407" s="17">
        <f t="shared" si="271"/>
        <v>42552</v>
      </c>
      <c r="S2407">
        <f t="shared" si="272"/>
        <v>0</v>
      </c>
    </row>
    <row r="2408" spans="1:19" x14ac:dyDescent="0.3">
      <c r="A2408" s="17">
        <v>42555</v>
      </c>
      <c r="B2408">
        <v>249.98</v>
      </c>
      <c r="C2408">
        <v>46.13</v>
      </c>
      <c r="D2408">
        <f t="shared" si="269"/>
        <v>203.85</v>
      </c>
      <c r="E2408">
        <v>0.85</v>
      </c>
      <c r="F2408">
        <f t="shared" si="270"/>
        <v>-203</v>
      </c>
      <c r="I2408">
        <f t="shared" si="266"/>
        <v>4</v>
      </c>
      <c r="J2408">
        <v>1</v>
      </c>
      <c r="K2408">
        <f t="shared" si="267"/>
        <v>7</v>
      </c>
      <c r="L2408">
        <f t="shared" si="268"/>
        <v>2016</v>
      </c>
      <c r="N2408" s="17">
        <f t="shared" si="271"/>
        <v>42552</v>
      </c>
      <c r="S2408">
        <f t="shared" si="272"/>
        <v>1</v>
      </c>
    </row>
    <row r="2409" spans="1:19" x14ac:dyDescent="0.3">
      <c r="A2409" s="17">
        <v>42552</v>
      </c>
      <c r="B2409">
        <v>244.85</v>
      </c>
      <c r="C2409">
        <v>45.2</v>
      </c>
      <c r="D2409">
        <f t="shared" si="269"/>
        <v>199.64999999999998</v>
      </c>
      <c r="E2409">
        <v>0.9</v>
      </c>
      <c r="F2409">
        <f t="shared" si="270"/>
        <v>-198.74999999999997</v>
      </c>
      <c r="I2409">
        <f t="shared" si="266"/>
        <v>1</v>
      </c>
      <c r="J2409">
        <v>1</v>
      </c>
      <c r="K2409">
        <f t="shared" si="267"/>
        <v>7</v>
      </c>
      <c r="L2409">
        <f t="shared" si="268"/>
        <v>2016</v>
      </c>
      <c r="N2409" s="17">
        <f t="shared" si="271"/>
        <v>42552</v>
      </c>
      <c r="S2409">
        <f t="shared" si="272"/>
        <v>1</v>
      </c>
    </row>
    <row r="2410" spans="1:19" x14ac:dyDescent="0.3">
      <c r="A2410" s="17">
        <v>42551</v>
      </c>
      <c r="B2410">
        <v>256.58999999999997</v>
      </c>
      <c r="C2410">
        <v>46.4</v>
      </c>
      <c r="D2410">
        <f t="shared" si="269"/>
        <v>210.18999999999997</v>
      </c>
      <c r="E2410">
        <v>1</v>
      </c>
      <c r="F2410">
        <f t="shared" si="270"/>
        <v>-209.18999999999997</v>
      </c>
      <c r="I2410">
        <f t="shared" si="266"/>
        <v>30</v>
      </c>
      <c r="J2410">
        <v>1</v>
      </c>
      <c r="K2410">
        <f t="shared" si="267"/>
        <v>6</v>
      </c>
      <c r="L2410">
        <f t="shared" si="268"/>
        <v>2016</v>
      </c>
      <c r="N2410" s="17">
        <f t="shared" si="271"/>
        <v>42522</v>
      </c>
      <c r="S2410">
        <f t="shared" si="272"/>
        <v>0</v>
      </c>
    </row>
    <row r="2411" spans="1:19" x14ac:dyDescent="0.3">
      <c r="A2411" s="17">
        <v>42550</v>
      </c>
      <c r="B2411">
        <v>251.31</v>
      </c>
      <c r="C2411">
        <v>45.69</v>
      </c>
      <c r="D2411">
        <f t="shared" si="269"/>
        <v>205.62</v>
      </c>
      <c r="E2411">
        <v>0.97</v>
      </c>
      <c r="F2411">
        <f t="shared" si="270"/>
        <v>-204.65</v>
      </c>
      <c r="I2411">
        <f t="shared" si="266"/>
        <v>29</v>
      </c>
      <c r="J2411">
        <v>1</v>
      </c>
      <c r="K2411">
        <f t="shared" si="267"/>
        <v>6</v>
      </c>
      <c r="L2411">
        <f t="shared" si="268"/>
        <v>2016</v>
      </c>
      <c r="N2411" s="17">
        <f t="shared" si="271"/>
        <v>42522</v>
      </c>
      <c r="S2411">
        <f t="shared" si="272"/>
        <v>0</v>
      </c>
    </row>
    <row r="2412" spans="1:19" x14ac:dyDescent="0.3">
      <c r="A2412" s="17">
        <v>42549</v>
      </c>
      <c r="B2412">
        <v>237.91</v>
      </c>
      <c r="C2412">
        <v>44.5</v>
      </c>
      <c r="D2412">
        <f t="shared" si="269"/>
        <v>193.41</v>
      </c>
      <c r="E2412">
        <v>0.9</v>
      </c>
      <c r="F2412">
        <f t="shared" si="270"/>
        <v>-192.51</v>
      </c>
      <c r="I2412">
        <f t="shared" si="266"/>
        <v>28</v>
      </c>
      <c r="J2412">
        <v>1</v>
      </c>
      <c r="K2412">
        <f t="shared" si="267"/>
        <v>6</v>
      </c>
      <c r="L2412">
        <f t="shared" si="268"/>
        <v>2016</v>
      </c>
      <c r="N2412" s="17">
        <f t="shared" si="271"/>
        <v>42522</v>
      </c>
      <c r="S2412">
        <f t="shared" si="272"/>
        <v>0</v>
      </c>
    </row>
    <row r="2413" spans="1:19" x14ac:dyDescent="0.3">
      <c r="A2413" s="17">
        <v>42548</v>
      </c>
      <c r="B2413">
        <v>237.85</v>
      </c>
      <c r="C2413">
        <v>45.05</v>
      </c>
      <c r="D2413">
        <f t="shared" si="269"/>
        <v>192.8</v>
      </c>
      <c r="E2413">
        <v>0.81</v>
      </c>
      <c r="F2413">
        <f t="shared" si="270"/>
        <v>-191.99</v>
      </c>
      <c r="I2413">
        <f t="shared" si="266"/>
        <v>27</v>
      </c>
      <c r="J2413">
        <v>1</v>
      </c>
      <c r="K2413">
        <f t="shared" si="267"/>
        <v>6</v>
      </c>
      <c r="L2413">
        <f t="shared" si="268"/>
        <v>2016</v>
      </c>
      <c r="N2413" s="17">
        <f t="shared" si="271"/>
        <v>42522</v>
      </c>
      <c r="S2413">
        <f t="shared" si="272"/>
        <v>0</v>
      </c>
    </row>
    <row r="2414" spans="1:19" x14ac:dyDescent="0.3">
      <c r="A2414" s="17">
        <v>42545</v>
      </c>
      <c r="B2414">
        <v>238.38</v>
      </c>
      <c r="C2414">
        <v>45.39</v>
      </c>
      <c r="D2414">
        <f t="shared" si="269"/>
        <v>192.99</v>
      </c>
      <c r="E2414">
        <v>0.96</v>
      </c>
      <c r="F2414">
        <f t="shared" si="270"/>
        <v>-192.03</v>
      </c>
      <c r="I2414">
        <f t="shared" si="266"/>
        <v>24</v>
      </c>
      <c r="J2414">
        <v>1</v>
      </c>
      <c r="K2414">
        <f t="shared" si="267"/>
        <v>6</v>
      </c>
      <c r="L2414">
        <f t="shared" si="268"/>
        <v>2016</v>
      </c>
      <c r="N2414" s="17">
        <f t="shared" si="271"/>
        <v>42522</v>
      </c>
      <c r="S2414">
        <f t="shared" si="272"/>
        <v>0</v>
      </c>
    </row>
    <row r="2415" spans="1:19" x14ac:dyDescent="0.3">
      <c r="A2415" s="17">
        <v>42544</v>
      </c>
      <c r="B2415">
        <v>244.08</v>
      </c>
      <c r="C2415">
        <v>46.45</v>
      </c>
      <c r="D2415">
        <f t="shared" si="269"/>
        <v>197.63</v>
      </c>
      <c r="E2415">
        <v>0.97</v>
      </c>
      <c r="F2415">
        <f t="shared" si="270"/>
        <v>-196.66</v>
      </c>
      <c r="I2415">
        <f t="shared" si="266"/>
        <v>23</v>
      </c>
      <c r="J2415">
        <v>1</v>
      </c>
      <c r="K2415">
        <f t="shared" si="267"/>
        <v>6</v>
      </c>
      <c r="L2415">
        <f t="shared" si="268"/>
        <v>2016</v>
      </c>
      <c r="N2415" s="17">
        <f t="shared" si="271"/>
        <v>42522</v>
      </c>
      <c r="S2415">
        <f t="shared" si="272"/>
        <v>0</v>
      </c>
    </row>
    <row r="2416" spans="1:19" x14ac:dyDescent="0.3">
      <c r="A2416" s="17">
        <v>42543</v>
      </c>
      <c r="B2416">
        <v>246.48</v>
      </c>
      <c r="C2416">
        <v>47.03</v>
      </c>
      <c r="D2416">
        <f t="shared" si="269"/>
        <v>199.45</v>
      </c>
      <c r="E2416">
        <v>1.01</v>
      </c>
      <c r="F2416">
        <f t="shared" si="270"/>
        <v>-198.44</v>
      </c>
      <c r="I2416">
        <f t="shared" si="266"/>
        <v>22</v>
      </c>
      <c r="J2416">
        <v>1</v>
      </c>
      <c r="K2416">
        <f t="shared" si="267"/>
        <v>6</v>
      </c>
      <c r="L2416">
        <f t="shared" si="268"/>
        <v>2016</v>
      </c>
      <c r="N2416" s="17">
        <f t="shared" si="271"/>
        <v>42522</v>
      </c>
      <c r="S2416">
        <f t="shared" si="272"/>
        <v>0</v>
      </c>
    </row>
    <row r="2417" spans="1:19" x14ac:dyDescent="0.3">
      <c r="A2417" s="17">
        <v>42542</v>
      </c>
      <c r="B2417">
        <v>240.12</v>
      </c>
      <c r="C2417">
        <v>46.39</v>
      </c>
      <c r="D2417">
        <f t="shared" si="269"/>
        <v>193.73000000000002</v>
      </c>
      <c r="E2417">
        <v>1.08</v>
      </c>
      <c r="F2417">
        <f t="shared" si="270"/>
        <v>-192.65</v>
      </c>
      <c r="I2417">
        <f t="shared" si="266"/>
        <v>21</v>
      </c>
      <c r="J2417">
        <v>1</v>
      </c>
      <c r="K2417">
        <f t="shared" si="267"/>
        <v>6</v>
      </c>
      <c r="L2417">
        <f t="shared" si="268"/>
        <v>2016</v>
      </c>
      <c r="N2417" s="17">
        <f t="shared" si="271"/>
        <v>42522</v>
      </c>
      <c r="S2417">
        <f t="shared" si="272"/>
        <v>0</v>
      </c>
    </row>
    <row r="2418" spans="1:19" x14ac:dyDescent="0.3">
      <c r="A2418" s="17">
        <v>42541</v>
      </c>
      <c r="B2418">
        <v>238.69</v>
      </c>
      <c r="C2418">
        <v>46.49</v>
      </c>
      <c r="D2418">
        <f t="shared" si="269"/>
        <v>192.2</v>
      </c>
      <c r="E2418">
        <v>1.1200000000000001</v>
      </c>
      <c r="F2418">
        <f t="shared" si="270"/>
        <v>-191.07999999999998</v>
      </c>
      <c r="I2418">
        <f t="shared" si="266"/>
        <v>20</v>
      </c>
      <c r="J2418">
        <v>1</v>
      </c>
      <c r="K2418">
        <f t="shared" si="267"/>
        <v>6</v>
      </c>
      <c r="L2418">
        <f t="shared" si="268"/>
        <v>2016</v>
      </c>
      <c r="N2418" s="17">
        <f t="shared" si="271"/>
        <v>42522</v>
      </c>
      <c r="S2418">
        <f t="shared" si="272"/>
        <v>0</v>
      </c>
    </row>
    <row r="2419" spans="1:19" x14ac:dyDescent="0.3">
      <c r="A2419" s="17">
        <v>42538</v>
      </c>
      <c r="B2419">
        <v>225.37</v>
      </c>
      <c r="C2419">
        <v>44.44</v>
      </c>
      <c r="D2419">
        <f t="shared" si="269"/>
        <v>180.93</v>
      </c>
      <c r="E2419">
        <v>1.1599999999999999</v>
      </c>
      <c r="F2419">
        <f t="shared" si="270"/>
        <v>-179.77</v>
      </c>
      <c r="I2419">
        <f t="shared" si="266"/>
        <v>17</v>
      </c>
      <c r="J2419">
        <v>1</v>
      </c>
      <c r="K2419">
        <f t="shared" si="267"/>
        <v>6</v>
      </c>
      <c r="L2419">
        <f t="shared" si="268"/>
        <v>2016</v>
      </c>
      <c r="N2419" s="17">
        <f t="shared" si="271"/>
        <v>42522</v>
      </c>
      <c r="S2419">
        <f t="shared" si="272"/>
        <v>0</v>
      </c>
    </row>
    <row r="2420" spans="1:19" x14ac:dyDescent="0.3">
      <c r="A2420" s="17">
        <v>42537</v>
      </c>
      <c r="B2420">
        <v>225.57</v>
      </c>
      <c r="C2420">
        <v>44.8</v>
      </c>
      <c r="D2420">
        <f t="shared" si="269"/>
        <v>180.76999999999998</v>
      </c>
      <c r="E2420">
        <v>1.2</v>
      </c>
      <c r="F2420">
        <f t="shared" si="270"/>
        <v>-179.57</v>
      </c>
      <c r="I2420">
        <f t="shared" si="266"/>
        <v>16</v>
      </c>
      <c r="J2420">
        <v>1</v>
      </c>
      <c r="K2420">
        <f t="shared" si="267"/>
        <v>6</v>
      </c>
      <c r="L2420">
        <f t="shared" si="268"/>
        <v>2016</v>
      </c>
      <c r="N2420" s="17">
        <f t="shared" si="271"/>
        <v>42522</v>
      </c>
      <c r="S2420">
        <f t="shared" si="272"/>
        <v>0</v>
      </c>
    </row>
    <row r="2421" spans="1:19" x14ac:dyDescent="0.3">
      <c r="A2421" s="17">
        <v>42536</v>
      </c>
      <c r="B2421">
        <v>229.57</v>
      </c>
      <c r="C2421">
        <v>46.01</v>
      </c>
      <c r="D2421">
        <f t="shared" si="269"/>
        <v>183.56</v>
      </c>
      <c r="E2421">
        <v>1.18</v>
      </c>
      <c r="F2421">
        <f t="shared" si="270"/>
        <v>-182.38</v>
      </c>
      <c r="I2421">
        <f t="shared" si="266"/>
        <v>15</v>
      </c>
      <c r="J2421">
        <v>1</v>
      </c>
      <c r="K2421">
        <f t="shared" si="267"/>
        <v>6</v>
      </c>
      <c r="L2421">
        <f t="shared" si="268"/>
        <v>2016</v>
      </c>
      <c r="N2421" s="17">
        <f t="shared" si="271"/>
        <v>42522</v>
      </c>
      <c r="S2421">
        <f t="shared" si="272"/>
        <v>0</v>
      </c>
    </row>
    <row r="2422" spans="1:19" x14ac:dyDescent="0.3">
      <c r="A2422" s="17">
        <v>42535</v>
      </c>
      <c r="B2422">
        <v>230.19</v>
      </c>
      <c r="C2422">
        <v>46.2</v>
      </c>
      <c r="D2422">
        <f t="shared" si="269"/>
        <v>183.99</v>
      </c>
      <c r="E2422">
        <v>1.0900000000000001</v>
      </c>
      <c r="F2422">
        <f t="shared" si="270"/>
        <v>-182.9</v>
      </c>
      <c r="I2422">
        <f t="shared" si="266"/>
        <v>14</v>
      </c>
      <c r="J2422">
        <v>1</v>
      </c>
      <c r="K2422">
        <f t="shared" si="267"/>
        <v>6</v>
      </c>
      <c r="L2422">
        <f t="shared" si="268"/>
        <v>2016</v>
      </c>
      <c r="N2422" s="17">
        <f t="shared" si="271"/>
        <v>42522</v>
      </c>
      <c r="S2422">
        <f t="shared" si="272"/>
        <v>0</v>
      </c>
    </row>
    <row r="2423" spans="1:19" x14ac:dyDescent="0.3">
      <c r="A2423" s="17">
        <v>42534</v>
      </c>
      <c r="B2423">
        <v>236.32</v>
      </c>
      <c r="C2423">
        <v>46.71</v>
      </c>
      <c r="D2423">
        <f t="shared" si="269"/>
        <v>189.60999999999999</v>
      </c>
      <c r="E2423">
        <v>1.1200000000000001</v>
      </c>
      <c r="F2423">
        <f t="shared" si="270"/>
        <v>-188.48999999999998</v>
      </c>
      <c r="I2423">
        <f t="shared" si="266"/>
        <v>13</v>
      </c>
      <c r="J2423">
        <v>1</v>
      </c>
      <c r="K2423">
        <f t="shared" si="267"/>
        <v>6</v>
      </c>
      <c r="L2423">
        <f t="shared" si="268"/>
        <v>2016</v>
      </c>
      <c r="N2423" s="17">
        <f t="shared" si="271"/>
        <v>42522</v>
      </c>
      <c r="S2423">
        <f t="shared" si="272"/>
        <v>0</v>
      </c>
    </row>
    <row r="2424" spans="1:19" x14ac:dyDescent="0.3">
      <c r="A2424" s="17">
        <v>42531</v>
      </c>
      <c r="B2424">
        <v>242.81</v>
      </c>
      <c r="C2424">
        <v>47.85</v>
      </c>
      <c r="D2424">
        <f t="shared" si="269"/>
        <v>194.96</v>
      </c>
      <c r="E2424">
        <v>1.1499999999999999</v>
      </c>
      <c r="F2424">
        <f t="shared" si="270"/>
        <v>-193.81</v>
      </c>
      <c r="I2424">
        <f t="shared" si="266"/>
        <v>10</v>
      </c>
      <c r="J2424">
        <v>1</v>
      </c>
      <c r="K2424">
        <f t="shared" si="267"/>
        <v>6</v>
      </c>
      <c r="L2424">
        <f t="shared" si="268"/>
        <v>2016</v>
      </c>
      <c r="N2424" s="17">
        <f t="shared" si="271"/>
        <v>42522</v>
      </c>
      <c r="S2424">
        <f t="shared" si="272"/>
        <v>0</v>
      </c>
    </row>
    <row r="2425" spans="1:19" x14ac:dyDescent="0.3">
      <c r="A2425" s="17">
        <v>42530</v>
      </c>
      <c r="B2425">
        <v>246.05</v>
      </c>
      <c r="C2425">
        <v>48.81</v>
      </c>
      <c r="D2425">
        <f t="shared" si="269"/>
        <v>197.24</v>
      </c>
      <c r="E2425">
        <v>1.19</v>
      </c>
      <c r="F2425">
        <f t="shared" si="270"/>
        <v>-196.05</v>
      </c>
      <c r="I2425">
        <f t="shared" si="266"/>
        <v>9</v>
      </c>
      <c r="J2425">
        <v>1</v>
      </c>
      <c r="K2425">
        <f t="shared" si="267"/>
        <v>6</v>
      </c>
      <c r="L2425">
        <f t="shared" si="268"/>
        <v>2016</v>
      </c>
      <c r="N2425" s="17">
        <f t="shared" si="271"/>
        <v>42522</v>
      </c>
      <c r="S2425">
        <f t="shared" si="272"/>
        <v>0</v>
      </c>
    </row>
    <row r="2426" spans="1:19" x14ac:dyDescent="0.3">
      <c r="A2426" s="17">
        <v>42529</v>
      </c>
      <c r="B2426">
        <v>240.36</v>
      </c>
      <c r="C2426">
        <v>48.13</v>
      </c>
      <c r="D2426">
        <f t="shared" si="269"/>
        <v>192.23000000000002</v>
      </c>
      <c r="E2426">
        <v>1.52</v>
      </c>
      <c r="F2426">
        <f t="shared" si="270"/>
        <v>-190.71</v>
      </c>
      <c r="I2426">
        <f t="shared" si="266"/>
        <v>8</v>
      </c>
      <c r="J2426">
        <v>1</v>
      </c>
      <c r="K2426">
        <f t="shared" si="267"/>
        <v>6</v>
      </c>
      <c r="L2426">
        <f t="shared" si="268"/>
        <v>2016</v>
      </c>
      <c r="N2426" s="17">
        <f t="shared" si="271"/>
        <v>42522</v>
      </c>
      <c r="S2426">
        <f t="shared" si="272"/>
        <v>0</v>
      </c>
    </row>
    <row r="2427" spans="1:19" x14ac:dyDescent="0.3">
      <c r="A2427" s="17">
        <v>42528</v>
      </c>
      <c r="B2427">
        <v>232.28</v>
      </c>
      <c r="C2427">
        <v>47</v>
      </c>
      <c r="D2427">
        <f t="shared" si="269"/>
        <v>185.28</v>
      </c>
      <c r="E2427">
        <v>1.49</v>
      </c>
      <c r="F2427">
        <f t="shared" si="270"/>
        <v>-183.79</v>
      </c>
      <c r="I2427">
        <f t="shared" si="266"/>
        <v>7</v>
      </c>
      <c r="J2427">
        <v>1</v>
      </c>
      <c r="K2427">
        <f t="shared" si="267"/>
        <v>6</v>
      </c>
      <c r="L2427">
        <f t="shared" si="268"/>
        <v>2016</v>
      </c>
      <c r="N2427" s="17">
        <f t="shared" si="271"/>
        <v>42522</v>
      </c>
      <c r="S2427">
        <f t="shared" si="272"/>
        <v>0</v>
      </c>
    </row>
    <row r="2428" spans="1:19" x14ac:dyDescent="0.3">
      <c r="A2428" s="17">
        <v>42527</v>
      </c>
      <c r="B2428">
        <v>228.82</v>
      </c>
      <c r="C2428">
        <v>46.21</v>
      </c>
      <c r="D2428">
        <f t="shared" si="269"/>
        <v>182.60999999999999</v>
      </c>
      <c r="E2428">
        <v>1.47</v>
      </c>
      <c r="F2428">
        <f t="shared" si="270"/>
        <v>-181.14</v>
      </c>
      <c r="I2428">
        <f t="shared" si="266"/>
        <v>6</v>
      </c>
      <c r="J2428">
        <v>1</v>
      </c>
      <c r="K2428">
        <f t="shared" si="267"/>
        <v>6</v>
      </c>
      <c r="L2428">
        <f t="shared" si="268"/>
        <v>2016</v>
      </c>
      <c r="N2428" s="17">
        <f t="shared" si="271"/>
        <v>42522</v>
      </c>
      <c r="S2428">
        <f t="shared" si="272"/>
        <v>0</v>
      </c>
    </row>
    <row r="2429" spans="1:19" x14ac:dyDescent="0.3">
      <c r="A2429" s="17">
        <v>42524</v>
      </c>
      <c r="B2429">
        <v>227.87</v>
      </c>
      <c r="C2429">
        <v>46.31</v>
      </c>
      <c r="D2429">
        <f t="shared" si="269"/>
        <v>181.56</v>
      </c>
      <c r="E2429">
        <v>1.48</v>
      </c>
      <c r="F2429">
        <f t="shared" si="270"/>
        <v>-180.08</v>
      </c>
      <c r="I2429">
        <f t="shared" si="266"/>
        <v>3</v>
      </c>
      <c r="J2429">
        <v>1</v>
      </c>
      <c r="K2429">
        <f t="shared" si="267"/>
        <v>6</v>
      </c>
      <c r="L2429">
        <f t="shared" si="268"/>
        <v>2016</v>
      </c>
      <c r="N2429" s="17">
        <f t="shared" si="271"/>
        <v>42522</v>
      </c>
      <c r="S2429">
        <f t="shared" si="272"/>
        <v>1</v>
      </c>
    </row>
    <row r="2430" spans="1:19" x14ac:dyDescent="0.3">
      <c r="A2430" s="17">
        <v>42523</v>
      </c>
      <c r="B2430">
        <v>225.98</v>
      </c>
      <c r="C2430">
        <v>46.16</v>
      </c>
      <c r="D2430">
        <f t="shared" si="269"/>
        <v>179.82</v>
      </c>
      <c r="E2430">
        <v>1.54</v>
      </c>
      <c r="F2430">
        <f t="shared" si="270"/>
        <v>-178.28</v>
      </c>
      <c r="I2430">
        <f t="shared" si="266"/>
        <v>2</v>
      </c>
      <c r="J2430">
        <v>1</v>
      </c>
      <c r="K2430">
        <f t="shared" si="267"/>
        <v>6</v>
      </c>
      <c r="L2430">
        <f t="shared" si="268"/>
        <v>2016</v>
      </c>
      <c r="N2430" s="17">
        <f t="shared" si="271"/>
        <v>42522</v>
      </c>
      <c r="S2430">
        <f t="shared" si="272"/>
        <v>1</v>
      </c>
    </row>
    <row r="2431" spans="1:19" x14ac:dyDescent="0.3">
      <c r="A2431" s="17">
        <v>42522</v>
      </c>
      <c r="B2431">
        <v>221.6</v>
      </c>
      <c r="C2431">
        <v>45.61</v>
      </c>
      <c r="D2431">
        <f t="shared" si="269"/>
        <v>175.99</v>
      </c>
      <c r="E2431">
        <v>1.51</v>
      </c>
      <c r="F2431">
        <f t="shared" si="270"/>
        <v>-174.48000000000002</v>
      </c>
      <c r="I2431">
        <f t="shared" si="266"/>
        <v>1</v>
      </c>
      <c r="J2431">
        <v>1</v>
      </c>
      <c r="K2431">
        <f t="shared" si="267"/>
        <v>6</v>
      </c>
      <c r="L2431">
        <f t="shared" si="268"/>
        <v>2016</v>
      </c>
      <c r="N2431" s="17">
        <f t="shared" si="271"/>
        <v>42522</v>
      </c>
      <c r="S2431">
        <f t="shared" si="272"/>
        <v>1</v>
      </c>
    </row>
    <row r="2432" spans="1:19" x14ac:dyDescent="0.3">
      <c r="A2432" s="17">
        <v>42521</v>
      </c>
      <c r="B2432">
        <v>226.52</v>
      </c>
      <c r="C2432">
        <v>45.8</v>
      </c>
      <c r="D2432">
        <f t="shared" si="269"/>
        <v>180.72000000000003</v>
      </c>
      <c r="E2432">
        <v>1.49</v>
      </c>
      <c r="F2432">
        <f t="shared" si="270"/>
        <v>-179.23000000000002</v>
      </c>
      <c r="I2432">
        <f t="shared" si="266"/>
        <v>31</v>
      </c>
      <c r="J2432">
        <v>1</v>
      </c>
      <c r="K2432">
        <f t="shared" si="267"/>
        <v>5</v>
      </c>
      <c r="L2432">
        <f t="shared" si="268"/>
        <v>2016</v>
      </c>
      <c r="N2432" s="17">
        <f t="shared" si="271"/>
        <v>42491</v>
      </c>
      <c r="S2432">
        <f t="shared" si="272"/>
        <v>0</v>
      </c>
    </row>
    <row r="2433" spans="1:19" x14ac:dyDescent="0.3">
      <c r="A2433" s="17">
        <v>42520</v>
      </c>
      <c r="B2433">
        <v>224.26</v>
      </c>
      <c r="C2433">
        <v>45.55</v>
      </c>
      <c r="D2433">
        <f t="shared" si="269"/>
        <v>178.70999999999998</v>
      </c>
      <c r="E2433">
        <v>1.49</v>
      </c>
      <c r="F2433">
        <f t="shared" si="270"/>
        <v>-177.21999999999997</v>
      </c>
      <c r="I2433">
        <f t="shared" si="266"/>
        <v>30</v>
      </c>
      <c r="J2433">
        <v>1</v>
      </c>
      <c r="K2433">
        <f t="shared" si="267"/>
        <v>5</v>
      </c>
      <c r="L2433">
        <f t="shared" si="268"/>
        <v>2016</v>
      </c>
      <c r="N2433" s="17">
        <f t="shared" si="271"/>
        <v>42491</v>
      </c>
      <c r="S2433">
        <f t="shared" si="272"/>
        <v>0</v>
      </c>
    </row>
    <row r="2434" spans="1:19" x14ac:dyDescent="0.3">
      <c r="A2434" s="17">
        <v>42517</v>
      </c>
      <c r="B2434">
        <v>222.49</v>
      </c>
      <c r="C2434">
        <v>45.5</v>
      </c>
      <c r="D2434">
        <f t="shared" si="269"/>
        <v>176.99</v>
      </c>
      <c r="E2434">
        <v>1.43</v>
      </c>
      <c r="F2434">
        <f t="shared" si="270"/>
        <v>-175.56</v>
      </c>
      <c r="I2434">
        <f t="shared" si="266"/>
        <v>27</v>
      </c>
      <c r="J2434">
        <v>1</v>
      </c>
      <c r="K2434">
        <f t="shared" si="267"/>
        <v>5</v>
      </c>
      <c r="L2434">
        <f t="shared" si="268"/>
        <v>2016</v>
      </c>
      <c r="N2434" s="17">
        <f t="shared" si="271"/>
        <v>42491</v>
      </c>
      <c r="S2434">
        <f t="shared" si="272"/>
        <v>0</v>
      </c>
    </row>
    <row r="2435" spans="1:19" x14ac:dyDescent="0.3">
      <c r="A2435" s="17">
        <v>42516</v>
      </c>
      <c r="B2435">
        <v>227.58</v>
      </c>
      <c r="C2435">
        <v>46.34</v>
      </c>
      <c r="D2435">
        <f t="shared" si="269"/>
        <v>181.24</v>
      </c>
      <c r="E2435">
        <v>1.37</v>
      </c>
      <c r="F2435">
        <f t="shared" si="270"/>
        <v>-179.87</v>
      </c>
      <c r="I2435">
        <f t="shared" si="266"/>
        <v>26</v>
      </c>
      <c r="J2435">
        <v>1</v>
      </c>
      <c r="K2435">
        <f t="shared" si="267"/>
        <v>5</v>
      </c>
      <c r="L2435">
        <f t="shared" si="268"/>
        <v>2016</v>
      </c>
      <c r="N2435" s="17">
        <f t="shared" si="271"/>
        <v>42491</v>
      </c>
      <c r="S2435">
        <f t="shared" si="272"/>
        <v>0</v>
      </c>
    </row>
    <row r="2436" spans="1:19" x14ac:dyDescent="0.3">
      <c r="A2436" s="17">
        <v>42515</v>
      </c>
      <c r="B2436">
        <v>225.36</v>
      </c>
      <c r="C2436">
        <v>45.94</v>
      </c>
      <c r="D2436">
        <f t="shared" si="269"/>
        <v>179.42000000000002</v>
      </c>
      <c r="E2436">
        <v>1.43</v>
      </c>
      <c r="F2436">
        <f t="shared" si="270"/>
        <v>-177.99</v>
      </c>
      <c r="I2436">
        <f t="shared" si="266"/>
        <v>25</v>
      </c>
      <c r="J2436">
        <v>1</v>
      </c>
      <c r="K2436">
        <f t="shared" si="267"/>
        <v>5</v>
      </c>
      <c r="L2436">
        <f t="shared" si="268"/>
        <v>2016</v>
      </c>
      <c r="N2436" s="17">
        <f t="shared" si="271"/>
        <v>42491</v>
      </c>
      <c r="S2436">
        <f t="shared" si="272"/>
        <v>0</v>
      </c>
    </row>
    <row r="2437" spans="1:19" x14ac:dyDescent="0.3">
      <c r="A2437" s="17">
        <v>42514</v>
      </c>
      <c r="B2437">
        <v>219.98</v>
      </c>
      <c r="C2437">
        <v>44.62</v>
      </c>
      <c r="D2437">
        <f t="shared" si="269"/>
        <v>175.35999999999999</v>
      </c>
      <c r="E2437">
        <v>1.41</v>
      </c>
      <c r="F2437">
        <f t="shared" si="270"/>
        <v>-173.95</v>
      </c>
      <c r="I2437">
        <f t="shared" ref="I2437:I2500" si="273">+DAY(A2437)</f>
        <v>24</v>
      </c>
      <c r="J2437">
        <v>1</v>
      </c>
      <c r="K2437">
        <f t="shared" ref="K2437:K2500" si="274">+MONTH(A2437)</f>
        <v>5</v>
      </c>
      <c r="L2437">
        <f t="shared" ref="L2437:L2500" si="275">+YEAR(A2437)</f>
        <v>2016</v>
      </c>
      <c r="N2437" s="17">
        <f t="shared" si="271"/>
        <v>42491</v>
      </c>
      <c r="S2437">
        <f t="shared" si="272"/>
        <v>0</v>
      </c>
    </row>
    <row r="2438" spans="1:19" x14ac:dyDescent="0.3">
      <c r="A2438" s="17">
        <v>42513</v>
      </c>
      <c r="B2438">
        <v>222.64</v>
      </c>
      <c r="C2438">
        <v>45.02</v>
      </c>
      <c r="D2438">
        <f t="shared" ref="D2438:D2501" si="276">+B2438-C2438</f>
        <v>177.61999999999998</v>
      </c>
      <c r="E2438">
        <v>1.39</v>
      </c>
      <c r="F2438">
        <f t="shared" ref="F2438:F2501" si="277">+E2438-D2438</f>
        <v>-176.23</v>
      </c>
      <c r="I2438">
        <f t="shared" si="273"/>
        <v>23</v>
      </c>
      <c r="J2438">
        <v>1</v>
      </c>
      <c r="K2438">
        <f t="shared" si="274"/>
        <v>5</v>
      </c>
      <c r="L2438">
        <f t="shared" si="275"/>
        <v>2016</v>
      </c>
      <c r="N2438" s="17">
        <f t="shared" ref="N2438:N2501" si="278">+DATE(L2438,K2438,J2438)</f>
        <v>42491</v>
      </c>
      <c r="S2438">
        <f t="shared" ref="S2438:S2501" si="279">IF(AND(I2438&gt;=1, I2438&lt;=4), 1, 0)</f>
        <v>0</v>
      </c>
    </row>
    <row r="2439" spans="1:19" x14ac:dyDescent="0.3">
      <c r="A2439" s="17">
        <v>42510</v>
      </c>
      <c r="B2439">
        <v>225.91</v>
      </c>
      <c r="C2439">
        <v>45.84</v>
      </c>
      <c r="D2439">
        <f t="shared" si="276"/>
        <v>180.07</v>
      </c>
      <c r="E2439">
        <v>1.45</v>
      </c>
      <c r="F2439">
        <f t="shared" si="277"/>
        <v>-178.62</v>
      </c>
      <c r="I2439">
        <f t="shared" si="273"/>
        <v>20</v>
      </c>
      <c r="J2439">
        <v>1</v>
      </c>
      <c r="K2439">
        <f t="shared" si="274"/>
        <v>5</v>
      </c>
      <c r="L2439">
        <f t="shared" si="275"/>
        <v>2016</v>
      </c>
      <c r="N2439" s="17">
        <f t="shared" si="278"/>
        <v>42491</v>
      </c>
      <c r="S2439">
        <f t="shared" si="279"/>
        <v>0</v>
      </c>
    </row>
    <row r="2440" spans="1:19" x14ac:dyDescent="0.3">
      <c r="A2440" s="17">
        <v>42509</v>
      </c>
      <c r="B2440">
        <v>218.63</v>
      </c>
      <c r="C2440">
        <v>44.75</v>
      </c>
      <c r="D2440">
        <f t="shared" si="276"/>
        <v>173.88</v>
      </c>
      <c r="E2440">
        <v>1.54</v>
      </c>
      <c r="F2440">
        <f t="shared" si="277"/>
        <v>-172.34</v>
      </c>
      <c r="I2440">
        <f t="shared" si="273"/>
        <v>19</v>
      </c>
      <c r="J2440">
        <v>1</v>
      </c>
      <c r="K2440">
        <f t="shared" si="274"/>
        <v>5</v>
      </c>
      <c r="L2440">
        <f t="shared" si="275"/>
        <v>2016</v>
      </c>
      <c r="N2440" s="17">
        <f t="shared" si="278"/>
        <v>42491</v>
      </c>
      <c r="S2440">
        <f t="shared" si="279"/>
        <v>0</v>
      </c>
    </row>
    <row r="2441" spans="1:19" x14ac:dyDescent="0.3">
      <c r="A2441" s="17">
        <v>42508</v>
      </c>
      <c r="B2441">
        <v>222.99</v>
      </c>
      <c r="C2441">
        <v>45.66</v>
      </c>
      <c r="D2441">
        <f t="shared" si="276"/>
        <v>177.33</v>
      </c>
      <c r="E2441">
        <v>1.5</v>
      </c>
      <c r="F2441">
        <f t="shared" si="277"/>
        <v>-175.83</v>
      </c>
      <c r="I2441">
        <f t="shared" si="273"/>
        <v>18</v>
      </c>
      <c r="J2441">
        <v>1</v>
      </c>
      <c r="K2441">
        <f t="shared" si="274"/>
        <v>5</v>
      </c>
      <c r="L2441">
        <f t="shared" si="275"/>
        <v>2016</v>
      </c>
      <c r="N2441" s="17">
        <f t="shared" si="278"/>
        <v>42491</v>
      </c>
      <c r="S2441">
        <f t="shared" si="279"/>
        <v>0</v>
      </c>
    </row>
    <row r="2442" spans="1:19" x14ac:dyDescent="0.3">
      <c r="A2442" s="17">
        <v>42507</v>
      </c>
      <c r="B2442">
        <v>226.65</v>
      </c>
      <c r="C2442">
        <v>45.65</v>
      </c>
      <c r="D2442">
        <f t="shared" si="276"/>
        <v>181</v>
      </c>
      <c r="E2442">
        <v>1.48</v>
      </c>
      <c r="F2442">
        <f t="shared" si="277"/>
        <v>-179.52</v>
      </c>
      <c r="I2442">
        <f t="shared" si="273"/>
        <v>17</v>
      </c>
      <c r="J2442">
        <v>1</v>
      </c>
      <c r="K2442">
        <f t="shared" si="274"/>
        <v>5</v>
      </c>
      <c r="L2442">
        <f t="shared" si="275"/>
        <v>2016</v>
      </c>
      <c r="N2442" s="17">
        <f t="shared" si="278"/>
        <v>42491</v>
      </c>
      <c r="S2442">
        <f t="shared" si="279"/>
        <v>0</v>
      </c>
    </row>
    <row r="2443" spans="1:19" x14ac:dyDescent="0.3">
      <c r="A2443" s="17">
        <v>42506</v>
      </c>
      <c r="B2443">
        <v>227.9</v>
      </c>
      <c r="C2443">
        <v>45.2</v>
      </c>
      <c r="D2443">
        <f t="shared" si="276"/>
        <v>182.7</v>
      </c>
      <c r="E2443">
        <v>1.54</v>
      </c>
      <c r="F2443">
        <f t="shared" si="277"/>
        <v>-181.16</v>
      </c>
      <c r="I2443">
        <f t="shared" si="273"/>
        <v>16</v>
      </c>
      <c r="J2443">
        <v>1</v>
      </c>
      <c r="K2443">
        <f t="shared" si="274"/>
        <v>5</v>
      </c>
      <c r="L2443">
        <f t="shared" si="275"/>
        <v>2016</v>
      </c>
      <c r="N2443" s="17">
        <f t="shared" si="278"/>
        <v>42491</v>
      </c>
      <c r="S2443">
        <f t="shared" si="279"/>
        <v>0</v>
      </c>
    </row>
    <row r="2444" spans="1:19" x14ac:dyDescent="0.3">
      <c r="A2444" s="17">
        <v>42503</v>
      </c>
      <c r="B2444">
        <v>222.16</v>
      </c>
      <c r="C2444">
        <v>44.3</v>
      </c>
      <c r="D2444">
        <f t="shared" si="276"/>
        <v>177.86</v>
      </c>
      <c r="E2444">
        <v>1.55</v>
      </c>
      <c r="F2444">
        <f t="shared" si="277"/>
        <v>-176.31</v>
      </c>
      <c r="I2444">
        <f t="shared" si="273"/>
        <v>13</v>
      </c>
      <c r="J2444">
        <v>1</v>
      </c>
      <c r="K2444">
        <f t="shared" si="274"/>
        <v>5</v>
      </c>
      <c r="L2444">
        <f t="shared" si="275"/>
        <v>2016</v>
      </c>
      <c r="N2444" s="17">
        <f t="shared" si="278"/>
        <v>42491</v>
      </c>
      <c r="S2444">
        <f t="shared" si="279"/>
        <v>0</v>
      </c>
    </row>
    <row r="2445" spans="1:19" x14ac:dyDescent="0.3">
      <c r="A2445" s="17">
        <v>42502</v>
      </c>
      <c r="B2445">
        <v>224.63</v>
      </c>
      <c r="C2445">
        <v>44.51</v>
      </c>
      <c r="D2445">
        <f t="shared" si="276"/>
        <v>180.12</v>
      </c>
      <c r="E2445">
        <v>1.57</v>
      </c>
      <c r="F2445">
        <f t="shared" si="277"/>
        <v>-178.55</v>
      </c>
      <c r="I2445">
        <f t="shared" si="273"/>
        <v>12</v>
      </c>
      <c r="J2445">
        <v>1</v>
      </c>
      <c r="K2445">
        <f t="shared" si="274"/>
        <v>5</v>
      </c>
      <c r="L2445">
        <f t="shared" si="275"/>
        <v>2016</v>
      </c>
      <c r="N2445" s="17">
        <f t="shared" si="278"/>
        <v>42491</v>
      </c>
      <c r="S2445">
        <f t="shared" si="279"/>
        <v>0</v>
      </c>
    </row>
    <row r="2446" spans="1:19" x14ac:dyDescent="0.3">
      <c r="A2446" s="17">
        <v>42501</v>
      </c>
      <c r="B2446">
        <v>210.74</v>
      </c>
      <c r="C2446">
        <v>42.05</v>
      </c>
      <c r="D2446">
        <f t="shared" si="276"/>
        <v>168.69</v>
      </c>
      <c r="E2446">
        <v>1.56</v>
      </c>
      <c r="F2446">
        <f t="shared" si="277"/>
        <v>-167.13</v>
      </c>
      <c r="I2446">
        <f t="shared" si="273"/>
        <v>11</v>
      </c>
      <c r="J2446">
        <v>1</v>
      </c>
      <c r="K2446">
        <f t="shared" si="274"/>
        <v>5</v>
      </c>
      <c r="L2446">
        <f t="shared" si="275"/>
        <v>2016</v>
      </c>
      <c r="N2446" s="17">
        <f t="shared" si="278"/>
        <v>42491</v>
      </c>
      <c r="S2446">
        <f t="shared" si="279"/>
        <v>0</v>
      </c>
    </row>
    <row r="2447" spans="1:19" x14ac:dyDescent="0.3">
      <c r="A2447" s="17">
        <v>42500</v>
      </c>
      <c r="B2447">
        <v>205.32</v>
      </c>
      <c r="C2447">
        <v>41.1</v>
      </c>
      <c r="D2447">
        <f t="shared" si="276"/>
        <v>164.22</v>
      </c>
      <c r="E2447">
        <v>1.53</v>
      </c>
      <c r="F2447">
        <f t="shared" si="277"/>
        <v>-162.69</v>
      </c>
      <c r="I2447">
        <f t="shared" si="273"/>
        <v>10</v>
      </c>
      <c r="J2447">
        <v>1</v>
      </c>
      <c r="K2447">
        <f t="shared" si="274"/>
        <v>5</v>
      </c>
      <c r="L2447">
        <f t="shared" si="275"/>
        <v>2016</v>
      </c>
      <c r="N2447" s="17">
        <f t="shared" si="278"/>
        <v>42491</v>
      </c>
      <c r="S2447">
        <f t="shared" si="279"/>
        <v>0</v>
      </c>
    </row>
    <row r="2448" spans="1:19" x14ac:dyDescent="0.3">
      <c r="A2448" s="17">
        <v>42499</v>
      </c>
      <c r="B2448">
        <v>213.63</v>
      </c>
      <c r="C2448">
        <v>42.75</v>
      </c>
      <c r="D2448">
        <f t="shared" si="276"/>
        <v>170.88</v>
      </c>
      <c r="E2448">
        <v>1.33</v>
      </c>
      <c r="F2448">
        <f t="shared" si="277"/>
        <v>-169.54999999999998</v>
      </c>
      <c r="I2448">
        <f t="shared" si="273"/>
        <v>9</v>
      </c>
      <c r="J2448">
        <v>1</v>
      </c>
      <c r="K2448">
        <f t="shared" si="274"/>
        <v>5</v>
      </c>
      <c r="L2448">
        <f t="shared" si="275"/>
        <v>2016</v>
      </c>
      <c r="N2448" s="17">
        <f t="shared" si="278"/>
        <v>42491</v>
      </c>
      <c r="S2448">
        <f t="shared" si="279"/>
        <v>0</v>
      </c>
    </row>
    <row r="2449" spans="1:19" x14ac:dyDescent="0.3">
      <c r="A2449" s="17">
        <v>42496</v>
      </c>
      <c r="B2449">
        <v>207.21</v>
      </c>
      <c r="C2449">
        <v>41.61</v>
      </c>
      <c r="D2449">
        <f t="shared" si="276"/>
        <v>165.60000000000002</v>
      </c>
      <c r="E2449">
        <v>1.28</v>
      </c>
      <c r="F2449">
        <f t="shared" si="277"/>
        <v>-164.32000000000002</v>
      </c>
      <c r="I2449">
        <f t="shared" si="273"/>
        <v>6</v>
      </c>
      <c r="J2449">
        <v>1</v>
      </c>
      <c r="K2449">
        <f t="shared" si="274"/>
        <v>5</v>
      </c>
      <c r="L2449">
        <f t="shared" si="275"/>
        <v>2016</v>
      </c>
      <c r="N2449" s="17">
        <f t="shared" si="278"/>
        <v>42491</v>
      </c>
      <c r="S2449">
        <f t="shared" si="279"/>
        <v>0</v>
      </c>
    </row>
    <row r="2450" spans="1:19" x14ac:dyDescent="0.3">
      <c r="A2450" s="17">
        <v>42495</v>
      </c>
      <c r="B2450">
        <v>214.01</v>
      </c>
      <c r="C2450">
        <v>42.5</v>
      </c>
      <c r="D2450">
        <f t="shared" si="276"/>
        <v>171.51</v>
      </c>
      <c r="E2450">
        <v>1.25</v>
      </c>
      <c r="F2450">
        <f t="shared" si="277"/>
        <v>-170.26</v>
      </c>
      <c r="I2450">
        <f t="shared" si="273"/>
        <v>5</v>
      </c>
      <c r="J2450">
        <v>1</v>
      </c>
      <c r="K2450">
        <f t="shared" si="274"/>
        <v>5</v>
      </c>
      <c r="L2450">
        <f t="shared" si="275"/>
        <v>2016</v>
      </c>
      <c r="N2450" s="17">
        <f t="shared" si="278"/>
        <v>42491</v>
      </c>
      <c r="S2450">
        <f t="shared" si="279"/>
        <v>0</v>
      </c>
    </row>
    <row r="2451" spans="1:19" x14ac:dyDescent="0.3">
      <c r="A2451" s="17">
        <v>42494</v>
      </c>
      <c r="B2451">
        <v>209.11</v>
      </c>
      <c r="C2451">
        <v>41.95</v>
      </c>
      <c r="D2451">
        <f t="shared" si="276"/>
        <v>167.16000000000003</v>
      </c>
      <c r="E2451">
        <v>1.23</v>
      </c>
      <c r="F2451">
        <f t="shared" si="277"/>
        <v>-165.93000000000004</v>
      </c>
      <c r="I2451">
        <f t="shared" si="273"/>
        <v>4</v>
      </c>
      <c r="J2451">
        <v>1</v>
      </c>
      <c r="K2451">
        <f t="shared" si="274"/>
        <v>5</v>
      </c>
      <c r="L2451">
        <f t="shared" si="275"/>
        <v>2016</v>
      </c>
      <c r="N2451" s="17">
        <f t="shared" si="278"/>
        <v>42491</v>
      </c>
      <c r="S2451">
        <f t="shared" si="279"/>
        <v>1</v>
      </c>
    </row>
    <row r="2452" spans="1:19" x14ac:dyDescent="0.3">
      <c r="A2452" s="17">
        <v>42493</v>
      </c>
      <c r="B2452">
        <v>210.68</v>
      </c>
      <c r="C2452">
        <v>43</v>
      </c>
      <c r="D2452">
        <f t="shared" si="276"/>
        <v>167.68</v>
      </c>
      <c r="E2452">
        <v>1.19</v>
      </c>
      <c r="F2452">
        <f t="shared" si="277"/>
        <v>-166.49</v>
      </c>
      <c r="I2452">
        <f t="shared" si="273"/>
        <v>3</v>
      </c>
      <c r="J2452">
        <v>1</v>
      </c>
      <c r="K2452">
        <f t="shared" si="274"/>
        <v>5</v>
      </c>
      <c r="L2452">
        <f t="shared" si="275"/>
        <v>2016</v>
      </c>
      <c r="N2452" s="17">
        <f t="shared" si="278"/>
        <v>42491</v>
      </c>
      <c r="S2452">
        <f t="shared" si="279"/>
        <v>1</v>
      </c>
    </row>
    <row r="2453" spans="1:19" x14ac:dyDescent="0.3">
      <c r="A2453" s="17">
        <v>42489</v>
      </c>
      <c r="B2453">
        <v>220.4</v>
      </c>
      <c r="C2453">
        <v>44.25</v>
      </c>
      <c r="D2453">
        <f t="shared" si="276"/>
        <v>176.15</v>
      </c>
      <c r="E2453">
        <v>1.26</v>
      </c>
      <c r="F2453">
        <f t="shared" si="277"/>
        <v>-174.89000000000001</v>
      </c>
      <c r="I2453">
        <f t="shared" si="273"/>
        <v>29</v>
      </c>
      <c r="J2453">
        <v>1</v>
      </c>
      <c r="K2453">
        <f t="shared" si="274"/>
        <v>4</v>
      </c>
      <c r="L2453">
        <f t="shared" si="275"/>
        <v>2016</v>
      </c>
      <c r="N2453" s="17">
        <f t="shared" si="278"/>
        <v>42461</v>
      </c>
      <c r="S2453">
        <f t="shared" si="279"/>
        <v>0</v>
      </c>
    </row>
    <row r="2454" spans="1:19" x14ac:dyDescent="0.3">
      <c r="A2454" s="17">
        <v>42488</v>
      </c>
      <c r="B2454">
        <v>213.83</v>
      </c>
      <c r="C2454">
        <v>43.19</v>
      </c>
      <c r="D2454">
        <f t="shared" si="276"/>
        <v>170.64000000000001</v>
      </c>
      <c r="E2454">
        <v>1.22</v>
      </c>
      <c r="F2454">
        <f t="shared" si="277"/>
        <v>-169.42000000000002</v>
      </c>
      <c r="I2454">
        <f t="shared" si="273"/>
        <v>28</v>
      </c>
      <c r="J2454">
        <v>1</v>
      </c>
      <c r="K2454">
        <f t="shared" si="274"/>
        <v>4</v>
      </c>
      <c r="L2454">
        <f t="shared" si="275"/>
        <v>2016</v>
      </c>
      <c r="N2454" s="17">
        <f t="shared" si="278"/>
        <v>42461</v>
      </c>
      <c r="S2454">
        <f t="shared" si="279"/>
        <v>0</v>
      </c>
    </row>
    <row r="2455" spans="1:19" x14ac:dyDescent="0.3">
      <c r="A2455" s="17">
        <v>42487</v>
      </c>
      <c r="B2455">
        <v>210.35</v>
      </c>
      <c r="C2455">
        <v>42.6</v>
      </c>
      <c r="D2455">
        <f t="shared" si="276"/>
        <v>167.75</v>
      </c>
      <c r="E2455">
        <v>1.21</v>
      </c>
      <c r="F2455">
        <f t="shared" si="277"/>
        <v>-166.54</v>
      </c>
      <c r="I2455">
        <f t="shared" si="273"/>
        <v>27</v>
      </c>
      <c r="J2455">
        <v>1</v>
      </c>
      <c r="K2455">
        <f t="shared" si="274"/>
        <v>4</v>
      </c>
      <c r="L2455">
        <f t="shared" si="275"/>
        <v>2016</v>
      </c>
      <c r="N2455" s="17">
        <f t="shared" si="278"/>
        <v>42461</v>
      </c>
      <c r="S2455">
        <f t="shared" si="279"/>
        <v>0</v>
      </c>
    </row>
    <row r="2456" spans="1:19" x14ac:dyDescent="0.3">
      <c r="A2456" s="17">
        <v>42486</v>
      </c>
      <c r="B2456">
        <v>198.59</v>
      </c>
      <c r="C2456">
        <v>40.85</v>
      </c>
      <c r="D2456">
        <f t="shared" si="276"/>
        <v>157.74</v>
      </c>
      <c r="E2456">
        <v>1.27</v>
      </c>
      <c r="F2456">
        <f t="shared" si="277"/>
        <v>-156.47</v>
      </c>
      <c r="I2456">
        <f t="shared" si="273"/>
        <v>26</v>
      </c>
      <c r="J2456">
        <v>1</v>
      </c>
      <c r="K2456">
        <f t="shared" si="274"/>
        <v>4</v>
      </c>
      <c r="L2456">
        <f t="shared" si="275"/>
        <v>2016</v>
      </c>
      <c r="N2456" s="17">
        <f t="shared" si="278"/>
        <v>42461</v>
      </c>
      <c r="S2456">
        <f t="shared" si="279"/>
        <v>0</v>
      </c>
    </row>
    <row r="2457" spans="1:19" x14ac:dyDescent="0.3">
      <c r="A2457" s="17">
        <v>42485</v>
      </c>
      <c r="B2457">
        <v>197.07</v>
      </c>
      <c r="C2457">
        <v>40.76</v>
      </c>
      <c r="D2457">
        <f t="shared" si="276"/>
        <v>156.31</v>
      </c>
      <c r="E2457">
        <v>1.33</v>
      </c>
      <c r="F2457">
        <f t="shared" si="277"/>
        <v>-154.97999999999999</v>
      </c>
      <c r="I2457">
        <f t="shared" si="273"/>
        <v>25</v>
      </c>
      <c r="J2457">
        <v>1</v>
      </c>
      <c r="K2457">
        <f t="shared" si="274"/>
        <v>4</v>
      </c>
      <c r="L2457">
        <f t="shared" si="275"/>
        <v>2016</v>
      </c>
      <c r="N2457" s="17">
        <f t="shared" si="278"/>
        <v>42461</v>
      </c>
      <c r="S2457">
        <f t="shared" si="279"/>
        <v>0</v>
      </c>
    </row>
    <row r="2458" spans="1:19" x14ac:dyDescent="0.3">
      <c r="A2458" s="17">
        <v>42482</v>
      </c>
      <c r="B2458">
        <v>197.67</v>
      </c>
      <c r="C2458">
        <v>41.05</v>
      </c>
      <c r="D2458">
        <f t="shared" si="276"/>
        <v>156.62</v>
      </c>
      <c r="E2458">
        <v>1.34</v>
      </c>
      <c r="F2458">
        <f t="shared" si="277"/>
        <v>-155.28</v>
      </c>
      <c r="I2458">
        <f t="shared" si="273"/>
        <v>22</v>
      </c>
      <c r="J2458">
        <v>1</v>
      </c>
      <c r="K2458">
        <f t="shared" si="274"/>
        <v>4</v>
      </c>
      <c r="L2458">
        <f t="shared" si="275"/>
        <v>2016</v>
      </c>
      <c r="N2458" s="17">
        <f t="shared" si="278"/>
        <v>42461</v>
      </c>
      <c r="S2458">
        <f t="shared" si="279"/>
        <v>0</v>
      </c>
    </row>
    <row r="2459" spans="1:19" x14ac:dyDescent="0.3">
      <c r="A2459" s="17">
        <v>42481</v>
      </c>
      <c r="B2459">
        <v>200.24</v>
      </c>
      <c r="C2459">
        <v>41.95</v>
      </c>
      <c r="D2459">
        <f t="shared" si="276"/>
        <v>158.29000000000002</v>
      </c>
      <c r="E2459">
        <v>1.33</v>
      </c>
      <c r="F2459">
        <f t="shared" si="277"/>
        <v>-156.96</v>
      </c>
      <c r="I2459">
        <f t="shared" si="273"/>
        <v>21</v>
      </c>
      <c r="J2459">
        <v>1</v>
      </c>
      <c r="K2459">
        <f t="shared" si="274"/>
        <v>4</v>
      </c>
      <c r="L2459">
        <f t="shared" si="275"/>
        <v>2016</v>
      </c>
      <c r="N2459" s="17">
        <f t="shared" si="278"/>
        <v>42461</v>
      </c>
      <c r="S2459">
        <f t="shared" si="279"/>
        <v>0</v>
      </c>
    </row>
    <row r="2460" spans="1:19" x14ac:dyDescent="0.3">
      <c r="A2460" s="17">
        <v>42480</v>
      </c>
      <c r="B2460">
        <v>187.13</v>
      </c>
      <c r="C2460">
        <v>39.21</v>
      </c>
      <c r="D2460">
        <f t="shared" si="276"/>
        <v>147.91999999999999</v>
      </c>
      <c r="E2460">
        <v>1.44</v>
      </c>
      <c r="F2460">
        <f t="shared" si="277"/>
        <v>-146.47999999999999</v>
      </c>
      <c r="I2460">
        <f t="shared" si="273"/>
        <v>20</v>
      </c>
      <c r="J2460">
        <v>1</v>
      </c>
      <c r="K2460">
        <f t="shared" si="274"/>
        <v>4</v>
      </c>
      <c r="L2460">
        <f t="shared" si="275"/>
        <v>2016</v>
      </c>
      <c r="N2460" s="17">
        <f t="shared" si="278"/>
        <v>42461</v>
      </c>
      <c r="S2460">
        <f t="shared" si="279"/>
        <v>0</v>
      </c>
    </row>
    <row r="2461" spans="1:19" x14ac:dyDescent="0.3">
      <c r="A2461" s="17">
        <v>42479</v>
      </c>
      <c r="B2461">
        <v>185.79</v>
      </c>
      <c r="C2461">
        <v>39.31</v>
      </c>
      <c r="D2461">
        <f t="shared" si="276"/>
        <v>146.47999999999999</v>
      </c>
      <c r="E2461">
        <v>1.43</v>
      </c>
      <c r="F2461">
        <f t="shared" si="277"/>
        <v>-145.04999999999998</v>
      </c>
      <c r="I2461">
        <f t="shared" si="273"/>
        <v>19</v>
      </c>
      <c r="J2461">
        <v>1</v>
      </c>
      <c r="K2461">
        <f t="shared" si="274"/>
        <v>4</v>
      </c>
      <c r="L2461">
        <f t="shared" si="275"/>
        <v>2016</v>
      </c>
      <c r="N2461" s="17">
        <f t="shared" si="278"/>
        <v>42461</v>
      </c>
      <c r="S2461">
        <f t="shared" si="279"/>
        <v>0</v>
      </c>
    </row>
    <row r="2462" spans="1:19" x14ac:dyDescent="0.3">
      <c r="A2462" s="17">
        <v>42478</v>
      </c>
      <c r="B2462">
        <v>174.91</v>
      </c>
      <c r="C2462">
        <v>37.549999999999997</v>
      </c>
      <c r="D2462">
        <f t="shared" si="276"/>
        <v>137.36000000000001</v>
      </c>
      <c r="E2462">
        <v>1.68</v>
      </c>
      <c r="F2462">
        <f t="shared" si="277"/>
        <v>-135.68</v>
      </c>
      <c r="I2462">
        <f t="shared" si="273"/>
        <v>18</v>
      </c>
      <c r="J2462">
        <v>1</v>
      </c>
      <c r="K2462">
        <f t="shared" si="274"/>
        <v>4</v>
      </c>
      <c r="L2462">
        <f t="shared" si="275"/>
        <v>2016</v>
      </c>
      <c r="N2462" s="17">
        <f t="shared" si="278"/>
        <v>42461</v>
      </c>
      <c r="S2462">
        <f t="shared" si="279"/>
        <v>0</v>
      </c>
    </row>
    <row r="2463" spans="1:19" x14ac:dyDescent="0.3">
      <c r="A2463" s="17">
        <v>42475</v>
      </c>
      <c r="B2463">
        <v>187.02</v>
      </c>
      <c r="C2463">
        <v>39.5</v>
      </c>
      <c r="D2463">
        <f t="shared" si="276"/>
        <v>147.52000000000001</v>
      </c>
      <c r="E2463">
        <v>1.64</v>
      </c>
      <c r="F2463">
        <f t="shared" si="277"/>
        <v>-145.88000000000002</v>
      </c>
      <c r="I2463">
        <f t="shared" si="273"/>
        <v>15</v>
      </c>
      <c r="J2463">
        <v>1</v>
      </c>
      <c r="K2463">
        <f t="shared" si="274"/>
        <v>4</v>
      </c>
      <c r="L2463">
        <f t="shared" si="275"/>
        <v>2016</v>
      </c>
      <c r="N2463" s="17">
        <f t="shared" si="278"/>
        <v>42461</v>
      </c>
      <c r="S2463">
        <f t="shared" si="279"/>
        <v>0</v>
      </c>
    </row>
    <row r="2464" spans="1:19" x14ac:dyDescent="0.3">
      <c r="A2464" s="17">
        <v>42474</v>
      </c>
      <c r="B2464">
        <v>188.3</v>
      </c>
      <c r="C2464">
        <v>39.61</v>
      </c>
      <c r="D2464">
        <f t="shared" si="276"/>
        <v>148.69</v>
      </c>
      <c r="E2464">
        <v>1.59</v>
      </c>
      <c r="F2464">
        <f t="shared" si="277"/>
        <v>-147.1</v>
      </c>
      <c r="I2464">
        <f t="shared" si="273"/>
        <v>14</v>
      </c>
      <c r="J2464">
        <v>1</v>
      </c>
      <c r="K2464">
        <f t="shared" si="274"/>
        <v>4</v>
      </c>
      <c r="L2464">
        <f t="shared" si="275"/>
        <v>2016</v>
      </c>
      <c r="N2464" s="17">
        <f t="shared" si="278"/>
        <v>42461</v>
      </c>
      <c r="S2464">
        <f t="shared" si="279"/>
        <v>0</v>
      </c>
    </row>
    <row r="2465" spans="1:19" x14ac:dyDescent="0.3">
      <c r="A2465" s="17">
        <v>42473</v>
      </c>
      <c r="B2465">
        <v>190.57</v>
      </c>
      <c r="C2465">
        <v>40.15</v>
      </c>
      <c r="D2465">
        <f t="shared" si="276"/>
        <v>150.41999999999999</v>
      </c>
      <c r="E2465">
        <v>1.65</v>
      </c>
      <c r="F2465">
        <f t="shared" si="277"/>
        <v>-148.76999999999998</v>
      </c>
      <c r="I2465">
        <f t="shared" si="273"/>
        <v>13</v>
      </c>
      <c r="J2465">
        <v>1</v>
      </c>
      <c r="K2465">
        <f t="shared" si="274"/>
        <v>4</v>
      </c>
      <c r="L2465">
        <f t="shared" si="275"/>
        <v>2016</v>
      </c>
      <c r="N2465" s="17">
        <f t="shared" si="278"/>
        <v>42461</v>
      </c>
      <c r="S2465">
        <f t="shared" si="279"/>
        <v>0</v>
      </c>
    </row>
    <row r="2466" spans="1:19" x14ac:dyDescent="0.3">
      <c r="A2466" s="17">
        <v>42472</v>
      </c>
      <c r="B2466">
        <v>189.78</v>
      </c>
      <c r="C2466">
        <v>39.51</v>
      </c>
      <c r="D2466">
        <f t="shared" si="276"/>
        <v>150.27000000000001</v>
      </c>
      <c r="E2466">
        <v>1.64</v>
      </c>
      <c r="F2466">
        <f t="shared" si="277"/>
        <v>-148.63000000000002</v>
      </c>
      <c r="I2466">
        <f t="shared" si="273"/>
        <v>12</v>
      </c>
      <c r="J2466">
        <v>1</v>
      </c>
      <c r="K2466">
        <f t="shared" si="274"/>
        <v>4</v>
      </c>
      <c r="L2466">
        <f t="shared" si="275"/>
        <v>2016</v>
      </c>
      <c r="N2466" s="17">
        <f t="shared" si="278"/>
        <v>42461</v>
      </c>
      <c r="S2466">
        <f t="shared" si="279"/>
        <v>0</v>
      </c>
    </row>
    <row r="2467" spans="1:19" x14ac:dyDescent="0.3">
      <c r="A2467" s="17">
        <v>42471</v>
      </c>
      <c r="B2467">
        <v>184.71</v>
      </c>
      <c r="C2467">
        <v>37.71</v>
      </c>
      <c r="D2467">
        <f t="shared" si="276"/>
        <v>147</v>
      </c>
      <c r="E2467">
        <v>1.51</v>
      </c>
      <c r="F2467">
        <f t="shared" si="277"/>
        <v>-145.49</v>
      </c>
      <c r="I2467">
        <f t="shared" si="273"/>
        <v>11</v>
      </c>
      <c r="J2467">
        <v>1</v>
      </c>
      <c r="K2467">
        <f t="shared" si="274"/>
        <v>4</v>
      </c>
      <c r="L2467">
        <f t="shared" si="275"/>
        <v>2016</v>
      </c>
      <c r="N2467" s="17">
        <f t="shared" si="278"/>
        <v>42461</v>
      </c>
      <c r="S2467">
        <f t="shared" si="279"/>
        <v>0</v>
      </c>
    </row>
    <row r="2468" spans="1:19" x14ac:dyDescent="0.3">
      <c r="A2468" s="17">
        <v>42468</v>
      </c>
      <c r="B2468">
        <v>178.5</v>
      </c>
      <c r="C2468">
        <v>36.61</v>
      </c>
      <c r="D2468">
        <f t="shared" si="276"/>
        <v>141.88999999999999</v>
      </c>
      <c r="E2468">
        <v>1.57</v>
      </c>
      <c r="F2468">
        <f t="shared" si="277"/>
        <v>-140.32</v>
      </c>
      <c r="I2468">
        <f t="shared" si="273"/>
        <v>8</v>
      </c>
      <c r="J2468">
        <v>1</v>
      </c>
      <c r="K2468">
        <f t="shared" si="274"/>
        <v>4</v>
      </c>
      <c r="L2468">
        <f t="shared" si="275"/>
        <v>2016</v>
      </c>
      <c r="N2468" s="17">
        <f t="shared" si="278"/>
        <v>42461</v>
      </c>
      <c r="S2468">
        <f t="shared" si="279"/>
        <v>0</v>
      </c>
    </row>
    <row r="2469" spans="1:19" x14ac:dyDescent="0.3">
      <c r="A2469" s="17">
        <v>42467</v>
      </c>
      <c r="B2469">
        <v>175.34</v>
      </c>
      <c r="C2469">
        <v>36.25</v>
      </c>
      <c r="D2469">
        <f t="shared" si="276"/>
        <v>139.09</v>
      </c>
      <c r="E2469">
        <v>1.49</v>
      </c>
      <c r="F2469">
        <f t="shared" si="277"/>
        <v>-137.6</v>
      </c>
      <c r="I2469">
        <f t="shared" si="273"/>
        <v>7</v>
      </c>
      <c r="J2469">
        <v>1</v>
      </c>
      <c r="K2469">
        <f t="shared" si="274"/>
        <v>4</v>
      </c>
      <c r="L2469">
        <f t="shared" si="275"/>
        <v>2016</v>
      </c>
      <c r="N2469" s="17">
        <f t="shared" si="278"/>
        <v>42461</v>
      </c>
      <c r="S2469">
        <f t="shared" si="279"/>
        <v>0</v>
      </c>
    </row>
    <row r="2470" spans="1:19" x14ac:dyDescent="0.3">
      <c r="A2470" s="17">
        <v>42466</v>
      </c>
      <c r="B2470">
        <v>167.14</v>
      </c>
      <c r="C2470">
        <v>34.71</v>
      </c>
      <c r="D2470">
        <f t="shared" si="276"/>
        <v>132.42999999999998</v>
      </c>
      <c r="E2470">
        <v>1.35</v>
      </c>
      <c r="F2470">
        <f t="shared" si="277"/>
        <v>-131.07999999999998</v>
      </c>
      <c r="I2470">
        <f t="shared" si="273"/>
        <v>6</v>
      </c>
      <c r="J2470">
        <v>1</v>
      </c>
      <c r="K2470">
        <f t="shared" si="274"/>
        <v>4</v>
      </c>
      <c r="L2470">
        <f t="shared" si="275"/>
        <v>2016</v>
      </c>
      <c r="N2470" s="17">
        <f t="shared" si="278"/>
        <v>42461</v>
      </c>
      <c r="S2470">
        <f t="shared" si="279"/>
        <v>0</v>
      </c>
    </row>
    <row r="2471" spans="1:19" x14ac:dyDescent="0.3">
      <c r="A2471" s="17">
        <v>42465</v>
      </c>
      <c r="B2471">
        <v>162</v>
      </c>
      <c r="C2471">
        <v>33.799999999999997</v>
      </c>
      <c r="D2471">
        <f t="shared" si="276"/>
        <v>128.19999999999999</v>
      </c>
      <c r="E2471">
        <v>1.26</v>
      </c>
      <c r="F2471">
        <f t="shared" si="277"/>
        <v>-126.93999999999998</v>
      </c>
      <c r="I2471">
        <f t="shared" si="273"/>
        <v>5</v>
      </c>
      <c r="J2471">
        <v>1</v>
      </c>
      <c r="K2471">
        <f t="shared" si="274"/>
        <v>4</v>
      </c>
      <c r="L2471">
        <f t="shared" si="275"/>
        <v>2016</v>
      </c>
      <c r="N2471" s="17">
        <f t="shared" si="278"/>
        <v>42461</v>
      </c>
      <c r="S2471">
        <f t="shared" si="279"/>
        <v>0</v>
      </c>
    </row>
    <row r="2472" spans="1:19" x14ac:dyDescent="0.3">
      <c r="A2472" s="17">
        <v>42464</v>
      </c>
      <c r="B2472">
        <v>168.03</v>
      </c>
      <c r="C2472">
        <v>34.81</v>
      </c>
      <c r="D2472">
        <f t="shared" si="276"/>
        <v>133.22</v>
      </c>
      <c r="E2472">
        <v>1.08</v>
      </c>
      <c r="F2472">
        <f t="shared" si="277"/>
        <v>-132.13999999999999</v>
      </c>
      <c r="I2472">
        <f t="shared" si="273"/>
        <v>4</v>
      </c>
      <c r="J2472">
        <v>1</v>
      </c>
      <c r="K2472">
        <f t="shared" si="274"/>
        <v>4</v>
      </c>
      <c r="L2472">
        <f t="shared" si="275"/>
        <v>2016</v>
      </c>
      <c r="N2472" s="17">
        <f t="shared" si="278"/>
        <v>42461</v>
      </c>
      <c r="S2472">
        <f t="shared" si="279"/>
        <v>1</v>
      </c>
    </row>
    <row r="2473" spans="1:19" x14ac:dyDescent="0.3">
      <c r="A2473" s="17">
        <v>42461</v>
      </c>
      <c r="B2473">
        <v>176.09</v>
      </c>
      <c r="C2473">
        <v>36.21</v>
      </c>
      <c r="D2473">
        <f t="shared" si="276"/>
        <v>139.88</v>
      </c>
      <c r="E2473">
        <v>0.89</v>
      </c>
      <c r="F2473">
        <f t="shared" si="277"/>
        <v>-138.99</v>
      </c>
      <c r="I2473">
        <f t="shared" si="273"/>
        <v>1</v>
      </c>
      <c r="J2473">
        <v>1</v>
      </c>
      <c r="K2473">
        <f t="shared" si="274"/>
        <v>4</v>
      </c>
      <c r="L2473">
        <f t="shared" si="275"/>
        <v>2016</v>
      </c>
      <c r="N2473" s="17">
        <f t="shared" si="278"/>
        <v>42461</v>
      </c>
      <c r="S2473">
        <f t="shared" si="279"/>
        <v>1</v>
      </c>
    </row>
    <row r="2474" spans="1:19" x14ac:dyDescent="0.3">
      <c r="A2474" s="17">
        <v>42460</v>
      </c>
      <c r="B2474">
        <v>171.74</v>
      </c>
      <c r="C2474">
        <v>34.909999999999997</v>
      </c>
      <c r="D2474">
        <f t="shared" si="276"/>
        <v>136.83000000000001</v>
      </c>
      <c r="E2474">
        <v>0.78</v>
      </c>
      <c r="F2474">
        <f t="shared" si="277"/>
        <v>-136.05000000000001</v>
      </c>
      <c r="I2474">
        <f t="shared" si="273"/>
        <v>31</v>
      </c>
      <c r="J2474">
        <v>1</v>
      </c>
      <c r="K2474">
        <f t="shared" si="274"/>
        <v>3</v>
      </c>
      <c r="L2474">
        <f t="shared" si="275"/>
        <v>2016</v>
      </c>
      <c r="N2474" s="17">
        <f t="shared" si="278"/>
        <v>42430</v>
      </c>
      <c r="S2474">
        <f t="shared" si="279"/>
        <v>0</v>
      </c>
    </row>
    <row r="2475" spans="1:19" x14ac:dyDescent="0.3">
      <c r="A2475" s="17">
        <v>42459</v>
      </c>
      <c r="B2475">
        <v>177.06</v>
      </c>
      <c r="C2475">
        <v>35.4</v>
      </c>
      <c r="D2475">
        <f t="shared" si="276"/>
        <v>141.66</v>
      </c>
      <c r="E2475">
        <v>0.82</v>
      </c>
      <c r="F2475">
        <f t="shared" si="277"/>
        <v>-140.84</v>
      </c>
      <c r="I2475">
        <f t="shared" si="273"/>
        <v>30</v>
      </c>
      <c r="J2475">
        <v>1</v>
      </c>
      <c r="K2475">
        <f t="shared" si="274"/>
        <v>3</v>
      </c>
      <c r="L2475">
        <f t="shared" si="275"/>
        <v>2016</v>
      </c>
      <c r="N2475" s="17">
        <f t="shared" si="278"/>
        <v>42430</v>
      </c>
      <c r="S2475">
        <f t="shared" si="279"/>
        <v>0</v>
      </c>
    </row>
    <row r="2476" spans="1:19" x14ac:dyDescent="0.3">
      <c r="A2476" s="17">
        <v>42458</v>
      </c>
      <c r="B2476">
        <v>175.17</v>
      </c>
      <c r="C2476">
        <v>35.39</v>
      </c>
      <c r="D2476">
        <f t="shared" si="276"/>
        <v>139.77999999999997</v>
      </c>
      <c r="E2476">
        <v>0.84</v>
      </c>
      <c r="F2476">
        <f t="shared" si="277"/>
        <v>-138.93999999999997</v>
      </c>
      <c r="I2476">
        <f t="shared" si="273"/>
        <v>29</v>
      </c>
      <c r="J2476">
        <v>1</v>
      </c>
      <c r="K2476">
        <f t="shared" si="274"/>
        <v>3</v>
      </c>
      <c r="L2476">
        <f t="shared" si="275"/>
        <v>2016</v>
      </c>
      <c r="N2476" s="17">
        <f t="shared" si="278"/>
        <v>42430</v>
      </c>
      <c r="S2476">
        <f t="shared" si="279"/>
        <v>0</v>
      </c>
    </row>
    <row r="2477" spans="1:19" x14ac:dyDescent="0.3">
      <c r="A2477" s="17">
        <v>42457</v>
      </c>
      <c r="B2477">
        <v>182.28</v>
      </c>
      <c r="C2477">
        <v>36.4</v>
      </c>
      <c r="D2477">
        <f t="shared" si="276"/>
        <v>145.88</v>
      </c>
      <c r="E2477">
        <v>0.83</v>
      </c>
      <c r="F2477">
        <f t="shared" si="277"/>
        <v>-145.04999999999998</v>
      </c>
      <c r="I2477">
        <f t="shared" si="273"/>
        <v>28</v>
      </c>
      <c r="J2477">
        <v>1</v>
      </c>
      <c r="K2477">
        <f t="shared" si="274"/>
        <v>3</v>
      </c>
      <c r="L2477">
        <f t="shared" si="275"/>
        <v>2016</v>
      </c>
      <c r="N2477" s="17">
        <f t="shared" si="278"/>
        <v>42430</v>
      </c>
      <c r="S2477">
        <f t="shared" si="279"/>
        <v>0</v>
      </c>
    </row>
    <row r="2478" spans="1:19" x14ac:dyDescent="0.3">
      <c r="A2478" s="17">
        <v>42453</v>
      </c>
      <c r="B2478">
        <v>179.06</v>
      </c>
      <c r="C2478">
        <v>36.01</v>
      </c>
      <c r="D2478">
        <f t="shared" si="276"/>
        <v>143.05000000000001</v>
      </c>
      <c r="E2478">
        <v>0.87</v>
      </c>
      <c r="F2478">
        <f t="shared" si="277"/>
        <v>-142.18</v>
      </c>
      <c r="I2478">
        <f t="shared" si="273"/>
        <v>24</v>
      </c>
      <c r="J2478">
        <v>1</v>
      </c>
      <c r="K2478">
        <f t="shared" si="274"/>
        <v>3</v>
      </c>
      <c r="L2478">
        <f t="shared" si="275"/>
        <v>2016</v>
      </c>
      <c r="N2478" s="17">
        <f t="shared" si="278"/>
        <v>42430</v>
      </c>
      <c r="S2478">
        <f t="shared" si="279"/>
        <v>0</v>
      </c>
    </row>
    <row r="2479" spans="1:19" x14ac:dyDescent="0.3">
      <c r="A2479" s="17">
        <v>42452</v>
      </c>
      <c r="B2479">
        <v>183.74</v>
      </c>
      <c r="C2479">
        <v>37.15</v>
      </c>
      <c r="D2479">
        <f t="shared" si="276"/>
        <v>146.59</v>
      </c>
      <c r="E2479">
        <v>0.89</v>
      </c>
      <c r="F2479">
        <f t="shared" si="277"/>
        <v>-145.70000000000002</v>
      </c>
      <c r="I2479">
        <f t="shared" si="273"/>
        <v>23</v>
      </c>
      <c r="J2479">
        <v>1</v>
      </c>
      <c r="K2479">
        <f t="shared" si="274"/>
        <v>3</v>
      </c>
      <c r="L2479">
        <f t="shared" si="275"/>
        <v>2016</v>
      </c>
      <c r="N2479" s="17">
        <f t="shared" si="278"/>
        <v>42430</v>
      </c>
      <c r="S2479">
        <f t="shared" si="279"/>
        <v>0</v>
      </c>
    </row>
    <row r="2480" spans="1:19" x14ac:dyDescent="0.3">
      <c r="A2480" s="17">
        <v>42451</v>
      </c>
      <c r="B2480">
        <v>184.02</v>
      </c>
      <c r="C2480">
        <v>37.409999999999997</v>
      </c>
      <c r="D2480">
        <f t="shared" si="276"/>
        <v>146.61000000000001</v>
      </c>
      <c r="E2480">
        <v>0.85</v>
      </c>
      <c r="F2480">
        <f t="shared" si="277"/>
        <v>-145.76000000000002</v>
      </c>
      <c r="I2480">
        <f t="shared" si="273"/>
        <v>22</v>
      </c>
      <c r="J2480">
        <v>1</v>
      </c>
      <c r="K2480">
        <f t="shared" si="274"/>
        <v>3</v>
      </c>
      <c r="L2480">
        <f t="shared" si="275"/>
        <v>2016</v>
      </c>
      <c r="N2480" s="17">
        <f t="shared" si="278"/>
        <v>42430</v>
      </c>
      <c r="S2480">
        <f t="shared" si="279"/>
        <v>0</v>
      </c>
    </row>
    <row r="2481" spans="1:19" x14ac:dyDescent="0.3">
      <c r="A2481" s="17">
        <v>42450</v>
      </c>
      <c r="B2481">
        <v>180.34</v>
      </c>
      <c r="C2481">
        <v>37</v>
      </c>
      <c r="D2481">
        <f t="shared" si="276"/>
        <v>143.34</v>
      </c>
      <c r="E2481">
        <v>0.78</v>
      </c>
      <c r="F2481">
        <f t="shared" si="277"/>
        <v>-142.56</v>
      </c>
      <c r="I2481">
        <f t="shared" si="273"/>
        <v>21</v>
      </c>
      <c r="J2481">
        <v>1</v>
      </c>
      <c r="K2481">
        <f t="shared" si="274"/>
        <v>3</v>
      </c>
      <c r="L2481">
        <f t="shared" si="275"/>
        <v>2016</v>
      </c>
      <c r="N2481" s="17">
        <f t="shared" si="278"/>
        <v>42430</v>
      </c>
      <c r="S2481">
        <f t="shared" si="279"/>
        <v>0</v>
      </c>
    </row>
    <row r="2482" spans="1:19" x14ac:dyDescent="0.3">
      <c r="A2482" s="17">
        <v>42447</v>
      </c>
      <c r="B2482">
        <v>182.5</v>
      </c>
      <c r="C2482">
        <v>37.65</v>
      </c>
      <c r="D2482">
        <f t="shared" si="276"/>
        <v>144.85</v>
      </c>
      <c r="E2482">
        <v>0.79</v>
      </c>
      <c r="F2482">
        <f t="shared" si="277"/>
        <v>-144.06</v>
      </c>
      <c r="I2482">
        <f t="shared" si="273"/>
        <v>18</v>
      </c>
      <c r="J2482">
        <v>1</v>
      </c>
      <c r="K2482">
        <f t="shared" si="274"/>
        <v>3</v>
      </c>
      <c r="L2482">
        <f t="shared" si="275"/>
        <v>2016</v>
      </c>
      <c r="N2482" s="17">
        <f t="shared" si="278"/>
        <v>42430</v>
      </c>
      <c r="S2482">
        <f t="shared" si="279"/>
        <v>0</v>
      </c>
    </row>
    <row r="2483" spans="1:19" x14ac:dyDescent="0.3">
      <c r="A2483" s="17">
        <v>42446</v>
      </c>
      <c r="B2483">
        <v>183.11</v>
      </c>
      <c r="C2483">
        <v>36.880000000000003</v>
      </c>
      <c r="D2483">
        <f t="shared" si="276"/>
        <v>146.23000000000002</v>
      </c>
      <c r="E2483">
        <v>0.71</v>
      </c>
      <c r="F2483">
        <f t="shared" si="277"/>
        <v>-145.52000000000001</v>
      </c>
      <c r="I2483">
        <f t="shared" si="273"/>
        <v>17</v>
      </c>
      <c r="J2483">
        <v>1</v>
      </c>
      <c r="K2483">
        <f t="shared" si="274"/>
        <v>3</v>
      </c>
      <c r="L2483">
        <f t="shared" si="275"/>
        <v>2016</v>
      </c>
      <c r="N2483" s="17">
        <f t="shared" si="278"/>
        <v>42430</v>
      </c>
      <c r="S2483">
        <f t="shared" si="279"/>
        <v>0</v>
      </c>
    </row>
    <row r="2484" spans="1:19" x14ac:dyDescent="0.3">
      <c r="A2484" s="17">
        <v>42445</v>
      </c>
      <c r="B2484">
        <v>167.96</v>
      </c>
      <c r="C2484">
        <v>34.65</v>
      </c>
      <c r="D2484">
        <f t="shared" si="276"/>
        <v>133.31</v>
      </c>
      <c r="E2484">
        <v>0.69</v>
      </c>
      <c r="F2484">
        <f t="shared" si="277"/>
        <v>-132.62</v>
      </c>
      <c r="I2484">
        <f t="shared" si="273"/>
        <v>16</v>
      </c>
      <c r="J2484">
        <v>1</v>
      </c>
      <c r="K2484">
        <f t="shared" si="274"/>
        <v>3</v>
      </c>
      <c r="L2484">
        <f t="shared" si="275"/>
        <v>2016</v>
      </c>
      <c r="N2484" s="17">
        <f t="shared" si="278"/>
        <v>42430</v>
      </c>
      <c r="S2484">
        <f t="shared" si="279"/>
        <v>0</v>
      </c>
    </row>
    <row r="2485" spans="1:19" x14ac:dyDescent="0.3">
      <c r="A2485" s="17">
        <v>42444</v>
      </c>
      <c r="B2485">
        <v>172.48</v>
      </c>
      <c r="C2485">
        <v>34.159999999999997</v>
      </c>
      <c r="D2485">
        <f t="shared" si="276"/>
        <v>138.32</v>
      </c>
      <c r="E2485">
        <v>0.63</v>
      </c>
      <c r="F2485">
        <f t="shared" si="277"/>
        <v>-137.69</v>
      </c>
      <c r="I2485">
        <f t="shared" si="273"/>
        <v>15</v>
      </c>
      <c r="J2485">
        <v>1</v>
      </c>
      <c r="K2485">
        <f t="shared" si="274"/>
        <v>3</v>
      </c>
      <c r="L2485">
        <f t="shared" si="275"/>
        <v>2016</v>
      </c>
      <c r="N2485" s="17">
        <f t="shared" si="278"/>
        <v>42430</v>
      </c>
      <c r="S2485">
        <f t="shared" si="279"/>
        <v>0</v>
      </c>
    </row>
    <row r="2486" spans="1:19" x14ac:dyDescent="0.3">
      <c r="A2486" s="17">
        <v>42443</v>
      </c>
      <c r="B2486">
        <v>184.53</v>
      </c>
      <c r="C2486">
        <v>35.29</v>
      </c>
      <c r="D2486">
        <f t="shared" si="276"/>
        <v>149.24</v>
      </c>
      <c r="E2486">
        <v>0.65</v>
      </c>
      <c r="F2486">
        <f t="shared" si="277"/>
        <v>-148.59</v>
      </c>
      <c r="I2486">
        <f t="shared" si="273"/>
        <v>14</v>
      </c>
      <c r="J2486">
        <v>1</v>
      </c>
      <c r="K2486">
        <f t="shared" si="274"/>
        <v>3</v>
      </c>
      <c r="L2486">
        <f t="shared" si="275"/>
        <v>2016</v>
      </c>
      <c r="N2486" s="17">
        <f t="shared" si="278"/>
        <v>42430</v>
      </c>
      <c r="S2486">
        <f t="shared" si="279"/>
        <v>0</v>
      </c>
    </row>
    <row r="2487" spans="1:19" x14ac:dyDescent="0.3">
      <c r="A2487" s="17">
        <v>42440</v>
      </c>
      <c r="B2487">
        <v>186.14</v>
      </c>
      <c r="C2487">
        <v>36.049999999999997</v>
      </c>
      <c r="D2487">
        <f t="shared" si="276"/>
        <v>150.08999999999997</v>
      </c>
      <c r="E2487">
        <v>0.53</v>
      </c>
      <c r="F2487">
        <f t="shared" si="277"/>
        <v>-149.55999999999997</v>
      </c>
      <c r="I2487">
        <f t="shared" si="273"/>
        <v>11</v>
      </c>
      <c r="J2487">
        <v>1</v>
      </c>
      <c r="K2487">
        <f t="shared" si="274"/>
        <v>3</v>
      </c>
      <c r="L2487">
        <f t="shared" si="275"/>
        <v>2016</v>
      </c>
      <c r="N2487" s="17">
        <f t="shared" si="278"/>
        <v>42430</v>
      </c>
      <c r="S2487">
        <f t="shared" si="279"/>
        <v>0</v>
      </c>
    </row>
    <row r="2488" spans="1:19" x14ac:dyDescent="0.3">
      <c r="A2488" s="17">
        <v>42439</v>
      </c>
      <c r="B2488">
        <v>184.66</v>
      </c>
      <c r="C2488">
        <v>35.909999999999997</v>
      </c>
      <c r="D2488">
        <f t="shared" si="276"/>
        <v>148.75</v>
      </c>
      <c r="E2488">
        <v>0.51</v>
      </c>
      <c r="F2488">
        <f t="shared" si="277"/>
        <v>-148.24</v>
      </c>
      <c r="I2488">
        <f t="shared" si="273"/>
        <v>10</v>
      </c>
      <c r="J2488">
        <v>1</v>
      </c>
      <c r="K2488">
        <f t="shared" si="274"/>
        <v>3</v>
      </c>
      <c r="L2488">
        <f t="shared" si="275"/>
        <v>2016</v>
      </c>
      <c r="N2488" s="17">
        <f t="shared" si="278"/>
        <v>42430</v>
      </c>
      <c r="S2488">
        <f t="shared" si="279"/>
        <v>0</v>
      </c>
    </row>
    <row r="2489" spans="1:19" x14ac:dyDescent="0.3">
      <c r="A2489" s="17">
        <v>42438</v>
      </c>
      <c r="B2489">
        <v>174.36</v>
      </c>
      <c r="C2489">
        <v>35.03</v>
      </c>
      <c r="D2489">
        <f t="shared" si="276"/>
        <v>139.33000000000001</v>
      </c>
      <c r="E2489">
        <v>0.49</v>
      </c>
      <c r="F2489">
        <f t="shared" si="277"/>
        <v>-138.84</v>
      </c>
      <c r="I2489">
        <f t="shared" si="273"/>
        <v>9</v>
      </c>
      <c r="J2489">
        <v>1</v>
      </c>
      <c r="K2489">
        <f t="shared" si="274"/>
        <v>3</v>
      </c>
      <c r="L2489">
        <f t="shared" si="275"/>
        <v>2016</v>
      </c>
      <c r="N2489" s="17">
        <f t="shared" si="278"/>
        <v>42430</v>
      </c>
      <c r="S2489">
        <f t="shared" si="279"/>
        <v>0</v>
      </c>
    </row>
    <row r="2490" spans="1:19" x14ac:dyDescent="0.3">
      <c r="A2490" s="17">
        <v>42437</v>
      </c>
      <c r="B2490">
        <v>175.7</v>
      </c>
      <c r="C2490">
        <v>35.659999999999997</v>
      </c>
      <c r="D2490">
        <f t="shared" si="276"/>
        <v>140.04</v>
      </c>
      <c r="E2490">
        <v>0.48</v>
      </c>
      <c r="F2490">
        <f t="shared" si="277"/>
        <v>-139.56</v>
      </c>
      <c r="I2490">
        <f t="shared" si="273"/>
        <v>8</v>
      </c>
      <c r="J2490">
        <v>1</v>
      </c>
      <c r="K2490">
        <f t="shared" si="274"/>
        <v>3</v>
      </c>
      <c r="L2490">
        <f t="shared" si="275"/>
        <v>2016</v>
      </c>
      <c r="N2490" s="17">
        <f t="shared" si="278"/>
        <v>42430</v>
      </c>
      <c r="S2490">
        <f t="shared" si="279"/>
        <v>0</v>
      </c>
    </row>
    <row r="2491" spans="1:19" x14ac:dyDescent="0.3">
      <c r="A2491" s="17">
        <v>42436</v>
      </c>
      <c r="B2491">
        <v>168.74</v>
      </c>
      <c r="C2491">
        <v>34.409999999999997</v>
      </c>
      <c r="D2491">
        <f t="shared" si="276"/>
        <v>134.33000000000001</v>
      </c>
      <c r="E2491">
        <v>0.54</v>
      </c>
      <c r="F2491">
        <f t="shared" si="277"/>
        <v>-133.79000000000002</v>
      </c>
      <c r="I2491">
        <f t="shared" si="273"/>
        <v>7</v>
      </c>
      <c r="J2491">
        <v>1</v>
      </c>
      <c r="K2491">
        <f t="shared" si="274"/>
        <v>3</v>
      </c>
      <c r="L2491">
        <f t="shared" si="275"/>
        <v>2016</v>
      </c>
      <c r="N2491" s="17">
        <f t="shared" si="278"/>
        <v>42430</v>
      </c>
      <c r="S2491">
        <f t="shared" si="279"/>
        <v>0</v>
      </c>
    </row>
    <row r="2492" spans="1:19" x14ac:dyDescent="0.3">
      <c r="A2492" s="17">
        <v>42433</v>
      </c>
      <c r="B2492">
        <v>158.94999999999999</v>
      </c>
      <c r="C2492">
        <v>32.25</v>
      </c>
      <c r="D2492">
        <f t="shared" si="276"/>
        <v>126.69999999999999</v>
      </c>
      <c r="E2492">
        <v>0.51</v>
      </c>
      <c r="F2492">
        <f t="shared" si="277"/>
        <v>-126.18999999999998</v>
      </c>
      <c r="I2492">
        <f t="shared" si="273"/>
        <v>4</v>
      </c>
      <c r="J2492">
        <v>1</v>
      </c>
      <c r="K2492">
        <f t="shared" si="274"/>
        <v>3</v>
      </c>
      <c r="L2492">
        <f t="shared" si="275"/>
        <v>2016</v>
      </c>
      <c r="N2492" s="17">
        <f t="shared" si="278"/>
        <v>42430</v>
      </c>
      <c r="S2492">
        <f t="shared" si="279"/>
        <v>1</v>
      </c>
    </row>
    <row r="2493" spans="1:19" x14ac:dyDescent="0.3">
      <c r="A2493" s="17">
        <v>42432</v>
      </c>
      <c r="B2493">
        <v>154.09</v>
      </c>
      <c r="C2493">
        <v>31.72</v>
      </c>
      <c r="D2493">
        <f t="shared" si="276"/>
        <v>122.37</v>
      </c>
      <c r="E2493">
        <v>0.62</v>
      </c>
      <c r="F2493">
        <f t="shared" si="277"/>
        <v>-121.75</v>
      </c>
      <c r="I2493">
        <f t="shared" si="273"/>
        <v>3</v>
      </c>
      <c r="J2493">
        <v>1</v>
      </c>
      <c r="K2493">
        <f t="shared" si="274"/>
        <v>3</v>
      </c>
      <c r="L2493">
        <f t="shared" si="275"/>
        <v>2016</v>
      </c>
      <c r="N2493" s="17">
        <f t="shared" si="278"/>
        <v>42430</v>
      </c>
      <c r="S2493">
        <f t="shared" si="279"/>
        <v>1</v>
      </c>
    </row>
    <row r="2494" spans="1:19" x14ac:dyDescent="0.3">
      <c r="A2494" s="17">
        <v>42431</v>
      </c>
      <c r="B2494">
        <v>157.05000000000001</v>
      </c>
      <c r="C2494">
        <v>31.89</v>
      </c>
      <c r="D2494">
        <f t="shared" si="276"/>
        <v>125.16000000000001</v>
      </c>
      <c r="E2494">
        <v>0.7</v>
      </c>
      <c r="F2494">
        <f t="shared" si="277"/>
        <v>-124.46000000000001</v>
      </c>
      <c r="I2494">
        <f t="shared" si="273"/>
        <v>2</v>
      </c>
      <c r="J2494">
        <v>1</v>
      </c>
      <c r="K2494">
        <f t="shared" si="274"/>
        <v>3</v>
      </c>
      <c r="L2494">
        <f t="shared" si="275"/>
        <v>2016</v>
      </c>
      <c r="N2494" s="17">
        <f t="shared" si="278"/>
        <v>42430</v>
      </c>
      <c r="S2494">
        <f t="shared" si="279"/>
        <v>1</v>
      </c>
    </row>
    <row r="2495" spans="1:19" x14ac:dyDescent="0.3">
      <c r="A2495" s="17">
        <v>42430</v>
      </c>
      <c r="B2495">
        <v>159.6</v>
      </c>
      <c r="C2495">
        <v>31.9</v>
      </c>
      <c r="D2495">
        <f t="shared" si="276"/>
        <v>127.69999999999999</v>
      </c>
      <c r="E2495">
        <v>0.74</v>
      </c>
      <c r="F2495">
        <f t="shared" si="277"/>
        <v>-126.96</v>
      </c>
      <c r="I2495">
        <f t="shared" si="273"/>
        <v>1</v>
      </c>
      <c r="J2495">
        <v>1</v>
      </c>
      <c r="K2495">
        <f t="shared" si="274"/>
        <v>3</v>
      </c>
      <c r="L2495">
        <f t="shared" si="275"/>
        <v>2016</v>
      </c>
      <c r="N2495" s="17">
        <f t="shared" si="278"/>
        <v>42430</v>
      </c>
      <c r="S2495">
        <f t="shared" si="279"/>
        <v>1</v>
      </c>
    </row>
    <row r="2496" spans="1:19" x14ac:dyDescent="0.3">
      <c r="A2496" s="17">
        <v>42429</v>
      </c>
      <c r="B2496">
        <v>148.1</v>
      </c>
      <c r="C2496">
        <v>29.9</v>
      </c>
      <c r="D2496">
        <f t="shared" si="276"/>
        <v>118.19999999999999</v>
      </c>
      <c r="E2496">
        <v>0.67</v>
      </c>
      <c r="F2496">
        <f t="shared" si="277"/>
        <v>-117.52999999999999</v>
      </c>
      <c r="I2496">
        <f t="shared" si="273"/>
        <v>29</v>
      </c>
      <c r="J2496">
        <v>1</v>
      </c>
      <c r="K2496">
        <f t="shared" si="274"/>
        <v>2</v>
      </c>
      <c r="L2496">
        <f t="shared" si="275"/>
        <v>2016</v>
      </c>
      <c r="N2496" s="17">
        <f t="shared" si="278"/>
        <v>42401</v>
      </c>
      <c r="S2496">
        <f t="shared" si="279"/>
        <v>0</v>
      </c>
    </row>
    <row r="2497" spans="1:19" x14ac:dyDescent="0.3">
      <c r="A2497" s="17">
        <v>42426</v>
      </c>
      <c r="B2497">
        <v>150.66999999999999</v>
      </c>
      <c r="C2497">
        <v>30.49</v>
      </c>
      <c r="D2497">
        <f t="shared" si="276"/>
        <v>120.17999999999999</v>
      </c>
      <c r="E2497">
        <v>0.69</v>
      </c>
      <c r="F2497">
        <f t="shared" si="277"/>
        <v>-119.49</v>
      </c>
      <c r="I2497">
        <f t="shared" si="273"/>
        <v>26</v>
      </c>
      <c r="J2497">
        <v>1</v>
      </c>
      <c r="K2497">
        <f t="shared" si="274"/>
        <v>2</v>
      </c>
      <c r="L2497">
        <f t="shared" si="275"/>
        <v>2016</v>
      </c>
      <c r="N2497" s="17">
        <f t="shared" si="278"/>
        <v>42401</v>
      </c>
      <c r="S2497">
        <f t="shared" si="279"/>
        <v>0</v>
      </c>
    </row>
    <row r="2498" spans="1:19" x14ac:dyDescent="0.3">
      <c r="A2498" s="17">
        <v>42425</v>
      </c>
      <c r="B2498">
        <v>143.86000000000001</v>
      </c>
      <c r="C2498">
        <v>29.8</v>
      </c>
      <c r="D2498">
        <f t="shared" si="276"/>
        <v>114.06000000000002</v>
      </c>
      <c r="E2498">
        <v>0.74</v>
      </c>
      <c r="F2498">
        <f t="shared" si="277"/>
        <v>-113.32000000000002</v>
      </c>
      <c r="I2498">
        <f t="shared" si="273"/>
        <v>25</v>
      </c>
      <c r="J2498">
        <v>1</v>
      </c>
      <c r="K2498">
        <f t="shared" si="274"/>
        <v>2</v>
      </c>
      <c r="L2498">
        <f t="shared" si="275"/>
        <v>2016</v>
      </c>
      <c r="N2498" s="17">
        <f t="shared" si="278"/>
        <v>42401</v>
      </c>
      <c r="S2498">
        <f t="shared" si="279"/>
        <v>0</v>
      </c>
    </row>
    <row r="2499" spans="1:19" x14ac:dyDescent="0.3">
      <c r="A2499" s="17">
        <v>42424</v>
      </c>
      <c r="B2499">
        <v>141.62</v>
      </c>
      <c r="C2499">
        <v>28.8</v>
      </c>
      <c r="D2499">
        <f t="shared" si="276"/>
        <v>112.82000000000001</v>
      </c>
      <c r="E2499">
        <v>0.78</v>
      </c>
      <c r="F2499">
        <f t="shared" si="277"/>
        <v>-112.04</v>
      </c>
      <c r="I2499">
        <f t="shared" si="273"/>
        <v>24</v>
      </c>
      <c r="J2499">
        <v>1</v>
      </c>
      <c r="K2499">
        <f t="shared" si="274"/>
        <v>2</v>
      </c>
      <c r="L2499">
        <f t="shared" si="275"/>
        <v>2016</v>
      </c>
      <c r="N2499" s="17">
        <f t="shared" si="278"/>
        <v>42401</v>
      </c>
      <c r="S2499">
        <f t="shared" si="279"/>
        <v>0</v>
      </c>
    </row>
    <row r="2500" spans="1:19" x14ac:dyDescent="0.3">
      <c r="A2500" s="17">
        <v>42423</v>
      </c>
      <c r="B2500">
        <v>147</v>
      </c>
      <c r="C2500">
        <v>29.71</v>
      </c>
      <c r="D2500">
        <f t="shared" si="276"/>
        <v>117.28999999999999</v>
      </c>
      <c r="E2500">
        <v>0.86</v>
      </c>
      <c r="F2500">
        <f t="shared" si="277"/>
        <v>-116.42999999999999</v>
      </c>
      <c r="I2500">
        <f t="shared" si="273"/>
        <v>23</v>
      </c>
      <c r="J2500">
        <v>1</v>
      </c>
      <c r="K2500">
        <f t="shared" si="274"/>
        <v>2</v>
      </c>
      <c r="L2500">
        <f t="shared" si="275"/>
        <v>2016</v>
      </c>
      <c r="N2500" s="17">
        <f t="shared" si="278"/>
        <v>42401</v>
      </c>
      <c r="S2500">
        <f t="shared" si="279"/>
        <v>0</v>
      </c>
    </row>
    <row r="2501" spans="1:19" x14ac:dyDescent="0.3">
      <c r="A2501" s="17">
        <v>42422</v>
      </c>
      <c r="B2501">
        <v>148.04</v>
      </c>
      <c r="C2501">
        <v>29.5</v>
      </c>
      <c r="D2501">
        <f t="shared" si="276"/>
        <v>118.53999999999999</v>
      </c>
      <c r="E2501">
        <v>0.88</v>
      </c>
      <c r="F2501">
        <f t="shared" si="277"/>
        <v>-117.66</v>
      </c>
      <c r="I2501">
        <f t="shared" ref="I2501:I2564" si="280">+DAY(A2501)</f>
        <v>22</v>
      </c>
      <c r="J2501">
        <v>1</v>
      </c>
      <c r="K2501">
        <f t="shared" ref="K2501:K2564" si="281">+MONTH(A2501)</f>
        <v>2</v>
      </c>
      <c r="L2501">
        <f t="shared" ref="L2501:L2564" si="282">+YEAR(A2501)</f>
        <v>2016</v>
      </c>
      <c r="N2501" s="17">
        <f t="shared" si="278"/>
        <v>42401</v>
      </c>
      <c r="S2501">
        <f t="shared" si="279"/>
        <v>0</v>
      </c>
    </row>
    <row r="2502" spans="1:19" x14ac:dyDescent="0.3">
      <c r="A2502" s="17">
        <v>42419</v>
      </c>
      <c r="B2502">
        <v>148.57</v>
      </c>
      <c r="C2502">
        <v>30.21</v>
      </c>
      <c r="D2502">
        <f t="shared" ref="D2502:D2565" si="283">+B2502-C2502</f>
        <v>118.35999999999999</v>
      </c>
      <c r="E2502">
        <v>0.81</v>
      </c>
      <c r="F2502">
        <f t="shared" ref="F2502:F2565" si="284">+E2502-D2502</f>
        <v>-117.54999999999998</v>
      </c>
      <c r="I2502">
        <f t="shared" si="280"/>
        <v>19</v>
      </c>
      <c r="J2502">
        <v>1</v>
      </c>
      <c r="K2502">
        <f t="shared" si="281"/>
        <v>2</v>
      </c>
      <c r="L2502">
        <f t="shared" si="282"/>
        <v>2016</v>
      </c>
      <c r="N2502" s="17">
        <f t="shared" ref="N2502:N2565" si="285">+DATE(L2502,K2502,J2502)</f>
        <v>42401</v>
      </c>
      <c r="S2502">
        <f t="shared" ref="S2502:S2565" si="286">IF(AND(I2502&gt;=1, I2502&lt;=4), 1, 0)</f>
        <v>0</v>
      </c>
    </row>
    <row r="2503" spans="1:19" x14ac:dyDescent="0.3">
      <c r="A2503" s="17">
        <v>42418</v>
      </c>
      <c r="B2503">
        <v>155.08000000000001</v>
      </c>
      <c r="C2503">
        <v>30.8</v>
      </c>
      <c r="D2503">
        <f t="shared" si="283"/>
        <v>124.28000000000002</v>
      </c>
      <c r="E2503">
        <v>0.88</v>
      </c>
      <c r="F2503">
        <f t="shared" si="284"/>
        <v>-123.40000000000002</v>
      </c>
      <c r="I2503">
        <f t="shared" si="280"/>
        <v>18</v>
      </c>
      <c r="J2503">
        <v>1</v>
      </c>
      <c r="K2503">
        <f t="shared" si="281"/>
        <v>2</v>
      </c>
      <c r="L2503">
        <f t="shared" si="282"/>
        <v>2016</v>
      </c>
      <c r="N2503" s="17">
        <f t="shared" si="285"/>
        <v>42401</v>
      </c>
      <c r="S2503">
        <f t="shared" si="286"/>
        <v>0</v>
      </c>
    </row>
    <row r="2504" spans="1:19" x14ac:dyDescent="0.3">
      <c r="A2504" s="17">
        <v>42417</v>
      </c>
      <c r="B2504">
        <v>142.66</v>
      </c>
      <c r="C2504">
        <v>28.04</v>
      </c>
      <c r="D2504">
        <f t="shared" si="283"/>
        <v>114.62</v>
      </c>
      <c r="E2504">
        <v>0.78</v>
      </c>
      <c r="F2504">
        <f t="shared" si="284"/>
        <v>-113.84</v>
      </c>
      <c r="I2504">
        <f t="shared" si="280"/>
        <v>17</v>
      </c>
      <c r="J2504">
        <v>1</v>
      </c>
      <c r="K2504">
        <f t="shared" si="281"/>
        <v>2</v>
      </c>
      <c r="L2504">
        <f t="shared" si="282"/>
        <v>2016</v>
      </c>
      <c r="N2504" s="17">
        <f t="shared" si="285"/>
        <v>42401</v>
      </c>
      <c r="S2504">
        <f t="shared" si="286"/>
        <v>0</v>
      </c>
    </row>
    <row r="2505" spans="1:19" x14ac:dyDescent="0.3">
      <c r="A2505" s="17">
        <v>42416</v>
      </c>
      <c r="B2505">
        <v>161.38999999999999</v>
      </c>
      <c r="C2505">
        <v>31.29</v>
      </c>
      <c r="D2505">
        <f t="shared" si="283"/>
        <v>130.1</v>
      </c>
      <c r="E2505">
        <v>0.78</v>
      </c>
      <c r="F2505">
        <f t="shared" si="284"/>
        <v>-129.32</v>
      </c>
      <c r="I2505">
        <f t="shared" si="280"/>
        <v>16</v>
      </c>
      <c r="J2505">
        <v>1</v>
      </c>
      <c r="K2505">
        <f t="shared" si="281"/>
        <v>2</v>
      </c>
      <c r="L2505">
        <f t="shared" si="282"/>
        <v>2016</v>
      </c>
      <c r="N2505" s="17">
        <f t="shared" si="285"/>
        <v>42401</v>
      </c>
      <c r="S2505">
        <f t="shared" si="286"/>
        <v>0</v>
      </c>
    </row>
    <row r="2506" spans="1:19" x14ac:dyDescent="0.3">
      <c r="A2506" s="17">
        <v>42415</v>
      </c>
      <c r="B2506">
        <v>154.16</v>
      </c>
      <c r="C2506">
        <v>29.1</v>
      </c>
      <c r="D2506">
        <f t="shared" si="283"/>
        <v>125.06</v>
      </c>
      <c r="E2506">
        <v>0.82</v>
      </c>
      <c r="F2506">
        <f t="shared" si="284"/>
        <v>-124.24000000000001</v>
      </c>
      <c r="I2506">
        <f t="shared" si="280"/>
        <v>15</v>
      </c>
      <c r="J2506">
        <v>1</v>
      </c>
      <c r="K2506">
        <f t="shared" si="281"/>
        <v>2</v>
      </c>
      <c r="L2506">
        <f t="shared" si="282"/>
        <v>2016</v>
      </c>
      <c r="N2506" s="17">
        <f t="shared" si="285"/>
        <v>42401</v>
      </c>
      <c r="S2506">
        <f t="shared" si="286"/>
        <v>0</v>
      </c>
    </row>
    <row r="2507" spans="1:19" x14ac:dyDescent="0.3">
      <c r="A2507" s="17">
        <v>42412</v>
      </c>
      <c r="B2507">
        <v>143.05000000000001</v>
      </c>
      <c r="C2507">
        <v>26.65</v>
      </c>
      <c r="D2507">
        <f t="shared" si="283"/>
        <v>116.4</v>
      </c>
      <c r="E2507">
        <v>0.95</v>
      </c>
      <c r="F2507">
        <f t="shared" si="284"/>
        <v>-115.45</v>
      </c>
      <c r="I2507">
        <f t="shared" si="280"/>
        <v>12</v>
      </c>
      <c r="J2507">
        <v>1</v>
      </c>
      <c r="K2507">
        <f t="shared" si="281"/>
        <v>2</v>
      </c>
      <c r="L2507">
        <f t="shared" si="282"/>
        <v>2016</v>
      </c>
      <c r="N2507" s="17">
        <f t="shared" si="285"/>
        <v>42401</v>
      </c>
      <c r="S2507">
        <f t="shared" si="286"/>
        <v>0</v>
      </c>
    </row>
    <row r="2508" spans="1:19" x14ac:dyDescent="0.3">
      <c r="A2508" s="17">
        <v>42411</v>
      </c>
      <c r="B2508">
        <v>140.29</v>
      </c>
      <c r="C2508">
        <v>25.85</v>
      </c>
      <c r="D2508">
        <f t="shared" si="283"/>
        <v>114.44</v>
      </c>
      <c r="E2508">
        <v>1.01</v>
      </c>
      <c r="F2508">
        <f t="shared" si="284"/>
        <v>-113.42999999999999</v>
      </c>
      <c r="I2508">
        <f t="shared" si="280"/>
        <v>11</v>
      </c>
      <c r="J2508">
        <v>1</v>
      </c>
      <c r="K2508">
        <f t="shared" si="281"/>
        <v>2</v>
      </c>
      <c r="L2508">
        <f t="shared" si="282"/>
        <v>2016</v>
      </c>
      <c r="N2508" s="17">
        <f t="shared" si="285"/>
        <v>42401</v>
      </c>
      <c r="S2508">
        <f t="shared" si="286"/>
        <v>0</v>
      </c>
    </row>
    <row r="2509" spans="1:19" x14ac:dyDescent="0.3">
      <c r="A2509" s="17">
        <v>42410</v>
      </c>
      <c r="B2509">
        <v>138.22999999999999</v>
      </c>
      <c r="C2509">
        <v>26.64</v>
      </c>
      <c r="D2509">
        <f t="shared" si="283"/>
        <v>111.58999999999999</v>
      </c>
      <c r="E2509">
        <v>1.22</v>
      </c>
      <c r="F2509">
        <f t="shared" si="284"/>
        <v>-110.36999999999999</v>
      </c>
      <c r="I2509">
        <f t="shared" si="280"/>
        <v>10</v>
      </c>
      <c r="J2509">
        <v>1</v>
      </c>
      <c r="K2509">
        <f t="shared" si="281"/>
        <v>2</v>
      </c>
      <c r="L2509">
        <f t="shared" si="282"/>
        <v>2016</v>
      </c>
      <c r="N2509" s="17">
        <f t="shared" si="285"/>
        <v>42401</v>
      </c>
      <c r="S2509">
        <f t="shared" si="286"/>
        <v>0</v>
      </c>
    </row>
    <row r="2510" spans="1:19" x14ac:dyDescent="0.3">
      <c r="A2510" s="17">
        <v>42405</v>
      </c>
      <c r="B2510">
        <v>156.88</v>
      </c>
      <c r="C2510">
        <v>30.1</v>
      </c>
      <c r="D2510">
        <f t="shared" si="283"/>
        <v>126.78</v>
      </c>
      <c r="E2510">
        <v>1.27</v>
      </c>
      <c r="F2510">
        <f t="shared" si="284"/>
        <v>-125.51</v>
      </c>
      <c r="I2510">
        <f t="shared" si="280"/>
        <v>5</v>
      </c>
      <c r="J2510">
        <v>1</v>
      </c>
      <c r="K2510">
        <f t="shared" si="281"/>
        <v>2</v>
      </c>
      <c r="L2510">
        <f t="shared" si="282"/>
        <v>2016</v>
      </c>
      <c r="N2510" s="17">
        <f t="shared" si="285"/>
        <v>42401</v>
      </c>
      <c r="S2510">
        <f t="shared" si="286"/>
        <v>0</v>
      </c>
    </row>
    <row r="2511" spans="1:19" x14ac:dyDescent="0.3">
      <c r="A2511" s="17">
        <v>42404</v>
      </c>
      <c r="B2511">
        <v>160.24</v>
      </c>
      <c r="C2511">
        <v>30.8</v>
      </c>
      <c r="D2511">
        <f t="shared" si="283"/>
        <v>129.44</v>
      </c>
      <c r="E2511">
        <v>1.33</v>
      </c>
      <c r="F2511">
        <f t="shared" si="284"/>
        <v>-128.10999999999999</v>
      </c>
      <c r="I2511">
        <f t="shared" si="280"/>
        <v>4</v>
      </c>
      <c r="J2511">
        <v>1</v>
      </c>
      <c r="K2511">
        <f t="shared" si="281"/>
        <v>2</v>
      </c>
      <c r="L2511">
        <f t="shared" si="282"/>
        <v>2016</v>
      </c>
      <c r="N2511" s="17">
        <f t="shared" si="285"/>
        <v>42401</v>
      </c>
      <c r="S2511">
        <f t="shared" si="286"/>
        <v>1</v>
      </c>
    </row>
    <row r="2512" spans="1:19" x14ac:dyDescent="0.3">
      <c r="A2512" s="17">
        <v>42403</v>
      </c>
      <c r="B2512">
        <v>148.78</v>
      </c>
      <c r="C2512">
        <v>28.8</v>
      </c>
      <c r="D2512">
        <f t="shared" si="283"/>
        <v>119.98</v>
      </c>
      <c r="E2512">
        <v>1.23</v>
      </c>
      <c r="F2512">
        <f t="shared" si="284"/>
        <v>-118.75</v>
      </c>
      <c r="I2512">
        <f t="shared" si="280"/>
        <v>3</v>
      </c>
      <c r="J2512">
        <v>1</v>
      </c>
      <c r="K2512">
        <f t="shared" si="281"/>
        <v>2</v>
      </c>
      <c r="L2512">
        <f t="shared" si="282"/>
        <v>2016</v>
      </c>
      <c r="N2512" s="17">
        <f t="shared" si="285"/>
        <v>42401</v>
      </c>
      <c r="S2512">
        <f t="shared" si="286"/>
        <v>1</v>
      </c>
    </row>
    <row r="2513" spans="1:19" x14ac:dyDescent="0.3">
      <c r="A2513" s="17">
        <v>42402</v>
      </c>
      <c r="B2513">
        <v>153.82</v>
      </c>
      <c r="C2513">
        <v>29.35</v>
      </c>
      <c r="D2513">
        <f t="shared" si="283"/>
        <v>124.47</v>
      </c>
      <c r="E2513">
        <v>1.31</v>
      </c>
      <c r="F2513">
        <f t="shared" si="284"/>
        <v>-123.16</v>
      </c>
      <c r="I2513">
        <f t="shared" si="280"/>
        <v>2</v>
      </c>
      <c r="J2513">
        <v>1</v>
      </c>
      <c r="K2513">
        <f t="shared" si="281"/>
        <v>2</v>
      </c>
      <c r="L2513">
        <f t="shared" si="282"/>
        <v>2016</v>
      </c>
      <c r="N2513" s="17">
        <f t="shared" si="285"/>
        <v>42401</v>
      </c>
      <c r="S2513">
        <f t="shared" si="286"/>
        <v>1</v>
      </c>
    </row>
    <row r="2514" spans="1:19" x14ac:dyDescent="0.3">
      <c r="A2514" s="17">
        <v>42401</v>
      </c>
      <c r="B2514">
        <v>168.73</v>
      </c>
      <c r="C2514">
        <v>30.92</v>
      </c>
      <c r="D2514">
        <f t="shared" si="283"/>
        <v>137.81</v>
      </c>
      <c r="E2514">
        <v>1.25</v>
      </c>
      <c r="F2514">
        <f t="shared" si="284"/>
        <v>-136.56</v>
      </c>
      <c r="I2514">
        <f t="shared" si="280"/>
        <v>1</v>
      </c>
      <c r="J2514">
        <v>1</v>
      </c>
      <c r="K2514">
        <f t="shared" si="281"/>
        <v>2</v>
      </c>
      <c r="L2514">
        <f t="shared" si="282"/>
        <v>2016</v>
      </c>
      <c r="N2514" s="17">
        <f t="shared" si="285"/>
        <v>42401</v>
      </c>
      <c r="S2514">
        <f t="shared" si="286"/>
        <v>1</v>
      </c>
    </row>
    <row r="2515" spans="1:19" x14ac:dyDescent="0.3">
      <c r="A2515" s="17">
        <v>42398</v>
      </c>
      <c r="B2515">
        <v>168.76</v>
      </c>
      <c r="C2515">
        <v>30.26</v>
      </c>
      <c r="D2515">
        <f t="shared" si="283"/>
        <v>138.5</v>
      </c>
      <c r="E2515">
        <v>0.67</v>
      </c>
      <c r="F2515">
        <f t="shared" si="284"/>
        <v>-137.83000000000001</v>
      </c>
      <c r="I2515">
        <f t="shared" si="280"/>
        <v>29</v>
      </c>
      <c r="J2515">
        <v>1</v>
      </c>
      <c r="K2515">
        <f t="shared" si="281"/>
        <v>1</v>
      </c>
      <c r="L2515">
        <f t="shared" si="282"/>
        <v>2016</v>
      </c>
      <c r="N2515" s="17">
        <f t="shared" si="285"/>
        <v>42370</v>
      </c>
      <c r="S2515">
        <f t="shared" si="286"/>
        <v>0</v>
      </c>
    </row>
    <row r="2516" spans="1:19" x14ac:dyDescent="0.3">
      <c r="A2516" s="17">
        <v>42397</v>
      </c>
      <c r="B2516">
        <v>155.41999999999999</v>
      </c>
      <c r="C2516">
        <v>28.4</v>
      </c>
      <c r="D2516">
        <f t="shared" si="283"/>
        <v>127.01999999999998</v>
      </c>
      <c r="E2516">
        <v>0.82</v>
      </c>
      <c r="F2516">
        <f t="shared" si="284"/>
        <v>-126.19999999999999</v>
      </c>
      <c r="I2516">
        <f t="shared" si="280"/>
        <v>28</v>
      </c>
      <c r="J2516">
        <v>1</v>
      </c>
      <c r="K2516">
        <f t="shared" si="281"/>
        <v>1</v>
      </c>
      <c r="L2516">
        <f t="shared" si="282"/>
        <v>2016</v>
      </c>
      <c r="N2516" s="17">
        <f t="shared" si="285"/>
        <v>42370</v>
      </c>
      <c r="S2516">
        <f t="shared" si="286"/>
        <v>0</v>
      </c>
    </row>
    <row r="2517" spans="1:19" x14ac:dyDescent="0.3">
      <c r="A2517" s="17">
        <v>42396</v>
      </c>
      <c r="B2517">
        <v>146.19999999999999</v>
      </c>
      <c r="C2517">
        <v>26.3</v>
      </c>
      <c r="D2517">
        <f t="shared" si="283"/>
        <v>119.89999999999999</v>
      </c>
      <c r="E2517">
        <v>1.01</v>
      </c>
      <c r="F2517">
        <f t="shared" si="284"/>
        <v>-118.88999999999999</v>
      </c>
      <c r="I2517">
        <f t="shared" si="280"/>
        <v>27</v>
      </c>
      <c r="J2517">
        <v>1</v>
      </c>
      <c r="K2517">
        <f t="shared" si="281"/>
        <v>1</v>
      </c>
      <c r="L2517">
        <f t="shared" si="282"/>
        <v>2016</v>
      </c>
      <c r="N2517" s="17">
        <f t="shared" si="285"/>
        <v>42370</v>
      </c>
      <c r="S2517">
        <f t="shared" si="286"/>
        <v>0</v>
      </c>
    </row>
    <row r="2518" spans="1:19" x14ac:dyDescent="0.3">
      <c r="A2518" s="17">
        <v>42395</v>
      </c>
      <c r="B2518">
        <v>142.52000000000001</v>
      </c>
      <c r="C2518">
        <v>24.5</v>
      </c>
      <c r="D2518">
        <f t="shared" si="283"/>
        <v>118.02000000000001</v>
      </c>
      <c r="E2518">
        <v>1.1399999999999999</v>
      </c>
      <c r="F2518">
        <f t="shared" si="284"/>
        <v>-116.88000000000001</v>
      </c>
      <c r="I2518">
        <f t="shared" si="280"/>
        <v>26</v>
      </c>
      <c r="J2518">
        <v>1</v>
      </c>
      <c r="K2518">
        <f t="shared" si="281"/>
        <v>1</v>
      </c>
      <c r="L2518">
        <f t="shared" si="282"/>
        <v>2016</v>
      </c>
      <c r="N2518" s="17">
        <f t="shared" si="285"/>
        <v>42370</v>
      </c>
      <c r="S2518">
        <f t="shared" si="286"/>
        <v>0</v>
      </c>
    </row>
    <row r="2519" spans="1:19" x14ac:dyDescent="0.3">
      <c r="A2519" s="17">
        <v>42394</v>
      </c>
      <c r="B2519">
        <v>155.26</v>
      </c>
      <c r="C2519">
        <v>26.12</v>
      </c>
      <c r="D2519">
        <f t="shared" si="283"/>
        <v>129.13999999999999</v>
      </c>
      <c r="E2519">
        <v>1.17</v>
      </c>
      <c r="F2519">
        <f t="shared" si="284"/>
        <v>-127.96999999999998</v>
      </c>
      <c r="I2519">
        <f t="shared" si="280"/>
        <v>25</v>
      </c>
      <c r="J2519">
        <v>1</v>
      </c>
      <c r="K2519">
        <f t="shared" si="281"/>
        <v>1</v>
      </c>
      <c r="L2519">
        <f t="shared" si="282"/>
        <v>2016</v>
      </c>
      <c r="N2519" s="17">
        <f t="shared" si="285"/>
        <v>42370</v>
      </c>
      <c r="S2519">
        <f t="shared" si="286"/>
        <v>0</v>
      </c>
    </row>
    <row r="2520" spans="1:19" x14ac:dyDescent="0.3">
      <c r="A2520" s="17">
        <v>42391</v>
      </c>
      <c r="B2520">
        <v>147.71</v>
      </c>
      <c r="C2520">
        <v>25.07</v>
      </c>
      <c r="D2520">
        <f t="shared" si="283"/>
        <v>122.64000000000001</v>
      </c>
      <c r="E2520">
        <v>1.1100000000000001</v>
      </c>
      <c r="F2520">
        <f t="shared" si="284"/>
        <v>-121.53000000000002</v>
      </c>
      <c r="I2520">
        <f t="shared" si="280"/>
        <v>22</v>
      </c>
      <c r="J2520">
        <v>1</v>
      </c>
      <c r="K2520">
        <f t="shared" si="281"/>
        <v>1</v>
      </c>
      <c r="L2520">
        <f t="shared" si="282"/>
        <v>2016</v>
      </c>
      <c r="N2520" s="17">
        <f t="shared" si="285"/>
        <v>42370</v>
      </c>
      <c r="S2520">
        <f t="shared" si="286"/>
        <v>0</v>
      </c>
    </row>
    <row r="2521" spans="1:19" x14ac:dyDescent="0.3">
      <c r="A2521" s="17">
        <v>42390</v>
      </c>
      <c r="B2521">
        <v>136.28</v>
      </c>
      <c r="C2521">
        <v>22.8</v>
      </c>
      <c r="D2521">
        <f t="shared" si="283"/>
        <v>113.48</v>
      </c>
      <c r="E2521">
        <v>1.04</v>
      </c>
      <c r="F2521">
        <f t="shared" si="284"/>
        <v>-112.44</v>
      </c>
      <c r="I2521">
        <f t="shared" si="280"/>
        <v>21</v>
      </c>
      <c r="J2521">
        <v>1</v>
      </c>
      <c r="K2521">
        <f t="shared" si="281"/>
        <v>1</v>
      </c>
      <c r="L2521">
        <f t="shared" si="282"/>
        <v>2016</v>
      </c>
      <c r="N2521" s="17">
        <f t="shared" si="285"/>
        <v>42370</v>
      </c>
      <c r="S2521">
        <f t="shared" si="286"/>
        <v>0</v>
      </c>
    </row>
    <row r="2522" spans="1:19" x14ac:dyDescent="0.3">
      <c r="A2522" s="17">
        <v>42389</v>
      </c>
      <c r="B2522">
        <v>129.88</v>
      </c>
      <c r="C2522">
        <v>22.85</v>
      </c>
      <c r="D2522">
        <f t="shared" si="283"/>
        <v>107.03</v>
      </c>
      <c r="E2522">
        <v>0.97</v>
      </c>
      <c r="F2522">
        <f t="shared" si="284"/>
        <v>-106.06</v>
      </c>
      <c r="I2522">
        <f t="shared" si="280"/>
        <v>20</v>
      </c>
      <c r="J2522">
        <v>1</v>
      </c>
      <c r="K2522">
        <f t="shared" si="281"/>
        <v>1</v>
      </c>
      <c r="L2522">
        <f t="shared" si="282"/>
        <v>2016</v>
      </c>
      <c r="N2522" s="17">
        <f t="shared" si="285"/>
        <v>42370</v>
      </c>
      <c r="S2522">
        <f t="shared" si="286"/>
        <v>0</v>
      </c>
    </row>
    <row r="2523" spans="1:19" x14ac:dyDescent="0.3">
      <c r="A2523" s="17">
        <v>42388</v>
      </c>
      <c r="B2523">
        <v>132.36000000000001</v>
      </c>
      <c r="C2523">
        <v>23.8</v>
      </c>
      <c r="D2523">
        <f t="shared" si="283"/>
        <v>108.56000000000002</v>
      </c>
      <c r="E2523">
        <v>0.86</v>
      </c>
      <c r="F2523">
        <f t="shared" si="284"/>
        <v>-107.70000000000002</v>
      </c>
      <c r="I2523">
        <f t="shared" si="280"/>
        <v>19</v>
      </c>
      <c r="J2523">
        <v>1</v>
      </c>
      <c r="K2523">
        <f t="shared" si="281"/>
        <v>1</v>
      </c>
      <c r="L2523">
        <f t="shared" si="282"/>
        <v>2016</v>
      </c>
      <c r="N2523" s="17">
        <f t="shared" si="285"/>
        <v>42370</v>
      </c>
      <c r="S2523">
        <f t="shared" si="286"/>
        <v>0</v>
      </c>
    </row>
    <row r="2524" spans="1:19" x14ac:dyDescent="0.3">
      <c r="A2524" s="17">
        <v>42387</v>
      </c>
      <c r="B2524">
        <v>133.88</v>
      </c>
      <c r="C2524">
        <v>23.69</v>
      </c>
      <c r="D2524">
        <f t="shared" si="283"/>
        <v>110.19</v>
      </c>
      <c r="E2524">
        <v>0.84</v>
      </c>
      <c r="F2524">
        <f t="shared" si="284"/>
        <v>-109.35</v>
      </c>
      <c r="I2524">
        <f t="shared" si="280"/>
        <v>18</v>
      </c>
      <c r="J2524">
        <v>1</v>
      </c>
      <c r="K2524">
        <f t="shared" si="281"/>
        <v>1</v>
      </c>
      <c r="L2524">
        <f t="shared" si="282"/>
        <v>2016</v>
      </c>
      <c r="N2524" s="17">
        <f t="shared" si="285"/>
        <v>42370</v>
      </c>
      <c r="S2524">
        <f t="shared" si="286"/>
        <v>0</v>
      </c>
    </row>
    <row r="2525" spans="1:19" x14ac:dyDescent="0.3">
      <c r="A2525" s="17">
        <v>42384</v>
      </c>
      <c r="B2525">
        <v>138.81</v>
      </c>
      <c r="C2525">
        <v>25.55</v>
      </c>
      <c r="D2525">
        <f t="shared" si="283"/>
        <v>113.26</v>
      </c>
      <c r="E2525">
        <v>0.93</v>
      </c>
      <c r="F2525">
        <f t="shared" si="284"/>
        <v>-112.33</v>
      </c>
      <c r="I2525">
        <f t="shared" si="280"/>
        <v>15</v>
      </c>
      <c r="J2525">
        <v>1</v>
      </c>
      <c r="K2525">
        <f t="shared" si="281"/>
        <v>1</v>
      </c>
      <c r="L2525">
        <f t="shared" si="282"/>
        <v>2016</v>
      </c>
      <c r="N2525" s="17">
        <f t="shared" si="285"/>
        <v>42370</v>
      </c>
      <c r="S2525">
        <f t="shared" si="286"/>
        <v>0</v>
      </c>
    </row>
    <row r="2526" spans="1:19" x14ac:dyDescent="0.3">
      <c r="A2526" s="17">
        <v>42383</v>
      </c>
      <c r="B2526">
        <v>132.87</v>
      </c>
      <c r="C2526">
        <v>25.3</v>
      </c>
      <c r="D2526">
        <f t="shared" si="283"/>
        <v>107.57000000000001</v>
      </c>
      <c r="E2526">
        <v>0.63</v>
      </c>
      <c r="F2526">
        <f t="shared" si="284"/>
        <v>-106.94000000000001</v>
      </c>
      <c r="I2526">
        <f t="shared" si="280"/>
        <v>14</v>
      </c>
      <c r="J2526">
        <v>1</v>
      </c>
      <c r="K2526">
        <f t="shared" si="281"/>
        <v>1</v>
      </c>
      <c r="L2526">
        <f t="shared" si="282"/>
        <v>2016</v>
      </c>
      <c r="N2526" s="17">
        <f t="shared" si="285"/>
        <v>42370</v>
      </c>
      <c r="S2526">
        <f t="shared" si="286"/>
        <v>0</v>
      </c>
    </row>
    <row r="2527" spans="1:19" x14ac:dyDescent="0.3">
      <c r="A2527" s="17">
        <v>42382</v>
      </c>
      <c r="B2527">
        <v>137.49</v>
      </c>
      <c r="C2527">
        <v>26.6</v>
      </c>
      <c r="D2527">
        <f t="shared" si="283"/>
        <v>110.89000000000001</v>
      </c>
      <c r="E2527">
        <v>0.54</v>
      </c>
      <c r="F2527">
        <f t="shared" si="284"/>
        <v>-110.35000000000001</v>
      </c>
      <c r="I2527">
        <f t="shared" si="280"/>
        <v>13</v>
      </c>
      <c r="J2527">
        <v>1</v>
      </c>
      <c r="K2527">
        <f t="shared" si="281"/>
        <v>1</v>
      </c>
      <c r="L2527">
        <f t="shared" si="282"/>
        <v>2016</v>
      </c>
      <c r="N2527" s="17">
        <f t="shared" si="285"/>
        <v>42370</v>
      </c>
      <c r="S2527">
        <f t="shared" si="286"/>
        <v>0</v>
      </c>
    </row>
    <row r="2528" spans="1:19" x14ac:dyDescent="0.3">
      <c r="A2528" s="17">
        <v>42381</v>
      </c>
      <c r="B2528">
        <v>140.22999999999999</v>
      </c>
      <c r="C2528">
        <v>26.5</v>
      </c>
      <c r="D2528">
        <f t="shared" si="283"/>
        <v>113.72999999999999</v>
      </c>
      <c r="E2528">
        <v>0.59</v>
      </c>
      <c r="F2528">
        <f t="shared" si="284"/>
        <v>-113.13999999999999</v>
      </c>
      <c r="I2528">
        <f t="shared" si="280"/>
        <v>12</v>
      </c>
      <c r="J2528">
        <v>1</v>
      </c>
      <c r="K2528">
        <f t="shared" si="281"/>
        <v>1</v>
      </c>
      <c r="L2528">
        <f t="shared" si="282"/>
        <v>2016</v>
      </c>
      <c r="N2528" s="17">
        <f t="shared" si="285"/>
        <v>42370</v>
      </c>
      <c r="S2528">
        <f t="shared" si="286"/>
        <v>0</v>
      </c>
    </row>
    <row r="2529" spans="1:19" x14ac:dyDescent="0.3">
      <c r="A2529" s="17">
        <v>42380</v>
      </c>
      <c r="B2529">
        <v>146.19</v>
      </c>
      <c r="C2529">
        <v>28.1</v>
      </c>
      <c r="D2529">
        <f t="shared" si="283"/>
        <v>118.09</v>
      </c>
      <c r="E2529">
        <v>0.57999999999999996</v>
      </c>
      <c r="F2529">
        <f t="shared" si="284"/>
        <v>-117.51</v>
      </c>
      <c r="I2529">
        <f t="shared" si="280"/>
        <v>11</v>
      </c>
      <c r="J2529">
        <v>1</v>
      </c>
      <c r="K2529">
        <f t="shared" si="281"/>
        <v>1</v>
      </c>
      <c r="L2529">
        <f t="shared" si="282"/>
        <v>2016</v>
      </c>
      <c r="N2529" s="17">
        <f t="shared" si="285"/>
        <v>42370</v>
      </c>
      <c r="S2529">
        <f t="shared" si="286"/>
        <v>0</v>
      </c>
    </row>
    <row r="2530" spans="1:19" x14ac:dyDescent="0.3">
      <c r="A2530" s="17">
        <v>42377</v>
      </c>
      <c r="B2530">
        <v>156.13999999999999</v>
      </c>
      <c r="C2530">
        <v>29.2</v>
      </c>
      <c r="D2530">
        <f t="shared" si="283"/>
        <v>126.93999999999998</v>
      </c>
      <c r="E2530">
        <v>0.69</v>
      </c>
      <c r="F2530">
        <f t="shared" si="284"/>
        <v>-126.24999999999999</v>
      </c>
      <c r="I2530">
        <f t="shared" si="280"/>
        <v>8</v>
      </c>
      <c r="J2530">
        <v>1</v>
      </c>
      <c r="K2530">
        <f t="shared" si="281"/>
        <v>1</v>
      </c>
      <c r="L2530">
        <f t="shared" si="282"/>
        <v>2016</v>
      </c>
      <c r="N2530" s="17">
        <f t="shared" si="285"/>
        <v>42370</v>
      </c>
      <c r="S2530">
        <f t="shared" si="286"/>
        <v>0</v>
      </c>
    </row>
    <row r="2531" spans="1:19" x14ac:dyDescent="0.3">
      <c r="A2531" s="17">
        <v>42376</v>
      </c>
      <c r="B2531">
        <v>146.94</v>
      </c>
      <c r="C2531">
        <v>27.35</v>
      </c>
      <c r="D2531">
        <f t="shared" si="283"/>
        <v>119.59</v>
      </c>
      <c r="E2531">
        <v>0.76</v>
      </c>
      <c r="F2531">
        <f t="shared" si="284"/>
        <v>-118.83</v>
      </c>
      <c r="I2531">
        <f t="shared" si="280"/>
        <v>7</v>
      </c>
      <c r="J2531">
        <v>1</v>
      </c>
      <c r="K2531">
        <f t="shared" si="281"/>
        <v>1</v>
      </c>
      <c r="L2531">
        <f t="shared" si="282"/>
        <v>2016</v>
      </c>
      <c r="N2531" s="17">
        <f t="shared" si="285"/>
        <v>42370</v>
      </c>
      <c r="S2531">
        <f t="shared" si="286"/>
        <v>0</v>
      </c>
    </row>
    <row r="2532" spans="1:19" x14ac:dyDescent="0.3">
      <c r="A2532" s="17">
        <v>42375</v>
      </c>
      <c r="B2532">
        <v>158.80000000000001</v>
      </c>
      <c r="C2532">
        <v>30.2</v>
      </c>
      <c r="D2532">
        <f t="shared" si="283"/>
        <v>128.60000000000002</v>
      </c>
      <c r="E2532">
        <v>0.89</v>
      </c>
      <c r="F2532">
        <f t="shared" si="284"/>
        <v>-127.71000000000002</v>
      </c>
      <c r="I2532">
        <f t="shared" si="280"/>
        <v>6</v>
      </c>
      <c r="J2532">
        <v>1</v>
      </c>
      <c r="K2532">
        <f t="shared" si="281"/>
        <v>1</v>
      </c>
      <c r="L2532">
        <f t="shared" si="282"/>
        <v>2016</v>
      </c>
      <c r="N2532" s="17">
        <f t="shared" si="285"/>
        <v>42370</v>
      </c>
      <c r="S2532">
        <f t="shared" si="286"/>
        <v>0</v>
      </c>
    </row>
    <row r="2533" spans="1:19" x14ac:dyDescent="0.3">
      <c r="A2533" s="17">
        <v>42374</v>
      </c>
      <c r="B2533">
        <v>164.38</v>
      </c>
      <c r="C2533">
        <v>31.2</v>
      </c>
      <c r="D2533">
        <f t="shared" si="283"/>
        <v>133.18</v>
      </c>
      <c r="E2533">
        <v>0.94</v>
      </c>
      <c r="F2533">
        <f t="shared" si="284"/>
        <v>-132.24</v>
      </c>
      <c r="I2533">
        <f t="shared" si="280"/>
        <v>5</v>
      </c>
      <c r="J2533">
        <v>1</v>
      </c>
      <c r="K2533">
        <f t="shared" si="281"/>
        <v>1</v>
      </c>
      <c r="L2533">
        <f t="shared" si="282"/>
        <v>2016</v>
      </c>
      <c r="N2533" s="17">
        <f t="shared" si="285"/>
        <v>42370</v>
      </c>
      <c r="S2533">
        <f t="shared" si="286"/>
        <v>0</v>
      </c>
    </row>
    <row r="2534" spans="1:19" x14ac:dyDescent="0.3">
      <c r="A2534" s="17">
        <v>42373</v>
      </c>
      <c r="B2534">
        <v>167.61</v>
      </c>
      <c r="C2534">
        <v>32.4</v>
      </c>
      <c r="D2534">
        <f t="shared" si="283"/>
        <v>135.21</v>
      </c>
      <c r="E2534">
        <v>0.92</v>
      </c>
      <c r="F2534">
        <f t="shared" si="284"/>
        <v>-134.29000000000002</v>
      </c>
      <c r="I2534">
        <f t="shared" si="280"/>
        <v>4</v>
      </c>
      <c r="J2534">
        <v>1</v>
      </c>
      <c r="K2534">
        <f t="shared" si="281"/>
        <v>1</v>
      </c>
      <c r="L2534">
        <f t="shared" si="282"/>
        <v>2016</v>
      </c>
      <c r="N2534" s="17">
        <f t="shared" si="285"/>
        <v>42370</v>
      </c>
      <c r="S2534">
        <f t="shared" si="286"/>
        <v>1</v>
      </c>
    </row>
    <row r="2535" spans="1:19" x14ac:dyDescent="0.3">
      <c r="A2535" s="17">
        <v>42369</v>
      </c>
      <c r="B2535">
        <v>159.71</v>
      </c>
      <c r="C2535">
        <v>31.81</v>
      </c>
      <c r="D2535">
        <f t="shared" si="283"/>
        <v>127.9</v>
      </c>
      <c r="E2535">
        <v>0.99</v>
      </c>
      <c r="F2535">
        <f t="shared" si="284"/>
        <v>-126.91000000000001</v>
      </c>
      <c r="I2535">
        <f t="shared" si="280"/>
        <v>31</v>
      </c>
      <c r="J2535">
        <v>1</v>
      </c>
      <c r="K2535">
        <f t="shared" si="281"/>
        <v>12</v>
      </c>
      <c r="L2535">
        <f t="shared" si="282"/>
        <v>2015</v>
      </c>
      <c r="N2535" s="17">
        <f t="shared" si="285"/>
        <v>42339</v>
      </c>
      <c r="S2535">
        <f t="shared" si="286"/>
        <v>0</v>
      </c>
    </row>
    <row r="2536" spans="1:19" x14ac:dyDescent="0.3">
      <c r="A2536" s="17">
        <v>42368</v>
      </c>
      <c r="B2536">
        <v>160.96</v>
      </c>
      <c r="C2536">
        <v>32.31</v>
      </c>
      <c r="D2536">
        <f t="shared" si="283"/>
        <v>128.65</v>
      </c>
      <c r="E2536">
        <v>0.97</v>
      </c>
      <c r="F2536">
        <f t="shared" si="284"/>
        <v>-127.68</v>
      </c>
      <c r="I2536">
        <f t="shared" si="280"/>
        <v>30</v>
      </c>
      <c r="J2536">
        <v>1</v>
      </c>
      <c r="K2536">
        <f t="shared" si="281"/>
        <v>12</v>
      </c>
      <c r="L2536">
        <f t="shared" si="282"/>
        <v>2015</v>
      </c>
      <c r="N2536" s="17">
        <f t="shared" si="285"/>
        <v>42339</v>
      </c>
      <c r="S2536">
        <f t="shared" si="286"/>
        <v>0</v>
      </c>
    </row>
    <row r="2537" spans="1:19" x14ac:dyDescent="0.3">
      <c r="A2537" s="17">
        <v>42367</v>
      </c>
      <c r="B2537">
        <v>156.74</v>
      </c>
      <c r="C2537">
        <v>31.9</v>
      </c>
      <c r="D2537">
        <f t="shared" si="283"/>
        <v>124.84</v>
      </c>
      <c r="E2537">
        <v>1.03</v>
      </c>
      <c r="F2537">
        <f t="shared" si="284"/>
        <v>-123.81</v>
      </c>
      <c r="I2537">
        <f t="shared" si="280"/>
        <v>29</v>
      </c>
      <c r="J2537">
        <v>1</v>
      </c>
      <c r="K2537">
        <f t="shared" si="281"/>
        <v>12</v>
      </c>
      <c r="L2537">
        <f t="shared" si="282"/>
        <v>2015</v>
      </c>
      <c r="N2537" s="17">
        <f t="shared" si="285"/>
        <v>42339</v>
      </c>
      <c r="S2537">
        <f t="shared" si="286"/>
        <v>0</v>
      </c>
    </row>
    <row r="2538" spans="1:19" x14ac:dyDescent="0.3">
      <c r="A2538" s="17">
        <v>42366</v>
      </c>
      <c r="B2538">
        <v>160.44</v>
      </c>
      <c r="C2538">
        <v>32.340000000000003</v>
      </c>
      <c r="D2538">
        <f t="shared" si="283"/>
        <v>128.1</v>
      </c>
      <c r="E2538">
        <v>1.1599999999999999</v>
      </c>
      <c r="F2538">
        <f t="shared" si="284"/>
        <v>-126.94</v>
      </c>
      <c r="I2538">
        <f t="shared" si="280"/>
        <v>28</v>
      </c>
      <c r="J2538">
        <v>1</v>
      </c>
      <c r="K2538">
        <f t="shared" si="281"/>
        <v>12</v>
      </c>
      <c r="L2538">
        <f t="shared" si="282"/>
        <v>2015</v>
      </c>
      <c r="N2538" s="17">
        <f t="shared" si="285"/>
        <v>42339</v>
      </c>
      <c r="S2538">
        <f t="shared" si="286"/>
        <v>0</v>
      </c>
    </row>
    <row r="2539" spans="1:19" x14ac:dyDescent="0.3">
      <c r="A2539" s="17">
        <v>42362</v>
      </c>
      <c r="B2539">
        <v>162.66999999999999</v>
      </c>
      <c r="C2539">
        <v>32.840000000000003</v>
      </c>
      <c r="D2539">
        <f t="shared" si="283"/>
        <v>129.82999999999998</v>
      </c>
      <c r="E2539">
        <v>1.21</v>
      </c>
      <c r="F2539">
        <f t="shared" si="284"/>
        <v>-128.61999999999998</v>
      </c>
      <c r="I2539">
        <f t="shared" si="280"/>
        <v>24</v>
      </c>
      <c r="J2539">
        <v>1</v>
      </c>
      <c r="K2539">
        <f t="shared" si="281"/>
        <v>12</v>
      </c>
      <c r="L2539">
        <f t="shared" si="282"/>
        <v>2015</v>
      </c>
      <c r="N2539" s="17">
        <f t="shared" si="285"/>
        <v>42339</v>
      </c>
      <c r="S2539">
        <f t="shared" si="286"/>
        <v>0</v>
      </c>
    </row>
    <row r="2540" spans="1:19" x14ac:dyDescent="0.3">
      <c r="A2540" s="17">
        <v>42361</v>
      </c>
      <c r="B2540">
        <v>155.72</v>
      </c>
      <c r="C2540">
        <v>31.72</v>
      </c>
      <c r="D2540">
        <f t="shared" si="283"/>
        <v>124</v>
      </c>
      <c r="E2540">
        <v>1.24</v>
      </c>
      <c r="F2540">
        <f t="shared" si="284"/>
        <v>-122.76</v>
      </c>
      <c r="I2540">
        <f t="shared" si="280"/>
        <v>23</v>
      </c>
      <c r="J2540">
        <v>1</v>
      </c>
      <c r="K2540">
        <f t="shared" si="281"/>
        <v>12</v>
      </c>
      <c r="L2540">
        <f t="shared" si="282"/>
        <v>2015</v>
      </c>
      <c r="N2540" s="17">
        <f t="shared" si="285"/>
        <v>42339</v>
      </c>
      <c r="S2540">
        <f t="shared" si="286"/>
        <v>0</v>
      </c>
    </row>
    <row r="2541" spans="1:19" x14ac:dyDescent="0.3">
      <c r="A2541" s="17">
        <v>42360</v>
      </c>
      <c r="B2541">
        <v>154.11000000000001</v>
      </c>
      <c r="C2541">
        <v>31.99</v>
      </c>
      <c r="D2541">
        <f t="shared" si="283"/>
        <v>122.12000000000002</v>
      </c>
      <c r="E2541">
        <v>1.25</v>
      </c>
      <c r="F2541">
        <f t="shared" si="284"/>
        <v>-120.87000000000002</v>
      </c>
      <c r="I2541">
        <f t="shared" si="280"/>
        <v>22</v>
      </c>
      <c r="J2541">
        <v>1</v>
      </c>
      <c r="K2541">
        <f t="shared" si="281"/>
        <v>12</v>
      </c>
      <c r="L2541">
        <f t="shared" si="282"/>
        <v>2015</v>
      </c>
      <c r="N2541" s="17">
        <f t="shared" si="285"/>
        <v>42339</v>
      </c>
      <c r="S2541">
        <f t="shared" si="286"/>
        <v>0</v>
      </c>
    </row>
    <row r="2542" spans="1:19" x14ac:dyDescent="0.3">
      <c r="A2542" s="17">
        <v>42359</v>
      </c>
      <c r="B2542">
        <v>152.02000000000001</v>
      </c>
      <c r="C2542">
        <v>31.4</v>
      </c>
      <c r="D2542">
        <f t="shared" si="283"/>
        <v>120.62</v>
      </c>
      <c r="E2542">
        <v>1.26</v>
      </c>
      <c r="F2542">
        <f t="shared" si="284"/>
        <v>-119.36</v>
      </c>
      <c r="I2542">
        <f t="shared" si="280"/>
        <v>21</v>
      </c>
      <c r="J2542">
        <v>1</v>
      </c>
      <c r="K2542">
        <f t="shared" si="281"/>
        <v>12</v>
      </c>
      <c r="L2542">
        <f t="shared" si="282"/>
        <v>2015</v>
      </c>
      <c r="N2542" s="17">
        <f t="shared" si="285"/>
        <v>42339</v>
      </c>
      <c r="S2542">
        <f t="shared" si="286"/>
        <v>0</v>
      </c>
    </row>
    <row r="2543" spans="1:19" x14ac:dyDescent="0.3">
      <c r="A2543" s="17">
        <v>42356</v>
      </c>
      <c r="B2543">
        <v>157.81</v>
      </c>
      <c r="C2543">
        <v>32.21</v>
      </c>
      <c r="D2543">
        <f t="shared" si="283"/>
        <v>125.6</v>
      </c>
      <c r="E2543">
        <v>1.1499999999999999</v>
      </c>
      <c r="F2543">
        <f t="shared" si="284"/>
        <v>-124.44999999999999</v>
      </c>
      <c r="I2543">
        <f t="shared" si="280"/>
        <v>18</v>
      </c>
      <c r="J2543">
        <v>1</v>
      </c>
      <c r="K2543">
        <f t="shared" si="281"/>
        <v>12</v>
      </c>
      <c r="L2543">
        <f t="shared" si="282"/>
        <v>2015</v>
      </c>
      <c r="N2543" s="17">
        <f t="shared" si="285"/>
        <v>42339</v>
      </c>
      <c r="S2543">
        <f t="shared" si="286"/>
        <v>0</v>
      </c>
    </row>
    <row r="2544" spans="1:19" x14ac:dyDescent="0.3">
      <c r="A2544" s="17">
        <v>42355</v>
      </c>
      <c r="B2544">
        <v>158.65</v>
      </c>
      <c r="C2544">
        <v>32.049999999999997</v>
      </c>
      <c r="D2544">
        <f t="shared" si="283"/>
        <v>126.60000000000001</v>
      </c>
      <c r="E2544">
        <v>1.21</v>
      </c>
      <c r="F2544">
        <f t="shared" si="284"/>
        <v>-125.39000000000001</v>
      </c>
      <c r="I2544">
        <f t="shared" si="280"/>
        <v>17</v>
      </c>
      <c r="J2544">
        <v>1</v>
      </c>
      <c r="K2544">
        <f t="shared" si="281"/>
        <v>12</v>
      </c>
      <c r="L2544">
        <f t="shared" si="282"/>
        <v>2015</v>
      </c>
      <c r="N2544" s="17">
        <f t="shared" si="285"/>
        <v>42339</v>
      </c>
      <c r="S2544">
        <f t="shared" si="286"/>
        <v>0</v>
      </c>
    </row>
    <row r="2545" spans="1:19" x14ac:dyDescent="0.3">
      <c r="A2545" s="17">
        <v>42354</v>
      </c>
      <c r="B2545">
        <v>166.36</v>
      </c>
      <c r="C2545">
        <v>33.15</v>
      </c>
      <c r="D2545">
        <f t="shared" si="283"/>
        <v>133.21</v>
      </c>
      <c r="E2545">
        <v>1.28</v>
      </c>
      <c r="F2545">
        <f t="shared" si="284"/>
        <v>-131.93</v>
      </c>
      <c r="I2545">
        <f t="shared" si="280"/>
        <v>16</v>
      </c>
      <c r="J2545">
        <v>1</v>
      </c>
      <c r="K2545">
        <f t="shared" si="281"/>
        <v>12</v>
      </c>
      <c r="L2545">
        <f t="shared" si="282"/>
        <v>2015</v>
      </c>
      <c r="N2545" s="17">
        <f t="shared" si="285"/>
        <v>42339</v>
      </c>
      <c r="S2545">
        <f t="shared" si="286"/>
        <v>0</v>
      </c>
    </row>
    <row r="2546" spans="1:19" x14ac:dyDescent="0.3">
      <c r="A2546" s="17">
        <v>42353</v>
      </c>
      <c r="B2546">
        <v>168.48</v>
      </c>
      <c r="C2546">
        <v>32.799999999999997</v>
      </c>
      <c r="D2546">
        <f t="shared" si="283"/>
        <v>135.68</v>
      </c>
      <c r="E2546">
        <v>1.36</v>
      </c>
      <c r="F2546">
        <f t="shared" si="284"/>
        <v>-134.32</v>
      </c>
      <c r="I2546">
        <f t="shared" si="280"/>
        <v>15</v>
      </c>
      <c r="J2546">
        <v>1</v>
      </c>
      <c r="K2546">
        <f t="shared" si="281"/>
        <v>12</v>
      </c>
      <c r="L2546">
        <f t="shared" si="282"/>
        <v>2015</v>
      </c>
      <c r="N2546" s="17">
        <f t="shared" si="285"/>
        <v>42339</v>
      </c>
      <c r="S2546">
        <f t="shared" si="286"/>
        <v>0</v>
      </c>
    </row>
    <row r="2547" spans="1:19" x14ac:dyDescent="0.3">
      <c r="A2547" s="17">
        <v>42352</v>
      </c>
      <c r="B2547">
        <v>172.46</v>
      </c>
      <c r="C2547">
        <v>33.47</v>
      </c>
      <c r="D2547">
        <f t="shared" si="283"/>
        <v>138.99</v>
      </c>
      <c r="E2547">
        <v>1.49</v>
      </c>
      <c r="F2547">
        <f t="shared" si="284"/>
        <v>-137.5</v>
      </c>
      <c r="I2547">
        <f t="shared" si="280"/>
        <v>14</v>
      </c>
      <c r="J2547">
        <v>1</v>
      </c>
      <c r="K2547">
        <f t="shared" si="281"/>
        <v>12</v>
      </c>
      <c r="L2547">
        <f t="shared" si="282"/>
        <v>2015</v>
      </c>
      <c r="N2547" s="17">
        <f t="shared" si="285"/>
        <v>42339</v>
      </c>
      <c r="S2547">
        <f t="shared" si="286"/>
        <v>0</v>
      </c>
    </row>
    <row r="2548" spans="1:19" x14ac:dyDescent="0.3">
      <c r="A2548" s="17">
        <v>42349</v>
      </c>
      <c r="B2548">
        <v>182.36</v>
      </c>
      <c r="C2548">
        <v>35.18</v>
      </c>
      <c r="D2548">
        <f t="shared" si="283"/>
        <v>147.18</v>
      </c>
      <c r="E2548">
        <v>1.5</v>
      </c>
      <c r="F2548">
        <f t="shared" si="284"/>
        <v>-145.68</v>
      </c>
      <c r="I2548">
        <f t="shared" si="280"/>
        <v>11</v>
      </c>
      <c r="J2548">
        <v>1</v>
      </c>
      <c r="K2548">
        <f t="shared" si="281"/>
        <v>12</v>
      </c>
      <c r="L2548">
        <f t="shared" si="282"/>
        <v>2015</v>
      </c>
      <c r="N2548" s="17">
        <f t="shared" si="285"/>
        <v>42339</v>
      </c>
      <c r="S2548">
        <f t="shared" si="286"/>
        <v>0</v>
      </c>
    </row>
    <row r="2549" spans="1:19" x14ac:dyDescent="0.3">
      <c r="A2549" s="17">
        <v>42348</v>
      </c>
      <c r="B2549">
        <v>181.06</v>
      </c>
      <c r="C2549">
        <v>35.9</v>
      </c>
      <c r="D2549">
        <f t="shared" si="283"/>
        <v>145.16</v>
      </c>
      <c r="E2549">
        <v>1.53</v>
      </c>
      <c r="F2549">
        <f t="shared" si="284"/>
        <v>-143.63</v>
      </c>
      <c r="I2549">
        <f t="shared" si="280"/>
        <v>10</v>
      </c>
      <c r="J2549">
        <v>1</v>
      </c>
      <c r="K2549">
        <f t="shared" si="281"/>
        <v>12</v>
      </c>
      <c r="L2549">
        <f t="shared" si="282"/>
        <v>2015</v>
      </c>
      <c r="N2549" s="17">
        <f t="shared" si="285"/>
        <v>42339</v>
      </c>
      <c r="S2549">
        <f t="shared" si="286"/>
        <v>0</v>
      </c>
    </row>
    <row r="2550" spans="1:19" x14ac:dyDescent="0.3">
      <c r="A2550" s="17">
        <v>42347</v>
      </c>
      <c r="B2550">
        <v>179.62</v>
      </c>
      <c r="C2550">
        <v>35.85</v>
      </c>
      <c r="D2550">
        <f t="shared" si="283"/>
        <v>143.77000000000001</v>
      </c>
      <c r="E2550">
        <v>1.55</v>
      </c>
      <c r="F2550">
        <f t="shared" si="284"/>
        <v>-142.22</v>
      </c>
      <c r="I2550">
        <f t="shared" si="280"/>
        <v>9</v>
      </c>
      <c r="J2550">
        <v>1</v>
      </c>
      <c r="K2550">
        <f t="shared" si="281"/>
        <v>12</v>
      </c>
      <c r="L2550">
        <f t="shared" si="282"/>
        <v>2015</v>
      </c>
      <c r="N2550" s="17">
        <f t="shared" si="285"/>
        <v>42339</v>
      </c>
      <c r="S2550">
        <f t="shared" si="286"/>
        <v>0</v>
      </c>
    </row>
    <row r="2551" spans="1:19" x14ac:dyDescent="0.3">
      <c r="A2551" s="17">
        <v>42346</v>
      </c>
      <c r="B2551">
        <v>181.97</v>
      </c>
      <c r="C2551">
        <v>36.46</v>
      </c>
      <c r="D2551">
        <f t="shared" si="283"/>
        <v>145.51</v>
      </c>
      <c r="E2551">
        <v>1.53</v>
      </c>
      <c r="F2551">
        <f t="shared" si="284"/>
        <v>-143.97999999999999</v>
      </c>
      <c r="I2551">
        <f t="shared" si="280"/>
        <v>8</v>
      </c>
      <c r="J2551">
        <v>1</v>
      </c>
      <c r="K2551">
        <f t="shared" si="281"/>
        <v>12</v>
      </c>
      <c r="L2551">
        <f t="shared" si="282"/>
        <v>2015</v>
      </c>
      <c r="N2551" s="17">
        <f t="shared" si="285"/>
        <v>42339</v>
      </c>
      <c r="S2551">
        <f t="shared" si="286"/>
        <v>0</v>
      </c>
    </row>
    <row r="2552" spans="1:19" x14ac:dyDescent="0.3">
      <c r="A2552" s="17">
        <v>42345</v>
      </c>
      <c r="B2552">
        <v>191.61</v>
      </c>
      <c r="C2552">
        <v>38.15</v>
      </c>
      <c r="D2552">
        <f t="shared" si="283"/>
        <v>153.46</v>
      </c>
      <c r="E2552">
        <v>1.76</v>
      </c>
      <c r="F2552">
        <f t="shared" si="284"/>
        <v>-151.70000000000002</v>
      </c>
      <c r="I2552">
        <f t="shared" si="280"/>
        <v>7</v>
      </c>
      <c r="J2552">
        <v>1</v>
      </c>
      <c r="K2552">
        <f t="shared" si="281"/>
        <v>12</v>
      </c>
      <c r="L2552">
        <f t="shared" si="282"/>
        <v>2015</v>
      </c>
      <c r="N2552" s="17">
        <f t="shared" si="285"/>
        <v>42339</v>
      </c>
      <c r="S2552">
        <f t="shared" si="286"/>
        <v>0</v>
      </c>
    </row>
    <row r="2553" spans="1:19" x14ac:dyDescent="0.3">
      <c r="A2553" s="17">
        <v>42342</v>
      </c>
      <c r="B2553">
        <v>200.04</v>
      </c>
      <c r="C2553">
        <v>39.58</v>
      </c>
      <c r="D2553">
        <f t="shared" si="283"/>
        <v>160.45999999999998</v>
      </c>
      <c r="E2553">
        <v>1.9</v>
      </c>
      <c r="F2553">
        <f t="shared" si="284"/>
        <v>-158.55999999999997</v>
      </c>
      <c r="I2553">
        <f t="shared" si="280"/>
        <v>4</v>
      </c>
      <c r="J2553">
        <v>1</v>
      </c>
      <c r="K2553">
        <f t="shared" si="281"/>
        <v>12</v>
      </c>
      <c r="L2553">
        <f t="shared" si="282"/>
        <v>2015</v>
      </c>
      <c r="N2553" s="17">
        <f t="shared" si="285"/>
        <v>42339</v>
      </c>
      <c r="S2553">
        <f t="shared" si="286"/>
        <v>1</v>
      </c>
    </row>
    <row r="2554" spans="1:19" x14ac:dyDescent="0.3">
      <c r="A2554" s="17">
        <v>42341</v>
      </c>
      <c r="B2554">
        <v>196.51</v>
      </c>
      <c r="C2554">
        <v>38.99</v>
      </c>
      <c r="D2554">
        <f t="shared" si="283"/>
        <v>157.51999999999998</v>
      </c>
      <c r="E2554">
        <v>1.95</v>
      </c>
      <c r="F2554">
        <f t="shared" si="284"/>
        <v>-155.57</v>
      </c>
      <c r="I2554">
        <f t="shared" si="280"/>
        <v>3</v>
      </c>
      <c r="J2554">
        <v>1</v>
      </c>
      <c r="K2554">
        <f t="shared" si="281"/>
        <v>12</v>
      </c>
      <c r="L2554">
        <f t="shared" si="282"/>
        <v>2015</v>
      </c>
      <c r="N2554" s="17">
        <f t="shared" si="285"/>
        <v>42339</v>
      </c>
      <c r="S2554">
        <f t="shared" si="286"/>
        <v>1</v>
      </c>
    </row>
    <row r="2555" spans="1:19" x14ac:dyDescent="0.3">
      <c r="A2555" s="17">
        <v>42340</v>
      </c>
      <c r="B2555">
        <v>209.73</v>
      </c>
      <c r="C2555">
        <v>40.21</v>
      </c>
      <c r="D2555">
        <f t="shared" si="283"/>
        <v>169.51999999999998</v>
      </c>
      <c r="E2555">
        <v>1.92</v>
      </c>
      <c r="F2555">
        <f t="shared" si="284"/>
        <v>-167.6</v>
      </c>
      <c r="I2555">
        <f t="shared" si="280"/>
        <v>2</v>
      </c>
      <c r="J2555">
        <v>1</v>
      </c>
      <c r="K2555">
        <f t="shared" si="281"/>
        <v>12</v>
      </c>
      <c r="L2555">
        <f t="shared" si="282"/>
        <v>2015</v>
      </c>
      <c r="N2555" s="17">
        <f t="shared" si="285"/>
        <v>42339</v>
      </c>
      <c r="S2555">
        <f t="shared" si="286"/>
        <v>1</v>
      </c>
    </row>
    <row r="2556" spans="1:19" x14ac:dyDescent="0.3">
      <c r="A2556" s="17">
        <v>42339</v>
      </c>
      <c r="B2556">
        <v>214.07</v>
      </c>
      <c r="C2556">
        <v>40.700000000000003</v>
      </c>
      <c r="D2556">
        <f t="shared" si="283"/>
        <v>173.37</v>
      </c>
      <c r="E2556">
        <v>1.9</v>
      </c>
      <c r="F2556">
        <f t="shared" si="284"/>
        <v>-171.47</v>
      </c>
      <c r="I2556">
        <f t="shared" si="280"/>
        <v>1</v>
      </c>
      <c r="J2556">
        <v>1</v>
      </c>
      <c r="K2556">
        <f t="shared" si="281"/>
        <v>12</v>
      </c>
      <c r="L2556">
        <f t="shared" si="282"/>
        <v>2015</v>
      </c>
      <c r="N2556" s="17">
        <f t="shared" si="285"/>
        <v>42339</v>
      </c>
      <c r="S2556">
        <f t="shared" si="286"/>
        <v>1</v>
      </c>
    </row>
    <row r="2557" spans="1:19" x14ac:dyDescent="0.3">
      <c r="A2557" s="17">
        <v>42338</v>
      </c>
      <c r="B2557">
        <v>210.6</v>
      </c>
      <c r="C2557">
        <v>39.61</v>
      </c>
      <c r="D2557">
        <f t="shared" si="283"/>
        <v>170.99</v>
      </c>
      <c r="E2557">
        <v>1.85</v>
      </c>
      <c r="F2557">
        <f t="shared" si="284"/>
        <v>-169.14000000000001</v>
      </c>
      <c r="I2557">
        <f t="shared" si="280"/>
        <v>30</v>
      </c>
      <c r="J2557">
        <v>1</v>
      </c>
      <c r="K2557">
        <f t="shared" si="281"/>
        <v>11</v>
      </c>
      <c r="L2557">
        <f t="shared" si="282"/>
        <v>2015</v>
      </c>
      <c r="N2557" s="17">
        <f t="shared" si="285"/>
        <v>42309</v>
      </c>
      <c r="S2557">
        <f t="shared" si="286"/>
        <v>0</v>
      </c>
    </row>
    <row r="2558" spans="1:19" x14ac:dyDescent="0.3">
      <c r="A2558" s="17">
        <v>42335</v>
      </c>
      <c r="B2558">
        <v>213.91</v>
      </c>
      <c r="C2558">
        <v>39.54</v>
      </c>
      <c r="D2558">
        <f t="shared" si="283"/>
        <v>174.37</v>
      </c>
      <c r="E2558">
        <v>1.8</v>
      </c>
      <c r="F2558">
        <f t="shared" si="284"/>
        <v>-172.57</v>
      </c>
      <c r="I2558">
        <f t="shared" si="280"/>
        <v>27</v>
      </c>
      <c r="J2558">
        <v>1</v>
      </c>
      <c r="K2558">
        <f t="shared" si="281"/>
        <v>11</v>
      </c>
      <c r="L2558">
        <f t="shared" si="282"/>
        <v>2015</v>
      </c>
      <c r="N2558" s="17">
        <f t="shared" si="285"/>
        <v>42309</v>
      </c>
      <c r="S2558">
        <f t="shared" si="286"/>
        <v>0</v>
      </c>
    </row>
    <row r="2559" spans="1:19" x14ac:dyDescent="0.3">
      <c r="A2559" s="17">
        <v>42334</v>
      </c>
      <c r="B2559">
        <v>220.43</v>
      </c>
      <c r="C2559">
        <v>40.5</v>
      </c>
      <c r="D2559">
        <f t="shared" si="283"/>
        <v>179.93</v>
      </c>
      <c r="E2559">
        <v>1.8</v>
      </c>
      <c r="F2559">
        <f t="shared" si="284"/>
        <v>-178.13</v>
      </c>
      <c r="I2559">
        <f t="shared" si="280"/>
        <v>26</v>
      </c>
      <c r="J2559">
        <v>1</v>
      </c>
      <c r="K2559">
        <f t="shared" si="281"/>
        <v>11</v>
      </c>
      <c r="L2559">
        <f t="shared" si="282"/>
        <v>2015</v>
      </c>
      <c r="N2559" s="17">
        <f t="shared" si="285"/>
        <v>42309</v>
      </c>
      <c r="S2559">
        <f t="shared" si="286"/>
        <v>0</v>
      </c>
    </row>
    <row r="2560" spans="1:19" x14ac:dyDescent="0.3">
      <c r="A2560" s="17">
        <v>42333</v>
      </c>
      <c r="B2560">
        <v>221.53</v>
      </c>
      <c r="C2560">
        <v>40.805</v>
      </c>
      <c r="D2560">
        <f t="shared" si="283"/>
        <v>180.72499999999999</v>
      </c>
      <c r="E2560">
        <v>1.79</v>
      </c>
      <c r="F2560">
        <f t="shared" si="284"/>
        <v>-178.935</v>
      </c>
      <c r="I2560">
        <f t="shared" si="280"/>
        <v>25</v>
      </c>
      <c r="J2560">
        <v>1</v>
      </c>
      <c r="K2560">
        <f t="shared" si="281"/>
        <v>11</v>
      </c>
      <c r="L2560">
        <f t="shared" si="282"/>
        <v>2015</v>
      </c>
      <c r="N2560" s="17">
        <f t="shared" si="285"/>
        <v>42309</v>
      </c>
      <c r="S2560">
        <f t="shared" si="286"/>
        <v>0</v>
      </c>
    </row>
    <row r="2561" spans="1:19" x14ac:dyDescent="0.3">
      <c r="A2561" s="17">
        <v>42332</v>
      </c>
      <c r="B2561">
        <v>219.51</v>
      </c>
      <c r="C2561">
        <v>40.25</v>
      </c>
      <c r="D2561">
        <f t="shared" si="283"/>
        <v>179.26</v>
      </c>
      <c r="E2561">
        <v>1.83</v>
      </c>
      <c r="F2561">
        <f t="shared" si="284"/>
        <v>-177.42999999999998</v>
      </c>
      <c r="I2561">
        <f t="shared" si="280"/>
        <v>24</v>
      </c>
      <c r="J2561">
        <v>1</v>
      </c>
      <c r="K2561">
        <f t="shared" si="281"/>
        <v>11</v>
      </c>
      <c r="L2561">
        <f t="shared" si="282"/>
        <v>2015</v>
      </c>
      <c r="N2561" s="17">
        <f t="shared" si="285"/>
        <v>42309</v>
      </c>
      <c r="S2561">
        <f t="shared" si="286"/>
        <v>0</v>
      </c>
    </row>
    <row r="2562" spans="1:19" x14ac:dyDescent="0.3">
      <c r="A2562" s="17">
        <v>42331</v>
      </c>
      <c r="B2562">
        <v>210.7</v>
      </c>
      <c r="C2562">
        <v>38.79</v>
      </c>
      <c r="D2562">
        <f t="shared" si="283"/>
        <v>171.91</v>
      </c>
      <c r="E2562">
        <v>1.82</v>
      </c>
      <c r="F2562">
        <f t="shared" si="284"/>
        <v>-170.09</v>
      </c>
      <c r="I2562">
        <f t="shared" si="280"/>
        <v>23</v>
      </c>
      <c r="J2562">
        <v>1</v>
      </c>
      <c r="K2562">
        <f t="shared" si="281"/>
        <v>11</v>
      </c>
      <c r="L2562">
        <f t="shared" si="282"/>
        <v>2015</v>
      </c>
      <c r="N2562" s="17">
        <f t="shared" si="285"/>
        <v>42309</v>
      </c>
      <c r="S2562">
        <f t="shared" si="286"/>
        <v>0</v>
      </c>
    </row>
    <row r="2563" spans="1:19" x14ac:dyDescent="0.3">
      <c r="A2563" s="17">
        <v>42328</v>
      </c>
      <c r="B2563">
        <v>212.67</v>
      </c>
      <c r="C2563">
        <v>39.26</v>
      </c>
      <c r="D2563">
        <f t="shared" si="283"/>
        <v>173.41</v>
      </c>
      <c r="E2563">
        <v>1.79</v>
      </c>
      <c r="F2563">
        <f t="shared" si="284"/>
        <v>-171.62</v>
      </c>
      <c r="I2563">
        <f t="shared" si="280"/>
        <v>20</v>
      </c>
      <c r="J2563">
        <v>1</v>
      </c>
      <c r="K2563">
        <f t="shared" si="281"/>
        <v>11</v>
      </c>
      <c r="L2563">
        <f t="shared" si="282"/>
        <v>2015</v>
      </c>
      <c r="N2563" s="17">
        <f t="shared" si="285"/>
        <v>42309</v>
      </c>
      <c r="S2563">
        <f t="shared" si="286"/>
        <v>0</v>
      </c>
    </row>
    <row r="2564" spans="1:19" x14ac:dyDescent="0.3">
      <c r="A2564" s="17">
        <v>42327</v>
      </c>
      <c r="B2564">
        <v>215.99</v>
      </c>
      <c r="C2564">
        <v>39.75</v>
      </c>
      <c r="D2564">
        <f t="shared" si="283"/>
        <v>176.24</v>
      </c>
      <c r="E2564">
        <v>1.76</v>
      </c>
      <c r="F2564">
        <f t="shared" si="284"/>
        <v>-174.48000000000002</v>
      </c>
      <c r="I2564">
        <f t="shared" si="280"/>
        <v>19</v>
      </c>
      <c r="J2564">
        <v>1</v>
      </c>
      <c r="K2564">
        <f t="shared" si="281"/>
        <v>11</v>
      </c>
      <c r="L2564">
        <f t="shared" si="282"/>
        <v>2015</v>
      </c>
      <c r="N2564" s="17">
        <f t="shared" si="285"/>
        <v>42309</v>
      </c>
      <c r="S2564">
        <f t="shared" si="286"/>
        <v>0</v>
      </c>
    </row>
    <row r="2565" spans="1:19" x14ac:dyDescent="0.3">
      <c r="A2565" s="17">
        <v>42326</v>
      </c>
      <c r="B2565">
        <v>213.77</v>
      </c>
      <c r="C2565">
        <v>39.21</v>
      </c>
      <c r="D2565">
        <f t="shared" si="283"/>
        <v>174.56</v>
      </c>
      <c r="E2565">
        <v>2.04</v>
      </c>
      <c r="F2565">
        <f t="shared" si="284"/>
        <v>-172.52</v>
      </c>
      <c r="I2565">
        <f t="shared" ref="I2565:I2628" si="287">+DAY(A2565)</f>
        <v>18</v>
      </c>
      <c r="J2565">
        <v>1</v>
      </c>
      <c r="K2565">
        <f t="shared" ref="K2565:K2628" si="288">+MONTH(A2565)</f>
        <v>11</v>
      </c>
      <c r="L2565">
        <f t="shared" ref="L2565:L2628" si="289">+YEAR(A2565)</f>
        <v>2015</v>
      </c>
      <c r="N2565" s="17">
        <f t="shared" si="285"/>
        <v>42309</v>
      </c>
      <c r="S2565">
        <f t="shared" si="286"/>
        <v>0</v>
      </c>
    </row>
    <row r="2566" spans="1:19" x14ac:dyDescent="0.3">
      <c r="A2566" s="17">
        <v>42325</v>
      </c>
      <c r="B2566">
        <v>219.3</v>
      </c>
      <c r="C2566">
        <v>39.770000000000003</v>
      </c>
      <c r="D2566">
        <f t="shared" ref="D2566:D2629" si="290">+B2566-C2566</f>
        <v>179.53</v>
      </c>
      <c r="E2566">
        <v>2.0099999999999998</v>
      </c>
      <c r="F2566">
        <f t="shared" ref="F2566:F2629" si="291">+E2566-D2566</f>
        <v>-177.52</v>
      </c>
      <c r="I2566">
        <f t="shared" si="287"/>
        <v>17</v>
      </c>
      <c r="J2566">
        <v>1</v>
      </c>
      <c r="K2566">
        <f t="shared" si="288"/>
        <v>11</v>
      </c>
      <c r="L2566">
        <f t="shared" si="289"/>
        <v>2015</v>
      </c>
      <c r="N2566" s="17">
        <f t="shared" ref="N2566:N2629" si="292">+DATE(L2566,K2566,J2566)</f>
        <v>42309</v>
      </c>
      <c r="S2566">
        <f t="shared" ref="S2566:S2629" si="293">IF(AND(I2566&gt;=1, I2566&lt;=4), 1, 0)</f>
        <v>0</v>
      </c>
    </row>
    <row r="2567" spans="1:19" x14ac:dyDescent="0.3">
      <c r="A2567" s="17">
        <v>42324</v>
      </c>
      <c r="B2567">
        <v>216.32</v>
      </c>
      <c r="C2567">
        <v>39.61</v>
      </c>
      <c r="D2567">
        <f t="shared" si="290"/>
        <v>176.70999999999998</v>
      </c>
      <c r="E2567">
        <v>2.0699999999999998</v>
      </c>
      <c r="F2567">
        <f t="shared" si="291"/>
        <v>-174.64</v>
      </c>
      <c r="I2567">
        <f t="shared" si="287"/>
        <v>16</v>
      </c>
      <c r="J2567">
        <v>1</v>
      </c>
      <c r="K2567">
        <f t="shared" si="288"/>
        <v>11</v>
      </c>
      <c r="L2567">
        <f t="shared" si="289"/>
        <v>2015</v>
      </c>
      <c r="N2567" s="17">
        <f t="shared" si="292"/>
        <v>42309</v>
      </c>
      <c r="S2567">
        <f t="shared" si="293"/>
        <v>0</v>
      </c>
    </row>
    <row r="2568" spans="1:19" x14ac:dyDescent="0.3">
      <c r="A2568" s="17">
        <v>42321</v>
      </c>
      <c r="B2568">
        <v>219.08</v>
      </c>
      <c r="C2568">
        <v>41</v>
      </c>
      <c r="D2568">
        <f t="shared" si="290"/>
        <v>178.08</v>
      </c>
      <c r="E2568">
        <v>2.08</v>
      </c>
      <c r="F2568">
        <f t="shared" si="291"/>
        <v>-176</v>
      </c>
      <c r="I2568">
        <f t="shared" si="287"/>
        <v>13</v>
      </c>
      <c r="J2568">
        <v>1</v>
      </c>
      <c r="K2568">
        <f t="shared" si="288"/>
        <v>11</v>
      </c>
      <c r="L2568">
        <f t="shared" si="289"/>
        <v>2015</v>
      </c>
      <c r="N2568" s="17">
        <f t="shared" si="292"/>
        <v>42309</v>
      </c>
      <c r="S2568">
        <f t="shared" si="293"/>
        <v>0</v>
      </c>
    </row>
    <row r="2569" spans="1:19" x14ac:dyDescent="0.3">
      <c r="A2569" s="17">
        <v>42320</v>
      </c>
      <c r="B2569">
        <v>223.26</v>
      </c>
      <c r="C2569">
        <v>42.1</v>
      </c>
      <c r="D2569">
        <f t="shared" si="290"/>
        <v>181.16</v>
      </c>
      <c r="E2569">
        <v>2.0499999999999998</v>
      </c>
      <c r="F2569">
        <f t="shared" si="291"/>
        <v>-179.10999999999999</v>
      </c>
      <c r="I2569">
        <f t="shared" si="287"/>
        <v>12</v>
      </c>
      <c r="J2569">
        <v>1</v>
      </c>
      <c r="K2569">
        <f t="shared" si="288"/>
        <v>11</v>
      </c>
      <c r="L2569">
        <f t="shared" si="289"/>
        <v>2015</v>
      </c>
      <c r="N2569" s="17">
        <f t="shared" si="292"/>
        <v>42309</v>
      </c>
      <c r="S2569">
        <f t="shared" si="293"/>
        <v>0</v>
      </c>
    </row>
    <row r="2570" spans="1:19" x14ac:dyDescent="0.3">
      <c r="A2570" s="17">
        <v>42319</v>
      </c>
      <c r="B2570">
        <v>230.97</v>
      </c>
      <c r="C2570">
        <v>43.3</v>
      </c>
      <c r="D2570">
        <f t="shared" si="290"/>
        <v>187.67000000000002</v>
      </c>
      <c r="E2570">
        <v>2.0099999999999998</v>
      </c>
      <c r="F2570">
        <f t="shared" si="291"/>
        <v>-185.66000000000003</v>
      </c>
      <c r="I2570">
        <f t="shared" si="287"/>
        <v>11</v>
      </c>
      <c r="J2570">
        <v>1</v>
      </c>
      <c r="K2570">
        <f t="shared" si="288"/>
        <v>11</v>
      </c>
      <c r="L2570">
        <f t="shared" si="289"/>
        <v>2015</v>
      </c>
      <c r="N2570" s="17">
        <f t="shared" si="292"/>
        <v>42309</v>
      </c>
      <c r="S2570">
        <f t="shared" si="293"/>
        <v>0</v>
      </c>
    </row>
    <row r="2571" spans="1:19" x14ac:dyDescent="0.3">
      <c r="A2571" s="17">
        <v>42317</v>
      </c>
      <c r="B2571">
        <v>233.23</v>
      </c>
      <c r="C2571">
        <v>43.85</v>
      </c>
      <c r="D2571">
        <f t="shared" si="290"/>
        <v>189.38</v>
      </c>
      <c r="E2571">
        <v>1.98</v>
      </c>
      <c r="F2571">
        <f t="shared" si="291"/>
        <v>-187.4</v>
      </c>
      <c r="I2571">
        <f t="shared" si="287"/>
        <v>9</v>
      </c>
      <c r="J2571">
        <v>1</v>
      </c>
      <c r="K2571">
        <f t="shared" si="288"/>
        <v>11</v>
      </c>
      <c r="L2571">
        <f t="shared" si="289"/>
        <v>2015</v>
      </c>
      <c r="N2571" s="17">
        <f t="shared" si="292"/>
        <v>42309</v>
      </c>
      <c r="S2571">
        <f t="shared" si="293"/>
        <v>0</v>
      </c>
    </row>
    <row r="2572" spans="1:19" x14ac:dyDescent="0.3">
      <c r="A2572" s="17">
        <v>42314</v>
      </c>
      <c r="B2572">
        <v>235.43</v>
      </c>
      <c r="C2572">
        <v>44.45</v>
      </c>
      <c r="D2572">
        <f t="shared" si="290"/>
        <v>190.98000000000002</v>
      </c>
      <c r="E2572">
        <v>1.95</v>
      </c>
      <c r="F2572">
        <f t="shared" si="291"/>
        <v>-189.03000000000003</v>
      </c>
      <c r="I2572">
        <f t="shared" si="287"/>
        <v>6</v>
      </c>
      <c r="J2572">
        <v>1</v>
      </c>
      <c r="K2572">
        <f t="shared" si="288"/>
        <v>11</v>
      </c>
      <c r="L2572">
        <f t="shared" si="289"/>
        <v>2015</v>
      </c>
      <c r="N2572" s="17">
        <f t="shared" si="292"/>
        <v>42309</v>
      </c>
      <c r="S2572">
        <f t="shared" si="293"/>
        <v>0</v>
      </c>
    </row>
    <row r="2573" spans="1:19" x14ac:dyDescent="0.3">
      <c r="A2573" s="17">
        <v>42313</v>
      </c>
      <c r="B2573">
        <v>238.59</v>
      </c>
      <c r="C2573">
        <v>44.91</v>
      </c>
      <c r="D2573">
        <f t="shared" si="290"/>
        <v>193.68</v>
      </c>
      <c r="E2573">
        <v>2.0299999999999998</v>
      </c>
      <c r="F2573">
        <f t="shared" si="291"/>
        <v>-191.65</v>
      </c>
      <c r="I2573">
        <f t="shared" si="287"/>
        <v>5</v>
      </c>
      <c r="J2573">
        <v>1</v>
      </c>
      <c r="K2573">
        <f t="shared" si="288"/>
        <v>11</v>
      </c>
      <c r="L2573">
        <f t="shared" si="289"/>
        <v>2015</v>
      </c>
      <c r="N2573" s="17">
        <f t="shared" si="292"/>
        <v>42309</v>
      </c>
      <c r="S2573">
        <f t="shared" si="293"/>
        <v>0</v>
      </c>
    </row>
    <row r="2574" spans="1:19" x14ac:dyDescent="0.3">
      <c r="A2574" s="17">
        <v>42312</v>
      </c>
      <c r="B2574">
        <v>243.51</v>
      </c>
      <c r="C2574">
        <v>46.38</v>
      </c>
      <c r="D2574">
        <f t="shared" si="290"/>
        <v>197.13</v>
      </c>
      <c r="E2574">
        <v>2.0099999999999998</v>
      </c>
      <c r="F2574">
        <f t="shared" si="291"/>
        <v>-195.12</v>
      </c>
      <c r="I2574">
        <f t="shared" si="287"/>
        <v>4</v>
      </c>
      <c r="J2574">
        <v>1</v>
      </c>
      <c r="K2574">
        <f t="shared" si="288"/>
        <v>11</v>
      </c>
      <c r="L2574">
        <f t="shared" si="289"/>
        <v>2015</v>
      </c>
      <c r="N2574" s="17">
        <f t="shared" si="292"/>
        <v>42309</v>
      </c>
      <c r="S2574">
        <f t="shared" si="293"/>
        <v>1</v>
      </c>
    </row>
    <row r="2575" spans="1:19" x14ac:dyDescent="0.3">
      <c r="A2575" s="17">
        <v>42311</v>
      </c>
      <c r="B2575">
        <v>237.15</v>
      </c>
      <c r="C2575">
        <v>44.99</v>
      </c>
      <c r="D2575">
        <f t="shared" si="290"/>
        <v>192.16</v>
      </c>
      <c r="E2575">
        <v>1.96</v>
      </c>
      <c r="F2575">
        <f t="shared" si="291"/>
        <v>-190.2</v>
      </c>
      <c r="I2575">
        <f t="shared" si="287"/>
        <v>3</v>
      </c>
      <c r="J2575">
        <v>1</v>
      </c>
      <c r="K2575">
        <f t="shared" si="288"/>
        <v>11</v>
      </c>
      <c r="L2575">
        <f t="shared" si="289"/>
        <v>2015</v>
      </c>
      <c r="N2575" s="17">
        <f t="shared" si="292"/>
        <v>42309</v>
      </c>
      <c r="S2575">
        <f t="shared" si="293"/>
        <v>1</v>
      </c>
    </row>
    <row r="2576" spans="1:19" x14ac:dyDescent="0.3">
      <c r="A2576" s="17">
        <v>42310</v>
      </c>
      <c r="B2576">
        <v>241.34</v>
      </c>
      <c r="C2576">
        <v>45.75</v>
      </c>
      <c r="D2576">
        <f t="shared" si="290"/>
        <v>195.59</v>
      </c>
      <c r="E2576">
        <v>1.9</v>
      </c>
      <c r="F2576">
        <f t="shared" si="291"/>
        <v>-193.69</v>
      </c>
      <c r="I2576">
        <f t="shared" si="287"/>
        <v>2</v>
      </c>
      <c r="J2576">
        <v>1</v>
      </c>
      <c r="K2576">
        <f t="shared" si="288"/>
        <v>11</v>
      </c>
      <c r="L2576">
        <f t="shared" si="289"/>
        <v>2015</v>
      </c>
      <c r="N2576" s="17">
        <f t="shared" si="292"/>
        <v>42309</v>
      </c>
      <c r="S2576">
        <f t="shared" si="293"/>
        <v>1</v>
      </c>
    </row>
    <row r="2577" spans="1:19" x14ac:dyDescent="0.3">
      <c r="A2577" s="17">
        <v>42307</v>
      </c>
      <c r="B2577">
        <v>237</v>
      </c>
      <c r="C2577">
        <v>43.29</v>
      </c>
      <c r="D2577">
        <f t="shared" si="290"/>
        <v>193.71</v>
      </c>
      <c r="E2577">
        <v>1.84</v>
      </c>
      <c r="F2577">
        <f t="shared" si="291"/>
        <v>-191.87</v>
      </c>
      <c r="I2577">
        <f t="shared" si="287"/>
        <v>30</v>
      </c>
      <c r="J2577">
        <v>1</v>
      </c>
      <c r="K2577">
        <f t="shared" si="288"/>
        <v>10</v>
      </c>
      <c r="L2577">
        <f t="shared" si="289"/>
        <v>2015</v>
      </c>
      <c r="N2577" s="17">
        <f t="shared" si="292"/>
        <v>42278</v>
      </c>
      <c r="S2577">
        <f t="shared" si="293"/>
        <v>0</v>
      </c>
    </row>
    <row r="2578" spans="1:19" x14ac:dyDescent="0.3">
      <c r="A2578" s="17">
        <v>42306</v>
      </c>
      <c r="B2578">
        <v>238.35</v>
      </c>
      <c r="C2578">
        <v>44.8</v>
      </c>
      <c r="D2578">
        <f t="shared" si="290"/>
        <v>193.55</v>
      </c>
      <c r="E2578">
        <v>1.86</v>
      </c>
      <c r="F2578">
        <f t="shared" si="291"/>
        <v>-191.69</v>
      </c>
      <c r="I2578">
        <f t="shared" si="287"/>
        <v>29</v>
      </c>
      <c r="J2578">
        <v>1</v>
      </c>
      <c r="K2578">
        <f t="shared" si="288"/>
        <v>10</v>
      </c>
      <c r="L2578">
        <f t="shared" si="289"/>
        <v>2015</v>
      </c>
      <c r="N2578" s="17">
        <f t="shared" si="292"/>
        <v>42278</v>
      </c>
      <c r="S2578">
        <f t="shared" si="293"/>
        <v>0</v>
      </c>
    </row>
    <row r="2579" spans="1:19" x14ac:dyDescent="0.3">
      <c r="A2579" s="17">
        <v>42305</v>
      </c>
      <c r="B2579">
        <v>230.16</v>
      </c>
      <c r="C2579">
        <v>43.05</v>
      </c>
      <c r="D2579">
        <f t="shared" si="290"/>
        <v>187.11</v>
      </c>
      <c r="E2579">
        <v>1.87</v>
      </c>
      <c r="F2579">
        <f t="shared" si="291"/>
        <v>-185.24</v>
      </c>
      <c r="I2579">
        <f t="shared" si="287"/>
        <v>28</v>
      </c>
      <c r="J2579">
        <v>1</v>
      </c>
      <c r="K2579">
        <f t="shared" si="288"/>
        <v>10</v>
      </c>
      <c r="L2579">
        <f t="shared" si="289"/>
        <v>2015</v>
      </c>
      <c r="N2579" s="17">
        <f t="shared" si="292"/>
        <v>42278</v>
      </c>
      <c r="S2579">
        <f t="shared" si="293"/>
        <v>0</v>
      </c>
    </row>
    <row r="2580" spans="1:19" x14ac:dyDescent="0.3">
      <c r="A2580" s="17">
        <v>42304</v>
      </c>
      <c r="B2580">
        <v>229.81</v>
      </c>
      <c r="C2580">
        <v>43.04</v>
      </c>
      <c r="D2580">
        <f t="shared" si="290"/>
        <v>186.77</v>
      </c>
      <c r="E2580">
        <v>1.84</v>
      </c>
      <c r="F2580">
        <f t="shared" si="291"/>
        <v>-184.93</v>
      </c>
      <c r="I2580">
        <f t="shared" si="287"/>
        <v>27</v>
      </c>
      <c r="J2580">
        <v>1</v>
      </c>
      <c r="K2580">
        <f t="shared" si="288"/>
        <v>10</v>
      </c>
      <c r="L2580">
        <f t="shared" si="289"/>
        <v>2015</v>
      </c>
      <c r="N2580" s="17">
        <f t="shared" si="292"/>
        <v>42278</v>
      </c>
      <c r="S2580">
        <f t="shared" si="293"/>
        <v>0</v>
      </c>
    </row>
    <row r="2581" spans="1:19" x14ac:dyDescent="0.3">
      <c r="A2581" s="17">
        <v>42303</v>
      </c>
      <c r="B2581">
        <v>230.97</v>
      </c>
      <c r="C2581">
        <v>43.85</v>
      </c>
      <c r="D2581">
        <f t="shared" si="290"/>
        <v>187.12</v>
      </c>
      <c r="E2581">
        <v>1.85</v>
      </c>
      <c r="F2581">
        <f t="shared" si="291"/>
        <v>-185.27</v>
      </c>
      <c r="I2581">
        <f t="shared" si="287"/>
        <v>26</v>
      </c>
      <c r="J2581">
        <v>1</v>
      </c>
      <c r="K2581">
        <f t="shared" si="288"/>
        <v>10</v>
      </c>
      <c r="L2581">
        <f t="shared" si="289"/>
        <v>2015</v>
      </c>
      <c r="N2581" s="17">
        <f t="shared" si="292"/>
        <v>42278</v>
      </c>
      <c r="S2581">
        <f t="shared" si="293"/>
        <v>0</v>
      </c>
    </row>
    <row r="2582" spans="1:19" x14ac:dyDescent="0.3">
      <c r="A2582" s="17">
        <v>42300</v>
      </c>
      <c r="B2582">
        <v>231.31</v>
      </c>
      <c r="C2582">
        <v>44.15</v>
      </c>
      <c r="D2582">
        <f t="shared" si="290"/>
        <v>187.16</v>
      </c>
      <c r="E2582">
        <v>1.87</v>
      </c>
      <c r="F2582">
        <f t="shared" si="291"/>
        <v>-185.29</v>
      </c>
      <c r="I2582">
        <f t="shared" si="287"/>
        <v>23</v>
      </c>
      <c r="J2582">
        <v>1</v>
      </c>
      <c r="K2582">
        <f t="shared" si="288"/>
        <v>10</v>
      </c>
      <c r="L2582">
        <f t="shared" si="289"/>
        <v>2015</v>
      </c>
      <c r="N2582" s="17">
        <f t="shared" si="292"/>
        <v>42278</v>
      </c>
      <c r="S2582">
        <f t="shared" si="293"/>
        <v>0</v>
      </c>
    </row>
    <row r="2583" spans="1:19" x14ac:dyDescent="0.3">
      <c r="A2583" s="17">
        <v>42299</v>
      </c>
      <c r="B2583">
        <v>230.81</v>
      </c>
      <c r="C2583">
        <v>44</v>
      </c>
      <c r="D2583">
        <f t="shared" si="290"/>
        <v>186.81</v>
      </c>
      <c r="E2583">
        <v>1.86</v>
      </c>
      <c r="F2583">
        <f t="shared" si="291"/>
        <v>-184.95</v>
      </c>
      <c r="I2583">
        <f t="shared" si="287"/>
        <v>22</v>
      </c>
      <c r="J2583">
        <v>1</v>
      </c>
      <c r="K2583">
        <f t="shared" si="288"/>
        <v>10</v>
      </c>
      <c r="L2583">
        <f t="shared" si="289"/>
        <v>2015</v>
      </c>
      <c r="N2583" s="17">
        <f t="shared" si="292"/>
        <v>42278</v>
      </c>
      <c r="S2583">
        <f t="shared" si="293"/>
        <v>0</v>
      </c>
    </row>
    <row r="2584" spans="1:19" x14ac:dyDescent="0.3">
      <c r="A2584" s="17">
        <v>42298</v>
      </c>
      <c r="B2584">
        <v>230.55</v>
      </c>
      <c r="C2584">
        <v>44.51</v>
      </c>
      <c r="D2584">
        <f t="shared" si="290"/>
        <v>186.04000000000002</v>
      </c>
      <c r="E2584">
        <v>1.83</v>
      </c>
      <c r="F2584">
        <f t="shared" si="291"/>
        <v>-184.21</v>
      </c>
      <c r="I2584">
        <f t="shared" si="287"/>
        <v>21</v>
      </c>
      <c r="J2584">
        <v>1</v>
      </c>
      <c r="K2584">
        <f t="shared" si="288"/>
        <v>10</v>
      </c>
      <c r="L2584">
        <f t="shared" si="289"/>
        <v>2015</v>
      </c>
      <c r="N2584" s="17">
        <f t="shared" si="292"/>
        <v>42278</v>
      </c>
      <c r="S2584">
        <f t="shared" si="293"/>
        <v>0</v>
      </c>
    </row>
    <row r="2585" spans="1:19" x14ac:dyDescent="0.3">
      <c r="A2585" s="17">
        <v>42297</v>
      </c>
      <c r="B2585">
        <v>230.38</v>
      </c>
      <c r="C2585">
        <v>44.51</v>
      </c>
      <c r="D2585">
        <f t="shared" si="290"/>
        <v>185.87</v>
      </c>
      <c r="E2585">
        <v>1.85</v>
      </c>
      <c r="F2585">
        <f t="shared" si="291"/>
        <v>-184.02</v>
      </c>
      <c r="I2585">
        <f t="shared" si="287"/>
        <v>20</v>
      </c>
      <c r="J2585">
        <v>1</v>
      </c>
      <c r="K2585">
        <f t="shared" si="288"/>
        <v>10</v>
      </c>
      <c r="L2585">
        <f t="shared" si="289"/>
        <v>2015</v>
      </c>
      <c r="N2585" s="17">
        <f t="shared" si="292"/>
        <v>42278</v>
      </c>
      <c r="S2585">
        <f t="shared" si="293"/>
        <v>0</v>
      </c>
    </row>
    <row r="2586" spans="1:19" x14ac:dyDescent="0.3">
      <c r="A2586" s="17">
        <v>42296</v>
      </c>
      <c r="B2586">
        <v>235.69</v>
      </c>
      <c r="C2586">
        <v>45.99</v>
      </c>
      <c r="D2586">
        <f t="shared" si="290"/>
        <v>189.7</v>
      </c>
      <c r="E2586">
        <v>1.8</v>
      </c>
      <c r="F2586">
        <f t="shared" si="291"/>
        <v>-187.89999999999998</v>
      </c>
      <c r="I2586">
        <f t="shared" si="287"/>
        <v>19</v>
      </c>
      <c r="J2586">
        <v>1</v>
      </c>
      <c r="K2586">
        <f t="shared" si="288"/>
        <v>10</v>
      </c>
      <c r="L2586">
        <f t="shared" si="289"/>
        <v>2015</v>
      </c>
      <c r="N2586" s="17">
        <f t="shared" si="292"/>
        <v>42278</v>
      </c>
      <c r="S2586">
        <f t="shared" si="293"/>
        <v>0</v>
      </c>
    </row>
    <row r="2587" spans="1:19" x14ac:dyDescent="0.3">
      <c r="A2587" s="17">
        <v>42293</v>
      </c>
      <c r="B2587">
        <v>236.53</v>
      </c>
      <c r="C2587">
        <v>46.5</v>
      </c>
      <c r="D2587">
        <f t="shared" si="290"/>
        <v>190.03</v>
      </c>
      <c r="E2587">
        <v>1.78</v>
      </c>
      <c r="F2587">
        <f t="shared" si="291"/>
        <v>-188.25</v>
      </c>
      <c r="I2587">
        <f t="shared" si="287"/>
        <v>16</v>
      </c>
      <c r="J2587">
        <v>1</v>
      </c>
      <c r="K2587">
        <f t="shared" si="288"/>
        <v>10</v>
      </c>
      <c r="L2587">
        <f t="shared" si="289"/>
        <v>2015</v>
      </c>
      <c r="N2587" s="17">
        <f t="shared" si="292"/>
        <v>42278</v>
      </c>
      <c r="S2587">
        <f t="shared" si="293"/>
        <v>0</v>
      </c>
    </row>
    <row r="2588" spans="1:19" x14ac:dyDescent="0.3">
      <c r="A2588" s="17">
        <v>42292</v>
      </c>
      <c r="B2588">
        <v>234.55</v>
      </c>
      <c r="C2588">
        <v>46.01</v>
      </c>
      <c r="D2588">
        <f t="shared" si="290"/>
        <v>188.54000000000002</v>
      </c>
      <c r="E2588">
        <v>1.73</v>
      </c>
      <c r="F2588">
        <f t="shared" si="291"/>
        <v>-186.81000000000003</v>
      </c>
      <c r="I2588">
        <f t="shared" si="287"/>
        <v>15</v>
      </c>
      <c r="J2588">
        <v>1</v>
      </c>
      <c r="K2588">
        <f t="shared" si="288"/>
        <v>10</v>
      </c>
      <c r="L2588">
        <f t="shared" si="289"/>
        <v>2015</v>
      </c>
      <c r="N2588" s="17">
        <f t="shared" si="292"/>
        <v>42278</v>
      </c>
      <c r="S2588">
        <f t="shared" si="293"/>
        <v>0</v>
      </c>
    </row>
    <row r="2589" spans="1:19" x14ac:dyDescent="0.3">
      <c r="A2589" s="17">
        <v>42291</v>
      </c>
      <c r="B2589">
        <v>235.8</v>
      </c>
      <c r="C2589">
        <v>46.2</v>
      </c>
      <c r="D2589">
        <f t="shared" si="290"/>
        <v>189.60000000000002</v>
      </c>
      <c r="E2589">
        <v>1.72</v>
      </c>
      <c r="F2589">
        <f t="shared" si="291"/>
        <v>-187.88000000000002</v>
      </c>
      <c r="I2589">
        <f t="shared" si="287"/>
        <v>14</v>
      </c>
      <c r="J2589">
        <v>1</v>
      </c>
      <c r="K2589">
        <f t="shared" si="288"/>
        <v>10</v>
      </c>
      <c r="L2589">
        <f t="shared" si="289"/>
        <v>2015</v>
      </c>
      <c r="N2589" s="17">
        <f t="shared" si="292"/>
        <v>42278</v>
      </c>
      <c r="S2589">
        <f t="shared" si="293"/>
        <v>0</v>
      </c>
    </row>
    <row r="2590" spans="1:19" x14ac:dyDescent="0.3">
      <c r="A2590" s="17">
        <v>42290</v>
      </c>
      <c r="B2590">
        <v>237.75</v>
      </c>
      <c r="C2590">
        <v>47.15</v>
      </c>
      <c r="D2590">
        <f t="shared" si="290"/>
        <v>190.6</v>
      </c>
      <c r="E2590">
        <v>1.7</v>
      </c>
      <c r="F2590">
        <f t="shared" si="291"/>
        <v>-188.9</v>
      </c>
      <c r="I2590">
        <f t="shared" si="287"/>
        <v>13</v>
      </c>
      <c r="J2590">
        <v>1</v>
      </c>
      <c r="K2590">
        <f t="shared" si="288"/>
        <v>10</v>
      </c>
      <c r="L2590">
        <f t="shared" si="289"/>
        <v>2015</v>
      </c>
      <c r="N2590" s="17">
        <f t="shared" si="292"/>
        <v>42278</v>
      </c>
      <c r="S2590">
        <f t="shared" si="293"/>
        <v>0</v>
      </c>
    </row>
    <row r="2591" spans="1:19" x14ac:dyDescent="0.3">
      <c r="A2591" s="17">
        <v>42289</v>
      </c>
      <c r="B2591">
        <v>251.34</v>
      </c>
      <c r="C2591">
        <v>49.66</v>
      </c>
      <c r="D2591">
        <f t="shared" si="290"/>
        <v>201.68</v>
      </c>
      <c r="E2591">
        <v>1.69</v>
      </c>
      <c r="F2591">
        <f t="shared" si="291"/>
        <v>-199.99</v>
      </c>
      <c r="I2591">
        <f t="shared" si="287"/>
        <v>12</v>
      </c>
      <c r="J2591">
        <v>1</v>
      </c>
      <c r="K2591">
        <f t="shared" si="288"/>
        <v>10</v>
      </c>
      <c r="L2591">
        <f t="shared" si="289"/>
        <v>2015</v>
      </c>
      <c r="N2591" s="17">
        <f t="shared" si="292"/>
        <v>42278</v>
      </c>
      <c r="S2591">
        <f t="shared" si="293"/>
        <v>0</v>
      </c>
    </row>
    <row r="2592" spans="1:19" x14ac:dyDescent="0.3">
      <c r="A2592" s="17">
        <v>42286</v>
      </c>
      <c r="B2592">
        <v>251.54</v>
      </c>
      <c r="C2592">
        <v>50.05</v>
      </c>
      <c r="D2592">
        <f t="shared" si="290"/>
        <v>201.49</v>
      </c>
      <c r="E2592">
        <v>1.72</v>
      </c>
      <c r="F2592">
        <f t="shared" si="291"/>
        <v>-199.77</v>
      </c>
      <c r="I2592">
        <f t="shared" si="287"/>
        <v>9</v>
      </c>
      <c r="J2592">
        <v>1</v>
      </c>
      <c r="K2592">
        <f t="shared" si="288"/>
        <v>10</v>
      </c>
      <c r="L2592">
        <f t="shared" si="289"/>
        <v>2015</v>
      </c>
      <c r="N2592" s="17">
        <f t="shared" si="292"/>
        <v>42278</v>
      </c>
      <c r="S2592">
        <f t="shared" si="293"/>
        <v>0</v>
      </c>
    </row>
    <row r="2593" spans="1:19" x14ac:dyDescent="0.3">
      <c r="A2593" s="17">
        <v>42285</v>
      </c>
      <c r="B2593">
        <v>247.87</v>
      </c>
      <c r="C2593">
        <v>48.82</v>
      </c>
      <c r="D2593">
        <f t="shared" si="290"/>
        <v>199.05</v>
      </c>
      <c r="E2593">
        <v>1.68</v>
      </c>
      <c r="F2593">
        <f t="shared" si="291"/>
        <v>-197.37</v>
      </c>
      <c r="I2593">
        <f t="shared" si="287"/>
        <v>8</v>
      </c>
      <c r="J2593">
        <v>1</v>
      </c>
      <c r="K2593">
        <f t="shared" si="288"/>
        <v>10</v>
      </c>
      <c r="L2593">
        <f t="shared" si="289"/>
        <v>2015</v>
      </c>
      <c r="N2593" s="17">
        <f t="shared" si="292"/>
        <v>42278</v>
      </c>
      <c r="S2593">
        <f t="shared" si="293"/>
        <v>0</v>
      </c>
    </row>
    <row r="2594" spans="1:19" x14ac:dyDescent="0.3">
      <c r="A2594" s="17">
        <v>42284</v>
      </c>
      <c r="B2594">
        <v>254.03</v>
      </c>
      <c r="C2594">
        <v>49.79</v>
      </c>
      <c r="D2594">
        <f t="shared" si="290"/>
        <v>204.24</v>
      </c>
      <c r="E2594">
        <v>1.68</v>
      </c>
      <c r="F2594">
        <f t="shared" si="291"/>
        <v>-202.56</v>
      </c>
      <c r="I2594">
        <f t="shared" si="287"/>
        <v>7</v>
      </c>
      <c r="J2594">
        <v>1</v>
      </c>
      <c r="K2594">
        <f t="shared" si="288"/>
        <v>10</v>
      </c>
      <c r="L2594">
        <f t="shared" si="289"/>
        <v>2015</v>
      </c>
      <c r="N2594" s="17">
        <f t="shared" si="292"/>
        <v>42278</v>
      </c>
      <c r="S2594">
        <f t="shared" si="293"/>
        <v>0</v>
      </c>
    </row>
    <row r="2595" spans="1:19" x14ac:dyDescent="0.3">
      <c r="A2595" s="17">
        <v>42283</v>
      </c>
      <c r="B2595">
        <v>237.01</v>
      </c>
      <c r="C2595">
        <v>46.41</v>
      </c>
      <c r="D2595">
        <f t="shared" si="290"/>
        <v>190.6</v>
      </c>
      <c r="E2595">
        <v>1.65</v>
      </c>
      <c r="F2595">
        <f t="shared" si="291"/>
        <v>-188.95</v>
      </c>
      <c r="I2595">
        <f t="shared" si="287"/>
        <v>6</v>
      </c>
      <c r="J2595">
        <v>1</v>
      </c>
      <c r="K2595">
        <f t="shared" si="288"/>
        <v>10</v>
      </c>
      <c r="L2595">
        <f t="shared" si="289"/>
        <v>2015</v>
      </c>
      <c r="N2595" s="17">
        <f t="shared" si="292"/>
        <v>42278</v>
      </c>
      <c r="S2595">
        <f t="shared" si="293"/>
        <v>0</v>
      </c>
    </row>
    <row r="2596" spans="1:19" x14ac:dyDescent="0.3">
      <c r="A2596" s="17">
        <v>42282</v>
      </c>
      <c r="B2596">
        <v>236.06</v>
      </c>
      <c r="C2596">
        <v>45.8</v>
      </c>
      <c r="D2596">
        <f t="shared" si="290"/>
        <v>190.26</v>
      </c>
      <c r="E2596">
        <v>1.68</v>
      </c>
      <c r="F2596">
        <f t="shared" si="291"/>
        <v>-188.57999999999998</v>
      </c>
      <c r="I2596">
        <f t="shared" si="287"/>
        <v>5</v>
      </c>
      <c r="J2596">
        <v>1</v>
      </c>
      <c r="K2596">
        <f t="shared" si="288"/>
        <v>10</v>
      </c>
      <c r="L2596">
        <f t="shared" si="289"/>
        <v>2015</v>
      </c>
      <c r="N2596" s="17">
        <f t="shared" si="292"/>
        <v>42278</v>
      </c>
      <c r="S2596">
        <f t="shared" si="293"/>
        <v>0</v>
      </c>
    </row>
    <row r="2597" spans="1:19" x14ac:dyDescent="0.3">
      <c r="A2597" s="17">
        <v>42279</v>
      </c>
      <c r="B2597">
        <v>229.23</v>
      </c>
      <c r="C2597">
        <v>45.12</v>
      </c>
      <c r="D2597">
        <f t="shared" si="290"/>
        <v>184.10999999999999</v>
      </c>
      <c r="E2597">
        <v>1.7</v>
      </c>
      <c r="F2597">
        <f t="shared" si="291"/>
        <v>-182.41</v>
      </c>
      <c r="I2597">
        <f t="shared" si="287"/>
        <v>2</v>
      </c>
      <c r="J2597">
        <v>1</v>
      </c>
      <c r="K2597">
        <f t="shared" si="288"/>
        <v>10</v>
      </c>
      <c r="L2597">
        <f t="shared" si="289"/>
        <v>2015</v>
      </c>
      <c r="N2597" s="17">
        <f t="shared" si="292"/>
        <v>42278</v>
      </c>
      <c r="S2597">
        <f t="shared" si="293"/>
        <v>1</v>
      </c>
    </row>
    <row r="2598" spans="1:19" x14ac:dyDescent="0.3">
      <c r="A2598" s="17">
        <v>42278</v>
      </c>
      <c r="B2598">
        <v>231.63</v>
      </c>
      <c r="C2598">
        <v>45.75</v>
      </c>
      <c r="D2598">
        <f t="shared" si="290"/>
        <v>185.88</v>
      </c>
      <c r="E2598">
        <v>1.47</v>
      </c>
      <c r="F2598">
        <f t="shared" si="291"/>
        <v>-184.41</v>
      </c>
      <c r="I2598">
        <f t="shared" si="287"/>
        <v>1</v>
      </c>
      <c r="J2598">
        <v>1</v>
      </c>
      <c r="K2598">
        <f t="shared" si="288"/>
        <v>10</v>
      </c>
      <c r="L2598">
        <f t="shared" si="289"/>
        <v>2015</v>
      </c>
      <c r="N2598" s="17">
        <f t="shared" si="292"/>
        <v>42278</v>
      </c>
      <c r="S2598">
        <f t="shared" si="293"/>
        <v>1</v>
      </c>
    </row>
    <row r="2599" spans="1:19" x14ac:dyDescent="0.3">
      <c r="A2599" s="17">
        <v>42277</v>
      </c>
      <c r="B2599">
        <v>224.16</v>
      </c>
      <c r="C2599">
        <v>43.5</v>
      </c>
      <c r="D2599">
        <f t="shared" si="290"/>
        <v>180.66</v>
      </c>
      <c r="E2599">
        <v>1.06</v>
      </c>
      <c r="F2599">
        <f t="shared" si="291"/>
        <v>-179.6</v>
      </c>
      <c r="I2599">
        <f t="shared" si="287"/>
        <v>30</v>
      </c>
      <c r="J2599">
        <v>1</v>
      </c>
      <c r="K2599">
        <f t="shared" si="288"/>
        <v>9</v>
      </c>
      <c r="L2599">
        <f t="shared" si="289"/>
        <v>2015</v>
      </c>
      <c r="N2599" s="17">
        <f t="shared" si="292"/>
        <v>42248</v>
      </c>
      <c r="S2599">
        <f t="shared" si="293"/>
        <v>0</v>
      </c>
    </row>
    <row r="2600" spans="1:19" x14ac:dyDescent="0.3">
      <c r="A2600" s="17">
        <v>42276</v>
      </c>
      <c r="B2600">
        <v>221.21</v>
      </c>
      <c r="C2600">
        <v>43.35</v>
      </c>
      <c r="D2600">
        <f t="shared" si="290"/>
        <v>177.86</v>
      </c>
      <c r="E2600">
        <v>1</v>
      </c>
      <c r="F2600">
        <f t="shared" si="291"/>
        <v>-176.86</v>
      </c>
      <c r="I2600">
        <f t="shared" si="287"/>
        <v>29</v>
      </c>
      <c r="J2600">
        <v>1</v>
      </c>
      <c r="K2600">
        <f t="shared" si="288"/>
        <v>9</v>
      </c>
      <c r="L2600">
        <f t="shared" si="289"/>
        <v>2015</v>
      </c>
      <c r="N2600" s="17">
        <f t="shared" si="292"/>
        <v>42248</v>
      </c>
      <c r="S2600">
        <f t="shared" si="293"/>
        <v>0</v>
      </c>
    </row>
    <row r="2601" spans="1:19" x14ac:dyDescent="0.3">
      <c r="A2601" s="17">
        <v>42275</v>
      </c>
      <c r="B2601">
        <v>227.06</v>
      </c>
      <c r="C2601">
        <v>43.89</v>
      </c>
      <c r="D2601">
        <f t="shared" si="290"/>
        <v>183.17000000000002</v>
      </c>
      <c r="E2601">
        <v>0.99</v>
      </c>
      <c r="F2601">
        <f t="shared" si="291"/>
        <v>-182.18</v>
      </c>
      <c r="I2601">
        <f t="shared" si="287"/>
        <v>28</v>
      </c>
      <c r="J2601">
        <v>1</v>
      </c>
      <c r="K2601">
        <f t="shared" si="288"/>
        <v>9</v>
      </c>
      <c r="L2601">
        <f t="shared" si="289"/>
        <v>2015</v>
      </c>
      <c r="N2601" s="17">
        <f t="shared" si="292"/>
        <v>42248</v>
      </c>
      <c r="S2601">
        <f t="shared" si="293"/>
        <v>0</v>
      </c>
    </row>
    <row r="2602" spans="1:19" x14ac:dyDescent="0.3">
      <c r="A2602" s="17">
        <v>42272</v>
      </c>
      <c r="B2602">
        <v>227.52</v>
      </c>
      <c r="C2602">
        <v>43.79</v>
      </c>
      <c r="D2602">
        <f t="shared" si="290"/>
        <v>183.73000000000002</v>
      </c>
      <c r="E2602">
        <v>1.01</v>
      </c>
      <c r="F2602">
        <f t="shared" si="291"/>
        <v>-182.72000000000003</v>
      </c>
      <c r="I2602">
        <f t="shared" si="287"/>
        <v>25</v>
      </c>
      <c r="J2602">
        <v>1</v>
      </c>
      <c r="K2602">
        <f t="shared" si="288"/>
        <v>9</v>
      </c>
      <c r="L2602">
        <f t="shared" si="289"/>
        <v>2015</v>
      </c>
      <c r="N2602" s="17">
        <f t="shared" si="292"/>
        <v>42248</v>
      </c>
      <c r="S2602">
        <f t="shared" si="293"/>
        <v>0</v>
      </c>
    </row>
    <row r="2603" spans="1:19" x14ac:dyDescent="0.3">
      <c r="A2603" s="17">
        <v>42270</v>
      </c>
      <c r="B2603">
        <v>233.95</v>
      </c>
      <c r="C2603">
        <v>45.34</v>
      </c>
      <c r="D2603">
        <f t="shared" si="290"/>
        <v>188.60999999999999</v>
      </c>
      <c r="E2603">
        <v>1.1000000000000001</v>
      </c>
      <c r="F2603">
        <f t="shared" si="291"/>
        <v>-187.51</v>
      </c>
      <c r="I2603">
        <f t="shared" si="287"/>
        <v>23</v>
      </c>
      <c r="J2603">
        <v>1</v>
      </c>
      <c r="K2603">
        <f t="shared" si="288"/>
        <v>9</v>
      </c>
      <c r="L2603">
        <f t="shared" si="289"/>
        <v>2015</v>
      </c>
      <c r="N2603" s="17">
        <f t="shared" si="292"/>
        <v>42248</v>
      </c>
      <c r="S2603">
        <f t="shared" si="293"/>
        <v>0</v>
      </c>
    </row>
    <row r="2604" spans="1:19" x14ac:dyDescent="0.3">
      <c r="A2604" s="17">
        <v>42269</v>
      </c>
      <c r="B2604">
        <v>224.13</v>
      </c>
      <c r="C2604">
        <v>44.2</v>
      </c>
      <c r="D2604">
        <f t="shared" si="290"/>
        <v>179.93</v>
      </c>
      <c r="E2604">
        <v>1.27</v>
      </c>
      <c r="F2604">
        <f t="shared" si="291"/>
        <v>-178.66</v>
      </c>
      <c r="I2604">
        <f t="shared" si="287"/>
        <v>22</v>
      </c>
      <c r="J2604">
        <v>1</v>
      </c>
      <c r="K2604">
        <f t="shared" si="288"/>
        <v>9</v>
      </c>
      <c r="L2604">
        <f t="shared" si="289"/>
        <v>2015</v>
      </c>
      <c r="N2604" s="17">
        <f t="shared" si="292"/>
        <v>42248</v>
      </c>
      <c r="S2604">
        <f t="shared" si="293"/>
        <v>0</v>
      </c>
    </row>
    <row r="2605" spans="1:19" x14ac:dyDescent="0.3">
      <c r="A2605" s="17">
        <v>42268</v>
      </c>
      <c r="B2605">
        <v>224.44</v>
      </c>
      <c r="C2605">
        <v>43.8</v>
      </c>
      <c r="D2605">
        <f t="shared" si="290"/>
        <v>180.64</v>
      </c>
      <c r="E2605">
        <v>1.35</v>
      </c>
      <c r="F2605">
        <f t="shared" si="291"/>
        <v>-179.29</v>
      </c>
      <c r="I2605">
        <f t="shared" si="287"/>
        <v>21</v>
      </c>
      <c r="J2605">
        <v>1</v>
      </c>
      <c r="K2605">
        <f t="shared" si="288"/>
        <v>9</v>
      </c>
      <c r="L2605">
        <f t="shared" si="289"/>
        <v>2015</v>
      </c>
      <c r="N2605" s="17">
        <f t="shared" si="292"/>
        <v>42248</v>
      </c>
      <c r="S2605">
        <f t="shared" si="293"/>
        <v>0</v>
      </c>
    </row>
    <row r="2606" spans="1:19" x14ac:dyDescent="0.3">
      <c r="A2606" s="17">
        <v>42265</v>
      </c>
      <c r="B2606">
        <v>235.74</v>
      </c>
      <c r="C2606">
        <v>44.95</v>
      </c>
      <c r="D2606">
        <f t="shared" si="290"/>
        <v>190.79000000000002</v>
      </c>
      <c r="E2606">
        <v>1.34</v>
      </c>
      <c r="F2606">
        <f t="shared" si="291"/>
        <v>-189.45000000000002</v>
      </c>
      <c r="I2606">
        <f t="shared" si="287"/>
        <v>18</v>
      </c>
      <c r="J2606">
        <v>1</v>
      </c>
      <c r="K2606">
        <f t="shared" si="288"/>
        <v>9</v>
      </c>
      <c r="L2606">
        <f t="shared" si="289"/>
        <v>2015</v>
      </c>
      <c r="N2606" s="17">
        <f t="shared" si="292"/>
        <v>42248</v>
      </c>
      <c r="S2606">
        <f t="shared" si="293"/>
        <v>0</v>
      </c>
    </row>
    <row r="2607" spans="1:19" x14ac:dyDescent="0.3">
      <c r="A2607" s="17">
        <v>42264</v>
      </c>
      <c r="B2607">
        <v>237.92</v>
      </c>
      <c r="C2607">
        <v>45.45</v>
      </c>
      <c r="D2607">
        <f t="shared" si="290"/>
        <v>192.46999999999997</v>
      </c>
      <c r="E2607">
        <v>1.29</v>
      </c>
      <c r="F2607">
        <f t="shared" si="291"/>
        <v>-191.17999999999998</v>
      </c>
      <c r="I2607">
        <f t="shared" si="287"/>
        <v>17</v>
      </c>
      <c r="J2607">
        <v>1</v>
      </c>
      <c r="K2607">
        <f t="shared" si="288"/>
        <v>9</v>
      </c>
      <c r="L2607">
        <f t="shared" si="289"/>
        <v>2015</v>
      </c>
      <c r="N2607" s="17">
        <f t="shared" si="292"/>
        <v>42248</v>
      </c>
      <c r="S2607">
        <f t="shared" si="293"/>
        <v>0</v>
      </c>
    </row>
    <row r="2608" spans="1:19" x14ac:dyDescent="0.3">
      <c r="A2608" s="17">
        <v>42263</v>
      </c>
      <c r="B2608">
        <v>230.69</v>
      </c>
      <c r="C2608">
        <v>44.07</v>
      </c>
      <c r="D2608">
        <f t="shared" si="290"/>
        <v>186.62</v>
      </c>
      <c r="E2608">
        <v>1.33</v>
      </c>
      <c r="F2608">
        <f t="shared" si="291"/>
        <v>-185.29</v>
      </c>
      <c r="I2608">
        <f t="shared" si="287"/>
        <v>16</v>
      </c>
      <c r="J2608">
        <v>1</v>
      </c>
      <c r="K2608">
        <f t="shared" si="288"/>
        <v>9</v>
      </c>
      <c r="L2608">
        <f t="shared" si="289"/>
        <v>2015</v>
      </c>
      <c r="N2608" s="17">
        <f t="shared" si="292"/>
        <v>42248</v>
      </c>
      <c r="S2608">
        <f t="shared" si="293"/>
        <v>0</v>
      </c>
    </row>
    <row r="2609" spans="1:19" x14ac:dyDescent="0.3">
      <c r="A2609" s="17">
        <v>42262</v>
      </c>
      <c r="B2609">
        <v>226.27</v>
      </c>
      <c r="C2609">
        <v>43.4</v>
      </c>
      <c r="D2609">
        <f t="shared" si="290"/>
        <v>182.87</v>
      </c>
      <c r="E2609">
        <v>1.31</v>
      </c>
      <c r="F2609">
        <f t="shared" si="291"/>
        <v>-181.56</v>
      </c>
      <c r="I2609">
        <f t="shared" si="287"/>
        <v>15</v>
      </c>
      <c r="J2609">
        <v>1</v>
      </c>
      <c r="K2609">
        <f t="shared" si="288"/>
        <v>9</v>
      </c>
      <c r="L2609">
        <f t="shared" si="289"/>
        <v>2015</v>
      </c>
      <c r="N2609" s="17">
        <f t="shared" si="292"/>
        <v>42248</v>
      </c>
      <c r="S2609">
        <f t="shared" si="293"/>
        <v>0</v>
      </c>
    </row>
    <row r="2610" spans="1:19" x14ac:dyDescent="0.3">
      <c r="A2610" s="17">
        <v>42261</v>
      </c>
      <c r="B2610">
        <v>228.15</v>
      </c>
      <c r="C2610">
        <v>44.7</v>
      </c>
      <c r="D2610">
        <f t="shared" si="290"/>
        <v>183.45</v>
      </c>
      <c r="E2610">
        <v>1.26</v>
      </c>
      <c r="F2610">
        <f t="shared" si="291"/>
        <v>-182.19</v>
      </c>
      <c r="I2610">
        <f t="shared" si="287"/>
        <v>14</v>
      </c>
      <c r="J2610">
        <v>1</v>
      </c>
      <c r="K2610">
        <f t="shared" si="288"/>
        <v>9</v>
      </c>
      <c r="L2610">
        <f t="shared" si="289"/>
        <v>2015</v>
      </c>
      <c r="N2610" s="17">
        <f t="shared" si="292"/>
        <v>42248</v>
      </c>
      <c r="S2610">
        <f t="shared" si="293"/>
        <v>0</v>
      </c>
    </row>
    <row r="2611" spans="1:19" x14ac:dyDescent="0.3">
      <c r="A2611" s="17">
        <v>42257</v>
      </c>
      <c r="B2611">
        <v>226.47</v>
      </c>
      <c r="C2611">
        <v>45.5</v>
      </c>
      <c r="D2611">
        <f t="shared" si="290"/>
        <v>180.97</v>
      </c>
      <c r="E2611">
        <v>1.31</v>
      </c>
      <c r="F2611">
        <f t="shared" si="291"/>
        <v>-179.66</v>
      </c>
      <c r="I2611">
        <f t="shared" si="287"/>
        <v>10</v>
      </c>
      <c r="J2611">
        <v>1</v>
      </c>
      <c r="K2611">
        <f t="shared" si="288"/>
        <v>9</v>
      </c>
      <c r="L2611">
        <f t="shared" si="289"/>
        <v>2015</v>
      </c>
      <c r="N2611" s="17">
        <f t="shared" si="292"/>
        <v>42248</v>
      </c>
      <c r="S2611">
        <f t="shared" si="293"/>
        <v>0</v>
      </c>
    </row>
    <row r="2612" spans="1:19" x14ac:dyDescent="0.3">
      <c r="A2612" s="17">
        <v>42256</v>
      </c>
      <c r="B2612">
        <v>239.08</v>
      </c>
      <c r="C2612">
        <v>47.31</v>
      </c>
      <c r="D2612">
        <f t="shared" si="290"/>
        <v>191.77</v>
      </c>
      <c r="E2612">
        <v>1.3</v>
      </c>
      <c r="F2612">
        <f t="shared" si="291"/>
        <v>-190.47</v>
      </c>
      <c r="I2612">
        <f t="shared" si="287"/>
        <v>9</v>
      </c>
      <c r="J2612">
        <v>1</v>
      </c>
      <c r="K2612">
        <f t="shared" si="288"/>
        <v>9</v>
      </c>
      <c r="L2612">
        <f t="shared" si="289"/>
        <v>2015</v>
      </c>
      <c r="N2612" s="17">
        <f t="shared" si="292"/>
        <v>42248</v>
      </c>
      <c r="S2612">
        <f t="shared" si="293"/>
        <v>0</v>
      </c>
    </row>
    <row r="2613" spans="1:19" x14ac:dyDescent="0.3">
      <c r="A2613" s="17">
        <v>42255</v>
      </c>
      <c r="B2613">
        <v>233.61</v>
      </c>
      <c r="C2613">
        <v>45.75</v>
      </c>
      <c r="D2613">
        <f t="shared" si="290"/>
        <v>187.86</v>
      </c>
      <c r="E2613">
        <v>1.32</v>
      </c>
      <c r="F2613">
        <f t="shared" si="291"/>
        <v>-186.54000000000002</v>
      </c>
      <c r="I2613">
        <f t="shared" si="287"/>
        <v>8</v>
      </c>
      <c r="J2613">
        <v>1</v>
      </c>
      <c r="K2613">
        <f t="shared" si="288"/>
        <v>9</v>
      </c>
      <c r="L2613">
        <f t="shared" si="289"/>
        <v>2015</v>
      </c>
      <c r="N2613" s="17">
        <f t="shared" si="292"/>
        <v>42248</v>
      </c>
      <c r="S2613">
        <f t="shared" si="293"/>
        <v>0</v>
      </c>
    </row>
    <row r="2614" spans="1:19" x14ac:dyDescent="0.3">
      <c r="A2614" s="17">
        <v>42254</v>
      </c>
      <c r="B2614">
        <v>242.51</v>
      </c>
      <c r="C2614">
        <v>46.7</v>
      </c>
      <c r="D2614">
        <f t="shared" si="290"/>
        <v>195.81</v>
      </c>
      <c r="E2614">
        <v>1.47</v>
      </c>
      <c r="F2614">
        <f t="shared" si="291"/>
        <v>-194.34</v>
      </c>
      <c r="I2614">
        <f t="shared" si="287"/>
        <v>7</v>
      </c>
      <c r="J2614">
        <v>1</v>
      </c>
      <c r="K2614">
        <f t="shared" si="288"/>
        <v>9</v>
      </c>
      <c r="L2614">
        <f t="shared" si="289"/>
        <v>2015</v>
      </c>
      <c r="N2614" s="17">
        <f t="shared" si="292"/>
        <v>42248</v>
      </c>
      <c r="S2614">
        <f t="shared" si="293"/>
        <v>0</v>
      </c>
    </row>
    <row r="2615" spans="1:19" x14ac:dyDescent="0.3">
      <c r="A2615" s="17">
        <v>42251</v>
      </c>
      <c r="B2615">
        <v>248.37</v>
      </c>
      <c r="C2615">
        <v>47.95</v>
      </c>
      <c r="D2615">
        <f t="shared" si="290"/>
        <v>200.42000000000002</v>
      </c>
      <c r="E2615">
        <v>1.55</v>
      </c>
      <c r="F2615">
        <f t="shared" si="291"/>
        <v>-198.87</v>
      </c>
      <c r="I2615">
        <f t="shared" si="287"/>
        <v>4</v>
      </c>
      <c r="J2615">
        <v>1</v>
      </c>
      <c r="K2615">
        <f t="shared" si="288"/>
        <v>9</v>
      </c>
      <c r="L2615">
        <f t="shared" si="289"/>
        <v>2015</v>
      </c>
      <c r="N2615" s="17">
        <f t="shared" si="292"/>
        <v>42248</v>
      </c>
      <c r="S2615">
        <f t="shared" si="293"/>
        <v>1</v>
      </c>
    </row>
    <row r="2616" spans="1:19" x14ac:dyDescent="0.3">
      <c r="A2616" s="17">
        <v>42250</v>
      </c>
      <c r="B2616">
        <v>252.62</v>
      </c>
      <c r="C2616">
        <v>48.01</v>
      </c>
      <c r="D2616">
        <f t="shared" si="290"/>
        <v>204.61</v>
      </c>
      <c r="E2616">
        <v>1.58</v>
      </c>
      <c r="F2616">
        <f t="shared" si="291"/>
        <v>-203.03</v>
      </c>
      <c r="I2616">
        <f t="shared" si="287"/>
        <v>3</v>
      </c>
      <c r="J2616">
        <v>1</v>
      </c>
      <c r="K2616">
        <f t="shared" si="288"/>
        <v>9</v>
      </c>
      <c r="L2616">
        <f t="shared" si="289"/>
        <v>2015</v>
      </c>
      <c r="N2616" s="17">
        <f t="shared" si="292"/>
        <v>42248</v>
      </c>
      <c r="S2616">
        <f t="shared" si="293"/>
        <v>1</v>
      </c>
    </row>
    <row r="2617" spans="1:19" x14ac:dyDescent="0.3">
      <c r="A2617" s="17">
        <v>42249</v>
      </c>
      <c r="B2617">
        <v>241.15</v>
      </c>
      <c r="C2617">
        <v>46.34</v>
      </c>
      <c r="D2617">
        <f t="shared" si="290"/>
        <v>194.81</v>
      </c>
      <c r="E2617">
        <v>2</v>
      </c>
      <c r="F2617">
        <f t="shared" si="291"/>
        <v>-192.81</v>
      </c>
      <c r="I2617">
        <f t="shared" si="287"/>
        <v>2</v>
      </c>
      <c r="J2617">
        <v>1</v>
      </c>
      <c r="K2617">
        <f t="shared" si="288"/>
        <v>9</v>
      </c>
      <c r="L2617">
        <f t="shared" si="289"/>
        <v>2015</v>
      </c>
      <c r="N2617" s="17">
        <f t="shared" si="292"/>
        <v>42248</v>
      </c>
      <c r="S2617">
        <f t="shared" si="293"/>
        <v>1</v>
      </c>
    </row>
    <row r="2618" spans="1:19" x14ac:dyDescent="0.3">
      <c r="A2618" s="17">
        <v>42248</v>
      </c>
      <c r="B2618">
        <v>257.51</v>
      </c>
      <c r="C2618">
        <v>49.5</v>
      </c>
      <c r="D2618">
        <f t="shared" si="290"/>
        <v>208.01</v>
      </c>
      <c r="E2618">
        <v>2.37</v>
      </c>
      <c r="F2618">
        <f t="shared" si="291"/>
        <v>-205.64</v>
      </c>
      <c r="I2618">
        <f t="shared" si="287"/>
        <v>1</v>
      </c>
      <c r="J2618">
        <v>1</v>
      </c>
      <c r="K2618">
        <f t="shared" si="288"/>
        <v>9</v>
      </c>
      <c r="L2618">
        <f t="shared" si="289"/>
        <v>2015</v>
      </c>
      <c r="N2618" s="17">
        <f t="shared" si="292"/>
        <v>42248</v>
      </c>
      <c r="S2618">
        <f t="shared" si="293"/>
        <v>1</v>
      </c>
    </row>
    <row r="2619" spans="1:19" x14ac:dyDescent="0.3">
      <c r="A2619" s="17">
        <v>42247</v>
      </c>
      <c r="B2619">
        <v>237.59</v>
      </c>
      <c r="C2619">
        <v>48.41</v>
      </c>
      <c r="D2619">
        <f t="shared" si="290"/>
        <v>189.18</v>
      </c>
      <c r="E2619">
        <v>2.42</v>
      </c>
      <c r="F2619">
        <f t="shared" si="291"/>
        <v>-186.76000000000002</v>
      </c>
      <c r="I2619">
        <f t="shared" si="287"/>
        <v>31</v>
      </c>
      <c r="J2619">
        <v>1</v>
      </c>
      <c r="K2619">
        <f t="shared" si="288"/>
        <v>8</v>
      </c>
      <c r="L2619">
        <f t="shared" si="289"/>
        <v>2015</v>
      </c>
      <c r="N2619" s="17">
        <f t="shared" si="292"/>
        <v>42217</v>
      </c>
      <c r="S2619">
        <f t="shared" si="293"/>
        <v>0</v>
      </c>
    </row>
    <row r="2620" spans="1:19" x14ac:dyDescent="0.3">
      <c r="A2620" s="17">
        <v>42244</v>
      </c>
      <c r="B2620">
        <v>222.46</v>
      </c>
      <c r="C2620">
        <v>46.35</v>
      </c>
      <c r="D2620">
        <f t="shared" si="290"/>
        <v>176.11</v>
      </c>
      <c r="E2620">
        <v>2.4500000000000002</v>
      </c>
      <c r="F2620">
        <f t="shared" si="291"/>
        <v>-173.66000000000003</v>
      </c>
      <c r="I2620">
        <f t="shared" si="287"/>
        <v>28</v>
      </c>
      <c r="J2620">
        <v>1</v>
      </c>
      <c r="K2620">
        <f t="shared" si="288"/>
        <v>8</v>
      </c>
      <c r="L2620">
        <f t="shared" si="289"/>
        <v>2015</v>
      </c>
      <c r="N2620" s="17">
        <f t="shared" si="292"/>
        <v>42217</v>
      </c>
      <c r="S2620">
        <f t="shared" si="293"/>
        <v>0</v>
      </c>
    </row>
    <row r="2621" spans="1:19" x14ac:dyDescent="0.3">
      <c r="A2621" s="17">
        <v>42243</v>
      </c>
      <c r="B2621">
        <v>205.36</v>
      </c>
      <c r="C2621">
        <v>44.1</v>
      </c>
      <c r="D2621">
        <f t="shared" si="290"/>
        <v>161.26000000000002</v>
      </c>
      <c r="E2621">
        <v>2.5</v>
      </c>
      <c r="F2621">
        <f t="shared" si="291"/>
        <v>-158.76000000000002</v>
      </c>
      <c r="I2621">
        <f t="shared" si="287"/>
        <v>27</v>
      </c>
      <c r="J2621">
        <v>1</v>
      </c>
      <c r="K2621">
        <f t="shared" si="288"/>
        <v>8</v>
      </c>
      <c r="L2621">
        <f t="shared" si="289"/>
        <v>2015</v>
      </c>
      <c r="N2621" s="17">
        <f t="shared" si="292"/>
        <v>42217</v>
      </c>
      <c r="S2621">
        <f t="shared" si="293"/>
        <v>0</v>
      </c>
    </row>
    <row r="2622" spans="1:19" x14ac:dyDescent="0.3">
      <c r="A2622" s="17">
        <v>42242</v>
      </c>
      <c r="B2622">
        <v>195.51</v>
      </c>
      <c r="C2622">
        <v>42.85</v>
      </c>
      <c r="D2622">
        <f t="shared" si="290"/>
        <v>152.66</v>
      </c>
      <c r="E2622">
        <v>3</v>
      </c>
      <c r="F2622">
        <f t="shared" si="291"/>
        <v>-149.66</v>
      </c>
      <c r="I2622">
        <f t="shared" si="287"/>
        <v>26</v>
      </c>
      <c r="J2622">
        <v>1</v>
      </c>
      <c r="K2622">
        <f t="shared" si="288"/>
        <v>8</v>
      </c>
      <c r="L2622">
        <f t="shared" si="289"/>
        <v>2015</v>
      </c>
      <c r="N2622" s="17">
        <f t="shared" si="292"/>
        <v>42217</v>
      </c>
      <c r="S2622">
        <f t="shared" si="293"/>
        <v>0</v>
      </c>
    </row>
    <row r="2623" spans="1:19" x14ac:dyDescent="0.3">
      <c r="A2623" s="17">
        <v>42241</v>
      </c>
      <c r="B2623">
        <v>198.54</v>
      </c>
      <c r="C2623">
        <v>42.81</v>
      </c>
      <c r="D2623">
        <f t="shared" si="290"/>
        <v>155.72999999999999</v>
      </c>
      <c r="E2623">
        <v>2.96</v>
      </c>
      <c r="F2623">
        <f t="shared" si="291"/>
        <v>-152.76999999999998</v>
      </c>
      <c r="I2623">
        <f t="shared" si="287"/>
        <v>25</v>
      </c>
      <c r="J2623">
        <v>1</v>
      </c>
      <c r="K2623">
        <f t="shared" si="288"/>
        <v>8</v>
      </c>
      <c r="L2623">
        <f t="shared" si="289"/>
        <v>2015</v>
      </c>
      <c r="N2623" s="17">
        <f t="shared" si="292"/>
        <v>42217</v>
      </c>
      <c r="S2623">
        <f t="shared" si="293"/>
        <v>0</v>
      </c>
    </row>
    <row r="2624" spans="1:19" x14ac:dyDescent="0.3">
      <c r="A2624" s="17">
        <v>42240</v>
      </c>
      <c r="B2624">
        <v>205.26</v>
      </c>
      <c r="C2624">
        <v>43.4</v>
      </c>
      <c r="D2624">
        <f t="shared" si="290"/>
        <v>161.85999999999999</v>
      </c>
      <c r="E2624">
        <v>3</v>
      </c>
      <c r="F2624">
        <f t="shared" si="291"/>
        <v>-158.85999999999999</v>
      </c>
      <c r="I2624">
        <f t="shared" si="287"/>
        <v>24</v>
      </c>
      <c r="J2624">
        <v>1</v>
      </c>
      <c r="K2624">
        <f t="shared" si="288"/>
        <v>8</v>
      </c>
      <c r="L2624">
        <f t="shared" si="289"/>
        <v>2015</v>
      </c>
      <c r="N2624" s="17">
        <f t="shared" si="292"/>
        <v>42217</v>
      </c>
      <c r="S2624">
        <f t="shared" si="293"/>
        <v>0</v>
      </c>
    </row>
    <row r="2625" spans="1:19" x14ac:dyDescent="0.3">
      <c r="A2625" s="17">
        <v>42237</v>
      </c>
      <c r="B2625">
        <v>226.05</v>
      </c>
      <c r="C2625">
        <v>45.65</v>
      </c>
      <c r="D2625">
        <f t="shared" si="290"/>
        <v>180.4</v>
      </c>
      <c r="E2625">
        <v>2.91</v>
      </c>
      <c r="F2625">
        <f t="shared" si="291"/>
        <v>-177.49</v>
      </c>
      <c r="I2625">
        <f t="shared" si="287"/>
        <v>21</v>
      </c>
      <c r="J2625">
        <v>1</v>
      </c>
      <c r="K2625">
        <f t="shared" si="288"/>
        <v>8</v>
      </c>
      <c r="L2625">
        <f t="shared" si="289"/>
        <v>2015</v>
      </c>
      <c r="N2625" s="17">
        <f t="shared" si="292"/>
        <v>42217</v>
      </c>
      <c r="S2625">
        <f t="shared" si="293"/>
        <v>0</v>
      </c>
    </row>
    <row r="2626" spans="1:19" x14ac:dyDescent="0.3">
      <c r="A2626" s="17">
        <v>42236</v>
      </c>
      <c r="B2626">
        <v>233.12</v>
      </c>
      <c r="C2626">
        <v>46.6</v>
      </c>
      <c r="D2626">
        <f t="shared" si="290"/>
        <v>186.52</v>
      </c>
      <c r="E2626">
        <v>2.9</v>
      </c>
      <c r="F2626">
        <f t="shared" si="291"/>
        <v>-183.62</v>
      </c>
      <c r="I2626">
        <f t="shared" si="287"/>
        <v>20</v>
      </c>
      <c r="J2626">
        <v>1</v>
      </c>
      <c r="K2626">
        <f t="shared" si="288"/>
        <v>8</v>
      </c>
      <c r="L2626">
        <f t="shared" si="289"/>
        <v>2015</v>
      </c>
      <c r="N2626" s="17">
        <f t="shared" si="292"/>
        <v>42217</v>
      </c>
      <c r="S2626">
        <f t="shared" si="293"/>
        <v>0</v>
      </c>
    </row>
    <row r="2627" spans="1:19" x14ac:dyDescent="0.3">
      <c r="A2627" s="17">
        <v>42235</v>
      </c>
      <c r="B2627">
        <v>244.14</v>
      </c>
      <c r="C2627">
        <v>48.4</v>
      </c>
      <c r="D2627">
        <f t="shared" si="290"/>
        <v>195.73999999999998</v>
      </c>
      <c r="E2627">
        <v>2.96</v>
      </c>
      <c r="F2627">
        <f t="shared" si="291"/>
        <v>-192.77999999999997</v>
      </c>
      <c r="I2627">
        <f t="shared" si="287"/>
        <v>19</v>
      </c>
      <c r="J2627">
        <v>1</v>
      </c>
      <c r="K2627">
        <f t="shared" si="288"/>
        <v>8</v>
      </c>
      <c r="L2627">
        <f t="shared" si="289"/>
        <v>2015</v>
      </c>
      <c r="N2627" s="17">
        <f t="shared" si="292"/>
        <v>42217</v>
      </c>
      <c r="S2627">
        <f t="shared" si="293"/>
        <v>0</v>
      </c>
    </row>
    <row r="2628" spans="1:19" x14ac:dyDescent="0.3">
      <c r="A2628" s="17">
        <v>42234</v>
      </c>
      <c r="B2628">
        <v>244.26</v>
      </c>
      <c r="C2628">
        <v>48.25</v>
      </c>
      <c r="D2628">
        <f t="shared" si="290"/>
        <v>196.01</v>
      </c>
      <c r="E2628">
        <v>2.98</v>
      </c>
      <c r="F2628">
        <f t="shared" si="291"/>
        <v>-193.03</v>
      </c>
      <c r="I2628">
        <f t="shared" si="287"/>
        <v>18</v>
      </c>
      <c r="J2628">
        <v>1</v>
      </c>
      <c r="K2628">
        <f t="shared" si="288"/>
        <v>8</v>
      </c>
      <c r="L2628">
        <f t="shared" si="289"/>
        <v>2015</v>
      </c>
      <c r="N2628" s="17">
        <f t="shared" si="292"/>
        <v>42217</v>
      </c>
      <c r="S2628">
        <f t="shared" si="293"/>
        <v>0</v>
      </c>
    </row>
    <row r="2629" spans="1:19" x14ac:dyDescent="0.3">
      <c r="A2629" s="17">
        <v>42233</v>
      </c>
      <c r="B2629">
        <v>248.08</v>
      </c>
      <c r="C2629">
        <v>48.29</v>
      </c>
      <c r="D2629">
        <f t="shared" si="290"/>
        <v>199.79000000000002</v>
      </c>
      <c r="E2629">
        <v>2.95</v>
      </c>
      <c r="F2629">
        <f t="shared" si="291"/>
        <v>-196.84000000000003</v>
      </c>
      <c r="I2629">
        <f t="shared" ref="I2629:I2692" si="294">+DAY(A2629)</f>
        <v>17</v>
      </c>
      <c r="J2629">
        <v>1</v>
      </c>
      <c r="K2629">
        <f t="shared" ref="K2629:K2692" si="295">+MONTH(A2629)</f>
        <v>8</v>
      </c>
      <c r="L2629">
        <f t="shared" ref="L2629:L2692" si="296">+YEAR(A2629)</f>
        <v>2015</v>
      </c>
      <c r="N2629" s="17">
        <f t="shared" si="292"/>
        <v>42217</v>
      </c>
      <c r="S2629">
        <f t="shared" si="293"/>
        <v>0</v>
      </c>
    </row>
    <row r="2630" spans="1:19" x14ac:dyDescent="0.3">
      <c r="A2630" s="17">
        <v>42230</v>
      </c>
      <c r="B2630">
        <v>252.41</v>
      </c>
      <c r="C2630">
        <v>49.25</v>
      </c>
      <c r="D2630">
        <f t="shared" ref="D2630:D2693" si="297">+B2630-C2630</f>
        <v>203.16</v>
      </c>
      <c r="E2630">
        <v>2.92</v>
      </c>
      <c r="F2630">
        <f t="shared" ref="F2630:F2693" si="298">+E2630-D2630</f>
        <v>-200.24</v>
      </c>
      <c r="I2630">
        <f t="shared" si="294"/>
        <v>14</v>
      </c>
      <c r="J2630">
        <v>1</v>
      </c>
      <c r="K2630">
        <f t="shared" si="295"/>
        <v>8</v>
      </c>
      <c r="L2630">
        <f t="shared" si="296"/>
        <v>2015</v>
      </c>
      <c r="N2630" s="17">
        <f t="shared" ref="N2630:N2693" si="299">+DATE(L2630,K2630,J2630)</f>
        <v>42217</v>
      </c>
      <c r="S2630">
        <f t="shared" ref="S2630:S2693" si="300">IF(AND(I2630&gt;=1, I2630&lt;=4), 1, 0)</f>
        <v>0</v>
      </c>
    </row>
    <row r="2631" spans="1:19" x14ac:dyDescent="0.3">
      <c r="A2631" s="17">
        <v>42229</v>
      </c>
      <c r="B2631">
        <v>257.97000000000003</v>
      </c>
      <c r="C2631">
        <v>50.1</v>
      </c>
      <c r="D2631">
        <f t="shared" si="297"/>
        <v>207.87000000000003</v>
      </c>
      <c r="E2631">
        <v>3.01</v>
      </c>
      <c r="F2631">
        <f t="shared" si="298"/>
        <v>-204.86000000000004</v>
      </c>
      <c r="I2631">
        <f t="shared" si="294"/>
        <v>13</v>
      </c>
      <c r="J2631">
        <v>1</v>
      </c>
      <c r="K2631">
        <f t="shared" si="295"/>
        <v>8</v>
      </c>
      <c r="L2631">
        <f t="shared" si="296"/>
        <v>2015</v>
      </c>
      <c r="N2631" s="17">
        <f t="shared" si="299"/>
        <v>42217</v>
      </c>
      <c r="S2631">
        <f t="shared" si="300"/>
        <v>0</v>
      </c>
    </row>
    <row r="2632" spans="1:19" x14ac:dyDescent="0.3">
      <c r="A2632" s="17">
        <v>42228</v>
      </c>
      <c r="B2632">
        <v>255.54</v>
      </c>
      <c r="C2632">
        <v>49.5</v>
      </c>
      <c r="D2632">
        <f t="shared" si="297"/>
        <v>206.04</v>
      </c>
      <c r="E2632">
        <v>2.95</v>
      </c>
      <c r="F2632">
        <f t="shared" si="298"/>
        <v>-203.09</v>
      </c>
      <c r="I2632">
        <f t="shared" si="294"/>
        <v>12</v>
      </c>
      <c r="J2632">
        <v>1</v>
      </c>
      <c r="K2632">
        <f t="shared" si="295"/>
        <v>8</v>
      </c>
      <c r="L2632">
        <f t="shared" si="296"/>
        <v>2015</v>
      </c>
      <c r="N2632" s="17">
        <f t="shared" si="299"/>
        <v>42217</v>
      </c>
      <c r="S2632">
        <f t="shared" si="300"/>
        <v>0</v>
      </c>
    </row>
    <row r="2633" spans="1:19" x14ac:dyDescent="0.3">
      <c r="A2633" s="17">
        <v>42227</v>
      </c>
      <c r="B2633">
        <v>262.66000000000003</v>
      </c>
      <c r="C2633">
        <v>50.67</v>
      </c>
      <c r="D2633">
        <f t="shared" si="297"/>
        <v>211.99</v>
      </c>
      <c r="E2633">
        <v>2.88</v>
      </c>
      <c r="F2633">
        <f t="shared" si="298"/>
        <v>-209.11</v>
      </c>
      <c r="I2633">
        <f t="shared" si="294"/>
        <v>11</v>
      </c>
      <c r="J2633">
        <v>1</v>
      </c>
      <c r="K2633">
        <f t="shared" si="295"/>
        <v>8</v>
      </c>
      <c r="L2633">
        <f t="shared" si="296"/>
        <v>2015</v>
      </c>
      <c r="N2633" s="17">
        <f t="shared" si="299"/>
        <v>42217</v>
      </c>
      <c r="S2633">
        <f t="shared" si="300"/>
        <v>0</v>
      </c>
    </row>
    <row r="2634" spans="1:19" x14ac:dyDescent="0.3">
      <c r="A2634" s="17">
        <v>42222</v>
      </c>
      <c r="B2634">
        <v>260.7</v>
      </c>
      <c r="C2634">
        <v>49.6</v>
      </c>
      <c r="D2634">
        <f t="shared" si="297"/>
        <v>211.1</v>
      </c>
      <c r="E2634">
        <v>2.94</v>
      </c>
      <c r="F2634">
        <f t="shared" si="298"/>
        <v>-208.16</v>
      </c>
      <c r="I2634">
        <f t="shared" si="294"/>
        <v>6</v>
      </c>
      <c r="J2634">
        <v>1</v>
      </c>
      <c r="K2634">
        <f t="shared" si="295"/>
        <v>8</v>
      </c>
      <c r="L2634">
        <f t="shared" si="296"/>
        <v>2015</v>
      </c>
      <c r="N2634" s="17">
        <f t="shared" si="299"/>
        <v>42217</v>
      </c>
      <c r="S2634">
        <f t="shared" si="300"/>
        <v>0</v>
      </c>
    </row>
    <row r="2635" spans="1:19" x14ac:dyDescent="0.3">
      <c r="A2635" s="17">
        <v>42221</v>
      </c>
      <c r="B2635">
        <v>264.82</v>
      </c>
      <c r="C2635">
        <v>50.3</v>
      </c>
      <c r="D2635">
        <f t="shared" si="297"/>
        <v>214.51999999999998</v>
      </c>
      <c r="E2635">
        <v>2.85</v>
      </c>
      <c r="F2635">
        <f t="shared" si="298"/>
        <v>-211.67</v>
      </c>
      <c r="I2635">
        <f t="shared" si="294"/>
        <v>5</v>
      </c>
      <c r="J2635">
        <v>1</v>
      </c>
      <c r="K2635">
        <f t="shared" si="295"/>
        <v>8</v>
      </c>
      <c r="L2635">
        <f t="shared" si="296"/>
        <v>2015</v>
      </c>
      <c r="N2635" s="17">
        <f t="shared" si="299"/>
        <v>42217</v>
      </c>
      <c r="S2635">
        <f t="shared" si="300"/>
        <v>0</v>
      </c>
    </row>
    <row r="2636" spans="1:19" x14ac:dyDescent="0.3">
      <c r="A2636" s="17">
        <v>42220</v>
      </c>
      <c r="B2636">
        <v>262.20999999999998</v>
      </c>
      <c r="C2636">
        <v>50.4</v>
      </c>
      <c r="D2636">
        <f t="shared" si="297"/>
        <v>211.80999999999997</v>
      </c>
      <c r="E2636">
        <v>2.78</v>
      </c>
      <c r="F2636">
        <f t="shared" si="298"/>
        <v>-209.02999999999997</v>
      </c>
      <c r="I2636">
        <f t="shared" si="294"/>
        <v>4</v>
      </c>
      <c r="J2636">
        <v>1</v>
      </c>
      <c r="K2636">
        <f t="shared" si="295"/>
        <v>8</v>
      </c>
      <c r="L2636">
        <f t="shared" si="296"/>
        <v>2015</v>
      </c>
      <c r="N2636" s="17">
        <f t="shared" si="299"/>
        <v>42217</v>
      </c>
      <c r="S2636">
        <f t="shared" si="300"/>
        <v>1</v>
      </c>
    </row>
    <row r="2637" spans="1:19" x14ac:dyDescent="0.3">
      <c r="A2637" s="17">
        <v>42219</v>
      </c>
      <c r="B2637">
        <v>266.79000000000002</v>
      </c>
      <c r="C2637">
        <v>51.195</v>
      </c>
      <c r="D2637">
        <f t="shared" si="297"/>
        <v>215.59500000000003</v>
      </c>
      <c r="E2637">
        <v>2.75</v>
      </c>
      <c r="F2637">
        <f t="shared" si="298"/>
        <v>-212.84500000000003</v>
      </c>
      <c r="I2637">
        <f t="shared" si="294"/>
        <v>3</v>
      </c>
      <c r="J2637">
        <v>1</v>
      </c>
      <c r="K2637">
        <f t="shared" si="295"/>
        <v>8</v>
      </c>
      <c r="L2637">
        <f t="shared" si="296"/>
        <v>2015</v>
      </c>
      <c r="N2637" s="17">
        <f t="shared" si="299"/>
        <v>42217</v>
      </c>
      <c r="S2637">
        <f t="shared" si="300"/>
        <v>1</v>
      </c>
    </row>
    <row r="2638" spans="1:19" x14ac:dyDescent="0.3">
      <c r="A2638" s="17">
        <v>42216</v>
      </c>
      <c r="B2638">
        <v>278.79000000000002</v>
      </c>
      <c r="C2638">
        <v>53.1</v>
      </c>
      <c r="D2638">
        <f t="shared" si="297"/>
        <v>225.69000000000003</v>
      </c>
      <c r="E2638">
        <v>2.7</v>
      </c>
      <c r="F2638">
        <f t="shared" si="298"/>
        <v>-222.99000000000004</v>
      </c>
      <c r="I2638">
        <f t="shared" si="294"/>
        <v>31</v>
      </c>
      <c r="J2638">
        <v>1</v>
      </c>
      <c r="K2638">
        <f t="shared" si="295"/>
        <v>7</v>
      </c>
      <c r="L2638">
        <f t="shared" si="296"/>
        <v>2015</v>
      </c>
      <c r="N2638" s="17">
        <f t="shared" si="299"/>
        <v>42186</v>
      </c>
      <c r="S2638">
        <f t="shared" si="300"/>
        <v>0</v>
      </c>
    </row>
    <row r="2639" spans="1:19" x14ac:dyDescent="0.3">
      <c r="A2639" s="17">
        <v>42215</v>
      </c>
      <c r="B2639">
        <v>285.60000000000002</v>
      </c>
      <c r="C2639">
        <v>53.61</v>
      </c>
      <c r="D2639">
        <f t="shared" si="297"/>
        <v>231.99</v>
      </c>
      <c r="E2639">
        <v>2.69</v>
      </c>
      <c r="F2639">
        <f t="shared" si="298"/>
        <v>-229.3</v>
      </c>
      <c r="I2639">
        <f t="shared" si="294"/>
        <v>30</v>
      </c>
      <c r="J2639">
        <v>1</v>
      </c>
      <c r="K2639">
        <f t="shared" si="295"/>
        <v>7</v>
      </c>
      <c r="L2639">
        <f t="shared" si="296"/>
        <v>2015</v>
      </c>
      <c r="N2639" s="17">
        <f t="shared" si="299"/>
        <v>42186</v>
      </c>
      <c r="S2639">
        <f t="shared" si="300"/>
        <v>0</v>
      </c>
    </row>
    <row r="2640" spans="1:19" x14ac:dyDescent="0.3">
      <c r="A2640" s="17">
        <v>42214</v>
      </c>
      <c r="B2640">
        <v>277.85000000000002</v>
      </c>
      <c r="C2640">
        <v>52.61</v>
      </c>
      <c r="D2640">
        <f t="shared" si="297"/>
        <v>225.24</v>
      </c>
      <c r="E2640">
        <v>2.68</v>
      </c>
      <c r="F2640">
        <f t="shared" si="298"/>
        <v>-222.56</v>
      </c>
      <c r="I2640">
        <f t="shared" si="294"/>
        <v>29</v>
      </c>
      <c r="J2640">
        <v>1</v>
      </c>
      <c r="K2640">
        <f t="shared" si="295"/>
        <v>7</v>
      </c>
      <c r="L2640">
        <f t="shared" si="296"/>
        <v>2015</v>
      </c>
      <c r="N2640" s="17">
        <f t="shared" si="299"/>
        <v>42186</v>
      </c>
      <c r="S2640">
        <f t="shared" si="300"/>
        <v>0</v>
      </c>
    </row>
    <row r="2641" spans="1:19" x14ac:dyDescent="0.3">
      <c r="A2641" s="17">
        <v>42213</v>
      </c>
      <c r="B2641">
        <v>279.01</v>
      </c>
      <c r="C2641">
        <v>52.31</v>
      </c>
      <c r="D2641">
        <f t="shared" si="297"/>
        <v>226.7</v>
      </c>
      <c r="E2641">
        <v>2.4500000000000002</v>
      </c>
      <c r="F2641">
        <f t="shared" si="298"/>
        <v>-224.25</v>
      </c>
      <c r="I2641">
        <f t="shared" si="294"/>
        <v>28</v>
      </c>
      <c r="J2641">
        <v>1</v>
      </c>
      <c r="K2641">
        <f t="shared" si="295"/>
        <v>7</v>
      </c>
      <c r="L2641">
        <f t="shared" si="296"/>
        <v>2015</v>
      </c>
      <c r="N2641" s="17">
        <f t="shared" si="299"/>
        <v>42186</v>
      </c>
      <c r="S2641">
        <f t="shared" si="300"/>
        <v>0</v>
      </c>
    </row>
    <row r="2642" spans="1:19" x14ac:dyDescent="0.3">
      <c r="A2642" s="17">
        <v>42212</v>
      </c>
      <c r="B2642">
        <v>289.11</v>
      </c>
      <c r="C2642">
        <v>53.5</v>
      </c>
      <c r="D2642">
        <f t="shared" si="297"/>
        <v>235.61</v>
      </c>
      <c r="E2642">
        <v>2.5299999999999998</v>
      </c>
      <c r="F2642">
        <f t="shared" si="298"/>
        <v>-233.08</v>
      </c>
      <c r="I2642">
        <f t="shared" si="294"/>
        <v>27</v>
      </c>
      <c r="J2642">
        <v>1</v>
      </c>
      <c r="K2642">
        <f t="shared" si="295"/>
        <v>7</v>
      </c>
      <c r="L2642">
        <f t="shared" si="296"/>
        <v>2015</v>
      </c>
      <c r="N2642" s="17">
        <f t="shared" si="299"/>
        <v>42186</v>
      </c>
      <c r="S2642">
        <f t="shared" si="300"/>
        <v>0</v>
      </c>
    </row>
    <row r="2643" spans="1:19" x14ac:dyDescent="0.3">
      <c r="A2643" s="17">
        <v>42209</v>
      </c>
      <c r="B2643">
        <v>293.56</v>
      </c>
      <c r="C2643">
        <v>54.29</v>
      </c>
      <c r="D2643">
        <f t="shared" si="297"/>
        <v>239.27</v>
      </c>
      <c r="E2643">
        <v>2.4900000000000002</v>
      </c>
      <c r="F2643">
        <f t="shared" si="298"/>
        <v>-236.78</v>
      </c>
      <c r="I2643">
        <f t="shared" si="294"/>
        <v>24</v>
      </c>
      <c r="J2643">
        <v>1</v>
      </c>
      <c r="K2643">
        <f t="shared" si="295"/>
        <v>7</v>
      </c>
      <c r="L2643">
        <f t="shared" si="296"/>
        <v>2015</v>
      </c>
      <c r="N2643" s="17">
        <f t="shared" si="299"/>
        <v>42186</v>
      </c>
      <c r="S2643">
        <f t="shared" si="300"/>
        <v>0</v>
      </c>
    </row>
    <row r="2644" spans="1:19" x14ac:dyDescent="0.3">
      <c r="A2644" s="17">
        <v>42208</v>
      </c>
      <c r="B2644">
        <v>297.55</v>
      </c>
      <c r="C2644">
        <v>55.14</v>
      </c>
      <c r="D2644">
        <f t="shared" si="297"/>
        <v>242.41000000000003</v>
      </c>
      <c r="E2644">
        <v>2.4700000000000002</v>
      </c>
      <c r="F2644">
        <f t="shared" si="298"/>
        <v>-239.94000000000003</v>
      </c>
      <c r="I2644">
        <f t="shared" si="294"/>
        <v>23</v>
      </c>
      <c r="J2644">
        <v>1</v>
      </c>
      <c r="K2644">
        <f t="shared" si="295"/>
        <v>7</v>
      </c>
      <c r="L2644">
        <f t="shared" si="296"/>
        <v>2015</v>
      </c>
      <c r="N2644" s="17">
        <f t="shared" si="299"/>
        <v>42186</v>
      </c>
      <c r="S2644">
        <f t="shared" si="300"/>
        <v>0</v>
      </c>
    </row>
    <row r="2645" spans="1:19" x14ac:dyDescent="0.3">
      <c r="A2645" s="17">
        <v>42207</v>
      </c>
      <c r="B2645">
        <v>299.58</v>
      </c>
      <c r="C2645">
        <v>55.49</v>
      </c>
      <c r="D2645">
        <f t="shared" si="297"/>
        <v>244.08999999999997</v>
      </c>
      <c r="E2645">
        <v>2.39</v>
      </c>
      <c r="F2645">
        <f t="shared" si="298"/>
        <v>-241.7</v>
      </c>
      <c r="I2645">
        <f t="shared" si="294"/>
        <v>22</v>
      </c>
      <c r="J2645">
        <v>1</v>
      </c>
      <c r="K2645">
        <f t="shared" si="295"/>
        <v>7</v>
      </c>
      <c r="L2645">
        <f t="shared" si="296"/>
        <v>2015</v>
      </c>
      <c r="N2645" s="17">
        <f t="shared" si="299"/>
        <v>42186</v>
      </c>
      <c r="S2645">
        <f t="shared" si="300"/>
        <v>0</v>
      </c>
    </row>
    <row r="2646" spans="1:19" x14ac:dyDescent="0.3">
      <c r="A2646" s="17">
        <v>42206</v>
      </c>
      <c r="B2646">
        <v>299.54000000000002</v>
      </c>
      <c r="C2646">
        <v>55.4</v>
      </c>
      <c r="D2646">
        <f t="shared" si="297"/>
        <v>244.14000000000001</v>
      </c>
      <c r="E2646">
        <v>2.4</v>
      </c>
      <c r="F2646">
        <f t="shared" si="298"/>
        <v>-241.74</v>
      </c>
      <c r="I2646">
        <f t="shared" si="294"/>
        <v>21</v>
      </c>
      <c r="J2646">
        <v>1</v>
      </c>
      <c r="K2646">
        <f t="shared" si="295"/>
        <v>7</v>
      </c>
      <c r="L2646">
        <f t="shared" si="296"/>
        <v>2015</v>
      </c>
      <c r="N2646" s="17">
        <f t="shared" si="299"/>
        <v>42186</v>
      </c>
      <c r="S2646">
        <f t="shared" si="300"/>
        <v>0</v>
      </c>
    </row>
    <row r="2647" spans="1:19" x14ac:dyDescent="0.3">
      <c r="A2647" s="17">
        <v>42205</v>
      </c>
      <c r="B2647">
        <v>303.52999999999997</v>
      </c>
      <c r="C2647">
        <v>55.71</v>
      </c>
      <c r="D2647">
        <f t="shared" si="297"/>
        <v>247.81999999999996</v>
      </c>
      <c r="E2647">
        <v>2.44</v>
      </c>
      <c r="F2647">
        <f t="shared" si="298"/>
        <v>-245.37999999999997</v>
      </c>
      <c r="I2647">
        <f t="shared" si="294"/>
        <v>20</v>
      </c>
      <c r="J2647">
        <v>1</v>
      </c>
      <c r="K2647">
        <f t="shared" si="295"/>
        <v>7</v>
      </c>
      <c r="L2647">
        <f t="shared" si="296"/>
        <v>2015</v>
      </c>
      <c r="N2647" s="17">
        <f t="shared" si="299"/>
        <v>42186</v>
      </c>
      <c r="S2647">
        <f t="shared" si="300"/>
        <v>0</v>
      </c>
    </row>
    <row r="2648" spans="1:19" x14ac:dyDescent="0.3">
      <c r="A2648" s="17">
        <v>42201</v>
      </c>
      <c r="B2648">
        <v>304.58999999999997</v>
      </c>
      <c r="C2648">
        <v>55.85</v>
      </c>
      <c r="D2648">
        <f t="shared" si="297"/>
        <v>248.73999999999998</v>
      </c>
      <c r="E2648">
        <v>2.5</v>
      </c>
      <c r="F2648">
        <f t="shared" si="298"/>
        <v>-246.23999999999998</v>
      </c>
      <c r="I2648">
        <f t="shared" si="294"/>
        <v>16</v>
      </c>
      <c r="J2648">
        <v>1</v>
      </c>
      <c r="K2648">
        <f t="shared" si="295"/>
        <v>7</v>
      </c>
      <c r="L2648">
        <f t="shared" si="296"/>
        <v>2015</v>
      </c>
      <c r="N2648" s="17">
        <f t="shared" si="299"/>
        <v>42186</v>
      </c>
      <c r="S2648">
        <f t="shared" si="300"/>
        <v>0</v>
      </c>
    </row>
    <row r="2649" spans="1:19" x14ac:dyDescent="0.3">
      <c r="A2649" s="17">
        <v>42200</v>
      </c>
      <c r="B2649">
        <v>310.05</v>
      </c>
      <c r="C2649">
        <v>56.86</v>
      </c>
      <c r="D2649">
        <f t="shared" si="297"/>
        <v>253.19</v>
      </c>
      <c r="E2649">
        <v>2.4500000000000002</v>
      </c>
      <c r="F2649">
        <f t="shared" si="298"/>
        <v>-250.74</v>
      </c>
      <c r="I2649">
        <f t="shared" si="294"/>
        <v>15</v>
      </c>
      <c r="J2649">
        <v>1</v>
      </c>
      <c r="K2649">
        <f t="shared" si="295"/>
        <v>7</v>
      </c>
      <c r="L2649">
        <f t="shared" si="296"/>
        <v>2015</v>
      </c>
      <c r="N2649" s="17">
        <f t="shared" si="299"/>
        <v>42186</v>
      </c>
      <c r="S2649">
        <f t="shared" si="300"/>
        <v>0</v>
      </c>
    </row>
    <row r="2650" spans="1:19" x14ac:dyDescent="0.3">
      <c r="A2650" s="17">
        <v>42199</v>
      </c>
      <c r="B2650">
        <v>308.3</v>
      </c>
      <c r="C2650">
        <v>55.89</v>
      </c>
      <c r="D2650">
        <f t="shared" si="297"/>
        <v>252.41000000000003</v>
      </c>
      <c r="E2650">
        <v>2.52</v>
      </c>
      <c r="F2650">
        <f t="shared" si="298"/>
        <v>-249.89000000000001</v>
      </c>
      <c r="I2650">
        <f t="shared" si="294"/>
        <v>14</v>
      </c>
      <c r="J2650">
        <v>1</v>
      </c>
      <c r="K2650">
        <f t="shared" si="295"/>
        <v>7</v>
      </c>
      <c r="L2650">
        <f t="shared" si="296"/>
        <v>2015</v>
      </c>
      <c r="N2650" s="17">
        <f t="shared" si="299"/>
        <v>42186</v>
      </c>
      <c r="S2650">
        <f t="shared" si="300"/>
        <v>0</v>
      </c>
    </row>
    <row r="2651" spans="1:19" x14ac:dyDescent="0.3">
      <c r="A2651" s="17">
        <v>42198</v>
      </c>
      <c r="B2651">
        <v>312.52999999999997</v>
      </c>
      <c r="C2651">
        <v>57</v>
      </c>
      <c r="D2651">
        <f t="shared" si="297"/>
        <v>255.52999999999997</v>
      </c>
      <c r="E2651">
        <v>2.21</v>
      </c>
      <c r="F2651">
        <f t="shared" si="298"/>
        <v>-253.31999999999996</v>
      </c>
      <c r="I2651">
        <f t="shared" si="294"/>
        <v>13</v>
      </c>
      <c r="J2651">
        <v>1</v>
      </c>
      <c r="K2651">
        <f t="shared" si="295"/>
        <v>7</v>
      </c>
      <c r="L2651">
        <f t="shared" si="296"/>
        <v>2015</v>
      </c>
      <c r="N2651" s="17">
        <f t="shared" si="299"/>
        <v>42186</v>
      </c>
      <c r="S2651">
        <f t="shared" si="300"/>
        <v>0</v>
      </c>
    </row>
    <row r="2652" spans="1:19" x14ac:dyDescent="0.3">
      <c r="A2652" s="17">
        <v>42195</v>
      </c>
      <c r="B2652">
        <v>318.01</v>
      </c>
      <c r="C2652">
        <v>58.104999999999997</v>
      </c>
      <c r="D2652">
        <f t="shared" si="297"/>
        <v>259.90499999999997</v>
      </c>
      <c r="E2652">
        <v>1.99</v>
      </c>
      <c r="F2652">
        <f t="shared" si="298"/>
        <v>-257.91499999999996</v>
      </c>
      <c r="I2652">
        <f t="shared" si="294"/>
        <v>10</v>
      </c>
      <c r="J2652">
        <v>1</v>
      </c>
      <c r="K2652">
        <f t="shared" si="295"/>
        <v>7</v>
      </c>
      <c r="L2652">
        <f t="shared" si="296"/>
        <v>2015</v>
      </c>
      <c r="N2652" s="17">
        <f t="shared" si="299"/>
        <v>42186</v>
      </c>
      <c r="S2652">
        <f t="shared" si="300"/>
        <v>0</v>
      </c>
    </row>
    <row r="2653" spans="1:19" x14ac:dyDescent="0.3">
      <c r="A2653" s="17">
        <v>42194</v>
      </c>
      <c r="B2653">
        <v>309.25</v>
      </c>
      <c r="C2653">
        <v>57.2</v>
      </c>
      <c r="D2653">
        <f t="shared" si="297"/>
        <v>252.05</v>
      </c>
      <c r="E2653">
        <v>1.87</v>
      </c>
      <c r="F2653">
        <f t="shared" si="298"/>
        <v>-250.18</v>
      </c>
      <c r="I2653">
        <f t="shared" si="294"/>
        <v>9</v>
      </c>
      <c r="J2653">
        <v>1</v>
      </c>
      <c r="K2653">
        <f t="shared" si="295"/>
        <v>7</v>
      </c>
      <c r="L2653">
        <f t="shared" si="296"/>
        <v>2015</v>
      </c>
      <c r="N2653" s="17">
        <f t="shared" si="299"/>
        <v>42186</v>
      </c>
      <c r="S2653">
        <f t="shared" si="300"/>
        <v>0</v>
      </c>
    </row>
    <row r="2654" spans="1:19" x14ac:dyDescent="0.3">
      <c r="A2654" s="17">
        <v>42193</v>
      </c>
      <c r="B2654">
        <v>300.13</v>
      </c>
      <c r="C2654">
        <v>55.59</v>
      </c>
      <c r="D2654">
        <f t="shared" si="297"/>
        <v>244.54</v>
      </c>
      <c r="E2654">
        <v>1.85</v>
      </c>
      <c r="F2654">
        <f t="shared" si="298"/>
        <v>-242.69</v>
      </c>
      <c r="I2654">
        <f t="shared" si="294"/>
        <v>8</v>
      </c>
      <c r="J2654">
        <v>1</v>
      </c>
      <c r="K2654">
        <f t="shared" si="295"/>
        <v>7</v>
      </c>
      <c r="L2654">
        <f t="shared" si="296"/>
        <v>2015</v>
      </c>
      <c r="N2654" s="17">
        <f t="shared" si="299"/>
        <v>42186</v>
      </c>
      <c r="S2654">
        <f t="shared" si="300"/>
        <v>0</v>
      </c>
    </row>
    <row r="2655" spans="1:19" x14ac:dyDescent="0.3">
      <c r="A2655" s="17">
        <v>42192</v>
      </c>
      <c r="B2655">
        <v>305.27</v>
      </c>
      <c r="C2655">
        <v>56.5</v>
      </c>
      <c r="D2655">
        <f t="shared" si="297"/>
        <v>248.76999999999998</v>
      </c>
      <c r="E2655">
        <v>1.85</v>
      </c>
      <c r="F2655">
        <f t="shared" si="298"/>
        <v>-246.92</v>
      </c>
      <c r="I2655">
        <f t="shared" si="294"/>
        <v>7</v>
      </c>
      <c r="J2655">
        <v>1</v>
      </c>
      <c r="K2655">
        <f t="shared" si="295"/>
        <v>7</v>
      </c>
      <c r="L2655">
        <f t="shared" si="296"/>
        <v>2015</v>
      </c>
      <c r="N2655" s="17">
        <f t="shared" si="299"/>
        <v>42186</v>
      </c>
      <c r="S2655">
        <f t="shared" si="300"/>
        <v>0</v>
      </c>
    </row>
    <row r="2656" spans="1:19" x14ac:dyDescent="0.3">
      <c r="A2656" s="17">
        <v>42191</v>
      </c>
      <c r="B2656">
        <v>313.7</v>
      </c>
      <c r="C2656">
        <v>58.19</v>
      </c>
      <c r="D2656">
        <f t="shared" si="297"/>
        <v>255.51</v>
      </c>
      <c r="E2656">
        <v>1.87</v>
      </c>
      <c r="F2656">
        <f t="shared" si="298"/>
        <v>-253.64</v>
      </c>
      <c r="I2656">
        <f t="shared" si="294"/>
        <v>6</v>
      </c>
      <c r="J2656">
        <v>1</v>
      </c>
      <c r="K2656">
        <f t="shared" si="295"/>
        <v>7</v>
      </c>
      <c r="L2656">
        <f t="shared" si="296"/>
        <v>2015</v>
      </c>
      <c r="N2656" s="17">
        <f t="shared" si="299"/>
        <v>42186</v>
      </c>
      <c r="S2656">
        <f t="shared" si="300"/>
        <v>0</v>
      </c>
    </row>
    <row r="2657" spans="1:19" x14ac:dyDescent="0.3">
      <c r="A2657" s="17">
        <v>42188</v>
      </c>
      <c r="B2657">
        <v>329.66</v>
      </c>
      <c r="C2657">
        <v>60.4</v>
      </c>
      <c r="D2657">
        <f t="shared" si="297"/>
        <v>269.26000000000005</v>
      </c>
      <c r="E2657">
        <v>1.88</v>
      </c>
      <c r="F2657">
        <f t="shared" si="298"/>
        <v>-267.38000000000005</v>
      </c>
      <c r="I2657">
        <f t="shared" si="294"/>
        <v>3</v>
      </c>
      <c r="J2657">
        <v>1</v>
      </c>
      <c r="K2657">
        <f t="shared" si="295"/>
        <v>7</v>
      </c>
      <c r="L2657">
        <f t="shared" si="296"/>
        <v>2015</v>
      </c>
      <c r="N2657" s="17">
        <f t="shared" si="299"/>
        <v>42186</v>
      </c>
      <c r="S2657">
        <f t="shared" si="300"/>
        <v>1</v>
      </c>
    </row>
    <row r="2658" spans="1:19" x14ac:dyDescent="0.3">
      <c r="A2658" s="17">
        <v>42187</v>
      </c>
      <c r="B2658">
        <v>332.98</v>
      </c>
      <c r="C2658">
        <v>61.05</v>
      </c>
      <c r="D2658">
        <f t="shared" si="297"/>
        <v>271.93</v>
      </c>
      <c r="E2658">
        <v>1.85</v>
      </c>
      <c r="F2658">
        <f t="shared" si="298"/>
        <v>-270.08</v>
      </c>
      <c r="I2658">
        <f t="shared" si="294"/>
        <v>2</v>
      </c>
      <c r="J2658">
        <v>1</v>
      </c>
      <c r="K2658">
        <f t="shared" si="295"/>
        <v>7</v>
      </c>
      <c r="L2658">
        <f t="shared" si="296"/>
        <v>2015</v>
      </c>
      <c r="N2658" s="17">
        <f t="shared" si="299"/>
        <v>42186</v>
      </c>
      <c r="S2658">
        <f t="shared" si="300"/>
        <v>1</v>
      </c>
    </row>
    <row r="2659" spans="1:19" x14ac:dyDescent="0.3">
      <c r="A2659" s="17">
        <v>42186</v>
      </c>
      <c r="B2659">
        <v>337.57</v>
      </c>
      <c r="C2659">
        <v>61.9</v>
      </c>
      <c r="D2659">
        <f t="shared" si="297"/>
        <v>275.67</v>
      </c>
      <c r="E2659">
        <v>1.89</v>
      </c>
      <c r="F2659">
        <f t="shared" si="298"/>
        <v>-273.78000000000003</v>
      </c>
      <c r="I2659">
        <f t="shared" si="294"/>
        <v>1</v>
      </c>
      <c r="J2659">
        <v>1</v>
      </c>
      <c r="K2659">
        <f t="shared" si="295"/>
        <v>7</v>
      </c>
      <c r="L2659">
        <f t="shared" si="296"/>
        <v>2015</v>
      </c>
      <c r="N2659" s="17">
        <f t="shared" si="299"/>
        <v>42186</v>
      </c>
      <c r="S2659">
        <f t="shared" si="300"/>
        <v>1</v>
      </c>
    </row>
    <row r="2660" spans="1:19" x14ac:dyDescent="0.3">
      <c r="A2660" s="17">
        <v>42185</v>
      </c>
      <c r="B2660">
        <v>338.18</v>
      </c>
      <c r="C2660">
        <v>60.19</v>
      </c>
      <c r="D2660">
        <f t="shared" si="297"/>
        <v>277.99</v>
      </c>
      <c r="E2660">
        <v>1.93</v>
      </c>
      <c r="F2660">
        <f t="shared" si="298"/>
        <v>-276.06</v>
      </c>
      <c r="I2660">
        <f t="shared" si="294"/>
        <v>30</v>
      </c>
      <c r="J2660">
        <v>1</v>
      </c>
      <c r="K2660">
        <f t="shared" si="295"/>
        <v>6</v>
      </c>
      <c r="L2660">
        <f t="shared" si="296"/>
        <v>2015</v>
      </c>
      <c r="N2660" s="17">
        <f t="shared" si="299"/>
        <v>42156</v>
      </c>
      <c r="S2660">
        <f t="shared" si="300"/>
        <v>0</v>
      </c>
    </row>
    <row r="2661" spans="1:19" x14ac:dyDescent="0.3">
      <c r="A2661" s="17">
        <v>42184</v>
      </c>
      <c r="B2661">
        <v>332.49</v>
      </c>
      <c r="C2661">
        <v>60</v>
      </c>
      <c r="D2661">
        <f t="shared" si="297"/>
        <v>272.49</v>
      </c>
      <c r="E2661">
        <v>1.97</v>
      </c>
      <c r="F2661">
        <f t="shared" si="298"/>
        <v>-270.52</v>
      </c>
      <c r="I2661">
        <f t="shared" si="294"/>
        <v>29</v>
      </c>
      <c r="J2661">
        <v>1</v>
      </c>
      <c r="K2661">
        <f t="shared" si="295"/>
        <v>6</v>
      </c>
      <c r="L2661">
        <f t="shared" si="296"/>
        <v>2015</v>
      </c>
      <c r="N2661" s="17">
        <f t="shared" si="299"/>
        <v>42156</v>
      </c>
      <c r="S2661">
        <f t="shared" si="300"/>
        <v>0</v>
      </c>
    </row>
    <row r="2662" spans="1:19" x14ac:dyDescent="0.3">
      <c r="A2662" s="17">
        <v>42181</v>
      </c>
      <c r="B2662">
        <v>339.04</v>
      </c>
      <c r="C2662">
        <v>60.69</v>
      </c>
      <c r="D2662">
        <f t="shared" si="297"/>
        <v>278.35000000000002</v>
      </c>
      <c r="E2662">
        <v>1.91</v>
      </c>
      <c r="F2662">
        <f t="shared" si="298"/>
        <v>-276.44</v>
      </c>
      <c r="I2662">
        <f t="shared" si="294"/>
        <v>26</v>
      </c>
      <c r="J2662">
        <v>1</v>
      </c>
      <c r="K2662">
        <f t="shared" si="295"/>
        <v>6</v>
      </c>
      <c r="L2662">
        <f t="shared" si="296"/>
        <v>2015</v>
      </c>
      <c r="N2662" s="17">
        <f t="shared" si="299"/>
        <v>42156</v>
      </c>
      <c r="S2662">
        <f t="shared" si="300"/>
        <v>0</v>
      </c>
    </row>
    <row r="2663" spans="1:19" x14ac:dyDescent="0.3">
      <c r="A2663" s="17">
        <v>42180</v>
      </c>
      <c r="B2663">
        <v>336.89</v>
      </c>
      <c r="C2663">
        <v>61.7</v>
      </c>
      <c r="D2663">
        <f t="shared" si="297"/>
        <v>275.19</v>
      </c>
      <c r="E2663">
        <v>1.81</v>
      </c>
      <c r="F2663">
        <f t="shared" si="298"/>
        <v>-273.38</v>
      </c>
      <c r="I2663">
        <f t="shared" si="294"/>
        <v>25</v>
      </c>
      <c r="J2663">
        <v>1</v>
      </c>
      <c r="K2663">
        <f t="shared" si="295"/>
        <v>6</v>
      </c>
      <c r="L2663">
        <f t="shared" si="296"/>
        <v>2015</v>
      </c>
      <c r="N2663" s="17">
        <f t="shared" si="299"/>
        <v>42156</v>
      </c>
      <c r="S2663">
        <f t="shared" si="300"/>
        <v>0</v>
      </c>
    </row>
    <row r="2664" spans="1:19" x14ac:dyDescent="0.3">
      <c r="A2664" s="17">
        <v>42179</v>
      </c>
      <c r="B2664">
        <v>351.31</v>
      </c>
      <c r="C2664">
        <v>62.75</v>
      </c>
      <c r="D2664">
        <f t="shared" si="297"/>
        <v>288.56</v>
      </c>
      <c r="E2664">
        <v>1.69</v>
      </c>
      <c r="F2664">
        <f t="shared" si="298"/>
        <v>-286.87</v>
      </c>
      <c r="I2664">
        <f t="shared" si="294"/>
        <v>24</v>
      </c>
      <c r="J2664">
        <v>1</v>
      </c>
      <c r="K2664">
        <f t="shared" si="295"/>
        <v>6</v>
      </c>
      <c r="L2664">
        <f t="shared" si="296"/>
        <v>2015</v>
      </c>
      <c r="N2664" s="17">
        <f t="shared" si="299"/>
        <v>42156</v>
      </c>
      <c r="S2664">
        <f t="shared" si="300"/>
        <v>0</v>
      </c>
    </row>
    <row r="2665" spans="1:19" x14ac:dyDescent="0.3">
      <c r="A2665" s="17">
        <v>42178</v>
      </c>
      <c r="B2665">
        <v>351.18</v>
      </c>
      <c r="C2665">
        <v>61.29</v>
      </c>
      <c r="D2665">
        <f t="shared" si="297"/>
        <v>289.89</v>
      </c>
      <c r="E2665">
        <v>1.69</v>
      </c>
      <c r="F2665">
        <f t="shared" si="298"/>
        <v>-288.2</v>
      </c>
      <c r="I2665">
        <f t="shared" si="294"/>
        <v>23</v>
      </c>
      <c r="J2665">
        <v>1</v>
      </c>
      <c r="K2665">
        <f t="shared" si="295"/>
        <v>6</v>
      </c>
      <c r="L2665">
        <f t="shared" si="296"/>
        <v>2015</v>
      </c>
      <c r="N2665" s="17">
        <f t="shared" si="299"/>
        <v>42156</v>
      </c>
      <c r="S2665">
        <f t="shared" si="300"/>
        <v>0</v>
      </c>
    </row>
    <row r="2666" spans="1:19" x14ac:dyDescent="0.3">
      <c r="A2666" s="17">
        <v>42177</v>
      </c>
      <c r="B2666">
        <v>353.19</v>
      </c>
      <c r="C2666">
        <v>61.11</v>
      </c>
      <c r="D2666">
        <f t="shared" si="297"/>
        <v>292.08</v>
      </c>
      <c r="E2666">
        <v>1.74</v>
      </c>
      <c r="F2666">
        <f t="shared" si="298"/>
        <v>-290.33999999999997</v>
      </c>
      <c r="I2666">
        <f t="shared" si="294"/>
        <v>22</v>
      </c>
      <c r="J2666">
        <v>1</v>
      </c>
      <c r="K2666">
        <f t="shared" si="295"/>
        <v>6</v>
      </c>
      <c r="L2666">
        <f t="shared" si="296"/>
        <v>2015</v>
      </c>
      <c r="N2666" s="17">
        <f t="shared" si="299"/>
        <v>42156</v>
      </c>
      <c r="S2666">
        <f t="shared" si="300"/>
        <v>0</v>
      </c>
    </row>
    <row r="2667" spans="1:19" x14ac:dyDescent="0.3">
      <c r="A2667" s="17">
        <v>42174</v>
      </c>
      <c r="B2667">
        <v>357.72</v>
      </c>
      <c r="C2667">
        <v>62</v>
      </c>
      <c r="D2667">
        <f t="shared" si="297"/>
        <v>295.72000000000003</v>
      </c>
      <c r="E2667">
        <v>1.75</v>
      </c>
      <c r="F2667">
        <f t="shared" si="298"/>
        <v>-293.97000000000003</v>
      </c>
      <c r="I2667">
        <f t="shared" si="294"/>
        <v>19</v>
      </c>
      <c r="J2667">
        <v>1</v>
      </c>
      <c r="K2667">
        <f t="shared" si="295"/>
        <v>6</v>
      </c>
      <c r="L2667">
        <f t="shared" si="296"/>
        <v>2015</v>
      </c>
      <c r="N2667" s="17">
        <f t="shared" si="299"/>
        <v>42156</v>
      </c>
      <c r="S2667">
        <f t="shared" si="300"/>
        <v>0</v>
      </c>
    </row>
    <row r="2668" spans="1:19" x14ac:dyDescent="0.3">
      <c r="A2668" s="17">
        <v>42173</v>
      </c>
      <c r="B2668">
        <v>359.75</v>
      </c>
      <c r="C2668">
        <v>62.01</v>
      </c>
      <c r="D2668">
        <f t="shared" si="297"/>
        <v>297.74</v>
      </c>
      <c r="E2668">
        <v>1.74</v>
      </c>
      <c r="F2668">
        <f t="shared" si="298"/>
        <v>-296</v>
      </c>
      <c r="I2668">
        <f t="shared" si="294"/>
        <v>18</v>
      </c>
      <c r="J2668">
        <v>1</v>
      </c>
      <c r="K2668">
        <f t="shared" si="295"/>
        <v>6</v>
      </c>
      <c r="L2668">
        <f t="shared" si="296"/>
        <v>2015</v>
      </c>
      <c r="N2668" s="17">
        <f t="shared" si="299"/>
        <v>42156</v>
      </c>
      <c r="S2668">
        <f t="shared" si="300"/>
        <v>0</v>
      </c>
    </row>
    <row r="2669" spans="1:19" x14ac:dyDescent="0.3">
      <c r="A2669" s="17">
        <v>42172</v>
      </c>
      <c r="B2669">
        <v>359.38</v>
      </c>
      <c r="C2669">
        <v>61.85</v>
      </c>
      <c r="D2669">
        <f t="shared" si="297"/>
        <v>297.52999999999997</v>
      </c>
      <c r="E2669">
        <v>1.76</v>
      </c>
      <c r="F2669">
        <f t="shared" si="298"/>
        <v>-295.77</v>
      </c>
      <c r="I2669">
        <f t="shared" si="294"/>
        <v>17</v>
      </c>
      <c r="J2669">
        <v>1</v>
      </c>
      <c r="K2669">
        <f t="shared" si="295"/>
        <v>6</v>
      </c>
      <c r="L2669">
        <f t="shared" si="296"/>
        <v>2015</v>
      </c>
      <c r="N2669" s="17">
        <f t="shared" si="299"/>
        <v>42156</v>
      </c>
      <c r="S2669">
        <f t="shared" si="300"/>
        <v>0</v>
      </c>
    </row>
    <row r="2670" spans="1:19" x14ac:dyDescent="0.3">
      <c r="A2670" s="17">
        <v>42171</v>
      </c>
      <c r="B2670">
        <v>360.44</v>
      </c>
      <c r="C2670">
        <v>61.56</v>
      </c>
      <c r="D2670">
        <f t="shared" si="297"/>
        <v>298.88</v>
      </c>
      <c r="E2670">
        <v>1.8</v>
      </c>
      <c r="F2670">
        <f t="shared" si="298"/>
        <v>-297.08</v>
      </c>
      <c r="I2670">
        <f t="shared" si="294"/>
        <v>16</v>
      </c>
      <c r="J2670">
        <v>1</v>
      </c>
      <c r="K2670">
        <f t="shared" si="295"/>
        <v>6</v>
      </c>
      <c r="L2670">
        <f t="shared" si="296"/>
        <v>2015</v>
      </c>
      <c r="N2670" s="17">
        <f t="shared" si="299"/>
        <v>42156</v>
      </c>
      <c r="S2670">
        <f t="shared" si="300"/>
        <v>0</v>
      </c>
    </row>
    <row r="2671" spans="1:19" x14ac:dyDescent="0.3">
      <c r="A2671" s="17">
        <v>42170</v>
      </c>
      <c r="B2671">
        <v>360.74</v>
      </c>
      <c r="C2671">
        <v>61.82</v>
      </c>
      <c r="D2671">
        <f t="shared" si="297"/>
        <v>298.92</v>
      </c>
      <c r="E2671">
        <v>1.81</v>
      </c>
      <c r="F2671">
        <f t="shared" si="298"/>
        <v>-297.11</v>
      </c>
      <c r="I2671">
        <f t="shared" si="294"/>
        <v>15</v>
      </c>
      <c r="J2671">
        <v>1</v>
      </c>
      <c r="K2671">
        <f t="shared" si="295"/>
        <v>6</v>
      </c>
      <c r="L2671">
        <f t="shared" si="296"/>
        <v>2015</v>
      </c>
      <c r="N2671" s="17">
        <f t="shared" si="299"/>
        <v>42156</v>
      </c>
      <c r="S2671">
        <f t="shared" si="300"/>
        <v>0</v>
      </c>
    </row>
    <row r="2672" spans="1:19" x14ac:dyDescent="0.3">
      <c r="A2672" s="17">
        <v>42167</v>
      </c>
      <c r="B2672">
        <v>365.26</v>
      </c>
      <c r="C2672">
        <v>62.75</v>
      </c>
      <c r="D2672">
        <f t="shared" si="297"/>
        <v>302.51</v>
      </c>
      <c r="E2672">
        <v>1.73</v>
      </c>
      <c r="F2672">
        <f t="shared" si="298"/>
        <v>-300.77999999999997</v>
      </c>
      <c r="I2672">
        <f t="shared" si="294"/>
        <v>12</v>
      </c>
      <c r="J2672">
        <v>1</v>
      </c>
      <c r="K2672">
        <f t="shared" si="295"/>
        <v>6</v>
      </c>
      <c r="L2672">
        <f t="shared" si="296"/>
        <v>2015</v>
      </c>
      <c r="N2672" s="17">
        <f t="shared" si="299"/>
        <v>42156</v>
      </c>
      <c r="S2672">
        <f t="shared" si="300"/>
        <v>0</v>
      </c>
    </row>
    <row r="2673" spans="1:19" x14ac:dyDescent="0.3">
      <c r="A2673" s="17">
        <v>42166</v>
      </c>
      <c r="B2673">
        <v>370.83</v>
      </c>
      <c r="C2673">
        <v>64.05</v>
      </c>
      <c r="D2673">
        <f t="shared" si="297"/>
        <v>306.77999999999997</v>
      </c>
      <c r="E2673">
        <v>1.78</v>
      </c>
      <c r="F2673">
        <f t="shared" si="298"/>
        <v>-305</v>
      </c>
      <c r="I2673">
        <f t="shared" si="294"/>
        <v>11</v>
      </c>
      <c r="J2673">
        <v>1</v>
      </c>
      <c r="K2673">
        <f t="shared" si="295"/>
        <v>6</v>
      </c>
      <c r="L2673">
        <f t="shared" si="296"/>
        <v>2015</v>
      </c>
      <c r="N2673" s="17">
        <f t="shared" si="299"/>
        <v>42156</v>
      </c>
      <c r="S2673">
        <f t="shared" si="300"/>
        <v>0</v>
      </c>
    </row>
    <row r="2674" spans="1:19" x14ac:dyDescent="0.3">
      <c r="A2674" s="17">
        <v>42165</v>
      </c>
      <c r="B2674">
        <v>370.08</v>
      </c>
      <c r="C2674">
        <v>64.05</v>
      </c>
      <c r="D2674">
        <f t="shared" si="297"/>
        <v>306.02999999999997</v>
      </c>
      <c r="E2674">
        <v>1.8</v>
      </c>
      <c r="F2674">
        <f t="shared" si="298"/>
        <v>-304.22999999999996</v>
      </c>
      <c r="I2674">
        <f t="shared" si="294"/>
        <v>10</v>
      </c>
      <c r="J2674">
        <v>1</v>
      </c>
      <c r="K2674">
        <f t="shared" si="295"/>
        <v>6</v>
      </c>
      <c r="L2674">
        <f t="shared" si="296"/>
        <v>2015</v>
      </c>
      <c r="N2674" s="17">
        <f t="shared" si="299"/>
        <v>42156</v>
      </c>
      <c r="S2674">
        <f t="shared" si="300"/>
        <v>0</v>
      </c>
    </row>
    <row r="2675" spans="1:19" x14ac:dyDescent="0.3">
      <c r="A2675" s="17">
        <v>42164</v>
      </c>
      <c r="B2675">
        <v>357.11</v>
      </c>
      <c r="C2675">
        <v>61.01</v>
      </c>
      <c r="D2675">
        <f t="shared" si="297"/>
        <v>296.10000000000002</v>
      </c>
      <c r="E2675">
        <v>1.83</v>
      </c>
      <c r="F2675">
        <f t="shared" si="298"/>
        <v>-294.27000000000004</v>
      </c>
      <c r="I2675">
        <f t="shared" si="294"/>
        <v>9</v>
      </c>
      <c r="J2675">
        <v>1</v>
      </c>
      <c r="K2675">
        <f t="shared" si="295"/>
        <v>6</v>
      </c>
      <c r="L2675">
        <f t="shared" si="296"/>
        <v>2015</v>
      </c>
      <c r="N2675" s="17">
        <f t="shared" si="299"/>
        <v>42156</v>
      </c>
      <c r="S2675">
        <f t="shared" si="300"/>
        <v>0</v>
      </c>
    </row>
    <row r="2676" spans="1:19" x14ac:dyDescent="0.3">
      <c r="A2676" s="17">
        <v>42163</v>
      </c>
      <c r="B2676">
        <v>357.63</v>
      </c>
      <c r="C2676">
        <v>60.8</v>
      </c>
      <c r="D2676">
        <f t="shared" si="297"/>
        <v>296.83</v>
      </c>
      <c r="E2676">
        <v>1.84</v>
      </c>
      <c r="F2676">
        <f t="shared" si="298"/>
        <v>-294.99</v>
      </c>
      <c r="I2676">
        <f t="shared" si="294"/>
        <v>8</v>
      </c>
      <c r="J2676">
        <v>1</v>
      </c>
      <c r="K2676">
        <f t="shared" si="295"/>
        <v>6</v>
      </c>
      <c r="L2676">
        <f t="shared" si="296"/>
        <v>2015</v>
      </c>
      <c r="N2676" s="17">
        <f t="shared" si="299"/>
        <v>42156</v>
      </c>
      <c r="S2676">
        <f t="shared" si="300"/>
        <v>0</v>
      </c>
    </row>
    <row r="2677" spans="1:19" x14ac:dyDescent="0.3">
      <c r="A2677" s="17">
        <v>42160</v>
      </c>
      <c r="B2677">
        <v>351.81</v>
      </c>
      <c r="C2677">
        <v>59.65</v>
      </c>
      <c r="D2677">
        <f t="shared" si="297"/>
        <v>292.16000000000003</v>
      </c>
      <c r="E2677">
        <v>1.66</v>
      </c>
      <c r="F2677">
        <f t="shared" si="298"/>
        <v>-290.5</v>
      </c>
      <c r="I2677">
        <f t="shared" si="294"/>
        <v>5</v>
      </c>
      <c r="J2677">
        <v>1</v>
      </c>
      <c r="K2677">
        <f t="shared" si="295"/>
        <v>6</v>
      </c>
      <c r="L2677">
        <f t="shared" si="296"/>
        <v>2015</v>
      </c>
      <c r="N2677" s="17">
        <f t="shared" si="299"/>
        <v>42156</v>
      </c>
      <c r="S2677">
        <f t="shared" si="300"/>
        <v>0</v>
      </c>
    </row>
    <row r="2678" spans="1:19" x14ac:dyDescent="0.3">
      <c r="A2678" s="17">
        <v>42159</v>
      </c>
      <c r="B2678">
        <v>360.85</v>
      </c>
      <c r="C2678">
        <v>61.4</v>
      </c>
      <c r="D2678">
        <f t="shared" si="297"/>
        <v>299.45000000000005</v>
      </c>
      <c r="E2678">
        <v>1.68</v>
      </c>
      <c r="F2678">
        <f t="shared" si="298"/>
        <v>-297.77000000000004</v>
      </c>
      <c r="I2678">
        <f t="shared" si="294"/>
        <v>4</v>
      </c>
      <c r="J2678">
        <v>1</v>
      </c>
      <c r="K2678">
        <f t="shared" si="295"/>
        <v>6</v>
      </c>
      <c r="L2678">
        <f t="shared" si="296"/>
        <v>2015</v>
      </c>
      <c r="N2678" s="17">
        <f t="shared" si="299"/>
        <v>42156</v>
      </c>
      <c r="S2678">
        <f t="shared" si="300"/>
        <v>1</v>
      </c>
    </row>
    <row r="2679" spans="1:19" x14ac:dyDescent="0.3">
      <c r="A2679" s="17">
        <v>42158</v>
      </c>
      <c r="B2679">
        <v>374.66</v>
      </c>
      <c r="C2679">
        <v>63.26</v>
      </c>
      <c r="D2679">
        <f t="shared" si="297"/>
        <v>311.40000000000003</v>
      </c>
      <c r="E2679">
        <v>1.62</v>
      </c>
      <c r="F2679">
        <f t="shared" si="298"/>
        <v>-309.78000000000003</v>
      </c>
      <c r="I2679">
        <f t="shared" si="294"/>
        <v>3</v>
      </c>
      <c r="J2679">
        <v>1</v>
      </c>
      <c r="K2679">
        <f t="shared" si="295"/>
        <v>6</v>
      </c>
      <c r="L2679">
        <f t="shared" si="296"/>
        <v>2015</v>
      </c>
      <c r="N2679" s="17">
        <f t="shared" si="299"/>
        <v>42156</v>
      </c>
      <c r="S2679">
        <f t="shared" si="300"/>
        <v>1</v>
      </c>
    </row>
    <row r="2680" spans="1:19" x14ac:dyDescent="0.3">
      <c r="A2680" s="17">
        <v>42157</v>
      </c>
      <c r="B2680">
        <v>381.57</v>
      </c>
      <c r="C2680">
        <v>63.61</v>
      </c>
      <c r="D2680">
        <f t="shared" si="297"/>
        <v>317.95999999999998</v>
      </c>
      <c r="E2680">
        <v>1.67</v>
      </c>
      <c r="F2680">
        <f t="shared" si="298"/>
        <v>-316.28999999999996</v>
      </c>
      <c r="I2680">
        <f t="shared" si="294"/>
        <v>2</v>
      </c>
      <c r="J2680">
        <v>1</v>
      </c>
      <c r="K2680">
        <f t="shared" si="295"/>
        <v>6</v>
      </c>
      <c r="L2680">
        <f t="shared" si="296"/>
        <v>2015</v>
      </c>
      <c r="N2680" s="17">
        <f t="shared" si="299"/>
        <v>42156</v>
      </c>
      <c r="S2680">
        <f t="shared" si="300"/>
        <v>1</v>
      </c>
    </row>
    <row r="2681" spans="1:19" x14ac:dyDescent="0.3">
      <c r="A2681" s="17">
        <v>42153</v>
      </c>
      <c r="B2681">
        <v>364.69</v>
      </c>
      <c r="C2681">
        <v>61.2</v>
      </c>
      <c r="D2681">
        <f t="shared" si="297"/>
        <v>303.49</v>
      </c>
      <c r="E2681">
        <v>1.72</v>
      </c>
      <c r="F2681">
        <f t="shared" si="298"/>
        <v>-301.77</v>
      </c>
      <c r="I2681">
        <f t="shared" si="294"/>
        <v>29</v>
      </c>
      <c r="J2681">
        <v>1</v>
      </c>
      <c r="K2681">
        <f t="shared" si="295"/>
        <v>5</v>
      </c>
      <c r="L2681">
        <f t="shared" si="296"/>
        <v>2015</v>
      </c>
      <c r="N2681" s="17">
        <f t="shared" si="299"/>
        <v>42125</v>
      </c>
      <c r="S2681">
        <f t="shared" si="300"/>
        <v>0</v>
      </c>
    </row>
    <row r="2682" spans="1:19" x14ac:dyDescent="0.3">
      <c r="A2682" s="17">
        <v>42152</v>
      </c>
      <c r="B2682">
        <v>365.22</v>
      </c>
      <c r="C2682">
        <v>60.95</v>
      </c>
      <c r="D2682">
        <f t="shared" si="297"/>
        <v>304.27000000000004</v>
      </c>
      <c r="E2682">
        <v>1.84</v>
      </c>
      <c r="F2682">
        <f t="shared" si="298"/>
        <v>-302.43000000000006</v>
      </c>
      <c r="I2682">
        <f t="shared" si="294"/>
        <v>28</v>
      </c>
      <c r="J2682">
        <v>1</v>
      </c>
      <c r="K2682">
        <f t="shared" si="295"/>
        <v>5</v>
      </c>
      <c r="L2682">
        <f t="shared" si="296"/>
        <v>2015</v>
      </c>
      <c r="N2682" s="17">
        <f t="shared" si="299"/>
        <v>42125</v>
      </c>
      <c r="S2682">
        <f t="shared" si="300"/>
        <v>0</v>
      </c>
    </row>
    <row r="2683" spans="1:19" x14ac:dyDescent="0.3">
      <c r="A2683" s="17">
        <v>42151</v>
      </c>
      <c r="B2683">
        <v>373.2</v>
      </c>
      <c r="C2683">
        <v>62.4</v>
      </c>
      <c r="D2683">
        <f t="shared" si="297"/>
        <v>310.8</v>
      </c>
      <c r="E2683">
        <v>1.96</v>
      </c>
      <c r="F2683">
        <f t="shared" si="298"/>
        <v>-308.84000000000003</v>
      </c>
      <c r="I2683">
        <f t="shared" si="294"/>
        <v>27</v>
      </c>
      <c r="J2683">
        <v>1</v>
      </c>
      <c r="K2683">
        <f t="shared" si="295"/>
        <v>5</v>
      </c>
      <c r="L2683">
        <f t="shared" si="296"/>
        <v>2015</v>
      </c>
      <c r="N2683" s="17">
        <f t="shared" si="299"/>
        <v>42125</v>
      </c>
      <c r="S2683">
        <f t="shared" si="300"/>
        <v>0</v>
      </c>
    </row>
    <row r="2684" spans="1:19" x14ac:dyDescent="0.3">
      <c r="A2684" s="17">
        <v>42150</v>
      </c>
      <c r="B2684">
        <v>372.99</v>
      </c>
      <c r="C2684">
        <v>62.34</v>
      </c>
      <c r="D2684">
        <f t="shared" si="297"/>
        <v>310.64999999999998</v>
      </c>
      <c r="E2684">
        <v>2.2799999999999998</v>
      </c>
      <c r="F2684">
        <f t="shared" si="298"/>
        <v>-308.37</v>
      </c>
      <c r="I2684">
        <f t="shared" si="294"/>
        <v>26</v>
      </c>
      <c r="J2684">
        <v>1</v>
      </c>
      <c r="K2684">
        <f t="shared" si="295"/>
        <v>5</v>
      </c>
      <c r="L2684">
        <f t="shared" si="296"/>
        <v>2015</v>
      </c>
      <c r="N2684" s="17">
        <f t="shared" si="299"/>
        <v>42125</v>
      </c>
      <c r="S2684">
        <f t="shared" si="300"/>
        <v>0</v>
      </c>
    </row>
    <row r="2685" spans="1:19" x14ac:dyDescent="0.3">
      <c r="A2685" s="17">
        <v>42149</v>
      </c>
      <c r="B2685">
        <v>371.8</v>
      </c>
      <c r="C2685">
        <v>62</v>
      </c>
      <c r="D2685">
        <f t="shared" si="297"/>
        <v>309.8</v>
      </c>
      <c r="E2685">
        <v>2.59</v>
      </c>
      <c r="F2685">
        <f t="shared" si="298"/>
        <v>-307.21000000000004</v>
      </c>
      <c r="I2685">
        <f t="shared" si="294"/>
        <v>25</v>
      </c>
      <c r="J2685">
        <v>1</v>
      </c>
      <c r="K2685">
        <f t="shared" si="295"/>
        <v>5</v>
      </c>
      <c r="L2685">
        <f t="shared" si="296"/>
        <v>2015</v>
      </c>
      <c r="N2685" s="17">
        <f t="shared" si="299"/>
        <v>42125</v>
      </c>
      <c r="S2685">
        <f t="shared" si="300"/>
        <v>0</v>
      </c>
    </row>
    <row r="2686" spans="1:19" x14ac:dyDescent="0.3">
      <c r="A2686" s="17">
        <v>42146</v>
      </c>
      <c r="B2686">
        <v>374.42</v>
      </c>
      <c r="C2686">
        <v>63.45</v>
      </c>
      <c r="D2686">
        <f t="shared" si="297"/>
        <v>310.97000000000003</v>
      </c>
      <c r="E2686">
        <v>2.59</v>
      </c>
      <c r="F2686">
        <f t="shared" si="298"/>
        <v>-308.38000000000005</v>
      </c>
      <c r="I2686">
        <f t="shared" si="294"/>
        <v>22</v>
      </c>
      <c r="J2686">
        <v>1</v>
      </c>
      <c r="K2686">
        <f t="shared" si="295"/>
        <v>5</v>
      </c>
      <c r="L2686">
        <f t="shared" si="296"/>
        <v>2015</v>
      </c>
      <c r="N2686" s="17">
        <f t="shared" si="299"/>
        <v>42125</v>
      </c>
      <c r="S2686">
        <f t="shared" si="300"/>
        <v>0</v>
      </c>
    </row>
    <row r="2687" spans="1:19" x14ac:dyDescent="0.3">
      <c r="A2687" s="17">
        <v>42145</v>
      </c>
      <c r="B2687">
        <v>362.65</v>
      </c>
      <c r="C2687">
        <v>62.61</v>
      </c>
      <c r="D2687">
        <f t="shared" si="297"/>
        <v>300.03999999999996</v>
      </c>
      <c r="E2687">
        <v>2.5299999999999998</v>
      </c>
      <c r="F2687">
        <f t="shared" si="298"/>
        <v>-297.51</v>
      </c>
      <c r="I2687">
        <f t="shared" si="294"/>
        <v>21</v>
      </c>
      <c r="J2687">
        <v>1</v>
      </c>
      <c r="K2687">
        <f t="shared" si="295"/>
        <v>5</v>
      </c>
      <c r="L2687">
        <f t="shared" si="296"/>
        <v>2015</v>
      </c>
      <c r="N2687" s="17">
        <f t="shared" si="299"/>
        <v>42125</v>
      </c>
      <c r="S2687">
        <f t="shared" si="300"/>
        <v>0</v>
      </c>
    </row>
    <row r="2688" spans="1:19" x14ac:dyDescent="0.3">
      <c r="A2688" s="17">
        <v>42144</v>
      </c>
      <c r="B2688">
        <v>358.29</v>
      </c>
      <c r="C2688">
        <v>62.29</v>
      </c>
      <c r="D2688">
        <f t="shared" si="297"/>
        <v>296</v>
      </c>
      <c r="E2688">
        <v>2.57</v>
      </c>
      <c r="F2688">
        <f t="shared" si="298"/>
        <v>-293.43</v>
      </c>
      <c r="I2688">
        <f t="shared" si="294"/>
        <v>20</v>
      </c>
      <c r="J2688">
        <v>1</v>
      </c>
      <c r="K2688">
        <f t="shared" si="295"/>
        <v>5</v>
      </c>
      <c r="L2688">
        <f t="shared" si="296"/>
        <v>2015</v>
      </c>
      <c r="N2688" s="17">
        <f t="shared" si="299"/>
        <v>42125</v>
      </c>
      <c r="S2688">
        <f t="shared" si="300"/>
        <v>0</v>
      </c>
    </row>
    <row r="2689" spans="1:19" x14ac:dyDescent="0.3">
      <c r="A2689" s="17">
        <v>42143</v>
      </c>
      <c r="B2689">
        <v>361.06</v>
      </c>
      <c r="C2689">
        <v>62.81</v>
      </c>
      <c r="D2689">
        <f t="shared" si="297"/>
        <v>298.25</v>
      </c>
      <c r="E2689">
        <v>2.59</v>
      </c>
      <c r="F2689">
        <f t="shared" si="298"/>
        <v>-295.66000000000003</v>
      </c>
      <c r="I2689">
        <f t="shared" si="294"/>
        <v>19</v>
      </c>
      <c r="J2689">
        <v>1</v>
      </c>
      <c r="K2689">
        <f t="shared" si="295"/>
        <v>5</v>
      </c>
      <c r="L2689">
        <f t="shared" si="296"/>
        <v>2015</v>
      </c>
      <c r="N2689" s="17">
        <f t="shared" si="299"/>
        <v>42125</v>
      </c>
      <c r="S2689">
        <f t="shared" si="300"/>
        <v>0</v>
      </c>
    </row>
    <row r="2690" spans="1:19" x14ac:dyDescent="0.3">
      <c r="A2690" s="17">
        <v>42142</v>
      </c>
      <c r="B2690">
        <v>375.91</v>
      </c>
      <c r="C2690">
        <v>64.55</v>
      </c>
      <c r="D2690">
        <f t="shared" si="297"/>
        <v>311.36</v>
      </c>
      <c r="E2690">
        <v>2.62</v>
      </c>
      <c r="F2690">
        <f t="shared" si="298"/>
        <v>-308.74</v>
      </c>
      <c r="I2690">
        <f t="shared" si="294"/>
        <v>18</v>
      </c>
      <c r="J2690">
        <v>1</v>
      </c>
      <c r="K2690">
        <f t="shared" si="295"/>
        <v>5</v>
      </c>
      <c r="L2690">
        <f t="shared" si="296"/>
        <v>2015</v>
      </c>
      <c r="N2690" s="17">
        <f t="shared" si="299"/>
        <v>42125</v>
      </c>
      <c r="S2690">
        <f t="shared" si="300"/>
        <v>0</v>
      </c>
    </row>
    <row r="2691" spans="1:19" x14ac:dyDescent="0.3">
      <c r="A2691" s="17">
        <v>42139</v>
      </c>
      <c r="B2691">
        <v>372.12</v>
      </c>
      <c r="C2691">
        <v>64.09</v>
      </c>
      <c r="D2691">
        <f t="shared" si="297"/>
        <v>308.02999999999997</v>
      </c>
      <c r="E2691">
        <v>2.16</v>
      </c>
      <c r="F2691">
        <f t="shared" si="298"/>
        <v>-305.86999999999995</v>
      </c>
      <c r="I2691">
        <f t="shared" si="294"/>
        <v>15</v>
      </c>
      <c r="J2691">
        <v>1</v>
      </c>
      <c r="K2691">
        <f t="shared" si="295"/>
        <v>5</v>
      </c>
      <c r="L2691">
        <f t="shared" si="296"/>
        <v>2015</v>
      </c>
      <c r="N2691" s="17">
        <f t="shared" si="299"/>
        <v>42125</v>
      </c>
      <c r="S2691">
        <f t="shared" si="300"/>
        <v>0</v>
      </c>
    </row>
    <row r="2692" spans="1:19" x14ac:dyDescent="0.3">
      <c r="A2692" s="17">
        <v>42138</v>
      </c>
      <c r="B2692">
        <v>374.16</v>
      </c>
      <c r="C2692">
        <v>64.5</v>
      </c>
      <c r="D2692">
        <f t="shared" si="297"/>
        <v>309.66000000000003</v>
      </c>
      <c r="E2692">
        <v>1.98</v>
      </c>
      <c r="F2692">
        <f t="shared" si="298"/>
        <v>-307.68</v>
      </c>
      <c r="I2692">
        <f t="shared" si="294"/>
        <v>14</v>
      </c>
      <c r="J2692">
        <v>1</v>
      </c>
      <c r="K2692">
        <f t="shared" si="295"/>
        <v>5</v>
      </c>
      <c r="L2692">
        <f t="shared" si="296"/>
        <v>2015</v>
      </c>
      <c r="N2692" s="17">
        <f t="shared" si="299"/>
        <v>42125</v>
      </c>
      <c r="S2692">
        <f t="shared" si="300"/>
        <v>0</v>
      </c>
    </row>
    <row r="2693" spans="1:19" x14ac:dyDescent="0.3">
      <c r="A2693" s="17">
        <v>42137</v>
      </c>
      <c r="B2693">
        <v>382.26</v>
      </c>
      <c r="C2693">
        <v>65.260000000000005</v>
      </c>
      <c r="D2693">
        <f t="shared" si="297"/>
        <v>317</v>
      </c>
      <c r="E2693">
        <v>1.68</v>
      </c>
      <c r="F2693">
        <f t="shared" si="298"/>
        <v>-315.32</v>
      </c>
      <c r="I2693">
        <f t="shared" ref="I2693:I2756" si="301">+DAY(A2693)</f>
        <v>13</v>
      </c>
      <c r="J2693">
        <v>1</v>
      </c>
      <c r="K2693">
        <f t="shared" ref="K2693:K2756" si="302">+MONTH(A2693)</f>
        <v>5</v>
      </c>
      <c r="L2693">
        <f t="shared" ref="L2693:L2756" si="303">+YEAR(A2693)</f>
        <v>2015</v>
      </c>
      <c r="N2693" s="17">
        <f t="shared" si="299"/>
        <v>42125</v>
      </c>
      <c r="S2693">
        <f t="shared" si="300"/>
        <v>0</v>
      </c>
    </row>
    <row r="2694" spans="1:19" x14ac:dyDescent="0.3">
      <c r="A2694" s="17">
        <v>42136</v>
      </c>
      <c r="B2694">
        <v>375.6</v>
      </c>
      <c r="C2694">
        <v>63.41</v>
      </c>
      <c r="D2694">
        <f t="shared" ref="D2694:D2757" si="304">+B2694-C2694</f>
        <v>312.19000000000005</v>
      </c>
      <c r="E2694">
        <v>1.7</v>
      </c>
      <c r="F2694">
        <f t="shared" ref="F2694:F2757" si="305">+E2694-D2694</f>
        <v>-310.49000000000007</v>
      </c>
      <c r="I2694">
        <f t="shared" si="301"/>
        <v>12</v>
      </c>
      <c r="J2694">
        <v>1</v>
      </c>
      <c r="K2694">
        <f t="shared" si="302"/>
        <v>5</v>
      </c>
      <c r="L2694">
        <f t="shared" si="303"/>
        <v>2015</v>
      </c>
      <c r="N2694" s="17">
        <f t="shared" ref="N2694:N2757" si="306">+DATE(L2694,K2694,J2694)</f>
        <v>42125</v>
      </c>
      <c r="S2694">
        <f t="shared" ref="S2694:S2757" si="307">IF(AND(I2694&gt;=1, I2694&lt;=4), 1, 0)</f>
        <v>0</v>
      </c>
    </row>
    <row r="2695" spans="1:19" x14ac:dyDescent="0.3">
      <c r="A2695" s="17">
        <v>42135</v>
      </c>
      <c r="B2695">
        <v>376.46</v>
      </c>
      <c r="C2695">
        <v>63.7</v>
      </c>
      <c r="D2695">
        <f t="shared" si="304"/>
        <v>312.76</v>
      </c>
      <c r="E2695">
        <v>1.59</v>
      </c>
      <c r="F2695">
        <f t="shared" si="305"/>
        <v>-311.17</v>
      </c>
      <c r="I2695">
        <f t="shared" si="301"/>
        <v>11</v>
      </c>
      <c r="J2695">
        <v>1</v>
      </c>
      <c r="K2695">
        <f t="shared" si="302"/>
        <v>5</v>
      </c>
      <c r="L2695">
        <f t="shared" si="303"/>
        <v>2015</v>
      </c>
      <c r="N2695" s="17">
        <f t="shared" si="306"/>
        <v>42125</v>
      </c>
      <c r="S2695">
        <f t="shared" si="307"/>
        <v>0</v>
      </c>
    </row>
    <row r="2696" spans="1:19" x14ac:dyDescent="0.3">
      <c r="A2696" s="17">
        <v>42132</v>
      </c>
      <c r="B2696">
        <v>375.88</v>
      </c>
      <c r="C2696">
        <v>64</v>
      </c>
      <c r="D2696">
        <f t="shared" si="304"/>
        <v>311.88</v>
      </c>
      <c r="E2696">
        <v>1.53</v>
      </c>
      <c r="F2696">
        <f t="shared" si="305"/>
        <v>-310.35000000000002</v>
      </c>
      <c r="I2696">
        <f t="shared" si="301"/>
        <v>8</v>
      </c>
      <c r="J2696">
        <v>1</v>
      </c>
      <c r="K2696">
        <f t="shared" si="302"/>
        <v>5</v>
      </c>
      <c r="L2696">
        <f t="shared" si="303"/>
        <v>2015</v>
      </c>
      <c r="N2696" s="17">
        <f t="shared" si="306"/>
        <v>42125</v>
      </c>
      <c r="S2696">
        <f t="shared" si="307"/>
        <v>0</v>
      </c>
    </row>
    <row r="2697" spans="1:19" x14ac:dyDescent="0.3">
      <c r="A2697" s="17">
        <v>42131</v>
      </c>
      <c r="B2697">
        <v>384.73</v>
      </c>
      <c r="C2697">
        <v>66.150000000000006</v>
      </c>
      <c r="D2697">
        <f t="shared" si="304"/>
        <v>318.58000000000004</v>
      </c>
      <c r="E2697">
        <v>1.5</v>
      </c>
      <c r="F2697">
        <f t="shared" si="305"/>
        <v>-317.08000000000004</v>
      </c>
      <c r="I2697">
        <f t="shared" si="301"/>
        <v>7</v>
      </c>
      <c r="J2697">
        <v>1</v>
      </c>
      <c r="K2697">
        <f t="shared" si="302"/>
        <v>5</v>
      </c>
      <c r="L2697">
        <f t="shared" si="303"/>
        <v>2015</v>
      </c>
      <c r="N2697" s="17">
        <f t="shared" si="306"/>
        <v>42125</v>
      </c>
      <c r="S2697">
        <f t="shared" si="307"/>
        <v>0</v>
      </c>
    </row>
    <row r="2698" spans="1:19" x14ac:dyDescent="0.3">
      <c r="A2698" s="17">
        <v>42130</v>
      </c>
      <c r="B2698">
        <v>387.75</v>
      </c>
      <c r="C2698">
        <v>66.510000000000005</v>
      </c>
      <c r="D2698">
        <f t="shared" si="304"/>
        <v>321.24</v>
      </c>
      <c r="E2698">
        <v>1.46</v>
      </c>
      <c r="F2698">
        <f t="shared" si="305"/>
        <v>-319.78000000000003</v>
      </c>
      <c r="I2698">
        <f t="shared" si="301"/>
        <v>6</v>
      </c>
      <c r="J2698">
        <v>1</v>
      </c>
      <c r="K2698">
        <f t="shared" si="302"/>
        <v>5</v>
      </c>
      <c r="L2698">
        <f t="shared" si="303"/>
        <v>2015</v>
      </c>
      <c r="N2698" s="17">
        <f t="shared" si="306"/>
        <v>42125</v>
      </c>
      <c r="S2698">
        <f t="shared" si="307"/>
        <v>0</v>
      </c>
    </row>
    <row r="2699" spans="1:19" x14ac:dyDescent="0.3">
      <c r="A2699" s="17">
        <v>42129</v>
      </c>
      <c r="B2699">
        <v>372.77</v>
      </c>
      <c r="C2699">
        <v>64.61</v>
      </c>
      <c r="D2699">
        <f t="shared" si="304"/>
        <v>308.15999999999997</v>
      </c>
      <c r="E2699">
        <v>1.41</v>
      </c>
      <c r="F2699">
        <f t="shared" si="305"/>
        <v>-306.74999999999994</v>
      </c>
      <c r="I2699">
        <f t="shared" si="301"/>
        <v>5</v>
      </c>
      <c r="J2699">
        <v>1</v>
      </c>
      <c r="K2699">
        <f t="shared" si="302"/>
        <v>5</v>
      </c>
      <c r="L2699">
        <f t="shared" si="303"/>
        <v>2015</v>
      </c>
      <c r="N2699" s="17">
        <f t="shared" si="306"/>
        <v>42125</v>
      </c>
      <c r="S2699">
        <f t="shared" si="307"/>
        <v>0</v>
      </c>
    </row>
    <row r="2700" spans="1:19" x14ac:dyDescent="0.3">
      <c r="A2700" s="17">
        <v>42128</v>
      </c>
      <c r="B2700">
        <v>370.51</v>
      </c>
      <c r="C2700">
        <v>64.31</v>
      </c>
      <c r="D2700">
        <f t="shared" si="304"/>
        <v>306.2</v>
      </c>
      <c r="E2700">
        <v>1.41</v>
      </c>
      <c r="F2700">
        <f t="shared" si="305"/>
        <v>-304.78999999999996</v>
      </c>
      <c r="I2700">
        <f t="shared" si="301"/>
        <v>4</v>
      </c>
      <c r="J2700">
        <v>1</v>
      </c>
      <c r="K2700">
        <f t="shared" si="302"/>
        <v>5</v>
      </c>
      <c r="L2700">
        <f t="shared" si="303"/>
        <v>2015</v>
      </c>
      <c r="N2700" s="17">
        <f t="shared" si="306"/>
        <v>42125</v>
      </c>
      <c r="S2700">
        <f t="shared" si="307"/>
        <v>1</v>
      </c>
    </row>
    <row r="2701" spans="1:19" x14ac:dyDescent="0.3">
      <c r="A2701" s="17">
        <v>42124</v>
      </c>
      <c r="B2701">
        <v>364.09</v>
      </c>
      <c r="C2701">
        <v>63.3</v>
      </c>
      <c r="D2701">
        <f t="shared" si="304"/>
        <v>300.78999999999996</v>
      </c>
      <c r="E2701">
        <v>1.42</v>
      </c>
      <c r="F2701">
        <f t="shared" si="305"/>
        <v>-299.36999999999995</v>
      </c>
      <c r="I2701">
        <f t="shared" si="301"/>
        <v>30</v>
      </c>
      <c r="J2701">
        <v>1</v>
      </c>
      <c r="K2701">
        <f t="shared" si="302"/>
        <v>4</v>
      </c>
      <c r="L2701">
        <f t="shared" si="303"/>
        <v>2015</v>
      </c>
      <c r="N2701" s="17">
        <f t="shared" si="306"/>
        <v>42095</v>
      </c>
      <c r="S2701">
        <f t="shared" si="307"/>
        <v>0</v>
      </c>
    </row>
    <row r="2702" spans="1:19" x14ac:dyDescent="0.3">
      <c r="A2702" s="17">
        <v>42123</v>
      </c>
      <c r="B2702">
        <v>352.78</v>
      </c>
      <c r="C2702">
        <v>61.55</v>
      </c>
      <c r="D2702">
        <f t="shared" si="304"/>
        <v>291.22999999999996</v>
      </c>
      <c r="E2702">
        <v>1.41</v>
      </c>
      <c r="F2702">
        <f t="shared" si="305"/>
        <v>-289.81999999999994</v>
      </c>
      <c r="I2702">
        <f t="shared" si="301"/>
        <v>29</v>
      </c>
      <c r="J2702">
        <v>1</v>
      </c>
      <c r="K2702">
        <f t="shared" si="302"/>
        <v>4</v>
      </c>
      <c r="L2702">
        <f t="shared" si="303"/>
        <v>2015</v>
      </c>
      <c r="N2702" s="17">
        <f t="shared" si="306"/>
        <v>42095</v>
      </c>
      <c r="S2702">
        <f t="shared" si="307"/>
        <v>0</v>
      </c>
    </row>
    <row r="2703" spans="1:19" x14ac:dyDescent="0.3">
      <c r="A2703" s="17">
        <v>42122</v>
      </c>
      <c r="B2703">
        <v>350.52</v>
      </c>
      <c r="C2703">
        <v>61.5</v>
      </c>
      <c r="D2703">
        <f t="shared" si="304"/>
        <v>289.02</v>
      </c>
      <c r="E2703">
        <v>1.4</v>
      </c>
      <c r="F2703">
        <f t="shared" si="305"/>
        <v>-287.62</v>
      </c>
      <c r="I2703">
        <f t="shared" si="301"/>
        <v>28</v>
      </c>
      <c r="J2703">
        <v>1</v>
      </c>
      <c r="K2703">
        <f t="shared" si="302"/>
        <v>4</v>
      </c>
      <c r="L2703">
        <f t="shared" si="303"/>
        <v>2015</v>
      </c>
      <c r="N2703" s="17">
        <f t="shared" si="306"/>
        <v>42095</v>
      </c>
      <c r="S2703">
        <f t="shared" si="307"/>
        <v>0</v>
      </c>
    </row>
    <row r="2704" spans="1:19" x14ac:dyDescent="0.3">
      <c r="A2704" s="17">
        <v>42121</v>
      </c>
      <c r="B2704">
        <v>356.55</v>
      </c>
      <c r="C2704">
        <v>62.5</v>
      </c>
      <c r="D2704">
        <f t="shared" si="304"/>
        <v>294.05</v>
      </c>
      <c r="E2704">
        <v>1.35</v>
      </c>
      <c r="F2704">
        <f t="shared" si="305"/>
        <v>-292.7</v>
      </c>
      <c r="I2704">
        <f t="shared" si="301"/>
        <v>27</v>
      </c>
      <c r="J2704">
        <v>1</v>
      </c>
      <c r="K2704">
        <f t="shared" si="302"/>
        <v>4</v>
      </c>
      <c r="L2704">
        <f t="shared" si="303"/>
        <v>2015</v>
      </c>
      <c r="N2704" s="17">
        <f t="shared" si="306"/>
        <v>42095</v>
      </c>
      <c r="S2704">
        <f t="shared" si="307"/>
        <v>0</v>
      </c>
    </row>
    <row r="2705" spans="1:19" x14ac:dyDescent="0.3">
      <c r="A2705" s="17">
        <v>42118</v>
      </c>
      <c r="B2705">
        <v>356.62</v>
      </c>
      <c r="C2705">
        <v>62.5</v>
      </c>
      <c r="D2705">
        <f t="shared" si="304"/>
        <v>294.12</v>
      </c>
      <c r="E2705">
        <v>1.32</v>
      </c>
      <c r="F2705">
        <f t="shared" si="305"/>
        <v>-292.8</v>
      </c>
      <c r="I2705">
        <f t="shared" si="301"/>
        <v>24</v>
      </c>
      <c r="J2705">
        <v>1</v>
      </c>
      <c r="K2705">
        <f t="shared" si="302"/>
        <v>4</v>
      </c>
      <c r="L2705">
        <f t="shared" si="303"/>
        <v>2015</v>
      </c>
      <c r="N2705" s="17">
        <f t="shared" si="306"/>
        <v>42095</v>
      </c>
      <c r="S2705">
        <f t="shared" si="307"/>
        <v>0</v>
      </c>
    </row>
    <row r="2706" spans="1:19" x14ac:dyDescent="0.3">
      <c r="A2706" s="17">
        <v>42117</v>
      </c>
      <c r="B2706">
        <v>344.31</v>
      </c>
      <c r="C2706">
        <v>59.6</v>
      </c>
      <c r="D2706">
        <f t="shared" si="304"/>
        <v>284.70999999999998</v>
      </c>
      <c r="E2706">
        <v>1.3</v>
      </c>
      <c r="F2706">
        <f t="shared" si="305"/>
        <v>-283.40999999999997</v>
      </c>
      <c r="I2706">
        <f t="shared" si="301"/>
        <v>23</v>
      </c>
      <c r="J2706">
        <v>1</v>
      </c>
      <c r="K2706">
        <f t="shared" si="302"/>
        <v>4</v>
      </c>
      <c r="L2706">
        <f t="shared" si="303"/>
        <v>2015</v>
      </c>
      <c r="N2706" s="17">
        <f t="shared" si="306"/>
        <v>42095</v>
      </c>
      <c r="S2706">
        <f t="shared" si="307"/>
        <v>0</v>
      </c>
    </row>
    <row r="2707" spans="1:19" x14ac:dyDescent="0.3">
      <c r="A2707" s="17">
        <v>42116</v>
      </c>
      <c r="B2707">
        <v>340.6</v>
      </c>
      <c r="C2707">
        <v>59.15</v>
      </c>
      <c r="D2707">
        <f t="shared" si="304"/>
        <v>281.45000000000005</v>
      </c>
      <c r="E2707">
        <v>1.31</v>
      </c>
      <c r="F2707">
        <f t="shared" si="305"/>
        <v>-280.14000000000004</v>
      </c>
      <c r="I2707">
        <f t="shared" si="301"/>
        <v>22</v>
      </c>
      <c r="J2707">
        <v>1</v>
      </c>
      <c r="K2707">
        <f t="shared" si="302"/>
        <v>4</v>
      </c>
      <c r="L2707">
        <f t="shared" si="303"/>
        <v>2015</v>
      </c>
      <c r="N2707" s="17">
        <f t="shared" si="306"/>
        <v>42095</v>
      </c>
      <c r="S2707">
        <f t="shared" si="307"/>
        <v>0</v>
      </c>
    </row>
    <row r="2708" spans="1:19" x14ac:dyDescent="0.3">
      <c r="A2708" s="17">
        <v>42115</v>
      </c>
      <c r="B2708">
        <v>345.65</v>
      </c>
      <c r="C2708">
        <v>60.4</v>
      </c>
      <c r="D2708">
        <f t="shared" si="304"/>
        <v>285.25</v>
      </c>
      <c r="E2708">
        <v>1.31</v>
      </c>
      <c r="F2708">
        <f t="shared" si="305"/>
        <v>-283.94</v>
      </c>
      <c r="I2708">
        <f t="shared" si="301"/>
        <v>21</v>
      </c>
      <c r="J2708">
        <v>1</v>
      </c>
      <c r="K2708">
        <f t="shared" si="302"/>
        <v>4</v>
      </c>
      <c r="L2708">
        <f t="shared" si="303"/>
        <v>2015</v>
      </c>
      <c r="N2708" s="17">
        <f t="shared" si="306"/>
        <v>42095</v>
      </c>
      <c r="S2708">
        <f t="shared" si="307"/>
        <v>0</v>
      </c>
    </row>
    <row r="2709" spans="1:19" x14ac:dyDescent="0.3">
      <c r="A2709" s="17">
        <v>42114</v>
      </c>
      <c r="B2709">
        <v>347.7</v>
      </c>
      <c r="C2709">
        <v>60.99</v>
      </c>
      <c r="D2709">
        <f t="shared" si="304"/>
        <v>286.70999999999998</v>
      </c>
      <c r="E2709">
        <v>1.29</v>
      </c>
      <c r="F2709">
        <f t="shared" si="305"/>
        <v>-285.41999999999996</v>
      </c>
      <c r="I2709">
        <f t="shared" si="301"/>
        <v>20</v>
      </c>
      <c r="J2709">
        <v>1</v>
      </c>
      <c r="K2709">
        <f t="shared" si="302"/>
        <v>4</v>
      </c>
      <c r="L2709">
        <f t="shared" si="303"/>
        <v>2015</v>
      </c>
      <c r="N2709" s="17">
        <f t="shared" si="306"/>
        <v>42095</v>
      </c>
      <c r="S2709">
        <f t="shared" si="307"/>
        <v>0</v>
      </c>
    </row>
    <row r="2710" spans="1:19" x14ac:dyDescent="0.3">
      <c r="A2710" s="17">
        <v>42111</v>
      </c>
      <c r="B2710">
        <v>344.34</v>
      </c>
      <c r="C2710">
        <v>60.9</v>
      </c>
      <c r="D2710">
        <f t="shared" si="304"/>
        <v>283.44</v>
      </c>
      <c r="E2710">
        <v>1.32</v>
      </c>
      <c r="F2710">
        <f t="shared" si="305"/>
        <v>-282.12</v>
      </c>
      <c r="I2710">
        <f t="shared" si="301"/>
        <v>17</v>
      </c>
      <c r="J2710">
        <v>1</v>
      </c>
      <c r="K2710">
        <f t="shared" si="302"/>
        <v>4</v>
      </c>
      <c r="L2710">
        <f t="shared" si="303"/>
        <v>2015</v>
      </c>
      <c r="N2710" s="17">
        <f t="shared" si="306"/>
        <v>42095</v>
      </c>
      <c r="S2710">
        <f t="shared" si="307"/>
        <v>0</v>
      </c>
    </row>
    <row r="2711" spans="1:19" x14ac:dyDescent="0.3">
      <c r="A2711" s="17">
        <v>42110</v>
      </c>
      <c r="B2711">
        <v>342.49</v>
      </c>
      <c r="C2711">
        <v>60.1</v>
      </c>
      <c r="D2711">
        <f t="shared" si="304"/>
        <v>282.39</v>
      </c>
      <c r="E2711">
        <v>1.3</v>
      </c>
      <c r="F2711">
        <f t="shared" si="305"/>
        <v>-281.08999999999997</v>
      </c>
      <c r="I2711">
        <f t="shared" si="301"/>
        <v>16</v>
      </c>
      <c r="J2711">
        <v>1</v>
      </c>
      <c r="K2711">
        <f t="shared" si="302"/>
        <v>4</v>
      </c>
      <c r="L2711">
        <f t="shared" si="303"/>
        <v>2015</v>
      </c>
      <c r="N2711" s="17">
        <f t="shared" si="306"/>
        <v>42095</v>
      </c>
      <c r="S2711">
        <f t="shared" si="307"/>
        <v>0</v>
      </c>
    </row>
    <row r="2712" spans="1:19" x14ac:dyDescent="0.3">
      <c r="A2712" s="17">
        <v>42109</v>
      </c>
      <c r="B2712">
        <v>332.4</v>
      </c>
      <c r="C2712">
        <v>58.14</v>
      </c>
      <c r="D2712">
        <f t="shared" si="304"/>
        <v>274.26</v>
      </c>
      <c r="E2712">
        <v>1.28</v>
      </c>
      <c r="F2712">
        <f t="shared" si="305"/>
        <v>-272.98</v>
      </c>
      <c r="I2712">
        <f t="shared" si="301"/>
        <v>15</v>
      </c>
      <c r="J2712">
        <v>1</v>
      </c>
      <c r="K2712">
        <f t="shared" si="302"/>
        <v>4</v>
      </c>
      <c r="L2712">
        <f t="shared" si="303"/>
        <v>2015</v>
      </c>
      <c r="N2712" s="17">
        <f t="shared" si="306"/>
        <v>42095</v>
      </c>
      <c r="S2712">
        <f t="shared" si="307"/>
        <v>0</v>
      </c>
    </row>
    <row r="2713" spans="1:19" x14ac:dyDescent="0.3">
      <c r="A2713" s="17">
        <v>42108</v>
      </c>
      <c r="B2713">
        <v>328.08</v>
      </c>
      <c r="C2713">
        <v>57.29</v>
      </c>
      <c r="D2713">
        <f t="shared" si="304"/>
        <v>270.78999999999996</v>
      </c>
      <c r="E2713">
        <v>1.22</v>
      </c>
      <c r="F2713">
        <f t="shared" si="305"/>
        <v>-269.56999999999994</v>
      </c>
      <c r="I2713">
        <f t="shared" si="301"/>
        <v>14</v>
      </c>
      <c r="J2713">
        <v>1</v>
      </c>
      <c r="K2713">
        <f t="shared" si="302"/>
        <v>4</v>
      </c>
      <c r="L2713">
        <f t="shared" si="303"/>
        <v>2015</v>
      </c>
      <c r="N2713" s="17">
        <f t="shared" si="306"/>
        <v>42095</v>
      </c>
      <c r="S2713">
        <f t="shared" si="307"/>
        <v>0</v>
      </c>
    </row>
    <row r="2714" spans="1:19" x14ac:dyDescent="0.3">
      <c r="A2714" s="17">
        <v>42107</v>
      </c>
      <c r="B2714">
        <v>333.46</v>
      </c>
      <c r="C2714">
        <v>57.7</v>
      </c>
      <c r="D2714">
        <f t="shared" si="304"/>
        <v>275.76</v>
      </c>
      <c r="E2714">
        <v>1.31</v>
      </c>
      <c r="F2714">
        <f t="shared" si="305"/>
        <v>-274.45</v>
      </c>
      <c r="I2714">
        <f t="shared" si="301"/>
        <v>13</v>
      </c>
      <c r="J2714">
        <v>1</v>
      </c>
      <c r="K2714">
        <f t="shared" si="302"/>
        <v>4</v>
      </c>
      <c r="L2714">
        <f t="shared" si="303"/>
        <v>2015</v>
      </c>
      <c r="N2714" s="17">
        <f t="shared" si="306"/>
        <v>42095</v>
      </c>
      <c r="S2714">
        <f t="shared" si="307"/>
        <v>0</v>
      </c>
    </row>
    <row r="2715" spans="1:19" x14ac:dyDescent="0.3">
      <c r="A2715" s="17">
        <v>42104</v>
      </c>
      <c r="B2715">
        <v>317.63</v>
      </c>
      <c r="C2715">
        <v>54.8</v>
      </c>
      <c r="D2715">
        <f t="shared" si="304"/>
        <v>262.83</v>
      </c>
      <c r="E2715">
        <v>1.31</v>
      </c>
      <c r="F2715">
        <f t="shared" si="305"/>
        <v>-261.52</v>
      </c>
      <c r="I2715">
        <f t="shared" si="301"/>
        <v>10</v>
      </c>
      <c r="J2715">
        <v>1</v>
      </c>
      <c r="K2715">
        <f t="shared" si="302"/>
        <v>4</v>
      </c>
      <c r="L2715">
        <f t="shared" si="303"/>
        <v>2015</v>
      </c>
      <c r="N2715" s="17">
        <f t="shared" si="306"/>
        <v>42095</v>
      </c>
      <c r="S2715">
        <f t="shared" si="307"/>
        <v>0</v>
      </c>
    </row>
    <row r="2716" spans="1:19" x14ac:dyDescent="0.3">
      <c r="A2716" s="17">
        <v>42103</v>
      </c>
      <c r="B2716">
        <v>315.79000000000002</v>
      </c>
      <c r="C2716">
        <v>54.8</v>
      </c>
      <c r="D2716">
        <f t="shared" si="304"/>
        <v>260.99</v>
      </c>
      <c r="E2716">
        <v>1.31</v>
      </c>
      <c r="F2716">
        <f t="shared" si="305"/>
        <v>-259.68</v>
      </c>
      <c r="I2716">
        <f t="shared" si="301"/>
        <v>9</v>
      </c>
      <c r="J2716">
        <v>1</v>
      </c>
      <c r="K2716">
        <f t="shared" si="302"/>
        <v>4</v>
      </c>
      <c r="L2716">
        <f t="shared" si="303"/>
        <v>2015</v>
      </c>
      <c r="N2716" s="17">
        <f t="shared" si="306"/>
        <v>42095</v>
      </c>
      <c r="S2716">
        <f t="shared" si="307"/>
        <v>0</v>
      </c>
    </row>
    <row r="2717" spans="1:19" x14ac:dyDescent="0.3">
      <c r="A2717" s="17">
        <v>42102</v>
      </c>
      <c r="B2717">
        <v>323.16000000000003</v>
      </c>
      <c r="C2717">
        <v>56.09</v>
      </c>
      <c r="D2717">
        <f t="shared" si="304"/>
        <v>267.07000000000005</v>
      </c>
      <c r="E2717">
        <v>1.32</v>
      </c>
      <c r="F2717">
        <f t="shared" si="305"/>
        <v>-265.75000000000006</v>
      </c>
      <c r="I2717">
        <f t="shared" si="301"/>
        <v>8</v>
      </c>
      <c r="J2717">
        <v>1</v>
      </c>
      <c r="K2717">
        <f t="shared" si="302"/>
        <v>4</v>
      </c>
      <c r="L2717">
        <f t="shared" si="303"/>
        <v>2015</v>
      </c>
      <c r="N2717" s="17">
        <f t="shared" si="306"/>
        <v>42095</v>
      </c>
      <c r="S2717">
        <f t="shared" si="307"/>
        <v>0</v>
      </c>
    </row>
    <row r="2718" spans="1:19" x14ac:dyDescent="0.3">
      <c r="A2718" s="17">
        <v>42101</v>
      </c>
      <c r="B2718">
        <v>318.79000000000002</v>
      </c>
      <c r="C2718">
        <v>55.3</v>
      </c>
      <c r="D2718">
        <f t="shared" si="304"/>
        <v>263.49</v>
      </c>
      <c r="E2718">
        <v>1.36</v>
      </c>
      <c r="F2718">
        <f t="shared" si="305"/>
        <v>-262.13</v>
      </c>
      <c r="I2718">
        <f t="shared" si="301"/>
        <v>7</v>
      </c>
      <c r="J2718">
        <v>1</v>
      </c>
      <c r="K2718">
        <f t="shared" si="302"/>
        <v>4</v>
      </c>
      <c r="L2718">
        <f t="shared" si="303"/>
        <v>2015</v>
      </c>
      <c r="N2718" s="17">
        <f t="shared" si="306"/>
        <v>42095</v>
      </c>
      <c r="S2718">
        <f t="shared" si="307"/>
        <v>0</v>
      </c>
    </row>
    <row r="2719" spans="1:19" x14ac:dyDescent="0.3">
      <c r="A2719" s="17">
        <v>42100</v>
      </c>
      <c r="B2719">
        <v>313.89</v>
      </c>
      <c r="C2719">
        <v>54.64</v>
      </c>
      <c r="D2719">
        <f t="shared" si="304"/>
        <v>259.25</v>
      </c>
      <c r="E2719">
        <v>1.26</v>
      </c>
      <c r="F2719">
        <f t="shared" si="305"/>
        <v>-257.99</v>
      </c>
      <c r="I2719">
        <f t="shared" si="301"/>
        <v>6</v>
      </c>
      <c r="J2719">
        <v>1</v>
      </c>
      <c r="K2719">
        <f t="shared" si="302"/>
        <v>4</v>
      </c>
      <c r="L2719">
        <f t="shared" si="303"/>
        <v>2015</v>
      </c>
      <c r="N2719" s="17">
        <f t="shared" si="306"/>
        <v>42095</v>
      </c>
      <c r="S2719">
        <f t="shared" si="307"/>
        <v>0</v>
      </c>
    </row>
    <row r="2720" spans="1:19" x14ac:dyDescent="0.3">
      <c r="A2720" s="17">
        <v>42096</v>
      </c>
      <c r="B2720">
        <v>313.41000000000003</v>
      </c>
      <c r="C2720">
        <v>54.9</v>
      </c>
      <c r="D2720">
        <f t="shared" si="304"/>
        <v>258.51000000000005</v>
      </c>
      <c r="E2720">
        <v>1.33</v>
      </c>
      <c r="F2720">
        <f t="shared" si="305"/>
        <v>-257.18000000000006</v>
      </c>
      <c r="I2720">
        <f t="shared" si="301"/>
        <v>2</v>
      </c>
      <c r="J2720">
        <v>1</v>
      </c>
      <c r="K2720">
        <f t="shared" si="302"/>
        <v>4</v>
      </c>
      <c r="L2720">
        <f t="shared" si="303"/>
        <v>2015</v>
      </c>
      <c r="N2720" s="17">
        <f t="shared" si="306"/>
        <v>42095</v>
      </c>
      <c r="S2720">
        <f t="shared" si="307"/>
        <v>1</v>
      </c>
    </row>
    <row r="2721" spans="1:19" x14ac:dyDescent="0.3">
      <c r="A2721" s="17">
        <v>42095</v>
      </c>
      <c r="B2721">
        <v>306.66000000000003</v>
      </c>
      <c r="C2721">
        <v>53.39</v>
      </c>
      <c r="D2721">
        <f t="shared" si="304"/>
        <v>253.27000000000004</v>
      </c>
      <c r="E2721">
        <v>2</v>
      </c>
      <c r="F2721">
        <f t="shared" si="305"/>
        <v>-251.27000000000004</v>
      </c>
      <c r="I2721">
        <f t="shared" si="301"/>
        <v>1</v>
      </c>
      <c r="J2721">
        <v>1</v>
      </c>
      <c r="K2721">
        <f t="shared" si="302"/>
        <v>4</v>
      </c>
      <c r="L2721">
        <f t="shared" si="303"/>
        <v>2015</v>
      </c>
      <c r="N2721" s="17">
        <f t="shared" si="306"/>
        <v>42095</v>
      </c>
      <c r="S2721">
        <f t="shared" si="307"/>
        <v>1</v>
      </c>
    </row>
    <row r="2722" spans="1:19" x14ac:dyDescent="0.3">
      <c r="A2722" s="17">
        <v>42094</v>
      </c>
      <c r="B2722">
        <v>305.8</v>
      </c>
      <c r="C2722">
        <v>53.4</v>
      </c>
      <c r="D2722">
        <f t="shared" si="304"/>
        <v>252.4</v>
      </c>
      <c r="E2722">
        <v>1.94</v>
      </c>
      <c r="F2722">
        <f t="shared" si="305"/>
        <v>-250.46</v>
      </c>
      <c r="I2722">
        <f t="shared" si="301"/>
        <v>31</v>
      </c>
      <c r="J2722">
        <v>1</v>
      </c>
      <c r="K2722">
        <f t="shared" si="302"/>
        <v>3</v>
      </c>
      <c r="L2722">
        <f t="shared" si="303"/>
        <v>2015</v>
      </c>
      <c r="N2722" s="17">
        <f t="shared" si="306"/>
        <v>42064</v>
      </c>
      <c r="S2722">
        <f t="shared" si="307"/>
        <v>0</v>
      </c>
    </row>
    <row r="2723" spans="1:19" x14ac:dyDescent="0.3">
      <c r="A2723" s="17">
        <v>42093</v>
      </c>
      <c r="B2723">
        <v>312.02</v>
      </c>
      <c r="C2723">
        <v>53.19</v>
      </c>
      <c r="D2723">
        <f t="shared" si="304"/>
        <v>258.83</v>
      </c>
      <c r="E2723">
        <v>1.92</v>
      </c>
      <c r="F2723">
        <f t="shared" si="305"/>
        <v>-256.90999999999997</v>
      </c>
      <c r="I2723">
        <f t="shared" si="301"/>
        <v>30</v>
      </c>
      <c r="J2723">
        <v>1</v>
      </c>
      <c r="K2723">
        <f t="shared" si="302"/>
        <v>3</v>
      </c>
      <c r="L2723">
        <f t="shared" si="303"/>
        <v>2015</v>
      </c>
      <c r="N2723" s="17">
        <f t="shared" si="306"/>
        <v>42064</v>
      </c>
      <c r="S2723">
        <f t="shared" si="307"/>
        <v>0</v>
      </c>
    </row>
    <row r="2724" spans="1:19" x14ac:dyDescent="0.3">
      <c r="A2724" s="17">
        <v>42090</v>
      </c>
      <c r="B2724">
        <v>321.33999999999997</v>
      </c>
      <c r="C2724">
        <v>54.79</v>
      </c>
      <c r="D2724">
        <f t="shared" si="304"/>
        <v>266.54999999999995</v>
      </c>
      <c r="E2724">
        <v>1.89</v>
      </c>
      <c r="F2724">
        <f t="shared" si="305"/>
        <v>-264.65999999999997</v>
      </c>
      <c r="I2724">
        <f t="shared" si="301"/>
        <v>27</v>
      </c>
      <c r="J2724">
        <v>1</v>
      </c>
      <c r="K2724">
        <f t="shared" si="302"/>
        <v>3</v>
      </c>
      <c r="L2724">
        <f t="shared" si="303"/>
        <v>2015</v>
      </c>
      <c r="N2724" s="17">
        <f t="shared" si="306"/>
        <v>42064</v>
      </c>
      <c r="S2724">
        <f t="shared" si="307"/>
        <v>0</v>
      </c>
    </row>
    <row r="2725" spans="1:19" x14ac:dyDescent="0.3">
      <c r="A2725" s="17">
        <v>42089</v>
      </c>
      <c r="B2725">
        <v>328.96</v>
      </c>
      <c r="C2725">
        <v>56.89</v>
      </c>
      <c r="D2725">
        <f t="shared" si="304"/>
        <v>272.07</v>
      </c>
      <c r="E2725">
        <v>1.88</v>
      </c>
      <c r="F2725">
        <f t="shared" si="305"/>
        <v>-270.19</v>
      </c>
      <c r="I2725">
        <f t="shared" si="301"/>
        <v>26</v>
      </c>
      <c r="J2725">
        <v>1</v>
      </c>
      <c r="K2725">
        <f t="shared" si="302"/>
        <v>3</v>
      </c>
      <c r="L2725">
        <f t="shared" si="303"/>
        <v>2015</v>
      </c>
      <c r="N2725" s="17">
        <f t="shared" si="306"/>
        <v>42064</v>
      </c>
      <c r="S2725">
        <f t="shared" si="307"/>
        <v>0</v>
      </c>
    </row>
    <row r="2726" spans="1:19" x14ac:dyDescent="0.3">
      <c r="A2726" s="17">
        <v>42088</v>
      </c>
      <c r="B2726">
        <v>304.83</v>
      </c>
      <c r="C2726">
        <v>52.85</v>
      </c>
      <c r="D2726">
        <f t="shared" si="304"/>
        <v>251.98</v>
      </c>
      <c r="E2726">
        <v>1.88</v>
      </c>
      <c r="F2726">
        <f t="shared" si="305"/>
        <v>-250.1</v>
      </c>
      <c r="I2726">
        <f t="shared" si="301"/>
        <v>25</v>
      </c>
      <c r="J2726">
        <v>1</v>
      </c>
      <c r="K2726">
        <f t="shared" si="302"/>
        <v>3</v>
      </c>
      <c r="L2726">
        <f t="shared" si="303"/>
        <v>2015</v>
      </c>
      <c r="N2726" s="17">
        <f t="shared" si="306"/>
        <v>42064</v>
      </c>
      <c r="S2726">
        <f t="shared" si="307"/>
        <v>0</v>
      </c>
    </row>
    <row r="2727" spans="1:19" x14ac:dyDescent="0.3">
      <c r="A2727" s="17">
        <v>42087</v>
      </c>
      <c r="B2727">
        <v>306.75</v>
      </c>
      <c r="C2727">
        <v>53.55</v>
      </c>
      <c r="D2727">
        <f t="shared" si="304"/>
        <v>253.2</v>
      </c>
      <c r="E2727">
        <v>1.86</v>
      </c>
      <c r="F2727">
        <f t="shared" si="305"/>
        <v>-251.33999999999997</v>
      </c>
      <c r="I2727">
        <f t="shared" si="301"/>
        <v>24</v>
      </c>
      <c r="J2727">
        <v>1</v>
      </c>
      <c r="K2727">
        <f t="shared" si="302"/>
        <v>3</v>
      </c>
      <c r="L2727">
        <f t="shared" si="303"/>
        <v>2015</v>
      </c>
      <c r="N2727" s="17">
        <f t="shared" si="306"/>
        <v>42064</v>
      </c>
      <c r="S2727">
        <f t="shared" si="307"/>
        <v>0</v>
      </c>
    </row>
    <row r="2728" spans="1:19" x14ac:dyDescent="0.3">
      <c r="A2728" s="17">
        <v>42086</v>
      </c>
      <c r="B2728">
        <v>299.33</v>
      </c>
      <c r="C2728">
        <v>52.41</v>
      </c>
      <c r="D2728">
        <f t="shared" si="304"/>
        <v>246.92</v>
      </c>
      <c r="E2728">
        <v>1.92</v>
      </c>
      <c r="F2728">
        <f t="shared" si="305"/>
        <v>-245</v>
      </c>
      <c r="I2728">
        <f t="shared" si="301"/>
        <v>23</v>
      </c>
      <c r="J2728">
        <v>1</v>
      </c>
      <c r="K2728">
        <f t="shared" si="302"/>
        <v>3</v>
      </c>
      <c r="L2728">
        <f t="shared" si="303"/>
        <v>2015</v>
      </c>
      <c r="N2728" s="17">
        <f t="shared" si="306"/>
        <v>42064</v>
      </c>
      <c r="S2728">
        <f t="shared" si="307"/>
        <v>0</v>
      </c>
    </row>
    <row r="2729" spans="1:19" x14ac:dyDescent="0.3">
      <c r="A2729" s="17">
        <v>42083</v>
      </c>
      <c r="B2729">
        <v>296.79000000000002</v>
      </c>
      <c r="C2729">
        <v>51.73</v>
      </c>
      <c r="D2729">
        <f t="shared" si="304"/>
        <v>245.06000000000003</v>
      </c>
      <c r="E2729">
        <v>1.96</v>
      </c>
      <c r="F2729">
        <f t="shared" si="305"/>
        <v>-243.10000000000002</v>
      </c>
      <c r="I2729">
        <f t="shared" si="301"/>
        <v>20</v>
      </c>
      <c r="J2729">
        <v>1</v>
      </c>
      <c r="K2729">
        <f t="shared" si="302"/>
        <v>3</v>
      </c>
      <c r="L2729">
        <f t="shared" si="303"/>
        <v>2015</v>
      </c>
      <c r="N2729" s="17">
        <f t="shared" si="306"/>
        <v>42064</v>
      </c>
      <c r="S2729">
        <f t="shared" si="307"/>
        <v>0</v>
      </c>
    </row>
    <row r="2730" spans="1:19" x14ac:dyDescent="0.3">
      <c r="A2730" s="17">
        <v>42082</v>
      </c>
      <c r="B2730">
        <v>301.99</v>
      </c>
      <c r="C2730">
        <v>52.5</v>
      </c>
      <c r="D2730">
        <f t="shared" si="304"/>
        <v>249.49</v>
      </c>
      <c r="E2730">
        <v>1.98</v>
      </c>
      <c r="F2730">
        <f t="shared" si="305"/>
        <v>-247.51000000000002</v>
      </c>
      <c r="I2730">
        <f t="shared" si="301"/>
        <v>19</v>
      </c>
      <c r="J2730">
        <v>1</v>
      </c>
      <c r="K2730">
        <f t="shared" si="302"/>
        <v>3</v>
      </c>
      <c r="L2730">
        <f t="shared" si="303"/>
        <v>2015</v>
      </c>
      <c r="N2730" s="17">
        <f t="shared" si="306"/>
        <v>42064</v>
      </c>
      <c r="S2730">
        <f t="shared" si="307"/>
        <v>0</v>
      </c>
    </row>
    <row r="2731" spans="1:19" x14ac:dyDescent="0.3">
      <c r="A2731" s="17">
        <v>42081</v>
      </c>
      <c r="B2731">
        <v>296.22000000000003</v>
      </c>
      <c r="C2731">
        <v>50.7</v>
      </c>
      <c r="D2731">
        <f t="shared" si="304"/>
        <v>245.52000000000004</v>
      </c>
      <c r="E2731">
        <v>2.0499999999999998</v>
      </c>
      <c r="F2731">
        <f t="shared" si="305"/>
        <v>-243.47000000000003</v>
      </c>
      <c r="I2731">
        <f t="shared" si="301"/>
        <v>18</v>
      </c>
      <c r="J2731">
        <v>1</v>
      </c>
      <c r="K2731">
        <f t="shared" si="302"/>
        <v>3</v>
      </c>
      <c r="L2731">
        <f t="shared" si="303"/>
        <v>2015</v>
      </c>
      <c r="N2731" s="17">
        <f t="shared" si="306"/>
        <v>42064</v>
      </c>
      <c r="S2731">
        <f t="shared" si="307"/>
        <v>0</v>
      </c>
    </row>
    <row r="2732" spans="1:19" x14ac:dyDescent="0.3">
      <c r="A2732" s="17">
        <v>42080</v>
      </c>
      <c r="B2732">
        <v>296.91000000000003</v>
      </c>
      <c r="C2732">
        <v>51.19</v>
      </c>
      <c r="D2732">
        <f t="shared" si="304"/>
        <v>245.72000000000003</v>
      </c>
      <c r="E2732">
        <v>1.76</v>
      </c>
      <c r="F2732">
        <f t="shared" si="305"/>
        <v>-243.96000000000004</v>
      </c>
      <c r="I2732">
        <f t="shared" si="301"/>
        <v>17</v>
      </c>
      <c r="J2732">
        <v>1</v>
      </c>
      <c r="K2732">
        <f t="shared" si="302"/>
        <v>3</v>
      </c>
      <c r="L2732">
        <f t="shared" si="303"/>
        <v>2015</v>
      </c>
      <c r="N2732" s="17">
        <f t="shared" si="306"/>
        <v>42064</v>
      </c>
      <c r="S2732">
        <f t="shared" si="307"/>
        <v>0</v>
      </c>
    </row>
    <row r="2733" spans="1:19" x14ac:dyDescent="0.3">
      <c r="A2733" s="17">
        <v>42079</v>
      </c>
      <c r="B2733">
        <v>298.26</v>
      </c>
      <c r="C2733">
        <v>51.84</v>
      </c>
      <c r="D2733">
        <f t="shared" si="304"/>
        <v>246.42</v>
      </c>
      <c r="E2733">
        <v>1.6</v>
      </c>
      <c r="F2733">
        <f t="shared" si="305"/>
        <v>-244.82</v>
      </c>
      <c r="I2733">
        <f t="shared" si="301"/>
        <v>16</v>
      </c>
      <c r="J2733">
        <v>1</v>
      </c>
      <c r="K2733">
        <f t="shared" si="302"/>
        <v>3</v>
      </c>
      <c r="L2733">
        <f t="shared" si="303"/>
        <v>2015</v>
      </c>
      <c r="N2733" s="17">
        <f t="shared" si="306"/>
        <v>42064</v>
      </c>
      <c r="S2733">
        <f t="shared" si="307"/>
        <v>0</v>
      </c>
    </row>
    <row r="2734" spans="1:19" x14ac:dyDescent="0.3">
      <c r="A2734" s="17">
        <v>42076</v>
      </c>
      <c r="B2734">
        <v>313.41000000000003</v>
      </c>
      <c r="C2734">
        <v>54.25</v>
      </c>
      <c r="D2734">
        <f t="shared" si="304"/>
        <v>259.16000000000003</v>
      </c>
      <c r="E2734">
        <v>1.49</v>
      </c>
      <c r="F2734">
        <f t="shared" si="305"/>
        <v>-257.67</v>
      </c>
      <c r="I2734">
        <f t="shared" si="301"/>
        <v>13</v>
      </c>
      <c r="J2734">
        <v>1</v>
      </c>
      <c r="K2734">
        <f t="shared" si="302"/>
        <v>3</v>
      </c>
      <c r="L2734">
        <f t="shared" si="303"/>
        <v>2015</v>
      </c>
      <c r="N2734" s="17">
        <f t="shared" si="306"/>
        <v>42064</v>
      </c>
      <c r="S2734">
        <f t="shared" si="307"/>
        <v>0</v>
      </c>
    </row>
    <row r="2735" spans="1:19" x14ac:dyDescent="0.3">
      <c r="A2735" s="17">
        <v>42075</v>
      </c>
      <c r="B2735">
        <v>323.06</v>
      </c>
      <c r="C2735">
        <v>55.55</v>
      </c>
      <c r="D2735">
        <f t="shared" si="304"/>
        <v>267.51</v>
      </c>
      <c r="E2735">
        <v>1.4</v>
      </c>
      <c r="F2735">
        <f t="shared" si="305"/>
        <v>-266.11</v>
      </c>
      <c r="I2735">
        <f t="shared" si="301"/>
        <v>12</v>
      </c>
      <c r="J2735">
        <v>1</v>
      </c>
      <c r="K2735">
        <f t="shared" si="302"/>
        <v>3</v>
      </c>
      <c r="L2735">
        <f t="shared" si="303"/>
        <v>2015</v>
      </c>
      <c r="N2735" s="17">
        <f t="shared" si="306"/>
        <v>42064</v>
      </c>
      <c r="S2735">
        <f t="shared" si="307"/>
        <v>0</v>
      </c>
    </row>
    <row r="2736" spans="1:19" x14ac:dyDescent="0.3">
      <c r="A2736" s="17">
        <v>42074</v>
      </c>
      <c r="B2736">
        <v>315.45999999999998</v>
      </c>
      <c r="C2736">
        <v>54.09</v>
      </c>
      <c r="D2736">
        <f t="shared" si="304"/>
        <v>261.37</v>
      </c>
      <c r="E2736">
        <v>1.33</v>
      </c>
      <c r="F2736">
        <f t="shared" si="305"/>
        <v>-260.04000000000002</v>
      </c>
      <c r="I2736">
        <f t="shared" si="301"/>
        <v>11</v>
      </c>
      <c r="J2736">
        <v>1</v>
      </c>
      <c r="K2736">
        <f t="shared" si="302"/>
        <v>3</v>
      </c>
      <c r="L2736">
        <f t="shared" si="303"/>
        <v>2015</v>
      </c>
      <c r="N2736" s="17">
        <f t="shared" si="306"/>
        <v>42064</v>
      </c>
      <c r="S2736">
        <f t="shared" si="307"/>
        <v>0</v>
      </c>
    </row>
    <row r="2737" spans="1:19" x14ac:dyDescent="0.3">
      <c r="A2737" s="17">
        <v>42073</v>
      </c>
      <c r="B2737">
        <v>322.51</v>
      </c>
      <c r="C2737">
        <v>55.64</v>
      </c>
      <c r="D2737">
        <f t="shared" si="304"/>
        <v>266.87</v>
      </c>
      <c r="E2737">
        <v>1.27</v>
      </c>
      <c r="F2737">
        <f t="shared" si="305"/>
        <v>-265.60000000000002</v>
      </c>
      <c r="I2737">
        <f t="shared" si="301"/>
        <v>10</v>
      </c>
      <c r="J2737">
        <v>1</v>
      </c>
      <c r="K2737">
        <f t="shared" si="302"/>
        <v>3</v>
      </c>
      <c r="L2737">
        <f t="shared" si="303"/>
        <v>2015</v>
      </c>
      <c r="N2737" s="17">
        <f t="shared" si="306"/>
        <v>42064</v>
      </c>
      <c r="S2737">
        <f t="shared" si="307"/>
        <v>0</v>
      </c>
    </row>
    <row r="2738" spans="1:19" x14ac:dyDescent="0.3">
      <c r="A2738" s="17">
        <v>42072</v>
      </c>
      <c r="B2738">
        <v>326.92</v>
      </c>
      <c r="C2738">
        <v>56.79</v>
      </c>
      <c r="D2738">
        <f t="shared" si="304"/>
        <v>270.13</v>
      </c>
      <c r="E2738">
        <v>1.1499999999999999</v>
      </c>
      <c r="F2738">
        <f t="shared" si="305"/>
        <v>-268.98</v>
      </c>
      <c r="I2738">
        <f t="shared" si="301"/>
        <v>9</v>
      </c>
      <c r="J2738">
        <v>1</v>
      </c>
      <c r="K2738">
        <f t="shared" si="302"/>
        <v>3</v>
      </c>
      <c r="L2738">
        <f t="shared" si="303"/>
        <v>2015</v>
      </c>
      <c r="N2738" s="17">
        <f t="shared" si="306"/>
        <v>42064</v>
      </c>
      <c r="S2738">
        <f t="shared" si="307"/>
        <v>0</v>
      </c>
    </row>
    <row r="2739" spans="1:19" x14ac:dyDescent="0.3">
      <c r="A2739" s="17">
        <v>42069</v>
      </c>
      <c r="B2739">
        <v>335.17</v>
      </c>
      <c r="C2739">
        <v>58.3</v>
      </c>
      <c r="D2739">
        <f t="shared" si="304"/>
        <v>276.87</v>
      </c>
      <c r="E2739">
        <v>1.07</v>
      </c>
      <c r="F2739">
        <f t="shared" si="305"/>
        <v>-275.8</v>
      </c>
      <c r="I2739">
        <f t="shared" si="301"/>
        <v>6</v>
      </c>
      <c r="J2739">
        <v>1</v>
      </c>
      <c r="K2739">
        <f t="shared" si="302"/>
        <v>3</v>
      </c>
      <c r="L2739">
        <f t="shared" si="303"/>
        <v>2015</v>
      </c>
      <c r="N2739" s="17">
        <f t="shared" si="306"/>
        <v>42064</v>
      </c>
      <c r="S2739">
        <f t="shared" si="307"/>
        <v>0</v>
      </c>
    </row>
    <row r="2740" spans="1:19" x14ac:dyDescent="0.3">
      <c r="A2740" s="17">
        <v>42068</v>
      </c>
      <c r="B2740">
        <v>333.15</v>
      </c>
      <c r="C2740">
        <v>57.91</v>
      </c>
      <c r="D2740">
        <f t="shared" si="304"/>
        <v>275.24</v>
      </c>
      <c r="E2740">
        <v>1.03</v>
      </c>
      <c r="F2740">
        <f t="shared" si="305"/>
        <v>-274.21000000000004</v>
      </c>
      <c r="I2740">
        <f t="shared" si="301"/>
        <v>5</v>
      </c>
      <c r="J2740">
        <v>1</v>
      </c>
      <c r="K2740">
        <f t="shared" si="302"/>
        <v>3</v>
      </c>
      <c r="L2740">
        <f t="shared" si="303"/>
        <v>2015</v>
      </c>
      <c r="N2740" s="17">
        <f t="shared" si="306"/>
        <v>42064</v>
      </c>
      <c r="S2740">
        <f t="shared" si="307"/>
        <v>0</v>
      </c>
    </row>
    <row r="2741" spans="1:19" x14ac:dyDescent="0.3">
      <c r="A2741" s="17">
        <v>42067</v>
      </c>
      <c r="B2741">
        <v>336.72</v>
      </c>
      <c r="C2741">
        <v>58.01</v>
      </c>
      <c r="D2741">
        <f t="shared" si="304"/>
        <v>278.71000000000004</v>
      </c>
      <c r="E2741">
        <v>0.97</v>
      </c>
      <c r="F2741">
        <f t="shared" si="305"/>
        <v>-277.74</v>
      </c>
      <c r="I2741">
        <f t="shared" si="301"/>
        <v>4</v>
      </c>
      <c r="J2741">
        <v>1</v>
      </c>
      <c r="K2741">
        <f t="shared" si="302"/>
        <v>3</v>
      </c>
      <c r="L2741">
        <f t="shared" si="303"/>
        <v>2015</v>
      </c>
      <c r="N2741" s="17">
        <f t="shared" si="306"/>
        <v>42064</v>
      </c>
      <c r="S2741">
        <f t="shared" si="307"/>
        <v>1</v>
      </c>
    </row>
    <row r="2742" spans="1:19" x14ac:dyDescent="0.3">
      <c r="A2742" s="17">
        <v>42066</v>
      </c>
      <c r="B2742">
        <v>335.08</v>
      </c>
      <c r="C2742">
        <v>57.49</v>
      </c>
      <c r="D2742">
        <f t="shared" si="304"/>
        <v>277.58999999999997</v>
      </c>
      <c r="E2742">
        <v>0.84</v>
      </c>
      <c r="F2742">
        <f t="shared" si="305"/>
        <v>-276.75</v>
      </c>
      <c r="I2742">
        <f t="shared" si="301"/>
        <v>3</v>
      </c>
      <c r="J2742">
        <v>1</v>
      </c>
      <c r="K2742">
        <f t="shared" si="302"/>
        <v>3</v>
      </c>
      <c r="L2742">
        <f t="shared" si="303"/>
        <v>2015</v>
      </c>
      <c r="N2742" s="17">
        <f t="shared" si="306"/>
        <v>42064</v>
      </c>
      <c r="S2742">
        <f t="shared" si="307"/>
        <v>1</v>
      </c>
    </row>
    <row r="2743" spans="1:19" x14ac:dyDescent="0.3">
      <c r="A2743" s="17">
        <v>42065</v>
      </c>
      <c r="B2743">
        <v>346.99</v>
      </c>
      <c r="C2743">
        <v>59.4</v>
      </c>
      <c r="D2743">
        <f t="shared" si="304"/>
        <v>287.59000000000003</v>
      </c>
      <c r="E2743">
        <v>0.94</v>
      </c>
      <c r="F2743">
        <f t="shared" si="305"/>
        <v>-286.65000000000003</v>
      </c>
      <c r="I2743">
        <f t="shared" si="301"/>
        <v>2</v>
      </c>
      <c r="J2743">
        <v>1</v>
      </c>
      <c r="K2743">
        <f t="shared" si="302"/>
        <v>3</v>
      </c>
      <c r="L2743">
        <f t="shared" si="303"/>
        <v>2015</v>
      </c>
      <c r="N2743" s="17">
        <f t="shared" si="306"/>
        <v>42064</v>
      </c>
      <c r="S2743">
        <f t="shared" si="307"/>
        <v>1</v>
      </c>
    </row>
    <row r="2744" spans="1:19" x14ac:dyDescent="0.3">
      <c r="A2744" s="17">
        <v>42062</v>
      </c>
      <c r="B2744">
        <v>346.77</v>
      </c>
      <c r="C2744">
        <v>58.6</v>
      </c>
      <c r="D2744">
        <f t="shared" si="304"/>
        <v>288.16999999999996</v>
      </c>
      <c r="E2744">
        <v>0.85</v>
      </c>
      <c r="F2744">
        <f t="shared" si="305"/>
        <v>-287.31999999999994</v>
      </c>
      <c r="I2744">
        <f t="shared" si="301"/>
        <v>27</v>
      </c>
      <c r="J2744">
        <v>1</v>
      </c>
      <c r="K2744">
        <f t="shared" si="302"/>
        <v>2</v>
      </c>
      <c r="L2744">
        <f t="shared" si="303"/>
        <v>2015</v>
      </c>
      <c r="N2744" s="17">
        <f t="shared" si="306"/>
        <v>42036</v>
      </c>
      <c r="S2744">
        <f t="shared" si="307"/>
        <v>0</v>
      </c>
    </row>
    <row r="2745" spans="1:19" x14ac:dyDescent="0.3">
      <c r="A2745" s="17">
        <v>42061</v>
      </c>
      <c r="B2745">
        <v>343.72</v>
      </c>
      <c r="C2745">
        <v>58.1</v>
      </c>
      <c r="D2745">
        <f t="shared" si="304"/>
        <v>285.62</v>
      </c>
      <c r="E2745">
        <v>0.76</v>
      </c>
      <c r="F2745">
        <f t="shared" si="305"/>
        <v>-284.86</v>
      </c>
      <c r="I2745">
        <f t="shared" si="301"/>
        <v>26</v>
      </c>
      <c r="J2745">
        <v>1</v>
      </c>
      <c r="K2745">
        <f t="shared" si="302"/>
        <v>2</v>
      </c>
      <c r="L2745">
        <f t="shared" si="303"/>
        <v>2015</v>
      </c>
      <c r="N2745" s="17">
        <f t="shared" si="306"/>
        <v>42036</v>
      </c>
      <c r="S2745">
        <f t="shared" si="307"/>
        <v>0</v>
      </c>
    </row>
    <row r="2746" spans="1:19" x14ac:dyDescent="0.3">
      <c r="A2746" s="17">
        <v>42060</v>
      </c>
      <c r="B2746">
        <v>328.88</v>
      </c>
      <c r="C2746">
        <v>55.29</v>
      </c>
      <c r="D2746">
        <f t="shared" si="304"/>
        <v>273.58999999999997</v>
      </c>
      <c r="E2746">
        <v>0.68</v>
      </c>
      <c r="F2746">
        <f t="shared" si="305"/>
        <v>-272.90999999999997</v>
      </c>
      <c r="I2746">
        <f t="shared" si="301"/>
        <v>25</v>
      </c>
      <c r="J2746">
        <v>1</v>
      </c>
      <c r="K2746">
        <f t="shared" si="302"/>
        <v>2</v>
      </c>
      <c r="L2746">
        <f t="shared" si="303"/>
        <v>2015</v>
      </c>
      <c r="N2746" s="17">
        <f t="shared" si="306"/>
        <v>42036</v>
      </c>
      <c r="S2746">
        <f t="shared" si="307"/>
        <v>0</v>
      </c>
    </row>
    <row r="2747" spans="1:19" x14ac:dyDescent="0.3">
      <c r="A2747" s="17">
        <v>42059</v>
      </c>
      <c r="B2747">
        <v>329.62</v>
      </c>
      <c r="C2747">
        <v>55.3</v>
      </c>
      <c r="D2747">
        <f t="shared" si="304"/>
        <v>274.32</v>
      </c>
      <c r="E2747">
        <v>0.59</v>
      </c>
      <c r="F2747">
        <f t="shared" si="305"/>
        <v>-273.73</v>
      </c>
      <c r="I2747">
        <f t="shared" si="301"/>
        <v>24</v>
      </c>
      <c r="J2747">
        <v>1</v>
      </c>
      <c r="K2747">
        <f t="shared" si="302"/>
        <v>2</v>
      </c>
      <c r="L2747">
        <f t="shared" si="303"/>
        <v>2015</v>
      </c>
      <c r="N2747" s="17">
        <f t="shared" si="306"/>
        <v>42036</v>
      </c>
      <c r="S2747">
        <f t="shared" si="307"/>
        <v>0</v>
      </c>
    </row>
    <row r="2748" spans="1:19" x14ac:dyDescent="0.3">
      <c r="A2748" s="17">
        <v>42058</v>
      </c>
      <c r="B2748">
        <v>339.56</v>
      </c>
      <c r="C2748">
        <v>56.21</v>
      </c>
      <c r="D2748">
        <f t="shared" si="304"/>
        <v>283.35000000000002</v>
      </c>
      <c r="E2748">
        <v>0.59</v>
      </c>
      <c r="F2748">
        <f t="shared" si="305"/>
        <v>-282.76000000000005</v>
      </c>
      <c r="I2748">
        <f t="shared" si="301"/>
        <v>23</v>
      </c>
      <c r="J2748">
        <v>1</v>
      </c>
      <c r="K2748">
        <f t="shared" si="302"/>
        <v>2</v>
      </c>
      <c r="L2748">
        <f t="shared" si="303"/>
        <v>2015</v>
      </c>
      <c r="N2748" s="17">
        <f t="shared" si="306"/>
        <v>42036</v>
      </c>
      <c r="S2748">
        <f t="shared" si="307"/>
        <v>0</v>
      </c>
    </row>
    <row r="2749" spans="1:19" x14ac:dyDescent="0.3">
      <c r="A2749" s="17">
        <v>42053</v>
      </c>
      <c r="B2749">
        <v>363.81</v>
      </c>
      <c r="C2749">
        <v>59.5</v>
      </c>
      <c r="D2749">
        <f t="shared" si="304"/>
        <v>304.31</v>
      </c>
      <c r="E2749">
        <v>0.52</v>
      </c>
      <c r="F2749">
        <f t="shared" si="305"/>
        <v>-303.79000000000002</v>
      </c>
      <c r="I2749">
        <f t="shared" si="301"/>
        <v>18</v>
      </c>
      <c r="J2749">
        <v>1</v>
      </c>
      <c r="K2749">
        <f t="shared" si="302"/>
        <v>2</v>
      </c>
      <c r="L2749">
        <f t="shared" si="303"/>
        <v>2015</v>
      </c>
      <c r="N2749" s="17">
        <f t="shared" si="306"/>
        <v>42036</v>
      </c>
      <c r="S2749">
        <f t="shared" si="307"/>
        <v>0</v>
      </c>
    </row>
    <row r="2750" spans="1:19" x14ac:dyDescent="0.3">
      <c r="A2750" s="17">
        <v>42052</v>
      </c>
      <c r="B2750">
        <v>354.67</v>
      </c>
      <c r="C2750">
        <v>58.51</v>
      </c>
      <c r="D2750">
        <f t="shared" si="304"/>
        <v>296.16000000000003</v>
      </c>
      <c r="E2750">
        <v>0.55000000000000004</v>
      </c>
      <c r="F2750">
        <f t="shared" si="305"/>
        <v>-295.61</v>
      </c>
      <c r="I2750">
        <f t="shared" si="301"/>
        <v>17</v>
      </c>
      <c r="J2750">
        <v>1</v>
      </c>
      <c r="K2750">
        <f t="shared" si="302"/>
        <v>2</v>
      </c>
      <c r="L2750">
        <f t="shared" si="303"/>
        <v>2015</v>
      </c>
      <c r="N2750" s="17">
        <f t="shared" si="306"/>
        <v>42036</v>
      </c>
      <c r="S2750">
        <f t="shared" si="307"/>
        <v>0</v>
      </c>
    </row>
    <row r="2751" spans="1:19" x14ac:dyDescent="0.3">
      <c r="A2751" s="17">
        <v>42051</v>
      </c>
      <c r="B2751">
        <v>352.45</v>
      </c>
      <c r="C2751">
        <v>57.81</v>
      </c>
      <c r="D2751">
        <f t="shared" si="304"/>
        <v>294.64</v>
      </c>
      <c r="E2751">
        <v>0.65</v>
      </c>
      <c r="F2751">
        <f t="shared" si="305"/>
        <v>-293.99</v>
      </c>
      <c r="I2751">
        <f t="shared" si="301"/>
        <v>16</v>
      </c>
      <c r="J2751">
        <v>1</v>
      </c>
      <c r="K2751">
        <f t="shared" si="302"/>
        <v>2</v>
      </c>
      <c r="L2751">
        <f t="shared" si="303"/>
        <v>2015</v>
      </c>
      <c r="N2751" s="17">
        <f t="shared" si="306"/>
        <v>42036</v>
      </c>
      <c r="S2751">
        <f t="shared" si="307"/>
        <v>0</v>
      </c>
    </row>
    <row r="2752" spans="1:19" x14ac:dyDescent="0.3">
      <c r="A2752" s="17">
        <v>42048</v>
      </c>
      <c r="B2752">
        <v>354.89</v>
      </c>
      <c r="C2752">
        <v>57.21</v>
      </c>
      <c r="D2752">
        <f t="shared" si="304"/>
        <v>297.68</v>
      </c>
      <c r="E2752">
        <v>0.66</v>
      </c>
      <c r="F2752">
        <f t="shared" si="305"/>
        <v>-297.02</v>
      </c>
      <c r="I2752">
        <f t="shared" si="301"/>
        <v>13</v>
      </c>
      <c r="J2752">
        <v>1</v>
      </c>
      <c r="K2752">
        <f t="shared" si="302"/>
        <v>2</v>
      </c>
      <c r="L2752">
        <f t="shared" si="303"/>
        <v>2015</v>
      </c>
      <c r="N2752" s="17">
        <f t="shared" si="306"/>
        <v>42036</v>
      </c>
      <c r="S2752">
        <f t="shared" si="307"/>
        <v>0</v>
      </c>
    </row>
    <row r="2753" spans="1:19" x14ac:dyDescent="0.3">
      <c r="A2753" s="17">
        <v>42047</v>
      </c>
      <c r="B2753">
        <v>334.32</v>
      </c>
      <c r="C2753">
        <v>54.21</v>
      </c>
      <c r="D2753">
        <f t="shared" si="304"/>
        <v>280.11</v>
      </c>
      <c r="E2753">
        <v>0.66</v>
      </c>
      <c r="F2753">
        <f t="shared" si="305"/>
        <v>-279.45</v>
      </c>
      <c r="I2753">
        <f t="shared" si="301"/>
        <v>12</v>
      </c>
      <c r="J2753">
        <v>1</v>
      </c>
      <c r="K2753">
        <f t="shared" si="302"/>
        <v>2</v>
      </c>
      <c r="L2753">
        <f t="shared" si="303"/>
        <v>2015</v>
      </c>
      <c r="N2753" s="17">
        <f t="shared" si="306"/>
        <v>42036</v>
      </c>
      <c r="S2753">
        <f t="shared" si="307"/>
        <v>0</v>
      </c>
    </row>
    <row r="2754" spans="1:19" x14ac:dyDescent="0.3">
      <c r="A2754" s="17">
        <v>42046</v>
      </c>
      <c r="B2754">
        <v>332.77</v>
      </c>
      <c r="C2754">
        <v>54.594999999999999</v>
      </c>
      <c r="D2754">
        <f t="shared" si="304"/>
        <v>278.17499999999995</v>
      </c>
      <c r="E2754">
        <v>0.73</v>
      </c>
      <c r="F2754">
        <f t="shared" si="305"/>
        <v>-277.44499999999994</v>
      </c>
      <c r="I2754">
        <f t="shared" si="301"/>
        <v>11</v>
      </c>
      <c r="J2754">
        <v>1</v>
      </c>
      <c r="K2754">
        <f t="shared" si="302"/>
        <v>2</v>
      </c>
      <c r="L2754">
        <f t="shared" si="303"/>
        <v>2015</v>
      </c>
      <c r="N2754" s="17">
        <f t="shared" si="306"/>
        <v>42036</v>
      </c>
      <c r="S2754">
        <f t="shared" si="307"/>
        <v>0</v>
      </c>
    </row>
    <row r="2755" spans="1:19" x14ac:dyDescent="0.3">
      <c r="A2755" s="17">
        <v>42045</v>
      </c>
      <c r="B2755">
        <v>334.94</v>
      </c>
      <c r="C2755">
        <v>55.2</v>
      </c>
      <c r="D2755">
        <f t="shared" si="304"/>
        <v>279.74</v>
      </c>
      <c r="E2755">
        <v>0.8</v>
      </c>
      <c r="F2755">
        <f t="shared" si="305"/>
        <v>-278.94</v>
      </c>
      <c r="I2755">
        <f t="shared" si="301"/>
        <v>10</v>
      </c>
      <c r="J2755">
        <v>1</v>
      </c>
      <c r="K2755">
        <f t="shared" si="302"/>
        <v>2</v>
      </c>
      <c r="L2755">
        <f t="shared" si="303"/>
        <v>2015</v>
      </c>
      <c r="N2755" s="17">
        <f t="shared" si="306"/>
        <v>42036</v>
      </c>
      <c r="S2755">
        <f t="shared" si="307"/>
        <v>0</v>
      </c>
    </row>
    <row r="2756" spans="1:19" x14ac:dyDescent="0.3">
      <c r="A2756" s="17">
        <v>42044</v>
      </c>
      <c r="B2756">
        <v>331.57</v>
      </c>
      <c r="C2756">
        <v>54.825000000000003</v>
      </c>
      <c r="D2756">
        <f t="shared" si="304"/>
        <v>276.745</v>
      </c>
      <c r="E2756">
        <v>0.7</v>
      </c>
      <c r="F2756">
        <f t="shared" si="305"/>
        <v>-276.04500000000002</v>
      </c>
      <c r="I2756">
        <f t="shared" si="301"/>
        <v>9</v>
      </c>
      <c r="J2756">
        <v>1</v>
      </c>
      <c r="K2756">
        <f t="shared" si="302"/>
        <v>2</v>
      </c>
      <c r="L2756">
        <f t="shared" si="303"/>
        <v>2015</v>
      </c>
      <c r="N2756" s="17">
        <f t="shared" si="306"/>
        <v>42036</v>
      </c>
      <c r="S2756">
        <f t="shared" si="307"/>
        <v>0</v>
      </c>
    </row>
    <row r="2757" spans="1:19" x14ac:dyDescent="0.3">
      <c r="A2757" s="17">
        <v>42041</v>
      </c>
      <c r="B2757">
        <v>333.9</v>
      </c>
      <c r="C2757">
        <v>54.7</v>
      </c>
      <c r="D2757">
        <f t="shared" si="304"/>
        <v>279.2</v>
      </c>
      <c r="E2757">
        <v>0.67</v>
      </c>
      <c r="F2757">
        <f t="shared" si="305"/>
        <v>-278.52999999999997</v>
      </c>
      <c r="I2757">
        <f t="shared" ref="I2757:I2820" si="308">+DAY(A2757)</f>
        <v>6</v>
      </c>
      <c r="J2757">
        <v>1</v>
      </c>
      <c r="K2757">
        <f t="shared" ref="K2757:K2820" si="309">+MONTH(A2757)</f>
        <v>2</v>
      </c>
      <c r="L2757">
        <f t="shared" ref="L2757:L2820" si="310">+YEAR(A2757)</f>
        <v>2015</v>
      </c>
      <c r="N2757" s="17">
        <f t="shared" si="306"/>
        <v>42036</v>
      </c>
      <c r="S2757">
        <f t="shared" si="307"/>
        <v>0</v>
      </c>
    </row>
    <row r="2758" spans="1:19" x14ac:dyDescent="0.3">
      <c r="A2758" s="17">
        <v>42040</v>
      </c>
      <c r="B2758">
        <v>310.94</v>
      </c>
      <c r="C2758">
        <v>51.255000000000003</v>
      </c>
      <c r="D2758">
        <f t="shared" ref="D2758:D2821" si="311">+B2758-C2758</f>
        <v>259.685</v>
      </c>
      <c r="E2758">
        <v>0.66</v>
      </c>
      <c r="F2758">
        <f t="shared" ref="F2758:F2821" si="312">+E2758-D2758</f>
        <v>-259.02499999999998</v>
      </c>
      <c r="I2758">
        <f t="shared" si="308"/>
        <v>5</v>
      </c>
      <c r="J2758">
        <v>1</v>
      </c>
      <c r="K2758">
        <f t="shared" si="309"/>
        <v>2</v>
      </c>
      <c r="L2758">
        <f t="shared" si="310"/>
        <v>2015</v>
      </c>
      <c r="N2758" s="17">
        <f t="shared" ref="N2758:N2821" si="313">+DATE(L2758,K2758,J2758)</f>
        <v>42036</v>
      </c>
      <c r="S2758">
        <f t="shared" ref="S2758:S2821" si="314">IF(AND(I2758&gt;=1, I2758&lt;=4), 1, 0)</f>
        <v>0</v>
      </c>
    </row>
    <row r="2759" spans="1:19" x14ac:dyDescent="0.3">
      <c r="A2759" s="17">
        <v>42039</v>
      </c>
      <c r="B2759">
        <v>327.37</v>
      </c>
      <c r="C2759">
        <v>54.41</v>
      </c>
      <c r="D2759">
        <f t="shared" si="311"/>
        <v>272.96000000000004</v>
      </c>
      <c r="E2759">
        <v>0.6</v>
      </c>
      <c r="F2759">
        <f t="shared" si="312"/>
        <v>-272.36</v>
      </c>
      <c r="I2759">
        <f t="shared" si="308"/>
        <v>4</v>
      </c>
      <c r="J2759">
        <v>1</v>
      </c>
      <c r="K2759">
        <f t="shared" si="309"/>
        <v>2</v>
      </c>
      <c r="L2759">
        <f t="shared" si="310"/>
        <v>2015</v>
      </c>
      <c r="N2759" s="17">
        <f t="shared" si="313"/>
        <v>42036</v>
      </c>
      <c r="S2759">
        <f t="shared" si="314"/>
        <v>1</v>
      </c>
    </row>
    <row r="2760" spans="1:19" x14ac:dyDescent="0.3">
      <c r="A2760" s="17">
        <v>42038</v>
      </c>
      <c r="B2760">
        <v>310.33</v>
      </c>
      <c r="C2760">
        <v>53.11</v>
      </c>
      <c r="D2760">
        <f t="shared" si="311"/>
        <v>257.21999999999997</v>
      </c>
      <c r="E2760">
        <v>0.52</v>
      </c>
      <c r="F2760">
        <f t="shared" si="312"/>
        <v>-256.7</v>
      </c>
      <c r="I2760">
        <f t="shared" si="308"/>
        <v>3</v>
      </c>
      <c r="J2760">
        <v>1</v>
      </c>
      <c r="K2760">
        <f t="shared" si="309"/>
        <v>2</v>
      </c>
      <c r="L2760">
        <f t="shared" si="310"/>
        <v>2015</v>
      </c>
      <c r="N2760" s="17">
        <f t="shared" si="313"/>
        <v>42036</v>
      </c>
      <c r="S2760">
        <f t="shared" si="314"/>
        <v>1</v>
      </c>
    </row>
    <row r="2761" spans="1:19" x14ac:dyDescent="0.3">
      <c r="A2761" s="17">
        <v>42037</v>
      </c>
      <c r="B2761">
        <v>287.13</v>
      </c>
      <c r="C2761">
        <v>49.11</v>
      </c>
      <c r="D2761">
        <f t="shared" si="311"/>
        <v>238.01999999999998</v>
      </c>
      <c r="E2761">
        <v>0.32</v>
      </c>
      <c r="F2761">
        <f t="shared" si="312"/>
        <v>-237.7</v>
      </c>
      <c r="I2761">
        <f t="shared" si="308"/>
        <v>2</v>
      </c>
      <c r="J2761">
        <v>1</v>
      </c>
      <c r="K2761">
        <f t="shared" si="309"/>
        <v>2</v>
      </c>
      <c r="L2761">
        <f t="shared" si="310"/>
        <v>2015</v>
      </c>
      <c r="N2761" s="17">
        <f t="shared" si="313"/>
        <v>42036</v>
      </c>
      <c r="S2761">
        <f t="shared" si="314"/>
        <v>1</v>
      </c>
    </row>
    <row r="2762" spans="1:19" x14ac:dyDescent="0.3">
      <c r="A2762" s="17">
        <v>42034</v>
      </c>
      <c r="B2762">
        <v>273.7</v>
      </c>
      <c r="C2762">
        <v>45.3</v>
      </c>
      <c r="D2762">
        <f t="shared" si="311"/>
        <v>228.39999999999998</v>
      </c>
      <c r="E2762">
        <v>0.47</v>
      </c>
      <c r="F2762">
        <f t="shared" si="312"/>
        <v>-227.92999999999998</v>
      </c>
      <c r="I2762">
        <f t="shared" si="308"/>
        <v>30</v>
      </c>
      <c r="J2762">
        <v>1</v>
      </c>
      <c r="K2762">
        <f t="shared" si="309"/>
        <v>1</v>
      </c>
      <c r="L2762">
        <f t="shared" si="310"/>
        <v>2015</v>
      </c>
      <c r="N2762" s="17">
        <f t="shared" si="313"/>
        <v>42005</v>
      </c>
      <c r="S2762">
        <f t="shared" si="314"/>
        <v>0</v>
      </c>
    </row>
    <row r="2763" spans="1:19" x14ac:dyDescent="0.3">
      <c r="A2763" s="17">
        <v>42033</v>
      </c>
      <c r="B2763">
        <v>270.89</v>
      </c>
      <c r="C2763">
        <v>44.45</v>
      </c>
      <c r="D2763">
        <f t="shared" si="311"/>
        <v>226.44</v>
      </c>
      <c r="E2763">
        <v>0.65</v>
      </c>
      <c r="F2763">
        <f t="shared" si="312"/>
        <v>-225.79</v>
      </c>
      <c r="I2763">
        <f t="shared" si="308"/>
        <v>29</v>
      </c>
      <c r="J2763">
        <v>1</v>
      </c>
      <c r="K2763">
        <f t="shared" si="309"/>
        <v>1</v>
      </c>
      <c r="L2763">
        <f t="shared" si="310"/>
        <v>2015</v>
      </c>
      <c r="N2763" s="17">
        <f t="shared" si="313"/>
        <v>42005</v>
      </c>
      <c r="S2763">
        <f t="shared" si="314"/>
        <v>0</v>
      </c>
    </row>
    <row r="2764" spans="1:19" x14ac:dyDescent="0.3">
      <c r="A2764" s="17">
        <v>42032</v>
      </c>
      <c r="B2764">
        <v>273.33</v>
      </c>
      <c r="C2764">
        <v>44.95</v>
      </c>
      <c r="D2764">
        <f t="shared" si="311"/>
        <v>228.38</v>
      </c>
      <c r="E2764">
        <v>0.64</v>
      </c>
      <c r="F2764">
        <f t="shared" si="312"/>
        <v>-227.74</v>
      </c>
      <c r="I2764">
        <f t="shared" si="308"/>
        <v>28</v>
      </c>
      <c r="J2764">
        <v>1</v>
      </c>
      <c r="K2764">
        <f t="shared" si="309"/>
        <v>1</v>
      </c>
      <c r="L2764">
        <f t="shared" si="310"/>
        <v>2015</v>
      </c>
      <c r="N2764" s="17">
        <f t="shared" si="313"/>
        <v>42005</v>
      </c>
      <c r="S2764">
        <f t="shared" si="314"/>
        <v>0</v>
      </c>
    </row>
    <row r="2765" spans="1:19" x14ac:dyDescent="0.3">
      <c r="A2765" s="17">
        <v>42031</v>
      </c>
      <c r="B2765">
        <v>266.73</v>
      </c>
      <c r="C2765">
        <v>43.71</v>
      </c>
      <c r="D2765">
        <f t="shared" si="311"/>
        <v>223.02</v>
      </c>
      <c r="E2765">
        <v>0.72</v>
      </c>
      <c r="F2765">
        <f t="shared" si="312"/>
        <v>-222.3</v>
      </c>
      <c r="I2765">
        <f t="shared" si="308"/>
        <v>27</v>
      </c>
      <c r="J2765">
        <v>1</v>
      </c>
      <c r="K2765">
        <f t="shared" si="309"/>
        <v>1</v>
      </c>
      <c r="L2765">
        <f t="shared" si="310"/>
        <v>2015</v>
      </c>
      <c r="N2765" s="17">
        <f t="shared" si="313"/>
        <v>42005</v>
      </c>
      <c r="S2765">
        <f t="shared" si="314"/>
        <v>0</v>
      </c>
    </row>
    <row r="2766" spans="1:19" x14ac:dyDescent="0.3">
      <c r="A2766" s="17">
        <v>42030</v>
      </c>
      <c r="B2766">
        <v>273.97000000000003</v>
      </c>
      <c r="C2766">
        <v>44.01</v>
      </c>
      <c r="D2766">
        <f t="shared" si="311"/>
        <v>229.96000000000004</v>
      </c>
      <c r="E2766">
        <v>0.74</v>
      </c>
      <c r="F2766">
        <f t="shared" si="312"/>
        <v>-229.22000000000003</v>
      </c>
      <c r="I2766">
        <f t="shared" si="308"/>
        <v>26</v>
      </c>
      <c r="J2766">
        <v>1</v>
      </c>
      <c r="K2766">
        <f t="shared" si="309"/>
        <v>1</v>
      </c>
      <c r="L2766">
        <f t="shared" si="310"/>
        <v>2015</v>
      </c>
      <c r="N2766" s="17">
        <f t="shared" si="313"/>
        <v>42005</v>
      </c>
      <c r="S2766">
        <f t="shared" si="314"/>
        <v>0</v>
      </c>
    </row>
    <row r="2767" spans="1:19" x14ac:dyDescent="0.3">
      <c r="A2767" s="17">
        <v>42027</v>
      </c>
      <c r="B2767">
        <v>278.64</v>
      </c>
      <c r="C2767">
        <v>45.2</v>
      </c>
      <c r="D2767">
        <f t="shared" si="311"/>
        <v>233.44</v>
      </c>
      <c r="E2767">
        <v>0.89</v>
      </c>
      <c r="F2767">
        <f t="shared" si="312"/>
        <v>-232.55</v>
      </c>
      <c r="I2767">
        <f t="shared" si="308"/>
        <v>23</v>
      </c>
      <c r="J2767">
        <v>1</v>
      </c>
      <c r="K2767">
        <f t="shared" si="309"/>
        <v>1</v>
      </c>
      <c r="L2767">
        <f t="shared" si="310"/>
        <v>2015</v>
      </c>
      <c r="N2767" s="17">
        <f t="shared" si="313"/>
        <v>42005</v>
      </c>
      <c r="S2767">
        <f t="shared" si="314"/>
        <v>0</v>
      </c>
    </row>
    <row r="2768" spans="1:19" x14ac:dyDescent="0.3">
      <c r="A2768" s="17">
        <v>42026</v>
      </c>
      <c r="B2768">
        <v>270.86</v>
      </c>
      <c r="C2768">
        <v>43.99</v>
      </c>
      <c r="D2768">
        <f t="shared" si="311"/>
        <v>226.87</v>
      </c>
      <c r="E2768">
        <v>0.94</v>
      </c>
      <c r="F2768">
        <f t="shared" si="312"/>
        <v>-225.93</v>
      </c>
      <c r="I2768">
        <f t="shared" si="308"/>
        <v>22</v>
      </c>
      <c r="J2768">
        <v>1</v>
      </c>
      <c r="K2768">
        <f t="shared" si="309"/>
        <v>1</v>
      </c>
      <c r="L2768">
        <f t="shared" si="310"/>
        <v>2015</v>
      </c>
      <c r="N2768" s="17">
        <f t="shared" si="313"/>
        <v>42005</v>
      </c>
      <c r="S2768">
        <f t="shared" si="314"/>
        <v>0</v>
      </c>
    </row>
    <row r="2769" spans="1:19" x14ac:dyDescent="0.3">
      <c r="A2769" s="17">
        <v>42025</v>
      </c>
      <c r="B2769">
        <v>270.35000000000002</v>
      </c>
      <c r="C2769">
        <v>44.15</v>
      </c>
      <c r="D2769">
        <f t="shared" si="311"/>
        <v>226.20000000000002</v>
      </c>
      <c r="E2769">
        <v>0.98</v>
      </c>
      <c r="F2769">
        <f t="shared" si="312"/>
        <v>-225.22000000000003</v>
      </c>
      <c r="I2769">
        <f t="shared" si="308"/>
        <v>21</v>
      </c>
      <c r="J2769">
        <v>1</v>
      </c>
      <c r="K2769">
        <f t="shared" si="309"/>
        <v>1</v>
      </c>
      <c r="L2769">
        <f t="shared" si="310"/>
        <v>2015</v>
      </c>
      <c r="N2769" s="17">
        <f t="shared" si="313"/>
        <v>42005</v>
      </c>
      <c r="S2769">
        <f t="shared" si="314"/>
        <v>0</v>
      </c>
    </row>
    <row r="2770" spans="1:19" x14ac:dyDescent="0.3">
      <c r="A2770" s="17">
        <v>42024</v>
      </c>
      <c r="B2770">
        <v>268.33</v>
      </c>
      <c r="C2770">
        <v>44</v>
      </c>
      <c r="D2770">
        <f t="shared" si="311"/>
        <v>224.32999999999998</v>
      </c>
      <c r="E2770">
        <v>1.04</v>
      </c>
      <c r="F2770">
        <f t="shared" si="312"/>
        <v>-223.29</v>
      </c>
      <c r="I2770">
        <f t="shared" si="308"/>
        <v>20</v>
      </c>
      <c r="J2770">
        <v>1</v>
      </c>
      <c r="K2770">
        <f t="shared" si="309"/>
        <v>1</v>
      </c>
      <c r="L2770">
        <f t="shared" si="310"/>
        <v>2015</v>
      </c>
      <c r="N2770" s="17">
        <f t="shared" si="313"/>
        <v>42005</v>
      </c>
      <c r="S2770">
        <f t="shared" si="314"/>
        <v>0</v>
      </c>
    </row>
    <row r="2771" spans="1:19" x14ac:dyDescent="0.3">
      <c r="A2771" s="17">
        <v>42023</v>
      </c>
      <c r="B2771">
        <v>270.27</v>
      </c>
      <c r="C2771">
        <v>44.8</v>
      </c>
      <c r="D2771">
        <f t="shared" si="311"/>
        <v>225.46999999999997</v>
      </c>
      <c r="E2771">
        <v>1.07</v>
      </c>
      <c r="F2771">
        <f t="shared" si="312"/>
        <v>-224.39999999999998</v>
      </c>
      <c r="I2771">
        <f t="shared" si="308"/>
        <v>19</v>
      </c>
      <c r="J2771">
        <v>1</v>
      </c>
      <c r="K2771">
        <f t="shared" si="309"/>
        <v>1</v>
      </c>
      <c r="L2771">
        <f t="shared" si="310"/>
        <v>2015</v>
      </c>
      <c r="N2771" s="17">
        <f t="shared" si="313"/>
        <v>42005</v>
      </c>
      <c r="S2771">
        <f t="shared" si="314"/>
        <v>0</v>
      </c>
    </row>
    <row r="2772" spans="1:19" x14ac:dyDescent="0.3">
      <c r="A2772" s="17">
        <v>42020</v>
      </c>
      <c r="B2772">
        <v>265.58</v>
      </c>
      <c r="C2772">
        <v>43.9</v>
      </c>
      <c r="D2772">
        <f t="shared" si="311"/>
        <v>221.67999999999998</v>
      </c>
      <c r="E2772">
        <v>1.2</v>
      </c>
      <c r="F2772">
        <f t="shared" si="312"/>
        <v>-220.48</v>
      </c>
      <c r="I2772">
        <f t="shared" si="308"/>
        <v>16</v>
      </c>
      <c r="J2772">
        <v>1</v>
      </c>
      <c r="K2772">
        <f t="shared" si="309"/>
        <v>1</v>
      </c>
      <c r="L2772">
        <f t="shared" si="310"/>
        <v>2015</v>
      </c>
      <c r="N2772" s="17">
        <f t="shared" si="313"/>
        <v>42005</v>
      </c>
      <c r="S2772">
        <f t="shared" si="314"/>
        <v>0</v>
      </c>
    </row>
    <row r="2773" spans="1:19" x14ac:dyDescent="0.3">
      <c r="A2773" s="17">
        <v>42019</v>
      </c>
      <c r="B2773">
        <v>274.52999999999997</v>
      </c>
      <c r="C2773">
        <v>44</v>
      </c>
      <c r="D2773">
        <f t="shared" si="311"/>
        <v>230.52999999999997</v>
      </c>
      <c r="E2773">
        <v>1.21</v>
      </c>
      <c r="F2773">
        <f t="shared" si="312"/>
        <v>-229.31999999999996</v>
      </c>
      <c r="I2773">
        <f t="shared" si="308"/>
        <v>15</v>
      </c>
      <c r="J2773">
        <v>1</v>
      </c>
      <c r="K2773">
        <f t="shared" si="309"/>
        <v>1</v>
      </c>
      <c r="L2773">
        <f t="shared" si="310"/>
        <v>2015</v>
      </c>
      <c r="N2773" s="17">
        <f t="shared" si="313"/>
        <v>42005</v>
      </c>
      <c r="S2773">
        <f t="shared" si="314"/>
        <v>0</v>
      </c>
    </row>
    <row r="2774" spans="1:19" x14ac:dyDescent="0.3">
      <c r="A2774" s="17">
        <v>42018</v>
      </c>
      <c r="B2774">
        <v>261.98</v>
      </c>
      <c r="C2774">
        <v>42.05</v>
      </c>
      <c r="D2774">
        <f t="shared" si="311"/>
        <v>219.93</v>
      </c>
      <c r="E2774">
        <v>1.22</v>
      </c>
      <c r="F2774">
        <f t="shared" si="312"/>
        <v>-218.71</v>
      </c>
      <c r="I2774">
        <f t="shared" si="308"/>
        <v>14</v>
      </c>
      <c r="J2774">
        <v>1</v>
      </c>
      <c r="K2774">
        <f t="shared" si="309"/>
        <v>1</v>
      </c>
      <c r="L2774">
        <f t="shared" si="310"/>
        <v>2015</v>
      </c>
      <c r="N2774" s="17">
        <f t="shared" si="313"/>
        <v>42005</v>
      </c>
      <c r="S2774">
        <f t="shared" si="314"/>
        <v>0</v>
      </c>
    </row>
    <row r="2775" spans="1:19" x14ac:dyDescent="0.3">
      <c r="A2775" s="17">
        <v>42017</v>
      </c>
      <c r="B2775">
        <v>259.47000000000003</v>
      </c>
      <c r="C2775">
        <v>42.59</v>
      </c>
      <c r="D2775">
        <f t="shared" si="311"/>
        <v>216.88000000000002</v>
      </c>
      <c r="E2775">
        <v>1.29</v>
      </c>
      <c r="F2775">
        <f t="shared" si="312"/>
        <v>-215.59000000000003</v>
      </c>
      <c r="I2775">
        <f t="shared" si="308"/>
        <v>13</v>
      </c>
      <c r="J2775">
        <v>1</v>
      </c>
      <c r="K2775">
        <f t="shared" si="309"/>
        <v>1</v>
      </c>
      <c r="L2775">
        <f t="shared" si="310"/>
        <v>2015</v>
      </c>
      <c r="N2775" s="17">
        <f t="shared" si="313"/>
        <v>42005</v>
      </c>
      <c r="S2775">
        <f t="shared" si="314"/>
        <v>0</v>
      </c>
    </row>
    <row r="2776" spans="1:19" x14ac:dyDescent="0.3">
      <c r="A2776" s="17">
        <v>42016</v>
      </c>
      <c r="B2776">
        <v>267.19</v>
      </c>
      <c r="C2776">
        <v>45.4</v>
      </c>
      <c r="D2776">
        <f t="shared" si="311"/>
        <v>221.79</v>
      </c>
      <c r="E2776">
        <v>1.35</v>
      </c>
      <c r="F2776">
        <f t="shared" si="312"/>
        <v>-220.44</v>
      </c>
      <c r="I2776">
        <f t="shared" si="308"/>
        <v>12</v>
      </c>
      <c r="J2776">
        <v>1</v>
      </c>
      <c r="K2776">
        <f t="shared" si="309"/>
        <v>1</v>
      </c>
      <c r="L2776">
        <f t="shared" si="310"/>
        <v>2015</v>
      </c>
      <c r="N2776" s="17">
        <f t="shared" si="313"/>
        <v>42005</v>
      </c>
      <c r="S2776">
        <f t="shared" si="314"/>
        <v>0</v>
      </c>
    </row>
    <row r="2777" spans="1:19" x14ac:dyDescent="0.3">
      <c r="A2777" s="17">
        <v>42013</v>
      </c>
      <c r="B2777">
        <v>277.93</v>
      </c>
      <c r="C2777">
        <v>47.2</v>
      </c>
      <c r="D2777">
        <f t="shared" si="311"/>
        <v>230.73000000000002</v>
      </c>
      <c r="E2777">
        <v>1.27</v>
      </c>
      <c r="F2777">
        <f t="shared" si="312"/>
        <v>-229.46</v>
      </c>
      <c r="I2777">
        <f t="shared" si="308"/>
        <v>9</v>
      </c>
      <c r="J2777">
        <v>1</v>
      </c>
      <c r="K2777">
        <f t="shared" si="309"/>
        <v>1</v>
      </c>
      <c r="L2777">
        <f t="shared" si="310"/>
        <v>2015</v>
      </c>
      <c r="N2777" s="17">
        <f t="shared" si="313"/>
        <v>42005</v>
      </c>
      <c r="S2777">
        <f t="shared" si="314"/>
        <v>0</v>
      </c>
    </row>
    <row r="2778" spans="1:19" x14ac:dyDescent="0.3">
      <c r="A2778" s="17">
        <v>42012</v>
      </c>
      <c r="B2778">
        <v>273.64</v>
      </c>
      <c r="C2778">
        <v>47.26</v>
      </c>
      <c r="D2778">
        <f t="shared" si="311"/>
        <v>226.38</v>
      </c>
      <c r="E2778">
        <v>1.3</v>
      </c>
      <c r="F2778">
        <f t="shared" si="312"/>
        <v>-225.07999999999998</v>
      </c>
      <c r="I2778">
        <f t="shared" si="308"/>
        <v>8</v>
      </c>
      <c r="J2778">
        <v>1</v>
      </c>
      <c r="K2778">
        <f t="shared" si="309"/>
        <v>1</v>
      </c>
      <c r="L2778">
        <f t="shared" si="310"/>
        <v>2015</v>
      </c>
      <c r="N2778" s="17">
        <f t="shared" si="313"/>
        <v>42005</v>
      </c>
      <c r="S2778">
        <f t="shared" si="314"/>
        <v>0</v>
      </c>
    </row>
    <row r="2779" spans="1:19" x14ac:dyDescent="0.3">
      <c r="A2779" s="17">
        <v>42011</v>
      </c>
      <c r="B2779">
        <v>260.32</v>
      </c>
      <c r="C2779">
        <v>45.91</v>
      </c>
      <c r="D2779">
        <f t="shared" si="311"/>
        <v>214.41</v>
      </c>
      <c r="E2779">
        <v>1.27</v>
      </c>
      <c r="F2779">
        <f t="shared" si="312"/>
        <v>-213.14</v>
      </c>
      <c r="I2779">
        <f t="shared" si="308"/>
        <v>7</v>
      </c>
      <c r="J2779">
        <v>1</v>
      </c>
      <c r="K2779">
        <f t="shared" si="309"/>
        <v>1</v>
      </c>
      <c r="L2779">
        <f t="shared" si="310"/>
        <v>2015</v>
      </c>
      <c r="N2779" s="17">
        <f t="shared" si="313"/>
        <v>42005</v>
      </c>
      <c r="S2779">
        <f t="shared" si="314"/>
        <v>0</v>
      </c>
    </row>
    <row r="2780" spans="1:19" x14ac:dyDescent="0.3">
      <c r="A2780" s="17">
        <v>42010</v>
      </c>
      <c r="B2780">
        <v>273.60000000000002</v>
      </c>
      <c r="C2780">
        <v>48.7</v>
      </c>
      <c r="D2780">
        <f t="shared" si="311"/>
        <v>224.90000000000003</v>
      </c>
      <c r="E2780">
        <v>1.32</v>
      </c>
      <c r="F2780">
        <f t="shared" si="312"/>
        <v>-223.58000000000004</v>
      </c>
      <c r="I2780">
        <f t="shared" si="308"/>
        <v>6</v>
      </c>
      <c r="J2780">
        <v>1</v>
      </c>
      <c r="K2780">
        <f t="shared" si="309"/>
        <v>1</v>
      </c>
      <c r="L2780">
        <f t="shared" si="310"/>
        <v>2015</v>
      </c>
      <c r="N2780" s="17">
        <f t="shared" si="313"/>
        <v>42005</v>
      </c>
      <c r="S2780">
        <f t="shared" si="314"/>
        <v>0</v>
      </c>
    </row>
    <row r="2781" spans="1:19" x14ac:dyDescent="0.3">
      <c r="A2781" s="17">
        <v>42009</v>
      </c>
      <c r="B2781">
        <v>288.8</v>
      </c>
      <c r="C2781">
        <v>51.4</v>
      </c>
      <c r="D2781">
        <f t="shared" si="311"/>
        <v>237.4</v>
      </c>
      <c r="E2781">
        <v>1.42</v>
      </c>
      <c r="F2781">
        <f t="shared" si="312"/>
        <v>-235.98000000000002</v>
      </c>
      <c r="I2781">
        <f t="shared" si="308"/>
        <v>5</v>
      </c>
      <c r="J2781">
        <v>1</v>
      </c>
      <c r="K2781">
        <f t="shared" si="309"/>
        <v>1</v>
      </c>
      <c r="L2781">
        <f t="shared" si="310"/>
        <v>2015</v>
      </c>
      <c r="N2781" s="17">
        <f t="shared" si="313"/>
        <v>42005</v>
      </c>
      <c r="S2781">
        <f t="shared" si="314"/>
        <v>0</v>
      </c>
    </row>
    <row r="2782" spans="1:19" x14ac:dyDescent="0.3">
      <c r="A2782" s="17">
        <v>42006</v>
      </c>
      <c r="B2782">
        <v>304.10000000000002</v>
      </c>
      <c r="C2782">
        <v>54.09</v>
      </c>
      <c r="D2782">
        <f t="shared" si="311"/>
        <v>250.01000000000002</v>
      </c>
      <c r="E2782">
        <v>1.41</v>
      </c>
      <c r="F2782">
        <f t="shared" si="312"/>
        <v>-248.60000000000002</v>
      </c>
      <c r="I2782">
        <f t="shared" si="308"/>
        <v>2</v>
      </c>
      <c r="J2782">
        <v>1</v>
      </c>
      <c r="K2782">
        <f t="shared" si="309"/>
        <v>1</v>
      </c>
      <c r="L2782">
        <f t="shared" si="310"/>
        <v>2015</v>
      </c>
      <c r="N2782" s="17">
        <f t="shared" si="313"/>
        <v>42005</v>
      </c>
      <c r="S2782">
        <f t="shared" si="314"/>
        <v>1</v>
      </c>
    </row>
    <row r="2783" spans="1:19" x14ac:dyDescent="0.3">
      <c r="A2783" s="17">
        <v>42004</v>
      </c>
      <c r="B2783">
        <v>299.24</v>
      </c>
      <c r="C2783">
        <v>52.89</v>
      </c>
      <c r="D2783">
        <f t="shared" si="311"/>
        <v>246.35000000000002</v>
      </c>
      <c r="E2783">
        <v>1.36</v>
      </c>
      <c r="F2783">
        <f t="shared" si="312"/>
        <v>-244.99</v>
      </c>
      <c r="I2783">
        <f t="shared" si="308"/>
        <v>31</v>
      </c>
      <c r="J2783">
        <v>1</v>
      </c>
      <c r="K2783">
        <f t="shared" si="309"/>
        <v>12</v>
      </c>
      <c r="L2783">
        <f t="shared" si="310"/>
        <v>2014</v>
      </c>
      <c r="N2783" s="17">
        <f t="shared" si="313"/>
        <v>41974</v>
      </c>
      <c r="S2783">
        <f t="shared" si="314"/>
        <v>0</v>
      </c>
    </row>
    <row r="2784" spans="1:19" x14ac:dyDescent="0.3">
      <c r="A2784" s="17">
        <v>42003</v>
      </c>
      <c r="B2784">
        <v>299.45999999999998</v>
      </c>
      <c r="C2784">
        <v>53.005000000000003</v>
      </c>
      <c r="D2784">
        <f t="shared" si="311"/>
        <v>246.45499999999998</v>
      </c>
      <c r="E2784">
        <v>1.63</v>
      </c>
      <c r="F2784">
        <f t="shared" si="312"/>
        <v>-244.82499999999999</v>
      </c>
      <c r="I2784">
        <f t="shared" si="308"/>
        <v>30</v>
      </c>
      <c r="J2784">
        <v>1</v>
      </c>
      <c r="K2784">
        <f t="shared" si="309"/>
        <v>12</v>
      </c>
      <c r="L2784">
        <f t="shared" si="310"/>
        <v>2014</v>
      </c>
      <c r="N2784" s="17">
        <f t="shared" si="313"/>
        <v>41974</v>
      </c>
      <c r="S2784">
        <f t="shared" si="314"/>
        <v>0</v>
      </c>
    </row>
    <row r="2785" spans="1:19" x14ac:dyDescent="0.3">
      <c r="A2785" s="17">
        <v>42002</v>
      </c>
      <c r="B2785">
        <v>318.95</v>
      </c>
      <c r="C2785">
        <v>55.69</v>
      </c>
      <c r="D2785">
        <f t="shared" si="311"/>
        <v>263.26</v>
      </c>
      <c r="E2785">
        <v>1.62</v>
      </c>
      <c r="F2785">
        <f t="shared" si="312"/>
        <v>-261.64</v>
      </c>
      <c r="I2785">
        <f t="shared" si="308"/>
        <v>29</v>
      </c>
      <c r="J2785">
        <v>1</v>
      </c>
      <c r="K2785">
        <f t="shared" si="309"/>
        <v>12</v>
      </c>
      <c r="L2785">
        <f t="shared" si="310"/>
        <v>2014</v>
      </c>
      <c r="N2785" s="17">
        <f t="shared" si="313"/>
        <v>41974</v>
      </c>
      <c r="S2785">
        <f t="shared" si="314"/>
        <v>0</v>
      </c>
    </row>
    <row r="2786" spans="1:19" x14ac:dyDescent="0.3">
      <c r="A2786" s="17">
        <v>41997</v>
      </c>
      <c r="B2786">
        <v>328.5</v>
      </c>
      <c r="C2786">
        <v>57.31</v>
      </c>
      <c r="D2786">
        <f t="shared" si="311"/>
        <v>271.19</v>
      </c>
      <c r="E2786">
        <v>1.81</v>
      </c>
      <c r="F2786">
        <f t="shared" si="312"/>
        <v>-269.38</v>
      </c>
      <c r="I2786">
        <f t="shared" si="308"/>
        <v>24</v>
      </c>
      <c r="J2786">
        <v>1</v>
      </c>
      <c r="K2786">
        <f t="shared" si="309"/>
        <v>12</v>
      </c>
      <c r="L2786">
        <f t="shared" si="310"/>
        <v>2014</v>
      </c>
      <c r="N2786" s="17">
        <f t="shared" si="313"/>
        <v>41974</v>
      </c>
      <c r="S2786">
        <f t="shared" si="314"/>
        <v>0</v>
      </c>
    </row>
    <row r="2787" spans="1:19" x14ac:dyDescent="0.3">
      <c r="A2787" s="17">
        <v>41996</v>
      </c>
      <c r="B2787">
        <v>325.33</v>
      </c>
      <c r="C2787">
        <v>56.01</v>
      </c>
      <c r="D2787">
        <f t="shared" si="311"/>
        <v>269.32</v>
      </c>
      <c r="E2787">
        <v>1.79</v>
      </c>
      <c r="F2787">
        <f t="shared" si="312"/>
        <v>-267.52999999999997</v>
      </c>
      <c r="I2787">
        <f t="shared" si="308"/>
        <v>23</v>
      </c>
      <c r="J2787">
        <v>1</v>
      </c>
      <c r="K2787">
        <f t="shared" si="309"/>
        <v>12</v>
      </c>
      <c r="L2787">
        <f t="shared" si="310"/>
        <v>2014</v>
      </c>
      <c r="N2787" s="17">
        <f t="shared" si="313"/>
        <v>41974</v>
      </c>
      <c r="S2787">
        <f t="shared" si="314"/>
        <v>0</v>
      </c>
    </row>
    <row r="2788" spans="1:19" x14ac:dyDescent="0.3">
      <c r="A2788" s="17">
        <v>41995</v>
      </c>
      <c r="B2788">
        <v>336.38</v>
      </c>
      <c r="C2788">
        <v>58.6</v>
      </c>
      <c r="D2788">
        <f t="shared" si="311"/>
        <v>277.77999999999997</v>
      </c>
      <c r="E2788">
        <v>1.8</v>
      </c>
      <c r="F2788">
        <f t="shared" si="312"/>
        <v>-275.97999999999996</v>
      </c>
      <c r="I2788">
        <f t="shared" si="308"/>
        <v>22</v>
      </c>
      <c r="J2788">
        <v>1</v>
      </c>
      <c r="K2788">
        <f t="shared" si="309"/>
        <v>12</v>
      </c>
      <c r="L2788">
        <f t="shared" si="310"/>
        <v>2014</v>
      </c>
      <c r="N2788" s="17">
        <f t="shared" si="313"/>
        <v>41974</v>
      </c>
      <c r="S2788">
        <f t="shared" si="314"/>
        <v>0</v>
      </c>
    </row>
    <row r="2789" spans="1:19" x14ac:dyDescent="0.3">
      <c r="A2789" s="17">
        <v>41992</v>
      </c>
      <c r="B2789">
        <v>315.73</v>
      </c>
      <c r="C2789">
        <v>55.4</v>
      </c>
      <c r="D2789">
        <f t="shared" si="311"/>
        <v>260.33000000000004</v>
      </c>
      <c r="E2789">
        <v>1.69</v>
      </c>
      <c r="F2789">
        <f t="shared" si="312"/>
        <v>-258.64000000000004</v>
      </c>
      <c r="I2789">
        <f t="shared" si="308"/>
        <v>19</v>
      </c>
      <c r="J2789">
        <v>1</v>
      </c>
      <c r="K2789">
        <f t="shared" si="309"/>
        <v>12</v>
      </c>
      <c r="L2789">
        <f t="shared" si="310"/>
        <v>2014</v>
      </c>
      <c r="N2789" s="17">
        <f t="shared" si="313"/>
        <v>41974</v>
      </c>
      <c r="S2789">
        <f t="shared" si="314"/>
        <v>0</v>
      </c>
    </row>
    <row r="2790" spans="1:19" x14ac:dyDescent="0.3">
      <c r="A2790" s="17">
        <v>41991</v>
      </c>
      <c r="B2790">
        <v>323.37</v>
      </c>
      <c r="C2790">
        <v>57.3</v>
      </c>
      <c r="D2790">
        <f t="shared" si="311"/>
        <v>266.07</v>
      </c>
      <c r="E2790">
        <v>1.76</v>
      </c>
      <c r="F2790">
        <f t="shared" si="312"/>
        <v>-264.31</v>
      </c>
      <c r="I2790">
        <f t="shared" si="308"/>
        <v>18</v>
      </c>
      <c r="J2790">
        <v>1</v>
      </c>
      <c r="K2790">
        <f t="shared" si="309"/>
        <v>12</v>
      </c>
      <c r="L2790">
        <f t="shared" si="310"/>
        <v>2014</v>
      </c>
      <c r="N2790" s="17">
        <f t="shared" si="313"/>
        <v>41974</v>
      </c>
      <c r="S2790">
        <f t="shared" si="314"/>
        <v>0</v>
      </c>
    </row>
    <row r="2791" spans="1:19" x14ac:dyDescent="0.3">
      <c r="A2791" s="17">
        <v>41990</v>
      </c>
      <c r="B2791">
        <v>315.75</v>
      </c>
      <c r="C2791">
        <v>55.8</v>
      </c>
      <c r="D2791">
        <f t="shared" si="311"/>
        <v>259.95</v>
      </c>
      <c r="E2791">
        <v>1.76</v>
      </c>
      <c r="F2791">
        <f t="shared" si="312"/>
        <v>-258.19</v>
      </c>
      <c r="I2791">
        <f t="shared" si="308"/>
        <v>17</v>
      </c>
      <c r="J2791">
        <v>1</v>
      </c>
      <c r="K2791">
        <f t="shared" si="309"/>
        <v>12</v>
      </c>
      <c r="L2791">
        <f t="shared" si="310"/>
        <v>2014</v>
      </c>
      <c r="N2791" s="17">
        <f t="shared" si="313"/>
        <v>41974</v>
      </c>
      <c r="S2791">
        <f t="shared" si="314"/>
        <v>0</v>
      </c>
    </row>
    <row r="2792" spans="1:19" x14ac:dyDescent="0.3">
      <c r="A2792" s="17">
        <v>41989</v>
      </c>
      <c r="B2792">
        <v>318.68</v>
      </c>
      <c r="C2792">
        <v>56.26</v>
      </c>
      <c r="D2792">
        <f t="shared" si="311"/>
        <v>262.42</v>
      </c>
      <c r="E2792">
        <v>1.74</v>
      </c>
      <c r="F2792">
        <f t="shared" si="312"/>
        <v>-260.68</v>
      </c>
      <c r="I2792">
        <f t="shared" si="308"/>
        <v>16</v>
      </c>
      <c r="J2792">
        <v>1</v>
      </c>
      <c r="K2792">
        <f t="shared" si="309"/>
        <v>12</v>
      </c>
      <c r="L2792">
        <f t="shared" si="310"/>
        <v>2014</v>
      </c>
      <c r="N2792" s="17">
        <f t="shared" si="313"/>
        <v>41974</v>
      </c>
      <c r="S2792">
        <f t="shared" si="314"/>
        <v>0</v>
      </c>
    </row>
    <row r="2793" spans="1:19" x14ac:dyDescent="0.3">
      <c r="A2793" s="17">
        <v>41988</v>
      </c>
      <c r="B2793">
        <v>338.06</v>
      </c>
      <c r="C2793">
        <v>59.41</v>
      </c>
      <c r="D2793">
        <f t="shared" si="311"/>
        <v>278.64999999999998</v>
      </c>
      <c r="E2793">
        <v>1.7</v>
      </c>
      <c r="F2793">
        <f t="shared" si="312"/>
        <v>-276.95</v>
      </c>
      <c r="I2793">
        <f t="shared" si="308"/>
        <v>15</v>
      </c>
      <c r="J2793">
        <v>1</v>
      </c>
      <c r="K2793">
        <f t="shared" si="309"/>
        <v>12</v>
      </c>
      <c r="L2793">
        <f t="shared" si="310"/>
        <v>2014</v>
      </c>
      <c r="N2793" s="17">
        <f t="shared" si="313"/>
        <v>41974</v>
      </c>
      <c r="S2793">
        <f t="shared" si="314"/>
        <v>0</v>
      </c>
    </row>
    <row r="2794" spans="1:19" x14ac:dyDescent="0.3">
      <c r="A2794" s="17">
        <v>41985</v>
      </c>
      <c r="B2794">
        <v>343.76</v>
      </c>
      <c r="C2794">
        <v>59.81</v>
      </c>
      <c r="D2794">
        <f t="shared" si="311"/>
        <v>283.95</v>
      </c>
      <c r="E2794">
        <v>1.73</v>
      </c>
      <c r="F2794">
        <f t="shared" si="312"/>
        <v>-282.21999999999997</v>
      </c>
      <c r="I2794">
        <f t="shared" si="308"/>
        <v>12</v>
      </c>
      <c r="J2794">
        <v>1</v>
      </c>
      <c r="K2794">
        <f t="shared" si="309"/>
        <v>12</v>
      </c>
      <c r="L2794">
        <f t="shared" si="310"/>
        <v>2014</v>
      </c>
      <c r="N2794" s="17">
        <f t="shared" si="313"/>
        <v>41974</v>
      </c>
      <c r="S2794">
        <f t="shared" si="314"/>
        <v>0</v>
      </c>
    </row>
    <row r="2795" spans="1:19" x14ac:dyDescent="0.3">
      <c r="A2795" s="17">
        <v>41984</v>
      </c>
      <c r="B2795">
        <v>355.22</v>
      </c>
      <c r="C2795">
        <v>61.51</v>
      </c>
      <c r="D2795">
        <f t="shared" si="311"/>
        <v>293.71000000000004</v>
      </c>
      <c r="E2795">
        <v>1.7</v>
      </c>
      <c r="F2795">
        <f t="shared" si="312"/>
        <v>-292.01000000000005</v>
      </c>
      <c r="I2795">
        <f t="shared" si="308"/>
        <v>11</v>
      </c>
      <c r="J2795">
        <v>1</v>
      </c>
      <c r="K2795">
        <f t="shared" si="309"/>
        <v>12</v>
      </c>
      <c r="L2795">
        <f t="shared" si="310"/>
        <v>2014</v>
      </c>
      <c r="N2795" s="17">
        <f t="shared" si="313"/>
        <v>41974</v>
      </c>
      <c r="S2795">
        <f t="shared" si="314"/>
        <v>0</v>
      </c>
    </row>
    <row r="2796" spans="1:19" x14ac:dyDescent="0.3">
      <c r="A2796" s="17">
        <v>41983</v>
      </c>
      <c r="B2796">
        <v>366.4</v>
      </c>
      <c r="C2796">
        <v>62.7</v>
      </c>
      <c r="D2796">
        <f t="shared" si="311"/>
        <v>303.7</v>
      </c>
      <c r="E2796">
        <v>1.67</v>
      </c>
      <c r="F2796">
        <f t="shared" si="312"/>
        <v>-302.02999999999997</v>
      </c>
      <c r="I2796">
        <f t="shared" si="308"/>
        <v>10</v>
      </c>
      <c r="J2796">
        <v>1</v>
      </c>
      <c r="K2796">
        <f t="shared" si="309"/>
        <v>12</v>
      </c>
      <c r="L2796">
        <f t="shared" si="310"/>
        <v>2014</v>
      </c>
      <c r="N2796" s="17">
        <f t="shared" si="313"/>
        <v>41974</v>
      </c>
      <c r="S2796">
        <f t="shared" si="314"/>
        <v>0</v>
      </c>
    </row>
    <row r="2797" spans="1:19" x14ac:dyDescent="0.3">
      <c r="A2797" s="17">
        <v>41982</v>
      </c>
      <c r="B2797">
        <v>366.3</v>
      </c>
      <c r="C2797">
        <v>62.41</v>
      </c>
      <c r="D2797">
        <f t="shared" si="311"/>
        <v>303.89</v>
      </c>
      <c r="E2797">
        <v>1.73</v>
      </c>
      <c r="F2797">
        <f t="shared" si="312"/>
        <v>-302.15999999999997</v>
      </c>
      <c r="I2797">
        <f t="shared" si="308"/>
        <v>9</v>
      </c>
      <c r="J2797">
        <v>1</v>
      </c>
      <c r="K2797">
        <f t="shared" si="309"/>
        <v>12</v>
      </c>
      <c r="L2797">
        <f t="shared" si="310"/>
        <v>2014</v>
      </c>
      <c r="N2797" s="17">
        <f t="shared" si="313"/>
        <v>41974</v>
      </c>
      <c r="S2797">
        <f t="shared" si="314"/>
        <v>0</v>
      </c>
    </row>
    <row r="2798" spans="1:19" x14ac:dyDescent="0.3">
      <c r="A2798" s="17">
        <v>41981</v>
      </c>
      <c r="B2798">
        <v>381</v>
      </c>
      <c r="C2798">
        <v>65.209999999999994</v>
      </c>
      <c r="D2798">
        <f t="shared" si="311"/>
        <v>315.79000000000002</v>
      </c>
      <c r="E2798">
        <v>1.79</v>
      </c>
      <c r="F2798">
        <f t="shared" si="312"/>
        <v>-314</v>
      </c>
      <c r="I2798">
        <f t="shared" si="308"/>
        <v>8</v>
      </c>
      <c r="J2798">
        <v>1</v>
      </c>
      <c r="K2798">
        <f t="shared" si="309"/>
        <v>12</v>
      </c>
      <c r="L2798">
        <f t="shared" si="310"/>
        <v>2014</v>
      </c>
      <c r="N2798" s="17">
        <f t="shared" si="313"/>
        <v>41974</v>
      </c>
      <c r="S2798">
        <f t="shared" si="314"/>
        <v>0</v>
      </c>
    </row>
    <row r="2799" spans="1:19" x14ac:dyDescent="0.3">
      <c r="A2799" s="17">
        <v>41978</v>
      </c>
      <c r="B2799">
        <v>390.38</v>
      </c>
      <c r="C2799">
        <v>66.040000000000006</v>
      </c>
      <c r="D2799">
        <f t="shared" si="311"/>
        <v>324.33999999999997</v>
      </c>
      <c r="E2799">
        <v>1.87</v>
      </c>
      <c r="F2799">
        <f t="shared" si="312"/>
        <v>-322.46999999999997</v>
      </c>
      <c r="I2799">
        <f t="shared" si="308"/>
        <v>5</v>
      </c>
      <c r="J2799">
        <v>1</v>
      </c>
      <c r="K2799">
        <f t="shared" si="309"/>
        <v>12</v>
      </c>
      <c r="L2799">
        <f t="shared" si="310"/>
        <v>2014</v>
      </c>
      <c r="N2799" s="17">
        <f t="shared" si="313"/>
        <v>41974</v>
      </c>
      <c r="S2799">
        <f t="shared" si="314"/>
        <v>0</v>
      </c>
    </row>
    <row r="2800" spans="1:19" x14ac:dyDescent="0.3">
      <c r="A2800" s="17">
        <v>41977</v>
      </c>
      <c r="B2800">
        <v>396.58</v>
      </c>
      <c r="C2800">
        <v>67.099999999999994</v>
      </c>
      <c r="D2800">
        <f t="shared" si="311"/>
        <v>329.48</v>
      </c>
      <c r="E2800">
        <v>1.82</v>
      </c>
      <c r="F2800">
        <f t="shared" si="312"/>
        <v>-327.66000000000003</v>
      </c>
      <c r="I2800">
        <f t="shared" si="308"/>
        <v>4</v>
      </c>
      <c r="J2800">
        <v>1</v>
      </c>
      <c r="K2800">
        <f t="shared" si="309"/>
        <v>12</v>
      </c>
      <c r="L2800">
        <f t="shared" si="310"/>
        <v>2014</v>
      </c>
      <c r="N2800" s="17">
        <f t="shared" si="313"/>
        <v>41974</v>
      </c>
      <c r="S2800">
        <f t="shared" si="314"/>
        <v>1</v>
      </c>
    </row>
    <row r="2801" spans="1:19" x14ac:dyDescent="0.3">
      <c r="A2801" s="17">
        <v>41976</v>
      </c>
      <c r="B2801">
        <v>405.12</v>
      </c>
      <c r="C2801">
        <v>67.989999999999995</v>
      </c>
      <c r="D2801">
        <f t="shared" si="311"/>
        <v>337.13</v>
      </c>
      <c r="E2801">
        <v>1.79</v>
      </c>
      <c r="F2801">
        <f t="shared" si="312"/>
        <v>-335.34</v>
      </c>
      <c r="I2801">
        <f t="shared" si="308"/>
        <v>3</v>
      </c>
      <c r="J2801">
        <v>1</v>
      </c>
      <c r="K2801">
        <f t="shared" si="309"/>
        <v>12</v>
      </c>
      <c r="L2801">
        <f t="shared" si="310"/>
        <v>2014</v>
      </c>
      <c r="N2801" s="17">
        <f t="shared" si="313"/>
        <v>41974</v>
      </c>
      <c r="S2801">
        <f t="shared" si="314"/>
        <v>1</v>
      </c>
    </row>
    <row r="2802" spans="1:19" x14ac:dyDescent="0.3">
      <c r="A2802" s="17">
        <v>41975</v>
      </c>
      <c r="B2802">
        <v>414.43</v>
      </c>
      <c r="C2802">
        <v>68.8</v>
      </c>
      <c r="D2802">
        <f t="shared" si="311"/>
        <v>345.63</v>
      </c>
      <c r="E2802">
        <v>1.65</v>
      </c>
      <c r="F2802">
        <f t="shared" si="312"/>
        <v>-343.98</v>
      </c>
      <c r="I2802">
        <f t="shared" si="308"/>
        <v>2</v>
      </c>
      <c r="J2802">
        <v>1</v>
      </c>
      <c r="K2802">
        <f t="shared" si="309"/>
        <v>12</v>
      </c>
      <c r="L2802">
        <f t="shared" si="310"/>
        <v>2014</v>
      </c>
      <c r="N2802" s="17">
        <f t="shared" si="313"/>
        <v>41974</v>
      </c>
      <c r="S2802">
        <f t="shared" si="314"/>
        <v>1</v>
      </c>
    </row>
    <row r="2803" spans="1:19" x14ac:dyDescent="0.3">
      <c r="A2803" s="17">
        <v>41974</v>
      </c>
      <c r="B2803">
        <v>399.55</v>
      </c>
      <c r="C2803">
        <v>65.900000000000006</v>
      </c>
      <c r="D2803">
        <f t="shared" si="311"/>
        <v>333.65</v>
      </c>
      <c r="E2803">
        <v>1.65</v>
      </c>
      <c r="F2803">
        <f t="shared" si="312"/>
        <v>-332</v>
      </c>
      <c r="I2803">
        <f t="shared" si="308"/>
        <v>1</v>
      </c>
      <c r="J2803">
        <v>1</v>
      </c>
      <c r="K2803">
        <f t="shared" si="309"/>
        <v>12</v>
      </c>
      <c r="L2803">
        <f t="shared" si="310"/>
        <v>2014</v>
      </c>
      <c r="N2803" s="17">
        <f t="shared" si="313"/>
        <v>41974</v>
      </c>
      <c r="S2803">
        <f t="shared" si="314"/>
        <v>1</v>
      </c>
    </row>
    <row r="2804" spans="1:19" x14ac:dyDescent="0.3">
      <c r="A2804" s="17">
        <v>41971</v>
      </c>
      <c r="B2804">
        <v>411.13</v>
      </c>
      <c r="C2804">
        <v>68.91</v>
      </c>
      <c r="D2804">
        <f t="shared" si="311"/>
        <v>342.22</v>
      </c>
      <c r="E2804">
        <v>1.64</v>
      </c>
      <c r="F2804">
        <f t="shared" si="312"/>
        <v>-340.58000000000004</v>
      </c>
      <c r="I2804">
        <f t="shared" si="308"/>
        <v>28</v>
      </c>
      <c r="J2804">
        <v>1</v>
      </c>
      <c r="K2804">
        <f t="shared" si="309"/>
        <v>11</v>
      </c>
      <c r="L2804">
        <f t="shared" si="310"/>
        <v>2014</v>
      </c>
      <c r="N2804" s="17">
        <f t="shared" si="313"/>
        <v>41944</v>
      </c>
      <c r="S2804">
        <f t="shared" si="314"/>
        <v>0</v>
      </c>
    </row>
    <row r="2805" spans="1:19" x14ac:dyDescent="0.3">
      <c r="A2805" s="17">
        <v>41970</v>
      </c>
      <c r="B2805">
        <v>428.28</v>
      </c>
      <c r="C2805">
        <v>72.14</v>
      </c>
      <c r="D2805">
        <f t="shared" si="311"/>
        <v>356.14</v>
      </c>
      <c r="E2805">
        <v>1.97</v>
      </c>
      <c r="F2805">
        <f t="shared" si="312"/>
        <v>-354.16999999999996</v>
      </c>
      <c r="I2805">
        <f t="shared" si="308"/>
        <v>27</v>
      </c>
      <c r="J2805">
        <v>1</v>
      </c>
      <c r="K2805">
        <f t="shared" si="309"/>
        <v>11</v>
      </c>
      <c r="L2805">
        <f t="shared" si="310"/>
        <v>2014</v>
      </c>
      <c r="N2805" s="17">
        <f t="shared" si="313"/>
        <v>41944</v>
      </c>
      <c r="S2805">
        <f t="shared" si="314"/>
        <v>0</v>
      </c>
    </row>
    <row r="2806" spans="1:19" x14ac:dyDescent="0.3">
      <c r="A2806" s="17">
        <v>41969</v>
      </c>
      <c r="B2806">
        <v>439.76</v>
      </c>
      <c r="C2806">
        <v>74.204999999999998</v>
      </c>
      <c r="D2806">
        <f t="shared" si="311"/>
        <v>365.55500000000001</v>
      </c>
      <c r="E2806">
        <v>2.1</v>
      </c>
      <c r="F2806">
        <f t="shared" si="312"/>
        <v>-363.45499999999998</v>
      </c>
      <c r="I2806">
        <f t="shared" si="308"/>
        <v>26</v>
      </c>
      <c r="J2806">
        <v>1</v>
      </c>
      <c r="K2806">
        <f t="shared" si="309"/>
        <v>11</v>
      </c>
      <c r="L2806">
        <f t="shared" si="310"/>
        <v>2014</v>
      </c>
      <c r="N2806" s="17">
        <f t="shared" si="313"/>
        <v>41944</v>
      </c>
      <c r="S2806">
        <f t="shared" si="314"/>
        <v>0</v>
      </c>
    </row>
    <row r="2807" spans="1:19" x14ac:dyDescent="0.3">
      <c r="A2807" s="17">
        <v>41968</v>
      </c>
      <c r="B2807">
        <v>446.37</v>
      </c>
      <c r="C2807">
        <v>75.59</v>
      </c>
      <c r="D2807">
        <f t="shared" si="311"/>
        <v>370.78</v>
      </c>
      <c r="E2807">
        <v>2.21</v>
      </c>
      <c r="F2807">
        <f t="shared" si="312"/>
        <v>-368.57</v>
      </c>
      <c r="I2807">
        <f t="shared" si="308"/>
        <v>25</v>
      </c>
      <c r="J2807">
        <v>1</v>
      </c>
      <c r="K2807">
        <f t="shared" si="309"/>
        <v>11</v>
      </c>
      <c r="L2807">
        <f t="shared" si="310"/>
        <v>2014</v>
      </c>
      <c r="N2807" s="17">
        <f t="shared" si="313"/>
        <v>41944</v>
      </c>
      <c r="S2807">
        <f t="shared" si="314"/>
        <v>0</v>
      </c>
    </row>
    <row r="2808" spans="1:19" x14ac:dyDescent="0.3">
      <c r="A2808" s="17">
        <v>41967</v>
      </c>
      <c r="B2808">
        <v>455.22</v>
      </c>
      <c r="C2808">
        <v>76.8</v>
      </c>
      <c r="D2808">
        <f t="shared" si="311"/>
        <v>378.42</v>
      </c>
      <c r="E2808">
        <v>2.19</v>
      </c>
      <c r="F2808">
        <f t="shared" si="312"/>
        <v>-376.23</v>
      </c>
      <c r="I2808">
        <f t="shared" si="308"/>
        <v>24</v>
      </c>
      <c r="J2808">
        <v>1</v>
      </c>
      <c r="K2808">
        <f t="shared" si="309"/>
        <v>11</v>
      </c>
      <c r="L2808">
        <f t="shared" si="310"/>
        <v>2014</v>
      </c>
      <c r="N2808" s="17">
        <f t="shared" si="313"/>
        <v>41944</v>
      </c>
      <c r="S2808">
        <f t="shared" si="314"/>
        <v>0</v>
      </c>
    </row>
    <row r="2809" spans="1:19" x14ac:dyDescent="0.3">
      <c r="A2809" s="17">
        <v>41964</v>
      </c>
      <c r="B2809">
        <v>450.14</v>
      </c>
      <c r="C2809">
        <v>75.75</v>
      </c>
      <c r="D2809">
        <f t="shared" si="311"/>
        <v>374.39</v>
      </c>
      <c r="E2809">
        <v>2.56</v>
      </c>
      <c r="F2809">
        <f t="shared" si="312"/>
        <v>-371.83</v>
      </c>
      <c r="I2809">
        <f t="shared" si="308"/>
        <v>21</v>
      </c>
      <c r="J2809">
        <v>1</v>
      </c>
      <c r="K2809">
        <f t="shared" si="309"/>
        <v>11</v>
      </c>
      <c r="L2809">
        <f t="shared" si="310"/>
        <v>2014</v>
      </c>
      <c r="N2809" s="17">
        <f t="shared" si="313"/>
        <v>41944</v>
      </c>
      <c r="S2809">
        <f t="shared" si="314"/>
        <v>0</v>
      </c>
    </row>
    <row r="2810" spans="1:19" x14ac:dyDescent="0.3">
      <c r="A2810" s="17">
        <v>41963</v>
      </c>
      <c r="B2810">
        <v>442.02</v>
      </c>
      <c r="C2810">
        <v>74.14</v>
      </c>
      <c r="D2810">
        <f t="shared" si="311"/>
        <v>367.88</v>
      </c>
      <c r="E2810">
        <v>2.68</v>
      </c>
      <c r="F2810">
        <f t="shared" si="312"/>
        <v>-365.2</v>
      </c>
      <c r="I2810">
        <f t="shared" si="308"/>
        <v>20</v>
      </c>
      <c r="J2810">
        <v>1</v>
      </c>
      <c r="K2810">
        <f t="shared" si="309"/>
        <v>11</v>
      </c>
      <c r="L2810">
        <f t="shared" si="310"/>
        <v>2014</v>
      </c>
      <c r="N2810" s="17">
        <f t="shared" si="313"/>
        <v>41944</v>
      </c>
      <c r="S2810">
        <f t="shared" si="314"/>
        <v>0</v>
      </c>
    </row>
    <row r="2811" spans="1:19" x14ac:dyDescent="0.3">
      <c r="A2811" s="17">
        <v>41962</v>
      </c>
      <c r="B2811">
        <v>440.29</v>
      </c>
      <c r="C2811">
        <v>74.3</v>
      </c>
      <c r="D2811">
        <f t="shared" si="311"/>
        <v>365.99</v>
      </c>
      <c r="E2811">
        <v>2.69</v>
      </c>
      <c r="F2811">
        <f t="shared" si="312"/>
        <v>-363.3</v>
      </c>
      <c r="I2811">
        <f t="shared" si="308"/>
        <v>19</v>
      </c>
      <c r="J2811">
        <v>1</v>
      </c>
      <c r="K2811">
        <f t="shared" si="309"/>
        <v>11</v>
      </c>
      <c r="L2811">
        <f t="shared" si="310"/>
        <v>2014</v>
      </c>
      <c r="N2811" s="17">
        <f t="shared" si="313"/>
        <v>41944</v>
      </c>
      <c r="S2811">
        <f t="shared" si="314"/>
        <v>0</v>
      </c>
    </row>
    <row r="2812" spans="1:19" x14ac:dyDescent="0.3">
      <c r="A2812" s="17">
        <v>41961</v>
      </c>
      <c r="B2812">
        <v>445.24</v>
      </c>
      <c r="C2812">
        <v>75.099999999999994</v>
      </c>
      <c r="D2812">
        <f t="shared" si="311"/>
        <v>370.14</v>
      </c>
      <c r="E2812">
        <v>2.67</v>
      </c>
      <c r="F2812">
        <f t="shared" si="312"/>
        <v>-367.46999999999997</v>
      </c>
      <c r="I2812">
        <f t="shared" si="308"/>
        <v>18</v>
      </c>
      <c r="J2812">
        <v>1</v>
      </c>
      <c r="K2812">
        <f t="shared" si="309"/>
        <v>11</v>
      </c>
      <c r="L2812">
        <f t="shared" si="310"/>
        <v>2014</v>
      </c>
      <c r="N2812" s="17">
        <f t="shared" si="313"/>
        <v>41944</v>
      </c>
      <c r="S2812">
        <f t="shared" si="314"/>
        <v>0</v>
      </c>
    </row>
    <row r="2813" spans="1:19" x14ac:dyDescent="0.3">
      <c r="A2813" s="17">
        <v>41960</v>
      </c>
      <c r="B2813">
        <v>441.09</v>
      </c>
      <c r="C2813">
        <v>74.19</v>
      </c>
      <c r="D2813">
        <f t="shared" si="311"/>
        <v>366.9</v>
      </c>
      <c r="E2813">
        <v>2.58</v>
      </c>
      <c r="F2813">
        <f t="shared" si="312"/>
        <v>-364.32</v>
      </c>
      <c r="I2813">
        <f t="shared" si="308"/>
        <v>17</v>
      </c>
      <c r="J2813">
        <v>1</v>
      </c>
      <c r="K2813">
        <f t="shared" si="309"/>
        <v>11</v>
      </c>
      <c r="L2813">
        <f t="shared" si="310"/>
        <v>2014</v>
      </c>
      <c r="N2813" s="17">
        <f t="shared" si="313"/>
        <v>41944</v>
      </c>
      <c r="S2813">
        <f t="shared" si="314"/>
        <v>0</v>
      </c>
    </row>
    <row r="2814" spans="1:19" x14ac:dyDescent="0.3">
      <c r="A2814" s="17">
        <v>41957</v>
      </c>
      <c r="B2814">
        <v>440.66</v>
      </c>
      <c r="C2814">
        <v>73.39</v>
      </c>
      <c r="D2814">
        <f t="shared" si="311"/>
        <v>367.27000000000004</v>
      </c>
      <c r="E2814">
        <v>2.36</v>
      </c>
      <c r="F2814">
        <f t="shared" si="312"/>
        <v>-364.91</v>
      </c>
      <c r="I2814">
        <f t="shared" si="308"/>
        <v>14</v>
      </c>
      <c r="J2814">
        <v>1</v>
      </c>
      <c r="K2814">
        <f t="shared" si="309"/>
        <v>11</v>
      </c>
      <c r="L2814">
        <f t="shared" si="310"/>
        <v>2014</v>
      </c>
      <c r="N2814" s="17">
        <f t="shared" si="313"/>
        <v>41944</v>
      </c>
      <c r="S2814">
        <f t="shared" si="314"/>
        <v>0</v>
      </c>
    </row>
    <row r="2815" spans="1:19" x14ac:dyDescent="0.3">
      <c r="A2815" s="17">
        <v>41956</v>
      </c>
      <c r="B2815">
        <v>461.74</v>
      </c>
      <c r="C2815">
        <v>76.400000000000006</v>
      </c>
      <c r="D2815">
        <f t="shared" si="311"/>
        <v>385.34000000000003</v>
      </c>
      <c r="E2815">
        <v>1.83</v>
      </c>
      <c r="F2815">
        <f t="shared" si="312"/>
        <v>-383.51000000000005</v>
      </c>
      <c r="I2815">
        <f t="shared" si="308"/>
        <v>13</v>
      </c>
      <c r="J2815">
        <v>1</v>
      </c>
      <c r="K2815">
        <f t="shared" si="309"/>
        <v>11</v>
      </c>
      <c r="L2815">
        <f t="shared" si="310"/>
        <v>2014</v>
      </c>
      <c r="N2815" s="17">
        <f t="shared" si="313"/>
        <v>41944</v>
      </c>
      <c r="S2815">
        <f t="shared" si="314"/>
        <v>0</v>
      </c>
    </row>
    <row r="2816" spans="1:19" x14ac:dyDescent="0.3">
      <c r="A2816" s="17">
        <v>41955</v>
      </c>
      <c r="B2816">
        <v>465.65</v>
      </c>
      <c r="C2816">
        <v>77.790000000000006</v>
      </c>
      <c r="D2816">
        <f t="shared" si="311"/>
        <v>387.85999999999996</v>
      </c>
      <c r="E2816">
        <v>1.66</v>
      </c>
      <c r="F2816">
        <f t="shared" si="312"/>
        <v>-386.19999999999993</v>
      </c>
      <c r="I2816">
        <f t="shared" si="308"/>
        <v>12</v>
      </c>
      <c r="J2816">
        <v>1</v>
      </c>
      <c r="K2816">
        <f t="shared" si="309"/>
        <v>11</v>
      </c>
      <c r="L2816">
        <f t="shared" si="310"/>
        <v>2014</v>
      </c>
      <c r="N2816" s="17">
        <f t="shared" si="313"/>
        <v>41944</v>
      </c>
      <c r="S2816">
        <f t="shared" si="314"/>
        <v>0</v>
      </c>
    </row>
    <row r="2817" spans="1:19" x14ac:dyDescent="0.3">
      <c r="A2817" s="17">
        <v>41954</v>
      </c>
      <c r="B2817">
        <v>466.46</v>
      </c>
      <c r="C2817">
        <v>78.09</v>
      </c>
      <c r="D2817">
        <f t="shared" si="311"/>
        <v>388.37</v>
      </c>
      <c r="E2817">
        <v>1.59</v>
      </c>
      <c r="F2817">
        <f t="shared" si="312"/>
        <v>-386.78000000000003</v>
      </c>
      <c r="I2817">
        <f t="shared" si="308"/>
        <v>11</v>
      </c>
      <c r="J2817">
        <v>1</v>
      </c>
      <c r="K2817">
        <f t="shared" si="309"/>
        <v>11</v>
      </c>
      <c r="L2817">
        <f t="shared" si="310"/>
        <v>2014</v>
      </c>
      <c r="N2817" s="17">
        <f t="shared" si="313"/>
        <v>41944</v>
      </c>
      <c r="S2817">
        <f t="shared" si="314"/>
        <v>0</v>
      </c>
    </row>
    <row r="2818" spans="1:19" x14ac:dyDescent="0.3">
      <c r="A2818" s="17">
        <v>41953</v>
      </c>
      <c r="B2818">
        <v>470.13</v>
      </c>
      <c r="C2818">
        <v>80.19</v>
      </c>
      <c r="D2818">
        <f t="shared" si="311"/>
        <v>389.94</v>
      </c>
      <c r="E2818">
        <v>1.5</v>
      </c>
      <c r="F2818">
        <f t="shared" si="312"/>
        <v>-388.44</v>
      </c>
      <c r="I2818">
        <f t="shared" si="308"/>
        <v>10</v>
      </c>
      <c r="J2818">
        <v>1</v>
      </c>
      <c r="K2818">
        <f t="shared" si="309"/>
        <v>11</v>
      </c>
      <c r="L2818">
        <f t="shared" si="310"/>
        <v>2014</v>
      </c>
      <c r="N2818" s="17">
        <f t="shared" si="313"/>
        <v>41944</v>
      </c>
      <c r="S2818">
        <f t="shared" si="314"/>
        <v>0</v>
      </c>
    </row>
    <row r="2819" spans="1:19" x14ac:dyDescent="0.3">
      <c r="A2819" s="17">
        <v>41950</v>
      </c>
      <c r="B2819">
        <v>459.06</v>
      </c>
      <c r="C2819">
        <v>79.180000000000007</v>
      </c>
      <c r="D2819">
        <f t="shared" si="311"/>
        <v>379.88</v>
      </c>
      <c r="E2819">
        <v>1.31</v>
      </c>
      <c r="F2819">
        <f t="shared" si="312"/>
        <v>-378.57</v>
      </c>
      <c r="I2819">
        <f t="shared" si="308"/>
        <v>7</v>
      </c>
      <c r="J2819">
        <v>1</v>
      </c>
      <c r="K2819">
        <f t="shared" si="309"/>
        <v>11</v>
      </c>
      <c r="L2819">
        <f t="shared" si="310"/>
        <v>2014</v>
      </c>
      <c r="N2819" s="17">
        <f t="shared" si="313"/>
        <v>41944</v>
      </c>
      <c r="S2819">
        <f t="shared" si="314"/>
        <v>0</v>
      </c>
    </row>
    <row r="2820" spans="1:19" x14ac:dyDescent="0.3">
      <c r="A2820" s="17">
        <v>41949</v>
      </c>
      <c r="B2820">
        <v>456.87</v>
      </c>
      <c r="C2820">
        <v>79.16</v>
      </c>
      <c r="D2820">
        <f t="shared" si="311"/>
        <v>377.71000000000004</v>
      </c>
      <c r="E2820">
        <v>1.26</v>
      </c>
      <c r="F2820">
        <f t="shared" si="312"/>
        <v>-376.45000000000005</v>
      </c>
      <c r="I2820">
        <f t="shared" si="308"/>
        <v>6</v>
      </c>
      <c r="J2820">
        <v>1</v>
      </c>
      <c r="K2820">
        <f t="shared" si="309"/>
        <v>11</v>
      </c>
      <c r="L2820">
        <f t="shared" si="310"/>
        <v>2014</v>
      </c>
      <c r="N2820" s="17">
        <f t="shared" si="313"/>
        <v>41944</v>
      </c>
      <c r="S2820">
        <f t="shared" si="314"/>
        <v>0</v>
      </c>
    </row>
    <row r="2821" spans="1:19" x14ac:dyDescent="0.3">
      <c r="A2821" s="17">
        <v>41948</v>
      </c>
      <c r="B2821">
        <v>455.88</v>
      </c>
      <c r="C2821">
        <v>78.7</v>
      </c>
      <c r="D2821">
        <f t="shared" si="311"/>
        <v>377.18</v>
      </c>
      <c r="E2821">
        <v>1.26</v>
      </c>
      <c r="F2821">
        <f t="shared" si="312"/>
        <v>-375.92</v>
      </c>
      <c r="I2821">
        <f t="shared" ref="I2821:I2884" si="315">+DAY(A2821)</f>
        <v>5</v>
      </c>
      <c r="J2821">
        <v>1</v>
      </c>
      <c r="K2821">
        <f t="shared" ref="K2821:K2884" si="316">+MONTH(A2821)</f>
        <v>11</v>
      </c>
      <c r="L2821">
        <f t="shared" ref="L2821:L2884" si="317">+YEAR(A2821)</f>
        <v>2014</v>
      </c>
      <c r="N2821" s="17">
        <f t="shared" si="313"/>
        <v>41944</v>
      </c>
      <c r="S2821">
        <f t="shared" si="314"/>
        <v>0</v>
      </c>
    </row>
    <row r="2822" spans="1:19" x14ac:dyDescent="0.3">
      <c r="A2822" s="17">
        <v>41947</v>
      </c>
      <c r="B2822">
        <v>461.38</v>
      </c>
      <c r="C2822">
        <v>80.290000000000006</v>
      </c>
      <c r="D2822">
        <f t="shared" ref="D2822:D2885" si="318">+B2822-C2822</f>
        <v>381.09</v>
      </c>
      <c r="E2822">
        <v>1.27</v>
      </c>
      <c r="F2822">
        <f t="shared" ref="F2822:F2885" si="319">+E2822-D2822</f>
        <v>-379.82</v>
      </c>
      <c r="I2822">
        <f t="shared" si="315"/>
        <v>4</v>
      </c>
      <c r="J2822">
        <v>1</v>
      </c>
      <c r="K2822">
        <f t="shared" si="316"/>
        <v>11</v>
      </c>
      <c r="L2822">
        <f t="shared" si="317"/>
        <v>2014</v>
      </c>
      <c r="N2822" s="17">
        <f t="shared" ref="N2822:N2885" si="320">+DATE(L2822,K2822,J2822)</f>
        <v>41944</v>
      </c>
      <c r="S2822">
        <f t="shared" ref="S2822:S2885" si="321">IF(AND(I2822&gt;=1, I2822&lt;=4), 1, 0)</f>
        <v>1</v>
      </c>
    </row>
    <row r="2823" spans="1:19" x14ac:dyDescent="0.3">
      <c r="A2823" s="17">
        <v>41946</v>
      </c>
      <c r="B2823">
        <v>471.68</v>
      </c>
      <c r="C2823">
        <v>82.29</v>
      </c>
      <c r="D2823">
        <f t="shared" si="318"/>
        <v>389.39</v>
      </c>
      <c r="E2823">
        <v>1.22</v>
      </c>
      <c r="F2823">
        <f t="shared" si="319"/>
        <v>-388.16999999999996</v>
      </c>
      <c r="I2823">
        <f t="shared" si="315"/>
        <v>3</v>
      </c>
      <c r="J2823">
        <v>1</v>
      </c>
      <c r="K2823">
        <f t="shared" si="316"/>
        <v>11</v>
      </c>
      <c r="L2823">
        <f t="shared" si="317"/>
        <v>2014</v>
      </c>
      <c r="N2823" s="17">
        <f t="shared" si="320"/>
        <v>41944</v>
      </c>
      <c r="S2823">
        <f t="shared" si="321"/>
        <v>1</v>
      </c>
    </row>
    <row r="2824" spans="1:19" x14ac:dyDescent="0.3">
      <c r="A2824" s="17">
        <v>41943</v>
      </c>
      <c r="B2824">
        <v>476.05</v>
      </c>
      <c r="C2824">
        <v>83.61</v>
      </c>
      <c r="D2824">
        <f t="shared" si="318"/>
        <v>392.44</v>
      </c>
      <c r="E2824">
        <v>1.2</v>
      </c>
      <c r="F2824">
        <f t="shared" si="319"/>
        <v>-391.24</v>
      </c>
      <c r="I2824">
        <f t="shared" si="315"/>
        <v>31</v>
      </c>
      <c r="J2824">
        <v>1</v>
      </c>
      <c r="K2824">
        <f t="shared" si="316"/>
        <v>10</v>
      </c>
      <c r="L2824">
        <f t="shared" si="317"/>
        <v>2014</v>
      </c>
      <c r="N2824" s="17">
        <f t="shared" si="320"/>
        <v>41913</v>
      </c>
      <c r="S2824">
        <f t="shared" si="321"/>
        <v>0</v>
      </c>
    </row>
    <row r="2825" spans="1:19" x14ac:dyDescent="0.3">
      <c r="A2825" s="17">
        <v>41942</v>
      </c>
      <c r="B2825">
        <v>480.18</v>
      </c>
      <c r="C2825">
        <v>84.4</v>
      </c>
      <c r="D2825">
        <f t="shared" si="318"/>
        <v>395.78</v>
      </c>
      <c r="E2825">
        <v>1.1499999999999999</v>
      </c>
      <c r="F2825">
        <f t="shared" si="319"/>
        <v>-394.63</v>
      </c>
      <c r="I2825">
        <f t="shared" si="315"/>
        <v>30</v>
      </c>
      <c r="J2825">
        <v>1</v>
      </c>
      <c r="K2825">
        <f t="shared" si="316"/>
        <v>10</v>
      </c>
      <c r="L2825">
        <f t="shared" si="317"/>
        <v>2014</v>
      </c>
      <c r="N2825" s="17">
        <f t="shared" si="320"/>
        <v>41913</v>
      </c>
      <c r="S2825">
        <f t="shared" si="321"/>
        <v>0</v>
      </c>
    </row>
    <row r="2826" spans="1:19" x14ac:dyDescent="0.3">
      <c r="A2826" s="17">
        <v>41941</v>
      </c>
      <c r="B2826">
        <v>479.98</v>
      </c>
      <c r="C2826">
        <v>84.5</v>
      </c>
      <c r="D2826">
        <f t="shared" si="318"/>
        <v>395.48</v>
      </c>
      <c r="E2826">
        <v>1.03</v>
      </c>
      <c r="F2826">
        <f t="shared" si="319"/>
        <v>-394.45000000000005</v>
      </c>
      <c r="I2826">
        <f t="shared" si="315"/>
        <v>29</v>
      </c>
      <c r="J2826">
        <v>1</v>
      </c>
      <c r="K2826">
        <f t="shared" si="316"/>
        <v>10</v>
      </c>
      <c r="L2826">
        <f t="shared" si="317"/>
        <v>2014</v>
      </c>
      <c r="N2826" s="17">
        <f t="shared" si="320"/>
        <v>41913</v>
      </c>
      <c r="S2826">
        <f t="shared" si="321"/>
        <v>0</v>
      </c>
    </row>
    <row r="2827" spans="1:19" x14ac:dyDescent="0.3">
      <c r="A2827" s="17">
        <v>41940</v>
      </c>
      <c r="B2827">
        <v>476.46</v>
      </c>
      <c r="C2827">
        <v>83.91</v>
      </c>
      <c r="D2827">
        <f t="shared" si="318"/>
        <v>392.54999999999995</v>
      </c>
      <c r="E2827">
        <v>1.03</v>
      </c>
      <c r="F2827">
        <f t="shared" si="319"/>
        <v>-391.52</v>
      </c>
      <c r="I2827">
        <f t="shared" si="315"/>
        <v>28</v>
      </c>
      <c r="J2827">
        <v>1</v>
      </c>
      <c r="K2827">
        <f t="shared" si="316"/>
        <v>10</v>
      </c>
      <c r="L2827">
        <f t="shared" si="317"/>
        <v>2014</v>
      </c>
      <c r="N2827" s="17">
        <f t="shared" si="320"/>
        <v>41913</v>
      </c>
      <c r="S2827">
        <f t="shared" si="321"/>
        <v>0</v>
      </c>
    </row>
    <row r="2828" spans="1:19" x14ac:dyDescent="0.3">
      <c r="A2828" s="17">
        <v>41939</v>
      </c>
      <c r="B2828">
        <v>474.23</v>
      </c>
      <c r="C2828">
        <v>84.2</v>
      </c>
      <c r="D2828">
        <f t="shared" si="318"/>
        <v>390.03000000000003</v>
      </c>
      <c r="E2828">
        <v>1.0900000000000001</v>
      </c>
      <c r="F2828">
        <f t="shared" si="319"/>
        <v>-388.94000000000005</v>
      </c>
      <c r="I2828">
        <f t="shared" si="315"/>
        <v>27</v>
      </c>
      <c r="J2828">
        <v>1</v>
      </c>
      <c r="K2828">
        <f t="shared" si="316"/>
        <v>10</v>
      </c>
      <c r="L2828">
        <f t="shared" si="317"/>
        <v>2014</v>
      </c>
      <c r="N2828" s="17">
        <f t="shared" si="320"/>
        <v>41913</v>
      </c>
      <c r="S2828">
        <f t="shared" si="321"/>
        <v>0</v>
      </c>
    </row>
    <row r="2829" spans="1:19" x14ac:dyDescent="0.3">
      <c r="A2829" s="17">
        <v>41936</v>
      </c>
      <c r="B2829">
        <v>472.98</v>
      </c>
      <c r="C2829">
        <v>84.3</v>
      </c>
      <c r="D2829">
        <f t="shared" si="318"/>
        <v>388.68</v>
      </c>
      <c r="E2829">
        <v>1.1200000000000001</v>
      </c>
      <c r="F2829">
        <f t="shared" si="319"/>
        <v>-387.56</v>
      </c>
      <c r="I2829">
        <f t="shared" si="315"/>
        <v>24</v>
      </c>
      <c r="J2829">
        <v>1</v>
      </c>
      <c r="K2829">
        <f t="shared" si="316"/>
        <v>10</v>
      </c>
      <c r="L2829">
        <f t="shared" si="317"/>
        <v>2014</v>
      </c>
      <c r="N2829" s="17">
        <f t="shared" si="320"/>
        <v>41913</v>
      </c>
      <c r="S2829">
        <f t="shared" si="321"/>
        <v>0</v>
      </c>
    </row>
    <row r="2830" spans="1:19" x14ac:dyDescent="0.3">
      <c r="A2830" s="17">
        <v>41935</v>
      </c>
      <c r="B2830">
        <v>468.04</v>
      </c>
      <c r="C2830">
        <v>82.7</v>
      </c>
      <c r="D2830">
        <f t="shared" si="318"/>
        <v>385.34000000000003</v>
      </c>
      <c r="E2830">
        <v>1.08</v>
      </c>
      <c r="F2830">
        <f t="shared" si="319"/>
        <v>-384.26000000000005</v>
      </c>
      <c r="I2830">
        <f t="shared" si="315"/>
        <v>23</v>
      </c>
      <c r="J2830">
        <v>1</v>
      </c>
      <c r="K2830">
        <f t="shared" si="316"/>
        <v>10</v>
      </c>
      <c r="L2830">
        <f t="shared" si="317"/>
        <v>2014</v>
      </c>
      <c r="N2830" s="17">
        <f t="shared" si="320"/>
        <v>41913</v>
      </c>
      <c r="S2830">
        <f t="shared" si="321"/>
        <v>0</v>
      </c>
    </row>
    <row r="2831" spans="1:19" x14ac:dyDescent="0.3">
      <c r="A2831" s="17">
        <v>41933</v>
      </c>
      <c r="B2831">
        <v>473.91</v>
      </c>
      <c r="C2831">
        <v>83.1</v>
      </c>
      <c r="D2831">
        <f t="shared" si="318"/>
        <v>390.81000000000006</v>
      </c>
      <c r="E2831">
        <v>1.08</v>
      </c>
      <c r="F2831">
        <f t="shared" si="319"/>
        <v>-389.73000000000008</v>
      </c>
      <c r="I2831">
        <f t="shared" si="315"/>
        <v>21</v>
      </c>
      <c r="J2831">
        <v>1</v>
      </c>
      <c r="K2831">
        <f t="shared" si="316"/>
        <v>10</v>
      </c>
      <c r="L2831">
        <f t="shared" si="317"/>
        <v>2014</v>
      </c>
      <c r="N2831" s="17">
        <f t="shared" si="320"/>
        <v>41913</v>
      </c>
      <c r="S2831">
        <f t="shared" si="321"/>
        <v>0</v>
      </c>
    </row>
    <row r="2832" spans="1:19" x14ac:dyDescent="0.3">
      <c r="A2832" s="17">
        <v>41932</v>
      </c>
      <c r="B2832">
        <v>477.29</v>
      </c>
      <c r="C2832">
        <v>83.99</v>
      </c>
      <c r="D2832">
        <f t="shared" si="318"/>
        <v>393.3</v>
      </c>
      <c r="E2832">
        <v>1.06</v>
      </c>
      <c r="F2832">
        <f t="shared" si="319"/>
        <v>-392.24</v>
      </c>
      <c r="I2832">
        <f t="shared" si="315"/>
        <v>20</v>
      </c>
      <c r="J2832">
        <v>1</v>
      </c>
      <c r="K2832">
        <f t="shared" si="316"/>
        <v>10</v>
      </c>
      <c r="L2832">
        <f t="shared" si="317"/>
        <v>2014</v>
      </c>
      <c r="N2832" s="17">
        <f t="shared" si="320"/>
        <v>41913</v>
      </c>
      <c r="S2832">
        <f t="shared" si="321"/>
        <v>0</v>
      </c>
    </row>
    <row r="2833" spans="1:19" x14ac:dyDescent="0.3">
      <c r="A2833" s="17">
        <v>41929</v>
      </c>
      <c r="B2833">
        <v>475.78</v>
      </c>
      <c r="C2833">
        <v>85.05</v>
      </c>
      <c r="D2833">
        <f t="shared" si="318"/>
        <v>390.72999999999996</v>
      </c>
      <c r="E2833">
        <v>1.01</v>
      </c>
      <c r="F2833">
        <f t="shared" si="319"/>
        <v>-389.71999999999997</v>
      </c>
      <c r="I2833">
        <f t="shared" si="315"/>
        <v>17</v>
      </c>
      <c r="J2833">
        <v>1</v>
      </c>
      <c r="K2833">
        <f t="shared" si="316"/>
        <v>10</v>
      </c>
      <c r="L2833">
        <f t="shared" si="317"/>
        <v>2014</v>
      </c>
      <c r="N2833" s="17">
        <f t="shared" si="320"/>
        <v>41913</v>
      </c>
      <c r="S2833">
        <f t="shared" si="321"/>
        <v>0</v>
      </c>
    </row>
    <row r="2834" spans="1:19" x14ac:dyDescent="0.3">
      <c r="A2834" s="17">
        <v>41928</v>
      </c>
      <c r="B2834">
        <v>459.89</v>
      </c>
      <c r="C2834">
        <v>82.6</v>
      </c>
      <c r="D2834">
        <f t="shared" si="318"/>
        <v>377.28999999999996</v>
      </c>
      <c r="E2834">
        <v>0.95</v>
      </c>
      <c r="F2834">
        <f t="shared" si="319"/>
        <v>-376.34</v>
      </c>
      <c r="I2834">
        <f t="shared" si="315"/>
        <v>16</v>
      </c>
      <c r="J2834">
        <v>1</v>
      </c>
      <c r="K2834">
        <f t="shared" si="316"/>
        <v>10</v>
      </c>
      <c r="L2834">
        <f t="shared" si="317"/>
        <v>2014</v>
      </c>
      <c r="N2834" s="17">
        <f t="shared" si="320"/>
        <v>41913</v>
      </c>
      <c r="S2834">
        <f t="shared" si="321"/>
        <v>0</v>
      </c>
    </row>
    <row r="2835" spans="1:19" x14ac:dyDescent="0.3">
      <c r="A2835" s="17">
        <v>41927</v>
      </c>
      <c r="B2835">
        <v>465.64</v>
      </c>
      <c r="C2835">
        <v>83.7</v>
      </c>
      <c r="D2835">
        <f t="shared" si="318"/>
        <v>381.94</v>
      </c>
      <c r="E2835">
        <v>0.92</v>
      </c>
      <c r="F2835">
        <f t="shared" si="319"/>
        <v>-381.02</v>
      </c>
      <c r="I2835">
        <f t="shared" si="315"/>
        <v>15</v>
      </c>
      <c r="J2835">
        <v>1</v>
      </c>
      <c r="K2835">
        <f t="shared" si="316"/>
        <v>10</v>
      </c>
      <c r="L2835">
        <f t="shared" si="317"/>
        <v>2014</v>
      </c>
      <c r="N2835" s="17">
        <f t="shared" si="320"/>
        <v>41913</v>
      </c>
      <c r="S2835">
        <f t="shared" si="321"/>
        <v>0</v>
      </c>
    </row>
    <row r="2836" spans="1:19" x14ac:dyDescent="0.3">
      <c r="A2836" s="17">
        <v>41926</v>
      </c>
      <c r="B2836">
        <v>498.55</v>
      </c>
      <c r="C2836">
        <v>87.85</v>
      </c>
      <c r="D2836">
        <f t="shared" si="318"/>
        <v>410.70000000000005</v>
      </c>
      <c r="E2836">
        <v>0.93</v>
      </c>
      <c r="F2836">
        <f t="shared" si="319"/>
        <v>-409.77000000000004</v>
      </c>
      <c r="I2836">
        <f t="shared" si="315"/>
        <v>14</v>
      </c>
      <c r="J2836">
        <v>1</v>
      </c>
      <c r="K2836">
        <f t="shared" si="316"/>
        <v>10</v>
      </c>
      <c r="L2836">
        <f t="shared" si="317"/>
        <v>2014</v>
      </c>
      <c r="N2836" s="17">
        <f t="shared" si="320"/>
        <v>41913</v>
      </c>
      <c r="S2836">
        <f t="shared" si="321"/>
        <v>0</v>
      </c>
    </row>
    <row r="2837" spans="1:19" x14ac:dyDescent="0.3">
      <c r="A2837" s="17">
        <v>41925</v>
      </c>
      <c r="B2837">
        <v>498.94</v>
      </c>
      <c r="C2837">
        <v>87.7</v>
      </c>
      <c r="D2837">
        <f t="shared" si="318"/>
        <v>411.24</v>
      </c>
      <c r="E2837">
        <v>0.9</v>
      </c>
      <c r="F2837">
        <f t="shared" si="319"/>
        <v>-410.34000000000003</v>
      </c>
      <c r="I2837">
        <f t="shared" si="315"/>
        <v>13</v>
      </c>
      <c r="J2837">
        <v>1</v>
      </c>
      <c r="K2837">
        <f t="shared" si="316"/>
        <v>10</v>
      </c>
      <c r="L2837">
        <f t="shared" si="317"/>
        <v>2014</v>
      </c>
      <c r="N2837" s="17">
        <f t="shared" si="320"/>
        <v>41913</v>
      </c>
      <c r="S2837">
        <f t="shared" si="321"/>
        <v>0</v>
      </c>
    </row>
    <row r="2838" spans="1:19" x14ac:dyDescent="0.3">
      <c r="A2838" s="17">
        <v>41922</v>
      </c>
      <c r="B2838">
        <v>504.33</v>
      </c>
      <c r="C2838">
        <v>88</v>
      </c>
      <c r="D2838">
        <f t="shared" si="318"/>
        <v>416.33</v>
      </c>
      <c r="E2838">
        <v>0.96</v>
      </c>
      <c r="F2838">
        <f t="shared" si="319"/>
        <v>-415.37</v>
      </c>
      <c r="I2838">
        <f t="shared" si="315"/>
        <v>10</v>
      </c>
      <c r="J2838">
        <v>1</v>
      </c>
      <c r="K2838">
        <f t="shared" si="316"/>
        <v>10</v>
      </c>
      <c r="L2838">
        <f t="shared" si="317"/>
        <v>2014</v>
      </c>
      <c r="N2838" s="17">
        <f t="shared" si="320"/>
        <v>41913</v>
      </c>
      <c r="S2838">
        <f t="shared" si="321"/>
        <v>0</v>
      </c>
    </row>
    <row r="2839" spans="1:19" x14ac:dyDescent="0.3">
      <c r="A2839" s="17">
        <v>41921</v>
      </c>
      <c r="B2839">
        <v>521.74</v>
      </c>
      <c r="C2839">
        <v>90.5</v>
      </c>
      <c r="D2839">
        <f t="shared" si="318"/>
        <v>431.24</v>
      </c>
      <c r="E2839">
        <v>0.92</v>
      </c>
      <c r="F2839">
        <f t="shared" si="319"/>
        <v>-430.32</v>
      </c>
      <c r="I2839">
        <f t="shared" si="315"/>
        <v>9</v>
      </c>
      <c r="J2839">
        <v>1</v>
      </c>
      <c r="K2839">
        <f t="shared" si="316"/>
        <v>10</v>
      </c>
      <c r="L2839">
        <f t="shared" si="317"/>
        <v>2014</v>
      </c>
      <c r="N2839" s="17">
        <f t="shared" si="320"/>
        <v>41913</v>
      </c>
      <c r="S2839">
        <f t="shared" si="321"/>
        <v>0</v>
      </c>
    </row>
    <row r="2840" spans="1:19" x14ac:dyDescent="0.3">
      <c r="A2840" s="17">
        <v>41920</v>
      </c>
      <c r="B2840">
        <v>521.45000000000005</v>
      </c>
      <c r="C2840">
        <v>90.1</v>
      </c>
      <c r="D2840">
        <f t="shared" si="318"/>
        <v>431.35</v>
      </c>
      <c r="E2840">
        <v>0.89</v>
      </c>
      <c r="F2840">
        <f t="shared" si="319"/>
        <v>-430.46000000000004</v>
      </c>
      <c r="I2840">
        <f t="shared" si="315"/>
        <v>8</v>
      </c>
      <c r="J2840">
        <v>1</v>
      </c>
      <c r="K2840">
        <f t="shared" si="316"/>
        <v>10</v>
      </c>
      <c r="L2840">
        <f t="shared" si="317"/>
        <v>2014</v>
      </c>
      <c r="N2840" s="17">
        <f t="shared" si="320"/>
        <v>41913</v>
      </c>
      <c r="S2840">
        <f t="shared" si="321"/>
        <v>0</v>
      </c>
    </row>
    <row r="2841" spans="1:19" x14ac:dyDescent="0.3">
      <c r="A2841" s="17">
        <v>41919</v>
      </c>
      <c r="B2841">
        <v>533.19000000000005</v>
      </c>
      <c r="C2841">
        <v>91.15</v>
      </c>
      <c r="D2841">
        <f t="shared" si="318"/>
        <v>442.04000000000008</v>
      </c>
      <c r="E2841">
        <v>0.91</v>
      </c>
      <c r="F2841">
        <f t="shared" si="319"/>
        <v>-441.13000000000005</v>
      </c>
      <c r="I2841">
        <f t="shared" si="315"/>
        <v>7</v>
      </c>
      <c r="J2841">
        <v>1</v>
      </c>
      <c r="K2841">
        <f t="shared" si="316"/>
        <v>10</v>
      </c>
      <c r="L2841">
        <f t="shared" si="317"/>
        <v>2014</v>
      </c>
      <c r="N2841" s="17">
        <f t="shared" si="320"/>
        <v>41913</v>
      </c>
      <c r="S2841">
        <f t="shared" si="321"/>
        <v>0</v>
      </c>
    </row>
    <row r="2842" spans="1:19" x14ac:dyDescent="0.3">
      <c r="A2842" s="17">
        <v>41915</v>
      </c>
      <c r="B2842">
        <v>546.03</v>
      </c>
      <c r="C2842">
        <v>92.5</v>
      </c>
      <c r="D2842">
        <f t="shared" si="318"/>
        <v>453.53</v>
      </c>
      <c r="E2842">
        <v>0.94</v>
      </c>
      <c r="F2842">
        <f t="shared" si="319"/>
        <v>-452.59</v>
      </c>
      <c r="I2842">
        <f t="shared" si="315"/>
        <v>3</v>
      </c>
      <c r="J2842">
        <v>1</v>
      </c>
      <c r="K2842">
        <f t="shared" si="316"/>
        <v>10</v>
      </c>
      <c r="L2842">
        <f t="shared" si="317"/>
        <v>2014</v>
      </c>
      <c r="N2842" s="17">
        <f t="shared" si="320"/>
        <v>41913</v>
      </c>
      <c r="S2842">
        <f t="shared" si="321"/>
        <v>1</v>
      </c>
    </row>
    <row r="2843" spans="1:19" x14ac:dyDescent="0.3">
      <c r="A2843" s="17">
        <v>41914</v>
      </c>
      <c r="B2843">
        <v>546.69000000000005</v>
      </c>
      <c r="C2843">
        <v>91.8</v>
      </c>
      <c r="D2843">
        <f t="shared" si="318"/>
        <v>454.89000000000004</v>
      </c>
      <c r="E2843">
        <v>0.88</v>
      </c>
      <c r="F2843">
        <f t="shared" si="319"/>
        <v>-454.01000000000005</v>
      </c>
      <c r="I2843">
        <f t="shared" si="315"/>
        <v>2</v>
      </c>
      <c r="J2843">
        <v>1</v>
      </c>
      <c r="K2843">
        <f t="shared" si="316"/>
        <v>10</v>
      </c>
      <c r="L2843">
        <f t="shared" si="317"/>
        <v>2014</v>
      </c>
      <c r="N2843" s="17">
        <f t="shared" si="320"/>
        <v>41913</v>
      </c>
      <c r="S2843">
        <f t="shared" si="321"/>
        <v>1</v>
      </c>
    </row>
    <row r="2844" spans="1:19" x14ac:dyDescent="0.3">
      <c r="A2844" s="17">
        <v>41913</v>
      </c>
      <c r="B2844">
        <v>552.33000000000004</v>
      </c>
      <c r="C2844">
        <v>93.5</v>
      </c>
      <c r="D2844">
        <f t="shared" si="318"/>
        <v>458.83000000000004</v>
      </c>
      <c r="E2844">
        <v>0.82</v>
      </c>
      <c r="F2844">
        <f t="shared" si="319"/>
        <v>-458.01000000000005</v>
      </c>
      <c r="I2844">
        <f t="shared" si="315"/>
        <v>1</v>
      </c>
      <c r="J2844">
        <v>1</v>
      </c>
      <c r="K2844">
        <f t="shared" si="316"/>
        <v>10</v>
      </c>
      <c r="L2844">
        <f t="shared" si="317"/>
        <v>2014</v>
      </c>
      <c r="N2844" s="17">
        <f t="shared" si="320"/>
        <v>41913</v>
      </c>
      <c r="S2844">
        <f t="shared" si="321"/>
        <v>1</v>
      </c>
    </row>
    <row r="2845" spans="1:19" x14ac:dyDescent="0.3">
      <c r="A2845" s="17">
        <v>41912</v>
      </c>
      <c r="B2845">
        <v>560.96</v>
      </c>
      <c r="C2845">
        <v>94.605000000000004</v>
      </c>
      <c r="D2845">
        <f t="shared" si="318"/>
        <v>466.35500000000002</v>
      </c>
      <c r="E2845">
        <v>0.85</v>
      </c>
      <c r="F2845">
        <f t="shared" si="319"/>
        <v>-465.505</v>
      </c>
      <c r="I2845">
        <f t="shared" si="315"/>
        <v>30</v>
      </c>
      <c r="J2845">
        <v>1</v>
      </c>
      <c r="K2845">
        <f t="shared" si="316"/>
        <v>9</v>
      </c>
      <c r="L2845">
        <f t="shared" si="317"/>
        <v>2014</v>
      </c>
      <c r="N2845" s="17">
        <f t="shared" si="320"/>
        <v>41883</v>
      </c>
      <c r="S2845">
        <f t="shared" si="321"/>
        <v>0</v>
      </c>
    </row>
    <row r="2846" spans="1:19" x14ac:dyDescent="0.3">
      <c r="A2846" s="17">
        <v>41911</v>
      </c>
      <c r="B2846">
        <v>556.79999999999995</v>
      </c>
      <c r="C2846">
        <v>94</v>
      </c>
      <c r="D2846">
        <f t="shared" si="318"/>
        <v>462.79999999999995</v>
      </c>
      <c r="E2846">
        <v>0.84</v>
      </c>
      <c r="F2846">
        <f t="shared" si="319"/>
        <v>-461.96</v>
      </c>
      <c r="I2846">
        <f t="shared" si="315"/>
        <v>29</v>
      </c>
      <c r="J2846">
        <v>1</v>
      </c>
      <c r="K2846">
        <f t="shared" si="316"/>
        <v>9</v>
      </c>
      <c r="L2846">
        <f t="shared" si="317"/>
        <v>2014</v>
      </c>
      <c r="N2846" s="17">
        <f t="shared" si="320"/>
        <v>41883</v>
      </c>
      <c r="S2846">
        <f t="shared" si="321"/>
        <v>0</v>
      </c>
    </row>
    <row r="2847" spans="1:19" x14ac:dyDescent="0.3">
      <c r="A2847" s="17">
        <v>41908</v>
      </c>
      <c r="B2847">
        <v>560.21</v>
      </c>
      <c r="C2847">
        <v>94.09</v>
      </c>
      <c r="D2847">
        <f t="shared" si="318"/>
        <v>466.12</v>
      </c>
      <c r="E2847">
        <v>0.84</v>
      </c>
      <c r="F2847">
        <f t="shared" si="319"/>
        <v>-465.28000000000003</v>
      </c>
      <c r="I2847">
        <f t="shared" si="315"/>
        <v>26</v>
      </c>
      <c r="J2847">
        <v>1</v>
      </c>
      <c r="K2847">
        <f t="shared" si="316"/>
        <v>9</v>
      </c>
      <c r="L2847">
        <f t="shared" si="317"/>
        <v>2014</v>
      </c>
      <c r="N2847" s="17">
        <f t="shared" si="320"/>
        <v>41883</v>
      </c>
      <c r="S2847">
        <f t="shared" si="321"/>
        <v>0</v>
      </c>
    </row>
    <row r="2848" spans="1:19" x14ac:dyDescent="0.3">
      <c r="A2848" s="17">
        <v>41907</v>
      </c>
      <c r="B2848">
        <v>561.75</v>
      </c>
      <c r="C2848">
        <v>94.29</v>
      </c>
      <c r="D2848">
        <f t="shared" si="318"/>
        <v>467.46</v>
      </c>
      <c r="E2848">
        <v>0.8</v>
      </c>
      <c r="F2848">
        <f t="shared" si="319"/>
        <v>-466.65999999999997</v>
      </c>
      <c r="I2848">
        <f t="shared" si="315"/>
        <v>25</v>
      </c>
      <c r="J2848">
        <v>1</v>
      </c>
      <c r="K2848">
        <f t="shared" si="316"/>
        <v>9</v>
      </c>
      <c r="L2848">
        <f t="shared" si="317"/>
        <v>2014</v>
      </c>
      <c r="N2848" s="17">
        <f t="shared" si="320"/>
        <v>41883</v>
      </c>
      <c r="S2848">
        <f t="shared" si="321"/>
        <v>0</v>
      </c>
    </row>
    <row r="2849" spans="1:19" x14ac:dyDescent="0.3">
      <c r="A2849" s="17">
        <v>41906</v>
      </c>
      <c r="B2849">
        <v>561.13</v>
      </c>
      <c r="C2849">
        <v>94.39</v>
      </c>
      <c r="D2849">
        <f t="shared" si="318"/>
        <v>466.74</v>
      </c>
      <c r="E2849">
        <v>0.79</v>
      </c>
      <c r="F2849">
        <f t="shared" si="319"/>
        <v>-465.95</v>
      </c>
      <c r="I2849">
        <f t="shared" si="315"/>
        <v>24</v>
      </c>
      <c r="J2849">
        <v>1</v>
      </c>
      <c r="K2849">
        <f t="shared" si="316"/>
        <v>9</v>
      </c>
      <c r="L2849">
        <f t="shared" si="317"/>
        <v>2014</v>
      </c>
      <c r="N2849" s="17">
        <f t="shared" si="320"/>
        <v>41883</v>
      </c>
      <c r="S2849">
        <f t="shared" si="321"/>
        <v>0</v>
      </c>
    </row>
    <row r="2850" spans="1:19" x14ac:dyDescent="0.3">
      <c r="A2850" s="17">
        <v>41905</v>
      </c>
      <c r="B2850">
        <v>563.1</v>
      </c>
      <c r="C2850">
        <v>94.59</v>
      </c>
      <c r="D2850">
        <f t="shared" si="318"/>
        <v>468.51</v>
      </c>
      <c r="E2850">
        <v>0.8</v>
      </c>
      <c r="F2850">
        <f t="shared" si="319"/>
        <v>-467.71</v>
      </c>
      <c r="I2850">
        <f t="shared" si="315"/>
        <v>23</v>
      </c>
      <c r="J2850">
        <v>1</v>
      </c>
      <c r="K2850">
        <f t="shared" si="316"/>
        <v>9</v>
      </c>
      <c r="L2850">
        <f t="shared" si="317"/>
        <v>2014</v>
      </c>
      <c r="N2850" s="17">
        <f t="shared" si="320"/>
        <v>41883</v>
      </c>
      <c r="S2850">
        <f t="shared" si="321"/>
        <v>0</v>
      </c>
    </row>
    <row r="2851" spans="1:19" x14ac:dyDescent="0.3">
      <c r="A2851" s="17">
        <v>41904</v>
      </c>
      <c r="B2851">
        <v>563.28</v>
      </c>
      <c r="C2851">
        <v>94.94</v>
      </c>
      <c r="D2851">
        <f t="shared" si="318"/>
        <v>468.34</v>
      </c>
      <c r="E2851">
        <v>0.84</v>
      </c>
      <c r="F2851">
        <f t="shared" si="319"/>
        <v>-467.5</v>
      </c>
      <c r="I2851">
        <f t="shared" si="315"/>
        <v>22</v>
      </c>
      <c r="J2851">
        <v>1</v>
      </c>
      <c r="K2851">
        <f t="shared" si="316"/>
        <v>9</v>
      </c>
      <c r="L2851">
        <f t="shared" si="317"/>
        <v>2014</v>
      </c>
      <c r="N2851" s="17">
        <f t="shared" si="320"/>
        <v>41883</v>
      </c>
      <c r="S2851">
        <f t="shared" si="321"/>
        <v>0</v>
      </c>
    </row>
    <row r="2852" spans="1:19" x14ac:dyDescent="0.3">
      <c r="A2852" s="17">
        <v>41901</v>
      </c>
      <c r="B2852">
        <v>562.73</v>
      </c>
      <c r="C2852">
        <v>94.6</v>
      </c>
      <c r="D2852">
        <f t="shared" si="318"/>
        <v>468.13</v>
      </c>
      <c r="E2852">
        <v>0.84</v>
      </c>
      <c r="F2852">
        <f t="shared" si="319"/>
        <v>-467.29</v>
      </c>
      <c r="I2852">
        <f t="shared" si="315"/>
        <v>19</v>
      </c>
      <c r="J2852">
        <v>1</v>
      </c>
      <c r="K2852">
        <f t="shared" si="316"/>
        <v>9</v>
      </c>
      <c r="L2852">
        <f t="shared" si="317"/>
        <v>2014</v>
      </c>
      <c r="N2852" s="17">
        <f t="shared" si="320"/>
        <v>41883</v>
      </c>
      <c r="S2852">
        <f t="shared" si="321"/>
        <v>0</v>
      </c>
    </row>
    <row r="2853" spans="1:19" x14ac:dyDescent="0.3">
      <c r="A2853" s="17">
        <v>41900</v>
      </c>
      <c r="B2853">
        <v>566.96</v>
      </c>
      <c r="C2853">
        <v>95.8</v>
      </c>
      <c r="D2853">
        <f t="shared" si="318"/>
        <v>471.16</v>
      </c>
      <c r="E2853">
        <v>0.85</v>
      </c>
      <c r="F2853">
        <f t="shared" si="319"/>
        <v>-470.31</v>
      </c>
      <c r="I2853">
        <f t="shared" si="315"/>
        <v>18</v>
      </c>
      <c r="J2853">
        <v>1</v>
      </c>
      <c r="K2853">
        <f t="shared" si="316"/>
        <v>9</v>
      </c>
      <c r="L2853">
        <f t="shared" si="317"/>
        <v>2014</v>
      </c>
      <c r="N2853" s="17">
        <f t="shared" si="320"/>
        <v>41883</v>
      </c>
      <c r="S2853">
        <f t="shared" si="321"/>
        <v>0</v>
      </c>
    </row>
    <row r="2854" spans="1:19" x14ac:dyDescent="0.3">
      <c r="A2854" s="17">
        <v>41899</v>
      </c>
      <c r="B2854">
        <v>567.4</v>
      </c>
      <c r="C2854">
        <v>96.21</v>
      </c>
      <c r="D2854">
        <f t="shared" si="318"/>
        <v>471.19</v>
      </c>
      <c r="E2854">
        <v>0.93</v>
      </c>
      <c r="F2854">
        <f t="shared" si="319"/>
        <v>-470.26</v>
      </c>
      <c r="I2854">
        <f t="shared" si="315"/>
        <v>17</v>
      </c>
      <c r="J2854">
        <v>1</v>
      </c>
      <c r="K2854">
        <f t="shared" si="316"/>
        <v>9</v>
      </c>
      <c r="L2854">
        <f t="shared" si="317"/>
        <v>2014</v>
      </c>
      <c r="N2854" s="17">
        <f t="shared" si="320"/>
        <v>41883</v>
      </c>
      <c r="S2854">
        <f t="shared" si="321"/>
        <v>0</v>
      </c>
    </row>
    <row r="2855" spans="1:19" x14ac:dyDescent="0.3">
      <c r="A2855" s="17">
        <v>41898</v>
      </c>
      <c r="B2855">
        <v>562.29999999999995</v>
      </c>
      <c r="C2855">
        <v>95.21</v>
      </c>
      <c r="D2855">
        <f t="shared" si="318"/>
        <v>467.09</v>
      </c>
      <c r="E2855">
        <v>0.95</v>
      </c>
      <c r="F2855">
        <f t="shared" si="319"/>
        <v>-466.14</v>
      </c>
      <c r="I2855">
        <f t="shared" si="315"/>
        <v>16</v>
      </c>
      <c r="J2855">
        <v>1</v>
      </c>
      <c r="K2855">
        <f t="shared" si="316"/>
        <v>9</v>
      </c>
      <c r="L2855">
        <f t="shared" si="317"/>
        <v>2014</v>
      </c>
      <c r="N2855" s="17">
        <f t="shared" si="320"/>
        <v>41883</v>
      </c>
      <c r="S2855">
        <f t="shared" si="321"/>
        <v>0</v>
      </c>
    </row>
    <row r="2856" spans="1:19" x14ac:dyDescent="0.3">
      <c r="A2856" s="17">
        <v>41897</v>
      </c>
      <c r="B2856">
        <v>564.64</v>
      </c>
      <c r="C2856">
        <v>95.07</v>
      </c>
      <c r="D2856">
        <f t="shared" si="318"/>
        <v>469.57</v>
      </c>
      <c r="E2856">
        <v>0.95</v>
      </c>
      <c r="F2856">
        <f t="shared" si="319"/>
        <v>-468.62</v>
      </c>
      <c r="I2856">
        <f t="shared" si="315"/>
        <v>15</v>
      </c>
      <c r="J2856">
        <v>1</v>
      </c>
      <c r="K2856">
        <f t="shared" si="316"/>
        <v>9</v>
      </c>
      <c r="L2856">
        <f t="shared" si="317"/>
        <v>2014</v>
      </c>
      <c r="N2856" s="17">
        <f t="shared" si="320"/>
        <v>41883</v>
      </c>
      <c r="S2856">
        <f t="shared" si="321"/>
        <v>0</v>
      </c>
    </row>
    <row r="2857" spans="1:19" x14ac:dyDescent="0.3">
      <c r="A2857" s="17">
        <v>41894</v>
      </c>
      <c r="B2857">
        <v>575.42999999999995</v>
      </c>
      <c r="C2857">
        <v>96.81</v>
      </c>
      <c r="D2857">
        <f t="shared" si="318"/>
        <v>478.61999999999995</v>
      </c>
      <c r="E2857">
        <v>0.93</v>
      </c>
      <c r="F2857">
        <f t="shared" si="319"/>
        <v>-477.68999999999994</v>
      </c>
      <c r="I2857">
        <f t="shared" si="315"/>
        <v>12</v>
      </c>
      <c r="J2857">
        <v>1</v>
      </c>
      <c r="K2857">
        <f t="shared" si="316"/>
        <v>9</v>
      </c>
      <c r="L2857">
        <f t="shared" si="317"/>
        <v>2014</v>
      </c>
      <c r="N2857" s="17">
        <f t="shared" si="320"/>
        <v>41883</v>
      </c>
      <c r="S2857">
        <f t="shared" si="321"/>
        <v>0</v>
      </c>
    </row>
    <row r="2858" spans="1:19" x14ac:dyDescent="0.3">
      <c r="A2858" s="17">
        <v>41893</v>
      </c>
      <c r="B2858">
        <v>575.66999999999996</v>
      </c>
      <c r="C2858">
        <v>95.8</v>
      </c>
      <c r="D2858">
        <f t="shared" si="318"/>
        <v>479.86999999999995</v>
      </c>
      <c r="E2858">
        <v>0.93</v>
      </c>
      <c r="F2858">
        <f t="shared" si="319"/>
        <v>-478.93999999999994</v>
      </c>
      <c r="I2858">
        <f t="shared" si="315"/>
        <v>11</v>
      </c>
      <c r="J2858">
        <v>1</v>
      </c>
      <c r="K2858">
        <f t="shared" si="316"/>
        <v>9</v>
      </c>
      <c r="L2858">
        <f t="shared" si="317"/>
        <v>2014</v>
      </c>
      <c r="N2858" s="17">
        <f t="shared" si="320"/>
        <v>41883</v>
      </c>
      <c r="S2858">
        <f t="shared" si="321"/>
        <v>0</v>
      </c>
    </row>
    <row r="2859" spans="1:19" x14ac:dyDescent="0.3">
      <c r="A2859" s="17">
        <v>41892</v>
      </c>
      <c r="B2859">
        <v>578.33000000000004</v>
      </c>
      <c r="C2859">
        <v>96.99</v>
      </c>
      <c r="D2859">
        <f t="shared" si="318"/>
        <v>481.34000000000003</v>
      </c>
      <c r="E2859">
        <v>0.94</v>
      </c>
      <c r="F2859">
        <f t="shared" si="319"/>
        <v>-480.40000000000003</v>
      </c>
      <c r="I2859">
        <f t="shared" si="315"/>
        <v>10</v>
      </c>
      <c r="J2859">
        <v>1</v>
      </c>
      <c r="K2859">
        <f t="shared" si="316"/>
        <v>9</v>
      </c>
      <c r="L2859">
        <f t="shared" si="317"/>
        <v>2014</v>
      </c>
      <c r="N2859" s="17">
        <f t="shared" si="320"/>
        <v>41883</v>
      </c>
      <c r="S2859">
        <f t="shared" si="321"/>
        <v>0</v>
      </c>
    </row>
    <row r="2860" spans="1:19" x14ac:dyDescent="0.3">
      <c r="A2860" s="17">
        <v>41891</v>
      </c>
      <c r="B2860">
        <v>578.21</v>
      </c>
      <c r="C2860">
        <v>97.79</v>
      </c>
      <c r="D2860">
        <f t="shared" si="318"/>
        <v>480.42</v>
      </c>
      <c r="E2860">
        <v>0.94</v>
      </c>
      <c r="F2860">
        <f t="shared" si="319"/>
        <v>-479.48</v>
      </c>
      <c r="I2860">
        <f t="shared" si="315"/>
        <v>9</v>
      </c>
      <c r="J2860">
        <v>1</v>
      </c>
      <c r="K2860">
        <f t="shared" si="316"/>
        <v>9</v>
      </c>
      <c r="L2860">
        <f t="shared" si="317"/>
        <v>2014</v>
      </c>
      <c r="N2860" s="17">
        <f t="shared" si="320"/>
        <v>41883</v>
      </c>
      <c r="S2860">
        <f t="shared" si="321"/>
        <v>0</v>
      </c>
    </row>
    <row r="2861" spans="1:19" x14ac:dyDescent="0.3">
      <c r="A2861" s="17">
        <v>41890</v>
      </c>
      <c r="B2861">
        <v>576.01</v>
      </c>
      <c r="C2861">
        <v>97.8</v>
      </c>
      <c r="D2861">
        <f t="shared" si="318"/>
        <v>478.21</v>
      </c>
      <c r="E2861">
        <v>0.88</v>
      </c>
      <c r="F2861">
        <f t="shared" si="319"/>
        <v>-477.33</v>
      </c>
      <c r="I2861">
        <f t="shared" si="315"/>
        <v>8</v>
      </c>
      <c r="J2861">
        <v>1</v>
      </c>
      <c r="K2861">
        <f t="shared" si="316"/>
        <v>9</v>
      </c>
      <c r="L2861">
        <f t="shared" si="317"/>
        <v>2014</v>
      </c>
      <c r="N2861" s="17">
        <f t="shared" si="320"/>
        <v>41883</v>
      </c>
      <c r="S2861">
        <f t="shared" si="321"/>
        <v>0</v>
      </c>
    </row>
    <row r="2862" spans="1:19" x14ac:dyDescent="0.3">
      <c r="A2862" s="17">
        <v>41887</v>
      </c>
      <c r="B2862">
        <v>582.63</v>
      </c>
      <c r="C2862">
        <v>99.48</v>
      </c>
      <c r="D2862">
        <f t="shared" si="318"/>
        <v>483.15</v>
      </c>
      <c r="E2862">
        <v>0.91</v>
      </c>
      <c r="F2862">
        <f t="shared" si="319"/>
        <v>-482.23999999999995</v>
      </c>
      <c r="I2862">
        <f t="shared" si="315"/>
        <v>5</v>
      </c>
      <c r="J2862">
        <v>1</v>
      </c>
      <c r="K2862">
        <f t="shared" si="316"/>
        <v>9</v>
      </c>
      <c r="L2862">
        <f t="shared" si="317"/>
        <v>2014</v>
      </c>
      <c r="N2862" s="17">
        <f t="shared" si="320"/>
        <v>41883</v>
      </c>
      <c r="S2862">
        <f t="shared" si="321"/>
        <v>0</v>
      </c>
    </row>
    <row r="2863" spans="1:19" x14ac:dyDescent="0.3">
      <c r="A2863" s="17">
        <v>41886</v>
      </c>
      <c r="B2863">
        <v>583.51</v>
      </c>
      <c r="C2863">
        <v>99.9</v>
      </c>
      <c r="D2863">
        <f t="shared" si="318"/>
        <v>483.61</v>
      </c>
      <c r="E2863">
        <v>0.93</v>
      </c>
      <c r="F2863">
        <f t="shared" si="319"/>
        <v>-482.68</v>
      </c>
      <c r="I2863">
        <f t="shared" si="315"/>
        <v>4</v>
      </c>
      <c r="J2863">
        <v>1</v>
      </c>
      <c r="K2863">
        <f t="shared" si="316"/>
        <v>9</v>
      </c>
      <c r="L2863">
        <f t="shared" si="317"/>
        <v>2014</v>
      </c>
      <c r="N2863" s="17">
        <f t="shared" si="320"/>
        <v>41883</v>
      </c>
      <c r="S2863">
        <f t="shared" si="321"/>
        <v>1</v>
      </c>
    </row>
    <row r="2864" spans="1:19" x14ac:dyDescent="0.3">
      <c r="A2864" s="17">
        <v>41885</v>
      </c>
      <c r="B2864">
        <v>577.88</v>
      </c>
      <c r="C2864">
        <v>98.91</v>
      </c>
      <c r="D2864">
        <f t="shared" si="318"/>
        <v>478.97</v>
      </c>
      <c r="E2864">
        <v>0.96</v>
      </c>
      <c r="F2864">
        <f t="shared" si="319"/>
        <v>-478.01000000000005</v>
      </c>
      <c r="I2864">
        <f t="shared" si="315"/>
        <v>3</v>
      </c>
      <c r="J2864">
        <v>1</v>
      </c>
      <c r="K2864">
        <f t="shared" si="316"/>
        <v>9</v>
      </c>
      <c r="L2864">
        <f t="shared" si="317"/>
        <v>2014</v>
      </c>
      <c r="N2864" s="17">
        <f t="shared" si="320"/>
        <v>41883</v>
      </c>
      <c r="S2864">
        <f t="shared" si="321"/>
        <v>1</v>
      </c>
    </row>
    <row r="2865" spans="1:19" x14ac:dyDescent="0.3">
      <c r="A2865" s="17">
        <v>41884</v>
      </c>
      <c r="B2865">
        <v>583.04999999999995</v>
      </c>
      <c r="C2865">
        <v>100.19</v>
      </c>
      <c r="D2865">
        <f t="shared" si="318"/>
        <v>482.85999999999996</v>
      </c>
      <c r="E2865">
        <v>1.01</v>
      </c>
      <c r="F2865">
        <f t="shared" si="319"/>
        <v>-481.84999999999997</v>
      </c>
      <c r="I2865">
        <f t="shared" si="315"/>
        <v>2</v>
      </c>
      <c r="J2865">
        <v>1</v>
      </c>
      <c r="K2865">
        <f t="shared" si="316"/>
        <v>9</v>
      </c>
      <c r="L2865">
        <f t="shared" si="317"/>
        <v>2014</v>
      </c>
      <c r="N2865" s="17">
        <f t="shared" si="320"/>
        <v>41883</v>
      </c>
      <c r="S2865">
        <f t="shared" si="321"/>
        <v>1</v>
      </c>
    </row>
    <row r="2866" spans="1:19" x14ac:dyDescent="0.3">
      <c r="A2866" s="17">
        <v>41883</v>
      </c>
      <c r="B2866">
        <v>588.79</v>
      </c>
      <c r="C2866">
        <v>100.93</v>
      </c>
      <c r="D2866">
        <f t="shared" si="318"/>
        <v>487.85999999999996</v>
      </c>
      <c r="E2866">
        <v>1.07</v>
      </c>
      <c r="F2866">
        <f t="shared" si="319"/>
        <v>-486.78999999999996</v>
      </c>
      <c r="I2866">
        <f t="shared" si="315"/>
        <v>1</v>
      </c>
      <c r="J2866">
        <v>1</v>
      </c>
      <c r="K2866">
        <f t="shared" si="316"/>
        <v>9</v>
      </c>
      <c r="L2866">
        <f t="shared" si="317"/>
        <v>2014</v>
      </c>
      <c r="N2866" s="17">
        <f t="shared" si="320"/>
        <v>41883</v>
      </c>
      <c r="S2866">
        <f t="shared" si="321"/>
        <v>1</v>
      </c>
    </row>
    <row r="2867" spans="1:19" x14ac:dyDescent="0.3">
      <c r="A2867" s="17">
        <v>41880</v>
      </c>
      <c r="B2867">
        <v>589.11</v>
      </c>
      <c r="C2867">
        <v>100.29</v>
      </c>
      <c r="D2867">
        <f t="shared" si="318"/>
        <v>488.82</v>
      </c>
      <c r="E2867">
        <v>1.1100000000000001</v>
      </c>
      <c r="F2867">
        <f t="shared" si="319"/>
        <v>-487.71</v>
      </c>
      <c r="I2867">
        <f t="shared" si="315"/>
        <v>29</v>
      </c>
      <c r="J2867">
        <v>1</v>
      </c>
      <c r="K2867">
        <f t="shared" si="316"/>
        <v>8</v>
      </c>
      <c r="L2867">
        <f t="shared" si="317"/>
        <v>2014</v>
      </c>
      <c r="N2867" s="17">
        <f t="shared" si="320"/>
        <v>41852</v>
      </c>
      <c r="S2867">
        <f t="shared" si="321"/>
        <v>0</v>
      </c>
    </row>
    <row r="2868" spans="1:19" x14ac:dyDescent="0.3">
      <c r="A2868" s="17">
        <v>41879</v>
      </c>
      <c r="B2868">
        <v>589.47</v>
      </c>
      <c r="C2868">
        <v>100.59</v>
      </c>
      <c r="D2868">
        <f t="shared" si="318"/>
        <v>488.88</v>
      </c>
      <c r="E2868">
        <v>1.07</v>
      </c>
      <c r="F2868">
        <f t="shared" si="319"/>
        <v>-487.81</v>
      </c>
      <c r="I2868">
        <f t="shared" si="315"/>
        <v>28</v>
      </c>
      <c r="J2868">
        <v>1</v>
      </c>
      <c r="K2868">
        <f t="shared" si="316"/>
        <v>8</v>
      </c>
      <c r="L2868">
        <f t="shared" si="317"/>
        <v>2014</v>
      </c>
      <c r="N2868" s="17">
        <f t="shared" si="320"/>
        <v>41852</v>
      </c>
      <c r="S2868">
        <f t="shared" si="321"/>
        <v>0</v>
      </c>
    </row>
    <row r="2869" spans="1:19" x14ac:dyDescent="0.3">
      <c r="A2869" s="17">
        <v>41878</v>
      </c>
      <c r="B2869">
        <v>588.66999999999996</v>
      </c>
      <c r="C2869">
        <v>101.2</v>
      </c>
      <c r="D2869">
        <f t="shared" si="318"/>
        <v>487.46999999999997</v>
      </c>
      <c r="E2869">
        <v>1.1100000000000001</v>
      </c>
      <c r="F2869">
        <f t="shared" si="319"/>
        <v>-486.35999999999996</v>
      </c>
      <c r="I2869">
        <f t="shared" si="315"/>
        <v>27</v>
      </c>
      <c r="J2869">
        <v>1</v>
      </c>
      <c r="K2869">
        <f t="shared" si="316"/>
        <v>8</v>
      </c>
      <c r="L2869">
        <f t="shared" si="317"/>
        <v>2014</v>
      </c>
      <c r="N2869" s="17">
        <f t="shared" si="320"/>
        <v>41852</v>
      </c>
      <c r="S2869">
        <f t="shared" si="321"/>
        <v>0</v>
      </c>
    </row>
    <row r="2870" spans="1:19" x14ac:dyDescent="0.3">
      <c r="A2870" s="17">
        <v>41877</v>
      </c>
      <c r="B2870">
        <v>583.88</v>
      </c>
      <c r="C2870">
        <v>100.76</v>
      </c>
      <c r="D2870">
        <f t="shared" si="318"/>
        <v>483.12</v>
      </c>
      <c r="E2870">
        <v>1.02</v>
      </c>
      <c r="F2870">
        <f t="shared" si="319"/>
        <v>-482.1</v>
      </c>
      <c r="I2870">
        <f t="shared" si="315"/>
        <v>26</v>
      </c>
      <c r="J2870">
        <v>1</v>
      </c>
      <c r="K2870">
        <f t="shared" si="316"/>
        <v>8</v>
      </c>
      <c r="L2870">
        <f t="shared" si="317"/>
        <v>2014</v>
      </c>
      <c r="N2870" s="17">
        <f t="shared" si="320"/>
        <v>41852</v>
      </c>
      <c r="S2870">
        <f t="shared" si="321"/>
        <v>0</v>
      </c>
    </row>
    <row r="2871" spans="1:19" x14ac:dyDescent="0.3">
      <c r="A2871" s="17">
        <v>41876</v>
      </c>
      <c r="B2871">
        <v>582.47</v>
      </c>
      <c r="C2871">
        <v>100.11</v>
      </c>
      <c r="D2871">
        <f t="shared" si="318"/>
        <v>482.36</v>
      </c>
      <c r="E2871">
        <v>0.95</v>
      </c>
      <c r="F2871">
        <f t="shared" si="319"/>
        <v>-481.41</v>
      </c>
      <c r="I2871">
        <f t="shared" si="315"/>
        <v>25</v>
      </c>
      <c r="J2871">
        <v>1</v>
      </c>
      <c r="K2871">
        <f t="shared" si="316"/>
        <v>8</v>
      </c>
      <c r="L2871">
        <f t="shared" si="317"/>
        <v>2014</v>
      </c>
      <c r="N2871" s="17">
        <f t="shared" si="320"/>
        <v>41852</v>
      </c>
      <c r="S2871">
        <f t="shared" si="321"/>
        <v>0</v>
      </c>
    </row>
    <row r="2872" spans="1:19" x14ac:dyDescent="0.3">
      <c r="A2872" s="17">
        <v>41873</v>
      </c>
      <c r="B2872">
        <v>586.75</v>
      </c>
      <c r="C2872">
        <v>99.99</v>
      </c>
      <c r="D2872">
        <f t="shared" si="318"/>
        <v>486.76</v>
      </c>
      <c r="E2872">
        <v>0.87</v>
      </c>
      <c r="F2872">
        <f t="shared" si="319"/>
        <v>-485.89</v>
      </c>
      <c r="I2872">
        <f t="shared" si="315"/>
        <v>22</v>
      </c>
      <c r="J2872">
        <v>1</v>
      </c>
      <c r="K2872">
        <f t="shared" si="316"/>
        <v>8</v>
      </c>
      <c r="L2872">
        <f t="shared" si="317"/>
        <v>2014</v>
      </c>
      <c r="N2872" s="17">
        <f t="shared" si="320"/>
        <v>41852</v>
      </c>
      <c r="S2872">
        <f t="shared" si="321"/>
        <v>0</v>
      </c>
    </row>
    <row r="2873" spans="1:19" x14ac:dyDescent="0.3">
      <c r="A2873" s="17">
        <v>41872</v>
      </c>
      <c r="B2873">
        <v>584.54</v>
      </c>
      <c r="C2873">
        <v>99.29</v>
      </c>
      <c r="D2873">
        <f t="shared" si="318"/>
        <v>485.24999999999994</v>
      </c>
      <c r="E2873">
        <v>0.94</v>
      </c>
      <c r="F2873">
        <f t="shared" si="319"/>
        <v>-484.30999999999995</v>
      </c>
      <c r="I2873">
        <f t="shared" si="315"/>
        <v>21</v>
      </c>
      <c r="J2873">
        <v>1</v>
      </c>
      <c r="K2873">
        <f t="shared" si="316"/>
        <v>8</v>
      </c>
      <c r="L2873">
        <f t="shared" si="317"/>
        <v>2014</v>
      </c>
      <c r="N2873" s="17">
        <f t="shared" si="320"/>
        <v>41852</v>
      </c>
      <c r="S2873">
        <f t="shared" si="321"/>
        <v>0</v>
      </c>
    </row>
    <row r="2874" spans="1:19" x14ac:dyDescent="0.3">
      <c r="A2874" s="17">
        <v>41871</v>
      </c>
      <c r="B2874">
        <v>585.49</v>
      </c>
      <c r="C2874">
        <v>100.09</v>
      </c>
      <c r="D2874">
        <f t="shared" si="318"/>
        <v>485.4</v>
      </c>
      <c r="E2874">
        <v>0.99</v>
      </c>
      <c r="F2874">
        <f t="shared" si="319"/>
        <v>-484.40999999999997</v>
      </c>
      <c r="I2874">
        <f t="shared" si="315"/>
        <v>20</v>
      </c>
      <c r="J2874">
        <v>1</v>
      </c>
      <c r="K2874">
        <f t="shared" si="316"/>
        <v>8</v>
      </c>
      <c r="L2874">
        <f t="shared" si="317"/>
        <v>2014</v>
      </c>
      <c r="N2874" s="17">
        <f t="shared" si="320"/>
        <v>41852</v>
      </c>
      <c r="S2874">
        <f t="shared" si="321"/>
        <v>0</v>
      </c>
    </row>
    <row r="2875" spans="1:19" x14ac:dyDescent="0.3">
      <c r="A2875" s="17">
        <v>41870</v>
      </c>
      <c r="B2875">
        <v>583.83000000000004</v>
      </c>
      <c r="C2875">
        <v>99.8</v>
      </c>
      <c r="D2875">
        <f t="shared" si="318"/>
        <v>484.03000000000003</v>
      </c>
      <c r="E2875">
        <v>1.08</v>
      </c>
      <c r="F2875">
        <f t="shared" si="319"/>
        <v>-482.95000000000005</v>
      </c>
      <c r="I2875">
        <f t="shared" si="315"/>
        <v>19</v>
      </c>
      <c r="J2875">
        <v>1</v>
      </c>
      <c r="K2875">
        <f t="shared" si="316"/>
        <v>8</v>
      </c>
      <c r="L2875">
        <f t="shared" si="317"/>
        <v>2014</v>
      </c>
      <c r="N2875" s="17">
        <f t="shared" si="320"/>
        <v>41852</v>
      </c>
      <c r="S2875">
        <f t="shared" si="321"/>
        <v>0</v>
      </c>
    </row>
    <row r="2876" spans="1:19" x14ac:dyDescent="0.3">
      <c r="A2876" s="17">
        <v>41869</v>
      </c>
      <c r="B2876">
        <v>584.41</v>
      </c>
      <c r="C2876">
        <v>100.49</v>
      </c>
      <c r="D2876">
        <f t="shared" si="318"/>
        <v>483.91999999999996</v>
      </c>
      <c r="E2876">
        <v>1.0900000000000001</v>
      </c>
      <c r="F2876">
        <f t="shared" si="319"/>
        <v>-482.83</v>
      </c>
      <c r="I2876">
        <f t="shared" si="315"/>
        <v>18</v>
      </c>
      <c r="J2876">
        <v>1</v>
      </c>
      <c r="K2876">
        <f t="shared" si="316"/>
        <v>8</v>
      </c>
      <c r="L2876">
        <f t="shared" si="317"/>
        <v>2014</v>
      </c>
      <c r="N2876" s="17">
        <f t="shared" si="320"/>
        <v>41852</v>
      </c>
      <c r="S2876">
        <f t="shared" si="321"/>
        <v>0</v>
      </c>
    </row>
    <row r="2877" spans="1:19" x14ac:dyDescent="0.3">
      <c r="A2877" s="17">
        <v>41866</v>
      </c>
      <c r="B2877">
        <v>583.16999999999996</v>
      </c>
      <c r="C2877">
        <v>100.4</v>
      </c>
      <c r="D2877">
        <f t="shared" si="318"/>
        <v>482.77</v>
      </c>
      <c r="E2877">
        <v>1.1399999999999999</v>
      </c>
      <c r="F2877">
        <f t="shared" si="319"/>
        <v>-481.63</v>
      </c>
      <c r="I2877">
        <f t="shared" si="315"/>
        <v>15</v>
      </c>
      <c r="J2877">
        <v>1</v>
      </c>
      <c r="K2877">
        <f t="shared" si="316"/>
        <v>8</v>
      </c>
      <c r="L2877">
        <f t="shared" si="317"/>
        <v>2014</v>
      </c>
      <c r="N2877" s="17">
        <f t="shared" si="320"/>
        <v>41852</v>
      </c>
      <c r="S2877">
        <f t="shared" si="321"/>
        <v>0</v>
      </c>
    </row>
    <row r="2878" spans="1:19" x14ac:dyDescent="0.3">
      <c r="A2878" s="17">
        <v>41865</v>
      </c>
      <c r="B2878">
        <v>588.22</v>
      </c>
      <c r="C2878">
        <v>102.6</v>
      </c>
      <c r="D2878">
        <f t="shared" si="318"/>
        <v>485.62</v>
      </c>
      <c r="E2878">
        <v>1.1499999999999999</v>
      </c>
      <c r="F2878">
        <f t="shared" si="319"/>
        <v>-484.47</v>
      </c>
      <c r="I2878">
        <f t="shared" si="315"/>
        <v>14</v>
      </c>
      <c r="J2878">
        <v>1</v>
      </c>
      <c r="K2878">
        <f t="shared" si="316"/>
        <v>8</v>
      </c>
      <c r="L2878">
        <f t="shared" si="317"/>
        <v>2014</v>
      </c>
      <c r="N2878" s="17">
        <f t="shared" si="320"/>
        <v>41852</v>
      </c>
      <c r="S2878">
        <f t="shared" si="321"/>
        <v>0</v>
      </c>
    </row>
    <row r="2879" spans="1:19" x14ac:dyDescent="0.3">
      <c r="A2879" s="17">
        <v>41864</v>
      </c>
      <c r="B2879">
        <v>583.02</v>
      </c>
      <c r="C2879">
        <v>101.59</v>
      </c>
      <c r="D2879">
        <f t="shared" si="318"/>
        <v>481.42999999999995</v>
      </c>
      <c r="E2879">
        <v>1.1000000000000001</v>
      </c>
      <c r="F2879">
        <f t="shared" si="319"/>
        <v>-480.32999999999993</v>
      </c>
      <c r="I2879">
        <f t="shared" si="315"/>
        <v>13</v>
      </c>
      <c r="J2879">
        <v>1</v>
      </c>
      <c r="K2879">
        <f t="shared" si="316"/>
        <v>8</v>
      </c>
      <c r="L2879">
        <f t="shared" si="317"/>
        <v>2014</v>
      </c>
      <c r="N2879" s="17">
        <f t="shared" si="320"/>
        <v>41852</v>
      </c>
      <c r="S2879">
        <f t="shared" si="321"/>
        <v>0</v>
      </c>
    </row>
    <row r="2880" spans="1:19" x14ac:dyDescent="0.3">
      <c r="A2880" s="17">
        <v>41863</v>
      </c>
      <c r="B2880">
        <v>585.83000000000004</v>
      </c>
      <c r="C2880">
        <v>102.95</v>
      </c>
      <c r="D2880">
        <f t="shared" si="318"/>
        <v>482.88000000000005</v>
      </c>
      <c r="E2880">
        <v>1.0900000000000001</v>
      </c>
      <c r="F2880">
        <f t="shared" si="319"/>
        <v>-481.79000000000008</v>
      </c>
      <c r="I2880">
        <f t="shared" si="315"/>
        <v>12</v>
      </c>
      <c r="J2880">
        <v>1</v>
      </c>
      <c r="K2880">
        <f t="shared" si="316"/>
        <v>8</v>
      </c>
      <c r="L2880">
        <f t="shared" si="317"/>
        <v>2014</v>
      </c>
      <c r="N2880" s="17">
        <f t="shared" si="320"/>
        <v>41852</v>
      </c>
      <c r="S2880">
        <f t="shared" si="321"/>
        <v>0</v>
      </c>
    </row>
    <row r="2881" spans="1:19" x14ac:dyDescent="0.3">
      <c r="A2881" s="17">
        <v>41862</v>
      </c>
      <c r="B2881">
        <v>587.41</v>
      </c>
      <c r="C2881">
        <v>103.19</v>
      </c>
      <c r="D2881">
        <f t="shared" si="318"/>
        <v>484.21999999999997</v>
      </c>
      <c r="E2881">
        <v>1.1299999999999999</v>
      </c>
      <c r="F2881">
        <f t="shared" si="319"/>
        <v>-483.09</v>
      </c>
      <c r="I2881">
        <f t="shared" si="315"/>
        <v>11</v>
      </c>
      <c r="J2881">
        <v>1</v>
      </c>
      <c r="K2881">
        <f t="shared" si="316"/>
        <v>8</v>
      </c>
      <c r="L2881">
        <f t="shared" si="317"/>
        <v>2014</v>
      </c>
      <c r="N2881" s="17">
        <f t="shared" si="320"/>
        <v>41852</v>
      </c>
      <c r="S2881">
        <f t="shared" si="321"/>
        <v>0</v>
      </c>
    </row>
    <row r="2882" spans="1:19" x14ac:dyDescent="0.3">
      <c r="A2882" s="17">
        <v>41859</v>
      </c>
      <c r="B2882">
        <v>596.57000000000005</v>
      </c>
      <c r="C2882">
        <v>104.65</v>
      </c>
      <c r="D2882">
        <f t="shared" si="318"/>
        <v>491.92000000000007</v>
      </c>
      <c r="E2882">
        <v>1.19</v>
      </c>
      <c r="F2882">
        <f t="shared" si="319"/>
        <v>-490.73000000000008</v>
      </c>
      <c r="I2882">
        <f t="shared" si="315"/>
        <v>8</v>
      </c>
      <c r="J2882">
        <v>1</v>
      </c>
      <c r="K2882">
        <f t="shared" si="316"/>
        <v>8</v>
      </c>
      <c r="L2882">
        <f t="shared" si="317"/>
        <v>2014</v>
      </c>
      <c r="N2882" s="17">
        <f t="shared" si="320"/>
        <v>41852</v>
      </c>
      <c r="S2882">
        <f t="shared" si="321"/>
        <v>0</v>
      </c>
    </row>
    <row r="2883" spans="1:19" x14ac:dyDescent="0.3">
      <c r="A2883" s="17">
        <v>41858</v>
      </c>
      <c r="B2883">
        <v>589.80999999999995</v>
      </c>
      <c r="C2883">
        <v>103.3</v>
      </c>
      <c r="D2883">
        <f t="shared" si="318"/>
        <v>486.50999999999993</v>
      </c>
      <c r="E2883">
        <v>1.26</v>
      </c>
      <c r="F2883">
        <f t="shared" si="319"/>
        <v>-485.24999999999994</v>
      </c>
      <c r="I2883">
        <f t="shared" si="315"/>
        <v>7</v>
      </c>
      <c r="J2883">
        <v>1</v>
      </c>
      <c r="K2883">
        <f t="shared" si="316"/>
        <v>8</v>
      </c>
      <c r="L2883">
        <f t="shared" si="317"/>
        <v>2014</v>
      </c>
      <c r="N2883" s="17">
        <f t="shared" si="320"/>
        <v>41852</v>
      </c>
      <c r="S2883">
        <f t="shared" si="321"/>
        <v>0</v>
      </c>
    </row>
    <row r="2884" spans="1:19" x14ac:dyDescent="0.3">
      <c r="A2884" s="17">
        <v>41857</v>
      </c>
      <c r="B2884">
        <v>590.09</v>
      </c>
      <c r="C2884">
        <v>103.14</v>
      </c>
      <c r="D2884">
        <f t="shared" si="318"/>
        <v>486.95000000000005</v>
      </c>
      <c r="E2884">
        <v>1.27</v>
      </c>
      <c r="F2884">
        <f t="shared" si="319"/>
        <v>-485.68000000000006</v>
      </c>
      <c r="I2884">
        <f t="shared" si="315"/>
        <v>6</v>
      </c>
      <c r="J2884">
        <v>1</v>
      </c>
      <c r="K2884">
        <f t="shared" si="316"/>
        <v>8</v>
      </c>
      <c r="L2884">
        <f t="shared" si="317"/>
        <v>2014</v>
      </c>
      <c r="N2884" s="17">
        <f t="shared" si="320"/>
        <v>41852</v>
      </c>
      <c r="S2884">
        <f t="shared" si="321"/>
        <v>0</v>
      </c>
    </row>
    <row r="2885" spans="1:19" x14ac:dyDescent="0.3">
      <c r="A2885" s="17">
        <v>41856</v>
      </c>
      <c r="B2885">
        <v>592.95000000000005</v>
      </c>
      <c r="C2885">
        <v>103.69</v>
      </c>
      <c r="D2885">
        <f t="shared" si="318"/>
        <v>489.26000000000005</v>
      </c>
      <c r="E2885">
        <v>1.31</v>
      </c>
      <c r="F2885">
        <f t="shared" si="319"/>
        <v>-487.95000000000005</v>
      </c>
      <c r="I2885">
        <f t="shared" ref="I2885:I2948" si="322">+DAY(A2885)</f>
        <v>5</v>
      </c>
      <c r="J2885">
        <v>1</v>
      </c>
      <c r="K2885">
        <f t="shared" ref="K2885:K2948" si="323">+MONTH(A2885)</f>
        <v>8</v>
      </c>
      <c r="L2885">
        <f t="shared" ref="L2885:L2948" si="324">+YEAR(A2885)</f>
        <v>2014</v>
      </c>
      <c r="N2885" s="17">
        <f t="shared" si="320"/>
        <v>41852</v>
      </c>
      <c r="S2885">
        <f t="shared" si="321"/>
        <v>0</v>
      </c>
    </row>
    <row r="2886" spans="1:19" x14ac:dyDescent="0.3">
      <c r="A2886" s="17">
        <v>41855</v>
      </c>
      <c r="B2886">
        <v>594.4</v>
      </c>
      <c r="C2886">
        <v>103.68</v>
      </c>
      <c r="D2886">
        <f t="shared" ref="D2886:D2949" si="325">+B2886-C2886</f>
        <v>490.71999999999997</v>
      </c>
      <c r="E2886">
        <v>1.31</v>
      </c>
      <c r="F2886">
        <f t="shared" ref="F2886:F2949" si="326">+E2886-D2886</f>
        <v>-489.40999999999997</v>
      </c>
      <c r="I2886">
        <f t="shared" si="322"/>
        <v>4</v>
      </c>
      <c r="J2886">
        <v>1</v>
      </c>
      <c r="K2886">
        <f t="shared" si="323"/>
        <v>8</v>
      </c>
      <c r="L2886">
        <f t="shared" si="324"/>
        <v>2014</v>
      </c>
      <c r="N2886" s="17">
        <f t="shared" ref="N2886:N2949" si="327">+DATE(L2886,K2886,J2886)</f>
        <v>41852</v>
      </c>
      <c r="S2886">
        <f t="shared" ref="S2886:S2949" si="328">IF(AND(I2886&gt;=1, I2886&lt;=4), 1, 0)</f>
        <v>1</v>
      </c>
    </row>
    <row r="2887" spans="1:19" x14ac:dyDescent="0.3">
      <c r="A2887" s="17">
        <v>41852</v>
      </c>
      <c r="B2887">
        <v>596.11</v>
      </c>
      <c r="C2887">
        <v>104.6</v>
      </c>
      <c r="D2887">
        <f t="shared" si="325"/>
        <v>491.51</v>
      </c>
      <c r="E2887">
        <v>1.31</v>
      </c>
      <c r="F2887">
        <f t="shared" si="326"/>
        <v>-490.2</v>
      </c>
      <c r="I2887">
        <f t="shared" si="322"/>
        <v>1</v>
      </c>
      <c r="J2887">
        <v>1</v>
      </c>
      <c r="K2887">
        <f t="shared" si="323"/>
        <v>8</v>
      </c>
      <c r="L2887">
        <f t="shared" si="324"/>
        <v>2014</v>
      </c>
      <c r="N2887" s="17">
        <f t="shared" si="327"/>
        <v>41852</v>
      </c>
      <c r="S2887">
        <f t="shared" si="328"/>
        <v>1</v>
      </c>
    </row>
    <row r="2888" spans="1:19" x14ac:dyDescent="0.3">
      <c r="A2888" s="17">
        <v>41851</v>
      </c>
      <c r="B2888">
        <v>596.95000000000005</v>
      </c>
      <c r="C2888">
        <v>104.46</v>
      </c>
      <c r="D2888">
        <f t="shared" si="325"/>
        <v>492.49000000000007</v>
      </c>
      <c r="E2888">
        <v>1.39</v>
      </c>
      <c r="F2888">
        <f t="shared" si="326"/>
        <v>-491.10000000000008</v>
      </c>
      <c r="I2888">
        <f t="shared" si="322"/>
        <v>31</v>
      </c>
      <c r="J2888">
        <v>1</v>
      </c>
      <c r="K2888">
        <f t="shared" si="323"/>
        <v>7</v>
      </c>
      <c r="L2888">
        <f t="shared" si="324"/>
        <v>2014</v>
      </c>
      <c r="N2888" s="17">
        <f t="shared" si="327"/>
        <v>41821</v>
      </c>
      <c r="S2888">
        <f t="shared" si="328"/>
        <v>0</v>
      </c>
    </row>
    <row r="2889" spans="1:19" x14ac:dyDescent="0.3">
      <c r="A2889" s="17">
        <v>41850</v>
      </c>
      <c r="B2889">
        <v>599.39</v>
      </c>
      <c r="C2889">
        <v>106.1</v>
      </c>
      <c r="D2889">
        <f t="shared" si="325"/>
        <v>493.28999999999996</v>
      </c>
      <c r="E2889">
        <v>1.34</v>
      </c>
      <c r="F2889">
        <f t="shared" si="326"/>
        <v>-491.95</v>
      </c>
      <c r="I2889">
        <f t="shared" si="322"/>
        <v>30</v>
      </c>
      <c r="J2889">
        <v>1</v>
      </c>
      <c r="K2889">
        <f t="shared" si="323"/>
        <v>7</v>
      </c>
      <c r="L2889">
        <f t="shared" si="324"/>
        <v>2014</v>
      </c>
      <c r="N2889" s="17">
        <f t="shared" si="327"/>
        <v>41821</v>
      </c>
      <c r="S2889">
        <f t="shared" si="328"/>
        <v>0</v>
      </c>
    </row>
    <row r="2890" spans="1:19" x14ac:dyDescent="0.3">
      <c r="A2890" s="17">
        <v>41849</v>
      </c>
      <c r="B2890">
        <v>598.04999999999995</v>
      </c>
      <c r="C2890">
        <v>106.2</v>
      </c>
      <c r="D2890">
        <f t="shared" si="325"/>
        <v>491.84999999999997</v>
      </c>
      <c r="E2890">
        <v>1.27</v>
      </c>
      <c r="F2890">
        <f t="shared" si="326"/>
        <v>-490.58</v>
      </c>
      <c r="I2890">
        <f t="shared" si="322"/>
        <v>29</v>
      </c>
      <c r="J2890">
        <v>1</v>
      </c>
      <c r="K2890">
        <f t="shared" si="323"/>
        <v>7</v>
      </c>
      <c r="L2890">
        <f t="shared" si="324"/>
        <v>2014</v>
      </c>
      <c r="N2890" s="17">
        <f t="shared" si="327"/>
        <v>41821</v>
      </c>
      <c r="S2890">
        <f t="shared" si="328"/>
        <v>0</v>
      </c>
    </row>
    <row r="2891" spans="1:19" x14ac:dyDescent="0.3">
      <c r="A2891" s="17">
        <v>41845</v>
      </c>
      <c r="B2891">
        <v>596.16999999999996</v>
      </c>
      <c r="C2891">
        <v>105.79</v>
      </c>
      <c r="D2891">
        <f t="shared" si="325"/>
        <v>490.37999999999994</v>
      </c>
      <c r="E2891">
        <v>1.1499999999999999</v>
      </c>
      <c r="F2891">
        <f t="shared" si="326"/>
        <v>-489.22999999999996</v>
      </c>
      <c r="I2891">
        <f t="shared" si="322"/>
        <v>25</v>
      </c>
      <c r="J2891">
        <v>1</v>
      </c>
      <c r="K2891">
        <f t="shared" si="323"/>
        <v>7</v>
      </c>
      <c r="L2891">
        <f t="shared" si="324"/>
        <v>2014</v>
      </c>
      <c r="N2891" s="17">
        <f t="shared" si="327"/>
        <v>41821</v>
      </c>
      <c r="S2891">
        <f t="shared" si="328"/>
        <v>0</v>
      </c>
    </row>
    <row r="2892" spans="1:19" x14ac:dyDescent="0.3">
      <c r="A2892" s="17">
        <v>41844</v>
      </c>
      <c r="B2892">
        <v>597.63</v>
      </c>
      <c r="C2892">
        <v>105.95</v>
      </c>
      <c r="D2892">
        <f t="shared" si="325"/>
        <v>491.68</v>
      </c>
      <c r="E2892">
        <v>1.1599999999999999</v>
      </c>
      <c r="F2892">
        <f t="shared" si="326"/>
        <v>-490.52</v>
      </c>
      <c r="I2892">
        <f t="shared" si="322"/>
        <v>24</v>
      </c>
      <c r="J2892">
        <v>1</v>
      </c>
      <c r="K2892">
        <f t="shared" si="323"/>
        <v>7</v>
      </c>
      <c r="L2892">
        <f t="shared" si="324"/>
        <v>2014</v>
      </c>
      <c r="N2892" s="17">
        <f t="shared" si="327"/>
        <v>41821</v>
      </c>
      <c r="S2892">
        <f t="shared" si="328"/>
        <v>0</v>
      </c>
    </row>
    <row r="2893" spans="1:19" x14ac:dyDescent="0.3">
      <c r="A2893" s="17">
        <v>41843</v>
      </c>
      <c r="B2893">
        <v>593.20000000000005</v>
      </c>
      <c r="C2893">
        <v>105.05</v>
      </c>
      <c r="D2893">
        <f t="shared" si="325"/>
        <v>488.15000000000003</v>
      </c>
      <c r="E2893">
        <v>1.1599999999999999</v>
      </c>
      <c r="F2893">
        <f t="shared" si="326"/>
        <v>-486.99</v>
      </c>
      <c r="I2893">
        <f t="shared" si="322"/>
        <v>23</v>
      </c>
      <c r="J2893">
        <v>1</v>
      </c>
      <c r="K2893">
        <f t="shared" si="323"/>
        <v>7</v>
      </c>
      <c r="L2893">
        <f t="shared" si="324"/>
        <v>2014</v>
      </c>
      <c r="N2893" s="17">
        <f t="shared" si="327"/>
        <v>41821</v>
      </c>
      <c r="S2893">
        <f t="shared" si="328"/>
        <v>0</v>
      </c>
    </row>
    <row r="2894" spans="1:19" x14ac:dyDescent="0.3">
      <c r="A2894" s="17">
        <v>41842</v>
      </c>
      <c r="B2894">
        <v>595.6</v>
      </c>
      <c r="C2894">
        <v>105.95</v>
      </c>
      <c r="D2894">
        <f t="shared" si="325"/>
        <v>489.65000000000003</v>
      </c>
      <c r="E2894">
        <v>1.25</v>
      </c>
      <c r="F2894">
        <f t="shared" si="326"/>
        <v>-488.40000000000003</v>
      </c>
      <c r="I2894">
        <f t="shared" si="322"/>
        <v>22</v>
      </c>
      <c r="J2894">
        <v>1</v>
      </c>
      <c r="K2894">
        <f t="shared" si="323"/>
        <v>7</v>
      </c>
      <c r="L2894">
        <f t="shared" si="324"/>
        <v>2014</v>
      </c>
      <c r="N2894" s="17">
        <f t="shared" si="327"/>
        <v>41821</v>
      </c>
      <c r="S2894">
        <f t="shared" si="328"/>
        <v>0</v>
      </c>
    </row>
    <row r="2895" spans="1:19" x14ac:dyDescent="0.3">
      <c r="A2895" s="17">
        <v>41841</v>
      </c>
      <c r="B2895">
        <v>592.04999999999995</v>
      </c>
      <c r="C2895">
        <v>104.65</v>
      </c>
      <c r="D2895">
        <f t="shared" si="325"/>
        <v>487.4</v>
      </c>
      <c r="E2895">
        <v>1.28</v>
      </c>
      <c r="F2895">
        <f t="shared" si="326"/>
        <v>-486.12</v>
      </c>
      <c r="I2895">
        <f t="shared" si="322"/>
        <v>21</v>
      </c>
      <c r="J2895">
        <v>1</v>
      </c>
      <c r="K2895">
        <f t="shared" si="323"/>
        <v>7</v>
      </c>
      <c r="L2895">
        <f t="shared" si="324"/>
        <v>2014</v>
      </c>
      <c r="N2895" s="17">
        <f t="shared" si="327"/>
        <v>41821</v>
      </c>
      <c r="S2895">
        <f t="shared" si="328"/>
        <v>0</v>
      </c>
    </row>
    <row r="2896" spans="1:19" x14ac:dyDescent="0.3">
      <c r="A2896" s="17">
        <v>41838</v>
      </c>
      <c r="B2896">
        <v>598.34</v>
      </c>
      <c r="C2896">
        <v>105.65</v>
      </c>
      <c r="D2896">
        <f t="shared" si="325"/>
        <v>492.69000000000005</v>
      </c>
      <c r="E2896">
        <v>1.32</v>
      </c>
      <c r="F2896">
        <f t="shared" si="326"/>
        <v>-491.37000000000006</v>
      </c>
      <c r="I2896">
        <f t="shared" si="322"/>
        <v>18</v>
      </c>
      <c r="J2896">
        <v>1</v>
      </c>
      <c r="K2896">
        <f t="shared" si="323"/>
        <v>7</v>
      </c>
      <c r="L2896">
        <f t="shared" si="324"/>
        <v>2014</v>
      </c>
      <c r="N2896" s="17">
        <f t="shared" si="327"/>
        <v>41821</v>
      </c>
      <c r="S2896">
        <f t="shared" si="328"/>
        <v>0</v>
      </c>
    </row>
    <row r="2897" spans="1:19" x14ac:dyDescent="0.3">
      <c r="A2897" s="17">
        <v>41837</v>
      </c>
      <c r="B2897">
        <v>595.34</v>
      </c>
      <c r="C2897">
        <v>104.95</v>
      </c>
      <c r="D2897">
        <f t="shared" si="325"/>
        <v>490.39000000000004</v>
      </c>
      <c r="E2897">
        <v>1.39</v>
      </c>
      <c r="F2897">
        <f t="shared" si="326"/>
        <v>-489.00000000000006</v>
      </c>
      <c r="I2897">
        <f t="shared" si="322"/>
        <v>17</v>
      </c>
      <c r="J2897">
        <v>1</v>
      </c>
      <c r="K2897">
        <f t="shared" si="323"/>
        <v>7</v>
      </c>
      <c r="L2897">
        <f t="shared" si="324"/>
        <v>2014</v>
      </c>
      <c r="N2897" s="17">
        <f t="shared" si="327"/>
        <v>41821</v>
      </c>
      <c r="S2897">
        <f t="shared" si="328"/>
        <v>0</v>
      </c>
    </row>
    <row r="2898" spans="1:19" x14ac:dyDescent="0.3">
      <c r="A2898" s="17">
        <v>41836</v>
      </c>
      <c r="B2898">
        <v>594</v>
      </c>
      <c r="C2898">
        <v>105</v>
      </c>
      <c r="D2898">
        <f t="shared" si="325"/>
        <v>489</v>
      </c>
      <c r="E2898">
        <v>1.37</v>
      </c>
      <c r="F2898">
        <f t="shared" si="326"/>
        <v>-487.63</v>
      </c>
      <c r="I2898">
        <f t="shared" si="322"/>
        <v>16</v>
      </c>
      <c r="J2898">
        <v>1</v>
      </c>
      <c r="K2898">
        <f t="shared" si="323"/>
        <v>7</v>
      </c>
      <c r="L2898">
        <f t="shared" si="324"/>
        <v>2014</v>
      </c>
      <c r="N2898" s="17">
        <f t="shared" si="327"/>
        <v>41821</v>
      </c>
      <c r="S2898">
        <f t="shared" si="328"/>
        <v>0</v>
      </c>
    </row>
    <row r="2899" spans="1:19" x14ac:dyDescent="0.3">
      <c r="A2899" s="17">
        <v>41835</v>
      </c>
      <c r="B2899">
        <v>593.92999999999995</v>
      </c>
      <c r="C2899">
        <v>104.7</v>
      </c>
      <c r="D2899">
        <f t="shared" si="325"/>
        <v>489.22999999999996</v>
      </c>
      <c r="E2899">
        <v>1.34</v>
      </c>
      <c r="F2899">
        <f t="shared" si="326"/>
        <v>-487.89</v>
      </c>
      <c r="I2899">
        <f t="shared" si="322"/>
        <v>15</v>
      </c>
      <c r="J2899">
        <v>1</v>
      </c>
      <c r="K2899">
        <f t="shared" si="323"/>
        <v>7</v>
      </c>
      <c r="L2899">
        <f t="shared" si="324"/>
        <v>2014</v>
      </c>
      <c r="N2899" s="17">
        <f t="shared" si="327"/>
        <v>41821</v>
      </c>
      <c r="S2899">
        <f t="shared" si="328"/>
        <v>0</v>
      </c>
    </row>
    <row r="2900" spans="1:19" x14ac:dyDescent="0.3">
      <c r="A2900" s="17">
        <v>41834</v>
      </c>
      <c r="B2900">
        <v>593.41999999999996</v>
      </c>
      <c r="C2900">
        <v>104.72</v>
      </c>
      <c r="D2900">
        <f t="shared" si="325"/>
        <v>488.69999999999993</v>
      </c>
      <c r="E2900">
        <v>1.33</v>
      </c>
      <c r="F2900">
        <f t="shared" si="326"/>
        <v>-487.36999999999995</v>
      </c>
      <c r="I2900">
        <f t="shared" si="322"/>
        <v>14</v>
      </c>
      <c r="J2900">
        <v>1</v>
      </c>
      <c r="K2900">
        <f t="shared" si="323"/>
        <v>7</v>
      </c>
      <c r="L2900">
        <f t="shared" si="324"/>
        <v>2014</v>
      </c>
      <c r="N2900" s="17">
        <f t="shared" si="327"/>
        <v>41821</v>
      </c>
      <c r="S2900">
        <f t="shared" si="328"/>
        <v>0</v>
      </c>
    </row>
    <row r="2901" spans="1:19" x14ac:dyDescent="0.3">
      <c r="A2901" s="17">
        <v>41831</v>
      </c>
      <c r="B2901">
        <v>596.04</v>
      </c>
      <c r="C2901">
        <v>105.94</v>
      </c>
      <c r="D2901">
        <f t="shared" si="325"/>
        <v>490.09999999999997</v>
      </c>
      <c r="E2901">
        <v>1.32</v>
      </c>
      <c r="F2901">
        <f t="shared" si="326"/>
        <v>-488.78</v>
      </c>
      <c r="I2901">
        <f t="shared" si="322"/>
        <v>11</v>
      </c>
      <c r="J2901">
        <v>1</v>
      </c>
      <c r="K2901">
        <f t="shared" si="323"/>
        <v>7</v>
      </c>
      <c r="L2901">
        <f t="shared" si="324"/>
        <v>2014</v>
      </c>
      <c r="N2901" s="17">
        <f t="shared" si="327"/>
        <v>41821</v>
      </c>
      <c r="S2901">
        <f t="shared" si="328"/>
        <v>0</v>
      </c>
    </row>
    <row r="2902" spans="1:19" x14ac:dyDescent="0.3">
      <c r="A2902" s="17">
        <v>41830</v>
      </c>
      <c r="B2902">
        <v>592.89</v>
      </c>
      <c r="C2902">
        <v>105.71</v>
      </c>
      <c r="D2902">
        <f t="shared" si="325"/>
        <v>487.18</v>
      </c>
      <c r="E2902">
        <v>1.25</v>
      </c>
      <c r="F2902">
        <f t="shared" si="326"/>
        <v>-485.93</v>
      </c>
      <c r="I2902">
        <f t="shared" si="322"/>
        <v>10</v>
      </c>
      <c r="J2902">
        <v>1</v>
      </c>
      <c r="K2902">
        <f t="shared" si="323"/>
        <v>7</v>
      </c>
      <c r="L2902">
        <f t="shared" si="324"/>
        <v>2014</v>
      </c>
      <c r="N2902" s="17">
        <f t="shared" si="327"/>
        <v>41821</v>
      </c>
      <c r="S2902">
        <f t="shared" si="328"/>
        <v>0</v>
      </c>
    </row>
    <row r="2903" spans="1:19" x14ac:dyDescent="0.3">
      <c r="A2903" s="17">
        <v>41829</v>
      </c>
      <c r="B2903">
        <v>592.39</v>
      </c>
      <c r="C2903">
        <v>106.1</v>
      </c>
      <c r="D2903">
        <f t="shared" si="325"/>
        <v>486.28999999999996</v>
      </c>
      <c r="E2903">
        <v>1.28</v>
      </c>
      <c r="F2903">
        <f t="shared" si="326"/>
        <v>-485.01</v>
      </c>
      <c r="I2903">
        <f t="shared" si="322"/>
        <v>9</v>
      </c>
      <c r="J2903">
        <v>1</v>
      </c>
      <c r="K2903">
        <f t="shared" si="323"/>
        <v>7</v>
      </c>
      <c r="L2903">
        <f t="shared" si="324"/>
        <v>2014</v>
      </c>
      <c r="N2903" s="17">
        <f t="shared" si="327"/>
        <v>41821</v>
      </c>
      <c r="S2903">
        <f t="shared" si="328"/>
        <v>0</v>
      </c>
    </row>
    <row r="2904" spans="1:19" x14ac:dyDescent="0.3">
      <c r="A2904" s="17">
        <v>41828</v>
      </c>
      <c r="B2904">
        <v>595.29999999999995</v>
      </c>
      <c r="C2904">
        <v>106.92</v>
      </c>
      <c r="D2904">
        <f t="shared" si="325"/>
        <v>488.37999999999994</v>
      </c>
      <c r="E2904">
        <v>1.21</v>
      </c>
      <c r="F2904">
        <f t="shared" si="326"/>
        <v>-487.16999999999996</v>
      </c>
      <c r="I2904">
        <f t="shared" si="322"/>
        <v>8</v>
      </c>
      <c r="J2904">
        <v>1</v>
      </c>
      <c r="K2904">
        <f t="shared" si="323"/>
        <v>7</v>
      </c>
      <c r="L2904">
        <f t="shared" si="324"/>
        <v>2014</v>
      </c>
      <c r="N2904" s="17">
        <f t="shared" si="327"/>
        <v>41821</v>
      </c>
      <c r="S2904">
        <f t="shared" si="328"/>
        <v>0</v>
      </c>
    </row>
    <row r="2905" spans="1:19" x14ac:dyDescent="0.3">
      <c r="A2905" s="17">
        <v>41827</v>
      </c>
      <c r="B2905">
        <v>598.71</v>
      </c>
      <c r="C2905">
        <v>107.42</v>
      </c>
      <c r="D2905">
        <f t="shared" si="325"/>
        <v>491.29</v>
      </c>
      <c r="E2905">
        <v>1.1599999999999999</v>
      </c>
      <c r="F2905">
        <f t="shared" si="326"/>
        <v>-490.13</v>
      </c>
      <c r="I2905">
        <f t="shared" si="322"/>
        <v>7</v>
      </c>
      <c r="J2905">
        <v>1</v>
      </c>
      <c r="K2905">
        <f t="shared" si="323"/>
        <v>7</v>
      </c>
      <c r="L2905">
        <f t="shared" si="324"/>
        <v>2014</v>
      </c>
      <c r="N2905" s="17">
        <f t="shared" si="327"/>
        <v>41821</v>
      </c>
      <c r="S2905">
        <f t="shared" si="328"/>
        <v>0</v>
      </c>
    </row>
    <row r="2906" spans="1:19" x14ac:dyDescent="0.3">
      <c r="A2906" s="17">
        <v>41824</v>
      </c>
      <c r="B2906">
        <v>602.39</v>
      </c>
      <c r="C2906">
        <v>107.99</v>
      </c>
      <c r="D2906">
        <f t="shared" si="325"/>
        <v>494.4</v>
      </c>
      <c r="E2906">
        <v>1.1000000000000001</v>
      </c>
      <c r="F2906">
        <f t="shared" si="326"/>
        <v>-493.29999999999995</v>
      </c>
      <c r="I2906">
        <f t="shared" si="322"/>
        <v>4</v>
      </c>
      <c r="J2906">
        <v>1</v>
      </c>
      <c r="K2906">
        <f t="shared" si="323"/>
        <v>7</v>
      </c>
      <c r="L2906">
        <f t="shared" si="324"/>
        <v>2014</v>
      </c>
      <c r="N2906" s="17">
        <f t="shared" si="327"/>
        <v>41821</v>
      </c>
      <c r="S2906">
        <f t="shared" si="328"/>
        <v>1</v>
      </c>
    </row>
    <row r="2907" spans="1:19" x14ac:dyDescent="0.3">
      <c r="A2907" s="17">
        <v>41823</v>
      </c>
      <c r="B2907">
        <v>601.52</v>
      </c>
      <c r="C2907">
        <v>107.71</v>
      </c>
      <c r="D2907">
        <f t="shared" si="325"/>
        <v>493.81</v>
      </c>
      <c r="E2907">
        <v>1.07</v>
      </c>
      <c r="F2907">
        <f t="shared" si="326"/>
        <v>-492.74</v>
      </c>
      <c r="I2907">
        <f t="shared" si="322"/>
        <v>3</v>
      </c>
      <c r="J2907">
        <v>1</v>
      </c>
      <c r="K2907">
        <f t="shared" si="323"/>
        <v>7</v>
      </c>
      <c r="L2907">
        <f t="shared" si="324"/>
        <v>2014</v>
      </c>
      <c r="N2907" s="17">
        <f t="shared" si="327"/>
        <v>41821</v>
      </c>
      <c r="S2907">
        <f t="shared" si="328"/>
        <v>1</v>
      </c>
    </row>
    <row r="2908" spans="1:19" x14ac:dyDescent="0.3">
      <c r="A2908" s="17">
        <v>41822</v>
      </c>
      <c r="B2908">
        <v>608.86</v>
      </c>
      <c r="C2908">
        <v>109.16</v>
      </c>
      <c r="D2908">
        <f t="shared" si="325"/>
        <v>499.70000000000005</v>
      </c>
      <c r="E2908">
        <v>0.96</v>
      </c>
      <c r="F2908">
        <f t="shared" si="326"/>
        <v>-498.74000000000007</v>
      </c>
      <c r="I2908">
        <f t="shared" si="322"/>
        <v>2</v>
      </c>
      <c r="J2908">
        <v>1</v>
      </c>
      <c r="K2908">
        <f t="shared" si="323"/>
        <v>7</v>
      </c>
      <c r="L2908">
        <f t="shared" si="324"/>
        <v>2014</v>
      </c>
      <c r="N2908" s="17">
        <f t="shared" si="327"/>
        <v>41821</v>
      </c>
      <c r="S2908">
        <f t="shared" si="328"/>
        <v>1</v>
      </c>
    </row>
    <row r="2909" spans="1:19" x14ac:dyDescent="0.3">
      <c r="A2909" s="17">
        <v>41821</v>
      </c>
      <c r="B2909">
        <v>611.64</v>
      </c>
      <c r="C2909">
        <v>109.16</v>
      </c>
      <c r="D2909">
        <f t="shared" si="325"/>
        <v>502.48</v>
      </c>
      <c r="E2909">
        <v>0.8</v>
      </c>
      <c r="F2909">
        <f t="shared" si="326"/>
        <v>-501.68</v>
      </c>
      <c r="I2909">
        <f t="shared" si="322"/>
        <v>1</v>
      </c>
      <c r="J2909">
        <v>1</v>
      </c>
      <c r="K2909">
        <f t="shared" si="323"/>
        <v>7</v>
      </c>
      <c r="L2909">
        <f t="shared" si="324"/>
        <v>2014</v>
      </c>
      <c r="N2909" s="17">
        <f t="shared" si="327"/>
        <v>41821</v>
      </c>
      <c r="S2909">
        <f t="shared" si="328"/>
        <v>1</v>
      </c>
    </row>
    <row r="2910" spans="1:19" x14ac:dyDescent="0.3">
      <c r="A2910" s="17">
        <v>41820</v>
      </c>
      <c r="B2910">
        <v>612.67999999999995</v>
      </c>
      <c r="C2910">
        <v>109.21</v>
      </c>
      <c r="D2910">
        <f t="shared" si="325"/>
        <v>503.46999999999997</v>
      </c>
      <c r="E2910">
        <v>0.79</v>
      </c>
      <c r="F2910">
        <f t="shared" si="326"/>
        <v>-502.67999999999995</v>
      </c>
      <c r="I2910">
        <f t="shared" si="322"/>
        <v>30</v>
      </c>
      <c r="J2910">
        <v>1</v>
      </c>
      <c r="K2910">
        <f t="shared" si="323"/>
        <v>6</v>
      </c>
      <c r="L2910">
        <f t="shared" si="324"/>
        <v>2014</v>
      </c>
      <c r="N2910" s="17">
        <f t="shared" si="327"/>
        <v>41791</v>
      </c>
      <c r="S2910">
        <f t="shared" si="328"/>
        <v>0</v>
      </c>
    </row>
    <row r="2911" spans="1:19" x14ac:dyDescent="0.3">
      <c r="A2911" s="17">
        <v>41817</v>
      </c>
      <c r="B2911">
        <v>614.09</v>
      </c>
      <c r="C2911">
        <v>109.7</v>
      </c>
      <c r="D2911">
        <f t="shared" si="325"/>
        <v>504.39000000000004</v>
      </c>
      <c r="E2911">
        <v>0.8</v>
      </c>
      <c r="F2911">
        <f t="shared" si="326"/>
        <v>-503.59000000000003</v>
      </c>
      <c r="I2911">
        <f t="shared" si="322"/>
        <v>27</v>
      </c>
      <c r="J2911">
        <v>1</v>
      </c>
      <c r="K2911">
        <f t="shared" si="323"/>
        <v>6</v>
      </c>
      <c r="L2911">
        <f t="shared" si="324"/>
        <v>2014</v>
      </c>
      <c r="N2911" s="17">
        <f t="shared" si="327"/>
        <v>41791</v>
      </c>
      <c r="S2911">
        <f t="shared" si="328"/>
        <v>0</v>
      </c>
    </row>
    <row r="2912" spans="1:19" x14ac:dyDescent="0.3">
      <c r="A2912" s="17">
        <v>41816</v>
      </c>
      <c r="B2912">
        <v>617.71</v>
      </c>
      <c r="C2912">
        <v>109.9</v>
      </c>
      <c r="D2912">
        <f t="shared" si="325"/>
        <v>507.81000000000006</v>
      </c>
      <c r="E2912">
        <v>0.7</v>
      </c>
      <c r="F2912">
        <f t="shared" si="326"/>
        <v>-507.11000000000007</v>
      </c>
      <c r="I2912">
        <f t="shared" si="322"/>
        <v>26</v>
      </c>
      <c r="J2912">
        <v>1</v>
      </c>
      <c r="K2912">
        <f t="shared" si="323"/>
        <v>6</v>
      </c>
      <c r="L2912">
        <f t="shared" si="324"/>
        <v>2014</v>
      </c>
      <c r="N2912" s="17">
        <f t="shared" si="327"/>
        <v>41791</v>
      </c>
      <c r="S2912">
        <f t="shared" si="328"/>
        <v>0</v>
      </c>
    </row>
    <row r="2913" spans="1:19" x14ac:dyDescent="0.3">
      <c r="A2913" s="17">
        <v>41815</v>
      </c>
      <c r="B2913">
        <v>618.03</v>
      </c>
      <c r="C2913">
        <v>110.05</v>
      </c>
      <c r="D2913">
        <f t="shared" si="325"/>
        <v>507.97999999999996</v>
      </c>
      <c r="E2913">
        <v>0.73</v>
      </c>
      <c r="F2913">
        <f t="shared" si="326"/>
        <v>-507.24999999999994</v>
      </c>
      <c r="I2913">
        <f t="shared" si="322"/>
        <v>25</v>
      </c>
      <c r="J2913">
        <v>1</v>
      </c>
      <c r="K2913">
        <f t="shared" si="323"/>
        <v>6</v>
      </c>
      <c r="L2913">
        <f t="shared" si="324"/>
        <v>2014</v>
      </c>
      <c r="N2913" s="17">
        <f t="shared" si="327"/>
        <v>41791</v>
      </c>
      <c r="S2913">
        <f t="shared" si="328"/>
        <v>0</v>
      </c>
    </row>
    <row r="2914" spans="1:19" x14ac:dyDescent="0.3">
      <c r="A2914" s="17">
        <v>41814</v>
      </c>
      <c r="B2914">
        <v>618.35</v>
      </c>
      <c r="C2914">
        <v>109.76</v>
      </c>
      <c r="D2914">
        <f t="shared" si="325"/>
        <v>508.59000000000003</v>
      </c>
      <c r="E2914">
        <v>0.55000000000000004</v>
      </c>
      <c r="F2914">
        <f t="shared" si="326"/>
        <v>-508.04</v>
      </c>
      <c r="I2914">
        <f t="shared" si="322"/>
        <v>24</v>
      </c>
      <c r="J2914">
        <v>1</v>
      </c>
      <c r="K2914">
        <f t="shared" si="323"/>
        <v>6</v>
      </c>
      <c r="L2914">
        <f t="shared" si="324"/>
        <v>2014</v>
      </c>
      <c r="N2914" s="17">
        <f t="shared" si="327"/>
        <v>41791</v>
      </c>
      <c r="S2914">
        <f t="shared" si="328"/>
        <v>0</v>
      </c>
    </row>
    <row r="2915" spans="1:19" x14ac:dyDescent="0.3">
      <c r="A2915" s="17">
        <v>41813</v>
      </c>
      <c r="B2915">
        <v>623.29999999999995</v>
      </c>
      <c r="C2915">
        <v>111.16</v>
      </c>
      <c r="D2915">
        <f t="shared" si="325"/>
        <v>512.14</v>
      </c>
      <c r="E2915">
        <v>0.61</v>
      </c>
      <c r="F2915">
        <f t="shared" si="326"/>
        <v>-511.53</v>
      </c>
      <c r="I2915">
        <f t="shared" si="322"/>
        <v>23</v>
      </c>
      <c r="J2915">
        <v>1</v>
      </c>
      <c r="K2915">
        <f t="shared" si="323"/>
        <v>6</v>
      </c>
      <c r="L2915">
        <f t="shared" si="324"/>
        <v>2014</v>
      </c>
      <c r="N2915" s="17">
        <f t="shared" si="327"/>
        <v>41791</v>
      </c>
      <c r="S2915">
        <f t="shared" si="328"/>
        <v>0</v>
      </c>
    </row>
    <row r="2916" spans="1:19" x14ac:dyDescent="0.3">
      <c r="A2916" s="17">
        <v>41810</v>
      </c>
      <c r="B2916">
        <v>620.66</v>
      </c>
      <c r="C2916">
        <v>110.71</v>
      </c>
      <c r="D2916">
        <f t="shared" si="325"/>
        <v>509.95</v>
      </c>
      <c r="E2916">
        <v>0.63</v>
      </c>
      <c r="F2916">
        <f t="shared" si="326"/>
        <v>-509.32</v>
      </c>
      <c r="I2916">
        <f t="shared" si="322"/>
        <v>20</v>
      </c>
      <c r="J2916">
        <v>1</v>
      </c>
      <c r="K2916">
        <f t="shared" si="323"/>
        <v>6</v>
      </c>
      <c r="L2916">
        <f t="shared" si="324"/>
        <v>2014</v>
      </c>
      <c r="N2916" s="17">
        <f t="shared" si="327"/>
        <v>41791</v>
      </c>
      <c r="S2916">
        <f t="shared" si="328"/>
        <v>0</v>
      </c>
    </row>
    <row r="2917" spans="1:19" x14ac:dyDescent="0.3">
      <c r="A2917" s="17">
        <v>41809</v>
      </c>
      <c r="B2917">
        <v>618.39</v>
      </c>
      <c r="C2917">
        <v>110.49</v>
      </c>
      <c r="D2917">
        <f t="shared" si="325"/>
        <v>507.9</v>
      </c>
      <c r="E2917">
        <v>0.64</v>
      </c>
      <c r="F2917">
        <f t="shared" si="326"/>
        <v>-507.26</v>
      </c>
      <c r="I2917">
        <f t="shared" si="322"/>
        <v>19</v>
      </c>
      <c r="J2917">
        <v>1</v>
      </c>
      <c r="K2917">
        <f t="shared" si="323"/>
        <v>6</v>
      </c>
      <c r="L2917">
        <f t="shared" si="324"/>
        <v>2014</v>
      </c>
      <c r="N2917" s="17">
        <f t="shared" si="327"/>
        <v>41791</v>
      </c>
      <c r="S2917">
        <f t="shared" si="328"/>
        <v>0</v>
      </c>
    </row>
    <row r="2918" spans="1:19" x14ac:dyDescent="0.3">
      <c r="A2918" s="17">
        <v>41808</v>
      </c>
      <c r="B2918">
        <v>616.52</v>
      </c>
      <c r="C2918">
        <v>109.95</v>
      </c>
      <c r="D2918">
        <f t="shared" si="325"/>
        <v>506.57</v>
      </c>
      <c r="E2918">
        <v>0.9</v>
      </c>
      <c r="F2918">
        <f t="shared" si="326"/>
        <v>-505.67</v>
      </c>
      <c r="I2918">
        <f t="shared" si="322"/>
        <v>18</v>
      </c>
      <c r="J2918">
        <v>1</v>
      </c>
      <c r="K2918">
        <f t="shared" si="323"/>
        <v>6</v>
      </c>
      <c r="L2918">
        <f t="shared" si="324"/>
        <v>2014</v>
      </c>
      <c r="N2918" s="17">
        <f t="shared" si="327"/>
        <v>41791</v>
      </c>
      <c r="S2918">
        <f t="shared" si="328"/>
        <v>0</v>
      </c>
    </row>
    <row r="2919" spans="1:19" x14ac:dyDescent="0.3">
      <c r="A2919" s="17">
        <v>41807</v>
      </c>
      <c r="B2919">
        <v>609.91</v>
      </c>
      <c r="C2919">
        <v>108.75</v>
      </c>
      <c r="D2919">
        <f t="shared" si="325"/>
        <v>501.15999999999997</v>
      </c>
      <c r="E2919">
        <v>0.91</v>
      </c>
      <c r="F2919">
        <f t="shared" si="326"/>
        <v>-500.24999999999994</v>
      </c>
      <c r="I2919">
        <f t="shared" si="322"/>
        <v>17</v>
      </c>
      <c r="J2919">
        <v>1</v>
      </c>
      <c r="K2919">
        <f t="shared" si="323"/>
        <v>6</v>
      </c>
      <c r="L2919">
        <f t="shared" si="324"/>
        <v>2014</v>
      </c>
      <c r="N2919" s="17">
        <f t="shared" si="327"/>
        <v>41791</v>
      </c>
      <c r="S2919">
        <f t="shared" si="328"/>
        <v>0</v>
      </c>
    </row>
    <row r="2920" spans="1:19" x14ac:dyDescent="0.3">
      <c r="A2920" s="17">
        <v>41806</v>
      </c>
      <c r="B2920">
        <v>612.6</v>
      </c>
      <c r="C2920">
        <v>109.2</v>
      </c>
      <c r="D2920">
        <f t="shared" si="325"/>
        <v>503.40000000000003</v>
      </c>
      <c r="E2920">
        <v>0.95</v>
      </c>
      <c r="F2920">
        <f t="shared" si="326"/>
        <v>-502.45000000000005</v>
      </c>
      <c r="I2920">
        <f t="shared" si="322"/>
        <v>16</v>
      </c>
      <c r="J2920">
        <v>1</v>
      </c>
      <c r="K2920">
        <f t="shared" si="323"/>
        <v>6</v>
      </c>
      <c r="L2920">
        <f t="shared" si="324"/>
        <v>2014</v>
      </c>
      <c r="N2920" s="17">
        <f t="shared" si="327"/>
        <v>41791</v>
      </c>
      <c r="S2920">
        <f t="shared" si="328"/>
        <v>0</v>
      </c>
    </row>
    <row r="2921" spans="1:19" x14ac:dyDescent="0.3">
      <c r="A2921" s="17">
        <v>41803</v>
      </c>
      <c r="B2921">
        <v>615.25</v>
      </c>
      <c r="C2921">
        <v>109.55</v>
      </c>
      <c r="D2921">
        <f t="shared" si="325"/>
        <v>505.7</v>
      </c>
      <c r="E2921">
        <v>0.98</v>
      </c>
      <c r="F2921">
        <f t="shared" si="326"/>
        <v>-504.71999999999997</v>
      </c>
      <c r="I2921">
        <f t="shared" si="322"/>
        <v>13</v>
      </c>
      <c r="J2921">
        <v>1</v>
      </c>
      <c r="K2921">
        <f t="shared" si="323"/>
        <v>6</v>
      </c>
      <c r="L2921">
        <f t="shared" si="324"/>
        <v>2014</v>
      </c>
      <c r="N2921" s="17">
        <f t="shared" si="327"/>
        <v>41791</v>
      </c>
      <c r="S2921">
        <f t="shared" si="328"/>
        <v>0</v>
      </c>
    </row>
    <row r="2922" spans="1:19" x14ac:dyDescent="0.3">
      <c r="A2922" s="17">
        <v>41802</v>
      </c>
      <c r="B2922">
        <v>605.24</v>
      </c>
      <c r="C2922">
        <v>106.95</v>
      </c>
      <c r="D2922">
        <f t="shared" si="325"/>
        <v>498.29</v>
      </c>
      <c r="E2922">
        <v>1.02</v>
      </c>
      <c r="F2922">
        <f t="shared" si="326"/>
        <v>-497.27000000000004</v>
      </c>
      <c r="I2922">
        <f t="shared" si="322"/>
        <v>12</v>
      </c>
      <c r="J2922">
        <v>1</v>
      </c>
      <c r="K2922">
        <f t="shared" si="323"/>
        <v>6</v>
      </c>
      <c r="L2922">
        <f t="shared" si="324"/>
        <v>2014</v>
      </c>
      <c r="N2922" s="17">
        <f t="shared" si="327"/>
        <v>41791</v>
      </c>
      <c r="S2922">
        <f t="shared" si="328"/>
        <v>0</v>
      </c>
    </row>
    <row r="2923" spans="1:19" x14ac:dyDescent="0.3">
      <c r="A2923" s="17">
        <v>41801</v>
      </c>
      <c r="B2923">
        <v>599.87</v>
      </c>
      <c r="C2923">
        <v>105.995</v>
      </c>
      <c r="D2923">
        <f t="shared" si="325"/>
        <v>493.875</v>
      </c>
      <c r="E2923">
        <v>0.99</v>
      </c>
      <c r="F2923">
        <f t="shared" si="326"/>
        <v>-492.88499999999999</v>
      </c>
      <c r="I2923">
        <f t="shared" si="322"/>
        <v>11</v>
      </c>
      <c r="J2923">
        <v>1</v>
      </c>
      <c r="K2923">
        <f t="shared" si="323"/>
        <v>6</v>
      </c>
      <c r="L2923">
        <f t="shared" si="324"/>
        <v>2014</v>
      </c>
      <c r="N2923" s="17">
        <f t="shared" si="327"/>
        <v>41791</v>
      </c>
      <c r="S2923">
        <f t="shared" si="328"/>
        <v>0</v>
      </c>
    </row>
    <row r="2924" spans="1:19" x14ac:dyDescent="0.3">
      <c r="A2924" s="17">
        <v>41800</v>
      </c>
      <c r="B2924">
        <v>597.74</v>
      </c>
      <c r="C2924">
        <v>105.7</v>
      </c>
      <c r="D2924">
        <f t="shared" si="325"/>
        <v>492.04</v>
      </c>
      <c r="E2924">
        <v>0.97</v>
      </c>
      <c r="F2924">
        <f t="shared" si="326"/>
        <v>-491.07</v>
      </c>
      <c r="I2924">
        <f t="shared" si="322"/>
        <v>10</v>
      </c>
      <c r="J2924">
        <v>1</v>
      </c>
      <c r="K2924">
        <f t="shared" si="323"/>
        <v>6</v>
      </c>
      <c r="L2924">
        <f t="shared" si="324"/>
        <v>2014</v>
      </c>
      <c r="N2924" s="17">
        <f t="shared" si="327"/>
        <v>41791</v>
      </c>
      <c r="S2924">
        <f t="shared" si="328"/>
        <v>0</v>
      </c>
    </row>
    <row r="2925" spans="1:19" x14ac:dyDescent="0.3">
      <c r="A2925" s="17">
        <v>41799</v>
      </c>
      <c r="B2925">
        <v>593.41</v>
      </c>
      <c r="C2925">
        <v>105.06</v>
      </c>
      <c r="D2925">
        <f t="shared" si="325"/>
        <v>488.34999999999997</v>
      </c>
      <c r="E2925">
        <v>0.99</v>
      </c>
      <c r="F2925">
        <f t="shared" si="326"/>
        <v>-487.35999999999996</v>
      </c>
      <c r="I2925">
        <f t="shared" si="322"/>
        <v>9</v>
      </c>
      <c r="J2925">
        <v>1</v>
      </c>
      <c r="K2925">
        <f t="shared" si="323"/>
        <v>6</v>
      </c>
      <c r="L2925">
        <f t="shared" si="324"/>
        <v>2014</v>
      </c>
      <c r="N2925" s="17">
        <f t="shared" si="327"/>
        <v>41791</v>
      </c>
      <c r="S2925">
        <f t="shared" si="328"/>
        <v>0</v>
      </c>
    </row>
    <row r="2926" spans="1:19" x14ac:dyDescent="0.3">
      <c r="A2926" s="17">
        <v>41796</v>
      </c>
      <c r="B2926">
        <v>597.13</v>
      </c>
      <c r="C2926">
        <v>105.36</v>
      </c>
      <c r="D2926">
        <f t="shared" si="325"/>
        <v>491.77</v>
      </c>
      <c r="E2926">
        <v>1</v>
      </c>
      <c r="F2926">
        <f t="shared" si="326"/>
        <v>-490.77</v>
      </c>
      <c r="I2926">
        <f t="shared" si="322"/>
        <v>6</v>
      </c>
      <c r="J2926">
        <v>1</v>
      </c>
      <c r="K2926">
        <f t="shared" si="323"/>
        <v>6</v>
      </c>
      <c r="L2926">
        <f t="shared" si="324"/>
        <v>2014</v>
      </c>
      <c r="N2926" s="17">
        <f t="shared" si="327"/>
        <v>41791</v>
      </c>
      <c r="S2926">
        <f t="shared" si="328"/>
        <v>0</v>
      </c>
    </row>
    <row r="2927" spans="1:19" x14ac:dyDescent="0.3">
      <c r="A2927" s="17">
        <v>41795</v>
      </c>
      <c r="B2927">
        <v>593.70000000000005</v>
      </c>
      <c r="C2927">
        <v>104.5</v>
      </c>
      <c r="D2927">
        <f t="shared" si="325"/>
        <v>489.20000000000005</v>
      </c>
      <c r="E2927">
        <v>1.01</v>
      </c>
      <c r="F2927">
        <f t="shared" si="326"/>
        <v>-488.19000000000005</v>
      </c>
      <c r="I2927">
        <f t="shared" si="322"/>
        <v>5</v>
      </c>
      <c r="J2927">
        <v>1</v>
      </c>
      <c r="K2927">
        <f t="shared" si="323"/>
        <v>6</v>
      </c>
      <c r="L2927">
        <f t="shared" si="324"/>
        <v>2014</v>
      </c>
      <c r="N2927" s="17">
        <f t="shared" si="327"/>
        <v>41791</v>
      </c>
      <c r="S2927">
        <f t="shared" si="328"/>
        <v>0</v>
      </c>
    </row>
    <row r="2928" spans="1:19" x14ac:dyDescent="0.3">
      <c r="A2928" s="17">
        <v>41794</v>
      </c>
      <c r="B2928">
        <v>598.47</v>
      </c>
      <c r="C2928">
        <v>105.65</v>
      </c>
      <c r="D2928">
        <f t="shared" si="325"/>
        <v>492.82000000000005</v>
      </c>
      <c r="E2928">
        <v>1.05</v>
      </c>
      <c r="F2928">
        <f t="shared" si="326"/>
        <v>-491.77000000000004</v>
      </c>
      <c r="I2928">
        <f t="shared" si="322"/>
        <v>4</v>
      </c>
      <c r="J2928">
        <v>1</v>
      </c>
      <c r="K2928">
        <f t="shared" si="323"/>
        <v>6</v>
      </c>
      <c r="L2928">
        <f t="shared" si="324"/>
        <v>2014</v>
      </c>
      <c r="N2928" s="17">
        <f t="shared" si="327"/>
        <v>41791</v>
      </c>
      <c r="S2928">
        <f t="shared" si="328"/>
        <v>1</v>
      </c>
    </row>
    <row r="2929" spans="1:19" x14ac:dyDescent="0.3">
      <c r="A2929" s="17">
        <v>41793</v>
      </c>
      <c r="B2929">
        <v>599.85</v>
      </c>
      <c r="C2929">
        <v>105.11</v>
      </c>
      <c r="D2929">
        <f t="shared" si="325"/>
        <v>494.74</v>
      </c>
      <c r="E2929">
        <v>1.27</v>
      </c>
      <c r="F2929">
        <f t="shared" si="326"/>
        <v>-493.47</v>
      </c>
      <c r="I2929">
        <f t="shared" si="322"/>
        <v>3</v>
      </c>
      <c r="J2929">
        <v>1</v>
      </c>
      <c r="K2929">
        <f t="shared" si="323"/>
        <v>6</v>
      </c>
      <c r="L2929">
        <f t="shared" si="324"/>
        <v>2014</v>
      </c>
      <c r="N2929" s="17">
        <f t="shared" si="327"/>
        <v>41791</v>
      </c>
      <c r="S2929">
        <f t="shared" si="328"/>
        <v>1</v>
      </c>
    </row>
    <row r="2930" spans="1:19" x14ac:dyDescent="0.3">
      <c r="A2930" s="17">
        <v>41792</v>
      </c>
      <c r="B2930">
        <v>602.55999999999995</v>
      </c>
      <c r="C2930">
        <v>105.91</v>
      </c>
      <c r="D2930">
        <f t="shared" si="325"/>
        <v>496.65</v>
      </c>
      <c r="E2930">
        <v>1.39</v>
      </c>
      <c r="F2930">
        <f t="shared" si="326"/>
        <v>-495.26</v>
      </c>
      <c r="I2930">
        <f t="shared" si="322"/>
        <v>2</v>
      </c>
      <c r="J2930">
        <v>1</v>
      </c>
      <c r="K2930">
        <f t="shared" si="323"/>
        <v>6</v>
      </c>
      <c r="L2930">
        <f t="shared" si="324"/>
        <v>2014</v>
      </c>
      <c r="N2930" s="17">
        <f t="shared" si="327"/>
        <v>41791</v>
      </c>
      <c r="S2930">
        <f t="shared" si="328"/>
        <v>1</v>
      </c>
    </row>
    <row r="2931" spans="1:19" x14ac:dyDescent="0.3">
      <c r="A2931" s="17">
        <v>41789</v>
      </c>
      <c r="B2931">
        <v>599.28</v>
      </c>
      <c r="C2931">
        <v>106.3</v>
      </c>
      <c r="D2931">
        <f t="shared" si="325"/>
        <v>492.97999999999996</v>
      </c>
      <c r="E2931">
        <v>1.51</v>
      </c>
      <c r="F2931">
        <f t="shared" si="326"/>
        <v>-491.46999999999997</v>
      </c>
      <c r="I2931">
        <f t="shared" si="322"/>
        <v>30</v>
      </c>
      <c r="J2931">
        <v>1</v>
      </c>
      <c r="K2931">
        <f t="shared" si="323"/>
        <v>5</v>
      </c>
      <c r="L2931">
        <f t="shared" si="324"/>
        <v>2014</v>
      </c>
      <c r="N2931" s="17">
        <f t="shared" si="327"/>
        <v>41760</v>
      </c>
      <c r="S2931">
        <f t="shared" si="328"/>
        <v>0</v>
      </c>
    </row>
    <row r="2932" spans="1:19" x14ac:dyDescent="0.3">
      <c r="A2932" s="17">
        <v>41788</v>
      </c>
      <c r="B2932">
        <v>600.54</v>
      </c>
      <c r="C2932">
        <v>106.49</v>
      </c>
      <c r="D2932">
        <f t="shared" si="325"/>
        <v>494.04999999999995</v>
      </c>
      <c r="E2932">
        <v>1.57</v>
      </c>
      <c r="F2932">
        <f t="shared" si="326"/>
        <v>-492.47999999999996</v>
      </c>
      <c r="I2932">
        <f t="shared" si="322"/>
        <v>29</v>
      </c>
      <c r="J2932">
        <v>1</v>
      </c>
      <c r="K2932">
        <f t="shared" si="323"/>
        <v>5</v>
      </c>
      <c r="L2932">
        <f t="shared" si="324"/>
        <v>2014</v>
      </c>
      <c r="N2932" s="17">
        <f t="shared" si="327"/>
        <v>41760</v>
      </c>
      <c r="S2932">
        <f t="shared" si="328"/>
        <v>0</v>
      </c>
    </row>
    <row r="2933" spans="1:19" x14ac:dyDescent="0.3">
      <c r="A2933" s="17">
        <v>41787</v>
      </c>
      <c r="B2933">
        <v>600.51</v>
      </c>
      <c r="C2933">
        <v>106.7</v>
      </c>
      <c r="D2933">
        <f t="shared" si="325"/>
        <v>493.81</v>
      </c>
      <c r="E2933">
        <v>1.62</v>
      </c>
      <c r="F2933">
        <f t="shared" si="326"/>
        <v>-492.19</v>
      </c>
      <c r="I2933">
        <f t="shared" si="322"/>
        <v>28</v>
      </c>
      <c r="J2933">
        <v>1</v>
      </c>
      <c r="K2933">
        <f t="shared" si="323"/>
        <v>5</v>
      </c>
      <c r="L2933">
        <f t="shared" si="324"/>
        <v>2014</v>
      </c>
      <c r="N2933" s="17">
        <f t="shared" si="327"/>
        <v>41760</v>
      </c>
      <c r="S2933">
        <f t="shared" si="328"/>
        <v>0</v>
      </c>
    </row>
    <row r="2934" spans="1:19" x14ac:dyDescent="0.3">
      <c r="A2934" s="17">
        <v>41786</v>
      </c>
      <c r="B2934">
        <v>602.69000000000005</v>
      </c>
      <c r="C2934">
        <v>106.8</v>
      </c>
      <c r="D2934">
        <f t="shared" si="325"/>
        <v>495.89000000000004</v>
      </c>
      <c r="E2934">
        <v>1.51</v>
      </c>
      <c r="F2934">
        <f t="shared" si="326"/>
        <v>-494.38000000000005</v>
      </c>
      <c r="I2934">
        <f t="shared" si="322"/>
        <v>27</v>
      </c>
      <c r="J2934">
        <v>1</v>
      </c>
      <c r="K2934">
        <f t="shared" si="323"/>
        <v>5</v>
      </c>
      <c r="L2934">
        <f t="shared" si="324"/>
        <v>2014</v>
      </c>
      <c r="N2934" s="17">
        <f t="shared" si="327"/>
        <v>41760</v>
      </c>
      <c r="S2934">
        <f t="shared" si="328"/>
        <v>0</v>
      </c>
    </row>
    <row r="2935" spans="1:19" x14ac:dyDescent="0.3">
      <c r="A2935" s="17">
        <v>41785</v>
      </c>
      <c r="B2935">
        <v>603.24</v>
      </c>
      <c r="C2935">
        <v>106.6</v>
      </c>
      <c r="D2935">
        <f t="shared" si="325"/>
        <v>496.64</v>
      </c>
      <c r="E2935">
        <v>1.63</v>
      </c>
      <c r="F2935">
        <f t="shared" si="326"/>
        <v>-495.01</v>
      </c>
      <c r="I2935">
        <f t="shared" si="322"/>
        <v>26</v>
      </c>
      <c r="J2935">
        <v>1</v>
      </c>
      <c r="K2935">
        <f t="shared" si="323"/>
        <v>5</v>
      </c>
      <c r="L2935">
        <f t="shared" si="324"/>
        <v>2014</v>
      </c>
      <c r="N2935" s="17">
        <f t="shared" si="327"/>
        <v>41760</v>
      </c>
      <c r="S2935">
        <f t="shared" si="328"/>
        <v>0</v>
      </c>
    </row>
    <row r="2936" spans="1:19" x14ac:dyDescent="0.3">
      <c r="A2936" s="17">
        <v>41782</v>
      </c>
      <c r="B2936">
        <v>603.41</v>
      </c>
      <c r="C2936">
        <v>106.86</v>
      </c>
      <c r="D2936">
        <f t="shared" si="325"/>
        <v>496.54999999999995</v>
      </c>
      <c r="E2936">
        <v>1.61</v>
      </c>
      <c r="F2936">
        <f t="shared" si="326"/>
        <v>-494.93999999999994</v>
      </c>
      <c r="I2936">
        <f t="shared" si="322"/>
        <v>23</v>
      </c>
      <c r="J2936">
        <v>1</v>
      </c>
      <c r="K2936">
        <f t="shared" si="323"/>
        <v>5</v>
      </c>
      <c r="L2936">
        <f t="shared" si="324"/>
        <v>2014</v>
      </c>
      <c r="N2936" s="17">
        <f t="shared" si="327"/>
        <v>41760</v>
      </c>
      <c r="S2936">
        <f t="shared" si="328"/>
        <v>0</v>
      </c>
    </row>
    <row r="2937" spans="1:19" x14ac:dyDescent="0.3">
      <c r="A2937" s="17">
        <v>41781</v>
      </c>
      <c r="B2937">
        <v>601.26</v>
      </c>
      <c r="C2937">
        <v>106.96</v>
      </c>
      <c r="D2937">
        <f t="shared" si="325"/>
        <v>494.3</v>
      </c>
      <c r="E2937">
        <v>1.7</v>
      </c>
      <c r="F2937">
        <f t="shared" si="326"/>
        <v>-492.6</v>
      </c>
      <c r="I2937">
        <f t="shared" si="322"/>
        <v>22</v>
      </c>
      <c r="J2937">
        <v>1</v>
      </c>
      <c r="K2937">
        <f t="shared" si="323"/>
        <v>5</v>
      </c>
      <c r="L2937">
        <f t="shared" si="324"/>
        <v>2014</v>
      </c>
      <c r="N2937" s="17">
        <f t="shared" si="327"/>
        <v>41760</v>
      </c>
      <c r="S2937">
        <f t="shared" si="328"/>
        <v>0</v>
      </c>
    </row>
    <row r="2938" spans="1:19" x14ac:dyDescent="0.3">
      <c r="A2938" s="17">
        <v>41780</v>
      </c>
      <c r="B2938">
        <v>598.11</v>
      </c>
      <c r="C2938">
        <v>106.6</v>
      </c>
      <c r="D2938">
        <f t="shared" si="325"/>
        <v>491.51</v>
      </c>
      <c r="E2938">
        <v>1.7</v>
      </c>
      <c r="F2938">
        <f t="shared" si="326"/>
        <v>-489.81</v>
      </c>
      <c r="I2938">
        <f t="shared" si="322"/>
        <v>21</v>
      </c>
      <c r="J2938">
        <v>1</v>
      </c>
      <c r="K2938">
        <f t="shared" si="323"/>
        <v>5</v>
      </c>
      <c r="L2938">
        <f t="shared" si="324"/>
        <v>2014</v>
      </c>
      <c r="N2938" s="17">
        <f t="shared" si="327"/>
        <v>41760</v>
      </c>
      <c r="S2938">
        <f t="shared" si="328"/>
        <v>0</v>
      </c>
    </row>
    <row r="2939" spans="1:19" x14ac:dyDescent="0.3">
      <c r="A2939" s="17">
        <v>41779</v>
      </c>
      <c r="B2939">
        <v>595.86</v>
      </c>
      <c r="C2939">
        <v>106.12</v>
      </c>
      <c r="D2939">
        <f t="shared" si="325"/>
        <v>489.74</v>
      </c>
      <c r="E2939">
        <v>1.58</v>
      </c>
      <c r="F2939">
        <f t="shared" si="326"/>
        <v>-488.16</v>
      </c>
      <c r="I2939">
        <f t="shared" si="322"/>
        <v>20</v>
      </c>
      <c r="J2939">
        <v>1</v>
      </c>
      <c r="K2939">
        <f t="shared" si="323"/>
        <v>5</v>
      </c>
      <c r="L2939">
        <f t="shared" si="324"/>
        <v>2014</v>
      </c>
      <c r="N2939" s="17">
        <f t="shared" si="327"/>
        <v>41760</v>
      </c>
      <c r="S2939">
        <f t="shared" si="328"/>
        <v>0</v>
      </c>
    </row>
    <row r="2940" spans="1:19" x14ac:dyDescent="0.3">
      <c r="A2940" s="17">
        <v>41778</v>
      </c>
      <c r="B2940">
        <v>598.54999999999995</v>
      </c>
      <c r="C2940">
        <v>106.5</v>
      </c>
      <c r="D2940">
        <f t="shared" si="325"/>
        <v>492.04999999999995</v>
      </c>
      <c r="E2940">
        <v>1.47</v>
      </c>
      <c r="F2940">
        <f t="shared" si="326"/>
        <v>-490.57999999999993</v>
      </c>
      <c r="I2940">
        <f t="shared" si="322"/>
        <v>19</v>
      </c>
      <c r="J2940">
        <v>1</v>
      </c>
      <c r="K2940">
        <f t="shared" si="323"/>
        <v>5</v>
      </c>
      <c r="L2940">
        <f t="shared" si="324"/>
        <v>2014</v>
      </c>
      <c r="N2940" s="17">
        <f t="shared" si="327"/>
        <v>41760</v>
      </c>
      <c r="S2940">
        <f t="shared" si="328"/>
        <v>0</v>
      </c>
    </row>
    <row r="2941" spans="1:19" x14ac:dyDescent="0.3">
      <c r="A2941" s="17">
        <v>41775</v>
      </c>
      <c r="B2941">
        <v>594.59</v>
      </c>
      <c r="C2941">
        <v>105.75</v>
      </c>
      <c r="D2941">
        <f t="shared" si="325"/>
        <v>488.84000000000003</v>
      </c>
      <c r="E2941">
        <v>1.47</v>
      </c>
      <c r="F2941">
        <f t="shared" si="326"/>
        <v>-487.37</v>
      </c>
      <c r="I2941">
        <f t="shared" si="322"/>
        <v>16</v>
      </c>
      <c r="J2941">
        <v>1</v>
      </c>
      <c r="K2941">
        <f t="shared" si="323"/>
        <v>5</v>
      </c>
      <c r="L2941">
        <f t="shared" si="324"/>
        <v>2014</v>
      </c>
      <c r="N2941" s="17">
        <f t="shared" si="327"/>
        <v>41760</v>
      </c>
      <c r="S2941">
        <f t="shared" si="328"/>
        <v>0</v>
      </c>
    </row>
    <row r="2942" spans="1:19" x14ac:dyDescent="0.3">
      <c r="A2942" s="17">
        <v>41774</v>
      </c>
      <c r="B2942">
        <v>591.35</v>
      </c>
      <c r="C2942">
        <v>105.79</v>
      </c>
      <c r="D2942">
        <f t="shared" si="325"/>
        <v>485.56</v>
      </c>
      <c r="E2942">
        <v>1.53</v>
      </c>
      <c r="F2942">
        <f t="shared" si="326"/>
        <v>-484.03000000000003</v>
      </c>
      <c r="I2942">
        <f t="shared" si="322"/>
        <v>15</v>
      </c>
      <c r="J2942">
        <v>1</v>
      </c>
      <c r="K2942">
        <f t="shared" si="323"/>
        <v>5</v>
      </c>
      <c r="L2942">
        <f t="shared" si="324"/>
        <v>2014</v>
      </c>
      <c r="N2942" s="17">
        <f t="shared" si="327"/>
        <v>41760</v>
      </c>
      <c r="S2942">
        <f t="shared" si="328"/>
        <v>0</v>
      </c>
    </row>
    <row r="2943" spans="1:19" x14ac:dyDescent="0.3">
      <c r="A2943" s="17">
        <v>41773</v>
      </c>
      <c r="B2943">
        <v>591.34</v>
      </c>
      <c r="C2943">
        <v>105.7</v>
      </c>
      <c r="D2943">
        <f t="shared" si="325"/>
        <v>485.64000000000004</v>
      </c>
      <c r="E2943">
        <v>1.48</v>
      </c>
      <c r="F2943">
        <f t="shared" si="326"/>
        <v>-484.16</v>
      </c>
      <c r="I2943">
        <f t="shared" si="322"/>
        <v>14</v>
      </c>
      <c r="J2943">
        <v>1</v>
      </c>
      <c r="K2943">
        <f t="shared" si="323"/>
        <v>5</v>
      </c>
      <c r="L2943">
        <f t="shared" si="324"/>
        <v>2014</v>
      </c>
      <c r="N2943" s="17">
        <f t="shared" si="327"/>
        <v>41760</v>
      </c>
      <c r="S2943">
        <f t="shared" si="328"/>
        <v>0</v>
      </c>
    </row>
    <row r="2944" spans="1:19" x14ac:dyDescent="0.3">
      <c r="A2944" s="17">
        <v>41771</v>
      </c>
      <c r="B2944">
        <v>587.91999999999996</v>
      </c>
      <c r="C2944">
        <v>104.41</v>
      </c>
      <c r="D2944">
        <f t="shared" si="325"/>
        <v>483.51</v>
      </c>
      <c r="E2944">
        <v>1.48</v>
      </c>
      <c r="F2944">
        <f t="shared" si="326"/>
        <v>-482.03</v>
      </c>
      <c r="I2944">
        <f t="shared" si="322"/>
        <v>12</v>
      </c>
      <c r="J2944">
        <v>1</v>
      </c>
      <c r="K2944">
        <f t="shared" si="323"/>
        <v>5</v>
      </c>
      <c r="L2944">
        <f t="shared" si="324"/>
        <v>2014</v>
      </c>
      <c r="N2944" s="17">
        <f t="shared" si="327"/>
        <v>41760</v>
      </c>
      <c r="S2944">
        <f t="shared" si="328"/>
        <v>0</v>
      </c>
    </row>
    <row r="2945" spans="1:19" x14ac:dyDescent="0.3">
      <c r="A2945" s="17">
        <v>41768</v>
      </c>
      <c r="B2945">
        <v>589.63</v>
      </c>
      <c r="C2945">
        <v>105.01</v>
      </c>
      <c r="D2945">
        <f t="shared" si="325"/>
        <v>484.62</v>
      </c>
      <c r="E2945">
        <v>1.56</v>
      </c>
      <c r="F2945">
        <f t="shared" si="326"/>
        <v>-483.06</v>
      </c>
      <c r="I2945">
        <f t="shared" si="322"/>
        <v>9</v>
      </c>
      <c r="J2945">
        <v>1</v>
      </c>
      <c r="K2945">
        <f t="shared" si="323"/>
        <v>5</v>
      </c>
      <c r="L2945">
        <f t="shared" si="324"/>
        <v>2014</v>
      </c>
      <c r="N2945" s="17">
        <f t="shared" si="327"/>
        <v>41760</v>
      </c>
      <c r="S2945">
        <f t="shared" si="328"/>
        <v>0</v>
      </c>
    </row>
    <row r="2946" spans="1:19" x14ac:dyDescent="0.3">
      <c r="A2946" s="17">
        <v>41767</v>
      </c>
      <c r="B2946">
        <v>587.22</v>
      </c>
      <c r="C2946">
        <v>104.1</v>
      </c>
      <c r="D2946">
        <f t="shared" si="325"/>
        <v>483.12</v>
      </c>
      <c r="E2946">
        <v>1.52</v>
      </c>
      <c r="F2946">
        <f t="shared" si="326"/>
        <v>-481.6</v>
      </c>
      <c r="I2946">
        <f t="shared" si="322"/>
        <v>8</v>
      </c>
      <c r="J2946">
        <v>1</v>
      </c>
      <c r="K2946">
        <f t="shared" si="323"/>
        <v>5</v>
      </c>
      <c r="L2946">
        <f t="shared" si="324"/>
        <v>2014</v>
      </c>
      <c r="N2946" s="17">
        <f t="shared" si="327"/>
        <v>41760</v>
      </c>
      <c r="S2946">
        <f t="shared" si="328"/>
        <v>0</v>
      </c>
    </row>
    <row r="2947" spans="1:19" x14ac:dyDescent="0.3">
      <c r="A2947" s="17">
        <v>41766</v>
      </c>
      <c r="B2947">
        <v>586.49</v>
      </c>
      <c r="C2947">
        <v>103.59</v>
      </c>
      <c r="D2947">
        <f t="shared" si="325"/>
        <v>482.9</v>
      </c>
      <c r="E2947">
        <v>1.57</v>
      </c>
      <c r="F2947">
        <f t="shared" si="326"/>
        <v>-481.33</v>
      </c>
      <c r="I2947">
        <f t="shared" si="322"/>
        <v>7</v>
      </c>
      <c r="J2947">
        <v>1</v>
      </c>
      <c r="K2947">
        <f t="shared" si="323"/>
        <v>5</v>
      </c>
      <c r="L2947">
        <f t="shared" si="324"/>
        <v>2014</v>
      </c>
      <c r="N2947" s="17">
        <f t="shared" si="327"/>
        <v>41760</v>
      </c>
      <c r="S2947">
        <f t="shared" si="328"/>
        <v>0</v>
      </c>
    </row>
    <row r="2948" spans="1:19" x14ac:dyDescent="0.3">
      <c r="A2948" s="17">
        <v>41765</v>
      </c>
      <c r="B2948">
        <v>584.80999999999995</v>
      </c>
      <c r="C2948">
        <v>103.91</v>
      </c>
      <c r="D2948">
        <f t="shared" si="325"/>
        <v>480.9</v>
      </c>
      <c r="E2948">
        <v>1.6</v>
      </c>
      <c r="F2948">
        <f t="shared" si="326"/>
        <v>-479.29999999999995</v>
      </c>
      <c r="I2948">
        <f t="shared" si="322"/>
        <v>6</v>
      </c>
      <c r="J2948">
        <v>1</v>
      </c>
      <c r="K2948">
        <f t="shared" si="323"/>
        <v>5</v>
      </c>
      <c r="L2948">
        <f t="shared" si="324"/>
        <v>2014</v>
      </c>
      <c r="N2948" s="17">
        <f t="shared" si="327"/>
        <v>41760</v>
      </c>
      <c r="S2948">
        <f t="shared" si="328"/>
        <v>0</v>
      </c>
    </row>
    <row r="2949" spans="1:19" x14ac:dyDescent="0.3">
      <c r="A2949" s="17">
        <v>41764</v>
      </c>
      <c r="B2949">
        <v>585.26</v>
      </c>
      <c r="C2949">
        <v>104.69</v>
      </c>
      <c r="D2949">
        <f t="shared" si="325"/>
        <v>480.57</v>
      </c>
      <c r="E2949">
        <v>1.62</v>
      </c>
      <c r="F2949">
        <f t="shared" si="326"/>
        <v>-478.95</v>
      </c>
      <c r="I2949">
        <f t="shared" ref="I2949:I3012" si="329">+DAY(A2949)</f>
        <v>5</v>
      </c>
      <c r="J2949">
        <v>1</v>
      </c>
      <c r="K2949">
        <f t="shared" ref="K2949:K3012" si="330">+MONTH(A2949)</f>
        <v>5</v>
      </c>
      <c r="L2949">
        <f t="shared" ref="L2949:L3012" si="331">+YEAR(A2949)</f>
        <v>2014</v>
      </c>
      <c r="N2949" s="17">
        <f t="shared" si="327"/>
        <v>41760</v>
      </c>
      <c r="S2949">
        <f t="shared" si="328"/>
        <v>0</v>
      </c>
    </row>
    <row r="2950" spans="1:19" x14ac:dyDescent="0.3">
      <c r="A2950" s="17">
        <v>41761</v>
      </c>
      <c r="B2950">
        <v>584.1</v>
      </c>
      <c r="C2950">
        <v>104.41</v>
      </c>
      <c r="D2950">
        <f t="shared" ref="D2950:D3013" si="332">+B2950-C2950</f>
        <v>479.69000000000005</v>
      </c>
      <c r="E2950">
        <v>1.68</v>
      </c>
      <c r="F2950">
        <f t="shared" ref="F2950:F3013" si="333">+E2950-D2950</f>
        <v>-478.01000000000005</v>
      </c>
      <c r="I2950">
        <f t="shared" si="329"/>
        <v>2</v>
      </c>
      <c r="J2950">
        <v>1</v>
      </c>
      <c r="K2950">
        <f t="shared" si="330"/>
        <v>5</v>
      </c>
      <c r="L2950">
        <f t="shared" si="331"/>
        <v>2014</v>
      </c>
      <c r="N2950" s="17">
        <f t="shared" ref="N2950:N3013" si="334">+DATE(L2950,K2950,J2950)</f>
        <v>41760</v>
      </c>
      <c r="S2950">
        <f t="shared" ref="S2950:S3013" si="335">IF(AND(I2950&gt;=1, I2950&lt;=4), 1, 0)</f>
        <v>1</v>
      </c>
    </row>
    <row r="2951" spans="1:19" x14ac:dyDescent="0.3">
      <c r="A2951" s="17">
        <v>41759</v>
      </c>
      <c r="B2951">
        <v>585.99</v>
      </c>
      <c r="C2951">
        <v>104.5</v>
      </c>
      <c r="D2951">
        <f t="shared" si="332"/>
        <v>481.49</v>
      </c>
      <c r="E2951">
        <v>1.64</v>
      </c>
      <c r="F2951">
        <f t="shared" si="333"/>
        <v>-479.85</v>
      </c>
      <c r="I2951">
        <f t="shared" si="329"/>
        <v>30</v>
      </c>
      <c r="J2951">
        <v>1</v>
      </c>
      <c r="K2951">
        <f t="shared" si="330"/>
        <v>4</v>
      </c>
      <c r="L2951">
        <f t="shared" si="331"/>
        <v>2014</v>
      </c>
      <c r="N2951" s="17">
        <f t="shared" si="334"/>
        <v>41730</v>
      </c>
      <c r="S2951">
        <f t="shared" si="335"/>
        <v>0</v>
      </c>
    </row>
    <row r="2952" spans="1:19" x14ac:dyDescent="0.3">
      <c r="A2952" s="17">
        <v>41758</v>
      </c>
      <c r="B2952">
        <v>586.14</v>
      </c>
      <c r="C2952">
        <v>105.25</v>
      </c>
      <c r="D2952">
        <f t="shared" si="332"/>
        <v>480.89</v>
      </c>
      <c r="E2952">
        <v>1.7</v>
      </c>
      <c r="F2952">
        <f t="shared" si="333"/>
        <v>-479.19</v>
      </c>
      <c r="I2952">
        <f t="shared" si="329"/>
        <v>29</v>
      </c>
      <c r="J2952">
        <v>1</v>
      </c>
      <c r="K2952">
        <f t="shared" si="330"/>
        <v>4</v>
      </c>
      <c r="L2952">
        <f t="shared" si="331"/>
        <v>2014</v>
      </c>
      <c r="N2952" s="17">
        <f t="shared" si="334"/>
        <v>41730</v>
      </c>
      <c r="S2952">
        <f t="shared" si="335"/>
        <v>0</v>
      </c>
    </row>
    <row r="2953" spans="1:19" x14ac:dyDescent="0.3">
      <c r="A2953" s="17">
        <v>41757</v>
      </c>
      <c r="B2953">
        <v>591.4</v>
      </c>
      <c r="C2953">
        <v>106.29</v>
      </c>
      <c r="D2953">
        <f t="shared" si="332"/>
        <v>485.10999999999996</v>
      </c>
      <c r="E2953">
        <v>1.73</v>
      </c>
      <c r="F2953">
        <f t="shared" si="333"/>
        <v>-483.37999999999994</v>
      </c>
      <c r="I2953">
        <f t="shared" si="329"/>
        <v>28</v>
      </c>
      <c r="J2953">
        <v>1</v>
      </c>
      <c r="K2953">
        <f t="shared" si="330"/>
        <v>4</v>
      </c>
      <c r="L2953">
        <f t="shared" si="331"/>
        <v>2014</v>
      </c>
      <c r="N2953" s="17">
        <f t="shared" si="334"/>
        <v>41730</v>
      </c>
      <c r="S2953">
        <f t="shared" si="335"/>
        <v>0</v>
      </c>
    </row>
    <row r="2954" spans="1:19" x14ac:dyDescent="0.3">
      <c r="A2954" s="17">
        <v>41754</v>
      </c>
      <c r="B2954">
        <v>590.82000000000005</v>
      </c>
      <c r="C2954">
        <v>106.4</v>
      </c>
      <c r="D2954">
        <f t="shared" si="332"/>
        <v>484.42000000000007</v>
      </c>
      <c r="E2954">
        <v>1.91</v>
      </c>
      <c r="F2954">
        <f t="shared" si="333"/>
        <v>-482.51000000000005</v>
      </c>
      <c r="I2954">
        <f t="shared" si="329"/>
        <v>25</v>
      </c>
      <c r="J2954">
        <v>1</v>
      </c>
      <c r="K2954">
        <f t="shared" si="330"/>
        <v>4</v>
      </c>
      <c r="L2954">
        <f t="shared" si="331"/>
        <v>2014</v>
      </c>
      <c r="N2954" s="17">
        <f t="shared" si="334"/>
        <v>41730</v>
      </c>
      <c r="S2954">
        <f t="shared" si="335"/>
        <v>0</v>
      </c>
    </row>
    <row r="2955" spans="1:19" x14ac:dyDescent="0.3">
      <c r="A2955" s="17">
        <v>41753</v>
      </c>
      <c r="B2955">
        <v>588.63</v>
      </c>
      <c r="C2955">
        <v>105.76</v>
      </c>
      <c r="D2955">
        <f t="shared" si="332"/>
        <v>482.87</v>
      </c>
      <c r="E2955">
        <v>1.89</v>
      </c>
      <c r="F2955">
        <f t="shared" si="333"/>
        <v>-480.98</v>
      </c>
      <c r="I2955">
        <f t="shared" si="329"/>
        <v>24</v>
      </c>
      <c r="J2955">
        <v>1</v>
      </c>
      <c r="K2955">
        <f t="shared" si="330"/>
        <v>4</v>
      </c>
      <c r="L2955">
        <f t="shared" si="331"/>
        <v>2014</v>
      </c>
      <c r="N2955" s="17">
        <f t="shared" si="334"/>
        <v>41730</v>
      </c>
      <c r="S2955">
        <f t="shared" si="335"/>
        <v>0</v>
      </c>
    </row>
    <row r="2956" spans="1:19" x14ac:dyDescent="0.3">
      <c r="A2956" s="17">
        <v>41752</v>
      </c>
      <c r="B2956">
        <v>589.47</v>
      </c>
      <c r="C2956">
        <v>105.9</v>
      </c>
      <c r="D2956">
        <f t="shared" si="332"/>
        <v>483.57000000000005</v>
      </c>
      <c r="E2956">
        <v>1.91</v>
      </c>
      <c r="F2956">
        <f t="shared" si="333"/>
        <v>-481.66</v>
      </c>
      <c r="I2956">
        <f t="shared" si="329"/>
        <v>23</v>
      </c>
      <c r="J2956">
        <v>1</v>
      </c>
      <c r="K2956">
        <f t="shared" si="330"/>
        <v>4</v>
      </c>
      <c r="L2956">
        <f t="shared" si="331"/>
        <v>2014</v>
      </c>
      <c r="N2956" s="17">
        <f t="shared" si="334"/>
        <v>41730</v>
      </c>
      <c r="S2956">
        <f t="shared" si="335"/>
        <v>0</v>
      </c>
    </row>
    <row r="2957" spans="1:19" x14ac:dyDescent="0.3">
      <c r="A2957" s="17">
        <v>41751</v>
      </c>
      <c r="B2957">
        <v>590.51</v>
      </c>
      <c r="C2957">
        <v>106.3</v>
      </c>
      <c r="D2957">
        <f t="shared" si="332"/>
        <v>484.21</v>
      </c>
      <c r="E2957">
        <v>1.84</v>
      </c>
      <c r="F2957">
        <f t="shared" si="333"/>
        <v>-482.37</v>
      </c>
      <c r="I2957">
        <f t="shared" si="329"/>
        <v>22</v>
      </c>
      <c r="J2957">
        <v>1</v>
      </c>
      <c r="K2957">
        <f t="shared" si="330"/>
        <v>4</v>
      </c>
      <c r="L2957">
        <f t="shared" si="331"/>
        <v>2014</v>
      </c>
      <c r="N2957" s="17">
        <f t="shared" si="334"/>
        <v>41730</v>
      </c>
      <c r="S2957">
        <f t="shared" si="335"/>
        <v>0</v>
      </c>
    </row>
    <row r="2958" spans="1:19" x14ac:dyDescent="0.3">
      <c r="A2958" s="17">
        <v>41750</v>
      </c>
      <c r="B2958">
        <v>586.87</v>
      </c>
      <c r="C2958">
        <v>105.7</v>
      </c>
      <c r="D2958">
        <f t="shared" si="332"/>
        <v>481.17</v>
      </c>
      <c r="E2958">
        <v>1.82</v>
      </c>
      <c r="F2958">
        <f t="shared" si="333"/>
        <v>-479.35</v>
      </c>
      <c r="I2958">
        <f t="shared" si="329"/>
        <v>21</v>
      </c>
      <c r="J2958">
        <v>1</v>
      </c>
      <c r="K2958">
        <f t="shared" si="330"/>
        <v>4</v>
      </c>
      <c r="L2958">
        <f t="shared" si="331"/>
        <v>2014</v>
      </c>
      <c r="N2958" s="17">
        <f t="shared" si="334"/>
        <v>41730</v>
      </c>
      <c r="S2958">
        <f t="shared" si="335"/>
        <v>0</v>
      </c>
    </row>
    <row r="2959" spans="1:19" x14ac:dyDescent="0.3">
      <c r="A2959" s="17">
        <v>41746</v>
      </c>
      <c r="B2959">
        <v>585.65</v>
      </c>
      <c r="C2959">
        <v>105.85</v>
      </c>
      <c r="D2959">
        <f t="shared" si="332"/>
        <v>479.79999999999995</v>
      </c>
      <c r="E2959">
        <v>1.8</v>
      </c>
      <c r="F2959">
        <f t="shared" si="333"/>
        <v>-477.99999999999994</v>
      </c>
      <c r="I2959">
        <f t="shared" si="329"/>
        <v>17</v>
      </c>
      <c r="J2959">
        <v>1</v>
      </c>
      <c r="K2959">
        <f t="shared" si="330"/>
        <v>4</v>
      </c>
      <c r="L2959">
        <f t="shared" si="331"/>
        <v>2014</v>
      </c>
      <c r="N2959" s="17">
        <f t="shared" si="334"/>
        <v>41730</v>
      </c>
      <c r="S2959">
        <f t="shared" si="335"/>
        <v>0</v>
      </c>
    </row>
    <row r="2960" spans="1:19" x14ac:dyDescent="0.3">
      <c r="A2960" s="17">
        <v>41745</v>
      </c>
      <c r="B2960">
        <v>590.91</v>
      </c>
      <c r="C2960">
        <v>106.41</v>
      </c>
      <c r="D2960">
        <f t="shared" si="332"/>
        <v>484.5</v>
      </c>
      <c r="E2960">
        <v>1.83</v>
      </c>
      <c r="F2960">
        <f t="shared" si="333"/>
        <v>-482.67</v>
      </c>
      <c r="I2960">
        <f t="shared" si="329"/>
        <v>16</v>
      </c>
      <c r="J2960">
        <v>1</v>
      </c>
      <c r="K2960">
        <f t="shared" si="330"/>
        <v>4</v>
      </c>
      <c r="L2960">
        <f t="shared" si="331"/>
        <v>2014</v>
      </c>
      <c r="N2960" s="17">
        <f t="shared" si="334"/>
        <v>41730</v>
      </c>
      <c r="S2960">
        <f t="shared" si="335"/>
        <v>0</v>
      </c>
    </row>
    <row r="2961" spans="1:19" x14ac:dyDescent="0.3">
      <c r="A2961" s="17">
        <v>41744</v>
      </c>
      <c r="B2961">
        <v>590.16</v>
      </c>
      <c r="C2961">
        <v>105.405</v>
      </c>
      <c r="D2961">
        <f t="shared" si="332"/>
        <v>484.755</v>
      </c>
      <c r="E2961">
        <v>1.87</v>
      </c>
      <c r="F2961">
        <f t="shared" si="333"/>
        <v>-482.88499999999999</v>
      </c>
      <c r="I2961">
        <f t="shared" si="329"/>
        <v>15</v>
      </c>
      <c r="J2961">
        <v>1</v>
      </c>
      <c r="K2961">
        <f t="shared" si="330"/>
        <v>4</v>
      </c>
      <c r="L2961">
        <f t="shared" si="331"/>
        <v>2014</v>
      </c>
      <c r="N2961" s="17">
        <f t="shared" si="334"/>
        <v>41730</v>
      </c>
      <c r="S2961">
        <f t="shared" si="335"/>
        <v>0</v>
      </c>
    </row>
    <row r="2962" spans="1:19" x14ac:dyDescent="0.3">
      <c r="A2962" s="17">
        <v>41743</v>
      </c>
      <c r="B2962">
        <v>591.72</v>
      </c>
      <c r="C2962">
        <v>105.11</v>
      </c>
      <c r="D2962">
        <f t="shared" si="332"/>
        <v>486.61</v>
      </c>
      <c r="E2962">
        <v>1.74</v>
      </c>
      <c r="F2962">
        <f t="shared" si="333"/>
        <v>-484.87</v>
      </c>
      <c r="I2962">
        <f t="shared" si="329"/>
        <v>14</v>
      </c>
      <c r="J2962">
        <v>1</v>
      </c>
      <c r="K2962">
        <f t="shared" si="330"/>
        <v>4</v>
      </c>
      <c r="L2962">
        <f t="shared" si="331"/>
        <v>2014</v>
      </c>
      <c r="N2962" s="17">
        <f t="shared" si="334"/>
        <v>41730</v>
      </c>
      <c r="S2962">
        <f t="shared" si="335"/>
        <v>0</v>
      </c>
    </row>
    <row r="2963" spans="1:19" x14ac:dyDescent="0.3">
      <c r="A2963" s="17">
        <v>41740</v>
      </c>
      <c r="B2963">
        <v>588.71</v>
      </c>
      <c r="C2963">
        <v>104.15</v>
      </c>
      <c r="D2963">
        <f t="shared" si="332"/>
        <v>484.56000000000006</v>
      </c>
      <c r="E2963">
        <v>1.73</v>
      </c>
      <c r="F2963">
        <f t="shared" si="333"/>
        <v>-482.83000000000004</v>
      </c>
      <c r="I2963">
        <f t="shared" si="329"/>
        <v>11</v>
      </c>
      <c r="J2963">
        <v>1</v>
      </c>
      <c r="K2963">
        <f t="shared" si="330"/>
        <v>4</v>
      </c>
      <c r="L2963">
        <f t="shared" si="331"/>
        <v>2014</v>
      </c>
      <c r="N2963" s="17">
        <f t="shared" si="334"/>
        <v>41730</v>
      </c>
      <c r="S2963">
        <f t="shared" si="335"/>
        <v>0</v>
      </c>
    </row>
    <row r="2964" spans="1:19" x14ac:dyDescent="0.3">
      <c r="A2964" s="17">
        <v>41739</v>
      </c>
      <c r="B2964">
        <v>589.71</v>
      </c>
      <c r="C2964">
        <v>104.6</v>
      </c>
      <c r="D2964">
        <f t="shared" si="332"/>
        <v>485.11</v>
      </c>
      <c r="E2964">
        <v>1.73</v>
      </c>
      <c r="F2964">
        <f t="shared" si="333"/>
        <v>-483.38</v>
      </c>
      <c r="I2964">
        <f t="shared" si="329"/>
        <v>10</v>
      </c>
      <c r="J2964">
        <v>1</v>
      </c>
      <c r="K2964">
        <f t="shared" si="330"/>
        <v>4</v>
      </c>
      <c r="L2964">
        <f t="shared" si="331"/>
        <v>2014</v>
      </c>
      <c r="N2964" s="17">
        <f t="shared" si="334"/>
        <v>41730</v>
      </c>
      <c r="S2964">
        <f t="shared" si="335"/>
        <v>0</v>
      </c>
    </row>
    <row r="2965" spans="1:19" x14ac:dyDescent="0.3">
      <c r="A2965" s="17">
        <v>41738</v>
      </c>
      <c r="B2965">
        <v>587.79</v>
      </c>
      <c r="C2965">
        <v>104.1</v>
      </c>
      <c r="D2965">
        <f t="shared" si="332"/>
        <v>483.68999999999994</v>
      </c>
      <c r="E2965">
        <v>1.62</v>
      </c>
      <c r="F2965">
        <f t="shared" si="333"/>
        <v>-482.06999999999994</v>
      </c>
      <c r="I2965">
        <f t="shared" si="329"/>
        <v>9</v>
      </c>
      <c r="J2965">
        <v>1</v>
      </c>
      <c r="K2965">
        <f t="shared" si="330"/>
        <v>4</v>
      </c>
      <c r="L2965">
        <f t="shared" si="331"/>
        <v>2014</v>
      </c>
      <c r="N2965" s="17">
        <f t="shared" si="334"/>
        <v>41730</v>
      </c>
      <c r="S2965">
        <f t="shared" si="335"/>
        <v>0</v>
      </c>
    </row>
    <row r="2966" spans="1:19" x14ac:dyDescent="0.3">
      <c r="A2966" s="17">
        <v>41737</v>
      </c>
      <c r="B2966">
        <v>581.85</v>
      </c>
      <c r="C2966">
        <v>103.15</v>
      </c>
      <c r="D2966">
        <f t="shared" si="332"/>
        <v>478.70000000000005</v>
      </c>
      <c r="E2966">
        <v>1.66</v>
      </c>
      <c r="F2966">
        <f t="shared" si="333"/>
        <v>-477.04</v>
      </c>
      <c r="I2966">
        <f t="shared" si="329"/>
        <v>8</v>
      </c>
      <c r="J2966">
        <v>1</v>
      </c>
      <c r="K2966">
        <f t="shared" si="330"/>
        <v>4</v>
      </c>
      <c r="L2966">
        <f t="shared" si="331"/>
        <v>2014</v>
      </c>
      <c r="N2966" s="17">
        <f t="shared" si="334"/>
        <v>41730</v>
      </c>
      <c r="S2966">
        <f t="shared" si="335"/>
        <v>0</v>
      </c>
    </row>
    <row r="2967" spans="1:19" x14ac:dyDescent="0.3">
      <c r="A2967" s="17">
        <v>41736</v>
      </c>
      <c r="B2967">
        <v>580.21</v>
      </c>
      <c r="C2967">
        <v>102.3</v>
      </c>
      <c r="D2967">
        <f t="shared" si="332"/>
        <v>477.91</v>
      </c>
      <c r="E2967">
        <v>1.58</v>
      </c>
      <c r="F2967">
        <f t="shared" si="333"/>
        <v>-476.33000000000004</v>
      </c>
      <c r="I2967">
        <f t="shared" si="329"/>
        <v>7</v>
      </c>
      <c r="J2967">
        <v>1</v>
      </c>
      <c r="K2967">
        <f t="shared" si="330"/>
        <v>4</v>
      </c>
      <c r="L2967">
        <f t="shared" si="331"/>
        <v>2014</v>
      </c>
      <c r="N2967" s="17">
        <f t="shared" si="334"/>
        <v>41730</v>
      </c>
      <c r="S2967">
        <f t="shared" si="335"/>
        <v>0</v>
      </c>
    </row>
    <row r="2968" spans="1:19" x14ac:dyDescent="0.3">
      <c r="A2968" s="17">
        <v>41733</v>
      </c>
      <c r="B2968">
        <v>584.5</v>
      </c>
      <c r="C2968">
        <v>103.21</v>
      </c>
      <c r="D2968">
        <f t="shared" si="332"/>
        <v>481.29</v>
      </c>
      <c r="E2968">
        <v>1.54</v>
      </c>
      <c r="F2968">
        <f t="shared" si="333"/>
        <v>-479.75</v>
      </c>
      <c r="I2968">
        <f t="shared" si="329"/>
        <v>4</v>
      </c>
      <c r="J2968">
        <v>1</v>
      </c>
      <c r="K2968">
        <f t="shared" si="330"/>
        <v>4</v>
      </c>
      <c r="L2968">
        <f t="shared" si="331"/>
        <v>2014</v>
      </c>
      <c r="N2968" s="17">
        <f t="shared" si="334"/>
        <v>41730</v>
      </c>
      <c r="S2968">
        <f t="shared" si="335"/>
        <v>1</v>
      </c>
    </row>
    <row r="2969" spans="1:19" x14ac:dyDescent="0.3">
      <c r="A2969" s="17">
        <v>41732</v>
      </c>
      <c r="B2969">
        <v>579.91999999999996</v>
      </c>
      <c r="C2969">
        <v>101.45</v>
      </c>
      <c r="D2969">
        <f t="shared" si="332"/>
        <v>478.46999999999997</v>
      </c>
      <c r="E2969">
        <v>1.5</v>
      </c>
      <c r="F2969">
        <f t="shared" si="333"/>
        <v>-476.96999999999997</v>
      </c>
      <c r="I2969">
        <f t="shared" si="329"/>
        <v>3</v>
      </c>
      <c r="J2969">
        <v>1</v>
      </c>
      <c r="K2969">
        <f t="shared" si="330"/>
        <v>4</v>
      </c>
      <c r="L2969">
        <f t="shared" si="331"/>
        <v>2014</v>
      </c>
      <c r="N2969" s="17">
        <f t="shared" si="334"/>
        <v>41730</v>
      </c>
      <c r="S2969">
        <f t="shared" si="335"/>
        <v>1</v>
      </c>
    </row>
    <row r="2970" spans="1:19" x14ac:dyDescent="0.3">
      <c r="A2970" s="17">
        <v>41731</v>
      </c>
      <c r="B2970">
        <v>583.71</v>
      </c>
      <c r="C2970">
        <v>102.45</v>
      </c>
      <c r="D2970">
        <f t="shared" si="332"/>
        <v>481.26000000000005</v>
      </c>
      <c r="E2970">
        <v>1.52</v>
      </c>
      <c r="F2970">
        <f t="shared" si="333"/>
        <v>-479.74000000000007</v>
      </c>
      <c r="I2970">
        <f t="shared" si="329"/>
        <v>2</v>
      </c>
      <c r="J2970">
        <v>1</v>
      </c>
      <c r="K2970">
        <f t="shared" si="330"/>
        <v>4</v>
      </c>
      <c r="L2970">
        <f t="shared" si="331"/>
        <v>2014</v>
      </c>
      <c r="N2970" s="17">
        <f t="shared" si="334"/>
        <v>41730</v>
      </c>
      <c r="S2970">
        <f t="shared" si="335"/>
        <v>1</v>
      </c>
    </row>
    <row r="2971" spans="1:19" x14ac:dyDescent="0.3">
      <c r="A2971" s="17">
        <v>41730</v>
      </c>
      <c r="B2971">
        <v>587.62</v>
      </c>
      <c r="C2971">
        <v>104.05</v>
      </c>
      <c r="D2971">
        <f t="shared" si="332"/>
        <v>483.57</v>
      </c>
      <c r="E2971">
        <v>1.47</v>
      </c>
      <c r="F2971">
        <f t="shared" si="333"/>
        <v>-482.09999999999997</v>
      </c>
      <c r="I2971">
        <f t="shared" si="329"/>
        <v>1</v>
      </c>
      <c r="J2971">
        <v>1</v>
      </c>
      <c r="K2971">
        <f t="shared" si="330"/>
        <v>4</v>
      </c>
      <c r="L2971">
        <f t="shared" si="331"/>
        <v>2014</v>
      </c>
      <c r="N2971" s="17">
        <f t="shared" si="334"/>
        <v>41730</v>
      </c>
      <c r="S2971">
        <f t="shared" si="335"/>
        <v>1</v>
      </c>
    </row>
    <row r="2972" spans="1:19" x14ac:dyDescent="0.3">
      <c r="A2972" s="17">
        <v>41729</v>
      </c>
      <c r="B2972">
        <v>593.09</v>
      </c>
      <c r="C2972">
        <v>104.76</v>
      </c>
      <c r="D2972">
        <f t="shared" si="332"/>
        <v>488.33000000000004</v>
      </c>
      <c r="E2972">
        <v>1.45</v>
      </c>
      <c r="F2972">
        <f t="shared" si="333"/>
        <v>-486.88000000000005</v>
      </c>
      <c r="I2972">
        <f t="shared" si="329"/>
        <v>31</v>
      </c>
      <c r="J2972">
        <v>1</v>
      </c>
      <c r="K2972">
        <f t="shared" si="330"/>
        <v>3</v>
      </c>
      <c r="L2972">
        <f t="shared" si="331"/>
        <v>2014</v>
      </c>
      <c r="N2972" s="17">
        <f t="shared" si="334"/>
        <v>41699</v>
      </c>
      <c r="S2972">
        <f t="shared" si="335"/>
        <v>0</v>
      </c>
    </row>
    <row r="2973" spans="1:19" x14ac:dyDescent="0.3">
      <c r="A2973" s="17">
        <v>41726</v>
      </c>
      <c r="B2973">
        <v>594.37</v>
      </c>
      <c r="C2973">
        <v>104.6</v>
      </c>
      <c r="D2973">
        <f t="shared" si="332"/>
        <v>489.77</v>
      </c>
      <c r="E2973">
        <v>1.3</v>
      </c>
      <c r="F2973">
        <f t="shared" si="333"/>
        <v>-488.46999999999997</v>
      </c>
      <c r="I2973">
        <f t="shared" si="329"/>
        <v>28</v>
      </c>
      <c r="J2973">
        <v>1</v>
      </c>
      <c r="K2973">
        <f t="shared" si="330"/>
        <v>3</v>
      </c>
      <c r="L2973">
        <f t="shared" si="331"/>
        <v>2014</v>
      </c>
      <c r="N2973" s="17">
        <f t="shared" si="334"/>
        <v>41699</v>
      </c>
      <c r="S2973">
        <f t="shared" si="335"/>
        <v>0</v>
      </c>
    </row>
    <row r="2974" spans="1:19" x14ac:dyDescent="0.3">
      <c r="A2974" s="17">
        <v>41725</v>
      </c>
      <c r="B2974">
        <v>593.17999999999995</v>
      </c>
      <c r="C2974">
        <v>104.05</v>
      </c>
      <c r="D2974">
        <f t="shared" si="332"/>
        <v>489.12999999999994</v>
      </c>
      <c r="E2974">
        <v>1.28</v>
      </c>
      <c r="F2974">
        <f t="shared" si="333"/>
        <v>-487.84999999999997</v>
      </c>
      <c r="I2974">
        <f t="shared" si="329"/>
        <v>27</v>
      </c>
      <c r="J2974">
        <v>1</v>
      </c>
      <c r="K2974">
        <f t="shared" si="330"/>
        <v>3</v>
      </c>
      <c r="L2974">
        <f t="shared" si="331"/>
        <v>2014</v>
      </c>
      <c r="N2974" s="17">
        <f t="shared" si="334"/>
        <v>41699</v>
      </c>
      <c r="S2974">
        <f t="shared" si="335"/>
        <v>0</v>
      </c>
    </row>
    <row r="2975" spans="1:19" x14ac:dyDescent="0.3">
      <c r="A2975" s="17">
        <v>41724</v>
      </c>
      <c r="B2975">
        <v>592.97</v>
      </c>
      <c r="C2975">
        <v>104.3</v>
      </c>
      <c r="D2975">
        <f t="shared" si="332"/>
        <v>488.67</v>
      </c>
      <c r="E2975">
        <v>1.29</v>
      </c>
      <c r="F2975">
        <f t="shared" si="333"/>
        <v>-487.38</v>
      </c>
      <c r="I2975">
        <f t="shared" si="329"/>
        <v>26</v>
      </c>
      <c r="J2975">
        <v>1</v>
      </c>
      <c r="K2975">
        <f t="shared" si="330"/>
        <v>3</v>
      </c>
      <c r="L2975">
        <f t="shared" si="331"/>
        <v>2014</v>
      </c>
      <c r="N2975" s="17">
        <f t="shared" si="334"/>
        <v>41699</v>
      </c>
      <c r="S2975">
        <f t="shared" si="335"/>
        <v>0</v>
      </c>
    </row>
    <row r="2976" spans="1:19" x14ac:dyDescent="0.3">
      <c r="A2976" s="17">
        <v>41723</v>
      </c>
      <c r="B2976">
        <v>593.15</v>
      </c>
      <c r="C2976">
        <v>104</v>
      </c>
      <c r="D2976">
        <f t="shared" si="332"/>
        <v>489.15</v>
      </c>
      <c r="E2976">
        <v>1.32</v>
      </c>
      <c r="F2976">
        <f t="shared" si="333"/>
        <v>-487.83</v>
      </c>
      <c r="I2976">
        <f t="shared" si="329"/>
        <v>25</v>
      </c>
      <c r="J2976">
        <v>1</v>
      </c>
      <c r="K2976">
        <f t="shared" si="330"/>
        <v>3</v>
      </c>
      <c r="L2976">
        <f t="shared" si="331"/>
        <v>2014</v>
      </c>
      <c r="N2976" s="17">
        <f t="shared" si="334"/>
        <v>41699</v>
      </c>
      <c r="S2976">
        <f t="shared" si="335"/>
        <v>0</v>
      </c>
    </row>
    <row r="2977" spans="1:19" x14ac:dyDescent="0.3">
      <c r="A2977" s="17">
        <v>41722</v>
      </c>
      <c r="B2977">
        <v>594.17999999999995</v>
      </c>
      <c r="C2977">
        <v>103.6</v>
      </c>
      <c r="D2977">
        <f t="shared" si="332"/>
        <v>490.57999999999993</v>
      </c>
      <c r="E2977">
        <v>1.29</v>
      </c>
      <c r="F2977">
        <f t="shared" si="333"/>
        <v>-489.28999999999991</v>
      </c>
      <c r="I2977">
        <f t="shared" si="329"/>
        <v>24</v>
      </c>
      <c r="J2977">
        <v>1</v>
      </c>
      <c r="K2977">
        <f t="shared" si="330"/>
        <v>3</v>
      </c>
      <c r="L2977">
        <f t="shared" si="331"/>
        <v>2014</v>
      </c>
      <c r="N2977" s="17">
        <f t="shared" si="334"/>
        <v>41699</v>
      </c>
      <c r="S2977">
        <f t="shared" si="335"/>
        <v>0</v>
      </c>
    </row>
    <row r="2978" spans="1:19" x14ac:dyDescent="0.3">
      <c r="A2978" s="17">
        <v>41719</v>
      </c>
      <c r="B2978">
        <v>595.64</v>
      </c>
      <c r="C2978">
        <v>103.64</v>
      </c>
      <c r="D2978">
        <f t="shared" si="332"/>
        <v>492</v>
      </c>
      <c r="E2978">
        <v>1.27</v>
      </c>
      <c r="F2978">
        <f t="shared" si="333"/>
        <v>-490.73</v>
      </c>
      <c r="I2978">
        <f t="shared" si="329"/>
        <v>21</v>
      </c>
      <c r="J2978">
        <v>1</v>
      </c>
      <c r="K2978">
        <f t="shared" si="330"/>
        <v>3</v>
      </c>
      <c r="L2978">
        <f t="shared" si="331"/>
        <v>2014</v>
      </c>
      <c r="N2978" s="17">
        <f t="shared" si="334"/>
        <v>41699</v>
      </c>
      <c r="S2978">
        <f t="shared" si="335"/>
        <v>0</v>
      </c>
    </row>
    <row r="2979" spans="1:19" x14ac:dyDescent="0.3">
      <c r="A2979" s="17">
        <v>41718</v>
      </c>
      <c r="B2979">
        <v>592.05999999999995</v>
      </c>
      <c r="C2979">
        <v>102.96</v>
      </c>
      <c r="D2979">
        <f t="shared" si="332"/>
        <v>489.09999999999997</v>
      </c>
      <c r="E2979">
        <v>1.18</v>
      </c>
      <c r="F2979">
        <f t="shared" si="333"/>
        <v>-487.91999999999996</v>
      </c>
      <c r="I2979">
        <f t="shared" si="329"/>
        <v>20</v>
      </c>
      <c r="J2979">
        <v>1</v>
      </c>
      <c r="K2979">
        <f t="shared" si="330"/>
        <v>3</v>
      </c>
      <c r="L2979">
        <f t="shared" si="331"/>
        <v>2014</v>
      </c>
      <c r="N2979" s="17">
        <f t="shared" si="334"/>
        <v>41699</v>
      </c>
      <c r="S2979">
        <f t="shared" si="335"/>
        <v>0</v>
      </c>
    </row>
    <row r="2980" spans="1:19" x14ac:dyDescent="0.3">
      <c r="A2980" s="17">
        <v>41717</v>
      </c>
      <c r="B2980">
        <v>592.04</v>
      </c>
      <c r="C2980">
        <v>103.41</v>
      </c>
      <c r="D2980">
        <f t="shared" si="332"/>
        <v>488.63</v>
      </c>
      <c r="E2980">
        <v>1.06</v>
      </c>
      <c r="F2980">
        <f t="shared" si="333"/>
        <v>-487.57</v>
      </c>
      <c r="I2980">
        <f t="shared" si="329"/>
        <v>19</v>
      </c>
      <c r="J2980">
        <v>1</v>
      </c>
      <c r="K2980">
        <f t="shared" si="330"/>
        <v>3</v>
      </c>
      <c r="L2980">
        <f t="shared" si="331"/>
        <v>2014</v>
      </c>
      <c r="N2980" s="17">
        <f t="shared" si="334"/>
        <v>41699</v>
      </c>
      <c r="S2980">
        <f t="shared" si="335"/>
        <v>0</v>
      </c>
    </row>
    <row r="2981" spans="1:19" x14ac:dyDescent="0.3">
      <c r="A2981" s="17">
        <v>41716</v>
      </c>
      <c r="B2981">
        <v>592.42999999999995</v>
      </c>
      <c r="C2981">
        <v>103.45</v>
      </c>
      <c r="D2981">
        <f t="shared" si="332"/>
        <v>488.97999999999996</v>
      </c>
      <c r="E2981">
        <v>1</v>
      </c>
      <c r="F2981">
        <f t="shared" si="333"/>
        <v>-487.97999999999996</v>
      </c>
      <c r="I2981">
        <f t="shared" si="329"/>
        <v>18</v>
      </c>
      <c r="J2981">
        <v>1</v>
      </c>
      <c r="K2981">
        <f t="shared" si="330"/>
        <v>3</v>
      </c>
      <c r="L2981">
        <f t="shared" si="331"/>
        <v>2014</v>
      </c>
      <c r="N2981" s="17">
        <f t="shared" si="334"/>
        <v>41699</v>
      </c>
      <c r="S2981">
        <f t="shared" si="335"/>
        <v>0</v>
      </c>
    </row>
    <row r="2982" spans="1:19" x14ac:dyDescent="0.3">
      <c r="A2982" s="17">
        <v>41715</v>
      </c>
      <c r="B2982">
        <v>597.44000000000005</v>
      </c>
      <c r="C2982">
        <v>104.6</v>
      </c>
      <c r="D2982">
        <f t="shared" si="332"/>
        <v>492.84000000000003</v>
      </c>
      <c r="E2982">
        <v>1.01</v>
      </c>
      <c r="F2982">
        <f t="shared" si="333"/>
        <v>-491.83000000000004</v>
      </c>
      <c r="I2982">
        <f t="shared" si="329"/>
        <v>17</v>
      </c>
      <c r="J2982">
        <v>1</v>
      </c>
      <c r="K2982">
        <f t="shared" si="330"/>
        <v>3</v>
      </c>
      <c r="L2982">
        <f t="shared" si="331"/>
        <v>2014</v>
      </c>
      <c r="N2982" s="17">
        <f t="shared" si="334"/>
        <v>41699</v>
      </c>
      <c r="S2982">
        <f t="shared" si="335"/>
        <v>0</v>
      </c>
    </row>
    <row r="2983" spans="1:19" x14ac:dyDescent="0.3">
      <c r="A2983" s="17">
        <v>41712</v>
      </c>
      <c r="B2983">
        <v>596.32000000000005</v>
      </c>
      <c r="C2983">
        <v>103.955</v>
      </c>
      <c r="D2983">
        <f t="shared" si="332"/>
        <v>492.36500000000007</v>
      </c>
      <c r="E2983">
        <v>0.99</v>
      </c>
      <c r="F2983">
        <f t="shared" si="333"/>
        <v>-491.37500000000006</v>
      </c>
      <c r="I2983">
        <f t="shared" si="329"/>
        <v>14</v>
      </c>
      <c r="J2983">
        <v>1</v>
      </c>
      <c r="K2983">
        <f t="shared" si="330"/>
        <v>3</v>
      </c>
      <c r="L2983">
        <f t="shared" si="331"/>
        <v>2014</v>
      </c>
      <c r="N2983" s="17">
        <f t="shared" si="334"/>
        <v>41699</v>
      </c>
      <c r="S2983">
        <f t="shared" si="335"/>
        <v>0</v>
      </c>
    </row>
    <row r="2984" spans="1:19" x14ac:dyDescent="0.3">
      <c r="A2984" s="17">
        <v>41711</v>
      </c>
      <c r="B2984">
        <v>597.80999999999995</v>
      </c>
      <c r="C2984">
        <v>104.15</v>
      </c>
      <c r="D2984">
        <f t="shared" si="332"/>
        <v>493.65999999999997</v>
      </c>
      <c r="E2984">
        <v>0.93</v>
      </c>
      <c r="F2984">
        <f t="shared" si="333"/>
        <v>-492.72999999999996</v>
      </c>
      <c r="I2984">
        <f t="shared" si="329"/>
        <v>13</v>
      </c>
      <c r="J2984">
        <v>1</v>
      </c>
      <c r="K2984">
        <f t="shared" si="330"/>
        <v>3</v>
      </c>
      <c r="L2984">
        <f t="shared" si="331"/>
        <v>2014</v>
      </c>
      <c r="N2984" s="17">
        <f t="shared" si="334"/>
        <v>41699</v>
      </c>
      <c r="S2984">
        <f t="shared" si="335"/>
        <v>0</v>
      </c>
    </row>
    <row r="2985" spans="1:19" x14ac:dyDescent="0.3">
      <c r="A2985" s="17">
        <v>41710</v>
      </c>
      <c r="B2985">
        <v>596.08000000000004</v>
      </c>
      <c r="C2985">
        <v>103.8</v>
      </c>
      <c r="D2985">
        <f t="shared" si="332"/>
        <v>492.28000000000003</v>
      </c>
      <c r="E2985">
        <v>0.88</v>
      </c>
      <c r="F2985">
        <f t="shared" si="333"/>
        <v>-491.40000000000003</v>
      </c>
      <c r="I2985">
        <f t="shared" si="329"/>
        <v>12</v>
      </c>
      <c r="J2985">
        <v>1</v>
      </c>
      <c r="K2985">
        <f t="shared" si="330"/>
        <v>3</v>
      </c>
      <c r="L2985">
        <f t="shared" si="331"/>
        <v>2014</v>
      </c>
      <c r="N2985" s="17">
        <f t="shared" si="334"/>
        <v>41699</v>
      </c>
      <c r="S2985">
        <f t="shared" si="335"/>
        <v>0</v>
      </c>
    </row>
    <row r="2986" spans="1:19" x14ac:dyDescent="0.3">
      <c r="A2986" s="17">
        <v>41709</v>
      </c>
      <c r="B2986">
        <v>596.84</v>
      </c>
      <c r="C2986">
        <v>104.21</v>
      </c>
      <c r="D2986">
        <f t="shared" si="332"/>
        <v>492.63000000000005</v>
      </c>
      <c r="E2986">
        <v>0.9</v>
      </c>
      <c r="F2986">
        <f t="shared" si="333"/>
        <v>-491.73000000000008</v>
      </c>
      <c r="I2986">
        <f t="shared" si="329"/>
        <v>11</v>
      </c>
      <c r="J2986">
        <v>1</v>
      </c>
      <c r="K2986">
        <f t="shared" si="330"/>
        <v>3</v>
      </c>
      <c r="L2986">
        <f t="shared" si="331"/>
        <v>2014</v>
      </c>
      <c r="N2986" s="17">
        <f t="shared" si="334"/>
        <v>41699</v>
      </c>
      <c r="S2986">
        <f t="shared" si="335"/>
        <v>0</v>
      </c>
    </row>
    <row r="2987" spans="1:19" x14ac:dyDescent="0.3">
      <c r="A2987" s="17">
        <v>41708</v>
      </c>
      <c r="B2987">
        <v>597.09</v>
      </c>
      <c r="C2987">
        <v>104.2</v>
      </c>
      <c r="D2987">
        <f t="shared" si="332"/>
        <v>492.89000000000004</v>
      </c>
      <c r="E2987">
        <v>0.91</v>
      </c>
      <c r="F2987">
        <f t="shared" si="333"/>
        <v>-491.98</v>
      </c>
      <c r="I2987">
        <f t="shared" si="329"/>
        <v>10</v>
      </c>
      <c r="J2987">
        <v>1</v>
      </c>
      <c r="K2987">
        <f t="shared" si="330"/>
        <v>3</v>
      </c>
      <c r="L2987">
        <f t="shared" si="331"/>
        <v>2014</v>
      </c>
      <c r="N2987" s="17">
        <f t="shared" si="334"/>
        <v>41699</v>
      </c>
      <c r="S2987">
        <f t="shared" si="335"/>
        <v>0</v>
      </c>
    </row>
    <row r="2988" spans="1:19" x14ac:dyDescent="0.3">
      <c r="A2988" s="17">
        <v>41705</v>
      </c>
      <c r="B2988">
        <v>595.91999999999996</v>
      </c>
      <c r="C2988">
        <v>104.35</v>
      </c>
      <c r="D2988">
        <f t="shared" si="332"/>
        <v>491.56999999999994</v>
      </c>
      <c r="E2988">
        <v>0.99</v>
      </c>
      <c r="F2988">
        <f t="shared" si="333"/>
        <v>-490.57999999999993</v>
      </c>
      <c r="I2988">
        <f t="shared" si="329"/>
        <v>7</v>
      </c>
      <c r="J2988">
        <v>1</v>
      </c>
      <c r="K2988">
        <f t="shared" si="330"/>
        <v>3</v>
      </c>
      <c r="L2988">
        <f t="shared" si="331"/>
        <v>2014</v>
      </c>
      <c r="N2988" s="17">
        <f t="shared" si="334"/>
        <v>41699</v>
      </c>
      <c r="S2988">
        <f t="shared" si="335"/>
        <v>0</v>
      </c>
    </row>
    <row r="2989" spans="1:19" x14ac:dyDescent="0.3">
      <c r="A2989" s="17">
        <v>41704</v>
      </c>
      <c r="B2989">
        <v>593.86</v>
      </c>
      <c r="C2989">
        <v>103.96</v>
      </c>
      <c r="D2989">
        <f t="shared" si="332"/>
        <v>489.90000000000003</v>
      </c>
      <c r="E2989">
        <v>0.94</v>
      </c>
      <c r="F2989">
        <f t="shared" si="333"/>
        <v>-488.96000000000004</v>
      </c>
      <c r="I2989">
        <f t="shared" si="329"/>
        <v>6</v>
      </c>
      <c r="J2989">
        <v>1</v>
      </c>
      <c r="K2989">
        <f t="shared" si="330"/>
        <v>3</v>
      </c>
      <c r="L2989">
        <f t="shared" si="331"/>
        <v>2014</v>
      </c>
      <c r="N2989" s="17">
        <f t="shared" si="334"/>
        <v>41699</v>
      </c>
      <c r="S2989">
        <f t="shared" si="335"/>
        <v>0</v>
      </c>
    </row>
    <row r="2990" spans="1:19" x14ac:dyDescent="0.3">
      <c r="A2990" s="17">
        <v>41703</v>
      </c>
      <c r="B2990">
        <v>597.20000000000005</v>
      </c>
      <c r="C2990">
        <v>105.35</v>
      </c>
      <c r="D2990">
        <f t="shared" si="332"/>
        <v>491.85</v>
      </c>
      <c r="E2990">
        <v>0.91</v>
      </c>
      <c r="F2990">
        <f t="shared" si="333"/>
        <v>-490.94</v>
      </c>
      <c r="I2990">
        <f t="shared" si="329"/>
        <v>5</v>
      </c>
      <c r="J2990">
        <v>1</v>
      </c>
      <c r="K2990">
        <f t="shared" si="330"/>
        <v>3</v>
      </c>
      <c r="L2990">
        <f t="shared" si="331"/>
        <v>2014</v>
      </c>
      <c r="N2990" s="17">
        <f t="shared" si="334"/>
        <v>41699</v>
      </c>
      <c r="S2990">
        <f t="shared" si="335"/>
        <v>0</v>
      </c>
    </row>
    <row r="2991" spans="1:19" x14ac:dyDescent="0.3">
      <c r="A2991" s="17">
        <v>41702</v>
      </c>
      <c r="B2991">
        <v>603.02</v>
      </c>
      <c r="C2991">
        <v>106.06</v>
      </c>
      <c r="D2991">
        <f t="shared" si="332"/>
        <v>496.96</v>
      </c>
      <c r="E2991">
        <v>0.96</v>
      </c>
      <c r="F2991">
        <f t="shared" si="333"/>
        <v>-496</v>
      </c>
      <c r="I2991">
        <f t="shared" si="329"/>
        <v>4</v>
      </c>
      <c r="J2991">
        <v>1</v>
      </c>
      <c r="K2991">
        <f t="shared" si="330"/>
        <v>3</v>
      </c>
      <c r="L2991">
        <f t="shared" si="331"/>
        <v>2014</v>
      </c>
      <c r="N2991" s="17">
        <f t="shared" si="334"/>
        <v>41699</v>
      </c>
      <c r="S2991">
        <f t="shared" si="335"/>
        <v>1</v>
      </c>
    </row>
    <row r="2992" spans="1:19" x14ac:dyDescent="0.3">
      <c r="A2992" s="17">
        <v>41701</v>
      </c>
      <c r="B2992">
        <v>612.01</v>
      </c>
      <c r="C2992">
        <v>107.24</v>
      </c>
      <c r="D2992">
        <f t="shared" si="332"/>
        <v>504.77</v>
      </c>
      <c r="E2992">
        <v>0.96</v>
      </c>
      <c r="F2992">
        <f t="shared" si="333"/>
        <v>-503.81</v>
      </c>
      <c r="I2992">
        <f t="shared" si="329"/>
        <v>3</v>
      </c>
      <c r="J2992">
        <v>1</v>
      </c>
      <c r="K2992">
        <f t="shared" si="330"/>
        <v>3</v>
      </c>
      <c r="L2992">
        <f t="shared" si="331"/>
        <v>2014</v>
      </c>
      <c r="N2992" s="17">
        <f t="shared" si="334"/>
        <v>41699</v>
      </c>
      <c r="S2992">
        <f t="shared" si="335"/>
        <v>1</v>
      </c>
    </row>
    <row r="2993" spans="1:19" x14ac:dyDescent="0.3">
      <c r="A2993" s="17">
        <v>41698</v>
      </c>
      <c r="B2993">
        <v>600.6</v>
      </c>
      <c r="C2993">
        <v>105.41</v>
      </c>
      <c r="D2993">
        <f t="shared" si="332"/>
        <v>495.19000000000005</v>
      </c>
      <c r="E2993">
        <v>1</v>
      </c>
      <c r="F2993">
        <f t="shared" si="333"/>
        <v>-494.19000000000005</v>
      </c>
      <c r="I2993">
        <f t="shared" si="329"/>
        <v>28</v>
      </c>
      <c r="J2993">
        <v>1</v>
      </c>
      <c r="K2993">
        <f t="shared" si="330"/>
        <v>2</v>
      </c>
      <c r="L2993">
        <f t="shared" si="331"/>
        <v>2014</v>
      </c>
      <c r="N2993" s="17">
        <f t="shared" si="334"/>
        <v>41671</v>
      </c>
      <c r="S2993">
        <f t="shared" si="335"/>
        <v>0</v>
      </c>
    </row>
    <row r="2994" spans="1:19" x14ac:dyDescent="0.3">
      <c r="A2994" s="17">
        <v>41697</v>
      </c>
      <c r="B2994">
        <v>603.34</v>
      </c>
      <c r="C2994">
        <v>105.8</v>
      </c>
      <c r="D2994">
        <f t="shared" si="332"/>
        <v>497.54</v>
      </c>
      <c r="E2994">
        <v>0.99</v>
      </c>
      <c r="F2994">
        <f t="shared" si="333"/>
        <v>-496.55</v>
      </c>
      <c r="I2994">
        <f t="shared" si="329"/>
        <v>27</v>
      </c>
      <c r="J2994">
        <v>1</v>
      </c>
      <c r="K2994">
        <f t="shared" si="330"/>
        <v>2</v>
      </c>
      <c r="L2994">
        <f t="shared" si="331"/>
        <v>2014</v>
      </c>
      <c r="N2994" s="17">
        <f t="shared" si="334"/>
        <v>41671</v>
      </c>
      <c r="S2994">
        <f t="shared" si="335"/>
        <v>0</v>
      </c>
    </row>
    <row r="2995" spans="1:19" x14ac:dyDescent="0.3">
      <c r="A2995" s="17">
        <v>41696</v>
      </c>
      <c r="B2995">
        <v>605.96</v>
      </c>
      <c r="C2995">
        <v>105.9</v>
      </c>
      <c r="D2995">
        <f t="shared" si="332"/>
        <v>500.06000000000006</v>
      </c>
      <c r="E2995">
        <v>0.98</v>
      </c>
      <c r="F2995">
        <f t="shared" si="333"/>
        <v>-499.08000000000004</v>
      </c>
      <c r="I2995">
        <f t="shared" si="329"/>
        <v>26</v>
      </c>
      <c r="J2995">
        <v>1</v>
      </c>
      <c r="K2995">
        <f t="shared" si="330"/>
        <v>2</v>
      </c>
      <c r="L2995">
        <f t="shared" si="331"/>
        <v>2014</v>
      </c>
      <c r="N2995" s="17">
        <f t="shared" si="334"/>
        <v>41671</v>
      </c>
      <c r="S2995">
        <f t="shared" si="335"/>
        <v>0</v>
      </c>
    </row>
    <row r="2996" spans="1:19" x14ac:dyDescent="0.3">
      <c r="A2996" s="17">
        <v>41695</v>
      </c>
      <c r="B2996">
        <v>610.65</v>
      </c>
      <c r="C2996">
        <v>106.6</v>
      </c>
      <c r="D2996">
        <f t="shared" si="332"/>
        <v>504.04999999999995</v>
      </c>
      <c r="E2996">
        <v>1.04</v>
      </c>
      <c r="F2996">
        <f t="shared" si="333"/>
        <v>-503.00999999999993</v>
      </c>
      <c r="I2996">
        <f t="shared" si="329"/>
        <v>25</v>
      </c>
      <c r="J2996">
        <v>1</v>
      </c>
      <c r="K2996">
        <f t="shared" si="330"/>
        <v>2</v>
      </c>
      <c r="L2996">
        <f t="shared" si="331"/>
        <v>2014</v>
      </c>
      <c r="N2996" s="17">
        <f t="shared" si="334"/>
        <v>41671</v>
      </c>
      <c r="S2996">
        <f t="shared" si="335"/>
        <v>0</v>
      </c>
    </row>
    <row r="2997" spans="1:19" x14ac:dyDescent="0.3">
      <c r="A2997" s="17">
        <v>41694</v>
      </c>
      <c r="B2997">
        <v>610.53</v>
      </c>
      <c r="C2997">
        <v>106.45</v>
      </c>
      <c r="D2997">
        <f t="shared" si="332"/>
        <v>504.08</v>
      </c>
      <c r="E2997">
        <v>1.07</v>
      </c>
      <c r="F2997">
        <f t="shared" si="333"/>
        <v>-503.01</v>
      </c>
      <c r="I2997">
        <f t="shared" si="329"/>
        <v>24</v>
      </c>
      <c r="J2997">
        <v>1</v>
      </c>
      <c r="K2997">
        <f t="shared" si="330"/>
        <v>2</v>
      </c>
      <c r="L2997">
        <f t="shared" si="331"/>
        <v>2014</v>
      </c>
      <c r="N2997" s="17">
        <f t="shared" si="334"/>
        <v>41671</v>
      </c>
      <c r="S2997">
        <f t="shared" si="335"/>
        <v>0</v>
      </c>
    </row>
    <row r="2998" spans="1:19" x14ac:dyDescent="0.3">
      <c r="A2998" s="17">
        <v>41691</v>
      </c>
      <c r="B2998">
        <v>614.25</v>
      </c>
      <c r="C2998">
        <v>106.96</v>
      </c>
      <c r="D2998">
        <f t="shared" si="332"/>
        <v>507.29</v>
      </c>
      <c r="E2998">
        <v>1.05</v>
      </c>
      <c r="F2998">
        <f t="shared" si="333"/>
        <v>-506.24</v>
      </c>
      <c r="I2998">
        <f t="shared" si="329"/>
        <v>21</v>
      </c>
      <c r="J2998">
        <v>1</v>
      </c>
      <c r="K2998">
        <f t="shared" si="330"/>
        <v>2</v>
      </c>
      <c r="L2998">
        <f t="shared" si="331"/>
        <v>2014</v>
      </c>
      <c r="N2998" s="17">
        <f t="shared" si="334"/>
        <v>41671</v>
      </c>
      <c r="S2998">
        <f t="shared" si="335"/>
        <v>0</v>
      </c>
    </row>
    <row r="2999" spans="1:19" x14ac:dyDescent="0.3">
      <c r="A2999" s="17">
        <v>41690</v>
      </c>
      <c r="B2999">
        <v>613.61</v>
      </c>
      <c r="C2999">
        <v>106.8</v>
      </c>
      <c r="D2999">
        <f t="shared" si="332"/>
        <v>506.81</v>
      </c>
      <c r="E2999">
        <v>1.1100000000000001</v>
      </c>
      <c r="F2999">
        <f t="shared" si="333"/>
        <v>-505.7</v>
      </c>
      <c r="I2999">
        <f t="shared" si="329"/>
        <v>20</v>
      </c>
      <c r="J2999">
        <v>1</v>
      </c>
      <c r="K2999">
        <f t="shared" si="330"/>
        <v>2</v>
      </c>
      <c r="L2999">
        <f t="shared" si="331"/>
        <v>2014</v>
      </c>
      <c r="N2999" s="17">
        <f t="shared" si="334"/>
        <v>41671</v>
      </c>
      <c r="S2999">
        <f t="shared" si="335"/>
        <v>0</v>
      </c>
    </row>
    <row r="3000" spans="1:19" x14ac:dyDescent="0.3">
      <c r="A3000" s="17">
        <v>41689</v>
      </c>
      <c r="B3000">
        <v>612.89</v>
      </c>
      <c r="C3000">
        <v>106.85</v>
      </c>
      <c r="D3000">
        <f t="shared" si="332"/>
        <v>506.03999999999996</v>
      </c>
      <c r="E3000">
        <v>1.2</v>
      </c>
      <c r="F3000">
        <f t="shared" si="333"/>
        <v>-504.84</v>
      </c>
      <c r="I3000">
        <f t="shared" si="329"/>
        <v>19</v>
      </c>
      <c r="J3000">
        <v>1</v>
      </c>
      <c r="K3000">
        <f t="shared" si="330"/>
        <v>2</v>
      </c>
      <c r="L3000">
        <f t="shared" si="331"/>
        <v>2014</v>
      </c>
      <c r="N3000" s="17">
        <f t="shared" si="334"/>
        <v>41671</v>
      </c>
      <c r="S3000">
        <f t="shared" si="335"/>
        <v>0</v>
      </c>
    </row>
    <row r="3001" spans="1:19" x14ac:dyDescent="0.3">
      <c r="A3001" s="17">
        <v>41688</v>
      </c>
      <c r="B3001">
        <v>608.26</v>
      </c>
      <c r="C3001">
        <v>106.06</v>
      </c>
      <c r="D3001">
        <f t="shared" si="332"/>
        <v>502.2</v>
      </c>
      <c r="E3001">
        <v>1.18</v>
      </c>
      <c r="F3001">
        <f t="shared" si="333"/>
        <v>-501.02</v>
      </c>
      <c r="I3001">
        <f t="shared" si="329"/>
        <v>18</v>
      </c>
      <c r="J3001">
        <v>1</v>
      </c>
      <c r="K3001">
        <f t="shared" si="330"/>
        <v>2</v>
      </c>
      <c r="L3001">
        <f t="shared" si="331"/>
        <v>2014</v>
      </c>
      <c r="N3001" s="17">
        <f t="shared" si="334"/>
        <v>41671</v>
      </c>
      <c r="S3001">
        <f t="shared" si="335"/>
        <v>0</v>
      </c>
    </row>
    <row r="3002" spans="1:19" x14ac:dyDescent="0.3">
      <c r="A3002" s="17">
        <v>41687</v>
      </c>
      <c r="B3002">
        <v>608.23</v>
      </c>
      <c r="C3002">
        <v>106.19</v>
      </c>
      <c r="D3002">
        <f t="shared" si="332"/>
        <v>502.04</v>
      </c>
      <c r="E3002">
        <v>1.1599999999999999</v>
      </c>
      <c r="F3002">
        <f t="shared" si="333"/>
        <v>-500.88</v>
      </c>
      <c r="I3002">
        <f t="shared" si="329"/>
        <v>17</v>
      </c>
      <c r="J3002">
        <v>1</v>
      </c>
      <c r="K3002">
        <f t="shared" si="330"/>
        <v>2</v>
      </c>
      <c r="L3002">
        <f t="shared" si="331"/>
        <v>2014</v>
      </c>
      <c r="N3002" s="17">
        <f t="shared" si="334"/>
        <v>41671</v>
      </c>
      <c r="S3002">
        <f t="shared" si="335"/>
        <v>0</v>
      </c>
    </row>
    <row r="3003" spans="1:19" x14ac:dyDescent="0.3">
      <c r="A3003" s="17">
        <v>41684</v>
      </c>
      <c r="B3003">
        <v>607.69000000000005</v>
      </c>
      <c r="C3003">
        <v>105.46</v>
      </c>
      <c r="D3003">
        <f t="shared" si="332"/>
        <v>502.23000000000008</v>
      </c>
      <c r="E3003">
        <v>1.1299999999999999</v>
      </c>
      <c r="F3003">
        <f t="shared" si="333"/>
        <v>-501.10000000000008</v>
      </c>
      <c r="I3003">
        <f t="shared" si="329"/>
        <v>14</v>
      </c>
      <c r="J3003">
        <v>1</v>
      </c>
      <c r="K3003">
        <f t="shared" si="330"/>
        <v>2</v>
      </c>
      <c r="L3003">
        <f t="shared" si="331"/>
        <v>2014</v>
      </c>
      <c r="N3003" s="17">
        <f t="shared" si="334"/>
        <v>41671</v>
      </c>
      <c r="S3003">
        <f t="shared" si="335"/>
        <v>0</v>
      </c>
    </row>
    <row r="3004" spans="1:19" x14ac:dyDescent="0.3">
      <c r="A3004" s="17">
        <v>41683</v>
      </c>
      <c r="B3004">
        <v>606.36</v>
      </c>
      <c r="C3004">
        <v>104.85</v>
      </c>
      <c r="D3004">
        <f t="shared" si="332"/>
        <v>501.51</v>
      </c>
      <c r="E3004">
        <v>1.1599999999999999</v>
      </c>
      <c r="F3004">
        <f t="shared" si="333"/>
        <v>-500.34999999999997</v>
      </c>
      <c r="I3004">
        <f t="shared" si="329"/>
        <v>13</v>
      </c>
      <c r="J3004">
        <v>1</v>
      </c>
      <c r="K3004">
        <f t="shared" si="330"/>
        <v>2</v>
      </c>
      <c r="L3004">
        <f t="shared" si="331"/>
        <v>2014</v>
      </c>
      <c r="N3004" s="17">
        <f t="shared" si="334"/>
        <v>41671</v>
      </c>
      <c r="S3004">
        <f t="shared" si="335"/>
        <v>0</v>
      </c>
    </row>
    <row r="3005" spans="1:19" x14ac:dyDescent="0.3">
      <c r="A3005" s="17">
        <v>41682</v>
      </c>
      <c r="B3005">
        <v>609.37</v>
      </c>
      <c r="C3005">
        <v>105.2</v>
      </c>
      <c r="D3005">
        <f t="shared" si="332"/>
        <v>504.17</v>
      </c>
      <c r="E3005">
        <v>1.22</v>
      </c>
      <c r="F3005">
        <f t="shared" si="333"/>
        <v>-502.95</v>
      </c>
      <c r="I3005">
        <f t="shared" si="329"/>
        <v>12</v>
      </c>
      <c r="J3005">
        <v>1</v>
      </c>
      <c r="K3005">
        <f t="shared" si="330"/>
        <v>2</v>
      </c>
      <c r="L3005">
        <f t="shared" si="331"/>
        <v>2014</v>
      </c>
      <c r="N3005" s="17">
        <f t="shared" si="334"/>
        <v>41671</v>
      </c>
      <c r="S3005">
        <f t="shared" si="335"/>
        <v>0</v>
      </c>
    </row>
    <row r="3006" spans="1:19" x14ac:dyDescent="0.3">
      <c r="A3006" s="17">
        <v>41681</v>
      </c>
      <c r="B3006">
        <v>603.91</v>
      </c>
      <c r="C3006">
        <v>104.95</v>
      </c>
      <c r="D3006">
        <f t="shared" si="332"/>
        <v>498.96</v>
      </c>
      <c r="E3006">
        <v>1.28</v>
      </c>
      <c r="F3006">
        <f t="shared" si="333"/>
        <v>-497.68</v>
      </c>
      <c r="I3006">
        <f t="shared" si="329"/>
        <v>11</v>
      </c>
      <c r="J3006">
        <v>1</v>
      </c>
      <c r="K3006">
        <f t="shared" si="330"/>
        <v>2</v>
      </c>
      <c r="L3006">
        <f t="shared" si="331"/>
        <v>2014</v>
      </c>
      <c r="N3006" s="17">
        <f t="shared" si="334"/>
        <v>41671</v>
      </c>
      <c r="S3006">
        <f t="shared" si="335"/>
        <v>0</v>
      </c>
    </row>
    <row r="3007" spans="1:19" x14ac:dyDescent="0.3">
      <c r="A3007" s="17">
        <v>41680</v>
      </c>
      <c r="B3007">
        <v>606.25</v>
      </c>
      <c r="C3007">
        <v>104.9</v>
      </c>
      <c r="D3007">
        <f t="shared" si="332"/>
        <v>501.35</v>
      </c>
      <c r="E3007">
        <v>1.32</v>
      </c>
      <c r="F3007">
        <f t="shared" si="333"/>
        <v>-500.03000000000003</v>
      </c>
      <c r="I3007">
        <f t="shared" si="329"/>
        <v>10</v>
      </c>
      <c r="J3007">
        <v>1</v>
      </c>
      <c r="K3007">
        <f t="shared" si="330"/>
        <v>2</v>
      </c>
      <c r="L3007">
        <f t="shared" si="331"/>
        <v>2014</v>
      </c>
      <c r="N3007" s="17">
        <f t="shared" si="334"/>
        <v>41671</v>
      </c>
      <c r="S3007">
        <f t="shared" si="335"/>
        <v>0</v>
      </c>
    </row>
    <row r="3008" spans="1:19" x14ac:dyDescent="0.3">
      <c r="A3008" s="17">
        <v>41677</v>
      </c>
      <c r="B3008">
        <v>602.75</v>
      </c>
      <c r="C3008">
        <v>103.35</v>
      </c>
      <c r="D3008">
        <f t="shared" si="332"/>
        <v>499.4</v>
      </c>
      <c r="E3008">
        <v>1.36</v>
      </c>
      <c r="F3008">
        <f t="shared" si="333"/>
        <v>-498.03999999999996</v>
      </c>
      <c r="I3008">
        <f t="shared" si="329"/>
        <v>7</v>
      </c>
      <c r="J3008">
        <v>1</v>
      </c>
      <c r="K3008">
        <f t="shared" si="330"/>
        <v>2</v>
      </c>
      <c r="L3008">
        <f t="shared" si="331"/>
        <v>2014</v>
      </c>
      <c r="N3008" s="17">
        <f t="shared" si="334"/>
        <v>41671</v>
      </c>
      <c r="S3008">
        <f t="shared" si="335"/>
        <v>0</v>
      </c>
    </row>
    <row r="3009" spans="1:19" x14ac:dyDescent="0.3">
      <c r="A3009" s="17">
        <v>41676</v>
      </c>
      <c r="B3009">
        <v>598.19000000000005</v>
      </c>
      <c r="C3009">
        <v>102.59</v>
      </c>
      <c r="D3009">
        <f t="shared" si="332"/>
        <v>495.6</v>
      </c>
      <c r="E3009">
        <v>1.35</v>
      </c>
      <c r="F3009">
        <f t="shared" si="333"/>
        <v>-494.25</v>
      </c>
      <c r="I3009">
        <f t="shared" si="329"/>
        <v>6</v>
      </c>
      <c r="J3009">
        <v>1</v>
      </c>
      <c r="K3009">
        <f t="shared" si="330"/>
        <v>2</v>
      </c>
      <c r="L3009">
        <f t="shared" si="331"/>
        <v>2014</v>
      </c>
      <c r="N3009" s="17">
        <f t="shared" si="334"/>
        <v>41671</v>
      </c>
      <c r="S3009">
        <f t="shared" si="335"/>
        <v>0</v>
      </c>
    </row>
    <row r="3010" spans="1:19" x14ac:dyDescent="0.3">
      <c r="A3010" s="17">
        <v>41675</v>
      </c>
      <c r="B3010">
        <v>603.07000000000005</v>
      </c>
      <c r="C3010">
        <v>102.2</v>
      </c>
      <c r="D3010">
        <f t="shared" si="332"/>
        <v>500.87000000000006</v>
      </c>
      <c r="E3010">
        <v>1.33</v>
      </c>
      <c r="F3010">
        <f t="shared" si="333"/>
        <v>-499.54000000000008</v>
      </c>
      <c r="I3010">
        <f t="shared" si="329"/>
        <v>5</v>
      </c>
      <c r="J3010">
        <v>1</v>
      </c>
      <c r="K3010">
        <f t="shared" si="330"/>
        <v>2</v>
      </c>
      <c r="L3010">
        <f t="shared" si="331"/>
        <v>2014</v>
      </c>
      <c r="N3010" s="17">
        <f t="shared" si="334"/>
        <v>41671</v>
      </c>
      <c r="S3010">
        <f t="shared" si="335"/>
        <v>0</v>
      </c>
    </row>
    <row r="3011" spans="1:19" x14ac:dyDescent="0.3">
      <c r="A3011" s="17">
        <v>41674</v>
      </c>
      <c r="B3011">
        <v>604.47</v>
      </c>
      <c r="C3011">
        <v>101.99</v>
      </c>
      <c r="D3011">
        <f t="shared" si="332"/>
        <v>502.48</v>
      </c>
      <c r="E3011">
        <v>1.26</v>
      </c>
      <c r="F3011">
        <f t="shared" si="333"/>
        <v>-501.22</v>
      </c>
      <c r="I3011">
        <f t="shared" si="329"/>
        <v>4</v>
      </c>
      <c r="J3011">
        <v>1</v>
      </c>
      <c r="K3011">
        <f t="shared" si="330"/>
        <v>2</v>
      </c>
      <c r="L3011">
        <f t="shared" si="331"/>
        <v>2014</v>
      </c>
      <c r="N3011" s="17">
        <f t="shared" si="334"/>
        <v>41671</v>
      </c>
      <c r="S3011">
        <f t="shared" si="335"/>
        <v>1</v>
      </c>
    </row>
    <row r="3012" spans="1:19" x14ac:dyDescent="0.3">
      <c r="A3012" s="17">
        <v>41673</v>
      </c>
      <c r="B3012">
        <v>608.14</v>
      </c>
      <c r="C3012">
        <v>102.2</v>
      </c>
      <c r="D3012">
        <f t="shared" si="332"/>
        <v>505.94</v>
      </c>
      <c r="E3012">
        <v>1.1200000000000001</v>
      </c>
      <c r="F3012">
        <f t="shared" si="333"/>
        <v>-504.82</v>
      </c>
      <c r="I3012">
        <f t="shared" si="329"/>
        <v>3</v>
      </c>
      <c r="J3012">
        <v>1</v>
      </c>
      <c r="K3012">
        <f t="shared" si="330"/>
        <v>2</v>
      </c>
      <c r="L3012">
        <f t="shared" si="331"/>
        <v>2014</v>
      </c>
      <c r="N3012" s="17">
        <f t="shared" si="334"/>
        <v>41671</v>
      </c>
      <c r="S3012">
        <f t="shared" si="335"/>
        <v>1</v>
      </c>
    </row>
    <row r="3013" spans="1:19" x14ac:dyDescent="0.3">
      <c r="A3013" s="17">
        <v>41669</v>
      </c>
      <c r="B3013">
        <v>614.51</v>
      </c>
      <c r="C3013">
        <v>103.705</v>
      </c>
      <c r="D3013">
        <f t="shared" si="332"/>
        <v>510.80500000000001</v>
      </c>
      <c r="E3013">
        <v>1.05</v>
      </c>
      <c r="F3013">
        <f t="shared" si="333"/>
        <v>-509.755</v>
      </c>
      <c r="I3013">
        <f t="shared" ref="I3013:I3076" si="336">+DAY(A3013)</f>
        <v>30</v>
      </c>
      <c r="J3013">
        <v>1</v>
      </c>
      <c r="K3013">
        <f t="shared" ref="K3013:K3076" si="337">+MONTH(A3013)</f>
        <v>1</v>
      </c>
      <c r="L3013">
        <f t="shared" ref="L3013:L3076" si="338">+YEAR(A3013)</f>
        <v>2014</v>
      </c>
      <c r="N3013" s="17">
        <f t="shared" si="334"/>
        <v>41640</v>
      </c>
      <c r="S3013">
        <f t="shared" si="335"/>
        <v>0</v>
      </c>
    </row>
    <row r="3014" spans="1:19" x14ac:dyDescent="0.3">
      <c r="A3014" s="17">
        <v>41668</v>
      </c>
      <c r="B3014">
        <v>614.34</v>
      </c>
      <c r="C3014">
        <v>103.69</v>
      </c>
      <c r="D3014">
        <f t="shared" ref="D3014:D3077" si="339">+B3014-C3014</f>
        <v>510.65000000000003</v>
      </c>
      <c r="E3014">
        <v>1.01</v>
      </c>
      <c r="F3014">
        <f t="shared" ref="F3014:F3077" si="340">+E3014-D3014</f>
        <v>-509.64000000000004</v>
      </c>
      <c r="I3014">
        <f t="shared" si="336"/>
        <v>29</v>
      </c>
      <c r="J3014">
        <v>1</v>
      </c>
      <c r="K3014">
        <f t="shared" si="337"/>
        <v>1</v>
      </c>
      <c r="L3014">
        <f t="shared" si="338"/>
        <v>2014</v>
      </c>
      <c r="N3014" s="17">
        <f t="shared" ref="N3014:N3077" si="341">+DATE(L3014,K3014,J3014)</f>
        <v>41640</v>
      </c>
      <c r="S3014">
        <f t="shared" ref="S3014:S3077" si="342">IF(AND(I3014&gt;=1, I3014&lt;=4), 1, 0)</f>
        <v>0</v>
      </c>
    </row>
    <row r="3015" spans="1:19" x14ac:dyDescent="0.3">
      <c r="A3015" s="17">
        <v>41667</v>
      </c>
      <c r="B3015">
        <v>610.79999999999995</v>
      </c>
      <c r="C3015">
        <v>103.88</v>
      </c>
      <c r="D3015">
        <f t="shared" si="339"/>
        <v>506.91999999999996</v>
      </c>
      <c r="E3015">
        <v>1.07</v>
      </c>
      <c r="F3015">
        <f t="shared" si="340"/>
        <v>-505.84999999999997</v>
      </c>
      <c r="I3015">
        <f t="shared" si="336"/>
        <v>28</v>
      </c>
      <c r="J3015">
        <v>1</v>
      </c>
      <c r="K3015">
        <f t="shared" si="337"/>
        <v>1</v>
      </c>
      <c r="L3015">
        <f t="shared" si="338"/>
        <v>2014</v>
      </c>
      <c r="N3015" s="17">
        <f t="shared" si="341"/>
        <v>41640</v>
      </c>
      <c r="S3015">
        <f t="shared" si="342"/>
        <v>0</v>
      </c>
    </row>
    <row r="3016" spans="1:19" x14ac:dyDescent="0.3">
      <c r="A3016" s="17">
        <v>41666</v>
      </c>
      <c r="B3016">
        <v>610.9</v>
      </c>
      <c r="C3016">
        <v>104.21</v>
      </c>
      <c r="D3016">
        <f t="shared" si="339"/>
        <v>506.69</v>
      </c>
      <c r="E3016">
        <v>1.01</v>
      </c>
      <c r="F3016">
        <f t="shared" si="340"/>
        <v>-505.68</v>
      </c>
      <c r="I3016">
        <f t="shared" si="336"/>
        <v>27</v>
      </c>
      <c r="J3016">
        <v>1</v>
      </c>
      <c r="K3016">
        <f t="shared" si="337"/>
        <v>1</v>
      </c>
      <c r="L3016">
        <f t="shared" si="338"/>
        <v>2014</v>
      </c>
      <c r="N3016" s="17">
        <f t="shared" si="341"/>
        <v>41640</v>
      </c>
      <c r="S3016">
        <f t="shared" si="342"/>
        <v>0</v>
      </c>
    </row>
    <row r="3017" spans="1:19" x14ac:dyDescent="0.3">
      <c r="A3017" s="17">
        <v>41663</v>
      </c>
      <c r="B3017">
        <v>610.42999999999995</v>
      </c>
      <c r="C3017">
        <v>104.3</v>
      </c>
      <c r="D3017">
        <f t="shared" si="339"/>
        <v>506.12999999999994</v>
      </c>
      <c r="E3017">
        <v>1.05</v>
      </c>
      <c r="F3017">
        <f t="shared" si="340"/>
        <v>-505.07999999999993</v>
      </c>
      <c r="I3017">
        <f t="shared" si="336"/>
        <v>24</v>
      </c>
      <c r="J3017">
        <v>1</v>
      </c>
      <c r="K3017">
        <f t="shared" si="337"/>
        <v>1</v>
      </c>
      <c r="L3017">
        <f t="shared" si="338"/>
        <v>2014</v>
      </c>
      <c r="N3017" s="17">
        <f t="shared" si="341"/>
        <v>41640</v>
      </c>
      <c r="S3017">
        <f t="shared" si="342"/>
        <v>0</v>
      </c>
    </row>
    <row r="3018" spans="1:19" x14ac:dyDescent="0.3">
      <c r="A3018" s="17">
        <v>41662</v>
      </c>
      <c r="B3018">
        <v>610.01</v>
      </c>
      <c r="C3018">
        <v>104.59</v>
      </c>
      <c r="D3018">
        <f t="shared" si="339"/>
        <v>505.41999999999996</v>
      </c>
      <c r="E3018">
        <v>1.2</v>
      </c>
      <c r="F3018">
        <f t="shared" si="340"/>
        <v>-504.21999999999997</v>
      </c>
      <c r="I3018">
        <f t="shared" si="336"/>
        <v>23</v>
      </c>
      <c r="J3018">
        <v>1</v>
      </c>
      <c r="K3018">
        <f t="shared" si="337"/>
        <v>1</v>
      </c>
      <c r="L3018">
        <f t="shared" si="338"/>
        <v>2014</v>
      </c>
      <c r="N3018" s="17">
        <f t="shared" si="341"/>
        <v>41640</v>
      </c>
      <c r="S3018">
        <f t="shared" si="342"/>
        <v>0</v>
      </c>
    </row>
    <row r="3019" spans="1:19" x14ac:dyDescent="0.3">
      <c r="A3019" s="17">
        <v>41661</v>
      </c>
      <c r="B3019">
        <v>606.19000000000005</v>
      </c>
      <c r="C3019">
        <v>103.9</v>
      </c>
      <c r="D3019">
        <f t="shared" si="339"/>
        <v>502.29000000000008</v>
      </c>
      <c r="E3019">
        <v>1.25</v>
      </c>
      <c r="F3019">
        <f t="shared" si="340"/>
        <v>-501.04000000000008</v>
      </c>
      <c r="I3019">
        <f t="shared" si="336"/>
        <v>22</v>
      </c>
      <c r="J3019">
        <v>1</v>
      </c>
      <c r="K3019">
        <f t="shared" si="337"/>
        <v>1</v>
      </c>
      <c r="L3019">
        <f t="shared" si="338"/>
        <v>2014</v>
      </c>
      <c r="N3019" s="17">
        <f t="shared" si="341"/>
        <v>41640</v>
      </c>
      <c r="S3019">
        <f t="shared" si="342"/>
        <v>0</v>
      </c>
    </row>
    <row r="3020" spans="1:19" x14ac:dyDescent="0.3">
      <c r="A3020" s="17">
        <v>41660</v>
      </c>
      <c r="B3020">
        <v>604.19000000000005</v>
      </c>
      <c r="C3020">
        <v>103.69</v>
      </c>
      <c r="D3020">
        <f t="shared" si="339"/>
        <v>500.50000000000006</v>
      </c>
      <c r="E3020">
        <v>1.31</v>
      </c>
      <c r="F3020">
        <f t="shared" si="340"/>
        <v>-499.19000000000005</v>
      </c>
      <c r="I3020">
        <f t="shared" si="336"/>
        <v>21</v>
      </c>
      <c r="J3020">
        <v>1</v>
      </c>
      <c r="K3020">
        <f t="shared" si="337"/>
        <v>1</v>
      </c>
      <c r="L3020">
        <f t="shared" si="338"/>
        <v>2014</v>
      </c>
      <c r="N3020" s="17">
        <f t="shared" si="341"/>
        <v>41640</v>
      </c>
      <c r="S3020">
        <f t="shared" si="342"/>
        <v>0</v>
      </c>
    </row>
    <row r="3021" spans="1:19" x14ac:dyDescent="0.3">
      <c r="A3021" s="17">
        <v>41659</v>
      </c>
      <c r="B3021">
        <v>602.41</v>
      </c>
      <c r="C3021">
        <v>103.2</v>
      </c>
      <c r="D3021">
        <f t="shared" si="339"/>
        <v>499.21</v>
      </c>
      <c r="E3021">
        <v>1.37</v>
      </c>
      <c r="F3021">
        <f t="shared" si="340"/>
        <v>-497.84</v>
      </c>
      <c r="I3021">
        <f t="shared" si="336"/>
        <v>20</v>
      </c>
      <c r="J3021">
        <v>1</v>
      </c>
      <c r="K3021">
        <f t="shared" si="337"/>
        <v>1</v>
      </c>
      <c r="L3021">
        <f t="shared" si="338"/>
        <v>2014</v>
      </c>
      <c r="N3021" s="17">
        <f t="shared" si="341"/>
        <v>41640</v>
      </c>
      <c r="S3021">
        <f t="shared" si="342"/>
        <v>0</v>
      </c>
    </row>
    <row r="3022" spans="1:19" x14ac:dyDescent="0.3">
      <c r="A3022" s="17">
        <v>41656</v>
      </c>
      <c r="B3022">
        <v>603.62</v>
      </c>
      <c r="C3022">
        <v>102.8</v>
      </c>
      <c r="D3022">
        <f t="shared" si="339"/>
        <v>500.82</v>
      </c>
      <c r="E3022">
        <v>1.47</v>
      </c>
      <c r="F3022">
        <f t="shared" si="340"/>
        <v>-499.34999999999997</v>
      </c>
      <c r="I3022">
        <f t="shared" si="336"/>
        <v>17</v>
      </c>
      <c r="J3022">
        <v>1</v>
      </c>
      <c r="K3022">
        <f t="shared" si="337"/>
        <v>1</v>
      </c>
      <c r="L3022">
        <f t="shared" si="338"/>
        <v>2014</v>
      </c>
      <c r="N3022" s="17">
        <f t="shared" si="341"/>
        <v>41640</v>
      </c>
      <c r="S3022">
        <f t="shared" si="342"/>
        <v>0</v>
      </c>
    </row>
    <row r="3023" spans="1:19" x14ac:dyDescent="0.3">
      <c r="A3023" s="17">
        <v>41655</v>
      </c>
      <c r="B3023">
        <v>601.51</v>
      </c>
      <c r="C3023">
        <v>103.05</v>
      </c>
      <c r="D3023">
        <f t="shared" si="339"/>
        <v>498.46</v>
      </c>
      <c r="E3023">
        <v>1.62</v>
      </c>
      <c r="F3023">
        <f t="shared" si="340"/>
        <v>-496.84</v>
      </c>
      <c r="I3023">
        <f t="shared" si="336"/>
        <v>16</v>
      </c>
      <c r="J3023">
        <v>1</v>
      </c>
      <c r="K3023">
        <f t="shared" si="337"/>
        <v>1</v>
      </c>
      <c r="L3023">
        <f t="shared" si="338"/>
        <v>2014</v>
      </c>
      <c r="N3023" s="17">
        <f t="shared" si="341"/>
        <v>41640</v>
      </c>
      <c r="S3023">
        <f t="shared" si="342"/>
        <v>0</v>
      </c>
    </row>
    <row r="3024" spans="1:19" x14ac:dyDescent="0.3">
      <c r="A3024" s="17">
        <v>41654</v>
      </c>
      <c r="B3024">
        <v>600.16</v>
      </c>
      <c r="C3024">
        <v>102.62</v>
      </c>
      <c r="D3024">
        <f t="shared" si="339"/>
        <v>497.53999999999996</v>
      </c>
      <c r="E3024">
        <v>1.66</v>
      </c>
      <c r="F3024">
        <f t="shared" si="340"/>
        <v>-495.87999999999994</v>
      </c>
      <c r="I3024">
        <f t="shared" si="336"/>
        <v>15</v>
      </c>
      <c r="J3024">
        <v>1</v>
      </c>
      <c r="K3024">
        <f t="shared" si="337"/>
        <v>1</v>
      </c>
      <c r="L3024">
        <f t="shared" si="338"/>
        <v>2014</v>
      </c>
      <c r="N3024" s="17">
        <f t="shared" si="341"/>
        <v>41640</v>
      </c>
      <c r="S3024">
        <f t="shared" si="342"/>
        <v>0</v>
      </c>
    </row>
    <row r="3025" spans="1:19" x14ac:dyDescent="0.3">
      <c r="A3025" s="17">
        <v>41653</v>
      </c>
      <c r="B3025">
        <v>602.6</v>
      </c>
      <c r="C3025">
        <v>103.2</v>
      </c>
      <c r="D3025">
        <f t="shared" si="339"/>
        <v>499.40000000000003</v>
      </c>
      <c r="E3025">
        <v>1.82</v>
      </c>
      <c r="F3025">
        <f t="shared" si="340"/>
        <v>-497.58000000000004</v>
      </c>
      <c r="I3025">
        <f t="shared" si="336"/>
        <v>14</v>
      </c>
      <c r="J3025">
        <v>1</v>
      </c>
      <c r="K3025">
        <f t="shared" si="337"/>
        <v>1</v>
      </c>
      <c r="L3025">
        <f t="shared" si="338"/>
        <v>2014</v>
      </c>
      <c r="N3025" s="17">
        <f t="shared" si="341"/>
        <v>41640</v>
      </c>
      <c r="S3025">
        <f t="shared" si="342"/>
        <v>0</v>
      </c>
    </row>
    <row r="3026" spans="1:19" x14ac:dyDescent="0.3">
      <c r="A3026" s="17">
        <v>41652</v>
      </c>
      <c r="B3026">
        <v>601.86</v>
      </c>
      <c r="C3026">
        <v>103.45</v>
      </c>
      <c r="D3026">
        <f t="shared" si="339"/>
        <v>498.41</v>
      </c>
      <c r="E3026">
        <v>1.88</v>
      </c>
      <c r="F3026">
        <f t="shared" si="340"/>
        <v>-496.53000000000003</v>
      </c>
      <c r="I3026">
        <f t="shared" si="336"/>
        <v>13</v>
      </c>
      <c r="J3026">
        <v>1</v>
      </c>
      <c r="K3026">
        <f t="shared" si="337"/>
        <v>1</v>
      </c>
      <c r="L3026">
        <f t="shared" si="338"/>
        <v>2014</v>
      </c>
      <c r="N3026" s="17">
        <f t="shared" si="341"/>
        <v>41640</v>
      </c>
      <c r="S3026">
        <f t="shared" si="342"/>
        <v>0</v>
      </c>
    </row>
    <row r="3027" spans="1:19" x14ac:dyDescent="0.3">
      <c r="A3027" s="17">
        <v>41649</v>
      </c>
      <c r="B3027">
        <v>602.45000000000005</v>
      </c>
      <c r="C3027">
        <v>104.01</v>
      </c>
      <c r="D3027">
        <f t="shared" si="339"/>
        <v>498.44000000000005</v>
      </c>
      <c r="E3027">
        <v>2.04</v>
      </c>
      <c r="F3027">
        <f t="shared" si="340"/>
        <v>-496.40000000000003</v>
      </c>
      <c r="I3027">
        <f t="shared" si="336"/>
        <v>10</v>
      </c>
      <c r="J3027">
        <v>1</v>
      </c>
      <c r="K3027">
        <f t="shared" si="337"/>
        <v>1</v>
      </c>
      <c r="L3027">
        <f t="shared" si="338"/>
        <v>2014</v>
      </c>
      <c r="N3027" s="17">
        <f t="shared" si="341"/>
        <v>41640</v>
      </c>
      <c r="S3027">
        <f t="shared" si="342"/>
        <v>0</v>
      </c>
    </row>
    <row r="3028" spans="1:19" x14ac:dyDescent="0.3">
      <c r="A3028" s="17">
        <v>41648</v>
      </c>
      <c r="B3028">
        <v>600.17999999999995</v>
      </c>
      <c r="C3028">
        <v>104.15</v>
      </c>
      <c r="D3028">
        <f t="shared" si="339"/>
        <v>496.03</v>
      </c>
      <c r="E3028">
        <v>1.98</v>
      </c>
      <c r="F3028">
        <f t="shared" si="340"/>
        <v>-494.04999999999995</v>
      </c>
      <c r="I3028">
        <f t="shared" si="336"/>
        <v>9</v>
      </c>
      <c r="J3028">
        <v>1</v>
      </c>
      <c r="K3028">
        <f t="shared" si="337"/>
        <v>1</v>
      </c>
      <c r="L3028">
        <f t="shared" si="338"/>
        <v>2014</v>
      </c>
      <c r="N3028" s="17">
        <f t="shared" si="341"/>
        <v>41640</v>
      </c>
      <c r="S3028">
        <f t="shared" si="342"/>
        <v>0</v>
      </c>
    </row>
    <row r="3029" spans="1:19" x14ac:dyDescent="0.3">
      <c r="A3029" s="17">
        <v>41647</v>
      </c>
      <c r="B3029">
        <v>598.04999999999995</v>
      </c>
      <c r="C3029">
        <v>104.35</v>
      </c>
      <c r="D3029">
        <f t="shared" si="339"/>
        <v>493.69999999999993</v>
      </c>
      <c r="E3029">
        <v>2.04</v>
      </c>
      <c r="F3029">
        <f t="shared" si="340"/>
        <v>-491.65999999999991</v>
      </c>
      <c r="I3029">
        <f t="shared" si="336"/>
        <v>8</v>
      </c>
      <c r="J3029">
        <v>1</v>
      </c>
      <c r="K3029">
        <f t="shared" si="337"/>
        <v>1</v>
      </c>
      <c r="L3029">
        <f t="shared" si="338"/>
        <v>2014</v>
      </c>
      <c r="N3029" s="17">
        <f t="shared" si="341"/>
        <v>41640</v>
      </c>
      <c r="S3029">
        <f t="shared" si="342"/>
        <v>0</v>
      </c>
    </row>
    <row r="3030" spans="1:19" x14ac:dyDescent="0.3">
      <c r="A3030" s="17">
        <v>41646</v>
      </c>
      <c r="B3030">
        <v>599.63</v>
      </c>
      <c r="C3030">
        <v>104.32</v>
      </c>
      <c r="D3030">
        <f t="shared" si="339"/>
        <v>495.31</v>
      </c>
      <c r="E3030">
        <v>1.99</v>
      </c>
      <c r="F3030">
        <f t="shared" si="340"/>
        <v>-493.32</v>
      </c>
      <c r="I3030">
        <f t="shared" si="336"/>
        <v>7</v>
      </c>
      <c r="J3030">
        <v>1</v>
      </c>
      <c r="K3030">
        <f t="shared" si="337"/>
        <v>1</v>
      </c>
      <c r="L3030">
        <f t="shared" si="338"/>
        <v>2014</v>
      </c>
      <c r="N3030" s="17">
        <f t="shared" si="341"/>
        <v>41640</v>
      </c>
      <c r="S3030">
        <f t="shared" si="342"/>
        <v>0</v>
      </c>
    </row>
    <row r="3031" spans="1:19" x14ac:dyDescent="0.3">
      <c r="A3031" s="17">
        <v>41645</v>
      </c>
      <c r="B3031">
        <v>599.29999999999995</v>
      </c>
      <c r="C3031">
        <v>104.26</v>
      </c>
      <c r="D3031">
        <f t="shared" si="339"/>
        <v>495.03999999999996</v>
      </c>
      <c r="E3031">
        <v>1.86</v>
      </c>
      <c r="F3031">
        <f t="shared" si="340"/>
        <v>-493.17999999999995</v>
      </c>
      <c r="I3031">
        <f t="shared" si="336"/>
        <v>6</v>
      </c>
      <c r="J3031">
        <v>1</v>
      </c>
      <c r="K3031">
        <f t="shared" si="337"/>
        <v>1</v>
      </c>
      <c r="L3031">
        <f t="shared" si="338"/>
        <v>2014</v>
      </c>
      <c r="N3031" s="17">
        <f t="shared" si="341"/>
        <v>41640</v>
      </c>
      <c r="S3031">
        <f t="shared" si="342"/>
        <v>0</v>
      </c>
    </row>
    <row r="3032" spans="1:19" x14ac:dyDescent="0.3">
      <c r="A3032" s="17">
        <v>41642</v>
      </c>
      <c r="B3032">
        <v>604.28</v>
      </c>
      <c r="C3032">
        <v>105.24</v>
      </c>
      <c r="D3032">
        <f t="shared" si="339"/>
        <v>499.03999999999996</v>
      </c>
      <c r="E3032">
        <v>1.86</v>
      </c>
      <c r="F3032">
        <f t="shared" si="340"/>
        <v>-497.17999999999995</v>
      </c>
      <c r="I3032">
        <f t="shared" si="336"/>
        <v>3</v>
      </c>
      <c r="J3032">
        <v>1</v>
      </c>
      <c r="K3032">
        <f t="shared" si="337"/>
        <v>1</v>
      </c>
      <c r="L3032">
        <f t="shared" si="338"/>
        <v>2014</v>
      </c>
      <c r="N3032" s="17">
        <f t="shared" si="341"/>
        <v>41640</v>
      </c>
      <c r="S3032">
        <f t="shared" si="342"/>
        <v>1</v>
      </c>
    </row>
    <row r="3033" spans="1:19" x14ac:dyDescent="0.3">
      <c r="A3033" s="17">
        <v>41641</v>
      </c>
      <c r="B3033">
        <v>612.07000000000005</v>
      </c>
      <c r="C3033">
        <v>107.8</v>
      </c>
      <c r="D3033">
        <f t="shared" si="339"/>
        <v>504.27000000000004</v>
      </c>
      <c r="E3033">
        <v>1.97</v>
      </c>
      <c r="F3033">
        <f t="shared" si="340"/>
        <v>-502.3</v>
      </c>
      <c r="I3033">
        <f t="shared" si="336"/>
        <v>2</v>
      </c>
      <c r="J3033">
        <v>1</v>
      </c>
      <c r="K3033">
        <f t="shared" si="337"/>
        <v>1</v>
      </c>
      <c r="L3033">
        <f t="shared" si="338"/>
        <v>2014</v>
      </c>
      <c r="N3033" s="17">
        <f t="shared" si="341"/>
        <v>41640</v>
      </c>
      <c r="S3033">
        <f t="shared" si="342"/>
        <v>1</v>
      </c>
    </row>
    <row r="3034" spans="1:19" x14ac:dyDescent="0.3">
      <c r="A3034" s="17">
        <v>41639</v>
      </c>
      <c r="B3034">
        <v>616.23</v>
      </c>
      <c r="C3034">
        <v>108.11</v>
      </c>
      <c r="D3034">
        <f t="shared" si="339"/>
        <v>508.12</v>
      </c>
      <c r="E3034">
        <v>2.11</v>
      </c>
      <c r="F3034">
        <f t="shared" si="340"/>
        <v>-506.01</v>
      </c>
      <c r="I3034">
        <f t="shared" si="336"/>
        <v>31</v>
      </c>
      <c r="J3034">
        <v>1</v>
      </c>
      <c r="K3034">
        <f t="shared" si="337"/>
        <v>12</v>
      </c>
      <c r="L3034">
        <f t="shared" si="338"/>
        <v>2013</v>
      </c>
      <c r="N3034" s="17">
        <f t="shared" si="341"/>
        <v>41609</v>
      </c>
      <c r="S3034">
        <f t="shared" si="342"/>
        <v>0</v>
      </c>
    </row>
    <row r="3035" spans="1:19" x14ac:dyDescent="0.3">
      <c r="A3035" s="17">
        <v>41638</v>
      </c>
      <c r="B3035">
        <v>618.83000000000004</v>
      </c>
      <c r="C3035">
        <v>108.89</v>
      </c>
      <c r="D3035">
        <f t="shared" si="339"/>
        <v>509.94000000000005</v>
      </c>
      <c r="E3035">
        <v>2.11</v>
      </c>
      <c r="F3035">
        <f t="shared" si="340"/>
        <v>-507.83000000000004</v>
      </c>
      <c r="I3035">
        <f t="shared" si="336"/>
        <v>30</v>
      </c>
      <c r="J3035">
        <v>1</v>
      </c>
      <c r="K3035">
        <f t="shared" si="337"/>
        <v>12</v>
      </c>
      <c r="L3035">
        <f t="shared" si="338"/>
        <v>2013</v>
      </c>
      <c r="N3035" s="17">
        <f t="shared" si="341"/>
        <v>41609</v>
      </c>
      <c r="S3035">
        <f t="shared" si="342"/>
        <v>0</v>
      </c>
    </row>
    <row r="3036" spans="1:19" x14ac:dyDescent="0.3">
      <c r="A3036" s="17">
        <v>41635</v>
      </c>
      <c r="B3036">
        <v>616.32000000000005</v>
      </c>
      <c r="C3036">
        <v>109.39</v>
      </c>
      <c r="D3036">
        <f t="shared" si="339"/>
        <v>506.93000000000006</v>
      </c>
      <c r="E3036">
        <v>2.1800000000000002</v>
      </c>
      <c r="F3036">
        <f t="shared" si="340"/>
        <v>-504.75000000000006</v>
      </c>
      <c r="I3036">
        <f t="shared" si="336"/>
        <v>27</v>
      </c>
      <c r="J3036">
        <v>1</v>
      </c>
      <c r="K3036">
        <f t="shared" si="337"/>
        <v>12</v>
      </c>
      <c r="L3036">
        <f t="shared" si="338"/>
        <v>2013</v>
      </c>
      <c r="N3036" s="17">
        <f t="shared" si="341"/>
        <v>41609</v>
      </c>
      <c r="S3036">
        <f t="shared" si="342"/>
        <v>0</v>
      </c>
    </row>
    <row r="3037" spans="1:19" x14ac:dyDescent="0.3">
      <c r="A3037" s="17">
        <v>41634</v>
      </c>
      <c r="B3037">
        <v>614.97</v>
      </c>
      <c r="C3037">
        <v>109.09</v>
      </c>
      <c r="D3037">
        <f t="shared" si="339"/>
        <v>505.88</v>
      </c>
      <c r="E3037">
        <v>2.09</v>
      </c>
      <c r="F3037">
        <f t="shared" si="340"/>
        <v>-503.79</v>
      </c>
      <c r="I3037">
        <f t="shared" si="336"/>
        <v>26</v>
      </c>
      <c r="J3037">
        <v>1</v>
      </c>
      <c r="K3037">
        <f t="shared" si="337"/>
        <v>12</v>
      </c>
      <c r="L3037">
        <f t="shared" si="338"/>
        <v>2013</v>
      </c>
      <c r="N3037" s="17">
        <f t="shared" si="341"/>
        <v>41609</v>
      </c>
      <c r="S3037">
        <f t="shared" si="342"/>
        <v>0</v>
      </c>
    </row>
    <row r="3038" spans="1:19" x14ac:dyDescent="0.3">
      <c r="A3038" s="17">
        <v>41632</v>
      </c>
      <c r="B3038">
        <v>613.96</v>
      </c>
      <c r="C3038">
        <v>109.11</v>
      </c>
      <c r="D3038">
        <f t="shared" si="339"/>
        <v>504.85</v>
      </c>
      <c r="E3038">
        <v>2.0299999999999998</v>
      </c>
      <c r="F3038">
        <f t="shared" si="340"/>
        <v>-502.82000000000005</v>
      </c>
      <c r="I3038">
        <f t="shared" si="336"/>
        <v>24</v>
      </c>
      <c r="J3038">
        <v>1</v>
      </c>
      <c r="K3038">
        <f t="shared" si="337"/>
        <v>12</v>
      </c>
      <c r="L3038">
        <f t="shared" si="338"/>
        <v>2013</v>
      </c>
      <c r="N3038" s="17">
        <f t="shared" si="341"/>
        <v>41609</v>
      </c>
      <c r="S3038">
        <f t="shared" si="342"/>
        <v>0</v>
      </c>
    </row>
    <row r="3039" spans="1:19" x14ac:dyDescent="0.3">
      <c r="A3039" s="17">
        <v>41631</v>
      </c>
      <c r="B3039">
        <v>614.4</v>
      </c>
      <c r="C3039">
        <v>109.04</v>
      </c>
      <c r="D3039">
        <f t="shared" si="339"/>
        <v>505.35999999999996</v>
      </c>
      <c r="E3039">
        <v>1.99</v>
      </c>
      <c r="F3039">
        <f t="shared" si="340"/>
        <v>-503.36999999999995</v>
      </c>
      <c r="I3039">
        <f t="shared" si="336"/>
        <v>23</v>
      </c>
      <c r="J3039">
        <v>1</v>
      </c>
      <c r="K3039">
        <f t="shared" si="337"/>
        <v>12</v>
      </c>
      <c r="L3039">
        <f t="shared" si="338"/>
        <v>2013</v>
      </c>
      <c r="N3039" s="17">
        <f t="shared" si="341"/>
        <v>41609</v>
      </c>
      <c r="S3039">
        <f t="shared" si="342"/>
        <v>0</v>
      </c>
    </row>
    <row r="3040" spans="1:19" x14ac:dyDescent="0.3">
      <c r="A3040" s="17">
        <v>41628</v>
      </c>
      <c r="B3040">
        <v>609.22</v>
      </c>
      <c r="C3040">
        <v>107.77</v>
      </c>
      <c r="D3040">
        <f t="shared" si="339"/>
        <v>501.45000000000005</v>
      </c>
      <c r="E3040">
        <v>2.0099999999999998</v>
      </c>
      <c r="F3040">
        <f t="shared" si="340"/>
        <v>-499.44000000000005</v>
      </c>
      <c r="I3040">
        <f t="shared" si="336"/>
        <v>20</v>
      </c>
      <c r="J3040">
        <v>1</v>
      </c>
      <c r="K3040">
        <f t="shared" si="337"/>
        <v>12</v>
      </c>
      <c r="L3040">
        <f t="shared" si="338"/>
        <v>2013</v>
      </c>
      <c r="N3040" s="17">
        <f t="shared" si="341"/>
        <v>41609</v>
      </c>
      <c r="S3040">
        <f t="shared" si="342"/>
        <v>0</v>
      </c>
    </row>
    <row r="3041" spans="1:19" x14ac:dyDescent="0.3">
      <c r="A3041" s="17">
        <v>41627</v>
      </c>
      <c r="B3041">
        <v>605.64</v>
      </c>
      <c r="C3041">
        <v>106.99</v>
      </c>
      <c r="D3041">
        <f t="shared" si="339"/>
        <v>498.65</v>
      </c>
      <c r="E3041">
        <v>2.09</v>
      </c>
      <c r="F3041">
        <f t="shared" si="340"/>
        <v>-496.56</v>
      </c>
      <c r="I3041">
        <f t="shared" si="336"/>
        <v>19</v>
      </c>
      <c r="J3041">
        <v>1</v>
      </c>
      <c r="K3041">
        <f t="shared" si="337"/>
        <v>12</v>
      </c>
      <c r="L3041">
        <f t="shared" si="338"/>
        <v>2013</v>
      </c>
      <c r="N3041" s="17">
        <f t="shared" si="341"/>
        <v>41609</v>
      </c>
      <c r="S3041">
        <f t="shared" si="342"/>
        <v>0</v>
      </c>
    </row>
    <row r="3042" spans="1:19" x14ac:dyDescent="0.3">
      <c r="A3042" s="17">
        <v>41626</v>
      </c>
      <c r="B3042">
        <v>603.54999999999995</v>
      </c>
      <c r="C3042">
        <v>106.34</v>
      </c>
      <c r="D3042">
        <f t="shared" si="339"/>
        <v>497.20999999999992</v>
      </c>
      <c r="E3042">
        <v>2.08</v>
      </c>
      <c r="F3042">
        <f t="shared" si="340"/>
        <v>-495.12999999999994</v>
      </c>
      <c r="I3042">
        <f t="shared" si="336"/>
        <v>18</v>
      </c>
      <c r="J3042">
        <v>1</v>
      </c>
      <c r="K3042">
        <f t="shared" si="337"/>
        <v>12</v>
      </c>
      <c r="L3042">
        <f t="shared" si="338"/>
        <v>2013</v>
      </c>
      <c r="N3042" s="17">
        <f t="shared" si="341"/>
        <v>41609</v>
      </c>
      <c r="S3042">
        <f t="shared" si="342"/>
        <v>0</v>
      </c>
    </row>
    <row r="3043" spans="1:19" x14ac:dyDescent="0.3">
      <c r="A3043" s="17">
        <v>41625</v>
      </c>
      <c r="B3043">
        <v>609.33000000000004</v>
      </c>
      <c r="C3043">
        <v>106.64</v>
      </c>
      <c r="D3043">
        <f t="shared" si="339"/>
        <v>502.69000000000005</v>
      </c>
      <c r="E3043">
        <v>1.83</v>
      </c>
      <c r="F3043">
        <f t="shared" si="340"/>
        <v>-500.86000000000007</v>
      </c>
      <c r="I3043">
        <f t="shared" si="336"/>
        <v>17</v>
      </c>
      <c r="J3043">
        <v>1</v>
      </c>
      <c r="K3043">
        <f t="shared" si="337"/>
        <v>12</v>
      </c>
      <c r="L3043">
        <f t="shared" si="338"/>
        <v>2013</v>
      </c>
      <c r="N3043" s="17">
        <f t="shared" si="341"/>
        <v>41609</v>
      </c>
      <c r="S3043">
        <f t="shared" si="342"/>
        <v>0</v>
      </c>
    </row>
    <row r="3044" spans="1:19" x14ac:dyDescent="0.3">
      <c r="A3044" s="17">
        <v>41624</v>
      </c>
      <c r="B3044">
        <v>608.23</v>
      </c>
      <c r="C3044">
        <v>106.57</v>
      </c>
      <c r="D3044">
        <f t="shared" si="339"/>
        <v>501.66</v>
      </c>
      <c r="E3044">
        <v>1.73</v>
      </c>
      <c r="F3044">
        <f t="shared" si="340"/>
        <v>-499.93</v>
      </c>
      <c r="I3044">
        <f t="shared" si="336"/>
        <v>16</v>
      </c>
      <c r="J3044">
        <v>1</v>
      </c>
      <c r="K3044">
        <f t="shared" si="337"/>
        <v>12</v>
      </c>
      <c r="L3044">
        <f t="shared" si="338"/>
        <v>2013</v>
      </c>
      <c r="N3044" s="17">
        <f t="shared" si="341"/>
        <v>41609</v>
      </c>
      <c r="S3044">
        <f t="shared" si="342"/>
        <v>0</v>
      </c>
    </row>
    <row r="3045" spans="1:19" x14ac:dyDescent="0.3">
      <c r="A3045" s="17">
        <v>41621</v>
      </c>
      <c r="B3045">
        <v>602.21</v>
      </c>
      <c r="C3045">
        <v>106.26</v>
      </c>
      <c r="D3045">
        <f t="shared" si="339"/>
        <v>495.95000000000005</v>
      </c>
      <c r="E3045">
        <v>1.66</v>
      </c>
      <c r="F3045">
        <f t="shared" si="340"/>
        <v>-494.29</v>
      </c>
      <c r="I3045">
        <f t="shared" si="336"/>
        <v>13</v>
      </c>
      <c r="J3045">
        <v>1</v>
      </c>
      <c r="K3045">
        <f t="shared" si="337"/>
        <v>12</v>
      </c>
      <c r="L3045">
        <f t="shared" si="338"/>
        <v>2013</v>
      </c>
      <c r="N3045" s="17">
        <f t="shared" si="341"/>
        <v>41609</v>
      </c>
      <c r="S3045">
        <f t="shared" si="342"/>
        <v>0</v>
      </c>
    </row>
    <row r="3046" spans="1:19" x14ac:dyDescent="0.3">
      <c r="A3046" s="17">
        <v>41620</v>
      </c>
      <c r="B3046">
        <v>604.73</v>
      </c>
      <c r="C3046">
        <v>107.47</v>
      </c>
      <c r="D3046">
        <f t="shared" si="339"/>
        <v>497.26</v>
      </c>
      <c r="E3046">
        <v>1.58</v>
      </c>
      <c r="F3046">
        <f t="shared" si="340"/>
        <v>-495.68</v>
      </c>
      <c r="I3046">
        <f t="shared" si="336"/>
        <v>12</v>
      </c>
      <c r="J3046">
        <v>1</v>
      </c>
      <c r="K3046">
        <f t="shared" si="337"/>
        <v>12</v>
      </c>
      <c r="L3046">
        <f t="shared" si="338"/>
        <v>2013</v>
      </c>
      <c r="N3046" s="17">
        <f t="shared" si="341"/>
        <v>41609</v>
      </c>
      <c r="S3046">
        <f t="shared" si="342"/>
        <v>0</v>
      </c>
    </row>
    <row r="3047" spans="1:19" x14ac:dyDescent="0.3">
      <c r="A3047" s="17">
        <v>41619</v>
      </c>
      <c r="B3047">
        <v>603.65</v>
      </c>
      <c r="C3047">
        <v>107.02</v>
      </c>
      <c r="D3047">
        <f t="shared" si="339"/>
        <v>496.63</v>
      </c>
      <c r="E3047">
        <v>1.73</v>
      </c>
      <c r="F3047">
        <f t="shared" si="340"/>
        <v>-494.9</v>
      </c>
      <c r="I3047">
        <f t="shared" si="336"/>
        <v>11</v>
      </c>
      <c r="J3047">
        <v>1</v>
      </c>
      <c r="K3047">
        <f t="shared" si="337"/>
        <v>12</v>
      </c>
      <c r="L3047">
        <f t="shared" si="338"/>
        <v>2013</v>
      </c>
      <c r="N3047" s="17">
        <f t="shared" si="341"/>
        <v>41609</v>
      </c>
      <c r="S3047">
        <f t="shared" si="342"/>
        <v>0</v>
      </c>
    </row>
    <row r="3048" spans="1:19" x14ac:dyDescent="0.3">
      <c r="A3048" s="17">
        <v>41618</v>
      </c>
      <c r="B3048">
        <v>602.26</v>
      </c>
      <c r="C3048">
        <v>107.07</v>
      </c>
      <c r="D3048">
        <f t="shared" si="339"/>
        <v>495.19</v>
      </c>
      <c r="E3048">
        <v>1.72</v>
      </c>
      <c r="F3048">
        <f t="shared" si="340"/>
        <v>-493.46999999999997</v>
      </c>
      <c r="I3048">
        <f t="shared" si="336"/>
        <v>10</v>
      </c>
      <c r="J3048">
        <v>1</v>
      </c>
      <c r="K3048">
        <f t="shared" si="337"/>
        <v>12</v>
      </c>
      <c r="L3048">
        <f t="shared" si="338"/>
        <v>2013</v>
      </c>
      <c r="N3048" s="17">
        <f t="shared" si="341"/>
        <v>41609</v>
      </c>
      <c r="S3048">
        <f t="shared" si="342"/>
        <v>0</v>
      </c>
    </row>
    <row r="3049" spans="1:19" x14ac:dyDescent="0.3">
      <c r="A3049" s="17">
        <v>41617</v>
      </c>
      <c r="B3049">
        <v>604.70000000000005</v>
      </c>
      <c r="C3049">
        <v>108.42</v>
      </c>
      <c r="D3049">
        <f t="shared" si="339"/>
        <v>496.28000000000003</v>
      </c>
      <c r="E3049">
        <v>2.0099999999999998</v>
      </c>
      <c r="F3049">
        <f t="shared" si="340"/>
        <v>-494.27000000000004</v>
      </c>
      <c r="I3049">
        <f t="shared" si="336"/>
        <v>9</v>
      </c>
      <c r="J3049">
        <v>1</v>
      </c>
      <c r="K3049">
        <f t="shared" si="337"/>
        <v>12</v>
      </c>
      <c r="L3049">
        <f t="shared" si="338"/>
        <v>2013</v>
      </c>
      <c r="N3049" s="17">
        <f t="shared" si="341"/>
        <v>41609</v>
      </c>
      <c r="S3049">
        <f t="shared" si="342"/>
        <v>0</v>
      </c>
    </row>
    <row r="3050" spans="1:19" x14ac:dyDescent="0.3">
      <c r="A3050" s="17">
        <v>41614</v>
      </c>
      <c r="B3050">
        <v>602.13</v>
      </c>
      <c r="C3050">
        <v>108.16</v>
      </c>
      <c r="D3050">
        <f t="shared" si="339"/>
        <v>493.97</v>
      </c>
      <c r="E3050">
        <v>2.27</v>
      </c>
      <c r="F3050">
        <f t="shared" si="340"/>
        <v>-491.70000000000005</v>
      </c>
      <c r="I3050">
        <f t="shared" si="336"/>
        <v>6</v>
      </c>
      <c r="J3050">
        <v>1</v>
      </c>
      <c r="K3050">
        <f t="shared" si="337"/>
        <v>12</v>
      </c>
      <c r="L3050">
        <f t="shared" si="338"/>
        <v>2013</v>
      </c>
      <c r="N3050" s="17">
        <f t="shared" si="341"/>
        <v>41609</v>
      </c>
      <c r="S3050">
        <f t="shared" si="342"/>
        <v>0</v>
      </c>
    </row>
    <row r="3051" spans="1:19" x14ac:dyDescent="0.3">
      <c r="A3051" s="17">
        <v>41613</v>
      </c>
      <c r="B3051">
        <v>604.85</v>
      </c>
      <c r="C3051">
        <v>108.36</v>
      </c>
      <c r="D3051">
        <f t="shared" si="339"/>
        <v>496.49</v>
      </c>
      <c r="E3051">
        <v>2.68</v>
      </c>
      <c r="F3051">
        <f t="shared" si="340"/>
        <v>-493.81</v>
      </c>
      <c r="I3051">
        <f t="shared" si="336"/>
        <v>5</v>
      </c>
      <c r="J3051">
        <v>1</v>
      </c>
      <c r="K3051">
        <f t="shared" si="337"/>
        <v>12</v>
      </c>
      <c r="L3051">
        <f t="shared" si="338"/>
        <v>2013</v>
      </c>
      <c r="N3051" s="17">
        <f t="shared" si="341"/>
        <v>41609</v>
      </c>
      <c r="S3051">
        <f t="shared" si="342"/>
        <v>0</v>
      </c>
    </row>
    <row r="3052" spans="1:19" x14ac:dyDescent="0.3">
      <c r="A3052" s="17">
        <v>41612</v>
      </c>
      <c r="B3052">
        <v>601.89</v>
      </c>
      <c r="C3052">
        <v>109.01</v>
      </c>
      <c r="D3052">
        <f t="shared" si="339"/>
        <v>492.88</v>
      </c>
      <c r="E3052">
        <v>2.94</v>
      </c>
      <c r="F3052">
        <f t="shared" si="340"/>
        <v>-489.94</v>
      </c>
      <c r="I3052">
        <f t="shared" si="336"/>
        <v>4</v>
      </c>
      <c r="J3052">
        <v>1</v>
      </c>
      <c r="K3052">
        <f t="shared" si="337"/>
        <v>12</v>
      </c>
      <c r="L3052">
        <f t="shared" si="338"/>
        <v>2013</v>
      </c>
      <c r="N3052" s="17">
        <f t="shared" si="341"/>
        <v>41609</v>
      </c>
      <c r="S3052">
        <f t="shared" si="342"/>
        <v>1</v>
      </c>
    </row>
    <row r="3053" spans="1:19" x14ac:dyDescent="0.3">
      <c r="A3053" s="17">
        <v>41611</v>
      </c>
      <c r="B3053">
        <v>603.83000000000004</v>
      </c>
      <c r="C3053">
        <v>108.21</v>
      </c>
      <c r="D3053">
        <f t="shared" si="339"/>
        <v>495.62000000000006</v>
      </c>
      <c r="E3053">
        <v>3.09</v>
      </c>
      <c r="F3053">
        <f t="shared" si="340"/>
        <v>-492.53000000000009</v>
      </c>
      <c r="I3053">
        <f t="shared" si="336"/>
        <v>3</v>
      </c>
      <c r="J3053">
        <v>1</v>
      </c>
      <c r="K3053">
        <f t="shared" si="337"/>
        <v>12</v>
      </c>
      <c r="L3053">
        <f t="shared" si="338"/>
        <v>2013</v>
      </c>
      <c r="N3053" s="17">
        <f t="shared" si="341"/>
        <v>41609</v>
      </c>
      <c r="S3053">
        <f t="shared" si="342"/>
        <v>1</v>
      </c>
    </row>
    <row r="3054" spans="1:19" x14ac:dyDescent="0.3">
      <c r="A3054" s="17">
        <v>41610</v>
      </c>
      <c r="B3054">
        <v>604.41</v>
      </c>
      <c r="C3054">
        <v>107.21</v>
      </c>
      <c r="D3054">
        <f t="shared" si="339"/>
        <v>497.2</v>
      </c>
      <c r="E3054">
        <v>3.18</v>
      </c>
      <c r="F3054">
        <f t="shared" si="340"/>
        <v>-494.02</v>
      </c>
      <c r="I3054">
        <f t="shared" si="336"/>
        <v>2</v>
      </c>
      <c r="J3054">
        <v>1</v>
      </c>
      <c r="K3054">
        <f t="shared" si="337"/>
        <v>12</v>
      </c>
      <c r="L3054">
        <f t="shared" si="338"/>
        <v>2013</v>
      </c>
      <c r="N3054" s="17">
        <f t="shared" si="341"/>
        <v>41609</v>
      </c>
      <c r="S3054">
        <f t="shared" si="342"/>
        <v>1</v>
      </c>
    </row>
    <row r="3055" spans="1:19" x14ac:dyDescent="0.3">
      <c r="A3055" s="17">
        <v>41607</v>
      </c>
      <c r="B3055">
        <v>605.80999999999995</v>
      </c>
      <c r="C3055">
        <v>108.7</v>
      </c>
      <c r="D3055">
        <f t="shared" si="339"/>
        <v>497.10999999999996</v>
      </c>
      <c r="E3055">
        <v>3.49</v>
      </c>
      <c r="F3055">
        <f t="shared" si="340"/>
        <v>-493.61999999999995</v>
      </c>
      <c r="I3055">
        <f t="shared" si="336"/>
        <v>29</v>
      </c>
      <c r="J3055">
        <v>1</v>
      </c>
      <c r="K3055">
        <f t="shared" si="337"/>
        <v>11</v>
      </c>
      <c r="L3055">
        <f t="shared" si="338"/>
        <v>2013</v>
      </c>
      <c r="N3055" s="17">
        <f t="shared" si="341"/>
        <v>41579</v>
      </c>
      <c r="S3055">
        <f t="shared" si="342"/>
        <v>0</v>
      </c>
    </row>
    <row r="3056" spans="1:19" x14ac:dyDescent="0.3">
      <c r="A3056" s="17">
        <v>41606</v>
      </c>
      <c r="B3056">
        <v>607.5</v>
      </c>
      <c r="C3056">
        <v>108.99</v>
      </c>
      <c r="D3056">
        <f t="shared" si="339"/>
        <v>498.51</v>
      </c>
      <c r="E3056">
        <v>3.6</v>
      </c>
      <c r="F3056">
        <f t="shared" si="340"/>
        <v>-494.90999999999997</v>
      </c>
      <c r="I3056">
        <f t="shared" si="336"/>
        <v>28</v>
      </c>
      <c r="J3056">
        <v>1</v>
      </c>
      <c r="K3056">
        <f t="shared" si="337"/>
        <v>11</v>
      </c>
      <c r="L3056">
        <f t="shared" si="338"/>
        <v>2013</v>
      </c>
      <c r="N3056" s="17">
        <f t="shared" si="341"/>
        <v>41579</v>
      </c>
      <c r="S3056">
        <f t="shared" si="342"/>
        <v>0</v>
      </c>
    </row>
    <row r="3057" spans="1:19" x14ac:dyDescent="0.3">
      <c r="A3057" s="17">
        <v>41605</v>
      </c>
      <c r="B3057">
        <v>606.20000000000005</v>
      </c>
      <c r="C3057">
        <v>108.66</v>
      </c>
      <c r="D3057">
        <f t="shared" si="339"/>
        <v>497.54000000000008</v>
      </c>
      <c r="E3057">
        <v>3.65</v>
      </c>
      <c r="F3057">
        <f t="shared" si="340"/>
        <v>-493.8900000000001</v>
      </c>
      <c r="I3057">
        <f t="shared" si="336"/>
        <v>27</v>
      </c>
      <c r="J3057">
        <v>1</v>
      </c>
      <c r="K3057">
        <f t="shared" si="337"/>
        <v>11</v>
      </c>
      <c r="L3057">
        <f t="shared" si="338"/>
        <v>2013</v>
      </c>
      <c r="N3057" s="17">
        <f t="shared" si="341"/>
        <v>41579</v>
      </c>
      <c r="S3057">
        <f t="shared" si="342"/>
        <v>0</v>
      </c>
    </row>
    <row r="3058" spans="1:19" x14ac:dyDescent="0.3">
      <c r="A3058" s="17">
        <v>41604</v>
      </c>
      <c r="B3058">
        <v>601.9</v>
      </c>
      <c r="C3058">
        <v>108.55</v>
      </c>
      <c r="D3058">
        <f t="shared" si="339"/>
        <v>493.34999999999997</v>
      </c>
      <c r="E3058">
        <v>3.72</v>
      </c>
      <c r="F3058">
        <f t="shared" si="340"/>
        <v>-489.62999999999994</v>
      </c>
      <c r="I3058">
        <f t="shared" si="336"/>
        <v>26</v>
      </c>
      <c r="J3058">
        <v>1</v>
      </c>
      <c r="K3058">
        <f t="shared" si="337"/>
        <v>11</v>
      </c>
      <c r="L3058">
        <f t="shared" si="338"/>
        <v>2013</v>
      </c>
      <c r="N3058" s="17">
        <f t="shared" si="341"/>
        <v>41579</v>
      </c>
      <c r="S3058">
        <f t="shared" si="342"/>
        <v>0</v>
      </c>
    </row>
    <row r="3059" spans="1:19" x14ac:dyDescent="0.3">
      <c r="A3059" s="17">
        <v>41603</v>
      </c>
      <c r="B3059">
        <v>601.12</v>
      </c>
      <c r="C3059">
        <v>106.81</v>
      </c>
      <c r="D3059">
        <f t="shared" si="339"/>
        <v>494.31</v>
      </c>
      <c r="E3059">
        <v>3.97</v>
      </c>
      <c r="F3059">
        <f t="shared" si="340"/>
        <v>-490.34</v>
      </c>
      <c r="I3059">
        <f t="shared" si="336"/>
        <v>25</v>
      </c>
      <c r="J3059">
        <v>1</v>
      </c>
      <c r="K3059">
        <f t="shared" si="337"/>
        <v>11</v>
      </c>
      <c r="L3059">
        <f t="shared" si="338"/>
        <v>2013</v>
      </c>
      <c r="N3059" s="17">
        <f t="shared" si="341"/>
        <v>41579</v>
      </c>
      <c r="S3059">
        <f t="shared" si="342"/>
        <v>0</v>
      </c>
    </row>
    <row r="3060" spans="1:19" x14ac:dyDescent="0.3">
      <c r="A3060" s="17">
        <v>41600</v>
      </c>
      <c r="B3060">
        <v>606.80999999999995</v>
      </c>
      <c r="C3060">
        <v>107.56</v>
      </c>
      <c r="D3060">
        <f t="shared" si="339"/>
        <v>499.24999999999994</v>
      </c>
      <c r="E3060">
        <v>3.81</v>
      </c>
      <c r="F3060">
        <f t="shared" si="340"/>
        <v>-495.43999999999994</v>
      </c>
      <c r="I3060">
        <f t="shared" si="336"/>
        <v>22</v>
      </c>
      <c r="J3060">
        <v>1</v>
      </c>
      <c r="K3060">
        <f t="shared" si="337"/>
        <v>11</v>
      </c>
      <c r="L3060">
        <f t="shared" si="338"/>
        <v>2013</v>
      </c>
      <c r="N3060" s="17">
        <f t="shared" si="341"/>
        <v>41579</v>
      </c>
      <c r="S3060">
        <f t="shared" si="342"/>
        <v>0</v>
      </c>
    </row>
    <row r="3061" spans="1:19" x14ac:dyDescent="0.3">
      <c r="A3061" s="17">
        <v>41599</v>
      </c>
      <c r="B3061">
        <v>604.38</v>
      </c>
      <c r="C3061">
        <v>105.86</v>
      </c>
      <c r="D3061">
        <f t="shared" si="339"/>
        <v>498.52</v>
      </c>
      <c r="E3061">
        <v>3.76</v>
      </c>
      <c r="F3061">
        <f t="shared" si="340"/>
        <v>-494.76</v>
      </c>
      <c r="I3061">
        <f t="shared" si="336"/>
        <v>21</v>
      </c>
      <c r="J3061">
        <v>1</v>
      </c>
      <c r="K3061">
        <f t="shared" si="337"/>
        <v>11</v>
      </c>
      <c r="L3061">
        <f t="shared" si="338"/>
        <v>2013</v>
      </c>
      <c r="N3061" s="17">
        <f t="shared" si="341"/>
        <v>41579</v>
      </c>
      <c r="S3061">
        <f t="shared" si="342"/>
        <v>0</v>
      </c>
    </row>
    <row r="3062" spans="1:19" x14ac:dyDescent="0.3">
      <c r="A3062" s="17">
        <v>41598</v>
      </c>
      <c r="B3062">
        <v>599.54</v>
      </c>
      <c r="C3062">
        <v>105.15</v>
      </c>
      <c r="D3062">
        <f t="shared" si="339"/>
        <v>494.39</v>
      </c>
      <c r="E3062">
        <v>3.64</v>
      </c>
      <c r="F3062">
        <f t="shared" si="340"/>
        <v>-490.75</v>
      </c>
      <c r="I3062">
        <f t="shared" si="336"/>
        <v>20</v>
      </c>
      <c r="J3062">
        <v>1</v>
      </c>
      <c r="K3062">
        <f t="shared" si="337"/>
        <v>11</v>
      </c>
      <c r="L3062">
        <f t="shared" si="338"/>
        <v>2013</v>
      </c>
      <c r="N3062" s="17">
        <f t="shared" si="341"/>
        <v>41579</v>
      </c>
      <c r="S3062">
        <f t="shared" si="342"/>
        <v>0</v>
      </c>
    </row>
    <row r="3063" spans="1:19" x14ac:dyDescent="0.3">
      <c r="A3063" s="17">
        <v>41597</v>
      </c>
      <c r="B3063">
        <v>600.79999999999995</v>
      </c>
      <c r="C3063">
        <v>106.05</v>
      </c>
      <c r="D3063">
        <f t="shared" si="339"/>
        <v>494.74999999999994</v>
      </c>
      <c r="E3063">
        <v>3.56</v>
      </c>
      <c r="F3063">
        <f t="shared" si="340"/>
        <v>-491.18999999999994</v>
      </c>
      <c r="I3063">
        <f t="shared" si="336"/>
        <v>19</v>
      </c>
      <c r="J3063">
        <v>1</v>
      </c>
      <c r="K3063">
        <f t="shared" si="337"/>
        <v>11</v>
      </c>
      <c r="L3063">
        <f t="shared" si="338"/>
        <v>2013</v>
      </c>
      <c r="N3063" s="17">
        <f t="shared" si="341"/>
        <v>41579</v>
      </c>
      <c r="S3063">
        <f t="shared" si="342"/>
        <v>0</v>
      </c>
    </row>
    <row r="3064" spans="1:19" x14ac:dyDescent="0.3">
      <c r="A3064" s="17">
        <v>41596</v>
      </c>
      <c r="B3064">
        <v>600.44000000000005</v>
      </c>
      <c r="C3064">
        <v>106.02500000000001</v>
      </c>
      <c r="D3064">
        <f t="shared" si="339"/>
        <v>494.41500000000008</v>
      </c>
      <c r="E3064">
        <v>3.56</v>
      </c>
      <c r="F3064">
        <f t="shared" si="340"/>
        <v>-490.85500000000008</v>
      </c>
      <c r="I3064">
        <f t="shared" si="336"/>
        <v>18</v>
      </c>
      <c r="J3064">
        <v>1</v>
      </c>
      <c r="K3064">
        <f t="shared" si="337"/>
        <v>11</v>
      </c>
      <c r="L3064">
        <f t="shared" si="338"/>
        <v>2013</v>
      </c>
      <c r="N3064" s="17">
        <f t="shared" si="341"/>
        <v>41579</v>
      </c>
      <c r="S3064">
        <f t="shared" si="342"/>
        <v>0</v>
      </c>
    </row>
    <row r="3065" spans="1:19" x14ac:dyDescent="0.3">
      <c r="A3065" s="17">
        <v>41593</v>
      </c>
      <c r="B3065">
        <v>599.70000000000005</v>
      </c>
      <c r="C3065">
        <v>106.59</v>
      </c>
      <c r="D3065">
        <f t="shared" si="339"/>
        <v>493.11</v>
      </c>
      <c r="E3065">
        <v>3.54</v>
      </c>
      <c r="F3065">
        <f t="shared" si="340"/>
        <v>-489.57</v>
      </c>
      <c r="I3065">
        <f t="shared" si="336"/>
        <v>15</v>
      </c>
      <c r="J3065">
        <v>1</v>
      </c>
      <c r="K3065">
        <f t="shared" si="337"/>
        <v>11</v>
      </c>
      <c r="L3065">
        <f t="shared" si="338"/>
        <v>2013</v>
      </c>
      <c r="N3065" s="17">
        <f t="shared" si="341"/>
        <v>41579</v>
      </c>
      <c r="S3065">
        <f t="shared" si="342"/>
        <v>0</v>
      </c>
    </row>
    <row r="3066" spans="1:19" x14ac:dyDescent="0.3">
      <c r="A3066" s="17">
        <v>41592</v>
      </c>
      <c r="B3066">
        <v>594.77</v>
      </c>
      <c r="C3066">
        <v>105.64</v>
      </c>
      <c r="D3066">
        <f t="shared" si="339"/>
        <v>489.13</v>
      </c>
      <c r="E3066">
        <v>3.49</v>
      </c>
      <c r="F3066">
        <f t="shared" si="340"/>
        <v>-485.64</v>
      </c>
      <c r="I3066">
        <f t="shared" si="336"/>
        <v>14</v>
      </c>
      <c r="J3066">
        <v>1</v>
      </c>
      <c r="K3066">
        <f t="shared" si="337"/>
        <v>11</v>
      </c>
      <c r="L3066">
        <f t="shared" si="338"/>
        <v>2013</v>
      </c>
      <c r="N3066" s="17">
        <f t="shared" si="341"/>
        <v>41579</v>
      </c>
      <c r="S3066">
        <f t="shared" si="342"/>
        <v>0</v>
      </c>
    </row>
    <row r="3067" spans="1:19" x14ac:dyDescent="0.3">
      <c r="A3067" s="17">
        <v>41591</v>
      </c>
      <c r="B3067">
        <v>592.27</v>
      </c>
      <c r="C3067">
        <v>104.2</v>
      </c>
      <c r="D3067">
        <f t="shared" si="339"/>
        <v>488.07</v>
      </c>
      <c r="E3067">
        <v>3.56</v>
      </c>
      <c r="F3067">
        <f t="shared" si="340"/>
        <v>-484.51</v>
      </c>
      <c r="I3067">
        <f t="shared" si="336"/>
        <v>13</v>
      </c>
      <c r="J3067">
        <v>1</v>
      </c>
      <c r="K3067">
        <f t="shared" si="337"/>
        <v>11</v>
      </c>
      <c r="L3067">
        <f t="shared" si="338"/>
        <v>2013</v>
      </c>
      <c r="N3067" s="17">
        <f t="shared" si="341"/>
        <v>41579</v>
      </c>
      <c r="S3067">
        <f t="shared" si="342"/>
        <v>0</v>
      </c>
    </row>
    <row r="3068" spans="1:19" x14ac:dyDescent="0.3">
      <c r="A3068" s="17">
        <v>41590</v>
      </c>
      <c r="B3068">
        <v>597.64</v>
      </c>
      <c r="C3068">
        <v>104.4</v>
      </c>
      <c r="D3068">
        <f t="shared" si="339"/>
        <v>493.24</v>
      </c>
      <c r="E3068">
        <v>3.68</v>
      </c>
      <c r="F3068">
        <f t="shared" si="340"/>
        <v>-489.56</v>
      </c>
      <c r="I3068">
        <f t="shared" si="336"/>
        <v>12</v>
      </c>
      <c r="J3068">
        <v>1</v>
      </c>
      <c r="K3068">
        <f t="shared" si="337"/>
        <v>11</v>
      </c>
      <c r="L3068">
        <f t="shared" si="338"/>
        <v>2013</v>
      </c>
      <c r="N3068" s="17">
        <f t="shared" si="341"/>
        <v>41579</v>
      </c>
      <c r="S3068">
        <f t="shared" si="342"/>
        <v>0</v>
      </c>
    </row>
    <row r="3069" spans="1:19" x14ac:dyDescent="0.3">
      <c r="A3069" s="17">
        <v>41589</v>
      </c>
      <c r="B3069">
        <v>598.48</v>
      </c>
      <c r="C3069">
        <v>103.55</v>
      </c>
      <c r="D3069">
        <f t="shared" si="339"/>
        <v>494.93</v>
      </c>
      <c r="E3069">
        <v>3.46</v>
      </c>
      <c r="F3069">
        <f t="shared" si="340"/>
        <v>-491.47</v>
      </c>
      <c r="I3069">
        <f t="shared" si="336"/>
        <v>11</v>
      </c>
      <c r="J3069">
        <v>1</v>
      </c>
      <c r="K3069">
        <f t="shared" si="337"/>
        <v>11</v>
      </c>
      <c r="L3069">
        <f t="shared" si="338"/>
        <v>2013</v>
      </c>
      <c r="N3069" s="17">
        <f t="shared" si="341"/>
        <v>41579</v>
      </c>
      <c r="S3069">
        <f t="shared" si="342"/>
        <v>0</v>
      </c>
    </row>
    <row r="3070" spans="1:19" x14ac:dyDescent="0.3">
      <c r="A3070" s="17">
        <v>41586</v>
      </c>
      <c r="B3070">
        <v>592.35</v>
      </c>
      <c r="C3070">
        <v>102.4</v>
      </c>
      <c r="D3070">
        <f t="shared" si="339"/>
        <v>489.95000000000005</v>
      </c>
      <c r="E3070">
        <v>3.5</v>
      </c>
      <c r="F3070">
        <f t="shared" si="340"/>
        <v>-486.45000000000005</v>
      </c>
      <c r="I3070">
        <f t="shared" si="336"/>
        <v>8</v>
      </c>
      <c r="J3070">
        <v>1</v>
      </c>
      <c r="K3070">
        <f t="shared" si="337"/>
        <v>11</v>
      </c>
      <c r="L3070">
        <f t="shared" si="338"/>
        <v>2013</v>
      </c>
      <c r="N3070" s="17">
        <f t="shared" si="341"/>
        <v>41579</v>
      </c>
      <c r="S3070">
        <f t="shared" si="342"/>
        <v>0</v>
      </c>
    </row>
    <row r="3071" spans="1:19" x14ac:dyDescent="0.3">
      <c r="A3071" s="17">
        <v>41585</v>
      </c>
      <c r="B3071">
        <v>594.66</v>
      </c>
      <c r="C3071">
        <v>103.7</v>
      </c>
      <c r="D3071">
        <f t="shared" si="339"/>
        <v>490.96</v>
      </c>
      <c r="E3071">
        <v>3.32</v>
      </c>
      <c r="F3071">
        <f t="shared" si="340"/>
        <v>-487.64</v>
      </c>
      <c r="I3071">
        <f t="shared" si="336"/>
        <v>7</v>
      </c>
      <c r="J3071">
        <v>1</v>
      </c>
      <c r="K3071">
        <f t="shared" si="337"/>
        <v>11</v>
      </c>
      <c r="L3071">
        <f t="shared" si="338"/>
        <v>2013</v>
      </c>
      <c r="N3071" s="17">
        <f t="shared" si="341"/>
        <v>41579</v>
      </c>
      <c r="S3071">
        <f t="shared" si="342"/>
        <v>0</v>
      </c>
    </row>
    <row r="3072" spans="1:19" x14ac:dyDescent="0.3">
      <c r="A3072" s="17">
        <v>41584</v>
      </c>
      <c r="B3072">
        <v>600.42999999999995</v>
      </c>
      <c r="C3072">
        <v>104.6</v>
      </c>
      <c r="D3072">
        <f t="shared" si="339"/>
        <v>495.82999999999993</v>
      </c>
      <c r="E3072">
        <v>3.16</v>
      </c>
      <c r="F3072">
        <f t="shared" si="340"/>
        <v>-492.6699999999999</v>
      </c>
      <c r="I3072">
        <f t="shared" si="336"/>
        <v>6</v>
      </c>
      <c r="J3072">
        <v>1</v>
      </c>
      <c r="K3072">
        <f t="shared" si="337"/>
        <v>11</v>
      </c>
      <c r="L3072">
        <f t="shared" si="338"/>
        <v>2013</v>
      </c>
      <c r="N3072" s="17">
        <f t="shared" si="341"/>
        <v>41579</v>
      </c>
      <c r="S3072">
        <f t="shared" si="342"/>
        <v>0</v>
      </c>
    </row>
    <row r="3073" spans="1:19" x14ac:dyDescent="0.3">
      <c r="A3073" s="17">
        <v>41583</v>
      </c>
      <c r="B3073">
        <v>599.97</v>
      </c>
      <c r="C3073">
        <v>104.9</v>
      </c>
      <c r="D3073">
        <f t="shared" si="339"/>
        <v>495.07000000000005</v>
      </c>
      <c r="E3073">
        <v>3.22</v>
      </c>
      <c r="F3073">
        <f t="shared" si="340"/>
        <v>-491.85</v>
      </c>
      <c r="I3073">
        <f t="shared" si="336"/>
        <v>5</v>
      </c>
      <c r="J3073">
        <v>1</v>
      </c>
      <c r="K3073">
        <f t="shared" si="337"/>
        <v>11</v>
      </c>
      <c r="L3073">
        <f t="shared" si="338"/>
        <v>2013</v>
      </c>
      <c r="N3073" s="17">
        <f t="shared" si="341"/>
        <v>41579</v>
      </c>
      <c r="S3073">
        <f t="shared" si="342"/>
        <v>0</v>
      </c>
    </row>
    <row r="3074" spans="1:19" x14ac:dyDescent="0.3">
      <c r="A3074" s="17">
        <v>41582</v>
      </c>
      <c r="B3074">
        <v>601.61</v>
      </c>
      <c r="C3074">
        <v>105.35</v>
      </c>
      <c r="D3074">
        <f t="shared" si="339"/>
        <v>496.26</v>
      </c>
      <c r="E3074">
        <v>3.21</v>
      </c>
      <c r="F3074">
        <f t="shared" si="340"/>
        <v>-493.05</v>
      </c>
      <c r="I3074">
        <f t="shared" si="336"/>
        <v>4</v>
      </c>
      <c r="J3074">
        <v>1</v>
      </c>
      <c r="K3074">
        <f t="shared" si="337"/>
        <v>11</v>
      </c>
      <c r="L3074">
        <f t="shared" si="338"/>
        <v>2013</v>
      </c>
      <c r="N3074" s="17">
        <f t="shared" si="341"/>
        <v>41579</v>
      </c>
      <c r="S3074">
        <f t="shared" si="342"/>
        <v>1</v>
      </c>
    </row>
    <row r="3075" spans="1:19" x14ac:dyDescent="0.3">
      <c r="A3075" s="17">
        <v>41579</v>
      </c>
      <c r="B3075">
        <v>610.64</v>
      </c>
      <c r="C3075">
        <v>107.19</v>
      </c>
      <c r="D3075">
        <f t="shared" si="339"/>
        <v>503.45</v>
      </c>
      <c r="E3075">
        <v>3.14</v>
      </c>
      <c r="F3075">
        <f t="shared" si="340"/>
        <v>-500.31</v>
      </c>
      <c r="I3075">
        <f t="shared" si="336"/>
        <v>1</v>
      </c>
      <c r="J3075">
        <v>1</v>
      </c>
      <c r="K3075">
        <f t="shared" si="337"/>
        <v>11</v>
      </c>
      <c r="L3075">
        <f t="shared" si="338"/>
        <v>2013</v>
      </c>
      <c r="N3075" s="17">
        <f t="shared" si="341"/>
        <v>41579</v>
      </c>
      <c r="S3075">
        <f t="shared" si="342"/>
        <v>1</v>
      </c>
    </row>
    <row r="3076" spans="1:19" x14ac:dyDescent="0.3">
      <c r="A3076" s="17">
        <v>41578</v>
      </c>
      <c r="B3076">
        <v>612.83000000000004</v>
      </c>
      <c r="C3076">
        <v>107.91</v>
      </c>
      <c r="D3076">
        <f t="shared" si="339"/>
        <v>504.92000000000007</v>
      </c>
      <c r="E3076">
        <v>2.86</v>
      </c>
      <c r="F3076">
        <f t="shared" si="340"/>
        <v>-502.06000000000006</v>
      </c>
      <c r="I3076">
        <f t="shared" si="336"/>
        <v>31</v>
      </c>
      <c r="J3076">
        <v>1</v>
      </c>
      <c r="K3076">
        <f t="shared" si="337"/>
        <v>10</v>
      </c>
      <c r="L3076">
        <f t="shared" si="338"/>
        <v>2013</v>
      </c>
      <c r="N3076" s="17">
        <f t="shared" si="341"/>
        <v>41548</v>
      </c>
      <c r="S3076">
        <f t="shared" si="342"/>
        <v>0</v>
      </c>
    </row>
    <row r="3077" spans="1:19" x14ac:dyDescent="0.3">
      <c r="A3077" s="17">
        <v>41577</v>
      </c>
      <c r="B3077">
        <v>610.51</v>
      </c>
      <c r="C3077">
        <v>106.91</v>
      </c>
      <c r="D3077">
        <f t="shared" si="339"/>
        <v>503.6</v>
      </c>
      <c r="E3077">
        <v>2.81</v>
      </c>
      <c r="F3077">
        <f t="shared" si="340"/>
        <v>-500.79</v>
      </c>
      <c r="I3077">
        <f t="shared" ref="I3077:I3140" si="343">+DAY(A3077)</f>
        <v>30</v>
      </c>
      <c r="J3077">
        <v>1</v>
      </c>
      <c r="K3077">
        <f t="shared" ref="K3077:K3140" si="344">+MONTH(A3077)</f>
        <v>10</v>
      </c>
      <c r="L3077">
        <f t="shared" ref="L3077:L3140" si="345">+YEAR(A3077)</f>
        <v>2013</v>
      </c>
      <c r="N3077" s="17">
        <f t="shared" si="341"/>
        <v>41548</v>
      </c>
      <c r="S3077">
        <f t="shared" si="342"/>
        <v>0</v>
      </c>
    </row>
    <row r="3078" spans="1:19" x14ac:dyDescent="0.3">
      <c r="A3078" s="17">
        <v>41576</v>
      </c>
      <c r="B3078">
        <v>610.09</v>
      </c>
      <c r="C3078">
        <v>106.89</v>
      </c>
      <c r="D3078">
        <f t="shared" ref="D3078:D3141" si="346">+B3078-C3078</f>
        <v>503.20000000000005</v>
      </c>
      <c r="E3078">
        <v>2.9</v>
      </c>
      <c r="F3078">
        <f t="shared" ref="F3078:F3141" si="347">+E3078-D3078</f>
        <v>-500.30000000000007</v>
      </c>
      <c r="I3078">
        <f t="shared" si="343"/>
        <v>29</v>
      </c>
      <c r="J3078">
        <v>1</v>
      </c>
      <c r="K3078">
        <f t="shared" si="344"/>
        <v>10</v>
      </c>
      <c r="L3078">
        <f t="shared" si="345"/>
        <v>2013</v>
      </c>
      <c r="N3078" s="17">
        <f t="shared" ref="N3078:N3141" si="348">+DATE(L3078,K3078,J3078)</f>
        <v>41548</v>
      </c>
      <c r="S3078">
        <f t="shared" ref="S3078:S3141" si="349">IF(AND(I3078&gt;=1, I3078&lt;=4), 1, 0)</f>
        <v>0</v>
      </c>
    </row>
    <row r="3079" spans="1:19" x14ac:dyDescent="0.3">
      <c r="A3079" s="17">
        <v>41575</v>
      </c>
      <c r="B3079">
        <v>605.47</v>
      </c>
      <c r="C3079">
        <v>105.8</v>
      </c>
      <c r="D3079">
        <f t="shared" si="346"/>
        <v>499.67</v>
      </c>
      <c r="E3079">
        <v>2.79</v>
      </c>
      <c r="F3079">
        <f t="shared" si="347"/>
        <v>-496.88</v>
      </c>
      <c r="I3079">
        <f t="shared" si="343"/>
        <v>28</v>
      </c>
      <c r="J3079">
        <v>1</v>
      </c>
      <c r="K3079">
        <f t="shared" si="344"/>
        <v>10</v>
      </c>
      <c r="L3079">
        <f t="shared" si="345"/>
        <v>2013</v>
      </c>
      <c r="N3079" s="17">
        <f t="shared" si="348"/>
        <v>41548</v>
      </c>
      <c r="S3079">
        <f t="shared" si="349"/>
        <v>0</v>
      </c>
    </row>
    <row r="3080" spans="1:19" x14ac:dyDescent="0.3">
      <c r="A3080" s="17">
        <v>41572</v>
      </c>
      <c r="B3080">
        <v>602.48</v>
      </c>
      <c r="C3080">
        <v>105.59</v>
      </c>
      <c r="D3080">
        <f t="shared" si="346"/>
        <v>496.89</v>
      </c>
      <c r="E3080">
        <v>2.74</v>
      </c>
      <c r="F3080">
        <f t="shared" si="347"/>
        <v>-494.15</v>
      </c>
      <c r="I3080">
        <f t="shared" si="343"/>
        <v>25</v>
      </c>
      <c r="J3080">
        <v>1</v>
      </c>
      <c r="K3080">
        <f t="shared" si="344"/>
        <v>10</v>
      </c>
      <c r="L3080">
        <f t="shared" si="345"/>
        <v>2013</v>
      </c>
      <c r="N3080" s="17">
        <f t="shared" si="348"/>
        <v>41548</v>
      </c>
      <c r="S3080">
        <f t="shared" si="349"/>
        <v>0</v>
      </c>
    </row>
    <row r="3081" spans="1:19" x14ac:dyDescent="0.3">
      <c r="A3081" s="17">
        <v>41571</v>
      </c>
      <c r="B3081">
        <v>608.57000000000005</v>
      </c>
      <c r="C3081">
        <v>106.5</v>
      </c>
      <c r="D3081">
        <f t="shared" si="346"/>
        <v>502.07000000000005</v>
      </c>
      <c r="E3081">
        <v>2.72</v>
      </c>
      <c r="F3081">
        <f t="shared" si="347"/>
        <v>-499.35</v>
      </c>
      <c r="I3081">
        <f t="shared" si="343"/>
        <v>24</v>
      </c>
      <c r="J3081">
        <v>1</v>
      </c>
      <c r="K3081">
        <f t="shared" si="344"/>
        <v>10</v>
      </c>
      <c r="L3081">
        <f t="shared" si="345"/>
        <v>2013</v>
      </c>
      <c r="N3081" s="17">
        <f t="shared" si="348"/>
        <v>41548</v>
      </c>
      <c r="S3081">
        <f t="shared" si="349"/>
        <v>0</v>
      </c>
    </row>
    <row r="3082" spans="1:19" x14ac:dyDescent="0.3">
      <c r="A3082" s="17">
        <v>41570</v>
      </c>
      <c r="B3082">
        <v>609.07000000000005</v>
      </c>
      <c r="C3082">
        <v>107.3</v>
      </c>
      <c r="D3082">
        <f t="shared" si="346"/>
        <v>501.77000000000004</v>
      </c>
      <c r="E3082">
        <v>2.67</v>
      </c>
      <c r="F3082">
        <f t="shared" si="347"/>
        <v>-499.1</v>
      </c>
      <c r="I3082">
        <f t="shared" si="343"/>
        <v>23</v>
      </c>
      <c r="J3082">
        <v>1</v>
      </c>
      <c r="K3082">
        <f t="shared" si="344"/>
        <v>10</v>
      </c>
      <c r="L3082">
        <f t="shared" si="345"/>
        <v>2013</v>
      </c>
      <c r="N3082" s="17">
        <f t="shared" si="348"/>
        <v>41548</v>
      </c>
      <c r="S3082">
        <f t="shared" si="349"/>
        <v>0</v>
      </c>
    </row>
    <row r="3083" spans="1:19" x14ac:dyDescent="0.3">
      <c r="A3083" s="17">
        <v>41569</v>
      </c>
      <c r="B3083">
        <v>613.41</v>
      </c>
      <c r="C3083">
        <v>107.5</v>
      </c>
      <c r="D3083">
        <f t="shared" si="346"/>
        <v>505.90999999999997</v>
      </c>
      <c r="E3083">
        <v>2.67</v>
      </c>
      <c r="F3083">
        <f t="shared" si="347"/>
        <v>-503.23999999999995</v>
      </c>
      <c r="I3083">
        <f t="shared" si="343"/>
        <v>22</v>
      </c>
      <c r="J3083">
        <v>1</v>
      </c>
      <c r="K3083">
        <f t="shared" si="344"/>
        <v>10</v>
      </c>
      <c r="L3083">
        <f t="shared" si="345"/>
        <v>2013</v>
      </c>
      <c r="N3083" s="17">
        <f t="shared" si="348"/>
        <v>41548</v>
      </c>
      <c r="S3083">
        <f t="shared" si="349"/>
        <v>0</v>
      </c>
    </row>
    <row r="3084" spans="1:19" x14ac:dyDescent="0.3">
      <c r="A3084" s="17">
        <v>41568</v>
      </c>
      <c r="B3084">
        <v>615.78</v>
      </c>
      <c r="C3084">
        <v>107.3</v>
      </c>
      <c r="D3084">
        <f t="shared" si="346"/>
        <v>508.47999999999996</v>
      </c>
      <c r="E3084">
        <v>2.67</v>
      </c>
      <c r="F3084">
        <f t="shared" si="347"/>
        <v>-505.80999999999995</v>
      </c>
      <c r="I3084">
        <f t="shared" si="343"/>
        <v>21</v>
      </c>
      <c r="J3084">
        <v>1</v>
      </c>
      <c r="K3084">
        <f t="shared" si="344"/>
        <v>10</v>
      </c>
      <c r="L3084">
        <f t="shared" si="345"/>
        <v>2013</v>
      </c>
      <c r="N3084" s="17">
        <f t="shared" si="348"/>
        <v>41548</v>
      </c>
      <c r="S3084">
        <f t="shared" si="349"/>
        <v>0</v>
      </c>
    </row>
    <row r="3085" spans="1:19" x14ac:dyDescent="0.3">
      <c r="A3085" s="17">
        <v>41565</v>
      </c>
      <c r="B3085">
        <v>613.53</v>
      </c>
      <c r="C3085">
        <v>106.7</v>
      </c>
      <c r="D3085">
        <f t="shared" si="346"/>
        <v>506.83</v>
      </c>
      <c r="E3085">
        <v>2.65</v>
      </c>
      <c r="F3085">
        <f t="shared" si="347"/>
        <v>-504.18</v>
      </c>
      <c r="I3085">
        <f t="shared" si="343"/>
        <v>18</v>
      </c>
      <c r="J3085">
        <v>1</v>
      </c>
      <c r="K3085">
        <f t="shared" si="344"/>
        <v>10</v>
      </c>
      <c r="L3085">
        <f t="shared" si="345"/>
        <v>2013</v>
      </c>
      <c r="N3085" s="17">
        <f t="shared" si="348"/>
        <v>41548</v>
      </c>
      <c r="S3085">
        <f t="shared" si="349"/>
        <v>0</v>
      </c>
    </row>
    <row r="3086" spans="1:19" x14ac:dyDescent="0.3">
      <c r="A3086" s="17">
        <v>41564</v>
      </c>
      <c r="B3086">
        <v>616.24</v>
      </c>
      <c r="C3086">
        <v>107.55</v>
      </c>
      <c r="D3086">
        <f t="shared" si="346"/>
        <v>508.69</v>
      </c>
      <c r="E3086">
        <v>2.69</v>
      </c>
      <c r="F3086">
        <f t="shared" si="347"/>
        <v>-506</v>
      </c>
      <c r="I3086">
        <f t="shared" si="343"/>
        <v>17</v>
      </c>
      <c r="J3086">
        <v>1</v>
      </c>
      <c r="K3086">
        <f t="shared" si="344"/>
        <v>10</v>
      </c>
      <c r="L3086">
        <f t="shared" si="345"/>
        <v>2013</v>
      </c>
      <c r="N3086" s="17">
        <f t="shared" si="348"/>
        <v>41548</v>
      </c>
      <c r="S3086">
        <f t="shared" si="349"/>
        <v>0</v>
      </c>
    </row>
    <row r="3087" spans="1:19" x14ac:dyDescent="0.3">
      <c r="A3087" s="17">
        <v>41563</v>
      </c>
      <c r="B3087">
        <v>611.58000000000004</v>
      </c>
      <c r="C3087">
        <v>107</v>
      </c>
      <c r="D3087">
        <f t="shared" si="346"/>
        <v>504.58000000000004</v>
      </c>
      <c r="E3087">
        <v>2.64</v>
      </c>
      <c r="F3087">
        <f t="shared" si="347"/>
        <v>-501.94000000000005</v>
      </c>
      <c r="I3087">
        <f t="shared" si="343"/>
        <v>16</v>
      </c>
      <c r="J3087">
        <v>1</v>
      </c>
      <c r="K3087">
        <f t="shared" si="344"/>
        <v>10</v>
      </c>
      <c r="L3087">
        <f t="shared" si="345"/>
        <v>2013</v>
      </c>
      <c r="N3087" s="17">
        <f t="shared" si="348"/>
        <v>41548</v>
      </c>
      <c r="S3087">
        <f t="shared" si="349"/>
        <v>0</v>
      </c>
    </row>
    <row r="3088" spans="1:19" x14ac:dyDescent="0.3">
      <c r="A3088" s="17">
        <v>41561</v>
      </c>
      <c r="B3088">
        <v>617.6</v>
      </c>
      <c r="C3088">
        <v>108.08</v>
      </c>
      <c r="D3088">
        <f t="shared" si="346"/>
        <v>509.52000000000004</v>
      </c>
      <c r="E3088">
        <v>2.75</v>
      </c>
      <c r="F3088">
        <f t="shared" si="347"/>
        <v>-506.77000000000004</v>
      </c>
      <c r="I3088">
        <f t="shared" si="343"/>
        <v>14</v>
      </c>
      <c r="J3088">
        <v>1</v>
      </c>
      <c r="K3088">
        <f t="shared" si="344"/>
        <v>10</v>
      </c>
      <c r="L3088">
        <f t="shared" si="345"/>
        <v>2013</v>
      </c>
      <c r="N3088" s="17">
        <f t="shared" si="348"/>
        <v>41548</v>
      </c>
      <c r="S3088">
        <f t="shared" si="349"/>
        <v>0</v>
      </c>
    </row>
    <row r="3089" spans="1:19" x14ac:dyDescent="0.3">
      <c r="A3089" s="17">
        <v>41558</v>
      </c>
      <c r="B3089">
        <v>619.29999999999995</v>
      </c>
      <c r="C3089">
        <v>108.13</v>
      </c>
      <c r="D3089">
        <f t="shared" si="346"/>
        <v>511.16999999999996</v>
      </c>
      <c r="E3089">
        <v>2.71</v>
      </c>
      <c r="F3089">
        <f t="shared" si="347"/>
        <v>-508.46</v>
      </c>
      <c r="I3089">
        <f t="shared" si="343"/>
        <v>11</v>
      </c>
      <c r="J3089">
        <v>1</v>
      </c>
      <c r="K3089">
        <f t="shared" si="344"/>
        <v>10</v>
      </c>
      <c r="L3089">
        <f t="shared" si="345"/>
        <v>2013</v>
      </c>
      <c r="N3089" s="17">
        <f t="shared" si="348"/>
        <v>41548</v>
      </c>
      <c r="S3089">
        <f t="shared" si="349"/>
        <v>0</v>
      </c>
    </row>
    <row r="3090" spans="1:19" x14ac:dyDescent="0.3">
      <c r="A3090" s="17">
        <v>41557</v>
      </c>
      <c r="B3090">
        <v>612.52</v>
      </c>
      <c r="C3090">
        <v>106.9</v>
      </c>
      <c r="D3090">
        <f t="shared" si="346"/>
        <v>505.62</v>
      </c>
      <c r="E3090">
        <v>2.88</v>
      </c>
      <c r="F3090">
        <f t="shared" si="347"/>
        <v>-502.74</v>
      </c>
      <c r="I3090">
        <f t="shared" si="343"/>
        <v>10</v>
      </c>
      <c r="J3090">
        <v>1</v>
      </c>
      <c r="K3090">
        <f t="shared" si="344"/>
        <v>10</v>
      </c>
      <c r="L3090">
        <f t="shared" si="345"/>
        <v>2013</v>
      </c>
      <c r="N3090" s="17">
        <f t="shared" si="348"/>
        <v>41548</v>
      </c>
      <c r="S3090">
        <f t="shared" si="349"/>
        <v>0</v>
      </c>
    </row>
    <row r="3091" spans="1:19" x14ac:dyDescent="0.3">
      <c r="A3091" s="17">
        <v>41556</v>
      </c>
      <c r="B3091">
        <v>610.45000000000005</v>
      </c>
      <c r="C3091">
        <v>106.81</v>
      </c>
      <c r="D3091">
        <f t="shared" si="346"/>
        <v>503.64000000000004</v>
      </c>
      <c r="E3091">
        <v>2.77</v>
      </c>
      <c r="F3091">
        <f t="shared" si="347"/>
        <v>-500.87000000000006</v>
      </c>
      <c r="I3091">
        <f t="shared" si="343"/>
        <v>9</v>
      </c>
      <c r="J3091">
        <v>1</v>
      </c>
      <c r="K3091">
        <f t="shared" si="344"/>
        <v>10</v>
      </c>
      <c r="L3091">
        <f t="shared" si="345"/>
        <v>2013</v>
      </c>
      <c r="N3091" s="17">
        <f t="shared" si="348"/>
        <v>41548</v>
      </c>
      <c r="S3091">
        <f t="shared" si="349"/>
        <v>0</v>
      </c>
    </row>
    <row r="3092" spans="1:19" x14ac:dyDescent="0.3">
      <c r="A3092" s="17">
        <v>41555</v>
      </c>
      <c r="B3092">
        <v>602.44000000000005</v>
      </c>
      <c r="C3092">
        <v>106.4</v>
      </c>
      <c r="D3092">
        <f t="shared" si="346"/>
        <v>496.04000000000008</v>
      </c>
      <c r="E3092">
        <v>3.04</v>
      </c>
      <c r="F3092">
        <f t="shared" si="347"/>
        <v>-493.00000000000006</v>
      </c>
      <c r="I3092">
        <f t="shared" si="343"/>
        <v>8</v>
      </c>
      <c r="J3092">
        <v>1</v>
      </c>
      <c r="K3092">
        <f t="shared" si="344"/>
        <v>10</v>
      </c>
      <c r="L3092">
        <f t="shared" si="345"/>
        <v>2013</v>
      </c>
      <c r="N3092" s="17">
        <f t="shared" si="348"/>
        <v>41548</v>
      </c>
      <c r="S3092">
        <f t="shared" si="349"/>
        <v>0</v>
      </c>
    </row>
    <row r="3093" spans="1:19" x14ac:dyDescent="0.3">
      <c r="A3093" s="17">
        <v>41554</v>
      </c>
      <c r="B3093">
        <v>610.30999999999995</v>
      </c>
      <c r="C3093">
        <v>105.3</v>
      </c>
      <c r="D3093">
        <f t="shared" si="346"/>
        <v>505.00999999999993</v>
      </c>
      <c r="E3093">
        <v>2.97</v>
      </c>
      <c r="F3093">
        <f t="shared" si="347"/>
        <v>-502.03999999999991</v>
      </c>
      <c r="I3093">
        <f t="shared" si="343"/>
        <v>7</v>
      </c>
      <c r="J3093">
        <v>1</v>
      </c>
      <c r="K3093">
        <f t="shared" si="344"/>
        <v>10</v>
      </c>
      <c r="L3093">
        <f t="shared" si="345"/>
        <v>2013</v>
      </c>
      <c r="N3093" s="17">
        <f t="shared" si="348"/>
        <v>41548</v>
      </c>
      <c r="S3093">
        <f t="shared" si="349"/>
        <v>0</v>
      </c>
    </row>
    <row r="3094" spans="1:19" x14ac:dyDescent="0.3">
      <c r="A3094" s="17">
        <v>41551</v>
      </c>
      <c r="B3094">
        <v>618.73</v>
      </c>
      <c r="C3094">
        <v>106.16</v>
      </c>
      <c r="D3094">
        <f t="shared" si="346"/>
        <v>512.57000000000005</v>
      </c>
      <c r="E3094">
        <v>3.21</v>
      </c>
      <c r="F3094">
        <f t="shared" si="347"/>
        <v>-509.36000000000007</v>
      </c>
      <c r="I3094">
        <f t="shared" si="343"/>
        <v>4</v>
      </c>
      <c r="J3094">
        <v>1</v>
      </c>
      <c r="K3094">
        <f t="shared" si="344"/>
        <v>10</v>
      </c>
      <c r="L3094">
        <f t="shared" si="345"/>
        <v>2013</v>
      </c>
      <c r="N3094" s="17">
        <f t="shared" si="348"/>
        <v>41548</v>
      </c>
      <c r="S3094">
        <f t="shared" si="349"/>
        <v>1</v>
      </c>
    </row>
    <row r="3095" spans="1:19" x14ac:dyDescent="0.3">
      <c r="A3095" s="17">
        <v>41550</v>
      </c>
      <c r="B3095">
        <v>624.45000000000005</v>
      </c>
      <c r="C3095">
        <v>106.01</v>
      </c>
      <c r="D3095">
        <f t="shared" si="346"/>
        <v>518.44000000000005</v>
      </c>
      <c r="E3095">
        <v>3.27</v>
      </c>
      <c r="F3095">
        <f t="shared" si="347"/>
        <v>-515.17000000000007</v>
      </c>
      <c r="I3095">
        <f t="shared" si="343"/>
        <v>3</v>
      </c>
      <c r="J3095">
        <v>1</v>
      </c>
      <c r="K3095">
        <f t="shared" si="344"/>
        <v>10</v>
      </c>
      <c r="L3095">
        <f t="shared" si="345"/>
        <v>2013</v>
      </c>
      <c r="N3095" s="17">
        <f t="shared" si="348"/>
        <v>41548</v>
      </c>
      <c r="S3095">
        <f t="shared" si="349"/>
        <v>1</v>
      </c>
    </row>
    <row r="3096" spans="1:19" x14ac:dyDescent="0.3">
      <c r="A3096" s="17">
        <v>41549</v>
      </c>
      <c r="B3096">
        <v>613.9</v>
      </c>
      <c r="C3096">
        <v>104.71</v>
      </c>
      <c r="D3096">
        <f t="shared" si="346"/>
        <v>509.19</v>
      </c>
      <c r="E3096">
        <v>3.12</v>
      </c>
      <c r="F3096">
        <f t="shared" si="347"/>
        <v>-506.07</v>
      </c>
      <c r="I3096">
        <f t="shared" si="343"/>
        <v>2</v>
      </c>
      <c r="J3096">
        <v>1</v>
      </c>
      <c r="K3096">
        <f t="shared" si="344"/>
        <v>10</v>
      </c>
      <c r="L3096">
        <f t="shared" si="345"/>
        <v>2013</v>
      </c>
      <c r="N3096" s="17">
        <f t="shared" si="348"/>
        <v>41548</v>
      </c>
      <c r="S3096">
        <f t="shared" si="349"/>
        <v>1</v>
      </c>
    </row>
    <row r="3097" spans="1:19" x14ac:dyDescent="0.3">
      <c r="A3097" s="17">
        <v>41548</v>
      </c>
      <c r="B3097">
        <v>613.27</v>
      </c>
      <c r="C3097">
        <v>104.55</v>
      </c>
      <c r="D3097">
        <f t="shared" si="346"/>
        <v>508.71999999999997</v>
      </c>
      <c r="E3097">
        <v>3.09</v>
      </c>
      <c r="F3097">
        <f t="shared" si="347"/>
        <v>-505.63</v>
      </c>
      <c r="I3097">
        <f t="shared" si="343"/>
        <v>1</v>
      </c>
      <c r="J3097">
        <v>1</v>
      </c>
      <c r="K3097">
        <f t="shared" si="344"/>
        <v>10</v>
      </c>
      <c r="L3097">
        <f t="shared" si="345"/>
        <v>2013</v>
      </c>
      <c r="N3097" s="17">
        <f t="shared" si="348"/>
        <v>41548</v>
      </c>
      <c r="S3097">
        <f t="shared" si="349"/>
        <v>1</v>
      </c>
    </row>
    <row r="3098" spans="1:19" x14ac:dyDescent="0.3">
      <c r="A3098" s="17">
        <v>41547</v>
      </c>
      <c r="B3098">
        <v>611.51</v>
      </c>
      <c r="C3098">
        <v>104.8</v>
      </c>
      <c r="D3098">
        <f t="shared" si="346"/>
        <v>506.71</v>
      </c>
      <c r="E3098">
        <v>3.11</v>
      </c>
      <c r="F3098">
        <f t="shared" si="347"/>
        <v>-503.59999999999997</v>
      </c>
      <c r="I3098">
        <f t="shared" si="343"/>
        <v>30</v>
      </c>
      <c r="J3098">
        <v>1</v>
      </c>
      <c r="K3098">
        <f t="shared" si="344"/>
        <v>9</v>
      </c>
      <c r="L3098">
        <f t="shared" si="345"/>
        <v>2013</v>
      </c>
      <c r="N3098" s="17">
        <f t="shared" si="348"/>
        <v>41518</v>
      </c>
      <c r="S3098">
        <f t="shared" si="349"/>
        <v>0</v>
      </c>
    </row>
    <row r="3099" spans="1:19" x14ac:dyDescent="0.3">
      <c r="A3099" s="17">
        <v>41544</v>
      </c>
      <c r="B3099">
        <v>613.36</v>
      </c>
      <c r="C3099">
        <v>106.1</v>
      </c>
      <c r="D3099">
        <f t="shared" si="346"/>
        <v>507.26</v>
      </c>
      <c r="E3099">
        <v>3.14</v>
      </c>
      <c r="F3099">
        <f t="shared" si="347"/>
        <v>-504.12</v>
      </c>
      <c r="I3099">
        <f t="shared" si="343"/>
        <v>27</v>
      </c>
      <c r="J3099">
        <v>1</v>
      </c>
      <c r="K3099">
        <f t="shared" si="344"/>
        <v>9</v>
      </c>
      <c r="L3099">
        <f t="shared" si="345"/>
        <v>2013</v>
      </c>
      <c r="N3099" s="17">
        <f t="shared" si="348"/>
        <v>41518</v>
      </c>
      <c r="S3099">
        <f t="shared" si="349"/>
        <v>0</v>
      </c>
    </row>
    <row r="3100" spans="1:19" x14ac:dyDescent="0.3">
      <c r="A3100" s="17">
        <v>41543</v>
      </c>
      <c r="B3100">
        <v>607.99</v>
      </c>
      <c r="C3100">
        <v>106</v>
      </c>
      <c r="D3100">
        <f t="shared" si="346"/>
        <v>501.99</v>
      </c>
      <c r="E3100">
        <v>3.12</v>
      </c>
      <c r="F3100">
        <f t="shared" si="347"/>
        <v>-498.87</v>
      </c>
      <c r="I3100">
        <f t="shared" si="343"/>
        <v>26</v>
      </c>
      <c r="J3100">
        <v>1</v>
      </c>
      <c r="K3100">
        <f t="shared" si="344"/>
        <v>9</v>
      </c>
      <c r="L3100">
        <f t="shared" si="345"/>
        <v>2013</v>
      </c>
      <c r="N3100" s="17">
        <f t="shared" si="348"/>
        <v>41518</v>
      </c>
      <c r="S3100">
        <f t="shared" si="349"/>
        <v>0</v>
      </c>
    </row>
    <row r="3101" spans="1:19" x14ac:dyDescent="0.3">
      <c r="A3101" s="17">
        <v>41542</v>
      </c>
      <c r="B3101">
        <v>610.38</v>
      </c>
      <c r="C3101">
        <v>106.6</v>
      </c>
      <c r="D3101">
        <f t="shared" si="346"/>
        <v>503.78</v>
      </c>
      <c r="E3101">
        <v>3.1</v>
      </c>
      <c r="F3101">
        <f t="shared" si="347"/>
        <v>-500.67999999999995</v>
      </c>
      <c r="I3101">
        <f t="shared" si="343"/>
        <v>25</v>
      </c>
      <c r="J3101">
        <v>1</v>
      </c>
      <c r="K3101">
        <f t="shared" si="344"/>
        <v>9</v>
      </c>
      <c r="L3101">
        <f t="shared" si="345"/>
        <v>2013</v>
      </c>
      <c r="N3101" s="17">
        <f t="shared" si="348"/>
        <v>41518</v>
      </c>
      <c r="S3101">
        <f t="shared" si="349"/>
        <v>0</v>
      </c>
    </row>
    <row r="3102" spans="1:19" x14ac:dyDescent="0.3">
      <c r="A3102" s="17">
        <v>41541</v>
      </c>
      <c r="B3102">
        <v>606.08000000000004</v>
      </c>
      <c r="C3102">
        <v>105.9</v>
      </c>
      <c r="D3102">
        <f t="shared" si="346"/>
        <v>500.18000000000006</v>
      </c>
      <c r="E3102">
        <v>3.08</v>
      </c>
      <c r="F3102">
        <f t="shared" si="347"/>
        <v>-497.10000000000008</v>
      </c>
      <c r="I3102">
        <f t="shared" si="343"/>
        <v>24</v>
      </c>
      <c r="J3102">
        <v>1</v>
      </c>
      <c r="K3102">
        <f t="shared" si="344"/>
        <v>9</v>
      </c>
      <c r="L3102">
        <f t="shared" si="345"/>
        <v>2013</v>
      </c>
      <c r="N3102" s="17">
        <f t="shared" si="348"/>
        <v>41518</v>
      </c>
      <c r="S3102">
        <f t="shared" si="349"/>
        <v>0</v>
      </c>
    </row>
    <row r="3103" spans="1:19" x14ac:dyDescent="0.3">
      <c r="A3103" s="17">
        <v>41540</v>
      </c>
      <c r="B3103">
        <v>608.63</v>
      </c>
      <c r="C3103">
        <v>106.94</v>
      </c>
      <c r="D3103">
        <f t="shared" si="346"/>
        <v>501.69</v>
      </c>
      <c r="E3103">
        <v>3.02</v>
      </c>
      <c r="F3103">
        <f t="shared" si="347"/>
        <v>-498.67</v>
      </c>
      <c r="I3103">
        <f t="shared" si="343"/>
        <v>23</v>
      </c>
      <c r="J3103">
        <v>1</v>
      </c>
      <c r="K3103">
        <f t="shared" si="344"/>
        <v>9</v>
      </c>
      <c r="L3103">
        <f t="shared" si="345"/>
        <v>2013</v>
      </c>
      <c r="N3103" s="17">
        <f t="shared" si="348"/>
        <v>41518</v>
      </c>
      <c r="S3103">
        <f t="shared" si="349"/>
        <v>0</v>
      </c>
    </row>
    <row r="3104" spans="1:19" x14ac:dyDescent="0.3">
      <c r="A3104" s="17">
        <v>41537</v>
      </c>
      <c r="B3104">
        <v>609.79</v>
      </c>
      <c r="C3104">
        <v>107.5</v>
      </c>
      <c r="D3104">
        <f t="shared" si="346"/>
        <v>502.28999999999996</v>
      </c>
      <c r="E3104">
        <v>2.98</v>
      </c>
      <c r="F3104">
        <f t="shared" si="347"/>
        <v>-499.30999999999995</v>
      </c>
      <c r="I3104">
        <f t="shared" si="343"/>
        <v>20</v>
      </c>
      <c r="J3104">
        <v>1</v>
      </c>
      <c r="K3104">
        <f t="shared" si="344"/>
        <v>9</v>
      </c>
      <c r="L3104">
        <f t="shared" si="345"/>
        <v>2013</v>
      </c>
      <c r="N3104" s="17">
        <f t="shared" si="348"/>
        <v>41518</v>
      </c>
      <c r="S3104">
        <f t="shared" si="349"/>
        <v>0</v>
      </c>
    </row>
    <row r="3105" spans="1:19" x14ac:dyDescent="0.3">
      <c r="A3105" s="17">
        <v>41536</v>
      </c>
      <c r="B3105">
        <v>609.82000000000005</v>
      </c>
      <c r="C3105">
        <v>108.85</v>
      </c>
      <c r="D3105">
        <f t="shared" si="346"/>
        <v>500.97</v>
      </c>
      <c r="E3105">
        <v>2.97</v>
      </c>
      <c r="F3105">
        <f t="shared" si="347"/>
        <v>-498</v>
      </c>
      <c r="I3105">
        <f t="shared" si="343"/>
        <v>19</v>
      </c>
      <c r="J3105">
        <v>1</v>
      </c>
      <c r="K3105">
        <f t="shared" si="344"/>
        <v>9</v>
      </c>
      <c r="L3105">
        <f t="shared" si="345"/>
        <v>2013</v>
      </c>
      <c r="N3105" s="17">
        <f t="shared" si="348"/>
        <v>41518</v>
      </c>
      <c r="S3105">
        <f t="shared" si="349"/>
        <v>0</v>
      </c>
    </row>
    <row r="3106" spans="1:19" x14ac:dyDescent="0.3">
      <c r="A3106" s="17">
        <v>41535</v>
      </c>
      <c r="B3106">
        <v>596.23</v>
      </c>
      <c r="C3106">
        <v>106.7</v>
      </c>
      <c r="D3106">
        <f t="shared" si="346"/>
        <v>489.53000000000003</v>
      </c>
      <c r="E3106">
        <v>2.8</v>
      </c>
      <c r="F3106">
        <f t="shared" si="347"/>
        <v>-486.73</v>
      </c>
      <c r="I3106">
        <f t="shared" si="343"/>
        <v>18</v>
      </c>
      <c r="J3106">
        <v>1</v>
      </c>
      <c r="K3106">
        <f t="shared" si="344"/>
        <v>9</v>
      </c>
      <c r="L3106">
        <f t="shared" si="345"/>
        <v>2013</v>
      </c>
      <c r="N3106" s="17">
        <f t="shared" si="348"/>
        <v>41518</v>
      </c>
      <c r="S3106">
        <f t="shared" si="349"/>
        <v>0</v>
      </c>
    </row>
    <row r="3107" spans="1:19" x14ac:dyDescent="0.3">
      <c r="A3107" s="17">
        <v>41534</v>
      </c>
      <c r="B3107">
        <v>601.09</v>
      </c>
      <c r="C3107">
        <v>107.91</v>
      </c>
      <c r="D3107">
        <f t="shared" si="346"/>
        <v>493.18000000000006</v>
      </c>
      <c r="E3107">
        <v>2.66</v>
      </c>
      <c r="F3107">
        <f t="shared" si="347"/>
        <v>-490.52000000000004</v>
      </c>
      <c r="I3107">
        <f t="shared" si="343"/>
        <v>17</v>
      </c>
      <c r="J3107">
        <v>1</v>
      </c>
      <c r="K3107">
        <f t="shared" si="344"/>
        <v>9</v>
      </c>
      <c r="L3107">
        <f t="shared" si="345"/>
        <v>2013</v>
      </c>
      <c r="N3107" s="17">
        <f t="shared" si="348"/>
        <v>41518</v>
      </c>
      <c r="S3107">
        <f t="shared" si="349"/>
        <v>0</v>
      </c>
    </row>
    <row r="3108" spans="1:19" x14ac:dyDescent="0.3">
      <c r="A3108" s="17">
        <v>41533</v>
      </c>
      <c r="B3108">
        <v>603.05999999999995</v>
      </c>
      <c r="C3108">
        <v>109.21</v>
      </c>
      <c r="D3108">
        <f t="shared" si="346"/>
        <v>493.84999999999997</v>
      </c>
      <c r="E3108">
        <v>2.68</v>
      </c>
      <c r="F3108">
        <f t="shared" si="347"/>
        <v>-491.16999999999996</v>
      </c>
      <c r="I3108">
        <f t="shared" si="343"/>
        <v>16</v>
      </c>
      <c r="J3108">
        <v>1</v>
      </c>
      <c r="K3108">
        <f t="shared" si="344"/>
        <v>9</v>
      </c>
      <c r="L3108">
        <f t="shared" si="345"/>
        <v>2013</v>
      </c>
      <c r="N3108" s="17">
        <f t="shared" si="348"/>
        <v>41518</v>
      </c>
      <c r="S3108">
        <f t="shared" si="349"/>
        <v>0</v>
      </c>
    </row>
    <row r="3109" spans="1:19" x14ac:dyDescent="0.3">
      <c r="A3109" s="17">
        <v>41530</v>
      </c>
      <c r="B3109">
        <v>602.57000000000005</v>
      </c>
      <c r="C3109">
        <v>109.41</v>
      </c>
      <c r="D3109">
        <f t="shared" si="346"/>
        <v>493.16000000000008</v>
      </c>
      <c r="E3109">
        <v>2.59</v>
      </c>
      <c r="F3109">
        <f t="shared" si="347"/>
        <v>-490.57000000000011</v>
      </c>
      <c r="I3109">
        <f t="shared" si="343"/>
        <v>13</v>
      </c>
      <c r="J3109">
        <v>1</v>
      </c>
      <c r="K3109">
        <f t="shared" si="344"/>
        <v>9</v>
      </c>
      <c r="L3109">
        <f t="shared" si="345"/>
        <v>2013</v>
      </c>
      <c r="N3109" s="17">
        <f t="shared" si="348"/>
        <v>41518</v>
      </c>
      <c r="S3109">
        <f t="shared" si="349"/>
        <v>0</v>
      </c>
    </row>
    <row r="3110" spans="1:19" x14ac:dyDescent="0.3">
      <c r="A3110" s="17">
        <v>41529</v>
      </c>
      <c r="B3110">
        <v>598.97</v>
      </c>
      <c r="C3110">
        <v>109.21</v>
      </c>
      <c r="D3110">
        <f t="shared" si="346"/>
        <v>489.76000000000005</v>
      </c>
      <c r="E3110">
        <v>2.5099999999999998</v>
      </c>
      <c r="F3110">
        <f t="shared" si="347"/>
        <v>-487.25000000000006</v>
      </c>
      <c r="I3110">
        <f t="shared" si="343"/>
        <v>12</v>
      </c>
      <c r="J3110">
        <v>1</v>
      </c>
      <c r="K3110">
        <f t="shared" si="344"/>
        <v>9</v>
      </c>
      <c r="L3110">
        <f t="shared" si="345"/>
        <v>2013</v>
      </c>
      <c r="N3110" s="17">
        <f t="shared" si="348"/>
        <v>41518</v>
      </c>
      <c r="S3110">
        <f t="shared" si="349"/>
        <v>0</v>
      </c>
    </row>
    <row r="3111" spans="1:19" x14ac:dyDescent="0.3">
      <c r="A3111" s="17">
        <v>41528</v>
      </c>
      <c r="B3111">
        <v>595.69000000000005</v>
      </c>
      <c r="C3111">
        <v>108.85</v>
      </c>
      <c r="D3111">
        <f t="shared" si="346"/>
        <v>486.84000000000003</v>
      </c>
      <c r="E3111">
        <v>2.46</v>
      </c>
      <c r="F3111">
        <f t="shared" si="347"/>
        <v>-484.38000000000005</v>
      </c>
      <c r="I3111">
        <f t="shared" si="343"/>
        <v>11</v>
      </c>
      <c r="J3111">
        <v>1</v>
      </c>
      <c r="K3111">
        <f t="shared" si="344"/>
        <v>9</v>
      </c>
      <c r="L3111">
        <f t="shared" si="345"/>
        <v>2013</v>
      </c>
      <c r="N3111" s="17">
        <f t="shared" si="348"/>
        <v>41518</v>
      </c>
      <c r="S3111">
        <f t="shared" si="349"/>
        <v>0</v>
      </c>
    </row>
    <row r="3112" spans="1:19" x14ac:dyDescent="0.3">
      <c r="A3112" s="17">
        <v>41527</v>
      </c>
      <c r="B3112">
        <v>597.54</v>
      </c>
      <c r="C3112">
        <v>109.15</v>
      </c>
      <c r="D3112">
        <f t="shared" si="346"/>
        <v>488.39</v>
      </c>
      <c r="E3112">
        <v>2.4</v>
      </c>
      <c r="F3112">
        <f t="shared" si="347"/>
        <v>-485.99</v>
      </c>
      <c r="I3112">
        <f t="shared" si="343"/>
        <v>10</v>
      </c>
      <c r="J3112">
        <v>1</v>
      </c>
      <c r="K3112">
        <f t="shared" si="344"/>
        <v>9</v>
      </c>
      <c r="L3112">
        <f t="shared" si="345"/>
        <v>2013</v>
      </c>
      <c r="N3112" s="17">
        <f t="shared" si="348"/>
        <v>41518</v>
      </c>
      <c r="S3112">
        <f t="shared" si="349"/>
        <v>0</v>
      </c>
    </row>
    <row r="3113" spans="1:19" x14ac:dyDescent="0.3">
      <c r="A3113" s="17">
        <v>41526</v>
      </c>
      <c r="B3113">
        <v>605.25</v>
      </c>
      <c r="C3113">
        <v>110.7</v>
      </c>
      <c r="D3113">
        <f t="shared" si="346"/>
        <v>494.55</v>
      </c>
      <c r="E3113">
        <v>2.44</v>
      </c>
      <c r="F3113">
        <f t="shared" si="347"/>
        <v>-492.11</v>
      </c>
      <c r="I3113">
        <f t="shared" si="343"/>
        <v>9</v>
      </c>
      <c r="J3113">
        <v>1</v>
      </c>
      <c r="K3113">
        <f t="shared" si="344"/>
        <v>9</v>
      </c>
      <c r="L3113">
        <f t="shared" si="345"/>
        <v>2013</v>
      </c>
      <c r="N3113" s="17">
        <f t="shared" si="348"/>
        <v>41518</v>
      </c>
      <c r="S3113">
        <f t="shared" si="349"/>
        <v>0</v>
      </c>
    </row>
    <row r="3114" spans="1:19" x14ac:dyDescent="0.3">
      <c r="A3114" s="17">
        <v>41523</v>
      </c>
      <c r="B3114">
        <v>602.47</v>
      </c>
      <c r="C3114">
        <v>110.4</v>
      </c>
      <c r="D3114">
        <f t="shared" si="346"/>
        <v>492.07000000000005</v>
      </c>
      <c r="E3114">
        <v>2.48</v>
      </c>
      <c r="F3114">
        <f t="shared" si="347"/>
        <v>-489.59000000000003</v>
      </c>
      <c r="I3114">
        <f t="shared" si="343"/>
        <v>6</v>
      </c>
      <c r="J3114">
        <v>1</v>
      </c>
      <c r="K3114">
        <f t="shared" si="344"/>
        <v>9</v>
      </c>
      <c r="L3114">
        <f t="shared" si="345"/>
        <v>2013</v>
      </c>
      <c r="N3114" s="17">
        <f t="shared" si="348"/>
        <v>41518</v>
      </c>
      <c r="S3114">
        <f t="shared" si="349"/>
        <v>0</v>
      </c>
    </row>
    <row r="3115" spans="1:19" x14ac:dyDescent="0.3">
      <c r="A3115" s="17">
        <v>41522</v>
      </c>
      <c r="B3115">
        <v>605.33000000000004</v>
      </c>
      <c r="C3115">
        <v>110.11</v>
      </c>
      <c r="D3115">
        <f t="shared" si="346"/>
        <v>495.22</v>
      </c>
      <c r="E3115">
        <v>2.4700000000000002</v>
      </c>
      <c r="F3115">
        <f t="shared" si="347"/>
        <v>-492.75</v>
      </c>
      <c r="I3115">
        <f t="shared" si="343"/>
        <v>5</v>
      </c>
      <c r="J3115">
        <v>1</v>
      </c>
      <c r="K3115">
        <f t="shared" si="344"/>
        <v>9</v>
      </c>
      <c r="L3115">
        <f t="shared" si="345"/>
        <v>2013</v>
      </c>
      <c r="N3115" s="17">
        <f t="shared" si="348"/>
        <v>41518</v>
      </c>
      <c r="S3115">
        <f t="shared" si="349"/>
        <v>0</v>
      </c>
    </row>
    <row r="3116" spans="1:19" x14ac:dyDescent="0.3">
      <c r="A3116" s="17">
        <v>41521</v>
      </c>
      <c r="B3116">
        <v>607.41</v>
      </c>
      <c r="C3116">
        <v>110.65</v>
      </c>
      <c r="D3116">
        <f t="shared" si="346"/>
        <v>496.76</v>
      </c>
      <c r="E3116">
        <v>2.5099999999999998</v>
      </c>
      <c r="F3116">
        <f t="shared" si="347"/>
        <v>-494.25</v>
      </c>
      <c r="I3116">
        <f t="shared" si="343"/>
        <v>4</v>
      </c>
      <c r="J3116">
        <v>1</v>
      </c>
      <c r="K3116">
        <f t="shared" si="344"/>
        <v>9</v>
      </c>
      <c r="L3116">
        <f t="shared" si="345"/>
        <v>2013</v>
      </c>
      <c r="N3116" s="17">
        <f t="shared" si="348"/>
        <v>41518</v>
      </c>
      <c r="S3116">
        <f t="shared" si="349"/>
        <v>1</v>
      </c>
    </row>
    <row r="3117" spans="1:19" x14ac:dyDescent="0.3">
      <c r="A3117" s="17">
        <v>41520</v>
      </c>
      <c r="B3117">
        <v>602.04999999999995</v>
      </c>
      <c r="C3117">
        <v>109.8</v>
      </c>
      <c r="D3117">
        <f t="shared" si="346"/>
        <v>492.24999999999994</v>
      </c>
      <c r="E3117">
        <v>2.46</v>
      </c>
      <c r="F3117">
        <f t="shared" si="347"/>
        <v>-489.78999999999996</v>
      </c>
      <c r="I3117">
        <f t="shared" si="343"/>
        <v>3</v>
      </c>
      <c r="J3117">
        <v>1</v>
      </c>
      <c r="K3117">
        <f t="shared" si="344"/>
        <v>9</v>
      </c>
      <c r="L3117">
        <f t="shared" si="345"/>
        <v>2013</v>
      </c>
      <c r="N3117" s="17">
        <f t="shared" si="348"/>
        <v>41518</v>
      </c>
      <c r="S3117">
        <f t="shared" si="349"/>
        <v>1</v>
      </c>
    </row>
    <row r="3118" spans="1:19" x14ac:dyDescent="0.3">
      <c r="A3118" s="17">
        <v>41519</v>
      </c>
      <c r="B3118">
        <v>602.79999999999995</v>
      </c>
      <c r="C3118">
        <v>109.01</v>
      </c>
      <c r="D3118">
        <f t="shared" si="346"/>
        <v>493.78999999999996</v>
      </c>
      <c r="E3118">
        <v>2.46</v>
      </c>
      <c r="F3118">
        <f t="shared" si="347"/>
        <v>-491.33</v>
      </c>
      <c r="I3118">
        <f t="shared" si="343"/>
        <v>2</v>
      </c>
      <c r="J3118">
        <v>1</v>
      </c>
      <c r="K3118">
        <f t="shared" si="344"/>
        <v>9</v>
      </c>
      <c r="L3118">
        <f t="shared" si="345"/>
        <v>2013</v>
      </c>
      <c r="N3118" s="17">
        <f t="shared" si="348"/>
        <v>41518</v>
      </c>
      <c r="S3118">
        <f t="shared" si="349"/>
        <v>1</v>
      </c>
    </row>
    <row r="3119" spans="1:19" x14ac:dyDescent="0.3">
      <c r="A3119" s="17">
        <v>41516</v>
      </c>
      <c r="B3119">
        <v>610.15</v>
      </c>
      <c r="C3119">
        <v>111.5</v>
      </c>
      <c r="D3119">
        <f t="shared" si="346"/>
        <v>498.65</v>
      </c>
      <c r="E3119">
        <v>2.44</v>
      </c>
      <c r="F3119">
        <f t="shared" si="347"/>
        <v>-496.21</v>
      </c>
      <c r="I3119">
        <f t="shared" si="343"/>
        <v>30</v>
      </c>
      <c r="J3119">
        <v>1</v>
      </c>
      <c r="K3119">
        <f t="shared" si="344"/>
        <v>8</v>
      </c>
      <c r="L3119">
        <f t="shared" si="345"/>
        <v>2013</v>
      </c>
      <c r="N3119" s="17">
        <f t="shared" si="348"/>
        <v>41487</v>
      </c>
      <c r="S3119">
        <f t="shared" si="349"/>
        <v>0</v>
      </c>
    </row>
    <row r="3120" spans="1:19" x14ac:dyDescent="0.3">
      <c r="A3120" s="17">
        <v>41515</v>
      </c>
      <c r="B3120">
        <v>617.36</v>
      </c>
      <c r="C3120">
        <v>112.91</v>
      </c>
      <c r="D3120">
        <f t="shared" si="346"/>
        <v>504.45000000000005</v>
      </c>
      <c r="E3120">
        <v>2.33</v>
      </c>
      <c r="F3120">
        <f t="shared" si="347"/>
        <v>-502.12000000000006</v>
      </c>
      <c r="I3120">
        <f t="shared" si="343"/>
        <v>29</v>
      </c>
      <c r="J3120">
        <v>1</v>
      </c>
      <c r="K3120">
        <f t="shared" si="344"/>
        <v>8</v>
      </c>
      <c r="L3120">
        <f t="shared" si="345"/>
        <v>2013</v>
      </c>
      <c r="N3120" s="17">
        <f t="shared" si="348"/>
        <v>41487</v>
      </c>
      <c r="S3120">
        <f t="shared" si="349"/>
        <v>0</v>
      </c>
    </row>
    <row r="3121" spans="1:19" x14ac:dyDescent="0.3">
      <c r="A3121" s="17">
        <v>41514</v>
      </c>
      <c r="B3121">
        <v>614.16999999999996</v>
      </c>
      <c r="C3121">
        <v>112.21</v>
      </c>
      <c r="D3121">
        <f t="shared" si="346"/>
        <v>501.96</v>
      </c>
      <c r="E3121">
        <v>2.39</v>
      </c>
      <c r="F3121">
        <f t="shared" si="347"/>
        <v>-499.57</v>
      </c>
      <c r="I3121">
        <f t="shared" si="343"/>
        <v>28</v>
      </c>
      <c r="J3121">
        <v>1</v>
      </c>
      <c r="K3121">
        <f t="shared" si="344"/>
        <v>8</v>
      </c>
      <c r="L3121">
        <f t="shared" si="345"/>
        <v>2013</v>
      </c>
      <c r="N3121" s="17">
        <f t="shared" si="348"/>
        <v>41487</v>
      </c>
      <c r="S3121">
        <f t="shared" si="349"/>
        <v>0</v>
      </c>
    </row>
    <row r="3122" spans="1:19" x14ac:dyDescent="0.3">
      <c r="A3122" s="17">
        <v>41513</v>
      </c>
      <c r="B3122">
        <v>603.65</v>
      </c>
      <c r="C3122">
        <v>107.9</v>
      </c>
      <c r="D3122">
        <f t="shared" si="346"/>
        <v>495.75</v>
      </c>
      <c r="E3122">
        <v>2.36</v>
      </c>
      <c r="F3122">
        <f t="shared" si="347"/>
        <v>-493.39</v>
      </c>
      <c r="I3122">
        <f t="shared" si="343"/>
        <v>27</v>
      </c>
      <c r="J3122">
        <v>1</v>
      </c>
      <c r="K3122">
        <f t="shared" si="344"/>
        <v>8</v>
      </c>
      <c r="L3122">
        <f t="shared" si="345"/>
        <v>2013</v>
      </c>
      <c r="N3122" s="17">
        <f t="shared" si="348"/>
        <v>41487</v>
      </c>
      <c r="S3122">
        <f t="shared" si="349"/>
        <v>0</v>
      </c>
    </row>
    <row r="3123" spans="1:19" x14ac:dyDescent="0.3">
      <c r="A3123" s="17">
        <v>41512</v>
      </c>
      <c r="B3123">
        <v>603.74</v>
      </c>
      <c r="C3123">
        <v>108.45</v>
      </c>
      <c r="D3123">
        <f t="shared" si="346"/>
        <v>495.29</v>
      </c>
      <c r="E3123">
        <v>2.36</v>
      </c>
      <c r="F3123">
        <f t="shared" si="347"/>
        <v>-492.93</v>
      </c>
      <c r="I3123">
        <f t="shared" si="343"/>
        <v>26</v>
      </c>
      <c r="J3123">
        <v>1</v>
      </c>
      <c r="K3123">
        <f t="shared" si="344"/>
        <v>8</v>
      </c>
      <c r="L3123">
        <f t="shared" si="345"/>
        <v>2013</v>
      </c>
      <c r="N3123" s="17">
        <f t="shared" si="348"/>
        <v>41487</v>
      </c>
      <c r="S3123">
        <f t="shared" si="349"/>
        <v>0</v>
      </c>
    </row>
    <row r="3124" spans="1:19" x14ac:dyDescent="0.3">
      <c r="A3124" s="17">
        <v>41509</v>
      </c>
      <c r="B3124">
        <v>606.85</v>
      </c>
      <c r="C3124">
        <v>108.11</v>
      </c>
      <c r="D3124">
        <f t="shared" si="346"/>
        <v>498.74</v>
      </c>
      <c r="E3124">
        <v>2.39</v>
      </c>
      <c r="F3124">
        <f t="shared" si="347"/>
        <v>-496.35</v>
      </c>
      <c r="I3124">
        <f t="shared" si="343"/>
        <v>23</v>
      </c>
      <c r="J3124">
        <v>1</v>
      </c>
      <c r="K3124">
        <f t="shared" si="344"/>
        <v>8</v>
      </c>
      <c r="L3124">
        <f t="shared" si="345"/>
        <v>2013</v>
      </c>
      <c r="N3124" s="17">
        <f t="shared" si="348"/>
        <v>41487</v>
      </c>
      <c r="S3124">
        <f t="shared" si="349"/>
        <v>0</v>
      </c>
    </row>
    <row r="3125" spans="1:19" x14ac:dyDescent="0.3">
      <c r="A3125" s="17">
        <v>41508</v>
      </c>
      <c r="B3125">
        <v>607.15</v>
      </c>
      <c r="C3125">
        <v>107.6</v>
      </c>
      <c r="D3125">
        <f t="shared" si="346"/>
        <v>499.54999999999995</v>
      </c>
      <c r="E3125">
        <v>2.38</v>
      </c>
      <c r="F3125">
        <f t="shared" si="347"/>
        <v>-497.16999999999996</v>
      </c>
      <c r="I3125">
        <f t="shared" si="343"/>
        <v>22</v>
      </c>
      <c r="J3125">
        <v>1</v>
      </c>
      <c r="K3125">
        <f t="shared" si="344"/>
        <v>8</v>
      </c>
      <c r="L3125">
        <f t="shared" si="345"/>
        <v>2013</v>
      </c>
      <c r="N3125" s="17">
        <f t="shared" si="348"/>
        <v>41487</v>
      </c>
      <c r="S3125">
        <f t="shared" si="349"/>
        <v>0</v>
      </c>
    </row>
    <row r="3126" spans="1:19" x14ac:dyDescent="0.3">
      <c r="A3126" s="17">
        <v>41507</v>
      </c>
      <c r="B3126">
        <v>604.29999999999995</v>
      </c>
      <c r="C3126">
        <v>106.7</v>
      </c>
      <c r="D3126">
        <f t="shared" si="346"/>
        <v>497.59999999999997</v>
      </c>
      <c r="E3126">
        <v>2.41</v>
      </c>
      <c r="F3126">
        <f t="shared" si="347"/>
        <v>-495.18999999999994</v>
      </c>
      <c r="I3126">
        <f t="shared" si="343"/>
        <v>21</v>
      </c>
      <c r="J3126">
        <v>1</v>
      </c>
      <c r="K3126">
        <f t="shared" si="344"/>
        <v>8</v>
      </c>
      <c r="L3126">
        <f t="shared" si="345"/>
        <v>2013</v>
      </c>
      <c r="N3126" s="17">
        <f t="shared" si="348"/>
        <v>41487</v>
      </c>
      <c r="S3126">
        <f t="shared" si="349"/>
        <v>0</v>
      </c>
    </row>
    <row r="3127" spans="1:19" x14ac:dyDescent="0.3">
      <c r="A3127" s="17">
        <v>41506</v>
      </c>
      <c r="B3127">
        <v>603.47</v>
      </c>
      <c r="C3127">
        <v>106.39</v>
      </c>
      <c r="D3127">
        <f t="shared" si="346"/>
        <v>497.08000000000004</v>
      </c>
      <c r="E3127">
        <v>2.4300000000000002</v>
      </c>
      <c r="F3127">
        <f t="shared" si="347"/>
        <v>-494.65000000000003</v>
      </c>
      <c r="I3127">
        <f t="shared" si="343"/>
        <v>20</v>
      </c>
      <c r="J3127">
        <v>1</v>
      </c>
      <c r="K3127">
        <f t="shared" si="344"/>
        <v>8</v>
      </c>
      <c r="L3127">
        <f t="shared" si="345"/>
        <v>2013</v>
      </c>
      <c r="N3127" s="17">
        <f t="shared" si="348"/>
        <v>41487</v>
      </c>
      <c r="S3127">
        <f t="shared" si="349"/>
        <v>0</v>
      </c>
    </row>
    <row r="3128" spans="1:19" x14ac:dyDescent="0.3">
      <c r="A3128" s="17">
        <v>41505</v>
      </c>
      <c r="B3128">
        <v>610.75</v>
      </c>
      <c r="C3128">
        <v>107.34</v>
      </c>
      <c r="D3128">
        <f t="shared" si="346"/>
        <v>503.40999999999997</v>
      </c>
      <c r="E3128">
        <v>2.4500000000000002</v>
      </c>
      <c r="F3128">
        <f t="shared" si="347"/>
        <v>-500.96</v>
      </c>
      <c r="I3128">
        <f t="shared" si="343"/>
        <v>19</v>
      </c>
      <c r="J3128">
        <v>1</v>
      </c>
      <c r="K3128">
        <f t="shared" si="344"/>
        <v>8</v>
      </c>
      <c r="L3128">
        <f t="shared" si="345"/>
        <v>2013</v>
      </c>
      <c r="N3128" s="17">
        <f t="shared" si="348"/>
        <v>41487</v>
      </c>
      <c r="S3128">
        <f t="shared" si="349"/>
        <v>0</v>
      </c>
    </row>
    <row r="3129" spans="1:19" x14ac:dyDescent="0.3">
      <c r="A3129" s="17">
        <v>41502</v>
      </c>
      <c r="B3129">
        <v>608.48</v>
      </c>
      <c r="C3129">
        <v>106.85</v>
      </c>
      <c r="D3129">
        <f t="shared" si="346"/>
        <v>501.63</v>
      </c>
      <c r="E3129">
        <v>2.46</v>
      </c>
      <c r="F3129">
        <f t="shared" si="347"/>
        <v>-499.17</v>
      </c>
      <c r="I3129">
        <f t="shared" si="343"/>
        <v>16</v>
      </c>
      <c r="J3129">
        <v>1</v>
      </c>
      <c r="K3129">
        <f t="shared" si="344"/>
        <v>8</v>
      </c>
      <c r="L3129">
        <f t="shared" si="345"/>
        <v>2013</v>
      </c>
      <c r="N3129" s="17">
        <f t="shared" si="348"/>
        <v>41487</v>
      </c>
      <c r="S3129">
        <f t="shared" si="349"/>
        <v>0</v>
      </c>
    </row>
    <row r="3130" spans="1:19" x14ac:dyDescent="0.3">
      <c r="A3130" s="17">
        <v>41501</v>
      </c>
      <c r="B3130">
        <v>608.6</v>
      </c>
      <c r="C3130">
        <v>107.1</v>
      </c>
      <c r="D3130">
        <f t="shared" si="346"/>
        <v>501.5</v>
      </c>
      <c r="E3130">
        <v>2.48</v>
      </c>
      <c r="F3130">
        <f t="shared" si="347"/>
        <v>-499.02</v>
      </c>
      <c r="I3130">
        <f t="shared" si="343"/>
        <v>15</v>
      </c>
      <c r="J3130">
        <v>1</v>
      </c>
      <c r="K3130">
        <f t="shared" si="344"/>
        <v>8</v>
      </c>
      <c r="L3130">
        <f t="shared" si="345"/>
        <v>2013</v>
      </c>
      <c r="N3130" s="17">
        <f t="shared" si="348"/>
        <v>41487</v>
      </c>
      <c r="S3130">
        <f t="shared" si="349"/>
        <v>0</v>
      </c>
    </row>
    <row r="3131" spans="1:19" x14ac:dyDescent="0.3">
      <c r="A3131" s="17">
        <v>41500</v>
      </c>
      <c r="B3131">
        <v>601.52</v>
      </c>
      <c r="C3131">
        <v>105.54</v>
      </c>
      <c r="D3131">
        <f t="shared" si="346"/>
        <v>495.97999999999996</v>
      </c>
      <c r="E3131">
        <v>2.52</v>
      </c>
      <c r="F3131">
        <f t="shared" si="347"/>
        <v>-493.46</v>
      </c>
      <c r="I3131">
        <f t="shared" si="343"/>
        <v>14</v>
      </c>
      <c r="J3131">
        <v>1</v>
      </c>
      <c r="K3131">
        <f t="shared" si="344"/>
        <v>8</v>
      </c>
      <c r="L3131">
        <f t="shared" si="345"/>
        <v>2013</v>
      </c>
      <c r="N3131" s="17">
        <f t="shared" si="348"/>
        <v>41487</v>
      </c>
      <c r="S3131">
        <f t="shared" si="349"/>
        <v>0</v>
      </c>
    </row>
    <row r="3132" spans="1:19" x14ac:dyDescent="0.3">
      <c r="A3132" s="17">
        <v>41499</v>
      </c>
      <c r="B3132">
        <v>604.61</v>
      </c>
      <c r="C3132">
        <v>105.7</v>
      </c>
      <c r="D3132">
        <f t="shared" si="346"/>
        <v>498.91</v>
      </c>
      <c r="E3132">
        <v>2.59</v>
      </c>
      <c r="F3132">
        <f t="shared" si="347"/>
        <v>-496.32000000000005</v>
      </c>
      <c r="I3132">
        <f t="shared" si="343"/>
        <v>13</v>
      </c>
      <c r="J3132">
        <v>1</v>
      </c>
      <c r="K3132">
        <f t="shared" si="344"/>
        <v>8</v>
      </c>
      <c r="L3132">
        <f t="shared" si="345"/>
        <v>2013</v>
      </c>
      <c r="N3132" s="17">
        <f t="shared" si="348"/>
        <v>41487</v>
      </c>
      <c r="S3132">
        <f t="shared" si="349"/>
        <v>0</v>
      </c>
    </row>
    <row r="3133" spans="1:19" x14ac:dyDescent="0.3">
      <c r="A3133" s="17">
        <v>41498</v>
      </c>
      <c r="B3133">
        <v>595.32000000000005</v>
      </c>
      <c r="C3133">
        <v>103.89</v>
      </c>
      <c r="D3133">
        <f t="shared" si="346"/>
        <v>491.43000000000006</v>
      </c>
      <c r="E3133">
        <v>2.76</v>
      </c>
      <c r="F3133">
        <f t="shared" si="347"/>
        <v>-488.67000000000007</v>
      </c>
      <c r="I3133">
        <f t="shared" si="343"/>
        <v>12</v>
      </c>
      <c r="J3133">
        <v>1</v>
      </c>
      <c r="K3133">
        <f t="shared" si="344"/>
        <v>8</v>
      </c>
      <c r="L3133">
        <f t="shared" si="345"/>
        <v>2013</v>
      </c>
      <c r="N3133" s="17">
        <f t="shared" si="348"/>
        <v>41487</v>
      </c>
      <c r="S3133">
        <f t="shared" si="349"/>
        <v>0</v>
      </c>
    </row>
    <row r="3134" spans="1:19" x14ac:dyDescent="0.3">
      <c r="A3134" s="17">
        <v>41493</v>
      </c>
      <c r="B3134">
        <v>594.76</v>
      </c>
      <c r="C3134">
        <v>103.79</v>
      </c>
      <c r="D3134">
        <f t="shared" si="346"/>
        <v>490.96999999999997</v>
      </c>
      <c r="E3134">
        <v>2.79</v>
      </c>
      <c r="F3134">
        <f t="shared" si="347"/>
        <v>-488.17999999999995</v>
      </c>
      <c r="I3134">
        <f t="shared" si="343"/>
        <v>7</v>
      </c>
      <c r="J3134">
        <v>1</v>
      </c>
      <c r="K3134">
        <f t="shared" si="344"/>
        <v>8</v>
      </c>
      <c r="L3134">
        <f t="shared" si="345"/>
        <v>2013</v>
      </c>
      <c r="N3134" s="17">
        <f t="shared" si="348"/>
        <v>41487</v>
      </c>
      <c r="S3134">
        <f t="shared" si="349"/>
        <v>0</v>
      </c>
    </row>
    <row r="3135" spans="1:19" x14ac:dyDescent="0.3">
      <c r="A3135" s="17">
        <v>41492</v>
      </c>
      <c r="B3135">
        <v>599.52</v>
      </c>
      <c r="C3135">
        <v>104.46</v>
      </c>
      <c r="D3135">
        <f t="shared" si="346"/>
        <v>495.06</v>
      </c>
      <c r="E3135">
        <v>2.82</v>
      </c>
      <c r="F3135">
        <f t="shared" si="347"/>
        <v>-492.24</v>
      </c>
      <c r="I3135">
        <f t="shared" si="343"/>
        <v>6</v>
      </c>
      <c r="J3135">
        <v>1</v>
      </c>
      <c r="K3135">
        <f t="shared" si="344"/>
        <v>8</v>
      </c>
      <c r="L3135">
        <f t="shared" si="345"/>
        <v>2013</v>
      </c>
      <c r="N3135" s="17">
        <f t="shared" si="348"/>
        <v>41487</v>
      </c>
      <c r="S3135">
        <f t="shared" si="349"/>
        <v>0</v>
      </c>
    </row>
    <row r="3136" spans="1:19" x14ac:dyDescent="0.3">
      <c r="A3136" s="17">
        <v>41491</v>
      </c>
      <c r="B3136">
        <v>601.38</v>
      </c>
      <c r="C3136">
        <v>105.44</v>
      </c>
      <c r="D3136">
        <f t="shared" si="346"/>
        <v>495.94</v>
      </c>
      <c r="E3136">
        <v>2.8</v>
      </c>
      <c r="F3136">
        <f t="shared" si="347"/>
        <v>-493.14</v>
      </c>
      <c r="I3136">
        <f t="shared" si="343"/>
        <v>5</v>
      </c>
      <c r="J3136">
        <v>1</v>
      </c>
      <c r="K3136">
        <f t="shared" si="344"/>
        <v>8</v>
      </c>
      <c r="L3136">
        <f t="shared" si="345"/>
        <v>2013</v>
      </c>
      <c r="N3136" s="17">
        <f t="shared" si="348"/>
        <v>41487</v>
      </c>
      <c r="S3136">
        <f t="shared" si="349"/>
        <v>0</v>
      </c>
    </row>
    <row r="3137" spans="1:19" x14ac:dyDescent="0.3">
      <c r="A3137" s="17">
        <v>41488</v>
      </c>
      <c r="B3137">
        <v>598.46</v>
      </c>
      <c r="C3137">
        <v>105.81</v>
      </c>
      <c r="D3137">
        <f t="shared" si="346"/>
        <v>492.65000000000003</v>
      </c>
      <c r="E3137">
        <v>2.76</v>
      </c>
      <c r="F3137">
        <f t="shared" si="347"/>
        <v>-489.89000000000004</v>
      </c>
      <c r="I3137">
        <f t="shared" si="343"/>
        <v>2</v>
      </c>
      <c r="J3137">
        <v>1</v>
      </c>
      <c r="K3137">
        <f t="shared" si="344"/>
        <v>8</v>
      </c>
      <c r="L3137">
        <f t="shared" si="345"/>
        <v>2013</v>
      </c>
      <c r="N3137" s="17">
        <f t="shared" si="348"/>
        <v>41487</v>
      </c>
      <c r="S3137">
        <f t="shared" si="349"/>
        <v>1</v>
      </c>
    </row>
    <row r="3138" spans="1:19" x14ac:dyDescent="0.3">
      <c r="A3138" s="17">
        <v>41487</v>
      </c>
      <c r="B3138">
        <v>597.1</v>
      </c>
      <c r="C3138">
        <v>104.46</v>
      </c>
      <c r="D3138">
        <f t="shared" si="346"/>
        <v>492.64000000000004</v>
      </c>
      <c r="E3138">
        <v>2.7</v>
      </c>
      <c r="F3138">
        <f t="shared" si="347"/>
        <v>-489.94000000000005</v>
      </c>
      <c r="I3138">
        <f t="shared" si="343"/>
        <v>1</v>
      </c>
      <c r="J3138">
        <v>1</v>
      </c>
      <c r="K3138">
        <f t="shared" si="344"/>
        <v>8</v>
      </c>
      <c r="L3138">
        <f t="shared" si="345"/>
        <v>2013</v>
      </c>
      <c r="N3138" s="17">
        <f t="shared" si="348"/>
        <v>41487</v>
      </c>
      <c r="S3138">
        <f t="shared" si="349"/>
        <v>1</v>
      </c>
    </row>
    <row r="3139" spans="1:19" x14ac:dyDescent="0.3">
      <c r="A3139" s="17">
        <v>41486</v>
      </c>
      <c r="B3139">
        <v>596.41999999999996</v>
      </c>
      <c r="C3139">
        <v>104.4</v>
      </c>
      <c r="D3139">
        <f t="shared" si="346"/>
        <v>492.02</v>
      </c>
      <c r="E3139">
        <v>2.73</v>
      </c>
      <c r="F3139">
        <f t="shared" si="347"/>
        <v>-489.28999999999996</v>
      </c>
      <c r="I3139">
        <f t="shared" si="343"/>
        <v>31</v>
      </c>
      <c r="J3139">
        <v>1</v>
      </c>
      <c r="K3139">
        <f t="shared" si="344"/>
        <v>7</v>
      </c>
      <c r="L3139">
        <f t="shared" si="345"/>
        <v>2013</v>
      </c>
      <c r="N3139" s="17">
        <f t="shared" si="348"/>
        <v>41456</v>
      </c>
      <c r="S3139">
        <f t="shared" si="349"/>
        <v>0</v>
      </c>
    </row>
    <row r="3140" spans="1:19" x14ac:dyDescent="0.3">
      <c r="A3140" s="17">
        <v>41485</v>
      </c>
      <c r="B3140">
        <v>598.37</v>
      </c>
      <c r="C3140">
        <v>104.65</v>
      </c>
      <c r="D3140">
        <f t="shared" si="346"/>
        <v>493.72</v>
      </c>
      <c r="E3140">
        <v>2.76</v>
      </c>
      <c r="F3140">
        <f t="shared" si="347"/>
        <v>-490.96000000000004</v>
      </c>
      <c r="I3140">
        <f t="shared" si="343"/>
        <v>30</v>
      </c>
      <c r="J3140">
        <v>1</v>
      </c>
      <c r="K3140">
        <f t="shared" si="344"/>
        <v>7</v>
      </c>
      <c r="L3140">
        <f t="shared" si="345"/>
        <v>2013</v>
      </c>
      <c r="N3140" s="17">
        <f t="shared" si="348"/>
        <v>41456</v>
      </c>
      <c r="S3140">
        <f t="shared" si="349"/>
        <v>0</v>
      </c>
    </row>
    <row r="3141" spans="1:19" x14ac:dyDescent="0.3">
      <c r="A3141" s="17">
        <v>41484</v>
      </c>
      <c r="B3141">
        <v>594.17999999999995</v>
      </c>
      <c r="C3141">
        <v>104.7</v>
      </c>
      <c r="D3141">
        <f t="shared" si="346"/>
        <v>489.47999999999996</v>
      </c>
      <c r="E3141">
        <v>2.81</v>
      </c>
      <c r="F3141">
        <f t="shared" si="347"/>
        <v>-486.66999999999996</v>
      </c>
      <c r="I3141">
        <f t="shared" ref="I3141:I3204" si="350">+DAY(A3141)</f>
        <v>29</v>
      </c>
      <c r="J3141">
        <v>1</v>
      </c>
      <c r="K3141">
        <f t="shared" ref="K3141:K3204" si="351">+MONTH(A3141)</f>
        <v>7</v>
      </c>
      <c r="L3141">
        <f t="shared" ref="L3141:L3204" si="352">+YEAR(A3141)</f>
        <v>2013</v>
      </c>
      <c r="N3141" s="17">
        <f t="shared" si="348"/>
        <v>41456</v>
      </c>
      <c r="S3141">
        <f t="shared" si="349"/>
        <v>0</v>
      </c>
    </row>
    <row r="3142" spans="1:19" x14ac:dyDescent="0.3">
      <c r="A3142" s="17">
        <v>41481</v>
      </c>
      <c r="B3142">
        <v>594.03</v>
      </c>
      <c r="C3142">
        <v>104.8</v>
      </c>
      <c r="D3142">
        <f t="shared" ref="D3142:D3205" si="353">+B3142-C3142</f>
        <v>489.22999999999996</v>
      </c>
      <c r="E3142">
        <v>2.78</v>
      </c>
      <c r="F3142">
        <f t="shared" ref="F3142:F3205" si="354">+E3142-D3142</f>
        <v>-486.45</v>
      </c>
      <c r="I3142">
        <f t="shared" si="350"/>
        <v>26</v>
      </c>
      <c r="J3142">
        <v>1</v>
      </c>
      <c r="K3142">
        <f t="shared" si="351"/>
        <v>7</v>
      </c>
      <c r="L3142">
        <f t="shared" si="352"/>
        <v>2013</v>
      </c>
      <c r="N3142" s="17">
        <f t="shared" ref="N3142:N3205" si="355">+DATE(L3142,K3142,J3142)</f>
        <v>41456</v>
      </c>
      <c r="S3142">
        <f t="shared" ref="S3142:S3205" si="356">IF(AND(I3142&gt;=1, I3142&lt;=4), 1, 0)</f>
        <v>0</v>
      </c>
    </row>
    <row r="3143" spans="1:19" x14ac:dyDescent="0.3">
      <c r="A3143" s="17">
        <v>41480</v>
      </c>
      <c r="B3143">
        <v>597.1</v>
      </c>
      <c r="C3143">
        <v>104.7</v>
      </c>
      <c r="D3143">
        <f t="shared" si="353"/>
        <v>492.40000000000003</v>
      </c>
      <c r="E3143">
        <v>2.81</v>
      </c>
      <c r="F3143">
        <f t="shared" si="354"/>
        <v>-489.59000000000003</v>
      </c>
      <c r="I3143">
        <f t="shared" si="350"/>
        <v>25</v>
      </c>
      <c r="J3143">
        <v>1</v>
      </c>
      <c r="K3143">
        <f t="shared" si="351"/>
        <v>7</v>
      </c>
      <c r="L3143">
        <f t="shared" si="352"/>
        <v>2013</v>
      </c>
      <c r="N3143" s="17">
        <f t="shared" si="355"/>
        <v>41456</v>
      </c>
      <c r="S3143">
        <f t="shared" si="356"/>
        <v>0</v>
      </c>
    </row>
    <row r="3144" spans="1:19" x14ac:dyDescent="0.3">
      <c r="A3144" s="17">
        <v>41479</v>
      </c>
      <c r="B3144">
        <v>602.6</v>
      </c>
      <c r="C3144">
        <v>104.85</v>
      </c>
      <c r="D3144">
        <f t="shared" si="353"/>
        <v>497.75</v>
      </c>
      <c r="E3144">
        <v>2.78</v>
      </c>
      <c r="F3144">
        <f t="shared" si="354"/>
        <v>-494.97</v>
      </c>
      <c r="I3144">
        <f t="shared" si="350"/>
        <v>24</v>
      </c>
      <c r="J3144">
        <v>1</v>
      </c>
      <c r="K3144">
        <f t="shared" si="351"/>
        <v>7</v>
      </c>
      <c r="L3144">
        <f t="shared" si="352"/>
        <v>2013</v>
      </c>
      <c r="N3144" s="17">
        <f t="shared" si="355"/>
        <v>41456</v>
      </c>
      <c r="S3144">
        <f t="shared" si="356"/>
        <v>0</v>
      </c>
    </row>
    <row r="3145" spans="1:19" x14ac:dyDescent="0.3">
      <c r="A3145" s="17">
        <v>41478</v>
      </c>
      <c r="B3145">
        <v>602.79</v>
      </c>
      <c r="C3145">
        <v>104.8</v>
      </c>
      <c r="D3145">
        <f t="shared" si="353"/>
        <v>497.98999999999995</v>
      </c>
      <c r="E3145">
        <v>2.78</v>
      </c>
      <c r="F3145">
        <f t="shared" si="354"/>
        <v>-495.21</v>
      </c>
      <c r="I3145">
        <f t="shared" si="350"/>
        <v>23</v>
      </c>
      <c r="J3145">
        <v>1</v>
      </c>
      <c r="K3145">
        <f t="shared" si="351"/>
        <v>7</v>
      </c>
      <c r="L3145">
        <f t="shared" si="352"/>
        <v>2013</v>
      </c>
      <c r="N3145" s="17">
        <f t="shared" si="355"/>
        <v>41456</v>
      </c>
      <c r="S3145">
        <f t="shared" si="356"/>
        <v>0</v>
      </c>
    </row>
    <row r="3146" spans="1:19" x14ac:dyDescent="0.3">
      <c r="A3146" s="17">
        <v>41477</v>
      </c>
      <c r="B3146">
        <v>605.67999999999995</v>
      </c>
      <c r="C3146">
        <v>105.5</v>
      </c>
      <c r="D3146">
        <f t="shared" si="353"/>
        <v>500.17999999999995</v>
      </c>
      <c r="E3146">
        <v>2.84</v>
      </c>
      <c r="F3146">
        <f t="shared" si="354"/>
        <v>-497.34</v>
      </c>
      <c r="I3146">
        <f t="shared" si="350"/>
        <v>22</v>
      </c>
      <c r="J3146">
        <v>1</v>
      </c>
      <c r="K3146">
        <f t="shared" si="351"/>
        <v>7</v>
      </c>
      <c r="L3146">
        <f t="shared" si="352"/>
        <v>2013</v>
      </c>
      <c r="N3146" s="17">
        <f t="shared" si="355"/>
        <v>41456</v>
      </c>
      <c r="S3146">
        <f t="shared" si="356"/>
        <v>0</v>
      </c>
    </row>
    <row r="3147" spans="1:19" x14ac:dyDescent="0.3">
      <c r="A3147" s="17">
        <v>41474</v>
      </c>
      <c r="B3147">
        <v>606.48</v>
      </c>
      <c r="C3147">
        <v>105.45</v>
      </c>
      <c r="D3147">
        <f t="shared" si="353"/>
        <v>501.03000000000003</v>
      </c>
      <c r="E3147">
        <v>2.82</v>
      </c>
      <c r="F3147">
        <f t="shared" si="354"/>
        <v>-498.21000000000004</v>
      </c>
      <c r="I3147">
        <f t="shared" si="350"/>
        <v>19</v>
      </c>
      <c r="J3147">
        <v>1</v>
      </c>
      <c r="K3147">
        <f t="shared" si="351"/>
        <v>7</v>
      </c>
      <c r="L3147">
        <f t="shared" si="352"/>
        <v>2013</v>
      </c>
      <c r="N3147" s="17">
        <f t="shared" si="355"/>
        <v>41456</v>
      </c>
      <c r="S3147">
        <f t="shared" si="356"/>
        <v>0</v>
      </c>
    </row>
    <row r="3148" spans="1:19" x14ac:dyDescent="0.3">
      <c r="A3148" s="17">
        <v>41473</v>
      </c>
      <c r="B3148">
        <v>606.37</v>
      </c>
      <c r="C3148">
        <v>104.95</v>
      </c>
      <c r="D3148">
        <f t="shared" si="353"/>
        <v>501.42</v>
      </c>
      <c r="E3148">
        <v>2.84</v>
      </c>
      <c r="F3148">
        <f t="shared" si="354"/>
        <v>-498.58000000000004</v>
      </c>
      <c r="I3148">
        <f t="shared" si="350"/>
        <v>18</v>
      </c>
      <c r="J3148">
        <v>1</v>
      </c>
      <c r="K3148">
        <f t="shared" si="351"/>
        <v>7</v>
      </c>
      <c r="L3148">
        <f t="shared" si="352"/>
        <v>2013</v>
      </c>
      <c r="N3148" s="17">
        <f t="shared" si="355"/>
        <v>41456</v>
      </c>
      <c r="S3148">
        <f t="shared" si="356"/>
        <v>0</v>
      </c>
    </row>
    <row r="3149" spans="1:19" x14ac:dyDescent="0.3">
      <c r="A3149" s="17">
        <v>41472</v>
      </c>
      <c r="B3149">
        <v>599.37</v>
      </c>
      <c r="C3149">
        <v>103.9</v>
      </c>
      <c r="D3149">
        <f t="shared" si="353"/>
        <v>495.47</v>
      </c>
      <c r="E3149">
        <v>2.76</v>
      </c>
      <c r="F3149">
        <f t="shared" si="354"/>
        <v>-492.71000000000004</v>
      </c>
      <c r="I3149">
        <f t="shared" si="350"/>
        <v>17</v>
      </c>
      <c r="J3149">
        <v>1</v>
      </c>
      <c r="K3149">
        <f t="shared" si="351"/>
        <v>7</v>
      </c>
      <c r="L3149">
        <f t="shared" si="352"/>
        <v>2013</v>
      </c>
      <c r="N3149" s="17">
        <f t="shared" si="355"/>
        <v>41456</v>
      </c>
      <c r="S3149">
        <f t="shared" si="356"/>
        <v>0</v>
      </c>
    </row>
    <row r="3150" spans="1:19" x14ac:dyDescent="0.3">
      <c r="A3150" s="17">
        <v>41471</v>
      </c>
      <c r="B3150">
        <v>599.46</v>
      </c>
      <c r="C3150">
        <v>104.3</v>
      </c>
      <c r="D3150">
        <f t="shared" si="353"/>
        <v>495.16</v>
      </c>
      <c r="E3150">
        <v>2.73</v>
      </c>
      <c r="F3150">
        <f t="shared" si="354"/>
        <v>-492.43</v>
      </c>
      <c r="I3150">
        <f t="shared" si="350"/>
        <v>16</v>
      </c>
      <c r="J3150">
        <v>1</v>
      </c>
      <c r="K3150">
        <f t="shared" si="351"/>
        <v>7</v>
      </c>
      <c r="L3150">
        <f t="shared" si="352"/>
        <v>2013</v>
      </c>
      <c r="N3150" s="17">
        <f t="shared" si="355"/>
        <v>41456</v>
      </c>
      <c r="S3150">
        <f t="shared" si="356"/>
        <v>0</v>
      </c>
    </row>
    <row r="3151" spans="1:19" x14ac:dyDescent="0.3">
      <c r="A3151" s="17">
        <v>41470</v>
      </c>
      <c r="B3151">
        <v>596.91</v>
      </c>
      <c r="C3151">
        <v>104.09</v>
      </c>
      <c r="D3151">
        <f t="shared" si="353"/>
        <v>492.81999999999994</v>
      </c>
      <c r="E3151">
        <v>2.73</v>
      </c>
      <c r="F3151">
        <f t="shared" si="354"/>
        <v>-490.08999999999992</v>
      </c>
      <c r="I3151">
        <f t="shared" si="350"/>
        <v>15</v>
      </c>
      <c r="J3151">
        <v>1</v>
      </c>
      <c r="K3151">
        <f t="shared" si="351"/>
        <v>7</v>
      </c>
      <c r="L3151">
        <f t="shared" si="352"/>
        <v>2013</v>
      </c>
      <c r="N3151" s="17">
        <f t="shared" si="355"/>
        <v>41456</v>
      </c>
      <c r="S3151">
        <f t="shared" si="356"/>
        <v>0</v>
      </c>
    </row>
    <row r="3152" spans="1:19" x14ac:dyDescent="0.3">
      <c r="A3152" s="17">
        <v>41467</v>
      </c>
      <c r="B3152">
        <v>595.21</v>
      </c>
      <c r="C3152">
        <v>103.495</v>
      </c>
      <c r="D3152">
        <f t="shared" si="353"/>
        <v>491.71500000000003</v>
      </c>
      <c r="E3152">
        <v>2.72</v>
      </c>
      <c r="F3152">
        <f t="shared" si="354"/>
        <v>-488.995</v>
      </c>
      <c r="I3152">
        <f t="shared" si="350"/>
        <v>12</v>
      </c>
      <c r="J3152">
        <v>1</v>
      </c>
      <c r="K3152">
        <f t="shared" si="351"/>
        <v>7</v>
      </c>
      <c r="L3152">
        <f t="shared" si="352"/>
        <v>2013</v>
      </c>
      <c r="N3152" s="17">
        <f t="shared" si="355"/>
        <v>41456</v>
      </c>
      <c r="S3152">
        <f t="shared" si="356"/>
        <v>0</v>
      </c>
    </row>
    <row r="3153" spans="1:19" x14ac:dyDescent="0.3">
      <c r="A3153" s="17">
        <v>41466</v>
      </c>
      <c r="B3153">
        <v>599.57000000000005</v>
      </c>
      <c r="C3153">
        <v>104.1</v>
      </c>
      <c r="D3153">
        <f t="shared" si="353"/>
        <v>495.47</v>
      </c>
      <c r="E3153">
        <v>2.71</v>
      </c>
      <c r="F3153">
        <f t="shared" si="354"/>
        <v>-492.76000000000005</v>
      </c>
      <c r="I3153">
        <f t="shared" si="350"/>
        <v>11</v>
      </c>
      <c r="J3153">
        <v>1</v>
      </c>
      <c r="K3153">
        <f t="shared" si="351"/>
        <v>7</v>
      </c>
      <c r="L3153">
        <f t="shared" si="352"/>
        <v>2013</v>
      </c>
      <c r="N3153" s="17">
        <f t="shared" si="355"/>
        <v>41456</v>
      </c>
      <c r="S3153">
        <f t="shared" si="356"/>
        <v>0</v>
      </c>
    </row>
    <row r="3154" spans="1:19" x14ac:dyDescent="0.3">
      <c r="A3154" s="17">
        <v>41465</v>
      </c>
      <c r="B3154">
        <v>592.6</v>
      </c>
      <c r="C3154">
        <v>103.7</v>
      </c>
      <c r="D3154">
        <f t="shared" si="353"/>
        <v>488.90000000000003</v>
      </c>
      <c r="E3154">
        <v>2.65</v>
      </c>
      <c r="F3154">
        <f t="shared" si="354"/>
        <v>-486.25000000000006</v>
      </c>
      <c r="I3154">
        <f t="shared" si="350"/>
        <v>10</v>
      </c>
      <c r="J3154">
        <v>1</v>
      </c>
      <c r="K3154">
        <f t="shared" si="351"/>
        <v>7</v>
      </c>
      <c r="L3154">
        <f t="shared" si="352"/>
        <v>2013</v>
      </c>
      <c r="N3154" s="17">
        <f t="shared" si="355"/>
        <v>41456</v>
      </c>
      <c r="S3154">
        <f t="shared" si="356"/>
        <v>0</v>
      </c>
    </row>
    <row r="3155" spans="1:19" x14ac:dyDescent="0.3">
      <c r="A3155" s="17">
        <v>41464</v>
      </c>
      <c r="B3155">
        <v>593.05999999999995</v>
      </c>
      <c r="C3155">
        <v>103</v>
      </c>
      <c r="D3155">
        <f t="shared" si="353"/>
        <v>490.05999999999995</v>
      </c>
      <c r="E3155">
        <v>2.56</v>
      </c>
      <c r="F3155">
        <f t="shared" si="354"/>
        <v>-487.49999999999994</v>
      </c>
      <c r="I3155">
        <f t="shared" si="350"/>
        <v>9</v>
      </c>
      <c r="J3155">
        <v>1</v>
      </c>
      <c r="K3155">
        <f t="shared" si="351"/>
        <v>7</v>
      </c>
      <c r="L3155">
        <f t="shared" si="352"/>
        <v>2013</v>
      </c>
      <c r="N3155" s="17">
        <f t="shared" si="355"/>
        <v>41456</v>
      </c>
      <c r="S3155">
        <f t="shared" si="356"/>
        <v>0</v>
      </c>
    </row>
    <row r="3156" spans="1:19" x14ac:dyDescent="0.3">
      <c r="A3156" s="17">
        <v>41463</v>
      </c>
      <c r="B3156">
        <v>596.78</v>
      </c>
      <c r="C3156">
        <v>102.89</v>
      </c>
      <c r="D3156">
        <f t="shared" si="353"/>
        <v>493.89</v>
      </c>
      <c r="E3156">
        <v>2.64</v>
      </c>
      <c r="F3156">
        <f t="shared" si="354"/>
        <v>-491.25</v>
      </c>
      <c r="I3156">
        <f t="shared" si="350"/>
        <v>8</v>
      </c>
      <c r="J3156">
        <v>1</v>
      </c>
      <c r="K3156">
        <f t="shared" si="351"/>
        <v>7</v>
      </c>
      <c r="L3156">
        <f t="shared" si="352"/>
        <v>2013</v>
      </c>
      <c r="N3156" s="17">
        <f t="shared" si="355"/>
        <v>41456</v>
      </c>
      <c r="S3156">
        <f t="shared" si="356"/>
        <v>0</v>
      </c>
    </row>
    <row r="3157" spans="1:19" x14ac:dyDescent="0.3">
      <c r="A3157" s="17">
        <v>41460</v>
      </c>
      <c r="B3157">
        <v>591.62</v>
      </c>
      <c r="C3157">
        <v>101.76</v>
      </c>
      <c r="D3157">
        <f t="shared" si="353"/>
        <v>489.86</v>
      </c>
      <c r="E3157">
        <v>2.58</v>
      </c>
      <c r="F3157">
        <f t="shared" si="354"/>
        <v>-487.28000000000003</v>
      </c>
      <c r="I3157">
        <f t="shared" si="350"/>
        <v>5</v>
      </c>
      <c r="J3157">
        <v>1</v>
      </c>
      <c r="K3157">
        <f t="shared" si="351"/>
        <v>7</v>
      </c>
      <c r="L3157">
        <f t="shared" si="352"/>
        <v>2013</v>
      </c>
      <c r="N3157" s="17">
        <f t="shared" si="355"/>
        <v>41456</v>
      </c>
      <c r="S3157">
        <f t="shared" si="356"/>
        <v>0</v>
      </c>
    </row>
    <row r="3158" spans="1:19" x14ac:dyDescent="0.3">
      <c r="A3158" s="17">
        <v>41459</v>
      </c>
      <c r="B3158">
        <v>591.5</v>
      </c>
      <c r="C3158">
        <v>101.5</v>
      </c>
      <c r="D3158">
        <f t="shared" si="353"/>
        <v>490</v>
      </c>
      <c r="E3158">
        <v>2.57</v>
      </c>
      <c r="F3158">
        <f t="shared" si="354"/>
        <v>-487.43</v>
      </c>
      <c r="I3158">
        <f t="shared" si="350"/>
        <v>4</v>
      </c>
      <c r="J3158">
        <v>1</v>
      </c>
      <c r="K3158">
        <f t="shared" si="351"/>
        <v>7</v>
      </c>
      <c r="L3158">
        <f t="shared" si="352"/>
        <v>2013</v>
      </c>
      <c r="N3158" s="17">
        <f t="shared" si="355"/>
        <v>41456</v>
      </c>
      <c r="S3158">
        <f t="shared" si="356"/>
        <v>1</v>
      </c>
    </row>
    <row r="3159" spans="1:19" x14ac:dyDescent="0.3">
      <c r="A3159" s="17">
        <v>41458</v>
      </c>
      <c r="B3159">
        <v>584.23</v>
      </c>
      <c r="C3159">
        <v>101.05</v>
      </c>
      <c r="D3159">
        <f t="shared" si="353"/>
        <v>483.18</v>
      </c>
      <c r="E3159">
        <v>2.4500000000000002</v>
      </c>
      <c r="F3159">
        <f t="shared" si="354"/>
        <v>-480.73</v>
      </c>
      <c r="I3159">
        <f t="shared" si="350"/>
        <v>3</v>
      </c>
      <c r="J3159">
        <v>1</v>
      </c>
      <c r="K3159">
        <f t="shared" si="351"/>
        <v>7</v>
      </c>
      <c r="L3159">
        <f t="shared" si="352"/>
        <v>2013</v>
      </c>
      <c r="N3159" s="17">
        <f t="shared" si="355"/>
        <v>41456</v>
      </c>
      <c r="S3159">
        <f t="shared" si="356"/>
        <v>1</v>
      </c>
    </row>
    <row r="3160" spans="1:19" x14ac:dyDescent="0.3">
      <c r="A3160" s="17">
        <v>41457</v>
      </c>
      <c r="B3160">
        <v>584.29</v>
      </c>
      <c r="C3160">
        <v>99.4</v>
      </c>
      <c r="D3160">
        <f t="shared" si="353"/>
        <v>484.89</v>
      </c>
      <c r="E3160">
        <v>2.54</v>
      </c>
      <c r="F3160">
        <f t="shared" si="354"/>
        <v>-482.34999999999997</v>
      </c>
      <c r="I3160">
        <f t="shared" si="350"/>
        <v>2</v>
      </c>
      <c r="J3160">
        <v>1</v>
      </c>
      <c r="K3160">
        <f t="shared" si="351"/>
        <v>7</v>
      </c>
      <c r="L3160">
        <f t="shared" si="352"/>
        <v>2013</v>
      </c>
      <c r="N3160" s="17">
        <f t="shared" si="355"/>
        <v>41456</v>
      </c>
      <c r="S3160">
        <f t="shared" si="356"/>
        <v>1</v>
      </c>
    </row>
    <row r="3161" spans="1:19" x14ac:dyDescent="0.3">
      <c r="A3161" s="17">
        <v>41456</v>
      </c>
      <c r="B3161">
        <v>582.91999999999996</v>
      </c>
      <c r="C3161">
        <v>99.02</v>
      </c>
      <c r="D3161">
        <f t="shared" si="353"/>
        <v>483.9</v>
      </c>
      <c r="E3161">
        <v>2.67</v>
      </c>
      <c r="F3161">
        <f t="shared" si="354"/>
        <v>-481.22999999999996</v>
      </c>
      <c r="I3161">
        <f t="shared" si="350"/>
        <v>1</v>
      </c>
      <c r="J3161">
        <v>1</v>
      </c>
      <c r="K3161">
        <f t="shared" si="351"/>
        <v>7</v>
      </c>
      <c r="L3161">
        <f t="shared" si="352"/>
        <v>2013</v>
      </c>
      <c r="N3161" s="17">
        <f t="shared" si="355"/>
        <v>41456</v>
      </c>
      <c r="S3161">
        <f t="shared" si="356"/>
        <v>1</v>
      </c>
    </row>
    <row r="3162" spans="1:19" x14ac:dyDescent="0.3">
      <c r="A3162" s="17">
        <v>41453</v>
      </c>
      <c r="B3162">
        <v>587.38</v>
      </c>
      <c r="C3162">
        <v>100.4</v>
      </c>
      <c r="D3162">
        <f t="shared" si="353"/>
        <v>486.98</v>
      </c>
      <c r="E3162">
        <v>2.61</v>
      </c>
      <c r="F3162">
        <f t="shared" si="354"/>
        <v>-484.37</v>
      </c>
      <c r="I3162">
        <f t="shared" si="350"/>
        <v>28</v>
      </c>
      <c r="J3162">
        <v>1</v>
      </c>
      <c r="K3162">
        <f t="shared" si="351"/>
        <v>6</v>
      </c>
      <c r="L3162">
        <f t="shared" si="352"/>
        <v>2013</v>
      </c>
      <c r="N3162" s="17">
        <f t="shared" si="355"/>
        <v>41426</v>
      </c>
      <c r="S3162">
        <f t="shared" si="356"/>
        <v>0</v>
      </c>
    </row>
    <row r="3163" spans="1:19" x14ac:dyDescent="0.3">
      <c r="A3163" s="17">
        <v>41452</v>
      </c>
      <c r="B3163">
        <v>582.32000000000005</v>
      </c>
      <c r="C3163">
        <v>99.36</v>
      </c>
      <c r="D3163">
        <f t="shared" si="353"/>
        <v>482.96000000000004</v>
      </c>
      <c r="E3163">
        <v>2.56</v>
      </c>
      <c r="F3163">
        <f t="shared" si="354"/>
        <v>-480.40000000000003</v>
      </c>
      <c r="I3163">
        <f t="shared" si="350"/>
        <v>27</v>
      </c>
      <c r="J3163">
        <v>1</v>
      </c>
      <c r="K3163">
        <f t="shared" si="351"/>
        <v>6</v>
      </c>
      <c r="L3163">
        <f t="shared" si="352"/>
        <v>2013</v>
      </c>
      <c r="N3163" s="17">
        <f t="shared" si="355"/>
        <v>41426</v>
      </c>
      <c r="S3163">
        <f t="shared" si="356"/>
        <v>0</v>
      </c>
    </row>
    <row r="3164" spans="1:19" x14ac:dyDescent="0.3">
      <c r="A3164" s="17">
        <v>41451</v>
      </c>
      <c r="B3164">
        <v>584.49</v>
      </c>
      <c r="C3164">
        <v>98.85</v>
      </c>
      <c r="D3164">
        <f t="shared" si="353"/>
        <v>485.64</v>
      </c>
      <c r="E3164">
        <v>2.52</v>
      </c>
      <c r="F3164">
        <f t="shared" si="354"/>
        <v>-483.12</v>
      </c>
      <c r="I3164">
        <f t="shared" si="350"/>
        <v>26</v>
      </c>
      <c r="J3164">
        <v>1</v>
      </c>
      <c r="K3164">
        <f t="shared" si="351"/>
        <v>6</v>
      </c>
      <c r="L3164">
        <f t="shared" si="352"/>
        <v>2013</v>
      </c>
      <c r="N3164" s="17">
        <f t="shared" si="355"/>
        <v>41426</v>
      </c>
      <c r="S3164">
        <f t="shared" si="356"/>
        <v>0</v>
      </c>
    </row>
    <row r="3165" spans="1:19" x14ac:dyDescent="0.3">
      <c r="A3165" s="17">
        <v>41450</v>
      </c>
      <c r="B3165">
        <v>589.51</v>
      </c>
      <c r="C3165">
        <v>99.2</v>
      </c>
      <c r="D3165">
        <f t="shared" si="353"/>
        <v>490.31</v>
      </c>
      <c r="E3165">
        <v>2.2799999999999998</v>
      </c>
      <c r="F3165">
        <f t="shared" si="354"/>
        <v>-488.03000000000003</v>
      </c>
      <c r="I3165">
        <f t="shared" si="350"/>
        <v>25</v>
      </c>
      <c r="J3165">
        <v>1</v>
      </c>
      <c r="K3165">
        <f t="shared" si="351"/>
        <v>6</v>
      </c>
      <c r="L3165">
        <f t="shared" si="352"/>
        <v>2013</v>
      </c>
      <c r="N3165" s="17">
        <f t="shared" si="355"/>
        <v>41426</v>
      </c>
      <c r="S3165">
        <f t="shared" si="356"/>
        <v>0</v>
      </c>
    </row>
    <row r="3166" spans="1:19" x14ac:dyDescent="0.3">
      <c r="A3166" s="17">
        <v>41449</v>
      </c>
      <c r="B3166">
        <v>583.59</v>
      </c>
      <c r="C3166">
        <v>97.53</v>
      </c>
      <c r="D3166">
        <f t="shared" si="353"/>
        <v>486.06000000000006</v>
      </c>
      <c r="E3166">
        <v>2.13</v>
      </c>
      <c r="F3166">
        <f t="shared" si="354"/>
        <v>-483.93000000000006</v>
      </c>
      <c r="I3166">
        <f t="shared" si="350"/>
        <v>24</v>
      </c>
      <c r="J3166">
        <v>1</v>
      </c>
      <c r="K3166">
        <f t="shared" si="351"/>
        <v>6</v>
      </c>
      <c r="L3166">
        <f t="shared" si="352"/>
        <v>2013</v>
      </c>
      <c r="N3166" s="17">
        <f t="shared" si="355"/>
        <v>41426</v>
      </c>
      <c r="S3166">
        <f t="shared" si="356"/>
        <v>0</v>
      </c>
    </row>
    <row r="3167" spans="1:19" x14ac:dyDescent="0.3">
      <c r="A3167" s="17">
        <v>41446</v>
      </c>
      <c r="B3167">
        <v>595.28</v>
      </c>
      <c r="C3167">
        <v>100</v>
      </c>
      <c r="D3167">
        <f t="shared" si="353"/>
        <v>495.28</v>
      </c>
      <c r="E3167">
        <v>2.0499999999999998</v>
      </c>
      <c r="F3167">
        <f t="shared" si="354"/>
        <v>-493.22999999999996</v>
      </c>
      <c r="I3167">
        <f t="shared" si="350"/>
        <v>21</v>
      </c>
      <c r="J3167">
        <v>1</v>
      </c>
      <c r="K3167">
        <f t="shared" si="351"/>
        <v>6</v>
      </c>
      <c r="L3167">
        <f t="shared" si="352"/>
        <v>2013</v>
      </c>
      <c r="N3167" s="17">
        <f t="shared" si="355"/>
        <v>41426</v>
      </c>
      <c r="S3167">
        <f t="shared" si="356"/>
        <v>0</v>
      </c>
    </row>
    <row r="3168" spans="1:19" x14ac:dyDescent="0.3">
      <c r="A3168" s="17">
        <v>41445</v>
      </c>
      <c r="B3168">
        <v>602.75</v>
      </c>
      <c r="C3168">
        <v>101.4</v>
      </c>
      <c r="D3168">
        <f t="shared" si="353"/>
        <v>501.35</v>
      </c>
      <c r="E3168">
        <v>2.0299999999999998</v>
      </c>
      <c r="F3168">
        <f t="shared" si="354"/>
        <v>-499.32000000000005</v>
      </c>
      <c r="I3168">
        <f t="shared" si="350"/>
        <v>20</v>
      </c>
      <c r="J3168">
        <v>1</v>
      </c>
      <c r="K3168">
        <f t="shared" si="351"/>
        <v>6</v>
      </c>
      <c r="L3168">
        <f t="shared" si="352"/>
        <v>2013</v>
      </c>
      <c r="N3168" s="17">
        <f t="shared" si="355"/>
        <v>41426</v>
      </c>
      <c r="S3168">
        <f t="shared" si="356"/>
        <v>0</v>
      </c>
    </row>
    <row r="3169" spans="1:19" x14ac:dyDescent="0.3">
      <c r="A3169" s="17">
        <v>41444</v>
      </c>
      <c r="B3169">
        <v>611.4</v>
      </c>
      <c r="C3169">
        <v>103.3</v>
      </c>
      <c r="D3169">
        <f t="shared" si="353"/>
        <v>508.09999999999997</v>
      </c>
      <c r="E3169">
        <v>1.94</v>
      </c>
      <c r="F3169">
        <f t="shared" si="354"/>
        <v>-506.15999999999997</v>
      </c>
      <c r="I3169">
        <f t="shared" si="350"/>
        <v>19</v>
      </c>
      <c r="J3169">
        <v>1</v>
      </c>
      <c r="K3169">
        <f t="shared" si="351"/>
        <v>6</v>
      </c>
      <c r="L3169">
        <f t="shared" si="352"/>
        <v>2013</v>
      </c>
      <c r="N3169" s="17">
        <f t="shared" si="355"/>
        <v>41426</v>
      </c>
      <c r="S3169">
        <f t="shared" si="356"/>
        <v>0</v>
      </c>
    </row>
    <row r="3170" spans="1:19" x14ac:dyDescent="0.3">
      <c r="A3170" s="17">
        <v>41443</v>
      </c>
      <c r="B3170">
        <v>608.85</v>
      </c>
      <c r="C3170">
        <v>102.3</v>
      </c>
      <c r="D3170">
        <f t="shared" si="353"/>
        <v>506.55</v>
      </c>
      <c r="E3170">
        <v>1.89</v>
      </c>
      <c r="F3170">
        <f t="shared" si="354"/>
        <v>-504.66</v>
      </c>
      <c r="I3170">
        <f t="shared" si="350"/>
        <v>18</v>
      </c>
      <c r="J3170">
        <v>1</v>
      </c>
      <c r="K3170">
        <f t="shared" si="351"/>
        <v>6</v>
      </c>
      <c r="L3170">
        <f t="shared" si="352"/>
        <v>2013</v>
      </c>
      <c r="N3170" s="17">
        <f t="shared" si="355"/>
        <v>41426</v>
      </c>
      <c r="S3170">
        <f t="shared" si="356"/>
        <v>0</v>
      </c>
    </row>
    <row r="3171" spans="1:19" x14ac:dyDescent="0.3">
      <c r="A3171" s="17">
        <v>41442</v>
      </c>
      <c r="B3171">
        <v>612.41</v>
      </c>
      <c r="C3171">
        <v>103.41</v>
      </c>
      <c r="D3171">
        <f t="shared" si="353"/>
        <v>509</v>
      </c>
      <c r="E3171">
        <v>1.78</v>
      </c>
      <c r="F3171">
        <f t="shared" si="354"/>
        <v>-507.22</v>
      </c>
      <c r="I3171">
        <f t="shared" si="350"/>
        <v>17</v>
      </c>
      <c r="J3171">
        <v>1</v>
      </c>
      <c r="K3171">
        <f t="shared" si="351"/>
        <v>6</v>
      </c>
      <c r="L3171">
        <f t="shared" si="352"/>
        <v>2013</v>
      </c>
      <c r="N3171" s="17">
        <f t="shared" si="355"/>
        <v>41426</v>
      </c>
      <c r="S3171">
        <f t="shared" si="356"/>
        <v>0</v>
      </c>
    </row>
    <row r="3172" spans="1:19" x14ac:dyDescent="0.3">
      <c r="A3172" s="17">
        <v>41439</v>
      </c>
      <c r="B3172">
        <v>607.38</v>
      </c>
      <c r="C3172">
        <v>102.395</v>
      </c>
      <c r="D3172">
        <f t="shared" si="353"/>
        <v>504.98500000000001</v>
      </c>
      <c r="E3172">
        <v>1.71</v>
      </c>
      <c r="F3172">
        <f t="shared" si="354"/>
        <v>-503.27500000000003</v>
      </c>
      <c r="I3172">
        <f t="shared" si="350"/>
        <v>14</v>
      </c>
      <c r="J3172">
        <v>1</v>
      </c>
      <c r="K3172">
        <f t="shared" si="351"/>
        <v>6</v>
      </c>
      <c r="L3172">
        <f t="shared" si="352"/>
        <v>2013</v>
      </c>
      <c r="N3172" s="17">
        <f t="shared" si="355"/>
        <v>41426</v>
      </c>
      <c r="S3172">
        <f t="shared" si="356"/>
        <v>0</v>
      </c>
    </row>
    <row r="3173" spans="1:19" x14ac:dyDescent="0.3">
      <c r="A3173" s="17">
        <v>41438</v>
      </c>
      <c r="B3173">
        <v>603.12</v>
      </c>
      <c r="C3173">
        <v>100.12</v>
      </c>
      <c r="D3173">
        <f t="shared" si="353"/>
        <v>503</v>
      </c>
      <c r="E3173">
        <v>1.61</v>
      </c>
      <c r="F3173">
        <f t="shared" si="354"/>
        <v>-501.39</v>
      </c>
      <c r="I3173">
        <f t="shared" si="350"/>
        <v>13</v>
      </c>
      <c r="J3173">
        <v>1</v>
      </c>
      <c r="K3173">
        <f t="shared" si="351"/>
        <v>6</v>
      </c>
      <c r="L3173">
        <f t="shared" si="352"/>
        <v>2013</v>
      </c>
      <c r="N3173" s="17">
        <f t="shared" si="355"/>
        <v>41426</v>
      </c>
      <c r="S3173">
        <f t="shared" si="356"/>
        <v>0</v>
      </c>
    </row>
    <row r="3174" spans="1:19" x14ac:dyDescent="0.3">
      <c r="A3174" s="17">
        <v>41437</v>
      </c>
      <c r="B3174">
        <v>597.96</v>
      </c>
      <c r="C3174">
        <v>99.75</v>
      </c>
      <c r="D3174">
        <f t="shared" si="353"/>
        <v>498.21000000000004</v>
      </c>
      <c r="E3174">
        <v>1.57</v>
      </c>
      <c r="F3174">
        <f t="shared" si="354"/>
        <v>-496.64000000000004</v>
      </c>
      <c r="I3174">
        <f t="shared" si="350"/>
        <v>12</v>
      </c>
      <c r="J3174">
        <v>1</v>
      </c>
      <c r="K3174">
        <f t="shared" si="351"/>
        <v>6</v>
      </c>
      <c r="L3174">
        <f t="shared" si="352"/>
        <v>2013</v>
      </c>
      <c r="N3174" s="17">
        <f t="shared" si="355"/>
        <v>41426</v>
      </c>
      <c r="S3174">
        <f t="shared" si="356"/>
        <v>0</v>
      </c>
    </row>
    <row r="3175" spans="1:19" x14ac:dyDescent="0.3">
      <c r="A3175" s="17">
        <v>41436</v>
      </c>
      <c r="B3175">
        <v>600.57000000000005</v>
      </c>
      <c r="C3175">
        <v>100.43</v>
      </c>
      <c r="D3175">
        <f t="shared" si="353"/>
        <v>500.14000000000004</v>
      </c>
      <c r="E3175">
        <v>1.6</v>
      </c>
      <c r="F3175">
        <f t="shared" si="354"/>
        <v>-498.54</v>
      </c>
      <c r="I3175">
        <f t="shared" si="350"/>
        <v>11</v>
      </c>
      <c r="J3175">
        <v>1</v>
      </c>
      <c r="K3175">
        <f t="shared" si="351"/>
        <v>6</v>
      </c>
      <c r="L3175">
        <f t="shared" si="352"/>
        <v>2013</v>
      </c>
      <c r="N3175" s="17">
        <f t="shared" si="355"/>
        <v>41426</v>
      </c>
      <c r="S3175">
        <f t="shared" si="356"/>
        <v>0</v>
      </c>
    </row>
    <row r="3176" spans="1:19" x14ac:dyDescent="0.3">
      <c r="A3176" s="17">
        <v>41435</v>
      </c>
      <c r="B3176">
        <v>600.66999999999996</v>
      </c>
      <c r="C3176">
        <v>100.6</v>
      </c>
      <c r="D3176">
        <f t="shared" si="353"/>
        <v>500.06999999999994</v>
      </c>
      <c r="E3176">
        <v>1.36</v>
      </c>
      <c r="F3176">
        <f t="shared" si="354"/>
        <v>-498.70999999999992</v>
      </c>
      <c r="I3176">
        <f t="shared" si="350"/>
        <v>10</v>
      </c>
      <c r="J3176">
        <v>1</v>
      </c>
      <c r="K3176">
        <f t="shared" si="351"/>
        <v>6</v>
      </c>
      <c r="L3176">
        <f t="shared" si="352"/>
        <v>2013</v>
      </c>
      <c r="N3176" s="17">
        <f t="shared" si="355"/>
        <v>41426</v>
      </c>
      <c r="S3176">
        <f t="shared" si="356"/>
        <v>0</v>
      </c>
    </row>
    <row r="3177" spans="1:19" x14ac:dyDescent="0.3">
      <c r="A3177" s="17">
        <v>41432</v>
      </c>
      <c r="B3177">
        <v>600.39</v>
      </c>
      <c r="C3177">
        <v>100.61</v>
      </c>
      <c r="D3177">
        <f t="shared" si="353"/>
        <v>499.78</v>
      </c>
      <c r="E3177">
        <v>1.29</v>
      </c>
      <c r="F3177">
        <f t="shared" si="354"/>
        <v>-498.48999999999995</v>
      </c>
      <c r="I3177">
        <f t="shared" si="350"/>
        <v>7</v>
      </c>
      <c r="J3177">
        <v>1</v>
      </c>
      <c r="K3177">
        <f t="shared" si="351"/>
        <v>6</v>
      </c>
      <c r="L3177">
        <f t="shared" si="352"/>
        <v>2013</v>
      </c>
      <c r="N3177" s="17">
        <f t="shared" si="355"/>
        <v>41426</v>
      </c>
      <c r="S3177">
        <f t="shared" si="356"/>
        <v>0</v>
      </c>
    </row>
    <row r="3178" spans="1:19" x14ac:dyDescent="0.3">
      <c r="A3178" s="17">
        <v>41431</v>
      </c>
      <c r="B3178">
        <v>598.75</v>
      </c>
      <c r="C3178">
        <v>100.11</v>
      </c>
      <c r="D3178">
        <f t="shared" si="353"/>
        <v>498.64</v>
      </c>
      <c r="E3178">
        <v>1.34</v>
      </c>
      <c r="F3178">
        <f t="shared" si="354"/>
        <v>-497.3</v>
      </c>
      <c r="I3178">
        <f t="shared" si="350"/>
        <v>6</v>
      </c>
      <c r="J3178">
        <v>1</v>
      </c>
      <c r="K3178">
        <f t="shared" si="351"/>
        <v>6</v>
      </c>
      <c r="L3178">
        <f t="shared" si="352"/>
        <v>2013</v>
      </c>
      <c r="N3178" s="17">
        <f t="shared" si="355"/>
        <v>41426</v>
      </c>
      <c r="S3178">
        <f t="shared" si="356"/>
        <v>0</v>
      </c>
    </row>
    <row r="3179" spans="1:19" x14ac:dyDescent="0.3">
      <c r="A3179" s="17">
        <v>41430</v>
      </c>
      <c r="B3179">
        <v>601.08000000000004</v>
      </c>
      <c r="C3179">
        <v>100.35</v>
      </c>
      <c r="D3179">
        <f t="shared" si="353"/>
        <v>500.73</v>
      </c>
      <c r="E3179">
        <v>1.3</v>
      </c>
      <c r="F3179">
        <f t="shared" si="354"/>
        <v>-499.43</v>
      </c>
      <c r="I3179">
        <f t="shared" si="350"/>
        <v>5</v>
      </c>
      <c r="J3179">
        <v>1</v>
      </c>
      <c r="K3179">
        <f t="shared" si="351"/>
        <v>6</v>
      </c>
      <c r="L3179">
        <f t="shared" si="352"/>
        <v>2013</v>
      </c>
      <c r="N3179" s="17">
        <f t="shared" si="355"/>
        <v>41426</v>
      </c>
      <c r="S3179">
        <f t="shared" si="356"/>
        <v>0</v>
      </c>
    </row>
    <row r="3180" spans="1:19" x14ac:dyDescent="0.3">
      <c r="A3180" s="17">
        <v>41429</v>
      </c>
      <c r="B3180">
        <v>593.6</v>
      </c>
      <c r="C3180">
        <v>98.81</v>
      </c>
      <c r="D3180">
        <f t="shared" si="353"/>
        <v>494.79</v>
      </c>
      <c r="E3180">
        <v>1.1399999999999999</v>
      </c>
      <c r="F3180">
        <f t="shared" si="354"/>
        <v>-493.65000000000003</v>
      </c>
      <c r="I3180">
        <f t="shared" si="350"/>
        <v>4</v>
      </c>
      <c r="J3180">
        <v>1</v>
      </c>
      <c r="K3180">
        <f t="shared" si="351"/>
        <v>6</v>
      </c>
      <c r="L3180">
        <f t="shared" si="352"/>
        <v>2013</v>
      </c>
      <c r="N3180" s="17">
        <f t="shared" si="355"/>
        <v>41426</v>
      </c>
      <c r="S3180">
        <f t="shared" si="356"/>
        <v>1</v>
      </c>
    </row>
    <row r="3181" spans="1:19" x14ac:dyDescent="0.3">
      <c r="A3181" s="17">
        <v>41428</v>
      </c>
      <c r="B3181">
        <v>590.9</v>
      </c>
      <c r="C3181">
        <v>97.55</v>
      </c>
      <c r="D3181">
        <f t="shared" si="353"/>
        <v>493.34999999999997</v>
      </c>
      <c r="E3181">
        <v>1.23</v>
      </c>
      <c r="F3181">
        <f t="shared" si="354"/>
        <v>-492.11999999999995</v>
      </c>
      <c r="I3181">
        <f t="shared" si="350"/>
        <v>3</v>
      </c>
      <c r="J3181">
        <v>1</v>
      </c>
      <c r="K3181">
        <f t="shared" si="351"/>
        <v>6</v>
      </c>
      <c r="L3181">
        <f t="shared" si="352"/>
        <v>2013</v>
      </c>
      <c r="N3181" s="17">
        <f t="shared" si="355"/>
        <v>41426</v>
      </c>
      <c r="S3181">
        <f t="shared" si="356"/>
        <v>1</v>
      </c>
    </row>
    <row r="3182" spans="1:19" x14ac:dyDescent="0.3">
      <c r="A3182" s="17">
        <v>41425</v>
      </c>
      <c r="B3182">
        <v>595.16999999999996</v>
      </c>
      <c r="C3182">
        <v>98.79</v>
      </c>
      <c r="D3182">
        <f t="shared" si="353"/>
        <v>496.37999999999994</v>
      </c>
      <c r="E3182">
        <v>1.29</v>
      </c>
      <c r="F3182">
        <f t="shared" si="354"/>
        <v>-495.08999999999992</v>
      </c>
      <c r="I3182">
        <f t="shared" si="350"/>
        <v>31</v>
      </c>
      <c r="J3182">
        <v>1</v>
      </c>
      <c r="K3182">
        <f t="shared" si="351"/>
        <v>5</v>
      </c>
      <c r="L3182">
        <f t="shared" si="352"/>
        <v>2013</v>
      </c>
      <c r="N3182" s="17">
        <f t="shared" si="355"/>
        <v>41395</v>
      </c>
      <c r="S3182">
        <f t="shared" si="356"/>
        <v>0</v>
      </c>
    </row>
    <row r="3183" spans="1:19" x14ac:dyDescent="0.3">
      <c r="A3183" s="17">
        <v>41424</v>
      </c>
      <c r="B3183">
        <v>596.29</v>
      </c>
      <c r="C3183">
        <v>99.49</v>
      </c>
      <c r="D3183">
        <f t="shared" si="353"/>
        <v>496.79999999999995</v>
      </c>
      <c r="E3183">
        <v>1.4</v>
      </c>
      <c r="F3183">
        <f t="shared" si="354"/>
        <v>-495.4</v>
      </c>
      <c r="I3183">
        <f t="shared" si="350"/>
        <v>30</v>
      </c>
      <c r="J3183">
        <v>1</v>
      </c>
      <c r="K3183">
        <f t="shared" si="351"/>
        <v>5</v>
      </c>
      <c r="L3183">
        <f t="shared" si="352"/>
        <v>2013</v>
      </c>
      <c r="N3183" s="17">
        <f t="shared" si="355"/>
        <v>41395</v>
      </c>
      <c r="S3183">
        <f t="shared" si="356"/>
        <v>0</v>
      </c>
    </row>
    <row r="3184" spans="1:19" x14ac:dyDescent="0.3">
      <c r="A3184" s="17">
        <v>41423</v>
      </c>
      <c r="B3184">
        <v>605</v>
      </c>
      <c r="C3184">
        <v>100.59</v>
      </c>
      <c r="D3184">
        <f t="shared" si="353"/>
        <v>504.40999999999997</v>
      </c>
      <c r="E3184">
        <v>1.46</v>
      </c>
      <c r="F3184">
        <f t="shared" si="354"/>
        <v>-502.95</v>
      </c>
      <c r="I3184">
        <f t="shared" si="350"/>
        <v>29</v>
      </c>
      <c r="J3184">
        <v>1</v>
      </c>
      <c r="K3184">
        <f t="shared" si="351"/>
        <v>5</v>
      </c>
      <c r="L3184">
        <f t="shared" si="352"/>
        <v>2013</v>
      </c>
      <c r="N3184" s="17">
        <f t="shared" si="355"/>
        <v>41395</v>
      </c>
      <c r="S3184">
        <f t="shared" si="356"/>
        <v>0</v>
      </c>
    </row>
    <row r="3185" spans="1:19" x14ac:dyDescent="0.3">
      <c r="A3185" s="17">
        <v>41422</v>
      </c>
      <c r="B3185">
        <v>601.5</v>
      </c>
      <c r="C3185">
        <v>100.4</v>
      </c>
      <c r="D3185">
        <f t="shared" si="353"/>
        <v>501.1</v>
      </c>
      <c r="E3185">
        <v>1.44</v>
      </c>
      <c r="F3185">
        <f t="shared" si="354"/>
        <v>-499.66</v>
      </c>
      <c r="I3185">
        <f t="shared" si="350"/>
        <v>28</v>
      </c>
      <c r="J3185">
        <v>1</v>
      </c>
      <c r="K3185">
        <f t="shared" si="351"/>
        <v>5</v>
      </c>
      <c r="L3185">
        <f t="shared" si="352"/>
        <v>2013</v>
      </c>
      <c r="N3185" s="17">
        <f t="shared" si="355"/>
        <v>41395</v>
      </c>
      <c r="S3185">
        <f t="shared" si="356"/>
        <v>0</v>
      </c>
    </row>
    <row r="3186" spans="1:19" x14ac:dyDescent="0.3">
      <c r="A3186" s="17">
        <v>41421</v>
      </c>
      <c r="B3186">
        <v>595.70000000000005</v>
      </c>
      <c r="C3186">
        <v>99.4</v>
      </c>
      <c r="D3186">
        <f t="shared" si="353"/>
        <v>496.30000000000007</v>
      </c>
      <c r="E3186">
        <v>1.5</v>
      </c>
      <c r="F3186">
        <f t="shared" si="354"/>
        <v>-494.80000000000007</v>
      </c>
      <c r="I3186">
        <f t="shared" si="350"/>
        <v>27</v>
      </c>
      <c r="J3186">
        <v>1</v>
      </c>
      <c r="K3186">
        <f t="shared" si="351"/>
        <v>5</v>
      </c>
      <c r="L3186">
        <f t="shared" si="352"/>
        <v>2013</v>
      </c>
      <c r="N3186" s="17">
        <f t="shared" si="355"/>
        <v>41395</v>
      </c>
      <c r="S3186">
        <f t="shared" si="356"/>
        <v>0</v>
      </c>
    </row>
    <row r="3187" spans="1:19" x14ac:dyDescent="0.3">
      <c r="A3187" s="17">
        <v>41417</v>
      </c>
      <c r="B3187">
        <v>592.36</v>
      </c>
      <c r="C3187">
        <v>98.69</v>
      </c>
      <c r="D3187">
        <f t="shared" si="353"/>
        <v>493.67</v>
      </c>
      <c r="E3187">
        <v>1.61</v>
      </c>
      <c r="F3187">
        <f t="shared" si="354"/>
        <v>-492.06</v>
      </c>
      <c r="I3187">
        <f t="shared" si="350"/>
        <v>23</v>
      </c>
      <c r="J3187">
        <v>1</v>
      </c>
      <c r="K3187">
        <f t="shared" si="351"/>
        <v>5</v>
      </c>
      <c r="L3187">
        <f t="shared" si="352"/>
        <v>2013</v>
      </c>
      <c r="N3187" s="17">
        <f t="shared" si="355"/>
        <v>41395</v>
      </c>
      <c r="S3187">
        <f t="shared" si="356"/>
        <v>0</v>
      </c>
    </row>
    <row r="3188" spans="1:19" x14ac:dyDescent="0.3">
      <c r="A3188" s="17">
        <v>41416</v>
      </c>
      <c r="B3188">
        <v>598.45000000000005</v>
      </c>
      <c r="C3188">
        <v>100.4</v>
      </c>
      <c r="D3188">
        <f t="shared" si="353"/>
        <v>498.05000000000007</v>
      </c>
      <c r="E3188">
        <v>1.65</v>
      </c>
      <c r="F3188">
        <f t="shared" si="354"/>
        <v>-496.40000000000009</v>
      </c>
      <c r="I3188">
        <f t="shared" si="350"/>
        <v>22</v>
      </c>
      <c r="J3188">
        <v>1</v>
      </c>
      <c r="K3188">
        <f t="shared" si="351"/>
        <v>5</v>
      </c>
      <c r="L3188">
        <f t="shared" si="352"/>
        <v>2013</v>
      </c>
      <c r="N3188" s="17">
        <f t="shared" si="355"/>
        <v>41395</v>
      </c>
      <c r="S3188">
        <f t="shared" si="356"/>
        <v>0</v>
      </c>
    </row>
    <row r="3189" spans="1:19" x14ac:dyDescent="0.3">
      <c r="A3189" s="17">
        <v>41415</v>
      </c>
      <c r="B3189">
        <v>602.47</v>
      </c>
      <c r="C3189">
        <v>101.4</v>
      </c>
      <c r="D3189">
        <f t="shared" si="353"/>
        <v>501.07000000000005</v>
      </c>
      <c r="E3189">
        <v>1.69</v>
      </c>
      <c r="F3189">
        <f t="shared" si="354"/>
        <v>-499.38000000000005</v>
      </c>
      <c r="I3189">
        <f t="shared" si="350"/>
        <v>21</v>
      </c>
      <c r="J3189">
        <v>1</v>
      </c>
      <c r="K3189">
        <f t="shared" si="351"/>
        <v>5</v>
      </c>
      <c r="L3189">
        <f t="shared" si="352"/>
        <v>2013</v>
      </c>
      <c r="N3189" s="17">
        <f t="shared" si="355"/>
        <v>41395</v>
      </c>
      <c r="S3189">
        <f t="shared" si="356"/>
        <v>0</v>
      </c>
    </row>
    <row r="3190" spans="1:19" x14ac:dyDescent="0.3">
      <c r="A3190" s="17">
        <v>41414</v>
      </c>
      <c r="B3190">
        <v>602.53</v>
      </c>
      <c r="C3190">
        <v>101.5</v>
      </c>
      <c r="D3190">
        <f t="shared" si="353"/>
        <v>501.03</v>
      </c>
      <c r="E3190">
        <v>1.97</v>
      </c>
      <c r="F3190">
        <f t="shared" si="354"/>
        <v>-499.05999999999995</v>
      </c>
      <c r="I3190">
        <f t="shared" si="350"/>
        <v>20</v>
      </c>
      <c r="J3190">
        <v>1</v>
      </c>
      <c r="K3190">
        <f t="shared" si="351"/>
        <v>5</v>
      </c>
      <c r="L3190">
        <f t="shared" si="352"/>
        <v>2013</v>
      </c>
      <c r="N3190" s="17">
        <f t="shared" si="355"/>
        <v>41395</v>
      </c>
      <c r="S3190">
        <f t="shared" si="356"/>
        <v>0</v>
      </c>
    </row>
    <row r="3191" spans="1:19" x14ac:dyDescent="0.3">
      <c r="A3191" s="17">
        <v>41411</v>
      </c>
      <c r="B3191">
        <v>602.17999999999995</v>
      </c>
      <c r="C3191">
        <v>100.9</v>
      </c>
      <c r="D3191">
        <f t="shared" si="353"/>
        <v>501.28</v>
      </c>
      <c r="E3191">
        <v>2.02</v>
      </c>
      <c r="F3191">
        <f t="shared" si="354"/>
        <v>-499.26</v>
      </c>
      <c r="I3191">
        <f t="shared" si="350"/>
        <v>17</v>
      </c>
      <c r="J3191">
        <v>1</v>
      </c>
      <c r="K3191">
        <f t="shared" si="351"/>
        <v>5</v>
      </c>
      <c r="L3191">
        <f t="shared" si="352"/>
        <v>2013</v>
      </c>
      <c r="N3191" s="17">
        <f t="shared" si="355"/>
        <v>41395</v>
      </c>
      <c r="S3191">
        <f t="shared" si="356"/>
        <v>0</v>
      </c>
    </row>
    <row r="3192" spans="1:19" x14ac:dyDescent="0.3">
      <c r="A3192" s="17">
        <v>41410</v>
      </c>
      <c r="B3192">
        <v>598.17999999999995</v>
      </c>
      <c r="C3192">
        <v>100.04</v>
      </c>
      <c r="D3192">
        <f t="shared" si="353"/>
        <v>498.13999999999993</v>
      </c>
      <c r="E3192">
        <v>2.02</v>
      </c>
      <c r="F3192">
        <f t="shared" si="354"/>
        <v>-496.11999999999995</v>
      </c>
      <c r="I3192">
        <f t="shared" si="350"/>
        <v>16</v>
      </c>
      <c r="J3192">
        <v>1</v>
      </c>
      <c r="K3192">
        <f t="shared" si="351"/>
        <v>5</v>
      </c>
      <c r="L3192">
        <f t="shared" si="352"/>
        <v>2013</v>
      </c>
      <c r="N3192" s="17">
        <f t="shared" si="355"/>
        <v>41395</v>
      </c>
      <c r="S3192">
        <f t="shared" si="356"/>
        <v>0</v>
      </c>
    </row>
    <row r="3193" spans="1:19" x14ac:dyDescent="0.3">
      <c r="A3193" s="17">
        <v>41409</v>
      </c>
      <c r="B3193">
        <v>591.5</v>
      </c>
      <c r="C3193">
        <v>99.25</v>
      </c>
      <c r="D3193">
        <f t="shared" si="353"/>
        <v>492.25</v>
      </c>
      <c r="E3193">
        <v>2.2000000000000002</v>
      </c>
      <c r="F3193">
        <f t="shared" si="354"/>
        <v>-490.05</v>
      </c>
      <c r="I3193">
        <f t="shared" si="350"/>
        <v>15</v>
      </c>
      <c r="J3193">
        <v>1</v>
      </c>
      <c r="K3193">
        <f t="shared" si="351"/>
        <v>5</v>
      </c>
      <c r="L3193">
        <f t="shared" si="352"/>
        <v>2013</v>
      </c>
      <c r="N3193" s="17">
        <f t="shared" si="355"/>
        <v>41395</v>
      </c>
      <c r="S3193">
        <f t="shared" si="356"/>
        <v>0</v>
      </c>
    </row>
    <row r="3194" spans="1:19" x14ac:dyDescent="0.3">
      <c r="A3194" s="17">
        <v>41408</v>
      </c>
      <c r="B3194">
        <v>596.05999999999995</v>
      </c>
      <c r="C3194">
        <v>99.99</v>
      </c>
      <c r="D3194">
        <f t="shared" si="353"/>
        <v>496.06999999999994</v>
      </c>
      <c r="E3194">
        <v>2.36</v>
      </c>
      <c r="F3194">
        <f t="shared" si="354"/>
        <v>-493.70999999999992</v>
      </c>
      <c r="I3194">
        <f t="shared" si="350"/>
        <v>14</v>
      </c>
      <c r="J3194">
        <v>1</v>
      </c>
      <c r="K3194">
        <f t="shared" si="351"/>
        <v>5</v>
      </c>
      <c r="L3194">
        <f t="shared" si="352"/>
        <v>2013</v>
      </c>
      <c r="N3194" s="17">
        <f t="shared" si="355"/>
        <v>41395</v>
      </c>
      <c r="S3194">
        <f t="shared" si="356"/>
        <v>0</v>
      </c>
    </row>
    <row r="3195" spans="1:19" x14ac:dyDescent="0.3">
      <c r="A3195" s="17">
        <v>41407</v>
      </c>
      <c r="B3195">
        <v>599.35</v>
      </c>
      <c r="C3195">
        <v>100.2</v>
      </c>
      <c r="D3195">
        <f t="shared" si="353"/>
        <v>499.15000000000003</v>
      </c>
      <c r="E3195">
        <v>2.3199999999999998</v>
      </c>
      <c r="F3195">
        <f t="shared" si="354"/>
        <v>-496.83000000000004</v>
      </c>
      <c r="I3195">
        <f t="shared" si="350"/>
        <v>13</v>
      </c>
      <c r="J3195">
        <v>1</v>
      </c>
      <c r="K3195">
        <f t="shared" si="351"/>
        <v>5</v>
      </c>
      <c r="L3195">
        <f t="shared" si="352"/>
        <v>2013</v>
      </c>
      <c r="N3195" s="17">
        <f t="shared" si="355"/>
        <v>41395</v>
      </c>
      <c r="S3195">
        <f t="shared" si="356"/>
        <v>0</v>
      </c>
    </row>
    <row r="3196" spans="1:19" x14ac:dyDescent="0.3">
      <c r="A3196" s="17">
        <v>41404</v>
      </c>
      <c r="B3196">
        <v>608.94000000000005</v>
      </c>
      <c r="C3196">
        <v>101.35</v>
      </c>
      <c r="D3196">
        <f t="shared" si="353"/>
        <v>507.59000000000003</v>
      </c>
      <c r="E3196">
        <v>2.21</v>
      </c>
      <c r="F3196">
        <f t="shared" si="354"/>
        <v>-505.38000000000005</v>
      </c>
      <c r="I3196">
        <f t="shared" si="350"/>
        <v>10</v>
      </c>
      <c r="J3196">
        <v>1</v>
      </c>
      <c r="K3196">
        <f t="shared" si="351"/>
        <v>5</v>
      </c>
      <c r="L3196">
        <f t="shared" si="352"/>
        <v>2013</v>
      </c>
      <c r="N3196" s="17">
        <f t="shared" si="355"/>
        <v>41395</v>
      </c>
      <c r="S3196">
        <f t="shared" si="356"/>
        <v>0</v>
      </c>
    </row>
    <row r="3197" spans="1:19" x14ac:dyDescent="0.3">
      <c r="A3197" s="17">
        <v>41403</v>
      </c>
      <c r="B3197">
        <v>612.30999999999995</v>
      </c>
      <c r="C3197">
        <v>101.23</v>
      </c>
      <c r="D3197">
        <f t="shared" si="353"/>
        <v>511.07999999999993</v>
      </c>
      <c r="E3197">
        <v>2.12</v>
      </c>
      <c r="F3197">
        <f t="shared" si="354"/>
        <v>-508.95999999999992</v>
      </c>
      <c r="I3197">
        <f t="shared" si="350"/>
        <v>9</v>
      </c>
      <c r="J3197">
        <v>1</v>
      </c>
      <c r="K3197">
        <f t="shared" si="351"/>
        <v>5</v>
      </c>
      <c r="L3197">
        <f t="shared" si="352"/>
        <v>2013</v>
      </c>
      <c r="N3197" s="17">
        <f t="shared" si="355"/>
        <v>41395</v>
      </c>
      <c r="S3197">
        <f t="shared" si="356"/>
        <v>0</v>
      </c>
    </row>
    <row r="3198" spans="1:19" x14ac:dyDescent="0.3">
      <c r="A3198" s="17">
        <v>41402</v>
      </c>
      <c r="B3198">
        <v>615.72</v>
      </c>
      <c r="C3198">
        <v>101.7</v>
      </c>
      <c r="D3198">
        <f t="shared" si="353"/>
        <v>514.02</v>
      </c>
      <c r="E3198">
        <v>2.08</v>
      </c>
      <c r="F3198">
        <f t="shared" si="354"/>
        <v>-511.94</v>
      </c>
      <c r="I3198">
        <f t="shared" si="350"/>
        <v>8</v>
      </c>
      <c r="J3198">
        <v>1</v>
      </c>
      <c r="K3198">
        <f t="shared" si="351"/>
        <v>5</v>
      </c>
      <c r="L3198">
        <f t="shared" si="352"/>
        <v>2013</v>
      </c>
      <c r="N3198" s="17">
        <f t="shared" si="355"/>
        <v>41395</v>
      </c>
      <c r="S3198">
        <f t="shared" si="356"/>
        <v>0</v>
      </c>
    </row>
    <row r="3199" spans="1:19" x14ac:dyDescent="0.3">
      <c r="A3199" s="17">
        <v>41401</v>
      </c>
      <c r="B3199">
        <v>618.95000000000005</v>
      </c>
      <c r="C3199">
        <v>101.9</v>
      </c>
      <c r="D3199">
        <f t="shared" si="353"/>
        <v>517.05000000000007</v>
      </c>
      <c r="E3199">
        <v>2.06</v>
      </c>
      <c r="F3199">
        <f t="shared" si="354"/>
        <v>-514.99000000000012</v>
      </c>
      <c r="I3199">
        <f t="shared" si="350"/>
        <v>7</v>
      </c>
      <c r="J3199">
        <v>1</v>
      </c>
      <c r="K3199">
        <f t="shared" si="351"/>
        <v>5</v>
      </c>
      <c r="L3199">
        <f t="shared" si="352"/>
        <v>2013</v>
      </c>
      <c r="N3199" s="17">
        <f t="shared" si="355"/>
        <v>41395</v>
      </c>
      <c r="S3199">
        <f t="shared" si="356"/>
        <v>0</v>
      </c>
    </row>
    <row r="3200" spans="1:19" x14ac:dyDescent="0.3">
      <c r="A3200" s="17">
        <v>41400</v>
      </c>
      <c r="B3200">
        <v>617.16</v>
      </c>
      <c r="C3200">
        <v>101.8</v>
      </c>
      <c r="D3200">
        <f t="shared" si="353"/>
        <v>515.36</v>
      </c>
      <c r="E3200">
        <v>2</v>
      </c>
      <c r="F3200">
        <f t="shared" si="354"/>
        <v>-513.36</v>
      </c>
      <c r="I3200">
        <f t="shared" si="350"/>
        <v>6</v>
      </c>
      <c r="J3200">
        <v>1</v>
      </c>
      <c r="K3200">
        <f t="shared" si="351"/>
        <v>5</v>
      </c>
      <c r="L3200">
        <f t="shared" si="352"/>
        <v>2013</v>
      </c>
      <c r="N3200" s="17">
        <f t="shared" si="355"/>
        <v>41395</v>
      </c>
      <c r="S3200">
        <f t="shared" si="356"/>
        <v>0</v>
      </c>
    </row>
    <row r="3201" spans="1:19" x14ac:dyDescent="0.3">
      <c r="A3201" s="17">
        <v>41397</v>
      </c>
      <c r="B3201">
        <v>609.98</v>
      </c>
      <c r="C3201">
        <v>99.92</v>
      </c>
      <c r="D3201">
        <f t="shared" si="353"/>
        <v>510.06</v>
      </c>
      <c r="E3201">
        <v>1.97</v>
      </c>
      <c r="F3201">
        <f t="shared" si="354"/>
        <v>-508.09</v>
      </c>
      <c r="I3201">
        <f t="shared" si="350"/>
        <v>3</v>
      </c>
      <c r="J3201">
        <v>1</v>
      </c>
      <c r="K3201">
        <f t="shared" si="351"/>
        <v>5</v>
      </c>
      <c r="L3201">
        <f t="shared" si="352"/>
        <v>2013</v>
      </c>
      <c r="N3201" s="17">
        <f t="shared" si="355"/>
        <v>41395</v>
      </c>
      <c r="S3201">
        <f t="shared" si="356"/>
        <v>1</v>
      </c>
    </row>
    <row r="3202" spans="1:19" x14ac:dyDescent="0.3">
      <c r="A3202" s="17">
        <v>41396</v>
      </c>
      <c r="B3202">
        <v>599.15</v>
      </c>
      <c r="C3202">
        <v>97.91</v>
      </c>
      <c r="D3202">
        <f t="shared" si="353"/>
        <v>501.24</v>
      </c>
      <c r="E3202">
        <v>1.97</v>
      </c>
      <c r="F3202">
        <f t="shared" si="354"/>
        <v>-499.27</v>
      </c>
      <c r="I3202">
        <f t="shared" si="350"/>
        <v>2</v>
      </c>
      <c r="J3202">
        <v>1</v>
      </c>
      <c r="K3202">
        <f t="shared" si="351"/>
        <v>5</v>
      </c>
      <c r="L3202">
        <f t="shared" si="352"/>
        <v>2013</v>
      </c>
      <c r="N3202" s="17">
        <f t="shared" si="355"/>
        <v>41395</v>
      </c>
      <c r="S3202">
        <f t="shared" si="356"/>
        <v>1</v>
      </c>
    </row>
    <row r="3203" spans="1:19" x14ac:dyDescent="0.3">
      <c r="A3203" s="17">
        <v>41394</v>
      </c>
      <c r="B3203">
        <v>612</v>
      </c>
      <c r="C3203">
        <v>101.26</v>
      </c>
      <c r="D3203">
        <f t="shared" si="353"/>
        <v>510.74</v>
      </c>
      <c r="E3203">
        <v>2.0299999999999998</v>
      </c>
      <c r="F3203">
        <f t="shared" si="354"/>
        <v>-508.71000000000004</v>
      </c>
      <c r="I3203">
        <f t="shared" si="350"/>
        <v>30</v>
      </c>
      <c r="J3203">
        <v>1</v>
      </c>
      <c r="K3203">
        <f t="shared" si="351"/>
        <v>4</v>
      </c>
      <c r="L3203">
        <f t="shared" si="352"/>
        <v>2013</v>
      </c>
      <c r="N3203" s="17">
        <f t="shared" si="355"/>
        <v>41365</v>
      </c>
      <c r="S3203">
        <f t="shared" si="356"/>
        <v>0</v>
      </c>
    </row>
    <row r="3204" spans="1:19" x14ac:dyDescent="0.3">
      <c r="A3204" s="17">
        <v>41393</v>
      </c>
      <c r="B3204">
        <v>610.09</v>
      </c>
      <c r="C3204">
        <v>101.05</v>
      </c>
      <c r="D3204">
        <f t="shared" si="353"/>
        <v>509.04</v>
      </c>
      <c r="E3204">
        <v>1.94</v>
      </c>
      <c r="F3204">
        <f t="shared" si="354"/>
        <v>-507.1</v>
      </c>
      <c r="I3204">
        <f t="shared" si="350"/>
        <v>29</v>
      </c>
      <c r="J3204">
        <v>1</v>
      </c>
      <c r="K3204">
        <f t="shared" si="351"/>
        <v>4</v>
      </c>
      <c r="L3204">
        <f t="shared" si="352"/>
        <v>2013</v>
      </c>
      <c r="N3204" s="17">
        <f t="shared" si="355"/>
        <v>41365</v>
      </c>
      <c r="S3204">
        <f t="shared" si="356"/>
        <v>0</v>
      </c>
    </row>
    <row r="3205" spans="1:19" x14ac:dyDescent="0.3">
      <c r="A3205" s="17">
        <v>41390</v>
      </c>
      <c r="B3205">
        <v>610.6</v>
      </c>
      <c r="C3205">
        <v>101.05</v>
      </c>
      <c r="D3205">
        <f t="shared" si="353"/>
        <v>509.55</v>
      </c>
      <c r="E3205">
        <v>1.99</v>
      </c>
      <c r="F3205">
        <f t="shared" si="354"/>
        <v>-507.56</v>
      </c>
      <c r="I3205">
        <f t="shared" ref="I3205:I3268" si="357">+DAY(A3205)</f>
        <v>26</v>
      </c>
      <c r="J3205">
        <v>1</v>
      </c>
      <c r="K3205">
        <f t="shared" ref="K3205:K3268" si="358">+MONTH(A3205)</f>
        <v>4</v>
      </c>
      <c r="L3205">
        <f t="shared" ref="L3205:L3268" si="359">+YEAR(A3205)</f>
        <v>2013</v>
      </c>
      <c r="N3205" s="17">
        <f t="shared" si="355"/>
        <v>41365</v>
      </c>
      <c r="S3205">
        <f t="shared" si="356"/>
        <v>0</v>
      </c>
    </row>
    <row r="3206" spans="1:19" x14ac:dyDescent="0.3">
      <c r="A3206" s="17">
        <v>41389</v>
      </c>
      <c r="B3206">
        <v>601.99</v>
      </c>
      <c r="C3206">
        <v>100.19</v>
      </c>
      <c r="D3206">
        <f t="shared" ref="D3206:D3269" si="360">+B3206-C3206</f>
        <v>501.8</v>
      </c>
      <c r="E3206">
        <v>2.0099999999999998</v>
      </c>
      <c r="F3206">
        <f t="shared" ref="F3206:F3269" si="361">+E3206-D3206</f>
        <v>-499.79</v>
      </c>
      <c r="I3206">
        <f t="shared" si="357"/>
        <v>25</v>
      </c>
      <c r="J3206">
        <v>1</v>
      </c>
      <c r="K3206">
        <f t="shared" si="358"/>
        <v>4</v>
      </c>
      <c r="L3206">
        <f t="shared" si="359"/>
        <v>2013</v>
      </c>
      <c r="N3206" s="17">
        <f t="shared" ref="N3206:N3269" si="362">+DATE(L3206,K3206,J3206)</f>
        <v>41365</v>
      </c>
      <c r="S3206">
        <f t="shared" ref="S3206:S3269" si="363">IF(AND(I3206&gt;=1, I3206&lt;=4), 1, 0)</f>
        <v>0</v>
      </c>
    </row>
    <row r="3207" spans="1:19" x14ac:dyDescent="0.3">
      <c r="A3207" s="17">
        <v>41388</v>
      </c>
      <c r="B3207">
        <v>596.19000000000005</v>
      </c>
      <c r="C3207">
        <v>99.6</v>
      </c>
      <c r="D3207">
        <f t="shared" si="360"/>
        <v>496.59000000000003</v>
      </c>
      <c r="E3207">
        <v>2.0099999999999998</v>
      </c>
      <c r="F3207">
        <f t="shared" si="361"/>
        <v>-494.58000000000004</v>
      </c>
      <c r="I3207">
        <f t="shared" si="357"/>
        <v>24</v>
      </c>
      <c r="J3207">
        <v>1</v>
      </c>
      <c r="K3207">
        <f t="shared" si="358"/>
        <v>4</v>
      </c>
      <c r="L3207">
        <f t="shared" si="359"/>
        <v>2013</v>
      </c>
      <c r="N3207" s="17">
        <f t="shared" si="362"/>
        <v>41365</v>
      </c>
      <c r="S3207">
        <f t="shared" si="363"/>
        <v>0</v>
      </c>
    </row>
    <row r="3208" spans="1:19" x14ac:dyDescent="0.3">
      <c r="A3208" s="17">
        <v>41387</v>
      </c>
      <c r="B3208">
        <v>590.85</v>
      </c>
      <c r="C3208">
        <v>98.16</v>
      </c>
      <c r="D3208">
        <f t="shared" si="360"/>
        <v>492.69000000000005</v>
      </c>
      <c r="E3208">
        <v>2.0099999999999998</v>
      </c>
      <c r="F3208">
        <f t="shared" si="361"/>
        <v>-490.68000000000006</v>
      </c>
      <c r="I3208">
        <f t="shared" si="357"/>
        <v>23</v>
      </c>
      <c r="J3208">
        <v>1</v>
      </c>
      <c r="K3208">
        <f t="shared" si="358"/>
        <v>4</v>
      </c>
      <c r="L3208">
        <f t="shared" si="359"/>
        <v>2013</v>
      </c>
      <c r="N3208" s="17">
        <f t="shared" si="362"/>
        <v>41365</v>
      </c>
      <c r="S3208">
        <f t="shared" si="363"/>
        <v>0</v>
      </c>
    </row>
    <row r="3209" spans="1:19" x14ac:dyDescent="0.3">
      <c r="A3209" s="17">
        <v>41386</v>
      </c>
      <c r="B3209">
        <v>593.19000000000005</v>
      </c>
      <c r="C3209">
        <v>98.25</v>
      </c>
      <c r="D3209">
        <f t="shared" si="360"/>
        <v>494.94000000000005</v>
      </c>
      <c r="E3209">
        <v>2.0099999999999998</v>
      </c>
      <c r="F3209">
        <f t="shared" si="361"/>
        <v>-492.93000000000006</v>
      </c>
      <c r="I3209">
        <f t="shared" si="357"/>
        <v>22</v>
      </c>
      <c r="J3209">
        <v>1</v>
      </c>
      <c r="K3209">
        <f t="shared" si="358"/>
        <v>4</v>
      </c>
      <c r="L3209">
        <f t="shared" si="359"/>
        <v>2013</v>
      </c>
      <c r="N3209" s="17">
        <f t="shared" si="362"/>
        <v>41365</v>
      </c>
      <c r="S3209">
        <f t="shared" si="363"/>
        <v>0</v>
      </c>
    </row>
    <row r="3210" spans="1:19" x14ac:dyDescent="0.3">
      <c r="A3210" s="17">
        <v>41383</v>
      </c>
      <c r="B3210">
        <v>597.38</v>
      </c>
      <c r="C3210">
        <v>98.11</v>
      </c>
      <c r="D3210">
        <f t="shared" si="360"/>
        <v>499.27</v>
      </c>
      <c r="E3210">
        <v>1.94</v>
      </c>
      <c r="F3210">
        <f t="shared" si="361"/>
        <v>-497.33</v>
      </c>
      <c r="I3210">
        <f t="shared" si="357"/>
        <v>19</v>
      </c>
      <c r="J3210">
        <v>1</v>
      </c>
      <c r="K3210">
        <f t="shared" si="358"/>
        <v>4</v>
      </c>
      <c r="L3210">
        <f t="shared" si="359"/>
        <v>2013</v>
      </c>
      <c r="N3210" s="17">
        <f t="shared" si="362"/>
        <v>41365</v>
      </c>
      <c r="S3210">
        <f t="shared" si="363"/>
        <v>0</v>
      </c>
    </row>
    <row r="3211" spans="1:19" x14ac:dyDescent="0.3">
      <c r="A3211" s="17">
        <v>41382</v>
      </c>
      <c r="B3211">
        <v>589.78</v>
      </c>
      <c r="C3211">
        <v>96.74</v>
      </c>
      <c r="D3211">
        <f t="shared" si="360"/>
        <v>493.03999999999996</v>
      </c>
      <c r="E3211">
        <v>1.87</v>
      </c>
      <c r="F3211">
        <f t="shared" si="361"/>
        <v>-491.16999999999996</v>
      </c>
      <c r="I3211">
        <f t="shared" si="357"/>
        <v>18</v>
      </c>
      <c r="J3211">
        <v>1</v>
      </c>
      <c r="K3211">
        <f t="shared" si="358"/>
        <v>4</v>
      </c>
      <c r="L3211">
        <f t="shared" si="359"/>
        <v>2013</v>
      </c>
      <c r="N3211" s="17">
        <f t="shared" si="362"/>
        <v>41365</v>
      </c>
      <c r="S3211">
        <f t="shared" si="363"/>
        <v>0</v>
      </c>
    </row>
    <row r="3212" spans="1:19" x14ac:dyDescent="0.3">
      <c r="A3212" s="17">
        <v>41381</v>
      </c>
      <c r="B3212">
        <v>596.03</v>
      </c>
      <c r="C3212">
        <v>98.03</v>
      </c>
      <c r="D3212">
        <f t="shared" si="360"/>
        <v>498</v>
      </c>
      <c r="E3212">
        <v>1.79</v>
      </c>
      <c r="F3212">
        <f t="shared" si="361"/>
        <v>-496.21</v>
      </c>
      <c r="I3212">
        <f t="shared" si="357"/>
        <v>17</v>
      </c>
      <c r="J3212">
        <v>1</v>
      </c>
      <c r="K3212">
        <f t="shared" si="358"/>
        <v>4</v>
      </c>
      <c r="L3212">
        <f t="shared" si="359"/>
        <v>2013</v>
      </c>
      <c r="N3212" s="17">
        <f t="shared" si="362"/>
        <v>41365</v>
      </c>
      <c r="S3212">
        <f t="shared" si="363"/>
        <v>0</v>
      </c>
    </row>
    <row r="3213" spans="1:19" x14ac:dyDescent="0.3">
      <c r="A3213" s="17">
        <v>41380</v>
      </c>
      <c r="B3213">
        <v>592.38</v>
      </c>
      <c r="C3213">
        <v>97.9</v>
      </c>
      <c r="D3213">
        <f t="shared" si="360"/>
        <v>494.48</v>
      </c>
      <c r="E3213">
        <v>1.77</v>
      </c>
      <c r="F3213">
        <f t="shared" si="361"/>
        <v>-492.71000000000004</v>
      </c>
      <c r="I3213">
        <f t="shared" si="357"/>
        <v>16</v>
      </c>
      <c r="J3213">
        <v>1</v>
      </c>
      <c r="K3213">
        <f t="shared" si="358"/>
        <v>4</v>
      </c>
      <c r="L3213">
        <f t="shared" si="359"/>
        <v>2013</v>
      </c>
      <c r="N3213" s="17">
        <f t="shared" si="362"/>
        <v>41365</v>
      </c>
      <c r="S3213">
        <f t="shared" si="363"/>
        <v>0</v>
      </c>
    </row>
    <row r="3214" spans="1:19" x14ac:dyDescent="0.3">
      <c r="A3214" s="17">
        <v>41379</v>
      </c>
      <c r="B3214">
        <v>603.41</v>
      </c>
      <c r="C3214">
        <v>99.27</v>
      </c>
      <c r="D3214">
        <f t="shared" si="360"/>
        <v>504.14</v>
      </c>
      <c r="E3214">
        <v>1.8</v>
      </c>
      <c r="F3214">
        <f t="shared" si="361"/>
        <v>-502.34</v>
      </c>
      <c r="I3214">
        <f t="shared" si="357"/>
        <v>15</v>
      </c>
      <c r="J3214">
        <v>1</v>
      </c>
      <c r="K3214">
        <f t="shared" si="358"/>
        <v>4</v>
      </c>
      <c r="L3214">
        <f t="shared" si="359"/>
        <v>2013</v>
      </c>
      <c r="N3214" s="17">
        <f t="shared" si="362"/>
        <v>41365</v>
      </c>
      <c r="S3214">
        <f t="shared" si="363"/>
        <v>0</v>
      </c>
    </row>
    <row r="3215" spans="1:19" x14ac:dyDescent="0.3">
      <c r="A3215" s="17">
        <v>41376</v>
      </c>
      <c r="B3215">
        <v>614.84</v>
      </c>
      <c r="C3215">
        <v>101.64</v>
      </c>
      <c r="D3215">
        <f t="shared" si="360"/>
        <v>513.20000000000005</v>
      </c>
      <c r="E3215">
        <v>1.82</v>
      </c>
      <c r="F3215">
        <f t="shared" si="361"/>
        <v>-511.38000000000005</v>
      </c>
      <c r="I3215">
        <f t="shared" si="357"/>
        <v>12</v>
      </c>
      <c r="J3215">
        <v>1</v>
      </c>
      <c r="K3215">
        <f t="shared" si="358"/>
        <v>4</v>
      </c>
      <c r="L3215">
        <f t="shared" si="359"/>
        <v>2013</v>
      </c>
      <c r="N3215" s="17">
        <f t="shared" si="362"/>
        <v>41365</v>
      </c>
      <c r="S3215">
        <f t="shared" si="363"/>
        <v>0</v>
      </c>
    </row>
    <row r="3216" spans="1:19" x14ac:dyDescent="0.3">
      <c r="A3216" s="17">
        <v>41375</v>
      </c>
      <c r="B3216">
        <v>621.30999999999995</v>
      </c>
      <c r="C3216">
        <v>103.05</v>
      </c>
      <c r="D3216">
        <f t="shared" si="360"/>
        <v>518.26</v>
      </c>
      <c r="E3216">
        <v>1.8</v>
      </c>
      <c r="F3216">
        <f t="shared" si="361"/>
        <v>-516.46</v>
      </c>
      <c r="I3216">
        <f t="shared" si="357"/>
        <v>11</v>
      </c>
      <c r="J3216">
        <v>1</v>
      </c>
      <c r="K3216">
        <f t="shared" si="358"/>
        <v>4</v>
      </c>
      <c r="L3216">
        <f t="shared" si="359"/>
        <v>2013</v>
      </c>
      <c r="N3216" s="17">
        <f t="shared" si="362"/>
        <v>41365</v>
      </c>
      <c r="S3216">
        <f t="shared" si="363"/>
        <v>0</v>
      </c>
    </row>
    <row r="3217" spans="1:19" x14ac:dyDescent="0.3">
      <c r="A3217" s="17">
        <v>41374</v>
      </c>
      <c r="B3217">
        <v>623.12</v>
      </c>
      <c r="C3217">
        <v>103.72</v>
      </c>
      <c r="D3217">
        <f t="shared" si="360"/>
        <v>519.4</v>
      </c>
      <c r="E3217">
        <v>1.7</v>
      </c>
      <c r="F3217">
        <f t="shared" si="361"/>
        <v>-517.69999999999993</v>
      </c>
      <c r="I3217">
        <f t="shared" si="357"/>
        <v>10</v>
      </c>
      <c r="J3217">
        <v>1</v>
      </c>
      <c r="K3217">
        <f t="shared" si="358"/>
        <v>4</v>
      </c>
      <c r="L3217">
        <f t="shared" si="359"/>
        <v>2013</v>
      </c>
      <c r="N3217" s="17">
        <f t="shared" si="362"/>
        <v>41365</v>
      </c>
      <c r="S3217">
        <f t="shared" si="363"/>
        <v>0</v>
      </c>
    </row>
    <row r="3218" spans="1:19" x14ac:dyDescent="0.3">
      <c r="A3218" s="17">
        <v>41373</v>
      </c>
      <c r="B3218">
        <v>619.94000000000005</v>
      </c>
      <c r="C3218">
        <v>103.1</v>
      </c>
      <c r="D3218">
        <f t="shared" si="360"/>
        <v>516.84</v>
      </c>
      <c r="E3218">
        <v>1.65</v>
      </c>
      <c r="F3218">
        <f t="shared" si="361"/>
        <v>-515.19000000000005</v>
      </c>
      <c r="I3218">
        <f t="shared" si="357"/>
        <v>9</v>
      </c>
      <c r="J3218">
        <v>1</v>
      </c>
      <c r="K3218">
        <f t="shared" si="358"/>
        <v>4</v>
      </c>
      <c r="L3218">
        <f t="shared" si="359"/>
        <v>2013</v>
      </c>
      <c r="N3218" s="17">
        <f t="shared" si="362"/>
        <v>41365</v>
      </c>
      <c r="S3218">
        <f t="shared" si="363"/>
        <v>0</v>
      </c>
    </row>
    <row r="3219" spans="1:19" x14ac:dyDescent="0.3">
      <c r="A3219" s="17">
        <v>41372</v>
      </c>
      <c r="B3219">
        <v>618.79</v>
      </c>
      <c r="C3219">
        <v>103.15</v>
      </c>
      <c r="D3219">
        <f t="shared" si="360"/>
        <v>515.64</v>
      </c>
      <c r="E3219">
        <v>1.68</v>
      </c>
      <c r="F3219">
        <f t="shared" si="361"/>
        <v>-513.96</v>
      </c>
      <c r="I3219">
        <f t="shared" si="357"/>
        <v>8</v>
      </c>
      <c r="J3219">
        <v>1</v>
      </c>
      <c r="K3219">
        <f t="shared" si="358"/>
        <v>4</v>
      </c>
      <c r="L3219">
        <f t="shared" si="359"/>
        <v>2013</v>
      </c>
      <c r="N3219" s="17">
        <f t="shared" si="362"/>
        <v>41365</v>
      </c>
      <c r="S3219">
        <f t="shared" si="363"/>
        <v>0</v>
      </c>
    </row>
    <row r="3220" spans="1:19" x14ac:dyDescent="0.3">
      <c r="A3220" s="17">
        <v>41369</v>
      </c>
      <c r="B3220">
        <v>618.19000000000005</v>
      </c>
      <c r="C3220">
        <v>104.07</v>
      </c>
      <c r="D3220">
        <f t="shared" si="360"/>
        <v>514.12000000000012</v>
      </c>
      <c r="E3220">
        <v>1.66</v>
      </c>
      <c r="F3220">
        <f t="shared" si="361"/>
        <v>-512.46000000000015</v>
      </c>
      <c r="I3220">
        <f t="shared" si="357"/>
        <v>5</v>
      </c>
      <c r="J3220">
        <v>1</v>
      </c>
      <c r="K3220">
        <f t="shared" si="358"/>
        <v>4</v>
      </c>
      <c r="L3220">
        <f t="shared" si="359"/>
        <v>2013</v>
      </c>
      <c r="N3220" s="17">
        <f t="shared" si="362"/>
        <v>41365</v>
      </c>
      <c r="S3220">
        <f t="shared" si="363"/>
        <v>0</v>
      </c>
    </row>
    <row r="3221" spans="1:19" x14ac:dyDescent="0.3">
      <c r="A3221" s="17">
        <v>41368</v>
      </c>
      <c r="B3221">
        <v>618.19000000000005</v>
      </c>
      <c r="C3221">
        <v>105</v>
      </c>
      <c r="D3221">
        <f t="shared" si="360"/>
        <v>513.19000000000005</v>
      </c>
      <c r="E3221">
        <v>1.62</v>
      </c>
      <c r="F3221">
        <f t="shared" si="361"/>
        <v>-511.57000000000005</v>
      </c>
      <c r="I3221">
        <f t="shared" si="357"/>
        <v>4</v>
      </c>
      <c r="J3221">
        <v>1</v>
      </c>
      <c r="K3221">
        <f t="shared" si="358"/>
        <v>4</v>
      </c>
      <c r="L3221">
        <f t="shared" si="359"/>
        <v>2013</v>
      </c>
      <c r="N3221" s="17">
        <f t="shared" si="362"/>
        <v>41365</v>
      </c>
      <c r="S3221">
        <f t="shared" si="363"/>
        <v>1</v>
      </c>
    </row>
    <row r="3222" spans="1:19" x14ac:dyDescent="0.3">
      <c r="A3222" s="17">
        <v>41367</v>
      </c>
      <c r="B3222">
        <v>636.76</v>
      </c>
      <c r="C3222">
        <v>107.84</v>
      </c>
      <c r="D3222">
        <f t="shared" si="360"/>
        <v>528.91999999999996</v>
      </c>
      <c r="E3222">
        <v>1.54</v>
      </c>
      <c r="F3222">
        <f t="shared" si="361"/>
        <v>-527.38</v>
      </c>
      <c r="I3222">
        <f t="shared" si="357"/>
        <v>3</v>
      </c>
      <c r="J3222">
        <v>1</v>
      </c>
      <c r="K3222">
        <f t="shared" si="358"/>
        <v>4</v>
      </c>
      <c r="L3222">
        <f t="shared" si="359"/>
        <v>2013</v>
      </c>
      <c r="N3222" s="17">
        <f t="shared" si="362"/>
        <v>41365</v>
      </c>
      <c r="S3222">
        <f t="shared" si="363"/>
        <v>1</v>
      </c>
    </row>
    <row r="3223" spans="1:19" x14ac:dyDescent="0.3">
      <c r="A3223" s="17">
        <v>41366</v>
      </c>
      <c r="B3223">
        <v>640.95000000000005</v>
      </c>
      <c r="C3223">
        <v>108.36</v>
      </c>
      <c r="D3223">
        <f t="shared" si="360"/>
        <v>532.59</v>
      </c>
      <c r="E3223">
        <v>1.42</v>
      </c>
      <c r="F3223">
        <f t="shared" si="361"/>
        <v>-531.17000000000007</v>
      </c>
      <c r="I3223">
        <f t="shared" si="357"/>
        <v>2</v>
      </c>
      <c r="J3223">
        <v>1</v>
      </c>
      <c r="K3223">
        <f t="shared" si="358"/>
        <v>4</v>
      </c>
      <c r="L3223">
        <f t="shared" si="359"/>
        <v>2013</v>
      </c>
      <c r="N3223" s="17">
        <f t="shared" si="362"/>
        <v>41365</v>
      </c>
      <c r="S3223">
        <f t="shared" si="363"/>
        <v>1</v>
      </c>
    </row>
    <row r="3224" spans="1:19" x14ac:dyDescent="0.3">
      <c r="A3224" s="17">
        <v>41365</v>
      </c>
      <c r="B3224">
        <v>633.58000000000004</v>
      </c>
      <c r="C3224">
        <v>107.33</v>
      </c>
      <c r="D3224">
        <f t="shared" si="360"/>
        <v>526.25</v>
      </c>
      <c r="E3224">
        <v>1.42</v>
      </c>
      <c r="F3224">
        <f t="shared" si="361"/>
        <v>-524.83000000000004</v>
      </c>
      <c r="I3224">
        <f t="shared" si="357"/>
        <v>1</v>
      </c>
      <c r="J3224">
        <v>1</v>
      </c>
      <c r="K3224">
        <f t="shared" si="358"/>
        <v>4</v>
      </c>
      <c r="L3224">
        <f t="shared" si="359"/>
        <v>2013</v>
      </c>
      <c r="N3224" s="17">
        <f t="shared" si="362"/>
        <v>41365</v>
      </c>
      <c r="S3224">
        <f t="shared" si="363"/>
        <v>1</v>
      </c>
    </row>
    <row r="3225" spans="1:19" x14ac:dyDescent="0.3">
      <c r="A3225" s="17">
        <v>41361</v>
      </c>
      <c r="B3225">
        <v>637.1</v>
      </c>
      <c r="C3225">
        <v>107.09</v>
      </c>
      <c r="D3225">
        <f t="shared" si="360"/>
        <v>530.01</v>
      </c>
      <c r="E3225">
        <v>1.52</v>
      </c>
      <c r="F3225">
        <f t="shared" si="361"/>
        <v>-528.49</v>
      </c>
      <c r="I3225">
        <f t="shared" si="357"/>
        <v>28</v>
      </c>
      <c r="J3225">
        <v>1</v>
      </c>
      <c r="K3225">
        <f t="shared" si="358"/>
        <v>3</v>
      </c>
      <c r="L3225">
        <f t="shared" si="359"/>
        <v>2013</v>
      </c>
      <c r="N3225" s="17">
        <f t="shared" si="362"/>
        <v>41334</v>
      </c>
      <c r="S3225">
        <f t="shared" si="363"/>
        <v>0</v>
      </c>
    </row>
    <row r="3226" spans="1:19" x14ac:dyDescent="0.3">
      <c r="A3226" s="17">
        <v>41360</v>
      </c>
      <c r="B3226">
        <v>630.27</v>
      </c>
      <c r="C3226">
        <v>106.25</v>
      </c>
      <c r="D3226">
        <f t="shared" si="360"/>
        <v>524.02</v>
      </c>
      <c r="E3226">
        <v>1.57</v>
      </c>
      <c r="F3226">
        <f t="shared" si="361"/>
        <v>-522.44999999999993</v>
      </c>
      <c r="I3226">
        <f t="shared" si="357"/>
        <v>27</v>
      </c>
      <c r="J3226">
        <v>1</v>
      </c>
      <c r="K3226">
        <f t="shared" si="358"/>
        <v>3</v>
      </c>
      <c r="L3226">
        <f t="shared" si="359"/>
        <v>2013</v>
      </c>
      <c r="N3226" s="17">
        <f t="shared" si="362"/>
        <v>41334</v>
      </c>
      <c r="S3226">
        <f t="shared" si="363"/>
        <v>0</v>
      </c>
    </row>
    <row r="3227" spans="1:19" x14ac:dyDescent="0.3">
      <c r="A3227" s="17">
        <v>41359</v>
      </c>
      <c r="B3227">
        <v>623.86</v>
      </c>
      <c r="C3227">
        <v>105.15</v>
      </c>
      <c r="D3227">
        <f t="shared" si="360"/>
        <v>518.71</v>
      </c>
      <c r="E3227">
        <v>1.62</v>
      </c>
      <c r="F3227">
        <f t="shared" si="361"/>
        <v>-517.09</v>
      </c>
      <c r="I3227">
        <f t="shared" si="357"/>
        <v>26</v>
      </c>
      <c r="J3227">
        <v>1</v>
      </c>
      <c r="K3227">
        <f t="shared" si="358"/>
        <v>3</v>
      </c>
      <c r="L3227">
        <f t="shared" si="359"/>
        <v>2013</v>
      </c>
      <c r="N3227" s="17">
        <f t="shared" si="362"/>
        <v>41334</v>
      </c>
      <c r="S3227">
        <f t="shared" si="363"/>
        <v>0</v>
      </c>
    </row>
    <row r="3228" spans="1:19" x14ac:dyDescent="0.3">
      <c r="A3228" s="17">
        <v>41358</v>
      </c>
      <c r="B3228">
        <v>625.23</v>
      </c>
      <c r="C3228">
        <v>105</v>
      </c>
      <c r="D3228">
        <f t="shared" si="360"/>
        <v>520.23</v>
      </c>
      <c r="E3228">
        <v>1.68</v>
      </c>
      <c r="F3228">
        <f t="shared" si="361"/>
        <v>-518.55000000000007</v>
      </c>
      <c r="I3228">
        <f t="shared" si="357"/>
        <v>25</v>
      </c>
      <c r="J3228">
        <v>1</v>
      </c>
      <c r="K3228">
        <f t="shared" si="358"/>
        <v>3</v>
      </c>
      <c r="L3228">
        <f t="shared" si="359"/>
        <v>2013</v>
      </c>
      <c r="N3228" s="17">
        <f t="shared" si="362"/>
        <v>41334</v>
      </c>
      <c r="S3228">
        <f t="shared" si="363"/>
        <v>0</v>
      </c>
    </row>
    <row r="3229" spans="1:19" x14ac:dyDescent="0.3">
      <c r="A3229" s="17">
        <v>41355</v>
      </c>
      <c r="B3229">
        <v>621.97</v>
      </c>
      <c r="C3229">
        <v>104.1</v>
      </c>
      <c r="D3229">
        <f t="shared" si="360"/>
        <v>517.87</v>
      </c>
      <c r="E3229">
        <v>1.74</v>
      </c>
      <c r="F3229">
        <f t="shared" si="361"/>
        <v>-516.13</v>
      </c>
      <c r="I3229">
        <f t="shared" si="357"/>
        <v>22</v>
      </c>
      <c r="J3229">
        <v>1</v>
      </c>
      <c r="K3229">
        <f t="shared" si="358"/>
        <v>3</v>
      </c>
      <c r="L3229">
        <f t="shared" si="359"/>
        <v>2013</v>
      </c>
      <c r="N3229" s="17">
        <f t="shared" si="362"/>
        <v>41334</v>
      </c>
      <c r="S3229">
        <f t="shared" si="363"/>
        <v>0</v>
      </c>
    </row>
    <row r="3230" spans="1:19" x14ac:dyDescent="0.3">
      <c r="A3230" s="17">
        <v>41354</v>
      </c>
      <c r="B3230">
        <v>625.49</v>
      </c>
      <c r="C3230">
        <v>105.1</v>
      </c>
      <c r="D3230">
        <f t="shared" si="360"/>
        <v>520.39</v>
      </c>
      <c r="E3230">
        <v>1.77</v>
      </c>
      <c r="F3230">
        <f t="shared" si="361"/>
        <v>-518.62</v>
      </c>
      <c r="I3230">
        <f t="shared" si="357"/>
        <v>21</v>
      </c>
      <c r="J3230">
        <v>1</v>
      </c>
      <c r="K3230">
        <f t="shared" si="358"/>
        <v>3</v>
      </c>
      <c r="L3230">
        <f t="shared" si="359"/>
        <v>2013</v>
      </c>
      <c r="N3230" s="17">
        <f t="shared" si="362"/>
        <v>41334</v>
      </c>
      <c r="S3230">
        <f t="shared" si="363"/>
        <v>0</v>
      </c>
    </row>
    <row r="3231" spans="1:19" x14ac:dyDescent="0.3">
      <c r="A3231" s="17">
        <v>41353</v>
      </c>
      <c r="B3231">
        <v>626.14</v>
      </c>
      <c r="C3231">
        <v>104.75</v>
      </c>
      <c r="D3231">
        <f t="shared" si="360"/>
        <v>521.39</v>
      </c>
      <c r="E3231">
        <v>1.73</v>
      </c>
      <c r="F3231">
        <f t="shared" si="361"/>
        <v>-519.66</v>
      </c>
      <c r="I3231">
        <f t="shared" si="357"/>
        <v>20</v>
      </c>
      <c r="J3231">
        <v>1</v>
      </c>
      <c r="K3231">
        <f t="shared" si="358"/>
        <v>3</v>
      </c>
      <c r="L3231">
        <f t="shared" si="359"/>
        <v>2013</v>
      </c>
      <c r="N3231" s="17">
        <f t="shared" si="362"/>
        <v>41334</v>
      </c>
      <c r="S3231">
        <f t="shared" si="363"/>
        <v>0</v>
      </c>
    </row>
    <row r="3232" spans="1:19" x14ac:dyDescent="0.3">
      <c r="A3232" s="17">
        <v>41352</v>
      </c>
      <c r="B3232">
        <v>632.78</v>
      </c>
      <c r="C3232">
        <v>105.85</v>
      </c>
      <c r="D3232">
        <f t="shared" si="360"/>
        <v>526.92999999999995</v>
      </c>
      <c r="E3232">
        <v>1.81</v>
      </c>
      <c r="F3232">
        <f t="shared" si="361"/>
        <v>-525.12</v>
      </c>
      <c r="I3232">
        <f t="shared" si="357"/>
        <v>19</v>
      </c>
      <c r="J3232">
        <v>1</v>
      </c>
      <c r="K3232">
        <f t="shared" si="358"/>
        <v>3</v>
      </c>
      <c r="L3232">
        <f t="shared" si="359"/>
        <v>2013</v>
      </c>
      <c r="N3232" s="17">
        <f t="shared" si="362"/>
        <v>41334</v>
      </c>
      <c r="S3232">
        <f t="shared" si="363"/>
        <v>0</v>
      </c>
    </row>
    <row r="3233" spans="1:19" x14ac:dyDescent="0.3">
      <c r="A3233" s="17">
        <v>41351</v>
      </c>
      <c r="B3233">
        <v>630.21</v>
      </c>
      <c r="C3233">
        <v>105.01</v>
      </c>
      <c r="D3233">
        <f t="shared" si="360"/>
        <v>525.20000000000005</v>
      </c>
      <c r="E3233">
        <v>1.86</v>
      </c>
      <c r="F3233">
        <f t="shared" si="361"/>
        <v>-523.34</v>
      </c>
      <c r="I3233">
        <f t="shared" si="357"/>
        <v>18</v>
      </c>
      <c r="J3233">
        <v>1</v>
      </c>
      <c r="K3233">
        <f t="shared" si="358"/>
        <v>3</v>
      </c>
      <c r="L3233">
        <f t="shared" si="359"/>
        <v>2013</v>
      </c>
      <c r="N3233" s="17">
        <f t="shared" si="362"/>
        <v>41334</v>
      </c>
      <c r="S3233">
        <f t="shared" si="363"/>
        <v>0</v>
      </c>
    </row>
    <row r="3234" spans="1:19" x14ac:dyDescent="0.3">
      <c r="A3234" s="17">
        <v>41348</v>
      </c>
      <c r="B3234">
        <v>633.41</v>
      </c>
      <c r="C3234">
        <v>105.1</v>
      </c>
      <c r="D3234">
        <f t="shared" si="360"/>
        <v>528.30999999999995</v>
      </c>
      <c r="E3234">
        <v>1.85</v>
      </c>
      <c r="F3234">
        <f t="shared" si="361"/>
        <v>-526.45999999999992</v>
      </c>
      <c r="I3234">
        <f t="shared" si="357"/>
        <v>15</v>
      </c>
      <c r="J3234">
        <v>1</v>
      </c>
      <c r="K3234">
        <f t="shared" si="358"/>
        <v>3</v>
      </c>
      <c r="L3234">
        <f t="shared" si="359"/>
        <v>2013</v>
      </c>
      <c r="N3234" s="17">
        <f t="shared" si="362"/>
        <v>41334</v>
      </c>
      <c r="S3234">
        <f t="shared" si="363"/>
        <v>0</v>
      </c>
    </row>
    <row r="3235" spans="1:19" x14ac:dyDescent="0.3">
      <c r="A3235" s="17">
        <v>41347</v>
      </c>
      <c r="B3235">
        <v>629.07000000000005</v>
      </c>
      <c r="C3235">
        <v>104.6</v>
      </c>
      <c r="D3235">
        <f t="shared" si="360"/>
        <v>524.47</v>
      </c>
      <c r="E3235">
        <v>1.87</v>
      </c>
      <c r="F3235">
        <f t="shared" si="361"/>
        <v>-522.6</v>
      </c>
      <c r="I3235">
        <f t="shared" si="357"/>
        <v>14</v>
      </c>
      <c r="J3235">
        <v>1</v>
      </c>
      <c r="K3235">
        <f t="shared" si="358"/>
        <v>3</v>
      </c>
      <c r="L3235">
        <f t="shared" si="359"/>
        <v>2013</v>
      </c>
      <c r="N3235" s="17">
        <f t="shared" si="362"/>
        <v>41334</v>
      </c>
      <c r="S3235">
        <f t="shared" si="363"/>
        <v>0</v>
      </c>
    </row>
    <row r="3236" spans="1:19" x14ac:dyDescent="0.3">
      <c r="A3236" s="17">
        <v>41346</v>
      </c>
      <c r="B3236">
        <v>631.83000000000004</v>
      </c>
      <c r="C3236">
        <v>105.5</v>
      </c>
      <c r="D3236">
        <f t="shared" si="360"/>
        <v>526.33000000000004</v>
      </c>
      <c r="E3236">
        <v>1.85</v>
      </c>
      <c r="F3236">
        <f t="shared" si="361"/>
        <v>-524.48</v>
      </c>
      <c r="I3236">
        <f t="shared" si="357"/>
        <v>13</v>
      </c>
      <c r="J3236">
        <v>1</v>
      </c>
      <c r="K3236">
        <f t="shared" si="358"/>
        <v>3</v>
      </c>
      <c r="L3236">
        <f t="shared" si="359"/>
        <v>2013</v>
      </c>
      <c r="N3236" s="17">
        <f t="shared" si="362"/>
        <v>41334</v>
      </c>
      <c r="S3236">
        <f t="shared" si="363"/>
        <v>0</v>
      </c>
    </row>
    <row r="3237" spans="1:19" x14ac:dyDescent="0.3">
      <c r="A3237" s="17">
        <v>41345</v>
      </c>
      <c r="B3237">
        <v>632.54</v>
      </c>
      <c r="C3237">
        <v>105.5</v>
      </c>
      <c r="D3237">
        <f t="shared" si="360"/>
        <v>527.04</v>
      </c>
      <c r="E3237">
        <v>1.85</v>
      </c>
      <c r="F3237">
        <f t="shared" si="361"/>
        <v>-525.18999999999994</v>
      </c>
      <c r="I3237">
        <f t="shared" si="357"/>
        <v>12</v>
      </c>
      <c r="J3237">
        <v>1</v>
      </c>
      <c r="K3237">
        <f t="shared" si="358"/>
        <v>3</v>
      </c>
      <c r="L3237">
        <f t="shared" si="359"/>
        <v>2013</v>
      </c>
      <c r="N3237" s="17">
        <f t="shared" si="362"/>
        <v>41334</v>
      </c>
      <c r="S3237">
        <f t="shared" si="363"/>
        <v>0</v>
      </c>
    </row>
    <row r="3238" spans="1:19" x14ac:dyDescent="0.3">
      <c r="A3238" s="17">
        <v>41344</v>
      </c>
      <c r="B3238">
        <v>632.92999999999995</v>
      </c>
      <c r="C3238">
        <v>106.41</v>
      </c>
      <c r="D3238">
        <f t="shared" si="360"/>
        <v>526.52</v>
      </c>
      <c r="E3238">
        <v>1.87</v>
      </c>
      <c r="F3238">
        <f t="shared" si="361"/>
        <v>-524.65</v>
      </c>
      <c r="I3238">
        <f t="shared" si="357"/>
        <v>11</v>
      </c>
      <c r="J3238">
        <v>1</v>
      </c>
      <c r="K3238">
        <f t="shared" si="358"/>
        <v>3</v>
      </c>
      <c r="L3238">
        <f t="shared" si="359"/>
        <v>2013</v>
      </c>
      <c r="N3238" s="17">
        <f t="shared" si="362"/>
        <v>41334</v>
      </c>
      <c r="S3238">
        <f t="shared" si="363"/>
        <v>0</v>
      </c>
    </row>
    <row r="3239" spans="1:19" x14ac:dyDescent="0.3">
      <c r="A3239" s="17">
        <v>41341</v>
      </c>
      <c r="B3239">
        <v>635.09</v>
      </c>
      <c r="C3239">
        <v>106.55</v>
      </c>
      <c r="D3239">
        <f t="shared" si="360"/>
        <v>528.54000000000008</v>
      </c>
      <c r="E3239">
        <v>1.95</v>
      </c>
      <c r="F3239">
        <f t="shared" si="361"/>
        <v>-526.59</v>
      </c>
      <c r="I3239">
        <f t="shared" si="357"/>
        <v>8</v>
      </c>
      <c r="J3239">
        <v>1</v>
      </c>
      <c r="K3239">
        <f t="shared" si="358"/>
        <v>3</v>
      </c>
      <c r="L3239">
        <f t="shared" si="359"/>
        <v>2013</v>
      </c>
      <c r="N3239" s="17">
        <f t="shared" si="362"/>
        <v>41334</v>
      </c>
      <c r="S3239">
        <f t="shared" si="363"/>
        <v>0</v>
      </c>
    </row>
    <row r="3240" spans="1:19" x14ac:dyDescent="0.3">
      <c r="A3240" s="17">
        <v>41340</v>
      </c>
      <c r="B3240">
        <v>635.46</v>
      </c>
      <c r="C3240">
        <v>106.19</v>
      </c>
      <c r="D3240">
        <f t="shared" si="360"/>
        <v>529.27</v>
      </c>
      <c r="E3240">
        <v>1.91</v>
      </c>
      <c r="F3240">
        <f t="shared" si="361"/>
        <v>-527.36</v>
      </c>
      <c r="I3240">
        <f t="shared" si="357"/>
        <v>7</v>
      </c>
      <c r="J3240">
        <v>1</v>
      </c>
      <c r="K3240">
        <f t="shared" si="358"/>
        <v>3</v>
      </c>
      <c r="L3240">
        <f t="shared" si="359"/>
        <v>2013</v>
      </c>
      <c r="N3240" s="17">
        <f t="shared" si="362"/>
        <v>41334</v>
      </c>
      <c r="S3240">
        <f t="shared" si="363"/>
        <v>0</v>
      </c>
    </row>
    <row r="3241" spans="1:19" x14ac:dyDescent="0.3">
      <c r="A3241" s="17">
        <v>41339</v>
      </c>
      <c r="B3241">
        <v>639.61</v>
      </c>
      <c r="C3241">
        <v>106.85</v>
      </c>
      <c r="D3241">
        <f t="shared" si="360"/>
        <v>532.76</v>
      </c>
      <c r="E3241">
        <v>1.76</v>
      </c>
      <c r="F3241">
        <f t="shared" si="361"/>
        <v>-531</v>
      </c>
      <c r="I3241">
        <f t="shared" si="357"/>
        <v>6</v>
      </c>
      <c r="J3241">
        <v>1</v>
      </c>
      <c r="K3241">
        <f t="shared" si="358"/>
        <v>3</v>
      </c>
      <c r="L3241">
        <f t="shared" si="359"/>
        <v>2013</v>
      </c>
      <c r="N3241" s="17">
        <f t="shared" si="362"/>
        <v>41334</v>
      </c>
      <c r="S3241">
        <f t="shared" si="363"/>
        <v>0</v>
      </c>
    </row>
    <row r="3242" spans="1:19" x14ac:dyDescent="0.3">
      <c r="A3242" s="17">
        <v>41338</v>
      </c>
      <c r="B3242">
        <v>631.17999999999995</v>
      </c>
      <c r="C3242">
        <v>105.65</v>
      </c>
      <c r="D3242">
        <f t="shared" si="360"/>
        <v>525.53</v>
      </c>
      <c r="E3242">
        <v>1.75</v>
      </c>
      <c r="F3242">
        <f t="shared" si="361"/>
        <v>-523.78</v>
      </c>
      <c r="I3242">
        <f t="shared" si="357"/>
        <v>5</v>
      </c>
      <c r="J3242">
        <v>1</v>
      </c>
      <c r="K3242">
        <f t="shared" si="358"/>
        <v>3</v>
      </c>
      <c r="L3242">
        <f t="shared" si="359"/>
        <v>2013</v>
      </c>
      <c r="N3242" s="17">
        <f t="shared" si="362"/>
        <v>41334</v>
      </c>
      <c r="S3242">
        <f t="shared" si="363"/>
        <v>0</v>
      </c>
    </row>
    <row r="3243" spans="1:19" x14ac:dyDescent="0.3">
      <c r="A3243" s="17">
        <v>41337</v>
      </c>
      <c r="B3243">
        <v>624.91999999999996</v>
      </c>
      <c r="C3243">
        <v>104.75</v>
      </c>
      <c r="D3243">
        <f t="shared" si="360"/>
        <v>520.16999999999996</v>
      </c>
      <c r="E3243">
        <v>1.83</v>
      </c>
      <c r="F3243">
        <f t="shared" si="361"/>
        <v>-518.33999999999992</v>
      </c>
      <c r="I3243">
        <f t="shared" si="357"/>
        <v>4</v>
      </c>
      <c r="J3243">
        <v>1</v>
      </c>
      <c r="K3243">
        <f t="shared" si="358"/>
        <v>3</v>
      </c>
      <c r="L3243">
        <f t="shared" si="359"/>
        <v>2013</v>
      </c>
      <c r="N3243" s="17">
        <f t="shared" si="362"/>
        <v>41334</v>
      </c>
      <c r="S3243">
        <f t="shared" si="363"/>
        <v>1</v>
      </c>
    </row>
    <row r="3244" spans="1:19" x14ac:dyDescent="0.3">
      <c r="A3244" s="17">
        <v>41334</v>
      </c>
      <c r="B3244">
        <v>628.23</v>
      </c>
      <c r="C3244">
        <v>105.65</v>
      </c>
      <c r="D3244">
        <f t="shared" si="360"/>
        <v>522.58000000000004</v>
      </c>
      <c r="E3244">
        <v>2.02</v>
      </c>
      <c r="F3244">
        <f t="shared" si="361"/>
        <v>-520.56000000000006</v>
      </c>
      <c r="I3244">
        <f t="shared" si="357"/>
        <v>1</v>
      </c>
      <c r="J3244">
        <v>1</v>
      </c>
      <c r="K3244">
        <f t="shared" si="358"/>
        <v>3</v>
      </c>
      <c r="L3244">
        <f t="shared" si="359"/>
        <v>2013</v>
      </c>
      <c r="N3244" s="17">
        <f t="shared" si="362"/>
        <v>41334</v>
      </c>
      <c r="S3244">
        <f t="shared" si="363"/>
        <v>1</v>
      </c>
    </row>
    <row r="3245" spans="1:19" x14ac:dyDescent="0.3">
      <c r="A3245" s="17">
        <v>41333</v>
      </c>
      <c r="B3245">
        <v>632.47</v>
      </c>
      <c r="C3245">
        <v>106.75</v>
      </c>
      <c r="D3245">
        <f t="shared" si="360"/>
        <v>525.72</v>
      </c>
      <c r="E3245">
        <v>2.02</v>
      </c>
      <c r="F3245">
        <f t="shared" si="361"/>
        <v>-523.70000000000005</v>
      </c>
      <c r="I3245">
        <f t="shared" si="357"/>
        <v>28</v>
      </c>
      <c r="J3245">
        <v>1</v>
      </c>
      <c r="K3245">
        <f t="shared" si="358"/>
        <v>2</v>
      </c>
      <c r="L3245">
        <f t="shared" si="359"/>
        <v>2013</v>
      </c>
      <c r="N3245" s="17">
        <f t="shared" si="362"/>
        <v>41306</v>
      </c>
      <c r="S3245">
        <f t="shared" si="363"/>
        <v>0</v>
      </c>
    </row>
    <row r="3246" spans="1:19" x14ac:dyDescent="0.3">
      <c r="A3246" s="17">
        <v>41332</v>
      </c>
      <c r="B3246">
        <v>634.55999999999995</v>
      </c>
      <c r="C3246">
        <v>108.5</v>
      </c>
      <c r="D3246">
        <f t="shared" si="360"/>
        <v>526.05999999999995</v>
      </c>
      <c r="E3246">
        <v>1.99</v>
      </c>
      <c r="F3246">
        <f t="shared" si="361"/>
        <v>-524.06999999999994</v>
      </c>
      <c r="I3246">
        <f t="shared" si="357"/>
        <v>27</v>
      </c>
      <c r="J3246">
        <v>1</v>
      </c>
      <c r="K3246">
        <f t="shared" si="358"/>
        <v>2</v>
      </c>
      <c r="L3246">
        <f t="shared" si="359"/>
        <v>2013</v>
      </c>
      <c r="N3246" s="17">
        <f t="shared" si="362"/>
        <v>41306</v>
      </c>
      <c r="S3246">
        <f t="shared" si="363"/>
        <v>0</v>
      </c>
    </row>
    <row r="3247" spans="1:19" x14ac:dyDescent="0.3">
      <c r="A3247" s="17">
        <v>41331</v>
      </c>
      <c r="B3247">
        <v>633.79999999999995</v>
      </c>
      <c r="C3247">
        <v>108.80500000000001</v>
      </c>
      <c r="D3247">
        <f t="shared" si="360"/>
        <v>524.99499999999989</v>
      </c>
      <c r="E3247">
        <v>2.09</v>
      </c>
      <c r="F3247">
        <f t="shared" si="361"/>
        <v>-522.90499999999986</v>
      </c>
      <c r="I3247">
        <f t="shared" si="357"/>
        <v>26</v>
      </c>
      <c r="J3247">
        <v>1</v>
      </c>
      <c r="K3247">
        <f t="shared" si="358"/>
        <v>2</v>
      </c>
      <c r="L3247">
        <f t="shared" si="359"/>
        <v>2013</v>
      </c>
      <c r="N3247" s="17">
        <f t="shared" si="362"/>
        <v>41306</v>
      </c>
      <c r="S3247">
        <f t="shared" si="363"/>
        <v>0</v>
      </c>
    </row>
    <row r="3248" spans="1:19" x14ac:dyDescent="0.3">
      <c r="A3248" s="17">
        <v>41330</v>
      </c>
      <c r="B3248">
        <v>637.58000000000004</v>
      </c>
      <c r="C3248">
        <v>109.76</v>
      </c>
      <c r="D3248">
        <f t="shared" si="360"/>
        <v>527.82000000000005</v>
      </c>
      <c r="E3248">
        <v>2.1800000000000002</v>
      </c>
      <c r="F3248">
        <f t="shared" si="361"/>
        <v>-525.6400000000001</v>
      </c>
      <c r="I3248">
        <f t="shared" si="357"/>
        <v>25</v>
      </c>
      <c r="J3248">
        <v>1</v>
      </c>
      <c r="K3248">
        <f t="shared" si="358"/>
        <v>2</v>
      </c>
      <c r="L3248">
        <f t="shared" si="359"/>
        <v>2013</v>
      </c>
      <c r="N3248" s="17">
        <f t="shared" si="362"/>
        <v>41306</v>
      </c>
      <c r="S3248">
        <f t="shared" si="363"/>
        <v>0</v>
      </c>
    </row>
    <row r="3249" spans="1:19" x14ac:dyDescent="0.3">
      <c r="A3249" s="17">
        <v>41327</v>
      </c>
      <c r="B3249">
        <v>636.14</v>
      </c>
      <c r="C3249">
        <v>109.54</v>
      </c>
      <c r="D3249">
        <f t="shared" si="360"/>
        <v>526.6</v>
      </c>
      <c r="E3249">
        <v>2.13</v>
      </c>
      <c r="F3249">
        <f t="shared" si="361"/>
        <v>-524.47</v>
      </c>
      <c r="I3249">
        <f t="shared" si="357"/>
        <v>22</v>
      </c>
      <c r="J3249">
        <v>1</v>
      </c>
      <c r="K3249">
        <f t="shared" si="358"/>
        <v>2</v>
      </c>
      <c r="L3249">
        <f t="shared" si="359"/>
        <v>2013</v>
      </c>
      <c r="N3249" s="17">
        <f t="shared" si="362"/>
        <v>41306</v>
      </c>
      <c r="S3249">
        <f t="shared" si="363"/>
        <v>0</v>
      </c>
    </row>
    <row r="3250" spans="1:19" x14ac:dyDescent="0.3">
      <c r="A3250" s="17">
        <v>41326</v>
      </c>
      <c r="B3250">
        <v>641.04999999999995</v>
      </c>
      <c r="C3250">
        <v>109.81</v>
      </c>
      <c r="D3250">
        <f t="shared" si="360"/>
        <v>531.24</v>
      </c>
      <c r="E3250">
        <v>2.11</v>
      </c>
      <c r="F3250">
        <f t="shared" si="361"/>
        <v>-529.13</v>
      </c>
      <c r="I3250">
        <f t="shared" si="357"/>
        <v>21</v>
      </c>
      <c r="J3250">
        <v>1</v>
      </c>
      <c r="K3250">
        <f t="shared" si="358"/>
        <v>2</v>
      </c>
      <c r="L3250">
        <f t="shared" si="359"/>
        <v>2013</v>
      </c>
      <c r="N3250" s="17">
        <f t="shared" si="362"/>
        <v>41306</v>
      </c>
      <c r="S3250">
        <f t="shared" si="363"/>
        <v>0</v>
      </c>
    </row>
    <row r="3251" spans="1:19" x14ac:dyDescent="0.3">
      <c r="A3251" s="17">
        <v>41325</v>
      </c>
      <c r="B3251">
        <v>653.27</v>
      </c>
      <c r="C3251">
        <v>112.26</v>
      </c>
      <c r="D3251">
        <f t="shared" si="360"/>
        <v>541.01</v>
      </c>
      <c r="E3251">
        <v>2.12</v>
      </c>
      <c r="F3251">
        <f t="shared" si="361"/>
        <v>-538.89</v>
      </c>
      <c r="I3251">
        <f t="shared" si="357"/>
        <v>20</v>
      </c>
      <c r="J3251">
        <v>1</v>
      </c>
      <c r="K3251">
        <f t="shared" si="358"/>
        <v>2</v>
      </c>
      <c r="L3251">
        <f t="shared" si="359"/>
        <v>2013</v>
      </c>
      <c r="N3251" s="17">
        <f t="shared" si="362"/>
        <v>41306</v>
      </c>
      <c r="S3251">
        <f t="shared" si="363"/>
        <v>0</v>
      </c>
    </row>
    <row r="3252" spans="1:19" x14ac:dyDescent="0.3">
      <c r="A3252" s="17">
        <v>41324</v>
      </c>
      <c r="B3252">
        <v>651.89</v>
      </c>
      <c r="C3252">
        <v>112</v>
      </c>
      <c r="D3252">
        <f t="shared" si="360"/>
        <v>539.89</v>
      </c>
      <c r="E3252">
        <v>2.1</v>
      </c>
      <c r="F3252">
        <f t="shared" si="361"/>
        <v>-537.79</v>
      </c>
      <c r="I3252">
        <f t="shared" si="357"/>
        <v>19</v>
      </c>
      <c r="J3252">
        <v>1</v>
      </c>
      <c r="K3252">
        <f t="shared" si="358"/>
        <v>2</v>
      </c>
      <c r="L3252">
        <f t="shared" si="359"/>
        <v>2013</v>
      </c>
      <c r="N3252" s="17">
        <f t="shared" si="362"/>
        <v>41306</v>
      </c>
      <c r="S3252">
        <f t="shared" si="363"/>
        <v>0</v>
      </c>
    </row>
    <row r="3253" spans="1:19" x14ac:dyDescent="0.3">
      <c r="A3253" s="17">
        <v>41323</v>
      </c>
      <c r="B3253">
        <v>657.69</v>
      </c>
      <c r="C3253">
        <v>112.94</v>
      </c>
      <c r="D3253">
        <f t="shared" si="360"/>
        <v>544.75</v>
      </c>
      <c r="E3253">
        <v>2.09</v>
      </c>
      <c r="F3253">
        <f t="shared" si="361"/>
        <v>-542.66</v>
      </c>
      <c r="I3253">
        <f t="shared" si="357"/>
        <v>18</v>
      </c>
      <c r="J3253">
        <v>1</v>
      </c>
      <c r="K3253">
        <f t="shared" si="358"/>
        <v>2</v>
      </c>
      <c r="L3253">
        <f t="shared" si="359"/>
        <v>2013</v>
      </c>
      <c r="N3253" s="17">
        <f t="shared" si="362"/>
        <v>41306</v>
      </c>
      <c r="S3253">
        <f t="shared" si="363"/>
        <v>0</v>
      </c>
    </row>
    <row r="3254" spans="1:19" x14ac:dyDescent="0.3">
      <c r="A3254" s="17">
        <v>41320</v>
      </c>
      <c r="B3254">
        <v>659.13</v>
      </c>
      <c r="C3254">
        <v>113.1</v>
      </c>
      <c r="D3254">
        <f t="shared" si="360"/>
        <v>546.03</v>
      </c>
      <c r="E3254">
        <v>2</v>
      </c>
      <c r="F3254">
        <f t="shared" si="361"/>
        <v>-544.03</v>
      </c>
      <c r="I3254">
        <f t="shared" si="357"/>
        <v>15</v>
      </c>
      <c r="J3254">
        <v>1</v>
      </c>
      <c r="K3254">
        <f t="shared" si="358"/>
        <v>2</v>
      </c>
      <c r="L3254">
        <f t="shared" si="359"/>
        <v>2013</v>
      </c>
      <c r="N3254" s="17">
        <f t="shared" si="362"/>
        <v>41306</v>
      </c>
      <c r="S3254">
        <f t="shared" si="363"/>
        <v>0</v>
      </c>
    </row>
    <row r="3255" spans="1:19" x14ac:dyDescent="0.3">
      <c r="A3255" s="17">
        <v>41319</v>
      </c>
      <c r="B3255">
        <v>663.61</v>
      </c>
      <c r="C3255">
        <v>113.27</v>
      </c>
      <c r="D3255">
        <f t="shared" si="360"/>
        <v>550.34</v>
      </c>
      <c r="E3255">
        <v>1.8</v>
      </c>
      <c r="F3255">
        <f t="shared" si="361"/>
        <v>-548.54000000000008</v>
      </c>
      <c r="I3255">
        <f t="shared" si="357"/>
        <v>14</v>
      </c>
      <c r="J3255">
        <v>1</v>
      </c>
      <c r="K3255">
        <f t="shared" si="358"/>
        <v>2</v>
      </c>
      <c r="L3255">
        <f t="shared" si="359"/>
        <v>2013</v>
      </c>
      <c r="N3255" s="17">
        <f t="shared" si="362"/>
        <v>41306</v>
      </c>
      <c r="S3255">
        <f t="shared" si="363"/>
        <v>0</v>
      </c>
    </row>
    <row r="3256" spans="1:19" x14ac:dyDescent="0.3">
      <c r="A3256" s="17">
        <v>41318</v>
      </c>
      <c r="B3256">
        <v>664.85</v>
      </c>
      <c r="C3256">
        <v>113.65</v>
      </c>
      <c r="D3256">
        <f t="shared" si="360"/>
        <v>551.20000000000005</v>
      </c>
      <c r="E3256">
        <v>1.91</v>
      </c>
      <c r="F3256">
        <f t="shared" si="361"/>
        <v>-549.29000000000008</v>
      </c>
      <c r="I3256">
        <f t="shared" si="357"/>
        <v>13</v>
      </c>
      <c r="J3256">
        <v>1</v>
      </c>
      <c r="K3256">
        <f t="shared" si="358"/>
        <v>2</v>
      </c>
      <c r="L3256">
        <f t="shared" si="359"/>
        <v>2013</v>
      </c>
      <c r="N3256" s="17">
        <f t="shared" si="362"/>
        <v>41306</v>
      </c>
      <c r="S3256">
        <f t="shared" si="363"/>
        <v>0</v>
      </c>
    </row>
    <row r="3257" spans="1:19" x14ac:dyDescent="0.3">
      <c r="A3257" s="17">
        <v>41313</v>
      </c>
      <c r="B3257">
        <v>661.29</v>
      </c>
      <c r="C3257">
        <v>112.66</v>
      </c>
      <c r="D3257">
        <f t="shared" si="360"/>
        <v>548.63</v>
      </c>
      <c r="E3257">
        <v>1.99</v>
      </c>
      <c r="F3257">
        <f t="shared" si="361"/>
        <v>-546.64</v>
      </c>
      <c r="I3257">
        <f t="shared" si="357"/>
        <v>8</v>
      </c>
      <c r="J3257">
        <v>1</v>
      </c>
      <c r="K3257">
        <f t="shared" si="358"/>
        <v>2</v>
      </c>
      <c r="L3257">
        <f t="shared" si="359"/>
        <v>2013</v>
      </c>
      <c r="N3257" s="17">
        <f t="shared" si="362"/>
        <v>41306</v>
      </c>
      <c r="S3257">
        <f t="shared" si="363"/>
        <v>0</v>
      </c>
    </row>
    <row r="3258" spans="1:19" x14ac:dyDescent="0.3">
      <c r="A3258" s="17">
        <v>41312</v>
      </c>
      <c r="B3258">
        <v>657.46</v>
      </c>
      <c r="C3258">
        <v>112.38</v>
      </c>
      <c r="D3258">
        <f t="shared" si="360"/>
        <v>545.08000000000004</v>
      </c>
      <c r="E3258">
        <v>1.97</v>
      </c>
      <c r="F3258">
        <f t="shared" si="361"/>
        <v>-543.11</v>
      </c>
      <c r="I3258">
        <f t="shared" si="357"/>
        <v>7</v>
      </c>
      <c r="J3258">
        <v>1</v>
      </c>
      <c r="K3258">
        <f t="shared" si="358"/>
        <v>2</v>
      </c>
      <c r="L3258">
        <f t="shared" si="359"/>
        <v>2013</v>
      </c>
      <c r="N3258" s="17">
        <f t="shared" si="362"/>
        <v>41306</v>
      </c>
      <c r="S3258">
        <f t="shared" si="363"/>
        <v>0</v>
      </c>
    </row>
    <row r="3259" spans="1:19" x14ac:dyDescent="0.3">
      <c r="A3259" s="17">
        <v>41311</v>
      </c>
      <c r="B3259">
        <v>653.52</v>
      </c>
      <c r="C3259">
        <v>111.61</v>
      </c>
      <c r="D3259">
        <f t="shared" si="360"/>
        <v>541.91</v>
      </c>
      <c r="E3259">
        <v>1.94</v>
      </c>
      <c r="F3259">
        <f t="shared" si="361"/>
        <v>-539.96999999999991</v>
      </c>
      <c r="I3259">
        <f t="shared" si="357"/>
        <v>6</v>
      </c>
      <c r="J3259">
        <v>1</v>
      </c>
      <c r="K3259">
        <f t="shared" si="358"/>
        <v>2</v>
      </c>
      <c r="L3259">
        <f t="shared" si="359"/>
        <v>2013</v>
      </c>
      <c r="N3259" s="17">
        <f t="shared" si="362"/>
        <v>41306</v>
      </c>
      <c r="S3259">
        <f t="shared" si="363"/>
        <v>0</v>
      </c>
    </row>
    <row r="3260" spans="1:19" x14ac:dyDescent="0.3">
      <c r="A3260" s="17">
        <v>41310</v>
      </c>
      <c r="B3260">
        <v>647.99</v>
      </c>
      <c r="C3260">
        <v>110.59</v>
      </c>
      <c r="D3260">
        <f t="shared" si="360"/>
        <v>537.4</v>
      </c>
      <c r="E3260">
        <v>1.9</v>
      </c>
      <c r="F3260">
        <f t="shared" si="361"/>
        <v>-535.5</v>
      </c>
      <c r="I3260">
        <f t="shared" si="357"/>
        <v>5</v>
      </c>
      <c r="J3260">
        <v>1</v>
      </c>
      <c r="K3260">
        <f t="shared" si="358"/>
        <v>2</v>
      </c>
      <c r="L3260">
        <f t="shared" si="359"/>
        <v>2013</v>
      </c>
      <c r="N3260" s="17">
        <f t="shared" si="362"/>
        <v>41306</v>
      </c>
      <c r="S3260">
        <f t="shared" si="363"/>
        <v>0</v>
      </c>
    </row>
    <row r="3261" spans="1:19" x14ac:dyDescent="0.3">
      <c r="A3261" s="17">
        <v>41309</v>
      </c>
      <c r="B3261">
        <v>650.44000000000005</v>
      </c>
      <c r="C3261">
        <v>111.63</v>
      </c>
      <c r="D3261">
        <f t="shared" si="360"/>
        <v>538.81000000000006</v>
      </c>
      <c r="E3261">
        <v>1.81</v>
      </c>
      <c r="F3261">
        <f t="shared" si="361"/>
        <v>-537.00000000000011</v>
      </c>
      <c r="I3261">
        <f t="shared" si="357"/>
        <v>4</v>
      </c>
      <c r="J3261">
        <v>1</v>
      </c>
      <c r="K3261">
        <f t="shared" si="358"/>
        <v>2</v>
      </c>
      <c r="L3261">
        <f t="shared" si="359"/>
        <v>2013</v>
      </c>
      <c r="N3261" s="17">
        <f t="shared" si="362"/>
        <v>41306</v>
      </c>
      <c r="S3261">
        <f t="shared" si="363"/>
        <v>1</v>
      </c>
    </row>
    <row r="3262" spans="1:19" x14ac:dyDescent="0.3">
      <c r="A3262" s="17">
        <v>41306</v>
      </c>
      <c r="B3262">
        <v>648.98</v>
      </c>
      <c r="C3262">
        <v>110.45</v>
      </c>
      <c r="D3262">
        <f t="shared" si="360"/>
        <v>538.53</v>
      </c>
      <c r="E3262">
        <v>1.8</v>
      </c>
      <c r="F3262">
        <f t="shared" si="361"/>
        <v>-536.73</v>
      </c>
      <c r="I3262">
        <f t="shared" si="357"/>
        <v>1</v>
      </c>
      <c r="J3262">
        <v>1</v>
      </c>
      <c r="K3262">
        <f t="shared" si="358"/>
        <v>2</v>
      </c>
      <c r="L3262">
        <f t="shared" si="359"/>
        <v>2013</v>
      </c>
      <c r="N3262" s="17">
        <f t="shared" si="362"/>
        <v>41306</v>
      </c>
      <c r="S3262">
        <f t="shared" si="363"/>
        <v>1</v>
      </c>
    </row>
    <row r="3263" spans="1:19" x14ac:dyDescent="0.3">
      <c r="A3263" s="17">
        <v>41305</v>
      </c>
      <c r="B3263">
        <v>644.29999999999995</v>
      </c>
      <c r="C3263">
        <v>110.83</v>
      </c>
      <c r="D3263">
        <f t="shared" si="360"/>
        <v>533.46999999999991</v>
      </c>
      <c r="E3263">
        <v>1.74</v>
      </c>
      <c r="F3263">
        <f t="shared" si="361"/>
        <v>-531.7299999999999</v>
      </c>
      <c r="I3263">
        <f t="shared" si="357"/>
        <v>31</v>
      </c>
      <c r="J3263">
        <v>1</v>
      </c>
      <c r="K3263">
        <f t="shared" si="358"/>
        <v>1</v>
      </c>
      <c r="L3263">
        <f t="shared" si="359"/>
        <v>2013</v>
      </c>
      <c r="N3263" s="17">
        <f t="shared" si="362"/>
        <v>41275</v>
      </c>
      <c r="S3263">
        <f t="shared" si="363"/>
        <v>0</v>
      </c>
    </row>
    <row r="3264" spans="1:19" x14ac:dyDescent="0.3">
      <c r="A3264" s="17">
        <v>41304</v>
      </c>
      <c r="B3264">
        <v>639.54999999999995</v>
      </c>
      <c r="C3264">
        <v>109.65</v>
      </c>
      <c r="D3264">
        <f t="shared" si="360"/>
        <v>529.9</v>
      </c>
      <c r="E3264">
        <v>1.7</v>
      </c>
      <c r="F3264">
        <f t="shared" si="361"/>
        <v>-528.19999999999993</v>
      </c>
      <c r="I3264">
        <f t="shared" si="357"/>
        <v>30</v>
      </c>
      <c r="J3264">
        <v>1</v>
      </c>
      <c r="K3264">
        <f t="shared" si="358"/>
        <v>1</v>
      </c>
      <c r="L3264">
        <f t="shared" si="359"/>
        <v>2013</v>
      </c>
      <c r="N3264" s="17">
        <f t="shared" si="362"/>
        <v>41275</v>
      </c>
      <c r="S3264">
        <f t="shared" si="363"/>
        <v>0</v>
      </c>
    </row>
    <row r="3265" spans="1:19" x14ac:dyDescent="0.3">
      <c r="A3265" s="17">
        <v>41303</v>
      </c>
      <c r="B3265">
        <v>634.84</v>
      </c>
      <c r="C3265">
        <v>108.55</v>
      </c>
      <c r="D3265">
        <f t="shared" si="360"/>
        <v>526.29000000000008</v>
      </c>
      <c r="E3265">
        <v>1.65</v>
      </c>
      <c r="F3265">
        <f t="shared" si="361"/>
        <v>-524.6400000000001</v>
      </c>
      <c r="I3265">
        <f t="shared" si="357"/>
        <v>29</v>
      </c>
      <c r="J3265">
        <v>1</v>
      </c>
      <c r="K3265">
        <f t="shared" si="358"/>
        <v>1</v>
      </c>
      <c r="L3265">
        <f t="shared" si="359"/>
        <v>2013</v>
      </c>
      <c r="N3265" s="17">
        <f t="shared" si="362"/>
        <v>41275</v>
      </c>
      <c r="S3265">
        <f t="shared" si="363"/>
        <v>0</v>
      </c>
    </row>
    <row r="3266" spans="1:19" x14ac:dyDescent="0.3">
      <c r="A3266" s="17">
        <v>41302</v>
      </c>
      <c r="B3266">
        <v>630.84</v>
      </c>
      <c r="C3266">
        <v>108.8</v>
      </c>
      <c r="D3266">
        <f t="shared" si="360"/>
        <v>522.04000000000008</v>
      </c>
      <c r="E3266">
        <v>1.65</v>
      </c>
      <c r="F3266">
        <f t="shared" si="361"/>
        <v>-520.3900000000001</v>
      </c>
      <c r="I3266">
        <f t="shared" si="357"/>
        <v>28</v>
      </c>
      <c r="J3266">
        <v>1</v>
      </c>
      <c r="K3266">
        <f t="shared" si="358"/>
        <v>1</v>
      </c>
      <c r="L3266">
        <f t="shared" si="359"/>
        <v>2013</v>
      </c>
      <c r="N3266" s="17">
        <f t="shared" si="362"/>
        <v>41275</v>
      </c>
      <c r="S3266">
        <f t="shared" si="363"/>
        <v>0</v>
      </c>
    </row>
    <row r="3267" spans="1:19" x14ac:dyDescent="0.3">
      <c r="A3267" s="17">
        <v>41299</v>
      </c>
      <c r="B3267">
        <v>634.74</v>
      </c>
      <c r="C3267">
        <v>109.15</v>
      </c>
      <c r="D3267">
        <f t="shared" si="360"/>
        <v>525.59</v>
      </c>
      <c r="E3267">
        <v>1.57</v>
      </c>
      <c r="F3267">
        <f t="shared" si="361"/>
        <v>-524.02</v>
      </c>
      <c r="I3267">
        <f t="shared" si="357"/>
        <v>25</v>
      </c>
      <c r="J3267">
        <v>1</v>
      </c>
      <c r="K3267">
        <f t="shared" si="358"/>
        <v>1</v>
      </c>
      <c r="L3267">
        <f t="shared" si="359"/>
        <v>2013</v>
      </c>
      <c r="N3267" s="17">
        <f t="shared" si="362"/>
        <v>41275</v>
      </c>
      <c r="S3267">
        <f t="shared" si="363"/>
        <v>0</v>
      </c>
    </row>
    <row r="3268" spans="1:19" x14ac:dyDescent="0.3">
      <c r="A3268" s="17">
        <v>41298</v>
      </c>
      <c r="B3268">
        <v>629.52</v>
      </c>
      <c r="C3268">
        <v>108.29</v>
      </c>
      <c r="D3268">
        <f t="shared" si="360"/>
        <v>521.23</v>
      </c>
      <c r="E3268">
        <v>1.61</v>
      </c>
      <c r="F3268">
        <f t="shared" si="361"/>
        <v>-519.62</v>
      </c>
      <c r="I3268">
        <f t="shared" si="357"/>
        <v>24</v>
      </c>
      <c r="J3268">
        <v>1</v>
      </c>
      <c r="K3268">
        <f t="shared" si="358"/>
        <v>1</v>
      </c>
      <c r="L3268">
        <f t="shared" si="359"/>
        <v>2013</v>
      </c>
      <c r="N3268" s="17">
        <f t="shared" si="362"/>
        <v>41275</v>
      </c>
      <c r="S3268">
        <f t="shared" si="363"/>
        <v>0</v>
      </c>
    </row>
    <row r="3269" spans="1:19" x14ac:dyDescent="0.3">
      <c r="A3269" s="17">
        <v>41297</v>
      </c>
      <c r="B3269">
        <v>625.78</v>
      </c>
      <c r="C3269">
        <v>108.2</v>
      </c>
      <c r="D3269">
        <f t="shared" si="360"/>
        <v>517.57999999999993</v>
      </c>
      <c r="E3269">
        <v>1.45</v>
      </c>
      <c r="F3269">
        <f t="shared" si="361"/>
        <v>-516.12999999999988</v>
      </c>
      <c r="I3269">
        <f t="shared" ref="I3269:I3332" si="364">+DAY(A3269)</f>
        <v>23</v>
      </c>
      <c r="J3269">
        <v>1</v>
      </c>
      <c r="K3269">
        <f t="shared" ref="K3269:K3332" si="365">+MONTH(A3269)</f>
        <v>1</v>
      </c>
      <c r="L3269">
        <f t="shared" ref="L3269:L3332" si="366">+YEAR(A3269)</f>
        <v>2013</v>
      </c>
      <c r="N3269" s="17">
        <f t="shared" si="362"/>
        <v>41275</v>
      </c>
      <c r="S3269">
        <f t="shared" si="363"/>
        <v>0</v>
      </c>
    </row>
    <row r="3270" spans="1:19" x14ac:dyDescent="0.3">
      <c r="A3270" s="17">
        <v>41296</v>
      </c>
      <c r="B3270">
        <v>627.54999999999995</v>
      </c>
      <c r="C3270">
        <v>107.85</v>
      </c>
      <c r="D3270">
        <f t="shared" ref="D3270:D3333" si="367">+B3270-C3270</f>
        <v>519.69999999999993</v>
      </c>
      <c r="E3270">
        <v>1.4</v>
      </c>
      <c r="F3270">
        <f t="shared" ref="F3270:F3333" si="368">+E3270-D3270</f>
        <v>-518.29999999999995</v>
      </c>
      <c r="I3270">
        <f t="shared" si="364"/>
        <v>22</v>
      </c>
      <c r="J3270">
        <v>1</v>
      </c>
      <c r="K3270">
        <f t="shared" si="365"/>
        <v>1</v>
      </c>
      <c r="L3270">
        <f t="shared" si="366"/>
        <v>2013</v>
      </c>
      <c r="N3270" s="17">
        <f t="shared" ref="N3270:N3333" si="369">+DATE(L3270,K3270,J3270)</f>
        <v>41275</v>
      </c>
      <c r="S3270">
        <f t="shared" ref="S3270:S3333" si="370">IF(AND(I3270&gt;=1, I3270&lt;=4), 1, 0)</f>
        <v>0</v>
      </c>
    </row>
    <row r="3271" spans="1:19" x14ac:dyDescent="0.3">
      <c r="A3271" s="17">
        <v>41295</v>
      </c>
      <c r="B3271">
        <v>634.92999999999995</v>
      </c>
      <c r="C3271">
        <v>107.89</v>
      </c>
      <c r="D3271">
        <f t="shared" si="367"/>
        <v>527.04</v>
      </c>
      <c r="E3271">
        <v>1.3</v>
      </c>
      <c r="F3271">
        <f t="shared" si="368"/>
        <v>-525.74</v>
      </c>
      <c r="I3271">
        <f t="shared" si="364"/>
        <v>21</v>
      </c>
      <c r="J3271">
        <v>1</v>
      </c>
      <c r="K3271">
        <f t="shared" si="365"/>
        <v>1</v>
      </c>
      <c r="L3271">
        <f t="shared" si="366"/>
        <v>2013</v>
      </c>
      <c r="N3271" s="17">
        <f t="shared" si="369"/>
        <v>41275</v>
      </c>
      <c r="S3271">
        <f t="shared" si="370"/>
        <v>0</v>
      </c>
    </row>
    <row r="3272" spans="1:19" x14ac:dyDescent="0.3">
      <c r="A3272" s="17">
        <v>41292</v>
      </c>
      <c r="B3272">
        <v>633.33000000000004</v>
      </c>
      <c r="C3272">
        <v>107.55</v>
      </c>
      <c r="D3272">
        <f t="shared" si="367"/>
        <v>525.78000000000009</v>
      </c>
      <c r="E3272">
        <v>1.32</v>
      </c>
      <c r="F3272">
        <f t="shared" si="368"/>
        <v>-524.46</v>
      </c>
      <c r="I3272">
        <f t="shared" si="364"/>
        <v>18</v>
      </c>
      <c r="J3272">
        <v>1</v>
      </c>
      <c r="K3272">
        <f t="shared" si="365"/>
        <v>1</v>
      </c>
      <c r="L3272">
        <f t="shared" si="366"/>
        <v>2013</v>
      </c>
      <c r="N3272" s="17">
        <f t="shared" si="369"/>
        <v>41275</v>
      </c>
      <c r="S3272">
        <f t="shared" si="370"/>
        <v>0</v>
      </c>
    </row>
    <row r="3273" spans="1:19" x14ac:dyDescent="0.3">
      <c r="A3273" s="17">
        <v>41291</v>
      </c>
      <c r="B3273">
        <v>625.75</v>
      </c>
      <c r="C3273">
        <v>106.5</v>
      </c>
      <c r="D3273">
        <f t="shared" si="367"/>
        <v>519.25</v>
      </c>
      <c r="E3273">
        <v>1.34</v>
      </c>
      <c r="F3273">
        <f t="shared" si="368"/>
        <v>-517.91</v>
      </c>
      <c r="I3273">
        <f t="shared" si="364"/>
        <v>17</v>
      </c>
      <c r="J3273">
        <v>1</v>
      </c>
      <c r="K3273">
        <f t="shared" si="365"/>
        <v>1</v>
      </c>
      <c r="L3273">
        <f t="shared" si="366"/>
        <v>2013</v>
      </c>
      <c r="N3273" s="17">
        <f t="shared" si="369"/>
        <v>41275</v>
      </c>
      <c r="S3273">
        <f t="shared" si="370"/>
        <v>0</v>
      </c>
    </row>
    <row r="3274" spans="1:19" x14ac:dyDescent="0.3">
      <c r="A3274" s="17">
        <v>41290</v>
      </c>
      <c r="B3274">
        <v>622.74</v>
      </c>
      <c r="C3274">
        <v>106.59</v>
      </c>
      <c r="D3274">
        <f t="shared" si="367"/>
        <v>516.15</v>
      </c>
      <c r="E3274">
        <v>1.28</v>
      </c>
      <c r="F3274">
        <f t="shared" si="368"/>
        <v>-514.87</v>
      </c>
      <c r="I3274">
        <f t="shared" si="364"/>
        <v>16</v>
      </c>
      <c r="J3274">
        <v>1</v>
      </c>
      <c r="K3274">
        <f t="shared" si="365"/>
        <v>1</v>
      </c>
      <c r="L3274">
        <f t="shared" si="366"/>
        <v>2013</v>
      </c>
      <c r="N3274" s="17">
        <f t="shared" si="369"/>
        <v>41275</v>
      </c>
      <c r="S3274">
        <f t="shared" si="370"/>
        <v>0</v>
      </c>
    </row>
    <row r="3275" spans="1:19" x14ac:dyDescent="0.3">
      <c r="A3275" s="17">
        <v>41289</v>
      </c>
      <c r="B3275">
        <v>630.87</v>
      </c>
      <c r="C3275">
        <v>107.4</v>
      </c>
      <c r="D3275">
        <f t="shared" si="367"/>
        <v>523.47</v>
      </c>
      <c r="E3275">
        <v>1.34</v>
      </c>
      <c r="F3275">
        <f t="shared" si="368"/>
        <v>-522.13</v>
      </c>
      <c r="I3275">
        <f t="shared" si="364"/>
        <v>15</v>
      </c>
      <c r="J3275">
        <v>1</v>
      </c>
      <c r="K3275">
        <f t="shared" si="365"/>
        <v>1</v>
      </c>
      <c r="L3275">
        <f t="shared" si="366"/>
        <v>2013</v>
      </c>
      <c r="N3275" s="17">
        <f t="shared" si="369"/>
        <v>41275</v>
      </c>
      <c r="S3275">
        <f t="shared" si="370"/>
        <v>0</v>
      </c>
    </row>
    <row r="3276" spans="1:19" x14ac:dyDescent="0.3">
      <c r="A3276" s="17">
        <v>41288</v>
      </c>
      <c r="B3276">
        <v>628.57000000000005</v>
      </c>
      <c r="C3276">
        <v>106.85</v>
      </c>
      <c r="D3276">
        <f t="shared" si="367"/>
        <v>521.72</v>
      </c>
      <c r="E3276">
        <v>1.29</v>
      </c>
      <c r="F3276">
        <f t="shared" si="368"/>
        <v>-520.43000000000006</v>
      </c>
      <c r="I3276">
        <f t="shared" si="364"/>
        <v>14</v>
      </c>
      <c r="J3276">
        <v>1</v>
      </c>
      <c r="K3276">
        <f t="shared" si="365"/>
        <v>1</v>
      </c>
      <c r="L3276">
        <f t="shared" si="366"/>
        <v>2013</v>
      </c>
      <c r="N3276" s="17">
        <f t="shared" si="369"/>
        <v>41275</v>
      </c>
      <c r="S3276">
        <f t="shared" si="370"/>
        <v>0</v>
      </c>
    </row>
    <row r="3277" spans="1:19" x14ac:dyDescent="0.3">
      <c r="A3277" s="17">
        <v>41285</v>
      </c>
      <c r="B3277">
        <v>634.77</v>
      </c>
      <c r="C3277">
        <v>107.84</v>
      </c>
      <c r="D3277">
        <f t="shared" si="367"/>
        <v>526.92999999999995</v>
      </c>
      <c r="E3277">
        <v>1.32</v>
      </c>
      <c r="F3277">
        <f t="shared" si="368"/>
        <v>-525.6099999999999</v>
      </c>
      <c r="I3277">
        <f t="shared" si="364"/>
        <v>11</v>
      </c>
      <c r="J3277">
        <v>1</v>
      </c>
      <c r="K3277">
        <f t="shared" si="365"/>
        <v>1</v>
      </c>
      <c r="L3277">
        <f t="shared" si="366"/>
        <v>2013</v>
      </c>
      <c r="N3277" s="17">
        <f t="shared" si="369"/>
        <v>41275</v>
      </c>
      <c r="S3277">
        <f t="shared" si="370"/>
        <v>0</v>
      </c>
    </row>
    <row r="3278" spans="1:19" x14ac:dyDescent="0.3">
      <c r="A3278" s="17">
        <v>41284</v>
      </c>
      <c r="B3278">
        <v>638.77</v>
      </c>
      <c r="C3278">
        <v>108.1</v>
      </c>
      <c r="D3278">
        <f t="shared" si="367"/>
        <v>530.66999999999996</v>
      </c>
      <c r="E3278">
        <v>1.3</v>
      </c>
      <c r="F3278">
        <f t="shared" si="368"/>
        <v>-529.37</v>
      </c>
      <c r="I3278">
        <f t="shared" si="364"/>
        <v>10</v>
      </c>
      <c r="J3278">
        <v>1</v>
      </c>
      <c r="K3278">
        <f t="shared" si="365"/>
        <v>1</v>
      </c>
      <c r="L3278">
        <f t="shared" si="366"/>
        <v>2013</v>
      </c>
      <c r="N3278" s="17">
        <f t="shared" si="369"/>
        <v>41275</v>
      </c>
      <c r="S3278">
        <f t="shared" si="370"/>
        <v>0</v>
      </c>
    </row>
    <row r="3279" spans="1:19" x14ac:dyDescent="0.3">
      <c r="A3279" s="17">
        <v>41283</v>
      </c>
      <c r="B3279">
        <v>632.03</v>
      </c>
      <c r="C3279">
        <v>108.02</v>
      </c>
      <c r="D3279">
        <f t="shared" si="367"/>
        <v>524.01</v>
      </c>
      <c r="E3279">
        <v>1.19</v>
      </c>
      <c r="F3279">
        <f t="shared" si="368"/>
        <v>-522.81999999999994</v>
      </c>
      <c r="I3279">
        <f t="shared" si="364"/>
        <v>9</v>
      </c>
      <c r="J3279">
        <v>1</v>
      </c>
      <c r="K3279">
        <f t="shared" si="365"/>
        <v>1</v>
      </c>
      <c r="L3279">
        <f t="shared" si="366"/>
        <v>2013</v>
      </c>
      <c r="N3279" s="17">
        <f t="shared" si="369"/>
        <v>41275</v>
      </c>
      <c r="S3279">
        <f t="shared" si="370"/>
        <v>0</v>
      </c>
    </row>
    <row r="3280" spans="1:19" x14ac:dyDescent="0.3">
      <c r="A3280" s="17">
        <v>41282</v>
      </c>
      <c r="B3280">
        <v>628.80999999999995</v>
      </c>
      <c r="C3280">
        <v>107.29</v>
      </c>
      <c r="D3280">
        <f t="shared" si="367"/>
        <v>521.52</v>
      </c>
      <c r="E3280">
        <v>1.19</v>
      </c>
      <c r="F3280">
        <f t="shared" si="368"/>
        <v>-520.32999999999993</v>
      </c>
      <c r="I3280">
        <f t="shared" si="364"/>
        <v>8</v>
      </c>
      <c r="J3280">
        <v>1</v>
      </c>
      <c r="K3280">
        <f t="shared" si="365"/>
        <v>1</v>
      </c>
      <c r="L3280">
        <f t="shared" si="366"/>
        <v>2013</v>
      </c>
      <c r="N3280" s="17">
        <f t="shared" si="369"/>
        <v>41275</v>
      </c>
      <c r="S3280">
        <f t="shared" si="370"/>
        <v>0</v>
      </c>
    </row>
    <row r="3281" spans="1:19" x14ac:dyDescent="0.3">
      <c r="A3281" s="17">
        <v>41281</v>
      </c>
      <c r="B3281">
        <v>628.11</v>
      </c>
      <c r="C3281">
        <v>106.6</v>
      </c>
      <c r="D3281">
        <f t="shared" si="367"/>
        <v>521.51</v>
      </c>
      <c r="E3281">
        <v>1.24</v>
      </c>
      <c r="F3281">
        <f t="shared" si="368"/>
        <v>-520.27</v>
      </c>
      <c r="I3281">
        <f t="shared" si="364"/>
        <v>7</v>
      </c>
      <c r="J3281">
        <v>1</v>
      </c>
      <c r="K3281">
        <f t="shared" si="365"/>
        <v>1</v>
      </c>
      <c r="L3281">
        <f t="shared" si="366"/>
        <v>2013</v>
      </c>
      <c r="N3281" s="17">
        <f t="shared" si="369"/>
        <v>41275</v>
      </c>
      <c r="S3281">
        <f t="shared" si="370"/>
        <v>0</v>
      </c>
    </row>
    <row r="3282" spans="1:19" x14ac:dyDescent="0.3">
      <c r="A3282" s="17">
        <v>41278</v>
      </c>
      <c r="B3282">
        <v>629.20000000000005</v>
      </c>
      <c r="C3282">
        <v>107.45</v>
      </c>
      <c r="D3282">
        <f t="shared" si="367"/>
        <v>521.75</v>
      </c>
      <c r="E3282">
        <v>1.24</v>
      </c>
      <c r="F3282">
        <f t="shared" si="368"/>
        <v>-520.51</v>
      </c>
      <c r="I3282">
        <f t="shared" si="364"/>
        <v>4</v>
      </c>
      <c r="J3282">
        <v>1</v>
      </c>
      <c r="K3282">
        <f t="shared" si="365"/>
        <v>1</v>
      </c>
      <c r="L3282">
        <f t="shared" si="366"/>
        <v>2013</v>
      </c>
      <c r="N3282" s="17">
        <f t="shared" si="369"/>
        <v>41275</v>
      </c>
      <c r="S3282">
        <f t="shared" si="370"/>
        <v>1</v>
      </c>
    </row>
    <row r="3283" spans="1:19" x14ac:dyDescent="0.3">
      <c r="A3283" s="17">
        <v>41277</v>
      </c>
      <c r="B3283">
        <v>618.26</v>
      </c>
      <c r="C3283">
        <v>107.71</v>
      </c>
      <c r="D3283">
        <f t="shared" si="367"/>
        <v>510.55</v>
      </c>
      <c r="E3283">
        <v>1.23</v>
      </c>
      <c r="F3283">
        <f t="shared" si="368"/>
        <v>-509.32</v>
      </c>
      <c r="I3283">
        <f t="shared" si="364"/>
        <v>3</v>
      </c>
      <c r="J3283">
        <v>1</v>
      </c>
      <c r="K3283">
        <f t="shared" si="365"/>
        <v>1</v>
      </c>
      <c r="L3283">
        <f t="shared" si="366"/>
        <v>2013</v>
      </c>
      <c r="N3283" s="17">
        <f t="shared" si="369"/>
        <v>41275</v>
      </c>
      <c r="S3283">
        <f t="shared" si="370"/>
        <v>1</v>
      </c>
    </row>
    <row r="3284" spans="1:19" x14ac:dyDescent="0.3">
      <c r="A3284" s="17">
        <v>41276</v>
      </c>
      <c r="B3284">
        <v>613.30999999999995</v>
      </c>
      <c r="C3284">
        <v>107.51</v>
      </c>
      <c r="D3284">
        <f t="shared" si="367"/>
        <v>505.79999999999995</v>
      </c>
      <c r="E3284">
        <v>1.1100000000000001</v>
      </c>
      <c r="F3284">
        <f t="shared" si="368"/>
        <v>-504.68999999999994</v>
      </c>
      <c r="I3284">
        <f t="shared" si="364"/>
        <v>2</v>
      </c>
      <c r="J3284">
        <v>1</v>
      </c>
      <c r="K3284">
        <f t="shared" si="365"/>
        <v>1</v>
      </c>
      <c r="L3284">
        <f t="shared" si="366"/>
        <v>2013</v>
      </c>
      <c r="N3284" s="17">
        <f t="shared" si="369"/>
        <v>41275</v>
      </c>
      <c r="S3284">
        <f t="shared" si="370"/>
        <v>1</v>
      </c>
    </row>
    <row r="3285" spans="1:19" x14ac:dyDescent="0.3">
      <c r="A3285" s="17">
        <v>41274</v>
      </c>
      <c r="B3285">
        <v>605.54</v>
      </c>
      <c r="C3285">
        <v>107.75</v>
      </c>
      <c r="D3285">
        <f t="shared" si="367"/>
        <v>497.78999999999996</v>
      </c>
      <c r="E3285">
        <v>2.0499999999999998</v>
      </c>
      <c r="F3285">
        <f t="shared" si="368"/>
        <v>-495.73999999999995</v>
      </c>
      <c r="I3285">
        <f t="shared" si="364"/>
        <v>31</v>
      </c>
      <c r="J3285">
        <v>1</v>
      </c>
      <c r="K3285">
        <f t="shared" si="365"/>
        <v>12</v>
      </c>
      <c r="L3285">
        <f t="shared" si="366"/>
        <v>2012</v>
      </c>
      <c r="N3285" s="17">
        <f t="shared" si="369"/>
        <v>41244</v>
      </c>
      <c r="S3285">
        <f t="shared" si="370"/>
        <v>0</v>
      </c>
    </row>
    <row r="3286" spans="1:19" x14ac:dyDescent="0.3">
      <c r="A3286" s="17">
        <v>41271</v>
      </c>
      <c r="B3286">
        <v>611.55999999999995</v>
      </c>
      <c r="C3286">
        <v>108.01</v>
      </c>
      <c r="D3286">
        <f t="shared" si="367"/>
        <v>503.54999999999995</v>
      </c>
      <c r="E3286">
        <v>2.2200000000000002</v>
      </c>
      <c r="F3286">
        <f t="shared" si="368"/>
        <v>-501.32999999999993</v>
      </c>
      <c r="I3286">
        <f t="shared" si="364"/>
        <v>28</v>
      </c>
      <c r="J3286">
        <v>1</v>
      </c>
      <c r="K3286">
        <f t="shared" si="365"/>
        <v>12</v>
      </c>
      <c r="L3286">
        <f t="shared" si="366"/>
        <v>2012</v>
      </c>
      <c r="N3286" s="17">
        <f t="shared" si="369"/>
        <v>41244</v>
      </c>
      <c r="S3286">
        <f t="shared" si="370"/>
        <v>0</v>
      </c>
    </row>
    <row r="3287" spans="1:19" x14ac:dyDescent="0.3">
      <c r="A3287" s="17">
        <v>41270</v>
      </c>
      <c r="B3287">
        <v>612.86</v>
      </c>
      <c r="C3287">
        <v>108.15</v>
      </c>
      <c r="D3287">
        <f t="shared" si="367"/>
        <v>504.71000000000004</v>
      </c>
      <c r="E3287">
        <v>2.2599999999999998</v>
      </c>
      <c r="F3287">
        <f t="shared" si="368"/>
        <v>-502.45000000000005</v>
      </c>
      <c r="I3287">
        <f t="shared" si="364"/>
        <v>27</v>
      </c>
      <c r="J3287">
        <v>1</v>
      </c>
      <c r="K3287">
        <f t="shared" si="365"/>
        <v>12</v>
      </c>
      <c r="L3287">
        <f t="shared" si="366"/>
        <v>2012</v>
      </c>
      <c r="N3287" s="17">
        <f t="shared" si="369"/>
        <v>41244</v>
      </c>
      <c r="S3287">
        <f t="shared" si="370"/>
        <v>0</v>
      </c>
    </row>
    <row r="3288" spans="1:19" x14ac:dyDescent="0.3">
      <c r="A3288" s="17">
        <v>41269</v>
      </c>
      <c r="B3288">
        <v>603.88</v>
      </c>
      <c r="C3288">
        <v>106.86</v>
      </c>
      <c r="D3288">
        <f t="shared" si="367"/>
        <v>497.02</v>
      </c>
      <c r="E3288">
        <v>2.29</v>
      </c>
      <c r="F3288">
        <f t="shared" si="368"/>
        <v>-494.72999999999996</v>
      </c>
      <c r="I3288">
        <f t="shared" si="364"/>
        <v>26</v>
      </c>
      <c r="J3288">
        <v>1</v>
      </c>
      <c r="K3288">
        <f t="shared" si="365"/>
        <v>12</v>
      </c>
      <c r="L3288">
        <f t="shared" si="366"/>
        <v>2012</v>
      </c>
      <c r="N3288" s="17">
        <f t="shared" si="369"/>
        <v>41244</v>
      </c>
      <c r="S3288">
        <f t="shared" si="370"/>
        <v>0</v>
      </c>
    </row>
    <row r="3289" spans="1:19" x14ac:dyDescent="0.3">
      <c r="A3289" s="17">
        <v>41267</v>
      </c>
      <c r="B3289">
        <v>603</v>
      </c>
      <c r="C3289">
        <v>106</v>
      </c>
      <c r="D3289">
        <f t="shared" si="367"/>
        <v>497</v>
      </c>
      <c r="E3289">
        <v>2.34</v>
      </c>
      <c r="F3289">
        <f t="shared" si="368"/>
        <v>-494.66</v>
      </c>
      <c r="I3289">
        <f t="shared" si="364"/>
        <v>24</v>
      </c>
      <c r="J3289">
        <v>1</v>
      </c>
      <c r="K3289">
        <f t="shared" si="365"/>
        <v>12</v>
      </c>
      <c r="L3289">
        <f t="shared" si="366"/>
        <v>2012</v>
      </c>
      <c r="N3289" s="17">
        <f t="shared" si="369"/>
        <v>41244</v>
      </c>
      <c r="S3289">
        <f t="shared" si="370"/>
        <v>0</v>
      </c>
    </row>
    <row r="3290" spans="1:19" x14ac:dyDescent="0.3">
      <c r="A3290" s="17">
        <v>41264</v>
      </c>
      <c r="B3290">
        <v>605.53</v>
      </c>
      <c r="C3290">
        <v>106.8</v>
      </c>
      <c r="D3290">
        <f t="shared" si="367"/>
        <v>498.72999999999996</v>
      </c>
      <c r="E3290">
        <v>2.36</v>
      </c>
      <c r="F3290">
        <f t="shared" si="368"/>
        <v>-496.36999999999995</v>
      </c>
      <c r="I3290">
        <f t="shared" si="364"/>
        <v>21</v>
      </c>
      <c r="J3290">
        <v>1</v>
      </c>
      <c r="K3290">
        <f t="shared" si="365"/>
        <v>12</v>
      </c>
      <c r="L3290">
        <f t="shared" si="366"/>
        <v>2012</v>
      </c>
      <c r="N3290" s="17">
        <f t="shared" si="369"/>
        <v>41244</v>
      </c>
      <c r="S3290">
        <f t="shared" si="370"/>
        <v>0</v>
      </c>
    </row>
    <row r="3291" spans="1:19" x14ac:dyDescent="0.3">
      <c r="A3291" s="17">
        <v>41263</v>
      </c>
      <c r="B3291">
        <v>606.51</v>
      </c>
      <c r="C3291">
        <v>106.87</v>
      </c>
      <c r="D3291">
        <f t="shared" si="367"/>
        <v>499.64</v>
      </c>
      <c r="E3291">
        <v>2.34</v>
      </c>
      <c r="F3291">
        <f t="shared" si="368"/>
        <v>-497.3</v>
      </c>
      <c r="I3291">
        <f t="shared" si="364"/>
        <v>20</v>
      </c>
      <c r="J3291">
        <v>1</v>
      </c>
      <c r="K3291">
        <f t="shared" si="365"/>
        <v>12</v>
      </c>
      <c r="L3291">
        <f t="shared" si="366"/>
        <v>2012</v>
      </c>
      <c r="N3291" s="17">
        <f t="shared" si="369"/>
        <v>41244</v>
      </c>
      <c r="S3291">
        <f t="shared" si="370"/>
        <v>0</v>
      </c>
    </row>
    <row r="3292" spans="1:19" x14ac:dyDescent="0.3">
      <c r="A3292" s="17">
        <v>41262</v>
      </c>
      <c r="B3292">
        <v>605.12</v>
      </c>
      <c r="C3292">
        <v>106.31</v>
      </c>
      <c r="D3292">
        <f t="shared" si="367"/>
        <v>498.81</v>
      </c>
      <c r="E3292">
        <v>2.34</v>
      </c>
      <c r="F3292">
        <f t="shared" si="368"/>
        <v>-496.47</v>
      </c>
      <c r="I3292">
        <f t="shared" si="364"/>
        <v>19</v>
      </c>
      <c r="J3292">
        <v>1</v>
      </c>
      <c r="K3292">
        <f t="shared" si="365"/>
        <v>12</v>
      </c>
      <c r="L3292">
        <f t="shared" si="366"/>
        <v>2012</v>
      </c>
      <c r="N3292" s="17">
        <f t="shared" si="369"/>
        <v>41244</v>
      </c>
      <c r="S3292">
        <f t="shared" si="370"/>
        <v>0</v>
      </c>
    </row>
    <row r="3293" spans="1:19" x14ac:dyDescent="0.3">
      <c r="A3293" s="17">
        <v>41261</v>
      </c>
      <c r="B3293">
        <v>602.51</v>
      </c>
      <c r="C3293">
        <v>105.76</v>
      </c>
      <c r="D3293">
        <f t="shared" si="367"/>
        <v>496.75</v>
      </c>
      <c r="E3293">
        <v>2.37</v>
      </c>
      <c r="F3293">
        <f t="shared" si="368"/>
        <v>-494.38</v>
      </c>
      <c r="I3293">
        <f t="shared" si="364"/>
        <v>18</v>
      </c>
      <c r="J3293">
        <v>1</v>
      </c>
      <c r="K3293">
        <f t="shared" si="365"/>
        <v>12</v>
      </c>
      <c r="L3293">
        <f t="shared" si="366"/>
        <v>2012</v>
      </c>
      <c r="N3293" s="17">
        <f t="shared" si="369"/>
        <v>41244</v>
      </c>
      <c r="S3293">
        <f t="shared" si="370"/>
        <v>0</v>
      </c>
    </row>
    <row r="3294" spans="1:19" x14ac:dyDescent="0.3">
      <c r="A3294" s="17">
        <v>41260</v>
      </c>
      <c r="B3294">
        <v>603.04999999999995</v>
      </c>
      <c r="C3294">
        <v>105.71</v>
      </c>
      <c r="D3294">
        <f t="shared" si="367"/>
        <v>497.34</v>
      </c>
      <c r="E3294">
        <v>2.4700000000000002</v>
      </c>
      <c r="F3294">
        <f t="shared" si="368"/>
        <v>-494.86999999999995</v>
      </c>
      <c r="I3294">
        <f t="shared" si="364"/>
        <v>17</v>
      </c>
      <c r="J3294">
        <v>1</v>
      </c>
      <c r="K3294">
        <f t="shared" si="365"/>
        <v>12</v>
      </c>
      <c r="L3294">
        <f t="shared" si="366"/>
        <v>2012</v>
      </c>
      <c r="N3294" s="17">
        <f t="shared" si="369"/>
        <v>41244</v>
      </c>
      <c r="S3294">
        <f t="shared" si="370"/>
        <v>0</v>
      </c>
    </row>
    <row r="3295" spans="1:19" x14ac:dyDescent="0.3">
      <c r="A3295" s="17">
        <v>41257</v>
      </c>
      <c r="B3295">
        <v>600.75</v>
      </c>
      <c r="C3295">
        <v>105.09</v>
      </c>
      <c r="D3295">
        <f t="shared" si="367"/>
        <v>495.65999999999997</v>
      </c>
      <c r="E3295">
        <v>2.81</v>
      </c>
      <c r="F3295">
        <f t="shared" si="368"/>
        <v>-492.84999999999997</v>
      </c>
      <c r="I3295">
        <f t="shared" si="364"/>
        <v>14</v>
      </c>
      <c r="J3295">
        <v>1</v>
      </c>
      <c r="K3295">
        <f t="shared" si="365"/>
        <v>12</v>
      </c>
      <c r="L3295">
        <f t="shared" si="366"/>
        <v>2012</v>
      </c>
      <c r="N3295" s="17">
        <f t="shared" si="369"/>
        <v>41244</v>
      </c>
      <c r="S3295">
        <f t="shared" si="370"/>
        <v>0</v>
      </c>
    </row>
    <row r="3296" spans="1:19" x14ac:dyDescent="0.3">
      <c r="A3296" s="17">
        <v>41256</v>
      </c>
      <c r="B3296">
        <v>600.80999999999995</v>
      </c>
      <c r="C3296">
        <v>105.67</v>
      </c>
      <c r="D3296">
        <f t="shared" si="367"/>
        <v>495.13999999999993</v>
      </c>
      <c r="E3296">
        <v>2.83</v>
      </c>
      <c r="F3296">
        <f t="shared" si="368"/>
        <v>-492.30999999999995</v>
      </c>
      <c r="I3296">
        <f t="shared" si="364"/>
        <v>13</v>
      </c>
      <c r="J3296">
        <v>1</v>
      </c>
      <c r="K3296">
        <f t="shared" si="365"/>
        <v>12</v>
      </c>
      <c r="L3296">
        <f t="shared" si="366"/>
        <v>2012</v>
      </c>
      <c r="N3296" s="17">
        <f t="shared" si="369"/>
        <v>41244</v>
      </c>
      <c r="S3296">
        <f t="shared" si="370"/>
        <v>0</v>
      </c>
    </row>
    <row r="3297" spans="1:19" x14ac:dyDescent="0.3">
      <c r="A3297" s="17">
        <v>41255</v>
      </c>
      <c r="B3297">
        <v>600.84</v>
      </c>
      <c r="C3297">
        <v>104.81</v>
      </c>
      <c r="D3297">
        <f t="shared" si="367"/>
        <v>496.03000000000003</v>
      </c>
      <c r="E3297">
        <v>2.83</v>
      </c>
      <c r="F3297">
        <f t="shared" si="368"/>
        <v>-493.20000000000005</v>
      </c>
      <c r="I3297">
        <f t="shared" si="364"/>
        <v>12</v>
      </c>
      <c r="J3297">
        <v>1</v>
      </c>
      <c r="K3297">
        <f t="shared" si="365"/>
        <v>12</v>
      </c>
      <c r="L3297">
        <f t="shared" si="366"/>
        <v>2012</v>
      </c>
      <c r="N3297" s="17">
        <f t="shared" si="369"/>
        <v>41244</v>
      </c>
      <c r="S3297">
        <f t="shared" si="370"/>
        <v>0</v>
      </c>
    </row>
    <row r="3298" spans="1:19" x14ac:dyDescent="0.3">
      <c r="A3298" s="17">
        <v>41254</v>
      </c>
      <c r="B3298">
        <v>597.61</v>
      </c>
      <c r="C3298">
        <v>104.21</v>
      </c>
      <c r="D3298">
        <f t="shared" si="367"/>
        <v>493.40000000000003</v>
      </c>
      <c r="E3298">
        <v>2.85</v>
      </c>
      <c r="F3298">
        <f t="shared" si="368"/>
        <v>-490.55</v>
      </c>
      <c r="I3298">
        <f t="shared" si="364"/>
        <v>11</v>
      </c>
      <c r="J3298">
        <v>1</v>
      </c>
      <c r="K3298">
        <f t="shared" si="365"/>
        <v>12</v>
      </c>
      <c r="L3298">
        <f t="shared" si="366"/>
        <v>2012</v>
      </c>
      <c r="N3298" s="17">
        <f t="shared" si="369"/>
        <v>41244</v>
      </c>
      <c r="S3298">
        <f t="shared" si="370"/>
        <v>0</v>
      </c>
    </row>
    <row r="3299" spans="1:19" x14ac:dyDescent="0.3">
      <c r="A3299" s="17">
        <v>41253</v>
      </c>
      <c r="B3299">
        <v>594.53</v>
      </c>
      <c r="C3299">
        <v>104.57</v>
      </c>
      <c r="D3299">
        <f t="shared" si="367"/>
        <v>489.96</v>
      </c>
      <c r="E3299">
        <v>3</v>
      </c>
      <c r="F3299">
        <f t="shared" si="368"/>
        <v>-486.96</v>
      </c>
      <c r="I3299">
        <f t="shared" si="364"/>
        <v>10</v>
      </c>
      <c r="J3299">
        <v>1</v>
      </c>
      <c r="K3299">
        <f t="shared" si="365"/>
        <v>12</v>
      </c>
      <c r="L3299">
        <f t="shared" si="366"/>
        <v>2012</v>
      </c>
      <c r="N3299" s="17">
        <f t="shared" si="369"/>
        <v>41244</v>
      </c>
      <c r="S3299">
        <f t="shared" si="370"/>
        <v>0</v>
      </c>
    </row>
    <row r="3300" spans="1:19" x14ac:dyDescent="0.3">
      <c r="A3300" s="17">
        <v>41250</v>
      </c>
      <c r="B3300">
        <v>593.30999999999995</v>
      </c>
      <c r="C3300">
        <v>104.63</v>
      </c>
      <c r="D3300">
        <f t="shared" si="367"/>
        <v>488.67999999999995</v>
      </c>
      <c r="E3300">
        <v>3.04</v>
      </c>
      <c r="F3300">
        <f t="shared" si="368"/>
        <v>-485.63999999999993</v>
      </c>
      <c r="I3300">
        <f t="shared" si="364"/>
        <v>7</v>
      </c>
      <c r="J3300">
        <v>1</v>
      </c>
      <c r="K3300">
        <f t="shared" si="365"/>
        <v>12</v>
      </c>
      <c r="L3300">
        <f t="shared" si="366"/>
        <v>2012</v>
      </c>
      <c r="N3300" s="17">
        <f t="shared" si="369"/>
        <v>41244</v>
      </c>
      <c r="S3300">
        <f t="shared" si="370"/>
        <v>0</v>
      </c>
    </row>
    <row r="3301" spans="1:19" x14ac:dyDescent="0.3">
      <c r="A3301" s="17">
        <v>41249</v>
      </c>
      <c r="B3301">
        <v>599.72</v>
      </c>
      <c r="C3301">
        <v>106.01</v>
      </c>
      <c r="D3301">
        <f t="shared" si="367"/>
        <v>493.71000000000004</v>
      </c>
      <c r="E3301">
        <v>3.09</v>
      </c>
      <c r="F3301">
        <f t="shared" si="368"/>
        <v>-490.62000000000006</v>
      </c>
      <c r="I3301">
        <f t="shared" si="364"/>
        <v>6</v>
      </c>
      <c r="J3301">
        <v>1</v>
      </c>
      <c r="K3301">
        <f t="shared" si="365"/>
        <v>12</v>
      </c>
      <c r="L3301">
        <f t="shared" si="366"/>
        <v>2012</v>
      </c>
      <c r="N3301" s="17">
        <f t="shared" si="369"/>
        <v>41244</v>
      </c>
      <c r="S3301">
        <f t="shared" si="370"/>
        <v>0</v>
      </c>
    </row>
    <row r="3302" spans="1:19" x14ac:dyDescent="0.3">
      <c r="A3302" s="17">
        <v>41248</v>
      </c>
      <c r="B3302">
        <v>602.38</v>
      </c>
      <c r="C3302">
        <v>107.41</v>
      </c>
      <c r="D3302">
        <f t="shared" si="367"/>
        <v>494.97</v>
      </c>
      <c r="E3302">
        <v>2.99</v>
      </c>
      <c r="F3302">
        <f t="shared" si="368"/>
        <v>-491.98</v>
      </c>
      <c r="I3302">
        <f t="shared" si="364"/>
        <v>5</v>
      </c>
      <c r="J3302">
        <v>1</v>
      </c>
      <c r="K3302">
        <f t="shared" si="365"/>
        <v>12</v>
      </c>
      <c r="L3302">
        <f t="shared" si="366"/>
        <v>2012</v>
      </c>
      <c r="N3302" s="17">
        <f t="shared" si="369"/>
        <v>41244</v>
      </c>
      <c r="S3302">
        <f t="shared" si="370"/>
        <v>0</v>
      </c>
    </row>
    <row r="3303" spans="1:19" x14ac:dyDescent="0.3">
      <c r="A3303" s="17">
        <v>41247</v>
      </c>
      <c r="B3303">
        <v>603.38</v>
      </c>
      <c r="C3303">
        <v>107.91</v>
      </c>
      <c r="D3303">
        <f t="shared" si="367"/>
        <v>495.47</v>
      </c>
      <c r="E3303">
        <v>2.97</v>
      </c>
      <c r="F3303">
        <f t="shared" si="368"/>
        <v>-492.5</v>
      </c>
      <c r="I3303">
        <f t="shared" si="364"/>
        <v>4</v>
      </c>
      <c r="J3303">
        <v>1</v>
      </c>
      <c r="K3303">
        <f t="shared" si="365"/>
        <v>12</v>
      </c>
      <c r="L3303">
        <f t="shared" si="366"/>
        <v>2012</v>
      </c>
      <c r="N3303" s="17">
        <f t="shared" si="369"/>
        <v>41244</v>
      </c>
      <c r="S3303">
        <f t="shared" si="370"/>
        <v>1</v>
      </c>
    </row>
    <row r="3304" spans="1:19" x14ac:dyDescent="0.3">
      <c r="A3304" s="17">
        <v>41246</v>
      </c>
      <c r="B3304">
        <v>604.79</v>
      </c>
      <c r="C3304">
        <v>108.27</v>
      </c>
      <c r="D3304">
        <f t="shared" si="367"/>
        <v>496.52</v>
      </c>
      <c r="E3304">
        <v>2.98</v>
      </c>
      <c r="F3304">
        <f t="shared" si="368"/>
        <v>-493.53999999999996</v>
      </c>
      <c r="I3304">
        <f t="shared" si="364"/>
        <v>3</v>
      </c>
      <c r="J3304">
        <v>1</v>
      </c>
      <c r="K3304">
        <f t="shared" si="365"/>
        <v>12</v>
      </c>
      <c r="L3304">
        <f t="shared" si="366"/>
        <v>2012</v>
      </c>
      <c r="N3304" s="17">
        <f t="shared" si="369"/>
        <v>41244</v>
      </c>
      <c r="S3304">
        <f t="shared" si="370"/>
        <v>1</v>
      </c>
    </row>
    <row r="3305" spans="1:19" x14ac:dyDescent="0.3">
      <c r="A3305" s="17">
        <v>41243</v>
      </c>
      <c r="B3305">
        <v>598.16</v>
      </c>
      <c r="C3305">
        <v>109</v>
      </c>
      <c r="D3305">
        <f t="shared" si="367"/>
        <v>489.15999999999997</v>
      </c>
      <c r="E3305">
        <v>2.93</v>
      </c>
      <c r="F3305">
        <f t="shared" si="368"/>
        <v>-486.22999999999996</v>
      </c>
      <c r="I3305">
        <f t="shared" si="364"/>
        <v>30</v>
      </c>
      <c r="J3305">
        <v>1</v>
      </c>
      <c r="K3305">
        <f t="shared" si="365"/>
        <v>11</v>
      </c>
      <c r="L3305">
        <f t="shared" si="366"/>
        <v>2012</v>
      </c>
      <c r="N3305" s="17">
        <f t="shared" si="369"/>
        <v>41214</v>
      </c>
      <c r="S3305">
        <f t="shared" si="370"/>
        <v>0</v>
      </c>
    </row>
    <row r="3306" spans="1:19" x14ac:dyDescent="0.3">
      <c r="A3306" s="17">
        <v>41242</v>
      </c>
      <c r="B3306">
        <v>597.86</v>
      </c>
      <c r="C3306">
        <v>107.25</v>
      </c>
      <c r="D3306">
        <f t="shared" si="367"/>
        <v>490.61</v>
      </c>
      <c r="E3306">
        <v>2.95</v>
      </c>
      <c r="F3306">
        <f t="shared" si="368"/>
        <v>-487.66</v>
      </c>
      <c r="I3306">
        <f t="shared" si="364"/>
        <v>29</v>
      </c>
      <c r="J3306">
        <v>1</v>
      </c>
      <c r="K3306">
        <f t="shared" si="365"/>
        <v>11</v>
      </c>
      <c r="L3306">
        <f t="shared" si="366"/>
        <v>2012</v>
      </c>
      <c r="N3306" s="17">
        <f t="shared" si="369"/>
        <v>41214</v>
      </c>
      <c r="S3306">
        <f t="shared" si="370"/>
        <v>0</v>
      </c>
    </row>
    <row r="3307" spans="1:19" x14ac:dyDescent="0.3">
      <c r="A3307" s="17">
        <v>41241</v>
      </c>
      <c r="B3307">
        <v>606.99</v>
      </c>
      <c r="C3307">
        <v>107.7</v>
      </c>
      <c r="D3307">
        <f t="shared" si="367"/>
        <v>499.29</v>
      </c>
      <c r="E3307">
        <v>2.95</v>
      </c>
      <c r="F3307">
        <f t="shared" si="368"/>
        <v>-496.34000000000003</v>
      </c>
      <c r="I3307">
        <f t="shared" si="364"/>
        <v>28</v>
      </c>
      <c r="J3307">
        <v>1</v>
      </c>
      <c r="K3307">
        <f t="shared" si="365"/>
        <v>11</v>
      </c>
      <c r="L3307">
        <f t="shared" si="366"/>
        <v>2012</v>
      </c>
      <c r="N3307" s="17">
        <f t="shared" si="369"/>
        <v>41214</v>
      </c>
      <c r="S3307">
        <f t="shared" si="370"/>
        <v>0</v>
      </c>
    </row>
    <row r="3308" spans="1:19" x14ac:dyDescent="0.3">
      <c r="A3308" s="17">
        <v>41240</v>
      </c>
      <c r="B3308">
        <v>616.05999999999995</v>
      </c>
      <c r="C3308">
        <v>109.05</v>
      </c>
      <c r="D3308">
        <f t="shared" si="367"/>
        <v>507.00999999999993</v>
      </c>
      <c r="E3308">
        <v>2.98</v>
      </c>
      <c r="F3308">
        <f t="shared" si="368"/>
        <v>-504.02999999999992</v>
      </c>
      <c r="I3308">
        <f t="shared" si="364"/>
        <v>27</v>
      </c>
      <c r="J3308">
        <v>1</v>
      </c>
      <c r="K3308">
        <f t="shared" si="365"/>
        <v>11</v>
      </c>
      <c r="L3308">
        <f t="shared" si="366"/>
        <v>2012</v>
      </c>
      <c r="N3308" s="17">
        <f t="shared" si="369"/>
        <v>41214</v>
      </c>
      <c r="S3308">
        <f t="shared" si="370"/>
        <v>0</v>
      </c>
    </row>
    <row r="3309" spans="1:19" x14ac:dyDescent="0.3">
      <c r="A3309" s="17">
        <v>41239</v>
      </c>
      <c r="B3309">
        <v>614.54999999999995</v>
      </c>
      <c r="C3309">
        <v>109.35</v>
      </c>
      <c r="D3309">
        <f t="shared" si="367"/>
        <v>505.19999999999993</v>
      </c>
      <c r="E3309">
        <v>2.98</v>
      </c>
      <c r="F3309">
        <f t="shared" si="368"/>
        <v>-502.21999999999991</v>
      </c>
      <c r="I3309">
        <f t="shared" si="364"/>
        <v>26</v>
      </c>
      <c r="J3309">
        <v>1</v>
      </c>
      <c r="K3309">
        <f t="shared" si="365"/>
        <v>11</v>
      </c>
      <c r="L3309">
        <f t="shared" si="366"/>
        <v>2012</v>
      </c>
      <c r="N3309" s="17">
        <f t="shared" si="369"/>
        <v>41214</v>
      </c>
      <c r="S3309">
        <f t="shared" si="370"/>
        <v>0</v>
      </c>
    </row>
    <row r="3310" spans="1:19" x14ac:dyDescent="0.3">
      <c r="A3310" s="17">
        <v>41236</v>
      </c>
      <c r="B3310">
        <v>610.26</v>
      </c>
      <c r="C3310">
        <v>108.75</v>
      </c>
      <c r="D3310">
        <f t="shared" si="367"/>
        <v>501.51</v>
      </c>
      <c r="E3310">
        <v>2.99</v>
      </c>
      <c r="F3310">
        <f t="shared" si="368"/>
        <v>-498.52</v>
      </c>
      <c r="I3310">
        <f t="shared" si="364"/>
        <v>23</v>
      </c>
      <c r="J3310">
        <v>1</v>
      </c>
      <c r="K3310">
        <f t="shared" si="365"/>
        <v>11</v>
      </c>
      <c r="L3310">
        <f t="shared" si="366"/>
        <v>2012</v>
      </c>
      <c r="N3310" s="17">
        <f t="shared" si="369"/>
        <v>41214</v>
      </c>
      <c r="S3310">
        <f t="shared" si="370"/>
        <v>0</v>
      </c>
    </row>
    <row r="3311" spans="1:19" x14ac:dyDescent="0.3">
      <c r="A3311" s="17">
        <v>41235</v>
      </c>
      <c r="B3311">
        <v>610.35</v>
      </c>
      <c r="C3311">
        <v>108.75</v>
      </c>
      <c r="D3311">
        <f t="shared" si="367"/>
        <v>501.6</v>
      </c>
      <c r="E3311">
        <v>2.97</v>
      </c>
      <c r="F3311">
        <f t="shared" si="368"/>
        <v>-498.63</v>
      </c>
      <c r="I3311">
        <f t="shared" si="364"/>
        <v>22</v>
      </c>
      <c r="J3311">
        <v>1</v>
      </c>
      <c r="K3311">
        <f t="shared" si="365"/>
        <v>11</v>
      </c>
      <c r="L3311">
        <f t="shared" si="366"/>
        <v>2012</v>
      </c>
      <c r="N3311" s="17">
        <f t="shared" si="369"/>
        <v>41214</v>
      </c>
      <c r="S3311">
        <f t="shared" si="370"/>
        <v>0</v>
      </c>
    </row>
    <row r="3312" spans="1:19" x14ac:dyDescent="0.3">
      <c r="A3312" s="17">
        <v>41234</v>
      </c>
      <c r="B3312">
        <v>606.4</v>
      </c>
      <c r="C3312">
        <v>108.55</v>
      </c>
      <c r="D3312">
        <f t="shared" si="367"/>
        <v>497.84999999999997</v>
      </c>
      <c r="E3312">
        <v>2.99</v>
      </c>
      <c r="F3312">
        <f t="shared" si="368"/>
        <v>-494.85999999999996</v>
      </c>
      <c r="I3312">
        <f t="shared" si="364"/>
        <v>21</v>
      </c>
      <c r="J3312">
        <v>1</v>
      </c>
      <c r="K3312">
        <f t="shared" si="365"/>
        <v>11</v>
      </c>
      <c r="L3312">
        <f t="shared" si="366"/>
        <v>2012</v>
      </c>
      <c r="N3312" s="17">
        <f t="shared" si="369"/>
        <v>41214</v>
      </c>
      <c r="S3312">
        <f t="shared" si="370"/>
        <v>0</v>
      </c>
    </row>
    <row r="3313" spans="1:19" x14ac:dyDescent="0.3">
      <c r="A3313" s="17">
        <v>41233</v>
      </c>
      <c r="B3313">
        <v>615.92999999999995</v>
      </c>
      <c r="C3313">
        <v>109.5</v>
      </c>
      <c r="D3313">
        <f t="shared" si="367"/>
        <v>506.42999999999995</v>
      </c>
      <c r="E3313">
        <v>2.99</v>
      </c>
      <c r="F3313">
        <f t="shared" si="368"/>
        <v>-503.43999999999994</v>
      </c>
      <c r="I3313">
        <f t="shared" si="364"/>
        <v>20</v>
      </c>
      <c r="J3313">
        <v>1</v>
      </c>
      <c r="K3313">
        <f t="shared" si="365"/>
        <v>11</v>
      </c>
      <c r="L3313">
        <f t="shared" si="366"/>
        <v>2012</v>
      </c>
      <c r="N3313" s="17">
        <f t="shared" si="369"/>
        <v>41214</v>
      </c>
      <c r="S3313">
        <f t="shared" si="370"/>
        <v>0</v>
      </c>
    </row>
    <row r="3314" spans="1:19" x14ac:dyDescent="0.3">
      <c r="A3314" s="17">
        <v>41232</v>
      </c>
      <c r="B3314">
        <v>614.69000000000005</v>
      </c>
      <c r="C3314">
        <v>108.36</v>
      </c>
      <c r="D3314">
        <f t="shared" si="367"/>
        <v>506.33000000000004</v>
      </c>
      <c r="E3314">
        <v>3.02</v>
      </c>
      <c r="F3314">
        <f t="shared" si="368"/>
        <v>-503.31000000000006</v>
      </c>
      <c r="I3314">
        <f t="shared" si="364"/>
        <v>19</v>
      </c>
      <c r="J3314">
        <v>1</v>
      </c>
      <c r="K3314">
        <f t="shared" si="365"/>
        <v>11</v>
      </c>
      <c r="L3314">
        <f t="shared" si="366"/>
        <v>2012</v>
      </c>
      <c r="N3314" s="17">
        <f t="shared" si="369"/>
        <v>41214</v>
      </c>
      <c r="S3314">
        <f t="shared" si="370"/>
        <v>0</v>
      </c>
    </row>
    <row r="3315" spans="1:19" x14ac:dyDescent="0.3">
      <c r="A3315" s="17">
        <v>41229</v>
      </c>
      <c r="B3315">
        <v>609.13</v>
      </c>
      <c r="C3315">
        <v>107.25</v>
      </c>
      <c r="D3315">
        <f t="shared" si="367"/>
        <v>501.88</v>
      </c>
      <c r="E3315">
        <v>3.02</v>
      </c>
      <c r="F3315">
        <f t="shared" si="368"/>
        <v>-498.86</v>
      </c>
      <c r="I3315">
        <f t="shared" si="364"/>
        <v>16</v>
      </c>
      <c r="J3315">
        <v>1</v>
      </c>
      <c r="K3315">
        <f t="shared" si="365"/>
        <v>11</v>
      </c>
      <c r="L3315">
        <f t="shared" si="366"/>
        <v>2012</v>
      </c>
      <c r="N3315" s="17">
        <f t="shared" si="369"/>
        <v>41214</v>
      </c>
      <c r="S3315">
        <f t="shared" si="370"/>
        <v>0</v>
      </c>
    </row>
    <row r="3316" spans="1:19" x14ac:dyDescent="0.3">
      <c r="A3316" s="17">
        <v>41228</v>
      </c>
      <c r="B3316">
        <v>610.62</v>
      </c>
      <c r="C3316">
        <v>107.36</v>
      </c>
      <c r="D3316">
        <f t="shared" si="367"/>
        <v>503.26</v>
      </c>
      <c r="E3316">
        <v>3.02</v>
      </c>
      <c r="F3316">
        <f t="shared" si="368"/>
        <v>-500.24</v>
      </c>
      <c r="I3316">
        <f t="shared" si="364"/>
        <v>15</v>
      </c>
      <c r="J3316">
        <v>1</v>
      </c>
      <c r="K3316">
        <f t="shared" si="365"/>
        <v>11</v>
      </c>
      <c r="L3316">
        <f t="shared" si="366"/>
        <v>2012</v>
      </c>
      <c r="N3316" s="17">
        <f t="shared" si="369"/>
        <v>41214</v>
      </c>
      <c r="S3316">
        <f t="shared" si="370"/>
        <v>0</v>
      </c>
    </row>
    <row r="3317" spans="1:19" x14ac:dyDescent="0.3">
      <c r="A3317" s="17">
        <v>41227</v>
      </c>
      <c r="B3317">
        <v>602.94000000000005</v>
      </c>
      <c r="C3317">
        <v>105.9</v>
      </c>
      <c r="D3317">
        <f t="shared" si="367"/>
        <v>497.04000000000008</v>
      </c>
      <c r="E3317">
        <v>3</v>
      </c>
      <c r="F3317">
        <f t="shared" si="368"/>
        <v>-494.04000000000008</v>
      </c>
      <c r="I3317">
        <f t="shared" si="364"/>
        <v>14</v>
      </c>
      <c r="J3317">
        <v>1</v>
      </c>
      <c r="K3317">
        <f t="shared" si="365"/>
        <v>11</v>
      </c>
      <c r="L3317">
        <f t="shared" si="366"/>
        <v>2012</v>
      </c>
      <c r="N3317" s="17">
        <f t="shared" si="369"/>
        <v>41214</v>
      </c>
      <c r="S3317">
        <f t="shared" si="370"/>
        <v>0</v>
      </c>
    </row>
    <row r="3318" spans="1:19" x14ac:dyDescent="0.3">
      <c r="A3318" s="17">
        <v>41225</v>
      </c>
      <c r="B3318">
        <v>600.16999999999996</v>
      </c>
      <c r="C3318">
        <v>106.4</v>
      </c>
      <c r="D3318">
        <f t="shared" si="367"/>
        <v>493.77</v>
      </c>
      <c r="E3318">
        <v>3.18</v>
      </c>
      <c r="F3318">
        <f t="shared" si="368"/>
        <v>-490.59</v>
      </c>
      <c r="I3318">
        <f t="shared" si="364"/>
        <v>12</v>
      </c>
      <c r="J3318">
        <v>1</v>
      </c>
      <c r="K3318">
        <f t="shared" si="365"/>
        <v>11</v>
      </c>
      <c r="L3318">
        <f t="shared" si="366"/>
        <v>2012</v>
      </c>
      <c r="N3318" s="17">
        <f t="shared" si="369"/>
        <v>41214</v>
      </c>
      <c r="S3318">
        <f t="shared" si="370"/>
        <v>0</v>
      </c>
    </row>
    <row r="3319" spans="1:19" x14ac:dyDescent="0.3">
      <c r="A3319" s="17">
        <v>41222</v>
      </c>
      <c r="B3319">
        <v>587.07000000000005</v>
      </c>
      <c r="C3319">
        <v>104.86</v>
      </c>
      <c r="D3319">
        <f t="shared" si="367"/>
        <v>482.21000000000004</v>
      </c>
      <c r="E3319">
        <v>3.2</v>
      </c>
      <c r="F3319">
        <f t="shared" si="368"/>
        <v>-479.01000000000005</v>
      </c>
      <c r="I3319">
        <f t="shared" si="364"/>
        <v>9</v>
      </c>
      <c r="J3319">
        <v>1</v>
      </c>
      <c r="K3319">
        <f t="shared" si="365"/>
        <v>11</v>
      </c>
      <c r="L3319">
        <f t="shared" si="366"/>
        <v>2012</v>
      </c>
      <c r="N3319" s="17">
        <f t="shared" si="369"/>
        <v>41214</v>
      </c>
      <c r="S3319">
        <f t="shared" si="370"/>
        <v>0</v>
      </c>
    </row>
    <row r="3320" spans="1:19" x14ac:dyDescent="0.3">
      <c r="A3320" s="17">
        <v>41221</v>
      </c>
      <c r="B3320">
        <v>592.27</v>
      </c>
      <c r="C3320">
        <v>104.78</v>
      </c>
      <c r="D3320">
        <f t="shared" si="367"/>
        <v>487.49</v>
      </c>
      <c r="E3320">
        <v>3.3</v>
      </c>
      <c r="F3320">
        <f t="shared" si="368"/>
        <v>-484.19</v>
      </c>
      <c r="I3320">
        <f t="shared" si="364"/>
        <v>8</v>
      </c>
      <c r="J3320">
        <v>1</v>
      </c>
      <c r="K3320">
        <f t="shared" si="365"/>
        <v>11</v>
      </c>
      <c r="L3320">
        <f t="shared" si="366"/>
        <v>2012</v>
      </c>
      <c r="N3320" s="17">
        <f t="shared" si="369"/>
        <v>41214</v>
      </c>
      <c r="S3320">
        <f t="shared" si="370"/>
        <v>0</v>
      </c>
    </row>
    <row r="3321" spans="1:19" x14ac:dyDescent="0.3">
      <c r="A3321" s="17">
        <v>41220</v>
      </c>
      <c r="B3321">
        <v>610.6</v>
      </c>
      <c r="C3321">
        <v>108.32</v>
      </c>
      <c r="D3321">
        <f t="shared" si="367"/>
        <v>502.28000000000003</v>
      </c>
      <c r="E3321">
        <v>3.4</v>
      </c>
      <c r="F3321">
        <f t="shared" si="368"/>
        <v>-498.88000000000005</v>
      </c>
      <c r="I3321">
        <f t="shared" si="364"/>
        <v>7</v>
      </c>
      <c r="J3321">
        <v>1</v>
      </c>
      <c r="K3321">
        <f t="shared" si="365"/>
        <v>11</v>
      </c>
      <c r="L3321">
        <f t="shared" si="366"/>
        <v>2012</v>
      </c>
      <c r="N3321" s="17">
        <f t="shared" si="369"/>
        <v>41214</v>
      </c>
      <c r="S3321">
        <f t="shared" si="370"/>
        <v>0</v>
      </c>
    </row>
    <row r="3322" spans="1:19" x14ac:dyDescent="0.3">
      <c r="A3322" s="17">
        <v>41219</v>
      </c>
      <c r="B3322">
        <v>594.51</v>
      </c>
      <c r="C3322">
        <v>105.1</v>
      </c>
      <c r="D3322">
        <f t="shared" si="367"/>
        <v>489.40999999999997</v>
      </c>
      <c r="E3322">
        <v>3.5</v>
      </c>
      <c r="F3322">
        <f t="shared" si="368"/>
        <v>-485.90999999999997</v>
      </c>
      <c r="I3322">
        <f t="shared" si="364"/>
        <v>6</v>
      </c>
      <c r="J3322">
        <v>1</v>
      </c>
      <c r="K3322">
        <f t="shared" si="365"/>
        <v>11</v>
      </c>
      <c r="L3322">
        <f t="shared" si="366"/>
        <v>2012</v>
      </c>
      <c r="N3322" s="17">
        <f t="shared" si="369"/>
        <v>41214</v>
      </c>
      <c r="S3322">
        <f t="shared" si="370"/>
        <v>0</v>
      </c>
    </row>
    <row r="3323" spans="1:19" x14ac:dyDescent="0.3">
      <c r="A3323" s="17">
        <v>41218</v>
      </c>
      <c r="B3323">
        <v>592.19000000000005</v>
      </c>
      <c r="C3323">
        <v>103.35</v>
      </c>
      <c r="D3323">
        <f t="shared" si="367"/>
        <v>488.84000000000003</v>
      </c>
      <c r="E3323">
        <v>3.5</v>
      </c>
      <c r="F3323">
        <f t="shared" si="368"/>
        <v>-485.34000000000003</v>
      </c>
      <c r="I3323">
        <f t="shared" si="364"/>
        <v>5</v>
      </c>
      <c r="J3323">
        <v>1</v>
      </c>
      <c r="K3323">
        <f t="shared" si="365"/>
        <v>11</v>
      </c>
      <c r="L3323">
        <f t="shared" si="366"/>
        <v>2012</v>
      </c>
      <c r="N3323" s="17">
        <f t="shared" si="369"/>
        <v>41214</v>
      </c>
      <c r="S3323">
        <f t="shared" si="370"/>
        <v>0</v>
      </c>
    </row>
    <row r="3324" spans="1:19" x14ac:dyDescent="0.3">
      <c r="A3324" s="17">
        <v>41215</v>
      </c>
      <c r="B3324">
        <v>609.59</v>
      </c>
      <c r="C3324">
        <v>106.05</v>
      </c>
      <c r="D3324">
        <f t="shared" si="367"/>
        <v>503.54</v>
      </c>
      <c r="E3324">
        <v>3.57</v>
      </c>
      <c r="F3324">
        <f t="shared" si="368"/>
        <v>-499.97</v>
      </c>
      <c r="I3324">
        <f t="shared" si="364"/>
        <v>2</v>
      </c>
      <c r="J3324">
        <v>1</v>
      </c>
      <c r="K3324">
        <f t="shared" si="365"/>
        <v>11</v>
      </c>
      <c r="L3324">
        <f t="shared" si="366"/>
        <v>2012</v>
      </c>
      <c r="N3324" s="17">
        <f t="shared" si="369"/>
        <v>41214</v>
      </c>
      <c r="S3324">
        <f t="shared" si="370"/>
        <v>1</v>
      </c>
    </row>
    <row r="3325" spans="1:19" x14ac:dyDescent="0.3">
      <c r="A3325" s="17">
        <v>41214</v>
      </c>
      <c r="B3325">
        <v>612.38</v>
      </c>
      <c r="C3325">
        <v>106.8</v>
      </c>
      <c r="D3325">
        <f t="shared" si="367"/>
        <v>505.58</v>
      </c>
      <c r="E3325">
        <v>3.59</v>
      </c>
      <c r="F3325">
        <f t="shared" si="368"/>
        <v>-501.99</v>
      </c>
      <c r="I3325">
        <f t="shared" si="364"/>
        <v>1</v>
      </c>
      <c r="J3325">
        <v>1</v>
      </c>
      <c r="K3325">
        <f t="shared" si="365"/>
        <v>11</v>
      </c>
      <c r="L3325">
        <f t="shared" si="366"/>
        <v>2012</v>
      </c>
      <c r="N3325" s="17">
        <f t="shared" si="369"/>
        <v>41214</v>
      </c>
      <c r="S3325">
        <f t="shared" si="370"/>
        <v>1</v>
      </c>
    </row>
    <row r="3326" spans="1:19" x14ac:dyDescent="0.3">
      <c r="A3326" s="17">
        <v>41213</v>
      </c>
      <c r="B3326">
        <v>616.91999999999996</v>
      </c>
      <c r="C3326">
        <v>106.88</v>
      </c>
      <c r="D3326">
        <f t="shared" si="367"/>
        <v>510.03999999999996</v>
      </c>
      <c r="E3326">
        <v>3.57</v>
      </c>
      <c r="F3326">
        <f t="shared" si="368"/>
        <v>-506.46999999999997</v>
      </c>
      <c r="I3326">
        <f t="shared" si="364"/>
        <v>31</v>
      </c>
      <c r="J3326">
        <v>1</v>
      </c>
      <c r="K3326">
        <f t="shared" si="365"/>
        <v>10</v>
      </c>
      <c r="L3326">
        <f t="shared" si="366"/>
        <v>2012</v>
      </c>
      <c r="N3326" s="17">
        <f t="shared" si="369"/>
        <v>41183</v>
      </c>
      <c r="S3326">
        <f t="shared" si="370"/>
        <v>0</v>
      </c>
    </row>
    <row r="3327" spans="1:19" x14ac:dyDescent="0.3">
      <c r="A3327" s="17">
        <v>41212</v>
      </c>
      <c r="B3327">
        <v>617.41999999999996</v>
      </c>
      <c r="C3327">
        <v>106.88</v>
      </c>
      <c r="D3327">
        <f t="shared" si="367"/>
        <v>510.53999999999996</v>
      </c>
      <c r="E3327">
        <v>3.62</v>
      </c>
      <c r="F3327">
        <f t="shared" si="368"/>
        <v>-506.91999999999996</v>
      </c>
      <c r="I3327">
        <f t="shared" si="364"/>
        <v>30</v>
      </c>
      <c r="J3327">
        <v>1</v>
      </c>
      <c r="K3327">
        <f t="shared" si="365"/>
        <v>10</v>
      </c>
      <c r="L3327">
        <f t="shared" si="366"/>
        <v>2012</v>
      </c>
      <c r="N3327" s="17">
        <f t="shared" si="369"/>
        <v>41183</v>
      </c>
      <c r="S3327">
        <f t="shared" si="370"/>
        <v>0</v>
      </c>
    </row>
    <row r="3328" spans="1:19" x14ac:dyDescent="0.3">
      <c r="A3328" s="17">
        <v>41211</v>
      </c>
      <c r="B3328">
        <v>624.44000000000005</v>
      </c>
      <c r="C3328">
        <v>106.35</v>
      </c>
      <c r="D3328">
        <f t="shared" si="367"/>
        <v>518.09</v>
      </c>
      <c r="E3328">
        <v>3.85</v>
      </c>
      <c r="F3328">
        <f t="shared" si="368"/>
        <v>-514.24</v>
      </c>
      <c r="I3328">
        <f t="shared" si="364"/>
        <v>29</v>
      </c>
      <c r="J3328">
        <v>1</v>
      </c>
      <c r="K3328">
        <f t="shared" si="365"/>
        <v>10</v>
      </c>
      <c r="L3328">
        <f t="shared" si="366"/>
        <v>2012</v>
      </c>
      <c r="N3328" s="17">
        <f t="shared" si="369"/>
        <v>41183</v>
      </c>
      <c r="S3328">
        <f t="shared" si="370"/>
        <v>0</v>
      </c>
    </row>
    <row r="3329" spans="1:19" x14ac:dyDescent="0.3">
      <c r="A3329" s="17">
        <v>41207</v>
      </c>
      <c r="B3329">
        <v>626.73</v>
      </c>
      <c r="C3329">
        <v>107.2</v>
      </c>
      <c r="D3329">
        <f t="shared" si="367"/>
        <v>519.53</v>
      </c>
      <c r="E3329">
        <v>3.95</v>
      </c>
      <c r="F3329">
        <f t="shared" si="368"/>
        <v>-515.57999999999993</v>
      </c>
      <c r="I3329">
        <f t="shared" si="364"/>
        <v>25</v>
      </c>
      <c r="J3329">
        <v>1</v>
      </c>
      <c r="K3329">
        <f t="shared" si="365"/>
        <v>10</v>
      </c>
      <c r="L3329">
        <f t="shared" si="366"/>
        <v>2012</v>
      </c>
      <c r="N3329" s="17">
        <f t="shared" si="369"/>
        <v>41183</v>
      </c>
      <c r="S3329">
        <f t="shared" si="370"/>
        <v>0</v>
      </c>
    </row>
    <row r="3330" spans="1:19" x14ac:dyDescent="0.3">
      <c r="A3330" s="17">
        <v>41206</v>
      </c>
      <c r="B3330">
        <v>627.27</v>
      </c>
      <c r="C3330">
        <v>106.97</v>
      </c>
      <c r="D3330">
        <f t="shared" si="367"/>
        <v>520.29999999999995</v>
      </c>
      <c r="E3330">
        <v>4.0599999999999996</v>
      </c>
      <c r="F3330">
        <f t="shared" si="368"/>
        <v>-516.24</v>
      </c>
      <c r="I3330">
        <f t="shared" si="364"/>
        <v>24</v>
      </c>
      <c r="J3330">
        <v>1</v>
      </c>
      <c r="K3330">
        <f t="shared" si="365"/>
        <v>10</v>
      </c>
      <c r="L3330">
        <f t="shared" si="366"/>
        <v>2012</v>
      </c>
      <c r="N3330" s="17">
        <f t="shared" si="369"/>
        <v>41183</v>
      </c>
      <c r="S3330">
        <f t="shared" si="370"/>
        <v>0</v>
      </c>
    </row>
    <row r="3331" spans="1:19" x14ac:dyDescent="0.3">
      <c r="A3331" s="17">
        <v>41205</v>
      </c>
      <c r="B3331">
        <v>633.64</v>
      </c>
      <c r="C3331">
        <v>107.25</v>
      </c>
      <c r="D3331">
        <f t="shared" si="367"/>
        <v>526.39</v>
      </c>
      <c r="E3331">
        <v>4.03</v>
      </c>
      <c r="F3331">
        <f t="shared" si="368"/>
        <v>-522.36</v>
      </c>
      <c r="I3331">
        <f t="shared" si="364"/>
        <v>23</v>
      </c>
      <c r="J3331">
        <v>1</v>
      </c>
      <c r="K3331">
        <f t="shared" si="365"/>
        <v>10</v>
      </c>
      <c r="L3331">
        <f t="shared" si="366"/>
        <v>2012</v>
      </c>
      <c r="N3331" s="17">
        <f t="shared" si="369"/>
        <v>41183</v>
      </c>
      <c r="S3331">
        <f t="shared" si="370"/>
        <v>0</v>
      </c>
    </row>
    <row r="3332" spans="1:19" x14ac:dyDescent="0.3">
      <c r="A3332" s="17">
        <v>41204</v>
      </c>
      <c r="B3332">
        <v>636.41999999999996</v>
      </c>
      <c r="C3332">
        <v>108.05</v>
      </c>
      <c r="D3332">
        <f t="shared" si="367"/>
        <v>528.37</v>
      </c>
      <c r="E3332">
        <v>4.17</v>
      </c>
      <c r="F3332">
        <f t="shared" si="368"/>
        <v>-524.20000000000005</v>
      </c>
      <c r="I3332">
        <f t="shared" si="364"/>
        <v>22</v>
      </c>
      <c r="J3332">
        <v>1</v>
      </c>
      <c r="K3332">
        <f t="shared" si="365"/>
        <v>10</v>
      </c>
      <c r="L3332">
        <f t="shared" si="366"/>
        <v>2012</v>
      </c>
      <c r="N3332" s="17">
        <f t="shared" si="369"/>
        <v>41183</v>
      </c>
      <c r="S3332">
        <f t="shared" si="370"/>
        <v>0</v>
      </c>
    </row>
    <row r="3333" spans="1:19" x14ac:dyDescent="0.3">
      <c r="A3333" s="17">
        <v>41201</v>
      </c>
      <c r="B3333">
        <v>643.5</v>
      </c>
      <c r="C3333">
        <v>110.15</v>
      </c>
      <c r="D3333">
        <f t="shared" si="367"/>
        <v>533.35</v>
      </c>
      <c r="E3333">
        <v>4.18</v>
      </c>
      <c r="F3333">
        <f t="shared" si="368"/>
        <v>-529.17000000000007</v>
      </c>
      <c r="I3333">
        <f t="shared" ref="I3333:I3396" si="371">+DAY(A3333)</f>
        <v>19</v>
      </c>
      <c r="J3333">
        <v>1</v>
      </c>
      <c r="K3333">
        <f t="shared" ref="K3333:K3396" si="372">+MONTH(A3333)</f>
        <v>10</v>
      </c>
      <c r="L3333">
        <f t="shared" ref="L3333:L3396" si="373">+YEAR(A3333)</f>
        <v>2012</v>
      </c>
      <c r="N3333" s="17">
        <f t="shared" si="369"/>
        <v>41183</v>
      </c>
      <c r="S3333">
        <f t="shared" si="370"/>
        <v>0</v>
      </c>
    </row>
    <row r="3334" spans="1:19" x14ac:dyDescent="0.3">
      <c r="A3334" s="17">
        <v>41200</v>
      </c>
      <c r="B3334">
        <v>642.27</v>
      </c>
      <c r="C3334">
        <v>110.8</v>
      </c>
      <c r="D3334">
        <f t="shared" ref="D3334:D3397" si="374">+B3334-C3334</f>
        <v>531.47</v>
      </c>
      <c r="E3334">
        <v>4.24</v>
      </c>
      <c r="F3334">
        <f t="shared" ref="F3334:F3397" si="375">+E3334-D3334</f>
        <v>-527.23</v>
      </c>
      <c r="I3334">
        <f t="shared" si="371"/>
        <v>18</v>
      </c>
      <c r="J3334">
        <v>1</v>
      </c>
      <c r="K3334">
        <f t="shared" si="372"/>
        <v>10</v>
      </c>
      <c r="L3334">
        <f t="shared" si="373"/>
        <v>2012</v>
      </c>
      <c r="N3334" s="17">
        <f t="shared" ref="N3334:N3397" si="376">+DATE(L3334,K3334,J3334)</f>
        <v>41183</v>
      </c>
      <c r="S3334">
        <f t="shared" ref="S3334:S3397" si="377">IF(AND(I3334&gt;=1, I3334&lt;=4), 1, 0)</f>
        <v>0</v>
      </c>
    </row>
    <row r="3335" spans="1:19" x14ac:dyDescent="0.3">
      <c r="A3335" s="17">
        <v>41199</v>
      </c>
      <c r="B3335">
        <v>642.16999999999996</v>
      </c>
      <c r="C3335">
        <v>110.95</v>
      </c>
      <c r="D3335">
        <f t="shared" si="374"/>
        <v>531.21999999999991</v>
      </c>
      <c r="E3335">
        <v>4.3899999999999997</v>
      </c>
      <c r="F3335">
        <f t="shared" si="375"/>
        <v>-526.82999999999993</v>
      </c>
      <c r="I3335">
        <f t="shared" si="371"/>
        <v>17</v>
      </c>
      <c r="J3335">
        <v>1</v>
      </c>
      <c r="K3335">
        <f t="shared" si="372"/>
        <v>10</v>
      </c>
      <c r="L3335">
        <f t="shared" si="373"/>
        <v>2012</v>
      </c>
      <c r="N3335" s="17">
        <f t="shared" si="376"/>
        <v>41183</v>
      </c>
      <c r="S3335">
        <f t="shared" si="377"/>
        <v>0</v>
      </c>
    </row>
    <row r="3336" spans="1:19" x14ac:dyDescent="0.3">
      <c r="A3336" s="17">
        <v>41198</v>
      </c>
      <c r="B3336">
        <v>648.95000000000005</v>
      </c>
      <c r="C3336">
        <v>111.35</v>
      </c>
      <c r="D3336">
        <f t="shared" si="374"/>
        <v>537.6</v>
      </c>
      <c r="E3336">
        <v>4.38</v>
      </c>
      <c r="F3336">
        <f t="shared" si="375"/>
        <v>-533.22</v>
      </c>
      <c r="I3336">
        <f t="shared" si="371"/>
        <v>16</v>
      </c>
      <c r="J3336">
        <v>1</v>
      </c>
      <c r="K3336">
        <f t="shared" si="372"/>
        <v>10</v>
      </c>
      <c r="L3336">
        <f t="shared" si="373"/>
        <v>2012</v>
      </c>
      <c r="N3336" s="17">
        <f t="shared" si="376"/>
        <v>41183</v>
      </c>
      <c r="S3336">
        <f t="shared" si="377"/>
        <v>0</v>
      </c>
    </row>
    <row r="3337" spans="1:19" x14ac:dyDescent="0.3">
      <c r="A3337" s="17">
        <v>41197</v>
      </c>
      <c r="B3337">
        <v>647.22</v>
      </c>
      <c r="C3337">
        <v>110.59</v>
      </c>
      <c r="D3337">
        <f t="shared" si="374"/>
        <v>536.63</v>
      </c>
      <c r="E3337">
        <v>4.43</v>
      </c>
      <c r="F3337">
        <f t="shared" si="375"/>
        <v>-532.20000000000005</v>
      </c>
      <c r="I3337">
        <f t="shared" si="371"/>
        <v>15</v>
      </c>
      <c r="J3337">
        <v>1</v>
      </c>
      <c r="K3337">
        <f t="shared" si="372"/>
        <v>10</v>
      </c>
      <c r="L3337">
        <f t="shared" si="373"/>
        <v>2012</v>
      </c>
      <c r="N3337" s="17">
        <f t="shared" si="376"/>
        <v>41183</v>
      </c>
      <c r="S3337">
        <f t="shared" si="377"/>
        <v>0</v>
      </c>
    </row>
    <row r="3338" spans="1:19" x14ac:dyDescent="0.3">
      <c r="A3338" s="17">
        <v>41194</v>
      </c>
      <c r="B3338">
        <v>648.87</v>
      </c>
      <c r="C3338">
        <v>111.18</v>
      </c>
      <c r="D3338">
        <f t="shared" si="374"/>
        <v>537.69000000000005</v>
      </c>
      <c r="E3338">
        <v>4.46</v>
      </c>
      <c r="F3338">
        <f t="shared" si="375"/>
        <v>-533.23</v>
      </c>
      <c r="I3338">
        <f t="shared" si="371"/>
        <v>12</v>
      </c>
      <c r="J3338">
        <v>1</v>
      </c>
      <c r="K3338">
        <f t="shared" si="372"/>
        <v>10</v>
      </c>
      <c r="L3338">
        <f t="shared" si="373"/>
        <v>2012</v>
      </c>
      <c r="N3338" s="17">
        <f t="shared" si="376"/>
        <v>41183</v>
      </c>
      <c r="S3338">
        <f t="shared" si="377"/>
        <v>0</v>
      </c>
    </row>
    <row r="3339" spans="1:19" x14ac:dyDescent="0.3">
      <c r="A3339" s="17">
        <v>41193</v>
      </c>
      <c r="B3339">
        <v>653.97</v>
      </c>
      <c r="C3339">
        <v>111</v>
      </c>
      <c r="D3339">
        <f t="shared" si="374"/>
        <v>542.97</v>
      </c>
      <c r="E3339">
        <v>4.4400000000000004</v>
      </c>
      <c r="F3339">
        <f t="shared" si="375"/>
        <v>-538.53</v>
      </c>
      <c r="I3339">
        <f t="shared" si="371"/>
        <v>11</v>
      </c>
      <c r="J3339">
        <v>1</v>
      </c>
      <c r="K3339">
        <f t="shared" si="372"/>
        <v>10</v>
      </c>
      <c r="L3339">
        <f t="shared" si="373"/>
        <v>2012</v>
      </c>
      <c r="N3339" s="17">
        <f t="shared" si="376"/>
        <v>41183</v>
      </c>
      <c r="S3339">
        <f t="shared" si="377"/>
        <v>0</v>
      </c>
    </row>
    <row r="3340" spans="1:19" x14ac:dyDescent="0.3">
      <c r="A3340" s="17">
        <v>41192</v>
      </c>
      <c r="B3340">
        <v>650.97</v>
      </c>
      <c r="C3340">
        <v>110.6</v>
      </c>
      <c r="D3340">
        <f t="shared" si="374"/>
        <v>540.37</v>
      </c>
      <c r="E3340">
        <v>4.41</v>
      </c>
      <c r="F3340">
        <f t="shared" si="375"/>
        <v>-535.96</v>
      </c>
      <c r="I3340">
        <f t="shared" si="371"/>
        <v>10</v>
      </c>
      <c r="J3340">
        <v>1</v>
      </c>
      <c r="K3340">
        <f t="shared" si="372"/>
        <v>10</v>
      </c>
      <c r="L3340">
        <f t="shared" si="373"/>
        <v>2012</v>
      </c>
      <c r="N3340" s="17">
        <f t="shared" si="376"/>
        <v>41183</v>
      </c>
      <c r="S3340">
        <f t="shared" si="377"/>
        <v>0</v>
      </c>
    </row>
    <row r="3341" spans="1:19" x14ac:dyDescent="0.3">
      <c r="A3341" s="17">
        <v>41191</v>
      </c>
      <c r="B3341">
        <v>630.66</v>
      </c>
      <c r="C3341">
        <v>108.9</v>
      </c>
      <c r="D3341">
        <f t="shared" si="374"/>
        <v>521.76</v>
      </c>
      <c r="E3341">
        <v>4.34</v>
      </c>
      <c r="F3341">
        <f t="shared" si="375"/>
        <v>-517.41999999999996</v>
      </c>
      <c r="I3341">
        <f t="shared" si="371"/>
        <v>9</v>
      </c>
      <c r="J3341">
        <v>1</v>
      </c>
      <c r="K3341">
        <f t="shared" si="372"/>
        <v>10</v>
      </c>
      <c r="L3341">
        <f t="shared" si="373"/>
        <v>2012</v>
      </c>
      <c r="N3341" s="17">
        <f t="shared" si="376"/>
        <v>41183</v>
      </c>
      <c r="S3341">
        <f t="shared" si="377"/>
        <v>0</v>
      </c>
    </row>
    <row r="3342" spans="1:19" x14ac:dyDescent="0.3">
      <c r="A3342" s="17">
        <v>41190</v>
      </c>
      <c r="B3342">
        <v>631.42999999999995</v>
      </c>
      <c r="C3342">
        <v>107.6</v>
      </c>
      <c r="D3342">
        <f t="shared" si="374"/>
        <v>523.82999999999993</v>
      </c>
      <c r="E3342">
        <v>4.3099999999999996</v>
      </c>
      <c r="F3342">
        <f t="shared" si="375"/>
        <v>-519.52</v>
      </c>
      <c r="I3342">
        <f t="shared" si="371"/>
        <v>8</v>
      </c>
      <c r="J3342">
        <v>1</v>
      </c>
      <c r="K3342">
        <f t="shared" si="372"/>
        <v>10</v>
      </c>
      <c r="L3342">
        <f t="shared" si="373"/>
        <v>2012</v>
      </c>
      <c r="N3342" s="17">
        <f t="shared" si="376"/>
        <v>41183</v>
      </c>
      <c r="S3342">
        <f t="shared" si="377"/>
        <v>0</v>
      </c>
    </row>
    <row r="3343" spans="1:19" x14ac:dyDescent="0.3">
      <c r="A3343" s="17">
        <v>41187</v>
      </c>
      <c r="B3343">
        <v>647.76</v>
      </c>
      <c r="C3343">
        <v>109.09</v>
      </c>
      <c r="D3343">
        <f t="shared" si="374"/>
        <v>538.66999999999996</v>
      </c>
      <c r="E3343">
        <v>4.3600000000000003</v>
      </c>
      <c r="F3343">
        <f t="shared" si="375"/>
        <v>-534.30999999999995</v>
      </c>
      <c r="I3343">
        <f t="shared" si="371"/>
        <v>5</v>
      </c>
      <c r="J3343">
        <v>1</v>
      </c>
      <c r="K3343">
        <f t="shared" si="372"/>
        <v>10</v>
      </c>
      <c r="L3343">
        <f t="shared" si="373"/>
        <v>2012</v>
      </c>
      <c r="N3343" s="17">
        <f t="shared" si="376"/>
        <v>41183</v>
      </c>
      <c r="S3343">
        <f t="shared" si="377"/>
        <v>0</v>
      </c>
    </row>
    <row r="3344" spans="1:19" x14ac:dyDescent="0.3">
      <c r="A3344" s="17">
        <v>41186</v>
      </c>
      <c r="B3344">
        <v>635.26</v>
      </c>
      <c r="C3344">
        <v>106.34</v>
      </c>
      <c r="D3344">
        <f t="shared" si="374"/>
        <v>528.91999999999996</v>
      </c>
      <c r="E3344">
        <v>4.41</v>
      </c>
      <c r="F3344">
        <f t="shared" si="375"/>
        <v>-524.51</v>
      </c>
      <c r="I3344">
        <f t="shared" si="371"/>
        <v>4</v>
      </c>
      <c r="J3344">
        <v>1</v>
      </c>
      <c r="K3344">
        <f t="shared" si="372"/>
        <v>10</v>
      </c>
      <c r="L3344">
        <f t="shared" si="373"/>
        <v>2012</v>
      </c>
      <c r="N3344" s="17">
        <f t="shared" si="376"/>
        <v>41183</v>
      </c>
      <c r="S3344">
        <f t="shared" si="377"/>
        <v>1</v>
      </c>
    </row>
    <row r="3345" spans="1:19" x14ac:dyDescent="0.3">
      <c r="A3345" s="17">
        <v>41185</v>
      </c>
      <c r="B3345">
        <v>646.19000000000005</v>
      </c>
      <c r="C3345">
        <v>108.23</v>
      </c>
      <c r="D3345">
        <f t="shared" si="374"/>
        <v>537.96</v>
      </c>
      <c r="E3345">
        <v>4.3099999999999996</v>
      </c>
      <c r="F3345">
        <f t="shared" si="375"/>
        <v>-533.65000000000009</v>
      </c>
      <c r="I3345">
        <f t="shared" si="371"/>
        <v>3</v>
      </c>
      <c r="J3345">
        <v>1</v>
      </c>
      <c r="K3345">
        <f t="shared" si="372"/>
        <v>10</v>
      </c>
      <c r="L3345">
        <f t="shared" si="373"/>
        <v>2012</v>
      </c>
      <c r="N3345" s="17">
        <f t="shared" si="376"/>
        <v>41183</v>
      </c>
      <c r="S3345">
        <f t="shared" si="377"/>
        <v>1</v>
      </c>
    </row>
    <row r="3346" spans="1:19" x14ac:dyDescent="0.3">
      <c r="A3346" s="17">
        <v>41184</v>
      </c>
      <c r="B3346">
        <v>656.07</v>
      </c>
      <c r="C3346">
        <v>109.53</v>
      </c>
      <c r="D3346">
        <f t="shared" si="374"/>
        <v>546.54000000000008</v>
      </c>
      <c r="E3346">
        <v>4.25</v>
      </c>
      <c r="F3346">
        <f t="shared" si="375"/>
        <v>-542.29000000000008</v>
      </c>
      <c r="I3346">
        <f t="shared" si="371"/>
        <v>2</v>
      </c>
      <c r="J3346">
        <v>1</v>
      </c>
      <c r="K3346">
        <f t="shared" si="372"/>
        <v>10</v>
      </c>
      <c r="L3346">
        <f t="shared" si="373"/>
        <v>2012</v>
      </c>
      <c r="N3346" s="17">
        <f t="shared" si="376"/>
        <v>41183</v>
      </c>
      <c r="S3346">
        <f t="shared" si="377"/>
        <v>1</v>
      </c>
    </row>
    <row r="3347" spans="1:19" x14ac:dyDescent="0.3">
      <c r="A3347" s="17">
        <v>41183</v>
      </c>
      <c r="B3347">
        <v>655.86</v>
      </c>
      <c r="C3347">
        <v>109.26</v>
      </c>
      <c r="D3347">
        <f t="shared" si="374"/>
        <v>546.6</v>
      </c>
      <c r="E3347">
        <v>4.13</v>
      </c>
      <c r="F3347">
        <f t="shared" si="375"/>
        <v>-542.47</v>
      </c>
      <c r="I3347">
        <f t="shared" si="371"/>
        <v>1</v>
      </c>
      <c r="J3347">
        <v>1</v>
      </c>
      <c r="K3347">
        <f t="shared" si="372"/>
        <v>10</v>
      </c>
      <c r="L3347">
        <f t="shared" si="373"/>
        <v>2012</v>
      </c>
      <c r="N3347" s="17">
        <f t="shared" si="376"/>
        <v>41183</v>
      </c>
      <c r="S3347">
        <f t="shared" si="377"/>
        <v>1</v>
      </c>
    </row>
    <row r="3348" spans="1:19" x14ac:dyDescent="0.3">
      <c r="A3348" s="17">
        <v>41180</v>
      </c>
      <c r="B3348">
        <v>657.59</v>
      </c>
      <c r="C3348">
        <v>110.61</v>
      </c>
      <c r="D3348">
        <f t="shared" si="374"/>
        <v>546.98</v>
      </c>
      <c r="E3348">
        <v>4.16</v>
      </c>
      <c r="F3348">
        <f t="shared" si="375"/>
        <v>-542.82000000000005</v>
      </c>
      <c r="I3348">
        <f t="shared" si="371"/>
        <v>28</v>
      </c>
      <c r="J3348">
        <v>1</v>
      </c>
      <c r="K3348">
        <f t="shared" si="372"/>
        <v>9</v>
      </c>
      <c r="L3348">
        <f t="shared" si="373"/>
        <v>2012</v>
      </c>
      <c r="N3348" s="17">
        <f t="shared" si="376"/>
        <v>41153</v>
      </c>
      <c r="S3348">
        <f t="shared" si="377"/>
        <v>0</v>
      </c>
    </row>
    <row r="3349" spans="1:19" x14ac:dyDescent="0.3">
      <c r="A3349" s="17">
        <v>41179</v>
      </c>
      <c r="B3349">
        <v>644.76</v>
      </c>
      <c r="C3349">
        <v>108.1</v>
      </c>
      <c r="D3349">
        <f t="shared" si="374"/>
        <v>536.66</v>
      </c>
      <c r="E3349">
        <v>4.16</v>
      </c>
      <c r="F3349">
        <f t="shared" si="375"/>
        <v>-532.5</v>
      </c>
      <c r="I3349">
        <f t="shared" si="371"/>
        <v>27</v>
      </c>
      <c r="J3349">
        <v>1</v>
      </c>
      <c r="K3349">
        <f t="shared" si="372"/>
        <v>9</v>
      </c>
      <c r="L3349">
        <f t="shared" si="373"/>
        <v>2012</v>
      </c>
      <c r="N3349" s="17">
        <f t="shared" si="376"/>
        <v>41153</v>
      </c>
      <c r="S3349">
        <f t="shared" si="377"/>
        <v>0</v>
      </c>
    </row>
    <row r="3350" spans="1:19" x14ac:dyDescent="0.3">
      <c r="A3350" s="17">
        <v>41178</v>
      </c>
      <c r="B3350">
        <v>647.63</v>
      </c>
      <c r="C3350">
        <v>107.65</v>
      </c>
      <c r="D3350">
        <f t="shared" si="374"/>
        <v>539.98</v>
      </c>
      <c r="E3350">
        <v>4.3</v>
      </c>
      <c r="F3350">
        <f t="shared" si="375"/>
        <v>-535.68000000000006</v>
      </c>
      <c r="I3350">
        <f t="shared" si="371"/>
        <v>26</v>
      </c>
      <c r="J3350">
        <v>1</v>
      </c>
      <c r="K3350">
        <f t="shared" si="372"/>
        <v>9</v>
      </c>
      <c r="L3350">
        <f t="shared" si="373"/>
        <v>2012</v>
      </c>
      <c r="N3350" s="17">
        <f t="shared" si="376"/>
        <v>41153</v>
      </c>
      <c r="S3350">
        <f t="shared" si="377"/>
        <v>0</v>
      </c>
    </row>
    <row r="3351" spans="1:19" x14ac:dyDescent="0.3">
      <c r="A3351" s="17">
        <v>41177</v>
      </c>
      <c r="B3351">
        <v>655.04</v>
      </c>
      <c r="C3351">
        <v>108.6</v>
      </c>
      <c r="D3351">
        <f t="shared" si="374"/>
        <v>546.43999999999994</v>
      </c>
      <c r="E3351">
        <v>4.5</v>
      </c>
      <c r="F3351">
        <f t="shared" si="375"/>
        <v>-541.93999999999994</v>
      </c>
      <c r="I3351">
        <f t="shared" si="371"/>
        <v>25</v>
      </c>
      <c r="J3351">
        <v>1</v>
      </c>
      <c r="K3351">
        <f t="shared" si="372"/>
        <v>9</v>
      </c>
      <c r="L3351">
        <f t="shared" si="373"/>
        <v>2012</v>
      </c>
      <c r="N3351" s="17">
        <f t="shared" si="376"/>
        <v>41153</v>
      </c>
      <c r="S3351">
        <f t="shared" si="377"/>
        <v>0</v>
      </c>
    </row>
    <row r="3352" spans="1:19" x14ac:dyDescent="0.3">
      <c r="A3352" s="17">
        <v>41176</v>
      </c>
      <c r="B3352">
        <v>654.57000000000005</v>
      </c>
      <c r="C3352">
        <v>108.19499999999999</v>
      </c>
      <c r="D3352">
        <f t="shared" si="374"/>
        <v>546.375</v>
      </c>
      <c r="E3352">
        <v>4.58</v>
      </c>
      <c r="F3352">
        <f t="shared" si="375"/>
        <v>-541.79499999999996</v>
      </c>
      <c r="I3352">
        <f t="shared" si="371"/>
        <v>24</v>
      </c>
      <c r="J3352">
        <v>1</v>
      </c>
      <c r="K3352">
        <f t="shared" si="372"/>
        <v>9</v>
      </c>
      <c r="L3352">
        <f t="shared" si="373"/>
        <v>2012</v>
      </c>
      <c r="N3352" s="17">
        <f t="shared" si="376"/>
        <v>41153</v>
      </c>
      <c r="S3352">
        <f t="shared" si="377"/>
        <v>0</v>
      </c>
    </row>
    <row r="3353" spans="1:19" x14ac:dyDescent="0.3">
      <c r="A3353" s="17">
        <v>41173</v>
      </c>
      <c r="B3353">
        <v>655.29</v>
      </c>
      <c r="C3353">
        <v>108.25</v>
      </c>
      <c r="D3353">
        <f t="shared" si="374"/>
        <v>547.04</v>
      </c>
      <c r="E3353">
        <v>4.5199999999999996</v>
      </c>
      <c r="F3353">
        <f t="shared" si="375"/>
        <v>-542.52</v>
      </c>
      <c r="I3353">
        <f t="shared" si="371"/>
        <v>21</v>
      </c>
      <c r="J3353">
        <v>1</v>
      </c>
      <c r="K3353">
        <f t="shared" si="372"/>
        <v>9</v>
      </c>
      <c r="L3353">
        <f t="shared" si="373"/>
        <v>2012</v>
      </c>
      <c r="N3353" s="17">
        <f t="shared" si="376"/>
        <v>41153</v>
      </c>
      <c r="S3353">
        <f t="shared" si="377"/>
        <v>0</v>
      </c>
    </row>
    <row r="3354" spans="1:19" x14ac:dyDescent="0.3">
      <c r="A3354" s="17">
        <v>41172</v>
      </c>
      <c r="B3354">
        <v>637.97</v>
      </c>
      <c r="C3354">
        <v>105.66</v>
      </c>
      <c r="D3354">
        <f t="shared" si="374"/>
        <v>532.31000000000006</v>
      </c>
      <c r="E3354">
        <v>4.43</v>
      </c>
      <c r="F3354">
        <f t="shared" si="375"/>
        <v>-527.88000000000011</v>
      </c>
      <c r="I3354">
        <f t="shared" si="371"/>
        <v>20</v>
      </c>
      <c r="J3354">
        <v>1</v>
      </c>
      <c r="K3354">
        <f t="shared" si="372"/>
        <v>9</v>
      </c>
      <c r="L3354">
        <f t="shared" si="373"/>
        <v>2012</v>
      </c>
      <c r="N3354" s="17">
        <f t="shared" si="376"/>
        <v>41153</v>
      </c>
      <c r="S3354">
        <f t="shared" si="377"/>
        <v>0</v>
      </c>
    </row>
    <row r="3355" spans="1:19" x14ac:dyDescent="0.3">
      <c r="A3355" s="17">
        <v>41171</v>
      </c>
      <c r="B3355">
        <v>664.45</v>
      </c>
      <c r="C3355">
        <v>110.8</v>
      </c>
      <c r="D3355">
        <f t="shared" si="374"/>
        <v>553.65000000000009</v>
      </c>
      <c r="E3355">
        <v>4.3899999999999997</v>
      </c>
      <c r="F3355">
        <f t="shared" si="375"/>
        <v>-549.2600000000001</v>
      </c>
      <c r="I3355">
        <f t="shared" si="371"/>
        <v>19</v>
      </c>
      <c r="J3355">
        <v>1</v>
      </c>
      <c r="K3355">
        <f t="shared" si="372"/>
        <v>9</v>
      </c>
      <c r="L3355">
        <f t="shared" si="373"/>
        <v>2012</v>
      </c>
      <c r="N3355" s="17">
        <f t="shared" si="376"/>
        <v>41153</v>
      </c>
      <c r="S3355">
        <f t="shared" si="377"/>
        <v>0</v>
      </c>
    </row>
    <row r="3356" spans="1:19" x14ac:dyDescent="0.3">
      <c r="A3356" s="17">
        <v>41170</v>
      </c>
      <c r="B3356">
        <v>670.62</v>
      </c>
      <c r="C3356">
        <v>111.855</v>
      </c>
      <c r="D3356">
        <f t="shared" si="374"/>
        <v>558.76499999999999</v>
      </c>
      <c r="E3356">
        <v>4.3499999999999996</v>
      </c>
      <c r="F3356">
        <f t="shared" si="375"/>
        <v>-554.41499999999996</v>
      </c>
      <c r="I3356">
        <f t="shared" si="371"/>
        <v>18</v>
      </c>
      <c r="J3356">
        <v>1</v>
      </c>
      <c r="K3356">
        <f t="shared" si="372"/>
        <v>9</v>
      </c>
      <c r="L3356">
        <f t="shared" si="373"/>
        <v>2012</v>
      </c>
      <c r="N3356" s="17">
        <f t="shared" si="376"/>
        <v>41153</v>
      </c>
      <c r="S3356">
        <f t="shared" si="377"/>
        <v>0</v>
      </c>
    </row>
    <row r="3357" spans="1:19" x14ac:dyDescent="0.3">
      <c r="A3357" s="17">
        <v>41169</v>
      </c>
      <c r="B3357">
        <v>686.63</v>
      </c>
      <c r="C3357">
        <v>114.75</v>
      </c>
      <c r="D3357">
        <f t="shared" si="374"/>
        <v>571.88</v>
      </c>
      <c r="E3357">
        <v>4.32</v>
      </c>
      <c r="F3357">
        <f t="shared" si="375"/>
        <v>-567.55999999999995</v>
      </c>
      <c r="I3357">
        <f t="shared" si="371"/>
        <v>17</v>
      </c>
      <c r="J3357">
        <v>1</v>
      </c>
      <c r="K3357">
        <f t="shared" si="372"/>
        <v>9</v>
      </c>
      <c r="L3357">
        <f t="shared" si="373"/>
        <v>2012</v>
      </c>
      <c r="N3357" s="17">
        <f t="shared" si="376"/>
        <v>41153</v>
      </c>
      <c r="S3357">
        <f t="shared" si="377"/>
        <v>0</v>
      </c>
    </row>
    <row r="3358" spans="1:19" x14ac:dyDescent="0.3">
      <c r="A3358" s="17">
        <v>41166</v>
      </c>
      <c r="B3358">
        <v>691.13</v>
      </c>
      <c r="C3358">
        <v>115.45</v>
      </c>
      <c r="D3358">
        <f t="shared" si="374"/>
        <v>575.67999999999995</v>
      </c>
      <c r="E3358">
        <v>4.26</v>
      </c>
      <c r="F3358">
        <f t="shared" si="375"/>
        <v>-571.41999999999996</v>
      </c>
      <c r="I3358">
        <f t="shared" si="371"/>
        <v>14</v>
      </c>
      <c r="J3358">
        <v>1</v>
      </c>
      <c r="K3358">
        <f t="shared" si="372"/>
        <v>9</v>
      </c>
      <c r="L3358">
        <f t="shared" si="373"/>
        <v>2012</v>
      </c>
      <c r="N3358" s="17">
        <f t="shared" si="376"/>
        <v>41153</v>
      </c>
      <c r="S3358">
        <f t="shared" si="377"/>
        <v>0</v>
      </c>
    </row>
    <row r="3359" spans="1:19" x14ac:dyDescent="0.3">
      <c r="A3359" s="17">
        <v>41165</v>
      </c>
      <c r="B3359">
        <v>684.98</v>
      </c>
      <c r="C3359">
        <v>113.7</v>
      </c>
      <c r="D3359">
        <f t="shared" si="374"/>
        <v>571.28</v>
      </c>
      <c r="E3359">
        <v>4.12</v>
      </c>
      <c r="F3359">
        <f t="shared" si="375"/>
        <v>-567.16</v>
      </c>
      <c r="I3359">
        <f t="shared" si="371"/>
        <v>13</v>
      </c>
      <c r="J3359">
        <v>1</v>
      </c>
      <c r="K3359">
        <f t="shared" si="372"/>
        <v>9</v>
      </c>
      <c r="L3359">
        <f t="shared" si="373"/>
        <v>2012</v>
      </c>
      <c r="N3359" s="17">
        <f t="shared" si="376"/>
        <v>41153</v>
      </c>
      <c r="S3359">
        <f t="shared" si="377"/>
        <v>0</v>
      </c>
    </row>
    <row r="3360" spans="1:19" x14ac:dyDescent="0.3">
      <c r="A3360" s="17">
        <v>41164</v>
      </c>
      <c r="B3360">
        <v>687.5</v>
      </c>
      <c r="C3360">
        <v>113.92</v>
      </c>
      <c r="D3360">
        <f t="shared" si="374"/>
        <v>573.58000000000004</v>
      </c>
      <c r="E3360">
        <v>4.0599999999999996</v>
      </c>
      <c r="F3360">
        <f t="shared" si="375"/>
        <v>-569.5200000000001</v>
      </c>
      <c r="I3360">
        <f t="shared" si="371"/>
        <v>12</v>
      </c>
      <c r="J3360">
        <v>1</v>
      </c>
      <c r="K3360">
        <f t="shared" si="372"/>
        <v>9</v>
      </c>
      <c r="L3360">
        <f t="shared" si="373"/>
        <v>2012</v>
      </c>
      <c r="N3360" s="17">
        <f t="shared" si="376"/>
        <v>41153</v>
      </c>
      <c r="S3360">
        <f t="shared" si="377"/>
        <v>0</v>
      </c>
    </row>
    <row r="3361" spans="1:19" x14ac:dyDescent="0.3">
      <c r="A3361" s="17">
        <v>41163</v>
      </c>
      <c r="B3361">
        <v>685.24</v>
      </c>
      <c r="C3361">
        <v>113.1</v>
      </c>
      <c r="D3361">
        <f t="shared" si="374"/>
        <v>572.14</v>
      </c>
      <c r="E3361">
        <v>4.05</v>
      </c>
      <c r="F3361">
        <f t="shared" si="375"/>
        <v>-568.09</v>
      </c>
      <c r="I3361">
        <f t="shared" si="371"/>
        <v>11</v>
      </c>
      <c r="J3361">
        <v>1</v>
      </c>
      <c r="K3361">
        <f t="shared" si="372"/>
        <v>9</v>
      </c>
      <c r="L3361">
        <f t="shared" si="373"/>
        <v>2012</v>
      </c>
      <c r="N3361" s="17">
        <f t="shared" si="376"/>
        <v>41153</v>
      </c>
      <c r="S3361">
        <f t="shared" si="377"/>
        <v>0</v>
      </c>
    </row>
    <row r="3362" spans="1:19" x14ac:dyDescent="0.3">
      <c r="A3362" s="17">
        <v>41162</v>
      </c>
      <c r="B3362">
        <v>681.73</v>
      </c>
      <c r="C3362">
        <v>112.91</v>
      </c>
      <c r="D3362">
        <f t="shared" si="374"/>
        <v>568.82000000000005</v>
      </c>
      <c r="E3362">
        <v>3.96</v>
      </c>
      <c r="F3362">
        <f t="shared" si="375"/>
        <v>-564.86</v>
      </c>
      <c r="I3362">
        <f t="shared" si="371"/>
        <v>10</v>
      </c>
      <c r="J3362">
        <v>1</v>
      </c>
      <c r="K3362">
        <f t="shared" si="372"/>
        <v>9</v>
      </c>
      <c r="L3362">
        <f t="shared" si="373"/>
        <v>2012</v>
      </c>
      <c r="N3362" s="17">
        <f t="shared" si="376"/>
        <v>41153</v>
      </c>
      <c r="S3362">
        <f t="shared" si="377"/>
        <v>0</v>
      </c>
    </row>
    <row r="3363" spans="1:19" x14ac:dyDescent="0.3">
      <c r="A3363" s="17">
        <v>41159</v>
      </c>
      <c r="B3363">
        <v>676.81</v>
      </c>
      <c r="C3363">
        <v>111.81</v>
      </c>
      <c r="D3363">
        <f t="shared" si="374"/>
        <v>565</v>
      </c>
      <c r="E3363">
        <v>3.89</v>
      </c>
      <c r="F3363">
        <f t="shared" si="375"/>
        <v>-561.11</v>
      </c>
      <c r="I3363">
        <f t="shared" si="371"/>
        <v>7</v>
      </c>
      <c r="J3363">
        <v>1</v>
      </c>
      <c r="K3363">
        <f t="shared" si="372"/>
        <v>9</v>
      </c>
      <c r="L3363">
        <f t="shared" si="373"/>
        <v>2012</v>
      </c>
      <c r="N3363" s="17">
        <f t="shared" si="376"/>
        <v>41153</v>
      </c>
      <c r="S3363">
        <f t="shared" si="377"/>
        <v>0</v>
      </c>
    </row>
    <row r="3364" spans="1:19" x14ac:dyDescent="0.3">
      <c r="A3364" s="17">
        <v>41158</v>
      </c>
      <c r="B3364">
        <v>677.71</v>
      </c>
      <c r="C3364">
        <v>112.05</v>
      </c>
      <c r="D3364">
        <f t="shared" si="374"/>
        <v>565.66000000000008</v>
      </c>
      <c r="E3364">
        <v>3.82</v>
      </c>
      <c r="F3364">
        <f t="shared" si="375"/>
        <v>-561.84</v>
      </c>
      <c r="I3364">
        <f t="shared" si="371"/>
        <v>6</v>
      </c>
      <c r="J3364">
        <v>1</v>
      </c>
      <c r="K3364">
        <f t="shared" si="372"/>
        <v>9</v>
      </c>
      <c r="L3364">
        <f t="shared" si="373"/>
        <v>2012</v>
      </c>
      <c r="N3364" s="17">
        <f t="shared" si="376"/>
        <v>41153</v>
      </c>
      <c r="S3364">
        <f t="shared" si="377"/>
        <v>0</v>
      </c>
    </row>
    <row r="3365" spans="1:19" x14ac:dyDescent="0.3">
      <c r="A3365" s="17">
        <v>41157</v>
      </c>
      <c r="B3365">
        <v>674.35</v>
      </c>
      <c r="C3365">
        <v>111.5</v>
      </c>
      <c r="D3365">
        <f t="shared" si="374"/>
        <v>562.85</v>
      </c>
      <c r="E3365">
        <v>3.87</v>
      </c>
      <c r="F3365">
        <f t="shared" si="375"/>
        <v>-558.98</v>
      </c>
      <c r="I3365">
        <f t="shared" si="371"/>
        <v>5</v>
      </c>
      <c r="J3365">
        <v>1</v>
      </c>
      <c r="K3365">
        <f t="shared" si="372"/>
        <v>9</v>
      </c>
      <c r="L3365">
        <f t="shared" si="373"/>
        <v>2012</v>
      </c>
      <c r="N3365" s="17">
        <f t="shared" si="376"/>
        <v>41153</v>
      </c>
      <c r="S3365">
        <f t="shared" si="377"/>
        <v>0</v>
      </c>
    </row>
    <row r="3366" spans="1:19" x14ac:dyDescent="0.3">
      <c r="A3366" s="17">
        <v>41156</v>
      </c>
      <c r="B3366">
        <v>688.08</v>
      </c>
      <c r="C3366">
        <v>113.51</v>
      </c>
      <c r="D3366">
        <f t="shared" si="374"/>
        <v>574.57000000000005</v>
      </c>
      <c r="E3366">
        <v>3.97</v>
      </c>
      <c r="F3366">
        <f t="shared" si="375"/>
        <v>-570.6</v>
      </c>
      <c r="I3366">
        <f t="shared" si="371"/>
        <v>4</v>
      </c>
      <c r="J3366">
        <v>1</v>
      </c>
      <c r="K3366">
        <f t="shared" si="372"/>
        <v>9</v>
      </c>
      <c r="L3366">
        <f t="shared" si="373"/>
        <v>2012</v>
      </c>
      <c r="N3366" s="17">
        <f t="shared" si="376"/>
        <v>41153</v>
      </c>
      <c r="S3366">
        <f t="shared" si="377"/>
        <v>1</v>
      </c>
    </row>
    <row r="3367" spans="1:19" x14ac:dyDescent="0.3">
      <c r="A3367" s="17">
        <v>41155</v>
      </c>
      <c r="B3367">
        <v>679.73</v>
      </c>
      <c r="C3367">
        <v>111.92</v>
      </c>
      <c r="D3367">
        <f t="shared" si="374"/>
        <v>567.81000000000006</v>
      </c>
      <c r="E3367">
        <v>3.98</v>
      </c>
      <c r="F3367">
        <f t="shared" si="375"/>
        <v>-563.83000000000004</v>
      </c>
      <c r="I3367">
        <f t="shared" si="371"/>
        <v>3</v>
      </c>
      <c r="J3367">
        <v>1</v>
      </c>
      <c r="K3367">
        <f t="shared" si="372"/>
        <v>9</v>
      </c>
      <c r="L3367">
        <f t="shared" si="373"/>
        <v>2012</v>
      </c>
      <c r="N3367" s="17">
        <f t="shared" si="376"/>
        <v>41153</v>
      </c>
      <c r="S3367">
        <f t="shared" si="377"/>
        <v>1</v>
      </c>
    </row>
    <row r="3368" spans="1:19" x14ac:dyDescent="0.3">
      <c r="A3368" s="17">
        <v>41152</v>
      </c>
      <c r="B3368">
        <v>673.88</v>
      </c>
      <c r="C3368">
        <v>110.35</v>
      </c>
      <c r="D3368">
        <f t="shared" si="374"/>
        <v>563.53</v>
      </c>
      <c r="E3368">
        <v>3.92</v>
      </c>
      <c r="F3368">
        <f t="shared" si="375"/>
        <v>-559.61</v>
      </c>
      <c r="I3368">
        <f t="shared" si="371"/>
        <v>31</v>
      </c>
      <c r="J3368">
        <v>1</v>
      </c>
      <c r="K3368">
        <f t="shared" si="372"/>
        <v>8</v>
      </c>
      <c r="L3368">
        <f t="shared" si="373"/>
        <v>2012</v>
      </c>
      <c r="N3368" s="17">
        <f t="shared" si="376"/>
        <v>41122</v>
      </c>
      <c r="S3368">
        <f t="shared" si="377"/>
        <v>0</v>
      </c>
    </row>
    <row r="3369" spans="1:19" x14ac:dyDescent="0.3">
      <c r="A3369" s="17">
        <v>41151</v>
      </c>
      <c r="B3369">
        <v>672.86</v>
      </c>
      <c r="C3369">
        <v>110.25</v>
      </c>
      <c r="D3369">
        <f t="shared" si="374"/>
        <v>562.61</v>
      </c>
      <c r="E3369">
        <v>3.96</v>
      </c>
      <c r="F3369">
        <f t="shared" si="375"/>
        <v>-558.65</v>
      </c>
      <c r="I3369">
        <f t="shared" si="371"/>
        <v>30</v>
      </c>
      <c r="J3369">
        <v>1</v>
      </c>
      <c r="K3369">
        <f t="shared" si="372"/>
        <v>8</v>
      </c>
      <c r="L3369">
        <f t="shared" si="373"/>
        <v>2012</v>
      </c>
      <c r="N3369" s="17">
        <f t="shared" si="376"/>
        <v>41122</v>
      </c>
      <c r="S3369">
        <f t="shared" si="377"/>
        <v>0</v>
      </c>
    </row>
    <row r="3370" spans="1:19" x14ac:dyDescent="0.3">
      <c r="A3370" s="17">
        <v>41150</v>
      </c>
      <c r="B3370">
        <v>666.86</v>
      </c>
      <c r="C3370">
        <v>109.49</v>
      </c>
      <c r="D3370">
        <f t="shared" si="374"/>
        <v>557.37</v>
      </c>
      <c r="E3370">
        <v>3.92</v>
      </c>
      <c r="F3370">
        <f t="shared" si="375"/>
        <v>-553.45000000000005</v>
      </c>
      <c r="I3370">
        <f t="shared" si="371"/>
        <v>29</v>
      </c>
      <c r="J3370">
        <v>1</v>
      </c>
      <c r="K3370">
        <f t="shared" si="372"/>
        <v>8</v>
      </c>
      <c r="L3370">
        <f t="shared" si="373"/>
        <v>2012</v>
      </c>
      <c r="N3370" s="17">
        <f t="shared" si="376"/>
        <v>41122</v>
      </c>
      <c r="S3370">
        <f t="shared" si="377"/>
        <v>0</v>
      </c>
    </row>
    <row r="3371" spans="1:19" x14ac:dyDescent="0.3">
      <c r="A3371" s="17">
        <v>41149</v>
      </c>
      <c r="B3371">
        <v>673.24</v>
      </c>
      <c r="C3371">
        <v>109.99</v>
      </c>
      <c r="D3371">
        <f t="shared" si="374"/>
        <v>563.25</v>
      </c>
      <c r="E3371">
        <v>3.95</v>
      </c>
      <c r="F3371">
        <f t="shared" si="375"/>
        <v>-559.29999999999995</v>
      </c>
      <c r="I3371">
        <f t="shared" si="371"/>
        <v>28</v>
      </c>
      <c r="J3371">
        <v>1</v>
      </c>
      <c r="K3371">
        <f t="shared" si="372"/>
        <v>8</v>
      </c>
      <c r="L3371">
        <f t="shared" si="373"/>
        <v>2012</v>
      </c>
      <c r="N3371" s="17">
        <f t="shared" si="376"/>
        <v>41122</v>
      </c>
      <c r="S3371">
        <f t="shared" si="377"/>
        <v>0</v>
      </c>
    </row>
    <row r="3372" spans="1:19" x14ac:dyDescent="0.3">
      <c r="A3372" s="17">
        <v>41148</v>
      </c>
      <c r="B3372">
        <v>679.68</v>
      </c>
      <c r="C3372">
        <v>111.92</v>
      </c>
      <c r="D3372">
        <f t="shared" si="374"/>
        <v>567.76</v>
      </c>
      <c r="E3372">
        <v>3.93</v>
      </c>
      <c r="F3372">
        <f t="shared" si="375"/>
        <v>-563.83000000000004</v>
      </c>
      <c r="I3372">
        <f t="shared" si="371"/>
        <v>27</v>
      </c>
      <c r="J3372">
        <v>1</v>
      </c>
      <c r="K3372">
        <f t="shared" si="372"/>
        <v>8</v>
      </c>
      <c r="L3372">
        <f t="shared" si="373"/>
        <v>2012</v>
      </c>
      <c r="N3372" s="17">
        <f t="shared" si="376"/>
        <v>41122</v>
      </c>
      <c r="S3372">
        <f t="shared" si="377"/>
        <v>0</v>
      </c>
    </row>
    <row r="3373" spans="1:19" x14ac:dyDescent="0.3">
      <c r="A3373" s="17">
        <v>41145</v>
      </c>
      <c r="B3373">
        <v>674.04</v>
      </c>
      <c r="C3373">
        <v>111.51</v>
      </c>
      <c r="D3373">
        <f t="shared" si="374"/>
        <v>562.53</v>
      </c>
      <c r="E3373">
        <v>3.89</v>
      </c>
      <c r="F3373">
        <f t="shared" si="375"/>
        <v>-558.64</v>
      </c>
      <c r="I3373">
        <f t="shared" si="371"/>
        <v>24</v>
      </c>
      <c r="J3373">
        <v>1</v>
      </c>
      <c r="K3373">
        <f t="shared" si="372"/>
        <v>8</v>
      </c>
      <c r="L3373">
        <f t="shared" si="373"/>
        <v>2012</v>
      </c>
      <c r="N3373" s="17">
        <f t="shared" si="376"/>
        <v>41122</v>
      </c>
      <c r="S3373">
        <f t="shared" si="377"/>
        <v>0</v>
      </c>
    </row>
    <row r="3374" spans="1:19" x14ac:dyDescent="0.3">
      <c r="A3374" s="17">
        <v>41144</v>
      </c>
      <c r="B3374">
        <v>682.47</v>
      </c>
      <c r="C3374">
        <v>113.29</v>
      </c>
      <c r="D3374">
        <f t="shared" si="374"/>
        <v>569.18000000000006</v>
      </c>
      <c r="E3374">
        <v>3.87</v>
      </c>
      <c r="F3374">
        <f t="shared" si="375"/>
        <v>-565.31000000000006</v>
      </c>
      <c r="I3374">
        <f t="shared" si="371"/>
        <v>23</v>
      </c>
      <c r="J3374">
        <v>1</v>
      </c>
      <c r="K3374">
        <f t="shared" si="372"/>
        <v>8</v>
      </c>
      <c r="L3374">
        <f t="shared" si="373"/>
        <v>2012</v>
      </c>
      <c r="N3374" s="17">
        <f t="shared" si="376"/>
        <v>41122</v>
      </c>
      <c r="S3374">
        <f t="shared" si="377"/>
        <v>0</v>
      </c>
    </row>
    <row r="3375" spans="1:19" x14ac:dyDescent="0.3">
      <c r="A3375" s="17">
        <v>41143</v>
      </c>
      <c r="B3375">
        <v>670.37</v>
      </c>
      <c r="C3375">
        <v>111.55</v>
      </c>
      <c r="D3375">
        <f t="shared" si="374"/>
        <v>558.82000000000005</v>
      </c>
      <c r="E3375">
        <v>3.83</v>
      </c>
      <c r="F3375">
        <f t="shared" si="375"/>
        <v>-554.99</v>
      </c>
      <c r="I3375">
        <f t="shared" si="371"/>
        <v>22</v>
      </c>
      <c r="J3375">
        <v>1</v>
      </c>
      <c r="K3375">
        <f t="shared" si="372"/>
        <v>8</v>
      </c>
      <c r="L3375">
        <f t="shared" si="373"/>
        <v>2012</v>
      </c>
      <c r="N3375" s="17">
        <f t="shared" si="376"/>
        <v>41122</v>
      </c>
      <c r="S3375">
        <f t="shared" si="377"/>
        <v>0</v>
      </c>
    </row>
    <row r="3376" spans="1:19" x14ac:dyDescent="0.3">
      <c r="A3376" s="17">
        <v>41142</v>
      </c>
      <c r="B3376">
        <v>670.17</v>
      </c>
      <c r="C3376">
        <v>111.65</v>
      </c>
      <c r="D3376">
        <f t="shared" si="374"/>
        <v>558.52</v>
      </c>
      <c r="E3376">
        <v>3.78</v>
      </c>
      <c r="F3376">
        <f t="shared" si="375"/>
        <v>-554.74</v>
      </c>
      <c r="I3376">
        <f t="shared" si="371"/>
        <v>21</v>
      </c>
      <c r="J3376">
        <v>1</v>
      </c>
      <c r="K3376">
        <f t="shared" si="372"/>
        <v>8</v>
      </c>
      <c r="L3376">
        <f t="shared" si="373"/>
        <v>2012</v>
      </c>
      <c r="N3376" s="17">
        <f t="shared" si="376"/>
        <v>41122</v>
      </c>
      <c r="S3376">
        <f t="shared" si="377"/>
        <v>0</v>
      </c>
    </row>
    <row r="3377" spans="1:19" x14ac:dyDescent="0.3">
      <c r="A3377" s="17">
        <v>41138</v>
      </c>
      <c r="B3377">
        <v>670.56</v>
      </c>
      <c r="C3377">
        <v>111.05</v>
      </c>
      <c r="D3377">
        <f t="shared" si="374"/>
        <v>559.51</v>
      </c>
      <c r="E3377">
        <v>3.7</v>
      </c>
      <c r="F3377">
        <f t="shared" si="375"/>
        <v>-555.80999999999995</v>
      </c>
      <c r="I3377">
        <f t="shared" si="371"/>
        <v>17</v>
      </c>
      <c r="J3377">
        <v>1</v>
      </c>
      <c r="K3377">
        <f t="shared" si="372"/>
        <v>8</v>
      </c>
      <c r="L3377">
        <f t="shared" si="373"/>
        <v>2012</v>
      </c>
      <c r="N3377" s="17">
        <f t="shared" si="376"/>
        <v>41122</v>
      </c>
      <c r="S3377">
        <f t="shared" si="377"/>
        <v>0</v>
      </c>
    </row>
    <row r="3378" spans="1:19" x14ac:dyDescent="0.3">
      <c r="A3378" s="17">
        <v>41137</v>
      </c>
      <c r="B3378">
        <v>671.76</v>
      </c>
      <c r="C3378">
        <v>111.28</v>
      </c>
      <c r="D3378">
        <f t="shared" si="374"/>
        <v>560.48</v>
      </c>
      <c r="E3378">
        <v>3.73</v>
      </c>
      <c r="F3378">
        <f t="shared" si="375"/>
        <v>-556.75</v>
      </c>
      <c r="I3378">
        <f t="shared" si="371"/>
        <v>16</v>
      </c>
      <c r="J3378">
        <v>1</v>
      </c>
      <c r="K3378">
        <f t="shared" si="372"/>
        <v>8</v>
      </c>
      <c r="L3378">
        <f t="shared" si="373"/>
        <v>2012</v>
      </c>
      <c r="N3378" s="17">
        <f t="shared" si="376"/>
        <v>41122</v>
      </c>
      <c r="S3378">
        <f t="shared" si="377"/>
        <v>0</v>
      </c>
    </row>
    <row r="3379" spans="1:19" x14ac:dyDescent="0.3">
      <c r="A3379" s="17">
        <v>41136</v>
      </c>
      <c r="B3379">
        <v>660.72</v>
      </c>
      <c r="C3379">
        <v>109.3</v>
      </c>
      <c r="D3379">
        <f t="shared" si="374"/>
        <v>551.42000000000007</v>
      </c>
      <c r="E3379">
        <v>3.71</v>
      </c>
      <c r="F3379">
        <f t="shared" si="375"/>
        <v>-547.71</v>
      </c>
      <c r="I3379">
        <f t="shared" si="371"/>
        <v>15</v>
      </c>
      <c r="J3379">
        <v>1</v>
      </c>
      <c r="K3379">
        <f t="shared" si="372"/>
        <v>8</v>
      </c>
      <c r="L3379">
        <f t="shared" si="373"/>
        <v>2012</v>
      </c>
      <c r="N3379" s="17">
        <f t="shared" si="376"/>
        <v>41122</v>
      </c>
      <c r="S3379">
        <f t="shared" si="377"/>
        <v>0</v>
      </c>
    </row>
    <row r="3380" spans="1:19" x14ac:dyDescent="0.3">
      <c r="A3380" s="17">
        <v>41135</v>
      </c>
      <c r="B3380">
        <v>660.52</v>
      </c>
      <c r="C3380">
        <v>109.37</v>
      </c>
      <c r="D3380">
        <f t="shared" si="374"/>
        <v>551.15</v>
      </c>
      <c r="E3380">
        <v>3.71</v>
      </c>
      <c r="F3380">
        <f t="shared" si="375"/>
        <v>-547.43999999999994</v>
      </c>
      <c r="I3380">
        <f t="shared" si="371"/>
        <v>14</v>
      </c>
      <c r="J3380">
        <v>1</v>
      </c>
      <c r="K3380">
        <f t="shared" si="372"/>
        <v>8</v>
      </c>
      <c r="L3380">
        <f t="shared" si="373"/>
        <v>2012</v>
      </c>
      <c r="N3380" s="17">
        <f t="shared" si="376"/>
        <v>41122</v>
      </c>
      <c r="S3380">
        <f t="shared" si="377"/>
        <v>0</v>
      </c>
    </row>
    <row r="3381" spans="1:19" x14ac:dyDescent="0.3">
      <c r="A3381" s="17">
        <v>41134</v>
      </c>
      <c r="B3381">
        <v>655.62</v>
      </c>
      <c r="C3381">
        <v>108.59</v>
      </c>
      <c r="D3381">
        <f t="shared" si="374"/>
        <v>547.03</v>
      </c>
      <c r="E3381">
        <v>3.71</v>
      </c>
      <c r="F3381">
        <f t="shared" si="375"/>
        <v>-543.31999999999994</v>
      </c>
      <c r="I3381">
        <f t="shared" si="371"/>
        <v>13</v>
      </c>
      <c r="J3381">
        <v>1</v>
      </c>
      <c r="K3381">
        <f t="shared" si="372"/>
        <v>8</v>
      </c>
      <c r="L3381">
        <f t="shared" si="373"/>
        <v>2012</v>
      </c>
      <c r="N3381" s="17">
        <f t="shared" si="376"/>
        <v>41122</v>
      </c>
      <c r="S3381">
        <f t="shared" si="377"/>
        <v>0</v>
      </c>
    </row>
    <row r="3382" spans="1:19" x14ac:dyDescent="0.3">
      <c r="A3382" s="17">
        <v>41131</v>
      </c>
      <c r="B3382">
        <v>655.09</v>
      </c>
      <c r="C3382">
        <v>108.27</v>
      </c>
      <c r="D3382">
        <f t="shared" si="374"/>
        <v>546.82000000000005</v>
      </c>
      <c r="E3382">
        <v>3.62</v>
      </c>
      <c r="F3382">
        <f t="shared" si="375"/>
        <v>-543.20000000000005</v>
      </c>
      <c r="I3382">
        <f t="shared" si="371"/>
        <v>10</v>
      </c>
      <c r="J3382">
        <v>1</v>
      </c>
      <c r="K3382">
        <f t="shared" si="372"/>
        <v>8</v>
      </c>
      <c r="L3382">
        <f t="shared" si="373"/>
        <v>2012</v>
      </c>
      <c r="N3382" s="17">
        <f t="shared" si="376"/>
        <v>41122</v>
      </c>
      <c r="S3382">
        <f t="shared" si="377"/>
        <v>0</v>
      </c>
    </row>
    <row r="3383" spans="1:19" x14ac:dyDescent="0.3">
      <c r="A3383" s="17">
        <v>41129</v>
      </c>
      <c r="B3383">
        <v>650.82000000000005</v>
      </c>
      <c r="C3383">
        <v>106.85</v>
      </c>
      <c r="D3383">
        <f t="shared" si="374"/>
        <v>543.97</v>
      </c>
      <c r="E3383">
        <v>3.62</v>
      </c>
      <c r="F3383">
        <f t="shared" si="375"/>
        <v>-540.35</v>
      </c>
      <c r="I3383">
        <f t="shared" si="371"/>
        <v>8</v>
      </c>
      <c r="J3383">
        <v>1</v>
      </c>
      <c r="K3383">
        <f t="shared" si="372"/>
        <v>8</v>
      </c>
      <c r="L3383">
        <f t="shared" si="373"/>
        <v>2012</v>
      </c>
      <c r="N3383" s="17">
        <f t="shared" si="376"/>
        <v>41122</v>
      </c>
      <c r="S3383">
        <f t="shared" si="377"/>
        <v>0</v>
      </c>
    </row>
    <row r="3384" spans="1:19" x14ac:dyDescent="0.3">
      <c r="A3384" s="17">
        <v>41128</v>
      </c>
      <c r="B3384">
        <v>646.66999999999996</v>
      </c>
      <c r="C3384">
        <v>106</v>
      </c>
      <c r="D3384">
        <f t="shared" si="374"/>
        <v>540.66999999999996</v>
      </c>
      <c r="E3384">
        <v>3.6</v>
      </c>
      <c r="F3384">
        <f t="shared" si="375"/>
        <v>-537.06999999999994</v>
      </c>
      <c r="I3384">
        <f t="shared" si="371"/>
        <v>7</v>
      </c>
      <c r="J3384">
        <v>1</v>
      </c>
      <c r="K3384">
        <f t="shared" si="372"/>
        <v>8</v>
      </c>
      <c r="L3384">
        <f t="shared" si="373"/>
        <v>2012</v>
      </c>
      <c r="N3384" s="17">
        <f t="shared" si="376"/>
        <v>41122</v>
      </c>
      <c r="S3384">
        <f t="shared" si="377"/>
        <v>0</v>
      </c>
    </row>
    <row r="3385" spans="1:19" x14ac:dyDescent="0.3">
      <c r="A3385" s="17">
        <v>41127</v>
      </c>
      <c r="B3385">
        <v>637.29999999999995</v>
      </c>
      <c r="C3385">
        <v>104.41</v>
      </c>
      <c r="D3385">
        <f t="shared" si="374"/>
        <v>532.89</v>
      </c>
      <c r="E3385">
        <v>3.58</v>
      </c>
      <c r="F3385">
        <f t="shared" si="375"/>
        <v>-529.30999999999995</v>
      </c>
      <c r="I3385">
        <f t="shared" si="371"/>
        <v>6</v>
      </c>
      <c r="J3385">
        <v>1</v>
      </c>
      <c r="K3385">
        <f t="shared" si="372"/>
        <v>8</v>
      </c>
      <c r="L3385">
        <f t="shared" si="373"/>
        <v>2012</v>
      </c>
      <c r="N3385" s="17">
        <f t="shared" si="376"/>
        <v>41122</v>
      </c>
      <c r="S3385">
        <f t="shared" si="377"/>
        <v>0</v>
      </c>
    </row>
    <row r="3386" spans="1:19" x14ac:dyDescent="0.3">
      <c r="A3386" s="17">
        <v>41124</v>
      </c>
      <c r="B3386">
        <v>628.35</v>
      </c>
      <c r="C3386">
        <v>102.46</v>
      </c>
      <c r="D3386">
        <f t="shared" si="374"/>
        <v>525.89</v>
      </c>
      <c r="E3386">
        <v>3.76</v>
      </c>
      <c r="F3386">
        <f t="shared" si="375"/>
        <v>-522.13</v>
      </c>
      <c r="I3386">
        <f t="shared" si="371"/>
        <v>3</v>
      </c>
      <c r="J3386">
        <v>1</v>
      </c>
      <c r="K3386">
        <f t="shared" si="372"/>
        <v>8</v>
      </c>
      <c r="L3386">
        <f t="shared" si="373"/>
        <v>2012</v>
      </c>
      <c r="N3386" s="17">
        <f t="shared" si="376"/>
        <v>41122</v>
      </c>
      <c r="S3386">
        <f t="shared" si="377"/>
        <v>1</v>
      </c>
    </row>
    <row r="3387" spans="1:19" x14ac:dyDescent="0.3">
      <c r="A3387" s="17">
        <v>41123</v>
      </c>
      <c r="B3387">
        <v>628.36</v>
      </c>
      <c r="C3387">
        <v>101.77</v>
      </c>
      <c r="D3387">
        <f t="shared" si="374"/>
        <v>526.59</v>
      </c>
      <c r="E3387">
        <v>3.86</v>
      </c>
      <c r="F3387">
        <f t="shared" si="375"/>
        <v>-522.73</v>
      </c>
      <c r="I3387">
        <f t="shared" si="371"/>
        <v>2</v>
      </c>
      <c r="J3387">
        <v>1</v>
      </c>
      <c r="K3387">
        <f t="shared" si="372"/>
        <v>8</v>
      </c>
      <c r="L3387">
        <f t="shared" si="373"/>
        <v>2012</v>
      </c>
      <c r="N3387" s="17">
        <f t="shared" si="376"/>
        <v>41122</v>
      </c>
      <c r="S3387">
        <f t="shared" si="377"/>
        <v>1</v>
      </c>
    </row>
    <row r="3388" spans="1:19" x14ac:dyDescent="0.3">
      <c r="A3388" s="17">
        <v>41122</v>
      </c>
      <c r="B3388">
        <v>626.59</v>
      </c>
      <c r="C3388">
        <v>101</v>
      </c>
      <c r="D3388">
        <f t="shared" si="374"/>
        <v>525.59</v>
      </c>
      <c r="E3388">
        <v>3.86</v>
      </c>
      <c r="F3388">
        <f t="shared" si="375"/>
        <v>-521.73</v>
      </c>
      <c r="I3388">
        <f t="shared" si="371"/>
        <v>1</v>
      </c>
      <c r="J3388">
        <v>1</v>
      </c>
      <c r="K3388">
        <f t="shared" si="372"/>
        <v>8</v>
      </c>
      <c r="L3388">
        <f t="shared" si="373"/>
        <v>2012</v>
      </c>
      <c r="N3388" s="17">
        <f t="shared" si="376"/>
        <v>41122</v>
      </c>
      <c r="S3388">
        <f t="shared" si="377"/>
        <v>1</v>
      </c>
    </row>
    <row r="3389" spans="1:19" x14ac:dyDescent="0.3">
      <c r="A3389" s="17">
        <v>41121</v>
      </c>
      <c r="B3389">
        <v>629.57000000000005</v>
      </c>
      <c r="C3389">
        <v>101.89</v>
      </c>
      <c r="D3389">
        <f t="shared" si="374"/>
        <v>527.68000000000006</v>
      </c>
      <c r="E3389">
        <v>3.96</v>
      </c>
      <c r="F3389">
        <f t="shared" si="375"/>
        <v>-523.72</v>
      </c>
      <c r="I3389">
        <f t="shared" si="371"/>
        <v>31</v>
      </c>
      <c r="J3389">
        <v>1</v>
      </c>
      <c r="K3389">
        <f t="shared" si="372"/>
        <v>7</v>
      </c>
      <c r="L3389">
        <f t="shared" si="373"/>
        <v>2012</v>
      </c>
      <c r="N3389" s="17">
        <f t="shared" si="376"/>
        <v>41091</v>
      </c>
      <c r="S3389">
        <f t="shared" si="377"/>
        <v>0</v>
      </c>
    </row>
    <row r="3390" spans="1:19" x14ac:dyDescent="0.3">
      <c r="A3390" s="17">
        <v>41120</v>
      </c>
      <c r="B3390">
        <v>630.17999999999995</v>
      </c>
      <c r="C3390">
        <v>102.39</v>
      </c>
      <c r="D3390">
        <f t="shared" si="374"/>
        <v>527.79</v>
      </c>
      <c r="E3390">
        <v>3.99</v>
      </c>
      <c r="F3390">
        <f t="shared" si="375"/>
        <v>-523.79999999999995</v>
      </c>
      <c r="I3390">
        <f t="shared" si="371"/>
        <v>30</v>
      </c>
      <c r="J3390">
        <v>1</v>
      </c>
      <c r="K3390">
        <f t="shared" si="372"/>
        <v>7</v>
      </c>
      <c r="L3390">
        <f t="shared" si="373"/>
        <v>2012</v>
      </c>
      <c r="N3390" s="17">
        <f t="shared" si="376"/>
        <v>41091</v>
      </c>
      <c r="S3390">
        <f t="shared" si="377"/>
        <v>0</v>
      </c>
    </row>
    <row r="3391" spans="1:19" x14ac:dyDescent="0.3">
      <c r="A3391" s="17">
        <v>41117</v>
      </c>
      <c r="B3391">
        <v>630.14</v>
      </c>
      <c r="C3391">
        <v>102.15</v>
      </c>
      <c r="D3391">
        <f t="shared" si="374"/>
        <v>527.99</v>
      </c>
      <c r="E3391">
        <v>4.1100000000000003</v>
      </c>
      <c r="F3391">
        <f t="shared" si="375"/>
        <v>-523.88</v>
      </c>
      <c r="I3391">
        <f t="shared" si="371"/>
        <v>27</v>
      </c>
      <c r="J3391">
        <v>1</v>
      </c>
      <c r="K3391">
        <f t="shared" si="372"/>
        <v>7</v>
      </c>
      <c r="L3391">
        <f t="shared" si="373"/>
        <v>2012</v>
      </c>
      <c r="N3391" s="17">
        <f t="shared" si="376"/>
        <v>41091</v>
      </c>
      <c r="S3391">
        <f t="shared" si="377"/>
        <v>0</v>
      </c>
    </row>
    <row r="3392" spans="1:19" x14ac:dyDescent="0.3">
      <c r="A3392" s="17">
        <v>41116</v>
      </c>
      <c r="B3392">
        <v>621.22</v>
      </c>
      <c r="C3392">
        <v>100.5</v>
      </c>
      <c r="D3392">
        <f t="shared" si="374"/>
        <v>520.72</v>
      </c>
      <c r="E3392">
        <v>4.25</v>
      </c>
      <c r="F3392">
        <f t="shared" si="375"/>
        <v>-516.47</v>
      </c>
      <c r="I3392">
        <f t="shared" si="371"/>
        <v>26</v>
      </c>
      <c r="J3392">
        <v>1</v>
      </c>
      <c r="K3392">
        <f t="shared" si="372"/>
        <v>7</v>
      </c>
      <c r="L3392">
        <f t="shared" si="373"/>
        <v>2012</v>
      </c>
      <c r="N3392" s="17">
        <f t="shared" si="376"/>
        <v>41091</v>
      </c>
      <c r="S3392">
        <f t="shared" si="377"/>
        <v>0</v>
      </c>
    </row>
    <row r="3393" spans="1:19" x14ac:dyDescent="0.3">
      <c r="A3393" s="17">
        <v>41115</v>
      </c>
      <c r="B3393">
        <v>615.6</v>
      </c>
      <c r="C3393">
        <v>100.22</v>
      </c>
      <c r="D3393">
        <f t="shared" si="374"/>
        <v>515.38</v>
      </c>
      <c r="E3393">
        <v>4.21</v>
      </c>
      <c r="F3393">
        <f t="shared" si="375"/>
        <v>-511.17</v>
      </c>
      <c r="I3393">
        <f t="shared" si="371"/>
        <v>25</v>
      </c>
      <c r="J3393">
        <v>1</v>
      </c>
      <c r="K3393">
        <f t="shared" si="372"/>
        <v>7</v>
      </c>
      <c r="L3393">
        <f t="shared" si="373"/>
        <v>2012</v>
      </c>
      <c r="N3393" s="17">
        <f t="shared" si="376"/>
        <v>41091</v>
      </c>
      <c r="S3393">
        <f t="shared" si="377"/>
        <v>0</v>
      </c>
    </row>
    <row r="3394" spans="1:19" x14ac:dyDescent="0.3">
      <c r="A3394" s="17">
        <v>41114</v>
      </c>
      <c r="B3394">
        <v>616.09</v>
      </c>
      <c r="C3394">
        <v>100.41</v>
      </c>
      <c r="D3394">
        <f t="shared" si="374"/>
        <v>515.68000000000006</v>
      </c>
      <c r="E3394">
        <v>4.3499999999999996</v>
      </c>
      <c r="F3394">
        <f t="shared" si="375"/>
        <v>-511.33000000000004</v>
      </c>
      <c r="I3394">
        <f t="shared" si="371"/>
        <v>24</v>
      </c>
      <c r="J3394">
        <v>1</v>
      </c>
      <c r="K3394">
        <f t="shared" si="372"/>
        <v>7</v>
      </c>
      <c r="L3394">
        <f t="shared" si="373"/>
        <v>2012</v>
      </c>
      <c r="N3394" s="17">
        <f t="shared" si="376"/>
        <v>41091</v>
      </c>
      <c r="S3394">
        <f t="shared" si="377"/>
        <v>0</v>
      </c>
    </row>
    <row r="3395" spans="1:19" x14ac:dyDescent="0.3">
      <c r="A3395" s="17">
        <v>41113</v>
      </c>
      <c r="B3395">
        <v>614.67999999999995</v>
      </c>
      <c r="C3395">
        <v>99.62</v>
      </c>
      <c r="D3395">
        <f t="shared" si="374"/>
        <v>515.05999999999995</v>
      </c>
      <c r="E3395">
        <v>4.4000000000000004</v>
      </c>
      <c r="F3395">
        <f t="shared" si="375"/>
        <v>-510.65999999999997</v>
      </c>
      <c r="I3395">
        <f t="shared" si="371"/>
        <v>23</v>
      </c>
      <c r="J3395">
        <v>1</v>
      </c>
      <c r="K3395">
        <f t="shared" si="372"/>
        <v>7</v>
      </c>
      <c r="L3395">
        <f t="shared" si="373"/>
        <v>2012</v>
      </c>
      <c r="N3395" s="17">
        <f t="shared" si="376"/>
        <v>41091</v>
      </c>
      <c r="S3395">
        <f t="shared" si="377"/>
        <v>0</v>
      </c>
    </row>
    <row r="3396" spans="1:19" x14ac:dyDescent="0.3">
      <c r="A3396" s="17">
        <v>41110</v>
      </c>
      <c r="B3396">
        <v>636.73</v>
      </c>
      <c r="C3396">
        <v>103.46</v>
      </c>
      <c r="D3396">
        <f t="shared" si="374"/>
        <v>533.27</v>
      </c>
      <c r="E3396">
        <v>4.37</v>
      </c>
      <c r="F3396">
        <f t="shared" si="375"/>
        <v>-528.9</v>
      </c>
      <c r="I3396">
        <f t="shared" si="371"/>
        <v>20</v>
      </c>
      <c r="J3396">
        <v>1</v>
      </c>
      <c r="K3396">
        <f t="shared" si="372"/>
        <v>7</v>
      </c>
      <c r="L3396">
        <f t="shared" si="373"/>
        <v>2012</v>
      </c>
      <c r="N3396" s="17">
        <f t="shared" si="376"/>
        <v>41091</v>
      </c>
      <c r="S3396">
        <f t="shared" si="377"/>
        <v>0</v>
      </c>
    </row>
    <row r="3397" spans="1:19" x14ac:dyDescent="0.3">
      <c r="A3397" s="17">
        <v>41109</v>
      </c>
      <c r="B3397">
        <v>629.87</v>
      </c>
      <c r="C3397">
        <v>102.79</v>
      </c>
      <c r="D3397">
        <f t="shared" si="374"/>
        <v>527.08000000000004</v>
      </c>
      <c r="E3397">
        <v>4.37</v>
      </c>
      <c r="F3397">
        <f t="shared" si="375"/>
        <v>-522.71</v>
      </c>
      <c r="I3397">
        <f t="shared" ref="I3397:I3460" si="378">+DAY(A3397)</f>
        <v>19</v>
      </c>
      <c r="J3397">
        <v>1</v>
      </c>
      <c r="K3397">
        <f t="shared" ref="K3397:K3460" si="379">+MONTH(A3397)</f>
        <v>7</v>
      </c>
      <c r="L3397">
        <f t="shared" ref="L3397:L3460" si="380">+YEAR(A3397)</f>
        <v>2012</v>
      </c>
      <c r="N3397" s="17">
        <f t="shared" si="376"/>
        <v>41091</v>
      </c>
      <c r="S3397">
        <f t="shared" si="377"/>
        <v>0</v>
      </c>
    </row>
    <row r="3398" spans="1:19" x14ac:dyDescent="0.3">
      <c r="A3398" s="17">
        <v>41108</v>
      </c>
      <c r="B3398">
        <v>617.58000000000004</v>
      </c>
      <c r="C3398">
        <v>100.94</v>
      </c>
      <c r="D3398">
        <f t="shared" ref="D3398:D3461" si="381">+B3398-C3398</f>
        <v>516.6400000000001</v>
      </c>
      <c r="E3398">
        <v>4.34</v>
      </c>
      <c r="F3398">
        <f t="shared" ref="F3398:F3461" si="382">+E3398-D3398</f>
        <v>-512.30000000000007</v>
      </c>
      <c r="I3398">
        <f t="shared" si="378"/>
        <v>18</v>
      </c>
      <c r="J3398">
        <v>1</v>
      </c>
      <c r="K3398">
        <f t="shared" si="379"/>
        <v>7</v>
      </c>
      <c r="L3398">
        <f t="shared" si="380"/>
        <v>2012</v>
      </c>
      <c r="N3398" s="17">
        <f t="shared" ref="N3398:N3461" si="383">+DATE(L3398,K3398,J3398)</f>
        <v>41091</v>
      </c>
      <c r="S3398">
        <f t="shared" ref="S3398:S3461" si="384">IF(AND(I3398&gt;=1, I3398&lt;=4), 1, 0)</f>
        <v>0</v>
      </c>
    </row>
    <row r="3399" spans="1:19" x14ac:dyDescent="0.3">
      <c r="A3399" s="17">
        <v>41107</v>
      </c>
      <c r="B3399">
        <v>616.64</v>
      </c>
      <c r="C3399">
        <v>100.85</v>
      </c>
      <c r="D3399">
        <f t="shared" si="381"/>
        <v>515.79</v>
      </c>
      <c r="E3399">
        <v>4.29</v>
      </c>
      <c r="F3399">
        <f t="shared" si="382"/>
        <v>-511.49999999999994</v>
      </c>
      <c r="I3399">
        <f t="shared" si="378"/>
        <v>17</v>
      </c>
      <c r="J3399">
        <v>1</v>
      </c>
      <c r="K3399">
        <f t="shared" si="379"/>
        <v>7</v>
      </c>
      <c r="L3399">
        <f t="shared" si="380"/>
        <v>2012</v>
      </c>
      <c r="N3399" s="17">
        <f t="shared" si="383"/>
        <v>41091</v>
      </c>
      <c r="S3399">
        <f t="shared" si="384"/>
        <v>0</v>
      </c>
    </row>
    <row r="3400" spans="1:19" x14ac:dyDescent="0.3">
      <c r="A3400" s="17">
        <v>41106</v>
      </c>
      <c r="B3400">
        <v>603.29999999999995</v>
      </c>
      <c r="C3400">
        <v>98.79</v>
      </c>
      <c r="D3400">
        <f t="shared" si="381"/>
        <v>504.50999999999993</v>
      </c>
      <c r="E3400">
        <v>4.2699999999999996</v>
      </c>
      <c r="F3400">
        <f t="shared" si="382"/>
        <v>-500.23999999999995</v>
      </c>
      <c r="I3400">
        <f t="shared" si="378"/>
        <v>16</v>
      </c>
      <c r="J3400">
        <v>1</v>
      </c>
      <c r="K3400">
        <f t="shared" si="379"/>
        <v>7</v>
      </c>
      <c r="L3400">
        <f t="shared" si="380"/>
        <v>2012</v>
      </c>
      <c r="N3400" s="17">
        <f t="shared" si="383"/>
        <v>41091</v>
      </c>
      <c r="S3400">
        <f t="shared" si="384"/>
        <v>0</v>
      </c>
    </row>
    <row r="3401" spans="1:19" x14ac:dyDescent="0.3">
      <c r="A3401" s="17">
        <v>41103</v>
      </c>
      <c r="B3401">
        <v>601.46</v>
      </c>
      <c r="C3401">
        <v>98.35</v>
      </c>
      <c r="D3401">
        <f t="shared" si="381"/>
        <v>503.11</v>
      </c>
      <c r="E3401">
        <v>4.26</v>
      </c>
      <c r="F3401">
        <f t="shared" si="382"/>
        <v>-498.85</v>
      </c>
      <c r="I3401">
        <f t="shared" si="378"/>
        <v>13</v>
      </c>
      <c r="J3401">
        <v>1</v>
      </c>
      <c r="K3401">
        <f t="shared" si="379"/>
        <v>7</v>
      </c>
      <c r="L3401">
        <f t="shared" si="380"/>
        <v>2012</v>
      </c>
      <c r="N3401" s="17">
        <f t="shared" si="383"/>
        <v>41091</v>
      </c>
      <c r="S3401">
        <f t="shared" si="384"/>
        <v>0</v>
      </c>
    </row>
    <row r="3402" spans="1:19" x14ac:dyDescent="0.3">
      <c r="A3402" s="17">
        <v>41102</v>
      </c>
      <c r="B3402">
        <v>593.28</v>
      </c>
      <c r="C3402">
        <v>97.05</v>
      </c>
      <c r="D3402">
        <f t="shared" si="381"/>
        <v>496.22999999999996</v>
      </c>
      <c r="E3402">
        <v>4.3600000000000003</v>
      </c>
      <c r="F3402">
        <f t="shared" si="382"/>
        <v>-491.86999999999995</v>
      </c>
      <c r="I3402">
        <f t="shared" si="378"/>
        <v>12</v>
      </c>
      <c r="J3402">
        <v>1</v>
      </c>
      <c r="K3402">
        <f t="shared" si="379"/>
        <v>7</v>
      </c>
      <c r="L3402">
        <f t="shared" si="380"/>
        <v>2012</v>
      </c>
      <c r="N3402" s="17">
        <f t="shared" si="383"/>
        <v>41091</v>
      </c>
      <c r="S3402">
        <f t="shared" si="384"/>
        <v>0</v>
      </c>
    </row>
    <row r="3403" spans="1:19" x14ac:dyDescent="0.3">
      <c r="A3403" s="17">
        <v>41101</v>
      </c>
      <c r="B3403">
        <v>590.5</v>
      </c>
      <c r="C3403">
        <v>96.45</v>
      </c>
      <c r="D3403">
        <f t="shared" si="381"/>
        <v>494.05</v>
      </c>
      <c r="E3403">
        <v>4.42</v>
      </c>
      <c r="F3403">
        <f t="shared" si="382"/>
        <v>-489.63</v>
      </c>
      <c r="I3403">
        <f t="shared" si="378"/>
        <v>11</v>
      </c>
      <c r="J3403">
        <v>1</v>
      </c>
      <c r="K3403">
        <f t="shared" si="379"/>
        <v>7</v>
      </c>
      <c r="L3403">
        <f t="shared" si="380"/>
        <v>2012</v>
      </c>
      <c r="N3403" s="17">
        <f t="shared" si="383"/>
        <v>41091</v>
      </c>
      <c r="S3403">
        <f t="shared" si="384"/>
        <v>0</v>
      </c>
    </row>
    <row r="3404" spans="1:19" x14ac:dyDescent="0.3">
      <c r="A3404" s="17">
        <v>41100</v>
      </c>
      <c r="B3404">
        <v>589.74</v>
      </c>
      <c r="C3404">
        <v>96.41</v>
      </c>
      <c r="D3404">
        <f t="shared" si="381"/>
        <v>493.33000000000004</v>
      </c>
      <c r="E3404">
        <v>4.25</v>
      </c>
      <c r="F3404">
        <f t="shared" si="382"/>
        <v>-489.08000000000004</v>
      </c>
      <c r="I3404">
        <f t="shared" si="378"/>
        <v>10</v>
      </c>
      <c r="J3404">
        <v>1</v>
      </c>
      <c r="K3404">
        <f t="shared" si="379"/>
        <v>7</v>
      </c>
      <c r="L3404">
        <f t="shared" si="380"/>
        <v>2012</v>
      </c>
      <c r="N3404" s="17">
        <f t="shared" si="383"/>
        <v>41091</v>
      </c>
      <c r="S3404">
        <f t="shared" si="384"/>
        <v>0</v>
      </c>
    </row>
    <row r="3405" spans="1:19" x14ac:dyDescent="0.3">
      <c r="A3405" s="17">
        <v>41099</v>
      </c>
      <c r="B3405">
        <v>592.21</v>
      </c>
      <c r="C3405">
        <v>96.5</v>
      </c>
      <c r="D3405">
        <f t="shared" si="381"/>
        <v>495.71000000000004</v>
      </c>
      <c r="E3405">
        <v>4.03</v>
      </c>
      <c r="F3405">
        <f t="shared" si="382"/>
        <v>-491.68000000000006</v>
      </c>
      <c r="I3405">
        <f t="shared" si="378"/>
        <v>9</v>
      </c>
      <c r="J3405">
        <v>1</v>
      </c>
      <c r="K3405">
        <f t="shared" si="379"/>
        <v>7</v>
      </c>
      <c r="L3405">
        <f t="shared" si="380"/>
        <v>2012</v>
      </c>
      <c r="N3405" s="17">
        <f t="shared" si="383"/>
        <v>41091</v>
      </c>
      <c r="S3405">
        <f t="shared" si="384"/>
        <v>0</v>
      </c>
    </row>
    <row r="3406" spans="1:19" x14ac:dyDescent="0.3">
      <c r="A3406" s="17">
        <v>41096</v>
      </c>
      <c r="B3406">
        <v>602.74</v>
      </c>
      <c r="C3406">
        <v>97.61</v>
      </c>
      <c r="D3406">
        <f t="shared" si="381"/>
        <v>505.13</v>
      </c>
      <c r="E3406">
        <v>3.95</v>
      </c>
      <c r="F3406">
        <f t="shared" si="382"/>
        <v>-501.18</v>
      </c>
      <c r="I3406">
        <f t="shared" si="378"/>
        <v>6</v>
      </c>
      <c r="J3406">
        <v>1</v>
      </c>
      <c r="K3406">
        <f t="shared" si="379"/>
        <v>7</v>
      </c>
      <c r="L3406">
        <f t="shared" si="380"/>
        <v>2012</v>
      </c>
      <c r="N3406" s="17">
        <f t="shared" si="383"/>
        <v>41091</v>
      </c>
      <c r="S3406">
        <f t="shared" si="384"/>
        <v>0</v>
      </c>
    </row>
    <row r="3407" spans="1:19" x14ac:dyDescent="0.3">
      <c r="A3407" s="17">
        <v>41095</v>
      </c>
      <c r="B3407">
        <v>609.03</v>
      </c>
      <c r="C3407">
        <v>98.04</v>
      </c>
      <c r="D3407">
        <f t="shared" si="381"/>
        <v>510.98999999999995</v>
      </c>
      <c r="E3407">
        <v>3.86</v>
      </c>
      <c r="F3407">
        <f t="shared" si="382"/>
        <v>-507.12999999999994</v>
      </c>
      <c r="I3407">
        <f t="shared" si="378"/>
        <v>5</v>
      </c>
      <c r="J3407">
        <v>1</v>
      </c>
      <c r="K3407">
        <f t="shared" si="379"/>
        <v>7</v>
      </c>
      <c r="L3407">
        <f t="shared" si="380"/>
        <v>2012</v>
      </c>
      <c r="N3407" s="17">
        <f t="shared" si="383"/>
        <v>41091</v>
      </c>
      <c r="S3407">
        <f t="shared" si="384"/>
        <v>0</v>
      </c>
    </row>
    <row r="3408" spans="1:19" x14ac:dyDescent="0.3">
      <c r="A3408" s="17">
        <v>41094</v>
      </c>
      <c r="B3408">
        <v>601.58000000000004</v>
      </c>
      <c r="C3408">
        <v>97.15</v>
      </c>
      <c r="D3408">
        <f t="shared" si="381"/>
        <v>504.43000000000006</v>
      </c>
      <c r="E3408">
        <v>3.78</v>
      </c>
      <c r="F3408">
        <f t="shared" si="382"/>
        <v>-500.65000000000009</v>
      </c>
      <c r="I3408">
        <f t="shared" si="378"/>
        <v>4</v>
      </c>
      <c r="J3408">
        <v>1</v>
      </c>
      <c r="K3408">
        <f t="shared" si="379"/>
        <v>7</v>
      </c>
      <c r="L3408">
        <f t="shared" si="380"/>
        <v>2012</v>
      </c>
      <c r="N3408" s="17">
        <f t="shared" si="383"/>
        <v>41091</v>
      </c>
      <c r="S3408">
        <f t="shared" si="384"/>
        <v>1</v>
      </c>
    </row>
    <row r="3409" spans="1:19" x14ac:dyDescent="0.3">
      <c r="A3409" s="17">
        <v>41093</v>
      </c>
      <c r="B3409">
        <v>590.4</v>
      </c>
      <c r="C3409">
        <v>95.21</v>
      </c>
      <c r="D3409">
        <f t="shared" si="381"/>
        <v>495.19</v>
      </c>
      <c r="E3409">
        <v>3.74</v>
      </c>
      <c r="F3409">
        <f t="shared" si="382"/>
        <v>-491.45</v>
      </c>
      <c r="I3409">
        <f t="shared" si="378"/>
        <v>3</v>
      </c>
      <c r="J3409">
        <v>1</v>
      </c>
      <c r="K3409">
        <f t="shared" si="379"/>
        <v>7</v>
      </c>
      <c r="L3409">
        <f t="shared" si="380"/>
        <v>2012</v>
      </c>
      <c r="N3409" s="17">
        <f t="shared" si="383"/>
        <v>41091</v>
      </c>
      <c r="S3409">
        <f t="shared" si="384"/>
        <v>1</v>
      </c>
    </row>
    <row r="3410" spans="1:19" x14ac:dyDescent="0.3">
      <c r="A3410" s="17">
        <v>41092</v>
      </c>
      <c r="B3410">
        <v>586.09</v>
      </c>
      <c r="C3410">
        <v>94.42</v>
      </c>
      <c r="D3410">
        <f t="shared" si="381"/>
        <v>491.67</v>
      </c>
      <c r="E3410">
        <v>3.77</v>
      </c>
      <c r="F3410">
        <f t="shared" si="382"/>
        <v>-487.90000000000003</v>
      </c>
      <c r="I3410">
        <f t="shared" si="378"/>
        <v>2</v>
      </c>
      <c r="J3410">
        <v>1</v>
      </c>
      <c r="K3410">
        <f t="shared" si="379"/>
        <v>7</v>
      </c>
      <c r="L3410">
        <f t="shared" si="380"/>
        <v>2012</v>
      </c>
      <c r="N3410" s="17">
        <f t="shared" si="383"/>
        <v>41091</v>
      </c>
      <c r="S3410">
        <f t="shared" si="384"/>
        <v>1</v>
      </c>
    </row>
    <row r="3411" spans="1:19" x14ac:dyDescent="0.3">
      <c r="A3411" s="17">
        <v>41089</v>
      </c>
      <c r="B3411">
        <v>571.91</v>
      </c>
      <c r="C3411">
        <v>92.91</v>
      </c>
      <c r="D3411">
        <f t="shared" si="381"/>
        <v>479</v>
      </c>
      <c r="E3411">
        <v>3.84</v>
      </c>
      <c r="F3411">
        <f t="shared" si="382"/>
        <v>-475.16</v>
      </c>
      <c r="I3411">
        <f t="shared" si="378"/>
        <v>29</v>
      </c>
      <c r="J3411">
        <v>1</v>
      </c>
      <c r="K3411">
        <f t="shared" si="379"/>
        <v>6</v>
      </c>
      <c r="L3411">
        <f t="shared" si="380"/>
        <v>2012</v>
      </c>
      <c r="N3411" s="17">
        <f t="shared" si="383"/>
        <v>41061</v>
      </c>
      <c r="S3411">
        <f t="shared" si="384"/>
        <v>0</v>
      </c>
    </row>
    <row r="3412" spans="1:19" x14ac:dyDescent="0.3">
      <c r="A3412" s="17">
        <v>41088</v>
      </c>
      <c r="B3412">
        <v>572.79999999999995</v>
      </c>
      <c r="C3412">
        <v>92.21</v>
      </c>
      <c r="D3412">
        <f t="shared" si="381"/>
        <v>480.59</v>
      </c>
      <c r="E3412">
        <v>3.8</v>
      </c>
      <c r="F3412">
        <f t="shared" si="382"/>
        <v>-476.78999999999996</v>
      </c>
      <c r="I3412">
        <f t="shared" si="378"/>
        <v>28</v>
      </c>
      <c r="J3412">
        <v>1</v>
      </c>
      <c r="K3412">
        <f t="shared" si="379"/>
        <v>6</v>
      </c>
      <c r="L3412">
        <f t="shared" si="380"/>
        <v>2012</v>
      </c>
      <c r="N3412" s="17">
        <f t="shared" si="383"/>
        <v>41061</v>
      </c>
      <c r="S3412">
        <f t="shared" si="384"/>
        <v>0</v>
      </c>
    </row>
    <row r="3413" spans="1:19" x14ac:dyDescent="0.3">
      <c r="A3413" s="17">
        <v>41087</v>
      </c>
      <c r="B3413">
        <v>567.61</v>
      </c>
      <c r="C3413">
        <v>91.25</v>
      </c>
      <c r="D3413">
        <f t="shared" si="381"/>
        <v>476.36</v>
      </c>
      <c r="E3413">
        <v>3.79</v>
      </c>
      <c r="F3413">
        <f t="shared" si="382"/>
        <v>-472.57</v>
      </c>
      <c r="I3413">
        <f t="shared" si="378"/>
        <v>27</v>
      </c>
      <c r="J3413">
        <v>1</v>
      </c>
      <c r="K3413">
        <f t="shared" si="379"/>
        <v>6</v>
      </c>
      <c r="L3413">
        <f t="shared" si="380"/>
        <v>2012</v>
      </c>
      <c r="N3413" s="17">
        <f t="shared" si="383"/>
        <v>41061</v>
      </c>
      <c r="S3413">
        <f t="shared" si="384"/>
        <v>0</v>
      </c>
    </row>
    <row r="3414" spans="1:19" x14ac:dyDescent="0.3">
      <c r="A3414" s="17">
        <v>41086</v>
      </c>
      <c r="B3414">
        <v>568.19000000000005</v>
      </c>
      <c r="C3414">
        <v>91</v>
      </c>
      <c r="D3414">
        <f t="shared" si="381"/>
        <v>477.19000000000005</v>
      </c>
      <c r="E3414">
        <v>3.76</v>
      </c>
      <c r="F3414">
        <f t="shared" si="382"/>
        <v>-473.43000000000006</v>
      </c>
      <c r="I3414">
        <f t="shared" si="378"/>
        <v>26</v>
      </c>
      <c r="J3414">
        <v>1</v>
      </c>
      <c r="K3414">
        <f t="shared" si="379"/>
        <v>6</v>
      </c>
      <c r="L3414">
        <f t="shared" si="380"/>
        <v>2012</v>
      </c>
      <c r="N3414" s="17">
        <f t="shared" si="383"/>
        <v>41061</v>
      </c>
      <c r="S3414">
        <f t="shared" si="384"/>
        <v>0</v>
      </c>
    </row>
    <row r="3415" spans="1:19" x14ac:dyDescent="0.3">
      <c r="A3415" s="17">
        <v>41085</v>
      </c>
      <c r="B3415">
        <v>562.79999999999995</v>
      </c>
      <c r="C3415">
        <v>89.8</v>
      </c>
      <c r="D3415">
        <f t="shared" si="381"/>
        <v>472.99999999999994</v>
      </c>
      <c r="E3415">
        <v>3.73</v>
      </c>
      <c r="F3415">
        <f t="shared" si="382"/>
        <v>-469.26999999999992</v>
      </c>
      <c r="I3415">
        <f t="shared" si="378"/>
        <v>25</v>
      </c>
      <c r="J3415">
        <v>1</v>
      </c>
      <c r="K3415">
        <f t="shared" si="379"/>
        <v>6</v>
      </c>
      <c r="L3415">
        <f t="shared" si="380"/>
        <v>2012</v>
      </c>
      <c r="N3415" s="17">
        <f t="shared" si="383"/>
        <v>41061</v>
      </c>
      <c r="S3415">
        <f t="shared" si="384"/>
        <v>0</v>
      </c>
    </row>
    <row r="3416" spans="1:19" x14ac:dyDescent="0.3">
      <c r="A3416" s="17">
        <v>41082</v>
      </c>
      <c r="B3416">
        <v>560.41</v>
      </c>
      <c r="C3416">
        <v>89.1</v>
      </c>
      <c r="D3416">
        <f t="shared" si="381"/>
        <v>471.30999999999995</v>
      </c>
      <c r="E3416">
        <v>3.68</v>
      </c>
      <c r="F3416">
        <f t="shared" si="382"/>
        <v>-467.62999999999994</v>
      </c>
      <c r="I3416">
        <f t="shared" si="378"/>
        <v>22</v>
      </c>
      <c r="J3416">
        <v>1</v>
      </c>
      <c r="K3416">
        <f t="shared" si="379"/>
        <v>6</v>
      </c>
      <c r="L3416">
        <f t="shared" si="380"/>
        <v>2012</v>
      </c>
      <c r="N3416" s="17">
        <f t="shared" si="383"/>
        <v>41061</v>
      </c>
      <c r="S3416">
        <f t="shared" si="384"/>
        <v>0</v>
      </c>
    </row>
    <row r="3417" spans="1:19" x14ac:dyDescent="0.3">
      <c r="A3417" s="17">
        <v>41081</v>
      </c>
      <c r="B3417">
        <v>573.32000000000005</v>
      </c>
      <c r="C3417">
        <v>90.67</v>
      </c>
      <c r="D3417">
        <f t="shared" si="381"/>
        <v>482.65000000000003</v>
      </c>
      <c r="E3417">
        <v>3.68</v>
      </c>
      <c r="F3417">
        <f t="shared" si="382"/>
        <v>-478.97</v>
      </c>
      <c r="I3417">
        <f t="shared" si="378"/>
        <v>21</v>
      </c>
      <c r="J3417">
        <v>1</v>
      </c>
      <c r="K3417">
        <f t="shared" si="379"/>
        <v>6</v>
      </c>
      <c r="L3417">
        <f t="shared" si="380"/>
        <v>2012</v>
      </c>
      <c r="N3417" s="17">
        <f t="shared" si="383"/>
        <v>41061</v>
      </c>
      <c r="S3417">
        <f t="shared" si="384"/>
        <v>0</v>
      </c>
    </row>
    <row r="3418" spans="1:19" x14ac:dyDescent="0.3">
      <c r="A3418" s="17">
        <v>41080</v>
      </c>
      <c r="B3418">
        <v>588.26</v>
      </c>
      <c r="C3418">
        <v>94.29</v>
      </c>
      <c r="D3418">
        <f t="shared" si="381"/>
        <v>493.96999999999997</v>
      </c>
      <c r="E3418">
        <v>3.6</v>
      </c>
      <c r="F3418">
        <f t="shared" si="382"/>
        <v>-490.36999999999995</v>
      </c>
      <c r="I3418">
        <f t="shared" si="378"/>
        <v>20</v>
      </c>
      <c r="J3418">
        <v>1</v>
      </c>
      <c r="K3418">
        <f t="shared" si="379"/>
        <v>6</v>
      </c>
      <c r="L3418">
        <f t="shared" si="380"/>
        <v>2012</v>
      </c>
      <c r="N3418" s="17">
        <f t="shared" si="383"/>
        <v>41061</v>
      </c>
      <c r="S3418">
        <f t="shared" si="384"/>
        <v>0</v>
      </c>
    </row>
    <row r="3419" spans="1:19" x14ac:dyDescent="0.3">
      <c r="A3419" s="17">
        <v>41079</v>
      </c>
      <c r="B3419">
        <v>581.5</v>
      </c>
      <c r="C3419">
        <v>93.8</v>
      </c>
      <c r="D3419">
        <f t="shared" si="381"/>
        <v>487.7</v>
      </c>
      <c r="E3419">
        <v>3.6</v>
      </c>
      <c r="F3419">
        <f t="shared" si="382"/>
        <v>-484.09999999999997</v>
      </c>
      <c r="I3419">
        <f t="shared" si="378"/>
        <v>19</v>
      </c>
      <c r="J3419">
        <v>1</v>
      </c>
      <c r="K3419">
        <f t="shared" si="379"/>
        <v>6</v>
      </c>
      <c r="L3419">
        <f t="shared" si="380"/>
        <v>2012</v>
      </c>
      <c r="N3419" s="17">
        <f t="shared" si="383"/>
        <v>41061</v>
      </c>
      <c r="S3419">
        <f t="shared" si="384"/>
        <v>0</v>
      </c>
    </row>
    <row r="3420" spans="1:19" x14ac:dyDescent="0.3">
      <c r="A3420" s="17">
        <v>41078</v>
      </c>
      <c r="B3420">
        <v>603.42999999999995</v>
      </c>
      <c r="C3420">
        <v>96.18</v>
      </c>
      <c r="D3420">
        <f t="shared" si="381"/>
        <v>507.24999999999994</v>
      </c>
      <c r="E3420">
        <v>3.61</v>
      </c>
      <c r="F3420">
        <f t="shared" si="382"/>
        <v>-503.63999999999993</v>
      </c>
      <c r="I3420">
        <f t="shared" si="378"/>
        <v>18</v>
      </c>
      <c r="J3420">
        <v>1</v>
      </c>
      <c r="K3420">
        <f t="shared" si="379"/>
        <v>6</v>
      </c>
      <c r="L3420">
        <f t="shared" si="380"/>
        <v>2012</v>
      </c>
      <c r="N3420" s="17">
        <f t="shared" si="383"/>
        <v>41061</v>
      </c>
      <c r="S3420">
        <f t="shared" si="384"/>
        <v>0</v>
      </c>
    </row>
    <row r="3421" spans="1:19" x14ac:dyDescent="0.3">
      <c r="A3421" s="17">
        <v>41075</v>
      </c>
      <c r="B3421">
        <v>609.29</v>
      </c>
      <c r="C3421">
        <v>96.65</v>
      </c>
      <c r="D3421">
        <f t="shared" si="381"/>
        <v>512.64</v>
      </c>
      <c r="E3421">
        <v>3.62</v>
      </c>
      <c r="F3421">
        <f t="shared" si="382"/>
        <v>-509.02</v>
      </c>
      <c r="I3421">
        <f t="shared" si="378"/>
        <v>15</v>
      </c>
      <c r="J3421">
        <v>1</v>
      </c>
      <c r="K3421">
        <f t="shared" si="379"/>
        <v>6</v>
      </c>
      <c r="L3421">
        <f t="shared" si="380"/>
        <v>2012</v>
      </c>
      <c r="N3421" s="17">
        <f t="shared" si="383"/>
        <v>41061</v>
      </c>
      <c r="S3421">
        <f t="shared" si="384"/>
        <v>0</v>
      </c>
    </row>
    <row r="3422" spans="1:19" x14ac:dyDescent="0.3">
      <c r="A3422" s="17">
        <v>41074</v>
      </c>
      <c r="B3422">
        <v>599.24</v>
      </c>
      <c r="C3422">
        <v>95.6</v>
      </c>
      <c r="D3422">
        <f t="shared" si="381"/>
        <v>503.64</v>
      </c>
      <c r="E3422">
        <v>3.65</v>
      </c>
      <c r="F3422">
        <f t="shared" si="382"/>
        <v>-499.99</v>
      </c>
      <c r="I3422">
        <f t="shared" si="378"/>
        <v>14</v>
      </c>
      <c r="J3422">
        <v>1</v>
      </c>
      <c r="K3422">
        <f t="shared" si="379"/>
        <v>6</v>
      </c>
      <c r="L3422">
        <f t="shared" si="380"/>
        <v>2012</v>
      </c>
      <c r="N3422" s="17">
        <f t="shared" si="383"/>
        <v>41061</v>
      </c>
      <c r="S3422">
        <f t="shared" si="384"/>
        <v>0</v>
      </c>
    </row>
    <row r="3423" spans="1:19" x14ac:dyDescent="0.3">
      <c r="A3423" s="17">
        <v>41073</v>
      </c>
      <c r="B3423">
        <v>598.58000000000004</v>
      </c>
      <c r="C3423">
        <v>96.09</v>
      </c>
      <c r="D3423">
        <f t="shared" si="381"/>
        <v>502.49</v>
      </c>
      <c r="E3423">
        <v>3.65</v>
      </c>
      <c r="F3423">
        <f t="shared" si="382"/>
        <v>-498.84000000000003</v>
      </c>
      <c r="I3423">
        <f t="shared" si="378"/>
        <v>13</v>
      </c>
      <c r="J3423">
        <v>1</v>
      </c>
      <c r="K3423">
        <f t="shared" si="379"/>
        <v>6</v>
      </c>
      <c r="L3423">
        <f t="shared" si="380"/>
        <v>2012</v>
      </c>
      <c r="N3423" s="17">
        <f t="shared" si="383"/>
        <v>41061</v>
      </c>
      <c r="S3423">
        <f t="shared" si="384"/>
        <v>0</v>
      </c>
    </row>
    <row r="3424" spans="1:19" x14ac:dyDescent="0.3">
      <c r="A3424" s="17">
        <v>41072</v>
      </c>
      <c r="B3424">
        <v>591.83000000000004</v>
      </c>
      <c r="C3424">
        <v>95.4</v>
      </c>
      <c r="D3424">
        <f t="shared" si="381"/>
        <v>496.43000000000006</v>
      </c>
      <c r="E3424">
        <v>3.65</v>
      </c>
      <c r="F3424">
        <f t="shared" si="382"/>
        <v>-492.78000000000009</v>
      </c>
      <c r="I3424">
        <f t="shared" si="378"/>
        <v>12</v>
      </c>
      <c r="J3424">
        <v>1</v>
      </c>
      <c r="K3424">
        <f t="shared" si="379"/>
        <v>6</v>
      </c>
      <c r="L3424">
        <f t="shared" si="380"/>
        <v>2012</v>
      </c>
      <c r="N3424" s="17">
        <f t="shared" si="383"/>
        <v>41061</v>
      </c>
      <c r="S3424">
        <f t="shared" si="384"/>
        <v>0</v>
      </c>
    </row>
    <row r="3425" spans="1:19" x14ac:dyDescent="0.3">
      <c r="A3425" s="17">
        <v>41071</v>
      </c>
      <c r="B3425">
        <v>605.08000000000004</v>
      </c>
      <c r="C3425">
        <v>98.605000000000004</v>
      </c>
      <c r="D3425">
        <f t="shared" si="381"/>
        <v>506.47500000000002</v>
      </c>
      <c r="E3425">
        <v>3.55</v>
      </c>
      <c r="F3425">
        <f t="shared" si="382"/>
        <v>-502.92500000000001</v>
      </c>
      <c r="I3425">
        <f t="shared" si="378"/>
        <v>11</v>
      </c>
      <c r="J3425">
        <v>1</v>
      </c>
      <c r="K3425">
        <f t="shared" si="379"/>
        <v>6</v>
      </c>
      <c r="L3425">
        <f t="shared" si="380"/>
        <v>2012</v>
      </c>
      <c r="N3425" s="17">
        <f t="shared" si="383"/>
        <v>41061</v>
      </c>
      <c r="S3425">
        <f t="shared" si="384"/>
        <v>0</v>
      </c>
    </row>
    <row r="3426" spans="1:19" x14ac:dyDescent="0.3">
      <c r="A3426" s="17">
        <v>41068</v>
      </c>
      <c r="B3426">
        <v>583.44000000000005</v>
      </c>
      <c r="C3426">
        <v>95.6</v>
      </c>
      <c r="D3426">
        <f t="shared" si="381"/>
        <v>487.84000000000003</v>
      </c>
      <c r="E3426">
        <v>3.45</v>
      </c>
      <c r="F3426">
        <f t="shared" si="382"/>
        <v>-484.39000000000004</v>
      </c>
      <c r="I3426">
        <f t="shared" si="378"/>
        <v>8</v>
      </c>
      <c r="J3426">
        <v>1</v>
      </c>
      <c r="K3426">
        <f t="shared" si="379"/>
        <v>6</v>
      </c>
      <c r="L3426">
        <f t="shared" si="380"/>
        <v>2012</v>
      </c>
      <c r="N3426" s="17">
        <f t="shared" si="383"/>
        <v>41061</v>
      </c>
      <c r="S3426">
        <f t="shared" si="384"/>
        <v>0</v>
      </c>
    </row>
    <row r="3427" spans="1:19" x14ac:dyDescent="0.3">
      <c r="A3427" s="17">
        <v>41067</v>
      </c>
      <c r="B3427">
        <v>595.64</v>
      </c>
      <c r="C3427">
        <v>97.5</v>
      </c>
      <c r="D3427">
        <f t="shared" si="381"/>
        <v>498.14</v>
      </c>
      <c r="E3427">
        <v>3.39</v>
      </c>
      <c r="F3427">
        <f t="shared" si="382"/>
        <v>-494.75</v>
      </c>
      <c r="I3427">
        <f t="shared" si="378"/>
        <v>7</v>
      </c>
      <c r="J3427">
        <v>1</v>
      </c>
      <c r="K3427">
        <f t="shared" si="379"/>
        <v>6</v>
      </c>
      <c r="L3427">
        <f t="shared" si="380"/>
        <v>2012</v>
      </c>
      <c r="N3427" s="17">
        <f t="shared" si="383"/>
        <v>41061</v>
      </c>
      <c r="S3427">
        <f t="shared" si="384"/>
        <v>0</v>
      </c>
    </row>
    <row r="3428" spans="1:19" x14ac:dyDescent="0.3">
      <c r="A3428" s="17">
        <v>41066</v>
      </c>
      <c r="B3428">
        <v>588.92999999999995</v>
      </c>
      <c r="C3428">
        <v>97.15</v>
      </c>
      <c r="D3428">
        <f t="shared" si="381"/>
        <v>491.78</v>
      </c>
      <c r="E3428">
        <v>3.34</v>
      </c>
      <c r="F3428">
        <f t="shared" si="382"/>
        <v>-488.44</v>
      </c>
      <c r="I3428">
        <f t="shared" si="378"/>
        <v>6</v>
      </c>
      <c r="J3428">
        <v>1</v>
      </c>
      <c r="K3428">
        <f t="shared" si="379"/>
        <v>6</v>
      </c>
      <c r="L3428">
        <f t="shared" si="380"/>
        <v>2012</v>
      </c>
      <c r="N3428" s="17">
        <f t="shared" si="383"/>
        <v>41061</v>
      </c>
      <c r="S3428">
        <f t="shared" si="384"/>
        <v>0</v>
      </c>
    </row>
    <row r="3429" spans="1:19" x14ac:dyDescent="0.3">
      <c r="A3429" s="17">
        <v>41065</v>
      </c>
      <c r="B3429">
        <v>579.16999999999996</v>
      </c>
      <c r="C3429">
        <v>95.94</v>
      </c>
      <c r="D3429">
        <f t="shared" si="381"/>
        <v>483.22999999999996</v>
      </c>
      <c r="E3429">
        <v>3.26</v>
      </c>
      <c r="F3429">
        <f t="shared" si="382"/>
        <v>-479.96999999999997</v>
      </c>
      <c r="I3429">
        <f t="shared" si="378"/>
        <v>5</v>
      </c>
      <c r="J3429">
        <v>1</v>
      </c>
      <c r="K3429">
        <f t="shared" si="379"/>
        <v>6</v>
      </c>
      <c r="L3429">
        <f t="shared" si="380"/>
        <v>2012</v>
      </c>
      <c r="N3429" s="17">
        <f t="shared" si="383"/>
        <v>41061</v>
      </c>
      <c r="S3429">
        <f t="shared" si="384"/>
        <v>0</v>
      </c>
    </row>
    <row r="3430" spans="1:19" x14ac:dyDescent="0.3">
      <c r="A3430" s="17">
        <v>41064</v>
      </c>
      <c r="B3430">
        <v>577.41</v>
      </c>
      <c r="C3430">
        <v>95.05</v>
      </c>
      <c r="D3430">
        <f t="shared" si="381"/>
        <v>482.35999999999996</v>
      </c>
      <c r="E3430">
        <v>3.21</v>
      </c>
      <c r="F3430">
        <f t="shared" si="382"/>
        <v>-479.15</v>
      </c>
      <c r="I3430">
        <f t="shared" si="378"/>
        <v>4</v>
      </c>
      <c r="J3430">
        <v>1</v>
      </c>
      <c r="K3430">
        <f t="shared" si="379"/>
        <v>6</v>
      </c>
      <c r="L3430">
        <f t="shared" si="380"/>
        <v>2012</v>
      </c>
      <c r="N3430" s="17">
        <f t="shared" si="383"/>
        <v>41061</v>
      </c>
      <c r="S3430">
        <f t="shared" si="384"/>
        <v>1</v>
      </c>
    </row>
    <row r="3431" spans="1:19" x14ac:dyDescent="0.3">
      <c r="A3431" s="17">
        <v>41061</v>
      </c>
      <c r="B3431">
        <v>605.72</v>
      </c>
      <c r="C3431">
        <v>98.45</v>
      </c>
      <c r="D3431">
        <f t="shared" si="381"/>
        <v>507.27000000000004</v>
      </c>
      <c r="E3431">
        <v>3.14</v>
      </c>
      <c r="F3431">
        <f t="shared" si="382"/>
        <v>-504.13000000000005</v>
      </c>
      <c r="I3431">
        <f t="shared" si="378"/>
        <v>1</v>
      </c>
      <c r="J3431">
        <v>1</v>
      </c>
      <c r="K3431">
        <f t="shared" si="379"/>
        <v>6</v>
      </c>
      <c r="L3431">
        <f t="shared" si="380"/>
        <v>2012</v>
      </c>
      <c r="N3431" s="17">
        <f t="shared" si="383"/>
        <v>41061</v>
      </c>
      <c r="S3431">
        <f t="shared" si="384"/>
        <v>1</v>
      </c>
    </row>
    <row r="3432" spans="1:19" x14ac:dyDescent="0.3">
      <c r="A3432" s="17">
        <v>41060</v>
      </c>
      <c r="B3432">
        <v>624.91</v>
      </c>
      <c r="C3432">
        <v>101.6</v>
      </c>
      <c r="D3432">
        <f t="shared" si="381"/>
        <v>523.30999999999995</v>
      </c>
      <c r="E3432">
        <v>3.1</v>
      </c>
      <c r="F3432">
        <f t="shared" si="382"/>
        <v>-520.20999999999992</v>
      </c>
      <c r="I3432">
        <f t="shared" si="378"/>
        <v>31</v>
      </c>
      <c r="J3432">
        <v>1</v>
      </c>
      <c r="K3432">
        <f t="shared" si="379"/>
        <v>5</v>
      </c>
      <c r="L3432">
        <f t="shared" si="380"/>
        <v>2012</v>
      </c>
      <c r="N3432" s="17">
        <f t="shared" si="383"/>
        <v>41030</v>
      </c>
      <c r="S3432">
        <f t="shared" si="384"/>
        <v>0</v>
      </c>
    </row>
    <row r="3433" spans="1:19" x14ac:dyDescent="0.3">
      <c r="A3433" s="17">
        <v>41059</v>
      </c>
      <c r="B3433">
        <v>635.94000000000005</v>
      </c>
      <c r="C3433">
        <v>103.4</v>
      </c>
      <c r="D3433">
        <f t="shared" si="381"/>
        <v>532.54000000000008</v>
      </c>
      <c r="E3433">
        <v>3.07</v>
      </c>
      <c r="F3433">
        <f t="shared" si="382"/>
        <v>-529.47</v>
      </c>
      <c r="I3433">
        <f t="shared" si="378"/>
        <v>30</v>
      </c>
      <c r="J3433">
        <v>1</v>
      </c>
      <c r="K3433">
        <f t="shared" si="379"/>
        <v>5</v>
      </c>
      <c r="L3433">
        <f t="shared" si="380"/>
        <v>2012</v>
      </c>
      <c r="N3433" s="17">
        <f t="shared" si="383"/>
        <v>41030</v>
      </c>
      <c r="S3433">
        <f t="shared" si="384"/>
        <v>0</v>
      </c>
    </row>
    <row r="3434" spans="1:19" x14ac:dyDescent="0.3">
      <c r="A3434" s="17">
        <v>41058</v>
      </c>
      <c r="B3434">
        <v>644.91</v>
      </c>
      <c r="C3434">
        <v>105</v>
      </c>
      <c r="D3434">
        <f t="shared" si="381"/>
        <v>539.91</v>
      </c>
      <c r="E3434">
        <v>3.07</v>
      </c>
      <c r="F3434">
        <f t="shared" si="382"/>
        <v>-536.83999999999992</v>
      </c>
      <c r="I3434">
        <f t="shared" si="378"/>
        <v>29</v>
      </c>
      <c r="J3434">
        <v>1</v>
      </c>
      <c r="K3434">
        <f t="shared" si="379"/>
        <v>5</v>
      </c>
      <c r="L3434">
        <f t="shared" si="380"/>
        <v>2012</v>
      </c>
      <c r="N3434" s="17">
        <f t="shared" si="383"/>
        <v>41030</v>
      </c>
      <c r="S3434">
        <f t="shared" si="384"/>
        <v>0</v>
      </c>
    </row>
    <row r="3435" spans="1:19" x14ac:dyDescent="0.3">
      <c r="A3435" s="17">
        <v>41057</v>
      </c>
      <c r="B3435">
        <v>646.35</v>
      </c>
      <c r="C3435">
        <v>104.66</v>
      </c>
      <c r="D3435">
        <f t="shared" si="381"/>
        <v>541.69000000000005</v>
      </c>
      <c r="E3435">
        <v>3.07</v>
      </c>
      <c r="F3435">
        <f t="shared" si="382"/>
        <v>-538.62</v>
      </c>
      <c r="I3435">
        <f t="shared" si="378"/>
        <v>28</v>
      </c>
      <c r="J3435">
        <v>1</v>
      </c>
      <c r="K3435">
        <f t="shared" si="379"/>
        <v>5</v>
      </c>
      <c r="L3435">
        <f t="shared" si="380"/>
        <v>2012</v>
      </c>
      <c r="N3435" s="17">
        <f t="shared" si="383"/>
        <v>41030</v>
      </c>
      <c r="S3435">
        <f t="shared" si="384"/>
        <v>0</v>
      </c>
    </row>
    <row r="3436" spans="1:19" x14ac:dyDescent="0.3">
      <c r="A3436" s="17">
        <v>41054</v>
      </c>
      <c r="B3436">
        <v>648.91999999999996</v>
      </c>
      <c r="C3436">
        <v>103.85</v>
      </c>
      <c r="D3436">
        <f t="shared" si="381"/>
        <v>545.06999999999994</v>
      </c>
      <c r="E3436">
        <v>3.14</v>
      </c>
      <c r="F3436">
        <f t="shared" si="382"/>
        <v>-541.92999999999995</v>
      </c>
      <c r="I3436">
        <f t="shared" si="378"/>
        <v>25</v>
      </c>
      <c r="J3436">
        <v>1</v>
      </c>
      <c r="K3436">
        <f t="shared" si="379"/>
        <v>5</v>
      </c>
      <c r="L3436">
        <f t="shared" si="380"/>
        <v>2012</v>
      </c>
      <c r="N3436" s="17">
        <f t="shared" si="383"/>
        <v>41030</v>
      </c>
      <c r="S3436">
        <f t="shared" si="384"/>
        <v>0</v>
      </c>
    </row>
    <row r="3437" spans="1:19" x14ac:dyDescent="0.3">
      <c r="A3437" s="17">
        <v>41053</v>
      </c>
      <c r="B3437">
        <v>635.64</v>
      </c>
      <c r="C3437">
        <v>102.3</v>
      </c>
      <c r="D3437">
        <f t="shared" si="381"/>
        <v>533.34</v>
      </c>
      <c r="E3437">
        <v>3.17</v>
      </c>
      <c r="F3437">
        <f t="shared" si="382"/>
        <v>-530.17000000000007</v>
      </c>
      <c r="I3437">
        <f t="shared" si="378"/>
        <v>24</v>
      </c>
      <c r="J3437">
        <v>1</v>
      </c>
      <c r="K3437">
        <f t="shared" si="379"/>
        <v>5</v>
      </c>
      <c r="L3437">
        <f t="shared" si="380"/>
        <v>2012</v>
      </c>
      <c r="N3437" s="17">
        <f t="shared" si="383"/>
        <v>41030</v>
      </c>
      <c r="S3437">
        <f t="shared" si="384"/>
        <v>0</v>
      </c>
    </row>
    <row r="3438" spans="1:19" x14ac:dyDescent="0.3">
      <c r="A3438" s="17">
        <v>41052</v>
      </c>
      <c r="B3438">
        <v>647.33000000000004</v>
      </c>
      <c r="C3438">
        <v>103.69</v>
      </c>
      <c r="D3438">
        <f t="shared" si="381"/>
        <v>543.6400000000001</v>
      </c>
      <c r="E3438">
        <v>3.19</v>
      </c>
      <c r="F3438">
        <f t="shared" si="382"/>
        <v>-540.45000000000005</v>
      </c>
      <c r="I3438">
        <f t="shared" si="378"/>
        <v>23</v>
      </c>
      <c r="J3438">
        <v>1</v>
      </c>
      <c r="K3438">
        <f t="shared" si="379"/>
        <v>5</v>
      </c>
      <c r="L3438">
        <f t="shared" si="380"/>
        <v>2012</v>
      </c>
      <c r="N3438" s="17">
        <f t="shared" si="383"/>
        <v>41030</v>
      </c>
      <c r="S3438">
        <f t="shared" si="384"/>
        <v>0</v>
      </c>
    </row>
    <row r="3439" spans="1:19" x14ac:dyDescent="0.3">
      <c r="A3439" s="17">
        <v>41051</v>
      </c>
      <c r="B3439">
        <v>650.94000000000005</v>
      </c>
      <c r="C3439">
        <v>105.29</v>
      </c>
      <c r="D3439">
        <f t="shared" si="381"/>
        <v>545.65000000000009</v>
      </c>
      <c r="E3439">
        <v>3.3</v>
      </c>
      <c r="F3439">
        <f t="shared" si="382"/>
        <v>-542.35000000000014</v>
      </c>
      <c r="I3439">
        <f t="shared" si="378"/>
        <v>22</v>
      </c>
      <c r="J3439">
        <v>1</v>
      </c>
      <c r="K3439">
        <f t="shared" si="379"/>
        <v>5</v>
      </c>
      <c r="L3439">
        <f t="shared" si="380"/>
        <v>2012</v>
      </c>
      <c r="N3439" s="17">
        <f t="shared" si="383"/>
        <v>41030</v>
      </c>
      <c r="S3439">
        <f t="shared" si="384"/>
        <v>0</v>
      </c>
    </row>
    <row r="3440" spans="1:19" x14ac:dyDescent="0.3">
      <c r="A3440" s="17">
        <v>41050</v>
      </c>
      <c r="B3440">
        <v>646.55999999999995</v>
      </c>
      <c r="C3440">
        <v>105.09</v>
      </c>
      <c r="D3440">
        <f t="shared" si="381"/>
        <v>541.46999999999991</v>
      </c>
      <c r="E3440">
        <v>3.35</v>
      </c>
      <c r="F3440">
        <f t="shared" si="382"/>
        <v>-538.11999999999989</v>
      </c>
      <c r="I3440">
        <f t="shared" si="378"/>
        <v>21</v>
      </c>
      <c r="J3440">
        <v>1</v>
      </c>
      <c r="K3440">
        <f t="shared" si="379"/>
        <v>5</v>
      </c>
      <c r="L3440">
        <f t="shared" si="380"/>
        <v>2012</v>
      </c>
      <c r="N3440" s="17">
        <f t="shared" si="383"/>
        <v>41030</v>
      </c>
      <c r="S3440">
        <f t="shared" si="384"/>
        <v>0</v>
      </c>
    </row>
    <row r="3441" spans="1:19" x14ac:dyDescent="0.3">
      <c r="A3441" s="17">
        <v>41047</v>
      </c>
      <c r="B3441">
        <v>642.04999999999995</v>
      </c>
      <c r="C3441">
        <v>104.5</v>
      </c>
      <c r="D3441">
        <f t="shared" si="381"/>
        <v>537.54999999999995</v>
      </c>
      <c r="E3441">
        <v>3.3</v>
      </c>
      <c r="F3441">
        <f t="shared" si="382"/>
        <v>-534.25</v>
      </c>
      <c r="I3441">
        <f t="shared" si="378"/>
        <v>18</v>
      </c>
      <c r="J3441">
        <v>1</v>
      </c>
      <c r="K3441">
        <f t="shared" si="379"/>
        <v>5</v>
      </c>
      <c r="L3441">
        <f t="shared" si="380"/>
        <v>2012</v>
      </c>
      <c r="N3441" s="17">
        <f t="shared" si="383"/>
        <v>41030</v>
      </c>
      <c r="S3441">
        <f t="shared" si="384"/>
        <v>0</v>
      </c>
    </row>
    <row r="3442" spans="1:19" x14ac:dyDescent="0.3">
      <c r="A3442" s="17">
        <v>41046</v>
      </c>
      <c r="B3442">
        <v>662.91</v>
      </c>
      <c r="C3442">
        <v>107.14</v>
      </c>
      <c r="D3442">
        <f t="shared" si="381"/>
        <v>555.77</v>
      </c>
      <c r="E3442">
        <v>3.15</v>
      </c>
      <c r="F3442">
        <f t="shared" si="382"/>
        <v>-552.62</v>
      </c>
      <c r="I3442">
        <f t="shared" si="378"/>
        <v>17</v>
      </c>
      <c r="J3442">
        <v>1</v>
      </c>
      <c r="K3442">
        <f t="shared" si="379"/>
        <v>5</v>
      </c>
      <c r="L3442">
        <f t="shared" si="380"/>
        <v>2012</v>
      </c>
      <c r="N3442" s="17">
        <f t="shared" si="383"/>
        <v>41030</v>
      </c>
      <c r="S3442">
        <f t="shared" si="384"/>
        <v>0</v>
      </c>
    </row>
    <row r="3443" spans="1:19" x14ac:dyDescent="0.3">
      <c r="A3443" s="17">
        <v>41045</v>
      </c>
      <c r="B3443">
        <v>664.64</v>
      </c>
      <c r="C3443">
        <v>107.74</v>
      </c>
      <c r="D3443">
        <f t="shared" si="381"/>
        <v>556.9</v>
      </c>
      <c r="E3443">
        <v>3.18</v>
      </c>
      <c r="F3443">
        <f t="shared" si="382"/>
        <v>-553.72</v>
      </c>
      <c r="I3443">
        <f t="shared" si="378"/>
        <v>16</v>
      </c>
      <c r="J3443">
        <v>1</v>
      </c>
      <c r="K3443">
        <f t="shared" si="379"/>
        <v>5</v>
      </c>
      <c r="L3443">
        <f t="shared" si="380"/>
        <v>2012</v>
      </c>
      <c r="N3443" s="17">
        <f t="shared" si="383"/>
        <v>41030</v>
      </c>
      <c r="S3443">
        <f t="shared" si="384"/>
        <v>0</v>
      </c>
    </row>
    <row r="3444" spans="1:19" x14ac:dyDescent="0.3">
      <c r="A3444" s="17">
        <v>41044</v>
      </c>
      <c r="B3444">
        <v>669.66</v>
      </c>
      <c r="C3444">
        <v>108.64</v>
      </c>
      <c r="D3444">
        <f t="shared" si="381"/>
        <v>561.02</v>
      </c>
      <c r="E3444">
        <v>3.12</v>
      </c>
      <c r="F3444">
        <f t="shared" si="382"/>
        <v>-557.9</v>
      </c>
      <c r="I3444">
        <f t="shared" si="378"/>
        <v>15</v>
      </c>
      <c r="J3444">
        <v>1</v>
      </c>
      <c r="K3444">
        <f t="shared" si="379"/>
        <v>5</v>
      </c>
      <c r="L3444">
        <f t="shared" si="380"/>
        <v>2012</v>
      </c>
      <c r="N3444" s="17">
        <f t="shared" si="383"/>
        <v>41030</v>
      </c>
      <c r="S3444">
        <f t="shared" si="384"/>
        <v>0</v>
      </c>
    </row>
    <row r="3445" spans="1:19" x14ac:dyDescent="0.3">
      <c r="A3445" s="17">
        <v>41043</v>
      </c>
      <c r="B3445">
        <v>661.67</v>
      </c>
      <c r="C3445">
        <v>107.91</v>
      </c>
      <c r="D3445">
        <f t="shared" si="381"/>
        <v>553.76</v>
      </c>
      <c r="E3445">
        <v>3.1</v>
      </c>
      <c r="F3445">
        <f t="shared" si="382"/>
        <v>-550.66</v>
      </c>
      <c r="I3445">
        <f t="shared" si="378"/>
        <v>14</v>
      </c>
      <c r="J3445">
        <v>1</v>
      </c>
      <c r="K3445">
        <f t="shared" si="379"/>
        <v>5</v>
      </c>
      <c r="L3445">
        <f t="shared" si="380"/>
        <v>2012</v>
      </c>
      <c r="N3445" s="17">
        <f t="shared" si="383"/>
        <v>41030</v>
      </c>
      <c r="S3445">
        <f t="shared" si="384"/>
        <v>0</v>
      </c>
    </row>
    <row r="3446" spans="1:19" x14ac:dyDescent="0.3">
      <c r="A3446" s="17">
        <v>41040</v>
      </c>
      <c r="B3446">
        <v>666.3</v>
      </c>
      <c r="C3446">
        <v>108.45</v>
      </c>
      <c r="D3446">
        <f t="shared" si="381"/>
        <v>557.84999999999991</v>
      </c>
      <c r="E3446">
        <v>3.1</v>
      </c>
      <c r="F3446">
        <f t="shared" si="382"/>
        <v>-554.74999999999989</v>
      </c>
      <c r="I3446">
        <f t="shared" si="378"/>
        <v>11</v>
      </c>
      <c r="J3446">
        <v>1</v>
      </c>
      <c r="K3446">
        <f t="shared" si="379"/>
        <v>5</v>
      </c>
      <c r="L3446">
        <f t="shared" si="380"/>
        <v>2012</v>
      </c>
      <c r="N3446" s="17">
        <f t="shared" si="383"/>
        <v>41030</v>
      </c>
      <c r="S3446">
        <f t="shared" si="384"/>
        <v>0</v>
      </c>
    </row>
    <row r="3447" spans="1:19" x14ac:dyDescent="0.3">
      <c r="A3447" s="17">
        <v>41039</v>
      </c>
      <c r="B3447">
        <v>674.94</v>
      </c>
      <c r="C3447">
        <v>109.4</v>
      </c>
      <c r="D3447">
        <f t="shared" si="381"/>
        <v>565.54000000000008</v>
      </c>
      <c r="E3447">
        <v>3.08</v>
      </c>
      <c r="F3447">
        <f t="shared" si="382"/>
        <v>-562.46</v>
      </c>
      <c r="I3447">
        <f t="shared" si="378"/>
        <v>10</v>
      </c>
      <c r="J3447">
        <v>1</v>
      </c>
      <c r="K3447">
        <f t="shared" si="379"/>
        <v>5</v>
      </c>
      <c r="L3447">
        <f t="shared" si="380"/>
        <v>2012</v>
      </c>
      <c r="N3447" s="17">
        <f t="shared" si="383"/>
        <v>41030</v>
      </c>
      <c r="S3447">
        <f t="shared" si="384"/>
        <v>0</v>
      </c>
    </row>
    <row r="3448" spans="1:19" x14ac:dyDescent="0.3">
      <c r="A3448" s="17">
        <v>41038</v>
      </c>
      <c r="B3448">
        <v>677.2</v>
      </c>
      <c r="C3448">
        <v>109.07</v>
      </c>
      <c r="D3448">
        <f t="shared" si="381"/>
        <v>568.13000000000011</v>
      </c>
      <c r="E3448">
        <v>3.06</v>
      </c>
      <c r="F3448">
        <f t="shared" si="382"/>
        <v>-565.07000000000016</v>
      </c>
      <c r="I3448">
        <f t="shared" si="378"/>
        <v>9</v>
      </c>
      <c r="J3448">
        <v>1</v>
      </c>
      <c r="K3448">
        <f t="shared" si="379"/>
        <v>5</v>
      </c>
      <c r="L3448">
        <f t="shared" si="380"/>
        <v>2012</v>
      </c>
      <c r="N3448" s="17">
        <f t="shared" si="383"/>
        <v>41030</v>
      </c>
      <c r="S3448">
        <f t="shared" si="384"/>
        <v>0</v>
      </c>
    </row>
    <row r="3449" spans="1:19" x14ac:dyDescent="0.3">
      <c r="A3449" s="17">
        <v>41037</v>
      </c>
      <c r="B3449">
        <v>679.81</v>
      </c>
      <c r="C3449">
        <v>108.97</v>
      </c>
      <c r="D3449">
        <f t="shared" si="381"/>
        <v>570.83999999999992</v>
      </c>
      <c r="E3449">
        <v>3.06</v>
      </c>
      <c r="F3449">
        <f t="shared" si="382"/>
        <v>-567.78</v>
      </c>
      <c r="I3449">
        <f t="shared" si="378"/>
        <v>8</v>
      </c>
      <c r="J3449">
        <v>1</v>
      </c>
      <c r="K3449">
        <f t="shared" si="379"/>
        <v>5</v>
      </c>
      <c r="L3449">
        <f t="shared" si="380"/>
        <v>2012</v>
      </c>
      <c r="N3449" s="17">
        <f t="shared" si="383"/>
        <v>41030</v>
      </c>
      <c r="S3449">
        <f t="shared" si="384"/>
        <v>0</v>
      </c>
    </row>
    <row r="3450" spans="1:19" x14ac:dyDescent="0.3">
      <c r="A3450" s="17">
        <v>41036</v>
      </c>
      <c r="B3450">
        <v>679.51</v>
      </c>
      <c r="C3450">
        <v>109.17</v>
      </c>
      <c r="D3450">
        <f t="shared" si="381"/>
        <v>570.34</v>
      </c>
      <c r="E3450">
        <v>2.97</v>
      </c>
      <c r="F3450">
        <f t="shared" si="382"/>
        <v>-567.37</v>
      </c>
      <c r="I3450">
        <f t="shared" si="378"/>
        <v>7</v>
      </c>
      <c r="J3450">
        <v>1</v>
      </c>
      <c r="K3450">
        <f t="shared" si="379"/>
        <v>5</v>
      </c>
      <c r="L3450">
        <f t="shared" si="380"/>
        <v>2012</v>
      </c>
      <c r="N3450" s="17">
        <f t="shared" si="383"/>
        <v>41030</v>
      </c>
      <c r="S3450">
        <f t="shared" si="384"/>
        <v>0</v>
      </c>
    </row>
    <row r="3451" spans="1:19" x14ac:dyDescent="0.3">
      <c r="A3451" s="17">
        <v>41033</v>
      </c>
      <c r="B3451">
        <v>697.55</v>
      </c>
      <c r="C3451">
        <v>112.92</v>
      </c>
      <c r="D3451">
        <f t="shared" si="381"/>
        <v>584.63</v>
      </c>
      <c r="E3451">
        <v>2.9</v>
      </c>
      <c r="F3451">
        <f t="shared" si="382"/>
        <v>-581.73</v>
      </c>
      <c r="I3451">
        <f t="shared" si="378"/>
        <v>4</v>
      </c>
      <c r="J3451">
        <v>1</v>
      </c>
      <c r="K3451">
        <f t="shared" si="379"/>
        <v>5</v>
      </c>
      <c r="L3451">
        <f t="shared" si="380"/>
        <v>2012</v>
      </c>
      <c r="N3451" s="17">
        <f t="shared" si="383"/>
        <v>41030</v>
      </c>
      <c r="S3451">
        <f t="shared" si="384"/>
        <v>1</v>
      </c>
    </row>
    <row r="3452" spans="1:19" x14ac:dyDescent="0.3">
      <c r="A3452" s="17">
        <v>41032</v>
      </c>
      <c r="B3452">
        <v>710.42</v>
      </c>
      <c r="C3452">
        <v>115.52</v>
      </c>
      <c r="D3452">
        <f t="shared" si="381"/>
        <v>594.9</v>
      </c>
      <c r="E3452">
        <v>2.96</v>
      </c>
      <c r="F3452">
        <f t="shared" si="382"/>
        <v>-591.93999999999994</v>
      </c>
      <c r="I3452">
        <f t="shared" si="378"/>
        <v>3</v>
      </c>
      <c r="J3452">
        <v>1</v>
      </c>
      <c r="K3452">
        <f t="shared" si="379"/>
        <v>5</v>
      </c>
      <c r="L3452">
        <f t="shared" si="380"/>
        <v>2012</v>
      </c>
      <c r="N3452" s="17">
        <f t="shared" si="383"/>
        <v>41030</v>
      </c>
      <c r="S3452">
        <f t="shared" si="384"/>
        <v>1</v>
      </c>
    </row>
    <row r="3453" spans="1:19" x14ac:dyDescent="0.3">
      <c r="A3453" s="17">
        <v>41031</v>
      </c>
      <c r="B3453">
        <v>722.12</v>
      </c>
      <c r="C3453">
        <v>116.6</v>
      </c>
      <c r="D3453">
        <f t="shared" si="381"/>
        <v>605.52</v>
      </c>
      <c r="E3453">
        <v>2.98</v>
      </c>
      <c r="F3453">
        <f t="shared" si="382"/>
        <v>-602.54</v>
      </c>
      <c r="I3453">
        <f t="shared" si="378"/>
        <v>2</v>
      </c>
      <c r="J3453">
        <v>1</v>
      </c>
      <c r="K3453">
        <f t="shared" si="379"/>
        <v>5</v>
      </c>
      <c r="L3453">
        <f t="shared" si="380"/>
        <v>2012</v>
      </c>
      <c r="N3453" s="17">
        <f t="shared" si="383"/>
        <v>41030</v>
      </c>
      <c r="S3453">
        <f t="shared" si="384"/>
        <v>1</v>
      </c>
    </row>
    <row r="3454" spans="1:19" x14ac:dyDescent="0.3">
      <c r="A3454" s="17">
        <v>41029</v>
      </c>
      <c r="B3454">
        <v>717.26</v>
      </c>
      <c r="C3454">
        <v>116.33</v>
      </c>
      <c r="D3454">
        <f t="shared" si="381"/>
        <v>600.92999999999995</v>
      </c>
      <c r="E3454">
        <v>3.04</v>
      </c>
      <c r="F3454">
        <f t="shared" si="382"/>
        <v>-597.89</v>
      </c>
      <c r="I3454">
        <f t="shared" si="378"/>
        <v>30</v>
      </c>
      <c r="J3454">
        <v>1</v>
      </c>
      <c r="K3454">
        <f t="shared" si="379"/>
        <v>4</v>
      </c>
      <c r="L3454">
        <f t="shared" si="380"/>
        <v>2012</v>
      </c>
      <c r="N3454" s="17">
        <f t="shared" si="383"/>
        <v>41000</v>
      </c>
      <c r="S3454">
        <f t="shared" si="384"/>
        <v>0</v>
      </c>
    </row>
    <row r="3455" spans="1:19" x14ac:dyDescent="0.3">
      <c r="A3455" s="17">
        <v>41026</v>
      </c>
      <c r="B3455">
        <v>718.94</v>
      </c>
      <c r="C3455">
        <v>116.27</v>
      </c>
      <c r="D3455">
        <f t="shared" si="381"/>
        <v>602.67000000000007</v>
      </c>
      <c r="E3455">
        <v>3.01</v>
      </c>
      <c r="F3455">
        <f t="shared" si="382"/>
        <v>-599.66000000000008</v>
      </c>
      <c r="I3455">
        <f t="shared" si="378"/>
        <v>27</v>
      </c>
      <c r="J3455">
        <v>1</v>
      </c>
      <c r="K3455">
        <f t="shared" si="379"/>
        <v>4</v>
      </c>
      <c r="L3455">
        <f t="shared" si="380"/>
        <v>2012</v>
      </c>
      <c r="N3455" s="17">
        <f t="shared" si="383"/>
        <v>41000</v>
      </c>
      <c r="S3455">
        <f t="shared" si="384"/>
        <v>0</v>
      </c>
    </row>
    <row r="3456" spans="1:19" x14ac:dyDescent="0.3">
      <c r="A3456" s="17">
        <v>41025</v>
      </c>
      <c r="B3456">
        <v>718.38</v>
      </c>
      <c r="C3456">
        <v>115.76</v>
      </c>
      <c r="D3456">
        <f t="shared" si="381"/>
        <v>602.62</v>
      </c>
      <c r="E3456">
        <v>3.01</v>
      </c>
      <c r="F3456">
        <f t="shared" si="382"/>
        <v>-599.61</v>
      </c>
      <c r="I3456">
        <f t="shared" si="378"/>
        <v>26</v>
      </c>
      <c r="J3456">
        <v>1</v>
      </c>
      <c r="K3456">
        <f t="shared" si="379"/>
        <v>4</v>
      </c>
      <c r="L3456">
        <f t="shared" si="380"/>
        <v>2012</v>
      </c>
      <c r="N3456" s="17">
        <f t="shared" si="383"/>
        <v>41000</v>
      </c>
      <c r="S3456">
        <f t="shared" si="384"/>
        <v>0</v>
      </c>
    </row>
    <row r="3457" spans="1:19" x14ac:dyDescent="0.3">
      <c r="A3457" s="17">
        <v>41024</v>
      </c>
      <c r="B3457">
        <v>716.24</v>
      </c>
      <c r="C3457">
        <v>115.02</v>
      </c>
      <c r="D3457">
        <f t="shared" si="381"/>
        <v>601.22</v>
      </c>
      <c r="E3457">
        <v>3.06</v>
      </c>
      <c r="F3457">
        <f t="shared" si="382"/>
        <v>-598.16000000000008</v>
      </c>
      <c r="I3457">
        <f t="shared" si="378"/>
        <v>25</v>
      </c>
      <c r="J3457">
        <v>1</v>
      </c>
      <c r="K3457">
        <f t="shared" si="379"/>
        <v>4</v>
      </c>
      <c r="L3457">
        <f t="shared" si="380"/>
        <v>2012</v>
      </c>
      <c r="N3457" s="17">
        <f t="shared" si="383"/>
        <v>41000</v>
      </c>
      <c r="S3457">
        <f t="shared" si="384"/>
        <v>0</v>
      </c>
    </row>
    <row r="3458" spans="1:19" x14ac:dyDescent="0.3">
      <c r="A3458" s="17">
        <v>41023</v>
      </c>
      <c r="B3458">
        <v>715.01</v>
      </c>
      <c r="C3458">
        <v>114.41</v>
      </c>
      <c r="D3458">
        <f t="shared" si="381"/>
        <v>600.6</v>
      </c>
      <c r="E3458">
        <v>3.05</v>
      </c>
      <c r="F3458">
        <f t="shared" si="382"/>
        <v>-597.55000000000007</v>
      </c>
      <c r="I3458">
        <f t="shared" si="378"/>
        <v>24</v>
      </c>
      <c r="J3458">
        <v>1</v>
      </c>
      <c r="K3458">
        <f t="shared" si="379"/>
        <v>4</v>
      </c>
      <c r="L3458">
        <f t="shared" si="380"/>
        <v>2012</v>
      </c>
      <c r="N3458" s="17">
        <f t="shared" si="383"/>
        <v>41000</v>
      </c>
      <c r="S3458">
        <f t="shared" si="384"/>
        <v>0</v>
      </c>
    </row>
    <row r="3459" spans="1:19" x14ac:dyDescent="0.3">
      <c r="A3459" s="17">
        <v>41022</v>
      </c>
      <c r="B3459">
        <v>711.07</v>
      </c>
      <c r="C3459">
        <v>114.52</v>
      </c>
      <c r="D3459">
        <f t="shared" si="381"/>
        <v>596.55000000000007</v>
      </c>
      <c r="E3459">
        <v>3.12</v>
      </c>
      <c r="F3459">
        <f t="shared" si="382"/>
        <v>-593.43000000000006</v>
      </c>
      <c r="I3459">
        <f t="shared" si="378"/>
        <v>23</v>
      </c>
      <c r="J3459">
        <v>1</v>
      </c>
      <c r="K3459">
        <f t="shared" si="379"/>
        <v>4</v>
      </c>
      <c r="L3459">
        <f t="shared" si="380"/>
        <v>2012</v>
      </c>
      <c r="N3459" s="17">
        <f t="shared" si="383"/>
        <v>41000</v>
      </c>
      <c r="S3459">
        <f t="shared" si="384"/>
        <v>0</v>
      </c>
    </row>
    <row r="3460" spans="1:19" x14ac:dyDescent="0.3">
      <c r="A3460" s="17">
        <v>41019</v>
      </c>
      <c r="B3460">
        <v>713.69</v>
      </c>
      <c r="C3460">
        <v>115.34</v>
      </c>
      <c r="D3460">
        <f t="shared" si="381"/>
        <v>598.35</v>
      </c>
      <c r="E3460">
        <v>3.1</v>
      </c>
      <c r="F3460">
        <f t="shared" si="382"/>
        <v>-595.25</v>
      </c>
      <c r="I3460">
        <f t="shared" si="378"/>
        <v>20</v>
      </c>
      <c r="J3460">
        <v>1</v>
      </c>
      <c r="K3460">
        <f t="shared" si="379"/>
        <v>4</v>
      </c>
      <c r="L3460">
        <f t="shared" si="380"/>
        <v>2012</v>
      </c>
      <c r="N3460" s="17">
        <f t="shared" si="383"/>
        <v>41000</v>
      </c>
      <c r="S3460">
        <f t="shared" si="384"/>
        <v>0</v>
      </c>
    </row>
    <row r="3461" spans="1:19" x14ac:dyDescent="0.3">
      <c r="A3461" s="17">
        <v>41018</v>
      </c>
      <c r="B3461">
        <v>715.61</v>
      </c>
      <c r="C3461">
        <v>115.43</v>
      </c>
      <c r="D3461">
        <f t="shared" si="381"/>
        <v>600.18000000000006</v>
      </c>
      <c r="E3461">
        <v>3.1</v>
      </c>
      <c r="F3461">
        <f t="shared" si="382"/>
        <v>-597.08000000000004</v>
      </c>
      <c r="I3461">
        <f t="shared" ref="I3461:I3520" si="385">+DAY(A3461)</f>
        <v>19</v>
      </c>
      <c r="J3461">
        <v>1</v>
      </c>
      <c r="K3461">
        <f t="shared" ref="K3461:K3520" si="386">+MONTH(A3461)</f>
        <v>4</v>
      </c>
      <c r="L3461">
        <f t="shared" ref="L3461:L3520" si="387">+YEAR(A3461)</f>
        <v>2012</v>
      </c>
      <c r="N3461" s="17">
        <f t="shared" si="383"/>
        <v>41000</v>
      </c>
      <c r="S3461">
        <f t="shared" si="384"/>
        <v>0</v>
      </c>
    </row>
    <row r="3462" spans="1:19" x14ac:dyDescent="0.3">
      <c r="A3462" s="17">
        <v>41017</v>
      </c>
      <c r="B3462">
        <v>712.24</v>
      </c>
      <c r="C3462">
        <v>115.57</v>
      </c>
      <c r="D3462">
        <f t="shared" ref="D3462:D3525" si="388">+B3462-C3462</f>
        <v>596.67000000000007</v>
      </c>
      <c r="E3462">
        <v>3.05</v>
      </c>
      <c r="F3462">
        <f t="shared" ref="F3462:F3525" si="389">+E3462-D3462</f>
        <v>-593.62000000000012</v>
      </c>
      <c r="I3462">
        <f t="shared" si="385"/>
        <v>18</v>
      </c>
      <c r="J3462">
        <v>1</v>
      </c>
      <c r="K3462">
        <f t="shared" si="386"/>
        <v>4</v>
      </c>
      <c r="L3462">
        <f t="shared" si="387"/>
        <v>2012</v>
      </c>
      <c r="N3462" s="17">
        <f t="shared" ref="N3462:N3525" si="390">+DATE(L3462,K3462,J3462)</f>
        <v>41000</v>
      </c>
      <c r="S3462">
        <f t="shared" ref="S3462:S3525" si="391">IF(AND(I3462&gt;=1, I3462&lt;=4), 1, 0)</f>
        <v>0</v>
      </c>
    </row>
    <row r="3463" spans="1:19" x14ac:dyDescent="0.3">
      <c r="A3463" s="17">
        <v>41016</v>
      </c>
      <c r="B3463">
        <v>711.33</v>
      </c>
      <c r="C3463">
        <v>115.25</v>
      </c>
      <c r="D3463">
        <f t="shared" si="388"/>
        <v>596.08000000000004</v>
      </c>
      <c r="E3463">
        <v>3.19</v>
      </c>
      <c r="F3463">
        <f t="shared" si="389"/>
        <v>-592.89</v>
      </c>
      <c r="I3463">
        <f t="shared" si="385"/>
        <v>17</v>
      </c>
      <c r="J3463">
        <v>1</v>
      </c>
      <c r="K3463">
        <f t="shared" si="386"/>
        <v>4</v>
      </c>
      <c r="L3463">
        <f t="shared" si="387"/>
        <v>2012</v>
      </c>
      <c r="N3463" s="17">
        <f t="shared" si="390"/>
        <v>41000</v>
      </c>
      <c r="S3463">
        <f t="shared" si="391"/>
        <v>0</v>
      </c>
    </row>
    <row r="3464" spans="1:19" x14ac:dyDescent="0.3">
      <c r="A3464" s="17">
        <v>41015</v>
      </c>
      <c r="B3464">
        <v>715.49</v>
      </c>
      <c r="C3464">
        <v>116.15</v>
      </c>
      <c r="D3464">
        <f t="shared" si="388"/>
        <v>599.34</v>
      </c>
      <c r="E3464">
        <v>3.29</v>
      </c>
      <c r="F3464">
        <f t="shared" si="389"/>
        <v>-596.05000000000007</v>
      </c>
      <c r="I3464">
        <f t="shared" si="385"/>
        <v>16</v>
      </c>
      <c r="J3464">
        <v>1</v>
      </c>
      <c r="K3464">
        <f t="shared" si="386"/>
        <v>4</v>
      </c>
      <c r="L3464">
        <f t="shared" si="387"/>
        <v>2012</v>
      </c>
      <c r="N3464" s="17">
        <f t="shared" si="390"/>
        <v>41000</v>
      </c>
      <c r="S3464">
        <f t="shared" si="391"/>
        <v>0</v>
      </c>
    </row>
    <row r="3465" spans="1:19" x14ac:dyDescent="0.3">
      <c r="A3465" s="17">
        <v>41012</v>
      </c>
      <c r="B3465">
        <v>725.2</v>
      </c>
      <c r="C3465">
        <v>118.3</v>
      </c>
      <c r="D3465">
        <f t="shared" si="388"/>
        <v>606.90000000000009</v>
      </c>
      <c r="E3465">
        <v>3.35</v>
      </c>
      <c r="F3465">
        <f t="shared" si="389"/>
        <v>-603.55000000000007</v>
      </c>
      <c r="I3465">
        <f t="shared" si="385"/>
        <v>13</v>
      </c>
      <c r="J3465">
        <v>1</v>
      </c>
      <c r="K3465">
        <f t="shared" si="386"/>
        <v>4</v>
      </c>
      <c r="L3465">
        <f t="shared" si="387"/>
        <v>2012</v>
      </c>
      <c r="N3465" s="17">
        <f t="shared" si="390"/>
        <v>41000</v>
      </c>
      <c r="S3465">
        <f t="shared" si="391"/>
        <v>0</v>
      </c>
    </row>
    <row r="3466" spans="1:19" x14ac:dyDescent="0.3">
      <c r="A3466" s="17">
        <v>41011</v>
      </c>
      <c r="B3466">
        <v>721.56</v>
      </c>
      <c r="C3466">
        <v>117.6</v>
      </c>
      <c r="D3466">
        <f t="shared" si="388"/>
        <v>603.95999999999992</v>
      </c>
      <c r="E3466">
        <v>3.23</v>
      </c>
      <c r="F3466">
        <f t="shared" si="389"/>
        <v>-600.7299999999999</v>
      </c>
      <c r="I3466">
        <f t="shared" si="385"/>
        <v>12</v>
      </c>
      <c r="J3466">
        <v>1</v>
      </c>
      <c r="K3466">
        <f t="shared" si="386"/>
        <v>4</v>
      </c>
      <c r="L3466">
        <f t="shared" si="387"/>
        <v>2012</v>
      </c>
      <c r="N3466" s="17">
        <f t="shared" si="390"/>
        <v>41000</v>
      </c>
      <c r="S3466">
        <f t="shared" si="391"/>
        <v>0</v>
      </c>
    </row>
    <row r="3467" spans="1:19" x14ac:dyDescent="0.3">
      <c r="A3467" s="17">
        <v>41010</v>
      </c>
      <c r="B3467">
        <v>714.76</v>
      </c>
      <c r="C3467">
        <v>116.75</v>
      </c>
      <c r="D3467">
        <f t="shared" si="388"/>
        <v>598.01</v>
      </c>
      <c r="E3467">
        <v>3.02</v>
      </c>
      <c r="F3467">
        <f t="shared" si="389"/>
        <v>-594.99</v>
      </c>
      <c r="I3467">
        <f t="shared" si="385"/>
        <v>11</v>
      </c>
      <c r="J3467">
        <v>1</v>
      </c>
      <c r="K3467">
        <f t="shared" si="386"/>
        <v>4</v>
      </c>
      <c r="L3467">
        <f t="shared" si="387"/>
        <v>2012</v>
      </c>
      <c r="N3467" s="17">
        <f t="shared" si="390"/>
        <v>41000</v>
      </c>
      <c r="S3467">
        <f t="shared" si="391"/>
        <v>0</v>
      </c>
    </row>
    <row r="3468" spans="1:19" x14ac:dyDescent="0.3">
      <c r="A3468" s="17">
        <v>41009</v>
      </c>
      <c r="B3468">
        <v>724.97</v>
      </c>
      <c r="C3468">
        <v>119.13</v>
      </c>
      <c r="D3468">
        <f t="shared" si="388"/>
        <v>605.84</v>
      </c>
      <c r="E3468">
        <v>3.07</v>
      </c>
      <c r="F3468">
        <f t="shared" si="389"/>
        <v>-602.77</v>
      </c>
      <c r="I3468">
        <f t="shared" si="385"/>
        <v>10</v>
      </c>
      <c r="J3468">
        <v>1</v>
      </c>
      <c r="K3468">
        <f t="shared" si="386"/>
        <v>4</v>
      </c>
      <c r="L3468">
        <f t="shared" si="387"/>
        <v>2012</v>
      </c>
      <c r="N3468" s="17">
        <f t="shared" si="390"/>
        <v>41000</v>
      </c>
      <c r="S3468">
        <f t="shared" si="391"/>
        <v>0</v>
      </c>
    </row>
    <row r="3469" spans="1:19" x14ac:dyDescent="0.3">
      <c r="A3469" s="17">
        <v>41008</v>
      </c>
      <c r="B3469">
        <v>726.66</v>
      </c>
      <c r="C3469">
        <v>119.66</v>
      </c>
      <c r="D3469">
        <f t="shared" si="388"/>
        <v>607</v>
      </c>
      <c r="E3469">
        <v>3.07</v>
      </c>
      <c r="F3469">
        <f t="shared" si="389"/>
        <v>-603.92999999999995</v>
      </c>
      <c r="I3469">
        <f t="shared" si="385"/>
        <v>9</v>
      </c>
      <c r="J3469">
        <v>1</v>
      </c>
      <c r="K3469">
        <f t="shared" si="386"/>
        <v>4</v>
      </c>
      <c r="L3469">
        <f t="shared" si="387"/>
        <v>2012</v>
      </c>
      <c r="N3469" s="17">
        <f t="shared" si="390"/>
        <v>41000</v>
      </c>
      <c r="S3469">
        <f t="shared" si="391"/>
        <v>0</v>
      </c>
    </row>
    <row r="3470" spans="1:19" x14ac:dyDescent="0.3">
      <c r="A3470" s="17">
        <v>41004</v>
      </c>
      <c r="B3470">
        <v>731.82</v>
      </c>
      <c r="C3470">
        <v>120.75</v>
      </c>
      <c r="D3470">
        <f t="shared" si="388"/>
        <v>611.07000000000005</v>
      </c>
      <c r="E3470">
        <v>3.1</v>
      </c>
      <c r="F3470">
        <f t="shared" si="389"/>
        <v>-607.97</v>
      </c>
      <c r="I3470">
        <f t="shared" si="385"/>
        <v>5</v>
      </c>
      <c r="J3470">
        <v>1</v>
      </c>
      <c r="K3470">
        <f t="shared" si="386"/>
        <v>4</v>
      </c>
      <c r="L3470">
        <f t="shared" si="387"/>
        <v>2012</v>
      </c>
      <c r="N3470" s="17">
        <f t="shared" si="390"/>
        <v>41000</v>
      </c>
      <c r="S3470">
        <f t="shared" si="391"/>
        <v>0</v>
      </c>
    </row>
    <row r="3471" spans="1:19" x14ac:dyDescent="0.3">
      <c r="A3471" s="17">
        <v>41003</v>
      </c>
      <c r="B3471">
        <v>734.92</v>
      </c>
      <c r="C3471">
        <v>122.02</v>
      </c>
      <c r="D3471">
        <f t="shared" si="388"/>
        <v>612.9</v>
      </c>
      <c r="E3471">
        <v>3.05</v>
      </c>
      <c r="F3471">
        <f t="shared" si="389"/>
        <v>-609.85</v>
      </c>
      <c r="I3471">
        <f t="shared" si="385"/>
        <v>4</v>
      </c>
      <c r="J3471">
        <v>1</v>
      </c>
      <c r="K3471">
        <f t="shared" si="386"/>
        <v>4</v>
      </c>
      <c r="L3471">
        <f t="shared" si="387"/>
        <v>2012</v>
      </c>
      <c r="N3471" s="17">
        <f t="shared" si="390"/>
        <v>41000</v>
      </c>
      <c r="S3471">
        <f t="shared" si="391"/>
        <v>1</v>
      </c>
    </row>
    <row r="3472" spans="1:19" x14ac:dyDescent="0.3">
      <c r="A3472" s="17">
        <v>41002</v>
      </c>
      <c r="B3472">
        <v>739.24</v>
      </c>
      <c r="C3472">
        <v>121.98</v>
      </c>
      <c r="D3472">
        <f t="shared" si="388"/>
        <v>617.26</v>
      </c>
      <c r="E3472">
        <v>3</v>
      </c>
      <c r="F3472">
        <f t="shared" si="389"/>
        <v>-614.26</v>
      </c>
      <c r="I3472">
        <f t="shared" si="385"/>
        <v>3</v>
      </c>
      <c r="J3472">
        <v>1</v>
      </c>
      <c r="K3472">
        <f t="shared" si="386"/>
        <v>4</v>
      </c>
      <c r="L3472">
        <f t="shared" si="387"/>
        <v>2012</v>
      </c>
      <c r="N3472" s="17">
        <f t="shared" si="390"/>
        <v>41000</v>
      </c>
      <c r="S3472">
        <f t="shared" si="391"/>
        <v>1</v>
      </c>
    </row>
    <row r="3473" spans="1:19" x14ac:dyDescent="0.3">
      <c r="A3473" s="17">
        <v>41001</v>
      </c>
      <c r="B3473">
        <v>731.75</v>
      </c>
      <c r="C3473">
        <v>119.82</v>
      </c>
      <c r="D3473">
        <f t="shared" si="388"/>
        <v>611.93000000000006</v>
      </c>
      <c r="E3473">
        <v>3</v>
      </c>
      <c r="F3473">
        <f t="shared" si="389"/>
        <v>-608.93000000000006</v>
      </c>
      <c r="I3473">
        <f t="shared" si="385"/>
        <v>2</v>
      </c>
      <c r="J3473">
        <v>1</v>
      </c>
      <c r="K3473">
        <f t="shared" si="386"/>
        <v>4</v>
      </c>
      <c r="L3473">
        <f t="shared" si="387"/>
        <v>2012</v>
      </c>
      <c r="N3473" s="17">
        <f t="shared" si="390"/>
        <v>41000</v>
      </c>
      <c r="S3473">
        <f t="shared" si="391"/>
        <v>1</v>
      </c>
    </row>
    <row r="3474" spans="1:19" x14ac:dyDescent="0.3">
      <c r="A3474" s="17">
        <v>40998</v>
      </c>
      <c r="B3474">
        <v>728.53</v>
      </c>
      <c r="C3474">
        <v>120.405</v>
      </c>
      <c r="D3474">
        <f t="shared" si="388"/>
        <v>608.125</v>
      </c>
      <c r="E3474">
        <v>3</v>
      </c>
      <c r="F3474">
        <f t="shared" si="389"/>
        <v>-605.125</v>
      </c>
      <c r="I3474">
        <f t="shared" si="385"/>
        <v>30</v>
      </c>
      <c r="J3474">
        <v>1</v>
      </c>
      <c r="K3474">
        <f t="shared" si="386"/>
        <v>3</v>
      </c>
      <c r="L3474">
        <f t="shared" si="387"/>
        <v>2012</v>
      </c>
      <c r="N3474" s="17">
        <f t="shared" si="390"/>
        <v>40969</v>
      </c>
      <c r="S3474">
        <f t="shared" si="391"/>
        <v>0</v>
      </c>
    </row>
    <row r="3475" spans="1:19" x14ac:dyDescent="0.3">
      <c r="A3475" s="17">
        <v>40997</v>
      </c>
      <c r="B3475">
        <v>737.04</v>
      </c>
      <c r="C3475">
        <v>121.705</v>
      </c>
      <c r="D3475">
        <f t="shared" si="388"/>
        <v>615.33499999999992</v>
      </c>
      <c r="E3475">
        <v>3.02</v>
      </c>
      <c r="F3475">
        <f t="shared" si="389"/>
        <v>-612.31499999999994</v>
      </c>
      <c r="I3475">
        <f t="shared" si="385"/>
        <v>29</v>
      </c>
      <c r="J3475">
        <v>1</v>
      </c>
      <c r="K3475">
        <f t="shared" si="386"/>
        <v>3</v>
      </c>
      <c r="L3475">
        <f t="shared" si="387"/>
        <v>2012</v>
      </c>
      <c r="N3475" s="17">
        <f t="shared" si="390"/>
        <v>40969</v>
      </c>
      <c r="S3475">
        <f t="shared" si="391"/>
        <v>0</v>
      </c>
    </row>
    <row r="3476" spans="1:19" x14ac:dyDescent="0.3">
      <c r="A3476" s="17">
        <v>40996</v>
      </c>
      <c r="B3476">
        <v>737.3</v>
      </c>
      <c r="C3476">
        <v>121.755</v>
      </c>
      <c r="D3476">
        <f t="shared" si="388"/>
        <v>615.54499999999996</v>
      </c>
      <c r="E3476">
        <v>3.06</v>
      </c>
      <c r="F3476">
        <f t="shared" si="389"/>
        <v>-612.48500000000001</v>
      </c>
      <c r="I3476">
        <f t="shared" si="385"/>
        <v>28</v>
      </c>
      <c r="J3476">
        <v>1</v>
      </c>
      <c r="K3476">
        <f t="shared" si="386"/>
        <v>3</v>
      </c>
      <c r="L3476">
        <f t="shared" si="387"/>
        <v>2012</v>
      </c>
      <c r="N3476" s="17">
        <f t="shared" si="390"/>
        <v>40969</v>
      </c>
      <c r="S3476">
        <f t="shared" si="391"/>
        <v>0</v>
      </c>
    </row>
    <row r="3477" spans="1:19" x14ac:dyDescent="0.3">
      <c r="A3477" s="17">
        <v>40995</v>
      </c>
      <c r="B3477">
        <v>743.27</v>
      </c>
      <c r="C3477">
        <v>123.155</v>
      </c>
      <c r="D3477">
        <f t="shared" si="388"/>
        <v>620.11500000000001</v>
      </c>
      <c r="E3477">
        <v>3.03</v>
      </c>
      <c r="F3477">
        <f t="shared" si="389"/>
        <v>-617.08500000000004</v>
      </c>
      <c r="I3477">
        <f t="shared" si="385"/>
        <v>27</v>
      </c>
      <c r="J3477">
        <v>1</v>
      </c>
      <c r="K3477">
        <f t="shared" si="386"/>
        <v>3</v>
      </c>
      <c r="L3477">
        <f t="shared" si="387"/>
        <v>2012</v>
      </c>
      <c r="N3477" s="17">
        <f t="shared" si="390"/>
        <v>40969</v>
      </c>
      <c r="S3477">
        <f t="shared" si="391"/>
        <v>0</v>
      </c>
    </row>
    <row r="3478" spans="1:19" x14ac:dyDescent="0.3">
      <c r="A3478" s="17">
        <v>40994</v>
      </c>
      <c r="B3478">
        <v>738.05</v>
      </c>
      <c r="C3478">
        <v>122.8</v>
      </c>
      <c r="D3478">
        <f t="shared" si="388"/>
        <v>615.25</v>
      </c>
      <c r="E3478">
        <v>3.11</v>
      </c>
      <c r="F3478">
        <f t="shared" si="389"/>
        <v>-612.14</v>
      </c>
      <c r="I3478">
        <f t="shared" si="385"/>
        <v>26</v>
      </c>
      <c r="J3478">
        <v>1</v>
      </c>
      <c r="K3478">
        <f t="shared" si="386"/>
        <v>3</v>
      </c>
      <c r="L3478">
        <f t="shared" si="387"/>
        <v>2012</v>
      </c>
      <c r="N3478" s="17">
        <f t="shared" si="390"/>
        <v>40969</v>
      </c>
      <c r="S3478">
        <f t="shared" si="391"/>
        <v>0</v>
      </c>
    </row>
    <row r="3479" spans="1:19" x14ac:dyDescent="0.3">
      <c r="A3479" s="17">
        <v>40991</v>
      </c>
      <c r="B3479">
        <v>734.78</v>
      </c>
      <c r="C3479">
        <v>122.19</v>
      </c>
      <c r="D3479">
        <f t="shared" si="388"/>
        <v>612.58999999999992</v>
      </c>
      <c r="E3479">
        <v>3.05</v>
      </c>
      <c r="F3479">
        <f t="shared" si="389"/>
        <v>-609.54</v>
      </c>
      <c r="I3479">
        <f t="shared" si="385"/>
        <v>23</v>
      </c>
      <c r="J3479">
        <v>1</v>
      </c>
      <c r="K3479">
        <f t="shared" si="386"/>
        <v>3</v>
      </c>
      <c r="L3479">
        <f t="shared" si="387"/>
        <v>2012</v>
      </c>
      <c r="N3479" s="17">
        <f t="shared" si="390"/>
        <v>40969</v>
      </c>
      <c r="S3479">
        <f t="shared" si="391"/>
        <v>0</v>
      </c>
    </row>
    <row r="3480" spans="1:19" x14ac:dyDescent="0.3">
      <c r="A3480" s="17">
        <v>40990</v>
      </c>
      <c r="B3480">
        <v>734.39</v>
      </c>
      <c r="C3480">
        <v>122</v>
      </c>
      <c r="D3480">
        <f t="shared" si="388"/>
        <v>612.39</v>
      </c>
      <c r="E3480">
        <v>3.14</v>
      </c>
      <c r="F3480">
        <f t="shared" si="389"/>
        <v>-609.25</v>
      </c>
      <c r="I3480">
        <f t="shared" si="385"/>
        <v>22</v>
      </c>
      <c r="J3480">
        <v>1</v>
      </c>
      <c r="K3480">
        <f t="shared" si="386"/>
        <v>3</v>
      </c>
      <c r="L3480">
        <f t="shared" si="387"/>
        <v>2012</v>
      </c>
      <c r="N3480" s="17">
        <f t="shared" si="390"/>
        <v>40969</v>
      </c>
      <c r="S3480">
        <f t="shared" si="391"/>
        <v>0</v>
      </c>
    </row>
    <row r="3481" spans="1:19" x14ac:dyDescent="0.3">
      <c r="A3481" s="17">
        <v>40989</v>
      </c>
      <c r="B3481">
        <v>738.1</v>
      </c>
      <c r="C3481">
        <v>123.09</v>
      </c>
      <c r="D3481">
        <f t="shared" si="388"/>
        <v>615.01</v>
      </c>
      <c r="E3481">
        <v>3.1</v>
      </c>
      <c r="F3481">
        <f t="shared" si="389"/>
        <v>-611.91</v>
      </c>
      <c r="I3481">
        <f t="shared" si="385"/>
        <v>21</v>
      </c>
      <c r="J3481">
        <v>1</v>
      </c>
      <c r="K3481">
        <f t="shared" si="386"/>
        <v>3</v>
      </c>
      <c r="L3481">
        <f t="shared" si="387"/>
        <v>2012</v>
      </c>
      <c r="N3481" s="17">
        <f t="shared" si="390"/>
        <v>40969</v>
      </c>
      <c r="S3481">
        <f t="shared" si="391"/>
        <v>0</v>
      </c>
    </row>
    <row r="3482" spans="1:19" x14ac:dyDescent="0.3">
      <c r="A3482" s="17">
        <v>40988</v>
      </c>
      <c r="B3482">
        <v>738.79</v>
      </c>
      <c r="C3482">
        <v>123.17</v>
      </c>
      <c r="D3482">
        <f t="shared" si="388"/>
        <v>615.62</v>
      </c>
      <c r="E3482">
        <v>3</v>
      </c>
      <c r="F3482">
        <f t="shared" si="389"/>
        <v>-612.62</v>
      </c>
      <c r="I3482">
        <f t="shared" si="385"/>
        <v>20</v>
      </c>
      <c r="J3482">
        <v>1</v>
      </c>
      <c r="K3482">
        <f t="shared" si="386"/>
        <v>3</v>
      </c>
      <c r="L3482">
        <f t="shared" si="387"/>
        <v>2012</v>
      </c>
      <c r="N3482" s="17">
        <f t="shared" si="390"/>
        <v>40969</v>
      </c>
      <c r="S3482">
        <f t="shared" si="391"/>
        <v>0</v>
      </c>
    </row>
    <row r="3483" spans="1:19" x14ac:dyDescent="0.3">
      <c r="A3483" s="17">
        <v>40987</v>
      </c>
      <c r="B3483">
        <v>741.53</v>
      </c>
      <c r="C3483">
        <v>123.86</v>
      </c>
      <c r="D3483">
        <f t="shared" si="388"/>
        <v>617.66999999999996</v>
      </c>
      <c r="E3483">
        <v>2.92</v>
      </c>
      <c r="F3483">
        <f t="shared" si="389"/>
        <v>-614.75</v>
      </c>
      <c r="I3483">
        <f t="shared" si="385"/>
        <v>19</v>
      </c>
      <c r="J3483">
        <v>1</v>
      </c>
      <c r="K3483">
        <f t="shared" si="386"/>
        <v>3</v>
      </c>
      <c r="L3483">
        <f t="shared" si="387"/>
        <v>2012</v>
      </c>
      <c r="N3483" s="17">
        <f t="shared" si="390"/>
        <v>40969</v>
      </c>
      <c r="S3483">
        <f t="shared" si="391"/>
        <v>0</v>
      </c>
    </row>
    <row r="3484" spans="1:19" x14ac:dyDescent="0.3">
      <c r="A3484" s="17">
        <v>40984</v>
      </c>
      <c r="B3484">
        <v>735.4</v>
      </c>
      <c r="C3484">
        <v>122.25</v>
      </c>
      <c r="D3484">
        <f t="shared" si="388"/>
        <v>613.15</v>
      </c>
      <c r="E3484">
        <v>2.92</v>
      </c>
      <c r="F3484">
        <f t="shared" si="389"/>
        <v>-610.23</v>
      </c>
      <c r="I3484">
        <f t="shared" si="385"/>
        <v>16</v>
      </c>
      <c r="J3484">
        <v>1</v>
      </c>
      <c r="K3484">
        <f t="shared" si="386"/>
        <v>3</v>
      </c>
      <c r="L3484">
        <f t="shared" si="387"/>
        <v>2012</v>
      </c>
      <c r="N3484" s="17">
        <f t="shared" si="390"/>
        <v>40969</v>
      </c>
      <c r="S3484">
        <f t="shared" si="391"/>
        <v>0</v>
      </c>
    </row>
    <row r="3485" spans="1:19" x14ac:dyDescent="0.3">
      <c r="A3485" s="17">
        <v>40983</v>
      </c>
      <c r="B3485">
        <v>735.08</v>
      </c>
      <c r="C3485">
        <v>123.63</v>
      </c>
      <c r="D3485">
        <f t="shared" si="388"/>
        <v>611.45000000000005</v>
      </c>
      <c r="E3485">
        <v>2.92</v>
      </c>
      <c r="F3485">
        <f t="shared" si="389"/>
        <v>-608.53000000000009</v>
      </c>
      <c r="I3485">
        <f t="shared" si="385"/>
        <v>15</v>
      </c>
      <c r="J3485">
        <v>1</v>
      </c>
      <c r="K3485">
        <f t="shared" si="386"/>
        <v>3</v>
      </c>
      <c r="L3485">
        <f t="shared" si="387"/>
        <v>2012</v>
      </c>
      <c r="N3485" s="17">
        <f t="shared" si="390"/>
        <v>40969</v>
      </c>
      <c r="S3485">
        <f t="shared" si="391"/>
        <v>0</v>
      </c>
    </row>
    <row r="3486" spans="1:19" x14ac:dyDescent="0.3">
      <c r="A3486" s="17">
        <v>40982</v>
      </c>
      <c r="B3486">
        <v>740.99</v>
      </c>
      <c r="C3486">
        <v>124.16</v>
      </c>
      <c r="D3486">
        <f t="shared" si="388"/>
        <v>616.83000000000004</v>
      </c>
      <c r="E3486">
        <v>2.97</v>
      </c>
      <c r="F3486">
        <f t="shared" si="389"/>
        <v>-613.86</v>
      </c>
      <c r="I3486">
        <f t="shared" si="385"/>
        <v>14</v>
      </c>
      <c r="J3486">
        <v>1</v>
      </c>
      <c r="K3486">
        <f t="shared" si="386"/>
        <v>3</v>
      </c>
      <c r="L3486">
        <f t="shared" si="387"/>
        <v>2012</v>
      </c>
      <c r="N3486" s="17">
        <f t="shared" si="390"/>
        <v>40969</v>
      </c>
      <c r="S3486">
        <f t="shared" si="391"/>
        <v>0</v>
      </c>
    </row>
    <row r="3487" spans="1:19" x14ac:dyDescent="0.3">
      <c r="A3487" s="17">
        <v>40981</v>
      </c>
      <c r="B3487">
        <v>740.23</v>
      </c>
      <c r="C3487">
        <v>124.2</v>
      </c>
      <c r="D3487">
        <f t="shared" si="388"/>
        <v>616.03</v>
      </c>
      <c r="E3487">
        <v>3.07</v>
      </c>
      <c r="F3487">
        <f t="shared" si="389"/>
        <v>-612.95999999999992</v>
      </c>
      <c r="I3487">
        <f t="shared" si="385"/>
        <v>13</v>
      </c>
      <c r="J3487">
        <v>1</v>
      </c>
      <c r="K3487">
        <f t="shared" si="386"/>
        <v>3</v>
      </c>
      <c r="L3487">
        <f t="shared" si="387"/>
        <v>2012</v>
      </c>
      <c r="N3487" s="17">
        <f t="shared" si="390"/>
        <v>40969</v>
      </c>
      <c r="S3487">
        <f t="shared" si="391"/>
        <v>0</v>
      </c>
    </row>
    <row r="3488" spans="1:19" x14ac:dyDescent="0.3">
      <c r="A3488" s="17">
        <v>40980</v>
      </c>
      <c r="B3488">
        <v>728.66</v>
      </c>
      <c r="C3488">
        <v>123.58</v>
      </c>
      <c r="D3488">
        <f t="shared" si="388"/>
        <v>605.07999999999993</v>
      </c>
      <c r="E3488">
        <v>2.96</v>
      </c>
      <c r="F3488">
        <f t="shared" si="389"/>
        <v>-602.11999999999989</v>
      </c>
      <c r="I3488">
        <f t="shared" si="385"/>
        <v>12</v>
      </c>
      <c r="J3488">
        <v>1</v>
      </c>
      <c r="K3488">
        <f t="shared" si="386"/>
        <v>3</v>
      </c>
      <c r="L3488">
        <f t="shared" si="387"/>
        <v>2012</v>
      </c>
      <c r="N3488" s="17">
        <f t="shared" si="390"/>
        <v>40969</v>
      </c>
      <c r="S3488">
        <f t="shared" si="391"/>
        <v>0</v>
      </c>
    </row>
    <row r="3489" spans="1:19" x14ac:dyDescent="0.3">
      <c r="A3489" s="17">
        <v>40977</v>
      </c>
      <c r="B3489">
        <v>727.52</v>
      </c>
      <c r="C3489">
        <v>123.63</v>
      </c>
      <c r="D3489">
        <f t="shared" si="388"/>
        <v>603.89</v>
      </c>
      <c r="E3489">
        <v>2.95</v>
      </c>
      <c r="F3489">
        <f t="shared" si="389"/>
        <v>-600.93999999999994</v>
      </c>
      <c r="I3489">
        <f t="shared" si="385"/>
        <v>9</v>
      </c>
      <c r="J3489">
        <v>1</v>
      </c>
      <c r="K3489">
        <f t="shared" si="386"/>
        <v>3</v>
      </c>
      <c r="L3489">
        <f t="shared" si="387"/>
        <v>2012</v>
      </c>
      <c r="N3489" s="17">
        <f t="shared" si="390"/>
        <v>40969</v>
      </c>
      <c r="S3489">
        <f t="shared" si="391"/>
        <v>0</v>
      </c>
    </row>
    <row r="3490" spans="1:19" x14ac:dyDescent="0.3">
      <c r="A3490" s="17">
        <v>40976</v>
      </c>
      <c r="B3490">
        <v>737.23</v>
      </c>
      <c r="C3490">
        <v>123.3</v>
      </c>
      <c r="D3490">
        <f t="shared" si="388"/>
        <v>613.93000000000006</v>
      </c>
      <c r="E3490">
        <v>3.04</v>
      </c>
      <c r="F3490">
        <f t="shared" si="389"/>
        <v>-610.8900000000001</v>
      </c>
      <c r="I3490">
        <f t="shared" si="385"/>
        <v>8</v>
      </c>
      <c r="J3490">
        <v>1</v>
      </c>
      <c r="K3490">
        <f t="shared" si="386"/>
        <v>3</v>
      </c>
      <c r="L3490">
        <f t="shared" si="387"/>
        <v>2012</v>
      </c>
      <c r="N3490" s="17">
        <f t="shared" si="390"/>
        <v>40969</v>
      </c>
      <c r="S3490">
        <f t="shared" si="391"/>
        <v>0</v>
      </c>
    </row>
    <row r="3491" spans="1:19" x14ac:dyDescent="0.3">
      <c r="A3491" s="17">
        <v>40975</v>
      </c>
      <c r="B3491">
        <v>731.25</v>
      </c>
      <c r="C3491">
        <v>120.69</v>
      </c>
      <c r="D3491">
        <f t="shared" si="388"/>
        <v>610.55999999999995</v>
      </c>
      <c r="E3491">
        <v>3.01</v>
      </c>
      <c r="F3491">
        <f t="shared" si="389"/>
        <v>-607.54999999999995</v>
      </c>
      <c r="I3491">
        <f t="shared" si="385"/>
        <v>7</v>
      </c>
      <c r="J3491">
        <v>1</v>
      </c>
      <c r="K3491">
        <f t="shared" si="386"/>
        <v>3</v>
      </c>
      <c r="L3491">
        <f t="shared" si="387"/>
        <v>2012</v>
      </c>
      <c r="N3491" s="17">
        <f t="shared" si="390"/>
        <v>40969</v>
      </c>
      <c r="S3491">
        <f t="shared" si="391"/>
        <v>0</v>
      </c>
    </row>
    <row r="3492" spans="1:19" x14ac:dyDescent="0.3">
      <c r="A3492" s="17">
        <v>40974</v>
      </c>
      <c r="B3492">
        <v>738.57</v>
      </c>
      <c r="C3492">
        <v>121.65</v>
      </c>
      <c r="D3492">
        <f t="shared" si="388"/>
        <v>616.92000000000007</v>
      </c>
      <c r="E3492">
        <v>3</v>
      </c>
      <c r="F3492">
        <f t="shared" si="389"/>
        <v>-613.92000000000007</v>
      </c>
      <c r="I3492">
        <f t="shared" si="385"/>
        <v>6</v>
      </c>
      <c r="J3492">
        <v>1</v>
      </c>
      <c r="K3492">
        <f t="shared" si="386"/>
        <v>3</v>
      </c>
      <c r="L3492">
        <f t="shared" si="387"/>
        <v>2012</v>
      </c>
      <c r="N3492" s="17">
        <f t="shared" si="390"/>
        <v>40969</v>
      </c>
      <c r="S3492">
        <f t="shared" si="391"/>
        <v>0</v>
      </c>
    </row>
    <row r="3493" spans="1:19" x14ac:dyDescent="0.3">
      <c r="A3493" s="17">
        <v>40973</v>
      </c>
      <c r="B3493">
        <v>736.67</v>
      </c>
      <c r="C3493">
        <v>121.02</v>
      </c>
      <c r="D3493">
        <f t="shared" si="388"/>
        <v>615.65</v>
      </c>
      <c r="E3493">
        <v>2.9</v>
      </c>
      <c r="F3493">
        <f t="shared" si="389"/>
        <v>-612.75</v>
      </c>
      <c r="I3493">
        <f t="shared" si="385"/>
        <v>5</v>
      </c>
      <c r="J3493">
        <v>1</v>
      </c>
      <c r="K3493">
        <f t="shared" si="386"/>
        <v>3</v>
      </c>
      <c r="L3493">
        <f t="shared" si="387"/>
        <v>2012</v>
      </c>
      <c r="N3493" s="17">
        <f t="shared" si="390"/>
        <v>40969</v>
      </c>
      <c r="S3493">
        <f t="shared" si="391"/>
        <v>0</v>
      </c>
    </row>
    <row r="3494" spans="1:19" x14ac:dyDescent="0.3">
      <c r="A3494" s="17">
        <v>40970</v>
      </c>
      <c r="B3494">
        <v>742.74</v>
      </c>
      <c r="C3494">
        <v>122.23</v>
      </c>
      <c r="D3494">
        <f t="shared" si="388"/>
        <v>620.51</v>
      </c>
      <c r="E3494">
        <v>2.84</v>
      </c>
      <c r="F3494">
        <f t="shared" si="389"/>
        <v>-617.66999999999996</v>
      </c>
      <c r="I3494">
        <f t="shared" si="385"/>
        <v>2</v>
      </c>
      <c r="J3494">
        <v>1</v>
      </c>
      <c r="K3494">
        <f t="shared" si="386"/>
        <v>3</v>
      </c>
      <c r="L3494">
        <f t="shared" si="387"/>
        <v>2012</v>
      </c>
      <c r="N3494" s="17">
        <f t="shared" si="390"/>
        <v>40969</v>
      </c>
      <c r="S3494">
        <f t="shared" si="391"/>
        <v>1</v>
      </c>
    </row>
    <row r="3495" spans="1:19" x14ac:dyDescent="0.3">
      <c r="A3495" s="17">
        <v>40969</v>
      </c>
      <c r="B3495">
        <v>724.45</v>
      </c>
      <c r="C3495">
        <v>119.81</v>
      </c>
      <c r="D3495">
        <f t="shared" si="388"/>
        <v>604.6400000000001</v>
      </c>
      <c r="E3495">
        <v>2.4900000000000002</v>
      </c>
      <c r="F3495">
        <f t="shared" si="389"/>
        <v>-602.15000000000009</v>
      </c>
      <c r="I3495">
        <f t="shared" si="385"/>
        <v>1</v>
      </c>
      <c r="J3495">
        <v>1</v>
      </c>
      <c r="K3495">
        <f t="shared" si="386"/>
        <v>3</v>
      </c>
      <c r="L3495">
        <f t="shared" si="387"/>
        <v>2012</v>
      </c>
      <c r="N3495" s="17">
        <f t="shared" si="390"/>
        <v>40969</v>
      </c>
      <c r="S3495">
        <f t="shared" si="391"/>
        <v>1</v>
      </c>
    </row>
    <row r="3496" spans="1:19" x14ac:dyDescent="0.3">
      <c r="A3496" s="17">
        <v>40968</v>
      </c>
      <c r="B3496">
        <v>718.06</v>
      </c>
      <c r="C3496">
        <v>120.01</v>
      </c>
      <c r="D3496">
        <f t="shared" si="388"/>
        <v>598.04999999999995</v>
      </c>
      <c r="E3496">
        <v>2.41</v>
      </c>
      <c r="F3496">
        <f t="shared" si="389"/>
        <v>-595.64</v>
      </c>
      <c r="I3496">
        <f t="shared" si="385"/>
        <v>29</v>
      </c>
      <c r="J3496">
        <v>1</v>
      </c>
      <c r="K3496">
        <f t="shared" si="386"/>
        <v>2</v>
      </c>
      <c r="L3496">
        <f t="shared" si="387"/>
        <v>2012</v>
      </c>
      <c r="N3496" s="17">
        <f t="shared" si="390"/>
        <v>40940</v>
      </c>
      <c r="S3496">
        <f t="shared" si="391"/>
        <v>0</v>
      </c>
    </row>
    <row r="3497" spans="1:19" x14ac:dyDescent="0.3">
      <c r="A3497" s="17">
        <v>40967</v>
      </c>
      <c r="B3497">
        <v>728.11</v>
      </c>
      <c r="C3497">
        <v>121.8</v>
      </c>
      <c r="D3497">
        <f t="shared" si="388"/>
        <v>606.31000000000006</v>
      </c>
      <c r="E3497">
        <v>2.35</v>
      </c>
      <c r="F3497">
        <f t="shared" si="389"/>
        <v>-603.96</v>
      </c>
      <c r="I3497">
        <f t="shared" si="385"/>
        <v>28</v>
      </c>
      <c r="J3497">
        <v>1</v>
      </c>
      <c r="K3497">
        <f t="shared" si="386"/>
        <v>2</v>
      </c>
      <c r="L3497">
        <f t="shared" si="387"/>
        <v>2012</v>
      </c>
      <c r="N3497" s="17">
        <f t="shared" si="390"/>
        <v>40940</v>
      </c>
      <c r="S3497">
        <f t="shared" si="391"/>
        <v>0</v>
      </c>
    </row>
    <row r="3498" spans="1:19" x14ac:dyDescent="0.3">
      <c r="A3498" s="17">
        <v>40966</v>
      </c>
      <c r="B3498">
        <v>738.1</v>
      </c>
      <c r="C3498">
        <v>122.5</v>
      </c>
      <c r="D3498">
        <f t="shared" si="388"/>
        <v>615.6</v>
      </c>
      <c r="E3498">
        <v>2.35</v>
      </c>
      <c r="F3498">
        <f t="shared" si="389"/>
        <v>-613.25</v>
      </c>
      <c r="I3498">
        <f t="shared" si="385"/>
        <v>27</v>
      </c>
      <c r="J3498">
        <v>1</v>
      </c>
      <c r="K3498">
        <f t="shared" si="386"/>
        <v>2</v>
      </c>
      <c r="L3498">
        <f t="shared" si="387"/>
        <v>2012</v>
      </c>
      <c r="N3498" s="17">
        <f t="shared" si="390"/>
        <v>40940</v>
      </c>
      <c r="S3498">
        <f t="shared" si="391"/>
        <v>0</v>
      </c>
    </row>
    <row r="3499" spans="1:19" x14ac:dyDescent="0.3">
      <c r="A3499" s="17">
        <v>40963</v>
      </c>
      <c r="B3499">
        <v>736.38</v>
      </c>
      <c r="C3499">
        <v>121.53</v>
      </c>
      <c r="D3499">
        <f t="shared" si="388"/>
        <v>614.85</v>
      </c>
      <c r="E3499">
        <v>2.35</v>
      </c>
      <c r="F3499">
        <f t="shared" si="389"/>
        <v>-612.5</v>
      </c>
      <c r="I3499">
        <f t="shared" si="385"/>
        <v>24</v>
      </c>
      <c r="J3499">
        <v>1</v>
      </c>
      <c r="K3499">
        <f t="shared" si="386"/>
        <v>2</v>
      </c>
      <c r="L3499">
        <f t="shared" si="387"/>
        <v>2012</v>
      </c>
      <c r="N3499" s="17">
        <f t="shared" si="390"/>
        <v>40940</v>
      </c>
      <c r="S3499">
        <f t="shared" si="391"/>
        <v>0</v>
      </c>
    </row>
    <row r="3500" spans="1:19" x14ac:dyDescent="0.3">
      <c r="A3500" s="17">
        <v>40962</v>
      </c>
      <c r="B3500">
        <v>732.02</v>
      </c>
      <c r="C3500">
        <v>120.21</v>
      </c>
      <c r="D3500">
        <f t="shared" si="388"/>
        <v>611.80999999999995</v>
      </c>
      <c r="E3500">
        <v>2.4</v>
      </c>
      <c r="F3500">
        <f t="shared" si="389"/>
        <v>-609.41</v>
      </c>
      <c r="I3500">
        <f t="shared" si="385"/>
        <v>23</v>
      </c>
      <c r="J3500">
        <v>1</v>
      </c>
      <c r="K3500">
        <f t="shared" si="386"/>
        <v>2</v>
      </c>
      <c r="L3500">
        <f t="shared" si="387"/>
        <v>2012</v>
      </c>
      <c r="N3500" s="17">
        <f t="shared" si="390"/>
        <v>40940</v>
      </c>
      <c r="S3500">
        <f t="shared" si="391"/>
        <v>0</v>
      </c>
    </row>
    <row r="3501" spans="1:19" x14ac:dyDescent="0.3">
      <c r="A3501" s="17">
        <v>40961</v>
      </c>
      <c r="B3501">
        <v>729.55</v>
      </c>
      <c r="C3501">
        <v>119.41</v>
      </c>
      <c r="D3501">
        <f t="shared" si="388"/>
        <v>610.14</v>
      </c>
      <c r="E3501">
        <v>2.19</v>
      </c>
      <c r="F3501">
        <f t="shared" si="389"/>
        <v>-607.94999999999993</v>
      </c>
      <c r="I3501">
        <f t="shared" si="385"/>
        <v>22</v>
      </c>
      <c r="J3501">
        <v>1</v>
      </c>
      <c r="K3501">
        <f t="shared" si="386"/>
        <v>2</v>
      </c>
      <c r="L3501">
        <f t="shared" si="387"/>
        <v>2012</v>
      </c>
      <c r="N3501" s="17">
        <f t="shared" si="390"/>
        <v>40940</v>
      </c>
      <c r="S3501">
        <f t="shared" si="391"/>
        <v>0</v>
      </c>
    </row>
    <row r="3502" spans="1:19" x14ac:dyDescent="0.3">
      <c r="A3502" s="17">
        <v>40960</v>
      </c>
      <c r="B3502">
        <v>718.28</v>
      </c>
      <c r="C3502">
        <v>117.78</v>
      </c>
      <c r="D3502">
        <f t="shared" si="388"/>
        <v>600.5</v>
      </c>
      <c r="E3502">
        <v>2.19</v>
      </c>
      <c r="F3502">
        <f t="shared" si="389"/>
        <v>-598.30999999999995</v>
      </c>
      <c r="I3502">
        <f t="shared" si="385"/>
        <v>21</v>
      </c>
      <c r="J3502">
        <v>1</v>
      </c>
      <c r="K3502">
        <f t="shared" si="386"/>
        <v>2</v>
      </c>
      <c r="L3502">
        <f t="shared" si="387"/>
        <v>2012</v>
      </c>
      <c r="N3502" s="17">
        <f t="shared" si="390"/>
        <v>40940</v>
      </c>
      <c r="S3502">
        <f t="shared" si="391"/>
        <v>0</v>
      </c>
    </row>
    <row r="3503" spans="1:19" x14ac:dyDescent="0.3">
      <c r="A3503" s="17">
        <v>40959</v>
      </c>
      <c r="B3503">
        <v>723.52</v>
      </c>
      <c r="C3503">
        <v>117.9</v>
      </c>
      <c r="D3503">
        <f t="shared" si="388"/>
        <v>605.62</v>
      </c>
      <c r="E3503">
        <v>2.25</v>
      </c>
      <c r="F3503">
        <f t="shared" si="389"/>
        <v>-603.37</v>
      </c>
      <c r="I3503">
        <f t="shared" si="385"/>
        <v>20</v>
      </c>
      <c r="J3503">
        <v>1</v>
      </c>
      <c r="K3503">
        <f t="shared" si="386"/>
        <v>2</v>
      </c>
      <c r="L3503">
        <f t="shared" si="387"/>
        <v>2012</v>
      </c>
      <c r="N3503" s="17">
        <f t="shared" si="390"/>
        <v>40940</v>
      </c>
      <c r="S3503">
        <f t="shared" si="391"/>
        <v>0</v>
      </c>
    </row>
    <row r="3504" spans="1:19" x14ac:dyDescent="0.3">
      <c r="A3504" s="17">
        <v>40956</v>
      </c>
      <c r="B3504">
        <v>728.03</v>
      </c>
      <c r="C3504">
        <v>117.32</v>
      </c>
      <c r="D3504">
        <f t="shared" si="388"/>
        <v>610.71</v>
      </c>
      <c r="E3504">
        <v>2.2999999999999998</v>
      </c>
      <c r="F3504">
        <f t="shared" si="389"/>
        <v>-608.41000000000008</v>
      </c>
      <c r="I3504">
        <f t="shared" si="385"/>
        <v>17</v>
      </c>
      <c r="J3504">
        <v>1</v>
      </c>
      <c r="K3504">
        <f t="shared" si="386"/>
        <v>2</v>
      </c>
      <c r="L3504">
        <f t="shared" si="387"/>
        <v>2012</v>
      </c>
      <c r="N3504" s="17">
        <f t="shared" si="390"/>
        <v>40940</v>
      </c>
      <c r="S3504">
        <f t="shared" si="391"/>
        <v>0</v>
      </c>
    </row>
    <row r="3505" spans="1:19" x14ac:dyDescent="0.3">
      <c r="A3505" s="17">
        <v>40955</v>
      </c>
      <c r="B3505">
        <v>720.06</v>
      </c>
      <c r="C3505">
        <v>116.25</v>
      </c>
      <c r="D3505">
        <f t="shared" si="388"/>
        <v>603.80999999999995</v>
      </c>
      <c r="E3505">
        <v>2.4500000000000002</v>
      </c>
      <c r="F3505">
        <f t="shared" si="389"/>
        <v>-601.3599999999999</v>
      </c>
      <c r="I3505">
        <f t="shared" si="385"/>
        <v>16</v>
      </c>
      <c r="J3505">
        <v>1</v>
      </c>
      <c r="K3505">
        <f t="shared" si="386"/>
        <v>2</v>
      </c>
      <c r="L3505">
        <f t="shared" si="387"/>
        <v>2012</v>
      </c>
      <c r="N3505" s="17">
        <f t="shared" si="390"/>
        <v>40940</v>
      </c>
      <c r="S3505">
        <f t="shared" si="391"/>
        <v>0</v>
      </c>
    </row>
    <row r="3506" spans="1:19" x14ac:dyDescent="0.3">
      <c r="A3506" s="17">
        <v>40954</v>
      </c>
      <c r="B3506">
        <v>721.1</v>
      </c>
      <c r="C3506">
        <v>116.5</v>
      </c>
      <c r="D3506">
        <f t="shared" si="388"/>
        <v>604.6</v>
      </c>
      <c r="E3506">
        <v>2.5</v>
      </c>
      <c r="F3506">
        <f t="shared" si="389"/>
        <v>-602.1</v>
      </c>
      <c r="I3506">
        <f t="shared" si="385"/>
        <v>15</v>
      </c>
      <c r="J3506">
        <v>1</v>
      </c>
      <c r="K3506">
        <f t="shared" si="386"/>
        <v>2</v>
      </c>
      <c r="L3506">
        <f t="shared" si="387"/>
        <v>2012</v>
      </c>
      <c r="N3506" s="17">
        <f t="shared" si="390"/>
        <v>40940</v>
      </c>
      <c r="S3506">
        <f t="shared" si="391"/>
        <v>0</v>
      </c>
    </row>
    <row r="3507" spans="1:19" x14ac:dyDescent="0.3">
      <c r="A3507" s="17">
        <v>40953</v>
      </c>
      <c r="B3507">
        <v>716.28</v>
      </c>
      <c r="C3507">
        <v>115.28</v>
      </c>
      <c r="D3507">
        <f t="shared" si="388"/>
        <v>601</v>
      </c>
      <c r="E3507">
        <v>2.5</v>
      </c>
      <c r="F3507">
        <f t="shared" si="389"/>
        <v>-598.5</v>
      </c>
      <c r="I3507">
        <f t="shared" si="385"/>
        <v>14</v>
      </c>
      <c r="J3507">
        <v>1</v>
      </c>
      <c r="K3507">
        <f t="shared" si="386"/>
        <v>2</v>
      </c>
      <c r="L3507">
        <f t="shared" si="387"/>
        <v>2012</v>
      </c>
      <c r="N3507" s="17">
        <f t="shared" si="390"/>
        <v>40940</v>
      </c>
      <c r="S3507">
        <f t="shared" si="391"/>
        <v>0</v>
      </c>
    </row>
    <row r="3508" spans="1:19" x14ac:dyDescent="0.3">
      <c r="A3508" s="17">
        <v>40952</v>
      </c>
      <c r="B3508">
        <v>727.37</v>
      </c>
      <c r="C3508">
        <v>115.97</v>
      </c>
      <c r="D3508">
        <f t="shared" si="388"/>
        <v>611.4</v>
      </c>
      <c r="E3508">
        <v>2.46</v>
      </c>
      <c r="F3508">
        <f t="shared" si="389"/>
        <v>-608.93999999999994</v>
      </c>
      <c r="I3508">
        <f t="shared" si="385"/>
        <v>13</v>
      </c>
      <c r="J3508">
        <v>1</v>
      </c>
      <c r="K3508">
        <f t="shared" si="386"/>
        <v>2</v>
      </c>
      <c r="L3508">
        <f t="shared" si="387"/>
        <v>2012</v>
      </c>
      <c r="N3508" s="17">
        <f t="shared" si="390"/>
        <v>40940</v>
      </c>
      <c r="S3508">
        <f t="shared" si="391"/>
        <v>0</v>
      </c>
    </row>
    <row r="3509" spans="1:19" x14ac:dyDescent="0.3">
      <c r="A3509" s="17">
        <v>40949</v>
      </c>
      <c r="B3509">
        <v>729.83</v>
      </c>
      <c r="C3509">
        <v>115.38</v>
      </c>
      <c r="D3509">
        <f t="shared" si="388"/>
        <v>614.45000000000005</v>
      </c>
      <c r="E3509">
        <v>2.56</v>
      </c>
      <c r="F3509">
        <f t="shared" si="389"/>
        <v>-611.8900000000001</v>
      </c>
      <c r="I3509">
        <f t="shared" si="385"/>
        <v>10</v>
      </c>
      <c r="J3509">
        <v>1</v>
      </c>
      <c r="K3509">
        <f t="shared" si="386"/>
        <v>2</v>
      </c>
      <c r="L3509">
        <f t="shared" si="387"/>
        <v>2012</v>
      </c>
      <c r="N3509" s="17">
        <f t="shared" si="390"/>
        <v>40940</v>
      </c>
      <c r="S3509">
        <f t="shared" si="391"/>
        <v>0</v>
      </c>
    </row>
    <row r="3510" spans="1:19" x14ac:dyDescent="0.3">
      <c r="A3510" s="17">
        <v>40948</v>
      </c>
      <c r="B3510">
        <v>730.88</v>
      </c>
      <c r="C3510">
        <v>114.53</v>
      </c>
      <c r="D3510">
        <f t="shared" si="388"/>
        <v>616.35</v>
      </c>
      <c r="E3510">
        <v>2.6</v>
      </c>
      <c r="F3510">
        <f t="shared" si="389"/>
        <v>-613.75</v>
      </c>
      <c r="I3510">
        <f t="shared" si="385"/>
        <v>9</v>
      </c>
      <c r="J3510">
        <v>1</v>
      </c>
      <c r="K3510">
        <f t="shared" si="386"/>
        <v>2</v>
      </c>
      <c r="L3510">
        <f t="shared" si="387"/>
        <v>2012</v>
      </c>
      <c r="N3510" s="17">
        <f t="shared" si="390"/>
        <v>40940</v>
      </c>
      <c r="S3510">
        <f t="shared" si="391"/>
        <v>0</v>
      </c>
    </row>
    <row r="3511" spans="1:19" x14ac:dyDescent="0.3">
      <c r="A3511" s="17">
        <v>40947</v>
      </c>
      <c r="B3511">
        <v>721.72</v>
      </c>
      <c r="C3511">
        <v>113.81</v>
      </c>
      <c r="D3511">
        <f t="shared" si="388"/>
        <v>607.91000000000008</v>
      </c>
      <c r="E3511">
        <v>2.5499999999999998</v>
      </c>
      <c r="F3511">
        <f t="shared" si="389"/>
        <v>-605.36000000000013</v>
      </c>
      <c r="I3511">
        <f t="shared" si="385"/>
        <v>8</v>
      </c>
      <c r="J3511">
        <v>1</v>
      </c>
      <c r="K3511">
        <f t="shared" si="386"/>
        <v>2</v>
      </c>
      <c r="L3511">
        <f t="shared" si="387"/>
        <v>2012</v>
      </c>
      <c r="N3511" s="17">
        <f t="shared" si="390"/>
        <v>40940</v>
      </c>
      <c r="S3511">
        <f t="shared" si="391"/>
        <v>0</v>
      </c>
    </row>
    <row r="3512" spans="1:19" x14ac:dyDescent="0.3">
      <c r="A3512" s="17">
        <v>40946</v>
      </c>
      <c r="B3512">
        <v>717.46</v>
      </c>
      <c r="C3512">
        <v>113.205</v>
      </c>
      <c r="D3512">
        <f t="shared" si="388"/>
        <v>604.255</v>
      </c>
      <c r="E3512">
        <v>2.6</v>
      </c>
      <c r="F3512">
        <f t="shared" si="389"/>
        <v>-601.65499999999997</v>
      </c>
      <c r="I3512">
        <f t="shared" si="385"/>
        <v>7</v>
      </c>
      <c r="J3512">
        <v>1</v>
      </c>
      <c r="K3512">
        <f t="shared" si="386"/>
        <v>2</v>
      </c>
      <c r="L3512">
        <f t="shared" si="387"/>
        <v>2012</v>
      </c>
      <c r="N3512" s="17">
        <f t="shared" si="390"/>
        <v>40940</v>
      </c>
      <c r="S3512">
        <f t="shared" si="391"/>
        <v>0</v>
      </c>
    </row>
    <row r="3513" spans="1:19" x14ac:dyDescent="0.3">
      <c r="A3513" s="17">
        <v>40945</v>
      </c>
      <c r="B3513">
        <v>713.03</v>
      </c>
      <c r="C3513">
        <v>111.505</v>
      </c>
      <c r="D3513">
        <f t="shared" si="388"/>
        <v>601.52499999999998</v>
      </c>
      <c r="E3513">
        <v>2.65</v>
      </c>
      <c r="F3513">
        <f t="shared" si="389"/>
        <v>-598.875</v>
      </c>
      <c r="I3513">
        <f t="shared" si="385"/>
        <v>6</v>
      </c>
      <c r="J3513">
        <v>1</v>
      </c>
      <c r="K3513">
        <f t="shared" si="386"/>
        <v>2</v>
      </c>
      <c r="L3513">
        <f t="shared" si="387"/>
        <v>2012</v>
      </c>
      <c r="N3513" s="17">
        <f t="shared" si="390"/>
        <v>40940</v>
      </c>
      <c r="S3513">
        <f t="shared" si="391"/>
        <v>0</v>
      </c>
    </row>
    <row r="3514" spans="1:19" x14ac:dyDescent="0.3">
      <c r="A3514" s="17">
        <v>40942</v>
      </c>
      <c r="B3514">
        <v>699.04</v>
      </c>
      <c r="C3514">
        <v>109.705</v>
      </c>
      <c r="D3514">
        <f t="shared" si="388"/>
        <v>589.33499999999992</v>
      </c>
      <c r="E3514">
        <v>2.59</v>
      </c>
      <c r="F3514">
        <f t="shared" si="389"/>
        <v>-586.74499999999989</v>
      </c>
      <c r="I3514">
        <f t="shared" si="385"/>
        <v>3</v>
      </c>
      <c r="J3514">
        <v>1</v>
      </c>
      <c r="K3514">
        <f t="shared" si="386"/>
        <v>2</v>
      </c>
      <c r="L3514">
        <f t="shared" si="387"/>
        <v>2012</v>
      </c>
      <c r="N3514" s="17">
        <f t="shared" si="390"/>
        <v>40940</v>
      </c>
      <c r="S3514">
        <f t="shared" si="391"/>
        <v>1</v>
      </c>
    </row>
    <row r="3515" spans="1:19" x14ac:dyDescent="0.3">
      <c r="A3515" s="17">
        <v>40941</v>
      </c>
      <c r="B3515">
        <v>711.02</v>
      </c>
      <c r="C3515">
        <v>109.705</v>
      </c>
      <c r="D3515">
        <f t="shared" si="388"/>
        <v>601.31499999999994</v>
      </c>
      <c r="E3515">
        <v>2.6</v>
      </c>
      <c r="F3515">
        <f t="shared" si="389"/>
        <v>-598.71499999999992</v>
      </c>
      <c r="I3515">
        <f t="shared" si="385"/>
        <v>2</v>
      </c>
      <c r="J3515">
        <v>1</v>
      </c>
      <c r="K3515">
        <f t="shared" si="386"/>
        <v>2</v>
      </c>
      <c r="L3515">
        <f t="shared" si="387"/>
        <v>2012</v>
      </c>
      <c r="N3515" s="17">
        <f t="shared" si="390"/>
        <v>40940</v>
      </c>
      <c r="S3515">
        <f t="shared" si="391"/>
        <v>1</v>
      </c>
    </row>
    <row r="3516" spans="1:19" x14ac:dyDescent="0.3">
      <c r="A3516" s="17">
        <v>40940</v>
      </c>
      <c r="B3516">
        <v>709.61</v>
      </c>
      <c r="C3516">
        <v>109.15</v>
      </c>
      <c r="D3516">
        <f t="shared" si="388"/>
        <v>600.46</v>
      </c>
      <c r="E3516">
        <v>2.62</v>
      </c>
      <c r="F3516">
        <f t="shared" si="389"/>
        <v>-597.84</v>
      </c>
      <c r="I3516">
        <f t="shared" si="385"/>
        <v>1</v>
      </c>
      <c r="J3516">
        <v>1</v>
      </c>
      <c r="K3516">
        <f t="shared" si="386"/>
        <v>2</v>
      </c>
      <c r="L3516">
        <f t="shared" si="387"/>
        <v>2012</v>
      </c>
      <c r="N3516" s="17">
        <f t="shared" si="390"/>
        <v>40940</v>
      </c>
      <c r="S3516">
        <f t="shared" si="391"/>
        <v>1</v>
      </c>
    </row>
    <row r="3517" spans="1:19" x14ac:dyDescent="0.3">
      <c r="A3517" s="17">
        <v>40939</v>
      </c>
      <c r="B3517">
        <v>711.46</v>
      </c>
      <c r="C3517">
        <v>109.1</v>
      </c>
      <c r="D3517">
        <f t="shared" si="388"/>
        <v>602.36</v>
      </c>
      <c r="E3517">
        <v>2.62</v>
      </c>
      <c r="F3517">
        <f t="shared" si="389"/>
        <v>-599.74</v>
      </c>
      <c r="I3517">
        <f t="shared" si="385"/>
        <v>31</v>
      </c>
      <c r="J3517">
        <v>1</v>
      </c>
      <c r="K3517">
        <f t="shared" si="386"/>
        <v>1</v>
      </c>
      <c r="L3517">
        <f t="shared" si="387"/>
        <v>2012</v>
      </c>
      <c r="N3517" s="17">
        <f t="shared" si="390"/>
        <v>40909</v>
      </c>
      <c r="S3517">
        <f t="shared" si="391"/>
        <v>0</v>
      </c>
    </row>
    <row r="3518" spans="1:19" x14ac:dyDescent="0.3">
      <c r="A3518" s="17">
        <v>40938</v>
      </c>
      <c r="B3518">
        <v>709.58</v>
      </c>
      <c r="C3518">
        <v>109.38</v>
      </c>
      <c r="D3518">
        <f t="shared" si="388"/>
        <v>600.20000000000005</v>
      </c>
      <c r="E3518">
        <v>2.6</v>
      </c>
      <c r="F3518">
        <f t="shared" si="389"/>
        <v>-597.6</v>
      </c>
      <c r="I3518">
        <f t="shared" si="385"/>
        <v>30</v>
      </c>
      <c r="J3518">
        <v>1</v>
      </c>
      <c r="K3518">
        <f t="shared" si="386"/>
        <v>1</v>
      </c>
      <c r="L3518">
        <f t="shared" si="387"/>
        <v>2012</v>
      </c>
      <c r="N3518" s="17">
        <f t="shared" si="390"/>
        <v>40909</v>
      </c>
      <c r="S3518">
        <f t="shared" si="391"/>
        <v>0</v>
      </c>
    </row>
    <row r="3519" spans="1:19" x14ac:dyDescent="0.3">
      <c r="A3519" s="17">
        <v>40935</v>
      </c>
      <c r="B3519">
        <v>715.79</v>
      </c>
      <c r="C3519">
        <v>108.91</v>
      </c>
      <c r="D3519">
        <f t="shared" si="388"/>
        <v>606.88</v>
      </c>
      <c r="E3519">
        <v>2.6</v>
      </c>
      <c r="F3519">
        <f t="shared" si="389"/>
        <v>-604.28</v>
      </c>
      <c r="I3519">
        <f t="shared" si="385"/>
        <v>27</v>
      </c>
      <c r="J3519">
        <v>1</v>
      </c>
      <c r="K3519">
        <f t="shared" si="386"/>
        <v>1</v>
      </c>
      <c r="L3519">
        <f t="shared" si="387"/>
        <v>2012</v>
      </c>
      <c r="N3519" s="17">
        <f t="shared" si="390"/>
        <v>40909</v>
      </c>
      <c r="S3519">
        <f t="shared" si="391"/>
        <v>0</v>
      </c>
    </row>
    <row r="3520" spans="1:19" x14ac:dyDescent="0.3">
      <c r="A3520" s="17">
        <v>40934</v>
      </c>
      <c r="B3520">
        <v>715.25</v>
      </c>
      <c r="C3520">
        <v>109.33</v>
      </c>
      <c r="D3520">
        <f t="shared" si="388"/>
        <v>605.91999999999996</v>
      </c>
      <c r="E3520">
        <v>2.6</v>
      </c>
      <c r="F3520">
        <f t="shared" si="389"/>
        <v>-603.31999999999994</v>
      </c>
      <c r="I3520">
        <f t="shared" si="385"/>
        <v>26</v>
      </c>
      <c r="J3520">
        <v>1</v>
      </c>
      <c r="K3520">
        <f t="shared" si="386"/>
        <v>1</v>
      </c>
      <c r="L3520">
        <f t="shared" si="387"/>
        <v>2012</v>
      </c>
      <c r="N3520" s="17">
        <f t="shared" si="390"/>
        <v>40909</v>
      </c>
      <c r="S3520">
        <f t="shared" si="391"/>
        <v>0</v>
      </c>
    </row>
    <row r="3521" spans="1:19" x14ac:dyDescent="0.3">
      <c r="A3521" s="17">
        <v>40933</v>
      </c>
      <c r="B3521">
        <v>710.43</v>
      </c>
      <c r="C3521">
        <v>108.91</v>
      </c>
      <c r="D3521">
        <f t="shared" si="388"/>
        <v>601.52</v>
      </c>
      <c r="E3521">
        <v>2.6</v>
      </c>
      <c r="F3521">
        <f t="shared" si="389"/>
        <v>-598.91999999999996</v>
      </c>
      <c r="I3521">
        <f t="shared" ref="I3521:I3568" si="392">+DAY(A3521)</f>
        <v>25</v>
      </c>
      <c r="J3521">
        <v>1</v>
      </c>
      <c r="K3521">
        <f t="shared" ref="K3521:K3568" si="393">+MONTH(A3521)</f>
        <v>1</v>
      </c>
      <c r="L3521">
        <f t="shared" ref="L3521:L3568" si="394">+YEAR(A3521)</f>
        <v>2012</v>
      </c>
      <c r="N3521" s="17">
        <f t="shared" si="390"/>
        <v>40909</v>
      </c>
      <c r="S3521">
        <f t="shared" si="391"/>
        <v>0</v>
      </c>
    </row>
    <row r="3522" spans="1:19" x14ac:dyDescent="0.3">
      <c r="A3522" s="17">
        <v>40928</v>
      </c>
      <c r="B3522">
        <v>717.66</v>
      </c>
      <c r="C3522">
        <v>110.35</v>
      </c>
      <c r="D3522">
        <f t="shared" si="388"/>
        <v>607.30999999999995</v>
      </c>
      <c r="E3522">
        <v>2.5499999999999998</v>
      </c>
      <c r="F3522">
        <f t="shared" si="389"/>
        <v>-604.76</v>
      </c>
      <c r="I3522">
        <f t="shared" si="392"/>
        <v>20</v>
      </c>
      <c r="J3522">
        <v>1</v>
      </c>
      <c r="K3522">
        <f t="shared" si="393"/>
        <v>1</v>
      </c>
      <c r="L3522">
        <f t="shared" si="394"/>
        <v>2012</v>
      </c>
      <c r="N3522" s="17">
        <f t="shared" si="390"/>
        <v>40909</v>
      </c>
      <c r="S3522">
        <f t="shared" si="391"/>
        <v>0</v>
      </c>
    </row>
    <row r="3523" spans="1:19" x14ac:dyDescent="0.3">
      <c r="A3523" s="17">
        <v>40927</v>
      </c>
      <c r="B3523">
        <v>712.42</v>
      </c>
      <c r="C3523">
        <v>109.94</v>
      </c>
      <c r="D3523">
        <f t="shared" si="388"/>
        <v>602.48</v>
      </c>
      <c r="E3523">
        <v>2.6</v>
      </c>
      <c r="F3523">
        <f t="shared" si="389"/>
        <v>-599.88</v>
      </c>
      <c r="I3523">
        <f t="shared" si="392"/>
        <v>19</v>
      </c>
      <c r="J3523">
        <v>1</v>
      </c>
      <c r="K3523">
        <f t="shared" si="393"/>
        <v>1</v>
      </c>
      <c r="L3523">
        <f t="shared" si="394"/>
        <v>2012</v>
      </c>
      <c r="N3523" s="17">
        <f t="shared" si="390"/>
        <v>40909</v>
      </c>
      <c r="S3523">
        <f t="shared" si="391"/>
        <v>0</v>
      </c>
    </row>
    <row r="3524" spans="1:19" x14ac:dyDescent="0.3">
      <c r="A3524" s="17">
        <v>40926</v>
      </c>
      <c r="B3524">
        <v>715.9</v>
      </c>
      <c r="C3524">
        <v>110.11</v>
      </c>
      <c r="D3524">
        <f t="shared" si="388"/>
        <v>605.79</v>
      </c>
      <c r="E3524">
        <v>2.66</v>
      </c>
      <c r="F3524">
        <f t="shared" si="389"/>
        <v>-603.13</v>
      </c>
      <c r="I3524">
        <f t="shared" si="392"/>
        <v>18</v>
      </c>
      <c r="J3524">
        <v>1</v>
      </c>
      <c r="K3524">
        <f t="shared" si="393"/>
        <v>1</v>
      </c>
      <c r="L3524">
        <f t="shared" si="394"/>
        <v>2012</v>
      </c>
      <c r="N3524" s="17">
        <f t="shared" si="390"/>
        <v>40909</v>
      </c>
      <c r="S3524">
        <f t="shared" si="391"/>
        <v>0</v>
      </c>
    </row>
    <row r="3525" spans="1:19" x14ac:dyDescent="0.3">
      <c r="A3525" s="17">
        <v>40925</v>
      </c>
      <c r="B3525">
        <v>713.63</v>
      </c>
      <c r="C3525">
        <v>110.81</v>
      </c>
      <c r="D3525">
        <f t="shared" si="388"/>
        <v>602.81999999999994</v>
      </c>
      <c r="E3525">
        <v>2.66</v>
      </c>
      <c r="F3525">
        <f t="shared" si="389"/>
        <v>-600.16</v>
      </c>
      <c r="I3525">
        <f t="shared" si="392"/>
        <v>17</v>
      </c>
      <c r="J3525">
        <v>1</v>
      </c>
      <c r="K3525">
        <f t="shared" si="393"/>
        <v>1</v>
      </c>
      <c r="L3525">
        <f t="shared" si="394"/>
        <v>2012</v>
      </c>
      <c r="N3525" s="17">
        <f t="shared" si="390"/>
        <v>40909</v>
      </c>
      <c r="S3525">
        <f t="shared" si="391"/>
        <v>0</v>
      </c>
    </row>
    <row r="3526" spans="1:19" x14ac:dyDescent="0.3">
      <c r="A3526" s="17">
        <v>40924</v>
      </c>
      <c r="B3526">
        <v>706.96</v>
      </c>
      <c r="C3526">
        <v>110.07</v>
      </c>
      <c r="D3526">
        <f t="shared" ref="D3526:D3577" si="395">+B3526-C3526</f>
        <v>596.8900000000001</v>
      </c>
      <c r="E3526">
        <v>2.65</v>
      </c>
      <c r="F3526">
        <f t="shared" ref="F3526:F3577" si="396">+E3526-D3526</f>
        <v>-594.24000000000012</v>
      </c>
      <c r="I3526">
        <f t="shared" si="392"/>
        <v>16</v>
      </c>
      <c r="J3526">
        <v>1</v>
      </c>
      <c r="K3526">
        <f t="shared" si="393"/>
        <v>1</v>
      </c>
      <c r="L3526">
        <f t="shared" si="394"/>
        <v>2012</v>
      </c>
      <c r="N3526" s="17">
        <f t="shared" ref="N3526:N3568" si="397">+DATE(L3526,K3526,J3526)</f>
        <v>40909</v>
      </c>
      <c r="S3526">
        <f t="shared" ref="S3526:S3568" si="398">IF(AND(I3526&gt;=1, I3526&lt;=4), 1, 0)</f>
        <v>0</v>
      </c>
    </row>
    <row r="3527" spans="1:19" x14ac:dyDescent="0.3">
      <c r="A3527" s="17">
        <v>40921</v>
      </c>
      <c r="B3527">
        <v>712.92</v>
      </c>
      <c r="C3527">
        <v>110.31</v>
      </c>
      <c r="D3527">
        <f t="shared" si="395"/>
        <v>602.6099999999999</v>
      </c>
      <c r="E3527">
        <v>2.65</v>
      </c>
      <c r="F3527">
        <f t="shared" si="396"/>
        <v>-599.95999999999992</v>
      </c>
      <c r="I3527">
        <f t="shared" si="392"/>
        <v>13</v>
      </c>
      <c r="J3527">
        <v>1</v>
      </c>
      <c r="K3527">
        <f t="shared" si="393"/>
        <v>1</v>
      </c>
      <c r="L3527">
        <f t="shared" si="394"/>
        <v>2012</v>
      </c>
      <c r="N3527" s="17">
        <f t="shared" si="397"/>
        <v>40909</v>
      </c>
      <c r="S3527">
        <f t="shared" si="398"/>
        <v>0</v>
      </c>
    </row>
    <row r="3528" spans="1:19" x14ac:dyDescent="0.3">
      <c r="A3528" s="17">
        <v>40920</v>
      </c>
      <c r="B3528">
        <v>715.61</v>
      </c>
      <c r="C3528">
        <v>111.26</v>
      </c>
      <c r="D3528">
        <f t="shared" si="395"/>
        <v>604.35</v>
      </c>
      <c r="E3528">
        <v>2.65</v>
      </c>
      <c r="F3528">
        <f t="shared" si="396"/>
        <v>-601.70000000000005</v>
      </c>
      <c r="I3528">
        <f t="shared" si="392"/>
        <v>12</v>
      </c>
      <c r="J3528">
        <v>1</v>
      </c>
      <c r="K3528">
        <f t="shared" si="393"/>
        <v>1</v>
      </c>
      <c r="L3528">
        <f t="shared" si="394"/>
        <v>2012</v>
      </c>
      <c r="N3528" s="17">
        <f t="shared" si="397"/>
        <v>40909</v>
      </c>
      <c r="S3528">
        <f t="shared" si="398"/>
        <v>0</v>
      </c>
    </row>
    <row r="3529" spans="1:19" x14ac:dyDescent="0.3">
      <c r="A3529" s="17">
        <v>40919</v>
      </c>
      <c r="B3529">
        <v>719.35</v>
      </c>
      <c r="C3529">
        <v>111.12</v>
      </c>
      <c r="D3529">
        <f t="shared" si="395"/>
        <v>608.23</v>
      </c>
      <c r="E3529">
        <v>2.65</v>
      </c>
      <c r="F3529">
        <f t="shared" si="396"/>
        <v>-605.58000000000004</v>
      </c>
      <c r="I3529">
        <f t="shared" si="392"/>
        <v>11</v>
      </c>
      <c r="J3529">
        <v>1</v>
      </c>
      <c r="K3529">
        <f t="shared" si="393"/>
        <v>1</v>
      </c>
      <c r="L3529">
        <f t="shared" si="394"/>
        <v>2012</v>
      </c>
      <c r="N3529" s="17">
        <f t="shared" si="397"/>
        <v>40909</v>
      </c>
      <c r="S3529">
        <f t="shared" si="398"/>
        <v>0</v>
      </c>
    </row>
    <row r="3530" spans="1:19" x14ac:dyDescent="0.3">
      <c r="A3530" s="17">
        <v>40918</v>
      </c>
      <c r="B3530">
        <v>703.3</v>
      </c>
      <c r="C3530">
        <v>110.795</v>
      </c>
      <c r="D3530">
        <f t="shared" si="395"/>
        <v>592.505</v>
      </c>
      <c r="E3530">
        <v>2.6</v>
      </c>
      <c r="F3530">
        <f t="shared" si="396"/>
        <v>-589.90499999999997</v>
      </c>
      <c r="I3530">
        <f t="shared" si="392"/>
        <v>10</v>
      </c>
      <c r="J3530">
        <v>1</v>
      </c>
      <c r="K3530">
        <f t="shared" si="393"/>
        <v>1</v>
      </c>
      <c r="L3530">
        <f t="shared" si="394"/>
        <v>2012</v>
      </c>
      <c r="N3530" s="17">
        <f t="shared" si="397"/>
        <v>40909</v>
      </c>
      <c r="S3530">
        <f t="shared" si="398"/>
        <v>0</v>
      </c>
    </row>
    <row r="3531" spans="1:19" x14ac:dyDescent="0.3">
      <c r="A3531" s="17">
        <v>40917</v>
      </c>
      <c r="B3531">
        <v>699.04</v>
      </c>
      <c r="C3531">
        <v>110.895</v>
      </c>
      <c r="D3531">
        <f t="shared" si="395"/>
        <v>588.14499999999998</v>
      </c>
      <c r="E3531">
        <v>2.6</v>
      </c>
      <c r="F3531">
        <f t="shared" si="396"/>
        <v>-585.54499999999996</v>
      </c>
      <c r="I3531">
        <f t="shared" si="392"/>
        <v>9</v>
      </c>
      <c r="J3531">
        <v>1</v>
      </c>
      <c r="K3531">
        <f t="shared" si="393"/>
        <v>1</v>
      </c>
      <c r="L3531">
        <f t="shared" si="394"/>
        <v>2012</v>
      </c>
      <c r="N3531" s="17">
        <f t="shared" si="397"/>
        <v>40909</v>
      </c>
      <c r="S3531">
        <f t="shared" si="398"/>
        <v>0</v>
      </c>
    </row>
    <row r="3532" spans="1:19" x14ac:dyDescent="0.3">
      <c r="A3532" s="17">
        <v>40914</v>
      </c>
      <c r="B3532">
        <v>701.74</v>
      </c>
      <c r="C3532">
        <v>109.995</v>
      </c>
      <c r="D3532">
        <f t="shared" si="395"/>
        <v>591.745</v>
      </c>
      <c r="E3532">
        <v>2.76</v>
      </c>
      <c r="F3532">
        <f t="shared" si="396"/>
        <v>-588.98500000000001</v>
      </c>
      <c r="I3532">
        <f t="shared" si="392"/>
        <v>6</v>
      </c>
      <c r="J3532">
        <v>1</v>
      </c>
      <c r="K3532">
        <f t="shared" si="393"/>
        <v>1</v>
      </c>
      <c r="L3532">
        <f t="shared" si="394"/>
        <v>2012</v>
      </c>
      <c r="N3532" s="17">
        <f t="shared" si="397"/>
        <v>40909</v>
      </c>
      <c r="S3532">
        <f t="shared" si="398"/>
        <v>0</v>
      </c>
    </row>
    <row r="3533" spans="1:19" x14ac:dyDescent="0.3">
      <c r="A3533" s="17">
        <v>40913</v>
      </c>
      <c r="B3533">
        <v>708.18</v>
      </c>
      <c r="C3533">
        <v>110.81</v>
      </c>
      <c r="D3533">
        <f t="shared" si="395"/>
        <v>597.36999999999989</v>
      </c>
      <c r="E3533">
        <v>2.56</v>
      </c>
      <c r="F3533">
        <f t="shared" si="396"/>
        <v>-594.80999999999995</v>
      </c>
      <c r="I3533">
        <f t="shared" si="392"/>
        <v>5</v>
      </c>
      <c r="J3533">
        <v>1</v>
      </c>
      <c r="K3533">
        <f t="shared" si="393"/>
        <v>1</v>
      </c>
      <c r="L3533">
        <f t="shared" si="394"/>
        <v>2012</v>
      </c>
      <c r="N3533" s="17">
        <f t="shared" si="397"/>
        <v>40909</v>
      </c>
      <c r="S3533">
        <f t="shared" si="398"/>
        <v>0</v>
      </c>
    </row>
    <row r="3534" spans="1:19" x14ac:dyDescent="0.3">
      <c r="A3534" s="17">
        <v>40912</v>
      </c>
      <c r="B3534">
        <v>701.48</v>
      </c>
      <c r="C3534">
        <v>108.58</v>
      </c>
      <c r="D3534">
        <f t="shared" si="395"/>
        <v>592.9</v>
      </c>
      <c r="E3534">
        <v>2.59</v>
      </c>
      <c r="F3534">
        <f t="shared" si="396"/>
        <v>-590.30999999999995</v>
      </c>
      <c r="I3534">
        <f t="shared" si="392"/>
        <v>4</v>
      </c>
      <c r="J3534">
        <v>1</v>
      </c>
      <c r="K3534">
        <f t="shared" si="393"/>
        <v>1</v>
      </c>
      <c r="L3534">
        <f t="shared" si="394"/>
        <v>2012</v>
      </c>
      <c r="N3534" s="17">
        <f t="shared" si="397"/>
        <v>40909</v>
      </c>
      <c r="S3534">
        <f t="shared" si="398"/>
        <v>1</v>
      </c>
    </row>
    <row r="3535" spans="1:19" x14ac:dyDescent="0.3">
      <c r="A3535" s="17">
        <v>40911</v>
      </c>
      <c r="B3535">
        <v>681.05</v>
      </c>
      <c r="C3535">
        <v>105.6</v>
      </c>
      <c r="D3535">
        <f t="shared" si="395"/>
        <v>575.44999999999993</v>
      </c>
      <c r="E3535">
        <v>2.42</v>
      </c>
      <c r="F3535">
        <f t="shared" si="396"/>
        <v>-573.03</v>
      </c>
      <c r="I3535">
        <f t="shared" si="392"/>
        <v>3</v>
      </c>
      <c r="J3535">
        <v>1</v>
      </c>
      <c r="K3535">
        <f t="shared" si="393"/>
        <v>1</v>
      </c>
      <c r="L3535">
        <f t="shared" si="394"/>
        <v>2012</v>
      </c>
      <c r="N3535" s="17">
        <f t="shared" si="397"/>
        <v>40909</v>
      </c>
      <c r="S3535">
        <f t="shared" si="398"/>
        <v>1</v>
      </c>
    </row>
    <row r="3536" spans="1:19" x14ac:dyDescent="0.3">
      <c r="A3536" s="17">
        <v>40907</v>
      </c>
      <c r="B3536">
        <v>673.68</v>
      </c>
      <c r="C3536">
        <v>105.46</v>
      </c>
      <c r="D3536">
        <f t="shared" si="395"/>
        <v>568.21999999999991</v>
      </c>
      <c r="E3536">
        <v>2.2999999999999998</v>
      </c>
      <c r="F3536">
        <f t="shared" si="396"/>
        <v>-565.91999999999996</v>
      </c>
      <c r="I3536">
        <f t="shared" si="392"/>
        <v>30</v>
      </c>
      <c r="J3536">
        <v>1</v>
      </c>
      <c r="K3536">
        <f t="shared" si="393"/>
        <v>12</v>
      </c>
      <c r="L3536">
        <f t="shared" si="394"/>
        <v>2011</v>
      </c>
      <c r="N3536" s="17">
        <f t="shared" si="397"/>
        <v>40878</v>
      </c>
      <c r="S3536">
        <f t="shared" si="398"/>
        <v>0</v>
      </c>
    </row>
    <row r="3537" spans="1:19" x14ac:dyDescent="0.3">
      <c r="A3537" s="17">
        <v>40906</v>
      </c>
      <c r="B3537">
        <v>665.73</v>
      </c>
      <c r="C3537">
        <v>105.28</v>
      </c>
      <c r="D3537">
        <f t="shared" si="395"/>
        <v>560.45000000000005</v>
      </c>
      <c r="E3537">
        <v>2.4500000000000002</v>
      </c>
      <c r="F3537">
        <f t="shared" si="396"/>
        <v>-558</v>
      </c>
      <c r="I3537">
        <f t="shared" si="392"/>
        <v>29</v>
      </c>
      <c r="J3537">
        <v>1</v>
      </c>
      <c r="K3537">
        <f t="shared" si="393"/>
        <v>12</v>
      </c>
      <c r="L3537">
        <f t="shared" si="394"/>
        <v>2011</v>
      </c>
      <c r="N3537" s="17">
        <f t="shared" si="397"/>
        <v>40878</v>
      </c>
      <c r="S3537">
        <f t="shared" si="398"/>
        <v>0</v>
      </c>
    </row>
    <row r="3538" spans="1:19" x14ac:dyDescent="0.3">
      <c r="A3538" s="17">
        <v>40905</v>
      </c>
      <c r="B3538">
        <v>664.16</v>
      </c>
      <c r="C3538">
        <v>106.6</v>
      </c>
      <c r="D3538">
        <f t="shared" si="395"/>
        <v>557.55999999999995</v>
      </c>
      <c r="E3538">
        <v>2.76</v>
      </c>
      <c r="F3538">
        <f t="shared" si="396"/>
        <v>-554.79999999999995</v>
      </c>
      <c r="I3538">
        <f t="shared" si="392"/>
        <v>28</v>
      </c>
      <c r="J3538">
        <v>1</v>
      </c>
      <c r="K3538">
        <f t="shared" si="393"/>
        <v>12</v>
      </c>
      <c r="L3538">
        <f t="shared" si="394"/>
        <v>2011</v>
      </c>
      <c r="N3538" s="17">
        <f t="shared" si="397"/>
        <v>40878</v>
      </c>
      <c r="S3538">
        <f t="shared" si="398"/>
        <v>0</v>
      </c>
    </row>
    <row r="3539" spans="1:19" x14ac:dyDescent="0.3">
      <c r="A3539" s="17">
        <v>40904</v>
      </c>
      <c r="B3539">
        <v>660.92</v>
      </c>
      <c r="C3539">
        <v>106.2</v>
      </c>
      <c r="D3539">
        <f t="shared" si="395"/>
        <v>554.71999999999991</v>
      </c>
      <c r="E3539">
        <v>2.79</v>
      </c>
      <c r="F3539">
        <f t="shared" si="396"/>
        <v>-551.92999999999995</v>
      </c>
      <c r="I3539">
        <f t="shared" si="392"/>
        <v>27</v>
      </c>
      <c r="J3539">
        <v>1</v>
      </c>
      <c r="K3539">
        <f t="shared" si="393"/>
        <v>12</v>
      </c>
      <c r="L3539">
        <f t="shared" si="394"/>
        <v>2011</v>
      </c>
      <c r="N3539" s="17">
        <f t="shared" si="397"/>
        <v>40878</v>
      </c>
      <c r="S3539">
        <f t="shared" si="398"/>
        <v>0</v>
      </c>
    </row>
    <row r="3540" spans="1:19" x14ac:dyDescent="0.3">
      <c r="A3540" s="17">
        <v>40900</v>
      </c>
      <c r="B3540">
        <v>661.28</v>
      </c>
      <c r="C3540">
        <v>106.67</v>
      </c>
      <c r="D3540">
        <f t="shared" si="395"/>
        <v>554.61</v>
      </c>
      <c r="E3540">
        <v>2.81</v>
      </c>
      <c r="F3540">
        <f t="shared" si="396"/>
        <v>-551.80000000000007</v>
      </c>
      <c r="I3540">
        <f t="shared" si="392"/>
        <v>23</v>
      </c>
      <c r="J3540">
        <v>1</v>
      </c>
      <c r="K3540">
        <f t="shared" si="393"/>
        <v>12</v>
      </c>
      <c r="L3540">
        <f t="shared" si="394"/>
        <v>2011</v>
      </c>
      <c r="N3540" s="17">
        <f t="shared" si="397"/>
        <v>40878</v>
      </c>
      <c r="S3540">
        <f t="shared" si="398"/>
        <v>0</v>
      </c>
    </row>
    <row r="3541" spans="1:19" x14ac:dyDescent="0.3">
      <c r="A3541" s="17">
        <v>40899</v>
      </c>
      <c r="B3541">
        <v>660.94</v>
      </c>
      <c r="C3541">
        <v>106.2</v>
      </c>
      <c r="D3541">
        <f t="shared" si="395"/>
        <v>554.74</v>
      </c>
      <c r="E3541">
        <v>2.8</v>
      </c>
      <c r="F3541">
        <f t="shared" si="396"/>
        <v>-551.94000000000005</v>
      </c>
      <c r="I3541">
        <f t="shared" si="392"/>
        <v>22</v>
      </c>
      <c r="J3541">
        <v>1</v>
      </c>
      <c r="K3541">
        <f t="shared" si="393"/>
        <v>12</v>
      </c>
      <c r="L3541">
        <f t="shared" si="394"/>
        <v>2011</v>
      </c>
      <c r="N3541" s="17">
        <f t="shared" si="397"/>
        <v>40878</v>
      </c>
      <c r="S3541">
        <f t="shared" si="398"/>
        <v>0</v>
      </c>
    </row>
    <row r="3542" spans="1:19" x14ac:dyDescent="0.3">
      <c r="A3542" s="17">
        <v>40898</v>
      </c>
      <c r="B3542">
        <v>657.15</v>
      </c>
      <c r="C3542">
        <v>105.68</v>
      </c>
      <c r="D3542">
        <f t="shared" si="395"/>
        <v>551.47</v>
      </c>
      <c r="E3542">
        <v>2.84</v>
      </c>
      <c r="F3542">
        <f t="shared" si="396"/>
        <v>-548.63</v>
      </c>
      <c r="I3542">
        <f t="shared" si="392"/>
        <v>21</v>
      </c>
      <c r="J3542">
        <v>1</v>
      </c>
      <c r="K3542">
        <f t="shared" si="393"/>
        <v>12</v>
      </c>
      <c r="L3542">
        <f t="shared" si="394"/>
        <v>2011</v>
      </c>
      <c r="N3542" s="17">
        <f t="shared" si="397"/>
        <v>40878</v>
      </c>
      <c r="S3542">
        <f t="shared" si="398"/>
        <v>0</v>
      </c>
    </row>
    <row r="3543" spans="1:19" x14ac:dyDescent="0.3">
      <c r="A3543" s="17">
        <v>40897</v>
      </c>
      <c r="B3543">
        <v>645.52</v>
      </c>
      <c r="C3543">
        <v>102.82</v>
      </c>
      <c r="D3543">
        <f t="shared" si="395"/>
        <v>542.70000000000005</v>
      </c>
      <c r="E3543">
        <v>2.85</v>
      </c>
      <c r="F3543">
        <f t="shared" si="396"/>
        <v>-539.85</v>
      </c>
      <c r="I3543">
        <f t="shared" si="392"/>
        <v>20</v>
      </c>
      <c r="J3543">
        <v>1</v>
      </c>
      <c r="K3543">
        <f t="shared" si="393"/>
        <v>12</v>
      </c>
      <c r="L3543">
        <f t="shared" si="394"/>
        <v>2011</v>
      </c>
      <c r="N3543" s="17">
        <f t="shared" si="397"/>
        <v>40878</v>
      </c>
      <c r="S3543">
        <f t="shared" si="398"/>
        <v>0</v>
      </c>
    </row>
    <row r="3544" spans="1:19" x14ac:dyDescent="0.3">
      <c r="A3544" s="17">
        <v>40896</v>
      </c>
      <c r="B3544">
        <v>626.19000000000005</v>
      </c>
      <c r="C3544">
        <v>101.45</v>
      </c>
      <c r="D3544">
        <f t="shared" si="395"/>
        <v>524.74</v>
      </c>
      <c r="E3544">
        <v>2.76</v>
      </c>
      <c r="F3544">
        <f t="shared" si="396"/>
        <v>-521.98</v>
      </c>
      <c r="I3544">
        <f t="shared" si="392"/>
        <v>19</v>
      </c>
      <c r="J3544">
        <v>1</v>
      </c>
      <c r="K3544">
        <f t="shared" si="393"/>
        <v>12</v>
      </c>
      <c r="L3544">
        <f t="shared" si="394"/>
        <v>2011</v>
      </c>
      <c r="N3544" s="17">
        <f t="shared" si="397"/>
        <v>40878</v>
      </c>
      <c r="S3544">
        <f t="shared" si="398"/>
        <v>0</v>
      </c>
    </row>
    <row r="3545" spans="1:19" x14ac:dyDescent="0.3">
      <c r="A3545" s="17">
        <v>40893</v>
      </c>
      <c r="B3545">
        <v>629.20000000000005</v>
      </c>
      <c r="C3545">
        <v>102.65</v>
      </c>
      <c r="D3545">
        <f t="shared" si="395"/>
        <v>526.55000000000007</v>
      </c>
      <c r="E3545">
        <v>2.77</v>
      </c>
      <c r="F3545">
        <f t="shared" si="396"/>
        <v>-523.78000000000009</v>
      </c>
      <c r="I3545">
        <f t="shared" si="392"/>
        <v>16</v>
      </c>
      <c r="J3545">
        <v>1</v>
      </c>
      <c r="K3545">
        <f t="shared" si="393"/>
        <v>12</v>
      </c>
      <c r="L3545">
        <f t="shared" si="394"/>
        <v>2011</v>
      </c>
      <c r="N3545" s="17">
        <f t="shared" si="397"/>
        <v>40878</v>
      </c>
      <c r="S3545">
        <f t="shared" si="398"/>
        <v>0</v>
      </c>
    </row>
    <row r="3546" spans="1:19" x14ac:dyDescent="0.3">
      <c r="A3546" s="17">
        <v>40892</v>
      </c>
      <c r="B3546">
        <v>633.73</v>
      </c>
      <c r="C3546">
        <v>104.095</v>
      </c>
      <c r="D3546">
        <f t="shared" si="395"/>
        <v>529.63499999999999</v>
      </c>
      <c r="E3546">
        <v>2.71</v>
      </c>
      <c r="F3546">
        <f t="shared" si="396"/>
        <v>-526.92499999999995</v>
      </c>
      <c r="I3546">
        <f t="shared" si="392"/>
        <v>15</v>
      </c>
      <c r="J3546">
        <v>1</v>
      </c>
      <c r="K3546">
        <f t="shared" si="393"/>
        <v>12</v>
      </c>
      <c r="L3546">
        <f t="shared" si="394"/>
        <v>2011</v>
      </c>
      <c r="N3546" s="17">
        <f t="shared" si="397"/>
        <v>40878</v>
      </c>
      <c r="S3546">
        <f t="shared" si="398"/>
        <v>0</v>
      </c>
    </row>
    <row r="3547" spans="1:19" x14ac:dyDescent="0.3">
      <c r="A3547" s="17">
        <v>40891</v>
      </c>
      <c r="B3547">
        <v>650.12</v>
      </c>
      <c r="C3547">
        <v>107.405</v>
      </c>
      <c r="D3547">
        <f t="shared" si="395"/>
        <v>542.71500000000003</v>
      </c>
      <c r="E3547">
        <v>2.99</v>
      </c>
      <c r="F3547">
        <f t="shared" si="396"/>
        <v>-539.72500000000002</v>
      </c>
      <c r="I3547">
        <f t="shared" si="392"/>
        <v>14</v>
      </c>
      <c r="J3547">
        <v>1</v>
      </c>
      <c r="K3547">
        <f t="shared" si="393"/>
        <v>12</v>
      </c>
      <c r="L3547">
        <f t="shared" si="394"/>
        <v>2011</v>
      </c>
      <c r="N3547" s="17">
        <f t="shared" si="397"/>
        <v>40878</v>
      </c>
      <c r="S3547">
        <f t="shared" si="398"/>
        <v>0</v>
      </c>
    </row>
    <row r="3548" spans="1:19" x14ac:dyDescent="0.3">
      <c r="A3548" s="17">
        <v>40890</v>
      </c>
      <c r="B3548">
        <v>644.52</v>
      </c>
      <c r="C3548">
        <v>106.39</v>
      </c>
      <c r="D3548">
        <f t="shared" si="395"/>
        <v>538.13</v>
      </c>
      <c r="E3548">
        <v>2.96</v>
      </c>
      <c r="F3548">
        <f t="shared" si="396"/>
        <v>-535.16999999999996</v>
      </c>
      <c r="I3548">
        <f t="shared" si="392"/>
        <v>13</v>
      </c>
      <c r="J3548">
        <v>1</v>
      </c>
      <c r="K3548">
        <f t="shared" si="393"/>
        <v>12</v>
      </c>
      <c r="L3548">
        <f t="shared" si="394"/>
        <v>2011</v>
      </c>
      <c r="N3548" s="17">
        <f t="shared" si="397"/>
        <v>40878</v>
      </c>
      <c r="S3548">
        <f t="shared" si="398"/>
        <v>0</v>
      </c>
    </row>
    <row r="3549" spans="1:19" x14ac:dyDescent="0.3">
      <c r="A3549" s="17">
        <v>40889</v>
      </c>
      <c r="B3549">
        <v>644.53</v>
      </c>
      <c r="C3549">
        <v>106.86</v>
      </c>
      <c r="D3549">
        <f t="shared" si="395"/>
        <v>537.66999999999996</v>
      </c>
      <c r="E3549">
        <v>3.06</v>
      </c>
      <c r="F3549">
        <f t="shared" si="396"/>
        <v>-534.61</v>
      </c>
      <c r="I3549">
        <f t="shared" si="392"/>
        <v>12</v>
      </c>
      <c r="J3549">
        <v>1</v>
      </c>
      <c r="K3549">
        <f t="shared" si="393"/>
        <v>12</v>
      </c>
      <c r="L3549">
        <f t="shared" si="394"/>
        <v>2011</v>
      </c>
      <c r="N3549" s="17">
        <f t="shared" si="397"/>
        <v>40878</v>
      </c>
      <c r="S3549">
        <f t="shared" si="398"/>
        <v>0</v>
      </c>
    </row>
    <row r="3550" spans="1:19" x14ac:dyDescent="0.3">
      <c r="A3550" s="17">
        <v>40886</v>
      </c>
      <c r="B3550">
        <v>644.58000000000004</v>
      </c>
      <c r="C3550">
        <v>106.65</v>
      </c>
      <c r="D3550">
        <f t="shared" si="395"/>
        <v>537.93000000000006</v>
      </c>
      <c r="E3550">
        <v>3.68</v>
      </c>
      <c r="F3550">
        <f t="shared" si="396"/>
        <v>-534.25000000000011</v>
      </c>
      <c r="I3550">
        <f t="shared" si="392"/>
        <v>9</v>
      </c>
      <c r="J3550">
        <v>1</v>
      </c>
      <c r="K3550">
        <f t="shared" si="393"/>
        <v>12</v>
      </c>
      <c r="L3550">
        <f t="shared" si="394"/>
        <v>2011</v>
      </c>
      <c r="N3550" s="17">
        <f t="shared" si="397"/>
        <v>40878</v>
      </c>
      <c r="S3550">
        <f t="shared" si="398"/>
        <v>0</v>
      </c>
    </row>
    <row r="3551" spans="1:19" x14ac:dyDescent="0.3">
      <c r="A3551" s="17">
        <v>40885</v>
      </c>
      <c r="B3551">
        <v>666.4</v>
      </c>
      <c r="C3551">
        <v>109.18</v>
      </c>
      <c r="D3551">
        <f t="shared" si="395"/>
        <v>557.22</v>
      </c>
      <c r="E3551">
        <v>3.6</v>
      </c>
      <c r="F3551">
        <f t="shared" si="396"/>
        <v>-553.62</v>
      </c>
      <c r="I3551">
        <f t="shared" si="392"/>
        <v>8</v>
      </c>
      <c r="J3551">
        <v>1</v>
      </c>
      <c r="K3551">
        <f t="shared" si="393"/>
        <v>12</v>
      </c>
      <c r="L3551">
        <f t="shared" si="394"/>
        <v>2011</v>
      </c>
      <c r="N3551" s="17">
        <f t="shared" si="397"/>
        <v>40878</v>
      </c>
      <c r="S3551">
        <f t="shared" si="398"/>
        <v>0</v>
      </c>
    </row>
    <row r="3552" spans="1:19" x14ac:dyDescent="0.3">
      <c r="A3552" s="17">
        <v>40884</v>
      </c>
      <c r="B3552">
        <v>670.33</v>
      </c>
      <c r="C3552">
        <v>109.85</v>
      </c>
      <c r="D3552">
        <f t="shared" si="395"/>
        <v>560.48</v>
      </c>
      <c r="E3552">
        <v>3.75</v>
      </c>
      <c r="F3552">
        <f t="shared" si="396"/>
        <v>-556.73</v>
      </c>
      <c r="I3552">
        <f t="shared" si="392"/>
        <v>7</v>
      </c>
      <c r="J3552">
        <v>1</v>
      </c>
      <c r="K3552">
        <f t="shared" si="393"/>
        <v>12</v>
      </c>
      <c r="L3552">
        <f t="shared" si="394"/>
        <v>2011</v>
      </c>
      <c r="N3552" s="17">
        <f t="shared" si="397"/>
        <v>40878</v>
      </c>
      <c r="S3552">
        <f t="shared" si="398"/>
        <v>0</v>
      </c>
    </row>
    <row r="3553" spans="1:19" x14ac:dyDescent="0.3">
      <c r="A3553" s="17">
        <v>40883</v>
      </c>
      <c r="B3553">
        <v>664.21</v>
      </c>
      <c r="C3553">
        <v>108.5</v>
      </c>
      <c r="D3553">
        <f t="shared" si="395"/>
        <v>555.71</v>
      </c>
      <c r="E3553">
        <v>3.8</v>
      </c>
      <c r="F3553">
        <f t="shared" si="396"/>
        <v>-551.91000000000008</v>
      </c>
      <c r="I3553">
        <f t="shared" si="392"/>
        <v>6</v>
      </c>
      <c r="J3553">
        <v>1</v>
      </c>
      <c r="K3553">
        <f t="shared" si="393"/>
        <v>12</v>
      </c>
      <c r="L3553">
        <f t="shared" si="394"/>
        <v>2011</v>
      </c>
      <c r="N3553" s="17">
        <f t="shared" si="397"/>
        <v>40878</v>
      </c>
      <c r="S3553">
        <f t="shared" si="398"/>
        <v>0</v>
      </c>
    </row>
    <row r="3554" spans="1:19" x14ac:dyDescent="0.3">
      <c r="A3554" s="17">
        <v>40882</v>
      </c>
      <c r="B3554">
        <v>670.68</v>
      </c>
      <c r="C3554">
        <v>109.55</v>
      </c>
      <c r="D3554">
        <f t="shared" si="395"/>
        <v>561.13</v>
      </c>
      <c r="E3554">
        <v>3.95</v>
      </c>
      <c r="F3554">
        <f t="shared" si="396"/>
        <v>-557.17999999999995</v>
      </c>
      <c r="I3554">
        <f t="shared" si="392"/>
        <v>5</v>
      </c>
      <c r="J3554">
        <v>1</v>
      </c>
      <c r="K3554">
        <f t="shared" si="393"/>
        <v>12</v>
      </c>
      <c r="L3554">
        <f t="shared" si="394"/>
        <v>2011</v>
      </c>
      <c r="N3554" s="17">
        <f t="shared" si="397"/>
        <v>40878</v>
      </c>
      <c r="S3554">
        <f t="shared" si="398"/>
        <v>0</v>
      </c>
    </row>
    <row r="3555" spans="1:19" x14ac:dyDescent="0.3">
      <c r="A3555" s="17">
        <v>40879</v>
      </c>
      <c r="B3555">
        <v>671.35</v>
      </c>
      <c r="C3555">
        <v>108.86</v>
      </c>
      <c r="D3555">
        <f t="shared" si="395"/>
        <v>562.49</v>
      </c>
      <c r="E3555">
        <v>4</v>
      </c>
      <c r="F3555">
        <f t="shared" si="396"/>
        <v>-558.49</v>
      </c>
      <c r="I3555">
        <f t="shared" si="392"/>
        <v>2</v>
      </c>
      <c r="J3555">
        <v>1</v>
      </c>
      <c r="K3555">
        <f t="shared" si="393"/>
        <v>12</v>
      </c>
      <c r="L3555">
        <f t="shared" si="394"/>
        <v>2011</v>
      </c>
      <c r="N3555" s="17">
        <f t="shared" si="397"/>
        <v>40878</v>
      </c>
      <c r="S3555">
        <f t="shared" si="398"/>
        <v>1</v>
      </c>
    </row>
    <row r="3556" spans="1:19" x14ac:dyDescent="0.3">
      <c r="A3556" s="17">
        <v>40878</v>
      </c>
      <c r="B3556">
        <v>673.63</v>
      </c>
      <c r="C3556">
        <v>108.71</v>
      </c>
      <c r="D3556">
        <f t="shared" si="395"/>
        <v>564.91999999999996</v>
      </c>
      <c r="E3556">
        <v>4</v>
      </c>
      <c r="F3556">
        <f t="shared" si="396"/>
        <v>-560.91999999999996</v>
      </c>
      <c r="I3556">
        <f t="shared" si="392"/>
        <v>1</v>
      </c>
      <c r="J3556">
        <v>1</v>
      </c>
      <c r="K3556">
        <f t="shared" si="393"/>
        <v>12</v>
      </c>
      <c r="L3556">
        <f t="shared" si="394"/>
        <v>2011</v>
      </c>
      <c r="N3556" s="17">
        <f t="shared" si="397"/>
        <v>40878</v>
      </c>
      <c r="S3556">
        <f t="shared" si="398"/>
        <v>1</v>
      </c>
    </row>
    <row r="3557" spans="1:19" x14ac:dyDescent="0.3">
      <c r="A3557" s="17">
        <v>40877</v>
      </c>
      <c r="B3557">
        <v>672.32</v>
      </c>
      <c r="C3557">
        <v>109.405</v>
      </c>
      <c r="D3557">
        <f t="shared" si="395"/>
        <v>562.91500000000008</v>
      </c>
      <c r="E3557">
        <v>4.03</v>
      </c>
      <c r="F3557">
        <f t="shared" si="396"/>
        <v>-558.8850000000001</v>
      </c>
      <c r="I3557">
        <f t="shared" si="392"/>
        <v>30</v>
      </c>
      <c r="J3557">
        <v>1</v>
      </c>
      <c r="K3557">
        <f t="shared" si="393"/>
        <v>11</v>
      </c>
      <c r="L3557">
        <f t="shared" si="394"/>
        <v>2011</v>
      </c>
      <c r="N3557" s="17">
        <f t="shared" si="397"/>
        <v>40848</v>
      </c>
      <c r="S3557">
        <f t="shared" si="398"/>
        <v>0</v>
      </c>
    </row>
    <row r="3558" spans="1:19" x14ac:dyDescent="0.3">
      <c r="A3558" s="17">
        <v>40876</v>
      </c>
      <c r="B3558">
        <v>667.63</v>
      </c>
      <c r="C3558">
        <v>108.3</v>
      </c>
      <c r="D3558">
        <f t="shared" si="395"/>
        <v>559.33000000000004</v>
      </c>
      <c r="E3558">
        <v>4.03</v>
      </c>
      <c r="F3558">
        <f t="shared" si="396"/>
        <v>-555.30000000000007</v>
      </c>
      <c r="I3558">
        <f t="shared" si="392"/>
        <v>29</v>
      </c>
      <c r="J3558">
        <v>1</v>
      </c>
      <c r="K3558">
        <f t="shared" si="393"/>
        <v>11</v>
      </c>
      <c r="L3558">
        <f t="shared" si="394"/>
        <v>2011</v>
      </c>
      <c r="N3558" s="17">
        <f t="shared" si="397"/>
        <v>40848</v>
      </c>
      <c r="S3558">
        <f t="shared" si="398"/>
        <v>0</v>
      </c>
    </row>
    <row r="3559" spans="1:19" x14ac:dyDescent="0.3">
      <c r="A3559" s="17">
        <v>40875</v>
      </c>
      <c r="B3559">
        <v>657.5</v>
      </c>
      <c r="C3559">
        <v>108.1</v>
      </c>
      <c r="D3559">
        <f t="shared" si="395"/>
        <v>549.4</v>
      </c>
      <c r="E3559">
        <v>3.98</v>
      </c>
      <c r="F3559">
        <f t="shared" si="396"/>
        <v>-545.41999999999996</v>
      </c>
      <c r="I3559">
        <f t="shared" si="392"/>
        <v>28</v>
      </c>
      <c r="J3559">
        <v>1</v>
      </c>
      <c r="K3559">
        <f t="shared" si="393"/>
        <v>11</v>
      </c>
      <c r="L3559">
        <f t="shared" si="394"/>
        <v>2011</v>
      </c>
      <c r="N3559" s="17">
        <f t="shared" si="397"/>
        <v>40848</v>
      </c>
      <c r="S3559">
        <f t="shared" si="398"/>
        <v>0</v>
      </c>
    </row>
    <row r="3560" spans="1:19" x14ac:dyDescent="0.3">
      <c r="A3560" s="17">
        <v>40872</v>
      </c>
      <c r="B3560">
        <v>656.09</v>
      </c>
      <c r="C3560">
        <v>107.6</v>
      </c>
      <c r="D3560">
        <f t="shared" si="395"/>
        <v>548.49</v>
      </c>
      <c r="E3560">
        <v>3.98</v>
      </c>
      <c r="F3560">
        <f t="shared" si="396"/>
        <v>-544.51</v>
      </c>
      <c r="I3560">
        <f t="shared" si="392"/>
        <v>25</v>
      </c>
      <c r="J3560">
        <v>1</v>
      </c>
      <c r="K3560">
        <f t="shared" si="393"/>
        <v>11</v>
      </c>
      <c r="L3560">
        <f t="shared" si="394"/>
        <v>2011</v>
      </c>
      <c r="N3560" s="17">
        <f t="shared" si="397"/>
        <v>40848</v>
      </c>
      <c r="S3560">
        <f t="shared" si="398"/>
        <v>0</v>
      </c>
    </row>
    <row r="3561" spans="1:19" x14ac:dyDescent="0.3">
      <c r="A3561" s="17">
        <v>40871</v>
      </c>
      <c r="B3561">
        <v>657.23</v>
      </c>
      <c r="C3561">
        <v>107.85</v>
      </c>
      <c r="D3561">
        <f t="shared" si="395"/>
        <v>549.38</v>
      </c>
      <c r="E3561">
        <v>3.98</v>
      </c>
      <c r="F3561">
        <f t="shared" si="396"/>
        <v>-545.4</v>
      </c>
      <c r="I3561">
        <f t="shared" si="392"/>
        <v>24</v>
      </c>
      <c r="J3561">
        <v>1</v>
      </c>
      <c r="K3561">
        <f t="shared" si="393"/>
        <v>11</v>
      </c>
      <c r="L3561">
        <f t="shared" si="394"/>
        <v>2011</v>
      </c>
      <c r="N3561" s="17">
        <f t="shared" si="397"/>
        <v>40848</v>
      </c>
      <c r="S3561">
        <f t="shared" si="398"/>
        <v>0</v>
      </c>
    </row>
    <row r="3562" spans="1:19" x14ac:dyDescent="0.3">
      <c r="A3562" s="17">
        <v>40870</v>
      </c>
      <c r="B3562">
        <v>660.18</v>
      </c>
      <c r="C3562">
        <v>108.5</v>
      </c>
      <c r="D3562">
        <f t="shared" si="395"/>
        <v>551.67999999999995</v>
      </c>
      <c r="E3562">
        <v>3.85</v>
      </c>
      <c r="F3562">
        <f t="shared" si="396"/>
        <v>-547.82999999999993</v>
      </c>
      <c r="I3562">
        <f t="shared" si="392"/>
        <v>23</v>
      </c>
      <c r="J3562">
        <v>1</v>
      </c>
      <c r="K3562">
        <f t="shared" si="393"/>
        <v>11</v>
      </c>
      <c r="L3562">
        <f t="shared" si="394"/>
        <v>2011</v>
      </c>
      <c r="N3562" s="17">
        <f t="shared" si="397"/>
        <v>40848</v>
      </c>
      <c r="S3562">
        <f t="shared" si="398"/>
        <v>0</v>
      </c>
    </row>
    <row r="3563" spans="1:19" x14ac:dyDescent="0.3">
      <c r="A3563" s="17">
        <v>40869</v>
      </c>
      <c r="B3563">
        <v>649.88</v>
      </c>
      <c r="C3563">
        <v>107.9</v>
      </c>
      <c r="D3563">
        <f t="shared" si="395"/>
        <v>541.98</v>
      </c>
      <c r="E3563">
        <v>3.8</v>
      </c>
      <c r="F3563">
        <f t="shared" si="396"/>
        <v>-538.18000000000006</v>
      </c>
      <c r="I3563">
        <f t="shared" si="392"/>
        <v>22</v>
      </c>
      <c r="J3563">
        <v>1</v>
      </c>
      <c r="K3563">
        <f t="shared" si="393"/>
        <v>11</v>
      </c>
      <c r="L3563">
        <f t="shared" si="394"/>
        <v>2011</v>
      </c>
      <c r="N3563" s="17">
        <f t="shared" si="397"/>
        <v>40848</v>
      </c>
      <c r="S3563">
        <f t="shared" si="398"/>
        <v>0</v>
      </c>
    </row>
    <row r="3564" spans="1:19" x14ac:dyDescent="0.3">
      <c r="A3564" s="17">
        <v>40868</v>
      </c>
      <c r="B3564">
        <v>647.82000000000005</v>
      </c>
      <c r="C3564">
        <v>107.8</v>
      </c>
      <c r="D3564">
        <f t="shared" si="395"/>
        <v>540.0200000000001</v>
      </c>
      <c r="E3564">
        <v>3.9</v>
      </c>
      <c r="F3564">
        <f t="shared" si="396"/>
        <v>-536.12000000000012</v>
      </c>
      <c r="I3564">
        <f t="shared" si="392"/>
        <v>21</v>
      </c>
      <c r="J3564">
        <v>1</v>
      </c>
      <c r="K3564">
        <f t="shared" si="393"/>
        <v>11</v>
      </c>
      <c r="L3564">
        <f t="shared" si="394"/>
        <v>2011</v>
      </c>
      <c r="N3564" s="17">
        <f t="shared" si="397"/>
        <v>40848</v>
      </c>
      <c r="S3564">
        <f t="shared" si="398"/>
        <v>0</v>
      </c>
    </row>
    <row r="3565" spans="1:19" x14ac:dyDescent="0.3">
      <c r="A3565" s="17">
        <v>40865</v>
      </c>
      <c r="B3565">
        <v>665.09</v>
      </c>
      <c r="C3565">
        <v>108.88</v>
      </c>
      <c r="D3565">
        <f t="shared" si="395"/>
        <v>556.21</v>
      </c>
      <c r="E3565">
        <v>4</v>
      </c>
      <c r="F3565">
        <f t="shared" si="396"/>
        <v>-552.21</v>
      </c>
      <c r="I3565">
        <f t="shared" si="392"/>
        <v>18</v>
      </c>
      <c r="J3565">
        <v>1</v>
      </c>
      <c r="K3565">
        <f t="shared" si="393"/>
        <v>11</v>
      </c>
      <c r="L3565">
        <f t="shared" si="394"/>
        <v>2011</v>
      </c>
      <c r="N3565" s="17">
        <f t="shared" si="397"/>
        <v>40848</v>
      </c>
      <c r="S3565">
        <f t="shared" si="398"/>
        <v>0</v>
      </c>
    </row>
    <row r="3566" spans="1:19" x14ac:dyDescent="0.3">
      <c r="A3566" s="17">
        <v>40864</v>
      </c>
      <c r="B3566">
        <v>681.88</v>
      </c>
      <c r="C3566">
        <v>110.93</v>
      </c>
      <c r="D3566">
        <f t="shared" si="395"/>
        <v>570.95000000000005</v>
      </c>
      <c r="E3566">
        <v>4.0999999999999996</v>
      </c>
      <c r="F3566">
        <f t="shared" si="396"/>
        <v>-566.85</v>
      </c>
      <c r="I3566">
        <f t="shared" si="392"/>
        <v>17</v>
      </c>
      <c r="J3566">
        <v>1</v>
      </c>
      <c r="K3566">
        <f t="shared" si="393"/>
        <v>11</v>
      </c>
      <c r="L3566">
        <f t="shared" si="394"/>
        <v>2011</v>
      </c>
      <c r="N3566" s="17">
        <f t="shared" si="397"/>
        <v>40848</v>
      </c>
      <c r="S3566">
        <f t="shared" si="398"/>
        <v>0</v>
      </c>
    </row>
    <row r="3567" spans="1:19" x14ac:dyDescent="0.3">
      <c r="A3567" s="17">
        <v>40863</v>
      </c>
      <c r="B3567">
        <v>694.12</v>
      </c>
      <c r="C3567">
        <v>111.4</v>
      </c>
      <c r="D3567">
        <f t="shared" si="395"/>
        <v>582.72</v>
      </c>
      <c r="E3567">
        <v>4.05</v>
      </c>
      <c r="F3567">
        <f t="shared" si="396"/>
        <v>-578.67000000000007</v>
      </c>
      <c r="I3567">
        <f t="shared" si="392"/>
        <v>16</v>
      </c>
      <c r="J3567">
        <v>1</v>
      </c>
      <c r="K3567">
        <f t="shared" si="393"/>
        <v>11</v>
      </c>
      <c r="L3567">
        <f t="shared" si="394"/>
        <v>2011</v>
      </c>
      <c r="N3567" s="17">
        <f t="shared" si="397"/>
        <v>40848</v>
      </c>
      <c r="S3567">
        <f t="shared" si="398"/>
        <v>0</v>
      </c>
    </row>
    <row r="3568" spans="1:19" x14ac:dyDescent="0.3">
      <c r="A3568" s="17">
        <v>40862</v>
      </c>
      <c r="B3568">
        <v>697.49</v>
      </c>
      <c r="C3568">
        <v>111.37</v>
      </c>
      <c r="D3568">
        <f t="shared" si="395"/>
        <v>586.12</v>
      </c>
      <c r="E3568">
        <v>4.05</v>
      </c>
      <c r="F3568">
        <f t="shared" si="396"/>
        <v>-582.07000000000005</v>
      </c>
      <c r="I3568">
        <f t="shared" si="392"/>
        <v>15</v>
      </c>
      <c r="J3568">
        <v>1</v>
      </c>
      <c r="K3568">
        <f t="shared" si="393"/>
        <v>11</v>
      </c>
      <c r="L3568">
        <f t="shared" si="394"/>
        <v>2011</v>
      </c>
      <c r="N3568" s="17">
        <f t="shared" si="397"/>
        <v>40848</v>
      </c>
      <c r="S3568">
        <f t="shared" si="398"/>
        <v>0</v>
      </c>
    </row>
    <row r="3569" spans="1:6" x14ac:dyDescent="0.3">
      <c r="A3569" s="17">
        <v>40861</v>
      </c>
      <c r="B3569">
        <v>704.88</v>
      </c>
      <c r="C3569">
        <v>112.15</v>
      </c>
      <c r="D3569">
        <f t="shared" si="395"/>
        <v>592.73</v>
      </c>
      <c r="E3569">
        <v>3.95</v>
      </c>
      <c r="F3569">
        <f t="shared" si="396"/>
        <v>-588.78</v>
      </c>
    </row>
    <row r="3570" spans="1:6" x14ac:dyDescent="0.3">
      <c r="A3570" s="17">
        <v>40858</v>
      </c>
      <c r="B3570">
        <v>703.51</v>
      </c>
      <c r="C3570">
        <v>111.47</v>
      </c>
      <c r="D3570">
        <f t="shared" si="395"/>
        <v>592.04</v>
      </c>
      <c r="E3570">
        <v>3.9</v>
      </c>
      <c r="F3570">
        <f t="shared" si="396"/>
        <v>-588.14</v>
      </c>
    </row>
    <row r="3571" spans="1:6" x14ac:dyDescent="0.3">
      <c r="A3571" s="17">
        <v>40857</v>
      </c>
      <c r="B3571">
        <v>694.77</v>
      </c>
      <c r="C3571">
        <v>109.6</v>
      </c>
      <c r="D3571">
        <f t="shared" si="395"/>
        <v>585.16999999999996</v>
      </c>
      <c r="E3571">
        <v>3.9</v>
      </c>
      <c r="F3571">
        <f t="shared" si="396"/>
        <v>-581.27</v>
      </c>
    </row>
    <row r="3572" spans="1:6" x14ac:dyDescent="0.3">
      <c r="A3572" s="17">
        <v>40856</v>
      </c>
      <c r="B3572">
        <v>704.9</v>
      </c>
      <c r="C3572">
        <v>111.6</v>
      </c>
      <c r="D3572">
        <f t="shared" si="395"/>
        <v>593.29999999999995</v>
      </c>
      <c r="E3572">
        <v>4.1500000000000004</v>
      </c>
      <c r="F3572">
        <f t="shared" si="396"/>
        <v>-589.15</v>
      </c>
    </row>
    <row r="3573" spans="1:6" x14ac:dyDescent="0.3">
      <c r="A3573" s="17">
        <v>40855</v>
      </c>
      <c r="B3573">
        <v>706.99</v>
      </c>
      <c r="C3573">
        <v>111.86</v>
      </c>
      <c r="D3573">
        <f t="shared" si="395"/>
        <v>595.13</v>
      </c>
      <c r="E3573">
        <v>4.2</v>
      </c>
      <c r="F3573">
        <f t="shared" si="396"/>
        <v>-590.92999999999995</v>
      </c>
    </row>
    <row r="3574" spans="1:6" x14ac:dyDescent="0.3">
      <c r="A3574" s="17">
        <v>40851</v>
      </c>
      <c r="B3574">
        <v>685.58</v>
      </c>
      <c r="C3574">
        <v>107.76</v>
      </c>
      <c r="D3574">
        <f t="shared" si="395"/>
        <v>577.82000000000005</v>
      </c>
      <c r="E3574">
        <v>4.05</v>
      </c>
      <c r="F3574">
        <f t="shared" si="396"/>
        <v>-573.7700000000001</v>
      </c>
    </row>
    <row r="3575" spans="1:6" x14ac:dyDescent="0.3">
      <c r="A3575" s="17">
        <v>40850</v>
      </c>
      <c r="B3575">
        <v>675.69</v>
      </c>
      <c r="C3575">
        <v>105.16</v>
      </c>
      <c r="D3575">
        <f t="shared" si="395"/>
        <v>570.53000000000009</v>
      </c>
      <c r="E3575">
        <v>3.65</v>
      </c>
      <c r="F3575">
        <f t="shared" si="396"/>
        <v>-566.88000000000011</v>
      </c>
    </row>
    <row r="3576" spans="1:6" x14ac:dyDescent="0.3">
      <c r="A3576" s="17">
        <v>40849</v>
      </c>
      <c r="B3576">
        <v>681.64</v>
      </c>
      <c r="C3576">
        <v>106.75</v>
      </c>
      <c r="D3576">
        <f t="shared" si="395"/>
        <v>574.89</v>
      </c>
      <c r="E3576">
        <v>3.55</v>
      </c>
      <c r="F3576">
        <f t="shared" si="396"/>
        <v>-571.34</v>
      </c>
    </row>
    <row r="3577" spans="1:6" x14ac:dyDescent="0.3">
      <c r="A3577" s="17">
        <v>40848</v>
      </c>
      <c r="B3577">
        <v>665.78</v>
      </c>
      <c r="C3577">
        <v>104.61</v>
      </c>
      <c r="D3577">
        <f t="shared" si="395"/>
        <v>561.16999999999996</v>
      </c>
      <c r="E3577">
        <v>3.5</v>
      </c>
      <c r="F3577">
        <f t="shared" si="396"/>
        <v>-557.66999999999996</v>
      </c>
    </row>
    <row r="3578" spans="1:6" x14ac:dyDescent="0.3">
      <c r="A3578" s="17"/>
    </row>
    <row r="3579" spans="1:6" x14ac:dyDescent="0.3">
      <c r="A3579" s="17"/>
    </row>
    <row r="3580" spans="1:6" x14ac:dyDescent="0.3">
      <c r="A3580" s="17"/>
    </row>
    <row r="3581" spans="1:6" x14ac:dyDescent="0.3">
      <c r="A3581" s="17"/>
    </row>
    <row r="3582" spans="1:6" x14ac:dyDescent="0.3">
      <c r="A3582" s="17"/>
    </row>
    <row r="3583" spans="1:6" x14ac:dyDescent="0.3">
      <c r="A3583" s="17"/>
    </row>
    <row r="3584" spans="1:6" x14ac:dyDescent="0.3">
      <c r="A3584" s="17"/>
    </row>
    <row r="3585" spans="1:1" x14ac:dyDescent="0.3">
      <c r="A3585" s="17"/>
    </row>
    <row r="3586" spans="1:1" x14ac:dyDescent="0.3">
      <c r="A3586" s="17"/>
    </row>
    <row r="3587" spans="1:1" x14ac:dyDescent="0.3">
      <c r="A3587" s="17"/>
    </row>
    <row r="3588" spans="1:1" x14ac:dyDescent="0.3">
      <c r="A3588" s="17"/>
    </row>
    <row r="3589" spans="1:1" x14ac:dyDescent="0.3">
      <c r="A3589" s="17"/>
    </row>
    <row r="3590" spans="1:1" x14ac:dyDescent="0.3">
      <c r="A3590" s="17"/>
    </row>
    <row r="3591" spans="1:1" x14ac:dyDescent="0.3">
      <c r="A3591" s="17"/>
    </row>
    <row r="3592" spans="1:1" x14ac:dyDescent="0.3">
      <c r="A3592" s="17"/>
    </row>
    <row r="3593" spans="1:1" x14ac:dyDescent="0.3">
      <c r="A3593" s="17"/>
    </row>
    <row r="3594" spans="1:1" x14ac:dyDescent="0.3">
      <c r="A3594" s="17"/>
    </row>
    <row r="3595" spans="1:1" x14ac:dyDescent="0.3">
      <c r="A3595" s="17"/>
    </row>
    <row r="3596" spans="1:1" x14ac:dyDescent="0.3">
      <c r="A3596" s="17"/>
    </row>
    <row r="3597" spans="1:1" x14ac:dyDescent="0.3">
      <c r="A3597" s="17"/>
    </row>
    <row r="3598" spans="1:1" x14ac:dyDescent="0.3">
      <c r="A3598" s="17"/>
    </row>
    <row r="3599" spans="1:1" x14ac:dyDescent="0.3">
      <c r="A3599" s="17"/>
    </row>
    <row r="3600" spans="1:1" x14ac:dyDescent="0.3">
      <c r="A3600" s="17"/>
    </row>
    <row r="3601" spans="1:1" x14ac:dyDescent="0.3">
      <c r="A3601" s="17"/>
    </row>
    <row r="3602" spans="1:1" x14ac:dyDescent="0.3">
      <c r="A3602" s="17"/>
    </row>
    <row r="3603" spans="1:1" x14ac:dyDescent="0.3">
      <c r="A3603" s="17"/>
    </row>
    <row r="3604" spans="1:1" x14ac:dyDescent="0.3">
      <c r="A3604" s="17"/>
    </row>
    <row r="3605" spans="1:1" x14ac:dyDescent="0.3">
      <c r="A3605" s="17"/>
    </row>
    <row r="3606" spans="1:1" x14ac:dyDescent="0.3">
      <c r="A3606" s="17"/>
    </row>
    <row r="3607" spans="1:1" x14ac:dyDescent="0.3">
      <c r="A3607" s="17"/>
    </row>
    <row r="3608" spans="1:1" x14ac:dyDescent="0.3">
      <c r="A3608" s="17"/>
    </row>
    <row r="3609" spans="1:1" x14ac:dyDescent="0.3">
      <c r="A3609" s="17"/>
    </row>
    <row r="3610" spans="1:1" x14ac:dyDescent="0.3">
      <c r="A3610" s="17"/>
    </row>
    <row r="3611" spans="1:1" x14ac:dyDescent="0.3">
      <c r="A3611" s="17"/>
    </row>
    <row r="3612" spans="1:1" x14ac:dyDescent="0.3">
      <c r="A3612" s="17"/>
    </row>
    <row r="3613" spans="1:1" x14ac:dyDescent="0.3">
      <c r="A3613" s="17"/>
    </row>
    <row r="3614" spans="1:1" x14ac:dyDescent="0.3">
      <c r="A3614" s="17"/>
    </row>
    <row r="3615" spans="1:1" x14ac:dyDescent="0.3">
      <c r="A3615" s="17"/>
    </row>
    <row r="3616" spans="1:1" x14ac:dyDescent="0.3">
      <c r="A3616" s="17"/>
    </row>
    <row r="3617" spans="1:1" x14ac:dyDescent="0.3">
      <c r="A3617" s="17"/>
    </row>
    <row r="3618" spans="1:1" x14ac:dyDescent="0.3">
      <c r="A3618" s="17"/>
    </row>
    <row r="3619" spans="1:1" x14ac:dyDescent="0.3">
      <c r="A3619" s="17"/>
    </row>
    <row r="3620" spans="1:1" x14ac:dyDescent="0.3">
      <c r="A3620" s="17"/>
    </row>
    <row r="3621" spans="1:1" x14ac:dyDescent="0.3">
      <c r="A3621" s="17"/>
    </row>
    <row r="3622" spans="1:1" x14ac:dyDescent="0.3">
      <c r="A3622" s="17"/>
    </row>
    <row r="3623" spans="1:1" x14ac:dyDescent="0.3">
      <c r="A3623" s="17"/>
    </row>
    <row r="3624" spans="1:1" x14ac:dyDescent="0.3">
      <c r="A3624" s="17"/>
    </row>
    <row r="3625" spans="1:1" x14ac:dyDescent="0.3">
      <c r="A3625" s="17"/>
    </row>
    <row r="3626" spans="1:1" x14ac:dyDescent="0.3">
      <c r="A3626" s="17"/>
    </row>
    <row r="3627" spans="1:1" x14ac:dyDescent="0.3">
      <c r="A3627" s="17"/>
    </row>
    <row r="3628" spans="1:1" x14ac:dyDescent="0.3">
      <c r="A3628" s="17"/>
    </row>
    <row r="3629" spans="1:1" x14ac:dyDescent="0.3">
      <c r="A3629" s="17"/>
    </row>
    <row r="3630" spans="1:1" x14ac:dyDescent="0.3">
      <c r="A3630" s="17"/>
    </row>
    <row r="3631" spans="1:1" x14ac:dyDescent="0.3">
      <c r="A3631" s="17"/>
    </row>
    <row r="3632" spans="1:1" x14ac:dyDescent="0.3">
      <c r="A3632" s="17"/>
    </row>
    <row r="3633" spans="1:1" x14ac:dyDescent="0.3">
      <c r="A3633" s="17"/>
    </row>
    <row r="3634" spans="1:1" x14ac:dyDescent="0.3">
      <c r="A3634" s="17"/>
    </row>
    <row r="3635" spans="1:1" x14ac:dyDescent="0.3">
      <c r="A3635" s="17"/>
    </row>
    <row r="3636" spans="1:1" x14ac:dyDescent="0.3">
      <c r="A3636" s="17"/>
    </row>
    <row r="3637" spans="1:1" x14ac:dyDescent="0.3">
      <c r="A3637" s="17"/>
    </row>
    <row r="3638" spans="1:1" x14ac:dyDescent="0.3">
      <c r="A3638" s="17"/>
    </row>
    <row r="3639" spans="1:1" x14ac:dyDescent="0.3">
      <c r="A3639" s="17"/>
    </row>
    <row r="3640" spans="1:1" x14ac:dyDescent="0.3">
      <c r="A3640" s="17"/>
    </row>
    <row r="3641" spans="1:1" x14ac:dyDescent="0.3">
      <c r="A3641" s="17"/>
    </row>
    <row r="3642" spans="1:1" x14ac:dyDescent="0.3">
      <c r="A3642" s="17"/>
    </row>
    <row r="3643" spans="1:1" x14ac:dyDescent="0.3">
      <c r="A3643" s="17"/>
    </row>
    <row r="3644" spans="1:1" x14ac:dyDescent="0.3">
      <c r="A3644" s="17"/>
    </row>
    <row r="3645" spans="1:1" x14ac:dyDescent="0.3">
      <c r="A3645" s="17"/>
    </row>
    <row r="3646" spans="1:1" x14ac:dyDescent="0.3">
      <c r="A3646" s="17"/>
    </row>
    <row r="3647" spans="1:1" x14ac:dyDescent="0.3">
      <c r="A3647" s="17"/>
    </row>
    <row r="3648" spans="1:1" x14ac:dyDescent="0.3">
      <c r="A3648" s="17"/>
    </row>
    <row r="3649" spans="1:1" x14ac:dyDescent="0.3">
      <c r="A3649" s="17"/>
    </row>
    <row r="3650" spans="1:1" x14ac:dyDescent="0.3">
      <c r="A3650" s="17"/>
    </row>
    <row r="3651" spans="1:1" x14ac:dyDescent="0.3">
      <c r="A3651" s="17"/>
    </row>
    <row r="3652" spans="1:1" x14ac:dyDescent="0.3">
      <c r="A3652" s="17"/>
    </row>
    <row r="3653" spans="1:1" x14ac:dyDescent="0.3">
      <c r="A3653" s="17"/>
    </row>
    <row r="3654" spans="1:1" x14ac:dyDescent="0.3">
      <c r="A3654" s="17"/>
    </row>
    <row r="3655" spans="1:1" x14ac:dyDescent="0.3">
      <c r="A3655" s="17"/>
    </row>
    <row r="3656" spans="1:1" x14ac:dyDescent="0.3">
      <c r="A3656" s="17"/>
    </row>
    <row r="3657" spans="1:1" x14ac:dyDescent="0.3">
      <c r="A3657" s="17"/>
    </row>
    <row r="3658" spans="1:1" x14ac:dyDescent="0.3">
      <c r="A3658" s="17"/>
    </row>
    <row r="3659" spans="1:1" x14ac:dyDescent="0.3">
      <c r="A3659" s="17"/>
    </row>
    <row r="3660" spans="1:1" x14ac:dyDescent="0.3">
      <c r="A3660" s="17"/>
    </row>
    <row r="3661" spans="1:1" x14ac:dyDescent="0.3">
      <c r="A3661" s="17"/>
    </row>
    <row r="3662" spans="1:1" x14ac:dyDescent="0.3">
      <c r="A3662" s="17"/>
    </row>
    <row r="3663" spans="1:1" x14ac:dyDescent="0.3">
      <c r="A3663" s="17"/>
    </row>
    <row r="3664" spans="1:1" x14ac:dyDescent="0.3">
      <c r="A3664" s="17"/>
    </row>
    <row r="3665" spans="1:1" x14ac:dyDescent="0.3">
      <c r="A3665" s="17"/>
    </row>
    <row r="3666" spans="1:1" x14ac:dyDescent="0.3">
      <c r="A3666" s="17"/>
    </row>
    <row r="3667" spans="1:1" x14ac:dyDescent="0.3">
      <c r="A3667" s="17"/>
    </row>
    <row r="3668" spans="1:1" x14ac:dyDescent="0.3">
      <c r="A3668" s="17"/>
    </row>
    <row r="3669" spans="1:1" x14ac:dyDescent="0.3">
      <c r="A3669" s="17"/>
    </row>
    <row r="3670" spans="1:1" x14ac:dyDescent="0.3">
      <c r="A3670" s="17"/>
    </row>
    <row r="3671" spans="1:1" x14ac:dyDescent="0.3">
      <c r="A3671" s="17"/>
    </row>
    <row r="3672" spans="1:1" x14ac:dyDescent="0.3">
      <c r="A3672" s="17"/>
    </row>
    <row r="3673" spans="1:1" x14ac:dyDescent="0.3">
      <c r="A3673" s="17"/>
    </row>
    <row r="3674" spans="1:1" x14ac:dyDescent="0.3">
      <c r="A3674" s="17"/>
    </row>
    <row r="3675" spans="1:1" x14ac:dyDescent="0.3">
      <c r="A3675" s="17"/>
    </row>
    <row r="3676" spans="1:1" x14ac:dyDescent="0.3">
      <c r="A3676" s="17"/>
    </row>
    <row r="3677" spans="1:1" x14ac:dyDescent="0.3">
      <c r="A3677" s="17"/>
    </row>
    <row r="3678" spans="1:1" x14ac:dyDescent="0.3">
      <c r="A3678" s="17"/>
    </row>
    <row r="3679" spans="1:1" x14ac:dyDescent="0.3">
      <c r="A3679" s="17"/>
    </row>
    <row r="3680" spans="1:1" x14ac:dyDescent="0.3">
      <c r="A3680" s="17"/>
    </row>
    <row r="3681" spans="1:1" x14ac:dyDescent="0.3">
      <c r="A3681" s="17"/>
    </row>
    <row r="3682" spans="1:1" x14ac:dyDescent="0.3">
      <c r="A3682" s="17"/>
    </row>
    <row r="3683" spans="1:1" x14ac:dyDescent="0.3">
      <c r="A3683" s="17"/>
    </row>
    <row r="3684" spans="1:1" x14ac:dyDescent="0.3">
      <c r="A3684" s="17"/>
    </row>
    <row r="3685" spans="1:1" x14ac:dyDescent="0.3">
      <c r="A3685" s="17"/>
    </row>
    <row r="3686" spans="1:1" x14ac:dyDescent="0.3">
      <c r="A3686" s="17"/>
    </row>
    <row r="3687" spans="1:1" x14ac:dyDescent="0.3">
      <c r="A3687" s="17"/>
    </row>
    <row r="3688" spans="1:1" x14ac:dyDescent="0.3">
      <c r="A3688" s="17"/>
    </row>
    <row r="3689" spans="1:1" x14ac:dyDescent="0.3">
      <c r="A3689" s="17"/>
    </row>
    <row r="3690" spans="1:1" x14ac:dyDescent="0.3">
      <c r="A3690" s="17"/>
    </row>
    <row r="3691" spans="1:1" x14ac:dyDescent="0.3">
      <c r="A3691" s="17"/>
    </row>
    <row r="3692" spans="1:1" x14ac:dyDescent="0.3">
      <c r="A3692" s="17"/>
    </row>
    <row r="3693" spans="1:1" x14ac:dyDescent="0.3">
      <c r="A3693" s="17"/>
    </row>
    <row r="3694" spans="1:1" x14ac:dyDescent="0.3">
      <c r="A3694" s="17"/>
    </row>
    <row r="3695" spans="1:1" x14ac:dyDescent="0.3">
      <c r="A3695" s="17"/>
    </row>
    <row r="3696" spans="1:1" x14ac:dyDescent="0.3">
      <c r="A3696" s="17"/>
    </row>
    <row r="3697" spans="1:1" x14ac:dyDescent="0.3">
      <c r="A3697" s="17"/>
    </row>
    <row r="3698" spans="1:1" x14ac:dyDescent="0.3">
      <c r="A3698" s="17"/>
    </row>
    <row r="3699" spans="1:1" x14ac:dyDescent="0.3">
      <c r="A3699" s="17"/>
    </row>
    <row r="3700" spans="1:1" x14ac:dyDescent="0.3">
      <c r="A3700" s="17"/>
    </row>
    <row r="3701" spans="1:1" x14ac:dyDescent="0.3">
      <c r="A3701" s="17"/>
    </row>
    <row r="3702" spans="1:1" x14ac:dyDescent="0.3">
      <c r="A3702" s="17"/>
    </row>
    <row r="3703" spans="1:1" x14ac:dyDescent="0.3">
      <c r="A3703" s="17"/>
    </row>
    <row r="3704" spans="1:1" x14ac:dyDescent="0.3">
      <c r="A3704" s="17"/>
    </row>
    <row r="3705" spans="1:1" x14ac:dyDescent="0.3">
      <c r="A3705" s="17"/>
    </row>
    <row r="3706" spans="1:1" x14ac:dyDescent="0.3">
      <c r="A3706" s="17"/>
    </row>
    <row r="3707" spans="1:1" x14ac:dyDescent="0.3">
      <c r="A3707" s="17"/>
    </row>
    <row r="3708" spans="1:1" x14ac:dyDescent="0.3">
      <c r="A3708" s="17"/>
    </row>
    <row r="3709" spans="1:1" x14ac:dyDescent="0.3">
      <c r="A3709" s="17"/>
    </row>
    <row r="3710" spans="1:1" x14ac:dyDescent="0.3">
      <c r="A3710" s="17"/>
    </row>
    <row r="3711" spans="1:1" x14ac:dyDescent="0.3">
      <c r="A3711" s="17"/>
    </row>
    <row r="3712" spans="1:1" x14ac:dyDescent="0.3">
      <c r="A3712" s="17"/>
    </row>
    <row r="3713" spans="1:1" x14ac:dyDescent="0.3">
      <c r="A3713" s="17"/>
    </row>
    <row r="3714" spans="1:1" x14ac:dyDescent="0.3">
      <c r="A3714" s="17"/>
    </row>
    <row r="3715" spans="1:1" x14ac:dyDescent="0.3">
      <c r="A3715" s="17"/>
    </row>
    <row r="3716" spans="1:1" x14ac:dyDescent="0.3">
      <c r="A3716" s="17"/>
    </row>
    <row r="3717" spans="1:1" x14ac:dyDescent="0.3">
      <c r="A3717" s="17"/>
    </row>
    <row r="3718" spans="1:1" x14ac:dyDescent="0.3">
      <c r="A3718" s="17"/>
    </row>
    <row r="3719" spans="1:1" x14ac:dyDescent="0.3">
      <c r="A3719" s="17"/>
    </row>
    <row r="3720" spans="1:1" x14ac:dyDescent="0.3">
      <c r="A3720" s="17"/>
    </row>
    <row r="3721" spans="1:1" x14ac:dyDescent="0.3">
      <c r="A3721" s="17"/>
    </row>
    <row r="3722" spans="1:1" x14ac:dyDescent="0.3">
      <c r="A3722" s="17"/>
    </row>
    <row r="3723" spans="1:1" x14ac:dyDescent="0.3">
      <c r="A3723" s="17"/>
    </row>
    <row r="3724" spans="1:1" x14ac:dyDescent="0.3">
      <c r="A3724" s="17"/>
    </row>
    <row r="3725" spans="1:1" x14ac:dyDescent="0.3">
      <c r="A3725" s="17"/>
    </row>
    <row r="3726" spans="1:1" x14ac:dyDescent="0.3">
      <c r="A3726" s="17"/>
    </row>
    <row r="3727" spans="1:1" x14ac:dyDescent="0.3">
      <c r="A3727" s="17"/>
    </row>
    <row r="3728" spans="1:1" x14ac:dyDescent="0.3">
      <c r="A3728" s="17"/>
    </row>
    <row r="3729" spans="1:1" x14ac:dyDescent="0.3">
      <c r="A3729" s="17"/>
    </row>
    <row r="3730" spans="1:1" x14ac:dyDescent="0.3">
      <c r="A3730" s="17"/>
    </row>
    <row r="3731" spans="1:1" x14ac:dyDescent="0.3">
      <c r="A3731" s="17"/>
    </row>
    <row r="3732" spans="1:1" x14ac:dyDescent="0.3">
      <c r="A3732" s="17"/>
    </row>
    <row r="3733" spans="1:1" x14ac:dyDescent="0.3">
      <c r="A3733" s="17"/>
    </row>
    <row r="3734" spans="1:1" x14ac:dyDescent="0.3">
      <c r="A3734" s="17"/>
    </row>
    <row r="3735" spans="1:1" x14ac:dyDescent="0.3">
      <c r="A3735" s="17"/>
    </row>
    <row r="3736" spans="1:1" x14ac:dyDescent="0.3">
      <c r="A3736" s="17"/>
    </row>
    <row r="3737" spans="1:1" x14ac:dyDescent="0.3">
      <c r="A3737" s="17"/>
    </row>
    <row r="3738" spans="1:1" x14ac:dyDescent="0.3">
      <c r="A3738" s="17"/>
    </row>
    <row r="3739" spans="1:1" x14ac:dyDescent="0.3">
      <c r="A3739" s="17"/>
    </row>
    <row r="3740" spans="1:1" x14ac:dyDescent="0.3">
      <c r="A3740" s="17"/>
    </row>
    <row r="3741" spans="1:1" x14ac:dyDescent="0.3">
      <c r="A3741" s="17"/>
    </row>
    <row r="3742" spans="1:1" x14ac:dyDescent="0.3">
      <c r="A3742" s="17"/>
    </row>
    <row r="3743" spans="1:1" x14ac:dyDescent="0.3">
      <c r="A3743" s="17"/>
    </row>
    <row r="3744" spans="1:1" x14ac:dyDescent="0.3">
      <c r="A3744" s="17"/>
    </row>
    <row r="3745" spans="1:1" x14ac:dyDescent="0.3">
      <c r="A3745" s="17"/>
    </row>
    <row r="3746" spans="1:1" x14ac:dyDescent="0.3">
      <c r="A3746" s="17"/>
    </row>
    <row r="3747" spans="1:1" x14ac:dyDescent="0.3">
      <c r="A3747" s="17"/>
    </row>
    <row r="3748" spans="1:1" x14ac:dyDescent="0.3">
      <c r="A3748" s="17"/>
    </row>
    <row r="3749" spans="1:1" x14ac:dyDescent="0.3">
      <c r="A3749" s="17"/>
    </row>
    <row r="3750" spans="1:1" x14ac:dyDescent="0.3">
      <c r="A3750" s="17"/>
    </row>
    <row r="3751" spans="1:1" x14ac:dyDescent="0.3">
      <c r="A3751" s="17"/>
    </row>
    <row r="3752" spans="1:1" x14ac:dyDescent="0.3">
      <c r="A3752" s="17"/>
    </row>
    <row r="3753" spans="1:1" x14ac:dyDescent="0.3">
      <c r="A3753" s="17"/>
    </row>
    <row r="3754" spans="1:1" x14ac:dyDescent="0.3">
      <c r="A3754" s="17"/>
    </row>
    <row r="3755" spans="1:1" x14ac:dyDescent="0.3">
      <c r="A3755" s="17"/>
    </row>
    <row r="3756" spans="1:1" x14ac:dyDescent="0.3">
      <c r="A3756" s="17"/>
    </row>
    <row r="3757" spans="1:1" x14ac:dyDescent="0.3">
      <c r="A3757" s="17"/>
    </row>
    <row r="3758" spans="1:1" x14ac:dyDescent="0.3">
      <c r="A3758" s="17"/>
    </row>
    <row r="3759" spans="1:1" x14ac:dyDescent="0.3">
      <c r="A3759" s="17"/>
    </row>
    <row r="3760" spans="1:1" x14ac:dyDescent="0.3">
      <c r="A3760" s="17"/>
    </row>
    <row r="3761" spans="1:1" x14ac:dyDescent="0.3">
      <c r="A3761" s="17"/>
    </row>
    <row r="3762" spans="1:1" x14ac:dyDescent="0.3">
      <c r="A3762" s="17"/>
    </row>
    <row r="3763" spans="1:1" x14ac:dyDescent="0.3">
      <c r="A3763" s="17"/>
    </row>
    <row r="3764" spans="1:1" x14ac:dyDescent="0.3">
      <c r="A3764" s="17"/>
    </row>
    <row r="3765" spans="1:1" x14ac:dyDescent="0.3">
      <c r="A3765" s="17"/>
    </row>
    <row r="3766" spans="1:1" x14ac:dyDescent="0.3">
      <c r="A3766" s="17"/>
    </row>
    <row r="3767" spans="1:1" x14ac:dyDescent="0.3">
      <c r="A3767" s="17"/>
    </row>
    <row r="3768" spans="1:1" x14ac:dyDescent="0.3">
      <c r="A3768" s="17"/>
    </row>
    <row r="3769" spans="1:1" x14ac:dyDescent="0.3">
      <c r="A3769" s="17"/>
    </row>
    <row r="3770" spans="1:1" x14ac:dyDescent="0.3">
      <c r="A3770" s="17"/>
    </row>
    <row r="3771" spans="1:1" x14ac:dyDescent="0.3">
      <c r="A3771" s="17"/>
    </row>
    <row r="3772" spans="1:1" x14ac:dyDescent="0.3">
      <c r="A3772" s="17"/>
    </row>
    <row r="3773" spans="1:1" x14ac:dyDescent="0.3">
      <c r="A3773" s="17"/>
    </row>
    <row r="3774" spans="1:1" x14ac:dyDescent="0.3">
      <c r="A3774" s="17"/>
    </row>
    <row r="3775" spans="1:1" x14ac:dyDescent="0.3">
      <c r="A3775" s="17"/>
    </row>
    <row r="3776" spans="1:1" x14ac:dyDescent="0.3">
      <c r="A3776" s="17"/>
    </row>
    <row r="3777" spans="1:1" x14ac:dyDescent="0.3">
      <c r="A3777" s="17"/>
    </row>
    <row r="3778" spans="1:1" x14ac:dyDescent="0.3">
      <c r="A3778" s="17"/>
    </row>
    <row r="3779" spans="1:1" x14ac:dyDescent="0.3">
      <c r="A3779" s="17"/>
    </row>
    <row r="3780" spans="1:1" x14ac:dyDescent="0.3">
      <c r="A3780" s="17"/>
    </row>
    <row r="3781" spans="1:1" x14ac:dyDescent="0.3">
      <c r="A3781" s="17"/>
    </row>
    <row r="3782" spans="1:1" x14ac:dyDescent="0.3">
      <c r="A3782" s="17"/>
    </row>
    <row r="3783" spans="1:1" x14ac:dyDescent="0.3">
      <c r="A3783" s="17"/>
    </row>
    <row r="3784" spans="1:1" x14ac:dyDescent="0.3">
      <c r="A3784" s="17"/>
    </row>
    <row r="3785" spans="1:1" x14ac:dyDescent="0.3">
      <c r="A3785" s="17"/>
    </row>
    <row r="3786" spans="1:1" x14ac:dyDescent="0.3">
      <c r="A3786" s="17"/>
    </row>
    <row r="3787" spans="1:1" x14ac:dyDescent="0.3">
      <c r="A3787" s="17"/>
    </row>
    <row r="3788" spans="1:1" x14ac:dyDescent="0.3">
      <c r="A3788" s="17"/>
    </row>
    <row r="3789" spans="1:1" x14ac:dyDescent="0.3">
      <c r="A3789" s="17"/>
    </row>
    <row r="3790" spans="1:1" x14ac:dyDescent="0.3">
      <c r="A3790" s="17"/>
    </row>
    <row r="3791" spans="1:1" x14ac:dyDescent="0.3">
      <c r="A3791" s="17"/>
    </row>
    <row r="3792" spans="1:1" x14ac:dyDescent="0.3">
      <c r="A3792" s="17"/>
    </row>
    <row r="3793" spans="1:1" x14ac:dyDescent="0.3">
      <c r="A3793" s="17"/>
    </row>
    <row r="3794" spans="1:1" x14ac:dyDescent="0.3">
      <c r="A3794" s="17"/>
    </row>
    <row r="3795" spans="1:1" x14ac:dyDescent="0.3">
      <c r="A3795" s="17"/>
    </row>
    <row r="3796" spans="1:1" x14ac:dyDescent="0.3">
      <c r="A3796" s="17"/>
    </row>
    <row r="3797" spans="1:1" x14ac:dyDescent="0.3">
      <c r="A3797" s="17"/>
    </row>
    <row r="3798" spans="1:1" x14ac:dyDescent="0.3">
      <c r="A3798" s="17"/>
    </row>
    <row r="3799" spans="1:1" x14ac:dyDescent="0.3">
      <c r="A3799" s="17"/>
    </row>
    <row r="3800" spans="1:1" x14ac:dyDescent="0.3">
      <c r="A3800" s="17"/>
    </row>
    <row r="3801" spans="1:1" x14ac:dyDescent="0.3">
      <c r="A3801" s="17"/>
    </row>
    <row r="3802" spans="1:1" x14ac:dyDescent="0.3">
      <c r="A3802" s="17"/>
    </row>
    <row r="3803" spans="1:1" x14ac:dyDescent="0.3">
      <c r="A3803" s="17"/>
    </row>
    <row r="3804" spans="1:1" x14ac:dyDescent="0.3">
      <c r="A3804" s="17"/>
    </row>
    <row r="3805" spans="1:1" x14ac:dyDescent="0.3">
      <c r="A3805" s="17"/>
    </row>
    <row r="3806" spans="1:1" x14ac:dyDescent="0.3">
      <c r="A3806" s="17"/>
    </row>
    <row r="3807" spans="1:1" x14ac:dyDescent="0.3">
      <c r="A3807" s="17"/>
    </row>
    <row r="3808" spans="1:1" x14ac:dyDescent="0.3">
      <c r="A3808" s="17"/>
    </row>
    <row r="3809" spans="1:1" x14ac:dyDescent="0.3">
      <c r="A3809" s="17"/>
    </row>
    <row r="3810" spans="1:1" x14ac:dyDescent="0.3">
      <c r="A3810" s="17"/>
    </row>
    <row r="3811" spans="1:1" x14ac:dyDescent="0.3">
      <c r="A3811" s="17"/>
    </row>
    <row r="3812" spans="1:1" x14ac:dyDescent="0.3">
      <c r="A3812" s="17"/>
    </row>
    <row r="3813" spans="1:1" x14ac:dyDescent="0.3">
      <c r="A3813" s="17"/>
    </row>
    <row r="3814" spans="1:1" x14ac:dyDescent="0.3">
      <c r="A3814" s="17"/>
    </row>
    <row r="3815" spans="1:1" x14ac:dyDescent="0.3">
      <c r="A3815" s="17"/>
    </row>
    <row r="3816" spans="1:1" x14ac:dyDescent="0.3">
      <c r="A3816" s="17"/>
    </row>
    <row r="3817" spans="1:1" x14ac:dyDescent="0.3">
      <c r="A3817" s="17"/>
    </row>
    <row r="3818" spans="1:1" x14ac:dyDescent="0.3">
      <c r="A3818" s="17"/>
    </row>
    <row r="3819" spans="1:1" x14ac:dyDescent="0.3">
      <c r="A3819" s="17"/>
    </row>
    <row r="3820" spans="1:1" x14ac:dyDescent="0.3">
      <c r="A3820" s="17"/>
    </row>
    <row r="3821" spans="1:1" x14ac:dyDescent="0.3">
      <c r="A3821" s="17"/>
    </row>
    <row r="3822" spans="1:1" x14ac:dyDescent="0.3">
      <c r="A3822" s="17"/>
    </row>
    <row r="3823" spans="1:1" x14ac:dyDescent="0.3">
      <c r="A3823" s="17"/>
    </row>
    <row r="3824" spans="1:1" x14ac:dyDescent="0.3">
      <c r="A3824" s="17"/>
    </row>
    <row r="3825" spans="1:1" x14ac:dyDescent="0.3">
      <c r="A3825" s="17"/>
    </row>
    <row r="3826" spans="1:1" x14ac:dyDescent="0.3">
      <c r="A3826" s="17"/>
    </row>
    <row r="3827" spans="1:1" x14ac:dyDescent="0.3">
      <c r="A3827" s="17"/>
    </row>
    <row r="3828" spans="1:1" x14ac:dyDescent="0.3">
      <c r="A3828" s="17"/>
    </row>
    <row r="3829" spans="1:1" x14ac:dyDescent="0.3">
      <c r="A3829" s="17"/>
    </row>
    <row r="3830" spans="1:1" x14ac:dyDescent="0.3">
      <c r="A3830" s="17"/>
    </row>
    <row r="3831" spans="1:1" x14ac:dyDescent="0.3">
      <c r="A3831" s="17"/>
    </row>
    <row r="3832" spans="1:1" x14ac:dyDescent="0.3">
      <c r="A3832" s="17"/>
    </row>
    <row r="3833" spans="1:1" x14ac:dyDescent="0.3">
      <c r="A3833" s="17"/>
    </row>
    <row r="3834" spans="1:1" x14ac:dyDescent="0.3">
      <c r="A3834" s="17"/>
    </row>
    <row r="3835" spans="1:1" x14ac:dyDescent="0.3">
      <c r="A3835" s="17"/>
    </row>
    <row r="3836" spans="1:1" x14ac:dyDescent="0.3">
      <c r="A3836" s="17"/>
    </row>
    <row r="3837" spans="1:1" x14ac:dyDescent="0.3">
      <c r="A3837" s="17"/>
    </row>
    <row r="3838" spans="1:1" x14ac:dyDescent="0.3">
      <c r="A3838" s="17"/>
    </row>
    <row r="3839" spans="1:1" x14ac:dyDescent="0.3">
      <c r="A3839" s="17"/>
    </row>
    <row r="3840" spans="1:1" x14ac:dyDescent="0.3">
      <c r="A3840" s="17"/>
    </row>
    <row r="3841" spans="1:1" x14ac:dyDescent="0.3">
      <c r="A3841" s="17"/>
    </row>
    <row r="3842" spans="1:1" x14ac:dyDescent="0.3">
      <c r="A3842" s="17"/>
    </row>
    <row r="3843" spans="1:1" x14ac:dyDescent="0.3">
      <c r="A3843" s="17"/>
    </row>
    <row r="3844" spans="1:1" x14ac:dyDescent="0.3">
      <c r="A3844" s="17"/>
    </row>
    <row r="3845" spans="1:1" x14ac:dyDescent="0.3">
      <c r="A3845" s="17"/>
    </row>
    <row r="3846" spans="1:1" x14ac:dyDescent="0.3">
      <c r="A3846" s="17"/>
    </row>
    <row r="3847" spans="1:1" x14ac:dyDescent="0.3">
      <c r="A3847" s="17"/>
    </row>
    <row r="3848" spans="1:1" x14ac:dyDescent="0.3">
      <c r="A3848" s="17"/>
    </row>
    <row r="3849" spans="1:1" x14ac:dyDescent="0.3">
      <c r="A3849" s="17"/>
    </row>
    <row r="3850" spans="1:1" x14ac:dyDescent="0.3">
      <c r="A3850" s="17"/>
    </row>
    <row r="3851" spans="1:1" x14ac:dyDescent="0.3">
      <c r="A3851" s="17"/>
    </row>
    <row r="3852" spans="1:1" x14ac:dyDescent="0.3">
      <c r="A3852" s="17"/>
    </row>
    <row r="3853" spans="1:1" x14ac:dyDescent="0.3">
      <c r="A3853" s="17"/>
    </row>
    <row r="3854" spans="1:1" x14ac:dyDescent="0.3">
      <c r="A3854" s="17"/>
    </row>
    <row r="3855" spans="1:1" x14ac:dyDescent="0.3">
      <c r="A3855" s="17"/>
    </row>
    <row r="3856" spans="1:1" x14ac:dyDescent="0.3">
      <c r="A3856" s="17"/>
    </row>
    <row r="3857" spans="1:1" x14ac:dyDescent="0.3">
      <c r="A3857" s="17"/>
    </row>
    <row r="3858" spans="1:1" x14ac:dyDescent="0.3">
      <c r="A3858" s="17"/>
    </row>
    <row r="3859" spans="1:1" x14ac:dyDescent="0.3">
      <c r="A3859" s="17"/>
    </row>
    <row r="3860" spans="1:1" x14ac:dyDescent="0.3">
      <c r="A3860" s="17"/>
    </row>
    <row r="3861" spans="1:1" x14ac:dyDescent="0.3">
      <c r="A3861" s="17"/>
    </row>
    <row r="3862" spans="1:1" x14ac:dyDescent="0.3">
      <c r="A3862" s="17"/>
    </row>
    <row r="3863" spans="1:1" x14ac:dyDescent="0.3">
      <c r="A3863" s="17"/>
    </row>
    <row r="3864" spans="1:1" x14ac:dyDescent="0.3">
      <c r="A3864" s="17"/>
    </row>
    <row r="3865" spans="1:1" x14ac:dyDescent="0.3">
      <c r="A3865" s="17"/>
    </row>
    <row r="3866" spans="1:1" x14ac:dyDescent="0.3">
      <c r="A3866" s="17"/>
    </row>
    <row r="3867" spans="1:1" x14ac:dyDescent="0.3">
      <c r="A3867" s="17"/>
    </row>
    <row r="3868" spans="1:1" x14ac:dyDescent="0.3">
      <c r="A3868" s="17"/>
    </row>
    <row r="3869" spans="1:1" x14ac:dyDescent="0.3">
      <c r="A3869" s="17"/>
    </row>
    <row r="3870" spans="1:1" x14ac:dyDescent="0.3">
      <c r="A3870" s="17"/>
    </row>
    <row r="3871" spans="1:1" x14ac:dyDescent="0.3">
      <c r="A3871" s="17"/>
    </row>
    <row r="3872" spans="1:1" x14ac:dyDescent="0.3">
      <c r="A3872" s="17"/>
    </row>
    <row r="3873" spans="1:1" x14ac:dyDescent="0.3">
      <c r="A3873" s="17"/>
    </row>
    <row r="3874" spans="1:1" x14ac:dyDescent="0.3">
      <c r="A3874" s="17"/>
    </row>
    <row r="3875" spans="1:1" x14ac:dyDescent="0.3">
      <c r="A3875" s="17"/>
    </row>
    <row r="3876" spans="1:1" x14ac:dyDescent="0.3">
      <c r="A3876" s="17"/>
    </row>
    <row r="3877" spans="1:1" x14ac:dyDescent="0.3">
      <c r="A3877" s="17"/>
    </row>
    <row r="3878" spans="1:1" x14ac:dyDescent="0.3">
      <c r="A3878" s="17"/>
    </row>
    <row r="3879" spans="1:1" x14ac:dyDescent="0.3">
      <c r="A3879" s="17"/>
    </row>
    <row r="3880" spans="1:1" x14ac:dyDescent="0.3">
      <c r="A3880" s="17"/>
    </row>
    <row r="3881" spans="1:1" x14ac:dyDescent="0.3">
      <c r="A3881" s="17"/>
    </row>
    <row r="3882" spans="1:1" x14ac:dyDescent="0.3">
      <c r="A3882" s="17"/>
    </row>
    <row r="3883" spans="1:1" x14ac:dyDescent="0.3">
      <c r="A3883" s="17"/>
    </row>
    <row r="3884" spans="1:1" x14ac:dyDescent="0.3">
      <c r="A3884" s="17"/>
    </row>
    <row r="3885" spans="1:1" x14ac:dyDescent="0.3">
      <c r="A3885" s="17"/>
    </row>
    <row r="3886" spans="1:1" x14ac:dyDescent="0.3">
      <c r="A3886" s="17"/>
    </row>
    <row r="3887" spans="1:1" x14ac:dyDescent="0.3">
      <c r="A3887" s="17"/>
    </row>
    <row r="3888" spans="1:1" x14ac:dyDescent="0.3">
      <c r="A3888" s="17"/>
    </row>
    <row r="3889" spans="1:1" x14ac:dyDescent="0.3">
      <c r="A3889" s="17"/>
    </row>
    <row r="3890" spans="1:1" x14ac:dyDescent="0.3">
      <c r="A3890" s="17"/>
    </row>
    <row r="3891" spans="1:1" x14ac:dyDescent="0.3">
      <c r="A3891" s="17"/>
    </row>
    <row r="3892" spans="1:1" x14ac:dyDescent="0.3">
      <c r="A3892" s="17"/>
    </row>
    <row r="3893" spans="1:1" x14ac:dyDescent="0.3">
      <c r="A3893" s="17"/>
    </row>
    <row r="3894" spans="1:1" x14ac:dyDescent="0.3">
      <c r="A3894" s="17"/>
    </row>
    <row r="3895" spans="1:1" x14ac:dyDescent="0.3">
      <c r="A3895" s="17"/>
    </row>
    <row r="3896" spans="1:1" x14ac:dyDescent="0.3">
      <c r="A3896" s="17"/>
    </row>
    <row r="3897" spans="1:1" x14ac:dyDescent="0.3">
      <c r="A3897" s="17"/>
    </row>
    <row r="3898" spans="1:1" x14ac:dyDescent="0.3">
      <c r="A3898" s="17"/>
    </row>
    <row r="3899" spans="1:1" x14ac:dyDescent="0.3">
      <c r="A3899" s="17"/>
    </row>
    <row r="3900" spans="1:1" x14ac:dyDescent="0.3">
      <c r="A3900" s="17"/>
    </row>
    <row r="3901" spans="1:1" x14ac:dyDescent="0.3">
      <c r="A3901" s="17"/>
    </row>
    <row r="3902" spans="1:1" x14ac:dyDescent="0.3">
      <c r="A3902" s="17"/>
    </row>
    <row r="3903" spans="1:1" x14ac:dyDescent="0.3">
      <c r="A3903" s="17"/>
    </row>
    <row r="3904" spans="1:1" x14ac:dyDescent="0.3">
      <c r="A3904" s="17"/>
    </row>
    <row r="3905" spans="1:1" x14ac:dyDescent="0.3">
      <c r="A3905" s="17"/>
    </row>
    <row r="3906" spans="1:1" x14ac:dyDescent="0.3">
      <c r="A3906" s="17"/>
    </row>
    <row r="3907" spans="1:1" x14ac:dyDescent="0.3">
      <c r="A3907" s="17"/>
    </row>
    <row r="3908" spans="1:1" x14ac:dyDescent="0.3">
      <c r="A3908" s="17"/>
    </row>
    <row r="3909" spans="1:1" x14ac:dyDescent="0.3">
      <c r="A3909" s="17"/>
    </row>
    <row r="3910" spans="1:1" x14ac:dyDescent="0.3">
      <c r="A3910" s="17"/>
    </row>
    <row r="3911" spans="1:1" x14ac:dyDescent="0.3">
      <c r="A3911" s="17"/>
    </row>
    <row r="3912" spans="1:1" x14ac:dyDescent="0.3">
      <c r="A3912" s="17"/>
    </row>
    <row r="3913" spans="1:1" x14ac:dyDescent="0.3">
      <c r="A3913" s="17"/>
    </row>
    <row r="3914" spans="1:1" x14ac:dyDescent="0.3">
      <c r="A3914" s="17"/>
    </row>
    <row r="3915" spans="1:1" x14ac:dyDescent="0.3">
      <c r="A3915" s="17"/>
    </row>
    <row r="3916" spans="1:1" x14ac:dyDescent="0.3">
      <c r="A3916" s="17"/>
    </row>
    <row r="3917" spans="1:1" x14ac:dyDescent="0.3">
      <c r="A3917" s="17"/>
    </row>
    <row r="3918" spans="1:1" x14ac:dyDescent="0.3">
      <c r="A3918" s="17"/>
    </row>
    <row r="3919" spans="1:1" x14ac:dyDescent="0.3">
      <c r="A3919" s="17"/>
    </row>
    <row r="3920" spans="1:1" x14ac:dyDescent="0.3">
      <c r="A3920" s="17"/>
    </row>
    <row r="3921" spans="1:1" x14ac:dyDescent="0.3">
      <c r="A3921" s="17"/>
    </row>
    <row r="3922" spans="1:1" x14ac:dyDescent="0.3">
      <c r="A3922" s="17"/>
    </row>
    <row r="3923" spans="1:1" x14ac:dyDescent="0.3">
      <c r="A3923" s="17"/>
    </row>
    <row r="3924" spans="1:1" x14ac:dyDescent="0.3">
      <c r="A3924" s="17"/>
    </row>
    <row r="3925" spans="1:1" x14ac:dyDescent="0.3">
      <c r="A3925" s="17"/>
    </row>
    <row r="3926" spans="1:1" x14ac:dyDescent="0.3">
      <c r="A3926" s="17"/>
    </row>
    <row r="3927" spans="1:1" x14ac:dyDescent="0.3">
      <c r="A3927" s="17"/>
    </row>
    <row r="3928" spans="1:1" x14ac:dyDescent="0.3">
      <c r="A3928" s="17"/>
    </row>
    <row r="3929" spans="1:1" x14ac:dyDescent="0.3">
      <c r="A3929" s="17"/>
    </row>
    <row r="3930" spans="1:1" x14ac:dyDescent="0.3">
      <c r="A3930" s="17"/>
    </row>
    <row r="3931" spans="1:1" x14ac:dyDescent="0.3">
      <c r="A3931" s="17"/>
    </row>
    <row r="3932" spans="1:1" x14ac:dyDescent="0.3">
      <c r="A3932" s="17"/>
    </row>
    <row r="3933" spans="1:1" x14ac:dyDescent="0.3">
      <c r="A3933" s="17"/>
    </row>
    <row r="3934" spans="1:1" x14ac:dyDescent="0.3">
      <c r="A3934" s="17"/>
    </row>
    <row r="3935" spans="1:1" x14ac:dyDescent="0.3">
      <c r="A3935" s="17"/>
    </row>
    <row r="3936" spans="1:1" x14ac:dyDescent="0.3">
      <c r="A3936" s="17"/>
    </row>
    <row r="3937" spans="1:1" x14ac:dyDescent="0.3">
      <c r="A3937" s="17"/>
    </row>
    <row r="3938" spans="1:1" x14ac:dyDescent="0.3">
      <c r="A3938" s="17"/>
    </row>
    <row r="3939" spans="1:1" x14ac:dyDescent="0.3">
      <c r="A3939" s="17"/>
    </row>
    <row r="3940" spans="1:1" x14ac:dyDescent="0.3">
      <c r="A3940" s="17"/>
    </row>
    <row r="3941" spans="1:1" x14ac:dyDescent="0.3">
      <c r="A3941" s="17"/>
    </row>
    <row r="3942" spans="1:1" x14ac:dyDescent="0.3">
      <c r="A3942" s="17"/>
    </row>
    <row r="3943" spans="1:1" x14ac:dyDescent="0.3">
      <c r="A3943" s="17"/>
    </row>
    <row r="3944" spans="1:1" x14ac:dyDescent="0.3">
      <c r="A3944" s="17"/>
    </row>
    <row r="3945" spans="1:1" x14ac:dyDescent="0.3">
      <c r="A3945" s="17"/>
    </row>
    <row r="3946" spans="1:1" x14ac:dyDescent="0.3">
      <c r="A3946" s="17"/>
    </row>
    <row r="3947" spans="1:1" x14ac:dyDescent="0.3">
      <c r="A3947" s="17"/>
    </row>
    <row r="3948" spans="1:1" x14ac:dyDescent="0.3">
      <c r="A3948" s="17"/>
    </row>
    <row r="3949" spans="1:1" x14ac:dyDescent="0.3">
      <c r="A3949" s="17"/>
    </row>
    <row r="3950" spans="1:1" x14ac:dyDescent="0.3">
      <c r="A3950" s="17"/>
    </row>
    <row r="3951" spans="1:1" x14ac:dyDescent="0.3">
      <c r="A3951" s="17"/>
    </row>
    <row r="3952" spans="1:1" x14ac:dyDescent="0.3">
      <c r="A3952" s="17"/>
    </row>
    <row r="3953" spans="1:1" x14ac:dyDescent="0.3">
      <c r="A3953" s="17"/>
    </row>
    <row r="3954" spans="1:1" x14ac:dyDescent="0.3">
      <c r="A3954" s="17"/>
    </row>
    <row r="3955" spans="1:1" x14ac:dyDescent="0.3">
      <c r="A3955" s="17"/>
    </row>
    <row r="3956" spans="1:1" x14ac:dyDescent="0.3">
      <c r="A3956" s="17"/>
    </row>
    <row r="3957" spans="1:1" x14ac:dyDescent="0.3">
      <c r="A3957" s="17"/>
    </row>
    <row r="3958" spans="1:1" x14ac:dyDescent="0.3">
      <c r="A3958" s="17"/>
    </row>
    <row r="3959" spans="1:1" x14ac:dyDescent="0.3">
      <c r="A3959" s="17"/>
    </row>
    <row r="3960" spans="1:1" x14ac:dyDescent="0.3">
      <c r="A3960" s="17"/>
    </row>
    <row r="3961" spans="1:1" x14ac:dyDescent="0.3">
      <c r="A3961" s="17"/>
    </row>
    <row r="3962" spans="1:1" x14ac:dyDescent="0.3">
      <c r="A3962" s="17"/>
    </row>
    <row r="3963" spans="1:1" x14ac:dyDescent="0.3">
      <c r="A3963" s="17"/>
    </row>
    <row r="3964" spans="1:1" x14ac:dyDescent="0.3">
      <c r="A3964" s="17"/>
    </row>
    <row r="3965" spans="1:1" x14ac:dyDescent="0.3">
      <c r="A3965" s="17"/>
    </row>
    <row r="3966" spans="1:1" x14ac:dyDescent="0.3">
      <c r="A3966" s="17"/>
    </row>
    <row r="3967" spans="1:1" x14ac:dyDescent="0.3">
      <c r="A3967" s="17"/>
    </row>
    <row r="3968" spans="1:1" x14ac:dyDescent="0.3">
      <c r="A3968" s="17"/>
    </row>
    <row r="3969" spans="1:1" x14ac:dyDescent="0.3">
      <c r="A3969" s="17"/>
    </row>
    <row r="3970" spans="1:1" x14ac:dyDescent="0.3">
      <c r="A3970" s="17"/>
    </row>
    <row r="3971" spans="1:1" x14ac:dyDescent="0.3">
      <c r="A3971" s="17"/>
    </row>
    <row r="3972" spans="1:1" x14ac:dyDescent="0.3">
      <c r="A3972" s="17"/>
    </row>
    <row r="3973" spans="1:1" x14ac:dyDescent="0.3">
      <c r="A3973" s="17"/>
    </row>
    <row r="3974" spans="1:1" x14ac:dyDescent="0.3">
      <c r="A3974" s="17"/>
    </row>
    <row r="3975" spans="1:1" x14ac:dyDescent="0.3">
      <c r="A3975" s="17"/>
    </row>
    <row r="3976" spans="1:1" x14ac:dyDescent="0.3">
      <c r="A3976" s="17"/>
    </row>
    <row r="3977" spans="1:1" x14ac:dyDescent="0.3">
      <c r="A3977" s="17"/>
    </row>
    <row r="3978" spans="1:1" x14ac:dyDescent="0.3">
      <c r="A3978" s="17"/>
    </row>
    <row r="3979" spans="1:1" x14ac:dyDescent="0.3">
      <c r="A3979" s="17"/>
    </row>
    <row r="3980" spans="1:1" x14ac:dyDescent="0.3">
      <c r="A3980" s="17"/>
    </row>
    <row r="3981" spans="1:1" x14ac:dyDescent="0.3">
      <c r="A3981" s="17"/>
    </row>
    <row r="3982" spans="1:1" x14ac:dyDescent="0.3">
      <c r="A3982" s="17"/>
    </row>
    <row r="3983" spans="1:1" x14ac:dyDescent="0.3">
      <c r="A3983" s="17"/>
    </row>
    <row r="3984" spans="1:1" x14ac:dyDescent="0.3">
      <c r="A3984" s="17"/>
    </row>
    <row r="3985" spans="1:1" x14ac:dyDescent="0.3">
      <c r="A3985" s="17"/>
    </row>
    <row r="3986" spans="1:1" x14ac:dyDescent="0.3">
      <c r="A3986" s="17"/>
    </row>
    <row r="3987" spans="1:1" x14ac:dyDescent="0.3">
      <c r="A3987" s="17"/>
    </row>
    <row r="3988" spans="1:1" x14ac:dyDescent="0.3">
      <c r="A3988" s="17"/>
    </row>
    <row r="3989" spans="1:1" x14ac:dyDescent="0.3">
      <c r="A3989" s="17"/>
    </row>
    <row r="3990" spans="1:1" x14ac:dyDescent="0.3">
      <c r="A3990" s="17"/>
    </row>
    <row r="3991" spans="1:1" x14ac:dyDescent="0.3">
      <c r="A3991" s="17"/>
    </row>
    <row r="3992" spans="1:1" x14ac:dyDescent="0.3">
      <c r="A3992" s="17"/>
    </row>
    <row r="3993" spans="1:1" x14ac:dyDescent="0.3">
      <c r="A3993" s="17"/>
    </row>
    <row r="3994" spans="1:1" x14ac:dyDescent="0.3">
      <c r="A3994" s="17"/>
    </row>
    <row r="3995" spans="1:1" x14ac:dyDescent="0.3">
      <c r="A3995" s="17"/>
    </row>
    <row r="3996" spans="1:1" x14ac:dyDescent="0.3">
      <c r="A3996" s="17"/>
    </row>
    <row r="3997" spans="1:1" x14ac:dyDescent="0.3">
      <c r="A3997" s="17"/>
    </row>
    <row r="3998" spans="1:1" x14ac:dyDescent="0.3">
      <c r="A3998" s="17"/>
    </row>
    <row r="3999" spans="1:1" x14ac:dyDescent="0.3">
      <c r="A3999" s="17"/>
    </row>
    <row r="4000" spans="1:1" x14ac:dyDescent="0.3">
      <c r="A4000" s="17"/>
    </row>
    <row r="4001" spans="1:1" x14ac:dyDescent="0.3">
      <c r="A4001" s="17"/>
    </row>
    <row r="4002" spans="1:1" x14ac:dyDescent="0.3">
      <c r="A4002" s="17"/>
    </row>
    <row r="4003" spans="1:1" x14ac:dyDescent="0.3">
      <c r="A4003" s="17"/>
    </row>
    <row r="4004" spans="1:1" x14ac:dyDescent="0.3">
      <c r="A4004" s="17"/>
    </row>
    <row r="4005" spans="1:1" x14ac:dyDescent="0.3">
      <c r="A4005" s="17"/>
    </row>
    <row r="4006" spans="1:1" x14ac:dyDescent="0.3">
      <c r="A4006" s="17"/>
    </row>
    <row r="4007" spans="1:1" x14ac:dyDescent="0.3">
      <c r="A4007" s="17"/>
    </row>
    <row r="4008" spans="1:1" x14ac:dyDescent="0.3">
      <c r="A4008" s="17"/>
    </row>
    <row r="4009" spans="1:1" x14ac:dyDescent="0.3">
      <c r="A4009" s="17"/>
    </row>
    <row r="4010" spans="1:1" x14ac:dyDescent="0.3">
      <c r="A4010" s="17"/>
    </row>
    <row r="4011" spans="1:1" x14ac:dyDescent="0.3">
      <c r="A4011" s="17"/>
    </row>
    <row r="4012" spans="1:1" x14ac:dyDescent="0.3">
      <c r="A4012" s="17"/>
    </row>
    <row r="4013" spans="1:1" x14ac:dyDescent="0.3">
      <c r="A4013" s="17"/>
    </row>
    <row r="4014" spans="1:1" x14ac:dyDescent="0.3">
      <c r="A4014" s="17"/>
    </row>
    <row r="4015" spans="1:1" x14ac:dyDescent="0.3">
      <c r="A4015" s="17"/>
    </row>
    <row r="4016" spans="1:1" x14ac:dyDescent="0.3">
      <c r="A4016" s="17"/>
    </row>
    <row r="4017" spans="1:1" x14ac:dyDescent="0.3">
      <c r="A4017" s="17"/>
    </row>
    <row r="4018" spans="1:1" x14ac:dyDescent="0.3">
      <c r="A4018" s="17"/>
    </row>
    <row r="4019" spans="1:1" x14ac:dyDescent="0.3">
      <c r="A4019" s="17"/>
    </row>
    <row r="4020" spans="1:1" x14ac:dyDescent="0.3">
      <c r="A4020" s="17"/>
    </row>
    <row r="4021" spans="1:1" x14ac:dyDescent="0.3">
      <c r="A4021" s="17"/>
    </row>
    <row r="4022" spans="1:1" x14ac:dyDescent="0.3">
      <c r="A4022" s="17"/>
    </row>
    <row r="4023" spans="1:1" x14ac:dyDescent="0.3">
      <c r="A4023" s="17"/>
    </row>
    <row r="4024" spans="1:1" x14ac:dyDescent="0.3">
      <c r="A4024" s="17"/>
    </row>
    <row r="4025" spans="1:1" x14ac:dyDescent="0.3">
      <c r="A4025" s="17"/>
    </row>
    <row r="4026" spans="1:1" x14ac:dyDescent="0.3">
      <c r="A4026" s="17"/>
    </row>
    <row r="4027" spans="1:1" x14ac:dyDescent="0.3">
      <c r="A4027" s="17"/>
    </row>
    <row r="4028" spans="1:1" x14ac:dyDescent="0.3">
      <c r="A4028" s="17"/>
    </row>
    <row r="4029" spans="1:1" x14ac:dyDescent="0.3">
      <c r="A4029" s="17"/>
    </row>
    <row r="4030" spans="1:1" x14ac:dyDescent="0.3">
      <c r="A4030" s="17"/>
    </row>
    <row r="4031" spans="1:1" x14ac:dyDescent="0.3">
      <c r="A4031" s="17"/>
    </row>
    <row r="4032" spans="1:1" x14ac:dyDescent="0.3">
      <c r="A4032" s="17"/>
    </row>
    <row r="4033" spans="1:1" x14ac:dyDescent="0.3">
      <c r="A4033" s="17"/>
    </row>
    <row r="4034" spans="1:1" x14ac:dyDescent="0.3">
      <c r="A4034" s="17"/>
    </row>
    <row r="4035" spans="1:1" x14ac:dyDescent="0.3">
      <c r="A4035" s="17"/>
    </row>
    <row r="4036" spans="1:1" x14ac:dyDescent="0.3">
      <c r="A4036" s="17"/>
    </row>
    <row r="4037" spans="1:1" x14ac:dyDescent="0.3">
      <c r="A4037" s="17"/>
    </row>
    <row r="4038" spans="1:1" x14ac:dyDescent="0.3">
      <c r="A4038" s="17"/>
    </row>
    <row r="4039" spans="1:1" x14ac:dyDescent="0.3">
      <c r="A4039" s="17"/>
    </row>
    <row r="4040" spans="1:1" x14ac:dyDescent="0.3">
      <c r="A4040" s="17"/>
    </row>
    <row r="4041" spans="1:1" x14ac:dyDescent="0.3">
      <c r="A4041" s="17"/>
    </row>
    <row r="4042" spans="1:1" x14ac:dyDescent="0.3">
      <c r="A4042" s="17"/>
    </row>
    <row r="4043" spans="1:1" x14ac:dyDescent="0.3">
      <c r="A4043" s="17"/>
    </row>
    <row r="4044" spans="1:1" x14ac:dyDescent="0.3">
      <c r="A4044" s="17"/>
    </row>
    <row r="4045" spans="1:1" x14ac:dyDescent="0.3">
      <c r="A4045" s="17"/>
    </row>
    <row r="4046" spans="1:1" x14ac:dyDescent="0.3">
      <c r="A4046" s="17"/>
    </row>
    <row r="4047" spans="1:1" x14ac:dyDescent="0.3">
      <c r="A4047" s="17"/>
    </row>
    <row r="4048" spans="1:1" x14ac:dyDescent="0.3">
      <c r="A4048" s="17"/>
    </row>
    <row r="4049" spans="1:1" x14ac:dyDescent="0.3">
      <c r="A4049" s="17"/>
    </row>
    <row r="4050" spans="1:1" x14ac:dyDescent="0.3">
      <c r="A4050" s="17"/>
    </row>
    <row r="4051" spans="1:1" x14ac:dyDescent="0.3">
      <c r="A4051" s="17"/>
    </row>
    <row r="4052" spans="1:1" x14ac:dyDescent="0.3">
      <c r="A4052" s="17"/>
    </row>
    <row r="4053" spans="1:1" x14ac:dyDescent="0.3">
      <c r="A4053" s="17"/>
    </row>
    <row r="4054" spans="1:1" x14ac:dyDescent="0.3">
      <c r="A4054" s="17"/>
    </row>
    <row r="4055" spans="1:1" x14ac:dyDescent="0.3">
      <c r="A4055" s="17"/>
    </row>
    <row r="4056" spans="1:1" x14ac:dyDescent="0.3">
      <c r="A4056" s="17"/>
    </row>
    <row r="4057" spans="1:1" x14ac:dyDescent="0.3">
      <c r="A4057" s="17"/>
    </row>
    <row r="4058" spans="1:1" x14ac:dyDescent="0.3">
      <c r="A4058" s="17"/>
    </row>
    <row r="4059" spans="1:1" x14ac:dyDescent="0.3">
      <c r="A4059" s="17"/>
    </row>
    <row r="4060" spans="1:1" x14ac:dyDescent="0.3">
      <c r="A4060" s="17"/>
    </row>
    <row r="4061" spans="1:1" x14ac:dyDescent="0.3">
      <c r="A4061" s="17"/>
    </row>
    <row r="4062" spans="1:1" x14ac:dyDescent="0.3">
      <c r="A4062" s="17"/>
    </row>
    <row r="4063" spans="1:1" x14ac:dyDescent="0.3">
      <c r="A4063" s="17"/>
    </row>
    <row r="4064" spans="1:1" x14ac:dyDescent="0.3">
      <c r="A4064" s="17"/>
    </row>
    <row r="4065" spans="1:1" x14ac:dyDescent="0.3">
      <c r="A4065" s="17"/>
    </row>
    <row r="4066" spans="1:1" x14ac:dyDescent="0.3">
      <c r="A4066" s="17"/>
    </row>
    <row r="4067" spans="1:1" x14ac:dyDescent="0.3">
      <c r="A4067" s="17"/>
    </row>
    <row r="4068" spans="1:1" x14ac:dyDescent="0.3">
      <c r="A4068" s="17"/>
    </row>
    <row r="4069" spans="1:1" x14ac:dyDescent="0.3">
      <c r="A4069" s="17"/>
    </row>
    <row r="4070" spans="1:1" x14ac:dyDescent="0.3">
      <c r="A4070" s="17"/>
    </row>
    <row r="4071" spans="1:1" x14ac:dyDescent="0.3">
      <c r="A4071" s="17"/>
    </row>
    <row r="4072" spans="1:1" x14ac:dyDescent="0.3">
      <c r="A4072" s="17"/>
    </row>
    <row r="4073" spans="1:1" x14ac:dyDescent="0.3">
      <c r="A4073" s="17"/>
    </row>
    <row r="4074" spans="1:1" x14ac:dyDescent="0.3">
      <c r="A4074" s="17"/>
    </row>
    <row r="4075" spans="1:1" x14ac:dyDescent="0.3">
      <c r="A4075" s="17"/>
    </row>
    <row r="4076" spans="1:1" x14ac:dyDescent="0.3">
      <c r="A4076" s="17"/>
    </row>
    <row r="4077" spans="1:1" x14ac:dyDescent="0.3">
      <c r="A4077" s="17"/>
    </row>
    <row r="4078" spans="1:1" x14ac:dyDescent="0.3">
      <c r="A4078" s="17"/>
    </row>
    <row r="4079" spans="1:1" x14ac:dyDescent="0.3">
      <c r="A4079" s="17"/>
    </row>
    <row r="4080" spans="1:1" x14ac:dyDescent="0.3">
      <c r="A4080" s="17"/>
    </row>
    <row r="4081" spans="1:1" x14ac:dyDescent="0.3">
      <c r="A4081" s="17"/>
    </row>
    <row r="4082" spans="1:1" x14ac:dyDescent="0.3">
      <c r="A4082" s="17"/>
    </row>
    <row r="4083" spans="1:1" x14ac:dyDescent="0.3">
      <c r="A4083" s="17"/>
    </row>
    <row r="4084" spans="1:1" x14ac:dyDescent="0.3">
      <c r="A4084" s="17"/>
    </row>
    <row r="4085" spans="1:1" x14ac:dyDescent="0.3">
      <c r="A4085" s="17"/>
    </row>
    <row r="4086" spans="1:1" x14ac:dyDescent="0.3">
      <c r="A4086" s="17"/>
    </row>
    <row r="4087" spans="1:1" x14ac:dyDescent="0.3">
      <c r="A4087" s="17"/>
    </row>
    <row r="4088" spans="1:1" x14ac:dyDescent="0.3">
      <c r="A4088" s="17"/>
    </row>
    <row r="4089" spans="1:1" x14ac:dyDescent="0.3">
      <c r="A4089" s="17"/>
    </row>
    <row r="4090" spans="1:1" x14ac:dyDescent="0.3">
      <c r="A4090" s="17"/>
    </row>
    <row r="4091" spans="1:1" x14ac:dyDescent="0.3">
      <c r="A4091" s="17"/>
    </row>
    <row r="4092" spans="1:1" x14ac:dyDescent="0.3">
      <c r="A4092" s="17"/>
    </row>
    <row r="4093" spans="1:1" x14ac:dyDescent="0.3">
      <c r="A4093" s="17"/>
    </row>
    <row r="4094" spans="1:1" x14ac:dyDescent="0.3">
      <c r="A4094" s="17"/>
    </row>
    <row r="4095" spans="1:1" x14ac:dyDescent="0.3">
      <c r="A4095" s="17"/>
    </row>
    <row r="4096" spans="1:1" x14ac:dyDescent="0.3">
      <c r="A4096" s="17"/>
    </row>
    <row r="4097" spans="1:1" x14ac:dyDescent="0.3">
      <c r="A4097" s="17"/>
    </row>
    <row r="4098" spans="1:1" x14ac:dyDescent="0.3">
      <c r="A4098" s="17"/>
    </row>
    <row r="4099" spans="1:1" x14ac:dyDescent="0.3">
      <c r="A4099" s="17"/>
    </row>
    <row r="4100" spans="1:1" x14ac:dyDescent="0.3">
      <c r="A4100" s="17"/>
    </row>
    <row r="4101" spans="1:1" x14ac:dyDescent="0.3">
      <c r="A4101" s="17"/>
    </row>
    <row r="4102" spans="1:1" x14ac:dyDescent="0.3">
      <c r="A4102" s="17"/>
    </row>
    <row r="4103" spans="1:1" x14ac:dyDescent="0.3">
      <c r="A4103" s="17"/>
    </row>
    <row r="4104" spans="1:1" x14ac:dyDescent="0.3">
      <c r="A4104" s="17"/>
    </row>
    <row r="4105" spans="1:1" x14ac:dyDescent="0.3">
      <c r="A4105" s="17"/>
    </row>
    <row r="4106" spans="1:1" x14ac:dyDescent="0.3">
      <c r="A4106" s="17"/>
    </row>
    <row r="4107" spans="1:1" x14ac:dyDescent="0.3">
      <c r="A4107" s="17"/>
    </row>
    <row r="4108" spans="1:1" x14ac:dyDescent="0.3">
      <c r="A4108" s="17"/>
    </row>
    <row r="4109" spans="1:1" x14ac:dyDescent="0.3">
      <c r="A4109" s="17"/>
    </row>
    <row r="4110" spans="1:1" x14ac:dyDescent="0.3">
      <c r="A4110" s="17"/>
    </row>
    <row r="4111" spans="1:1" x14ac:dyDescent="0.3">
      <c r="A4111" s="17"/>
    </row>
    <row r="4112" spans="1:1" x14ac:dyDescent="0.3">
      <c r="A4112" s="17"/>
    </row>
    <row r="4113" spans="1:1" x14ac:dyDescent="0.3">
      <c r="A4113" s="17"/>
    </row>
    <row r="4114" spans="1:1" x14ac:dyDescent="0.3">
      <c r="A4114" s="17"/>
    </row>
    <row r="4115" spans="1:1" x14ac:dyDescent="0.3">
      <c r="A4115" s="17"/>
    </row>
    <row r="4116" spans="1:1" x14ac:dyDescent="0.3">
      <c r="A4116" s="17"/>
    </row>
    <row r="4117" spans="1:1" x14ac:dyDescent="0.3">
      <c r="A4117" s="17"/>
    </row>
    <row r="4118" spans="1:1" x14ac:dyDescent="0.3">
      <c r="A4118" s="17"/>
    </row>
    <row r="4119" spans="1:1" x14ac:dyDescent="0.3">
      <c r="A4119" s="17"/>
    </row>
    <row r="4120" spans="1:1" x14ac:dyDescent="0.3">
      <c r="A4120" s="17"/>
    </row>
    <row r="4121" spans="1:1" x14ac:dyDescent="0.3">
      <c r="A4121" s="17"/>
    </row>
    <row r="4122" spans="1:1" x14ac:dyDescent="0.3">
      <c r="A4122" s="17"/>
    </row>
    <row r="4123" spans="1:1" x14ac:dyDescent="0.3">
      <c r="A4123" s="17"/>
    </row>
    <row r="4124" spans="1:1" x14ac:dyDescent="0.3">
      <c r="A4124" s="17"/>
    </row>
    <row r="4125" spans="1:1" x14ac:dyDescent="0.3">
      <c r="A4125" s="17"/>
    </row>
    <row r="4126" spans="1:1" x14ac:dyDescent="0.3">
      <c r="A4126" s="17"/>
    </row>
    <row r="4127" spans="1:1" x14ac:dyDescent="0.3">
      <c r="A4127" s="17"/>
    </row>
    <row r="4128" spans="1:1" x14ac:dyDescent="0.3">
      <c r="A4128" s="17"/>
    </row>
    <row r="4129" spans="1:1" x14ac:dyDescent="0.3">
      <c r="A4129" s="17"/>
    </row>
    <row r="4130" spans="1:1" x14ac:dyDescent="0.3">
      <c r="A4130" s="17"/>
    </row>
    <row r="4131" spans="1:1" x14ac:dyDescent="0.3">
      <c r="A4131" s="17"/>
    </row>
    <row r="4132" spans="1:1" x14ac:dyDescent="0.3">
      <c r="A4132" s="17"/>
    </row>
    <row r="4133" spans="1:1" x14ac:dyDescent="0.3">
      <c r="A4133" s="17"/>
    </row>
    <row r="4134" spans="1:1" x14ac:dyDescent="0.3">
      <c r="A4134" s="17"/>
    </row>
    <row r="4135" spans="1:1" x14ac:dyDescent="0.3">
      <c r="A4135" s="17"/>
    </row>
    <row r="4136" spans="1:1" x14ac:dyDescent="0.3">
      <c r="A4136" s="17"/>
    </row>
    <row r="4137" spans="1:1" x14ac:dyDescent="0.3">
      <c r="A4137" s="17"/>
    </row>
    <row r="4138" spans="1:1" x14ac:dyDescent="0.3">
      <c r="A4138" s="17"/>
    </row>
    <row r="4139" spans="1:1" x14ac:dyDescent="0.3">
      <c r="A4139" s="17"/>
    </row>
    <row r="4140" spans="1:1" x14ac:dyDescent="0.3">
      <c r="A4140" s="17"/>
    </row>
    <row r="4141" spans="1:1" x14ac:dyDescent="0.3">
      <c r="A4141" s="17"/>
    </row>
    <row r="4142" spans="1:1" x14ac:dyDescent="0.3">
      <c r="A4142" s="17"/>
    </row>
    <row r="4143" spans="1:1" x14ac:dyDescent="0.3">
      <c r="A4143" s="17"/>
    </row>
    <row r="4144" spans="1:1" x14ac:dyDescent="0.3">
      <c r="A4144" s="17"/>
    </row>
    <row r="4145" spans="1:1" x14ac:dyDescent="0.3">
      <c r="A4145" s="17"/>
    </row>
    <row r="4146" spans="1:1" x14ac:dyDescent="0.3">
      <c r="A4146" s="17"/>
    </row>
    <row r="4147" spans="1:1" x14ac:dyDescent="0.3">
      <c r="A4147" s="17"/>
    </row>
    <row r="4148" spans="1:1" x14ac:dyDescent="0.3">
      <c r="A4148" s="17"/>
    </row>
    <row r="4149" spans="1:1" x14ac:dyDescent="0.3">
      <c r="A4149" s="17"/>
    </row>
    <row r="4150" spans="1:1" x14ac:dyDescent="0.3">
      <c r="A4150" s="17"/>
    </row>
    <row r="4151" spans="1:1" x14ac:dyDescent="0.3">
      <c r="A4151" s="17"/>
    </row>
    <row r="4152" spans="1:1" x14ac:dyDescent="0.3">
      <c r="A4152" s="17"/>
    </row>
    <row r="4153" spans="1:1" x14ac:dyDescent="0.3">
      <c r="A4153" s="17"/>
    </row>
    <row r="4154" spans="1:1" x14ac:dyDescent="0.3">
      <c r="A4154" s="17"/>
    </row>
    <row r="4155" spans="1:1" x14ac:dyDescent="0.3">
      <c r="A4155" s="17"/>
    </row>
    <row r="4156" spans="1:1" x14ac:dyDescent="0.3">
      <c r="A4156" s="17"/>
    </row>
    <row r="4157" spans="1:1" x14ac:dyDescent="0.3">
      <c r="A4157" s="17"/>
    </row>
    <row r="4158" spans="1:1" x14ac:dyDescent="0.3">
      <c r="A4158" s="17"/>
    </row>
    <row r="4159" spans="1:1" x14ac:dyDescent="0.3">
      <c r="A4159" s="17"/>
    </row>
    <row r="4160" spans="1:1" x14ac:dyDescent="0.3">
      <c r="A4160" s="17"/>
    </row>
    <row r="4161" spans="1:1" x14ac:dyDescent="0.3">
      <c r="A4161" s="17"/>
    </row>
    <row r="4162" spans="1:1" x14ac:dyDescent="0.3">
      <c r="A4162" s="17"/>
    </row>
    <row r="4163" spans="1:1" x14ac:dyDescent="0.3">
      <c r="A4163" s="17"/>
    </row>
    <row r="4164" spans="1:1" x14ac:dyDescent="0.3">
      <c r="A4164" s="17"/>
    </row>
    <row r="4165" spans="1:1" x14ac:dyDescent="0.3">
      <c r="A4165" s="17"/>
    </row>
    <row r="4166" spans="1:1" x14ac:dyDescent="0.3">
      <c r="A4166" s="17"/>
    </row>
    <row r="4167" spans="1:1" x14ac:dyDescent="0.3">
      <c r="A4167" s="17"/>
    </row>
    <row r="4168" spans="1:1" x14ac:dyDescent="0.3">
      <c r="A4168" s="17"/>
    </row>
    <row r="4169" spans="1:1" x14ac:dyDescent="0.3">
      <c r="A4169" s="17"/>
    </row>
    <row r="4170" spans="1:1" x14ac:dyDescent="0.3">
      <c r="A4170" s="17"/>
    </row>
    <row r="4171" spans="1:1" x14ac:dyDescent="0.3">
      <c r="A4171" s="17"/>
    </row>
    <row r="4172" spans="1:1" x14ac:dyDescent="0.3">
      <c r="A4172" s="17"/>
    </row>
    <row r="4173" spans="1:1" x14ac:dyDescent="0.3">
      <c r="A4173" s="17"/>
    </row>
    <row r="4174" spans="1:1" x14ac:dyDescent="0.3">
      <c r="A4174" s="17"/>
    </row>
    <row r="4175" spans="1:1" x14ac:dyDescent="0.3">
      <c r="A4175" s="17"/>
    </row>
    <row r="4176" spans="1:1" x14ac:dyDescent="0.3">
      <c r="A4176" s="17"/>
    </row>
    <row r="4177" spans="1:1" x14ac:dyDescent="0.3">
      <c r="A4177" s="17"/>
    </row>
    <row r="4178" spans="1:1" x14ac:dyDescent="0.3">
      <c r="A4178" s="17"/>
    </row>
    <row r="4179" spans="1:1" x14ac:dyDescent="0.3">
      <c r="A4179" s="17"/>
    </row>
    <row r="4180" spans="1:1" x14ac:dyDescent="0.3">
      <c r="A4180" s="17"/>
    </row>
    <row r="4181" spans="1:1" x14ac:dyDescent="0.3">
      <c r="A4181" s="17"/>
    </row>
    <row r="4182" spans="1:1" x14ac:dyDescent="0.3">
      <c r="A4182" s="17"/>
    </row>
    <row r="4183" spans="1:1" x14ac:dyDescent="0.3">
      <c r="A4183" s="17"/>
    </row>
    <row r="4184" spans="1:1" x14ac:dyDescent="0.3">
      <c r="A4184" s="17"/>
    </row>
    <row r="4185" spans="1:1" x14ac:dyDescent="0.3">
      <c r="A4185" s="17"/>
    </row>
    <row r="4186" spans="1:1" x14ac:dyDescent="0.3">
      <c r="A4186" s="17"/>
    </row>
    <row r="4187" spans="1:1" x14ac:dyDescent="0.3">
      <c r="A4187" s="17"/>
    </row>
    <row r="4188" spans="1:1" x14ac:dyDescent="0.3">
      <c r="A4188" s="17"/>
    </row>
    <row r="4189" spans="1:1" x14ac:dyDescent="0.3">
      <c r="A4189" s="17"/>
    </row>
    <row r="4190" spans="1:1" x14ac:dyDescent="0.3">
      <c r="A4190" s="17"/>
    </row>
    <row r="4191" spans="1:1" x14ac:dyDescent="0.3">
      <c r="A4191" s="17"/>
    </row>
    <row r="4192" spans="1:1" x14ac:dyDescent="0.3">
      <c r="A4192" s="17"/>
    </row>
    <row r="4193" spans="1:1" x14ac:dyDescent="0.3">
      <c r="A4193" s="17"/>
    </row>
    <row r="4194" spans="1:1" x14ac:dyDescent="0.3">
      <c r="A4194" s="17"/>
    </row>
    <row r="4195" spans="1:1" x14ac:dyDescent="0.3">
      <c r="A4195" s="17"/>
    </row>
    <row r="4196" spans="1:1" x14ac:dyDescent="0.3">
      <c r="A4196" s="17"/>
    </row>
    <row r="4197" spans="1:1" x14ac:dyDescent="0.3">
      <c r="A4197" s="17"/>
    </row>
    <row r="4198" spans="1:1" x14ac:dyDescent="0.3">
      <c r="A4198" s="17"/>
    </row>
    <row r="4199" spans="1:1" x14ac:dyDescent="0.3">
      <c r="A4199" s="17"/>
    </row>
    <row r="4200" spans="1:1" x14ac:dyDescent="0.3">
      <c r="A4200" s="17"/>
    </row>
    <row r="4201" spans="1:1" x14ac:dyDescent="0.3">
      <c r="A4201" s="17"/>
    </row>
    <row r="4202" spans="1:1" x14ac:dyDescent="0.3">
      <c r="A4202" s="17"/>
    </row>
    <row r="4203" spans="1:1" x14ac:dyDescent="0.3">
      <c r="A4203" s="17"/>
    </row>
    <row r="4204" spans="1:1" x14ac:dyDescent="0.3">
      <c r="A4204" s="17"/>
    </row>
    <row r="4205" spans="1:1" x14ac:dyDescent="0.3">
      <c r="A4205" s="17"/>
    </row>
    <row r="4206" spans="1:1" x14ac:dyDescent="0.3">
      <c r="A4206" s="17"/>
    </row>
    <row r="4207" spans="1:1" x14ac:dyDescent="0.3">
      <c r="A4207" s="17"/>
    </row>
    <row r="4208" spans="1:1" x14ac:dyDescent="0.3">
      <c r="A4208" s="17"/>
    </row>
    <row r="4209" spans="1:1" x14ac:dyDescent="0.3">
      <c r="A4209" s="17"/>
    </row>
    <row r="4210" spans="1:1" x14ac:dyDescent="0.3">
      <c r="A4210" s="17"/>
    </row>
    <row r="4211" spans="1:1" x14ac:dyDescent="0.3">
      <c r="A4211" s="17"/>
    </row>
    <row r="4212" spans="1:1" x14ac:dyDescent="0.3">
      <c r="A4212" s="17"/>
    </row>
    <row r="4213" spans="1:1" x14ac:dyDescent="0.3">
      <c r="A4213" s="17"/>
    </row>
    <row r="4214" spans="1:1" x14ac:dyDescent="0.3">
      <c r="A4214" s="17"/>
    </row>
    <row r="4215" spans="1:1" x14ac:dyDescent="0.3">
      <c r="A4215" s="17"/>
    </row>
    <row r="4216" spans="1:1" x14ac:dyDescent="0.3">
      <c r="A4216" s="17"/>
    </row>
    <row r="4217" spans="1:1" x14ac:dyDescent="0.3">
      <c r="A4217" s="17"/>
    </row>
    <row r="4218" spans="1:1" x14ac:dyDescent="0.3">
      <c r="A4218" s="17"/>
    </row>
    <row r="4219" spans="1:1" x14ac:dyDescent="0.3">
      <c r="A4219" s="17"/>
    </row>
    <row r="4220" spans="1:1" x14ac:dyDescent="0.3">
      <c r="A4220" s="17"/>
    </row>
    <row r="4221" spans="1:1" x14ac:dyDescent="0.3">
      <c r="A4221" s="17"/>
    </row>
    <row r="4222" spans="1:1" x14ac:dyDescent="0.3">
      <c r="A4222" s="17"/>
    </row>
    <row r="4223" spans="1:1" x14ac:dyDescent="0.3">
      <c r="A4223" s="17"/>
    </row>
    <row r="4224" spans="1:1" x14ac:dyDescent="0.3">
      <c r="A4224" s="17"/>
    </row>
    <row r="4225" spans="1:1" x14ac:dyDescent="0.3">
      <c r="A4225" s="17"/>
    </row>
    <row r="4226" spans="1:1" x14ac:dyDescent="0.3">
      <c r="A4226" s="17"/>
    </row>
    <row r="4227" spans="1:1" x14ac:dyDescent="0.3">
      <c r="A4227" s="17"/>
    </row>
    <row r="4228" spans="1:1" x14ac:dyDescent="0.3">
      <c r="A4228" s="17"/>
    </row>
    <row r="4229" spans="1:1" x14ac:dyDescent="0.3">
      <c r="A4229" s="17"/>
    </row>
    <row r="4230" spans="1:1" x14ac:dyDescent="0.3">
      <c r="A4230" s="17"/>
    </row>
    <row r="4231" spans="1:1" x14ac:dyDescent="0.3">
      <c r="A4231" s="17"/>
    </row>
    <row r="4232" spans="1:1" x14ac:dyDescent="0.3">
      <c r="A4232" s="17"/>
    </row>
    <row r="4233" spans="1:1" x14ac:dyDescent="0.3">
      <c r="A4233" s="17"/>
    </row>
    <row r="4234" spans="1:1" x14ac:dyDescent="0.3">
      <c r="A4234" s="17"/>
    </row>
    <row r="4235" spans="1:1" x14ac:dyDescent="0.3">
      <c r="A4235" s="17"/>
    </row>
    <row r="4236" spans="1:1" x14ac:dyDescent="0.3">
      <c r="A4236" s="17"/>
    </row>
    <row r="4237" spans="1:1" x14ac:dyDescent="0.3">
      <c r="A4237" s="17"/>
    </row>
    <row r="4238" spans="1:1" x14ac:dyDescent="0.3">
      <c r="A4238" s="17"/>
    </row>
    <row r="4239" spans="1:1" x14ac:dyDescent="0.3">
      <c r="A4239" s="17"/>
    </row>
    <row r="4240" spans="1:1" x14ac:dyDescent="0.3">
      <c r="A4240" s="17"/>
    </row>
    <row r="4241" spans="1:1" x14ac:dyDescent="0.3">
      <c r="A4241" s="17"/>
    </row>
    <row r="4242" spans="1:1" x14ac:dyDescent="0.3">
      <c r="A4242" s="17"/>
    </row>
    <row r="4243" spans="1:1" x14ac:dyDescent="0.3">
      <c r="A4243" s="17"/>
    </row>
    <row r="4244" spans="1:1" x14ac:dyDescent="0.3">
      <c r="A4244" s="17"/>
    </row>
    <row r="4245" spans="1:1" x14ac:dyDescent="0.3">
      <c r="A4245" s="17"/>
    </row>
    <row r="4246" spans="1:1" x14ac:dyDescent="0.3">
      <c r="A4246" s="17"/>
    </row>
    <row r="4247" spans="1:1" x14ac:dyDescent="0.3">
      <c r="A4247" s="17"/>
    </row>
    <row r="4248" spans="1:1" x14ac:dyDescent="0.3">
      <c r="A4248" s="17"/>
    </row>
    <row r="4249" spans="1:1" x14ac:dyDescent="0.3">
      <c r="A4249" s="17"/>
    </row>
    <row r="4250" spans="1:1" x14ac:dyDescent="0.3">
      <c r="A4250" s="17"/>
    </row>
    <row r="4251" spans="1:1" x14ac:dyDescent="0.3">
      <c r="A4251" s="17"/>
    </row>
    <row r="4252" spans="1:1" x14ac:dyDescent="0.3">
      <c r="A4252" s="17"/>
    </row>
    <row r="4253" spans="1:1" x14ac:dyDescent="0.3">
      <c r="A4253" s="17"/>
    </row>
    <row r="4254" spans="1:1" x14ac:dyDescent="0.3">
      <c r="A4254" s="17"/>
    </row>
    <row r="4255" spans="1:1" x14ac:dyDescent="0.3">
      <c r="A4255" s="17"/>
    </row>
    <row r="4256" spans="1:1" x14ac:dyDescent="0.3">
      <c r="A4256" s="17"/>
    </row>
    <row r="4257" spans="1:1" x14ac:dyDescent="0.3">
      <c r="A4257" s="17"/>
    </row>
    <row r="4258" spans="1:1" x14ac:dyDescent="0.3">
      <c r="A4258" s="17"/>
    </row>
    <row r="4259" spans="1:1" x14ac:dyDescent="0.3">
      <c r="A4259" s="17"/>
    </row>
    <row r="4260" spans="1:1" x14ac:dyDescent="0.3">
      <c r="A4260" s="17"/>
    </row>
    <row r="4261" spans="1:1" x14ac:dyDescent="0.3">
      <c r="A4261" s="17"/>
    </row>
    <row r="4262" spans="1:1" x14ac:dyDescent="0.3">
      <c r="A4262" s="17"/>
    </row>
    <row r="4263" spans="1:1" x14ac:dyDescent="0.3">
      <c r="A4263" s="17"/>
    </row>
    <row r="4264" spans="1:1" x14ac:dyDescent="0.3">
      <c r="A4264" s="17"/>
    </row>
    <row r="4265" spans="1:1" x14ac:dyDescent="0.3">
      <c r="A4265" s="17"/>
    </row>
    <row r="4266" spans="1:1" x14ac:dyDescent="0.3">
      <c r="A4266" s="17"/>
    </row>
    <row r="4267" spans="1:1" x14ac:dyDescent="0.3">
      <c r="A4267" s="17"/>
    </row>
    <row r="4268" spans="1:1" x14ac:dyDescent="0.3">
      <c r="A4268" s="17"/>
    </row>
    <row r="4269" spans="1:1" x14ac:dyDescent="0.3">
      <c r="A4269" s="17"/>
    </row>
    <row r="4270" spans="1:1" x14ac:dyDescent="0.3">
      <c r="A4270" s="17"/>
    </row>
    <row r="4271" spans="1:1" x14ac:dyDescent="0.3">
      <c r="A4271" s="17"/>
    </row>
    <row r="4272" spans="1:1" x14ac:dyDescent="0.3">
      <c r="A4272" s="17"/>
    </row>
    <row r="4273" spans="1:1" x14ac:dyDescent="0.3">
      <c r="A4273" s="17"/>
    </row>
    <row r="4274" spans="1:1" x14ac:dyDescent="0.3">
      <c r="A4274" s="17"/>
    </row>
    <row r="4275" spans="1:1" x14ac:dyDescent="0.3">
      <c r="A4275" s="17"/>
    </row>
    <row r="4276" spans="1:1" x14ac:dyDescent="0.3">
      <c r="A4276" s="17"/>
    </row>
    <row r="4277" spans="1:1" x14ac:dyDescent="0.3">
      <c r="A4277" s="17"/>
    </row>
    <row r="4278" spans="1:1" x14ac:dyDescent="0.3">
      <c r="A4278" s="17"/>
    </row>
    <row r="4279" spans="1:1" x14ac:dyDescent="0.3">
      <c r="A4279" s="17"/>
    </row>
    <row r="4280" spans="1:1" x14ac:dyDescent="0.3">
      <c r="A4280" s="17"/>
    </row>
    <row r="4281" spans="1:1" x14ac:dyDescent="0.3">
      <c r="A4281" s="17"/>
    </row>
    <row r="4282" spans="1:1" x14ac:dyDescent="0.3">
      <c r="A4282" s="17"/>
    </row>
    <row r="4283" spans="1:1" x14ac:dyDescent="0.3">
      <c r="A4283" s="17"/>
    </row>
    <row r="4284" spans="1:1" x14ac:dyDescent="0.3">
      <c r="A4284" s="17"/>
    </row>
    <row r="4285" spans="1:1" x14ac:dyDescent="0.3">
      <c r="A4285" s="17"/>
    </row>
    <row r="4286" spans="1:1" x14ac:dyDescent="0.3">
      <c r="A4286" s="17"/>
    </row>
    <row r="4287" spans="1:1" x14ac:dyDescent="0.3">
      <c r="A4287" s="17"/>
    </row>
    <row r="4288" spans="1:1" x14ac:dyDescent="0.3">
      <c r="A4288" s="17"/>
    </row>
    <row r="4289" spans="1:1" x14ac:dyDescent="0.3">
      <c r="A4289" s="17"/>
    </row>
    <row r="4290" spans="1:1" x14ac:dyDescent="0.3">
      <c r="A4290" s="17"/>
    </row>
    <row r="4291" spans="1:1" x14ac:dyDescent="0.3">
      <c r="A4291" s="17"/>
    </row>
    <row r="4292" spans="1:1" x14ac:dyDescent="0.3">
      <c r="A4292" s="17"/>
    </row>
    <row r="4293" spans="1:1" x14ac:dyDescent="0.3">
      <c r="A4293" s="17"/>
    </row>
    <row r="4294" spans="1:1" x14ac:dyDescent="0.3">
      <c r="A4294" s="17"/>
    </row>
    <row r="4295" spans="1:1" x14ac:dyDescent="0.3">
      <c r="A4295" s="17"/>
    </row>
    <row r="4296" spans="1:1" x14ac:dyDescent="0.3">
      <c r="A4296" s="17"/>
    </row>
    <row r="4297" spans="1:1" x14ac:dyDescent="0.3">
      <c r="A4297" s="17"/>
    </row>
    <row r="4298" spans="1:1" x14ac:dyDescent="0.3">
      <c r="A4298" s="17"/>
    </row>
    <row r="4299" spans="1:1" x14ac:dyDescent="0.3">
      <c r="A4299" s="17"/>
    </row>
    <row r="4300" spans="1:1" x14ac:dyDescent="0.3">
      <c r="A4300" s="17"/>
    </row>
    <row r="4301" spans="1:1" x14ac:dyDescent="0.3">
      <c r="A4301" s="17"/>
    </row>
    <row r="4302" spans="1:1" x14ac:dyDescent="0.3">
      <c r="A4302" s="17"/>
    </row>
    <row r="4303" spans="1:1" x14ac:dyDescent="0.3">
      <c r="A4303" s="17"/>
    </row>
    <row r="4304" spans="1:1" x14ac:dyDescent="0.3">
      <c r="A4304" s="17"/>
    </row>
    <row r="4305" spans="1:1" x14ac:dyDescent="0.3">
      <c r="A4305" s="17"/>
    </row>
    <row r="4306" spans="1:1" x14ac:dyDescent="0.3">
      <c r="A4306" s="17"/>
    </row>
    <row r="4307" spans="1:1" x14ac:dyDescent="0.3">
      <c r="A4307" s="17"/>
    </row>
    <row r="4308" spans="1:1" x14ac:dyDescent="0.3">
      <c r="A4308" s="17"/>
    </row>
    <row r="4309" spans="1:1" x14ac:dyDescent="0.3">
      <c r="A4309" s="17"/>
    </row>
    <row r="4310" spans="1:1" x14ac:dyDescent="0.3">
      <c r="A4310" s="17"/>
    </row>
    <row r="4311" spans="1:1" x14ac:dyDescent="0.3">
      <c r="A4311" s="17"/>
    </row>
    <row r="4312" spans="1:1" x14ac:dyDescent="0.3">
      <c r="A4312" s="17"/>
    </row>
    <row r="4313" spans="1:1" x14ac:dyDescent="0.3">
      <c r="A4313" s="17"/>
    </row>
    <row r="4314" spans="1:1" x14ac:dyDescent="0.3">
      <c r="A4314" s="17"/>
    </row>
    <row r="4315" spans="1:1" x14ac:dyDescent="0.3">
      <c r="A4315" s="17"/>
    </row>
    <row r="4316" spans="1:1" x14ac:dyDescent="0.3">
      <c r="A4316" s="17"/>
    </row>
    <row r="4317" spans="1:1" x14ac:dyDescent="0.3">
      <c r="A4317" s="17"/>
    </row>
    <row r="4318" spans="1:1" x14ac:dyDescent="0.3">
      <c r="A4318" s="17"/>
    </row>
    <row r="4319" spans="1:1" x14ac:dyDescent="0.3">
      <c r="A4319" s="17"/>
    </row>
    <row r="4320" spans="1:1" x14ac:dyDescent="0.3">
      <c r="A4320" s="17"/>
    </row>
    <row r="4321" spans="1:1" x14ac:dyDescent="0.3">
      <c r="A4321" s="17"/>
    </row>
    <row r="4322" spans="1:1" x14ac:dyDescent="0.3">
      <c r="A4322" s="17"/>
    </row>
    <row r="4323" spans="1:1" x14ac:dyDescent="0.3">
      <c r="A4323" s="17"/>
    </row>
    <row r="4324" spans="1:1" x14ac:dyDescent="0.3">
      <c r="A4324" s="17"/>
    </row>
    <row r="4325" spans="1:1" x14ac:dyDescent="0.3">
      <c r="A4325" s="17"/>
    </row>
    <row r="4326" spans="1:1" x14ac:dyDescent="0.3">
      <c r="A4326" s="17"/>
    </row>
    <row r="4327" spans="1:1" x14ac:dyDescent="0.3">
      <c r="A4327" s="17"/>
    </row>
    <row r="4328" spans="1:1" x14ac:dyDescent="0.3">
      <c r="A4328" s="17"/>
    </row>
    <row r="4329" spans="1:1" x14ac:dyDescent="0.3">
      <c r="A4329" s="17"/>
    </row>
    <row r="4330" spans="1:1" x14ac:dyDescent="0.3">
      <c r="A4330" s="17"/>
    </row>
    <row r="4331" spans="1:1" x14ac:dyDescent="0.3">
      <c r="A4331" s="17"/>
    </row>
    <row r="4332" spans="1:1" x14ac:dyDescent="0.3">
      <c r="A4332" s="17"/>
    </row>
    <row r="4333" spans="1:1" x14ac:dyDescent="0.3">
      <c r="A4333" s="17"/>
    </row>
    <row r="4334" spans="1:1" x14ac:dyDescent="0.3">
      <c r="A4334" s="17"/>
    </row>
    <row r="4335" spans="1:1" x14ac:dyDescent="0.3">
      <c r="A4335" s="17"/>
    </row>
    <row r="4336" spans="1:1" x14ac:dyDescent="0.3">
      <c r="A4336" s="17"/>
    </row>
    <row r="4337" spans="1:1" x14ac:dyDescent="0.3">
      <c r="A4337" s="17"/>
    </row>
    <row r="4338" spans="1:1" x14ac:dyDescent="0.3">
      <c r="A4338" s="17"/>
    </row>
    <row r="4339" spans="1:1" x14ac:dyDescent="0.3">
      <c r="A4339" s="17"/>
    </row>
    <row r="4340" spans="1:1" x14ac:dyDescent="0.3">
      <c r="A4340" s="17"/>
    </row>
    <row r="4341" spans="1:1" x14ac:dyDescent="0.3">
      <c r="A4341" s="17"/>
    </row>
    <row r="4342" spans="1:1" x14ac:dyDescent="0.3">
      <c r="A4342" s="17"/>
    </row>
    <row r="4343" spans="1:1" x14ac:dyDescent="0.3">
      <c r="A4343" s="17"/>
    </row>
    <row r="4344" spans="1:1" x14ac:dyDescent="0.3">
      <c r="A4344" s="17"/>
    </row>
    <row r="4345" spans="1:1" x14ac:dyDescent="0.3">
      <c r="A4345" s="17"/>
    </row>
    <row r="4346" spans="1:1" x14ac:dyDescent="0.3">
      <c r="A4346" s="17"/>
    </row>
    <row r="4347" spans="1:1" x14ac:dyDescent="0.3">
      <c r="A4347" s="17"/>
    </row>
    <row r="4348" spans="1:1" x14ac:dyDescent="0.3">
      <c r="A4348" s="17"/>
    </row>
    <row r="4349" spans="1:1" x14ac:dyDescent="0.3">
      <c r="A4349" s="17"/>
    </row>
    <row r="4350" spans="1:1" x14ac:dyDescent="0.3">
      <c r="A4350" s="17"/>
    </row>
    <row r="4351" spans="1:1" x14ac:dyDescent="0.3">
      <c r="A4351" s="17"/>
    </row>
    <row r="4352" spans="1:1" x14ac:dyDescent="0.3">
      <c r="A4352" s="17"/>
    </row>
    <row r="4353" spans="1:1" x14ac:dyDescent="0.3">
      <c r="A4353" s="17"/>
    </row>
    <row r="4354" spans="1:1" x14ac:dyDescent="0.3">
      <c r="A4354" s="17"/>
    </row>
    <row r="4355" spans="1:1" x14ac:dyDescent="0.3">
      <c r="A4355" s="17"/>
    </row>
    <row r="4356" spans="1:1" x14ac:dyDescent="0.3">
      <c r="A4356" s="17"/>
    </row>
    <row r="4357" spans="1:1" x14ac:dyDescent="0.3">
      <c r="A4357" s="17"/>
    </row>
    <row r="4358" spans="1:1" x14ac:dyDescent="0.3">
      <c r="A4358" s="17"/>
    </row>
    <row r="4359" spans="1:1" x14ac:dyDescent="0.3">
      <c r="A4359" s="17"/>
    </row>
    <row r="4360" spans="1:1" x14ac:dyDescent="0.3">
      <c r="A4360" s="17"/>
    </row>
    <row r="4361" spans="1:1" x14ac:dyDescent="0.3">
      <c r="A4361" s="17"/>
    </row>
    <row r="4362" spans="1:1" x14ac:dyDescent="0.3">
      <c r="A4362" s="17"/>
    </row>
    <row r="4363" spans="1:1" x14ac:dyDescent="0.3">
      <c r="A4363" s="17"/>
    </row>
    <row r="4364" spans="1:1" x14ac:dyDescent="0.3">
      <c r="A4364" s="17"/>
    </row>
    <row r="4365" spans="1:1" x14ac:dyDescent="0.3">
      <c r="A4365" s="17"/>
    </row>
    <row r="4366" spans="1:1" x14ac:dyDescent="0.3">
      <c r="A4366" s="17"/>
    </row>
    <row r="4367" spans="1:1" x14ac:dyDescent="0.3">
      <c r="A4367" s="17"/>
    </row>
    <row r="4368" spans="1:1" x14ac:dyDescent="0.3">
      <c r="A4368" s="17"/>
    </row>
    <row r="4369" spans="1:1" x14ac:dyDescent="0.3">
      <c r="A4369" s="17"/>
    </row>
    <row r="4370" spans="1:1" x14ac:dyDescent="0.3">
      <c r="A4370" s="17"/>
    </row>
    <row r="4371" spans="1:1" x14ac:dyDescent="0.3">
      <c r="A4371" s="17"/>
    </row>
    <row r="4372" spans="1:1" x14ac:dyDescent="0.3">
      <c r="A4372" s="17"/>
    </row>
    <row r="4373" spans="1:1" x14ac:dyDescent="0.3">
      <c r="A4373" s="17"/>
    </row>
    <row r="4374" spans="1:1" x14ac:dyDescent="0.3">
      <c r="A4374" s="17"/>
    </row>
    <row r="4375" spans="1:1" x14ac:dyDescent="0.3">
      <c r="A4375" s="17"/>
    </row>
    <row r="4376" spans="1:1" x14ac:dyDescent="0.3">
      <c r="A4376" s="17"/>
    </row>
    <row r="4377" spans="1:1" x14ac:dyDescent="0.3">
      <c r="A4377" s="17"/>
    </row>
    <row r="4378" spans="1:1" x14ac:dyDescent="0.3">
      <c r="A4378" s="17"/>
    </row>
    <row r="4379" spans="1:1" x14ac:dyDescent="0.3">
      <c r="A4379" s="17"/>
    </row>
    <row r="4380" spans="1:1" x14ac:dyDescent="0.3">
      <c r="A4380" s="17"/>
    </row>
    <row r="4381" spans="1:1" x14ac:dyDescent="0.3">
      <c r="A4381" s="17"/>
    </row>
    <row r="4382" spans="1:1" x14ac:dyDescent="0.3">
      <c r="A4382" s="17"/>
    </row>
    <row r="4383" spans="1:1" x14ac:dyDescent="0.3">
      <c r="A4383" s="17"/>
    </row>
    <row r="4384" spans="1:1" x14ac:dyDescent="0.3">
      <c r="A4384" s="17"/>
    </row>
    <row r="4385" spans="1:1" x14ac:dyDescent="0.3">
      <c r="A4385" s="17"/>
    </row>
    <row r="4386" spans="1:1" x14ac:dyDescent="0.3">
      <c r="A4386" s="17"/>
    </row>
    <row r="4387" spans="1:1" x14ac:dyDescent="0.3">
      <c r="A4387" s="17"/>
    </row>
    <row r="4388" spans="1:1" x14ac:dyDescent="0.3">
      <c r="A4388" s="17"/>
    </row>
    <row r="4389" spans="1:1" x14ac:dyDescent="0.3">
      <c r="A4389" s="17"/>
    </row>
    <row r="4390" spans="1:1" x14ac:dyDescent="0.3">
      <c r="A4390" s="17"/>
    </row>
    <row r="4391" spans="1:1" x14ac:dyDescent="0.3">
      <c r="A4391" s="17"/>
    </row>
    <row r="4392" spans="1:1" x14ac:dyDescent="0.3">
      <c r="A4392" s="17"/>
    </row>
    <row r="4393" spans="1:1" x14ac:dyDescent="0.3">
      <c r="A4393" s="17"/>
    </row>
    <row r="4394" spans="1:1" x14ac:dyDescent="0.3">
      <c r="A4394" s="17"/>
    </row>
    <row r="4395" spans="1:1" x14ac:dyDescent="0.3">
      <c r="A4395" s="17"/>
    </row>
    <row r="4396" spans="1:1" x14ac:dyDescent="0.3">
      <c r="A4396" s="17"/>
    </row>
    <row r="4397" spans="1:1" x14ac:dyDescent="0.3">
      <c r="A4397" s="17"/>
    </row>
    <row r="4398" spans="1:1" x14ac:dyDescent="0.3">
      <c r="A4398" s="17"/>
    </row>
    <row r="4399" spans="1:1" x14ac:dyDescent="0.3">
      <c r="A4399" s="17"/>
    </row>
    <row r="4400" spans="1:1" x14ac:dyDescent="0.3">
      <c r="A4400" s="17"/>
    </row>
    <row r="4401" spans="1:1" x14ac:dyDescent="0.3">
      <c r="A4401" s="17"/>
    </row>
    <row r="4402" spans="1:1" x14ac:dyDescent="0.3">
      <c r="A4402" s="17"/>
    </row>
    <row r="4403" spans="1:1" x14ac:dyDescent="0.3">
      <c r="A4403" s="17"/>
    </row>
    <row r="4404" spans="1:1" x14ac:dyDescent="0.3">
      <c r="A4404" s="17"/>
    </row>
    <row r="4405" spans="1:1" x14ac:dyDescent="0.3">
      <c r="A4405" s="17"/>
    </row>
    <row r="4406" spans="1:1" x14ac:dyDescent="0.3">
      <c r="A4406" s="17"/>
    </row>
    <row r="4407" spans="1:1" x14ac:dyDescent="0.3">
      <c r="A4407" s="17"/>
    </row>
    <row r="4408" spans="1:1" x14ac:dyDescent="0.3">
      <c r="A4408" s="17"/>
    </row>
    <row r="4409" spans="1:1" x14ac:dyDescent="0.3">
      <c r="A4409" s="17"/>
    </row>
    <row r="4410" spans="1:1" x14ac:dyDescent="0.3">
      <c r="A4410" s="17"/>
    </row>
    <row r="4411" spans="1:1" x14ac:dyDescent="0.3">
      <c r="A4411" s="17"/>
    </row>
    <row r="4412" spans="1:1" x14ac:dyDescent="0.3">
      <c r="A4412" s="17"/>
    </row>
    <row r="4413" spans="1:1" x14ac:dyDescent="0.3">
      <c r="A4413" s="17"/>
    </row>
    <row r="4414" spans="1:1" x14ac:dyDescent="0.3">
      <c r="A4414" s="17"/>
    </row>
    <row r="4415" spans="1:1" x14ac:dyDescent="0.3">
      <c r="A4415" s="17"/>
    </row>
    <row r="4416" spans="1:1" x14ac:dyDescent="0.3">
      <c r="A4416" s="17"/>
    </row>
    <row r="4417" spans="1:1" x14ac:dyDescent="0.3">
      <c r="A4417" s="17"/>
    </row>
    <row r="4418" spans="1:1" x14ac:dyDescent="0.3">
      <c r="A4418" s="17"/>
    </row>
    <row r="4419" spans="1:1" x14ac:dyDescent="0.3">
      <c r="A4419" s="17"/>
    </row>
    <row r="4420" spans="1:1" x14ac:dyDescent="0.3">
      <c r="A4420" s="17"/>
    </row>
    <row r="4421" spans="1:1" x14ac:dyDescent="0.3">
      <c r="A4421" s="17"/>
    </row>
    <row r="4422" spans="1:1" x14ac:dyDescent="0.3">
      <c r="A4422" s="17"/>
    </row>
    <row r="4423" spans="1:1" x14ac:dyDescent="0.3">
      <c r="A4423" s="17"/>
    </row>
    <row r="4424" spans="1:1" x14ac:dyDescent="0.3">
      <c r="A4424" s="17"/>
    </row>
    <row r="4425" spans="1:1" x14ac:dyDescent="0.3">
      <c r="A4425" s="17"/>
    </row>
    <row r="4426" spans="1:1" x14ac:dyDescent="0.3">
      <c r="A4426" s="17"/>
    </row>
    <row r="4427" spans="1:1" x14ac:dyDescent="0.3">
      <c r="A4427" s="17"/>
    </row>
    <row r="4428" spans="1:1" x14ac:dyDescent="0.3">
      <c r="A4428" s="17"/>
    </row>
    <row r="4429" spans="1:1" x14ac:dyDescent="0.3">
      <c r="A4429" s="17"/>
    </row>
    <row r="4430" spans="1:1" x14ac:dyDescent="0.3">
      <c r="A4430" s="17"/>
    </row>
    <row r="4431" spans="1:1" x14ac:dyDescent="0.3">
      <c r="A4431" s="17"/>
    </row>
    <row r="4432" spans="1:1" x14ac:dyDescent="0.3">
      <c r="A4432" s="17"/>
    </row>
    <row r="4433" spans="1:1" x14ac:dyDescent="0.3">
      <c r="A4433" s="17"/>
    </row>
    <row r="4434" spans="1:1" x14ac:dyDescent="0.3">
      <c r="A4434" s="17"/>
    </row>
    <row r="4435" spans="1:1" x14ac:dyDescent="0.3">
      <c r="A4435" s="17"/>
    </row>
    <row r="4436" spans="1:1" x14ac:dyDescent="0.3">
      <c r="A4436" s="17"/>
    </row>
    <row r="4437" spans="1:1" x14ac:dyDescent="0.3">
      <c r="A4437" s="17"/>
    </row>
    <row r="4438" spans="1:1" x14ac:dyDescent="0.3">
      <c r="A4438" s="17"/>
    </row>
    <row r="4439" spans="1:1" x14ac:dyDescent="0.3">
      <c r="A4439" s="17"/>
    </row>
    <row r="4440" spans="1:1" x14ac:dyDescent="0.3">
      <c r="A4440" s="17"/>
    </row>
    <row r="4441" spans="1:1" x14ac:dyDescent="0.3">
      <c r="A4441" s="17"/>
    </row>
    <row r="4442" spans="1:1" x14ac:dyDescent="0.3">
      <c r="A4442" s="17"/>
    </row>
    <row r="4443" spans="1:1" x14ac:dyDescent="0.3">
      <c r="A4443" s="17"/>
    </row>
    <row r="4444" spans="1:1" x14ac:dyDescent="0.3">
      <c r="A4444" s="17"/>
    </row>
    <row r="4445" spans="1:1" x14ac:dyDescent="0.3">
      <c r="A4445" s="17"/>
    </row>
    <row r="4446" spans="1:1" x14ac:dyDescent="0.3">
      <c r="A4446" s="17"/>
    </row>
    <row r="4447" spans="1:1" x14ac:dyDescent="0.3">
      <c r="A4447" s="17"/>
    </row>
    <row r="4448" spans="1:1" x14ac:dyDescent="0.3">
      <c r="A4448" s="17"/>
    </row>
    <row r="4449" spans="1:1" x14ac:dyDescent="0.3">
      <c r="A4449" s="17"/>
    </row>
    <row r="4450" spans="1:1" x14ac:dyDescent="0.3">
      <c r="A4450" s="17"/>
    </row>
    <row r="4451" spans="1:1" x14ac:dyDescent="0.3">
      <c r="A4451" s="17"/>
    </row>
    <row r="4452" spans="1:1" x14ac:dyDescent="0.3">
      <c r="A4452" s="17"/>
    </row>
    <row r="4453" spans="1:1" x14ac:dyDescent="0.3">
      <c r="A4453" s="17"/>
    </row>
    <row r="4454" spans="1:1" x14ac:dyDescent="0.3">
      <c r="A4454" s="17"/>
    </row>
    <row r="4455" spans="1:1" x14ac:dyDescent="0.3">
      <c r="A4455" s="17"/>
    </row>
    <row r="4456" spans="1:1" x14ac:dyDescent="0.3">
      <c r="A4456" s="17"/>
    </row>
    <row r="4457" spans="1:1" x14ac:dyDescent="0.3">
      <c r="A4457" s="17"/>
    </row>
    <row r="4458" spans="1:1" x14ac:dyDescent="0.3">
      <c r="A4458" s="17"/>
    </row>
    <row r="4459" spans="1:1" x14ac:dyDescent="0.3">
      <c r="A4459" s="17"/>
    </row>
    <row r="4460" spans="1:1" x14ac:dyDescent="0.3">
      <c r="A4460" s="17"/>
    </row>
    <row r="4461" spans="1:1" x14ac:dyDescent="0.3">
      <c r="A4461" s="17"/>
    </row>
    <row r="4462" spans="1:1" x14ac:dyDescent="0.3">
      <c r="A4462" s="17"/>
    </row>
    <row r="4463" spans="1:1" x14ac:dyDescent="0.3">
      <c r="A4463" s="17"/>
    </row>
    <row r="4464" spans="1:1" x14ac:dyDescent="0.3">
      <c r="A4464" s="17"/>
    </row>
    <row r="4465" spans="1:1" x14ac:dyDescent="0.3">
      <c r="A4465" s="17"/>
    </row>
    <row r="4466" spans="1:1" x14ac:dyDescent="0.3">
      <c r="A4466" s="17"/>
    </row>
    <row r="4467" spans="1:1" x14ac:dyDescent="0.3">
      <c r="A4467" s="17"/>
    </row>
    <row r="4468" spans="1:1" x14ac:dyDescent="0.3">
      <c r="A4468" s="17"/>
    </row>
    <row r="4469" spans="1:1" x14ac:dyDescent="0.3">
      <c r="A4469" s="17"/>
    </row>
    <row r="4470" spans="1:1" x14ac:dyDescent="0.3">
      <c r="A4470" s="17"/>
    </row>
    <row r="4471" spans="1:1" x14ac:dyDescent="0.3">
      <c r="A4471" s="17"/>
    </row>
    <row r="4472" spans="1:1" x14ac:dyDescent="0.3">
      <c r="A4472" s="17"/>
    </row>
    <row r="4473" spans="1:1" x14ac:dyDescent="0.3">
      <c r="A4473" s="17"/>
    </row>
    <row r="4474" spans="1:1" x14ac:dyDescent="0.3">
      <c r="A4474" s="17"/>
    </row>
    <row r="4475" spans="1:1" x14ac:dyDescent="0.3">
      <c r="A4475" s="17"/>
    </row>
    <row r="4476" spans="1:1" x14ac:dyDescent="0.3">
      <c r="A4476" s="17"/>
    </row>
    <row r="4477" spans="1:1" x14ac:dyDescent="0.3">
      <c r="A4477" s="17"/>
    </row>
    <row r="4478" spans="1:1" x14ac:dyDescent="0.3">
      <c r="A4478" s="17"/>
    </row>
    <row r="4479" spans="1:1" x14ac:dyDescent="0.3">
      <c r="A4479" s="17"/>
    </row>
    <row r="4480" spans="1:1" x14ac:dyDescent="0.3">
      <c r="A4480" s="17"/>
    </row>
    <row r="4481" spans="1:1" x14ac:dyDescent="0.3">
      <c r="A4481" s="17"/>
    </row>
    <row r="4482" spans="1:1" x14ac:dyDescent="0.3">
      <c r="A4482" s="17"/>
    </row>
    <row r="4483" spans="1:1" x14ac:dyDescent="0.3">
      <c r="A4483" s="17"/>
    </row>
    <row r="4484" spans="1:1" x14ac:dyDescent="0.3">
      <c r="A4484" s="17"/>
    </row>
    <row r="4485" spans="1:1" x14ac:dyDescent="0.3">
      <c r="A4485" s="17"/>
    </row>
    <row r="4486" spans="1:1" x14ac:dyDescent="0.3">
      <c r="A4486" s="17"/>
    </row>
    <row r="4487" spans="1:1" x14ac:dyDescent="0.3">
      <c r="A4487" s="17"/>
    </row>
    <row r="4488" spans="1:1" x14ac:dyDescent="0.3">
      <c r="A4488" s="17"/>
    </row>
    <row r="4489" spans="1:1" x14ac:dyDescent="0.3">
      <c r="A4489" s="17"/>
    </row>
    <row r="4490" spans="1:1" x14ac:dyDescent="0.3">
      <c r="A4490" s="17"/>
    </row>
    <row r="4491" spans="1:1" x14ac:dyDescent="0.3">
      <c r="A4491" s="17"/>
    </row>
    <row r="4492" spans="1:1" x14ac:dyDescent="0.3">
      <c r="A4492" s="17"/>
    </row>
    <row r="4493" spans="1:1" x14ac:dyDescent="0.3">
      <c r="A4493" s="17"/>
    </row>
    <row r="4494" spans="1:1" x14ac:dyDescent="0.3">
      <c r="A4494" s="17"/>
    </row>
    <row r="4495" spans="1:1" x14ac:dyDescent="0.3">
      <c r="A4495" s="17"/>
    </row>
    <row r="4496" spans="1:1" x14ac:dyDescent="0.3">
      <c r="A4496" s="17"/>
    </row>
    <row r="4497" spans="1:1" x14ac:dyDescent="0.3">
      <c r="A4497" s="17"/>
    </row>
    <row r="4498" spans="1:1" x14ac:dyDescent="0.3">
      <c r="A4498" s="17"/>
    </row>
    <row r="4499" spans="1:1" x14ac:dyDescent="0.3">
      <c r="A4499" s="17"/>
    </row>
    <row r="4500" spans="1:1" x14ac:dyDescent="0.3">
      <c r="A4500" s="17"/>
    </row>
    <row r="4501" spans="1:1" x14ac:dyDescent="0.3">
      <c r="A4501" s="17"/>
    </row>
    <row r="4502" spans="1:1" x14ac:dyDescent="0.3">
      <c r="A4502" s="17"/>
    </row>
    <row r="4503" spans="1:1" x14ac:dyDescent="0.3">
      <c r="A4503" s="17"/>
    </row>
    <row r="4504" spans="1:1" x14ac:dyDescent="0.3">
      <c r="A4504" s="17"/>
    </row>
    <row r="4505" spans="1:1" x14ac:dyDescent="0.3">
      <c r="A4505" s="17"/>
    </row>
    <row r="4506" spans="1:1" x14ac:dyDescent="0.3">
      <c r="A4506" s="17"/>
    </row>
    <row r="4507" spans="1:1" x14ac:dyDescent="0.3">
      <c r="A4507" s="17"/>
    </row>
    <row r="4508" spans="1:1" x14ac:dyDescent="0.3">
      <c r="A4508" s="17"/>
    </row>
    <row r="4509" spans="1:1" x14ac:dyDescent="0.3">
      <c r="A4509" s="17"/>
    </row>
    <row r="4510" spans="1:1" x14ac:dyDescent="0.3">
      <c r="A4510" s="17"/>
    </row>
    <row r="4511" spans="1:1" x14ac:dyDescent="0.3">
      <c r="A4511" s="17"/>
    </row>
    <row r="4512" spans="1:1" x14ac:dyDescent="0.3">
      <c r="A4512" s="17"/>
    </row>
    <row r="4513" spans="1:1" x14ac:dyDescent="0.3">
      <c r="A4513" s="17"/>
    </row>
    <row r="4514" spans="1:1" x14ac:dyDescent="0.3">
      <c r="A4514" s="17"/>
    </row>
    <row r="4515" spans="1:1" x14ac:dyDescent="0.3">
      <c r="A4515" s="17"/>
    </row>
    <row r="4516" spans="1:1" x14ac:dyDescent="0.3">
      <c r="A4516" s="17"/>
    </row>
    <row r="4517" spans="1:1" x14ac:dyDescent="0.3">
      <c r="A4517" s="17"/>
    </row>
    <row r="4518" spans="1:1" x14ac:dyDescent="0.3">
      <c r="A4518" s="17"/>
    </row>
    <row r="4519" spans="1:1" x14ac:dyDescent="0.3">
      <c r="A4519" s="17"/>
    </row>
    <row r="4520" spans="1:1" x14ac:dyDescent="0.3">
      <c r="A4520" s="17"/>
    </row>
    <row r="4521" spans="1:1" x14ac:dyDescent="0.3">
      <c r="A4521" s="17"/>
    </row>
    <row r="4522" spans="1:1" x14ac:dyDescent="0.3">
      <c r="A4522" s="17"/>
    </row>
    <row r="4523" spans="1:1" x14ac:dyDescent="0.3">
      <c r="A4523" s="17"/>
    </row>
    <row r="4524" spans="1:1" x14ac:dyDescent="0.3">
      <c r="A4524" s="17"/>
    </row>
    <row r="4525" spans="1:1" x14ac:dyDescent="0.3">
      <c r="A4525" s="17"/>
    </row>
    <row r="4526" spans="1:1" x14ac:dyDescent="0.3">
      <c r="A4526" s="17"/>
    </row>
    <row r="4527" spans="1:1" x14ac:dyDescent="0.3">
      <c r="A4527" s="17"/>
    </row>
    <row r="4528" spans="1:1" x14ac:dyDescent="0.3">
      <c r="A4528" s="17"/>
    </row>
    <row r="4529" spans="1:1" x14ac:dyDescent="0.3">
      <c r="A4529" s="17"/>
    </row>
    <row r="4530" spans="1:1" x14ac:dyDescent="0.3">
      <c r="A4530" s="17"/>
    </row>
    <row r="4531" spans="1:1" x14ac:dyDescent="0.3">
      <c r="A4531" s="17"/>
    </row>
    <row r="4532" spans="1:1" x14ac:dyDescent="0.3">
      <c r="A4532" s="17"/>
    </row>
    <row r="4533" spans="1:1" x14ac:dyDescent="0.3">
      <c r="A4533" s="17"/>
    </row>
    <row r="4534" spans="1:1" x14ac:dyDescent="0.3">
      <c r="A4534" s="17"/>
    </row>
    <row r="4535" spans="1:1" x14ac:dyDescent="0.3">
      <c r="A4535" s="17"/>
    </row>
    <row r="4536" spans="1:1" x14ac:dyDescent="0.3">
      <c r="A4536" s="17"/>
    </row>
    <row r="4537" spans="1:1" x14ac:dyDescent="0.3">
      <c r="A4537" s="17"/>
    </row>
    <row r="4538" spans="1:1" x14ac:dyDescent="0.3">
      <c r="A4538" s="17"/>
    </row>
    <row r="4539" spans="1:1" x14ac:dyDescent="0.3">
      <c r="A4539" s="17"/>
    </row>
    <row r="4540" spans="1:1" x14ac:dyDescent="0.3">
      <c r="A4540" s="17"/>
    </row>
    <row r="4541" spans="1:1" x14ac:dyDescent="0.3">
      <c r="A4541" s="17"/>
    </row>
    <row r="4542" spans="1:1" x14ac:dyDescent="0.3">
      <c r="A4542" s="17"/>
    </row>
    <row r="4543" spans="1:1" x14ac:dyDescent="0.3">
      <c r="A4543" s="17"/>
    </row>
    <row r="4544" spans="1:1" x14ac:dyDescent="0.3">
      <c r="A4544" s="17"/>
    </row>
    <row r="4545" spans="1:1" x14ac:dyDescent="0.3">
      <c r="A4545" s="17"/>
    </row>
    <row r="4546" spans="1:1" x14ac:dyDescent="0.3">
      <c r="A4546" s="17"/>
    </row>
    <row r="4547" spans="1:1" x14ac:dyDescent="0.3">
      <c r="A4547" s="17"/>
    </row>
    <row r="4548" spans="1:1" x14ac:dyDescent="0.3">
      <c r="A4548" s="17"/>
    </row>
    <row r="4549" spans="1:1" x14ac:dyDescent="0.3">
      <c r="A4549" s="17"/>
    </row>
    <row r="4550" spans="1:1" x14ac:dyDescent="0.3">
      <c r="A4550" s="17"/>
    </row>
    <row r="4551" spans="1:1" x14ac:dyDescent="0.3">
      <c r="A4551" s="17"/>
    </row>
    <row r="4552" spans="1:1" x14ac:dyDescent="0.3">
      <c r="A4552" s="17"/>
    </row>
    <row r="4553" spans="1:1" x14ac:dyDescent="0.3">
      <c r="A4553" s="17"/>
    </row>
    <row r="4554" spans="1:1" x14ac:dyDescent="0.3">
      <c r="A4554" s="17"/>
    </row>
    <row r="4555" spans="1:1" x14ac:dyDescent="0.3">
      <c r="A4555" s="17"/>
    </row>
    <row r="4556" spans="1:1" x14ac:dyDescent="0.3">
      <c r="A4556" s="17"/>
    </row>
    <row r="4557" spans="1:1" x14ac:dyDescent="0.3">
      <c r="A4557" s="17"/>
    </row>
    <row r="4558" spans="1:1" x14ac:dyDescent="0.3">
      <c r="A4558" s="17"/>
    </row>
    <row r="4559" spans="1:1" x14ac:dyDescent="0.3">
      <c r="A4559" s="17"/>
    </row>
    <row r="4560" spans="1:1" x14ac:dyDescent="0.3">
      <c r="A4560" s="17"/>
    </row>
    <row r="4561" spans="1:1" x14ac:dyDescent="0.3">
      <c r="A4561" s="17"/>
    </row>
    <row r="4562" spans="1:1" x14ac:dyDescent="0.3">
      <c r="A4562" s="17"/>
    </row>
    <row r="4563" spans="1:1" x14ac:dyDescent="0.3">
      <c r="A4563" s="17"/>
    </row>
    <row r="4564" spans="1:1" x14ac:dyDescent="0.3">
      <c r="A4564" s="17"/>
    </row>
    <row r="4565" spans="1:1" x14ac:dyDescent="0.3">
      <c r="A4565" s="17"/>
    </row>
    <row r="4566" spans="1:1" x14ac:dyDescent="0.3">
      <c r="A4566" s="17"/>
    </row>
    <row r="4567" spans="1:1" x14ac:dyDescent="0.3">
      <c r="A4567" s="17"/>
    </row>
    <row r="4568" spans="1:1" x14ac:dyDescent="0.3">
      <c r="A4568" s="17"/>
    </row>
    <row r="4569" spans="1:1" x14ac:dyDescent="0.3">
      <c r="A4569" s="17"/>
    </row>
    <row r="4570" spans="1:1" x14ac:dyDescent="0.3">
      <c r="A4570" s="17"/>
    </row>
    <row r="4571" spans="1:1" x14ac:dyDescent="0.3">
      <c r="A4571" s="17"/>
    </row>
    <row r="4572" spans="1:1" x14ac:dyDescent="0.3">
      <c r="A4572" s="17"/>
    </row>
    <row r="4573" spans="1:1" x14ac:dyDescent="0.3">
      <c r="A4573" s="17"/>
    </row>
    <row r="4574" spans="1:1" x14ac:dyDescent="0.3">
      <c r="A4574" s="17"/>
    </row>
    <row r="4575" spans="1:1" x14ac:dyDescent="0.3">
      <c r="A4575" s="17"/>
    </row>
    <row r="4576" spans="1:1" x14ac:dyDescent="0.3">
      <c r="A4576" s="17"/>
    </row>
    <row r="4577" spans="1:1" x14ac:dyDescent="0.3">
      <c r="A4577" s="17"/>
    </row>
    <row r="4578" spans="1:1" x14ac:dyDescent="0.3">
      <c r="A4578" s="17"/>
    </row>
    <row r="4579" spans="1:1" x14ac:dyDescent="0.3">
      <c r="A4579" s="17"/>
    </row>
    <row r="4580" spans="1:1" x14ac:dyDescent="0.3">
      <c r="A4580" s="17"/>
    </row>
    <row r="4581" spans="1:1" x14ac:dyDescent="0.3">
      <c r="A4581" s="17"/>
    </row>
    <row r="4582" spans="1:1" x14ac:dyDescent="0.3">
      <c r="A4582" s="17"/>
    </row>
    <row r="4583" spans="1:1" x14ac:dyDescent="0.3">
      <c r="A4583" s="17"/>
    </row>
    <row r="4584" spans="1:1" x14ac:dyDescent="0.3">
      <c r="A4584" s="17"/>
    </row>
    <row r="4585" spans="1:1" x14ac:dyDescent="0.3">
      <c r="A4585" s="17"/>
    </row>
    <row r="4586" spans="1:1" x14ac:dyDescent="0.3">
      <c r="A4586" s="17"/>
    </row>
    <row r="4587" spans="1:1" x14ac:dyDescent="0.3">
      <c r="A4587" s="17"/>
    </row>
    <row r="4588" spans="1:1" x14ac:dyDescent="0.3">
      <c r="A4588" s="17"/>
    </row>
    <row r="4589" spans="1:1" x14ac:dyDescent="0.3">
      <c r="A4589" s="17"/>
    </row>
    <row r="4590" spans="1:1" x14ac:dyDescent="0.3">
      <c r="A4590" s="17"/>
    </row>
    <row r="4591" spans="1:1" x14ac:dyDescent="0.3">
      <c r="A4591" s="17"/>
    </row>
    <row r="4592" spans="1:1" x14ac:dyDescent="0.3">
      <c r="A4592" s="17"/>
    </row>
    <row r="4593" spans="1:1" x14ac:dyDescent="0.3">
      <c r="A4593" s="17"/>
    </row>
    <row r="4594" spans="1:1" x14ac:dyDescent="0.3">
      <c r="A4594" s="17"/>
    </row>
    <row r="4595" spans="1:1" x14ac:dyDescent="0.3">
      <c r="A4595" s="17"/>
    </row>
    <row r="4596" spans="1:1" x14ac:dyDescent="0.3">
      <c r="A4596" s="17"/>
    </row>
    <row r="4597" spans="1:1" x14ac:dyDescent="0.3">
      <c r="A4597" s="17"/>
    </row>
    <row r="4598" spans="1:1" x14ac:dyDescent="0.3">
      <c r="A4598" s="17"/>
    </row>
    <row r="4599" spans="1:1" x14ac:dyDescent="0.3">
      <c r="A4599" s="17"/>
    </row>
    <row r="4600" spans="1:1" x14ac:dyDescent="0.3">
      <c r="A4600" s="17"/>
    </row>
    <row r="4601" spans="1:1" x14ac:dyDescent="0.3">
      <c r="A4601" s="17"/>
    </row>
    <row r="4602" spans="1:1" x14ac:dyDescent="0.3">
      <c r="A4602" s="17"/>
    </row>
    <row r="4603" spans="1:1" x14ac:dyDescent="0.3">
      <c r="A4603" s="17"/>
    </row>
    <row r="4604" spans="1:1" x14ac:dyDescent="0.3">
      <c r="A4604" s="17"/>
    </row>
    <row r="4605" spans="1:1" x14ac:dyDescent="0.3">
      <c r="A4605" s="17"/>
    </row>
    <row r="4606" spans="1:1" x14ac:dyDescent="0.3">
      <c r="A4606" s="17"/>
    </row>
    <row r="4607" spans="1:1" x14ac:dyDescent="0.3">
      <c r="A4607" s="17"/>
    </row>
    <row r="4608" spans="1:1" x14ac:dyDescent="0.3">
      <c r="A4608" s="17"/>
    </row>
    <row r="4609" spans="1:1" x14ac:dyDescent="0.3">
      <c r="A4609" s="17"/>
    </row>
    <row r="4610" spans="1:1" x14ac:dyDescent="0.3">
      <c r="A4610" s="17"/>
    </row>
    <row r="4611" spans="1:1" x14ac:dyDescent="0.3">
      <c r="A4611" s="17"/>
    </row>
    <row r="4612" spans="1:1" x14ac:dyDescent="0.3">
      <c r="A4612" s="17"/>
    </row>
    <row r="4613" spans="1:1" x14ac:dyDescent="0.3">
      <c r="A4613" s="17"/>
    </row>
    <row r="4614" spans="1:1" x14ac:dyDescent="0.3">
      <c r="A4614" s="17"/>
    </row>
    <row r="4615" spans="1:1" x14ac:dyDescent="0.3">
      <c r="A4615" s="17"/>
    </row>
    <row r="4616" spans="1:1" x14ac:dyDescent="0.3">
      <c r="A4616" s="17"/>
    </row>
    <row r="4617" spans="1:1" x14ac:dyDescent="0.3">
      <c r="A4617" s="17"/>
    </row>
    <row r="4618" spans="1:1" x14ac:dyDescent="0.3">
      <c r="A4618" s="17"/>
    </row>
    <row r="4619" spans="1:1" x14ac:dyDescent="0.3">
      <c r="A4619" s="17"/>
    </row>
    <row r="4620" spans="1:1" x14ac:dyDescent="0.3">
      <c r="A4620" s="17"/>
    </row>
    <row r="4621" spans="1:1" x14ac:dyDescent="0.3">
      <c r="A4621" s="17"/>
    </row>
    <row r="4622" spans="1:1" x14ac:dyDescent="0.3">
      <c r="A4622" s="17"/>
    </row>
    <row r="4623" spans="1:1" x14ac:dyDescent="0.3">
      <c r="A4623" s="17"/>
    </row>
    <row r="4624" spans="1:1" x14ac:dyDescent="0.3">
      <c r="A4624" s="17"/>
    </row>
    <row r="4625" spans="1:1" x14ac:dyDescent="0.3">
      <c r="A4625" s="17"/>
    </row>
    <row r="4626" spans="1:1" x14ac:dyDescent="0.3">
      <c r="A4626" s="17"/>
    </row>
    <row r="4627" spans="1:1" x14ac:dyDescent="0.3">
      <c r="A4627" s="17"/>
    </row>
    <row r="4628" spans="1:1" x14ac:dyDescent="0.3">
      <c r="A4628" s="17"/>
    </row>
    <row r="4629" spans="1:1" x14ac:dyDescent="0.3">
      <c r="A4629" s="17"/>
    </row>
    <row r="4630" spans="1:1" x14ac:dyDescent="0.3">
      <c r="A4630" s="17"/>
    </row>
    <row r="4631" spans="1:1" x14ac:dyDescent="0.3">
      <c r="A4631" s="17"/>
    </row>
    <row r="4632" spans="1:1" x14ac:dyDescent="0.3">
      <c r="A4632" s="17"/>
    </row>
    <row r="4633" spans="1:1" x14ac:dyDescent="0.3">
      <c r="A4633" s="17"/>
    </row>
    <row r="4634" spans="1:1" x14ac:dyDescent="0.3">
      <c r="A4634" s="17"/>
    </row>
    <row r="4635" spans="1:1" x14ac:dyDescent="0.3">
      <c r="A4635" s="17"/>
    </row>
    <row r="4636" spans="1:1" x14ac:dyDescent="0.3">
      <c r="A4636" s="17"/>
    </row>
    <row r="4637" spans="1:1" x14ac:dyDescent="0.3">
      <c r="A4637" s="17"/>
    </row>
    <row r="4638" spans="1:1" x14ac:dyDescent="0.3">
      <c r="A4638" s="17"/>
    </row>
    <row r="4639" spans="1:1" x14ac:dyDescent="0.3">
      <c r="A4639" s="17"/>
    </row>
    <row r="4640" spans="1:1" x14ac:dyDescent="0.3">
      <c r="A4640" s="17"/>
    </row>
    <row r="4641" spans="1:1" x14ac:dyDescent="0.3">
      <c r="A4641" s="17"/>
    </row>
    <row r="4642" spans="1:1" x14ac:dyDescent="0.3">
      <c r="A4642" s="17"/>
    </row>
    <row r="4643" spans="1:1" x14ac:dyDescent="0.3">
      <c r="A4643" s="17"/>
    </row>
    <row r="4644" spans="1:1" x14ac:dyDescent="0.3">
      <c r="A4644" s="17"/>
    </row>
    <row r="4645" spans="1:1" x14ac:dyDescent="0.3">
      <c r="A4645" s="17"/>
    </row>
    <row r="4646" spans="1:1" x14ac:dyDescent="0.3">
      <c r="A4646" s="17"/>
    </row>
    <row r="4647" spans="1:1" x14ac:dyDescent="0.3">
      <c r="A4647" s="17"/>
    </row>
    <row r="4648" spans="1:1" x14ac:dyDescent="0.3">
      <c r="A4648" s="17"/>
    </row>
    <row r="4649" spans="1:1" x14ac:dyDescent="0.3">
      <c r="A4649" s="17"/>
    </row>
    <row r="4650" spans="1:1" x14ac:dyDescent="0.3">
      <c r="A4650" s="17"/>
    </row>
    <row r="4651" spans="1:1" x14ac:dyDescent="0.3">
      <c r="A4651" s="17"/>
    </row>
    <row r="4652" spans="1:1" x14ac:dyDescent="0.3">
      <c r="A4652" s="17"/>
    </row>
    <row r="4653" spans="1:1" x14ac:dyDescent="0.3">
      <c r="A4653" s="17"/>
    </row>
    <row r="4654" spans="1:1" x14ac:dyDescent="0.3">
      <c r="A4654" s="17"/>
    </row>
    <row r="4655" spans="1:1" x14ac:dyDescent="0.3">
      <c r="A4655" s="17"/>
    </row>
    <row r="4656" spans="1:1" x14ac:dyDescent="0.3">
      <c r="A4656" s="17"/>
    </row>
    <row r="4657" spans="1:1" x14ac:dyDescent="0.3">
      <c r="A4657" s="17"/>
    </row>
    <row r="4658" spans="1:1" x14ac:dyDescent="0.3">
      <c r="A4658" s="17"/>
    </row>
    <row r="4659" spans="1:1" x14ac:dyDescent="0.3">
      <c r="A4659" s="17"/>
    </row>
    <row r="4660" spans="1:1" x14ac:dyDescent="0.3">
      <c r="A4660" s="17"/>
    </row>
    <row r="4661" spans="1:1" x14ac:dyDescent="0.3">
      <c r="A4661" s="17"/>
    </row>
    <row r="4662" spans="1:1" x14ac:dyDescent="0.3">
      <c r="A4662" s="17"/>
    </row>
    <row r="4663" spans="1:1" x14ac:dyDescent="0.3">
      <c r="A4663" s="17"/>
    </row>
    <row r="4664" spans="1:1" x14ac:dyDescent="0.3">
      <c r="A4664" s="17"/>
    </row>
    <row r="4665" spans="1:1" x14ac:dyDescent="0.3">
      <c r="A4665" s="17"/>
    </row>
    <row r="4666" spans="1:1" x14ac:dyDescent="0.3">
      <c r="A4666" s="17"/>
    </row>
    <row r="4667" spans="1:1" x14ac:dyDescent="0.3">
      <c r="A4667" s="17"/>
    </row>
    <row r="4668" spans="1:1" x14ac:dyDescent="0.3">
      <c r="A4668" s="17"/>
    </row>
    <row r="4669" spans="1:1" x14ac:dyDescent="0.3">
      <c r="A4669" s="17"/>
    </row>
    <row r="4670" spans="1:1" x14ac:dyDescent="0.3">
      <c r="A4670" s="17"/>
    </row>
    <row r="4671" spans="1:1" x14ac:dyDescent="0.3">
      <c r="A4671" s="17"/>
    </row>
    <row r="4672" spans="1:1" x14ac:dyDescent="0.3">
      <c r="A4672" s="17"/>
    </row>
    <row r="4673" spans="1:1" x14ac:dyDescent="0.3">
      <c r="A4673" s="17"/>
    </row>
    <row r="4674" spans="1:1" x14ac:dyDescent="0.3">
      <c r="A4674" s="17"/>
    </row>
    <row r="4675" spans="1:1" x14ac:dyDescent="0.3">
      <c r="A4675" s="17"/>
    </row>
    <row r="4676" spans="1:1" x14ac:dyDescent="0.3">
      <c r="A4676" s="17"/>
    </row>
    <row r="4677" spans="1:1" x14ac:dyDescent="0.3">
      <c r="A4677" s="17"/>
    </row>
    <row r="4678" spans="1:1" x14ac:dyDescent="0.3">
      <c r="A4678" s="17"/>
    </row>
    <row r="4679" spans="1:1" x14ac:dyDescent="0.3">
      <c r="A4679" s="17"/>
    </row>
    <row r="4680" spans="1:1" x14ac:dyDescent="0.3">
      <c r="A4680" s="17"/>
    </row>
    <row r="4681" spans="1:1" x14ac:dyDescent="0.3">
      <c r="A4681" s="17"/>
    </row>
    <row r="4682" spans="1:1" x14ac:dyDescent="0.3">
      <c r="A4682" s="17"/>
    </row>
    <row r="4683" spans="1:1" x14ac:dyDescent="0.3">
      <c r="A4683" s="17"/>
    </row>
    <row r="4684" spans="1:1" x14ac:dyDescent="0.3">
      <c r="A4684" s="17"/>
    </row>
    <row r="4685" spans="1:1" x14ac:dyDescent="0.3">
      <c r="A4685" s="17"/>
    </row>
    <row r="4686" spans="1:1" x14ac:dyDescent="0.3">
      <c r="A4686" s="17"/>
    </row>
    <row r="4687" spans="1:1" x14ac:dyDescent="0.3">
      <c r="A4687" s="17"/>
    </row>
    <row r="4688" spans="1:1" x14ac:dyDescent="0.3">
      <c r="A4688" s="17"/>
    </row>
    <row r="4689" spans="1:1" x14ac:dyDescent="0.3">
      <c r="A4689" s="17"/>
    </row>
    <row r="4690" spans="1:1" x14ac:dyDescent="0.3">
      <c r="A4690" s="17"/>
    </row>
    <row r="4691" spans="1:1" x14ac:dyDescent="0.3">
      <c r="A4691" s="17"/>
    </row>
    <row r="4692" spans="1:1" x14ac:dyDescent="0.3">
      <c r="A4692" s="17"/>
    </row>
    <row r="4693" spans="1:1" x14ac:dyDescent="0.3">
      <c r="A4693" s="17"/>
    </row>
    <row r="4694" spans="1:1" x14ac:dyDescent="0.3">
      <c r="A4694" s="17"/>
    </row>
    <row r="4695" spans="1:1" x14ac:dyDescent="0.3">
      <c r="A4695" s="17"/>
    </row>
    <row r="4696" spans="1:1" x14ac:dyDescent="0.3">
      <c r="A4696" s="17"/>
    </row>
    <row r="4697" spans="1:1" x14ac:dyDescent="0.3">
      <c r="A4697" s="17"/>
    </row>
    <row r="4698" spans="1:1" x14ac:dyDescent="0.3">
      <c r="A4698" s="17"/>
    </row>
    <row r="4699" spans="1:1" x14ac:dyDescent="0.3">
      <c r="A4699" s="17"/>
    </row>
    <row r="4700" spans="1:1" x14ac:dyDescent="0.3">
      <c r="A4700" s="17"/>
    </row>
    <row r="4701" spans="1:1" x14ac:dyDescent="0.3">
      <c r="A4701" s="17"/>
    </row>
    <row r="4702" spans="1:1" x14ac:dyDescent="0.3">
      <c r="A4702" s="17"/>
    </row>
    <row r="4703" spans="1:1" x14ac:dyDescent="0.3">
      <c r="A4703" s="17"/>
    </row>
    <row r="4704" spans="1:1" x14ac:dyDescent="0.3">
      <c r="A4704" s="17"/>
    </row>
    <row r="4705" spans="1:1" x14ac:dyDescent="0.3">
      <c r="A4705" s="17"/>
    </row>
    <row r="4706" spans="1:1" x14ac:dyDescent="0.3">
      <c r="A4706" s="17"/>
    </row>
    <row r="4707" spans="1:1" x14ac:dyDescent="0.3">
      <c r="A4707" s="17"/>
    </row>
    <row r="4708" spans="1:1" x14ac:dyDescent="0.3">
      <c r="A4708" s="17"/>
    </row>
    <row r="4709" spans="1:1" x14ac:dyDescent="0.3">
      <c r="A4709" s="17"/>
    </row>
    <row r="4710" spans="1:1" x14ac:dyDescent="0.3">
      <c r="A4710" s="17"/>
    </row>
    <row r="4711" spans="1:1" x14ac:dyDescent="0.3">
      <c r="A4711" s="17"/>
    </row>
    <row r="4712" spans="1:1" x14ac:dyDescent="0.3">
      <c r="A4712" s="17"/>
    </row>
    <row r="4713" spans="1:1" x14ac:dyDescent="0.3">
      <c r="A4713" s="17"/>
    </row>
    <row r="4714" spans="1:1" x14ac:dyDescent="0.3">
      <c r="A4714" s="17"/>
    </row>
    <row r="4715" spans="1:1" x14ac:dyDescent="0.3">
      <c r="A4715" s="17"/>
    </row>
    <row r="4716" spans="1:1" x14ac:dyDescent="0.3">
      <c r="A4716" s="17"/>
    </row>
    <row r="4717" spans="1:1" x14ac:dyDescent="0.3">
      <c r="A4717" s="17"/>
    </row>
    <row r="4718" spans="1:1" x14ac:dyDescent="0.3">
      <c r="A4718" s="17"/>
    </row>
    <row r="4719" spans="1:1" x14ac:dyDescent="0.3">
      <c r="A4719" s="17"/>
    </row>
    <row r="4720" spans="1:1" x14ac:dyDescent="0.3">
      <c r="A4720" s="17"/>
    </row>
    <row r="4721" spans="1:1" x14ac:dyDescent="0.3">
      <c r="A4721" s="17"/>
    </row>
    <row r="4722" spans="1:1" x14ac:dyDescent="0.3">
      <c r="A4722" s="17"/>
    </row>
    <row r="4723" spans="1:1" x14ac:dyDescent="0.3">
      <c r="A4723" s="17"/>
    </row>
    <row r="4724" spans="1:1" x14ac:dyDescent="0.3">
      <c r="A4724" s="17"/>
    </row>
    <row r="4725" spans="1:1" x14ac:dyDescent="0.3">
      <c r="A4725" s="17"/>
    </row>
    <row r="4726" spans="1:1" x14ac:dyDescent="0.3">
      <c r="A4726" s="17"/>
    </row>
    <row r="4727" spans="1:1" x14ac:dyDescent="0.3">
      <c r="A4727" s="17"/>
    </row>
    <row r="4728" spans="1:1" x14ac:dyDescent="0.3">
      <c r="A4728" s="17"/>
    </row>
    <row r="4729" spans="1:1" x14ac:dyDescent="0.3">
      <c r="A4729" s="17"/>
    </row>
    <row r="4730" spans="1:1" x14ac:dyDescent="0.3">
      <c r="A4730" s="17"/>
    </row>
    <row r="4731" spans="1:1" x14ac:dyDescent="0.3">
      <c r="A4731" s="17"/>
    </row>
    <row r="4732" spans="1:1" x14ac:dyDescent="0.3">
      <c r="A4732" s="17"/>
    </row>
    <row r="4733" spans="1:1" x14ac:dyDescent="0.3">
      <c r="A4733" s="17"/>
    </row>
    <row r="4734" spans="1:1" x14ac:dyDescent="0.3">
      <c r="A4734" s="17"/>
    </row>
    <row r="4735" spans="1:1" x14ac:dyDescent="0.3">
      <c r="A4735" s="17"/>
    </row>
    <row r="4736" spans="1:1" x14ac:dyDescent="0.3">
      <c r="A4736" s="17"/>
    </row>
    <row r="4737" spans="1:1" x14ac:dyDescent="0.3">
      <c r="A4737" s="17"/>
    </row>
    <row r="4738" spans="1:1" x14ac:dyDescent="0.3">
      <c r="A4738" s="17"/>
    </row>
    <row r="4739" spans="1:1" x14ac:dyDescent="0.3">
      <c r="A4739" s="17"/>
    </row>
    <row r="4740" spans="1:1" x14ac:dyDescent="0.3">
      <c r="A4740" s="17"/>
    </row>
    <row r="4741" spans="1:1" x14ac:dyDescent="0.3">
      <c r="A4741" s="17"/>
    </row>
    <row r="4742" spans="1:1" x14ac:dyDescent="0.3">
      <c r="A4742" s="17"/>
    </row>
    <row r="4743" spans="1:1" x14ac:dyDescent="0.3">
      <c r="A4743" s="17"/>
    </row>
    <row r="4744" spans="1:1" x14ac:dyDescent="0.3">
      <c r="A4744" s="17"/>
    </row>
    <row r="4745" spans="1:1" x14ac:dyDescent="0.3">
      <c r="A4745" s="17"/>
    </row>
    <row r="4746" spans="1:1" x14ac:dyDescent="0.3">
      <c r="A4746" s="17"/>
    </row>
    <row r="4747" spans="1:1" x14ac:dyDescent="0.3">
      <c r="A4747" s="17"/>
    </row>
    <row r="4748" spans="1:1" x14ac:dyDescent="0.3">
      <c r="A4748" s="17"/>
    </row>
    <row r="4749" spans="1:1" x14ac:dyDescent="0.3">
      <c r="A4749" s="17"/>
    </row>
    <row r="4750" spans="1:1" x14ac:dyDescent="0.3">
      <c r="A4750" s="17"/>
    </row>
    <row r="4751" spans="1:1" x14ac:dyDescent="0.3">
      <c r="A4751" s="17"/>
    </row>
    <row r="4752" spans="1:1" x14ac:dyDescent="0.3">
      <c r="A4752" s="17"/>
    </row>
    <row r="4753" spans="1:1" x14ac:dyDescent="0.3">
      <c r="A4753" s="17"/>
    </row>
    <row r="4754" spans="1:1" x14ac:dyDescent="0.3">
      <c r="A4754" s="17"/>
    </row>
    <row r="4755" spans="1:1" x14ac:dyDescent="0.3">
      <c r="A4755" s="17"/>
    </row>
    <row r="4756" spans="1:1" x14ac:dyDescent="0.3">
      <c r="A4756" s="17"/>
    </row>
    <row r="4757" spans="1:1" x14ac:dyDescent="0.3">
      <c r="A4757" s="17"/>
    </row>
    <row r="4758" spans="1:1" x14ac:dyDescent="0.3">
      <c r="A4758" s="17"/>
    </row>
    <row r="4759" spans="1:1" x14ac:dyDescent="0.3">
      <c r="A4759" s="17"/>
    </row>
    <row r="4760" spans="1:1" x14ac:dyDescent="0.3">
      <c r="A4760" s="17"/>
    </row>
    <row r="4761" spans="1:1" x14ac:dyDescent="0.3">
      <c r="A4761" s="17"/>
    </row>
    <row r="4762" spans="1:1" x14ac:dyDescent="0.3">
      <c r="A4762" s="17"/>
    </row>
    <row r="4763" spans="1:1" x14ac:dyDescent="0.3">
      <c r="A4763" s="17"/>
    </row>
    <row r="4764" spans="1:1" x14ac:dyDescent="0.3">
      <c r="A4764" s="17"/>
    </row>
    <row r="4765" spans="1:1" x14ac:dyDescent="0.3">
      <c r="A4765" s="17"/>
    </row>
    <row r="4766" spans="1:1" x14ac:dyDescent="0.3">
      <c r="A4766" s="17"/>
    </row>
    <row r="4767" spans="1:1" x14ac:dyDescent="0.3">
      <c r="A4767" s="17"/>
    </row>
    <row r="4768" spans="1:1" x14ac:dyDescent="0.3">
      <c r="A4768" s="17"/>
    </row>
    <row r="4769" spans="1:1" x14ac:dyDescent="0.3">
      <c r="A4769" s="17"/>
    </row>
    <row r="4770" spans="1:1" x14ac:dyDescent="0.3">
      <c r="A4770" s="17"/>
    </row>
    <row r="4771" spans="1:1" x14ac:dyDescent="0.3">
      <c r="A4771" s="17"/>
    </row>
    <row r="4772" spans="1:1" x14ac:dyDescent="0.3">
      <c r="A4772" s="17"/>
    </row>
    <row r="4773" spans="1:1" x14ac:dyDescent="0.3">
      <c r="A4773" s="17"/>
    </row>
    <row r="4774" spans="1:1" x14ac:dyDescent="0.3">
      <c r="A4774" s="17"/>
    </row>
    <row r="4775" spans="1:1" x14ac:dyDescent="0.3">
      <c r="A4775" s="17"/>
    </row>
    <row r="4776" spans="1:1" x14ac:dyDescent="0.3">
      <c r="A4776" s="17"/>
    </row>
    <row r="4777" spans="1:1" x14ac:dyDescent="0.3">
      <c r="A4777" s="17"/>
    </row>
    <row r="4778" spans="1:1" x14ac:dyDescent="0.3">
      <c r="A4778" s="17"/>
    </row>
    <row r="4779" spans="1:1" x14ac:dyDescent="0.3">
      <c r="A4779" s="17"/>
    </row>
    <row r="4780" spans="1:1" x14ac:dyDescent="0.3">
      <c r="A4780" s="17"/>
    </row>
    <row r="4781" spans="1:1" x14ac:dyDescent="0.3">
      <c r="A4781" s="17"/>
    </row>
    <row r="4782" spans="1:1" x14ac:dyDescent="0.3">
      <c r="A4782" s="17"/>
    </row>
    <row r="4783" spans="1:1" x14ac:dyDescent="0.3">
      <c r="A4783" s="17"/>
    </row>
    <row r="4784" spans="1:1" x14ac:dyDescent="0.3">
      <c r="A4784" s="17"/>
    </row>
    <row r="4785" spans="1:1" x14ac:dyDescent="0.3">
      <c r="A4785" s="17"/>
    </row>
    <row r="4786" spans="1:1" x14ac:dyDescent="0.3">
      <c r="A4786" s="17"/>
    </row>
    <row r="4787" spans="1:1" x14ac:dyDescent="0.3">
      <c r="A4787" s="17"/>
    </row>
    <row r="4788" spans="1:1" x14ac:dyDescent="0.3">
      <c r="A4788" s="17"/>
    </row>
    <row r="4789" spans="1:1" x14ac:dyDescent="0.3">
      <c r="A4789" s="17"/>
    </row>
    <row r="4790" spans="1:1" x14ac:dyDescent="0.3">
      <c r="A4790" s="17"/>
    </row>
    <row r="4791" spans="1:1" x14ac:dyDescent="0.3">
      <c r="A4791" s="17"/>
    </row>
    <row r="4792" spans="1:1" x14ac:dyDescent="0.3">
      <c r="A4792" s="17"/>
    </row>
    <row r="4793" spans="1:1" x14ac:dyDescent="0.3">
      <c r="A4793" s="17"/>
    </row>
    <row r="4794" spans="1:1" x14ac:dyDescent="0.3">
      <c r="A4794" s="17"/>
    </row>
    <row r="4795" spans="1:1" x14ac:dyDescent="0.3">
      <c r="A4795" s="17"/>
    </row>
    <row r="4796" spans="1:1" x14ac:dyDescent="0.3">
      <c r="A4796" s="17"/>
    </row>
    <row r="4797" spans="1:1" x14ac:dyDescent="0.3">
      <c r="A4797" s="17"/>
    </row>
    <row r="4798" spans="1:1" x14ac:dyDescent="0.3">
      <c r="A4798" s="17"/>
    </row>
    <row r="4799" spans="1:1" x14ac:dyDescent="0.3">
      <c r="A4799" s="17"/>
    </row>
    <row r="4800" spans="1:1" x14ac:dyDescent="0.3">
      <c r="A4800" s="17"/>
    </row>
    <row r="4801" spans="1:1" x14ac:dyDescent="0.3">
      <c r="A4801" s="17"/>
    </row>
    <row r="4802" spans="1:1" x14ac:dyDescent="0.3">
      <c r="A4802" s="17"/>
    </row>
    <row r="4803" spans="1:1" x14ac:dyDescent="0.3">
      <c r="A4803" s="17"/>
    </row>
    <row r="4804" spans="1:1" x14ac:dyDescent="0.3">
      <c r="A4804" s="17"/>
    </row>
    <row r="4805" spans="1:1" x14ac:dyDescent="0.3">
      <c r="A4805" s="17"/>
    </row>
    <row r="4806" spans="1:1" x14ac:dyDescent="0.3">
      <c r="A4806" s="17"/>
    </row>
    <row r="4807" spans="1:1" x14ac:dyDescent="0.3">
      <c r="A4807" s="17"/>
    </row>
    <row r="4808" spans="1:1" x14ac:dyDescent="0.3">
      <c r="A4808" s="17"/>
    </row>
    <row r="4809" spans="1:1" x14ac:dyDescent="0.3">
      <c r="A4809" s="17"/>
    </row>
    <row r="4810" spans="1:1" x14ac:dyDescent="0.3">
      <c r="A4810" s="17"/>
    </row>
    <row r="4811" spans="1:1" x14ac:dyDescent="0.3">
      <c r="A4811" s="17"/>
    </row>
    <row r="4812" spans="1:1" x14ac:dyDescent="0.3">
      <c r="A4812" s="17"/>
    </row>
    <row r="4813" spans="1:1" x14ac:dyDescent="0.3">
      <c r="A4813" s="17"/>
    </row>
    <row r="4814" spans="1:1" x14ac:dyDescent="0.3">
      <c r="A4814" s="17"/>
    </row>
    <row r="4815" spans="1:1" x14ac:dyDescent="0.3">
      <c r="A4815" s="17"/>
    </row>
    <row r="4816" spans="1:1" x14ac:dyDescent="0.3">
      <c r="A4816" s="17"/>
    </row>
    <row r="4817" spans="1:1" x14ac:dyDescent="0.3">
      <c r="A4817" s="17"/>
    </row>
    <row r="4818" spans="1:1" x14ac:dyDescent="0.3">
      <c r="A4818" s="17"/>
    </row>
    <row r="4819" spans="1:1" x14ac:dyDescent="0.3">
      <c r="A4819" s="17"/>
    </row>
    <row r="4820" spans="1:1" x14ac:dyDescent="0.3">
      <c r="A4820" s="17"/>
    </row>
    <row r="4821" spans="1:1" x14ac:dyDescent="0.3">
      <c r="A4821" s="17"/>
    </row>
    <row r="4822" spans="1:1" x14ac:dyDescent="0.3">
      <c r="A4822" s="17"/>
    </row>
    <row r="4823" spans="1:1" x14ac:dyDescent="0.3">
      <c r="A4823" s="17"/>
    </row>
    <row r="4824" spans="1:1" x14ac:dyDescent="0.3">
      <c r="A4824" s="17"/>
    </row>
    <row r="4825" spans="1:1" x14ac:dyDescent="0.3">
      <c r="A4825" s="17"/>
    </row>
    <row r="4826" spans="1:1" x14ac:dyDescent="0.3">
      <c r="A4826" s="17"/>
    </row>
    <row r="4827" spans="1:1" x14ac:dyDescent="0.3">
      <c r="A4827" s="17"/>
    </row>
    <row r="4828" spans="1:1" x14ac:dyDescent="0.3">
      <c r="A4828" s="17"/>
    </row>
    <row r="4829" spans="1:1" x14ac:dyDescent="0.3">
      <c r="A4829" s="17"/>
    </row>
    <row r="4830" spans="1:1" x14ac:dyDescent="0.3">
      <c r="A4830" s="17"/>
    </row>
    <row r="4831" spans="1:1" x14ac:dyDescent="0.3">
      <c r="A4831" s="17"/>
    </row>
    <row r="4832" spans="1:1" x14ac:dyDescent="0.3">
      <c r="A4832" s="17"/>
    </row>
    <row r="4833" spans="1:1" x14ac:dyDescent="0.3">
      <c r="A4833" s="17"/>
    </row>
    <row r="4834" spans="1:1" x14ac:dyDescent="0.3">
      <c r="A4834" s="17"/>
    </row>
    <row r="4835" spans="1:1" x14ac:dyDescent="0.3">
      <c r="A4835" s="17"/>
    </row>
    <row r="4836" spans="1:1" x14ac:dyDescent="0.3">
      <c r="A4836" s="17"/>
    </row>
    <row r="4837" spans="1:1" x14ac:dyDescent="0.3">
      <c r="A4837" s="17"/>
    </row>
    <row r="4838" spans="1:1" x14ac:dyDescent="0.3">
      <c r="A4838" s="17"/>
    </row>
    <row r="4839" spans="1:1" x14ac:dyDescent="0.3">
      <c r="A4839" s="17"/>
    </row>
    <row r="4840" spans="1:1" x14ac:dyDescent="0.3">
      <c r="A4840" s="17"/>
    </row>
    <row r="4841" spans="1:1" x14ac:dyDescent="0.3">
      <c r="A4841" s="17"/>
    </row>
    <row r="4842" spans="1:1" x14ac:dyDescent="0.3">
      <c r="A4842" s="17"/>
    </row>
    <row r="4843" spans="1:1" x14ac:dyDescent="0.3">
      <c r="A4843" s="17"/>
    </row>
    <row r="4844" spans="1:1" x14ac:dyDescent="0.3">
      <c r="A4844" s="17"/>
    </row>
    <row r="4845" spans="1:1" x14ac:dyDescent="0.3">
      <c r="A4845" s="17"/>
    </row>
    <row r="4846" spans="1:1" x14ac:dyDescent="0.3">
      <c r="A4846" s="17"/>
    </row>
    <row r="4847" spans="1:1" x14ac:dyDescent="0.3">
      <c r="A4847" s="17"/>
    </row>
    <row r="4848" spans="1:1" x14ac:dyDescent="0.3">
      <c r="A4848" s="17"/>
    </row>
    <row r="4849" spans="1:1" x14ac:dyDescent="0.3">
      <c r="A4849" s="17"/>
    </row>
    <row r="4850" spans="1:1" x14ac:dyDescent="0.3">
      <c r="A4850" s="17"/>
    </row>
    <row r="4851" spans="1:1" x14ac:dyDescent="0.3">
      <c r="A4851" s="17"/>
    </row>
    <row r="4852" spans="1:1" x14ac:dyDescent="0.3">
      <c r="A4852" s="17"/>
    </row>
    <row r="4853" spans="1:1" x14ac:dyDescent="0.3">
      <c r="A4853" s="17"/>
    </row>
    <row r="4854" spans="1:1" x14ac:dyDescent="0.3">
      <c r="A4854" s="17"/>
    </row>
    <row r="4855" spans="1:1" x14ac:dyDescent="0.3">
      <c r="A4855" s="17"/>
    </row>
    <row r="4856" spans="1:1" x14ac:dyDescent="0.3">
      <c r="A4856" s="17"/>
    </row>
    <row r="4857" spans="1:1" x14ac:dyDescent="0.3">
      <c r="A4857" s="17"/>
    </row>
    <row r="4858" spans="1:1" x14ac:dyDescent="0.3">
      <c r="A4858" s="17"/>
    </row>
    <row r="4859" spans="1:1" x14ac:dyDescent="0.3">
      <c r="A4859" s="17"/>
    </row>
    <row r="4860" spans="1:1" x14ac:dyDescent="0.3">
      <c r="A4860" s="17"/>
    </row>
    <row r="4861" spans="1:1" x14ac:dyDescent="0.3">
      <c r="A4861" s="17"/>
    </row>
    <row r="4862" spans="1:1" x14ac:dyDescent="0.3">
      <c r="A4862" s="17"/>
    </row>
    <row r="4863" spans="1:1" x14ac:dyDescent="0.3">
      <c r="A4863" s="17"/>
    </row>
    <row r="4864" spans="1:1" x14ac:dyDescent="0.3">
      <c r="A4864" s="17"/>
    </row>
    <row r="4865" spans="1:1" x14ac:dyDescent="0.3">
      <c r="A4865" s="17"/>
    </row>
    <row r="4866" spans="1:1" x14ac:dyDescent="0.3">
      <c r="A4866" s="17"/>
    </row>
    <row r="4867" spans="1:1" x14ac:dyDescent="0.3">
      <c r="A4867" s="17"/>
    </row>
    <row r="4868" spans="1:1" x14ac:dyDescent="0.3">
      <c r="A4868" s="17"/>
    </row>
    <row r="4869" spans="1:1" x14ac:dyDescent="0.3">
      <c r="A4869" s="17"/>
    </row>
    <row r="4870" spans="1:1" x14ac:dyDescent="0.3">
      <c r="A4870" s="17"/>
    </row>
    <row r="4871" spans="1:1" x14ac:dyDescent="0.3">
      <c r="A4871" s="17"/>
    </row>
    <row r="4872" spans="1:1" x14ac:dyDescent="0.3">
      <c r="A4872" s="17"/>
    </row>
    <row r="4873" spans="1:1" x14ac:dyDescent="0.3">
      <c r="A4873" s="17"/>
    </row>
    <row r="4874" spans="1:1" x14ac:dyDescent="0.3">
      <c r="A4874" s="17"/>
    </row>
    <row r="4875" spans="1:1" x14ac:dyDescent="0.3">
      <c r="A4875" s="17"/>
    </row>
    <row r="4876" spans="1:1" x14ac:dyDescent="0.3">
      <c r="A4876" s="17"/>
    </row>
    <row r="4877" spans="1:1" x14ac:dyDescent="0.3">
      <c r="A4877" s="17"/>
    </row>
    <row r="4878" spans="1:1" x14ac:dyDescent="0.3">
      <c r="A4878" s="17"/>
    </row>
    <row r="4879" spans="1:1" x14ac:dyDescent="0.3">
      <c r="A4879" s="17"/>
    </row>
    <row r="4880" spans="1:1" x14ac:dyDescent="0.3">
      <c r="A4880" s="17"/>
    </row>
    <row r="4881" spans="1:1" x14ac:dyDescent="0.3">
      <c r="A4881" s="17"/>
    </row>
    <row r="4882" spans="1:1" x14ac:dyDescent="0.3">
      <c r="A4882" s="17"/>
    </row>
    <row r="4883" spans="1:1" x14ac:dyDescent="0.3">
      <c r="A4883" s="17"/>
    </row>
    <row r="4884" spans="1:1" x14ac:dyDescent="0.3">
      <c r="A4884" s="17"/>
    </row>
    <row r="4885" spans="1:1" x14ac:dyDescent="0.3">
      <c r="A4885" s="17"/>
    </row>
    <row r="4886" spans="1:1" x14ac:dyDescent="0.3">
      <c r="A4886" s="17"/>
    </row>
    <row r="4887" spans="1:1" x14ac:dyDescent="0.3">
      <c r="A4887" s="17"/>
    </row>
    <row r="4888" spans="1:1" x14ac:dyDescent="0.3">
      <c r="A4888" s="17"/>
    </row>
    <row r="4889" spans="1:1" x14ac:dyDescent="0.3">
      <c r="A4889" s="17"/>
    </row>
    <row r="4890" spans="1:1" x14ac:dyDescent="0.3">
      <c r="A4890" s="17"/>
    </row>
    <row r="4891" spans="1:1" x14ac:dyDescent="0.3">
      <c r="A4891" s="17"/>
    </row>
    <row r="4892" spans="1:1" x14ac:dyDescent="0.3">
      <c r="A4892" s="17"/>
    </row>
    <row r="4893" spans="1:1" x14ac:dyDescent="0.3">
      <c r="A4893" s="17"/>
    </row>
    <row r="4894" spans="1:1" x14ac:dyDescent="0.3">
      <c r="A4894" s="17"/>
    </row>
    <row r="4895" spans="1:1" x14ac:dyDescent="0.3">
      <c r="A4895" s="17"/>
    </row>
    <row r="4896" spans="1:1" x14ac:dyDescent="0.3">
      <c r="A4896" s="17"/>
    </row>
    <row r="4897" spans="1:1" x14ac:dyDescent="0.3">
      <c r="A4897" s="17"/>
    </row>
    <row r="4898" spans="1:1" x14ac:dyDescent="0.3">
      <c r="A4898" s="17"/>
    </row>
    <row r="4899" spans="1:1" x14ac:dyDescent="0.3">
      <c r="A4899" s="17"/>
    </row>
    <row r="4900" spans="1:1" x14ac:dyDescent="0.3">
      <c r="A4900" s="17"/>
    </row>
    <row r="4901" spans="1:1" x14ac:dyDescent="0.3">
      <c r="A4901" s="17"/>
    </row>
    <row r="4902" spans="1:1" x14ac:dyDescent="0.3">
      <c r="A4902" s="17"/>
    </row>
    <row r="4903" spans="1:1" x14ac:dyDescent="0.3">
      <c r="A4903" s="17"/>
    </row>
    <row r="4904" spans="1:1" x14ac:dyDescent="0.3">
      <c r="A4904" s="17"/>
    </row>
    <row r="4905" spans="1:1" x14ac:dyDescent="0.3">
      <c r="A4905" s="17"/>
    </row>
    <row r="4906" spans="1:1" x14ac:dyDescent="0.3">
      <c r="A4906" s="17"/>
    </row>
    <row r="4907" spans="1:1" x14ac:dyDescent="0.3">
      <c r="A4907" s="17"/>
    </row>
    <row r="4908" spans="1:1" x14ac:dyDescent="0.3">
      <c r="A4908" s="17"/>
    </row>
    <row r="4909" spans="1:1" x14ac:dyDescent="0.3">
      <c r="A4909" s="17"/>
    </row>
    <row r="4910" spans="1:1" x14ac:dyDescent="0.3">
      <c r="A4910" s="17"/>
    </row>
    <row r="4911" spans="1:1" x14ac:dyDescent="0.3">
      <c r="A4911" s="17"/>
    </row>
    <row r="4912" spans="1:1" x14ac:dyDescent="0.3">
      <c r="A4912" s="17"/>
    </row>
    <row r="4913" spans="1:1" x14ac:dyDescent="0.3">
      <c r="A4913" s="17"/>
    </row>
    <row r="4914" spans="1:1" x14ac:dyDescent="0.3">
      <c r="A4914" s="17"/>
    </row>
    <row r="4915" spans="1:1" x14ac:dyDescent="0.3">
      <c r="A4915" s="17"/>
    </row>
    <row r="4916" spans="1:1" x14ac:dyDescent="0.3">
      <c r="A4916" s="17"/>
    </row>
    <row r="4917" spans="1:1" x14ac:dyDescent="0.3">
      <c r="A4917" s="17"/>
    </row>
    <row r="4918" spans="1:1" x14ac:dyDescent="0.3">
      <c r="A4918" s="17"/>
    </row>
    <row r="4919" spans="1:1" x14ac:dyDescent="0.3">
      <c r="A4919" s="17"/>
    </row>
    <row r="4920" spans="1:1" x14ac:dyDescent="0.3">
      <c r="A4920" s="17"/>
    </row>
    <row r="4921" spans="1:1" x14ac:dyDescent="0.3">
      <c r="A4921" s="17"/>
    </row>
    <row r="4922" spans="1:1" x14ac:dyDescent="0.3">
      <c r="A4922" s="17"/>
    </row>
    <row r="4923" spans="1:1" x14ac:dyDescent="0.3">
      <c r="A4923" s="17"/>
    </row>
    <row r="4924" spans="1:1" x14ac:dyDescent="0.3">
      <c r="A4924" s="17"/>
    </row>
    <row r="4925" spans="1:1" x14ac:dyDescent="0.3">
      <c r="A4925" s="17"/>
    </row>
    <row r="4926" spans="1:1" x14ac:dyDescent="0.3">
      <c r="A4926" s="17"/>
    </row>
    <row r="4927" spans="1:1" x14ac:dyDescent="0.3">
      <c r="A4927" s="17"/>
    </row>
    <row r="4928" spans="1:1" x14ac:dyDescent="0.3">
      <c r="A4928" s="17"/>
    </row>
    <row r="4929" spans="1:1" x14ac:dyDescent="0.3">
      <c r="A4929" s="17"/>
    </row>
    <row r="4930" spans="1:1" x14ac:dyDescent="0.3">
      <c r="A4930" s="17"/>
    </row>
    <row r="4931" spans="1:1" x14ac:dyDescent="0.3">
      <c r="A4931" s="17"/>
    </row>
    <row r="4932" spans="1:1" x14ac:dyDescent="0.3">
      <c r="A4932" s="17"/>
    </row>
    <row r="4933" spans="1:1" x14ac:dyDescent="0.3">
      <c r="A4933" s="17"/>
    </row>
    <row r="4934" spans="1:1" x14ac:dyDescent="0.3">
      <c r="A4934" s="17"/>
    </row>
    <row r="4935" spans="1:1" x14ac:dyDescent="0.3">
      <c r="A4935" s="17"/>
    </row>
    <row r="4936" spans="1:1" x14ac:dyDescent="0.3">
      <c r="A4936" s="17"/>
    </row>
    <row r="4937" spans="1:1" x14ac:dyDescent="0.3">
      <c r="A4937" s="17"/>
    </row>
    <row r="4938" spans="1:1" x14ac:dyDescent="0.3">
      <c r="A4938" s="17"/>
    </row>
    <row r="4939" spans="1:1" x14ac:dyDescent="0.3">
      <c r="A4939" s="17"/>
    </row>
    <row r="4940" spans="1:1" x14ac:dyDescent="0.3">
      <c r="A4940" s="17"/>
    </row>
    <row r="4941" spans="1:1" x14ac:dyDescent="0.3">
      <c r="A4941" s="17"/>
    </row>
    <row r="4942" spans="1:1" x14ac:dyDescent="0.3">
      <c r="A4942" s="17"/>
    </row>
    <row r="4943" spans="1:1" x14ac:dyDescent="0.3">
      <c r="A4943" s="17"/>
    </row>
    <row r="4944" spans="1:1" x14ac:dyDescent="0.3">
      <c r="A4944" s="17"/>
    </row>
    <row r="4945" spans="1:1" x14ac:dyDescent="0.3">
      <c r="A4945" s="17"/>
    </row>
    <row r="4946" spans="1:1" x14ac:dyDescent="0.3">
      <c r="A4946" s="17"/>
    </row>
    <row r="4947" spans="1:1" x14ac:dyDescent="0.3">
      <c r="A4947" s="17"/>
    </row>
    <row r="4948" spans="1:1" x14ac:dyDescent="0.3">
      <c r="A4948" s="17"/>
    </row>
    <row r="4949" spans="1:1" x14ac:dyDescent="0.3">
      <c r="A4949" s="17"/>
    </row>
    <row r="4950" spans="1:1" x14ac:dyDescent="0.3">
      <c r="A4950" s="17"/>
    </row>
    <row r="4951" spans="1:1" x14ac:dyDescent="0.3">
      <c r="A4951" s="17"/>
    </row>
    <row r="4952" spans="1:1" x14ac:dyDescent="0.3">
      <c r="A4952" s="17"/>
    </row>
    <row r="4953" spans="1:1" x14ac:dyDescent="0.3">
      <c r="A4953" s="17"/>
    </row>
    <row r="4954" spans="1:1" x14ac:dyDescent="0.3">
      <c r="A4954" s="17"/>
    </row>
    <row r="4955" spans="1:1" x14ac:dyDescent="0.3">
      <c r="A4955" s="17"/>
    </row>
    <row r="4956" spans="1:1" x14ac:dyDescent="0.3">
      <c r="A4956" s="17"/>
    </row>
    <row r="4957" spans="1:1" x14ac:dyDescent="0.3">
      <c r="A4957" s="17"/>
    </row>
    <row r="4958" spans="1:1" x14ac:dyDescent="0.3">
      <c r="A4958" s="17"/>
    </row>
    <row r="4959" spans="1:1" x14ac:dyDescent="0.3">
      <c r="A4959" s="17"/>
    </row>
    <row r="4960" spans="1:1" x14ac:dyDescent="0.3">
      <c r="A4960" s="17"/>
    </row>
    <row r="4961" spans="1:1" x14ac:dyDescent="0.3">
      <c r="A4961" s="17"/>
    </row>
    <row r="4962" spans="1:1" x14ac:dyDescent="0.3">
      <c r="A4962" s="17"/>
    </row>
    <row r="4963" spans="1:1" x14ac:dyDescent="0.3">
      <c r="A4963" s="17"/>
    </row>
    <row r="4964" spans="1:1" x14ac:dyDescent="0.3">
      <c r="A4964" s="17"/>
    </row>
    <row r="4965" spans="1:1" x14ac:dyDescent="0.3">
      <c r="A4965" s="17"/>
    </row>
    <row r="4966" spans="1:1" x14ac:dyDescent="0.3">
      <c r="A4966" s="17"/>
    </row>
    <row r="4967" spans="1:1" x14ac:dyDescent="0.3">
      <c r="A4967" s="17"/>
    </row>
    <row r="4968" spans="1:1" x14ac:dyDescent="0.3">
      <c r="A4968" s="17"/>
    </row>
    <row r="4969" spans="1:1" x14ac:dyDescent="0.3">
      <c r="A4969" s="17"/>
    </row>
    <row r="4970" spans="1:1" x14ac:dyDescent="0.3">
      <c r="A4970" s="17"/>
    </row>
    <row r="4971" spans="1:1" x14ac:dyDescent="0.3">
      <c r="A4971" s="17"/>
    </row>
    <row r="4972" spans="1:1" x14ac:dyDescent="0.3">
      <c r="A4972" s="17"/>
    </row>
    <row r="4973" spans="1:1" x14ac:dyDescent="0.3">
      <c r="A4973" s="17"/>
    </row>
    <row r="4974" spans="1:1" x14ac:dyDescent="0.3">
      <c r="A4974" s="17"/>
    </row>
    <row r="4975" spans="1:1" x14ac:dyDescent="0.3">
      <c r="A4975" s="17"/>
    </row>
    <row r="4976" spans="1:1" x14ac:dyDescent="0.3">
      <c r="A4976" s="17"/>
    </row>
    <row r="4977" spans="1:1" x14ac:dyDescent="0.3">
      <c r="A4977" s="17"/>
    </row>
    <row r="4978" spans="1:1" x14ac:dyDescent="0.3">
      <c r="A4978" s="17"/>
    </row>
    <row r="4979" spans="1:1" x14ac:dyDescent="0.3">
      <c r="A4979" s="17"/>
    </row>
    <row r="4980" spans="1:1" x14ac:dyDescent="0.3">
      <c r="A4980" s="17"/>
    </row>
    <row r="4981" spans="1:1" x14ac:dyDescent="0.3">
      <c r="A4981" s="17"/>
    </row>
    <row r="4982" spans="1:1" x14ac:dyDescent="0.3">
      <c r="A4982" s="17"/>
    </row>
    <row r="4983" spans="1:1" x14ac:dyDescent="0.3">
      <c r="A4983" s="17"/>
    </row>
    <row r="4984" spans="1:1" x14ac:dyDescent="0.3">
      <c r="A4984" s="17"/>
    </row>
    <row r="4985" spans="1:1" x14ac:dyDescent="0.3">
      <c r="A4985" s="17"/>
    </row>
    <row r="4986" spans="1:1" x14ac:dyDescent="0.3">
      <c r="A4986" s="17"/>
    </row>
    <row r="4987" spans="1:1" x14ac:dyDescent="0.3">
      <c r="A4987" s="17"/>
    </row>
    <row r="4988" spans="1:1" x14ac:dyDescent="0.3">
      <c r="A4988" s="17"/>
    </row>
    <row r="4989" spans="1:1" x14ac:dyDescent="0.3">
      <c r="A4989" s="17"/>
    </row>
    <row r="4990" spans="1:1" x14ac:dyDescent="0.3">
      <c r="A4990" s="17"/>
    </row>
    <row r="4991" spans="1:1" x14ac:dyDescent="0.3">
      <c r="A4991" s="17"/>
    </row>
    <row r="4992" spans="1:1" x14ac:dyDescent="0.3">
      <c r="A4992" s="17"/>
    </row>
    <row r="4993" spans="1:1" x14ac:dyDescent="0.3">
      <c r="A4993" s="17"/>
    </row>
    <row r="4994" spans="1:1" x14ac:dyDescent="0.3">
      <c r="A4994" s="17"/>
    </row>
    <row r="4995" spans="1:1" x14ac:dyDescent="0.3">
      <c r="A4995" s="17"/>
    </row>
    <row r="4996" spans="1:1" x14ac:dyDescent="0.3">
      <c r="A4996" s="17"/>
    </row>
    <row r="4997" spans="1:1" x14ac:dyDescent="0.3">
      <c r="A4997" s="17"/>
    </row>
    <row r="4998" spans="1:1" x14ac:dyDescent="0.3">
      <c r="A4998" s="17"/>
    </row>
    <row r="4999" spans="1:1" x14ac:dyDescent="0.3">
      <c r="A4999" s="17"/>
    </row>
    <row r="5000" spans="1:1" x14ac:dyDescent="0.3">
      <c r="A5000" s="17"/>
    </row>
    <row r="5001" spans="1:1" x14ac:dyDescent="0.3">
      <c r="A5001" s="17"/>
    </row>
    <row r="5002" spans="1:1" x14ac:dyDescent="0.3">
      <c r="A5002" s="17"/>
    </row>
    <row r="5003" spans="1:1" x14ac:dyDescent="0.3">
      <c r="A5003" s="17"/>
    </row>
    <row r="5004" spans="1:1" x14ac:dyDescent="0.3">
      <c r="A5004" s="17"/>
    </row>
    <row r="5005" spans="1:1" x14ac:dyDescent="0.3">
      <c r="A5005" s="17"/>
    </row>
    <row r="5006" spans="1:1" x14ac:dyDescent="0.3">
      <c r="A5006" s="17"/>
    </row>
    <row r="5007" spans="1:1" x14ac:dyDescent="0.3">
      <c r="A5007" s="17"/>
    </row>
    <row r="5008" spans="1:1" x14ac:dyDescent="0.3">
      <c r="A5008" s="17"/>
    </row>
    <row r="5009" spans="1:1" x14ac:dyDescent="0.3">
      <c r="A5009" s="17"/>
    </row>
    <row r="5010" spans="1:1" x14ac:dyDescent="0.3">
      <c r="A5010" s="17"/>
    </row>
    <row r="5011" spans="1:1" x14ac:dyDescent="0.3">
      <c r="A5011" s="17"/>
    </row>
    <row r="5012" spans="1:1" x14ac:dyDescent="0.3">
      <c r="A5012" s="17"/>
    </row>
    <row r="5013" spans="1:1" x14ac:dyDescent="0.3">
      <c r="A5013" s="17"/>
    </row>
    <row r="5014" spans="1:1" x14ac:dyDescent="0.3">
      <c r="A5014" s="17"/>
    </row>
    <row r="5015" spans="1:1" x14ac:dyDescent="0.3">
      <c r="A5015" s="17"/>
    </row>
    <row r="5016" spans="1:1" x14ac:dyDescent="0.3">
      <c r="A5016" s="17"/>
    </row>
    <row r="5017" spans="1:1" x14ac:dyDescent="0.3">
      <c r="A5017" s="17"/>
    </row>
    <row r="5018" spans="1:1" x14ac:dyDescent="0.3">
      <c r="A5018" s="17"/>
    </row>
    <row r="5019" spans="1:1" x14ac:dyDescent="0.3">
      <c r="A5019" s="17"/>
    </row>
    <row r="5020" spans="1:1" x14ac:dyDescent="0.3">
      <c r="A5020" s="17"/>
    </row>
    <row r="5021" spans="1:1" x14ac:dyDescent="0.3">
      <c r="A5021" s="17"/>
    </row>
    <row r="5022" spans="1:1" x14ac:dyDescent="0.3">
      <c r="A5022" s="17"/>
    </row>
    <row r="5023" spans="1:1" x14ac:dyDescent="0.3">
      <c r="A5023" s="17"/>
    </row>
    <row r="5024" spans="1:1" x14ac:dyDescent="0.3">
      <c r="A5024" s="17"/>
    </row>
    <row r="5025" spans="1:1" x14ac:dyDescent="0.3">
      <c r="A5025" s="17"/>
    </row>
    <row r="5026" spans="1:1" x14ac:dyDescent="0.3">
      <c r="A5026" s="17"/>
    </row>
    <row r="5027" spans="1:1" x14ac:dyDescent="0.3">
      <c r="A5027" s="17"/>
    </row>
    <row r="5028" spans="1:1" x14ac:dyDescent="0.3">
      <c r="A5028" s="17"/>
    </row>
    <row r="5029" spans="1:1" x14ac:dyDescent="0.3">
      <c r="A5029" s="17"/>
    </row>
    <row r="5030" spans="1:1" x14ac:dyDescent="0.3">
      <c r="A5030" s="17"/>
    </row>
    <row r="5031" spans="1:1" x14ac:dyDescent="0.3">
      <c r="A5031" s="17"/>
    </row>
    <row r="5032" spans="1:1" x14ac:dyDescent="0.3">
      <c r="A5032" s="17"/>
    </row>
    <row r="5033" spans="1:1" x14ac:dyDescent="0.3">
      <c r="A5033" s="17"/>
    </row>
    <row r="5034" spans="1:1" x14ac:dyDescent="0.3">
      <c r="A5034" s="17"/>
    </row>
    <row r="5035" spans="1:1" x14ac:dyDescent="0.3">
      <c r="A5035" s="17"/>
    </row>
    <row r="5036" spans="1:1" x14ac:dyDescent="0.3">
      <c r="A5036" s="17"/>
    </row>
    <row r="5037" spans="1:1" x14ac:dyDescent="0.3">
      <c r="A5037" s="17"/>
    </row>
    <row r="5038" spans="1:1" x14ac:dyDescent="0.3">
      <c r="A5038" s="17"/>
    </row>
    <row r="5039" spans="1:1" x14ac:dyDescent="0.3">
      <c r="A5039" s="17"/>
    </row>
    <row r="5040" spans="1:1" x14ac:dyDescent="0.3">
      <c r="A5040" s="17"/>
    </row>
    <row r="5041" spans="1:1" x14ac:dyDescent="0.3">
      <c r="A5041" s="17"/>
    </row>
    <row r="5042" spans="1:1" x14ac:dyDescent="0.3">
      <c r="A5042" s="17"/>
    </row>
    <row r="5043" spans="1:1" x14ac:dyDescent="0.3">
      <c r="A5043" s="17"/>
    </row>
    <row r="5044" spans="1:1" x14ac:dyDescent="0.3">
      <c r="A5044" s="17"/>
    </row>
    <row r="5045" spans="1:1" x14ac:dyDescent="0.3">
      <c r="A5045" s="17"/>
    </row>
    <row r="5046" spans="1:1" x14ac:dyDescent="0.3">
      <c r="A5046" s="17"/>
    </row>
    <row r="5047" spans="1:1" x14ac:dyDescent="0.3">
      <c r="A5047" s="17"/>
    </row>
    <row r="5048" spans="1:1" x14ac:dyDescent="0.3">
      <c r="A5048" s="17"/>
    </row>
    <row r="5049" spans="1:1" x14ac:dyDescent="0.3">
      <c r="A5049" s="17"/>
    </row>
    <row r="5050" spans="1:1" x14ac:dyDescent="0.3">
      <c r="A5050" s="17"/>
    </row>
    <row r="5051" spans="1:1" x14ac:dyDescent="0.3">
      <c r="A5051" s="17"/>
    </row>
    <row r="5052" spans="1:1" x14ac:dyDescent="0.3">
      <c r="A5052" s="17"/>
    </row>
    <row r="5053" spans="1:1" x14ac:dyDescent="0.3">
      <c r="A5053" s="17"/>
    </row>
    <row r="5054" spans="1:1" x14ac:dyDescent="0.3">
      <c r="A5054" s="17"/>
    </row>
    <row r="5055" spans="1:1" x14ac:dyDescent="0.3">
      <c r="A5055" s="17"/>
    </row>
    <row r="5056" spans="1:1" x14ac:dyDescent="0.3">
      <c r="A5056" s="17"/>
    </row>
    <row r="5057" spans="1:1" x14ac:dyDescent="0.3">
      <c r="A5057" s="17"/>
    </row>
    <row r="5058" spans="1:1" x14ac:dyDescent="0.3">
      <c r="A5058" s="17"/>
    </row>
    <row r="5059" spans="1:1" x14ac:dyDescent="0.3">
      <c r="A5059" s="17"/>
    </row>
    <row r="5060" spans="1:1" x14ac:dyDescent="0.3">
      <c r="A5060" s="17"/>
    </row>
    <row r="5061" spans="1:1" x14ac:dyDescent="0.3">
      <c r="A5061" s="17"/>
    </row>
    <row r="5062" spans="1:1" x14ac:dyDescent="0.3">
      <c r="A5062" s="17"/>
    </row>
    <row r="5063" spans="1:1" x14ac:dyDescent="0.3">
      <c r="A5063" s="17"/>
    </row>
    <row r="5064" spans="1:1" x14ac:dyDescent="0.3">
      <c r="A5064" s="17"/>
    </row>
    <row r="5065" spans="1:1" x14ac:dyDescent="0.3">
      <c r="A5065" s="17"/>
    </row>
    <row r="5066" spans="1:1" x14ac:dyDescent="0.3">
      <c r="A5066" s="17"/>
    </row>
    <row r="5067" spans="1:1" x14ac:dyDescent="0.3">
      <c r="A5067" s="17"/>
    </row>
    <row r="5068" spans="1:1" x14ac:dyDescent="0.3">
      <c r="A5068" s="17"/>
    </row>
    <row r="5069" spans="1:1" x14ac:dyDescent="0.3">
      <c r="A5069" s="17"/>
    </row>
    <row r="5070" spans="1:1" x14ac:dyDescent="0.3">
      <c r="A5070" s="17"/>
    </row>
    <row r="5071" spans="1:1" x14ac:dyDescent="0.3">
      <c r="A5071" s="17"/>
    </row>
    <row r="5072" spans="1:1" x14ac:dyDescent="0.3">
      <c r="A5072" s="17"/>
    </row>
    <row r="5073" spans="1:1" x14ac:dyDescent="0.3">
      <c r="A5073" s="17"/>
    </row>
    <row r="5074" spans="1:1" x14ac:dyDescent="0.3">
      <c r="A5074" s="17"/>
    </row>
    <row r="5075" spans="1:1" x14ac:dyDescent="0.3">
      <c r="A5075" s="17"/>
    </row>
    <row r="5076" spans="1:1" x14ac:dyDescent="0.3">
      <c r="A5076" s="17"/>
    </row>
    <row r="5077" spans="1:1" x14ac:dyDescent="0.3">
      <c r="A5077" s="17"/>
    </row>
    <row r="5078" spans="1:1" x14ac:dyDescent="0.3">
      <c r="A5078" s="17"/>
    </row>
    <row r="5079" spans="1:1" x14ac:dyDescent="0.3">
      <c r="A5079" s="17"/>
    </row>
    <row r="5080" spans="1:1" x14ac:dyDescent="0.3">
      <c r="A5080" s="17"/>
    </row>
    <row r="5081" spans="1:1" x14ac:dyDescent="0.3">
      <c r="A5081" s="17"/>
    </row>
    <row r="5082" spans="1:1" x14ac:dyDescent="0.3">
      <c r="A5082" s="17"/>
    </row>
    <row r="5083" spans="1:1" x14ac:dyDescent="0.3">
      <c r="A5083" s="17"/>
    </row>
    <row r="5084" spans="1:1" x14ac:dyDescent="0.3">
      <c r="A5084" s="17"/>
    </row>
    <row r="5085" spans="1:1" x14ac:dyDescent="0.3">
      <c r="A5085" s="17"/>
    </row>
    <row r="5086" spans="1:1" x14ac:dyDescent="0.3">
      <c r="A5086" s="17"/>
    </row>
    <row r="5087" spans="1:1" x14ac:dyDescent="0.3">
      <c r="A5087" s="17"/>
    </row>
    <row r="5088" spans="1:1" x14ac:dyDescent="0.3">
      <c r="A5088" s="17"/>
    </row>
    <row r="5089" spans="1:1" x14ac:dyDescent="0.3">
      <c r="A5089" s="17"/>
    </row>
    <row r="5090" spans="1:1" x14ac:dyDescent="0.3">
      <c r="A5090" s="17"/>
    </row>
    <row r="5091" spans="1:1" x14ac:dyDescent="0.3">
      <c r="A5091" s="17"/>
    </row>
    <row r="5092" spans="1:1" x14ac:dyDescent="0.3">
      <c r="A5092" s="17"/>
    </row>
    <row r="5093" spans="1:1" x14ac:dyDescent="0.3">
      <c r="A5093" s="17"/>
    </row>
    <row r="5094" spans="1:1" x14ac:dyDescent="0.3">
      <c r="A5094" s="17"/>
    </row>
    <row r="5095" spans="1:1" x14ac:dyDescent="0.3">
      <c r="A5095" s="17"/>
    </row>
    <row r="5096" spans="1:1" x14ac:dyDescent="0.3">
      <c r="A5096" s="17"/>
    </row>
    <row r="5097" spans="1:1" x14ac:dyDescent="0.3">
      <c r="A5097" s="17"/>
    </row>
    <row r="5098" spans="1:1" x14ac:dyDescent="0.3">
      <c r="A5098" s="17"/>
    </row>
    <row r="5099" spans="1:1" x14ac:dyDescent="0.3">
      <c r="A5099" s="17"/>
    </row>
    <row r="5100" spans="1:1" x14ac:dyDescent="0.3">
      <c r="A5100" s="17"/>
    </row>
    <row r="5101" spans="1:1" x14ac:dyDescent="0.3">
      <c r="A5101" s="17"/>
    </row>
    <row r="5102" spans="1:1" x14ac:dyDescent="0.3">
      <c r="A5102" s="17"/>
    </row>
    <row r="5103" spans="1:1" x14ac:dyDescent="0.3">
      <c r="A5103" s="17"/>
    </row>
    <row r="5104" spans="1:1" x14ac:dyDescent="0.3">
      <c r="A5104" s="17"/>
    </row>
    <row r="5105" spans="1:1" x14ac:dyDescent="0.3">
      <c r="A5105" s="17"/>
    </row>
    <row r="5106" spans="1:1" x14ac:dyDescent="0.3">
      <c r="A5106" s="17"/>
    </row>
    <row r="5107" spans="1:1" x14ac:dyDescent="0.3">
      <c r="A5107" s="17"/>
    </row>
    <row r="5108" spans="1:1" x14ac:dyDescent="0.3">
      <c r="A5108" s="17"/>
    </row>
    <row r="5109" spans="1:1" x14ac:dyDescent="0.3">
      <c r="A5109" s="17"/>
    </row>
    <row r="5110" spans="1:1" x14ac:dyDescent="0.3">
      <c r="A5110" s="17"/>
    </row>
    <row r="5111" spans="1:1" x14ac:dyDescent="0.3">
      <c r="A5111" s="17"/>
    </row>
    <row r="5112" spans="1:1" x14ac:dyDescent="0.3">
      <c r="A5112" s="17"/>
    </row>
    <row r="5113" spans="1:1" x14ac:dyDescent="0.3">
      <c r="A5113" s="17"/>
    </row>
    <row r="5114" spans="1:1" x14ac:dyDescent="0.3">
      <c r="A5114" s="17"/>
    </row>
    <row r="5115" spans="1:1" x14ac:dyDescent="0.3">
      <c r="A5115" s="17"/>
    </row>
    <row r="5116" spans="1:1" x14ac:dyDescent="0.3">
      <c r="A5116" s="17"/>
    </row>
    <row r="5117" spans="1:1" x14ac:dyDescent="0.3">
      <c r="A5117" s="17"/>
    </row>
    <row r="5118" spans="1:1" x14ac:dyDescent="0.3">
      <c r="A5118" s="17"/>
    </row>
    <row r="5119" spans="1:1" x14ac:dyDescent="0.3">
      <c r="A5119" s="17"/>
    </row>
    <row r="5120" spans="1:1" x14ac:dyDescent="0.3">
      <c r="A5120" s="17"/>
    </row>
    <row r="5121" spans="1:1" x14ac:dyDescent="0.3">
      <c r="A5121" s="17"/>
    </row>
    <row r="5122" spans="1:1" x14ac:dyDescent="0.3">
      <c r="A5122" s="17"/>
    </row>
    <row r="5123" spans="1:1" x14ac:dyDescent="0.3">
      <c r="A5123" s="17"/>
    </row>
    <row r="5124" spans="1:1" x14ac:dyDescent="0.3">
      <c r="A5124" s="17"/>
    </row>
    <row r="5125" spans="1:1" x14ac:dyDescent="0.3">
      <c r="A5125" s="17"/>
    </row>
    <row r="5126" spans="1:1" x14ac:dyDescent="0.3">
      <c r="A5126" s="17"/>
    </row>
    <row r="5127" spans="1:1" x14ac:dyDescent="0.3">
      <c r="A5127" s="17"/>
    </row>
    <row r="5128" spans="1:1" x14ac:dyDescent="0.3">
      <c r="A5128" s="17"/>
    </row>
    <row r="5129" spans="1:1" x14ac:dyDescent="0.3">
      <c r="A5129" s="17"/>
    </row>
    <row r="5130" spans="1:1" x14ac:dyDescent="0.3">
      <c r="A5130" s="17"/>
    </row>
    <row r="5131" spans="1:1" x14ac:dyDescent="0.3">
      <c r="A5131" s="17"/>
    </row>
    <row r="5132" spans="1:1" x14ac:dyDescent="0.3">
      <c r="A5132" s="17"/>
    </row>
    <row r="5133" spans="1:1" x14ac:dyDescent="0.3">
      <c r="A5133" s="17"/>
    </row>
    <row r="5134" spans="1:1" x14ac:dyDescent="0.3">
      <c r="A5134" s="17"/>
    </row>
    <row r="5135" spans="1:1" x14ac:dyDescent="0.3">
      <c r="A5135" s="17"/>
    </row>
    <row r="5136" spans="1:1" x14ac:dyDescent="0.3">
      <c r="A5136" s="17"/>
    </row>
    <row r="5137" spans="1:1" x14ac:dyDescent="0.3">
      <c r="A5137" s="17"/>
    </row>
    <row r="5138" spans="1:1" x14ac:dyDescent="0.3">
      <c r="A5138" s="17"/>
    </row>
    <row r="5139" spans="1:1" x14ac:dyDescent="0.3">
      <c r="A5139" s="17"/>
    </row>
    <row r="5140" spans="1:1" x14ac:dyDescent="0.3">
      <c r="A5140" s="17"/>
    </row>
    <row r="5141" spans="1:1" x14ac:dyDescent="0.3">
      <c r="A5141" s="17"/>
    </row>
    <row r="5142" spans="1:1" x14ac:dyDescent="0.3">
      <c r="A5142" s="17"/>
    </row>
    <row r="5143" spans="1:1" x14ac:dyDescent="0.3">
      <c r="A5143" s="17"/>
    </row>
    <row r="5144" spans="1:1" x14ac:dyDescent="0.3">
      <c r="A5144" s="17"/>
    </row>
    <row r="5145" spans="1:1" x14ac:dyDescent="0.3">
      <c r="A5145" s="17"/>
    </row>
    <row r="5146" spans="1:1" x14ac:dyDescent="0.3">
      <c r="A5146" s="17"/>
    </row>
    <row r="5147" spans="1:1" x14ac:dyDescent="0.3">
      <c r="A5147" s="17"/>
    </row>
    <row r="5148" spans="1:1" x14ac:dyDescent="0.3">
      <c r="A5148" s="17"/>
    </row>
    <row r="5149" spans="1:1" x14ac:dyDescent="0.3">
      <c r="A5149" s="17"/>
    </row>
    <row r="5150" spans="1:1" x14ac:dyDescent="0.3">
      <c r="A5150" s="17"/>
    </row>
    <row r="5151" spans="1:1" x14ac:dyDescent="0.3">
      <c r="A5151" s="17"/>
    </row>
    <row r="5152" spans="1:1" x14ac:dyDescent="0.3">
      <c r="A5152" s="17"/>
    </row>
    <row r="5153" spans="1:1" x14ac:dyDescent="0.3">
      <c r="A5153" s="17"/>
    </row>
    <row r="5154" spans="1:1" x14ac:dyDescent="0.3">
      <c r="A5154" s="17"/>
    </row>
    <row r="5155" spans="1:1" x14ac:dyDescent="0.3">
      <c r="A5155" s="17"/>
    </row>
    <row r="5156" spans="1:1" x14ac:dyDescent="0.3">
      <c r="A5156" s="17"/>
    </row>
    <row r="5157" spans="1:1" x14ac:dyDescent="0.3">
      <c r="A5157" s="17"/>
    </row>
    <row r="5158" spans="1:1" x14ac:dyDescent="0.3">
      <c r="A5158" s="17"/>
    </row>
    <row r="5159" spans="1:1" x14ac:dyDescent="0.3">
      <c r="A5159" s="17"/>
    </row>
    <row r="5160" spans="1:1" x14ac:dyDescent="0.3">
      <c r="A5160" s="17"/>
    </row>
    <row r="5161" spans="1:1" x14ac:dyDescent="0.3">
      <c r="A5161" s="17"/>
    </row>
    <row r="5162" spans="1:1" x14ac:dyDescent="0.3">
      <c r="A5162" s="17"/>
    </row>
    <row r="5163" spans="1:1" x14ac:dyDescent="0.3">
      <c r="A5163" s="17"/>
    </row>
    <row r="5164" spans="1:1" x14ac:dyDescent="0.3">
      <c r="A5164" s="17"/>
    </row>
    <row r="5165" spans="1:1" x14ac:dyDescent="0.3">
      <c r="A5165" s="17"/>
    </row>
    <row r="5166" spans="1:1" x14ac:dyDescent="0.3">
      <c r="A5166" s="17"/>
    </row>
    <row r="5167" spans="1:1" x14ac:dyDescent="0.3">
      <c r="A5167" s="17"/>
    </row>
    <row r="5168" spans="1:1" x14ac:dyDescent="0.3">
      <c r="A5168" s="17"/>
    </row>
    <row r="5169" spans="1:1" x14ac:dyDescent="0.3">
      <c r="A5169" s="17"/>
    </row>
    <row r="5170" spans="1:1" x14ac:dyDescent="0.3">
      <c r="A5170" s="17"/>
    </row>
    <row r="5171" spans="1:1" x14ac:dyDescent="0.3">
      <c r="A5171" s="17"/>
    </row>
    <row r="5172" spans="1:1" x14ac:dyDescent="0.3">
      <c r="A5172" s="17"/>
    </row>
    <row r="5173" spans="1:1" x14ac:dyDescent="0.3">
      <c r="A5173" s="17"/>
    </row>
    <row r="5174" spans="1:1" x14ac:dyDescent="0.3">
      <c r="A5174" s="17"/>
    </row>
    <row r="5175" spans="1:1" x14ac:dyDescent="0.3">
      <c r="A5175" s="17"/>
    </row>
    <row r="5176" spans="1:1" x14ac:dyDescent="0.3">
      <c r="A5176" s="17"/>
    </row>
    <row r="5177" spans="1:1" x14ac:dyDescent="0.3">
      <c r="A5177" s="17"/>
    </row>
    <row r="5178" spans="1:1" x14ac:dyDescent="0.3">
      <c r="A5178" s="17"/>
    </row>
    <row r="5179" spans="1:1" x14ac:dyDescent="0.3">
      <c r="A5179" s="17"/>
    </row>
    <row r="5180" spans="1:1" x14ac:dyDescent="0.3">
      <c r="A5180" s="17"/>
    </row>
    <row r="5181" spans="1:1" x14ac:dyDescent="0.3">
      <c r="A5181" s="17"/>
    </row>
    <row r="5182" spans="1:1" x14ac:dyDescent="0.3">
      <c r="A5182" s="17"/>
    </row>
    <row r="5183" spans="1:1" x14ac:dyDescent="0.3">
      <c r="A5183" s="17"/>
    </row>
    <row r="5184" spans="1:1" x14ac:dyDescent="0.3">
      <c r="A5184" s="17"/>
    </row>
    <row r="5185" spans="1:1" x14ac:dyDescent="0.3">
      <c r="A5185" s="17"/>
    </row>
    <row r="5186" spans="1:1" x14ac:dyDescent="0.3">
      <c r="A5186" s="17"/>
    </row>
    <row r="5187" spans="1:1" x14ac:dyDescent="0.3">
      <c r="A5187" s="17"/>
    </row>
    <row r="5188" spans="1:1" x14ac:dyDescent="0.3">
      <c r="A5188" s="17"/>
    </row>
    <row r="5189" spans="1:1" x14ac:dyDescent="0.3">
      <c r="A5189" s="17"/>
    </row>
    <row r="5190" spans="1:1" x14ac:dyDescent="0.3">
      <c r="A5190" s="17"/>
    </row>
    <row r="5191" spans="1:1" x14ac:dyDescent="0.3">
      <c r="A5191" s="17"/>
    </row>
    <row r="5192" spans="1:1" x14ac:dyDescent="0.3">
      <c r="A5192" s="17"/>
    </row>
    <row r="5193" spans="1:1" x14ac:dyDescent="0.3">
      <c r="A5193" s="17"/>
    </row>
    <row r="5194" spans="1:1" x14ac:dyDescent="0.3">
      <c r="A5194" s="17"/>
    </row>
    <row r="5195" spans="1:1" x14ac:dyDescent="0.3">
      <c r="A5195" s="17"/>
    </row>
    <row r="5196" spans="1:1" x14ac:dyDescent="0.3">
      <c r="A5196" s="17"/>
    </row>
    <row r="5197" spans="1:1" x14ac:dyDescent="0.3">
      <c r="A5197" s="17"/>
    </row>
    <row r="5198" spans="1:1" x14ac:dyDescent="0.3">
      <c r="A5198" s="17"/>
    </row>
    <row r="5199" spans="1:1" x14ac:dyDescent="0.3">
      <c r="A5199" s="17"/>
    </row>
    <row r="5200" spans="1:1" x14ac:dyDescent="0.3">
      <c r="A5200" s="17"/>
    </row>
    <row r="5201" spans="1:1" x14ac:dyDescent="0.3">
      <c r="A5201" s="17"/>
    </row>
    <row r="5202" spans="1:1" x14ac:dyDescent="0.3">
      <c r="A5202" s="17"/>
    </row>
    <row r="5203" spans="1:1" x14ac:dyDescent="0.3">
      <c r="A5203" s="17"/>
    </row>
    <row r="5204" spans="1:1" x14ac:dyDescent="0.3">
      <c r="A5204" s="17"/>
    </row>
    <row r="5205" spans="1:1" x14ac:dyDescent="0.3">
      <c r="A5205" s="17"/>
    </row>
    <row r="5206" spans="1:1" x14ac:dyDescent="0.3">
      <c r="A5206" s="17"/>
    </row>
    <row r="5207" spans="1:1" x14ac:dyDescent="0.3">
      <c r="A5207" s="17"/>
    </row>
    <row r="5208" spans="1:1" x14ac:dyDescent="0.3">
      <c r="A5208" s="17"/>
    </row>
    <row r="5209" spans="1:1" x14ac:dyDescent="0.3">
      <c r="A5209" s="17"/>
    </row>
    <row r="5210" spans="1:1" x14ac:dyDescent="0.3">
      <c r="A5210" s="17"/>
    </row>
    <row r="5211" spans="1:1" x14ac:dyDescent="0.3">
      <c r="A5211" s="17"/>
    </row>
    <row r="5212" spans="1:1" x14ac:dyDescent="0.3">
      <c r="A5212" s="17"/>
    </row>
    <row r="5213" spans="1:1" x14ac:dyDescent="0.3">
      <c r="A5213" s="17"/>
    </row>
    <row r="5214" spans="1:1" x14ac:dyDescent="0.3">
      <c r="A5214" s="17"/>
    </row>
    <row r="5215" spans="1:1" x14ac:dyDescent="0.3">
      <c r="A5215" s="17"/>
    </row>
    <row r="5216" spans="1:1" x14ac:dyDescent="0.3">
      <c r="A5216" s="17"/>
    </row>
    <row r="5217" spans="1:1" x14ac:dyDescent="0.3">
      <c r="A5217" s="17"/>
    </row>
    <row r="5218" spans="1:1" x14ac:dyDescent="0.3">
      <c r="A5218" s="17"/>
    </row>
    <row r="5219" spans="1:1" x14ac:dyDescent="0.3">
      <c r="A5219" s="17"/>
    </row>
    <row r="5220" spans="1:1" x14ac:dyDescent="0.3">
      <c r="A5220" s="17"/>
    </row>
    <row r="5221" spans="1:1" x14ac:dyDescent="0.3">
      <c r="A5221" s="17"/>
    </row>
    <row r="5222" spans="1:1" x14ac:dyDescent="0.3">
      <c r="A5222" s="17"/>
    </row>
    <row r="5223" spans="1:1" x14ac:dyDescent="0.3">
      <c r="A5223" s="17"/>
    </row>
    <row r="5224" spans="1:1" x14ac:dyDescent="0.3">
      <c r="A5224" s="17"/>
    </row>
    <row r="5225" spans="1:1" x14ac:dyDescent="0.3">
      <c r="A5225" s="17"/>
    </row>
    <row r="5226" spans="1:1" x14ac:dyDescent="0.3">
      <c r="A5226" s="17"/>
    </row>
    <row r="5227" spans="1:1" x14ac:dyDescent="0.3">
      <c r="A5227" s="17"/>
    </row>
    <row r="5228" spans="1:1" x14ac:dyDescent="0.3">
      <c r="A5228" s="17"/>
    </row>
    <row r="5229" spans="1:1" x14ac:dyDescent="0.3">
      <c r="A5229" s="17"/>
    </row>
    <row r="5230" spans="1:1" x14ac:dyDescent="0.3">
      <c r="A5230" s="17"/>
    </row>
    <row r="5231" spans="1:1" x14ac:dyDescent="0.3">
      <c r="A5231" s="17"/>
    </row>
    <row r="5232" spans="1:1" x14ac:dyDescent="0.3">
      <c r="A5232" s="17"/>
    </row>
    <row r="5233" spans="1:1" x14ac:dyDescent="0.3">
      <c r="A5233" s="17"/>
    </row>
    <row r="5234" spans="1:1" x14ac:dyDescent="0.3">
      <c r="A5234" s="17"/>
    </row>
    <row r="5235" spans="1:1" x14ac:dyDescent="0.3">
      <c r="A5235" s="17"/>
    </row>
    <row r="5236" spans="1:1" x14ac:dyDescent="0.3">
      <c r="A5236" s="17"/>
    </row>
    <row r="5237" spans="1:1" x14ac:dyDescent="0.3">
      <c r="A5237" s="17"/>
    </row>
    <row r="5238" spans="1:1" x14ac:dyDescent="0.3">
      <c r="A5238" s="17"/>
    </row>
    <row r="5239" spans="1:1" x14ac:dyDescent="0.3">
      <c r="A5239" s="17"/>
    </row>
    <row r="5240" spans="1:1" x14ac:dyDescent="0.3">
      <c r="A5240" s="17"/>
    </row>
    <row r="5241" spans="1:1" x14ac:dyDescent="0.3">
      <c r="A5241" s="17"/>
    </row>
    <row r="5242" spans="1:1" x14ac:dyDescent="0.3">
      <c r="A5242" s="17"/>
    </row>
    <row r="5243" spans="1:1" x14ac:dyDescent="0.3">
      <c r="A5243" s="17"/>
    </row>
    <row r="5244" spans="1:1" x14ac:dyDescent="0.3">
      <c r="A5244" s="17"/>
    </row>
    <row r="5245" spans="1:1" x14ac:dyDescent="0.3">
      <c r="A5245" s="17"/>
    </row>
    <row r="5246" spans="1:1" x14ac:dyDescent="0.3">
      <c r="A5246" s="17"/>
    </row>
    <row r="5247" spans="1:1" x14ac:dyDescent="0.3">
      <c r="A5247" s="17"/>
    </row>
    <row r="5248" spans="1:1" x14ac:dyDescent="0.3">
      <c r="A5248" s="17"/>
    </row>
    <row r="5249" spans="1:1" x14ac:dyDescent="0.3">
      <c r="A5249" s="17"/>
    </row>
    <row r="5250" spans="1:1" x14ac:dyDescent="0.3">
      <c r="A5250" s="17"/>
    </row>
    <row r="5251" spans="1:1" x14ac:dyDescent="0.3">
      <c r="A5251" s="17"/>
    </row>
    <row r="5252" spans="1:1" x14ac:dyDescent="0.3">
      <c r="A5252" s="17"/>
    </row>
    <row r="5253" spans="1:1" x14ac:dyDescent="0.3">
      <c r="A5253" s="17"/>
    </row>
    <row r="5254" spans="1:1" x14ac:dyDescent="0.3">
      <c r="A5254" s="17"/>
    </row>
    <row r="5255" spans="1:1" x14ac:dyDescent="0.3">
      <c r="A5255" s="17"/>
    </row>
    <row r="5256" spans="1:1" x14ac:dyDescent="0.3">
      <c r="A5256" s="17"/>
    </row>
    <row r="5257" spans="1:1" x14ac:dyDescent="0.3">
      <c r="A5257" s="17"/>
    </row>
    <row r="5258" spans="1:1" x14ac:dyDescent="0.3">
      <c r="A5258" s="17"/>
    </row>
    <row r="5259" spans="1:1" x14ac:dyDescent="0.3">
      <c r="A5259" s="17"/>
    </row>
    <row r="5260" spans="1:1" x14ac:dyDescent="0.3">
      <c r="A5260" s="17"/>
    </row>
    <row r="5261" spans="1:1" x14ac:dyDescent="0.3">
      <c r="A5261" s="17"/>
    </row>
    <row r="5262" spans="1:1" x14ac:dyDescent="0.3">
      <c r="A5262" s="17"/>
    </row>
    <row r="5263" spans="1:1" x14ac:dyDescent="0.3">
      <c r="A5263" s="17"/>
    </row>
    <row r="5264" spans="1:1" x14ac:dyDescent="0.3">
      <c r="A5264" s="17"/>
    </row>
    <row r="5265" spans="1:1" x14ac:dyDescent="0.3">
      <c r="A5265" s="17"/>
    </row>
    <row r="5266" spans="1:1" x14ac:dyDescent="0.3">
      <c r="A5266" s="17"/>
    </row>
    <row r="5267" spans="1:1" x14ac:dyDescent="0.3">
      <c r="A5267" s="17"/>
    </row>
    <row r="5268" spans="1:1" x14ac:dyDescent="0.3">
      <c r="A5268" s="17"/>
    </row>
    <row r="5269" spans="1:1" x14ac:dyDescent="0.3">
      <c r="A5269" s="17"/>
    </row>
    <row r="5270" spans="1:1" x14ac:dyDescent="0.3">
      <c r="A5270" s="17"/>
    </row>
    <row r="5271" spans="1:1" x14ac:dyDescent="0.3">
      <c r="A5271" s="17"/>
    </row>
    <row r="5272" spans="1:1" x14ac:dyDescent="0.3">
      <c r="A5272" s="17"/>
    </row>
    <row r="5273" spans="1:1" x14ac:dyDescent="0.3">
      <c r="A5273" s="17"/>
    </row>
    <row r="5274" spans="1:1" x14ac:dyDescent="0.3">
      <c r="A5274" s="17"/>
    </row>
    <row r="5275" spans="1:1" x14ac:dyDescent="0.3">
      <c r="A5275" s="17"/>
    </row>
    <row r="5276" spans="1:1" x14ac:dyDescent="0.3">
      <c r="A5276" s="17"/>
    </row>
    <row r="5277" spans="1:1" x14ac:dyDescent="0.3">
      <c r="A5277" s="17"/>
    </row>
    <row r="5278" spans="1:1" x14ac:dyDescent="0.3">
      <c r="A5278" s="17"/>
    </row>
    <row r="5279" spans="1:1" x14ac:dyDescent="0.3">
      <c r="A5279" s="17"/>
    </row>
    <row r="5280" spans="1:1" x14ac:dyDescent="0.3">
      <c r="A5280" s="17"/>
    </row>
    <row r="5281" spans="1:1" x14ac:dyDescent="0.3">
      <c r="A5281" s="17"/>
    </row>
    <row r="5282" spans="1:1" x14ac:dyDescent="0.3">
      <c r="A5282" s="17"/>
    </row>
    <row r="5283" spans="1:1" x14ac:dyDescent="0.3">
      <c r="A5283" s="17"/>
    </row>
    <row r="5284" spans="1:1" x14ac:dyDescent="0.3">
      <c r="A5284" s="17"/>
    </row>
    <row r="5285" spans="1:1" x14ac:dyDescent="0.3">
      <c r="A5285" s="17"/>
    </row>
    <row r="5286" spans="1:1" x14ac:dyDescent="0.3">
      <c r="A5286" s="17"/>
    </row>
    <row r="5287" spans="1:1" x14ac:dyDescent="0.3">
      <c r="A5287" s="17"/>
    </row>
    <row r="5288" spans="1:1" x14ac:dyDescent="0.3">
      <c r="A5288" s="17"/>
    </row>
    <row r="5289" spans="1:1" x14ac:dyDescent="0.3">
      <c r="A5289" s="17"/>
    </row>
    <row r="5290" spans="1:1" x14ac:dyDescent="0.3">
      <c r="A5290" s="17"/>
    </row>
    <row r="5291" spans="1:1" x14ac:dyDescent="0.3">
      <c r="A5291" s="17"/>
    </row>
    <row r="5292" spans="1:1" x14ac:dyDescent="0.3">
      <c r="A5292" s="17"/>
    </row>
    <row r="5293" spans="1:1" x14ac:dyDescent="0.3">
      <c r="A5293" s="17"/>
    </row>
    <row r="5294" spans="1:1" x14ac:dyDescent="0.3">
      <c r="A5294" s="17"/>
    </row>
    <row r="5295" spans="1:1" x14ac:dyDescent="0.3">
      <c r="A5295" s="17"/>
    </row>
    <row r="5296" spans="1:1" x14ac:dyDescent="0.3">
      <c r="A5296" s="17"/>
    </row>
    <row r="5297" spans="1:1" x14ac:dyDescent="0.3">
      <c r="A5297" s="17"/>
    </row>
    <row r="5298" spans="1:1" x14ac:dyDescent="0.3">
      <c r="A5298" s="17"/>
    </row>
    <row r="5299" spans="1:1" x14ac:dyDescent="0.3">
      <c r="A5299" s="17"/>
    </row>
    <row r="5300" spans="1:1" x14ac:dyDescent="0.3">
      <c r="A5300" s="17"/>
    </row>
    <row r="5301" spans="1:1" x14ac:dyDescent="0.3">
      <c r="A5301" s="17"/>
    </row>
    <row r="5302" spans="1:1" x14ac:dyDescent="0.3">
      <c r="A5302" s="17"/>
    </row>
    <row r="5303" spans="1:1" x14ac:dyDescent="0.3">
      <c r="A5303" s="17"/>
    </row>
    <row r="5304" spans="1:1" x14ac:dyDescent="0.3">
      <c r="A5304" s="17"/>
    </row>
    <row r="5305" spans="1:1" x14ac:dyDescent="0.3">
      <c r="A5305" s="17"/>
    </row>
    <row r="5306" spans="1:1" x14ac:dyDescent="0.3">
      <c r="A5306" s="17"/>
    </row>
    <row r="5307" spans="1:1" x14ac:dyDescent="0.3">
      <c r="A5307" s="17"/>
    </row>
    <row r="5308" spans="1:1" x14ac:dyDescent="0.3">
      <c r="A5308" s="17"/>
    </row>
    <row r="5309" spans="1:1" x14ac:dyDescent="0.3">
      <c r="A5309" s="17"/>
    </row>
    <row r="5310" spans="1:1" x14ac:dyDescent="0.3">
      <c r="A5310" s="17"/>
    </row>
    <row r="5311" spans="1:1" x14ac:dyDescent="0.3">
      <c r="A5311" s="17"/>
    </row>
    <row r="5312" spans="1:1" x14ac:dyDescent="0.3">
      <c r="A5312" s="17"/>
    </row>
    <row r="5313" spans="1:1" x14ac:dyDescent="0.3">
      <c r="A5313" s="17"/>
    </row>
    <row r="5314" spans="1:1" x14ac:dyDescent="0.3">
      <c r="A5314" s="17"/>
    </row>
    <row r="5315" spans="1:1" x14ac:dyDescent="0.3">
      <c r="A5315" s="17"/>
    </row>
    <row r="5316" spans="1:1" x14ac:dyDescent="0.3">
      <c r="A5316" s="17"/>
    </row>
    <row r="5317" spans="1:1" x14ac:dyDescent="0.3">
      <c r="A5317" s="17"/>
    </row>
    <row r="5318" spans="1:1" x14ac:dyDescent="0.3">
      <c r="A5318" s="17"/>
    </row>
    <row r="5319" spans="1:1" x14ac:dyDescent="0.3">
      <c r="A5319" s="17"/>
    </row>
    <row r="5320" spans="1:1" x14ac:dyDescent="0.3">
      <c r="A5320" s="17"/>
    </row>
    <row r="5321" spans="1:1" x14ac:dyDescent="0.3">
      <c r="A5321" s="17"/>
    </row>
    <row r="5322" spans="1:1" x14ac:dyDescent="0.3">
      <c r="A5322" s="17"/>
    </row>
    <row r="5323" spans="1:1" x14ac:dyDescent="0.3">
      <c r="A5323" s="17"/>
    </row>
    <row r="5324" spans="1:1" x14ac:dyDescent="0.3">
      <c r="A5324" s="17"/>
    </row>
    <row r="5325" spans="1:1" x14ac:dyDescent="0.3">
      <c r="A5325" s="17"/>
    </row>
    <row r="5326" spans="1:1" x14ac:dyDescent="0.3">
      <c r="A5326" s="17"/>
    </row>
    <row r="5327" spans="1:1" x14ac:dyDescent="0.3">
      <c r="A5327" s="17"/>
    </row>
    <row r="5328" spans="1:1" x14ac:dyDescent="0.3">
      <c r="A5328" s="17"/>
    </row>
    <row r="5329" spans="1:1" x14ac:dyDescent="0.3">
      <c r="A5329" s="17"/>
    </row>
    <row r="5330" spans="1:1" x14ac:dyDescent="0.3">
      <c r="A5330" s="17"/>
    </row>
    <row r="5331" spans="1:1" x14ac:dyDescent="0.3">
      <c r="A5331" s="17"/>
    </row>
    <row r="5332" spans="1:1" x14ac:dyDescent="0.3">
      <c r="A5332" s="17"/>
    </row>
    <row r="5333" spans="1:1" x14ac:dyDescent="0.3">
      <c r="A5333" s="17"/>
    </row>
    <row r="5334" spans="1:1" x14ac:dyDescent="0.3">
      <c r="A5334" s="17"/>
    </row>
    <row r="5335" spans="1:1" x14ac:dyDescent="0.3">
      <c r="A5335" s="17"/>
    </row>
    <row r="5336" spans="1:1" x14ac:dyDescent="0.3">
      <c r="A5336" s="17"/>
    </row>
    <row r="5337" spans="1:1" x14ac:dyDescent="0.3">
      <c r="A5337" s="17"/>
    </row>
    <row r="5338" spans="1:1" x14ac:dyDescent="0.3">
      <c r="A5338" s="17"/>
    </row>
    <row r="5339" spans="1:1" x14ac:dyDescent="0.3">
      <c r="A5339" s="17"/>
    </row>
    <row r="5340" spans="1:1" x14ac:dyDescent="0.3">
      <c r="A5340" s="17"/>
    </row>
    <row r="5341" spans="1:1" x14ac:dyDescent="0.3">
      <c r="A5341" s="17"/>
    </row>
    <row r="5342" spans="1:1" x14ac:dyDescent="0.3">
      <c r="A5342" s="17"/>
    </row>
    <row r="5343" spans="1:1" x14ac:dyDescent="0.3">
      <c r="A5343" s="17"/>
    </row>
    <row r="5344" spans="1:1" x14ac:dyDescent="0.3">
      <c r="A5344" s="17"/>
    </row>
    <row r="5345" spans="1:1" x14ac:dyDescent="0.3">
      <c r="A5345" s="17"/>
    </row>
    <row r="5346" spans="1:1" x14ac:dyDescent="0.3">
      <c r="A5346" s="17"/>
    </row>
    <row r="5347" spans="1:1" x14ac:dyDescent="0.3">
      <c r="A5347" s="17"/>
    </row>
    <row r="5348" spans="1:1" x14ac:dyDescent="0.3">
      <c r="A5348" s="17"/>
    </row>
    <row r="5349" spans="1:1" x14ac:dyDescent="0.3">
      <c r="A5349" s="17"/>
    </row>
    <row r="5350" spans="1:1" x14ac:dyDescent="0.3">
      <c r="A5350" s="17"/>
    </row>
    <row r="5351" spans="1:1" x14ac:dyDescent="0.3">
      <c r="A5351" s="17"/>
    </row>
    <row r="5352" spans="1:1" x14ac:dyDescent="0.3">
      <c r="A5352" s="17"/>
    </row>
    <row r="5353" spans="1:1" x14ac:dyDescent="0.3">
      <c r="A5353" s="17"/>
    </row>
    <row r="5354" spans="1:1" x14ac:dyDescent="0.3">
      <c r="A5354" s="17"/>
    </row>
    <row r="5355" spans="1:1" x14ac:dyDescent="0.3">
      <c r="A5355" s="17"/>
    </row>
    <row r="5356" spans="1:1" x14ac:dyDescent="0.3">
      <c r="A5356" s="17"/>
    </row>
    <row r="5357" spans="1:1" x14ac:dyDescent="0.3">
      <c r="A5357" s="17"/>
    </row>
    <row r="5358" spans="1:1" x14ac:dyDescent="0.3">
      <c r="A5358" s="17"/>
    </row>
    <row r="5359" spans="1:1" x14ac:dyDescent="0.3">
      <c r="A5359" s="17"/>
    </row>
    <row r="5360" spans="1:1" x14ac:dyDescent="0.3">
      <c r="A5360" s="17"/>
    </row>
    <row r="5361" spans="1:1" x14ac:dyDescent="0.3">
      <c r="A5361" s="17"/>
    </row>
    <row r="5362" spans="1:1" x14ac:dyDescent="0.3">
      <c r="A5362" s="17"/>
    </row>
    <row r="5363" spans="1:1" x14ac:dyDescent="0.3">
      <c r="A5363" s="17"/>
    </row>
    <row r="5364" spans="1:1" x14ac:dyDescent="0.3">
      <c r="A5364" s="17"/>
    </row>
    <row r="5365" spans="1:1" x14ac:dyDescent="0.3">
      <c r="A5365" s="17"/>
    </row>
    <row r="5366" spans="1:1" x14ac:dyDescent="0.3">
      <c r="A5366" s="17"/>
    </row>
    <row r="5367" spans="1:1" x14ac:dyDescent="0.3">
      <c r="A5367" s="17"/>
    </row>
    <row r="5368" spans="1:1" x14ac:dyDescent="0.3">
      <c r="A5368" s="17"/>
    </row>
    <row r="5369" spans="1:1" x14ac:dyDescent="0.3">
      <c r="A5369" s="17"/>
    </row>
    <row r="5370" spans="1:1" x14ac:dyDescent="0.3">
      <c r="A5370" s="17"/>
    </row>
    <row r="5371" spans="1:1" x14ac:dyDescent="0.3">
      <c r="A5371" s="17"/>
    </row>
    <row r="5372" spans="1:1" x14ac:dyDescent="0.3">
      <c r="A5372" s="17"/>
    </row>
    <row r="5373" spans="1:1" x14ac:dyDescent="0.3">
      <c r="A5373" s="17"/>
    </row>
    <row r="5374" spans="1:1" x14ac:dyDescent="0.3">
      <c r="A5374" s="17"/>
    </row>
    <row r="5375" spans="1:1" x14ac:dyDescent="0.3">
      <c r="A5375" s="17"/>
    </row>
    <row r="5376" spans="1:1" x14ac:dyDescent="0.3">
      <c r="A5376" s="17"/>
    </row>
    <row r="5377" spans="1:1" x14ac:dyDescent="0.3">
      <c r="A5377" s="17"/>
    </row>
    <row r="5378" spans="1:1" x14ac:dyDescent="0.3">
      <c r="A5378" s="17"/>
    </row>
    <row r="5379" spans="1:1" x14ac:dyDescent="0.3">
      <c r="A5379" s="17"/>
    </row>
    <row r="5380" spans="1:1" x14ac:dyDescent="0.3">
      <c r="A5380" s="17"/>
    </row>
    <row r="5381" spans="1:1" x14ac:dyDescent="0.3">
      <c r="A5381" s="17"/>
    </row>
    <row r="5382" spans="1:1" x14ac:dyDescent="0.3">
      <c r="A5382" s="17"/>
    </row>
    <row r="5383" spans="1:1" x14ac:dyDescent="0.3">
      <c r="A5383" s="17"/>
    </row>
    <row r="5384" spans="1:1" x14ac:dyDescent="0.3">
      <c r="A5384" s="17"/>
    </row>
    <row r="5385" spans="1:1" x14ac:dyDescent="0.3">
      <c r="A5385" s="17"/>
    </row>
    <row r="5386" spans="1:1" x14ac:dyDescent="0.3">
      <c r="A5386" s="17"/>
    </row>
    <row r="5387" spans="1:1" x14ac:dyDescent="0.3">
      <c r="A5387" s="17"/>
    </row>
    <row r="5388" spans="1:1" x14ac:dyDescent="0.3">
      <c r="A5388" s="17"/>
    </row>
    <row r="5389" spans="1:1" x14ac:dyDescent="0.3">
      <c r="A5389" s="17"/>
    </row>
    <row r="5390" spans="1:1" x14ac:dyDescent="0.3">
      <c r="A5390" s="17"/>
    </row>
    <row r="5391" spans="1:1" x14ac:dyDescent="0.3">
      <c r="A5391" s="17"/>
    </row>
    <row r="5392" spans="1:1" x14ac:dyDescent="0.3">
      <c r="A5392" s="17"/>
    </row>
    <row r="5393" spans="1:1" x14ac:dyDescent="0.3">
      <c r="A5393" s="17"/>
    </row>
    <row r="5394" spans="1:1" x14ac:dyDescent="0.3">
      <c r="A5394" s="17"/>
    </row>
    <row r="5395" spans="1:1" x14ac:dyDescent="0.3">
      <c r="A5395" s="17"/>
    </row>
    <row r="5396" spans="1:1" x14ac:dyDescent="0.3">
      <c r="A5396" s="17"/>
    </row>
    <row r="5397" spans="1:1" x14ac:dyDescent="0.3">
      <c r="A5397" s="17"/>
    </row>
    <row r="5398" spans="1:1" x14ac:dyDescent="0.3">
      <c r="A5398" s="17"/>
    </row>
    <row r="5399" spans="1:1" x14ac:dyDescent="0.3">
      <c r="A5399" s="17"/>
    </row>
    <row r="5400" spans="1:1" x14ac:dyDescent="0.3">
      <c r="A5400" s="17"/>
    </row>
    <row r="5401" spans="1:1" x14ac:dyDescent="0.3">
      <c r="A5401" s="17"/>
    </row>
    <row r="5402" spans="1:1" x14ac:dyDescent="0.3">
      <c r="A5402" s="17"/>
    </row>
    <row r="5403" spans="1:1" x14ac:dyDescent="0.3">
      <c r="A5403" s="17"/>
    </row>
    <row r="5404" spans="1:1" x14ac:dyDescent="0.3">
      <c r="A5404" s="17"/>
    </row>
    <row r="5405" spans="1:1" x14ac:dyDescent="0.3">
      <c r="A5405" s="17"/>
    </row>
    <row r="5406" spans="1:1" x14ac:dyDescent="0.3">
      <c r="A5406" s="17"/>
    </row>
    <row r="5407" spans="1:1" x14ac:dyDescent="0.3">
      <c r="A5407" s="17"/>
    </row>
    <row r="5408" spans="1:1" x14ac:dyDescent="0.3">
      <c r="A5408" s="17"/>
    </row>
    <row r="5409" spans="1:1" x14ac:dyDescent="0.3">
      <c r="A5409" s="17"/>
    </row>
    <row r="5410" spans="1:1" x14ac:dyDescent="0.3">
      <c r="A5410" s="17"/>
    </row>
    <row r="5411" spans="1:1" x14ac:dyDescent="0.3">
      <c r="A5411" s="17"/>
    </row>
    <row r="5412" spans="1:1" x14ac:dyDescent="0.3">
      <c r="A5412" s="17"/>
    </row>
    <row r="5413" spans="1:1" x14ac:dyDescent="0.3">
      <c r="A5413" s="17"/>
    </row>
    <row r="5414" spans="1:1" x14ac:dyDescent="0.3">
      <c r="A5414" s="17"/>
    </row>
    <row r="5415" spans="1:1" x14ac:dyDescent="0.3">
      <c r="A5415" s="17"/>
    </row>
    <row r="5416" spans="1:1" x14ac:dyDescent="0.3">
      <c r="A5416" s="17"/>
    </row>
    <row r="5417" spans="1:1" x14ac:dyDescent="0.3">
      <c r="A5417" s="17"/>
    </row>
    <row r="5418" spans="1:1" x14ac:dyDescent="0.3">
      <c r="A5418" s="17"/>
    </row>
    <row r="5419" spans="1:1" x14ac:dyDescent="0.3">
      <c r="A5419" s="17"/>
    </row>
    <row r="5420" spans="1:1" x14ac:dyDescent="0.3">
      <c r="A5420" s="17"/>
    </row>
    <row r="5421" spans="1:1" x14ac:dyDescent="0.3">
      <c r="A5421" s="17"/>
    </row>
    <row r="5422" spans="1:1" x14ac:dyDescent="0.3">
      <c r="A5422" s="17"/>
    </row>
    <row r="5423" spans="1:1" x14ac:dyDescent="0.3">
      <c r="A5423" s="17"/>
    </row>
    <row r="5424" spans="1:1" x14ac:dyDescent="0.3">
      <c r="A5424" s="17"/>
    </row>
    <row r="5425" spans="1:1" x14ac:dyDescent="0.3">
      <c r="A5425" s="17"/>
    </row>
    <row r="5426" spans="1:1" x14ac:dyDescent="0.3">
      <c r="A5426" s="17"/>
    </row>
    <row r="5427" spans="1:1" x14ac:dyDescent="0.3">
      <c r="A5427" s="17"/>
    </row>
    <row r="5428" spans="1:1" x14ac:dyDescent="0.3">
      <c r="A5428" s="17"/>
    </row>
    <row r="5429" spans="1:1" x14ac:dyDescent="0.3">
      <c r="A5429" s="17"/>
    </row>
    <row r="5430" spans="1:1" x14ac:dyDescent="0.3">
      <c r="A5430" s="17"/>
    </row>
    <row r="5431" spans="1:1" x14ac:dyDescent="0.3">
      <c r="A5431" s="17"/>
    </row>
    <row r="5432" spans="1:1" x14ac:dyDescent="0.3">
      <c r="A5432" s="17"/>
    </row>
    <row r="5433" spans="1:1" x14ac:dyDescent="0.3">
      <c r="A5433" s="17"/>
    </row>
    <row r="5434" spans="1:1" x14ac:dyDescent="0.3">
      <c r="A5434" s="17"/>
    </row>
    <row r="5435" spans="1:1" x14ac:dyDescent="0.3">
      <c r="A5435" s="17"/>
    </row>
    <row r="5436" spans="1:1" x14ac:dyDescent="0.3">
      <c r="A5436" s="17"/>
    </row>
    <row r="5437" spans="1:1" x14ac:dyDescent="0.3">
      <c r="A5437" s="17"/>
    </row>
    <row r="5438" spans="1:1" x14ac:dyDescent="0.3">
      <c r="A5438" s="17"/>
    </row>
    <row r="5439" spans="1:1" x14ac:dyDescent="0.3">
      <c r="A5439" s="17"/>
    </row>
    <row r="5440" spans="1:1" x14ac:dyDescent="0.3">
      <c r="A5440" s="17"/>
    </row>
    <row r="5441" spans="1:1" x14ac:dyDescent="0.3">
      <c r="A5441" s="17"/>
    </row>
    <row r="5442" spans="1:1" x14ac:dyDescent="0.3">
      <c r="A5442" s="17"/>
    </row>
    <row r="5443" spans="1:1" x14ac:dyDescent="0.3">
      <c r="A5443" s="17"/>
    </row>
    <row r="5444" spans="1:1" x14ac:dyDescent="0.3">
      <c r="A5444" s="17"/>
    </row>
    <row r="5445" spans="1:1" x14ac:dyDescent="0.3">
      <c r="A5445" s="17"/>
    </row>
    <row r="5446" spans="1:1" x14ac:dyDescent="0.3">
      <c r="A5446" s="17"/>
    </row>
    <row r="5447" spans="1:1" x14ac:dyDescent="0.3">
      <c r="A5447" s="17"/>
    </row>
    <row r="5448" spans="1:1" x14ac:dyDescent="0.3">
      <c r="A5448" s="17"/>
    </row>
    <row r="5449" spans="1:1" x14ac:dyDescent="0.3">
      <c r="A5449" s="17"/>
    </row>
    <row r="5450" spans="1:1" x14ac:dyDescent="0.3">
      <c r="A5450" s="17"/>
    </row>
    <row r="5451" spans="1:1" x14ac:dyDescent="0.3">
      <c r="A5451" s="17"/>
    </row>
    <row r="5452" spans="1:1" x14ac:dyDescent="0.3">
      <c r="A5452" s="17"/>
    </row>
    <row r="5453" spans="1:1" x14ac:dyDescent="0.3">
      <c r="A5453" s="17"/>
    </row>
    <row r="5454" spans="1:1" x14ac:dyDescent="0.3">
      <c r="A5454" s="17"/>
    </row>
    <row r="5455" spans="1:1" x14ac:dyDescent="0.3">
      <c r="A5455" s="17"/>
    </row>
    <row r="5456" spans="1:1" x14ac:dyDescent="0.3">
      <c r="A5456" s="17"/>
    </row>
    <row r="5457" spans="1:1" x14ac:dyDescent="0.3">
      <c r="A5457" s="17"/>
    </row>
    <row r="5458" spans="1:1" x14ac:dyDescent="0.3">
      <c r="A5458" s="17"/>
    </row>
    <row r="5459" spans="1:1" x14ac:dyDescent="0.3">
      <c r="A5459" s="17"/>
    </row>
    <row r="5460" spans="1:1" x14ac:dyDescent="0.3">
      <c r="A5460" s="17"/>
    </row>
    <row r="5461" spans="1:1" x14ac:dyDescent="0.3">
      <c r="A5461" s="17"/>
    </row>
    <row r="5462" spans="1:1" x14ac:dyDescent="0.3">
      <c r="A5462" s="17"/>
    </row>
    <row r="5463" spans="1:1" x14ac:dyDescent="0.3">
      <c r="A5463" s="17"/>
    </row>
    <row r="5464" spans="1:1" x14ac:dyDescent="0.3">
      <c r="A5464" s="17"/>
    </row>
    <row r="5465" spans="1:1" x14ac:dyDescent="0.3">
      <c r="A5465" s="17"/>
    </row>
    <row r="5466" spans="1:1" x14ac:dyDescent="0.3">
      <c r="A5466" s="17"/>
    </row>
    <row r="5467" spans="1:1" x14ac:dyDescent="0.3">
      <c r="A5467" s="17"/>
    </row>
    <row r="5468" spans="1:1" x14ac:dyDescent="0.3">
      <c r="A5468" s="17"/>
    </row>
    <row r="5469" spans="1:1" x14ac:dyDescent="0.3">
      <c r="A5469" s="17"/>
    </row>
    <row r="5470" spans="1:1" x14ac:dyDescent="0.3">
      <c r="A5470" s="17"/>
    </row>
    <row r="5471" spans="1:1" x14ac:dyDescent="0.3">
      <c r="A5471" s="17"/>
    </row>
    <row r="5472" spans="1:1" x14ac:dyDescent="0.3">
      <c r="A5472" s="17"/>
    </row>
    <row r="5473" spans="1:1" x14ac:dyDescent="0.3">
      <c r="A5473" s="17"/>
    </row>
    <row r="5474" spans="1:1" x14ac:dyDescent="0.3">
      <c r="A5474" s="17"/>
    </row>
    <row r="5475" spans="1:1" x14ac:dyDescent="0.3">
      <c r="A5475" s="17"/>
    </row>
    <row r="5476" spans="1:1" x14ac:dyDescent="0.3">
      <c r="A5476" s="17"/>
    </row>
    <row r="5477" spans="1:1" x14ac:dyDescent="0.3">
      <c r="A5477" s="17"/>
    </row>
    <row r="5478" spans="1:1" x14ac:dyDescent="0.3">
      <c r="A5478" s="17"/>
    </row>
    <row r="5479" spans="1:1" x14ac:dyDescent="0.3">
      <c r="A5479" s="17"/>
    </row>
    <row r="5480" spans="1:1" x14ac:dyDescent="0.3">
      <c r="A5480" s="17"/>
    </row>
    <row r="5481" spans="1:1" x14ac:dyDescent="0.3">
      <c r="A5481" s="17"/>
    </row>
    <row r="5482" spans="1:1" x14ac:dyDescent="0.3">
      <c r="A5482" s="17"/>
    </row>
    <row r="5483" spans="1:1" x14ac:dyDescent="0.3">
      <c r="A5483" s="17"/>
    </row>
    <row r="5484" spans="1:1" x14ac:dyDescent="0.3">
      <c r="A5484" s="17"/>
    </row>
    <row r="5485" spans="1:1" x14ac:dyDescent="0.3">
      <c r="A5485" s="17"/>
    </row>
    <row r="5486" spans="1:1" x14ac:dyDescent="0.3">
      <c r="A5486" s="17"/>
    </row>
    <row r="5487" spans="1:1" x14ac:dyDescent="0.3">
      <c r="A5487" s="17"/>
    </row>
    <row r="5488" spans="1:1" x14ac:dyDescent="0.3">
      <c r="A5488" s="17"/>
    </row>
    <row r="5489" spans="1:1" x14ac:dyDescent="0.3">
      <c r="A5489" s="17"/>
    </row>
    <row r="5490" spans="1:1" x14ac:dyDescent="0.3">
      <c r="A5490" s="17"/>
    </row>
    <row r="5491" spans="1:1" x14ac:dyDescent="0.3">
      <c r="A5491" s="17"/>
    </row>
    <row r="5492" spans="1:1" x14ac:dyDescent="0.3">
      <c r="A5492" s="17"/>
    </row>
    <row r="5493" spans="1:1" x14ac:dyDescent="0.3">
      <c r="A5493" s="17"/>
    </row>
    <row r="5494" spans="1:1" x14ac:dyDescent="0.3">
      <c r="A5494" s="17"/>
    </row>
    <row r="5495" spans="1:1" x14ac:dyDescent="0.3">
      <c r="A5495" s="17"/>
    </row>
    <row r="5496" spans="1:1" x14ac:dyDescent="0.3">
      <c r="A5496" s="17"/>
    </row>
    <row r="5497" spans="1:1" x14ac:dyDescent="0.3">
      <c r="A5497" s="17"/>
    </row>
    <row r="5498" spans="1:1" x14ac:dyDescent="0.3">
      <c r="A5498" s="17"/>
    </row>
    <row r="5499" spans="1:1" x14ac:dyDescent="0.3">
      <c r="A5499" s="17"/>
    </row>
    <row r="5500" spans="1:1" x14ac:dyDescent="0.3">
      <c r="A5500" s="17"/>
    </row>
    <row r="5501" spans="1:1" x14ac:dyDescent="0.3">
      <c r="A5501" s="17"/>
    </row>
    <row r="5502" spans="1:1" x14ac:dyDescent="0.3">
      <c r="A5502" s="17"/>
    </row>
    <row r="5503" spans="1:1" x14ac:dyDescent="0.3">
      <c r="A5503" s="17"/>
    </row>
    <row r="5504" spans="1:1" x14ac:dyDescent="0.3">
      <c r="A5504" s="17"/>
    </row>
    <row r="5505" spans="1:1" x14ac:dyDescent="0.3">
      <c r="A5505" s="17"/>
    </row>
    <row r="5506" spans="1:1" x14ac:dyDescent="0.3">
      <c r="A5506" s="17"/>
    </row>
    <row r="5507" spans="1:1" x14ac:dyDescent="0.3">
      <c r="A5507" s="17"/>
    </row>
    <row r="5508" spans="1:1" x14ac:dyDescent="0.3">
      <c r="A5508" s="17"/>
    </row>
    <row r="5509" spans="1:1" x14ac:dyDescent="0.3">
      <c r="A5509" s="17"/>
    </row>
    <row r="5510" spans="1:1" x14ac:dyDescent="0.3">
      <c r="A5510" s="17"/>
    </row>
    <row r="5511" spans="1:1" x14ac:dyDescent="0.3">
      <c r="A5511" s="17"/>
    </row>
    <row r="5512" spans="1:1" x14ac:dyDescent="0.3">
      <c r="A5512" s="17"/>
    </row>
    <row r="5513" spans="1:1" x14ac:dyDescent="0.3">
      <c r="A5513" s="17"/>
    </row>
    <row r="5514" spans="1:1" x14ac:dyDescent="0.3">
      <c r="A5514" s="17"/>
    </row>
    <row r="5515" spans="1:1" x14ac:dyDescent="0.3">
      <c r="A5515" s="17"/>
    </row>
    <row r="5516" spans="1:1" x14ac:dyDescent="0.3">
      <c r="A5516" s="17"/>
    </row>
    <row r="5517" spans="1:1" x14ac:dyDescent="0.3">
      <c r="A5517" s="17"/>
    </row>
    <row r="5518" spans="1:1" x14ac:dyDescent="0.3">
      <c r="A5518" s="17"/>
    </row>
    <row r="5519" spans="1:1" x14ac:dyDescent="0.3">
      <c r="A5519" s="17"/>
    </row>
    <row r="5520" spans="1:1" x14ac:dyDescent="0.3">
      <c r="A5520" s="17"/>
    </row>
    <row r="5521" spans="1:1" x14ac:dyDescent="0.3">
      <c r="A5521" s="17"/>
    </row>
    <row r="5522" spans="1:1" x14ac:dyDescent="0.3">
      <c r="A5522" s="17"/>
    </row>
    <row r="5523" spans="1:1" x14ac:dyDescent="0.3">
      <c r="A5523" s="17"/>
    </row>
    <row r="5524" spans="1:1" x14ac:dyDescent="0.3">
      <c r="A5524" s="17"/>
    </row>
    <row r="5525" spans="1:1" x14ac:dyDescent="0.3">
      <c r="A5525" s="17"/>
    </row>
    <row r="5526" spans="1:1" x14ac:dyDescent="0.3">
      <c r="A5526" s="17"/>
    </row>
    <row r="5527" spans="1:1" x14ac:dyDescent="0.3">
      <c r="A5527" s="17"/>
    </row>
    <row r="5528" spans="1:1" x14ac:dyDescent="0.3">
      <c r="A5528" s="17"/>
    </row>
    <row r="5529" spans="1:1" x14ac:dyDescent="0.3">
      <c r="A5529" s="17"/>
    </row>
    <row r="5530" spans="1:1" x14ac:dyDescent="0.3">
      <c r="A5530" s="17"/>
    </row>
    <row r="5531" spans="1:1" x14ac:dyDescent="0.3">
      <c r="A5531" s="17"/>
    </row>
    <row r="5532" spans="1:1" x14ac:dyDescent="0.3">
      <c r="A5532" s="17"/>
    </row>
    <row r="5533" spans="1:1" x14ac:dyDescent="0.3">
      <c r="A5533" s="17"/>
    </row>
    <row r="5534" spans="1:1" x14ac:dyDescent="0.3">
      <c r="A5534" s="17"/>
    </row>
    <row r="5535" spans="1:1" x14ac:dyDescent="0.3">
      <c r="A5535" s="17"/>
    </row>
    <row r="5536" spans="1:1" x14ac:dyDescent="0.3">
      <c r="A5536" s="17"/>
    </row>
    <row r="5537" spans="1:1" x14ac:dyDescent="0.3">
      <c r="A5537" s="17"/>
    </row>
    <row r="5538" spans="1:1" x14ac:dyDescent="0.3">
      <c r="A5538" s="17"/>
    </row>
    <row r="5539" spans="1:1" x14ac:dyDescent="0.3">
      <c r="A5539" s="17"/>
    </row>
    <row r="5540" spans="1:1" x14ac:dyDescent="0.3">
      <c r="A5540" s="17"/>
    </row>
    <row r="5541" spans="1:1" x14ac:dyDescent="0.3">
      <c r="A5541" s="17"/>
    </row>
    <row r="5542" spans="1:1" x14ac:dyDescent="0.3">
      <c r="A5542" s="17"/>
    </row>
    <row r="5543" spans="1:1" x14ac:dyDescent="0.3">
      <c r="A5543" s="17"/>
    </row>
    <row r="5544" spans="1:1" x14ac:dyDescent="0.3">
      <c r="A5544" s="17"/>
    </row>
    <row r="5545" spans="1:1" x14ac:dyDescent="0.3">
      <c r="A5545" s="17"/>
    </row>
    <row r="5546" spans="1:1" x14ac:dyDescent="0.3">
      <c r="A5546" s="17"/>
    </row>
    <row r="5547" spans="1:1" x14ac:dyDescent="0.3">
      <c r="A5547" s="17"/>
    </row>
    <row r="5548" spans="1:1" x14ac:dyDescent="0.3">
      <c r="A5548" s="17"/>
    </row>
    <row r="5549" spans="1:1" x14ac:dyDescent="0.3">
      <c r="A5549" s="17"/>
    </row>
    <row r="5550" spans="1:1" x14ac:dyDescent="0.3">
      <c r="A5550" s="17"/>
    </row>
    <row r="5551" spans="1:1" x14ac:dyDescent="0.3">
      <c r="A5551" s="17"/>
    </row>
    <row r="5552" spans="1:1" x14ac:dyDescent="0.3">
      <c r="A5552" s="17"/>
    </row>
    <row r="5553" spans="1:1" x14ac:dyDescent="0.3">
      <c r="A5553" s="17"/>
    </row>
    <row r="5554" spans="1:1" x14ac:dyDescent="0.3">
      <c r="A5554" s="17"/>
    </row>
    <row r="5555" spans="1:1" x14ac:dyDescent="0.3">
      <c r="A5555" s="17"/>
    </row>
    <row r="5556" spans="1:1" x14ac:dyDescent="0.3">
      <c r="A5556" s="17"/>
    </row>
    <row r="5557" spans="1:1" x14ac:dyDescent="0.3">
      <c r="A5557" s="17"/>
    </row>
    <row r="5558" spans="1:1" x14ac:dyDescent="0.3">
      <c r="A5558" s="17"/>
    </row>
    <row r="5559" spans="1:1" x14ac:dyDescent="0.3">
      <c r="A5559" s="17"/>
    </row>
    <row r="5560" spans="1:1" x14ac:dyDescent="0.3">
      <c r="A5560" s="17"/>
    </row>
    <row r="5561" spans="1:1" x14ac:dyDescent="0.3">
      <c r="A5561" s="17"/>
    </row>
    <row r="5562" spans="1:1" x14ac:dyDescent="0.3">
      <c r="A5562" s="17"/>
    </row>
    <row r="5563" spans="1:1" x14ac:dyDescent="0.3">
      <c r="A5563" s="17"/>
    </row>
    <row r="5564" spans="1:1" x14ac:dyDescent="0.3">
      <c r="A5564" s="17"/>
    </row>
    <row r="5565" spans="1:1" x14ac:dyDescent="0.3">
      <c r="A5565" s="17"/>
    </row>
    <row r="5566" spans="1:1" x14ac:dyDescent="0.3">
      <c r="A5566" s="17"/>
    </row>
    <row r="5567" spans="1:1" x14ac:dyDescent="0.3">
      <c r="A5567" s="17"/>
    </row>
    <row r="5568" spans="1:1" x14ac:dyDescent="0.3">
      <c r="A5568" s="17"/>
    </row>
    <row r="5569" spans="1:1" x14ac:dyDescent="0.3">
      <c r="A5569" s="17"/>
    </row>
    <row r="5570" spans="1:1" x14ac:dyDescent="0.3">
      <c r="A5570" s="17"/>
    </row>
    <row r="5571" spans="1:1" x14ac:dyDescent="0.3">
      <c r="A5571" s="17"/>
    </row>
    <row r="5572" spans="1:1" x14ac:dyDescent="0.3">
      <c r="A5572" s="17"/>
    </row>
    <row r="5573" spans="1:1" x14ac:dyDescent="0.3">
      <c r="A5573" s="17"/>
    </row>
    <row r="5574" spans="1:1" x14ac:dyDescent="0.3">
      <c r="A5574" s="17"/>
    </row>
    <row r="5575" spans="1:1" x14ac:dyDescent="0.3">
      <c r="A5575" s="17"/>
    </row>
    <row r="5576" spans="1:1" x14ac:dyDescent="0.3">
      <c r="A5576" s="17"/>
    </row>
    <row r="5577" spans="1:1" x14ac:dyDescent="0.3">
      <c r="A5577" s="17"/>
    </row>
    <row r="5578" spans="1:1" x14ac:dyDescent="0.3">
      <c r="A5578" s="17"/>
    </row>
    <row r="5579" spans="1:1" x14ac:dyDescent="0.3">
      <c r="A5579" s="17"/>
    </row>
    <row r="5580" spans="1:1" x14ac:dyDescent="0.3">
      <c r="A5580" s="17"/>
    </row>
    <row r="5581" spans="1:1" x14ac:dyDescent="0.3">
      <c r="A5581" s="17"/>
    </row>
    <row r="5582" spans="1:1" x14ac:dyDescent="0.3">
      <c r="A5582" s="17"/>
    </row>
    <row r="5583" spans="1:1" x14ac:dyDescent="0.3">
      <c r="A5583" s="17"/>
    </row>
    <row r="5584" spans="1:1" x14ac:dyDescent="0.3">
      <c r="A5584" s="17"/>
    </row>
    <row r="5585" spans="1:1" x14ac:dyDescent="0.3">
      <c r="A5585" s="17"/>
    </row>
    <row r="5586" spans="1:1" x14ac:dyDescent="0.3">
      <c r="A5586" s="17"/>
    </row>
    <row r="5587" spans="1:1" x14ac:dyDescent="0.3">
      <c r="A5587" s="17"/>
    </row>
    <row r="5588" spans="1:1" x14ac:dyDescent="0.3">
      <c r="A5588" s="17"/>
    </row>
    <row r="5589" spans="1:1" x14ac:dyDescent="0.3">
      <c r="A5589" s="17"/>
    </row>
    <row r="5590" spans="1:1" x14ac:dyDescent="0.3">
      <c r="A5590" s="17"/>
    </row>
    <row r="5591" spans="1:1" x14ac:dyDescent="0.3">
      <c r="A5591" s="17"/>
    </row>
    <row r="5592" spans="1:1" x14ac:dyDescent="0.3">
      <c r="A5592" s="17"/>
    </row>
    <row r="5593" spans="1:1" x14ac:dyDescent="0.3">
      <c r="A5593" s="17"/>
    </row>
    <row r="5594" spans="1:1" x14ac:dyDescent="0.3">
      <c r="A5594" s="17"/>
    </row>
    <row r="5595" spans="1:1" x14ac:dyDescent="0.3">
      <c r="A5595" s="17"/>
    </row>
    <row r="5596" spans="1:1" x14ac:dyDescent="0.3">
      <c r="A5596" s="17"/>
    </row>
    <row r="5597" spans="1:1" x14ac:dyDescent="0.3">
      <c r="A5597" s="17"/>
    </row>
    <row r="5598" spans="1:1" x14ac:dyDescent="0.3">
      <c r="A5598" s="17"/>
    </row>
    <row r="5599" spans="1:1" x14ac:dyDescent="0.3">
      <c r="A5599" s="17"/>
    </row>
    <row r="5600" spans="1:1" x14ac:dyDescent="0.3">
      <c r="A5600" s="17"/>
    </row>
    <row r="5601" spans="1:1" x14ac:dyDescent="0.3">
      <c r="A5601" s="17"/>
    </row>
    <row r="5602" spans="1:1" x14ac:dyDescent="0.3">
      <c r="A5602" s="17"/>
    </row>
    <row r="5603" spans="1:1" x14ac:dyDescent="0.3">
      <c r="A5603" s="17"/>
    </row>
    <row r="5604" spans="1:1" x14ac:dyDescent="0.3">
      <c r="A5604" s="17"/>
    </row>
    <row r="5605" spans="1:1" x14ac:dyDescent="0.3">
      <c r="A5605" s="17"/>
    </row>
    <row r="5606" spans="1:1" x14ac:dyDescent="0.3">
      <c r="A5606" s="17"/>
    </row>
    <row r="5607" spans="1:1" x14ac:dyDescent="0.3">
      <c r="A5607" s="17"/>
    </row>
    <row r="5608" spans="1:1" x14ac:dyDescent="0.3">
      <c r="A5608" s="17"/>
    </row>
    <row r="5609" spans="1:1" x14ac:dyDescent="0.3">
      <c r="A5609" s="17"/>
    </row>
    <row r="5610" spans="1:1" x14ac:dyDescent="0.3">
      <c r="A5610" s="17"/>
    </row>
    <row r="5611" spans="1:1" x14ac:dyDescent="0.3">
      <c r="A5611" s="17"/>
    </row>
    <row r="5612" spans="1:1" x14ac:dyDescent="0.3">
      <c r="A5612" s="17"/>
    </row>
    <row r="5613" spans="1:1" x14ac:dyDescent="0.3">
      <c r="A5613" s="17"/>
    </row>
    <row r="5614" spans="1:1" x14ac:dyDescent="0.3">
      <c r="A5614" s="17"/>
    </row>
    <row r="5615" spans="1:1" x14ac:dyDescent="0.3">
      <c r="A5615" s="17"/>
    </row>
    <row r="5616" spans="1:1" x14ac:dyDescent="0.3">
      <c r="A5616" s="17"/>
    </row>
    <row r="5617" spans="1:1" x14ac:dyDescent="0.3">
      <c r="A5617" s="17"/>
    </row>
    <row r="5618" spans="1:1" x14ac:dyDescent="0.3">
      <c r="A5618" s="17"/>
    </row>
    <row r="5619" spans="1:1" x14ac:dyDescent="0.3">
      <c r="A5619" s="17"/>
    </row>
    <row r="5620" spans="1:1" x14ac:dyDescent="0.3">
      <c r="A5620" s="17"/>
    </row>
    <row r="5621" spans="1:1" x14ac:dyDescent="0.3">
      <c r="A5621" s="17"/>
    </row>
    <row r="5622" spans="1:1" x14ac:dyDescent="0.3">
      <c r="A5622" s="17"/>
    </row>
    <row r="5623" spans="1:1" x14ac:dyDescent="0.3">
      <c r="A5623" s="17"/>
    </row>
    <row r="5624" spans="1:1" x14ac:dyDescent="0.3">
      <c r="A5624" s="17"/>
    </row>
    <row r="5625" spans="1:1" x14ac:dyDescent="0.3">
      <c r="A5625" s="17"/>
    </row>
    <row r="5626" spans="1:1" x14ac:dyDescent="0.3">
      <c r="A5626" s="17"/>
    </row>
    <row r="5627" spans="1:1" x14ac:dyDescent="0.3">
      <c r="A5627" s="17"/>
    </row>
    <row r="5628" spans="1:1" x14ac:dyDescent="0.3">
      <c r="A5628" s="17"/>
    </row>
    <row r="5629" spans="1:1" x14ac:dyDescent="0.3">
      <c r="A5629" s="17"/>
    </row>
    <row r="5630" spans="1:1" x14ac:dyDescent="0.3">
      <c r="A5630" s="17"/>
    </row>
    <row r="5631" spans="1:1" x14ac:dyDescent="0.3">
      <c r="A5631" s="17"/>
    </row>
    <row r="5632" spans="1:1" x14ac:dyDescent="0.3">
      <c r="A5632" s="17"/>
    </row>
    <row r="5633" spans="1:1" x14ac:dyDescent="0.3">
      <c r="A5633" s="17"/>
    </row>
    <row r="5634" spans="1:1" x14ac:dyDescent="0.3">
      <c r="A5634" s="17"/>
    </row>
    <row r="5635" spans="1:1" x14ac:dyDescent="0.3">
      <c r="A5635" s="17"/>
    </row>
    <row r="5636" spans="1:1" x14ac:dyDescent="0.3">
      <c r="A5636" s="17"/>
    </row>
    <row r="5637" spans="1:1" x14ac:dyDescent="0.3">
      <c r="A5637" s="17"/>
    </row>
    <row r="5638" spans="1:1" x14ac:dyDescent="0.3">
      <c r="A5638" s="17"/>
    </row>
    <row r="5639" spans="1:1" x14ac:dyDescent="0.3">
      <c r="A5639" s="17"/>
    </row>
    <row r="5640" spans="1:1" x14ac:dyDescent="0.3">
      <c r="A5640" s="17"/>
    </row>
    <row r="5641" spans="1:1" x14ac:dyDescent="0.3">
      <c r="A5641" s="17"/>
    </row>
    <row r="5642" spans="1:1" x14ac:dyDescent="0.3">
      <c r="A5642" s="17"/>
    </row>
    <row r="5643" spans="1:1" x14ac:dyDescent="0.3">
      <c r="A5643" s="17"/>
    </row>
    <row r="5644" spans="1:1" x14ac:dyDescent="0.3">
      <c r="A5644" s="17"/>
    </row>
    <row r="5645" spans="1:1" x14ac:dyDescent="0.3">
      <c r="A5645" s="17"/>
    </row>
    <row r="5646" spans="1:1" x14ac:dyDescent="0.3">
      <c r="A5646" s="17"/>
    </row>
    <row r="5647" spans="1:1" x14ac:dyDescent="0.3">
      <c r="A5647" s="17"/>
    </row>
    <row r="5648" spans="1:1" x14ac:dyDescent="0.3">
      <c r="A5648" s="17"/>
    </row>
    <row r="5649" spans="1:1" x14ac:dyDescent="0.3">
      <c r="A5649" s="17"/>
    </row>
    <row r="5650" spans="1:1" x14ac:dyDescent="0.3">
      <c r="A5650" s="17"/>
    </row>
    <row r="5651" spans="1:1" x14ac:dyDescent="0.3">
      <c r="A5651" s="17"/>
    </row>
    <row r="5652" spans="1:1" x14ac:dyDescent="0.3">
      <c r="A5652" s="17"/>
    </row>
    <row r="5653" spans="1:1" x14ac:dyDescent="0.3">
      <c r="A5653" s="17"/>
    </row>
    <row r="5654" spans="1:1" x14ac:dyDescent="0.3">
      <c r="A5654" s="17"/>
    </row>
    <row r="5655" spans="1:1" x14ac:dyDescent="0.3">
      <c r="A5655" s="17"/>
    </row>
    <row r="5656" spans="1:1" x14ac:dyDescent="0.3">
      <c r="A5656" s="17"/>
    </row>
    <row r="5657" spans="1:1" x14ac:dyDescent="0.3">
      <c r="A5657" s="17"/>
    </row>
    <row r="5658" spans="1:1" x14ac:dyDescent="0.3">
      <c r="A5658" s="17"/>
    </row>
    <row r="5659" spans="1:1" x14ac:dyDescent="0.3">
      <c r="A5659" s="17"/>
    </row>
    <row r="5660" spans="1:1" x14ac:dyDescent="0.3">
      <c r="A5660" s="17"/>
    </row>
    <row r="5661" spans="1:1" x14ac:dyDescent="0.3">
      <c r="A5661" s="17"/>
    </row>
    <row r="5662" spans="1:1" x14ac:dyDescent="0.3">
      <c r="A5662" s="17"/>
    </row>
    <row r="5663" spans="1:1" x14ac:dyDescent="0.3">
      <c r="A5663" s="17"/>
    </row>
    <row r="5664" spans="1:1" x14ac:dyDescent="0.3">
      <c r="A5664" s="17"/>
    </row>
    <row r="5665" spans="1:1" x14ac:dyDescent="0.3">
      <c r="A5665" s="17"/>
    </row>
    <row r="5666" spans="1:1" x14ac:dyDescent="0.3">
      <c r="A5666" s="17"/>
    </row>
    <row r="5667" spans="1:1" x14ac:dyDescent="0.3">
      <c r="A5667" s="17"/>
    </row>
    <row r="5668" spans="1:1" x14ac:dyDescent="0.3">
      <c r="A5668" s="17"/>
    </row>
    <row r="5669" spans="1:1" x14ac:dyDescent="0.3">
      <c r="A5669" s="17"/>
    </row>
    <row r="5670" spans="1:1" x14ac:dyDescent="0.3">
      <c r="A5670" s="17"/>
    </row>
    <row r="5671" spans="1:1" x14ac:dyDescent="0.3">
      <c r="A5671" s="17"/>
    </row>
    <row r="5672" spans="1:1" x14ac:dyDescent="0.3">
      <c r="A5672" s="17"/>
    </row>
    <row r="5673" spans="1:1" x14ac:dyDescent="0.3">
      <c r="A5673" s="17"/>
    </row>
    <row r="5674" spans="1:1" x14ac:dyDescent="0.3">
      <c r="A5674" s="17"/>
    </row>
    <row r="5675" spans="1:1" x14ac:dyDescent="0.3">
      <c r="A5675" s="17"/>
    </row>
    <row r="5676" spans="1:1" x14ac:dyDescent="0.3">
      <c r="A5676" s="17"/>
    </row>
    <row r="5677" spans="1:1" x14ac:dyDescent="0.3">
      <c r="A5677" s="17"/>
    </row>
    <row r="5678" spans="1:1" x14ac:dyDescent="0.3">
      <c r="A5678" s="17"/>
    </row>
    <row r="5679" spans="1:1" x14ac:dyDescent="0.3">
      <c r="A5679" s="17"/>
    </row>
    <row r="5680" spans="1:1" x14ac:dyDescent="0.3">
      <c r="A5680" s="17"/>
    </row>
    <row r="5681" spans="1:1" x14ac:dyDescent="0.3">
      <c r="A5681" s="17"/>
    </row>
    <row r="5682" spans="1:1" x14ac:dyDescent="0.3">
      <c r="A5682" s="17"/>
    </row>
    <row r="5683" spans="1:1" x14ac:dyDescent="0.3">
      <c r="A5683" s="17"/>
    </row>
    <row r="5684" spans="1:1" x14ac:dyDescent="0.3">
      <c r="A5684" s="17"/>
    </row>
    <row r="5685" spans="1:1" x14ac:dyDescent="0.3">
      <c r="A5685" s="17"/>
    </row>
    <row r="5686" spans="1:1" x14ac:dyDescent="0.3">
      <c r="A5686" s="17"/>
    </row>
    <row r="5687" spans="1:1" x14ac:dyDescent="0.3">
      <c r="A5687" s="17"/>
    </row>
    <row r="5688" spans="1:1" x14ac:dyDescent="0.3">
      <c r="A5688" s="17"/>
    </row>
    <row r="5689" spans="1:1" x14ac:dyDescent="0.3">
      <c r="A5689" s="17"/>
    </row>
    <row r="5690" spans="1:1" x14ac:dyDescent="0.3">
      <c r="A5690" s="17"/>
    </row>
    <row r="5691" spans="1:1" x14ac:dyDescent="0.3">
      <c r="A5691" s="17"/>
    </row>
    <row r="5692" spans="1:1" x14ac:dyDescent="0.3">
      <c r="A5692" s="17"/>
    </row>
    <row r="5693" spans="1:1" x14ac:dyDescent="0.3">
      <c r="A5693" s="17"/>
    </row>
    <row r="5694" spans="1:1" x14ac:dyDescent="0.3">
      <c r="A5694" s="17"/>
    </row>
    <row r="5695" spans="1:1" x14ac:dyDescent="0.3">
      <c r="A5695" s="17"/>
    </row>
    <row r="5696" spans="1:1" x14ac:dyDescent="0.3">
      <c r="A5696" s="17"/>
    </row>
    <row r="5697" spans="1:1" x14ac:dyDescent="0.3">
      <c r="A5697" s="17"/>
    </row>
    <row r="5698" spans="1:1" x14ac:dyDescent="0.3">
      <c r="A5698" s="17"/>
    </row>
    <row r="5699" spans="1:1" x14ac:dyDescent="0.3">
      <c r="A5699" s="17"/>
    </row>
    <row r="5700" spans="1:1" x14ac:dyDescent="0.3">
      <c r="A5700" s="17"/>
    </row>
    <row r="5701" spans="1:1" x14ac:dyDescent="0.3">
      <c r="A5701" s="17"/>
    </row>
    <row r="5702" spans="1:1" x14ac:dyDescent="0.3">
      <c r="A5702" s="17"/>
    </row>
    <row r="5703" spans="1:1" x14ac:dyDescent="0.3">
      <c r="A5703" s="17"/>
    </row>
    <row r="5704" spans="1:1" x14ac:dyDescent="0.3">
      <c r="A5704" s="17"/>
    </row>
    <row r="5705" spans="1:1" x14ac:dyDescent="0.3">
      <c r="A5705" s="17"/>
    </row>
    <row r="5706" spans="1:1" x14ac:dyDescent="0.3">
      <c r="A5706" s="17"/>
    </row>
    <row r="5707" spans="1:1" x14ac:dyDescent="0.3">
      <c r="A5707" s="17"/>
    </row>
    <row r="5708" spans="1:1" x14ac:dyDescent="0.3">
      <c r="A5708" s="17"/>
    </row>
    <row r="5709" spans="1:1" x14ac:dyDescent="0.3">
      <c r="A5709" s="17"/>
    </row>
    <row r="5710" spans="1:1" x14ac:dyDescent="0.3">
      <c r="A5710" s="17"/>
    </row>
    <row r="5711" spans="1:1" x14ac:dyDescent="0.3">
      <c r="A5711" s="17"/>
    </row>
    <row r="5712" spans="1:1" x14ac:dyDescent="0.3">
      <c r="A5712" s="17"/>
    </row>
    <row r="5713" spans="1:1" x14ac:dyDescent="0.3">
      <c r="A5713" s="17"/>
    </row>
    <row r="5714" spans="1:1" x14ac:dyDescent="0.3">
      <c r="A5714" s="17"/>
    </row>
    <row r="5715" spans="1:1" x14ac:dyDescent="0.3">
      <c r="A5715" s="17"/>
    </row>
    <row r="5716" spans="1:1" x14ac:dyDescent="0.3">
      <c r="A5716" s="17"/>
    </row>
    <row r="5717" spans="1:1" x14ac:dyDescent="0.3">
      <c r="A5717" s="17"/>
    </row>
    <row r="5718" spans="1:1" x14ac:dyDescent="0.3">
      <c r="A5718" s="17"/>
    </row>
    <row r="5719" spans="1:1" x14ac:dyDescent="0.3">
      <c r="A5719" s="17"/>
    </row>
    <row r="5720" spans="1:1" x14ac:dyDescent="0.3">
      <c r="A5720" s="17"/>
    </row>
    <row r="5721" spans="1:1" x14ac:dyDescent="0.3">
      <c r="A5721" s="17"/>
    </row>
    <row r="5722" spans="1:1" x14ac:dyDescent="0.3">
      <c r="A5722" s="17"/>
    </row>
    <row r="5723" spans="1:1" x14ac:dyDescent="0.3">
      <c r="A5723" s="17"/>
    </row>
    <row r="5724" spans="1:1" x14ac:dyDescent="0.3">
      <c r="A5724" s="17"/>
    </row>
    <row r="5725" spans="1:1" x14ac:dyDescent="0.3">
      <c r="A5725" s="17"/>
    </row>
    <row r="5726" spans="1:1" x14ac:dyDescent="0.3">
      <c r="A5726" s="17"/>
    </row>
    <row r="5727" spans="1:1" x14ac:dyDescent="0.3">
      <c r="A5727" s="17"/>
    </row>
    <row r="5728" spans="1:1" x14ac:dyDescent="0.3">
      <c r="A5728" s="17"/>
    </row>
    <row r="5729" spans="1:1" x14ac:dyDescent="0.3">
      <c r="A5729" s="17"/>
    </row>
    <row r="5730" spans="1:1" x14ac:dyDescent="0.3">
      <c r="A5730" s="17"/>
    </row>
    <row r="5731" spans="1:1" x14ac:dyDescent="0.3">
      <c r="A5731" s="17"/>
    </row>
    <row r="5732" spans="1:1" x14ac:dyDescent="0.3">
      <c r="A5732" s="17"/>
    </row>
    <row r="5733" spans="1:1" x14ac:dyDescent="0.3">
      <c r="A5733" s="17"/>
    </row>
    <row r="5734" spans="1:1" x14ac:dyDescent="0.3">
      <c r="A5734" s="17"/>
    </row>
    <row r="5735" spans="1:1" x14ac:dyDescent="0.3">
      <c r="A5735" s="17"/>
    </row>
    <row r="5736" spans="1:1" x14ac:dyDescent="0.3">
      <c r="A5736" s="17"/>
    </row>
    <row r="5737" spans="1:1" x14ac:dyDescent="0.3">
      <c r="A5737" s="17"/>
    </row>
    <row r="5738" spans="1:1" x14ac:dyDescent="0.3">
      <c r="A5738" s="17"/>
    </row>
    <row r="5739" spans="1:1" x14ac:dyDescent="0.3">
      <c r="A5739" s="17"/>
    </row>
    <row r="5740" spans="1:1" x14ac:dyDescent="0.3">
      <c r="A5740" s="17"/>
    </row>
    <row r="5741" spans="1:1" x14ac:dyDescent="0.3">
      <c r="A5741" s="17"/>
    </row>
    <row r="5742" spans="1:1" x14ac:dyDescent="0.3">
      <c r="A5742" s="17"/>
    </row>
    <row r="5743" spans="1:1" x14ac:dyDescent="0.3">
      <c r="A5743" s="17"/>
    </row>
    <row r="5744" spans="1:1" x14ac:dyDescent="0.3">
      <c r="A5744" s="17"/>
    </row>
    <row r="5745" spans="1:1" x14ac:dyDescent="0.3">
      <c r="A5745" s="17"/>
    </row>
    <row r="5746" spans="1:1" x14ac:dyDescent="0.3">
      <c r="A5746" s="17"/>
    </row>
    <row r="5747" spans="1:1" x14ac:dyDescent="0.3">
      <c r="A5747" s="17"/>
    </row>
    <row r="5748" spans="1:1" x14ac:dyDescent="0.3">
      <c r="A5748" s="17"/>
    </row>
    <row r="5749" spans="1:1" x14ac:dyDescent="0.3">
      <c r="A5749" s="17"/>
    </row>
    <row r="5750" spans="1:1" x14ac:dyDescent="0.3">
      <c r="A5750" s="17"/>
    </row>
    <row r="5751" spans="1:1" x14ac:dyDescent="0.3">
      <c r="A5751" s="17"/>
    </row>
    <row r="5752" spans="1:1" x14ac:dyDescent="0.3">
      <c r="A5752" s="17"/>
    </row>
    <row r="5753" spans="1:1" x14ac:dyDescent="0.3">
      <c r="A5753" s="17"/>
    </row>
    <row r="5754" spans="1:1" x14ac:dyDescent="0.3">
      <c r="A5754" s="17"/>
    </row>
    <row r="5755" spans="1:1" x14ac:dyDescent="0.3">
      <c r="A5755" s="17"/>
    </row>
    <row r="5756" spans="1:1" x14ac:dyDescent="0.3">
      <c r="A5756" s="17"/>
    </row>
    <row r="5757" spans="1:1" x14ac:dyDescent="0.3">
      <c r="A5757" s="17"/>
    </row>
    <row r="5758" spans="1:1" x14ac:dyDescent="0.3">
      <c r="A5758" s="17"/>
    </row>
    <row r="5759" spans="1:1" x14ac:dyDescent="0.3">
      <c r="A5759" s="17"/>
    </row>
    <row r="5760" spans="1:1" x14ac:dyDescent="0.3">
      <c r="A5760" s="17"/>
    </row>
    <row r="5761" spans="1:1" x14ac:dyDescent="0.3">
      <c r="A5761" s="17"/>
    </row>
    <row r="5762" spans="1:1" x14ac:dyDescent="0.3">
      <c r="A5762" s="17"/>
    </row>
    <row r="5763" spans="1:1" x14ac:dyDescent="0.3">
      <c r="A5763" s="17"/>
    </row>
    <row r="5764" spans="1:1" x14ac:dyDescent="0.3">
      <c r="A5764" s="17"/>
    </row>
    <row r="5765" spans="1:1" x14ac:dyDescent="0.3">
      <c r="A5765" s="17"/>
    </row>
    <row r="5766" spans="1:1" x14ac:dyDescent="0.3">
      <c r="A5766" s="17"/>
    </row>
    <row r="5767" spans="1:1" x14ac:dyDescent="0.3">
      <c r="A5767" s="17"/>
    </row>
    <row r="5768" spans="1:1" x14ac:dyDescent="0.3">
      <c r="A5768" s="17"/>
    </row>
    <row r="5769" spans="1:1" x14ac:dyDescent="0.3">
      <c r="A5769" s="17"/>
    </row>
    <row r="5770" spans="1:1" x14ac:dyDescent="0.3">
      <c r="A5770" s="17"/>
    </row>
    <row r="5771" spans="1:1" x14ac:dyDescent="0.3">
      <c r="A5771" s="17"/>
    </row>
    <row r="5772" spans="1:1" x14ac:dyDescent="0.3">
      <c r="A5772" s="17"/>
    </row>
    <row r="5773" spans="1:1" x14ac:dyDescent="0.3">
      <c r="A5773" s="17"/>
    </row>
    <row r="5774" spans="1:1" x14ac:dyDescent="0.3">
      <c r="A5774" s="17"/>
    </row>
    <row r="5775" spans="1:1" x14ac:dyDescent="0.3">
      <c r="A5775" s="17"/>
    </row>
    <row r="5776" spans="1:1" x14ac:dyDescent="0.3">
      <c r="A5776" s="17"/>
    </row>
    <row r="5777" spans="1:1" x14ac:dyDescent="0.3">
      <c r="A5777" s="17"/>
    </row>
    <row r="5778" spans="1:1" x14ac:dyDescent="0.3">
      <c r="A5778" s="17"/>
    </row>
    <row r="5779" spans="1:1" x14ac:dyDescent="0.3">
      <c r="A5779" s="17"/>
    </row>
    <row r="5780" spans="1:1" x14ac:dyDescent="0.3">
      <c r="A5780" s="17"/>
    </row>
    <row r="5781" spans="1:1" x14ac:dyDescent="0.3">
      <c r="A5781" s="17"/>
    </row>
    <row r="5782" spans="1:1" x14ac:dyDescent="0.3">
      <c r="A5782" s="17"/>
    </row>
    <row r="5783" spans="1:1" x14ac:dyDescent="0.3">
      <c r="A5783" s="17"/>
    </row>
    <row r="5784" spans="1:1" x14ac:dyDescent="0.3">
      <c r="A5784" s="17"/>
    </row>
    <row r="5785" spans="1:1" x14ac:dyDescent="0.3">
      <c r="A5785" s="17"/>
    </row>
    <row r="5786" spans="1:1" x14ac:dyDescent="0.3">
      <c r="A5786" s="17"/>
    </row>
    <row r="5787" spans="1:1" x14ac:dyDescent="0.3">
      <c r="A5787" s="17"/>
    </row>
    <row r="5788" spans="1:1" x14ac:dyDescent="0.3">
      <c r="A5788" s="17"/>
    </row>
    <row r="5789" spans="1:1" x14ac:dyDescent="0.3">
      <c r="A5789" s="17"/>
    </row>
    <row r="5790" spans="1:1" x14ac:dyDescent="0.3">
      <c r="A5790" s="17"/>
    </row>
    <row r="5791" spans="1:1" x14ac:dyDescent="0.3">
      <c r="A5791" s="17"/>
    </row>
    <row r="5792" spans="1:1" x14ac:dyDescent="0.3">
      <c r="A5792" s="17"/>
    </row>
    <row r="5793" spans="1:1" x14ac:dyDescent="0.3">
      <c r="A5793" s="17"/>
    </row>
    <row r="5794" spans="1:1" x14ac:dyDescent="0.3">
      <c r="A5794" s="17"/>
    </row>
    <row r="5795" spans="1:1" x14ac:dyDescent="0.3">
      <c r="A5795" s="17"/>
    </row>
    <row r="5796" spans="1:1" x14ac:dyDescent="0.3">
      <c r="A5796" s="17"/>
    </row>
    <row r="5797" spans="1:1" x14ac:dyDescent="0.3">
      <c r="A5797" s="17"/>
    </row>
    <row r="5798" spans="1:1" x14ac:dyDescent="0.3">
      <c r="A5798" s="17"/>
    </row>
    <row r="5799" spans="1:1" x14ac:dyDescent="0.3">
      <c r="A5799" s="17"/>
    </row>
    <row r="5800" spans="1:1" x14ac:dyDescent="0.3">
      <c r="A5800" s="17"/>
    </row>
    <row r="5801" spans="1:1" x14ac:dyDescent="0.3">
      <c r="A5801" s="17"/>
    </row>
    <row r="5802" spans="1:1" x14ac:dyDescent="0.3">
      <c r="A5802" s="17"/>
    </row>
    <row r="5803" spans="1:1" x14ac:dyDescent="0.3">
      <c r="A5803" s="17"/>
    </row>
    <row r="5804" spans="1:1" x14ac:dyDescent="0.3">
      <c r="A5804" s="17"/>
    </row>
    <row r="5805" spans="1:1" x14ac:dyDescent="0.3">
      <c r="A5805" s="17"/>
    </row>
    <row r="5806" spans="1:1" x14ac:dyDescent="0.3">
      <c r="A5806" s="17"/>
    </row>
    <row r="5807" spans="1:1" x14ac:dyDescent="0.3">
      <c r="A5807" s="17"/>
    </row>
    <row r="5808" spans="1:1" x14ac:dyDescent="0.3">
      <c r="A5808" s="17"/>
    </row>
    <row r="5809" spans="1:1" x14ac:dyDescent="0.3">
      <c r="A5809" s="17"/>
    </row>
    <row r="5810" spans="1:1" x14ac:dyDescent="0.3">
      <c r="A5810" s="17"/>
    </row>
    <row r="5811" spans="1:1" x14ac:dyDescent="0.3">
      <c r="A5811" s="17"/>
    </row>
    <row r="5812" spans="1:1" x14ac:dyDescent="0.3">
      <c r="A5812" s="17"/>
    </row>
    <row r="5813" spans="1:1" x14ac:dyDescent="0.3">
      <c r="A5813" s="17"/>
    </row>
    <row r="5814" spans="1:1" x14ac:dyDescent="0.3">
      <c r="A5814" s="17"/>
    </row>
    <row r="5815" spans="1:1" x14ac:dyDescent="0.3">
      <c r="A5815" s="17"/>
    </row>
    <row r="5816" spans="1:1" x14ac:dyDescent="0.3">
      <c r="A5816" s="17"/>
    </row>
    <row r="5817" spans="1:1" x14ac:dyDescent="0.3">
      <c r="A5817" s="17"/>
    </row>
    <row r="5818" spans="1:1" x14ac:dyDescent="0.3">
      <c r="A5818" s="17"/>
    </row>
    <row r="5819" spans="1:1" x14ac:dyDescent="0.3">
      <c r="A5819" s="17"/>
    </row>
    <row r="5820" spans="1:1" x14ac:dyDescent="0.3">
      <c r="A5820" s="17"/>
    </row>
    <row r="5821" spans="1:1" x14ac:dyDescent="0.3">
      <c r="A5821" s="17"/>
    </row>
    <row r="5822" spans="1:1" x14ac:dyDescent="0.3">
      <c r="A5822" s="17"/>
    </row>
    <row r="5823" spans="1:1" x14ac:dyDescent="0.3">
      <c r="A5823" s="17"/>
    </row>
    <row r="5824" spans="1:1" x14ac:dyDescent="0.3">
      <c r="A5824" s="17"/>
    </row>
    <row r="5825" spans="1:1" x14ac:dyDescent="0.3">
      <c r="A5825" s="17"/>
    </row>
    <row r="5826" spans="1:1" x14ac:dyDescent="0.3">
      <c r="A5826" s="17"/>
    </row>
    <row r="5827" spans="1:1" x14ac:dyDescent="0.3">
      <c r="A5827" s="17"/>
    </row>
    <row r="5828" spans="1:1" x14ac:dyDescent="0.3">
      <c r="A5828" s="17"/>
    </row>
    <row r="5829" spans="1:1" x14ac:dyDescent="0.3">
      <c r="A5829" s="17"/>
    </row>
    <row r="5830" spans="1:1" x14ac:dyDescent="0.3">
      <c r="A5830" s="17"/>
    </row>
    <row r="5831" spans="1:1" x14ac:dyDescent="0.3">
      <c r="A5831" s="17"/>
    </row>
    <row r="5832" spans="1:1" x14ac:dyDescent="0.3">
      <c r="A5832" s="17"/>
    </row>
    <row r="5833" spans="1:1" x14ac:dyDescent="0.3">
      <c r="A5833" s="17"/>
    </row>
    <row r="5834" spans="1:1" x14ac:dyDescent="0.3">
      <c r="A5834" s="17"/>
    </row>
    <row r="5835" spans="1:1" x14ac:dyDescent="0.3">
      <c r="A5835" s="17"/>
    </row>
    <row r="5836" spans="1:1" x14ac:dyDescent="0.3">
      <c r="A5836" s="17"/>
    </row>
    <row r="5837" spans="1:1" x14ac:dyDescent="0.3">
      <c r="A5837" s="17"/>
    </row>
    <row r="5838" spans="1:1" x14ac:dyDescent="0.3">
      <c r="A5838" s="17"/>
    </row>
    <row r="5839" spans="1:1" x14ac:dyDescent="0.3">
      <c r="A5839" s="17"/>
    </row>
    <row r="5840" spans="1:1" x14ac:dyDescent="0.3">
      <c r="A5840" s="17"/>
    </row>
    <row r="5841" spans="1:1" x14ac:dyDescent="0.3">
      <c r="A5841" s="17"/>
    </row>
    <row r="5842" spans="1:1" x14ac:dyDescent="0.3">
      <c r="A5842" s="17"/>
    </row>
    <row r="5843" spans="1:1" x14ac:dyDescent="0.3">
      <c r="A5843" s="17"/>
    </row>
    <row r="5844" spans="1:1" x14ac:dyDescent="0.3">
      <c r="A5844" s="17"/>
    </row>
    <row r="5845" spans="1:1" x14ac:dyDescent="0.3">
      <c r="A5845" s="17"/>
    </row>
    <row r="5846" spans="1:1" x14ac:dyDescent="0.3">
      <c r="A5846" s="17"/>
    </row>
    <row r="5847" spans="1:1" x14ac:dyDescent="0.3">
      <c r="A5847" s="17"/>
    </row>
    <row r="5848" spans="1:1" x14ac:dyDescent="0.3">
      <c r="A5848" s="17"/>
    </row>
    <row r="5849" spans="1:1" x14ac:dyDescent="0.3">
      <c r="A5849" s="17"/>
    </row>
    <row r="5850" spans="1:1" x14ac:dyDescent="0.3">
      <c r="A5850" s="17"/>
    </row>
    <row r="5851" spans="1:1" x14ac:dyDescent="0.3">
      <c r="A5851" s="17"/>
    </row>
    <row r="5852" spans="1:1" x14ac:dyDescent="0.3">
      <c r="A5852" s="17"/>
    </row>
    <row r="5853" spans="1:1" x14ac:dyDescent="0.3">
      <c r="A5853" s="17"/>
    </row>
    <row r="5854" spans="1:1" x14ac:dyDescent="0.3">
      <c r="A5854" s="17"/>
    </row>
    <row r="5855" spans="1:1" x14ac:dyDescent="0.3">
      <c r="A5855" s="17"/>
    </row>
    <row r="5856" spans="1:1" x14ac:dyDescent="0.3">
      <c r="A5856" s="17"/>
    </row>
    <row r="5857" spans="1:1" x14ac:dyDescent="0.3">
      <c r="A5857" s="17"/>
    </row>
    <row r="5858" spans="1:1" x14ac:dyDescent="0.3">
      <c r="A5858" s="17"/>
    </row>
    <row r="5859" spans="1:1" x14ac:dyDescent="0.3">
      <c r="A5859" s="17"/>
    </row>
    <row r="5860" spans="1:1" x14ac:dyDescent="0.3">
      <c r="A5860" s="17"/>
    </row>
    <row r="5861" spans="1:1" x14ac:dyDescent="0.3">
      <c r="A5861" s="17"/>
    </row>
    <row r="5862" spans="1:1" x14ac:dyDescent="0.3">
      <c r="A5862" s="17"/>
    </row>
    <row r="5863" spans="1:1" x14ac:dyDescent="0.3">
      <c r="A5863" s="17"/>
    </row>
    <row r="5864" spans="1:1" x14ac:dyDescent="0.3">
      <c r="A5864" s="17"/>
    </row>
    <row r="5865" spans="1:1" x14ac:dyDescent="0.3">
      <c r="A5865" s="17"/>
    </row>
    <row r="5866" spans="1:1" x14ac:dyDescent="0.3">
      <c r="A5866" s="17"/>
    </row>
    <row r="5867" spans="1:1" x14ac:dyDescent="0.3">
      <c r="A5867" s="17"/>
    </row>
    <row r="5868" spans="1:1" x14ac:dyDescent="0.3">
      <c r="A5868" s="17"/>
    </row>
    <row r="5869" spans="1:1" x14ac:dyDescent="0.3">
      <c r="A5869" s="17"/>
    </row>
    <row r="5870" spans="1:1" x14ac:dyDescent="0.3">
      <c r="A5870" s="17"/>
    </row>
    <row r="5871" spans="1:1" x14ac:dyDescent="0.3">
      <c r="A5871" s="17"/>
    </row>
    <row r="5872" spans="1:1" x14ac:dyDescent="0.3">
      <c r="A5872" s="17"/>
    </row>
    <row r="5873" spans="1:1" x14ac:dyDescent="0.3">
      <c r="A5873" s="17"/>
    </row>
    <row r="5874" spans="1:1" x14ac:dyDescent="0.3">
      <c r="A5874" s="17"/>
    </row>
    <row r="5875" spans="1:1" x14ac:dyDescent="0.3">
      <c r="A5875" s="17"/>
    </row>
    <row r="5876" spans="1:1" x14ac:dyDescent="0.3">
      <c r="A5876" s="17"/>
    </row>
    <row r="5877" spans="1:1" x14ac:dyDescent="0.3">
      <c r="A5877" s="17"/>
    </row>
    <row r="5878" spans="1:1" x14ac:dyDescent="0.3">
      <c r="A5878" s="17"/>
    </row>
    <row r="5879" spans="1:1" x14ac:dyDescent="0.3">
      <c r="A5879" s="17"/>
    </row>
    <row r="5880" spans="1:1" x14ac:dyDescent="0.3">
      <c r="A5880" s="17"/>
    </row>
    <row r="5881" spans="1:1" x14ac:dyDescent="0.3">
      <c r="A5881" s="17"/>
    </row>
    <row r="5882" spans="1:1" x14ac:dyDescent="0.3">
      <c r="A5882" s="17"/>
    </row>
    <row r="5883" spans="1:1" x14ac:dyDescent="0.3">
      <c r="A5883" s="17"/>
    </row>
    <row r="5884" spans="1:1" x14ac:dyDescent="0.3">
      <c r="A5884" s="17"/>
    </row>
    <row r="5885" spans="1:1" x14ac:dyDescent="0.3">
      <c r="A5885" s="17"/>
    </row>
    <row r="5886" spans="1:1" x14ac:dyDescent="0.3">
      <c r="A5886" s="17"/>
    </row>
    <row r="5887" spans="1:1" x14ac:dyDescent="0.3">
      <c r="A5887" s="17"/>
    </row>
    <row r="5888" spans="1:1" x14ac:dyDescent="0.3">
      <c r="A5888" s="17"/>
    </row>
    <row r="5889" spans="1:1" x14ac:dyDescent="0.3">
      <c r="A5889" s="17"/>
    </row>
    <row r="5890" spans="1:1" x14ac:dyDescent="0.3">
      <c r="A5890" s="17"/>
    </row>
    <row r="5891" spans="1:1" x14ac:dyDescent="0.3">
      <c r="A5891" s="17"/>
    </row>
    <row r="5892" spans="1:1" x14ac:dyDescent="0.3">
      <c r="A5892" s="17"/>
    </row>
    <row r="5893" spans="1:1" x14ac:dyDescent="0.3">
      <c r="A5893" s="17"/>
    </row>
    <row r="5894" spans="1:1" x14ac:dyDescent="0.3">
      <c r="A5894" s="17"/>
    </row>
    <row r="5895" spans="1:1" x14ac:dyDescent="0.3">
      <c r="A5895" s="17"/>
    </row>
    <row r="5896" spans="1:1" x14ac:dyDescent="0.3">
      <c r="A5896" s="17"/>
    </row>
    <row r="5897" spans="1:1" x14ac:dyDescent="0.3">
      <c r="A5897" s="17"/>
    </row>
    <row r="5898" spans="1:1" x14ac:dyDescent="0.3">
      <c r="A5898" s="17"/>
    </row>
    <row r="5899" spans="1:1" x14ac:dyDescent="0.3">
      <c r="A5899" s="17"/>
    </row>
    <row r="5900" spans="1:1" x14ac:dyDescent="0.3">
      <c r="A5900" s="17"/>
    </row>
    <row r="5901" spans="1:1" x14ac:dyDescent="0.3">
      <c r="A5901" s="17"/>
    </row>
    <row r="5902" spans="1:1" x14ac:dyDescent="0.3">
      <c r="A5902" s="17"/>
    </row>
    <row r="5903" spans="1:1" x14ac:dyDescent="0.3">
      <c r="A5903" s="17"/>
    </row>
    <row r="5904" spans="1:1" x14ac:dyDescent="0.3">
      <c r="A5904" s="17"/>
    </row>
    <row r="5905" spans="1:1" x14ac:dyDescent="0.3">
      <c r="A5905" s="17"/>
    </row>
    <row r="5906" spans="1:1" x14ac:dyDescent="0.3">
      <c r="A5906" s="17"/>
    </row>
    <row r="5907" spans="1:1" x14ac:dyDescent="0.3">
      <c r="A5907" s="17"/>
    </row>
    <row r="5908" spans="1:1" x14ac:dyDescent="0.3">
      <c r="A5908" s="17"/>
    </row>
    <row r="5909" spans="1:1" x14ac:dyDescent="0.3">
      <c r="A5909" s="17"/>
    </row>
    <row r="5910" spans="1:1" x14ac:dyDescent="0.3">
      <c r="A5910" s="17"/>
    </row>
    <row r="5911" spans="1:1" x14ac:dyDescent="0.3">
      <c r="A5911" s="17"/>
    </row>
    <row r="5912" spans="1:1" x14ac:dyDescent="0.3">
      <c r="A5912" s="17"/>
    </row>
    <row r="5913" spans="1:1" x14ac:dyDescent="0.3">
      <c r="A5913" s="17"/>
    </row>
    <row r="5914" spans="1:1" x14ac:dyDescent="0.3">
      <c r="A5914" s="17"/>
    </row>
    <row r="5915" spans="1:1" x14ac:dyDescent="0.3">
      <c r="A5915" s="17"/>
    </row>
    <row r="5916" spans="1:1" x14ac:dyDescent="0.3">
      <c r="A5916" s="17"/>
    </row>
    <row r="5917" spans="1:1" x14ac:dyDescent="0.3">
      <c r="A5917" s="17"/>
    </row>
    <row r="5918" spans="1:1" x14ac:dyDescent="0.3">
      <c r="A5918" s="17"/>
    </row>
    <row r="5919" spans="1:1" x14ac:dyDescent="0.3">
      <c r="A5919" s="17"/>
    </row>
    <row r="5920" spans="1:1" x14ac:dyDescent="0.3">
      <c r="A5920" s="17"/>
    </row>
    <row r="5921" spans="1:1" x14ac:dyDescent="0.3">
      <c r="A5921" s="17"/>
    </row>
    <row r="5922" spans="1:1" x14ac:dyDescent="0.3">
      <c r="A5922" s="17"/>
    </row>
    <row r="5923" spans="1:1" x14ac:dyDescent="0.3">
      <c r="A5923" s="17"/>
    </row>
    <row r="5924" spans="1:1" x14ac:dyDescent="0.3">
      <c r="A5924" s="17"/>
    </row>
    <row r="5925" spans="1:1" x14ac:dyDescent="0.3">
      <c r="A5925" s="17"/>
    </row>
    <row r="5926" spans="1:1" x14ac:dyDescent="0.3">
      <c r="A5926" s="17"/>
    </row>
    <row r="5927" spans="1:1" x14ac:dyDescent="0.3">
      <c r="A5927" s="17"/>
    </row>
    <row r="5928" spans="1:1" x14ac:dyDescent="0.3">
      <c r="A5928" s="17"/>
    </row>
    <row r="5929" spans="1:1" x14ac:dyDescent="0.3">
      <c r="A5929" s="17"/>
    </row>
    <row r="5930" spans="1:1" x14ac:dyDescent="0.3">
      <c r="A5930" s="17"/>
    </row>
    <row r="5931" spans="1:1" x14ac:dyDescent="0.3">
      <c r="A5931" s="17"/>
    </row>
    <row r="5932" spans="1:1" x14ac:dyDescent="0.3">
      <c r="A5932" s="17"/>
    </row>
    <row r="5933" spans="1:1" x14ac:dyDescent="0.3">
      <c r="A5933" s="17"/>
    </row>
    <row r="5934" spans="1:1" x14ac:dyDescent="0.3">
      <c r="A5934" s="17"/>
    </row>
    <row r="5935" spans="1:1" x14ac:dyDescent="0.3">
      <c r="A5935" s="17"/>
    </row>
    <row r="5936" spans="1:1" x14ac:dyDescent="0.3">
      <c r="A5936" s="17"/>
    </row>
    <row r="5937" spans="1:1" x14ac:dyDescent="0.3">
      <c r="A5937" s="17"/>
    </row>
    <row r="5938" spans="1:1" x14ac:dyDescent="0.3">
      <c r="A5938" s="17"/>
    </row>
    <row r="5939" spans="1:1" x14ac:dyDescent="0.3">
      <c r="A5939" s="17"/>
    </row>
    <row r="5940" spans="1:1" x14ac:dyDescent="0.3">
      <c r="A5940" s="17"/>
    </row>
    <row r="5941" spans="1:1" x14ac:dyDescent="0.3">
      <c r="A5941" s="17"/>
    </row>
    <row r="5942" spans="1:1" x14ac:dyDescent="0.3">
      <c r="A5942" s="17"/>
    </row>
    <row r="5943" spans="1:1" x14ac:dyDescent="0.3">
      <c r="A5943" s="17"/>
    </row>
    <row r="5944" spans="1:1" x14ac:dyDescent="0.3">
      <c r="A5944" s="17"/>
    </row>
    <row r="5945" spans="1:1" x14ac:dyDescent="0.3">
      <c r="A5945" s="17"/>
    </row>
    <row r="5946" spans="1:1" x14ac:dyDescent="0.3">
      <c r="A5946" s="17"/>
    </row>
    <row r="5947" spans="1:1" x14ac:dyDescent="0.3">
      <c r="A5947" s="17"/>
    </row>
    <row r="5948" spans="1:1" x14ac:dyDescent="0.3">
      <c r="A5948" s="17"/>
    </row>
    <row r="5949" spans="1:1" x14ac:dyDescent="0.3">
      <c r="A5949" s="17"/>
    </row>
    <row r="5950" spans="1:1" x14ac:dyDescent="0.3">
      <c r="A5950" s="17"/>
    </row>
    <row r="5951" spans="1:1" x14ac:dyDescent="0.3">
      <c r="A5951" s="17"/>
    </row>
    <row r="5952" spans="1:1" x14ac:dyDescent="0.3">
      <c r="A5952" s="17"/>
    </row>
    <row r="5953" spans="1:1" x14ac:dyDescent="0.3">
      <c r="A5953" s="17"/>
    </row>
    <row r="5954" spans="1:1" x14ac:dyDescent="0.3">
      <c r="A5954" s="17"/>
    </row>
    <row r="5955" spans="1:1" x14ac:dyDescent="0.3">
      <c r="A5955" s="17"/>
    </row>
    <row r="5956" spans="1:1" x14ac:dyDescent="0.3">
      <c r="A5956" s="17"/>
    </row>
    <row r="5957" spans="1:1" x14ac:dyDescent="0.3">
      <c r="A5957" s="17"/>
    </row>
    <row r="5958" spans="1:1" x14ac:dyDescent="0.3">
      <c r="A5958" s="17"/>
    </row>
    <row r="5959" spans="1:1" x14ac:dyDescent="0.3">
      <c r="A5959" s="17"/>
    </row>
    <row r="5960" spans="1:1" x14ac:dyDescent="0.3">
      <c r="A5960" s="17"/>
    </row>
    <row r="5961" spans="1:1" x14ac:dyDescent="0.3">
      <c r="A5961" s="17"/>
    </row>
    <row r="5962" spans="1:1" x14ac:dyDescent="0.3">
      <c r="A5962" s="17"/>
    </row>
    <row r="5963" spans="1:1" x14ac:dyDescent="0.3">
      <c r="A5963" s="17"/>
    </row>
    <row r="5964" spans="1:1" x14ac:dyDescent="0.3">
      <c r="A5964" s="17"/>
    </row>
    <row r="5965" spans="1:1" x14ac:dyDescent="0.3">
      <c r="A5965" s="17"/>
    </row>
    <row r="5966" spans="1:1" x14ac:dyDescent="0.3">
      <c r="A5966" s="17"/>
    </row>
    <row r="5967" spans="1:1" x14ac:dyDescent="0.3">
      <c r="A5967" s="17"/>
    </row>
    <row r="5968" spans="1:1" x14ac:dyDescent="0.3">
      <c r="A5968" s="17"/>
    </row>
    <row r="5969" spans="1:1" x14ac:dyDescent="0.3">
      <c r="A5969" s="17"/>
    </row>
    <row r="5970" spans="1:1" x14ac:dyDescent="0.3">
      <c r="A5970" s="17"/>
    </row>
    <row r="5971" spans="1:1" x14ac:dyDescent="0.3">
      <c r="A5971" s="17"/>
    </row>
    <row r="5972" spans="1:1" x14ac:dyDescent="0.3">
      <c r="A5972" s="17"/>
    </row>
    <row r="5973" spans="1:1" x14ac:dyDescent="0.3">
      <c r="A5973" s="17"/>
    </row>
    <row r="5974" spans="1:1" x14ac:dyDescent="0.3">
      <c r="A5974" s="17"/>
    </row>
    <row r="5975" spans="1:1" x14ac:dyDescent="0.3">
      <c r="A5975" s="17"/>
    </row>
    <row r="5976" spans="1:1" x14ac:dyDescent="0.3">
      <c r="A5976" s="17"/>
    </row>
    <row r="5977" spans="1:1" x14ac:dyDescent="0.3">
      <c r="A5977" s="17"/>
    </row>
    <row r="5978" spans="1:1" x14ac:dyDescent="0.3">
      <c r="A5978" s="17"/>
    </row>
    <row r="5979" spans="1:1" x14ac:dyDescent="0.3">
      <c r="A5979" s="17"/>
    </row>
    <row r="5980" spans="1:1" x14ac:dyDescent="0.3">
      <c r="A5980" s="17"/>
    </row>
    <row r="5981" spans="1:1" x14ac:dyDescent="0.3">
      <c r="A5981" s="17"/>
    </row>
    <row r="5982" spans="1:1" x14ac:dyDescent="0.3">
      <c r="A5982" s="17"/>
    </row>
    <row r="5983" spans="1:1" x14ac:dyDescent="0.3">
      <c r="A5983" s="17"/>
    </row>
    <row r="5984" spans="1:1" x14ac:dyDescent="0.3">
      <c r="A5984" s="17"/>
    </row>
    <row r="5985" spans="1:1" x14ac:dyDescent="0.3">
      <c r="A5985" s="17"/>
    </row>
    <row r="5986" spans="1:1" x14ac:dyDescent="0.3">
      <c r="A5986" s="17"/>
    </row>
    <row r="5987" spans="1:1" x14ac:dyDescent="0.3">
      <c r="A5987" s="17"/>
    </row>
    <row r="5988" spans="1:1" x14ac:dyDescent="0.3">
      <c r="A5988" s="17"/>
    </row>
    <row r="5989" spans="1:1" x14ac:dyDescent="0.3">
      <c r="A5989" s="17"/>
    </row>
    <row r="5990" spans="1:1" x14ac:dyDescent="0.3">
      <c r="A5990" s="17"/>
    </row>
    <row r="5991" spans="1:1" x14ac:dyDescent="0.3">
      <c r="A5991" s="17"/>
    </row>
    <row r="5992" spans="1:1" x14ac:dyDescent="0.3">
      <c r="A5992" s="17"/>
    </row>
    <row r="5993" spans="1:1" x14ac:dyDescent="0.3">
      <c r="A5993" s="17"/>
    </row>
    <row r="5994" spans="1:1" x14ac:dyDescent="0.3">
      <c r="A5994" s="17"/>
    </row>
    <row r="5995" spans="1:1" x14ac:dyDescent="0.3">
      <c r="A5995" s="17"/>
    </row>
    <row r="5996" spans="1:1" x14ac:dyDescent="0.3">
      <c r="A5996" s="17"/>
    </row>
    <row r="5997" spans="1:1" x14ac:dyDescent="0.3">
      <c r="A5997" s="17"/>
    </row>
    <row r="5998" spans="1:1" x14ac:dyDescent="0.3">
      <c r="A5998" s="17"/>
    </row>
    <row r="5999" spans="1:1" x14ac:dyDescent="0.3">
      <c r="A5999" s="17"/>
    </row>
    <row r="6000" spans="1:1" x14ac:dyDescent="0.3">
      <c r="A6000" s="17"/>
    </row>
    <row r="6001" spans="1:1" x14ac:dyDescent="0.3">
      <c r="A6001" s="17"/>
    </row>
    <row r="6002" spans="1:1" x14ac:dyDescent="0.3">
      <c r="A6002" s="17"/>
    </row>
    <row r="6003" spans="1:1" x14ac:dyDescent="0.3">
      <c r="A6003" s="17"/>
    </row>
    <row r="6004" spans="1:1" x14ac:dyDescent="0.3">
      <c r="A6004" s="17"/>
    </row>
    <row r="6005" spans="1:1" x14ac:dyDescent="0.3">
      <c r="A6005" s="17"/>
    </row>
    <row r="6006" spans="1:1" x14ac:dyDescent="0.3">
      <c r="A6006" s="17"/>
    </row>
    <row r="6007" spans="1:1" x14ac:dyDescent="0.3">
      <c r="A6007" s="17"/>
    </row>
    <row r="6008" spans="1:1" x14ac:dyDescent="0.3">
      <c r="A6008" s="17"/>
    </row>
    <row r="6009" spans="1:1" x14ac:dyDescent="0.3">
      <c r="A6009" s="17"/>
    </row>
    <row r="6010" spans="1:1" x14ac:dyDescent="0.3">
      <c r="A6010" s="17"/>
    </row>
    <row r="6011" spans="1:1" x14ac:dyDescent="0.3">
      <c r="A6011" s="17"/>
    </row>
    <row r="6012" spans="1:1" x14ac:dyDescent="0.3">
      <c r="A6012" s="17"/>
    </row>
    <row r="6013" spans="1:1" x14ac:dyDescent="0.3">
      <c r="A6013" s="17"/>
    </row>
    <row r="6014" spans="1:1" x14ac:dyDescent="0.3">
      <c r="A6014" s="17"/>
    </row>
    <row r="6015" spans="1:1" x14ac:dyDescent="0.3">
      <c r="A6015" s="17"/>
    </row>
    <row r="6016" spans="1:1" x14ac:dyDescent="0.3">
      <c r="A6016" s="17"/>
    </row>
    <row r="6017" spans="1:1" x14ac:dyDescent="0.3">
      <c r="A6017" s="17"/>
    </row>
    <row r="6018" spans="1:1" x14ac:dyDescent="0.3">
      <c r="A6018" s="17"/>
    </row>
    <row r="6019" spans="1:1" x14ac:dyDescent="0.3">
      <c r="A6019" s="17"/>
    </row>
    <row r="6020" spans="1:1" x14ac:dyDescent="0.3">
      <c r="A6020" s="17"/>
    </row>
    <row r="6021" spans="1:1" x14ac:dyDescent="0.3">
      <c r="A6021" s="17"/>
    </row>
    <row r="6022" spans="1:1" x14ac:dyDescent="0.3">
      <c r="A6022" s="17"/>
    </row>
    <row r="6023" spans="1:1" x14ac:dyDescent="0.3">
      <c r="A6023" s="17"/>
    </row>
    <row r="6024" spans="1:1" x14ac:dyDescent="0.3">
      <c r="A6024" s="17"/>
    </row>
    <row r="6025" spans="1:1" x14ac:dyDescent="0.3">
      <c r="A6025" s="17"/>
    </row>
    <row r="6026" spans="1:1" x14ac:dyDescent="0.3">
      <c r="A6026" s="17"/>
    </row>
    <row r="6027" spans="1:1" x14ac:dyDescent="0.3">
      <c r="A6027" s="17"/>
    </row>
    <row r="6028" spans="1:1" x14ac:dyDescent="0.3">
      <c r="A6028" s="17"/>
    </row>
    <row r="6029" spans="1:1" x14ac:dyDescent="0.3">
      <c r="A6029" s="17"/>
    </row>
    <row r="6030" spans="1:1" x14ac:dyDescent="0.3">
      <c r="A6030" s="17"/>
    </row>
    <row r="6031" spans="1:1" x14ac:dyDescent="0.3">
      <c r="A6031" s="17"/>
    </row>
    <row r="6032" spans="1:1" x14ac:dyDescent="0.3">
      <c r="A6032" s="17"/>
    </row>
    <row r="6033" spans="1:1" x14ac:dyDescent="0.3">
      <c r="A6033" s="17"/>
    </row>
    <row r="6034" spans="1:1" x14ac:dyDescent="0.3">
      <c r="A6034" s="17"/>
    </row>
    <row r="6035" spans="1:1" x14ac:dyDescent="0.3">
      <c r="A6035" s="17"/>
    </row>
    <row r="6036" spans="1:1" x14ac:dyDescent="0.3">
      <c r="A6036" s="17"/>
    </row>
    <row r="6037" spans="1:1" x14ac:dyDescent="0.3">
      <c r="A6037" s="17"/>
    </row>
    <row r="6038" spans="1:1" x14ac:dyDescent="0.3">
      <c r="A6038" s="17"/>
    </row>
    <row r="6039" spans="1:1" x14ac:dyDescent="0.3">
      <c r="A6039" s="17"/>
    </row>
    <row r="6040" spans="1:1" x14ac:dyDescent="0.3">
      <c r="A6040" s="17"/>
    </row>
    <row r="6041" spans="1:1" x14ac:dyDescent="0.3">
      <c r="A6041" s="17"/>
    </row>
    <row r="6042" spans="1:1" x14ac:dyDescent="0.3">
      <c r="A6042" s="17"/>
    </row>
    <row r="6043" spans="1:1" x14ac:dyDescent="0.3">
      <c r="A6043" s="17"/>
    </row>
    <row r="6044" spans="1:1" x14ac:dyDescent="0.3">
      <c r="A6044" s="17"/>
    </row>
    <row r="6045" spans="1:1" x14ac:dyDescent="0.3">
      <c r="A6045" s="17"/>
    </row>
    <row r="6046" spans="1:1" x14ac:dyDescent="0.3">
      <c r="A6046" s="17"/>
    </row>
    <row r="6047" spans="1:1" x14ac:dyDescent="0.3">
      <c r="A6047" s="17"/>
    </row>
    <row r="6048" spans="1:1" x14ac:dyDescent="0.3">
      <c r="A6048" s="17"/>
    </row>
    <row r="6049" spans="1:1" x14ac:dyDescent="0.3">
      <c r="A6049" s="17"/>
    </row>
    <row r="6050" spans="1:1" x14ac:dyDescent="0.3">
      <c r="A6050" s="17"/>
    </row>
    <row r="6051" spans="1:1" x14ac:dyDescent="0.3">
      <c r="A6051" s="17"/>
    </row>
    <row r="6052" spans="1:1" x14ac:dyDescent="0.3">
      <c r="A6052" s="17"/>
    </row>
    <row r="6053" spans="1:1" x14ac:dyDescent="0.3">
      <c r="A6053" s="17"/>
    </row>
    <row r="6054" spans="1:1" x14ac:dyDescent="0.3">
      <c r="A6054" s="17"/>
    </row>
    <row r="6055" spans="1:1" x14ac:dyDescent="0.3">
      <c r="A6055" s="17"/>
    </row>
    <row r="6056" spans="1:1" x14ac:dyDescent="0.3">
      <c r="A6056" s="17"/>
    </row>
    <row r="6057" spans="1:1" x14ac:dyDescent="0.3">
      <c r="A6057" s="17"/>
    </row>
    <row r="6058" spans="1:1" x14ac:dyDescent="0.3">
      <c r="A6058" s="17"/>
    </row>
    <row r="6059" spans="1:1" x14ac:dyDescent="0.3">
      <c r="A6059" s="17"/>
    </row>
    <row r="6060" spans="1:1" x14ac:dyDescent="0.3">
      <c r="A6060" s="17"/>
    </row>
    <row r="6061" spans="1:1" x14ac:dyDescent="0.3">
      <c r="A6061" s="17"/>
    </row>
    <row r="6062" spans="1:1" x14ac:dyDescent="0.3">
      <c r="A6062" s="17"/>
    </row>
    <row r="6063" spans="1:1" x14ac:dyDescent="0.3">
      <c r="A6063" s="17"/>
    </row>
    <row r="6064" spans="1:1" x14ac:dyDescent="0.3">
      <c r="A6064" s="17"/>
    </row>
    <row r="6065" spans="1:1" x14ac:dyDescent="0.3">
      <c r="A6065" s="17"/>
    </row>
    <row r="6066" spans="1:1" x14ac:dyDescent="0.3">
      <c r="A6066" s="17"/>
    </row>
    <row r="6067" spans="1:1" x14ac:dyDescent="0.3">
      <c r="A6067" s="17"/>
    </row>
    <row r="6068" spans="1:1" x14ac:dyDescent="0.3">
      <c r="A6068" s="17"/>
    </row>
    <row r="6069" spans="1:1" x14ac:dyDescent="0.3">
      <c r="A6069" s="17"/>
    </row>
    <row r="6070" spans="1:1" x14ac:dyDescent="0.3">
      <c r="A6070" s="17"/>
    </row>
    <row r="6071" spans="1:1" x14ac:dyDescent="0.3">
      <c r="A6071" s="17"/>
    </row>
    <row r="6072" spans="1:1" x14ac:dyDescent="0.3">
      <c r="A6072" s="17"/>
    </row>
    <row r="6073" spans="1:1" x14ac:dyDescent="0.3">
      <c r="A6073" s="17"/>
    </row>
    <row r="6074" spans="1:1" x14ac:dyDescent="0.3">
      <c r="A6074" s="17"/>
    </row>
    <row r="6075" spans="1:1" x14ac:dyDescent="0.3">
      <c r="A6075" s="17"/>
    </row>
    <row r="6076" spans="1:1" x14ac:dyDescent="0.3">
      <c r="A6076" s="17"/>
    </row>
    <row r="6077" spans="1:1" x14ac:dyDescent="0.3">
      <c r="A6077" s="17"/>
    </row>
    <row r="6078" spans="1:1" x14ac:dyDescent="0.3">
      <c r="A6078" s="17"/>
    </row>
    <row r="6079" spans="1:1" x14ac:dyDescent="0.3">
      <c r="A6079" s="17"/>
    </row>
    <row r="6080" spans="1:1" x14ac:dyDescent="0.3">
      <c r="A6080" s="17"/>
    </row>
    <row r="6081" spans="1:1" x14ac:dyDescent="0.3">
      <c r="A6081" s="17"/>
    </row>
    <row r="6082" spans="1:1" x14ac:dyDescent="0.3">
      <c r="A6082" s="17"/>
    </row>
    <row r="6083" spans="1:1" x14ac:dyDescent="0.3">
      <c r="A6083" s="17"/>
    </row>
    <row r="6084" spans="1:1" x14ac:dyDescent="0.3">
      <c r="A6084" s="17"/>
    </row>
    <row r="6085" spans="1:1" x14ac:dyDescent="0.3">
      <c r="A6085" s="17"/>
    </row>
    <row r="6086" spans="1:1" x14ac:dyDescent="0.3">
      <c r="A6086" s="17"/>
    </row>
    <row r="6087" spans="1:1" x14ac:dyDescent="0.3">
      <c r="A6087" s="17"/>
    </row>
    <row r="6088" spans="1:1" x14ac:dyDescent="0.3">
      <c r="A6088" s="17"/>
    </row>
    <row r="6089" spans="1:1" x14ac:dyDescent="0.3">
      <c r="A6089" s="17"/>
    </row>
    <row r="6090" spans="1:1" x14ac:dyDescent="0.3">
      <c r="A6090" s="17"/>
    </row>
    <row r="6091" spans="1:1" x14ac:dyDescent="0.3">
      <c r="A6091" s="17"/>
    </row>
    <row r="6092" spans="1:1" x14ac:dyDescent="0.3">
      <c r="A6092" s="17"/>
    </row>
    <row r="6093" spans="1:1" x14ac:dyDescent="0.3">
      <c r="A6093" s="17"/>
    </row>
    <row r="6094" spans="1:1" x14ac:dyDescent="0.3">
      <c r="A6094" s="17"/>
    </row>
    <row r="6095" spans="1:1" x14ac:dyDescent="0.3">
      <c r="A6095" s="17"/>
    </row>
    <row r="6096" spans="1:1" x14ac:dyDescent="0.3">
      <c r="A6096" s="17"/>
    </row>
    <row r="6097" spans="1:1" x14ac:dyDescent="0.3">
      <c r="A6097" s="17"/>
    </row>
    <row r="6098" spans="1:1" x14ac:dyDescent="0.3">
      <c r="A6098" s="17"/>
    </row>
    <row r="6099" spans="1:1" x14ac:dyDescent="0.3">
      <c r="A6099" s="17"/>
    </row>
    <row r="6100" spans="1:1" x14ac:dyDescent="0.3">
      <c r="A6100" s="17"/>
    </row>
    <row r="6101" spans="1:1" x14ac:dyDescent="0.3">
      <c r="A6101" s="17"/>
    </row>
    <row r="6102" spans="1:1" x14ac:dyDescent="0.3">
      <c r="A6102" s="17"/>
    </row>
    <row r="6103" spans="1:1" x14ac:dyDescent="0.3">
      <c r="A6103" s="17"/>
    </row>
    <row r="6104" spans="1:1" x14ac:dyDescent="0.3">
      <c r="A6104" s="17"/>
    </row>
    <row r="6105" spans="1:1" x14ac:dyDescent="0.3">
      <c r="A6105" s="17"/>
    </row>
    <row r="6106" spans="1:1" x14ac:dyDescent="0.3">
      <c r="A6106" s="17"/>
    </row>
    <row r="6107" spans="1:1" x14ac:dyDescent="0.3">
      <c r="A6107" s="17"/>
    </row>
    <row r="6108" spans="1:1" x14ac:dyDescent="0.3">
      <c r="A6108" s="17"/>
    </row>
    <row r="6109" spans="1:1" x14ac:dyDescent="0.3">
      <c r="A6109" s="17"/>
    </row>
    <row r="6110" spans="1:1" x14ac:dyDescent="0.3">
      <c r="A6110" s="17"/>
    </row>
    <row r="6111" spans="1:1" x14ac:dyDescent="0.3">
      <c r="A6111" s="17"/>
    </row>
    <row r="6112" spans="1:1" x14ac:dyDescent="0.3">
      <c r="A6112" s="17"/>
    </row>
    <row r="6113" spans="1:1" x14ac:dyDescent="0.3">
      <c r="A6113" s="17"/>
    </row>
    <row r="6114" spans="1:1" x14ac:dyDescent="0.3">
      <c r="A6114" s="17"/>
    </row>
    <row r="6115" spans="1:1" x14ac:dyDescent="0.3">
      <c r="A6115" s="17"/>
    </row>
    <row r="6116" spans="1:1" x14ac:dyDescent="0.3">
      <c r="A6116" s="17"/>
    </row>
    <row r="6117" spans="1:1" x14ac:dyDescent="0.3">
      <c r="A6117" s="17"/>
    </row>
    <row r="6118" spans="1:1" x14ac:dyDescent="0.3">
      <c r="A6118" s="17"/>
    </row>
    <row r="6119" spans="1:1" x14ac:dyDescent="0.3">
      <c r="A6119" s="17"/>
    </row>
    <row r="6120" spans="1:1" x14ac:dyDescent="0.3">
      <c r="A6120" s="17"/>
    </row>
    <row r="6121" spans="1:1" x14ac:dyDescent="0.3">
      <c r="A6121" s="17"/>
    </row>
    <row r="6122" spans="1:1" x14ac:dyDescent="0.3">
      <c r="A6122" s="17"/>
    </row>
    <row r="6123" spans="1:1" x14ac:dyDescent="0.3">
      <c r="A6123" s="17"/>
    </row>
    <row r="6124" spans="1:1" x14ac:dyDescent="0.3">
      <c r="A6124" s="17"/>
    </row>
    <row r="6125" spans="1:1" x14ac:dyDescent="0.3">
      <c r="A6125" s="17"/>
    </row>
    <row r="6126" spans="1:1" x14ac:dyDescent="0.3">
      <c r="A6126" s="17"/>
    </row>
    <row r="6127" spans="1:1" x14ac:dyDescent="0.3">
      <c r="A6127" s="17"/>
    </row>
    <row r="6128" spans="1:1" x14ac:dyDescent="0.3">
      <c r="A6128" s="17"/>
    </row>
    <row r="6129" spans="1:1" x14ac:dyDescent="0.3">
      <c r="A6129" s="17"/>
    </row>
    <row r="6130" spans="1:1" x14ac:dyDescent="0.3">
      <c r="A6130" s="17"/>
    </row>
    <row r="6131" spans="1:1" x14ac:dyDescent="0.3">
      <c r="A6131" s="17"/>
    </row>
    <row r="6132" spans="1:1" x14ac:dyDescent="0.3">
      <c r="A6132" s="17"/>
    </row>
    <row r="6133" spans="1:1" x14ac:dyDescent="0.3">
      <c r="A6133" s="17"/>
    </row>
    <row r="6134" spans="1:1" x14ac:dyDescent="0.3">
      <c r="A6134" s="17"/>
    </row>
    <row r="6135" spans="1:1" x14ac:dyDescent="0.3">
      <c r="A6135" s="17"/>
    </row>
    <row r="6136" spans="1:1" x14ac:dyDescent="0.3">
      <c r="A6136" s="17"/>
    </row>
    <row r="6137" spans="1:1" x14ac:dyDescent="0.3">
      <c r="A6137" s="17"/>
    </row>
    <row r="6138" spans="1:1" x14ac:dyDescent="0.3">
      <c r="A6138" s="17"/>
    </row>
    <row r="6139" spans="1:1" x14ac:dyDescent="0.3">
      <c r="A6139" s="17"/>
    </row>
    <row r="6140" spans="1:1" x14ac:dyDescent="0.3">
      <c r="A6140" s="17"/>
    </row>
    <row r="6141" spans="1:1" x14ac:dyDescent="0.3">
      <c r="A6141" s="17"/>
    </row>
    <row r="6142" spans="1:1" x14ac:dyDescent="0.3">
      <c r="A6142" s="17"/>
    </row>
    <row r="6143" spans="1:1" x14ac:dyDescent="0.3">
      <c r="A6143" s="17"/>
    </row>
    <row r="6144" spans="1:1" x14ac:dyDescent="0.3">
      <c r="A6144" s="17"/>
    </row>
    <row r="6145" spans="1:1" x14ac:dyDescent="0.3">
      <c r="A6145" s="17"/>
    </row>
    <row r="6146" spans="1:1" x14ac:dyDescent="0.3">
      <c r="A6146" s="17"/>
    </row>
    <row r="6147" spans="1:1" x14ac:dyDescent="0.3">
      <c r="A6147" s="17"/>
    </row>
    <row r="6148" spans="1:1" x14ac:dyDescent="0.3">
      <c r="A6148" s="17"/>
    </row>
    <row r="6149" spans="1:1" x14ac:dyDescent="0.3">
      <c r="A6149" s="17"/>
    </row>
    <row r="6150" spans="1:1" x14ac:dyDescent="0.3">
      <c r="A6150" s="17"/>
    </row>
    <row r="6151" spans="1:1" x14ac:dyDescent="0.3">
      <c r="A6151" s="17"/>
    </row>
    <row r="6152" spans="1:1" x14ac:dyDescent="0.3">
      <c r="A6152" s="17"/>
    </row>
    <row r="6153" spans="1:1" x14ac:dyDescent="0.3">
      <c r="A6153" s="17"/>
    </row>
    <row r="6154" spans="1:1" x14ac:dyDescent="0.3">
      <c r="A6154" s="17"/>
    </row>
    <row r="6155" spans="1:1" x14ac:dyDescent="0.3">
      <c r="A6155" s="17"/>
    </row>
    <row r="6156" spans="1:1" x14ac:dyDescent="0.3">
      <c r="A6156" s="17"/>
    </row>
    <row r="6157" spans="1:1" x14ac:dyDescent="0.3">
      <c r="A6157" s="17"/>
    </row>
    <row r="6158" spans="1:1" x14ac:dyDescent="0.3">
      <c r="A6158" s="17"/>
    </row>
    <row r="6159" spans="1:1" x14ac:dyDescent="0.3">
      <c r="A6159" s="17"/>
    </row>
    <row r="6160" spans="1:1" x14ac:dyDescent="0.3">
      <c r="A6160" s="17"/>
    </row>
    <row r="6161" spans="1:1" x14ac:dyDescent="0.3">
      <c r="A6161" s="17"/>
    </row>
    <row r="6162" spans="1:1" x14ac:dyDescent="0.3">
      <c r="A6162" s="17"/>
    </row>
    <row r="6163" spans="1:1" x14ac:dyDescent="0.3">
      <c r="A6163" s="17"/>
    </row>
    <row r="6164" spans="1:1" x14ac:dyDescent="0.3">
      <c r="A6164" s="17"/>
    </row>
    <row r="6165" spans="1:1" x14ac:dyDescent="0.3">
      <c r="A6165" s="17"/>
    </row>
    <row r="6166" spans="1:1" x14ac:dyDescent="0.3">
      <c r="A6166" s="17"/>
    </row>
    <row r="6167" spans="1:1" x14ac:dyDescent="0.3">
      <c r="A6167" s="17"/>
    </row>
    <row r="6168" spans="1:1" x14ac:dyDescent="0.3">
      <c r="A6168" s="17"/>
    </row>
    <row r="6169" spans="1:1" x14ac:dyDescent="0.3">
      <c r="A6169" s="17"/>
    </row>
    <row r="6170" spans="1:1" x14ac:dyDescent="0.3">
      <c r="A6170" s="17"/>
    </row>
    <row r="6171" spans="1:1" x14ac:dyDescent="0.3">
      <c r="A6171" s="17"/>
    </row>
    <row r="6172" spans="1:1" x14ac:dyDescent="0.3">
      <c r="A6172" s="17"/>
    </row>
    <row r="6173" spans="1:1" x14ac:dyDescent="0.3">
      <c r="A6173" s="17"/>
    </row>
    <row r="6174" spans="1:1" x14ac:dyDescent="0.3">
      <c r="A6174" s="17"/>
    </row>
    <row r="6175" spans="1:1" x14ac:dyDescent="0.3">
      <c r="A6175" s="17"/>
    </row>
    <row r="6176" spans="1:1" x14ac:dyDescent="0.3">
      <c r="A6176" s="17"/>
    </row>
    <row r="6177" spans="1:1" x14ac:dyDescent="0.3">
      <c r="A6177" s="17"/>
    </row>
    <row r="6178" spans="1:1" x14ac:dyDescent="0.3">
      <c r="A6178" s="17"/>
    </row>
    <row r="6179" spans="1:1" x14ac:dyDescent="0.3">
      <c r="A6179" s="17"/>
    </row>
    <row r="6180" spans="1:1" x14ac:dyDescent="0.3">
      <c r="A6180" s="17"/>
    </row>
    <row r="6181" spans="1:1" x14ac:dyDescent="0.3">
      <c r="A6181" s="17"/>
    </row>
    <row r="6182" spans="1:1" x14ac:dyDescent="0.3">
      <c r="A6182" s="17"/>
    </row>
    <row r="6183" spans="1:1" x14ac:dyDescent="0.3">
      <c r="A6183" s="17"/>
    </row>
    <row r="6184" spans="1:1" x14ac:dyDescent="0.3">
      <c r="A6184" s="17"/>
    </row>
    <row r="6185" spans="1:1" x14ac:dyDescent="0.3">
      <c r="A6185" s="17"/>
    </row>
    <row r="6186" spans="1:1" x14ac:dyDescent="0.3">
      <c r="A6186" s="17"/>
    </row>
    <row r="6187" spans="1:1" x14ac:dyDescent="0.3">
      <c r="A6187" s="17"/>
    </row>
    <row r="6188" spans="1:1" x14ac:dyDescent="0.3">
      <c r="A6188" s="17"/>
    </row>
    <row r="6189" spans="1:1" x14ac:dyDescent="0.3">
      <c r="A6189" s="17"/>
    </row>
    <row r="6190" spans="1:1" x14ac:dyDescent="0.3">
      <c r="A6190" s="17"/>
    </row>
    <row r="6191" spans="1:1" x14ac:dyDescent="0.3">
      <c r="A6191" s="17"/>
    </row>
    <row r="6192" spans="1:1" x14ac:dyDescent="0.3">
      <c r="A6192" s="17"/>
    </row>
    <row r="6193" spans="1:1" x14ac:dyDescent="0.3">
      <c r="A6193" s="17"/>
    </row>
    <row r="6194" spans="1:1" x14ac:dyDescent="0.3">
      <c r="A6194" s="17"/>
    </row>
    <row r="6195" spans="1:1" x14ac:dyDescent="0.3">
      <c r="A6195" s="17"/>
    </row>
    <row r="6196" spans="1:1" x14ac:dyDescent="0.3">
      <c r="A6196" s="17"/>
    </row>
    <row r="6197" spans="1:1" x14ac:dyDescent="0.3">
      <c r="A6197" s="17"/>
    </row>
    <row r="6198" spans="1:1" x14ac:dyDescent="0.3">
      <c r="A6198" s="17"/>
    </row>
    <row r="6199" spans="1:1" x14ac:dyDescent="0.3">
      <c r="A6199" s="17"/>
    </row>
    <row r="6200" spans="1:1" x14ac:dyDescent="0.3">
      <c r="A6200" s="17"/>
    </row>
    <row r="6201" spans="1:1" x14ac:dyDescent="0.3">
      <c r="A6201" s="17"/>
    </row>
    <row r="6202" spans="1:1" x14ac:dyDescent="0.3">
      <c r="A6202" s="17"/>
    </row>
    <row r="6203" spans="1:1" x14ac:dyDescent="0.3">
      <c r="A6203" s="17"/>
    </row>
    <row r="6204" spans="1:1" x14ac:dyDescent="0.3">
      <c r="A6204" s="17"/>
    </row>
    <row r="6205" spans="1:1" x14ac:dyDescent="0.3">
      <c r="A6205" s="17"/>
    </row>
    <row r="6206" spans="1:1" x14ac:dyDescent="0.3">
      <c r="A6206" s="17"/>
    </row>
    <row r="6207" spans="1:1" x14ac:dyDescent="0.3">
      <c r="A6207" s="17"/>
    </row>
    <row r="6208" spans="1:1" x14ac:dyDescent="0.3">
      <c r="A6208" s="17"/>
    </row>
    <row r="6209" spans="1:1" x14ac:dyDescent="0.3">
      <c r="A6209" s="17"/>
    </row>
    <row r="6210" spans="1:1" x14ac:dyDescent="0.3">
      <c r="A6210" s="17"/>
    </row>
    <row r="6211" spans="1:1" x14ac:dyDescent="0.3">
      <c r="A6211" s="17"/>
    </row>
    <row r="6212" spans="1:1" x14ac:dyDescent="0.3">
      <c r="A6212" s="17"/>
    </row>
    <row r="6213" spans="1:1" x14ac:dyDescent="0.3">
      <c r="A6213" s="17"/>
    </row>
    <row r="6214" spans="1:1" x14ac:dyDescent="0.3">
      <c r="A6214" s="17"/>
    </row>
    <row r="6215" spans="1:1" x14ac:dyDescent="0.3">
      <c r="A6215" s="17"/>
    </row>
    <row r="6216" spans="1:1" x14ac:dyDescent="0.3">
      <c r="A6216" s="17"/>
    </row>
    <row r="6217" spans="1:1" x14ac:dyDescent="0.3">
      <c r="A6217" s="17"/>
    </row>
    <row r="6218" spans="1:1" x14ac:dyDescent="0.3">
      <c r="A6218" s="17"/>
    </row>
    <row r="6219" spans="1:1" x14ac:dyDescent="0.3">
      <c r="A6219" s="17"/>
    </row>
    <row r="6220" spans="1:1" x14ac:dyDescent="0.3">
      <c r="A6220" s="17"/>
    </row>
    <row r="6221" spans="1:1" x14ac:dyDescent="0.3">
      <c r="A6221" s="17"/>
    </row>
    <row r="6222" spans="1:1" x14ac:dyDescent="0.3">
      <c r="A6222" s="17"/>
    </row>
    <row r="6223" spans="1:1" x14ac:dyDescent="0.3">
      <c r="A6223" s="17"/>
    </row>
    <row r="6224" spans="1:1" x14ac:dyDescent="0.3">
      <c r="A6224" s="17"/>
    </row>
    <row r="6225" spans="1:1" x14ac:dyDescent="0.3">
      <c r="A6225" s="17"/>
    </row>
    <row r="6226" spans="1:1" x14ac:dyDescent="0.3">
      <c r="A6226" s="17"/>
    </row>
    <row r="6227" spans="1:1" x14ac:dyDescent="0.3">
      <c r="A6227" s="17"/>
    </row>
    <row r="6228" spans="1:1" x14ac:dyDescent="0.3">
      <c r="A6228" s="17"/>
    </row>
    <row r="6229" spans="1:1" x14ac:dyDescent="0.3">
      <c r="A6229" s="17"/>
    </row>
    <row r="6230" spans="1:1" x14ac:dyDescent="0.3">
      <c r="A6230" s="17"/>
    </row>
    <row r="6231" spans="1:1" x14ac:dyDescent="0.3">
      <c r="A6231" s="17"/>
    </row>
    <row r="6232" spans="1:1" x14ac:dyDescent="0.3">
      <c r="A6232" s="17"/>
    </row>
    <row r="6233" spans="1:1" x14ac:dyDescent="0.3">
      <c r="A6233" s="17"/>
    </row>
    <row r="6234" spans="1:1" x14ac:dyDescent="0.3">
      <c r="A6234" s="17"/>
    </row>
    <row r="6235" spans="1:1" x14ac:dyDescent="0.3">
      <c r="A6235" s="17"/>
    </row>
    <row r="6236" spans="1:1" x14ac:dyDescent="0.3">
      <c r="A6236" s="17"/>
    </row>
    <row r="6237" spans="1:1" x14ac:dyDescent="0.3">
      <c r="A6237" s="17"/>
    </row>
    <row r="6238" spans="1:1" x14ac:dyDescent="0.3">
      <c r="A6238" s="17"/>
    </row>
    <row r="6239" spans="1:1" x14ac:dyDescent="0.3">
      <c r="A6239" s="17"/>
    </row>
    <row r="6240" spans="1:1" x14ac:dyDescent="0.3">
      <c r="A6240" s="17"/>
    </row>
    <row r="6241" spans="1:1" x14ac:dyDescent="0.3">
      <c r="A6241" s="17"/>
    </row>
    <row r="6242" spans="1:1" x14ac:dyDescent="0.3">
      <c r="A6242" s="17"/>
    </row>
    <row r="6243" spans="1:1" x14ac:dyDescent="0.3">
      <c r="A6243" s="17"/>
    </row>
    <row r="6244" spans="1:1" x14ac:dyDescent="0.3">
      <c r="A6244" s="17"/>
    </row>
    <row r="6245" spans="1:1" x14ac:dyDescent="0.3">
      <c r="A6245" s="17"/>
    </row>
    <row r="6246" spans="1:1" x14ac:dyDescent="0.3">
      <c r="A6246" s="17"/>
    </row>
    <row r="6247" spans="1:1" x14ac:dyDescent="0.3">
      <c r="A6247" s="17"/>
    </row>
    <row r="6248" spans="1:1" x14ac:dyDescent="0.3">
      <c r="A6248" s="17"/>
    </row>
    <row r="6249" spans="1:1" x14ac:dyDescent="0.3">
      <c r="A6249" s="17"/>
    </row>
    <row r="6250" spans="1:1" x14ac:dyDescent="0.3">
      <c r="A6250" s="17"/>
    </row>
    <row r="6251" spans="1:1" x14ac:dyDescent="0.3">
      <c r="A6251" s="17"/>
    </row>
    <row r="6252" spans="1:1" x14ac:dyDescent="0.3">
      <c r="A6252" s="17"/>
    </row>
    <row r="6253" spans="1:1" x14ac:dyDescent="0.3">
      <c r="A6253" s="17"/>
    </row>
    <row r="6254" spans="1:1" x14ac:dyDescent="0.3">
      <c r="A6254" s="17"/>
    </row>
    <row r="6255" spans="1:1" x14ac:dyDescent="0.3">
      <c r="A6255" s="17"/>
    </row>
    <row r="6256" spans="1:1" x14ac:dyDescent="0.3">
      <c r="A6256" s="17"/>
    </row>
    <row r="6257" spans="1:1" x14ac:dyDescent="0.3">
      <c r="A6257" s="17"/>
    </row>
    <row r="6258" spans="1:1" x14ac:dyDescent="0.3">
      <c r="A6258" s="17"/>
    </row>
    <row r="6259" spans="1:1" x14ac:dyDescent="0.3">
      <c r="A6259" s="17"/>
    </row>
    <row r="6260" spans="1:1" x14ac:dyDescent="0.3">
      <c r="A6260" s="17"/>
    </row>
    <row r="6261" spans="1:1" x14ac:dyDescent="0.3">
      <c r="A6261" s="17"/>
    </row>
    <row r="6262" spans="1:1" x14ac:dyDescent="0.3">
      <c r="A6262" s="17"/>
    </row>
    <row r="6263" spans="1:1" x14ac:dyDescent="0.3">
      <c r="A6263" s="17"/>
    </row>
    <row r="6264" spans="1:1" x14ac:dyDescent="0.3">
      <c r="A6264" s="17"/>
    </row>
    <row r="6265" spans="1:1" x14ac:dyDescent="0.3">
      <c r="A6265" s="17"/>
    </row>
    <row r="6266" spans="1:1" x14ac:dyDescent="0.3">
      <c r="A6266" s="17"/>
    </row>
    <row r="6267" spans="1:1" x14ac:dyDescent="0.3">
      <c r="A6267" s="17"/>
    </row>
    <row r="6268" spans="1:1" x14ac:dyDescent="0.3">
      <c r="A6268" s="17"/>
    </row>
    <row r="6269" spans="1:1" x14ac:dyDescent="0.3">
      <c r="A6269" s="17"/>
    </row>
    <row r="6270" spans="1:1" x14ac:dyDescent="0.3">
      <c r="A6270" s="17"/>
    </row>
    <row r="6271" spans="1:1" x14ac:dyDescent="0.3">
      <c r="A6271" s="17"/>
    </row>
    <row r="6272" spans="1:1" x14ac:dyDescent="0.3">
      <c r="A6272" s="17"/>
    </row>
    <row r="6273" spans="1:1" x14ac:dyDescent="0.3">
      <c r="A6273" s="17"/>
    </row>
    <row r="6274" spans="1:1" x14ac:dyDescent="0.3">
      <c r="A6274" s="17"/>
    </row>
    <row r="6275" spans="1:1" x14ac:dyDescent="0.3">
      <c r="A6275" s="17"/>
    </row>
    <row r="6276" spans="1:1" x14ac:dyDescent="0.3">
      <c r="A6276" s="17"/>
    </row>
    <row r="6277" spans="1:1" x14ac:dyDescent="0.3">
      <c r="A6277" s="17"/>
    </row>
    <row r="6278" spans="1:1" x14ac:dyDescent="0.3">
      <c r="A6278" s="17"/>
    </row>
    <row r="6279" spans="1:1" x14ac:dyDescent="0.3">
      <c r="A6279" s="17"/>
    </row>
    <row r="6280" spans="1:1" x14ac:dyDescent="0.3">
      <c r="A6280" s="17"/>
    </row>
    <row r="6281" spans="1:1" x14ac:dyDescent="0.3">
      <c r="A6281" s="17"/>
    </row>
    <row r="6282" spans="1:1" x14ac:dyDescent="0.3">
      <c r="A6282" s="17"/>
    </row>
    <row r="6283" spans="1:1" x14ac:dyDescent="0.3">
      <c r="A6283" s="17"/>
    </row>
    <row r="6284" spans="1:1" x14ac:dyDescent="0.3">
      <c r="A6284" s="17"/>
    </row>
    <row r="6285" spans="1:1" x14ac:dyDescent="0.3">
      <c r="A6285" s="17"/>
    </row>
    <row r="6286" spans="1:1" x14ac:dyDescent="0.3">
      <c r="A6286" s="17"/>
    </row>
    <row r="6287" spans="1:1" x14ac:dyDescent="0.3">
      <c r="A6287" s="17"/>
    </row>
    <row r="6288" spans="1:1" x14ac:dyDescent="0.3">
      <c r="A6288" s="17"/>
    </row>
    <row r="6289" spans="1:1" x14ac:dyDescent="0.3">
      <c r="A6289" s="17"/>
    </row>
    <row r="6290" spans="1:1" x14ac:dyDescent="0.3">
      <c r="A6290" s="17"/>
    </row>
    <row r="6291" spans="1:1" x14ac:dyDescent="0.3">
      <c r="A6291" s="17"/>
    </row>
    <row r="6292" spans="1:1" x14ac:dyDescent="0.3">
      <c r="A6292" s="17"/>
    </row>
    <row r="6293" spans="1:1" x14ac:dyDescent="0.3">
      <c r="A6293" s="17"/>
    </row>
    <row r="6294" spans="1:1" x14ac:dyDescent="0.3">
      <c r="A6294" s="17"/>
    </row>
    <row r="6295" spans="1:1" x14ac:dyDescent="0.3">
      <c r="A6295" s="17"/>
    </row>
    <row r="6296" spans="1:1" x14ac:dyDescent="0.3">
      <c r="A6296" s="17"/>
    </row>
    <row r="6297" spans="1:1" x14ac:dyDescent="0.3">
      <c r="A6297" s="17"/>
    </row>
    <row r="6298" spans="1:1" x14ac:dyDescent="0.3">
      <c r="A6298" s="17"/>
    </row>
    <row r="6299" spans="1:1" x14ac:dyDescent="0.3">
      <c r="A6299" s="17"/>
    </row>
    <row r="6300" spans="1:1" x14ac:dyDescent="0.3">
      <c r="A6300" s="17"/>
    </row>
    <row r="6301" spans="1:1" x14ac:dyDescent="0.3">
      <c r="A6301" s="17"/>
    </row>
    <row r="6302" spans="1:1" x14ac:dyDescent="0.3">
      <c r="A6302" s="17"/>
    </row>
    <row r="6303" spans="1:1" x14ac:dyDescent="0.3">
      <c r="A6303" s="17"/>
    </row>
    <row r="6304" spans="1:1" x14ac:dyDescent="0.3">
      <c r="A6304" s="17"/>
    </row>
    <row r="6305" spans="1:1" x14ac:dyDescent="0.3">
      <c r="A6305" s="17"/>
    </row>
    <row r="6306" spans="1:1" x14ac:dyDescent="0.3">
      <c r="A6306" s="17"/>
    </row>
    <row r="6307" spans="1:1" x14ac:dyDescent="0.3">
      <c r="A6307" s="17"/>
    </row>
    <row r="6308" spans="1:1" x14ac:dyDescent="0.3">
      <c r="A6308" s="17"/>
    </row>
    <row r="6309" spans="1:1" x14ac:dyDescent="0.3">
      <c r="A6309" s="17"/>
    </row>
    <row r="6310" spans="1:1" x14ac:dyDescent="0.3">
      <c r="A6310" s="17"/>
    </row>
    <row r="6311" spans="1:1" x14ac:dyDescent="0.3">
      <c r="A6311" s="17"/>
    </row>
    <row r="6312" spans="1:1" x14ac:dyDescent="0.3">
      <c r="A6312" s="17"/>
    </row>
    <row r="6313" spans="1:1" x14ac:dyDescent="0.3">
      <c r="A6313" s="17"/>
    </row>
    <row r="6314" spans="1:1" x14ac:dyDescent="0.3">
      <c r="A6314" s="17"/>
    </row>
    <row r="6315" spans="1:1" x14ac:dyDescent="0.3">
      <c r="A6315" s="17"/>
    </row>
    <row r="6316" spans="1:1" x14ac:dyDescent="0.3">
      <c r="A6316" s="17"/>
    </row>
    <row r="6317" spans="1:1" x14ac:dyDescent="0.3">
      <c r="A6317" s="17"/>
    </row>
    <row r="6318" spans="1:1" x14ac:dyDescent="0.3">
      <c r="A6318" s="17"/>
    </row>
    <row r="6319" spans="1:1" x14ac:dyDescent="0.3">
      <c r="A6319" s="17"/>
    </row>
    <row r="6320" spans="1:1" x14ac:dyDescent="0.3">
      <c r="A6320" s="17"/>
    </row>
    <row r="6321" spans="1:1" x14ac:dyDescent="0.3">
      <c r="A6321" s="17"/>
    </row>
    <row r="6322" spans="1:1" x14ac:dyDescent="0.3">
      <c r="A6322" s="17"/>
    </row>
    <row r="6323" spans="1:1" x14ac:dyDescent="0.3">
      <c r="A6323" s="17"/>
    </row>
    <row r="6324" spans="1:1" x14ac:dyDescent="0.3">
      <c r="A6324" s="17"/>
    </row>
    <row r="6325" spans="1:1" x14ac:dyDescent="0.3">
      <c r="A6325" s="17"/>
    </row>
    <row r="6326" spans="1:1" x14ac:dyDescent="0.3">
      <c r="A6326" s="17"/>
    </row>
    <row r="6327" spans="1:1" x14ac:dyDescent="0.3">
      <c r="A6327" s="17"/>
    </row>
    <row r="6328" spans="1:1" x14ac:dyDescent="0.3">
      <c r="A6328" s="17"/>
    </row>
    <row r="6329" spans="1:1" x14ac:dyDescent="0.3">
      <c r="A6329" s="17"/>
    </row>
    <row r="6330" spans="1:1" x14ac:dyDescent="0.3">
      <c r="A6330" s="17"/>
    </row>
    <row r="6331" spans="1:1" x14ac:dyDescent="0.3">
      <c r="A6331" s="17"/>
    </row>
    <row r="6332" spans="1:1" x14ac:dyDescent="0.3">
      <c r="A6332" s="17"/>
    </row>
    <row r="6333" spans="1:1" x14ac:dyDescent="0.3">
      <c r="A6333" s="17"/>
    </row>
    <row r="6334" spans="1:1" x14ac:dyDescent="0.3">
      <c r="A6334" s="17"/>
    </row>
    <row r="6335" spans="1:1" x14ac:dyDescent="0.3">
      <c r="A6335" s="17"/>
    </row>
    <row r="6336" spans="1:1" x14ac:dyDescent="0.3">
      <c r="A6336" s="17"/>
    </row>
    <row r="6337" spans="1:1" x14ac:dyDescent="0.3">
      <c r="A6337" s="17"/>
    </row>
    <row r="6338" spans="1:1" x14ac:dyDescent="0.3">
      <c r="A6338" s="17"/>
    </row>
    <row r="6339" spans="1:1" x14ac:dyDescent="0.3">
      <c r="A6339" s="17"/>
    </row>
    <row r="6340" spans="1:1" x14ac:dyDescent="0.3">
      <c r="A6340" s="17"/>
    </row>
    <row r="6341" spans="1:1" x14ac:dyDescent="0.3">
      <c r="A6341" s="17"/>
    </row>
    <row r="6342" spans="1:1" x14ac:dyDescent="0.3">
      <c r="A6342" s="17"/>
    </row>
    <row r="6343" spans="1:1" x14ac:dyDescent="0.3">
      <c r="A6343" s="17"/>
    </row>
    <row r="6344" spans="1:1" x14ac:dyDescent="0.3">
      <c r="A6344" s="17"/>
    </row>
    <row r="6345" spans="1:1" x14ac:dyDescent="0.3">
      <c r="A6345" s="17"/>
    </row>
    <row r="6346" spans="1:1" x14ac:dyDescent="0.3">
      <c r="A6346" s="17"/>
    </row>
    <row r="6347" spans="1:1" x14ac:dyDescent="0.3">
      <c r="A6347" s="17"/>
    </row>
    <row r="6348" spans="1:1" x14ac:dyDescent="0.3">
      <c r="A6348" s="17"/>
    </row>
    <row r="6349" spans="1:1" x14ac:dyDescent="0.3">
      <c r="A6349" s="17"/>
    </row>
    <row r="6350" spans="1:1" x14ac:dyDescent="0.3">
      <c r="A6350" s="17"/>
    </row>
    <row r="6351" spans="1:1" x14ac:dyDescent="0.3">
      <c r="A6351" s="17"/>
    </row>
    <row r="6352" spans="1:1" x14ac:dyDescent="0.3">
      <c r="A6352" s="17"/>
    </row>
    <row r="6353" spans="1:1" x14ac:dyDescent="0.3">
      <c r="A6353" s="17"/>
    </row>
    <row r="6354" spans="1:1" x14ac:dyDescent="0.3">
      <c r="A6354" s="17"/>
    </row>
    <row r="6355" spans="1:1" x14ac:dyDescent="0.3">
      <c r="A6355" s="17"/>
    </row>
    <row r="6356" spans="1:1" x14ac:dyDescent="0.3">
      <c r="A6356" s="17"/>
    </row>
    <row r="6357" spans="1:1" x14ac:dyDescent="0.3">
      <c r="A6357" s="17"/>
    </row>
    <row r="6358" spans="1:1" x14ac:dyDescent="0.3">
      <c r="A6358" s="17"/>
    </row>
    <row r="6359" spans="1:1" x14ac:dyDescent="0.3">
      <c r="A6359" s="17"/>
    </row>
    <row r="6360" spans="1:1" x14ac:dyDescent="0.3">
      <c r="A6360" s="17"/>
    </row>
    <row r="6361" spans="1:1" x14ac:dyDescent="0.3">
      <c r="A6361" s="17"/>
    </row>
    <row r="6362" spans="1:1" x14ac:dyDescent="0.3">
      <c r="A6362" s="17"/>
    </row>
    <row r="6363" spans="1:1" x14ac:dyDescent="0.3">
      <c r="A6363" s="17"/>
    </row>
    <row r="6364" spans="1:1" x14ac:dyDescent="0.3">
      <c r="A6364" s="17"/>
    </row>
    <row r="6365" spans="1:1" x14ac:dyDescent="0.3">
      <c r="A6365" s="17"/>
    </row>
    <row r="6366" spans="1:1" x14ac:dyDescent="0.3">
      <c r="A6366" s="17"/>
    </row>
    <row r="6367" spans="1:1" x14ac:dyDescent="0.3">
      <c r="A6367" s="17"/>
    </row>
    <row r="6368" spans="1:1" x14ac:dyDescent="0.3">
      <c r="A6368" s="17"/>
    </row>
    <row r="6369" spans="1:1" x14ac:dyDescent="0.3">
      <c r="A6369" s="17"/>
    </row>
    <row r="6370" spans="1:1" x14ac:dyDescent="0.3">
      <c r="A6370" s="17"/>
    </row>
    <row r="6371" spans="1:1" x14ac:dyDescent="0.3">
      <c r="A6371" s="17"/>
    </row>
    <row r="6372" spans="1:1" x14ac:dyDescent="0.3">
      <c r="A6372" s="17"/>
    </row>
    <row r="6373" spans="1:1" x14ac:dyDescent="0.3">
      <c r="A6373" s="17"/>
    </row>
    <row r="6374" spans="1:1" x14ac:dyDescent="0.3">
      <c r="A6374" s="17"/>
    </row>
    <row r="6375" spans="1:1" x14ac:dyDescent="0.3">
      <c r="A6375" s="17"/>
    </row>
    <row r="6376" spans="1:1" x14ac:dyDescent="0.3">
      <c r="A6376" s="17"/>
    </row>
    <row r="6377" spans="1:1" x14ac:dyDescent="0.3">
      <c r="A6377" s="17"/>
    </row>
    <row r="6378" spans="1:1" x14ac:dyDescent="0.3">
      <c r="A6378" s="17"/>
    </row>
    <row r="6379" spans="1:1" x14ac:dyDescent="0.3">
      <c r="A6379" s="17"/>
    </row>
    <row r="6380" spans="1:1" x14ac:dyDescent="0.3">
      <c r="A6380" s="17"/>
    </row>
    <row r="6381" spans="1:1" x14ac:dyDescent="0.3">
      <c r="A6381" s="17"/>
    </row>
    <row r="6382" spans="1:1" x14ac:dyDescent="0.3">
      <c r="A6382" s="17"/>
    </row>
    <row r="6383" spans="1:1" x14ac:dyDescent="0.3">
      <c r="A6383" s="17"/>
    </row>
    <row r="6384" spans="1:1" x14ac:dyDescent="0.3">
      <c r="A6384" s="17"/>
    </row>
    <row r="6385" spans="1:1" x14ac:dyDescent="0.3">
      <c r="A6385" s="17"/>
    </row>
    <row r="6386" spans="1:1" x14ac:dyDescent="0.3">
      <c r="A6386" s="17"/>
    </row>
    <row r="6387" spans="1:1" x14ac:dyDescent="0.3">
      <c r="A6387" s="17"/>
    </row>
    <row r="6388" spans="1:1" x14ac:dyDescent="0.3">
      <c r="A6388" s="17"/>
    </row>
    <row r="6389" spans="1:1" x14ac:dyDescent="0.3">
      <c r="A6389" s="17"/>
    </row>
    <row r="6390" spans="1:1" x14ac:dyDescent="0.3">
      <c r="A6390" s="17"/>
    </row>
    <row r="6391" spans="1:1" x14ac:dyDescent="0.3">
      <c r="A6391" s="17"/>
    </row>
    <row r="6392" spans="1:1" x14ac:dyDescent="0.3">
      <c r="A6392" s="17"/>
    </row>
    <row r="6393" spans="1:1" x14ac:dyDescent="0.3">
      <c r="A6393" s="17"/>
    </row>
    <row r="6394" spans="1:1" x14ac:dyDescent="0.3">
      <c r="A6394" s="17"/>
    </row>
    <row r="6395" spans="1:1" x14ac:dyDescent="0.3">
      <c r="A6395" s="17"/>
    </row>
    <row r="6396" spans="1:1" x14ac:dyDescent="0.3">
      <c r="A6396" s="17"/>
    </row>
    <row r="6397" spans="1:1" x14ac:dyDescent="0.3">
      <c r="A6397" s="17"/>
    </row>
    <row r="6398" spans="1:1" x14ac:dyDescent="0.3">
      <c r="A6398" s="17"/>
    </row>
    <row r="6399" spans="1:1" x14ac:dyDescent="0.3">
      <c r="A6399" s="17"/>
    </row>
    <row r="6400" spans="1:1" x14ac:dyDescent="0.3">
      <c r="A6400" s="17"/>
    </row>
    <row r="6401" spans="1:1" x14ac:dyDescent="0.3">
      <c r="A6401" s="17"/>
    </row>
    <row r="6402" spans="1:1" x14ac:dyDescent="0.3">
      <c r="A6402" s="17"/>
    </row>
    <row r="6403" spans="1:1" x14ac:dyDescent="0.3">
      <c r="A6403" s="17"/>
    </row>
    <row r="6404" spans="1:1" x14ac:dyDescent="0.3">
      <c r="A6404" s="17"/>
    </row>
    <row r="6405" spans="1:1" x14ac:dyDescent="0.3">
      <c r="A6405" s="17"/>
    </row>
    <row r="6406" spans="1:1" x14ac:dyDescent="0.3">
      <c r="A6406" s="17"/>
    </row>
    <row r="6407" spans="1:1" x14ac:dyDescent="0.3">
      <c r="A6407" s="17"/>
    </row>
    <row r="6408" spans="1:1" x14ac:dyDescent="0.3">
      <c r="A6408" s="17"/>
    </row>
    <row r="6409" spans="1:1" x14ac:dyDescent="0.3">
      <c r="A6409" s="17"/>
    </row>
    <row r="6410" spans="1:1" x14ac:dyDescent="0.3">
      <c r="A6410" s="17"/>
    </row>
    <row r="6411" spans="1:1" x14ac:dyDescent="0.3">
      <c r="A6411" s="17"/>
    </row>
    <row r="6412" spans="1:1" x14ac:dyDescent="0.3">
      <c r="A6412" s="17"/>
    </row>
    <row r="6413" spans="1:1" x14ac:dyDescent="0.3">
      <c r="A6413" s="17"/>
    </row>
    <row r="6414" spans="1:1" x14ac:dyDescent="0.3">
      <c r="A6414" s="17"/>
    </row>
    <row r="6415" spans="1:1" x14ac:dyDescent="0.3">
      <c r="A6415" s="17"/>
    </row>
    <row r="6416" spans="1:1" x14ac:dyDescent="0.3">
      <c r="A6416" s="17"/>
    </row>
    <row r="6417" spans="1:1" x14ac:dyDescent="0.3">
      <c r="A6417" s="17"/>
    </row>
    <row r="6418" spans="1:1" x14ac:dyDescent="0.3">
      <c r="A6418" s="17"/>
    </row>
    <row r="6419" spans="1:1" x14ac:dyDescent="0.3">
      <c r="A6419" s="17"/>
    </row>
    <row r="6420" spans="1:1" x14ac:dyDescent="0.3">
      <c r="A6420" s="17"/>
    </row>
    <row r="6421" spans="1:1" x14ac:dyDescent="0.3">
      <c r="A6421" s="17"/>
    </row>
    <row r="6422" spans="1:1" x14ac:dyDescent="0.3">
      <c r="A6422" s="17"/>
    </row>
    <row r="6423" spans="1:1" x14ac:dyDescent="0.3">
      <c r="A6423" s="17"/>
    </row>
    <row r="6424" spans="1:1" x14ac:dyDescent="0.3">
      <c r="A6424" s="17"/>
    </row>
    <row r="6425" spans="1:1" x14ac:dyDescent="0.3">
      <c r="A6425" s="17"/>
    </row>
    <row r="6426" spans="1:1" x14ac:dyDescent="0.3">
      <c r="A6426" s="17"/>
    </row>
    <row r="6427" spans="1:1" x14ac:dyDescent="0.3">
      <c r="A6427" s="17"/>
    </row>
    <row r="6428" spans="1:1" x14ac:dyDescent="0.3">
      <c r="A6428" s="17"/>
    </row>
    <row r="6429" spans="1:1" x14ac:dyDescent="0.3">
      <c r="A6429" s="17"/>
    </row>
    <row r="6430" spans="1:1" x14ac:dyDescent="0.3">
      <c r="A6430" s="17"/>
    </row>
    <row r="6431" spans="1:1" x14ac:dyDescent="0.3">
      <c r="A6431" s="17"/>
    </row>
    <row r="6432" spans="1:1" x14ac:dyDescent="0.3">
      <c r="A6432" s="17"/>
    </row>
    <row r="6433" spans="1:1" x14ac:dyDescent="0.3">
      <c r="A6433" s="17"/>
    </row>
    <row r="6434" spans="1:1" x14ac:dyDescent="0.3">
      <c r="A6434" s="17"/>
    </row>
    <row r="6435" spans="1:1" x14ac:dyDescent="0.3">
      <c r="A6435" s="17"/>
    </row>
    <row r="6436" spans="1:1" x14ac:dyDescent="0.3">
      <c r="A6436" s="17"/>
    </row>
    <row r="6437" spans="1:1" x14ac:dyDescent="0.3">
      <c r="A6437" s="17"/>
    </row>
    <row r="6438" spans="1:1" x14ac:dyDescent="0.3">
      <c r="A6438" s="17"/>
    </row>
    <row r="6439" spans="1:1" x14ac:dyDescent="0.3">
      <c r="A6439" s="17"/>
    </row>
    <row r="6440" spans="1:1" x14ac:dyDescent="0.3">
      <c r="A6440" s="17"/>
    </row>
    <row r="6441" spans="1:1" x14ac:dyDescent="0.3">
      <c r="A6441" s="17"/>
    </row>
    <row r="6442" spans="1:1" x14ac:dyDescent="0.3">
      <c r="A6442" s="17"/>
    </row>
    <row r="6443" spans="1:1" x14ac:dyDescent="0.3">
      <c r="A6443" s="17"/>
    </row>
    <row r="6444" spans="1:1" x14ac:dyDescent="0.3">
      <c r="A6444" s="17"/>
    </row>
    <row r="6445" spans="1:1" x14ac:dyDescent="0.3">
      <c r="A6445" s="17"/>
    </row>
    <row r="6446" spans="1:1" x14ac:dyDescent="0.3">
      <c r="A6446" s="17"/>
    </row>
    <row r="6447" spans="1:1" x14ac:dyDescent="0.3">
      <c r="A6447" s="17"/>
    </row>
    <row r="6448" spans="1:1" x14ac:dyDescent="0.3">
      <c r="A6448" s="17"/>
    </row>
    <row r="6449" spans="1:1" x14ac:dyDescent="0.3">
      <c r="A6449" s="17"/>
    </row>
    <row r="6450" spans="1:1" x14ac:dyDescent="0.3">
      <c r="A6450" s="17"/>
    </row>
    <row r="6451" spans="1:1" x14ac:dyDescent="0.3">
      <c r="A6451" s="17"/>
    </row>
    <row r="6452" spans="1:1" x14ac:dyDescent="0.3">
      <c r="A6452" s="17"/>
    </row>
    <row r="6453" spans="1:1" x14ac:dyDescent="0.3">
      <c r="A6453" s="17"/>
    </row>
    <row r="6454" spans="1:1" x14ac:dyDescent="0.3">
      <c r="A6454" s="17"/>
    </row>
    <row r="6455" spans="1:1" x14ac:dyDescent="0.3">
      <c r="A6455" s="17"/>
    </row>
    <row r="6456" spans="1:1" x14ac:dyDescent="0.3">
      <c r="A6456" s="17"/>
    </row>
    <row r="6457" spans="1:1" x14ac:dyDescent="0.3">
      <c r="A6457" s="17"/>
    </row>
    <row r="6458" spans="1:1" x14ac:dyDescent="0.3">
      <c r="A6458" s="17"/>
    </row>
    <row r="6459" spans="1:1" x14ac:dyDescent="0.3">
      <c r="A6459" s="17"/>
    </row>
    <row r="6460" spans="1:1" x14ac:dyDescent="0.3">
      <c r="A6460" s="17"/>
    </row>
    <row r="6461" spans="1:1" x14ac:dyDescent="0.3">
      <c r="A6461" s="17"/>
    </row>
    <row r="6462" spans="1:1" x14ac:dyDescent="0.3">
      <c r="A6462" s="17"/>
    </row>
    <row r="6463" spans="1:1" x14ac:dyDescent="0.3">
      <c r="A6463" s="17"/>
    </row>
    <row r="6464" spans="1:1" x14ac:dyDescent="0.3">
      <c r="A6464" s="17"/>
    </row>
    <row r="6465" spans="1:1" x14ac:dyDescent="0.3">
      <c r="A6465" s="17"/>
    </row>
    <row r="6466" spans="1:1" x14ac:dyDescent="0.3">
      <c r="A6466" s="17"/>
    </row>
    <row r="6467" spans="1:1" x14ac:dyDescent="0.3">
      <c r="A6467" s="17"/>
    </row>
    <row r="6468" spans="1:1" x14ac:dyDescent="0.3">
      <c r="A6468" s="17"/>
    </row>
    <row r="6469" spans="1:1" x14ac:dyDescent="0.3">
      <c r="A6469" s="17"/>
    </row>
    <row r="6470" spans="1:1" x14ac:dyDescent="0.3">
      <c r="A6470" s="17"/>
    </row>
    <row r="6471" spans="1:1" x14ac:dyDescent="0.3">
      <c r="A6471" s="17"/>
    </row>
    <row r="6472" spans="1:1" x14ac:dyDescent="0.3">
      <c r="A6472" s="17"/>
    </row>
    <row r="6473" spans="1:1" x14ac:dyDescent="0.3">
      <c r="A6473" s="17"/>
    </row>
    <row r="6474" spans="1:1" x14ac:dyDescent="0.3">
      <c r="A6474" s="17"/>
    </row>
    <row r="6475" spans="1:1" x14ac:dyDescent="0.3">
      <c r="A6475" s="17"/>
    </row>
    <row r="6476" spans="1:1" x14ac:dyDescent="0.3">
      <c r="A6476" s="17"/>
    </row>
    <row r="6477" spans="1:1" x14ac:dyDescent="0.3">
      <c r="A6477" s="17"/>
    </row>
    <row r="6478" spans="1:1" x14ac:dyDescent="0.3">
      <c r="A6478" s="17"/>
    </row>
    <row r="6479" spans="1:1" x14ac:dyDescent="0.3">
      <c r="A6479" s="17"/>
    </row>
    <row r="6480" spans="1:1" x14ac:dyDescent="0.3">
      <c r="A6480" s="17"/>
    </row>
    <row r="6481" spans="1:1" x14ac:dyDescent="0.3">
      <c r="A6481" s="17"/>
    </row>
    <row r="6482" spans="1:1" x14ac:dyDescent="0.3">
      <c r="A6482" s="17"/>
    </row>
    <row r="6483" spans="1:1" x14ac:dyDescent="0.3">
      <c r="A6483" s="17"/>
    </row>
    <row r="6484" spans="1:1" x14ac:dyDescent="0.3">
      <c r="A6484" s="17"/>
    </row>
    <row r="6485" spans="1:1" x14ac:dyDescent="0.3">
      <c r="A6485" s="17"/>
    </row>
    <row r="6486" spans="1:1" x14ac:dyDescent="0.3">
      <c r="A6486" s="17"/>
    </row>
    <row r="6487" spans="1:1" x14ac:dyDescent="0.3">
      <c r="A6487" s="17"/>
    </row>
    <row r="6488" spans="1:1" x14ac:dyDescent="0.3">
      <c r="A6488" s="17"/>
    </row>
    <row r="6489" spans="1:1" x14ac:dyDescent="0.3">
      <c r="A6489" s="17"/>
    </row>
    <row r="6490" spans="1:1" x14ac:dyDescent="0.3">
      <c r="A6490" s="17"/>
    </row>
    <row r="6491" spans="1:1" x14ac:dyDescent="0.3">
      <c r="A6491" s="17"/>
    </row>
    <row r="6492" spans="1:1" x14ac:dyDescent="0.3">
      <c r="A6492" s="17"/>
    </row>
    <row r="6493" spans="1:1" x14ac:dyDescent="0.3">
      <c r="A6493" s="17"/>
    </row>
    <row r="6494" spans="1:1" x14ac:dyDescent="0.3">
      <c r="A6494" s="17"/>
    </row>
    <row r="6495" spans="1:1" x14ac:dyDescent="0.3">
      <c r="A6495" s="17"/>
    </row>
    <row r="6496" spans="1:1" x14ac:dyDescent="0.3">
      <c r="A6496" s="17"/>
    </row>
    <row r="6497" spans="1:1" x14ac:dyDescent="0.3">
      <c r="A6497" s="17"/>
    </row>
    <row r="6498" spans="1:1" x14ac:dyDescent="0.3">
      <c r="A6498" s="17"/>
    </row>
    <row r="6499" spans="1:1" x14ac:dyDescent="0.3">
      <c r="A6499" s="17"/>
    </row>
    <row r="6500" spans="1:1" x14ac:dyDescent="0.3">
      <c r="A6500" s="17"/>
    </row>
    <row r="6501" spans="1:1" x14ac:dyDescent="0.3">
      <c r="A6501" s="17"/>
    </row>
    <row r="6502" spans="1:1" x14ac:dyDescent="0.3">
      <c r="A6502" s="17"/>
    </row>
    <row r="6503" spans="1:1" x14ac:dyDescent="0.3">
      <c r="A6503" s="17"/>
    </row>
    <row r="6504" spans="1:1" x14ac:dyDescent="0.3">
      <c r="A6504" s="17"/>
    </row>
    <row r="6505" spans="1:1" x14ac:dyDescent="0.3">
      <c r="A6505" s="17"/>
    </row>
    <row r="6506" spans="1:1" x14ac:dyDescent="0.3">
      <c r="A6506" s="17"/>
    </row>
    <row r="6507" spans="1:1" x14ac:dyDescent="0.3">
      <c r="A6507" s="17"/>
    </row>
    <row r="6508" spans="1:1" x14ac:dyDescent="0.3">
      <c r="A6508" s="17"/>
    </row>
    <row r="6509" spans="1:1" x14ac:dyDescent="0.3">
      <c r="A6509" s="17"/>
    </row>
    <row r="6510" spans="1:1" x14ac:dyDescent="0.3">
      <c r="A6510" s="17"/>
    </row>
    <row r="6511" spans="1:1" x14ac:dyDescent="0.3">
      <c r="A6511" s="17"/>
    </row>
    <row r="6512" spans="1:1" x14ac:dyDescent="0.3">
      <c r="A6512" s="17"/>
    </row>
    <row r="6513" spans="1:1" x14ac:dyDescent="0.3">
      <c r="A6513" s="17"/>
    </row>
    <row r="6514" spans="1:1" x14ac:dyDescent="0.3">
      <c r="A6514" s="17"/>
    </row>
    <row r="6515" spans="1:1" x14ac:dyDescent="0.3">
      <c r="A6515" s="17"/>
    </row>
    <row r="6516" spans="1:1" x14ac:dyDescent="0.3">
      <c r="A6516" s="17"/>
    </row>
    <row r="6517" spans="1:1" x14ac:dyDescent="0.3">
      <c r="A6517" s="17"/>
    </row>
    <row r="6518" spans="1:1" x14ac:dyDescent="0.3">
      <c r="A6518" s="17"/>
    </row>
    <row r="6519" spans="1:1" x14ac:dyDescent="0.3">
      <c r="A6519" s="17"/>
    </row>
    <row r="6520" spans="1:1" x14ac:dyDescent="0.3">
      <c r="A6520" s="17"/>
    </row>
    <row r="6521" spans="1:1" x14ac:dyDescent="0.3">
      <c r="A6521" s="17"/>
    </row>
    <row r="6522" spans="1:1" x14ac:dyDescent="0.3">
      <c r="A6522" s="17"/>
    </row>
    <row r="6523" spans="1:1" x14ac:dyDescent="0.3">
      <c r="A6523" s="17"/>
    </row>
    <row r="6524" spans="1:1" x14ac:dyDescent="0.3">
      <c r="A6524" s="17"/>
    </row>
    <row r="6525" spans="1:1" x14ac:dyDescent="0.3">
      <c r="A6525" s="17"/>
    </row>
    <row r="6526" spans="1:1" x14ac:dyDescent="0.3">
      <c r="A6526" s="17"/>
    </row>
    <row r="6527" spans="1:1" x14ac:dyDescent="0.3">
      <c r="A6527" s="17"/>
    </row>
    <row r="6528" spans="1:1" x14ac:dyDescent="0.3">
      <c r="A6528" s="17"/>
    </row>
    <row r="6529" spans="1:1" x14ac:dyDescent="0.3">
      <c r="A6529" s="17"/>
    </row>
    <row r="6530" spans="1:1" x14ac:dyDescent="0.3">
      <c r="A6530" s="17"/>
    </row>
    <row r="6531" spans="1:1" x14ac:dyDescent="0.3">
      <c r="A6531" s="17"/>
    </row>
    <row r="6532" spans="1:1" x14ac:dyDescent="0.3">
      <c r="A6532" s="17"/>
    </row>
    <row r="6533" spans="1:1" x14ac:dyDescent="0.3">
      <c r="A6533" s="17"/>
    </row>
    <row r="6534" spans="1:1" x14ac:dyDescent="0.3">
      <c r="A6534" s="17"/>
    </row>
    <row r="6535" spans="1:1" x14ac:dyDescent="0.3">
      <c r="A6535" s="17"/>
    </row>
    <row r="6536" spans="1:1" x14ac:dyDescent="0.3">
      <c r="A6536" s="17"/>
    </row>
    <row r="6537" spans="1:1" x14ac:dyDescent="0.3">
      <c r="A6537" s="17"/>
    </row>
    <row r="6538" spans="1:1" x14ac:dyDescent="0.3">
      <c r="A6538" s="17"/>
    </row>
    <row r="6539" spans="1:1" x14ac:dyDescent="0.3">
      <c r="A6539" s="17"/>
    </row>
    <row r="6540" spans="1:1" x14ac:dyDescent="0.3">
      <c r="A6540" s="17"/>
    </row>
    <row r="6541" spans="1:1" x14ac:dyDescent="0.3">
      <c r="A6541" s="17"/>
    </row>
    <row r="6542" spans="1:1" x14ac:dyDescent="0.3">
      <c r="A6542" s="17"/>
    </row>
    <row r="6543" spans="1:1" x14ac:dyDescent="0.3">
      <c r="A6543" s="17"/>
    </row>
    <row r="6544" spans="1:1" x14ac:dyDescent="0.3">
      <c r="A6544" s="17"/>
    </row>
    <row r="6545" spans="1:1" x14ac:dyDescent="0.3">
      <c r="A6545" s="17"/>
    </row>
    <row r="6546" spans="1:1" x14ac:dyDescent="0.3">
      <c r="A6546" s="17"/>
    </row>
    <row r="6547" spans="1:1" x14ac:dyDescent="0.3">
      <c r="A6547" s="17"/>
    </row>
    <row r="6548" spans="1:1" x14ac:dyDescent="0.3">
      <c r="A6548" s="17"/>
    </row>
    <row r="6549" spans="1:1" x14ac:dyDescent="0.3">
      <c r="A6549" s="17"/>
    </row>
    <row r="6550" spans="1:1" x14ac:dyDescent="0.3">
      <c r="A6550" s="17"/>
    </row>
    <row r="6551" spans="1:1" x14ac:dyDescent="0.3">
      <c r="A6551" s="17"/>
    </row>
    <row r="6552" spans="1:1" x14ac:dyDescent="0.3">
      <c r="A6552" s="17"/>
    </row>
    <row r="6553" spans="1:1" x14ac:dyDescent="0.3">
      <c r="A6553" s="17"/>
    </row>
    <row r="6554" spans="1:1" x14ac:dyDescent="0.3">
      <c r="A6554" s="17"/>
    </row>
    <row r="6555" spans="1:1" x14ac:dyDescent="0.3">
      <c r="A6555" s="17"/>
    </row>
    <row r="6556" spans="1:1" x14ac:dyDescent="0.3">
      <c r="A6556" s="17"/>
    </row>
    <row r="6557" spans="1:1" x14ac:dyDescent="0.3">
      <c r="A6557" s="17"/>
    </row>
    <row r="6558" spans="1:1" x14ac:dyDescent="0.3">
      <c r="A6558" s="17"/>
    </row>
    <row r="6559" spans="1:1" x14ac:dyDescent="0.3">
      <c r="A6559" s="17"/>
    </row>
    <row r="6560" spans="1:1" x14ac:dyDescent="0.3">
      <c r="A6560" s="17"/>
    </row>
    <row r="6561" spans="1:1" x14ac:dyDescent="0.3">
      <c r="A6561" s="17"/>
    </row>
    <row r="6562" spans="1:1" x14ac:dyDescent="0.3">
      <c r="A6562" s="17"/>
    </row>
    <row r="6563" spans="1:1" x14ac:dyDescent="0.3">
      <c r="A6563" s="17"/>
    </row>
    <row r="6564" spans="1:1" x14ac:dyDescent="0.3">
      <c r="A6564" s="17"/>
    </row>
    <row r="6565" spans="1:1" x14ac:dyDescent="0.3">
      <c r="A6565" s="17"/>
    </row>
    <row r="6566" spans="1:1" x14ac:dyDescent="0.3">
      <c r="A6566" s="17"/>
    </row>
    <row r="6567" spans="1:1" x14ac:dyDescent="0.3">
      <c r="A6567" s="17"/>
    </row>
    <row r="6568" spans="1:1" x14ac:dyDescent="0.3">
      <c r="A6568" s="17"/>
    </row>
    <row r="6569" spans="1:1" x14ac:dyDescent="0.3">
      <c r="A6569" s="17"/>
    </row>
    <row r="6570" spans="1:1" x14ac:dyDescent="0.3">
      <c r="A6570" s="17"/>
    </row>
    <row r="6571" spans="1:1" x14ac:dyDescent="0.3">
      <c r="A6571" s="17"/>
    </row>
    <row r="6572" spans="1:1" x14ac:dyDescent="0.3">
      <c r="A6572" s="17"/>
    </row>
    <row r="6573" spans="1:1" x14ac:dyDescent="0.3">
      <c r="A6573" s="17"/>
    </row>
    <row r="6574" spans="1:1" x14ac:dyDescent="0.3">
      <c r="A6574" s="17"/>
    </row>
    <row r="6575" spans="1:1" x14ac:dyDescent="0.3">
      <c r="A6575" s="17"/>
    </row>
    <row r="6576" spans="1:1" x14ac:dyDescent="0.3">
      <c r="A6576" s="17"/>
    </row>
    <row r="6577" spans="1:1" x14ac:dyDescent="0.3">
      <c r="A6577" s="17"/>
    </row>
    <row r="6578" spans="1:1" x14ac:dyDescent="0.3">
      <c r="A6578" s="17"/>
    </row>
    <row r="6579" spans="1:1" x14ac:dyDescent="0.3">
      <c r="A6579" s="17"/>
    </row>
    <row r="6580" spans="1:1" x14ac:dyDescent="0.3">
      <c r="A6580" s="17"/>
    </row>
    <row r="6581" spans="1:1" x14ac:dyDescent="0.3">
      <c r="A6581" s="17"/>
    </row>
    <row r="6582" spans="1:1" x14ac:dyDescent="0.3">
      <c r="A6582" s="17"/>
    </row>
    <row r="6583" spans="1:1" x14ac:dyDescent="0.3">
      <c r="A6583" s="17"/>
    </row>
    <row r="6584" spans="1:1" x14ac:dyDescent="0.3">
      <c r="A6584" s="17"/>
    </row>
    <row r="6585" spans="1:1" x14ac:dyDescent="0.3">
      <c r="A6585" s="17"/>
    </row>
    <row r="6586" spans="1:1" x14ac:dyDescent="0.3">
      <c r="A6586" s="17"/>
    </row>
    <row r="6587" spans="1:1" x14ac:dyDescent="0.3">
      <c r="A6587" s="17"/>
    </row>
    <row r="6588" spans="1:1" x14ac:dyDescent="0.3">
      <c r="A6588" s="17"/>
    </row>
    <row r="6589" spans="1:1" x14ac:dyDescent="0.3">
      <c r="A6589" s="17"/>
    </row>
    <row r="6590" spans="1:1" x14ac:dyDescent="0.3">
      <c r="A6590" s="17"/>
    </row>
    <row r="6591" spans="1:1" x14ac:dyDescent="0.3">
      <c r="A6591" s="17"/>
    </row>
    <row r="6592" spans="1:1" x14ac:dyDescent="0.3">
      <c r="A6592" s="17"/>
    </row>
    <row r="6593" spans="1:1" x14ac:dyDescent="0.3">
      <c r="A6593" s="17"/>
    </row>
    <row r="6594" spans="1:1" x14ac:dyDescent="0.3">
      <c r="A6594" s="17"/>
    </row>
    <row r="6595" spans="1:1" x14ac:dyDescent="0.3">
      <c r="A6595" s="17"/>
    </row>
    <row r="6596" spans="1:1" x14ac:dyDescent="0.3">
      <c r="A6596" s="17"/>
    </row>
    <row r="6597" spans="1:1" x14ac:dyDescent="0.3">
      <c r="A6597" s="17"/>
    </row>
    <row r="6598" spans="1:1" x14ac:dyDescent="0.3">
      <c r="A6598" s="17"/>
    </row>
    <row r="6599" spans="1:1" x14ac:dyDescent="0.3">
      <c r="A6599" s="17"/>
    </row>
    <row r="6600" spans="1:1" x14ac:dyDescent="0.3">
      <c r="A6600" s="17"/>
    </row>
    <row r="6601" spans="1:1" x14ac:dyDescent="0.3">
      <c r="A6601" s="17"/>
    </row>
    <row r="6602" spans="1:1" x14ac:dyDescent="0.3">
      <c r="A6602" s="17"/>
    </row>
    <row r="6603" spans="1:1" x14ac:dyDescent="0.3">
      <c r="A6603" s="17"/>
    </row>
    <row r="6604" spans="1:1" x14ac:dyDescent="0.3">
      <c r="A6604" s="17"/>
    </row>
    <row r="6605" spans="1:1" x14ac:dyDescent="0.3">
      <c r="A6605" s="17"/>
    </row>
    <row r="6606" spans="1:1" x14ac:dyDescent="0.3">
      <c r="A6606" s="17"/>
    </row>
    <row r="6607" spans="1:1" x14ac:dyDescent="0.3">
      <c r="A6607" s="17"/>
    </row>
    <row r="6608" spans="1:1" x14ac:dyDescent="0.3">
      <c r="A6608" s="17"/>
    </row>
    <row r="6609" spans="1:1" x14ac:dyDescent="0.3">
      <c r="A6609" s="17"/>
    </row>
    <row r="6610" spans="1:1" x14ac:dyDescent="0.3">
      <c r="A6610" s="17"/>
    </row>
    <row r="6611" spans="1:1" x14ac:dyDescent="0.3">
      <c r="A6611" s="17"/>
    </row>
    <row r="6612" spans="1:1" x14ac:dyDescent="0.3">
      <c r="A6612" s="17"/>
    </row>
    <row r="6613" spans="1:1" x14ac:dyDescent="0.3">
      <c r="A6613" s="17"/>
    </row>
    <row r="6614" spans="1:1" x14ac:dyDescent="0.3">
      <c r="A6614" s="17"/>
    </row>
    <row r="6615" spans="1:1" x14ac:dyDescent="0.3">
      <c r="A6615" s="17"/>
    </row>
    <row r="6616" spans="1:1" x14ac:dyDescent="0.3">
      <c r="A6616" s="17"/>
    </row>
    <row r="6617" spans="1:1" x14ac:dyDescent="0.3">
      <c r="A6617" s="17"/>
    </row>
    <row r="6618" spans="1:1" x14ac:dyDescent="0.3">
      <c r="A6618" s="17"/>
    </row>
    <row r="6619" spans="1:1" x14ac:dyDescent="0.3">
      <c r="A6619" s="17"/>
    </row>
    <row r="6620" spans="1:1" x14ac:dyDescent="0.3">
      <c r="A6620" s="17"/>
    </row>
    <row r="6621" spans="1:1" x14ac:dyDescent="0.3">
      <c r="A6621" s="17"/>
    </row>
    <row r="6622" spans="1:1" x14ac:dyDescent="0.3">
      <c r="A6622" s="17"/>
    </row>
    <row r="6623" spans="1:1" x14ac:dyDescent="0.3">
      <c r="A6623" s="17"/>
    </row>
    <row r="6624" spans="1:1" x14ac:dyDescent="0.3">
      <c r="A6624" s="17"/>
    </row>
    <row r="6625" spans="1:1" x14ac:dyDescent="0.3">
      <c r="A6625" s="17"/>
    </row>
    <row r="6626" spans="1:1" x14ac:dyDescent="0.3">
      <c r="A6626" s="17"/>
    </row>
    <row r="6627" spans="1:1" x14ac:dyDescent="0.3">
      <c r="A6627" s="17"/>
    </row>
    <row r="6628" spans="1:1" x14ac:dyDescent="0.3">
      <c r="A6628" s="17"/>
    </row>
    <row r="6629" spans="1:1" x14ac:dyDescent="0.3">
      <c r="A6629" s="17"/>
    </row>
    <row r="6630" spans="1:1" x14ac:dyDescent="0.3">
      <c r="A6630" s="17"/>
    </row>
    <row r="6631" spans="1:1" x14ac:dyDescent="0.3">
      <c r="A6631" s="17"/>
    </row>
    <row r="6632" spans="1:1" x14ac:dyDescent="0.3">
      <c r="A6632" s="17"/>
    </row>
    <row r="6633" spans="1:1" x14ac:dyDescent="0.3">
      <c r="A6633" s="17"/>
    </row>
    <row r="6634" spans="1:1" x14ac:dyDescent="0.3">
      <c r="A6634" s="17"/>
    </row>
    <row r="6635" spans="1:1" x14ac:dyDescent="0.3">
      <c r="A6635" s="17"/>
    </row>
    <row r="6636" spans="1:1" x14ac:dyDescent="0.3">
      <c r="A6636" s="17"/>
    </row>
    <row r="6637" spans="1:1" x14ac:dyDescent="0.3">
      <c r="A6637" s="17"/>
    </row>
    <row r="6638" spans="1:1" x14ac:dyDescent="0.3">
      <c r="A6638" s="17"/>
    </row>
    <row r="6639" spans="1:1" x14ac:dyDescent="0.3">
      <c r="A6639" s="17"/>
    </row>
    <row r="6640" spans="1:1" x14ac:dyDescent="0.3">
      <c r="A6640" s="17"/>
    </row>
    <row r="6641" spans="1:1" x14ac:dyDescent="0.3">
      <c r="A6641" s="17"/>
    </row>
    <row r="6642" spans="1:1" x14ac:dyDescent="0.3">
      <c r="A6642" s="17"/>
    </row>
    <row r="6643" spans="1:1" x14ac:dyDescent="0.3">
      <c r="A6643" s="17"/>
    </row>
    <row r="6644" spans="1:1" x14ac:dyDescent="0.3">
      <c r="A6644" s="17"/>
    </row>
    <row r="6645" spans="1:1" x14ac:dyDescent="0.3">
      <c r="A6645" s="17"/>
    </row>
    <row r="6646" spans="1:1" x14ac:dyDescent="0.3">
      <c r="A6646" s="17"/>
    </row>
    <row r="6647" spans="1:1" x14ac:dyDescent="0.3">
      <c r="A6647" s="17"/>
    </row>
    <row r="6648" spans="1:1" x14ac:dyDescent="0.3">
      <c r="A6648" s="17"/>
    </row>
    <row r="6649" spans="1:1" x14ac:dyDescent="0.3">
      <c r="A6649" s="17"/>
    </row>
    <row r="6650" spans="1:1" x14ac:dyDescent="0.3">
      <c r="A6650" s="17"/>
    </row>
    <row r="6651" spans="1:1" x14ac:dyDescent="0.3">
      <c r="A6651" s="17"/>
    </row>
    <row r="6652" spans="1:1" x14ac:dyDescent="0.3">
      <c r="A6652" s="17"/>
    </row>
    <row r="6653" spans="1:1" x14ac:dyDescent="0.3">
      <c r="A6653" s="17"/>
    </row>
    <row r="6654" spans="1:1" x14ac:dyDescent="0.3">
      <c r="A6654" s="17"/>
    </row>
    <row r="6655" spans="1:1" x14ac:dyDescent="0.3">
      <c r="A6655" s="17"/>
    </row>
    <row r="6656" spans="1:1" x14ac:dyDescent="0.3">
      <c r="A6656" s="17"/>
    </row>
    <row r="6657" spans="1:1" x14ac:dyDescent="0.3">
      <c r="A6657" s="17"/>
    </row>
    <row r="6658" spans="1:1" x14ac:dyDescent="0.3">
      <c r="A6658" s="17"/>
    </row>
    <row r="6659" spans="1:1" x14ac:dyDescent="0.3">
      <c r="A6659" s="17"/>
    </row>
    <row r="6660" spans="1:1" x14ac:dyDescent="0.3">
      <c r="A6660" s="17"/>
    </row>
    <row r="6661" spans="1:1" x14ac:dyDescent="0.3">
      <c r="A6661" s="17"/>
    </row>
    <row r="6662" spans="1:1" x14ac:dyDescent="0.3">
      <c r="A6662" s="17"/>
    </row>
    <row r="6663" spans="1:1" x14ac:dyDescent="0.3">
      <c r="A6663" s="17"/>
    </row>
    <row r="6664" spans="1:1" x14ac:dyDescent="0.3">
      <c r="A6664" s="17"/>
    </row>
    <row r="6665" spans="1:1" x14ac:dyDescent="0.3">
      <c r="A6665" s="17"/>
    </row>
    <row r="6666" spans="1:1" x14ac:dyDescent="0.3">
      <c r="A6666" s="17"/>
    </row>
    <row r="6667" spans="1:1" x14ac:dyDescent="0.3">
      <c r="A6667" s="17"/>
    </row>
    <row r="6668" spans="1:1" x14ac:dyDescent="0.3">
      <c r="A6668" s="17"/>
    </row>
    <row r="6669" spans="1:1" x14ac:dyDescent="0.3">
      <c r="A6669" s="17"/>
    </row>
    <row r="6670" spans="1:1" x14ac:dyDescent="0.3">
      <c r="A6670" s="17"/>
    </row>
    <row r="6671" spans="1:1" x14ac:dyDescent="0.3">
      <c r="A6671" s="17"/>
    </row>
    <row r="6672" spans="1:1" x14ac:dyDescent="0.3">
      <c r="A6672" s="17"/>
    </row>
    <row r="6673" spans="1:1" x14ac:dyDescent="0.3">
      <c r="A6673" s="17"/>
    </row>
    <row r="6674" spans="1:1" x14ac:dyDescent="0.3">
      <c r="A6674" s="17"/>
    </row>
    <row r="6675" spans="1:1" x14ac:dyDescent="0.3">
      <c r="A6675" s="17"/>
    </row>
    <row r="6676" spans="1:1" x14ac:dyDescent="0.3">
      <c r="A6676" s="17"/>
    </row>
    <row r="6677" spans="1:1" x14ac:dyDescent="0.3">
      <c r="A6677" s="17"/>
    </row>
    <row r="6678" spans="1:1" x14ac:dyDescent="0.3">
      <c r="A6678" s="17"/>
    </row>
    <row r="6679" spans="1:1" x14ac:dyDescent="0.3">
      <c r="A6679" s="17"/>
    </row>
    <row r="6680" spans="1:1" x14ac:dyDescent="0.3">
      <c r="A6680" s="17"/>
    </row>
    <row r="6681" spans="1:1" x14ac:dyDescent="0.3">
      <c r="A6681" s="17"/>
    </row>
    <row r="6682" spans="1:1" x14ac:dyDescent="0.3">
      <c r="A6682" s="17"/>
    </row>
    <row r="6683" spans="1:1" x14ac:dyDescent="0.3">
      <c r="A6683" s="17"/>
    </row>
    <row r="6684" spans="1:1" x14ac:dyDescent="0.3">
      <c r="A6684" s="17"/>
    </row>
    <row r="6685" spans="1:1" x14ac:dyDescent="0.3">
      <c r="A6685" s="17"/>
    </row>
    <row r="6686" spans="1:1" x14ac:dyDescent="0.3">
      <c r="A6686" s="17"/>
    </row>
    <row r="6687" spans="1:1" x14ac:dyDescent="0.3">
      <c r="A6687" s="17"/>
    </row>
    <row r="6688" spans="1:1" x14ac:dyDescent="0.3">
      <c r="A6688" s="17"/>
    </row>
    <row r="6689" spans="1:1" x14ac:dyDescent="0.3">
      <c r="A6689" s="17"/>
    </row>
    <row r="6690" spans="1:1" x14ac:dyDescent="0.3">
      <c r="A6690" s="17"/>
    </row>
    <row r="6691" spans="1:1" x14ac:dyDescent="0.3">
      <c r="A6691" s="17"/>
    </row>
    <row r="6692" spans="1:1" x14ac:dyDescent="0.3">
      <c r="A6692" s="17"/>
    </row>
    <row r="6693" spans="1:1" x14ac:dyDescent="0.3">
      <c r="A6693" s="17"/>
    </row>
    <row r="6694" spans="1:1" x14ac:dyDescent="0.3">
      <c r="A6694" s="17"/>
    </row>
    <row r="6695" spans="1:1" x14ac:dyDescent="0.3">
      <c r="A6695" s="17"/>
    </row>
    <row r="6696" spans="1:1" x14ac:dyDescent="0.3">
      <c r="A6696" s="17"/>
    </row>
    <row r="6697" spans="1:1" x14ac:dyDescent="0.3">
      <c r="A6697" s="17"/>
    </row>
    <row r="6698" spans="1:1" x14ac:dyDescent="0.3">
      <c r="A6698" s="17"/>
    </row>
    <row r="6699" spans="1:1" x14ac:dyDescent="0.3">
      <c r="A6699" s="17"/>
    </row>
    <row r="6700" spans="1:1" x14ac:dyDescent="0.3">
      <c r="A6700" s="17"/>
    </row>
    <row r="6701" spans="1:1" x14ac:dyDescent="0.3">
      <c r="A6701" s="17"/>
    </row>
    <row r="6702" spans="1:1" x14ac:dyDescent="0.3">
      <c r="A6702" s="17"/>
    </row>
    <row r="6703" spans="1:1" x14ac:dyDescent="0.3">
      <c r="A6703" s="17"/>
    </row>
    <row r="6704" spans="1:1" x14ac:dyDescent="0.3">
      <c r="A6704" s="17"/>
    </row>
    <row r="6705" spans="1:1" x14ac:dyDescent="0.3">
      <c r="A6705" s="17"/>
    </row>
    <row r="6706" spans="1:1" x14ac:dyDescent="0.3">
      <c r="A6706" s="17"/>
    </row>
    <row r="6707" spans="1:1" x14ac:dyDescent="0.3">
      <c r="A6707" s="17"/>
    </row>
    <row r="6708" spans="1:1" x14ac:dyDescent="0.3">
      <c r="A6708" s="17"/>
    </row>
    <row r="6709" spans="1:1" x14ac:dyDescent="0.3">
      <c r="A6709" s="17"/>
    </row>
    <row r="6710" spans="1:1" x14ac:dyDescent="0.3">
      <c r="A6710" s="17"/>
    </row>
    <row r="6711" spans="1:1" x14ac:dyDescent="0.3">
      <c r="A6711" s="17"/>
    </row>
    <row r="6712" spans="1:1" x14ac:dyDescent="0.3">
      <c r="A6712" s="17"/>
    </row>
    <row r="6713" spans="1:1" x14ac:dyDescent="0.3">
      <c r="A6713" s="17"/>
    </row>
    <row r="6714" spans="1:1" x14ac:dyDescent="0.3">
      <c r="A6714" s="17"/>
    </row>
    <row r="6715" spans="1:1" x14ac:dyDescent="0.3">
      <c r="A6715" s="17"/>
    </row>
    <row r="6716" spans="1:1" x14ac:dyDescent="0.3">
      <c r="A6716" s="17"/>
    </row>
    <row r="6717" spans="1:1" x14ac:dyDescent="0.3">
      <c r="A6717" s="17"/>
    </row>
    <row r="6718" spans="1:1" x14ac:dyDescent="0.3">
      <c r="A6718" s="17"/>
    </row>
    <row r="6719" spans="1:1" x14ac:dyDescent="0.3">
      <c r="A6719" s="17"/>
    </row>
    <row r="6720" spans="1:1" x14ac:dyDescent="0.3">
      <c r="A6720" s="17"/>
    </row>
    <row r="6721" spans="1:1" x14ac:dyDescent="0.3">
      <c r="A6721" s="17"/>
    </row>
    <row r="6722" spans="1:1" x14ac:dyDescent="0.3">
      <c r="A6722" s="17"/>
    </row>
    <row r="6723" spans="1:1" x14ac:dyDescent="0.3">
      <c r="A6723" s="17"/>
    </row>
    <row r="6724" spans="1:1" x14ac:dyDescent="0.3">
      <c r="A6724" s="17"/>
    </row>
    <row r="6725" spans="1:1" x14ac:dyDescent="0.3">
      <c r="A6725" s="17"/>
    </row>
    <row r="6726" spans="1:1" x14ac:dyDescent="0.3">
      <c r="A6726" s="17"/>
    </row>
    <row r="6727" spans="1:1" x14ac:dyDescent="0.3">
      <c r="A6727" s="17"/>
    </row>
    <row r="6728" spans="1:1" x14ac:dyDescent="0.3">
      <c r="A6728" s="17"/>
    </row>
    <row r="6729" spans="1:1" x14ac:dyDescent="0.3">
      <c r="A6729" s="17"/>
    </row>
    <row r="6730" spans="1:1" x14ac:dyDescent="0.3">
      <c r="A6730" s="17"/>
    </row>
    <row r="6731" spans="1:1" x14ac:dyDescent="0.3">
      <c r="A6731" s="17"/>
    </row>
    <row r="6732" spans="1:1" x14ac:dyDescent="0.3">
      <c r="A6732" s="17"/>
    </row>
    <row r="6733" spans="1:1" x14ac:dyDescent="0.3">
      <c r="A6733" s="17"/>
    </row>
    <row r="6734" spans="1:1" x14ac:dyDescent="0.3">
      <c r="A6734" s="17"/>
    </row>
    <row r="6735" spans="1:1" x14ac:dyDescent="0.3">
      <c r="A6735" s="17"/>
    </row>
    <row r="6736" spans="1:1" x14ac:dyDescent="0.3">
      <c r="A6736" s="17"/>
    </row>
    <row r="6737" spans="1:1" x14ac:dyDescent="0.3">
      <c r="A6737" s="17"/>
    </row>
    <row r="6738" spans="1:1" x14ac:dyDescent="0.3">
      <c r="A6738" s="17"/>
    </row>
    <row r="6739" spans="1:1" x14ac:dyDescent="0.3">
      <c r="A6739" s="17"/>
    </row>
    <row r="6740" spans="1:1" x14ac:dyDescent="0.3">
      <c r="A6740" s="17"/>
    </row>
    <row r="6741" spans="1:1" x14ac:dyDescent="0.3">
      <c r="A6741" s="17"/>
    </row>
    <row r="6742" spans="1:1" x14ac:dyDescent="0.3">
      <c r="A6742" s="17"/>
    </row>
    <row r="6743" spans="1:1" x14ac:dyDescent="0.3">
      <c r="A6743" s="17"/>
    </row>
    <row r="6744" spans="1:1" x14ac:dyDescent="0.3">
      <c r="A6744" s="17"/>
    </row>
    <row r="6745" spans="1:1" x14ac:dyDescent="0.3">
      <c r="A6745" s="17"/>
    </row>
    <row r="6746" spans="1:1" x14ac:dyDescent="0.3">
      <c r="A6746" s="17"/>
    </row>
    <row r="6747" spans="1:1" x14ac:dyDescent="0.3">
      <c r="A6747" s="17"/>
    </row>
    <row r="6748" spans="1:1" x14ac:dyDescent="0.3">
      <c r="A6748" s="17"/>
    </row>
    <row r="6749" spans="1:1" x14ac:dyDescent="0.3">
      <c r="A6749" s="17"/>
    </row>
    <row r="6750" spans="1:1" x14ac:dyDescent="0.3">
      <c r="A6750" s="17"/>
    </row>
    <row r="6751" spans="1:1" x14ac:dyDescent="0.3">
      <c r="A6751" s="17"/>
    </row>
    <row r="6752" spans="1:1" x14ac:dyDescent="0.3">
      <c r="A6752" s="17"/>
    </row>
    <row r="6753" spans="1:1" x14ac:dyDescent="0.3">
      <c r="A6753" s="17"/>
    </row>
    <row r="6754" spans="1:1" x14ac:dyDescent="0.3">
      <c r="A6754" s="17"/>
    </row>
    <row r="6755" spans="1:1" x14ac:dyDescent="0.3">
      <c r="A6755" s="17"/>
    </row>
    <row r="6756" spans="1:1" x14ac:dyDescent="0.3">
      <c r="A6756" s="17"/>
    </row>
    <row r="6757" spans="1:1" x14ac:dyDescent="0.3">
      <c r="A6757" s="17"/>
    </row>
    <row r="6758" spans="1:1" x14ac:dyDescent="0.3">
      <c r="A6758" s="17"/>
    </row>
    <row r="6759" spans="1:1" x14ac:dyDescent="0.3">
      <c r="A6759" s="17"/>
    </row>
    <row r="6760" spans="1:1" x14ac:dyDescent="0.3">
      <c r="A6760" s="17"/>
    </row>
    <row r="6761" spans="1:1" x14ac:dyDescent="0.3">
      <c r="A6761" s="17"/>
    </row>
    <row r="6762" spans="1:1" x14ac:dyDescent="0.3">
      <c r="A6762" s="17"/>
    </row>
    <row r="6763" spans="1:1" x14ac:dyDescent="0.3">
      <c r="A6763" s="17"/>
    </row>
    <row r="6764" spans="1:1" x14ac:dyDescent="0.3">
      <c r="A6764" s="17"/>
    </row>
    <row r="6765" spans="1:1" x14ac:dyDescent="0.3">
      <c r="A6765" s="17"/>
    </row>
    <row r="6766" spans="1:1" x14ac:dyDescent="0.3">
      <c r="A6766" s="17"/>
    </row>
    <row r="6767" spans="1:1" x14ac:dyDescent="0.3">
      <c r="A6767" s="17"/>
    </row>
    <row r="6768" spans="1:1" x14ac:dyDescent="0.3">
      <c r="A6768" s="17"/>
    </row>
    <row r="6769" spans="1:1" x14ac:dyDescent="0.3">
      <c r="A6769" s="17"/>
    </row>
    <row r="6770" spans="1:1" x14ac:dyDescent="0.3">
      <c r="A6770" s="17"/>
    </row>
    <row r="6771" spans="1:1" x14ac:dyDescent="0.3">
      <c r="A6771" s="17"/>
    </row>
    <row r="6772" spans="1:1" x14ac:dyDescent="0.3">
      <c r="A6772" s="17"/>
    </row>
    <row r="6773" spans="1:1" x14ac:dyDescent="0.3">
      <c r="A6773" s="17"/>
    </row>
    <row r="6774" spans="1:1" x14ac:dyDescent="0.3">
      <c r="A6774" s="17"/>
    </row>
    <row r="6775" spans="1:1" x14ac:dyDescent="0.3">
      <c r="A6775" s="17"/>
    </row>
    <row r="6776" spans="1:1" x14ac:dyDescent="0.3">
      <c r="A6776" s="17"/>
    </row>
    <row r="6777" spans="1:1" x14ac:dyDescent="0.3">
      <c r="A6777" s="17"/>
    </row>
    <row r="6778" spans="1:1" x14ac:dyDescent="0.3">
      <c r="A6778" s="17"/>
    </row>
    <row r="6779" spans="1:1" x14ac:dyDescent="0.3">
      <c r="A6779" s="17"/>
    </row>
    <row r="6780" spans="1:1" x14ac:dyDescent="0.3">
      <c r="A6780" s="17"/>
    </row>
    <row r="6781" spans="1:1" x14ac:dyDescent="0.3">
      <c r="A6781" s="17"/>
    </row>
    <row r="6782" spans="1:1" x14ac:dyDescent="0.3">
      <c r="A6782" s="17"/>
    </row>
    <row r="6783" spans="1:1" x14ac:dyDescent="0.3">
      <c r="A6783" s="17"/>
    </row>
    <row r="6784" spans="1:1" x14ac:dyDescent="0.3">
      <c r="A6784" s="17"/>
    </row>
    <row r="6785" spans="1:1" x14ac:dyDescent="0.3">
      <c r="A6785" s="17"/>
    </row>
    <row r="6786" spans="1:1" x14ac:dyDescent="0.3">
      <c r="A6786" s="17"/>
    </row>
    <row r="6787" spans="1:1" x14ac:dyDescent="0.3">
      <c r="A6787" s="17"/>
    </row>
    <row r="6788" spans="1:1" x14ac:dyDescent="0.3">
      <c r="A6788" s="17"/>
    </row>
    <row r="6789" spans="1:1" x14ac:dyDescent="0.3">
      <c r="A6789" s="17"/>
    </row>
    <row r="6790" spans="1:1" x14ac:dyDescent="0.3">
      <c r="A6790" s="17"/>
    </row>
    <row r="6791" spans="1:1" x14ac:dyDescent="0.3">
      <c r="A6791" s="17"/>
    </row>
    <row r="6792" spans="1:1" x14ac:dyDescent="0.3">
      <c r="A6792" s="17"/>
    </row>
    <row r="6793" spans="1:1" x14ac:dyDescent="0.3">
      <c r="A6793" s="17"/>
    </row>
    <row r="6794" spans="1:1" x14ac:dyDescent="0.3">
      <c r="A6794" s="17"/>
    </row>
    <row r="6795" spans="1:1" x14ac:dyDescent="0.3">
      <c r="A6795" s="17"/>
    </row>
    <row r="6796" spans="1:1" x14ac:dyDescent="0.3">
      <c r="A6796" s="17"/>
    </row>
    <row r="6797" spans="1:1" x14ac:dyDescent="0.3">
      <c r="A6797" s="17"/>
    </row>
    <row r="6798" spans="1:1" x14ac:dyDescent="0.3">
      <c r="A6798" s="17"/>
    </row>
    <row r="6799" spans="1:1" x14ac:dyDescent="0.3">
      <c r="A6799" s="17"/>
    </row>
    <row r="6800" spans="1:1" x14ac:dyDescent="0.3">
      <c r="A6800" s="17"/>
    </row>
    <row r="6801" spans="1:1" x14ac:dyDescent="0.3">
      <c r="A6801" s="17"/>
    </row>
    <row r="6802" spans="1:1" x14ac:dyDescent="0.3">
      <c r="A6802" s="17"/>
    </row>
    <row r="6803" spans="1:1" x14ac:dyDescent="0.3">
      <c r="A6803" s="17"/>
    </row>
    <row r="6804" spans="1:1" x14ac:dyDescent="0.3">
      <c r="A6804" s="17"/>
    </row>
    <row r="6805" spans="1:1" x14ac:dyDescent="0.3">
      <c r="A6805" s="17"/>
    </row>
    <row r="6806" spans="1:1" x14ac:dyDescent="0.3">
      <c r="A6806" s="17"/>
    </row>
    <row r="6807" spans="1:1" x14ac:dyDescent="0.3">
      <c r="A6807" s="17"/>
    </row>
    <row r="6808" spans="1:1" x14ac:dyDescent="0.3">
      <c r="A6808" s="17"/>
    </row>
    <row r="6809" spans="1:1" x14ac:dyDescent="0.3">
      <c r="A6809" s="17"/>
    </row>
    <row r="6810" spans="1:1" x14ac:dyDescent="0.3">
      <c r="A6810" s="17"/>
    </row>
    <row r="6811" spans="1:1" x14ac:dyDescent="0.3">
      <c r="A6811" s="17"/>
    </row>
    <row r="6812" spans="1:1" x14ac:dyDescent="0.3">
      <c r="A6812" s="17"/>
    </row>
    <row r="6813" spans="1:1" x14ac:dyDescent="0.3">
      <c r="A6813" s="17"/>
    </row>
    <row r="6814" spans="1:1" x14ac:dyDescent="0.3">
      <c r="A6814" s="17"/>
    </row>
    <row r="6815" spans="1:1" x14ac:dyDescent="0.3">
      <c r="A6815" s="17"/>
    </row>
    <row r="6816" spans="1:1" x14ac:dyDescent="0.3">
      <c r="A6816" s="17"/>
    </row>
    <row r="6817" spans="1:1" x14ac:dyDescent="0.3">
      <c r="A6817" s="17"/>
    </row>
    <row r="6818" spans="1:1" x14ac:dyDescent="0.3">
      <c r="A6818" s="17"/>
    </row>
    <row r="6819" spans="1:1" x14ac:dyDescent="0.3">
      <c r="A6819" s="17"/>
    </row>
    <row r="6820" spans="1:1" x14ac:dyDescent="0.3">
      <c r="A6820" s="17"/>
    </row>
    <row r="6821" spans="1:1" x14ac:dyDescent="0.3">
      <c r="A6821" s="17"/>
    </row>
    <row r="6822" spans="1:1" x14ac:dyDescent="0.3">
      <c r="A6822" s="17"/>
    </row>
    <row r="6823" spans="1:1" x14ac:dyDescent="0.3">
      <c r="A6823" s="17"/>
    </row>
    <row r="6824" spans="1:1" x14ac:dyDescent="0.3">
      <c r="A6824" s="17"/>
    </row>
    <row r="6825" spans="1:1" x14ac:dyDescent="0.3">
      <c r="A6825" s="17"/>
    </row>
    <row r="6826" spans="1:1" x14ac:dyDescent="0.3">
      <c r="A6826" s="17"/>
    </row>
    <row r="6827" spans="1:1" x14ac:dyDescent="0.3">
      <c r="A6827" s="17"/>
    </row>
    <row r="6828" spans="1:1" x14ac:dyDescent="0.3">
      <c r="A6828" s="17"/>
    </row>
    <row r="6829" spans="1:1" x14ac:dyDescent="0.3">
      <c r="A6829" s="17"/>
    </row>
    <row r="6830" spans="1:1" x14ac:dyDescent="0.3">
      <c r="A6830" s="17"/>
    </row>
    <row r="6831" spans="1:1" x14ac:dyDescent="0.3">
      <c r="A6831" s="17"/>
    </row>
    <row r="6832" spans="1:1" x14ac:dyDescent="0.3">
      <c r="A6832" s="17"/>
    </row>
    <row r="6833" spans="1:1" x14ac:dyDescent="0.3">
      <c r="A6833" s="17"/>
    </row>
    <row r="6834" spans="1:1" x14ac:dyDescent="0.3">
      <c r="A6834" s="17"/>
    </row>
    <row r="6835" spans="1:1" x14ac:dyDescent="0.3">
      <c r="A6835" s="17"/>
    </row>
    <row r="6836" spans="1:1" x14ac:dyDescent="0.3">
      <c r="A6836" s="17"/>
    </row>
    <row r="6837" spans="1:1" x14ac:dyDescent="0.3">
      <c r="A6837" s="17"/>
    </row>
    <row r="6838" spans="1:1" x14ac:dyDescent="0.3">
      <c r="A6838" s="17"/>
    </row>
    <row r="6839" spans="1:1" x14ac:dyDescent="0.3">
      <c r="A6839" s="17"/>
    </row>
    <row r="6840" spans="1:1" x14ac:dyDescent="0.3">
      <c r="A6840" s="17"/>
    </row>
    <row r="6841" spans="1:1" x14ac:dyDescent="0.3">
      <c r="A6841" s="17"/>
    </row>
    <row r="6842" spans="1:1" x14ac:dyDescent="0.3">
      <c r="A6842" s="17"/>
    </row>
    <row r="6843" spans="1:1" x14ac:dyDescent="0.3">
      <c r="A6843" s="17"/>
    </row>
    <row r="6844" spans="1:1" x14ac:dyDescent="0.3">
      <c r="A6844" s="17"/>
    </row>
    <row r="6845" spans="1:1" x14ac:dyDescent="0.3">
      <c r="A6845" s="17"/>
    </row>
    <row r="6846" spans="1:1" x14ac:dyDescent="0.3">
      <c r="A6846" s="17"/>
    </row>
    <row r="6847" spans="1:1" x14ac:dyDescent="0.3">
      <c r="A6847" s="17"/>
    </row>
    <row r="6848" spans="1:1" x14ac:dyDescent="0.3">
      <c r="A6848" s="17"/>
    </row>
    <row r="6849" spans="1:1" x14ac:dyDescent="0.3">
      <c r="A6849" s="17"/>
    </row>
    <row r="6850" spans="1:1" x14ac:dyDescent="0.3">
      <c r="A6850" s="17"/>
    </row>
    <row r="6851" spans="1:1" x14ac:dyDescent="0.3">
      <c r="A6851" s="17"/>
    </row>
    <row r="6852" spans="1:1" x14ac:dyDescent="0.3">
      <c r="A6852" s="17"/>
    </row>
    <row r="6853" spans="1:1" x14ac:dyDescent="0.3">
      <c r="A6853" s="17"/>
    </row>
    <row r="6854" spans="1:1" x14ac:dyDescent="0.3">
      <c r="A6854" s="17"/>
    </row>
    <row r="6855" spans="1:1" x14ac:dyDescent="0.3">
      <c r="A6855" s="17"/>
    </row>
    <row r="6856" spans="1:1" x14ac:dyDescent="0.3">
      <c r="A6856" s="17"/>
    </row>
    <row r="6857" spans="1:1" x14ac:dyDescent="0.3">
      <c r="A6857" s="17"/>
    </row>
    <row r="6858" spans="1:1" x14ac:dyDescent="0.3">
      <c r="A6858" s="17"/>
    </row>
    <row r="6859" spans="1:1" x14ac:dyDescent="0.3">
      <c r="A6859" s="17"/>
    </row>
    <row r="6860" spans="1:1" x14ac:dyDescent="0.3">
      <c r="A6860" s="17"/>
    </row>
    <row r="6861" spans="1:1" x14ac:dyDescent="0.3">
      <c r="A6861" s="17"/>
    </row>
    <row r="6862" spans="1:1" x14ac:dyDescent="0.3">
      <c r="A6862" s="17"/>
    </row>
    <row r="6863" spans="1:1" x14ac:dyDescent="0.3">
      <c r="A6863" s="17"/>
    </row>
    <row r="6864" spans="1:1" x14ac:dyDescent="0.3">
      <c r="A6864" s="17"/>
    </row>
    <row r="6865" spans="1:1" x14ac:dyDescent="0.3">
      <c r="A6865" s="17"/>
    </row>
    <row r="6866" spans="1:1" x14ac:dyDescent="0.3">
      <c r="A6866" s="17"/>
    </row>
    <row r="6867" spans="1:1" x14ac:dyDescent="0.3">
      <c r="A6867" s="17"/>
    </row>
    <row r="6868" spans="1:1" x14ac:dyDescent="0.3">
      <c r="A6868" s="17"/>
    </row>
    <row r="6869" spans="1:1" x14ac:dyDescent="0.3">
      <c r="A6869" s="17"/>
    </row>
    <row r="6870" spans="1:1" x14ac:dyDescent="0.3">
      <c r="A6870" s="17"/>
    </row>
    <row r="6871" spans="1:1" x14ac:dyDescent="0.3">
      <c r="A6871" s="17"/>
    </row>
    <row r="6872" spans="1:1" x14ac:dyDescent="0.3">
      <c r="A6872" s="17"/>
    </row>
    <row r="6873" spans="1:1" x14ac:dyDescent="0.3">
      <c r="A6873" s="17"/>
    </row>
    <row r="6874" spans="1:1" x14ac:dyDescent="0.3">
      <c r="A6874" s="17"/>
    </row>
    <row r="6875" spans="1:1" x14ac:dyDescent="0.3">
      <c r="A6875" s="17"/>
    </row>
    <row r="6876" spans="1:1" x14ac:dyDescent="0.3">
      <c r="A6876" s="17"/>
    </row>
    <row r="6877" spans="1:1" x14ac:dyDescent="0.3">
      <c r="A6877" s="17"/>
    </row>
    <row r="6878" spans="1:1" x14ac:dyDescent="0.3">
      <c r="A6878" s="17"/>
    </row>
    <row r="6879" spans="1:1" x14ac:dyDescent="0.3">
      <c r="A6879" s="17"/>
    </row>
    <row r="6880" spans="1:1" x14ac:dyDescent="0.3">
      <c r="A6880" s="17"/>
    </row>
    <row r="6881" spans="1:1" x14ac:dyDescent="0.3">
      <c r="A6881" s="17"/>
    </row>
    <row r="6882" spans="1:1" x14ac:dyDescent="0.3">
      <c r="A6882" s="17"/>
    </row>
    <row r="6883" spans="1:1" x14ac:dyDescent="0.3">
      <c r="A6883" s="17"/>
    </row>
    <row r="6884" spans="1:1" x14ac:dyDescent="0.3">
      <c r="A6884" s="17"/>
    </row>
    <row r="6885" spans="1:1" x14ac:dyDescent="0.3">
      <c r="A6885" s="17"/>
    </row>
    <row r="6886" spans="1:1" x14ac:dyDescent="0.3">
      <c r="A6886" s="17"/>
    </row>
    <row r="6887" spans="1:1" x14ac:dyDescent="0.3">
      <c r="A6887" s="17"/>
    </row>
    <row r="6888" spans="1:1" x14ac:dyDescent="0.3">
      <c r="A6888" s="17"/>
    </row>
    <row r="6889" spans="1:1" x14ac:dyDescent="0.3">
      <c r="A6889" s="17"/>
    </row>
    <row r="6890" spans="1:1" x14ac:dyDescent="0.3">
      <c r="A6890" s="17"/>
    </row>
    <row r="6891" spans="1:1" x14ac:dyDescent="0.3">
      <c r="A6891" s="17"/>
    </row>
    <row r="6892" spans="1:1" x14ac:dyDescent="0.3">
      <c r="A6892" s="17"/>
    </row>
    <row r="6893" spans="1:1" x14ac:dyDescent="0.3">
      <c r="A6893" s="17"/>
    </row>
    <row r="6894" spans="1:1" x14ac:dyDescent="0.3">
      <c r="A6894" s="17"/>
    </row>
    <row r="6895" spans="1:1" x14ac:dyDescent="0.3">
      <c r="A6895" s="17"/>
    </row>
    <row r="6896" spans="1:1" x14ac:dyDescent="0.3">
      <c r="A6896" s="17"/>
    </row>
    <row r="6897" spans="1:1" x14ac:dyDescent="0.3">
      <c r="A6897" s="17"/>
    </row>
    <row r="6898" spans="1:1" x14ac:dyDescent="0.3">
      <c r="A6898" s="17"/>
    </row>
    <row r="6899" spans="1:1" x14ac:dyDescent="0.3">
      <c r="A6899" s="17"/>
    </row>
    <row r="6900" spans="1:1" x14ac:dyDescent="0.3">
      <c r="A6900" s="17"/>
    </row>
    <row r="6901" spans="1:1" x14ac:dyDescent="0.3">
      <c r="A6901" s="17"/>
    </row>
    <row r="6902" spans="1:1" x14ac:dyDescent="0.3">
      <c r="A6902" s="17"/>
    </row>
    <row r="6903" spans="1:1" x14ac:dyDescent="0.3">
      <c r="A6903" s="17"/>
    </row>
    <row r="6904" spans="1:1" x14ac:dyDescent="0.3">
      <c r="A6904" s="17"/>
    </row>
    <row r="6905" spans="1:1" x14ac:dyDescent="0.3">
      <c r="A6905" s="17"/>
    </row>
    <row r="6906" spans="1:1" x14ac:dyDescent="0.3">
      <c r="A6906" s="17"/>
    </row>
    <row r="6907" spans="1:1" x14ac:dyDescent="0.3">
      <c r="A6907" s="17"/>
    </row>
    <row r="6908" spans="1:1" x14ac:dyDescent="0.3">
      <c r="A6908" s="17"/>
    </row>
    <row r="6909" spans="1:1" x14ac:dyDescent="0.3">
      <c r="A6909" s="17"/>
    </row>
    <row r="6910" spans="1:1" x14ac:dyDescent="0.3">
      <c r="A6910" s="17"/>
    </row>
    <row r="6911" spans="1:1" x14ac:dyDescent="0.3">
      <c r="A6911" s="17"/>
    </row>
    <row r="6912" spans="1:1" x14ac:dyDescent="0.3">
      <c r="A6912" s="17"/>
    </row>
    <row r="6913" spans="1:1" x14ac:dyDescent="0.3">
      <c r="A6913" s="17"/>
    </row>
    <row r="6914" spans="1:1" x14ac:dyDescent="0.3">
      <c r="A6914" s="17"/>
    </row>
    <row r="6915" spans="1:1" x14ac:dyDescent="0.3">
      <c r="A6915" s="17"/>
    </row>
    <row r="6916" spans="1:1" x14ac:dyDescent="0.3">
      <c r="A6916" s="17"/>
    </row>
    <row r="6917" spans="1:1" x14ac:dyDescent="0.3">
      <c r="A6917" s="17"/>
    </row>
    <row r="6918" spans="1:1" x14ac:dyDescent="0.3">
      <c r="A6918" s="17"/>
    </row>
    <row r="6919" spans="1:1" x14ac:dyDescent="0.3">
      <c r="A6919" s="17"/>
    </row>
    <row r="6920" spans="1:1" x14ac:dyDescent="0.3">
      <c r="A6920" s="17"/>
    </row>
    <row r="6921" spans="1:1" x14ac:dyDescent="0.3">
      <c r="A6921" s="17"/>
    </row>
    <row r="6922" spans="1:1" x14ac:dyDescent="0.3">
      <c r="A6922" s="17"/>
    </row>
    <row r="6923" spans="1:1" x14ac:dyDescent="0.3">
      <c r="A6923" s="17"/>
    </row>
    <row r="6924" spans="1:1" x14ac:dyDescent="0.3">
      <c r="A6924" s="17"/>
    </row>
    <row r="6925" spans="1:1" x14ac:dyDescent="0.3">
      <c r="A6925" s="17"/>
    </row>
    <row r="6926" spans="1:1" x14ac:dyDescent="0.3">
      <c r="A6926" s="17"/>
    </row>
    <row r="6927" spans="1:1" x14ac:dyDescent="0.3">
      <c r="A6927" s="17"/>
    </row>
    <row r="6928" spans="1:1" x14ac:dyDescent="0.3">
      <c r="A6928" s="17"/>
    </row>
    <row r="6929" spans="1:1" x14ac:dyDescent="0.3">
      <c r="A6929" s="17"/>
    </row>
    <row r="6930" spans="1:1" x14ac:dyDescent="0.3">
      <c r="A6930" s="17"/>
    </row>
    <row r="6931" spans="1:1" x14ac:dyDescent="0.3">
      <c r="A6931" s="17"/>
    </row>
    <row r="6932" spans="1:1" x14ac:dyDescent="0.3">
      <c r="A6932" s="17"/>
    </row>
    <row r="6933" spans="1:1" x14ac:dyDescent="0.3">
      <c r="A6933" s="17"/>
    </row>
    <row r="6934" spans="1:1" x14ac:dyDescent="0.3">
      <c r="A6934" s="17"/>
    </row>
    <row r="6935" spans="1:1" x14ac:dyDescent="0.3">
      <c r="A6935" s="17"/>
    </row>
    <row r="6936" spans="1:1" x14ac:dyDescent="0.3">
      <c r="A6936" s="17"/>
    </row>
    <row r="6937" spans="1:1" x14ac:dyDescent="0.3">
      <c r="A6937" s="17"/>
    </row>
    <row r="6938" spans="1:1" x14ac:dyDescent="0.3">
      <c r="A6938" s="17"/>
    </row>
    <row r="6939" spans="1:1" x14ac:dyDescent="0.3">
      <c r="A6939" s="17"/>
    </row>
    <row r="6940" spans="1:1" x14ac:dyDescent="0.3">
      <c r="A6940" s="17"/>
    </row>
    <row r="6941" spans="1:1" x14ac:dyDescent="0.3">
      <c r="A6941" s="17"/>
    </row>
    <row r="6942" spans="1:1" x14ac:dyDescent="0.3">
      <c r="A6942" s="17"/>
    </row>
    <row r="6943" spans="1:1" x14ac:dyDescent="0.3">
      <c r="A6943" s="17"/>
    </row>
    <row r="6944" spans="1:1" x14ac:dyDescent="0.3">
      <c r="A6944" s="17"/>
    </row>
    <row r="6945" spans="1:1" x14ac:dyDescent="0.3">
      <c r="A6945" s="17"/>
    </row>
    <row r="6946" spans="1:1" x14ac:dyDescent="0.3">
      <c r="A6946" s="17"/>
    </row>
    <row r="6947" spans="1:1" x14ac:dyDescent="0.3">
      <c r="A6947" s="17"/>
    </row>
    <row r="6948" spans="1:1" x14ac:dyDescent="0.3">
      <c r="A6948" s="17"/>
    </row>
    <row r="6949" spans="1:1" x14ac:dyDescent="0.3">
      <c r="A6949" s="17"/>
    </row>
    <row r="6950" spans="1:1" x14ac:dyDescent="0.3">
      <c r="A6950" s="17"/>
    </row>
    <row r="6951" spans="1:1" x14ac:dyDescent="0.3">
      <c r="A6951" s="17"/>
    </row>
    <row r="6952" spans="1:1" x14ac:dyDescent="0.3">
      <c r="A6952" s="17"/>
    </row>
    <row r="6953" spans="1:1" x14ac:dyDescent="0.3">
      <c r="A6953" s="17"/>
    </row>
    <row r="6954" spans="1:1" x14ac:dyDescent="0.3">
      <c r="A6954" s="17"/>
    </row>
    <row r="6955" spans="1:1" x14ac:dyDescent="0.3">
      <c r="A6955" s="17"/>
    </row>
    <row r="6956" spans="1:1" x14ac:dyDescent="0.3">
      <c r="A6956" s="17"/>
    </row>
    <row r="6957" spans="1:1" x14ac:dyDescent="0.3">
      <c r="A6957" s="17"/>
    </row>
    <row r="6958" spans="1:1" x14ac:dyDescent="0.3">
      <c r="A6958" s="17"/>
    </row>
    <row r="6959" spans="1:1" x14ac:dyDescent="0.3">
      <c r="A6959" s="17"/>
    </row>
    <row r="6960" spans="1:1" x14ac:dyDescent="0.3">
      <c r="A6960" s="17"/>
    </row>
    <row r="6961" spans="1:1" x14ac:dyDescent="0.3">
      <c r="A6961" s="17"/>
    </row>
    <row r="6962" spans="1:1" x14ac:dyDescent="0.3">
      <c r="A6962" s="17"/>
    </row>
    <row r="6963" spans="1:1" x14ac:dyDescent="0.3">
      <c r="A6963" s="17"/>
    </row>
    <row r="6964" spans="1:1" x14ac:dyDescent="0.3">
      <c r="A6964" s="17"/>
    </row>
    <row r="6965" spans="1:1" x14ac:dyDescent="0.3">
      <c r="A6965" s="17"/>
    </row>
    <row r="6966" spans="1:1" x14ac:dyDescent="0.3">
      <c r="A6966" s="17"/>
    </row>
    <row r="6967" spans="1:1" x14ac:dyDescent="0.3">
      <c r="A6967" s="17"/>
    </row>
    <row r="6968" spans="1:1" x14ac:dyDescent="0.3">
      <c r="A6968" s="17"/>
    </row>
    <row r="6969" spans="1:1" x14ac:dyDescent="0.3">
      <c r="A6969" s="17"/>
    </row>
    <row r="6970" spans="1:1" x14ac:dyDescent="0.3">
      <c r="A6970" s="17"/>
    </row>
    <row r="6971" spans="1:1" x14ac:dyDescent="0.3">
      <c r="A6971" s="17"/>
    </row>
    <row r="6972" spans="1:1" x14ac:dyDescent="0.3">
      <c r="A6972" s="17"/>
    </row>
    <row r="6973" spans="1:1" x14ac:dyDescent="0.3">
      <c r="A6973" s="17"/>
    </row>
    <row r="6974" spans="1:1" x14ac:dyDescent="0.3">
      <c r="A6974" s="17"/>
    </row>
    <row r="6975" spans="1:1" x14ac:dyDescent="0.3">
      <c r="A6975" s="17"/>
    </row>
    <row r="6976" spans="1:1" x14ac:dyDescent="0.3">
      <c r="A6976" s="17"/>
    </row>
    <row r="6977" spans="1:1" x14ac:dyDescent="0.3">
      <c r="A6977" s="17"/>
    </row>
    <row r="6978" spans="1:1" x14ac:dyDescent="0.3">
      <c r="A6978" s="17"/>
    </row>
    <row r="6979" spans="1:1" x14ac:dyDescent="0.3">
      <c r="A6979" s="17"/>
    </row>
    <row r="6980" spans="1:1" x14ac:dyDescent="0.3">
      <c r="A6980" s="17"/>
    </row>
    <row r="6981" spans="1:1" x14ac:dyDescent="0.3">
      <c r="A6981" s="17"/>
    </row>
    <row r="6982" spans="1:1" x14ac:dyDescent="0.3">
      <c r="A6982" s="17"/>
    </row>
    <row r="6983" spans="1:1" x14ac:dyDescent="0.3">
      <c r="A6983" s="17"/>
    </row>
    <row r="6984" spans="1:1" x14ac:dyDescent="0.3">
      <c r="A6984" s="17"/>
    </row>
    <row r="6985" spans="1:1" x14ac:dyDescent="0.3">
      <c r="A6985" s="17"/>
    </row>
    <row r="6986" spans="1:1" x14ac:dyDescent="0.3">
      <c r="A6986" s="17"/>
    </row>
    <row r="6987" spans="1:1" x14ac:dyDescent="0.3">
      <c r="A6987" s="17"/>
    </row>
    <row r="6988" spans="1:1" x14ac:dyDescent="0.3">
      <c r="A6988" s="17"/>
    </row>
    <row r="6989" spans="1:1" x14ac:dyDescent="0.3">
      <c r="A6989" s="17"/>
    </row>
    <row r="6990" spans="1:1" x14ac:dyDescent="0.3">
      <c r="A6990" s="17"/>
    </row>
    <row r="6991" spans="1:1" x14ac:dyDescent="0.3">
      <c r="A6991" s="17"/>
    </row>
    <row r="6992" spans="1:1" x14ac:dyDescent="0.3">
      <c r="A6992" s="17"/>
    </row>
    <row r="6993" spans="1:1" x14ac:dyDescent="0.3">
      <c r="A6993" s="17"/>
    </row>
    <row r="6994" spans="1:1" x14ac:dyDescent="0.3">
      <c r="A6994" s="17"/>
    </row>
    <row r="6995" spans="1:1" x14ac:dyDescent="0.3">
      <c r="A6995" s="17"/>
    </row>
    <row r="6996" spans="1:1" x14ac:dyDescent="0.3">
      <c r="A6996" s="17"/>
    </row>
    <row r="6997" spans="1:1" x14ac:dyDescent="0.3">
      <c r="A6997" s="17"/>
    </row>
    <row r="6998" spans="1:1" x14ac:dyDescent="0.3">
      <c r="A6998" s="17"/>
    </row>
    <row r="6999" spans="1:1" x14ac:dyDescent="0.3">
      <c r="A6999" s="17"/>
    </row>
    <row r="7000" spans="1:1" x14ac:dyDescent="0.3">
      <c r="A7000" s="17"/>
    </row>
    <row r="7001" spans="1:1" x14ac:dyDescent="0.3">
      <c r="A7001" s="17"/>
    </row>
    <row r="7002" spans="1:1" x14ac:dyDescent="0.3">
      <c r="A7002" s="17"/>
    </row>
    <row r="7003" spans="1:1" x14ac:dyDescent="0.3">
      <c r="A7003" s="17"/>
    </row>
    <row r="7004" spans="1:1" x14ac:dyDescent="0.3">
      <c r="A7004" s="17"/>
    </row>
    <row r="7005" spans="1:1" x14ac:dyDescent="0.3">
      <c r="A7005" s="17"/>
    </row>
    <row r="7006" spans="1:1" x14ac:dyDescent="0.3">
      <c r="A7006" s="17"/>
    </row>
    <row r="7007" spans="1:1" x14ac:dyDescent="0.3">
      <c r="A7007" s="17"/>
    </row>
    <row r="7008" spans="1:1" x14ac:dyDescent="0.3">
      <c r="A7008" s="17"/>
    </row>
    <row r="7009" spans="1:1" x14ac:dyDescent="0.3">
      <c r="A7009" s="17"/>
    </row>
    <row r="7010" spans="1:1" x14ac:dyDescent="0.3">
      <c r="A7010" s="17"/>
    </row>
    <row r="7011" spans="1:1" x14ac:dyDescent="0.3">
      <c r="A7011" s="17"/>
    </row>
    <row r="7012" spans="1:1" x14ac:dyDescent="0.3">
      <c r="A7012" s="17"/>
    </row>
    <row r="7013" spans="1:1" x14ac:dyDescent="0.3">
      <c r="A7013" s="17"/>
    </row>
    <row r="7014" spans="1:1" x14ac:dyDescent="0.3">
      <c r="A7014" s="17"/>
    </row>
    <row r="7015" spans="1:1" x14ac:dyDescent="0.3">
      <c r="A7015" s="17"/>
    </row>
    <row r="7016" spans="1:1" x14ac:dyDescent="0.3">
      <c r="A7016" s="17"/>
    </row>
    <row r="7017" spans="1:1" x14ac:dyDescent="0.3">
      <c r="A7017" s="17"/>
    </row>
    <row r="7018" spans="1:1" x14ac:dyDescent="0.3">
      <c r="A7018" s="17"/>
    </row>
    <row r="7019" spans="1:1" x14ac:dyDescent="0.3">
      <c r="A7019" s="17"/>
    </row>
    <row r="7020" spans="1:1" x14ac:dyDescent="0.3">
      <c r="A7020" s="17"/>
    </row>
    <row r="7021" spans="1:1" x14ac:dyDescent="0.3">
      <c r="A7021" s="17"/>
    </row>
    <row r="7022" spans="1:1" x14ac:dyDescent="0.3">
      <c r="A7022" s="17"/>
    </row>
    <row r="7023" spans="1:1" x14ac:dyDescent="0.3">
      <c r="A7023" s="17"/>
    </row>
    <row r="7024" spans="1:1" x14ac:dyDescent="0.3">
      <c r="A7024" s="17"/>
    </row>
    <row r="7025" spans="1:1" x14ac:dyDescent="0.3">
      <c r="A7025" s="17"/>
    </row>
    <row r="7026" spans="1:1" x14ac:dyDescent="0.3">
      <c r="A7026" s="17"/>
    </row>
    <row r="7027" spans="1:1" x14ac:dyDescent="0.3">
      <c r="A7027" s="1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3D4C1-C656-40D4-9BC0-E4AD765C6F23}">
  <sheetPr>
    <tabColor theme="9" tint="-0.249977111117893"/>
  </sheetPr>
  <dimension ref="A1:H76"/>
  <sheetViews>
    <sheetView showGridLines="0" tabSelected="1" workbookViewId="0">
      <pane xSplit="1" ySplit="1" topLeftCell="B37" activePane="bottomRight" state="frozen"/>
      <selection pane="topRight" activeCell="B1" sqref="B1"/>
      <selection pane="bottomLeft" activeCell="A2" sqref="A2"/>
      <selection pane="bottomRight" activeCell="Q65" sqref="Q65"/>
    </sheetView>
  </sheetViews>
  <sheetFormatPr defaultRowHeight="14.4" x14ac:dyDescent="0.3"/>
  <cols>
    <col min="1" max="1" width="9.44140625" bestFit="1" customWidth="1"/>
    <col min="2" max="2" width="14.44140625" bestFit="1" customWidth="1"/>
    <col min="3" max="3" width="9.44140625" bestFit="1" customWidth="1"/>
    <col min="4" max="4" width="8.88671875" bestFit="1" customWidth="1"/>
    <col min="5" max="5" width="43.109375" bestFit="1" customWidth="1"/>
    <col min="6" max="6" width="24.44140625" bestFit="1" customWidth="1"/>
    <col min="7" max="7" width="18.5546875" bestFit="1" customWidth="1"/>
    <col min="8" max="8" width="20.21875" bestFit="1" customWidth="1"/>
  </cols>
  <sheetData>
    <row r="1" spans="1:8" x14ac:dyDescent="0.3">
      <c r="A1" t="s">
        <v>128</v>
      </c>
      <c r="B1" s="44" t="s">
        <v>138</v>
      </c>
      <c r="C1" s="44" t="s">
        <v>133</v>
      </c>
      <c r="D1" s="44" t="s">
        <v>135</v>
      </c>
      <c r="E1" s="44" t="s">
        <v>140</v>
      </c>
      <c r="F1" s="44" t="s">
        <v>139</v>
      </c>
      <c r="G1" s="44" t="s">
        <v>194</v>
      </c>
      <c r="H1" s="44" t="s">
        <v>141</v>
      </c>
    </row>
    <row r="2" spans="1:8" x14ac:dyDescent="0.3">
      <c r="A2" s="17">
        <v>43831</v>
      </c>
      <c r="B2" s="19">
        <f>+SUMIFS('ArabXlt-LT diff'!$I$5:$I$79,'ArabXlt-LT diff'!$A$5:$A$79,$A2)</f>
        <v>2.0999999999999996</v>
      </c>
      <c r="C2" s="71">
        <v>0</v>
      </c>
      <c r="D2" s="71">
        <v>0</v>
      </c>
      <c r="E2" s="19"/>
      <c r="F2" s="19">
        <v>0.30000000000000027</v>
      </c>
      <c r="G2" s="19"/>
      <c r="H2" s="19"/>
    </row>
    <row r="3" spans="1:8" x14ac:dyDescent="0.3">
      <c r="A3" s="17">
        <v>43862</v>
      </c>
      <c r="B3" s="19">
        <f>+SUMIFS('ArabXlt-LT diff'!$I$5:$I$79,'ArabXlt-LT diff'!$A$5:$A$79,$A3)</f>
        <v>0.89999999999999947</v>
      </c>
      <c r="C3" s="71">
        <v>0</v>
      </c>
      <c r="D3" s="71">
        <v>0</v>
      </c>
      <c r="E3" s="19"/>
      <c r="F3" s="19">
        <v>0</v>
      </c>
      <c r="G3" s="19"/>
      <c r="H3" s="19"/>
    </row>
    <row r="4" spans="1:8" x14ac:dyDescent="0.3">
      <c r="A4" s="17">
        <v>43891</v>
      </c>
      <c r="B4" s="19">
        <f>+SUMIFS('ArabXlt-LT diff'!$I$5:$I$79,'ArabXlt-LT diff'!$A$5:$A$79,$A4)</f>
        <v>0</v>
      </c>
      <c r="C4" s="71">
        <v>0.16944608211171561</v>
      </c>
      <c r="D4" s="71">
        <v>0.33766228114007052</v>
      </c>
      <c r="E4" s="19"/>
      <c r="F4" s="19">
        <v>-0.80000000000000027</v>
      </c>
      <c r="G4" s="19"/>
      <c r="H4" s="19"/>
    </row>
    <row r="5" spans="1:8" x14ac:dyDescent="0.3">
      <c r="A5" s="17">
        <v>43922</v>
      </c>
      <c r="B5" s="19">
        <f>+SUMIFS('ArabXlt-LT diff'!$I$5:$I$79,'ArabXlt-LT diff'!$A$5:$A$79,$A5)</f>
        <v>0</v>
      </c>
      <c r="C5" s="71">
        <v>0.26549393352568196</v>
      </c>
      <c r="D5" s="71">
        <v>0.31088288132658898</v>
      </c>
      <c r="E5" s="19"/>
      <c r="F5" s="19">
        <v>-6</v>
      </c>
      <c r="G5" s="19"/>
      <c r="H5" s="19"/>
    </row>
    <row r="6" spans="1:8" x14ac:dyDescent="0.3">
      <c r="A6" s="17">
        <v>43952</v>
      </c>
      <c r="B6" s="19">
        <f>+SUMIFS('ArabXlt-LT diff'!$I$5:$I$79,'ArabXlt-LT diff'!$A$5:$A$79,$A6)</f>
        <v>-0.10000000000000053</v>
      </c>
      <c r="C6" s="71">
        <v>0.27936636953294702</v>
      </c>
      <c r="D6" s="71">
        <v>0.43893722366246823</v>
      </c>
      <c r="E6" s="19"/>
      <c r="F6" s="19">
        <v>-4.1999999999999993</v>
      </c>
      <c r="G6" s="19"/>
      <c r="H6" s="19"/>
    </row>
    <row r="7" spans="1:8" x14ac:dyDescent="0.3">
      <c r="A7" s="17">
        <v>43983</v>
      </c>
      <c r="B7" s="19">
        <f>+SUMIFS('ArabXlt-LT diff'!$I$5:$I$79,'ArabXlt-LT diff'!$A$5:$A$79,$A7)</f>
        <v>-0.59999999999999964</v>
      </c>
      <c r="C7" s="71">
        <v>0.28449170848499672</v>
      </c>
      <c r="D7" s="71">
        <v>0.36771715690757606</v>
      </c>
      <c r="E7" s="19"/>
      <c r="F7" s="19">
        <v>1.3999999999999995</v>
      </c>
      <c r="G7" s="19"/>
      <c r="H7" s="19"/>
    </row>
    <row r="8" spans="1:8" x14ac:dyDescent="0.3">
      <c r="A8" s="17">
        <v>44013</v>
      </c>
      <c r="B8" s="19">
        <f>+SUMIFS('ArabXlt-LT diff'!$I$5:$I$79,'ArabXlt-LT diff'!$A$5:$A$79,$A8)</f>
        <v>0</v>
      </c>
      <c r="C8" s="71">
        <v>0.20615211094219743</v>
      </c>
      <c r="D8" s="71">
        <v>0.35150727350335931</v>
      </c>
      <c r="E8" s="19"/>
      <c r="F8" s="19">
        <v>6.1000000000000005</v>
      </c>
      <c r="G8" s="19"/>
      <c r="H8" s="19"/>
    </row>
    <row r="9" spans="1:8" x14ac:dyDescent="0.3">
      <c r="A9" s="17">
        <v>44044</v>
      </c>
      <c r="B9" s="19">
        <f>+SUMIFS('ArabXlt-LT diff'!$I$5:$I$79,'ArabXlt-LT diff'!$A$5:$A$79,$A9)</f>
        <v>0</v>
      </c>
      <c r="C9" s="71">
        <v>0.26041458766775094</v>
      </c>
      <c r="D9" s="71">
        <v>0.47325647266632803</v>
      </c>
      <c r="E9" s="19"/>
      <c r="F9" s="19">
        <v>1</v>
      </c>
      <c r="G9" s="19"/>
      <c r="H9" s="19"/>
    </row>
    <row r="10" spans="1:8" x14ac:dyDescent="0.3">
      <c r="A10" s="17">
        <v>44075</v>
      </c>
      <c r="B10" s="19">
        <f>+SUMIFS('ArabXlt-LT diff'!$I$5:$I$79,'ArabXlt-LT diff'!$A$5:$A$79,$A10)</f>
        <v>-0.20000000000000007</v>
      </c>
      <c r="C10" s="71">
        <v>0.26931473809580037</v>
      </c>
      <c r="D10" s="71">
        <v>0.3924508611007278</v>
      </c>
      <c r="E10" s="19"/>
      <c r="F10" s="19">
        <v>-0.29999999999999993</v>
      </c>
      <c r="G10" s="19"/>
      <c r="H10" s="19"/>
    </row>
    <row r="11" spans="1:8" x14ac:dyDescent="0.3">
      <c r="A11" s="17">
        <v>44105</v>
      </c>
      <c r="B11" s="19">
        <f>+SUMIFS('ArabXlt-LT diff'!$I$5:$I$79,'ArabXlt-LT diff'!$A$5:$A$79,$A11)</f>
        <v>-0.30000000000000004</v>
      </c>
      <c r="C11" s="71">
        <v>0.20592437396561486</v>
      </c>
      <c r="D11" s="71">
        <v>0.32521660128736729</v>
      </c>
      <c r="E11" s="19"/>
      <c r="F11" s="19">
        <v>-1.4</v>
      </c>
      <c r="G11" s="19"/>
      <c r="H11" s="19"/>
    </row>
    <row r="12" spans="1:8" x14ac:dyDescent="0.3">
      <c r="A12" s="17">
        <v>44136</v>
      </c>
      <c r="B12" s="19">
        <f>+SUMIFS('ArabXlt-LT diff'!$I$5:$I$79,'ArabXlt-LT diff'!$A$5:$A$79,$A12)</f>
        <v>-0.19999999999999996</v>
      </c>
      <c r="C12" s="71">
        <v>0.20372583698017308</v>
      </c>
      <c r="D12" s="71">
        <v>0.34175191537649535</v>
      </c>
      <c r="E12" s="19"/>
      <c r="F12" s="19">
        <v>9.9999999999999978E-2</v>
      </c>
      <c r="G12" s="19"/>
      <c r="H12" s="19"/>
    </row>
    <row r="13" spans="1:8" x14ac:dyDescent="0.3">
      <c r="A13" s="17">
        <v>44166</v>
      </c>
      <c r="B13" s="19">
        <f>+SUMIFS('ArabXlt-LT diff'!$I$5:$I$79,'ArabXlt-LT diff'!$A$5:$A$79,$A13)</f>
        <v>-0.19999999999999996</v>
      </c>
      <c r="C13" s="71">
        <v>0.27643136723302231</v>
      </c>
      <c r="D13" s="71">
        <v>0.27992749346161894</v>
      </c>
      <c r="E13" s="19"/>
      <c r="F13" s="19">
        <v>-9.9999999999999978E-2</v>
      </c>
      <c r="G13" s="19"/>
      <c r="H13" s="19"/>
    </row>
    <row r="14" spans="1:8" x14ac:dyDescent="0.3">
      <c r="A14" s="17">
        <v>44197</v>
      </c>
      <c r="B14" s="19">
        <f>+SUMIFS('ArabXlt-LT diff'!$I$5:$I$79,'ArabXlt-LT diff'!$A$5:$A$79,$A14)</f>
        <v>-0.19999999999999998</v>
      </c>
      <c r="C14" s="71">
        <v>0.26884985259482702</v>
      </c>
      <c r="D14" s="71">
        <v>0.20219215942966012</v>
      </c>
      <c r="E14" s="19"/>
      <c r="F14" s="19">
        <v>0.8</v>
      </c>
      <c r="G14" s="19"/>
      <c r="H14" s="19"/>
    </row>
    <row r="15" spans="1:8" x14ac:dyDescent="0.3">
      <c r="A15" s="17">
        <v>44228</v>
      </c>
      <c r="B15" s="19">
        <f>+SUMIFS('ArabXlt-LT diff'!$I$5:$I$79,'ArabXlt-LT diff'!$A$5:$A$79,$A15)</f>
        <v>-0.4</v>
      </c>
      <c r="C15" s="71">
        <v>0.29477377676704131</v>
      </c>
      <c r="D15" s="71">
        <v>0.21963930075420937</v>
      </c>
      <c r="E15" s="19"/>
      <c r="F15" s="19">
        <v>0.7</v>
      </c>
      <c r="G15" s="19"/>
      <c r="H15" s="19">
        <v>-1.5683120514484017</v>
      </c>
    </row>
    <row r="16" spans="1:8" x14ac:dyDescent="0.3">
      <c r="A16" s="17">
        <v>44256</v>
      </c>
      <c r="B16" s="19">
        <f>+SUMIFS('ArabXlt-LT diff'!$I$5:$I$79,'ArabXlt-LT diff'!$A$5:$A$79,$A16)</f>
        <v>-0.4</v>
      </c>
      <c r="C16" s="71">
        <v>0.20315392004978672</v>
      </c>
      <c r="D16" s="71">
        <v>0.25546997287441248</v>
      </c>
      <c r="E16" s="19"/>
      <c r="F16" s="19">
        <v>0</v>
      </c>
      <c r="G16" s="19"/>
      <c r="H16" s="19">
        <v>-0.87804413143077475</v>
      </c>
    </row>
    <row r="17" spans="1:8" x14ac:dyDescent="0.3">
      <c r="A17" s="17">
        <v>44287</v>
      </c>
      <c r="B17" s="19">
        <f>+SUMIFS('ArabXlt-LT diff'!$I$5:$I$79,'ArabXlt-LT diff'!$A$5:$A$79,$A17)</f>
        <v>-0.19999999999999996</v>
      </c>
      <c r="C17" s="71">
        <v>0.28959472688902582</v>
      </c>
      <c r="D17" s="71">
        <v>0.36557138332008798</v>
      </c>
      <c r="E17" s="19"/>
      <c r="F17" s="19">
        <v>0.39999999999999991</v>
      </c>
      <c r="G17" s="19"/>
      <c r="H17" s="19">
        <v>-1.3469637889172343</v>
      </c>
    </row>
    <row r="18" spans="1:8" x14ac:dyDescent="0.3">
      <c r="A18" s="17">
        <v>44317</v>
      </c>
      <c r="B18" s="19">
        <f>+SUMIFS('ArabXlt-LT diff'!$I$5:$I$79,'ArabXlt-LT diff'!$A$5:$A$79,$A18)</f>
        <v>-0.19999999999999996</v>
      </c>
      <c r="C18" s="71">
        <v>0.31983911795478132</v>
      </c>
      <c r="D18" s="71">
        <v>0.4415983225712265</v>
      </c>
      <c r="E18" s="19"/>
      <c r="F18" s="19">
        <v>0.40000000000000013</v>
      </c>
      <c r="G18" s="19"/>
      <c r="H18" s="19">
        <v>-1.8007614671253975</v>
      </c>
    </row>
    <row r="19" spans="1:8" x14ac:dyDescent="0.3">
      <c r="A19" s="17">
        <v>44348</v>
      </c>
      <c r="B19" s="19">
        <f>+SUMIFS('ArabXlt-LT diff'!$I$5:$I$79,'ArabXlt-LT diff'!$A$5:$A$79,$A19)</f>
        <v>-0.19999999999999996</v>
      </c>
      <c r="C19" s="71">
        <v>0.29782800415053173</v>
      </c>
      <c r="D19" s="71">
        <v>0.51207225650735588</v>
      </c>
      <c r="E19" s="19"/>
      <c r="F19" s="19">
        <v>-0.10000000000000009</v>
      </c>
      <c r="H19" s="19">
        <v>-2.0264149679029799</v>
      </c>
    </row>
    <row r="20" spans="1:8" x14ac:dyDescent="0.3">
      <c r="A20" s="17">
        <v>44378</v>
      </c>
      <c r="B20" s="19">
        <f>+SUMIFS('ArabXlt-LT diff'!$I$5:$I$79,'ArabXlt-LT diff'!$A$5:$A$79,$A20)</f>
        <v>0</v>
      </c>
      <c r="C20" s="71">
        <v>0.37925117474172076</v>
      </c>
      <c r="D20" s="71">
        <v>0.47608816137708254</v>
      </c>
      <c r="E20" s="19"/>
      <c r="F20" s="19">
        <v>0.19999999999999996</v>
      </c>
      <c r="G20" s="19">
        <v>0.46</v>
      </c>
      <c r="H20" s="19">
        <v>-1.9865475000361883</v>
      </c>
    </row>
    <row r="21" spans="1:8" x14ac:dyDescent="0.3">
      <c r="A21" s="17">
        <v>44409</v>
      </c>
      <c r="B21" s="19">
        <f>+SUMIFS('ArabXlt-LT diff'!$I$5:$I$79,'ArabXlt-LT diff'!$A$5:$A$79,$A21)</f>
        <v>0</v>
      </c>
      <c r="C21" s="71">
        <v>0.24227990774222471</v>
      </c>
      <c r="D21" s="71">
        <v>0.38869840536437977</v>
      </c>
      <c r="E21" s="19"/>
      <c r="F21" s="19">
        <v>0.80000000000000027</v>
      </c>
      <c r="G21" s="19">
        <v>0.38</v>
      </c>
      <c r="H21" s="19">
        <v>-2.7175016964489274</v>
      </c>
    </row>
    <row r="22" spans="1:8" x14ac:dyDescent="0.3">
      <c r="A22" s="17">
        <v>44440</v>
      </c>
      <c r="B22" s="19">
        <f>+SUMIFS('ArabXlt-LT diff'!$I$5:$I$79,'ArabXlt-LT diff'!$A$5:$A$79,$A22)</f>
        <v>0.20000000000000018</v>
      </c>
      <c r="C22" s="71">
        <v>0.30534315988031918</v>
      </c>
      <c r="D22" s="71">
        <v>0.46147300607772768</v>
      </c>
      <c r="E22" s="19"/>
      <c r="F22" s="19">
        <v>0.29999999999999982</v>
      </c>
      <c r="G22" s="19">
        <v>0.77</v>
      </c>
      <c r="H22" s="19">
        <v>-2.7792863560012222</v>
      </c>
    </row>
    <row r="23" spans="1:8" x14ac:dyDescent="0.3">
      <c r="A23" s="17">
        <v>44470</v>
      </c>
      <c r="B23" s="19">
        <f>+SUMIFS('ArabXlt-LT diff'!$I$5:$I$79,'ArabXlt-LT diff'!$A$5:$A$79,$A23)</f>
        <v>0.30000000000000004</v>
      </c>
      <c r="C23" s="71">
        <v>0.36073125865797218</v>
      </c>
      <c r="D23" s="71">
        <v>0.49196714724903212</v>
      </c>
      <c r="E23" s="19"/>
      <c r="F23" s="19">
        <v>-1.3</v>
      </c>
      <c r="G23" s="19">
        <v>0.6</v>
      </c>
      <c r="H23" s="19">
        <v>-2.1327653745421786</v>
      </c>
    </row>
    <row r="24" spans="1:8" x14ac:dyDescent="0.3">
      <c r="A24" s="17">
        <v>44501</v>
      </c>
      <c r="B24" s="19">
        <f>+SUMIFS('ArabXlt-LT diff'!$I$5:$I$79,'ArabXlt-LT diff'!$A$5:$A$79,$A24)</f>
        <v>0.5</v>
      </c>
      <c r="C24" s="71">
        <v>0.35102468915067109</v>
      </c>
      <c r="D24" s="71">
        <v>0.4546573531422588</v>
      </c>
      <c r="E24" s="19"/>
      <c r="F24" s="19">
        <v>-0.39999999999999991</v>
      </c>
      <c r="G24" s="19">
        <v>0.24</v>
      </c>
      <c r="H24" s="19">
        <v>-2.6580363769663649</v>
      </c>
    </row>
    <row r="25" spans="1:8" x14ac:dyDescent="0.3">
      <c r="A25" s="17">
        <v>44531</v>
      </c>
      <c r="B25" s="19">
        <f>+SUMIFS('ArabXlt-LT diff'!$I$5:$I$79,'ArabXlt-LT diff'!$A$5:$A$79,$A25)</f>
        <v>1.2999999999999998</v>
      </c>
      <c r="C25" s="71">
        <v>0.33792835462603565</v>
      </c>
      <c r="D25" s="71">
        <v>0.4530095688202212</v>
      </c>
      <c r="E25" s="19"/>
      <c r="F25" s="19">
        <v>1.4000000000000001</v>
      </c>
      <c r="G25" s="19">
        <v>0.8</v>
      </c>
      <c r="H25" s="19">
        <v>-5.564964600846845</v>
      </c>
    </row>
    <row r="26" spans="1:8" x14ac:dyDescent="0.3">
      <c r="A26" s="17">
        <v>44562</v>
      </c>
      <c r="B26" s="19">
        <f>+SUMIFS('ArabXlt-LT diff'!$I$5:$I$79,'ArabXlt-LT diff'!$A$5:$A$79,$A26)</f>
        <v>1.2000000000000002</v>
      </c>
      <c r="C26" s="71">
        <v>0.23095821021016749</v>
      </c>
      <c r="D26" s="71">
        <v>0.40400255377790778</v>
      </c>
      <c r="E26" s="19"/>
      <c r="F26" s="19">
        <v>0.59999999999999964</v>
      </c>
      <c r="G26" s="19">
        <v>1.1399999999999999</v>
      </c>
      <c r="H26" s="19">
        <v>-4.4420965725236341</v>
      </c>
    </row>
    <row r="27" spans="1:8" x14ac:dyDescent="0.3">
      <c r="A27" s="17">
        <v>44593</v>
      </c>
      <c r="B27" s="19">
        <f>+SUMIFS('ArabXlt-LT diff'!$I$5:$I$79,'ArabXlt-LT diff'!$A$5:$A$79,$A27)</f>
        <v>1</v>
      </c>
      <c r="C27" s="71">
        <v>0.23557075162214261</v>
      </c>
      <c r="D27" s="71">
        <v>0.38111673488567971</v>
      </c>
      <c r="E27" s="70">
        <v>0.66500000000000004</v>
      </c>
      <c r="F27" s="19">
        <v>-1.0999999999999996</v>
      </c>
      <c r="G27" s="19">
        <v>1.75</v>
      </c>
      <c r="H27" s="19">
        <v>-4.8319738181958911</v>
      </c>
    </row>
    <row r="28" spans="1:8" x14ac:dyDescent="0.3">
      <c r="A28" s="17">
        <v>44621</v>
      </c>
      <c r="B28" s="19">
        <f>+SUMIFS('ArabXlt-LT diff'!$I$5:$I$79,'ArabXlt-LT diff'!$A$5:$A$79,$A28)</f>
        <v>0.80000000000000027</v>
      </c>
      <c r="C28" s="71">
        <v>0.23313274337809914</v>
      </c>
      <c r="D28" s="71">
        <v>0.37152756215145799</v>
      </c>
      <c r="E28" s="70">
        <v>1.085</v>
      </c>
      <c r="F28" s="19">
        <v>0.59999999999999964</v>
      </c>
      <c r="G28" s="19">
        <v>1.18</v>
      </c>
      <c r="H28" s="19">
        <v>-5.189157000778458</v>
      </c>
    </row>
    <row r="29" spans="1:8" x14ac:dyDescent="0.3">
      <c r="A29" s="17">
        <v>44652</v>
      </c>
      <c r="B29" s="19">
        <f>+SUMIFS('ArabXlt-LT diff'!$I$5:$I$79,'ArabXlt-LT diff'!$A$5:$A$79,$A29)</f>
        <v>0.95000000000000018</v>
      </c>
      <c r="C29" s="71">
        <v>0.28119911608688364</v>
      </c>
      <c r="D29" s="71">
        <v>0.31127731331784952</v>
      </c>
      <c r="E29" s="70">
        <v>7.2324999999999999</v>
      </c>
      <c r="F29" s="19">
        <v>2.1500000000000004</v>
      </c>
      <c r="G29" s="19">
        <v>1.66</v>
      </c>
      <c r="H29" s="19">
        <v>-5.786576886174096</v>
      </c>
    </row>
    <row r="30" spans="1:8" x14ac:dyDescent="0.3">
      <c r="A30" s="17">
        <v>44682</v>
      </c>
      <c r="B30" s="19">
        <f>+SUMIFS('ArabXlt-LT diff'!$I$5:$I$79,'ArabXlt-LT diff'!$A$5:$A$79,$A30)</f>
        <v>0.25</v>
      </c>
      <c r="C30" s="71">
        <v>0.24864132652438911</v>
      </c>
      <c r="D30" s="71">
        <v>0.404079275997899</v>
      </c>
      <c r="E30" s="70">
        <v>-3.2800000000000002</v>
      </c>
      <c r="F30" s="19">
        <v>4.3999999999999995</v>
      </c>
      <c r="G30" s="19">
        <v>1.65</v>
      </c>
      <c r="H30" s="19">
        <v>-4.417953795264161</v>
      </c>
    </row>
    <row r="31" spans="1:8" x14ac:dyDescent="0.3">
      <c r="A31" s="17">
        <v>44713</v>
      </c>
      <c r="B31" s="19">
        <f>+SUMIFS('ArabXlt-LT diff'!$I$5:$I$79,'ArabXlt-LT diff'!$A$5:$A$79,$A31)</f>
        <v>0.25</v>
      </c>
      <c r="C31" s="71">
        <v>0.24283780688460876</v>
      </c>
      <c r="D31" s="71">
        <v>0.34536953071865789</v>
      </c>
      <c r="E31" s="70">
        <v>-6.18</v>
      </c>
      <c r="F31" s="19">
        <v>-4.9499999999999993</v>
      </c>
      <c r="G31" s="19">
        <v>1.59</v>
      </c>
      <c r="H31" s="19">
        <v>-5.5046241931787989</v>
      </c>
    </row>
    <row r="32" spans="1:8" x14ac:dyDescent="0.3">
      <c r="A32" s="17">
        <v>44743</v>
      </c>
      <c r="B32" s="19">
        <f>+SUMIFS('ArabXlt-LT diff'!$I$5:$I$79,'ArabXlt-LT diff'!$A$5:$A$79,$A32)</f>
        <v>0.65000000000000036</v>
      </c>
      <c r="C32" s="71">
        <v>0.24384916653622074</v>
      </c>
      <c r="D32" s="71">
        <v>0.36960640076803786</v>
      </c>
      <c r="E32" s="70">
        <v>-14.99</v>
      </c>
      <c r="F32" s="19">
        <v>2.0999999999999996</v>
      </c>
      <c r="G32" s="19">
        <v>1.69</v>
      </c>
      <c r="H32" s="19">
        <v>-10.172785712121282</v>
      </c>
    </row>
    <row r="33" spans="1:8" x14ac:dyDescent="0.3">
      <c r="A33" s="17">
        <v>44774</v>
      </c>
      <c r="B33" s="19">
        <f>+SUMIFS('ArabXlt-LT diff'!$I$5:$I$79,'ArabXlt-LT diff'!$A$5:$A$79,$A33)</f>
        <v>1.3499999999999996</v>
      </c>
      <c r="C33" s="71">
        <v>0.2330685952545693</v>
      </c>
      <c r="D33" s="71">
        <v>0.35676403632219383</v>
      </c>
      <c r="E33" s="70">
        <v>-10.955</v>
      </c>
      <c r="F33" s="19">
        <v>2.8000000000000007</v>
      </c>
      <c r="G33" s="19">
        <v>1.55</v>
      </c>
      <c r="H33" s="19">
        <v>-12.812254741997734</v>
      </c>
    </row>
    <row r="34" spans="1:8" x14ac:dyDescent="0.3">
      <c r="A34" s="17">
        <v>44805</v>
      </c>
      <c r="B34" s="19">
        <f>+SUMIFS('ArabXlt-LT diff'!$I$5:$I$79,'ArabXlt-LT diff'!$A$5:$A$79,$A34)</f>
        <v>1.1499999999999986</v>
      </c>
      <c r="C34" s="71">
        <v>0.28355486423021486</v>
      </c>
      <c r="D34" s="71">
        <v>0.38978070833339007</v>
      </c>
      <c r="E34" s="70">
        <v>-14.9625</v>
      </c>
      <c r="F34" s="19">
        <v>0.5</v>
      </c>
      <c r="G34" s="19">
        <v>4.29</v>
      </c>
      <c r="H34" s="19">
        <v>-8.6611423410524715</v>
      </c>
    </row>
    <row r="35" spans="1:8" x14ac:dyDescent="0.3">
      <c r="A35" s="17">
        <v>44835</v>
      </c>
      <c r="B35" s="19">
        <f>+SUMIFS('ArabXlt-LT diff'!$I$5:$I$79,'ArabXlt-LT diff'!$A$5:$A$79,$A35)</f>
        <v>0.60000000000000053</v>
      </c>
      <c r="C35" s="71">
        <v>0.24861589948632981</v>
      </c>
      <c r="D35" s="71">
        <v>0.39264714003404311</v>
      </c>
      <c r="E35" s="70">
        <v>-20.9</v>
      </c>
      <c r="F35" s="19">
        <v>-3.9500000000000011</v>
      </c>
      <c r="G35" s="19">
        <v>2.84</v>
      </c>
      <c r="H35" s="19">
        <v>-8.3406545428291565</v>
      </c>
    </row>
    <row r="36" spans="1:8" x14ac:dyDescent="0.3">
      <c r="A36" s="17">
        <v>44866</v>
      </c>
      <c r="B36" s="19">
        <f>+SUMIFS('ArabXlt-LT diff'!$I$5:$I$79,'ArabXlt-LT diff'!$A$5:$A$79,$A36)</f>
        <v>0.5</v>
      </c>
      <c r="C36" s="71">
        <v>0.21067932492616764</v>
      </c>
      <c r="D36" s="71">
        <v>0.35712679882207327</v>
      </c>
      <c r="E36" s="70">
        <v>-13.574999999999999</v>
      </c>
      <c r="F36" s="19">
        <v>0</v>
      </c>
      <c r="G36" s="19">
        <v>1.46</v>
      </c>
      <c r="H36" s="19">
        <v>-6.4565900416896866</v>
      </c>
    </row>
    <row r="37" spans="1:8" x14ac:dyDescent="0.3">
      <c r="A37" s="17">
        <v>44896</v>
      </c>
      <c r="B37" s="19">
        <f>+SUMIFS('ArabXlt-LT diff'!$I$5:$I$79,'ArabXlt-LT diff'!$A$5:$A$79,$A37)</f>
        <v>1</v>
      </c>
      <c r="C37" s="71">
        <v>0.23218203536308216</v>
      </c>
      <c r="D37" s="71">
        <v>0.36892695133733194</v>
      </c>
      <c r="E37" s="70">
        <v>-15.112500000000001</v>
      </c>
      <c r="F37" s="19">
        <v>-0.39999999999999947</v>
      </c>
      <c r="G37" s="19">
        <v>1.54</v>
      </c>
      <c r="H37" s="19">
        <v>-6.9778995441457496</v>
      </c>
    </row>
    <row r="38" spans="1:8" x14ac:dyDescent="0.3">
      <c r="A38" s="17">
        <v>44927</v>
      </c>
      <c r="B38" s="19">
        <f>+SUMIFS('ArabXlt-LT diff'!$I$5:$I$79,'ArabXlt-LT diff'!$A$5:$A$79,$A38)</f>
        <v>3.2</v>
      </c>
      <c r="C38" s="71">
        <v>0.24229213745990411</v>
      </c>
      <c r="D38" s="71">
        <v>0.36109464691618043</v>
      </c>
      <c r="E38" s="70">
        <v>-12.11</v>
      </c>
      <c r="F38" s="19">
        <v>-2.2000000000000002</v>
      </c>
      <c r="G38" s="19">
        <v>2.4</v>
      </c>
      <c r="H38" s="19">
        <v>-7.9343365649229725</v>
      </c>
    </row>
    <row r="39" spans="1:8" x14ac:dyDescent="0.3">
      <c r="A39" s="17">
        <v>44958</v>
      </c>
      <c r="B39" s="19">
        <f>+SUMIFS('ArabXlt-LT diff'!$I$5:$I$79,'ArabXlt-LT diff'!$A$5:$A$79,$A39)</f>
        <v>1.7499999999999998</v>
      </c>
      <c r="C39" s="71">
        <v>0.38674588807175375</v>
      </c>
      <c r="D39" s="71">
        <v>0.47063274743817585</v>
      </c>
      <c r="E39" s="70">
        <v>-12.02</v>
      </c>
      <c r="F39" s="19">
        <v>-1.45</v>
      </c>
      <c r="G39" s="19">
        <v>4.68</v>
      </c>
      <c r="H39" s="19">
        <v>-11.094187939204794</v>
      </c>
    </row>
    <row r="40" spans="1:8" x14ac:dyDescent="0.3">
      <c r="A40" s="17">
        <v>44986</v>
      </c>
      <c r="B40" s="19">
        <f>+SUMIFS('ArabXlt-LT diff'!$I$5:$I$79,'ArabXlt-LT diff'!$A$5:$A$79,$A40)</f>
        <v>0.25</v>
      </c>
      <c r="C40" s="71">
        <v>0.19248465122008515</v>
      </c>
      <c r="D40" s="71">
        <v>0.38317645649692489</v>
      </c>
      <c r="E40" s="70">
        <v>-8.6233333333333331</v>
      </c>
      <c r="F40" s="19">
        <v>0.19999999999999996</v>
      </c>
      <c r="G40" s="19">
        <v>2.91</v>
      </c>
      <c r="H40" s="19">
        <v>-11.369148911951237</v>
      </c>
    </row>
    <row r="41" spans="1:8" x14ac:dyDescent="0.3">
      <c r="A41" s="17">
        <v>45017</v>
      </c>
      <c r="B41" s="19">
        <f>+SUMIFS('ArabXlt-LT diff'!$I$5:$I$79,'ArabXlt-LT diff'!$A$5:$A$79,$A41)</f>
        <v>0.20000000000000018</v>
      </c>
      <c r="C41" s="71">
        <v>0.23582649213581736</v>
      </c>
      <c r="D41" s="71">
        <v>0.43399978080222745</v>
      </c>
      <c r="E41" s="70">
        <v>-6.083333333333333</v>
      </c>
      <c r="F41" s="19">
        <v>0.5</v>
      </c>
      <c r="G41" s="19">
        <v>2.25</v>
      </c>
      <c r="H41" s="19">
        <v>-6.1535238748027208</v>
      </c>
    </row>
    <row r="42" spans="1:8" x14ac:dyDescent="0.3">
      <c r="A42" s="17">
        <v>45047</v>
      </c>
      <c r="B42" s="19">
        <f>+SUMIFS('ArabXlt-LT diff'!$I$5:$I$79,'ArabXlt-LT diff'!$A$5:$A$79,$A42)</f>
        <v>0</v>
      </c>
      <c r="C42" s="71">
        <v>0.33160267231205381</v>
      </c>
      <c r="D42" s="71">
        <v>0.40884800663008447</v>
      </c>
      <c r="E42" s="70">
        <v>-11.664999999999999</v>
      </c>
      <c r="F42" s="19">
        <v>0.29999999999999982</v>
      </c>
      <c r="G42" s="19">
        <v>1.28</v>
      </c>
      <c r="H42" s="19">
        <v>-7.3539873973616778</v>
      </c>
    </row>
    <row r="43" spans="1:8" x14ac:dyDescent="0.3">
      <c r="A43" s="17">
        <v>45078</v>
      </c>
      <c r="B43" s="19">
        <f>+SUMIFS('ArabXlt-LT diff'!$I$5:$I$79,'ArabXlt-LT diff'!$A$5:$A$79,$A43)</f>
        <v>-0.44999999999999973</v>
      </c>
      <c r="C43" s="71">
        <v>0.31942580006076787</v>
      </c>
      <c r="D43" s="71">
        <v>0.43737577977371717</v>
      </c>
      <c r="E43" s="70">
        <v>-11.19</v>
      </c>
      <c r="F43" s="19">
        <v>-0.25</v>
      </c>
      <c r="G43" s="19">
        <v>1.06</v>
      </c>
      <c r="H43" s="19">
        <v>-4.6671623320400819</v>
      </c>
    </row>
    <row r="44" spans="1:8" x14ac:dyDescent="0.3">
      <c r="A44" s="17">
        <v>45108</v>
      </c>
      <c r="B44" s="19">
        <f>+SUMIFS('ArabXlt-LT diff'!$I$5:$I$79,'ArabXlt-LT diff'!$A$5:$A$79,$A44)</f>
        <v>-0.45000000000000018</v>
      </c>
      <c r="C44" s="71">
        <v>0.31264203382175493</v>
      </c>
      <c r="D44" s="71">
        <v>0.48894891055951828</v>
      </c>
      <c r="E44" s="70">
        <v>-11.94</v>
      </c>
      <c r="F44" s="19">
        <v>0.45000000000000018</v>
      </c>
      <c r="G44" s="19">
        <v>0.7</v>
      </c>
      <c r="H44" s="19">
        <v>-4.0748541043451638</v>
      </c>
    </row>
    <row r="45" spans="1:8" x14ac:dyDescent="0.3">
      <c r="A45" s="17">
        <v>45139</v>
      </c>
      <c r="B45" s="19">
        <f>+SUMIFS('ArabXlt-LT diff'!$I$5:$I$79,'ArabXlt-LT diff'!$A$5:$A$79,$A45)</f>
        <v>-0.65000000000000036</v>
      </c>
      <c r="C45" s="71">
        <v>0.29889315378674208</v>
      </c>
      <c r="D45" s="71">
        <v>0.45813286355887151</v>
      </c>
      <c r="E45" s="70">
        <v>-16.244999999999997</v>
      </c>
      <c r="F45" s="19">
        <v>0.20000000000000018</v>
      </c>
      <c r="G45" s="19">
        <v>0.67</v>
      </c>
      <c r="H45" s="19">
        <v>-3.2436555232001041</v>
      </c>
    </row>
    <row r="46" spans="1:8" x14ac:dyDescent="0.3">
      <c r="A46" s="17">
        <v>45170</v>
      </c>
      <c r="B46" s="19">
        <f>+SUMIFS('ArabXlt-LT diff'!$I$5:$I$79,'ArabXlt-LT diff'!$A$5:$A$79,$A46)</f>
        <v>-0.95000000000000018</v>
      </c>
      <c r="C46" s="71">
        <v>0.36512377525703532</v>
      </c>
      <c r="D46" s="71">
        <v>0.47956478993475937</v>
      </c>
      <c r="E46" s="70">
        <v>-15.527500000000002</v>
      </c>
      <c r="F46" s="19">
        <v>0.29999999999999982</v>
      </c>
      <c r="G46" s="19">
        <v>0.62</v>
      </c>
      <c r="H46" s="19">
        <v>-2.9161450124717838</v>
      </c>
    </row>
    <row r="47" spans="1:8" x14ac:dyDescent="0.3">
      <c r="A47" s="17">
        <v>45200</v>
      </c>
      <c r="B47" s="19">
        <f>+SUMIFS('ArabXlt-LT diff'!$I$5:$I$79,'ArabXlt-LT diff'!$A$5:$A$79,$A47)</f>
        <v>-0.75</v>
      </c>
      <c r="C47" s="71">
        <v>0.27070880608191106</v>
      </c>
      <c r="D47" s="71">
        <v>0.37636119761704578</v>
      </c>
      <c r="E47" s="70">
        <v>-16.79</v>
      </c>
      <c r="F47" s="19">
        <v>0.10000000000000009</v>
      </c>
      <c r="G47" s="19">
        <v>0.34</v>
      </c>
      <c r="H47" s="19">
        <v>-5.1741830808787341</v>
      </c>
    </row>
    <row r="48" spans="1:8" x14ac:dyDescent="0.3">
      <c r="A48" s="17">
        <v>45231</v>
      </c>
      <c r="B48" s="19">
        <f>+SUMIFS('ArabXlt-LT diff'!$I$5:$I$79,'ArabXlt-LT diff'!$A$5:$A$79,$A48)</f>
        <v>-0.64999999999999991</v>
      </c>
      <c r="C48" s="71">
        <v>0.37499636847274792</v>
      </c>
      <c r="D48" s="71">
        <v>0.46728825598125023</v>
      </c>
      <c r="E48" s="70">
        <v>-15.530000000000001</v>
      </c>
      <c r="F48" s="19">
        <v>0.39999999999999991</v>
      </c>
      <c r="G48" s="19">
        <v>0.82</v>
      </c>
      <c r="H48" s="19">
        <v>-4.0306509113906142</v>
      </c>
    </row>
    <row r="49" spans="1:8" x14ac:dyDescent="0.3">
      <c r="A49" s="17">
        <v>45261</v>
      </c>
      <c r="B49" s="19">
        <f>+SUMIFS('ArabXlt-LT diff'!$I$5:$I$79,'ArabXlt-LT diff'!$A$5:$A$79,$A49)</f>
        <v>4.9999999999999822E-2</v>
      </c>
      <c r="C49" s="71">
        <v>0.38216320501023104</v>
      </c>
      <c r="D49" s="71">
        <v>0.44187057867011842</v>
      </c>
      <c r="E49" s="70">
        <v>-15.893333333333333</v>
      </c>
      <c r="F49" s="19">
        <v>0</v>
      </c>
      <c r="G49" s="19">
        <v>0.61</v>
      </c>
      <c r="H49" s="19">
        <v>-5.1710300182742941</v>
      </c>
    </row>
    <row r="50" spans="1:8" x14ac:dyDescent="0.3">
      <c r="A50" s="17">
        <v>45292</v>
      </c>
      <c r="B50" s="19">
        <f>+SUMIFS('ArabXlt-LT diff'!$I$5:$I$79,'ArabXlt-LT diff'!$A$5:$A$79,$A50)</f>
        <v>4.9999999999999822E-2</v>
      </c>
      <c r="C50" s="71">
        <v>0.2621745348807078</v>
      </c>
      <c r="D50" s="71">
        <v>0.32902192026622012</v>
      </c>
      <c r="E50" s="70">
        <v>-10.625</v>
      </c>
      <c r="F50" s="19">
        <v>-0.5</v>
      </c>
      <c r="G50" s="19">
        <v>1.24</v>
      </c>
      <c r="H50" s="19">
        <v>-4.4997126963128977</v>
      </c>
    </row>
    <row r="51" spans="1:8" x14ac:dyDescent="0.3">
      <c r="A51" s="17">
        <v>45323</v>
      </c>
      <c r="B51" s="19">
        <f>+SUMIFS('ArabXlt-LT diff'!$I$5:$I$79,'ArabXlt-LT diff'!$A$5:$A$79,$A51)</f>
        <v>5.0000000000000044E-2</v>
      </c>
      <c r="C51" s="71">
        <v>0.34796864546828338</v>
      </c>
      <c r="D51" s="71">
        <v>0.42161142513025024</v>
      </c>
      <c r="E51" s="70">
        <v>-10.316666666666665</v>
      </c>
      <c r="F51" s="19">
        <v>-2</v>
      </c>
      <c r="G51" s="19">
        <v>-0.24</v>
      </c>
      <c r="H51" s="19">
        <v>-4.340309184955748</v>
      </c>
    </row>
    <row r="52" spans="1:8" x14ac:dyDescent="0.3">
      <c r="A52" s="17">
        <v>45352</v>
      </c>
      <c r="B52" s="19">
        <f>+SUMIFS('ArabXlt-LT diff'!$I$5:$I$79,'ArabXlt-LT diff'!$A$5:$A$79,$A52)</f>
        <v>0</v>
      </c>
      <c r="C52" s="71">
        <v>0.29509874719514856</v>
      </c>
      <c r="D52" s="71">
        <v>0.45718696189495234</v>
      </c>
      <c r="E52" s="70">
        <v>-12.824999999999999</v>
      </c>
      <c r="F52" s="19">
        <v>0</v>
      </c>
      <c r="G52" s="19">
        <v>0.36</v>
      </c>
      <c r="H52" s="19">
        <v>-5.4680471584877921</v>
      </c>
    </row>
    <row r="53" spans="1:8" x14ac:dyDescent="0.3">
      <c r="A53" s="17">
        <v>45383</v>
      </c>
      <c r="B53" s="19">
        <f>+SUMIFS('ArabXlt-LT diff'!$I$5:$I$79,'ArabXlt-LT diff'!$A$5:$A$79,$A53)</f>
        <v>0</v>
      </c>
      <c r="C53" s="71">
        <v>0.28153222231266878</v>
      </c>
      <c r="D53" s="71">
        <v>0.42969811380114797</v>
      </c>
      <c r="E53" s="70">
        <v>-10.58</v>
      </c>
      <c r="F53" s="19">
        <v>0.19999999999999996</v>
      </c>
      <c r="G53" s="19">
        <v>0.21</v>
      </c>
      <c r="H53" s="19">
        <v>-4.7722170719551684</v>
      </c>
    </row>
    <row r="54" spans="1:8" x14ac:dyDescent="0.3">
      <c r="A54" s="17">
        <v>45413</v>
      </c>
      <c r="B54" s="19">
        <f>+SUMIFS('ArabXlt-LT diff'!$I$5:$I$79,'ArabXlt-LT diff'!$A$5:$A$79,$A54)</f>
        <v>0.10000000000000009</v>
      </c>
      <c r="C54" s="71">
        <v>0.24959803877982276</v>
      </c>
      <c r="D54" s="71">
        <v>0.37649717840407687</v>
      </c>
      <c r="E54" s="70">
        <v>-13.7525</v>
      </c>
      <c r="F54" s="19">
        <v>0.30000000000000004</v>
      </c>
      <c r="G54" s="19">
        <v>0.11</v>
      </c>
      <c r="H54" s="19">
        <v>-5.147471712793025</v>
      </c>
    </row>
    <row r="55" spans="1:8" x14ac:dyDescent="0.3">
      <c r="A55" s="17">
        <v>45444</v>
      </c>
      <c r="B55" s="19">
        <f>+SUMIFS('ArabXlt-LT diff'!$I$5:$I$79,'ArabXlt-LT diff'!$A$5:$A$79,$A55)</f>
        <v>-0.10000000000000009</v>
      </c>
      <c r="C55" s="71">
        <v>0.26836701972233573</v>
      </c>
      <c r="D55" s="71">
        <v>0.31956397429349953</v>
      </c>
      <c r="E55" s="70">
        <v>-13.31</v>
      </c>
      <c r="F55" s="19">
        <v>0.89999999999999991</v>
      </c>
      <c r="G55" s="19">
        <v>0.37</v>
      </c>
      <c r="H55" s="19">
        <v>-3.255282076319304</v>
      </c>
    </row>
    <row r="56" spans="1:8" x14ac:dyDescent="0.3">
      <c r="A56" s="17">
        <v>45474</v>
      </c>
      <c r="B56" s="19">
        <f>+SUMIFS('ArabXlt-LT diff'!$I$5:$I$79,'ArabXlt-LT diff'!$A$5:$A$79,$A56)</f>
        <v>-0.19999999999999973</v>
      </c>
      <c r="C56" s="71">
        <v>0.33256174143909728</v>
      </c>
      <c r="D56" s="71">
        <v>0.47747213637171215</v>
      </c>
      <c r="E56" s="70">
        <v>-11.91</v>
      </c>
      <c r="F56" s="19">
        <v>-0.5</v>
      </c>
      <c r="G56" s="19">
        <v>-0.03</v>
      </c>
      <c r="H56" s="19">
        <v>-1.5093083986784137</v>
      </c>
    </row>
    <row r="57" spans="1:8" x14ac:dyDescent="0.3">
      <c r="A57" s="17">
        <v>45505</v>
      </c>
      <c r="B57" s="19">
        <f>+SUMIFS('ArabXlt-LT diff'!$I$5:$I$79,'ArabXlt-LT diff'!$A$5:$A$79,$A57)</f>
        <v>-0.19999999999999996</v>
      </c>
      <c r="C57" s="71">
        <v>0.31839466667711847</v>
      </c>
      <c r="D57" s="71">
        <v>0.4693836903057203</v>
      </c>
      <c r="E57" s="70">
        <v>-11.1225</v>
      </c>
      <c r="F57" s="19">
        <v>-0.59999999999999987</v>
      </c>
      <c r="G57" s="19">
        <v>-0.11</v>
      </c>
      <c r="H57" s="19">
        <v>-2.6784373707936062</v>
      </c>
    </row>
    <row r="58" spans="1:8" x14ac:dyDescent="0.3">
      <c r="A58" s="17">
        <v>45536</v>
      </c>
      <c r="B58" s="19">
        <f>+SUMIFS('ArabXlt-LT diff'!$I$5:$I$79,'ArabXlt-LT diff'!$A$5:$A$79,$A58)</f>
        <v>-0.30000000000000004</v>
      </c>
      <c r="C58" s="71">
        <v>0.24400654658520596</v>
      </c>
      <c r="D58" s="71">
        <v>0.40048479821835564</v>
      </c>
      <c r="E58" s="70">
        <v>-7.4</v>
      </c>
      <c r="F58" s="19">
        <v>0.19999999999999996</v>
      </c>
      <c r="G58" s="19">
        <v>-0.03</v>
      </c>
      <c r="H58" s="19">
        <v>-2.7923121883652513</v>
      </c>
    </row>
    <row r="59" spans="1:8" x14ac:dyDescent="0.3">
      <c r="A59" s="17">
        <v>45566</v>
      </c>
      <c r="B59" s="19">
        <f>+SUMIFS('ArabXlt-LT diff'!$I$5:$I$79,'ArabXlt-LT diff'!$A$5:$A$79,$A59)</f>
        <v>-0.19999999999999996</v>
      </c>
      <c r="C59" s="71">
        <v>0.33624899363750471</v>
      </c>
      <c r="D59" s="71">
        <v>0.51422747247144329</v>
      </c>
      <c r="E59" s="70">
        <v>-4.13</v>
      </c>
      <c r="F59" s="19">
        <v>-0.7</v>
      </c>
      <c r="G59" s="19">
        <v>-0.03</v>
      </c>
      <c r="H59" s="19">
        <v>-2.9197715396678348</v>
      </c>
    </row>
    <row r="60" spans="1:8" x14ac:dyDescent="0.3">
      <c r="A60" s="17">
        <v>45597</v>
      </c>
      <c r="B60" s="19">
        <f>+SUMIFS('ArabXlt-LT diff'!$I$5:$I$79,'ArabXlt-LT diff'!$A$5:$A$79,$A60)</f>
        <v>-0.20000000000000018</v>
      </c>
      <c r="C60" s="71">
        <v>0.31141968495026512</v>
      </c>
      <c r="D60" s="71">
        <v>0.41167598518965715</v>
      </c>
      <c r="E60" s="70">
        <v>-2.4874999999999998</v>
      </c>
      <c r="F60" s="19">
        <v>0.90000000000000013</v>
      </c>
      <c r="G60" s="19">
        <v>0.34</v>
      </c>
      <c r="H60" s="19">
        <v>-1.3608952230965592</v>
      </c>
    </row>
    <row r="61" spans="1:8" x14ac:dyDescent="0.3">
      <c r="A61" s="17">
        <v>45627</v>
      </c>
      <c r="B61" s="19">
        <f>+SUMIFS('ArabXlt-LT diff'!$I$5:$I$79,'ArabXlt-LT diff'!$A$5:$A$79,$A61)</f>
        <v>-0.19999999999999996</v>
      </c>
      <c r="C61" s="71">
        <v>0.28885510135546139</v>
      </c>
      <c r="D61" s="71">
        <v>0.38797471521391025</v>
      </c>
      <c r="E61" s="70">
        <v>-2.41</v>
      </c>
      <c r="F61" s="19">
        <v>-0.50000000000000022</v>
      </c>
      <c r="G61" s="19">
        <v>-0.1</v>
      </c>
      <c r="H61" s="19">
        <v>-1.0489393200628783</v>
      </c>
    </row>
    <row r="62" spans="1:8" x14ac:dyDescent="0.3">
      <c r="A62" s="17">
        <v>45658</v>
      </c>
      <c r="B62" s="19">
        <f>+SUMIFS('ArabXlt-LT diff'!$I$5:$I$79,'ArabXlt-LT diff'!$A$5:$A$79,$A62)</f>
        <v>0</v>
      </c>
      <c r="C62" s="71">
        <v>0.37916966421541337</v>
      </c>
      <c r="D62" s="71">
        <v>0.39351023524022094</v>
      </c>
      <c r="E62" s="70">
        <v>-4.8133333333333335</v>
      </c>
      <c r="F62" s="19">
        <v>-0.79999999999999993</v>
      </c>
      <c r="G62" s="19">
        <v>-7.0000000000000007E-2</v>
      </c>
      <c r="H62" s="19">
        <v>-1.8122970488182375</v>
      </c>
    </row>
    <row r="63" spans="1:8" x14ac:dyDescent="0.3">
      <c r="A63" s="17">
        <v>45689</v>
      </c>
      <c r="B63" s="19">
        <f>+SUMIFS('ArabXlt-LT diff'!$I$5:$I$79,'ArabXlt-LT diff'!$A$5:$A$79,$A63)</f>
        <v>0</v>
      </c>
      <c r="C63" s="71">
        <v>0.31347052737365416</v>
      </c>
      <c r="D63" s="71">
        <v>0.40909318149518659</v>
      </c>
      <c r="E63" s="70">
        <v>-4.5250000000000004</v>
      </c>
      <c r="F63" s="19">
        <v>0.6</v>
      </c>
      <c r="G63" s="19">
        <v>0.19</v>
      </c>
      <c r="H63" s="19">
        <v>-2.1404723091732123</v>
      </c>
    </row>
    <row r="64" spans="1:8" x14ac:dyDescent="0.3">
      <c r="A64" s="17">
        <v>45717</v>
      </c>
      <c r="B64" s="19">
        <f>+SUMIFS('ArabXlt-LT diff'!$I$5:$I$79,'ArabXlt-LT diff'!$A$5:$A$79,$A64)</f>
        <v>0</v>
      </c>
      <c r="C64" s="71">
        <v>0.34063358415473854</v>
      </c>
      <c r="D64" s="71">
        <v>0.3987927612037962</v>
      </c>
      <c r="E64" s="70">
        <v>-5.9</v>
      </c>
      <c r="F64" s="19">
        <v>2.4</v>
      </c>
      <c r="G64" s="19">
        <v>0.05</v>
      </c>
      <c r="H64" s="19">
        <v>-2.0148192345620473</v>
      </c>
    </row>
    <row r="65" spans="1:8" x14ac:dyDescent="0.3">
      <c r="A65" s="17">
        <v>45748</v>
      </c>
      <c r="B65" s="19">
        <f>+SUMIFS('ArabXlt-LT diff'!$I$5:$I$79,'ArabXlt-LT diff'!$A$5:$A$79,$A65)</f>
        <v>-0.20000000000000018</v>
      </c>
      <c r="C65" s="71">
        <v>0.29281967094008832</v>
      </c>
      <c r="D65" s="71">
        <v>0.3967238826115555</v>
      </c>
      <c r="E65" s="70">
        <v>-4.84</v>
      </c>
      <c r="F65" s="19">
        <v>-0.39999999999999991</v>
      </c>
      <c r="G65" s="19">
        <v>-0.19</v>
      </c>
      <c r="H65" s="19">
        <v>-1.4100038653400944</v>
      </c>
    </row>
    <row r="66" spans="1:8" x14ac:dyDescent="0.3">
      <c r="A66" s="17">
        <v>45778</v>
      </c>
      <c r="B66" s="19">
        <f>+SUMIFS('ArabXlt-LT diff'!$I$5:$I$79,'ArabXlt-LT diff'!$A$5:$A$79,$A66)</f>
        <v>-0.19999999999999996</v>
      </c>
      <c r="C66" s="71">
        <v>0.30563980850255007</v>
      </c>
      <c r="D66" s="71">
        <v>0.48814321802747612</v>
      </c>
      <c r="E66" s="70">
        <v>-6.6925000000000008</v>
      </c>
      <c r="F66" s="19">
        <v>-2.2999999999999998</v>
      </c>
      <c r="G66" s="19">
        <v>-0.3</v>
      </c>
      <c r="H66" s="19">
        <v>-1.6539450462919305</v>
      </c>
    </row>
    <row r="67" spans="1:8" x14ac:dyDescent="0.3">
      <c r="A67" s="17">
        <v>45809</v>
      </c>
      <c r="B67" s="19">
        <f>+SUMIFS('ArabXlt-LT diff'!$I$5:$I$79,'ArabXlt-LT diff'!$A$5:$A$79,$A67)</f>
        <v>-0.19999999999999996</v>
      </c>
      <c r="C67" s="71">
        <v>0.30080599916045925</v>
      </c>
      <c r="D67" s="71">
        <v>0.53270143202840159</v>
      </c>
      <c r="E67" s="70">
        <v>-3.31</v>
      </c>
      <c r="F67" s="19">
        <v>0.19999999999999996</v>
      </c>
      <c r="G67" s="19">
        <v>0.14000000000000001</v>
      </c>
      <c r="H67" s="19">
        <v>-1.7184744381715049</v>
      </c>
    </row>
    <row r="68" spans="1:8" x14ac:dyDescent="0.3">
      <c r="A68" s="17">
        <v>45839</v>
      </c>
      <c r="B68" s="19">
        <f>+SUMIFS('ArabXlt-LT diff'!$I$5:$I$79,'ArabXlt-LT diff'!$A$5:$A$79,$A68)</f>
        <v>-0.19999999999999996</v>
      </c>
      <c r="C68" s="71">
        <v>0.34383340078238112</v>
      </c>
      <c r="D68" s="71">
        <v>0.56405990007159768</v>
      </c>
      <c r="E68" s="70">
        <v>-4.5766666666666671</v>
      </c>
      <c r="F68" s="19">
        <v>-0.19999999999999996</v>
      </c>
      <c r="G68" s="19">
        <v>-0.01</v>
      </c>
      <c r="H68" s="19">
        <v>-1.9069020308605071</v>
      </c>
    </row>
    <row r="69" spans="1:8" x14ac:dyDescent="0.3">
      <c r="A69" s="17">
        <v>45870</v>
      </c>
      <c r="B69" s="19">
        <f>+SUMIFS('ArabXlt-LT diff'!$I$5:$I$79,'ArabXlt-LT diff'!$A$5:$A$79,$A69)</f>
        <v>9.9999999999999645E-2</v>
      </c>
      <c r="C69" s="71">
        <v>0.3662897044340096</v>
      </c>
      <c r="D69" s="71">
        <v>0.49793726664965976</v>
      </c>
      <c r="E69" s="70">
        <v>-5.3274999999999997</v>
      </c>
      <c r="F69" s="19">
        <v>1.0000000000000002</v>
      </c>
      <c r="G69" s="19">
        <v>-0.11</v>
      </c>
      <c r="H69" s="19">
        <v>-2.7118661981957466</v>
      </c>
    </row>
    <row r="70" spans="1:8" x14ac:dyDescent="0.3">
      <c r="A70" s="17">
        <v>45901</v>
      </c>
      <c r="B70" s="19">
        <f>+SUMIFS('ArabXlt-LT diff'!$I$5:$I$79,'ArabXlt-LT diff'!$A$5:$A$79,$A70)</f>
        <v>0.29999999999999982</v>
      </c>
      <c r="C70" s="71">
        <v>0.31041090632391188</v>
      </c>
      <c r="D70" s="71">
        <v>0.44336798591999932</v>
      </c>
      <c r="E70" s="70">
        <v>-6.4700000000000006</v>
      </c>
      <c r="F70" s="19">
        <v>1</v>
      </c>
      <c r="G70" s="19">
        <v>0.54</v>
      </c>
      <c r="H70" s="19">
        <v>-2.7553362321867922</v>
      </c>
    </row>
    <row r="71" spans="1:8" x14ac:dyDescent="0.3">
      <c r="A71" s="17">
        <v>45931</v>
      </c>
      <c r="B71" s="19">
        <f>+SUMIFS('ArabXlt-LT diff'!$I$5:$I$79,'ArabXlt-LT diff'!$A$5:$A$79,$A71)</f>
        <v>0.29999999999999982</v>
      </c>
      <c r="C71" s="71">
        <v>0.30868871081460802</v>
      </c>
      <c r="D71" s="71">
        <v>0.37057906872004193</v>
      </c>
      <c r="E71" s="70">
        <v>-5.15</v>
      </c>
      <c r="F71" s="19">
        <v>-1</v>
      </c>
      <c r="G71" s="19">
        <v>0.25</v>
      </c>
      <c r="H71" s="19">
        <v>-3.5418359821376022</v>
      </c>
    </row>
    <row r="72" spans="1:8" x14ac:dyDescent="0.3">
      <c r="A72" s="17">
        <v>45962</v>
      </c>
      <c r="B72" s="19">
        <f>+SUMIFS('ArabXlt-LT diff'!$I$5:$I$79,'ArabXlt-LT diff'!$A$5:$A$79,$A72)</f>
        <v>0.29999999999999982</v>
      </c>
      <c r="C72" s="71">
        <v>0.26725037976185612</v>
      </c>
      <c r="D72" s="71">
        <v>0.41826243306854349</v>
      </c>
      <c r="E72" s="70">
        <v>-4.3533333333333326</v>
      </c>
      <c r="F72" s="19">
        <v>0</v>
      </c>
      <c r="G72" s="19">
        <v>0.72</v>
      </c>
      <c r="H72" s="19">
        <v>-3.5409094663559939</v>
      </c>
    </row>
    <row r="73" spans="1:8" x14ac:dyDescent="0.3">
      <c r="A73" s="17">
        <v>45992</v>
      </c>
      <c r="B73" s="19">
        <f>+SUMIFS('ArabXlt-LT diff'!$I$5:$I$79,'ArabXlt-LT diff'!$A$5:$A$79,$A73)</f>
        <v>0.30000000000000004</v>
      </c>
      <c r="C73" s="71">
        <v>0.30881950468251756</v>
      </c>
      <c r="D73" s="71">
        <v>0.14013179550073679</v>
      </c>
      <c r="E73" s="70">
        <v>-4.1099999999999994</v>
      </c>
      <c r="F73">
        <v>-1.2000000000000002</v>
      </c>
      <c r="G73" s="19">
        <v>0.21</v>
      </c>
      <c r="H73" s="19">
        <v>-4.8405370066272724</v>
      </c>
    </row>
    <row r="74" spans="1:8" x14ac:dyDescent="0.3">
      <c r="A74" s="17">
        <v>46023</v>
      </c>
      <c r="B74" s="19">
        <f>+SUMIFS('ArabXlt-LT diff'!$I$5:$I$79,'ArabXlt-LT diff'!$A$5:$A$79,$A74)</f>
        <v>0.50000000000000011</v>
      </c>
      <c r="C74" s="71">
        <v>0.44216178417093899</v>
      </c>
      <c r="D74" s="71">
        <v>0.24809166589160081</v>
      </c>
      <c r="E74" s="70">
        <v>-5.1549999999999994</v>
      </c>
      <c r="F74">
        <v>-0.4</v>
      </c>
      <c r="G74">
        <v>0.79</v>
      </c>
      <c r="H74" s="19">
        <v>-6.0181683590102821</v>
      </c>
    </row>
    <row r="75" spans="1:8" x14ac:dyDescent="0.3">
      <c r="A75" s="17">
        <v>46054</v>
      </c>
      <c r="B75" s="19">
        <f>+SUMIFS('ArabXlt-LT diff'!$I$5:$I$79,'ArabXlt-LT diff'!$A$5:$A$79,$A75)</f>
        <v>0.5</v>
      </c>
      <c r="C75" s="71">
        <v>0.4287139135255395</v>
      </c>
      <c r="D75" s="71">
        <v>0.14258218433667108</v>
      </c>
      <c r="E75" s="70">
        <v>-6.36</v>
      </c>
      <c r="F75">
        <v>-0.3</v>
      </c>
      <c r="G75">
        <v>1.06</v>
      </c>
      <c r="H75" s="19">
        <v>-4.6376104430809804</v>
      </c>
    </row>
    <row r="76" spans="1:8" x14ac:dyDescent="0.3">
      <c r="A76" s="17">
        <v>46082</v>
      </c>
      <c r="C76" s="71">
        <v>0.24465360851175807</v>
      </c>
      <c r="D76" s="71">
        <v>4.9879716956868943E-2</v>
      </c>
      <c r="E76" s="70">
        <f>+'Naphtha crack Dubai'!N54</f>
        <v>-4.9400000000000004</v>
      </c>
      <c r="F76" s="86">
        <v>-0.3</v>
      </c>
      <c r="G76" s="19">
        <v>1.01</v>
      </c>
      <c r="H76" s="19">
        <v>-2.6411898085934382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AE753-8B0C-4082-800A-40108AA93657}">
  <sheetPr>
    <tabColor theme="9" tint="-0.249977111117893"/>
  </sheetPr>
  <dimension ref="A1:K82"/>
  <sheetViews>
    <sheetView showGridLines="0" workbookViewId="0">
      <pane xSplit="1" ySplit="1" topLeftCell="B36" activePane="bottomRight" state="frozen"/>
      <selection pane="topRight" activeCell="B1" sqref="B1"/>
      <selection pane="bottomLeft" activeCell="A2" sqref="A2"/>
      <selection pane="bottomRight" activeCell="N63" sqref="N63"/>
    </sheetView>
  </sheetViews>
  <sheetFormatPr defaultRowHeight="14.4" x14ac:dyDescent="0.3"/>
  <cols>
    <col min="1" max="1" width="9.44140625" bestFit="1" customWidth="1"/>
    <col min="2" max="2" width="14.44140625" bestFit="1" customWidth="1"/>
    <col min="3" max="3" width="9.44140625" bestFit="1" customWidth="1"/>
    <col min="4" max="5" width="8.88671875" bestFit="1" customWidth="1"/>
    <col min="6" max="6" width="43.109375" bestFit="1" customWidth="1"/>
    <col min="7" max="7" width="24.44140625" bestFit="1" customWidth="1"/>
    <col min="8" max="8" width="18.5546875" bestFit="1" customWidth="1"/>
    <col min="9" max="9" width="21.109375" bestFit="1" customWidth="1"/>
    <col min="10" max="10" width="20.21875" bestFit="1" customWidth="1"/>
    <col min="11" max="11" width="14.77734375" bestFit="1" customWidth="1"/>
  </cols>
  <sheetData>
    <row r="1" spans="1:11" x14ac:dyDescent="0.3">
      <c r="A1" t="s">
        <v>128</v>
      </c>
      <c r="B1" s="44" t="s">
        <v>138</v>
      </c>
      <c r="C1" s="44" t="s">
        <v>133</v>
      </c>
      <c r="D1" s="44" t="s">
        <v>134</v>
      </c>
      <c r="E1" s="44" t="s">
        <v>135</v>
      </c>
      <c r="F1" s="44" t="s">
        <v>140</v>
      </c>
      <c r="G1" s="44" t="s">
        <v>139</v>
      </c>
      <c r="H1" s="44" t="s">
        <v>194</v>
      </c>
      <c r="I1" s="84" t="s">
        <v>223</v>
      </c>
      <c r="J1" s="44" t="s">
        <v>141</v>
      </c>
      <c r="K1" s="84" t="s">
        <v>222</v>
      </c>
    </row>
    <row r="2" spans="1:11" x14ac:dyDescent="0.3">
      <c r="A2" s="17">
        <v>43831</v>
      </c>
      <c r="B2" s="19">
        <f>+SUMIFS('ArabXlt-LT diff'!$I$5:$I$79,'ArabXlt-LT diff'!$A$5:$A$79,$A2)</f>
        <v>2.0999999999999996</v>
      </c>
      <c r="C2" s="71">
        <v>0</v>
      </c>
      <c r="D2" s="71">
        <v>0</v>
      </c>
      <c r="E2" s="71">
        <v>0</v>
      </c>
      <c r="F2" s="19"/>
      <c r="G2" s="19">
        <v>0.30000000000000027</v>
      </c>
      <c r="H2" s="19"/>
      <c r="J2" s="19"/>
      <c r="K2">
        <v>0.30057685576463666</v>
      </c>
    </row>
    <row r="3" spans="1:11" x14ac:dyDescent="0.3">
      <c r="A3" s="17">
        <v>43862</v>
      </c>
      <c r="B3" s="19">
        <f>+SUMIFS('ArabXlt-LT diff'!$I$5:$I$79,'ArabXlt-LT diff'!$A$5:$A$79,$A3)</f>
        <v>0.89999999999999947</v>
      </c>
      <c r="C3" s="71">
        <v>0</v>
      </c>
      <c r="D3" s="71">
        <v>0</v>
      </c>
      <c r="E3" s="71">
        <v>0</v>
      </c>
      <c r="F3" s="19"/>
      <c r="G3" s="19">
        <v>0</v>
      </c>
      <c r="H3" s="19"/>
      <c r="J3" s="19"/>
      <c r="K3">
        <v>0.24968413086680546</v>
      </c>
    </row>
    <row r="4" spans="1:11" x14ac:dyDescent="0.3">
      <c r="A4" s="17">
        <v>43891</v>
      </c>
      <c r="B4" s="19">
        <f>+SUMIFS('ArabXlt-LT diff'!$I$5:$I$79,'ArabXlt-LT diff'!$A$5:$A$79,$A4)</f>
        <v>0</v>
      </c>
      <c r="C4" s="71">
        <v>0.16944608211171561</v>
      </c>
      <c r="D4" s="71">
        <v>0.30905932256395424</v>
      </c>
      <c r="E4" s="71">
        <v>0.33766228114007052</v>
      </c>
      <c r="F4" s="19"/>
      <c r="G4" s="19">
        <v>-0.80000000000000027</v>
      </c>
      <c r="H4" s="19"/>
      <c r="J4" s="19"/>
      <c r="K4">
        <v>0.25004370638443169</v>
      </c>
    </row>
    <row r="5" spans="1:11" x14ac:dyDescent="0.3">
      <c r="A5" s="17">
        <v>43922</v>
      </c>
      <c r="B5" s="19">
        <f>+SUMIFS('ArabXlt-LT diff'!$I$5:$I$79,'ArabXlt-LT diff'!$A$5:$A$79,$A5)</f>
        <v>0</v>
      </c>
      <c r="C5" s="71">
        <v>0.26549393352568196</v>
      </c>
      <c r="D5" s="71">
        <v>0.29969384431114138</v>
      </c>
      <c r="E5" s="71">
        <v>0.31088288132658898</v>
      </c>
      <c r="F5" s="19"/>
      <c r="G5" s="19">
        <v>-6</v>
      </c>
      <c r="H5" s="19"/>
      <c r="J5" s="19"/>
      <c r="K5">
        <v>0.28177262240897066</v>
      </c>
    </row>
    <row r="6" spans="1:11" x14ac:dyDescent="0.3">
      <c r="A6" s="17">
        <v>43952</v>
      </c>
      <c r="B6" s="19">
        <f>+SUMIFS('ArabXlt-LT diff'!$I$5:$I$79,'ArabXlt-LT diff'!$A$5:$A$79,$A6)</f>
        <v>-0.10000000000000053</v>
      </c>
      <c r="C6" s="71">
        <v>0.27936636953294702</v>
      </c>
      <c r="D6" s="71">
        <v>0.26104282370611293</v>
      </c>
      <c r="E6" s="71">
        <v>0.43893722366246823</v>
      </c>
      <c r="F6" s="19"/>
      <c r="G6" s="19">
        <v>-4.1999999999999993</v>
      </c>
      <c r="H6" s="19"/>
      <c r="J6" s="19"/>
      <c r="K6">
        <v>0.24059786817775583</v>
      </c>
    </row>
    <row r="7" spans="1:11" x14ac:dyDescent="0.3">
      <c r="A7" s="17">
        <v>43983</v>
      </c>
      <c r="B7" s="19">
        <f>+SUMIFS('ArabXlt-LT diff'!$I$5:$I$79,'ArabXlt-LT diff'!$A$5:$A$79,$A7)</f>
        <v>-0.59999999999999964</v>
      </c>
      <c r="C7" s="71">
        <v>0.28449170848499672</v>
      </c>
      <c r="D7" s="71">
        <v>0.2913640687710039</v>
      </c>
      <c r="E7" s="71">
        <v>0.36771715690757606</v>
      </c>
      <c r="F7" s="19"/>
      <c r="G7" s="19">
        <v>1.3999999999999995</v>
      </c>
      <c r="H7" s="19"/>
      <c r="J7" s="19"/>
      <c r="K7">
        <v>0.29944202964383093</v>
      </c>
    </row>
    <row r="8" spans="1:11" x14ac:dyDescent="0.3">
      <c r="A8" s="17">
        <v>44013</v>
      </c>
      <c r="B8" s="19">
        <f>+SUMIFS('ArabXlt-LT diff'!$I$5:$I$79,'ArabXlt-LT diff'!$A$5:$A$79,$A8)</f>
        <v>0</v>
      </c>
      <c r="C8" s="71">
        <v>0.20615211094219743</v>
      </c>
      <c r="D8" s="71">
        <v>0.31818470345657751</v>
      </c>
      <c r="E8" s="71">
        <v>0.35150727350335931</v>
      </c>
      <c r="F8" s="19"/>
      <c r="G8" s="19">
        <v>6.1000000000000005</v>
      </c>
      <c r="H8" s="19"/>
      <c r="J8" s="19"/>
      <c r="K8">
        <v>0.36674040255811374</v>
      </c>
    </row>
    <row r="9" spans="1:11" x14ac:dyDescent="0.3">
      <c r="A9" s="17">
        <v>44044</v>
      </c>
      <c r="B9" s="19">
        <f>+SUMIFS('ArabXlt-LT diff'!$I$5:$I$79,'ArabXlt-LT diff'!$A$5:$A$79,$A9)</f>
        <v>0</v>
      </c>
      <c r="C9" s="71">
        <v>0.26041458766775094</v>
      </c>
      <c r="D9" s="71">
        <v>0.38826750219329897</v>
      </c>
      <c r="E9" s="71">
        <v>0.47325647266632803</v>
      </c>
      <c r="F9" s="19"/>
      <c r="G9" s="19">
        <v>1</v>
      </c>
      <c r="H9" s="19"/>
      <c r="J9" s="19"/>
      <c r="K9">
        <v>0.27996017870513307</v>
      </c>
    </row>
    <row r="10" spans="1:11" x14ac:dyDescent="0.3">
      <c r="A10" s="17">
        <v>44075</v>
      </c>
      <c r="B10" s="19">
        <f>+SUMIFS('ArabXlt-LT diff'!$I$5:$I$79,'ArabXlt-LT diff'!$A$5:$A$79,$A10)</f>
        <v>-0.20000000000000007</v>
      </c>
      <c r="C10" s="71">
        <v>0.26931473809580037</v>
      </c>
      <c r="D10" s="71">
        <v>0.30124636922390691</v>
      </c>
      <c r="E10" s="71">
        <v>0.3924508611007278</v>
      </c>
      <c r="F10" s="19"/>
      <c r="G10" s="19">
        <v>-0.29999999999999993</v>
      </c>
      <c r="H10" s="19"/>
      <c r="J10" s="19"/>
      <c r="K10">
        <v>0.33874753142517261</v>
      </c>
    </row>
    <row r="11" spans="1:11" x14ac:dyDescent="0.3">
      <c r="A11" s="17">
        <v>44105</v>
      </c>
      <c r="B11" s="19">
        <f>+SUMIFS('ArabXlt-LT diff'!$I$5:$I$79,'ArabXlt-LT diff'!$A$5:$A$79,$A11)</f>
        <v>-0.30000000000000004</v>
      </c>
      <c r="C11" s="71">
        <v>0.20592437396561486</v>
      </c>
      <c r="D11" s="71">
        <v>0.28127122929604109</v>
      </c>
      <c r="E11" s="71">
        <v>0.32521660128736729</v>
      </c>
      <c r="F11" s="19"/>
      <c r="G11" s="19">
        <v>-1.4</v>
      </c>
      <c r="H11" s="19"/>
      <c r="J11" s="19"/>
      <c r="K11">
        <v>0.27727132383474651</v>
      </c>
    </row>
    <row r="12" spans="1:11" x14ac:dyDescent="0.3">
      <c r="A12" s="17">
        <v>44136</v>
      </c>
      <c r="B12" s="19">
        <f>+SUMIFS('ArabXlt-LT diff'!$I$5:$I$79,'ArabXlt-LT diff'!$A$5:$A$79,$A12)</f>
        <v>-0.19999999999999996</v>
      </c>
      <c r="C12" s="71">
        <v>0.20372583698017308</v>
      </c>
      <c r="D12" s="71">
        <v>0.25236787387009779</v>
      </c>
      <c r="E12" s="71">
        <v>0.34175191537649535</v>
      </c>
      <c r="F12" s="19"/>
      <c r="G12" s="19">
        <v>9.9999999999999978E-2</v>
      </c>
      <c r="H12" s="19"/>
      <c r="J12" s="19"/>
      <c r="K12">
        <v>0.37437608282325241</v>
      </c>
    </row>
    <row r="13" spans="1:11" x14ac:dyDescent="0.3">
      <c r="A13" s="17">
        <v>44166</v>
      </c>
      <c r="B13" s="19">
        <f>+SUMIFS('ArabXlt-LT diff'!$I$5:$I$79,'ArabXlt-LT diff'!$A$5:$A$79,$A13)</f>
        <v>-0.19999999999999996</v>
      </c>
      <c r="C13" s="71">
        <v>0.27643136723302231</v>
      </c>
      <c r="D13" s="71">
        <v>0.30257417222287419</v>
      </c>
      <c r="E13" s="71">
        <v>0.27992749346161894</v>
      </c>
      <c r="F13" s="19"/>
      <c r="G13" s="19">
        <v>-9.9999999999999978E-2</v>
      </c>
      <c r="H13" s="19"/>
      <c r="J13" s="19"/>
      <c r="K13">
        <v>0.41846978409704927</v>
      </c>
    </row>
    <row r="14" spans="1:11" x14ac:dyDescent="0.3">
      <c r="A14" s="17">
        <v>44197</v>
      </c>
      <c r="B14" s="19">
        <f>+SUMIFS('ArabXlt-LT diff'!$I$5:$I$79,'ArabXlt-LT diff'!$A$5:$A$79,$A14)</f>
        <v>-0.19999999999999998</v>
      </c>
      <c r="C14" s="71">
        <v>0.26884985259482702</v>
      </c>
      <c r="D14" s="71">
        <v>0.2772342789146573</v>
      </c>
      <c r="E14" s="71">
        <v>0.20219215942966012</v>
      </c>
      <c r="F14" s="19"/>
      <c r="G14" s="19">
        <v>0.8</v>
      </c>
      <c r="H14" s="19"/>
      <c r="J14" s="19"/>
      <c r="K14">
        <v>0.35259364263168802</v>
      </c>
    </row>
    <row r="15" spans="1:11" x14ac:dyDescent="0.3">
      <c r="A15" s="17">
        <v>44228</v>
      </c>
      <c r="B15" s="19">
        <f>+SUMIFS('ArabXlt-LT diff'!$I$5:$I$79,'ArabXlt-LT diff'!$A$5:$A$79,$A15)</f>
        <v>-0.4</v>
      </c>
      <c r="C15" s="71">
        <v>0.29477377676704131</v>
      </c>
      <c r="D15" s="71">
        <v>0.32165316218327106</v>
      </c>
      <c r="E15" s="71">
        <v>0.21963930075420937</v>
      </c>
      <c r="F15" s="19"/>
      <c r="G15" s="19">
        <v>0.7</v>
      </c>
      <c r="H15" s="19"/>
      <c r="J15" s="19">
        <v>-1.5683120514484017</v>
      </c>
      <c r="K15">
        <v>0.39191313301054498</v>
      </c>
    </row>
    <row r="16" spans="1:11" x14ac:dyDescent="0.3">
      <c r="A16" s="17">
        <v>44256</v>
      </c>
      <c r="B16" s="19">
        <f>+SUMIFS('ArabXlt-LT diff'!$I$5:$I$79,'ArabXlt-LT diff'!$A$5:$A$79,$A16)</f>
        <v>-0.4</v>
      </c>
      <c r="C16" s="71">
        <v>0.20315392004978672</v>
      </c>
      <c r="D16" s="71">
        <v>0.31121650367730624</v>
      </c>
      <c r="E16" s="71">
        <v>0.25546997287441248</v>
      </c>
      <c r="F16" s="19"/>
      <c r="G16" s="19">
        <v>0</v>
      </c>
      <c r="H16" s="19"/>
      <c r="J16" s="19">
        <v>-0.87804413143077475</v>
      </c>
      <c r="K16">
        <v>0.28039397706931291</v>
      </c>
    </row>
    <row r="17" spans="1:11" x14ac:dyDescent="0.3">
      <c r="A17" s="17">
        <v>44287</v>
      </c>
      <c r="B17" s="19">
        <f>+SUMIFS('ArabXlt-LT diff'!$I$5:$I$79,'ArabXlt-LT diff'!$A$5:$A$79,$A17)</f>
        <v>-0.19999999999999996</v>
      </c>
      <c r="C17" s="71">
        <v>0.28959472688902582</v>
      </c>
      <c r="D17" s="71">
        <v>0.25044990643113391</v>
      </c>
      <c r="E17" s="71">
        <v>0.36557138332008798</v>
      </c>
      <c r="F17" s="19"/>
      <c r="G17" s="19">
        <v>0.39999999999999991</v>
      </c>
      <c r="H17" s="19"/>
      <c r="J17" s="19">
        <v>-1.3469637889172343</v>
      </c>
      <c r="K17">
        <v>0.3116899576148161</v>
      </c>
    </row>
    <row r="18" spans="1:11" x14ac:dyDescent="0.3">
      <c r="A18" s="17">
        <v>44317</v>
      </c>
      <c r="B18" s="19">
        <f>+SUMIFS('ArabXlt-LT diff'!$I$5:$I$79,'ArabXlt-LT diff'!$A$5:$A$79,$A18)</f>
        <v>-0.19999999999999996</v>
      </c>
      <c r="C18" s="71">
        <v>0.31983911795478132</v>
      </c>
      <c r="D18" s="71">
        <v>0.33682493598140406</v>
      </c>
      <c r="E18" s="71">
        <v>0.4415983225712265</v>
      </c>
      <c r="F18" s="19"/>
      <c r="G18" s="19">
        <v>0.40000000000000013</v>
      </c>
      <c r="H18" s="19"/>
      <c r="J18" s="19">
        <v>-1.8007614671253975</v>
      </c>
      <c r="K18">
        <v>0.29933125215659029</v>
      </c>
    </row>
    <row r="19" spans="1:11" x14ac:dyDescent="0.3">
      <c r="A19" s="17">
        <v>44348</v>
      </c>
      <c r="B19" s="19">
        <f>+SUMIFS('ArabXlt-LT diff'!$I$5:$I$79,'ArabXlt-LT diff'!$A$5:$A$79,$A19)</f>
        <v>-0.19999999999999996</v>
      </c>
      <c r="C19" s="71">
        <v>0.29782800415053173</v>
      </c>
      <c r="D19" s="71">
        <v>0.27266179709165</v>
      </c>
      <c r="E19" s="71">
        <v>0.51207225650735588</v>
      </c>
      <c r="F19" s="19"/>
      <c r="G19" s="19">
        <v>-0.10000000000000009</v>
      </c>
      <c r="J19" s="19">
        <v>-2.0264149679029799</v>
      </c>
      <c r="K19">
        <v>0.29393469143045486</v>
      </c>
    </row>
    <row r="20" spans="1:11" x14ac:dyDescent="0.3">
      <c r="A20" s="17">
        <v>44378</v>
      </c>
      <c r="B20" s="19">
        <f>+SUMIFS('ArabXlt-LT diff'!$I$5:$I$79,'ArabXlt-LT diff'!$A$5:$A$79,$A20)</f>
        <v>0</v>
      </c>
      <c r="C20" s="71">
        <v>0.37925117474172076</v>
      </c>
      <c r="D20" s="71">
        <v>0.34715965749315947</v>
      </c>
      <c r="E20" s="71">
        <v>0.47608816137708254</v>
      </c>
      <c r="F20" s="19"/>
      <c r="G20" s="19">
        <v>0.19999999999999996</v>
      </c>
      <c r="H20" s="19">
        <v>0.46</v>
      </c>
      <c r="I20">
        <v>0.11</v>
      </c>
      <c r="J20" s="19">
        <v>-1.9865475000361883</v>
      </c>
      <c r="K20">
        <v>0.34945624954543736</v>
      </c>
    </row>
    <row r="21" spans="1:11" x14ac:dyDescent="0.3">
      <c r="A21" s="17">
        <v>44409</v>
      </c>
      <c r="B21" s="19">
        <f>+SUMIFS('ArabXlt-LT diff'!$I$5:$I$79,'ArabXlt-LT diff'!$A$5:$A$79,$A21)</f>
        <v>0</v>
      </c>
      <c r="C21" s="71">
        <v>0.24227990774222471</v>
      </c>
      <c r="D21" s="71">
        <v>0.31901779075650966</v>
      </c>
      <c r="E21" s="71">
        <v>0.38869840536437977</v>
      </c>
      <c r="F21" s="19"/>
      <c r="G21" s="19">
        <v>0.80000000000000027</v>
      </c>
      <c r="H21" s="19">
        <v>0.38</v>
      </c>
      <c r="I21">
        <v>0.04</v>
      </c>
      <c r="J21" s="19">
        <v>-2.7175016964489274</v>
      </c>
      <c r="K21">
        <v>0.29239021381684749</v>
      </c>
    </row>
    <row r="22" spans="1:11" x14ac:dyDescent="0.3">
      <c r="A22" s="17">
        <v>44440</v>
      </c>
      <c r="B22" s="19">
        <f>+SUMIFS('ArabXlt-LT diff'!$I$5:$I$79,'ArabXlt-LT diff'!$A$5:$A$79,$A22)</f>
        <v>0.20000000000000018</v>
      </c>
      <c r="C22" s="71">
        <v>0.30534315988031918</v>
      </c>
      <c r="D22" s="71">
        <v>0.24180968970127936</v>
      </c>
      <c r="E22" s="71">
        <v>0.46147300607772768</v>
      </c>
      <c r="F22" s="19"/>
      <c r="G22" s="19">
        <v>0.29999999999999982</v>
      </c>
      <c r="H22" s="19">
        <v>0.77</v>
      </c>
      <c r="I22">
        <v>0.42</v>
      </c>
      <c r="J22" s="19">
        <v>-2.7792863560012222</v>
      </c>
      <c r="K22">
        <v>0.37263183311081194</v>
      </c>
    </row>
    <row r="23" spans="1:11" x14ac:dyDescent="0.3">
      <c r="A23" s="17">
        <v>44470</v>
      </c>
      <c r="B23" s="19">
        <f>+SUMIFS('ArabXlt-LT diff'!$I$5:$I$79,'ArabXlt-LT diff'!$A$5:$A$79,$A23)</f>
        <v>0.30000000000000004</v>
      </c>
      <c r="C23" s="71">
        <v>0.36073125865797218</v>
      </c>
      <c r="D23" s="71">
        <v>0.21122286709211247</v>
      </c>
      <c r="E23" s="71">
        <v>0.49196714724903212</v>
      </c>
      <c r="F23" s="19"/>
      <c r="G23" s="19">
        <v>-1.3</v>
      </c>
      <c r="H23" s="19">
        <v>0.6</v>
      </c>
      <c r="I23">
        <v>0.3</v>
      </c>
      <c r="J23" s="19">
        <v>-2.1327653745421786</v>
      </c>
      <c r="K23">
        <v>0.34329109246782552</v>
      </c>
    </row>
    <row r="24" spans="1:11" x14ac:dyDescent="0.3">
      <c r="A24" s="17">
        <v>44501</v>
      </c>
      <c r="B24" s="19">
        <f>+SUMIFS('ArabXlt-LT diff'!$I$5:$I$79,'ArabXlt-LT diff'!$A$5:$A$79,$A24)</f>
        <v>0.5</v>
      </c>
      <c r="C24" s="71">
        <v>0.35102468915067109</v>
      </c>
      <c r="D24" s="71">
        <v>0.26992838542570291</v>
      </c>
      <c r="E24" s="71">
        <v>0.4546573531422588</v>
      </c>
      <c r="F24" s="19"/>
      <c r="G24" s="19">
        <v>-0.39999999999999991</v>
      </c>
      <c r="H24" s="19">
        <v>0.24</v>
      </c>
      <c r="I24">
        <v>-0.06</v>
      </c>
      <c r="J24" s="19">
        <v>-2.6580363769663649</v>
      </c>
      <c r="K24">
        <v>0.42073765907334493</v>
      </c>
    </row>
    <row r="25" spans="1:11" x14ac:dyDescent="0.3">
      <c r="A25" s="17">
        <v>44531</v>
      </c>
      <c r="B25" s="19">
        <f>+SUMIFS('ArabXlt-LT diff'!$I$5:$I$79,'ArabXlt-LT diff'!$A$5:$A$79,$A25)</f>
        <v>1.2999999999999998</v>
      </c>
      <c r="C25" s="71">
        <v>0.33792835462603565</v>
      </c>
      <c r="D25" s="71">
        <v>0.22316129878174731</v>
      </c>
      <c r="E25" s="71">
        <v>0.4530095688202212</v>
      </c>
      <c r="F25" s="19"/>
      <c r="G25" s="19">
        <v>1.4000000000000001</v>
      </c>
      <c r="H25" s="19">
        <v>0.8</v>
      </c>
      <c r="I25">
        <v>0.5</v>
      </c>
      <c r="J25" s="19">
        <v>-5.564964600846845</v>
      </c>
      <c r="K25">
        <v>0.41770906855778428</v>
      </c>
    </row>
    <row r="26" spans="1:11" x14ac:dyDescent="0.3">
      <c r="A26" s="17">
        <v>44562</v>
      </c>
      <c r="B26" s="19">
        <f>+SUMIFS('ArabXlt-LT diff'!$I$5:$I$79,'ArabXlt-LT diff'!$A$5:$A$79,$A26)</f>
        <v>1.2000000000000002</v>
      </c>
      <c r="C26" s="71">
        <v>0.23095821021016749</v>
      </c>
      <c r="D26" s="71">
        <v>0.18283932059716812</v>
      </c>
      <c r="E26" s="71">
        <v>0.40400255377790778</v>
      </c>
      <c r="F26" s="19"/>
      <c r="G26" s="19">
        <v>0.59999999999999964</v>
      </c>
      <c r="H26" s="19">
        <v>1.1399999999999999</v>
      </c>
      <c r="I26">
        <v>0.85</v>
      </c>
      <c r="J26" s="19">
        <v>-4.4420965725236341</v>
      </c>
      <c r="K26">
        <v>0.32400147259333079</v>
      </c>
    </row>
    <row r="27" spans="1:11" x14ac:dyDescent="0.3">
      <c r="A27" s="17">
        <v>44593</v>
      </c>
      <c r="B27" s="19">
        <f>+SUMIFS('ArabXlt-LT diff'!$I$5:$I$79,'ArabXlt-LT diff'!$A$5:$A$79,$A27)</f>
        <v>1</v>
      </c>
      <c r="C27" s="71">
        <v>0.23557075162214261</v>
      </c>
      <c r="D27" s="71">
        <v>0.19731541350073142</v>
      </c>
      <c r="E27" s="71">
        <v>0.38111673488567971</v>
      </c>
      <c r="F27" s="70">
        <v>0.66500000000000004</v>
      </c>
      <c r="G27" s="19">
        <v>-1.0999999999999996</v>
      </c>
      <c r="H27" s="19">
        <v>1.75</v>
      </c>
      <c r="I27">
        <v>1.45</v>
      </c>
      <c r="J27" s="19">
        <v>-4.8319738181958911</v>
      </c>
      <c r="K27">
        <v>0.30111413350835847</v>
      </c>
    </row>
    <row r="28" spans="1:11" x14ac:dyDescent="0.3">
      <c r="A28" s="17">
        <v>44621</v>
      </c>
      <c r="B28" s="19">
        <f>+SUMIFS('ArabXlt-LT diff'!$I$5:$I$79,'ArabXlt-LT diff'!$A$5:$A$79,$A28)</f>
        <v>0.80000000000000027</v>
      </c>
      <c r="C28" s="71">
        <v>0.23313274337809914</v>
      </c>
      <c r="D28" s="71">
        <v>0.22349663150133223</v>
      </c>
      <c r="E28" s="71">
        <v>0.37152756215145799</v>
      </c>
      <c r="F28" s="70">
        <v>1.085</v>
      </c>
      <c r="G28" s="19">
        <v>0.59999999999999964</v>
      </c>
      <c r="H28" s="19">
        <v>1.18</v>
      </c>
      <c r="I28">
        <v>0.83</v>
      </c>
      <c r="J28" s="19">
        <v>-5.189157000778458</v>
      </c>
      <c r="K28">
        <v>0.35810130589714523</v>
      </c>
    </row>
    <row r="29" spans="1:11" x14ac:dyDescent="0.3">
      <c r="A29" s="17">
        <v>44652</v>
      </c>
      <c r="B29" s="19">
        <f>+SUMIFS('ArabXlt-LT diff'!$I$5:$I$79,'ArabXlt-LT diff'!$A$5:$A$79,$A29)</f>
        <v>0.95000000000000018</v>
      </c>
      <c r="C29" s="71">
        <v>0.28119911608688364</v>
      </c>
      <c r="D29" s="71">
        <v>0.1567218064866546</v>
      </c>
      <c r="E29" s="71">
        <v>0.31127731331784952</v>
      </c>
      <c r="F29" s="70">
        <v>7.2324999999999999</v>
      </c>
      <c r="G29" s="19">
        <v>2.1500000000000004</v>
      </c>
      <c r="H29" s="19">
        <v>1.66</v>
      </c>
      <c r="I29">
        <v>1.26</v>
      </c>
      <c r="J29" s="19">
        <v>-5.786576886174096</v>
      </c>
      <c r="K29">
        <v>0.33502366450239901</v>
      </c>
    </row>
    <row r="30" spans="1:11" x14ac:dyDescent="0.3">
      <c r="A30" s="17">
        <v>44682</v>
      </c>
      <c r="B30" s="19">
        <f>+SUMIFS('ArabXlt-LT diff'!$I$5:$I$79,'ArabXlt-LT diff'!$A$5:$A$79,$A30)</f>
        <v>0.25</v>
      </c>
      <c r="C30" s="71">
        <v>0.24864132652438911</v>
      </c>
      <c r="D30" s="71">
        <v>0.18384329207253725</v>
      </c>
      <c r="E30" s="71">
        <v>0.404079275997899</v>
      </c>
      <c r="F30" s="70">
        <v>-3.2800000000000002</v>
      </c>
      <c r="G30" s="19">
        <v>4.3999999999999995</v>
      </c>
      <c r="H30" s="19">
        <v>1.65</v>
      </c>
      <c r="I30">
        <v>1.25</v>
      </c>
      <c r="J30" s="19">
        <v>-4.417953795264161</v>
      </c>
      <c r="K30">
        <v>0.28527237368633679</v>
      </c>
    </row>
    <row r="31" spans="1:11" x14ac:dyDescent="0.3">
      <c r="A31" s="17">
        <v>44713</v>
      </c>
      <c r="B31" s="19">
        <f>+SUMIFS('ArabXlt-LT diff'!$I$5:$I$79,'ArabXlt-LT diff'!$A$5:$A$79,$A31)</f>
        <v>0.25</v>
      </c>
      <c r="C31" s="71">
        <v>0.24283780688460876</v>
      </c>
      <c r="D31" s="71">
        <v>0.16662188419525514</v>
      </c>
      <c r="E31" s="71">
        <v>0.34536953071865789</v>
      </c>
      <c r="F31" s="70">
        <v>-6.18</v>
      </c>
      <c r="G31" s="19">
        <v>-4.9499999999999993</v>
      </c>
      <c r="H31" s="19">
        <v>1.59</v>
      </c>
      <c r="I31">
        <v>1.24</v>
      </c>
      <c r="J31" s="19">
        <v>-5.5046241931787989</v>
      </c>
      <c r="K31">
        <v>0.34231353587484092</v>
      </c>
    </row>
    <row r="32" spans="1:11" x14ac:dyDescent="0.3">
      <c r="A32" s="17">
        <v>44743</v>
      </c>
      <c r="B32" s="19">
        <f>+SUMIFS('ArabXlt-LT diff'!$I$5:$I$79,'ArabXlt-LT diff'!$A$5:$A$79,$A32)</f>
        <v>0.65000000000000036</v>
      </c>
      <c r="C32" s="71">
        <v>0.24384916653622074</v>
      </c>
      <c r="D32" s="71">
        <v>0.20691065671913397</v>
      </c>
      <c r="E32" s="71">
        <v>0.36960640076803786</v>
      </c>
      <c r="F32" s="70">
        <v>-14.99</v>
      </c>
      <c r="G32" s="19">
        <v>2.0999999999999996</v>
      </c>
      <c r="H32" s="19">
        <v>1.69</v>
      </c>
      <c r="I32">
        <v>1.0900000000000001</v>
      </c>
      <c r="J32" s="19">
        <v>-10.172785712121282</v>
      </c>
      <c r="K32">
        <v>0.31809604146682785</v>
      </c>
    </row>
    <row r="33" spans="1:11" x14ac:dyDescent="0.3">
      <c r="A33" s="17">
        <v>44774</v>
      </c>
      <c r="B33" s="19">
        <f>+SUMIFS('ArabXlt-LT diff'!$I$5:$I$79,'ArabXlt-LT diff'!$A$5:$A$79,$A33)</f>
        <v>1.3499999999999996</v>
      </c>
      <c r="C33" s="71">
        <v>0.2330685952545693</v>
      </c>
      <c r="D33" s="71">
        <v>0.12784187747865272</v>
      </c>
      <c r="E33" s="71">
        <v>0.35676403632219383</v>
      </c>
      <c r="F33" s="70">
        <v>-10.955</v>
      </c>
      <c r="G33" s="19">
        <v>2.8000000000000007</v>
      </c>
      <c r="H33" s="19">
        <v>1.55</v>
      </c>
      <c r="I33">
        <v>0.95</v>
      </c>
      <c r="J33" s="19">
        <v>-12.812254741997734</v>
      </c>
      <c r="K33">
        <v>0.32551095909772687</v>
      </c>
    </row>
    <row r="34" spans="1:11" x14ac:dyDescent="0.3">
      <c r="A34" s="17">
        <v>44805</v>
      </c>
      <c r="B34" s="19">
        <f>+SUMIFS('ArabXlt-LT diff'!$I$5:$I$79,'ArabXlt-LT diff'!$A$5:$A$79,$A34)</f>
        <v>1.1499999999999986</v>
      </c>
      <c r="C34" s="71">
        <v>0.28355486423021486</v>
      </c>
      <c r="D34" s="71">
        <v>0.26273044639790327</v>
      </c>
      <c r="E34" s="71">
        <v>0.38978070833339007</v>
      </c>
      <c r="F34" s="70">
        <v>-14.9625</v>
      </c>
      <c r="G34" s="19">
        <v>0.5</v>
      </c>
      <c r="H34" s="19">
        <v>4.29</v>
      </c>
      <c r="I34">
        <v>3.69</v>
      </c>
      <c r="J34" s="19">
        <v>-8.6611423410524715</v>
      </c>
      <c r="K34">
        <v>0.32792190560291079</v>
      </c>
    </row>
    <row r="35" spans="1:11" x14ac:dyDescent="0.3">
      <c r="A35" s="17">
        <v>44835</v>
      </c>
      <c r="B35" s="19">
        <f>+SUMIFS('ArabXlt-LT diff'!$I$5:$I$79,'ArabXlt-LT diff'!$A$5:$A$79,$A35)</f>
        <v>0.60000000000000053</v>
      </c>
      <c r="C35" s="71">
        <v>0.24861589948632981</v>
      </c>
      <c r="D35" s="71">
        <v>0.24953146079628907</v>
      </c>
      <c r="E35" s="71">
        <v>0.39264714003404311</v>
      </c>
      <c r="F35" s="70">
        <v>-20.9</v>
      </c>
      <c r="G35" s="19">
        <v>-3.9500000000000011</v>
      </c>
      <c r="H35" s="19">
        <v>2.84</v>
      </c>
      <c r="I35">
        <v>2.04</v>
      </c>
      <c r="J35" s="19">
        <v>-8.3406545428291565</v>
      </c>
      <c r="K35">
        <v>0.29192423260234784</v>
      </c>
    </row>
    <row r="36" spans="1:11" x14ac:dyDescent="0.3">
      <c r="A36" s="17">
        <v>44866</v>
      </c>
      <c r="B36" s="19">
        <f>+SUMIFS('ArabXlt-LT diff'!$I$5:$I$79,'ArabXlt-LT diff'!$A$5:$A$79,$A36)</f>
        <v>0.5</v>
      </c>
      <c r="C36" s="71">
        <v>0.21067932492616764</v>
      </c>
      <c r="D36" s="71">
        <v>0.25879096900415377</v>
      </c>
      <c r="E36" s="71">
        <v>0.35712679882207327</v>
      </c>
      <c r="F36" s="70">
        <v>-13.574999999999999</v>
      </c>
      <c r="G36" s="19">
        <v>0</v>
      </c>
      <c r="H36" s="19">
        <v>1.46</v>
      </c>
      <c r="I36">
        <v>0.36</v>
      </c>
      <c r="J36" s="19">
        <v>-6.4565900416896866</v>
      </c>
      <c r="K36">
        <v>0.25589478900356338</v>
      </c>
    </row>
    <row r="37" spans="1:11" x14ac:dyDescent="0.3">
      <c r="A37" s="17">
        <v>44896</v>
      </c>
      <c r="B37" s="19">
        <f>+SUMIFS('ArabXlt-LT diff'!$I$5:$I$79,'ArabXlt-LT diff'!$A$5:$A$79,$A37)</f>
        <v>1</v>
      </c>
      <c r="C37" s="71">
        <v>0.23218203536308216</v>
      </c>
      <c r="D37" s="71">
        <v>0.29314643507688554</v>
      </c>
      <c r="E37" s="71">
        <v>0.36892695133733194</v>
      </c>
      <c r="F37" s="70">
        <v>-15.112500000000001</v>
      </c>
      <c r="G37" s="19">
        <v>-0.39999999999999947</v>
      </c>
      <c r="H37" s="19">
        <v>1.54</v>
      </c>
      <c r="I37">
        <v>0.44</v>
      </c>
      <c r="J37" s="19">
        <v>-6.9778995441457496</v>
      </c>
      <c r="K37">
        <v>0.26463408123585158</v>
      </c>
    </row>
    <row r="38" spans="1:11" x14ac:dyDescent="0.3">
      <c r="A38" s="17">
        <v>44927</v>
      </c>
      <c r="B38" s="19">
        <f>+SUMIFS('ArabXlt-LT diff'!$I$5:$I$79,'ArabXlt-LT diff'!$A$5:$A$79,$A38)</f>
        <v>3.2</v>
      </c>
      <c r="C38" s="71">
        <v>0.24229213745990411</v>
      </c>
      <c r="D38" s="71">
        <v>0.25959839235175802</v>
      </c>
      <c r="E38" s="71">
        <v>0.36109464691618043</v>
      </c>
      <c r="F38" s="70">
        <v>-12.11</v>
      </c>
      <c r="G38" s="19">
        <v>-2.2000000000000002</v>
      </c>
      <c r="H38" s="19">
        <v>2.4</v>
      </c>
      <c r="I38">
        <v>1.3</v>
      </c>
      <c r="J38" s="19">
        <v>-7.9343365649229725</v>
      </c>
      <c r="K38">
        <v>0.32562785888024692</v>
      </c>
    </row>
    <row r="39" spans="1:11" x14ac:dyDescent="0.3">
      <c r="A39" s="17">
        <v>44958</v>
      </c>
      <c r="B39" s="19">
        <f>+SUMIFS('ArabXlt-LT diff'!$I$5:$I$79,'ArabXlt-LT diff'!$A$5:$A$79,$A39)</f>
        <v>1.7499999999999998</v>
      </c>
      <c r="C39" s="71">
        <v>0.38674588807175375</v>
      </c>
      <c r="D39" s="71">
        <v>0.31869611351543603</v>
      </c>
      <c r="E39" s="71">
        <v>0.47063274743817585</v>
      </c>
      <c r="F39" s="70">
        <v>-12.02</v>
      </c>
      <c r="G39" s="19">
        <v>-1.45</v>
      </c>
      <c r="H39" s="19">
        <v>4.68</v>
      </c>
      <c r="I39">
        <v>3.48</v>
      </c>
      <c r="J39" s="19">
        <v>-11.094187939204794</v>
      </c>
      <c r="K39">
        <v>0.34423533026663139</v>
      </c>
    </row>
    <row r="40" spans="1:11" x14ac:dyDescent="0.3">
      <c r="A40" s="17">
        <v>44986</v>
      </c>
      <c r="B40" s="19">
        <f>+SUMIFS('ArabXlt-LT diff'!$I$5:$I$79,'ArabXlt-LT diff'!$A$5:$A$79,$A40)</f>
        <v>0.25</v>
      </c>
      <c r="C40" s="71">
        <v>0.19248465122008515</v>
      </c>
      <c r="D40" s="71">
        <v>0.20063117648413495</v>
      </c>
      <c r="E40" s="71">
        <v>0.38317645649692489</v>
      </c>
      <c r="F40" s="70">
        <v>-8.6233333333333331</v>
      </c>
      <c r="G40" s="19">
        <v>0.19999999999999996</v>
      </c>
      <c r="H40" s="19">
        <v>2.91</v>
      </c>
      <c r="I40">
        <v>1.51</v>
      </c>
      <c r="J40" s="19">
        <v>-11.369148911951237</v>
      </c>
      <c r="K40">
        <v>0.24600926362947276</v>
      </c>
    </row>
    <row r="41" spans="1:11" x14ac:dyDescent="0.3">
      <c r="A41" s="17">
        <v>45017</v>
      </c>
      <c r="B41" s="19">
        <f>+SUMIFS('ArabXlt-LT diff'!$I$5:$I$79,'ArabXlt-LT diff'!$A$5:$A$79,$A41)</f>
        <v>0.20000000000000018</v>
      </c>
      <c r="C41" s="71">
        <v>0.23582649213581736</v>
      </c>
      <c r="D41" s="71">
        <v>0.22137992383180594</v>
      </c>
      <c r="E41" s="71">
        <v>0.43399978080222745</v>
      </c>
      <c r="F41" s="70">
        <v>-6.083333333333333</v>
      </c>
      <c r="G41" s="19">
        <v>0.5</v>
      </c>
      <c r="H41" s="19">
        <v>2.25</v>
      </c>
      <c r="I41">
        <v>0.8</v>
      </c>
      <c r="J41" s="19">
        <v>-6.1535238748027208</v>
      </c>
      <c r="K41">
        <v>0.32965044854156134</v>
      </c>
    </row>
    <row r="42" spans="1:11" x14ac:dyDescent="0.3">
      <c r="A42" s="17">
        <v>45047</v>
      </c>
      <c r="B42" s="19">
        <f>+SUMIFS('ArabXlt-LT diff'!$I$5:$I$79,'ArabXlt-LT diff'!$A$5:$A$79,$A42)</f>
        <v>0</v>
      </c>
      <c r="C42" s="71">
        <v>0.33160267231205381</v>
      </c>
      <c r="D42" s="71">
        <v>0.2265349817443485</v>
      </c>
      <c r="E42" s="71">
        <v>0.40884800663008447</v>
      </c>
      <c r="F42" s="70">
        <v>-11.664999999999999</v>
      </c>
      <c r="G42" s="19">
        <v>0.29999999999999982</v>
      </c>
      <c r="H42" s="19">
        <v>1.28</v>
      </c>
      <c r="I42">
        <v>-0.03</v>
      </c>
      <c r="J42" s="19">
        <v>-7.3539873973616778</v>
      </c>
      <c r="K42">
        <v>0.28872680035876619</v>
      </c>
    </row>
    <row r="43" spans="1:11" x14ac:dyDescent="0.3">
      <c r="A43" s="17">
        <v>45078</v>
      </c>
      <c r="B43" s="19">
        <f>+SUMIFS('ArabXlt-LT diff'!$I$5:$I$79,'ArabXlt-LT diff'!$A$5:$A$79,$A43)</f>
        <v>-0.44999999999999973</v>
      </c>
      <c r="C43" s="71">
        <v>0.31942580006076787</v>
      </c>
      <c r="D43" s="71">
        <v>0.15131939532463615</v>
      </c>
      <c r="E43" s="71">
        <v>0.43737577977371717</v>
      </c>
      <c r="F43" s="70">
        <v>-11.19</v>
      </c>
      <c r="G43" s="19">
        <v>-0.25</v>
      </c>
      <c r="H43" s="19">
        <v>1.06</v>
      </c>
      <c r="I43">
        <v>0.11</v>
      </c>
      <c r="J43" s="19">
        <v>-4.6671623320400819</v>
      </c>
      <c r="K43">
        <v>0.35221682226759432</v>
      </c>
    </row>
    <row r="44" spans="1:11" x14ac:dyDescent="0.3">
      <c r="A44" s="17">
        <v>45108</v>
      </c>
      <c r="B44" s="19">
        <f>+SUMIFS('ArabXlt-LT diff'!$I$5:$I$79,'ArabXlt-LT diff'!$A$5:$A$79,$A44)</f>
        <v>-0.45000000000000018</v>
      </c>
      <c r="C44" s="71">
        <v>0.31264203382175493</v>
      </c>
      <c r="D44" s="71">
        <v>0.14062363294007355</v>
      </c>
      <c r="E44" s="71">
        <v>0.48894891055951828</v>
      </c>
      <c r="F44" s="70">
        <v>-11.94</v>
      </c>
      <c r="G44" s="19">
        <v>0.45000000000000018</v>
      </c>
      <c r="H44" s="19">
        <v>0.7</v>
      </c>
      <c r="I44">
        <v>-0.3</v>
      </c>
      <c r="J44" s="19">
        <v>-4.0748541043451638</v>
      </c>
      <c r="K44">
        <v>0.33725039176940791</v>
      </c>
    </row>
    <row r="45" spans="1:11" x14ac:dyDescent="0.3">
      <c r="A45" s="17">
        <v>45139</v>
      </c>
      <c r="B45" s="19">
        <f>+SUMIFS('ArabXlt-LT diff'!$I$5:$I$79,'ArabXlt-LT diff'!$A$5:$A$79,$A45)</f>
        <v>-0.65000000000000036</v>
      </c>
      <c r="C45" s="71">
        <v>0.29889315378674208</v>
      </c>
      <c r="D45" s="71">
        <v>0.24357625321794016</v>
      </c>
      <c r="E45" s="71">
        <v>0.45813286355887151</v>
      </c>
      <c r="F45" s="70">
        <v>-16.244999999999997</v>
      </c>
      <c r="G45" s="19">
        <v>0.20000000000000018</v>
      </c>
      <c r="H45" s="19">
        <v>0.67</v>
      </c>
      <c r="I45">
        <v>-0.04</v>
      </c>
      <c r="J45" s="19">
        <v>-3.2436555232001041</v>
      </c>
      <c r="K45">
        <v>0.34585113104227905</v>
      </c>
    </row>
    <row r="46" spans="1:11" x14ac:dyDescent="0.3">
      <c r="A46" s="17">
        <v>45170</v>
      </c>
      <c r="B46" s="19">
        <f>+SUMIFS('ArabXlt-LT diff'!$I$5:$I$79,'ArabXlt-LT diff'!$A$5:$A$79,$A46)</f>
        <v>-0.95000000000000018</v>
      </c>
      <c r="C46" s="71">
        <v>0.36512377525703532</v>
      </c>
      <c r="D46" s="71">
        <v>0.20979801890971259</v>
      </c>
      <c r="E46" s="71">
        <v>0.47956478993475937</v>
      </c>
      <c r="F46" s="70">
        <v>-15.527500000000002</v>
      </c>
      <c r="G46" s="19">
        <v>0.29999999999999982</v>
      </c>
      <c r="H46" s="19">
        <v>0.62</v>
      </c>
      <c r="I46">
        <v>-0.08</v>
      </c>
      <c r="J46" s="19">
        <v>-2.9161450124717838</v>
      </c>
      <c r="K46">
        <v>0.38549176756957804</v>
      </c>
    </row>
    <row r="47" spans="1:11" x14ac:dyDescent="0.3">
      <c r="A47" s="17">
        <v>45200</v>
      </c>
      <c r="B47" s="19">
        <f>+SUMIFS('ArabXlt-LT diff'!$I$5:$I$79,'ArabXlt-LT diff'!$A$5:$A$79,$A47)</f>
        <v>-0.75</v>
      </c>
      <c r="C47" s="71">
        <v>0.27070880608191106</v>
      </c>
      <c r="D47" s="71">
        <v>0.20411302844572757</v>
      </c>
      <c r="E47" s="71">
        <v>0.37636119761704578</v>
      </c>
      <c r="F47" s="70">
        <v>-16.79</v>
      </c>
      <c r="G47" s="19">
        <v>0.10000000000000009</v>
      </c>
      <c r="H47" s="19">
        <v>0.34</v>
      </c>
      <c r="I47">
        <v>-0.27</v>
      </c>
      <c r="J47" s="19">
        <v>-5.1741830808787341</v>
      </c>
      <c r="K47">
        <v>0.33195583159752001</v>
      </c>
    </row>
    <row r="48" spans="1:11" x14ac:dyDescent="0.3">
      <c r="A48" s="17">
        <v>45231</v>
      </c>
      <c r="B48" s="19">
        <f>+SUMIFS('ArabXlt-LT diff'!$I$5:$I$79,'ArabXlt-LT diff'!$A$5:$A$79,$A48)</f>
        <v>-0.64999999999999991</v>
      </c>
      <c r="C48" s="71">
        <v>0.37499636847274792</v>
      </c>
      <c r="D48" s="71">
        <v>0.13971579308874343</v>
      </c>
      <c r="E48" s="71">
        <v>0.46728825598125023</v>
      </c>
      <c r="F48" s="70">
        <v>-15.530000000000001</v>
      </c>
      <c r="G48" s="19">
        <v>0.39999999999999991</v>
      </c>
      <c r="H48" s="19">
        <v>0.82</v>
      </c>
      <c r="I48">
        <v>0.22</v>
      </c>
      <c r="J48" s="19">
        <v>-4.0306509113906142</v>
      </c>
      <c r="K48">
        <v>0.35205565092093322</v>
      </c>
    </row>
    <row r="49" spans="1:11" x14ac:dyDescent="0.3">
      <c r="A49" s="17">
        <v>45261</v>
      </c>
      <c r="B49" s="19">
        <f>+SUMIFS('ArabXlt-LT diff'!$I$5:$I$79,'ArabXlt-LT diff'!$A$5:$A$79,$A49)</f>
        <v>4.9999999999999822E-2</v>
      </c>
      <c r="C49" s="71">
        <v>0.38216320501023104</v>
      </c>
      <c r="D49" s="71">
        <v>0.15493613894478303</v>
      </c>
      <c r="E49" s="71">
        <v>0.44187057867011842</v>
      </c>
      <c r="F49" s="70">
        <v>-15.893333333333333</v>
      </c>
      <c r="G49" s="19">
        <v>0</v>
      </c>
      <c r="H49" s="19">
        <v>0.61</v>
      </c>
      <c r="I49">
        <v>0.01</v>
      </c>
      <c r="J49" s="19">
        <v>-5.1710300182742941</v>
      </c>
      <c r="K49">
        <v>0.3639754842319714</v>
      </c>
    </row>
    <row r="50" spans="1:11" x14ac:dyDescent="0.3">
      <c r="A50" s="17">
        <v>45292</v>
      </c>
      <c r="B50" s="19">
        <f>+SUMIFS('ArabXlt-LT diff'!$I$5:$I$79,'ArabXlt-LT diff'!$A$5:$A$79,$A50)</f>
        <v>4.9999999999999822E-2</v>
      </c>
      <c r="C50" s="71">
        <v>0.2621745348807078</v>
      </c>
      <c r="D50" s="71">
        <v>0.2244966459739664</v>
      </c>
      <c r="E50" s="71">
        <v>0.32902192026622012</v>
      </c>
      <c r="F50" s="70">
        <v>-10.625</v>
      </c>
      <c r="G50" s="19">
        <v>-0.5</v>
      </c>
      <c r="H50" s="19">
        <v>1.24</v>
      </c>
      <c r="I50">
        <v>0.64</v>
      </c>
      <c r="J50" s="19">
        <v>-4.4997126963128977</v>
      </c>
      <c r="K50">
        <v>0.32501873327111241</v>
      </c>
    </row>
    <row r="51" spans="1:11" x14ac:dyDescent="0.3">
      <c r="A51" s="17">
        <v>45323</v>
      </c>
      <c r="B51" s="19">
        <f>+SUMIFS('ArabXlt-LT diff'!$I$5:$I$79,'ArabXlt-LT diff'!$A$5:$A$79,$A51)</f>
        <v>5.0000000000000044E-2</v>
      </c>
      <c r="C51" s="71">
        <v>0.34796864546828338</v>
      </c>
      <c r="D51" s="71">
        <v>0.22584397897027012</v>
      </c>
      <c r="E51" s="71">
        <v>0.42161142513025024</v>
      </c>
      <c r="F51" s="70">
        <v>-10.316666666666665</v>
      </c>
      <c r="G51" s="19">
        <v>-2</v>
      </c>
      <c r="H51" s="19">
        <v>-0.24</v>
      </c>
      <c r="I51">
        <v>-0.84</v>
      </c>
      <c r="J51" s="19">
        <v>-4.340309184955748</v>
      </c>
      <c r="K51">
        <v>0.33422709544998058</v>
      </c>
    </row>
    <row r="52" spans="1:11" x14ac:dyDescent="0.3">
      <c r="A52" s="17">
        <v>45352</v>
      </c>
      <c r="B52" s="19">
        <f>+SUMIFS('ArabXlt-LT diff'!$I$5:$I$79,'ArabXlt-LT diff'!$A$5:$A$79,$A52)</f>
        <v>0</v>
      </c>
      <c r="C52" s="71">
        <v>0.29509874719514856</v>
      </c>
      <c r="D52" s="71">
        <v>0.18743069547540567</v>
      </c>
      <c r="E52" s="71">
        <v>0.45718696189495234</v>
      </c>
      <c r="F52" s="70">
        <v>-12.824999999999999</v>
      </c>
      <c r="G52" s="19">
        <v>0</v>
      </c>
      <c r="H52" s="19">
        <v>0.36</v>
      </c>
      <c r="I52">
        <v>-0.34</v>
      </c>
      <c r="J52" s="19">
        <v>-5.4680471584877921</v>
      </c>
      <c r="K52">
        <v>0.33569003274853104</v>
      </c>
    </row>
    <row r="53" spans="1:11" x14ac:dyDescent="0.3">
      <c r="A53" s="17">
        <v>45383</v>
      </c>
      <c r="B53" s="19">
        <f>+SUMIFS('ArabXlt-LT diff'!$I$5:$I$79,'ArabXlt-LT diff'!$A$5:$A$79,$A53)</f>
        <v>0</v>
      </c>
      <c r="C53" s="71">
        <v>0.28153222231266878</v>
      </c>
      <c r="D53" s="71">
        <v>0.18786548815481063</v>
      </c>
      <c r="E53" s="71">
        <v>0.42969811380114797</v>
      </c>
      <c r="F53" s="70">
        <v>-10.58</v>
      </c>
      <c r="G53" s="19">
        <v>0.19999999999999996</v>
      </c>
      <c r="H53" s="19">
        <v>0.21</v>
      </c>
      <c r="I53">
        <v>-0.54</v>
      </c>
      <c r="J53" s="19">
        <v>-4.7722170719551684</v>
      </c>
      <c r="K53">
        <v>0.4042983828968239</v>
      </c>
    </row>
    <row r="54" spans="1:11" x14ac:dyDescent="0.3">
      <c r="A54" s="17">
        <v>45413</v>
      </c>
      <c r="B54" s="19">
        <f>+SUMIFS('ArabXlt-LT diff'!$I$5:$I$79,'ArabXlt-LT diff'!$A$5:$A$79,$A54)</f>
        <v>0.10000000000000009</v>
      </c>
      <c r="C54" s="71">
        <v>0.24959803877982276</v>
      </c>
      <c r="D54" s="71">
        <v>0.20106369987299144</v>
      </c>
      <c r="E54" s="71">
        <v>0.37649717840407687</v>
      </c>
      <c r="F54" s="70">
        <v>-13.7525</v>
      </c>
      <c r="G54" s="19">
        <v>0.30000000000000004</v>
      </c>
      <c r="H54" s="19">
        <v>0.11</v>
      </c>
      <c r="I54">
        <v>-0.69</v>
      </c>
      <c r="J54" s="19">
        <v>-5.147471712793025</v>
      </c>
      <c r="K54">
        <v>0.31852551959000364</v>
      </c>
    </row>
    <row r="55" spans="1:11" x14ac:dyDescent="0.3">
      <c r="A55" s="17">
        <v>45444</v>
      </c>
      <c r="B55" s="19">
        <f>+SUMIFS('ArabXlt-LT diff'!$I$5:$I$79,'ArabXlt-LT diff'!$A$5:$A$79,$A55)</f>
        <v>-0.10000000000000009</v>
      </c>
      <c r="C55" s="71">
        <v>0.26836701972233573</v>
      </c>
      <c r="D55" s="71">
        <v>0.29822241549336048</v>
      </c>
      <c r="E55" s="71">
        <v>0.31956397429349953</v>
      </c>
      <c r="F55" s="70">
        <v>-13.31</v>
      </c>
      <c r="G55" s="19">
        <v>0.89999999999999991</v>
      </c>
      <c r="H55" s="19">
        <v>0.37</v>
      </c>
      <c r="I55">
        <v>-0.33</v>
      </c>
      <c r="J55" s="19">
        <v>-3.255282076319304</v>
      </c>
      <c r="K55">
        <v>0.24583169421856674</v>
      </c>
    </row>
    <row r="56" spans="1:11" x14ac:dyDescent="0.3">
      <c r="A56" s="17">
        <v>45474</v>
      </c>
      <c r="B56" s="19">
        <f>+SUMIFS('ArabXlt-LT diff'!$I$5:$I$79,'ArabXlt-LT diff'!$A$5:$A$79,$A56)</f>
        <v>-0.19999999999999973</v>
      </c>
      <c r="C56" s="71">
        <v>0.33256174143909728</v>
      </c>
      <c r="D56" s="71">
        <v>0.22609839347613928</v>
      </c>
      <c r="E56" s="71">
        <v>0.47747213637171215</v>
      </c>
      <c r="F56" s="70">
        <v>-11.91</v>
      </c>
      <c r="G56" s="19">
        <v>-0.5</v>
      </c>
      <c r="H56" s="19">
        <v>-0.03</v>
      </c>
      <c r="I56">
        <v>-0.78</v>
      </c>
      <c r="J56" s="19">
        <v>-1.5093083986784137</v>
      </c>
      <c r="K56">
        <v>0.31831427044219018</v>
      </c>
    </row>
    <row r="57" spans="1:11" x14ac:dyDescent="0.3">
      <c r="A57" s="17">
        <v>45505</v>
      </c>
      <c r="B57" s="19">
        <f>+SUMIFS('ArabXlt-LT diff'!$I$5:$I$79,'ArabXlt-LT diff'!$A$5:$A$79,$A57)</f>
        <v>-0.19999999999999996</v>
      </c>
      <c r="C57" s="71">
        <v>0.31839466667711847</v>
      </c>
      <c r="D57" s="71">
        <v>0.22546104400422515</v>
      </c>
      <c r="E57" s="71">
        <v>0.4693836903057203</v>
      </c>
      <c r="F57" s="70">
        <v>-11.1225</v>
      </c>
      <c r="G57" s="19">
        <v>-0.59999999999999987</v>
      </c>
      <c r="H57" s="19">
        <v>-0.11</v>
      </c>
      <c r="I57">
        <v>-0.76</v>
      </c>
      <c r="J57" s="19">
        <v>-2.6784373707936062</v>
      </c>
      <c r="K57">
        <v>0.29516489490351</v>
      </c>
    </row>
    <row r="58" spans="1:11" x14ac:dyDescent="0.3">
      <c r="A58" s="17">
        <v>45536</v>
      </c>
      <c r="B58" s="19">
        <f>+SUMIFS('ArabXlt-LT diff'!$I$5:$I$79,'ArabXlt-LT diff'!$A$5:$A$79,$A58)</f>
        <v>-0.30000000000000004</v>
      </c>
      <c r="C58" s="71">
        <v>0.24400654658520596</v>
      </c>
      <c r="D58" s="71">
        <v>0.27310256737882299</v>
      </c>
      <c r="E58" s="71">
        <v>0.40048479821835564</v>
      </c>
      <c r="F58" s="70">
        <v>-7.4</v>
      </c>
      <c r="G58" s="19">
        <v>0.19999999999999996</v>
      </c>
      <c r="H58" s="19">
        <v>-0.03</v>
      </c>
      <c r="I58">
        <v>-0.78</v>
      </c>
      <c r="J58" s="19">
        <v>-2.7923121883652513</v>
      </c>
      <c r="K58">
        <v>0.3171887712253213</v>
      </c>
    </row>
    <row r="59" spans="1:11" x14ac:dyDescent="0.3">
      <c r="A59" s="17">
        <v>45566</v>
      </c>
      <c r="B59" s="19">
        <f>+SUMIFS('ArabXlt-LT diff'!$I$5:$I$79,'ArabXlt-LT diff'!$A$5:$A$79,$A59)</f>
        <v>-0.19999999999999996</v>
      </c>
      <c r="C59" s="71">
        <v>0.33624899363750471</v>
      </c>
      <c r="D59" s="71">
        <v>0.30059003904802489</v>
      </c>
      <c r="E59" s="71">
        <v>0.51422747247144329</v>
      </c>
      <c r="F59" s="70">
        <v>-4.13</v>
      </c>
      <c r="G59" s="19">
        <v>-0.7</v>
      </c>
      <c r="H59" s="19">
        <v>-0.03</v>
      </c>
      <c r="I59">
        <v>-0.83</v>
      </c>
      <c r="J59" s="19">
        <v>-2.9197715396678348</v>
      </c>
      <c r="K59">
        <v>0.3676451598619746</v>
      </c>
    </row>
    <row r="60" spans="1:11" x14ac:dyDescent="0.3">
      <c r="A60" s="17">
        <v>45597</v>
      </c>
      <c r="B60" s="19">
        <f>+SUMIFS('ArabXlt-LT diff'!$I$5:$I$79,'ArabXlt-LT diff'!$A$5:$A$79,$A60)</f>
        <v>-0.20000000000000018</v>
      </c>
      <c r="C60" s="71">
        <v>0.31141968495026512</v>
      </c>
      <c r="D60" s="71">
        <v>0.27272098132788314</v>
      </c>
      <c r="E60" s="71">
        <v>0.41167598518965715</v>
      </c>
      <c r="F60" s="70">
        <v>-2.4874999999999998</v>
      </c>
      <c r="G60" s="19">
        <v>0.90000000000000013</v>
      </c>
      <c r="H60" s="19">
        <v>0.34</v>
      </c>
      <c r="I60">
        <v>-0.41</v>
      </c>
      <c r="J60" s="19">
        <v>-1.3608952230965592</v>
      </c>
      <c r="K60">
        <v>0.3147354262728615</v>
      </c>
    </row>
    <row r="61" spans="1:11" x14ac:dyDescent="0.3">
      <c r="A61" s="17">
        <v>45627</v>
      </c>
      <c r="B61" s="19">
        <f>+SUMIFS('ArabXlt-LT diff'!$I$5:$I$79,'ArabXlt-LT diff'!$A$5:$A$79,$A61)</f>
        <v>-0.19999999999999996</v>
      </c>
      <c r="C61" s="71">
        <v>0.28885510135546139</v>
      </c>
      <c r="D61" s="71">
        <v>0.30521648630100801</v>
      </c>
      <c r="E61" s="71">
        <v>0.38797471521391025</v>
      </c>
      <c r="F61" s="70">
        <v>-2.41</v>
      </c>
      <c r="G61" s="19">
        <v>-0.50000000000000022</v>
      </c>
      <c r="H61" s="19">
        <v>-0.1</v>
      </c>
      <c r="I61">
        <v>-0.8</v>
      </c>
      <c r="J61" s="19">
        <v>-1.0489393200628783</v>
      </c>
      <c r="K61">
        <v>0.3312106304640009</v>
      </c>
    </row>
    <row r="62" spans="1:11" x14ac:dyDescent="0.3">
      <c r="A62" s="17">
        <v>45658</v>
      </c>
      <c r="B62" s="19">
        <f>+SUMIFS('ArabXlt-LT diff'!$I$5:$I$79,'ArabXlt-LT diff'!$A$5:$A$79,$A62)</f>
        <v>0</v>
      </c>
      <c r="C62" s="71">
        <v>0.37916966421541337</v>
      </c>
      <c r="D62" s="71">
        <v>0.21928079654211699</v>
      </c>
      <c r="E62" s="71">
        <v>0.39351023524022094</v>
      </c>
      <c r="F62" s="70">
        <v>-4.8133333333333335</v>
      </c>
      <c r="G62" s="19">
        <v>-0.79999999999999993</v>
      </c>
      <c r="H62" s="19">
        <v>-7.0000000000000007E-2</v>
      </c>
      <c r="I62">
        <v>-0.67</v>
      </c>
      <c r="J62" s="19">
        <v>-1.8122970488182375</v>
      </c>
      <c r="K62">
        <v>0.33524254872596043</v>
      </c>
    </row>
    <row r="63" spans="1:11" x14ac:dyDescent="0.3">
      <c r="A63" s="17">
        <v>45689</v>
      </c>
      <c r="B63" s="19">
        <f>+SUMIFS('ArabXlt-LT diff'!$I$5:$I$79,'ArabXlt-LT diff'!$A$5:$A$79,$A63)</f>
        <v>0</v>
      </c>
      <c r="C63" s="71">
        <v>0.31347052737365416</v>
      </c>
      <c r="D63" s="71">
        <v>0.21939226388286825</v>
      </c>
      <c r="E63" s="71">
        <v>0.40909318149518659</v>
      </c>
      <c r="F63" s="70">
        <v>-4.5250000000000004</v>
      </c>
      <c r="G63" s="19">
        <v>0.6</v>
      </c>
      <c r="H63" s="19">
        <v>0.19</v>
      </c>
      <c r="I63">
        <v>-0.26</v>
      </c>
      <c r="J63" s="19">
        <v>-2.1404723091732123</v>
      </c>
      <c r="K63">
        <v>0.3507678315929344</v>
      </c>
    </row>
    <row r="64" spans="1:11" x14ac:dyDescent="0.3">
      <c r="A64" s="17">
        <v>45717</v>
      </c>
      <c r="B64" s="19">
        <f>+SUMIFS('ArabXlt-LT diff'!$I$5:$I$79,'ArabXlt-LT diff'!$A$5:$A$79,$A64)</f>
        <v>0</v>
      </c>
      <c r="C64" s="71">
        <v>0.34063358415473854</v>
      </c>
      <c r="D64" s="71">
        <v>0.21359996323173253</v>
      </c>
      <c r="E64" s="71">
        <v>0.3987927612037962</v>
      </c>
      <c r="F64" s="70">
        <v>-5.9</v>
      </c>
      <c r="G64" s="19">
        <v>2.4</v>
      </c>
      <c r="H64" s="19">
        <v>0.05</v>
      </c>
      <c r="I64">
        <v>-0.35</v>
      </c>
      <c r="J64" s="19">
        <v>-2.0148192345620473</v>
      </c>
      <c r="K64">
        <v>0.40324475700075402</v>
      </c>
    </row>
    <row r="65" spans="1:11" x14ac:dyDescent="0.3">
      <c r="A65" s="17">
        <v>45748</v>
      </c>
      <c r="B65" s="19">
        <f>+SUMIFS('ArabXlt-LT diff'!$I$5:$I$79,'ArabXlt-LT diff'!$A$5:$A$79,$A65)</f>
        <v>-0.20000000000000018</v>
      </c>
      <c r="C65" s="71">
        <v>0.29281967094008832</v>
      </c>
      <c r="D65" s="71">
        <v>0.18786762472252719</v>
      </c>
      <c r="E65" s="71">
        <v>0.3967238826115555</v>
      </c>
      <c r="F65" s="70">
        <v>-4.84</v>
      </c>
      <c r="G65" s="19">
        <v>-0.39999999999999991</v>
      </c>
      <c r="H65" s="19">
        <v>-0.19</v>
      </c>
      <c r="I65">
        <v>-0.59</v>
      </c>
      <c r="J65" s="19">
        <v>-1.4100038653400944</v>
      </c>
      <c r="K65">
        <v>0.31052138200221352</v>
      </c>
    </row>
    <row r="66" spans="1:11" x14ac:dyDescent="0.3">
      <c r="A66" s="17">
        <v>45778</v>
      </c>
      <c r="B66" s="19">
        <f>+SUMIFS('ArabXlt-LT diff'!$I$5:$I$79,'ArabXlt-LT diff'!$A$5:$A$79,$A66)</f>
        <v>-0.19999999999999996</v>
      </c>
      <c r="C66" s="71">
        <v>0.30563980850255007</v>
      </c>
      <c r="D66" s="71">
        <v>0.1997261172469694</v>
      </c>
      <c r="E66" s="71">
        <v>0.48814321802747612</v>
      </c>
      <c r="F66" s="70">
        <v>-6.6925000000000008</v>
      </c>
      <c r="G66" s="19">
        <v>-2.2999999999999998</v>
      </c>
      <c r="H66" s="19">
        <v>-0.3</v>
      </c>
      <c r="I66">
        <v>-0.65</v>
      </c>
      <c r="J66" s="19">
        <v>-1.6539450462919305</v>
      </c>
      <c r="K66">
        <v>0.35878400425529222</v>
      </c>
    </row>
    <row r="67" spans="1:11" x14ac:dyDescent="0.3">
      <c r="A67" s="17">
        <v>45809</v>
      </c>
      <c r="B67" s="19">
        <f>+SUMIFS('ArabXlt-LT diff'!$I$5:$I$79,'ArabXlt-LT diff'!$A$5:$A$79,$A67)</f>
        <v>-0.19999999999999996</v>
      </c>
      <c r="C67" s="71">
        <v>0.30080599916045925</v>
      </c>
      <c r="D67" s="71">
        <v>0.21139226794171653</v>
      </c>
      <c r="E67" s="71">
        <v>0.53270143202840159</v>
      </c>
      <c r="F67" s="70">
        <v>-3.31</v>
      </c>
      <c r="G67" s="19">
        <v>0.19999999999999996</v>
      </c>
      <c r="H67" s="19">
        <v>0.14000000000000001</v>
      </c>
      <c r="I67">
        <v>-0.26</v>
      </c>
      <c r="J67" s="19">
        <v>-1.7184744381715049</v>
      </c>
      <c r="K67">
        <v>0.31171318518343505</v>
      </c>
    </row>
    <row r="68" spans="1:11" x14ac:dyDescent="0.3">
      <c r="A68" s="17">
        <v>45839</v>
      </c>
      <c r="B68" s="19">
        <f>+SUMIFS('ArabXlt-LT diff'!$I$5:$I$79,'ArabXlt-LT diff'!$A$5:$A$79,$A68)</f>
        <v>-0.19999999999999996</v>
      </c>
      <c r="C68" s="71">
        <v>0.34383340078238112</v>
      </c>
      <c r="D68" s="71">
        <v>0.26230997660574201</v>
      </c>
      <c r="E68" s="71">
        <v>0.56405990007159768</v>
      </c>
      <c r="F68" s="70">
        <v>-4.5766666666666671</v>
      </c>
      <c r="G68" s="19">
        <v>-0.19999999999999996</v>
      </c>
      <c r="H68" s="19">
        <v>-0.01</v>
      </c>
      <c r="I68">
        <v>-0.51</v>
      </c>
      <c r="J68" s="19">
        <v>-1.9069020308605071</v>
      </c>
      <c r="K68">
        <v>0.31463947731678893</v>
      </c>
    </row>
    <row r="69" spans="1:11" x14ac:dyDescent="0.3">
      <c r="A69" s="17">
        <v>45870</v>
      </c>
      <c r="B69" s="19">
        <f>+SUMIFS('ArabXlt-LT diff'!$I$5:$I$79,'ArabXlt-LT diff'!$A$5:$A$79,$A69)</f>
        <v>9.9999999999999645E-2</v>
      </c>
      <c r="C69" s="71">
        <v>0.3662897044340096</v>
      </c>
      <c r="D69" s="71">
        <v>0.26976263905382836</v>
      </c>
      <c r="E69" s="71">
        <v>0.49793726664965976</v>
      </c>
      <c r="F69" s="70">
        <v>-5.3274999999999997</v>
      </c>
      <c r="G69" s="19">
        <v>1.0000000000000002</v>
      </c>
      <c r="H69" s="19">
        <v>-0.11</v>
      </c>
      <c r="I69">
        <v>-0.66</v>
      </c>
      <c r="J69" s="19">
        <v>-2.7118661981957466</v>
      </c>
      <c r="K69">
        <v>0.29421069165918029</v>
      </c>
    </row>
    <row r="70" spans="1:11" x14ac:dyDescent="0.3">
      <c r="A70" s="17">
        <v>45901</v>
      </c>
      <c r="B70" s="19">
        <f>+SUMIFS('ArabXlt-LT diff'!$I$5:$I$79,'ArabXlt-LT diff'!$A$5:$A$79,$A70)</f>
        <v>0.29999999999999982</v>
      </c>
      <c r="C70" s="71">
        <v>0.31041090632391188</v>
      </c>
      <c r="D70" s="71">
        <v>0.29236375923796465</v>
      </c>
      <c r="E70" s="71">
        <v>0.44336798591999932</v>
      </c>
      <c r="F70" s="70">
        <v>-6.4700000000000006</v>
      </c>
      <c r="G70" s="19">
        <v>1</v>
      </c>
      <c r="H70" s="19">
        <v>0.54</v>
      </c>
      <c r="I70">
        <v>-0.06</v>
      </c>
      <c r="J70" s="19">
        <v>-2.7553362321867922</v>
      </c>
      <c r="K70">
        <v>0.30665400599486897</v>
      </c>
    </row>
    <row r="71" spans="1:11" x14ac:dyDescent="0.3">
      <c r="A71" s="17">
        <v>45931</v>
      </c>
      <c r="B71" s="19">
        <f>+SUMIFS('ArabXlt-LT diff'!$I$5:$I$79,'ArabXlt-LT diff'!$A$5:$A$79,$A71)</f>
        <v>0.29999999999999982</v>
      </c>
      <c r="C71" s="71">
        <v>0.30868871081460802</v>
      </c>
      <c r="D71" s="71">
        <v>0.22042900888087597</v>
      </c>
      <c r="E71" s="71">
        <v>0.37057906872004193</v>
      </c>
      <c r="F71" s="70">
        <v>-5.15</v>
      </c>
      <c r="G71" s="19">
        <v>-1</v>
      </c>
      <c r="H71" s="19">
        <v>0.25</v>
      </c>
      <c r="I71">
        <v>-0.3</v>
      </c>
      <c r="J71" s="19">
        <v>-3.5418359821376022</v>
      </c>
      <c r="K71">
        <v>0.3120949046022119</v>
      </c>
    </row>
    <row r="72" spans="1:11" x14ac:dyDescent="0.3">
      <c r="A72" s="17">
        <v>45962</v>
      </c>
      <c r="B72" s="19">
        <f>+SUMIFS('ArabXlt-LT diff'!$I$5:$I$79,'ArabXlt-LT diff'!$A$5:$A$79,$A72)</f>
        <v>0.29999999999999982</v>
      </c>
      <c r="C72" s="71">
        <v>0.26725037976185612</v>
      </c>
      <c r="D72" s="71">
        <v>0.2214656558397744</v>
      </c>
      <c r="E72" s="71">
        <v>0.41826243306854349</v>
      </c>
      <c r="F72" s="70">
        <v>-4.3533333333333326</v>
      </c>
      <c r="G72" s="19">
        <v>0</v>
      </c>
      <c r="H72" s="19">
        <v>0.72</v>
      </c>
      <c r="I72">
        <v>0.22</v>
      </c>
      <c r="J72" s="19">
        <v>-3.5409094663559939</v>
      </c>
      <c r="K72">
        <v>0.28727422209867359</v>
      </c>
    </row>
    <row r="73" spans="1:11" x14ac:dyDescent="0.3">
      <c r="A73" s="17">
        <v>45992</v>
      </c>
      <c r="B73" s="19">
        <f>+SUMIFS('ArabXlt-LT diff'!$I$5:$I$79,'ArabXlt-LT diff'!$A$5:$A$79,$A73)</f>
        <v>0.30000000000000004</v>
      </c>
      <c r="C73" s="71">
        <v>0.30798076294693977</v>
      </c>
      <c r="D73" s="71">
        <v>0.23751923744674433</v>
      </c>
      <c r="E73" s="71">
        <v>0.13508754386641772</v>
      </c>
      <c r="F73" s="70">
        <v>-4.1099999999999994</v>
      </c>
      <c r="G73">
        <v>-1.2000000000000002</v>
      </c>
      <c r="H73" s="19">
        <v>0.21</v>
      </c>
      <c r="I73">
        <v>-0.34</v>
      </c>
      <c r="J73" s="19">
        <v>-4.8405370066272724</v>
      </c>
      <c r="K73">
        <v>0.28430032142483047</v>
      </c>
    </row>
    <row r="74" spans="1:11" x14ac:dyDescent="0.3">
      <c r="A74" s="17">
        <v>46023</v>
      </c>
      <c r="B74" s="19">
        <f>+SUMIFS('ArabXlt-LT diff'!$I$5:$I$79,'ArabXlt-LT diff'!$A$5:$A$79,$A74)</f>
        <v>0.50000000000000011</v>
      </c>
      <c r="C74" s="71">
        <v>0.44827789675442947</v>
      </c>
      <c r="D74" s="71">
        <v>0.2475417950838899</v>
      </c>
      <c r="E74" s="71">
        <v>0.24499816509829589</v>
      </c>
      <c r="F74" s="70">
        <v>-5.1549999999999994</v>
      </c>
      <c r="G74">
        <v>-0.4</v>
      </c>
      <c r="H74">
        <v>0.79</v>
      </c>
      <c r="I74">
        <v>0.09</v>
      </c>
      <c r="J74" s="19">
        <v>-6.0181683590102821</v>
      </c>
      <c r="K74">
        <v>0.36611476037012419</v>
      </c>
    </row>
    <row r="75" spans="1:11" x14ac:dyDescent="0.3">
      <c r="A75" s="17">
        <v>46054</v>
      </c>
      <c r="B75" s="19">
        <f>+SUMIFS('ArabXlt-LT diff'!$I$5:$I$79,'ArabXlt-LT diff'!$A$5:$A$79,$A75)</f>
        <v>0.5</v>
      </c>
      <c r="C75" s="71">
        <v>0.42303119358675262</v>
      </c>
      <c r="D75" s="71">
        <v>0.29965629029836521</v>
      </c>
      <c r="E75" s="71">
        <v>0.13627229167516952</v>
      </c>
      <c r="F75" s="70">
        <v>-6.36</v>
      </c>
      <c r="G75">
        <v>-0.3</v>
      </c>
      <c r="H75">
        <v>1.06</v>
      </c>
      <c r="I75">
        <v>0.31</v>
      </c>
      <c r="J75" s="19">
        <v>-4.6376104430809804</v>
      </c>
      <c r="K75">
        <v>0.36393014113530048</v>
      </c>
    </row>
    <row r="76" spans="1:11" x14ac:dyDescent="0.3">
      <c r="A76" s="17">
        <v>46082</v>
      </c>
      <c r="C76" s="71">
        <v>0.15623789413338041</v>
      </c>
      <c r="D76" s="71">
        <v>0.10582461551330696</v>
      </c>
      <c r="E76" s="71">
        <v>2.8741286020493226E-2</v>
      </c>
      <c r="F76" s="70">
        <f>+'Naphtha crack Dubai'!N54</f>
        <v>-4.9400000000000004</v>
      </c>
      <c r="G76" s="18">
        <f>+'Arablight OSP'!T2</f>
        <v>0</v>
      </c>
      <c r="H76" s="19">
        <v>1.01</v>
      </c>
      <c r="I76">
        <v>0.21</v>
      </c>
      <c r="J76" s="19">
        <f>+'Dubai-alight asia mgn'!Z77</f>
        <v>0</v>
      </c>
      <c r="K76">
        <v>0.32159948933215249</v>
      </c>
    </row>
    <row r="80" spans="1:11" x14ac:dyDescent="0.3">
      <c r="I80" s="49"/>
    </row>
    <row r="81" spans="9:9" x14ac:dyDescent="0.3">
      <c r="I81" s="49"/>
    </row>
    <row r="82" spans="9:9" x14ac:dyDescent="0.3">
      <c r="I82" s="4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A761F-8FF5-46EA-8094-7EFD375E1EAD}">
  <dimension ref="A1:I451"/>
  <sheetViews>
    <sheetView showGridLines="0" workbookViewId="0">
      <selection activeCell="B6" sqref="B6"/>
    </sheetView>
  </sheetViews>
  <sheetFormatPr defaultRowHeight="14.4" x14ac:dyDescent="0.3"/>
  <cols>
    <col min="1" max="1" width="13.109375" bestFit="1" customWidth="1"/>
    <col min="2" max="2" width="25.5546875" bestFit="1" customWidth="1"/>
    <col min="3" max="3" width="30.5546875" bestFit="1" customWidth="1"/>
    <col min="4" max="4" width="15.5546875" style="55" bestFit="1" customWidth="1"/>
    <col min="8" max="8" width="24.44140625" bestFit="1" customWidth="1"/>
    <col min="9" max="9" width="13.44140625" style="85" bestFit="1" customWidth="1"/>
  </cols>
  <sheetData>
    <row r="1" spans="1:9" x14ac:dyDescent="0.3">
      <c r="A1" t="s">
        <v>107</v>
      </c>
      <c r="B1" t="s">
        <v>143</v>
      </c>
      <c r="C1" t="s">
        <v>177</v>
      </c>
      <c r="D1" s="54"/>
      <c r="H1" t="s">
        <v>200</v>
      </c>
    </row>
    <row r="2" spans="1:9" x14ac:dyDescent="0.3">
      <c r="A2" t="s">
        <v>112</v>
      </c>
      <c r="B2" t="s">
        <v>113</v>
      </c>
      <c r="C2" t="s">
        <v>113</v>
      </c>
      <c r="H2" t="s">
        <v>113</v>
      </c>
    </row>
    <row r="3" spans="1:9" x14ac:dyDescent="0.3">
      <c r="A3" t="s">
        <v>117</v>
      </c>
      <c r="B3" t="s">
        <v>145</v>
      </c>
      <c r="C3" t="s">
        <v>178</v>
      </c>
      <c r="H3" t="s">
        <v>201</v>
      </c>
    </row>
    <row r="4" spans="1:9" x14ac:dyDescent="0.3">
      <c r="A4" t="s">
        <v>120</v>
      </c>
      <c r="B4" t="s">
        <v>146</v>
      </c>
      <c r="C4" t="s">
        <v>146</v>
      </c>
      <c r="D4" s="55" t="s">
        <v>189</v>
      </c>
      <c r="H4" t="s">
        <v>146</v>
      </c>
      <c r="I4" s="85" t="s">
        <v>202</v>
      </c>
    </row>
    <row r="5" spans="1:9" x14ac:dyDescent="0.3">
      <c r="A5" s="17">
        <v>46082</v>
      </c>
      <c r="B5">
        <v>0</v>
      </c>
      <c r="C5">
        <v>2.15</v>
      </c>
      <c r="D5" s="76">
        <f>+C5-B5</f>
        <v>2.15</v>
      </c>
      <c r="H5">
        <v>1</v>
      </c>
      <c r="I5" s="85">
        <f>+H5-B5</f>
        <v>1</v>
      </c>
    </row>
    <row r="6" spans="1:9" x14ac:dyDescent="0.3">
      <c r="A6" s="17">
        <v>46054</v>
      </c>
      <c r="B6">
        <v>0.3</v>
      </c>
      <c r="C6" s="75">
        <v>1.95</v>
      </c>
      <c r="D6" s="76">
        <f>+C6-B6</f>
        <v>1.65</v>
      </c>
      <c r="F6" s="49"/>
      <c r="H6">
        <v>0.8</v>
      </c>
      <c r="I6" s="85">
        <f>+H6-B6</f>
        <v>0.5</v>
      </c>
    </row>
    <row r="7" spans="1:9" x14ac:dyDescent="0.3">
      <c r="A7" s="17">
        <v>46023</v>
      </c>
      <c r="B7">
        <v>0.6</v>
      </c>
      <c r="C7">
        <v>2.15</v>
      </c>
      <c r="D7" s="55">
        <f t="shared" ref="D7:D66" si="0">+C7-B7</f>
        <v>1.5499999999999998</v>
      </c>
      <c r="F7" s="19"/>
      <c r="H7">
        <v>1.1000000000000001</v>
      </c>
      <c r="I7" s="85">
        <f t="shared" ref="I7:I70" si="1">+H7-B7</f>
        <v>0.50000000000000011</v>
      </c>
    </row>
    <row r="8" spans="1:9" x14ac:dyDescent="0.3">
      <c r="A8" s="17">
        <v>45992</v>
      </c>
      <c r="B8">
        <v>1</v>
      </c>
      <c r="C8">
        <v>2.35</v>
      </c>
      <c r="D8" s="55">
        <f t="shared" si="0"/>
        <v>1.35</v>
      </c>
      <c r="H8">
        <v>1.3</v>
      </c>
      <c r="I8" s="85">
        <f t="shared" si="1"/>
        <v>0.30000000000000004</v>
      </c>
    </row>
    <row r="9" spans="1:9" x14ac:dyDescent="0.3">
      <c r="A9" s="17">
        <v>45962</v>
      </c>
      <c r="B9">
        <v>2.2000000000000002</v>
      </c>
      <c r="C9">
        <v>3.55</v>
      </c>
      <c r="D9" s="55">
        <f t="shared" si="0"/>
        <v>1.3499999999999996</v>
      </c>
      <c r="H9">
        <v>2.5</v>
      </c>
      <c r="I9" s="85">
        <f t="shared" si="1"/>
        <v>0.29999999999999982</v>
      </c>
    </row>
    <row r="10" spans="1:9" x14ac:dyDescent="0.3">
      <c r="A10" s="17">
        <v>45931</v>
      </c>
      <c r="B10">
        <v>2.2000000000000002</v>
      </c>
      <c r="C10">
        <v>3.55</v>
      </c>
      <c r="D10" s="55">
        <f t="shared" si="0"/>
        <v>1.3499999999999996</v>
      </c>
      <c r="H10">
        <v>2.5</v>
      </c>
      <c r="I10" s="85">
        <f t="shared" si="1"/>
        <v>0.29999999999999982</v>
      </c>
    </row>
    <row r="11" spans="1:9" x14ac:dyDescent="0.3">
      <c r="A11" s="17">
        <v>45901</v>
      </c>
      <c r="B11">
        <v>3.2</v>
      </c>
      <c r="C11">
        <v>4.1500000000000004</v>
      </c>
      <c r="D11" s="55">
        <f t="shared" si="0"/>
        <v>0.95000000000000018</v>
      </c>
      <c r="H11">
        <v>3.5</v>
      </c>
      <c r="I11" s="85">
        <f t="shared" si="1"/>
        <v>0.29999999999999982</v>
      </c>
    </row>
    <row r="12" spans="1:9" x14ac:dyDescent="0.3">
      <c r="A12" s="17">
        <v>45870</v>
      </c>
      <c r="B12">
        <v>2.2000000000000002</v>
      </c>
      <c r="C12">
        <v>2.95</v>
      </c>
      <c r="D12" s="55">
        <f t="shared" si="0"/>
        <v>0.75</v>
      </c>
      <c r="H12">
        <v>2.2999999999999998</v>
      </c>
      <c r="I12" s="85">
        <f t="shared" si="1"/>
        <v>9.9999999999999645E-2</v>
      </c>
    </row>
    <row r="13" spans="1:9" x14ac:dyDescent="0.3">
      <c r="A13" s="17">
        <v>45839</v>
      </c>
      <c r="B13">
        <v>1.2</v>
      </c>
      <c r="C13">
        <v>1.75</v>
      </c>
      <c r="D13" s="55">
        <f t="shared" si="0"/>
        <v>0.55000000000000004</v>
      </c>
      <c r="H13">
        <v>1</v>
      </c>
      <c r="I13" s="85">
        <f t="shared" si="1"/>
        <v>-0.19999999999999996</v>
      </c>
    </row>
    <row r="14" spans="1:9" x14ac:dyDescent="0.3">
      <c r="A14" s="17">
        <v>45809</v>
      </c>
      <c r="B14">
        <v>1.4</v>
      </c>
      <c r="C14">
        <v>1.95</v>
      </c>
      <c r="D14" s="55">
        <f t="shared" si="0"/>
        <v>0.55000000000000004</v>
      </c>
      <c r="H14">
        <v>1.2</v>
      </c>
      <c r="I14" s="85">
        <f t="shared" si="1"/>
        <v>-0.19999999999999996</v>
      </c>
    </row>
    <row r="15" spans="1:9" x14ac:dyDescent="0.3">
      <c r="A15" s="17">
        <v>45778</v>
      </c>
      <c r="B15">
        <v>1.2</v>
      </c>
      <c r="C15">
        <v>1.75</v>
      </c>
      <c r="D15" s="55">
        <f t="shared" si="0"/>
        <v>0.55000000000000004</v>
      </c>
      <c r="H15">
        <v>1</v>
      </c>
      <c r="I15" s="85">
        <f t="shared" si="1"/>
        <v>-0.19999999999999996</v>
      </c>
    </row>
    <row r="16" spans="1:9" x14ac:dyDescent="0.3">
      <c r="A16" s="17">
        <v>45748</v>
      </c>
      <c r="B16">
        <v>3.5</v>
      </c>
      <c r="C16">
        <v>4.05</v>
      </c>
      <c r="D16" s="55">
        <f t="shared" si="0"/>
        <v>0.54999999999999982</v>
      </c>
      <c r="H16">
        <v>3.3</v>
      </c>
      <c r="I16" s="85">
        <f t="shared" si="1"/>
        <v>-0.20000000000000018</v>
      </c>
    </row>
    <row r="17" spans="1:9" x14ac:dyDescent="0.3">
      <c r="A17" s="17">
        <v>45717</v>
      </c>
      <c r="B17">
        <v>3.9</v>
      </c>
      <c r="C17">
        <v>4.3499999999999996</v>
      </c>
      <c r="D17" s="55">
        <f t="shared" si="0"/>
        <v>0.44999999999999973</v>
      </c>
      <c r="H17">
        <v>3.9</v>
      </c>
      <c r="I17" s="85">
        <f t="shared" si="1"/>
        <v>0</v>
      </c>
    </row>
    <row r="18" spans="1:9" x14ac:dyDescent="0.3">
      <c r="A18" s="17">
        <v>45689</v>
      </c>
      <c r="B18">
        <v>1.5</v>
      </c>
      <c r="C18">
        <v>2.25</v>
      </c>
      <c r="D18" s="55">
        <f t="shared" si="0"/>
        <v>0.75</v>
      </c>
      <c r="H18">
        <v>1.5</v>
      </c>
      <c r="I18" s="85">
        <f t="shared" si="1"/>
        <v>0</v>
      </c>
    </row>
    <row r="19" spans="1:9" x14ac:dyDescent="0.3">
      <c r="A19" s="17">
        <v>45658</v>
      </c>
      <c r="B19">
        <v>0.9</v>
      </c>
      <c r="C19">
        <v>1.75</v>
      </c>
      <c r="D19" s="55">
        <f t="shared" si="0"/>
        <v>0.85</v>
      </c>
      <c r="H19">
        <v>0.9</v>
      </c>
      <c r="I19" s="85">
        <f t="shared" si="1"/>
        <v>0</v>
      </c>
    </row>
    <row r="20" spans="1:9" x14ac:dyDescent="0.3">
      <c r="A20" s="17">
        <v>45627</v>
      </c>
      <c r="B20">
        <v>1.7</v>
      </c>
      <c r="C20">
        <v>2.4500000000000002</v>
      </c>
      <c r="D20" s="55">
        <f t="shared" si="0"/>
        <v>0.75000000000000022</v>
      </c>
      <c r="H20">
        <v>1.5</v>
      </c>
      <c r="I20" s="85">
        <f t="shared" si="1"/>
        <v>-0.19999999999999996</v>
      </c>
    </row>
    <row r="21" spans="1:9" x14ac:dyDescent="0.3">
      <c r="A21" s="17">
        <v>45597</v>
      </c>
      <c r="B21">
        <v>2.2000000000000002</v>
      </c>
      <c r="C21">
        <v>2.95</v>
      </c>
      <c r="D21" s="55">
        <f t="shared" si="0"/>
        <v>0.75</v>
      </c>
      <c r="H21">
        <v>2</v>
      </c>
      <c r="I21" s="85">
        <f t="shared" si="1"/>
        <v>-0.20000000000000018</v>
      </c>
    </row>
    <row r="22" spans="1:9" x14ac:dyDescent="0.3">
      <c r="A22" s="17">
        <v>45566</v>
      </c>
      <c r="B22">
        <v>1.3</v>
      </c>
      <c r="C22">
        <v>2.4500000000000002</v>
      </c>
      <c r="D22" s="55">
        <f t="shared" si="0"/>
        <v>1.1500000000000001</v>
      </c>
      <c r="H22">
        <v>1.1000000000000001</v>
      </c>
      <c r="I22" s="85">
        <f t="shared" si="1"/>
        <v>-0.19999999999999996</v>
      </c>
    </row>
    <row r="23" spans="1:9" x14ac:dyDescent="0.3">
      <c r="A23" s="17">
        <v>45536</v>
      </c>
      <c r="B23">
        <v>2</v>
      </c>
      <c r="C23">
        <v>2.95</v>
      </c>
      <c r="D23" s="55">
        <f t="shared" si="0"/>
        <v>0.95000000000000018</v>
      </c>
      <c r="H23">
        <v>1.7</v>
      </c>
      <c r="I23" s="85">
        <f t="shared" si="1"/>
        <v>-0.30000000000000004</v>
      </c>
    </row>
    <row r="24" spans="1:9" x14ac:dyDescent="0.3">
      <c r="A24" s="17">
        <v>45505</v>
      </c>
      <c r="B24">
        <v>1.8</v>
      </c>
      <c r="C24">
        <v>2.75</v>
      </c>
      <c r="D24" s="55">
        <f t="shared" si="0"/>
        <v>0.95</v>
      </c>
      <c r="H24">
        <v>1.6</v>
      </c>
      <c r="I24" s="85">
        <f t="shared" si="1"/>
        <v>-0.19999999999999996</v>
      </c>
    </row>
    <row r="25" spans="1:9" x14ac:dyDescent="0.3">
      <c r="A25" s="17">
        <v>45474</v>
      </c>
      <c r="B25">
        <v>2.4</v>
      </c>
      <c r="C25">
        <v>2.95</v>
      </c>
      <c r="D25" s="55">
        <f t="shared" si="0"/>
        <v>0.55000000000000027</v>
      </c>
      <c r="H25">
        <v>2.2000000000000002</v>
      </c>
      <c r="I25" s="85">
        <f t="shared" si="1"/>
        <v>-0.19999999999999973</v>
      </c>
    </row>
    <row r="26" spans="1:9" x14ac:dyDescent="0.3">
      <c r="A26" s="17">
        <v>45444</v>
      </c>
      <c r="B26">
        <v>2.9</v>
      </c>
      <c r="C26">
        <v>3.45</v>
      </c>
      <c r="D26" s="55">
        <f t="shared" si="0"/>
        <v>0.55000000000000027</v>
      </c>
      <c r="H26">
        <v>2.8</v>
      </c>
      <c r="I26" s="85">
        <f t="shared" si="1"/>
        <v>-0.10000000000000009</v>
      </c>
    </row>
    <row r="27" spans="1:9" x14ac:dyDescent="0.3">
      <c r="A27" s="17">
        <v>45413</v>
      </c>
      <c r="B27">
        <v>2</v>
      </c>
      <c r="C27">
        <v>2.95</v>
      </c>
      <c r="D27" s="55">
        <f t="shared" si="0"/>
        <v>0.95000000000000018</v>
      </c>
      <c r="H27">
        <v>2.1</v>
      </c>
      <c r="I27" s="85">
        <f t="shared" si="1"/>
        <v>0.10000000000000009</v>
      </c>
    </row>
    <row r="28" spans="1:9" x14ac:dyDescent="0.3">
      <c r="A28" s="17">
        <v>45383</v>
      </c>
      <c r="B28">
        <v>1.7</v>
      </c>
      <c r="C28">
        <v>2.95</v>
      </c>
      <c r="D28" s="55">
        <f t="shared" si="0"/>
        <v>1.2500000000000002</v>
      </c>
      <c r="H28">
        <v>1.7</v>
      </c>
      <c r="I28" s="85">
        <f t="shared" si="1"/>
        <v>0</v>
      </c>
    </row>
    <row r="29" spans="1:9" x14ac:dyDescent="0.3">
      <c r="A29" s="17">
        <v>45352</v>
      </c>
      <c r="B29">
        <v>1.5</v>
      </c>
      <c r="C29">
        <v>2.95</v>
      </c>
      <c r="D29" s="55">
        <f t="shared" si="0"/>
        <v>1.4500000000000002</v>
      </c>
      <c r="H29">
        <v>1.5</v>
      </c>
      <c r="I29" s="85">
        <f t="shared" si="1"/>
        <v>0</v>
      </c>
    </row>
    <row r="30" spans="1:9" x14ac:dyDescent="0.3">
      <c r="A30" s="17">
        <v>45323</v>
      </c>
      <c r="B30">
        <v>1.5</v>
      </c>
      <c r="C30">
        <v>2.95</v>
      </c>
      <c r="D30" s="55">
        <f t="shared" si="0"/>
        <v>1.4500000000000002</v>
      </c>
      <c r="H30">
        <v>1.55</v>
      </c>
      <c r="I30" s="85">
        <f t="shared" si="1"/>
        <v>5.0000000000000044E-2</v>
      </c>
    </row>
    <row r="31" spans="1:9" x14ac:dyDescent="0.3">
      <c r="A31" s="17">
        <v>45292</v>
      </c>
      <c r="B31">
        <v>3.5</v>
      </c>
      <c r="C31">
        <v>4.95</v>
      </c>
      <c r="D31" s="55">
        <f t="shared" si="0"/>
        <v>1.4500000000000002</v>
      </c>
      <c r="H31">
        <v>3.55</v>
      </c>
      <c r="I31" s="85">
        <f t="shared" si="1"/>
        <v>4.9999999999999822E-2</v>
      </c>
    </row>
    <row r="32" spans="1:9" x14ac:dyDescent="0.3">
      <c r="A32" s="17">
        <v>45261</v>
      </c>
      <c r="B32">
        <v>4</v>
      </c>
      <c r="C32">
        <v>5.45</v>
      </c>
      <c r="D32" s="55">
        <f t="shared" si="0"/>
        <v>1.4500000000000002</v>
      </c>
      <c r="H32">
        <v>4.05</v>
      </c>
      <c r="I32" s="85">
        <f t="shared" si="1"/>
        <v>4.9999999999999822E-2</v>
      </c>
    </row>
    <row r="33" spans="1:9" x14ac:dyDescent="0.3">
      <c r="A33" s="17">
        <v>45231</v>
      </c>
      <c r="B33">
        <v>4</v>
      </c>
      <c r="C33">
        <v>5.45</v>
      </c>
      <c r="D33" s="55">
        <f t="shared" si="0"/>
        <v>1.4500000000000002</v>
      </c>
      <c r="H33">
        <v>3.35</v>
      </c>
      <c r="I33" s="85">
        <f t="shared" si="1"/>
        <v>-0.64999999999999991</v>
      </c>
    </row>
    <row r="34" spans="1:9" x14ac:dyDescent="0.3">
      <c r="A34" s="17">
        <v>45200</v>
      </c>
      <c r="B34">
        <v>3.6</v>
      </c>
      <c r="C34">
        <v>5.45</v>
      </c>
      <c r="D34" s="55">
        <f t="shared" si="0"/>
        <v>1.85</v>
      </c>
      <c r="H34">
        <v>2.85</v>
      </c>
      <c r="I34" s="85">
        <f t="shared" si="1"/>
        <v>-0.75</v>
      </c>
    </row>
    <row r="35" spans="1:9" x14ac:dyDescent="0.3">
      <c r="A35" s="17">
        <v>45170</v>
      </c>
      <c r="B35">
        <v>3.5</v>
      </c>
      <c r="C35">
        <v>4.95</v>
      </c>
      <c r="D35" s="55">
        <f t="shared" si="0"/>
        <v>1.4500000000000002</v>
      </c>
      <c r="H35">
        <v>2.5499999999999998</v>
      </c>
      <c r="I35" s="85">
        <f t="shared" si="1"/>
        <v>-0.95000000000000018</v>
      </c>
    </row>
    <row r="36" spans="1:9" x14ac:dyDescent="0.3">
      <c r="A36" s="17">
        <v>45139</v>
      </c>
      <c r="B36">
        <v>3.2</v>
      </c>
      <c r="C36">
        <v>4.3499999999999996</v>
      </c>
      <c r="D36" s="55">
        <f t="shared" si="0"/>
        <v>1.1499999999999995</v>
      </c>
      <c r="H36">
        <v>2.5499999999999998</v>
      </c>
      <c r="I36" s="85">
        <f t="shared" si="1"/>
        <v>-0.65000000000000036</v>
      </c>
    </row>
    <row r="37" spans="1:9" x14ac:dyDescent="0.3">
      <c r="A37" s="17">
        <v>45108</v>
      </c>
      <c r="B37">
        <v>3</v>
      </c>
      <c r="C37">
        <v>4.75</v>
      </c>
      <c r="D37" s="55">
        <f t="shared" si="0"/>
        <v>1.75</v>
      </c>
      <c r="H37">
        <v>2.5499999999999998</v>
      </c>
      <c r="I37" s="85">
        <f t="shared" si="1"/>
        <v>-0.45000000000000018</v>
      </c>
    </row>
    <row r="38" spans="1:9" x14ac:dyDescent="0.3">
      <c r="A38" s="17">
        <v>45078</v>
      </c>
      <c r="B38">
        <v>2.5499999999999998</v>
      </c>
      <c r="C38">
        <v>4.3</v>
      </c>
      <c r="D38" s="55">
        <f t="shared" si="0"/>
        <v>1.75</v>
      </c>
      <c r="H38">
        <v>2.1</v>
      </c>
      <c r="I38" s="85">
        <f t="shared" si="1"/>
        <v>-0.44999999999999973</v>
      </c>
    </row>
    <row r="39" spans="1:9" x14ac:dyDescent="0.3">
      <c r="A39" s="17">
        <v>45047</v>
      </c>
      <c r="B39">
        <v>2.8</v>
      </c>
      <c r="C39">
        <v>5</v>
      </c>
      <c r="D39" s="55">
        <f t="shared" si="0"/>
        <v>2.2000000000000002</v>
      </c>
      <c r="H39">
        <v>2.8</v>
      </c>
      <c r="I39" s="85">
        <f t="shared" si="1"/>
        <v>0</v>
      </c>
    </row>
    <row r="40" spans="1:9" x14ac:dyDescent="0.3">
      <c r="A40" s="17">
        <v>45017</v>
      </c>
      <c r="B40">
        <v>2.5</v>
      </c>
      <c r="C40">
        <v>4.95</v>
      </c>
      <c r="D40" s="55">
        <f t="shared" si="0"/>
        <v>2.4500000000000002</v>
      </c>
      <c r="H40">
        <v>2.7</v>
      </c>
      <c r="I40" s="85">
        <f t="shared" si="1"/>
        <v>0.20000000000000018</v>
      </c>
    </row>
    <row r="41" spans="1:9" x14ac:dyDescent="0.3">
      <c r="A41" s="17">
        <v>44986</v>
      </c>
      <c r="B41">
        <v>2</v>
      </c>
      <c r="C41">
        <v>5.95</v>
      </c>
      <c r="D41" s="55">
        <f t="shared" si="0"/>
        <v>3.95</v>
      </c>
      <c r="H41">
        <v>2.25</v>
      </c>
      <c r="I41" s="85">
        <f t="shared" si="1"/>
        <v>0.25</v>
      </c>
    </row>
    <row r="42" spans="1:9" x14ac:dyDescent="0.3">
      <c r="A42" s="17">
        <v>44958</v>
      </c>
      <c r="B42">
        <v>1.8</v>
      </c>
      <c r="C42">
        <v>4.95</v>
      </c>
      <c r="D42" s="55">
        <f t="shared" si="0"/>
        <v>3.1500000000000004</v>
      </c>
      <c r="H42">
        <v>3.55</v>
      </c>
      <c r="I42" s="85">
        <f t="shared" si="1"/>
        <v>1.7499999999999998</v>
      </c>
    </row>
    <row r="43" spans="1:9" x14ac:dyDescent="0.3">
      <c r="A43" s="17">
        <v>44927</v>
      </c>
      <c r="B43">
        <v>3.25</v>
      </c>
      <c r="C43">
        <v>7.35</v>
      </c>
      <c r="D43" s="55">
        <f t="shared" si="0"/>
        <v>4.0999999999999996</v>
      </c>
      <c r="H43">
        <v>6.45</v>
      </c>
      <c r="I43" s="85">
        <f t="shared" si="1"/>
        <v>3.2</v>
      </c>
    </row>
    <row r="44" spans="1:9" x14ac:dyDescent="0.3">
      <c r="A44" s="17">
        <v>44896</v>
      </c>
      <c r="B44">
        <v>5.45</v>
      </c>
      <c r="C44">
        <v>9.15</v>
      </c>
      <c r="D44" s="55">
        <f t="shared" si="0"/>
        <v>3.7</v>
      </c>
      <c r="H44">
        <v>6.45</v>
      </c>
      <c r="I44" s="85">
        <f t="shared" si="1"/>
        <v>1</v>
      </c>
    </row>
    <row r="45" spans="1:9" x14ac:dyDescent="0.3">
      <c r="A45" s="17">
        <v>44866</v>
      </c>
      <c r="B45">
        <v>5.85</v>
      </c>
      <c r="C45">
        <v>9.15</v>
      </c>
      <c r="D45" s="55">
        <f t="shared" si="0"/>
        <v>3.3000000000000007</v>
      </c>
      <c r="H45">
        <v>6.35</v>
      </c>
      <c r="I45" s="85">
        <f t="shared" si="1"/>
        <v>0.5</v>
      </c>
    </row>
    <row r="46" spans="1:9" x14ac:dyDescent="0.3">
      <c r="A46" s="17">
        <v>44835</v>
      </c>
      <c r="B46">
        <v>5.85</v>
      </c>
      <c r="C46">
        <v>9.15</v>
      </c>
      <c r="D46" s="55">
        <f t="shared" si="0"/>
        <v>3.3000000000000007</v>
      </c>
      <c r="H46">
        <v>6.45</v>
      </c>
      <c r="I46" s="85">
        <f t="shared" si="1"/>
        <v>0.60000000000000053</v>
      </c>
    </row>
    <row r="47" spans="1:9" x14ac:dyDescent="0.3">
      <c r="A47" s="17">
        <v>44805</v>
      </c>
      <c r="B47">
        <v>9.8000000000000007</v>
      </c>
      <c r="C47">
        <v>12.15</v>
      </c>
      <c r="D47" s="55">
        <f t="shared" si="0"/>
        <v>2.3499999999999996</v>
      </c>
      <c r="H47">
        <v>10.95</v>
      </c>
      <c r="I47" s="85">
        <f t="shared" si="1"/>
        <v>1.1499999999999986</v>
      </c>
    </row>
    <row r="48" spans="1:9" x14ac:dyDescent="0.3">
      <c r="A48" s="17">
        <v>44774</v>
      </c>
      <c r="B48">
        <v>9.3000000000000007</v>
      </c>
      <c r="C48">
        <v>11.35</v>
      </c>
      <c r="D48" s="55">
        <f t="shared" si="0"/>
        <v>2.0499999999999989</v>
      </c>
      <c r="H48">
        <v>10.65</v>
      </c>
      <c r="I48" s="85">
        <f t="shared" si="1"/>
        <v>1.3499999999999996</v>
      </c>
    </row>
    <row r="49" spans="1:9" x14ac:dyDescent="0.3">
      <c r="A49" s="17">
        <v>44743</v>
      </c>
      <c r="B49">
        <v>6.5</v>
      </c>
      <c r="C49">
        <v>8.5</v>
      </c>
      <c r="D49" s="55">
        <f t="shared" si="0"/>
        <v>2</v>
      </c>
      <c r="H49">
        <v>7.15</v>
      </c>
      <c r="I49" s="85">
        <f t="shared" si="1"/>
        <v>0.65000000000000036</v>
      </c>
    </row>
    <row r="50" spans="1:9" x14ac:dyDescent="0.3">
      <c r="A50" s="17">
        <v>44713</v>
      </c>
      <c r="B50">
        <v>4.4000000000000004</v>
      </c>
      <c r="C50">
        <v>5.75</v>
      </c>
      <c r="D50" s="55">
        <f t="shared" si="0"/>
        <v>1.3499999999999996</v>
      </c>
      <c r="H50">
        <v>4.6500000000000004</v>
      </c>
      <c r="I50" s="85">
        <f t="shared" si="1"/>
        <v>0.25</v>
      </c>
    </row>
    <row r="51" spans="1:9" x14ac:dyDescent="0.3">
      <c r="A51" s="17">
        <v>44682</v>
      </c>
      <c r="B51">
        <v>9.35</v>
      </c>
      <c r="C51">
        <v>10.85</v>
      </c>
      <c r="D51" s="55">
        <f t="shared" si="0"/>
        <v>1.5</v>
      </c>
      <c r="H51">
        <v>9.6</v>
      </c>
      <c r="I51" s="85">
        <f t="shared" si="1"/>
        <v>0.25</v>
      </c>
    </row>
    <row r="52" spans="1:9" x14ac:dyDescent="0.3">
      <c r="A52" s="17">
        <v>44652</v>
      </c>
      <c r="B52">
        <v>4.95</v>
      </c>
      <c r="C52">
        <v>8.15</v>
      </c>
      <c r="D52" s="55">
        <f t="shared" si="0"/>
        <v>3.2</v>
      </c>
      <c r="H52">
        <v>5.9</v>
      </c>
      <c r="I52" s="85">
        <f t="shared" si="1"/>
        <v>0.95000000000000018</v>
      </c>
    </row>
    <row r="53" spans="1:9" x14ac:dyDescent="0.3">
      <c r="A53" s="17">
        <v>44621</v>
      </c>
      <c r="B53">
        <v>2.8</v>
      </c>
      <c r="C53">
        <v>5.45</v>
      </c>
      <c r="D53" s="55">
        <f t="shared" si="0"/>
        <v>2.6500000000000004</v>
      </c>
      <c r="H53">
        <v>3.6</v>
      </c>
      <c r="I53" s="85">
        <f t="shared" si="1"/>
        <v>0.80000000000000027</v>
      </c>
    </row>
    <row r="54" spans="1:9" x14ac:dyDescent="0.3">
      <c r="A54" s="17">
        <v>44593</v>
      </c>
      <c r="B54">
        <v>2.2000000000000002</v>
      </c>
      <c r="C54">
        <v>5.15</v>
      </c>
      <c r="D54" s="55">
        <f t="shared" si="0"/>
        <v>2.95</v>
      </c>
      <c r="H54">
        <v>3.2</v>
      </c>
      <c r="I54" s="85">
        <f t="shared" si="1"/>
        <v>1</v>
      </c>
    </row>
    <row r="55" spans="1:9" x14ac:dyDescent="0.3">
      <c r="A55" s="17">
        <v>44562</v>
      </c>
      <c r="B55">
        <v>3.3</v>
      </c>
      <c r="C55">
        <v>6.15</v>
      </c>
      <c r="D55" s="55">
        <f t="shared" si="0"/>
        <v>2.8500000000000005</v>
      </c>
      <c r="H55">
        <v>4.5</v>
      </c>
      <c r="I55" s="85">
        <f t="shared" si="1"/>
        <v>1.2000000000000002</v>
      </c>
    </row>
    <row r="56" spans="1:9" x14ac:dyDescent="0.3">
      <c r="A56" s="17">
        <v>44531</v>
      </c>
      <c r="B56">
        <v>2.7</v>
      </c>
      <c r="C56">
        <v>5.85</v>
      </c>
      <c r="D56" s="55">
        <f t="shared" si="0"/>
        <v>3.1499999999999995</v>
      </c>
      <c r="H56">
        <v>4</v>
      </c>
      <c r="I56" s="85">
        <f t="shared" si="1"/>
        <v>1.2999999999999998</v>
      </c>
    </row>
    <row r="57" spans="1:9" x14ac:dyDescent="0.3">
      <c r="A57" s="17">
        <v>44501</v>
      </c>
      <c r="B57">
        <v>1.3</v>
      </c>
      <c r="C57">
        <v>3.05</v>
      </c>
      <c r="D57" s="55">
        <f t="shared" si="0"/>
        <v>1.7499999999999998</v>
      </c>
      <c r="H57">
        <v>1.8</v>
      </c>
      <c r="I57" s="85">
        <f t="shared" si="1"/>
        <v>0.5</v>
      </c>
    </row>
    <row r="58" spans="1:9" x14ac:dyDescent="0.3">
      <c r="A58" s="17">
        <v>44470</v>
      </c>
      <c r="B58">
        <v>1.7</v>
      </c>
      <c r="C58">
        <v>3.15</v>
      </c>
      <c r="D58" s="55">
        <f t="shared" si="0"/>
        <v>1.45</v>
      </c>
      <c r="H58">
        <v>2</v>
      </c>
      <c r="I58" s="85">
        <f t="shared" si="1"/>
        <v>0.30000000000000004</v>
      </c>
    </row>
    <row r="59" spans="1:9" x14ac:dyDescent="0.3">
      <c r="A59" s="17">
        <v>44440</v>
      </c>
      <c r="B59">
        <v>3</v>
      </c>
      <c r="C59">
        <v>4.45</v>
      </c>
      <c r="D59" s="55">
        <f t="shared" si="0"/>
        <v>1.4500000000000002</v>
      </c>
      <c r="H59">
        <v>3.2</v>
      </c>
      <c r="I59" s="85">
        <f t="shared" si="1"/>
        <v>0.20000000000000018</v>
      </c>
    </row>
    <row r="60" spans="1:9" x14ac:dyDescent="0.3">
      <c r="A60" s="17">
        <v>44409</v>
      </c>
      <c r="B60">
        <v>2.7</v>
      </c>
      <c r="C60">
        <v>3.85</v>
      </c>
      <c r="D60" s="55">
        <f t="shared" si="0"/>
        <v>1.1499999999999999</v>
      </c>
      <c r="H60">
        <v>2.7</v>
      </c>
      <c r="I60" s="85">
        <f t="shared" si="1"/>
        <v>0</v>
      </c>
    </row>
    <row r="61" spans="1:9" x14ac:dyDescent="0.3">
      <c r="A61" s="17">
        <v>44378</v>
      </c>
      <c r="B61">
        <v>1.9</v>
      </c>
      <c r="C61">
        <v>2.85</v>
      </c>
      <c r="D61" s="55">
        <f t="shared" si="0"/>
        <v>0.95000000000000018</v>
      </c>
      <c r="H61">
        <v>1.9</v>
      </c>
      <c r="I61" s="85">
        <f t="shared" si="1"/>
        <v>0</v>
      </c>
    </row>
    <row r="62" spans="1:9" x14ac:dyDescent="0.3">
      <c r="A62" s="17">
        <v>44348</v>
      </c>
      <c r="B62">
        <v>1.7</v>
      </c>
      <c r="C62">
        <v>2.35</v>
      </c>
      <c r="D62" s="55">
        <f t="shared" si="0"/>
        <v>0.65000000000000013</v>
      </c>
      <c r="H62">
        <v>1.5</v>
      </c>
      <c r="I62" s="85">
        <f t="shared" si="1"/>
        <v>-0.19999999999999996</v>
      </c>
    </row>
    <row r="63" spans="1:9" x14ac:dyDescent="0.3">
      <c r="A63" s="17">
        <v>44317</v>
      </c>
      <c r="B63">
        <v>1.8</v>
      </c>
      <c r="C63">
        <v>2.5499999999999998</v>
      </c>
      <c r="D63" s="55">
        <f t="shared" si="0"/>
        <v>0.74999999999999978</v>
      </c>
      <c r="H63">
        <v>1.6</v>
      </c>
      <c r="I63" s="85">
        <f t="shared" si="1"/>
        <v>-0.19999999999999996</v>
      </c>
    </row>
    <row r="64" spans="1:9" x14ac:dyDescent="0.3">
      <c r="A64" s="17">
        <v>44287</v>
      </c>
      <c r="B64">
        <v>1.4</v>
      </c>
      <c r="C64">
        <v>2.35</v>
      </c>
      <c r="D64" s="55">
        <f t="shared" si="0"/>
        <v>0.95000000000000018</v>
      </c>
      <c r="H64">
        <v>1.2</v>
      </c>
      <c r="I64" s="85">
        <f t="shared" si="1"/>
        <v>-0.19999999999999996</v>
      </c>
    </row>
    <row r="65" spans="1:9" x14ac:dyDescent="0.3">
      <c r="A65" s="17">
        <v>44256</v>
      </c>
      <c r="B65">
        <v>1</v>
      </c>
      <c r="C65">
        <v>1.85</v>
      </c>
      <c r="D65" s="55">
        <f t="shared" si="0"/>
        <v>0.85000000000000009</v>
      </c>
      <c r="H65">
        <v>0.6</v>
      </c>
      <c r="I65" s="85">
        <f t="shared" si="1"/>
        <v>-0.4</v>
      </c>
    </row>
    <row r="66" spans="1:9" x14ac:dyDescent="0.3">
      <c r="A66" s="17">
        <v>44228</v>
      </c>
      <c r="B66">
        <v>1</v>
      </c>
      <c r="C66">
        <v>1.85</v>
      </c>
      <c r="D66" s="55">
        <f t="shared" si="0"/>
        <v>0.85000000000000009</v>
      </c>
      <c r="H66">
        <v>0.6</v>
      </c>
      <c r="I66" s="85">
        <f t="shared" si="1"/>
        <v>-0.4</v>
      </c>
    </row>
    <row r="67" spans="1:9" x14ac:dyDescent="0.3">
      <c r="A67" s="17">
        <v>44197</v>
      </c>
      <c r="B67">
        <v>0.3</v>
      </c>
      <c r="H67">
        <v>0.1</v>
      </c>
      <c r="I67" s="85">
        <f t="shared" si="1"/>
        <v>-0.19999999999999998</v>
      </c>
    </row>
    <row r="68" spans="1:9" x14ac:dyDescent="0.3">
      <c r="A68" s="17">
        <v>44166</v>
      </c>
      <c r="B68">
        <v>-0.5</v>
      </c>
      <c r="H68">
        <v>-0.7</v>
      </c>
      <c r="I68" s="85">
        <f t="shared" si="1"/>
        <v>-0.19999999999999996</v>
      </c>
    </row>
    <row r="69" spans="1:9" x14ac:dyDescent="0.3">
      <c r="A69" s="17">
        <v>44136</v>
      </c>
      <c r="B69">
        <v>-0.4</v>
      </c>
      <c r="H69">
        <v>-0.6</v>
      </c>
      <c r="I69" s="85">
        <f t="shared" si="1"/>
        <v>-0.19999999999999996</v>
      </c>
    </row>
    <row r="70" spans="1:9" x14ac:dyDescent="0.3">
      <c r="A70" s="17">
        <v>44105</v>
      </c>
      <c r="B70">
        <v>-0.5</v>
      </c>
      <c r="H70">
        <v>-0.8</v>
      </c>
      <c r="I70" s="85">
        <f t="shared" si="1"/>
        <v>-0.30000000000000004</v>
      </c>
    </row>
    <row r="71" spans="1:9" x14ac:dyDescent="0.3">
      <c r="A71" s="17">
        <v>44075</v>
      </c>
      <c r="B71">
        <v>0.9</v>
      </c>
      <c r="H71">
        <v>0.7</v>
      </c>
      <c r="I71" s="85">
        <f t="shared" ref="I71:I79" si="2">+H71-B71</f>
        <v>-0.20000000000000007</v>
      </c>
    </row>
    <row r="72" spans="1:9" x14ac:dyDescent="0.3">
      <c r="A72" s="17">
        <v>44044</v>
      </c>
      <c r="B72">
        <v>1.2</v>
      </c>
      <c r="H72">
        <v>1.2</v>
      </c>
      <c r="I72" s="85">
        <f t="shared" si="2"/>
        <v>0</v>
      </c>
    </row>
    <row r="73" spans="1:9" x14ac:dyDescent="0.3">
      <c r="A73" s="17">
        <v>44013</v>
      </c>
      <c r="B73">
        <v>0.2</v>
      </c>
      <c r="H73">
        <v>0.2</v>
      </c>
      <c r="I73" s="85">
        <f t="shared" si="2"/>
        <v>0</v>
      </c>
    </row>
    <row r="74" spans="1:9" x14ac:dyDescent="0.3">
      <c r="A74" s="17">
        <v>43983</v>
      </c>
      <c r="B74">
        <v>-5.9</v>
      </c>
      <c r="H74">
        <v>-6.5</v>
      </c>
      <c r="I74" s="85">
        <f t="shared" si="2"/>
        <v>-0.59999999999999964</v>
      </c>
    </row>
    <row r="75" spans="1:9" x14ac:dyDescent="0.3">
      <c r="A75" s="17">
        <v>43952</v>
      </c>
      <c r="B75">
        <v>-7.3</v>
      </c>
      <c r="H75">
        <v>-7.4</v>
      </c>
      <c r="I75" s="85">
        <f t="shared" si="2"/>
        <v>-0.10000000000000053</v>
      </c>
    </row>
    <row r="76" spans="1:9" x14ac:dyDescent="0.3">
      <c r="A76" s="17">
        <v>43922</v>
      </c>
      <c r="B76">
        <v>-3.1</v>
      </c>
      <c r="H76">
        <v>-3.1</v>
      </c>
      <c r="I76" s="85">
        <f t="shared" si="2"/>
        <v>0</v>
      </c>
    </row>
    <row r="77" spans="1:9" x14ac:dyDescent="0.3">
      <c r="A77" s="17">
        <v>43891</v>
      </c>
      <c r="B77">
        <v>2.9</v>
      </c>
      <c r="H77">
        <v>2.9</v>
      </c>
      <c r="I77" s="85">
        <f t="shared" si="2"/>
        <v>0</v>
      </c>
    </row>
    <row r="78" spans="1:9" x14ac:dyDescent="0.3">
      <c r="A78" s="17">
        <v>43862</v>
      </c>
      <c r="B78">
        <v>3.7</v>
      </c>
      <c r="H78">
        <v>4.5999999999999996</v>
      </c>
      <c r="I78" s="85">
        <f t="shared" si="2"/>
        <v>0.89999999999999947</v>
      </c>
    </row>
    <row r="79" spans="1:9" x14ac:dyDescent="0.3">
      <c r="A79" s="17">
        <v>43831</v>
      </c>
      <c r="B79">
        <v>3.7</v>
      </c>
      <c r="H79">
        <v>5.8</v>
      </c>
      <c r="I79" s="85">
        <f t="shared" si="2"/>
        <v>2.0999999999999996</v>
      </c>
    </row>
    <row r="80" spans="1:9" x14ac:dyDescent="0.3">
      <c r="A80" s="17"/>
    </row>
    <row r="81" spans="1:1" x14ac:dyDescent="0.3">
      <c r="A81" s="17"/>
    </row>
    <row r="82" spans="1:1" x14ac:dyDescent="0.3">
      <c r="A82" s="17"/>
    </row>
    <row r="83" spans="1:1" x14ac:dyDescent="0.3">
      <c r="A83" s="17"/>
    </row>
    <row r="84" spans="1:1" x14ac:dyDescent="0.3">
      <c r="A84" s="17"/>
    </row>
    <row r="85" spans="1:1" x14ac:dyDescent="0.3">
      <c r="A85" s="17"/>
    </row>
    <row r="86" spans="1:1" x14ac:dyDescent="0.3">
      <c r="A86" s="17"/>
    </row>
    <row r="87" spans="1:1" x14ac:dyDescent="0.3">
      <c r="A87" s="17"/>
    </row>
    <row r="88" spans="1:1" x14ac:dyDescent="0.3">
      <c r="A88" s="17"/>
    </row>
    <row r="89" spans="1:1" x14ac:dyDescent="0.3">
      <c r="A89" s="17"/>
    </row>
    <row r="90" spans="1:1" x14ac:dyDescent="0.3">
      <c r="A90" s="17"/>
    </row>
    <row r="91" spans="1:1" x14ac:dyDescent="0.3">
      <c r="A91" s="17"/>
    </row>
    <row r="92" spans="1:1" x14ac:dyDescent="0.3">
      <c r="A92" s="17"/>
    </row>
    <row r="93" spans="1:1" x14ac:dyDescent="0.3">
      <c r="A93" s="17"/>
    </row>
    <row r="94" spans="1:1" x14ac:dyDescent="0.3">
      <c r="A94" s="17"/>
    </row>
    <row r="95" spans="1:1" x14ac:dyDescent="0.3">
      <c r="A95" s="17"/>
    </row>
    <row r="96" spans="1:1" x14ac:dyDescent="0.3">
      <c r="A96" s="17"/>
    </row>
    <row r="97" spans="1:1" x14ac:dyDescent="0.3">
      <c r="A97" s="17"/>
    </row>
    <row r="98" spans="1:1" x14ac:dyDescent="0.3">
      <c r="A98" s="17"/>
    </row>
    <row r="99" spans="1:1" x14ac:dyDescent="0.3">
      <c r="A99" s="17"/>
    </row>
    <row r="100" spans="1:1" x14ac:dyDescent="0.3">
      <c r="A100" s="17"/>
    </row>
    <row r="101" spans="1:1" x14ac:dyDescent="0.3">
      <c r="A101" s="17"/>
    </row>
    <row r="102" spans="1:1" x14ac:dyDescent="0.3">
      <c r="A102" s="17"/>
    </row>
    <row r="103" spans="1:1" x14ac:dyDescent="0.3">
      <c r="A103" s="17"/>
    </row>
    <row r="104" spans="1:1" x14ac:dyDescent="0.3">
      <c r="A104" s="17"/>
    </row>
    <row r="105" spans="1:1" x14ac:dyDescent="0.3">
      <c r="A105" s="17"/>
    </row>
    <row r="106" spans="1:1" x14ac:dyDescent="0.3">
      <c r="A106" s="17"/>
    </row>
    <row r="107" spans="1:1" x14ac:dyDescent="0.3">
      <c r="A107" s="17"/>
    </row>
    <row r="108" spans="1:1" x14ac:dyDescent="0.3">
      <c r="A108" s="17"/>
    </row>
    <row r="109" spans="1:1" x14ac:dyDescent="0.3">
      <c r="A109" s="17"/>
    </row>
    <row r="110" spans="1:1" x14ac:dyDescent="0.3">
      <c r="A110" s="17"/>
    </row>
    <row r="111" spans="1:1" x14ac:dyDescent="0.3">
      <c r="A111" s="17"/>
    </row>
    <row r="112" spans="1:1" x14ac:dyDescent="0.3">
      <c r="A112" s="17"/>
    </row>
    <row r="113" spans="1:1" x14ac:dyDescent="0.3">
      <c r="A113" s="17"/>
    </row>
    <row r="114" spans="1:1" x14ac:dyDescent="0.3">
      <c r="A114" s="17"/>
    </row>
    <row r="115" spans="1:1" x14ac:dyDescent="0.3">
      <c r="A115" s="17"/>
    </row>
    <row r="116" spans="1:1" x14ac:dyDescent="0.3">
      <c r="A116" s="17"/>
    </row>
    <row r="117" spans="1:1" x14ac:dyDescent="0.3">
      <c r="A117" s="17"/>
    </row>
    <row r="118" spans="1:1" x14ac:dyDescent="0.3">
      <c r="A118" s="17"/>
    </row>
    <row r="119" spans="1:1" x14ac:dyDescent="0.3">
      <c r="A119" s="17"/>
    </row>
    <row r="120" spans="1:1" x14ac:dyDescent="0.3">
      <c r="A120" s="17"/>
    </row>
    <row r="121" spans="1:1" x14ac:dyDescent="0.3">
      <c r="A121" s="17"/>
    </row>
    <row r="122" spans="1:1" x14ac:dyDescent="0.3">
      <c r="A122" s="17"/>
    </row>
    <row r="123" spans="1:1" x14ac:dyDescent="0.3">
      <c r="A123" s="17"/>
    </row>
    <row r="124" spans="1:1" x14ac:dyDescent="0.3">
      <c r="A124" s="17"/>
    </row>
    <row r="125" spans="1:1" x14ac:dyDescent="0.3">
      <c r="A125" s="17"/>
    </row>
    <row r="126" spans="1:1" x14ac:dyDescent="0.3">
      <c r="A126" s="17"/>
    </row>
    <row r="127" spans="1:1" x14ac:dyDescent="0.3">
      <c r="A127" s="17"/>
    </row>
    <row r="128" spans="1:1" x14ac:dyDescent="0.3">
      <c r="A128" s="17"/>
    </row>
    <row r="129" spans="1:1" x14ac:dyDescent="0.3">
      <c r="A129" s="17"/>
    </row>
    <row r="130" spans="1:1" x14ac:dyDescent="0.3">
      <c r="A130" s="17"/>
    </row>
    <row r="131" spans="1:1" x14ac:dyDescent="0.3">
      <c r="A131" s="17"/>
    </row>
    <row r="132" spans="1:1" x14ac:dyDescent="0.3">
      <c r="A132" s="17"/>
    </row>
    <row r="133" spans="1:1" x14ac:dyDescent="0.3">
      <c r="A133" s="17"/>
    </row>
    <row r="134" spans="1:1" x14ac:dyDescent="0.3">
      <c r="A134" s="17"/>
    </row>
    <row r="135" spans="1:1" x14ac:dyDescent="0.3">
      <c r="A135" s="17"/>
    </row>
    <row r="136" spans="1:1" x14ac:dyDescent="0.3">
      <c r="A136" s="17"/>
    </row>
    <row r="137" spans="1:1" x14ac:dyDescent="0.3">
      <c r="A137" s="17"/>
    </row>
    <row r="138" spans="1:1" x14ac:dyDescent="0.3">
      <c r="A138" s="17"/>
    </row>
    <row r="139" spans="1:1" x14ac:dyDescent="0.3">
      <c r="A139" s="17"/>
    </row>
    <row r="140" spans="1:1" x14ac:dyDescent="0.3">
      <c r="A140" s="17"/>
    </row>
    <row r="141" spans="1:1" x14ac:dyDescent="0.3">
      <c r="A141" s="17"/>
    </row>
    <row r="142" spans="1:1" x14ac:dyDescent="0.3">
      <c r="A142" s="17"/>
    </row>
    <row r="143" spans="1:1" x14ac:dyDescent="0.3">
      <c r="A143" s="17"/>
    </row>
    <row r="144" spans="1:1" x14ac:dyDescent="0.3">
      <c r="A144" s="17"/>
    </row>
    <row r="145" spans="1:1" x14ac:dyDescent="0.3">
      <c r="A145" s="17"/>
    </row>
    <row r="146" spans="1:1" x14ac:dyDescent="0.3">
      <c r="A146" s="17"/>
    </row>
    <row r="147" spans="1:1" x14ac:dyDescent="0.3">
      <c r="A147" s="17"/>
    </row>
    <row r="148" spans="1:1" x14ac:dyDescent="0.3">
      <c r="A148" s="17"/>
    </row>
    <row r="149" spans="1:1" x14ac:dyDescent="0.3">
      <c r="A149" s="17"/>
    </row>
    <row r="150" spans="1:1" x14ac:dyDescent="0.3">
      <c r="A150" s="17"/>
    </row>
    <row r="151" spans="1:1" x14ac:dyDescent="0.3">
      <c r="A151" s="17"/>
    </row>
    <row r="152" spans="1:1" x14ac:dyDescent="0.3">
      <c r="A152" s="17"/>
    </row>
    <row r="153" spans="1:1" x14ac:dyDescent="0.3">
      <c r="A153" s="17"/>
    </row>
    <row r="154" spans="1:1" x14ac:dyDescent="0.3">
      <c r="A154" s="17"/>
    </row>
    <row r="155" spans="1:1" x14ac:dyDescent="0.3">
      <c r="A155" s="17"/>
    </row>
    <row r="156" spans="1:1" x14ac:dyDescent="0.3">
      <c r="A156" s="17"/>
    </row>
    <row r="157" spans="1:1" x14ac:dyDescent="0.3">
      <c r="A157" s="17"/>
    </row>
    <row r="158" spans="1:1" x14ac:dyDescent="0.3">
      <c r="A158" s="17"/>
    </row>
    <row r="159" spans="1:1" x14ac:dyDescent="0.3">
      <c r="A159" s="17"/>
    </row>
    <row r="160" spans="1:1" x14ac:dyDescent="0.3">
      <c r="A160" s="17"/>
    </row>
    <row r="161" spans="1:1" x14ac:dyDescent="0.3">
      <c r="A161" s="17"/>
    </row>
    <row r="162" spans="1:1" x14ac:dyDescent="0.3">
      <c r="A162" s="17"/>
    </row>
    <row r="163" spans="1:1" x14ac:dyDescent="0.3">
      <c r="A163" s="17"/>
    </row>
    <row r="164" spans="1:1" x14ac:dyDescent="0.3">
      <c r="A164" s="17"/>
    </row>
    <row r="165" spans="1:1" x14ac:dyDescent="0.3">
      <c r="A165" s="17"/>
    </row>
    <row r="166" spans="1:1" x14ac:dyDescent="0.3">
      <c r="A166" s="17"/>
    </row>
    <row r="167" spans="1:1" x14ac:dyDescent="0.3">
      <c r="A167" s="17"/>
    </row>
    <row r="168" spans="1:1" x14ac:dyDescent="0.3">
      <c r="A168" s="17"/>
    </row>
    <row r="169" spans="1:1" x14ac:dyDescent="0.3">
      <c r="A169" s="17"/>
    </row>
    <row r="170" spans="1:1" x14ac:dyDescent="0.3">
      <c r="A170" s="17"/>
    </row>
    <row r="171" spans="1:1" x14ac:dyDescent="0.3">
      <c r="A171" s="17"/>
    </row>
    <row r="172" spans="1:1" x14ac:dyDescent="0.3">
      <c r="A172" s="17"/>
    </row>
    <row r="173" spans="1:1" x14ac:dyDescent="0.3">
      <c r="A173" s="17"/>
    </row>
    <row r="174" spans="1:1" x14ac:dyDescent="0.3">
      <c r="A174" s="17"/>
    </row>
    <row r="175" spans="1:1" x14ac:dyDescent="0.3">
      <c r="A175" s="17"/>
    </row>
    <row r="176" spans="1:1" x14ac:dyDescent="0.3">
      <c r="A176" s="17"/>
    </row>
    <row r="177" spans="1:1" x14ac:dyDescent="0.3">
      <c r="A177" s="17"/>
    </row>
    <row r="178" spans="1:1" x14ac:dyDescent="0.3">
      <c r="A178" s="17"/>
    </row>
    <row r="179" spans="1:1" x14ac:dyDescent="0.3">
      <c r="A179" s="17"/>
    </row>
    <row r="180" spans="1:1" x14ac:dyDescent="0.3">
      <c r="A180" s="17"/>
    </row>
    <row r="181" spans="1:1" x14ac:dyDescent="0.3">
      <c r="A181" s="17"/>
    </row>
    <row r="182" spans="1:1" x14ac:dyDescent="0.3">
      <c r="A182" s="17"/>
    </row>
    <row r="183" spans="1:1" x14ac:dyDescent="0.3">
      <c r="A183" s="17"/>
    </row>
    <row r="184" spans="1:1" x14ac:dyDescent="0.3">
      <c r="A184" s="17"/>
    </row>
    <row r="185" spans="1:1" x14ac:dyDescent="0.3">
      <c r="A185" s="17"/>
    </row>
    <row r="186" spans="1:1" x14ac:dyDescent="0.3">
      <c r="A186" s="17"/>
    </row>
    <row r="187" spans="1:1" x14ac:dyDescent="0.3">
      <c r="A187" s="17"/>
    </row>
    <row r="188" spans="1:1" x14ac:dyDescent="0.3">
      <c r="A188" s="17"/>
    </row>
    <row r="189" spans="1:1" x14ac:dyDescent="0.3">
      <c r="A189" s="17"/>
    </row>
    <row r="190" spans="1:1" x14ac:dyDescent="0.3">
      <c r="A190" s="17"/>
    </row>
    <row r="191" spans="1:1" x14ac:dyDescent="0.3">
      <c r="A191" s="17"/>
    </row>
    <row r="192" spans="1:1" x14ac:dyDescent="0.3">
      <c r="A192" s="17"/>
    </row>
    <row r="193" spans="1:1" x14ac:dyDescent="0.3">
      <c r="A193" s="17"/>
    </row>
    <row r="194" spans="1:1" x14ac:dyDescent="0.3">
      <c r="A194" s="17"/>
    </row>
    <row r="195" spans="1:1" x14ac:dyDescent="0.3">
      <c r="A195" s="17"/>
    </row>
    <row r="196" spans="1:1" x14ac:dyDescent="0.3">
      <c r="A196" s="17"/>
    </row>
    <row r="197" spans="1:1" x14ac:dyDescent="0.3">
      <c r="A197" s="17"/>
    </row>
    <row r="198" spans="1:1" x14ac:dyDescent="0.3">
      <c r="A198" s="17"/>
    </row>
    <row r="199" spans="1:1" x14ac:dyDescent="0.3">
      <c r="A199" s="17"/>
    </row>
    <row r="200" spans="1:1" x14ac:dyDescent="0.3">
      <c r="A200" s="17"/>
    </row>
    <row r="201" spans="1:1" x14ac:dyDescent="0.3">
      <c r="A201" s="17"/>
    </row>
    <row r="202" spans="1:1" x14ac:dyDescent="0.3">
      <c r="A202" s="17"/>
    </row>
    <row r="203" spans="1:1" x14ac:dyDescent="0.3">
      <c r="A203" s="17"/>
    </row>
    <row r="204" spans="1:1" x14ac:dyDescent="0.3">
      <c r="A204" s="17"/>
    </row>
    <row r="205" spans="1:1" x14ac:dyDescent="0.3">
      <c r="A205" s="17"/>
    </row>
    <row r="206" spans="1:1" x14ac:dyDescent="0.3">
      <c r="A206" s="17"/>
    </row>
    <row r="207" spans="1:1" x14ac:dyDescent="0.3">
      <c r="A207" s="17"/>
    </row>
    <row r="208" spans="1:1" x14ac:dyDescent="0.3">
      <c r="A208" s="17"/>
    </row>
    <row r="209" spans="1:1" x14ac:dyDescent="0.3">
      <c r="A209" s="17"/>
    </row>
    <row r="210" spans="1:1" x14ac:dyDescent="0.3">
      <c r="A210" s="17"/>
    </row>
    <row r="211" spans="1:1" x14ac:dyDescent="0.3">
      <c r="A211" s="17"/>
    </row>
    <row r="212" spans="1:1" x14ac:dyDescent="0.3">
      <c r="A212" s="17"/>
    </row>
    <row r="213" spans="1:1" x14ac:dyDescent="0.3">
      <c r="A213" s="17"/>
    </row>
    <row r="214" spans="1:1" x14ac:dyDescent="0.3">
      <c r="A214" s="17"/>
    </row>
    <row r="215" spans="1:1" x14ac:dyDescent="0.3">
      <c r="A215" s="17"/>
    </row>
    <row r="216" spans="1:1" x14ac:dyDescent="0.3">
      <c r="A216" s="17"/>
    </row>
    <row r="217" spans="1:1" x14ac:dyDescent="0.3">
      <c r="A217" s="17"/>
    </row>
    <row r="218" spans="1:1" x14ac:dyDescent="0.3">
      <c r="A218" s="17"/>
    </row>
    <row r="219" spans="1:1" x14ac:dyDescent="0.3">
      <c r="A219" s="17"/>
    </row>
    <row r="220" spans="1:1" x14ac:dyDescent="0.3">
      <c r="A220" s="17"/>
    </row>
    <row r="221" spans="1:1" x14ac:dyDescent="0.3">
      <c r="A221" s="17"/>
    </row>
    <row r="222" spans="1:1" x14ac:dyDescent="0.3">
      <c r="A222" s="17"/>
    </row>
    <row r="223" spans="1:1" x14ac:dyDescent="0.3">
      <c r="A223" s="17"/>
    </row>
    <row r="224" spans="1:1" x14ac:dyDescent="0.3">
      <c r="A224" s="17"/>
    </row>
    <row r="225" spans="1:1" x14ac:dyDescent="0.3">
      <c r="A225" s="17"/>
    </row>
    <row r="226" spans="1:1" x14ac:dyDescent="0.3">
      <c r="A226" s="17"/>
    </row>
    <row r="227" spans="1:1" x14ac:dyDescent="0.3">
      <c r="A227" s="17"/>
    </row>
    <row r="228" spans="1:1" x14ac:dyDescent="0.3">
      <c r="A228" s="17"/>
    </row>
    <row r="229" spans="1:1" x14ac:dyDescent="0.3">
      <c r="A229" s="17"/>
    </row>
    <row r="230" spans="1:1" x14ac:dyDescent="0.3">
      <c r="A230" s="17"/>
    </row>
    <row r="231" spans="1:1" x14ac:dyDescent="0.3">
      <c r="A231" s="17"/>
    </row>
    <row r="232" spans="1:1" x14ac:dyDescent="0.3">
      <c r="A232" s="17"/>
    </row>
    <row r="233" spans="1:1" x14ac:dyDescent="0.3">
      <c r="A233" s="17"/>
    </row>
    <row r="234" spans="1:1" x14ac:dyDescent="0.3">
      <c r="A234" s="17"/>
    </row>
    <row r="235" spans="1:1" x14ac:dyDescent="0.3">
      <c r="A235" s="17"/>
    </row>
    <row r="236" spans="1:1" x14ac:dyDescent="0.3">
      <c r="A236" s="17"/>
    </row>
    <row r="237" spans="1:1" x14ac:dyDescent="0.3">
      <c r="A237" s="17"/>
    </row>
    <row r="238" spans="1:1" x14ac:dyDescent="0.3">
      <c r="A238" s="17"/>
    </row>
    <row r="239" spans="1:1" x14ac:dyDescent="0.3">
      <c r="A239" s="17"/>
    </row>
    <row r="240" spans="1:1" x14ac:dyDescent="0.3">
      <c r="A240" s="17"/>
    </row>
    <row r="241" spans="1:1" x14ac:dyDescent="0.3">
      <c r="A241" s="17"/>
    </row>
    <row r="242" spans="1:1" x14ac:dyDescent="0.3">
      <c r="A242" s="17"/>
    </row>
    <row r="243" spans="1:1" x14ac:dyDescent="0.3">
      <c r="A243" s="17"/>
    </row>
    <row r="244" spans="1:1" x14ac:dyDescent="0.3">
      <c r="A244" s="17"/>
    </row>
    <row r="245" spans="1:1" x14ac:dyDescent="0.3">
      <c r="A245" s="17"/>
    </row>
    <row r="246" spans="1:1" x14ac:dyDescent="0.3">
      <c r="A246" s="17"/>
    </row>
    <row r="247" spans="1:1" x14ac:dyDescent="0.3">
      <c r="A247" s="17"/>
    </row>
    <row r="248" spans="1:1" x14ac:dyDescent="0.3">
      <c r="A248" s="17"/>
    </row>
    <row r="249" spans="1:1" x14ac:dyDescent="0.3">
      <c r="A249" s="17"/>
    </row>
    <row r="250" spans="1:1" x14ac:dyDescent="0.3">
      <c r="A250" s="17"/>
    </row>
    <row r="251" spans="1:1" x14ac:dyDescent="0.3">
      <c r="A251" s="17"/>
    </row>
    <row r="252" spans="1:1" x14ac:dyDescent="0.3">
      <c r="A252" s="17"/>
    </row>
    <row r="253" spans="1:1" x14ac:dyDescent="0.3">
      <c r="A253" s="17"/>
    </row>
    <row r="254" spans="1:1" x14ac:dyDescent="0.3">
      <c r="A254" s="17"/>
    </row>
    <row r="255" spans="1:1" x14ac:dyDescent="0.3">
      <c r="A255" s="17"/>
    </row>
    <row r="256" spans="1:1" x14ac:dyDescent="0.3">
      <c r="A256" s="17"/>
    </row>
    <row r="257" spans="1:1" x14ac:dyDescent="0.3">
      <c r="A257" s="17"/>
    </row>
    <row r="258" spans="1:1" x14ac:dyDescent="0.3">
      <c r="A258" s="17"/>
    </row>
    <row r="259" spans="1:1" x14ac:dyDescent="0.3">
      <c r="A259" s="17"/>
    </row>
    <row r="260" spans="1:1" x14ac:dyDescent="0.3">
      <c r="A260" s="17"/>
    </row>
    <row r="261" spans="1:1" x14ac:dyDescent="0.3">
      <c r="A261" s="17"/>
    </row>
    <row r="262" spans="1:1" x14ac:dyDescent="0.3">
      <c r="A262" s="17"/>
    </row>
    <row r="263" spans="1:1" x14ac:dyDescent="0.3">
      <c r="A263" s="17"/>
    </row>
    <row r="264" spans="1:1" x14ac:dyDescent="0.3">
      <c r="A264" s="17"/>
    </row>
    <row r="265" spans="1:1" x14ac:dyDescent="0.3">
      <c r="A265" s="17"/>
    </row>
    <row r="266" spans="1:1" x14ac:dyDescent="0.3">
      <c r="A266" s="17"/>
    </row>
    <row r="267" spans="1:1" x14ac:dyDescent="0.3">
      <c r="A267" s="17"/>
    </row>
    <row r="268" spans="1:1" x14ac:dyDescent="0.3">
      <c r="A268" s="17"/>
    </row>
    <row r="269" spans="1:1" x14ac:dyDescent="0.3">
      <c r="A269" s="17"/>
    </row>
    <row r="270" spans="1:1" x14ac:dyDescent="0.3">
      <c r="A270" s="17"/>
    </row>
    <row r="271" spans="1:1" x14ac:dyDescent="0.3">
      <c r="A271" s="17"/>
    </row>
    <row r="272" spans="1:1" x14ac:dyDescent="0.3">
      <c r="A272" s="17"/>
    </row>
    <row r="273" spans="1:1" x14ac:dyDescent="0.3">
      <c r="A273" s="17"/>
    </row>
    <row r="274" spans="1:1" x14ac:dyDescent="0.3">
      <c r="A274" s="17"/>
    </row>
    <row r="275" spans="1:1" x14ac:dyDescent="0.3">
      <c r="A275" s="17"/>
    </row>
    <row r="276" spans="1:1" x14ac:dyDescent="0.3">
      <c r="A276" s="17"/>
    </row>
    <row r="277" spans="1:1" x14ac:dyDescent="0.3">
      <c r="A277" s="17"/>
    </row>
    <row r="278" spans="1:1" x14ac:dyDescent="0.3">
      <c r="A278" s="17"/>
    </row>
    <row r="279" spans="1:1" x14ac:dyDescent="0.3">
      <c r="A279" s="17"/>
    </row>
    <row r="280" spans="1:1" x14ac:dyDescent="0.3">
      <c r="A280" s="17"/>
    </row>
    <row r="281" spans="1:1" x14ac:dyDescent="0.3">
      <c r="A281" s="17"/>
    </row>
    <row r="282" spans="1:1" x14ac:dyDescent="0.3">
      <c r="A282" s="17"/>
    </row>
    <row r="283" spans="1:1" x14ac:dyDescent="0.3">
      <c r="A283" s="17"/>
    </row>
    <row r="284" spans="1:1" x14ac:dyDescent="0.3">
      <c r="A284" s="17"/>
    </row>
    <row r="285" spans="1:1" x14ac:dyDescent="0.3">
      <c r="A285" s="17"/>
    </row>
    <row r="286" spans="1:1" x14ac:dyDescent="0.3">
      <c r="A286" s="17"/>
    </row>
    <row r="287" spans="1:1" x14ac:dyDescent="0.3">
      <c r="A287" s="17"/>
    </row>
    <row r="288" spans="1:1" x14ac:dyDescent="0.3">
      <c r="A288" s="17"/>
    </row>
    <row r="289" spans="1:1" x14ac:dyDescent="0.3">
      <c r="A289" s="17"/>
    </row>
    <row r="290" spans="1:1" x14ac:dyDescent="0.3">
      <c r="A290" s="17"/>
    </row>
    <row r="291" spans="1:1" x14ac:dyDescent="0.3">
      <c r="A291" s="17"/>
    </row>
    <row r="292" spans="1:1" x14ac:dyDescent="0.3">
      <c r="A292" s="17"/>
    </row>
    <row r="293" spans="1:1" x14ac:dyDescent="0.3">
      <c r="A293" s="17"/>
    </row>
    <row r="294" spans="1:1" x14ac:dyDescent="0.3">
      <c r="A294" s="17"/>
    </row>
    <row r="295" spans="1:1" x14ac:dyDescent="0.3">
      <c r="A295" s="17"/>
    </row>
    <row r="296" spans="1:1" x14ac:dyDescent="0.3">
      <c r="A296" s="17"/>
    </row>
    <row r="297" spans="1:1" x14ac:dyDescent="0.3">
      <c r="A297" s="17"/>
    </row>
    <row r="298" spans="1:1" x14ac:dyDescent="0.3">
      <c r="A298" s="17"/>
    </row>
    <row r="299" spans="1:1" x14ac:dyDescent="0.3">
      <c r="A299" s="17"/>
    </row>
    <row r="300" spans="1:1" x14ac:dyDescent="0.3">
      <c r="A300" s="17"/>
    </row>
    <row r="301" spans="1:1" x14ac:dyDescent="0.3">
      <c r="A301" s="17"/>
    </row>
    <row r="302" spans="1:1" x14ac:dyDescent="0.3">
      <c r="A302" s="17"/>
    </row>
    <row r="303" spans="1:1" x14ac:dyDescent="0.3">
      <c r="A303" s="17"/>
    </row>
    <row r="304" spans="1:1" x14ac:dyDescent="0.3">
      <c r="A304" s="17"/>
    </row>
    <row r="305" spans="1:1" x14ac:dyDescent="0.3">
      <c r="A305" s="17"/>
    </row>
    <row r="306" spans="1:1" x14ac:dyDescent="0.3">
      <c r="A306" s="17"/>
    </row>
    <row r="307" spans="1:1" x14ac:dyDescent="0.3">
      <c r="A307" s="17"/>
    </row>
    <row r="308" spans="1:1" x14ac:dyDescent="0.3">
      <c r="A308" s="17"/>
    </row>
    <row r="309" spans="1:1" x14ac:dyDescent="0.3">
      <c r="A309" s="17"/>
    </row>
    <row r="310" spans="1:1" x14ac:dyDescent="0.3">
      <c r="A310" s="17"/>
    </row>
    <row r="311" spans="1:1" x14ac:dyDescent="0.3">
      <c r="A311" s="17"/>
    </row>
    <row r="312" spans="1:1" x14ac:dyDescent="0.3">
      <c r="A312" s="17"/>
    </row>
    <row r="313" spans="1:1" x14ac:dyDescent="0.3">
      <c r="A313" s="17"/>
    </row>
    <row r="314" spans="1:1" x14ac:dyDescent="0.3">
      <c r="A314" s="17"/>
    </row>
    <row r="315" spans="1:1" x14ac:dyDescent="0.3">
      <c r="A315" s="17"/>
    </row>
    <row r="316" spans="1:1" x14ac:dyDescent="0.3">
      <c r="A316" s="17"/>
    </row>
    <row r="317" spans="1:1" x14ac:dyDescent="0.3">
      <c r="A317" s="17"/>
    </row>
    <row r="318" spans="1:1" x14ac:dyDescent="0.3">
      <c r="A318" s="17"/>
    </row>
    <row r="319" spans="1:1" x14ac:dyDescent="0.3">
      <c r="A319" s="17"/>
    </row>
    <row r="320" spans="1:1" x14ac:dyDescent="0.3">
      <c r="A320" s="17"/>
    </row>
    <row r="321" spans="1:1" x14ac:dyDescent="0.3">
      <c r="A321" s="17"/>
    </row>
    <row r="322" spans="1:1" x14ac:dyDescent="0.3">
      <c r="A322" s="17"/>
    </row>
    <row r="323" spans="1:1" x14ac:dyDescent="0.3">
      <c r="A323" s="17"/>
    </row>
    <row r="324" spans="1:1" x14ac:dyDescent="0.3">
      <c r="A324" s="17"/>
    </row>
    <row r="325" spans="1:1" x14ac:dyDescent="0.3">
      <c r="A325" s="17"/>
    </row>
    <row r="326" spans="1:1" x14ac:dyDescent="0.3">
      <c r="A326" s="17"/>
    </row>
    <row r="327" spans="1:1" x14ac:dyDescent="0.3">
      <c r="A327" s="17"/>
    </row>
    <row r="328" spans="1:1" x14ac:dyDescent="0.3">
      <c r="A328" s="17"/>
    </row>
    <row r="329" spans="1:1" x14ac:dyDescent="0.3">
      <c r="A329" s="17"/>
    </row>
    <row r="330" spans="1:1" x14ac:dyDescent="0.3">
      <c r="A330" s="17"/>
    </row>
    <row r="331" spans="1:1" x14ac:dyDescent="0.3">
      <c r="A331" s="17"/>
    </row>
    <row r="332" spans="1:1" x14ac:dyDescent="0.3">
      <c r="A332" s="17"/>
    </row>
    <row r="333" spans="1:1" x14ac:dyDescent="0.3">
      <c r="A333" s="17"/>
    </row>
    <row r="334" spans="1:1" x14ac:dyDescent="0.3">
      <c r="A334" s="17"/>
    </row>
    <row r="335" spans="1:1" x14ac:dyDescent="0.3">
      <c r="A335" s="17"/>
    </row>
    <row r="336" spans="1:1" x14ac:dyDescent="0.3">
      <c r="A336" s="17"/>
    </row>
    <row r="337" spans="1:1" x14ac:dyDescent="0.3">
      <c r="A337" s="17"/>
    </row>
    <row r="338" spans="1:1" x14ac:dyDescent="0.3">
      <c r="A338" s="17"/>
    </row>
    <row r="339" spans="1:1" x14ac:dyDescent="0.3">
      <c r="A339" s="17"/>
    </row>
    <row r="340" spans="1:1" x14ac:dyDescent="0.3">
      <c r="A340" s="17"/>
    </row>
    <row r="341" spans="1:1" x14ac:dyDescent="0.3">
      <c r="A341" s="17"/>
    </row>
    <row r="342" spans="1:1" x14ac:dyDescent="0.3">
      <c r="A342" s="17"/>
    </row>
    <row r="343" spans="1:1" x14ac:dyDescent="0.3">
      <c r="A343" s="17"/>
    </row>
    <row r="344" spans="1:1" x14ac:dyDescent="0.3">
      <c r="A344" s="17"/>
    </row>
    <row r="345" spans="1:1" x14ac:dyDescent="0.3">
      <c r="A345" s="17"/>
    </row>
    <row r="346" spans="1:1" x14ac:dyDescent="0.3">
      <c r="A346" s="17"/>
    </row>
    <row r="347" spans="1:1" x14ac:dyDescent="0.3">
      <c r="A347" s="17"/>
    </row>
    <row r="348" spans="1:1" x14ac:dyDescent="0.3">
      <c r="A348" s="17"/>
    </row>
    <row r="349" spans="1:1" x14ac:dyDescent="0.3">
      <c r="A349" s="17"/>
    </row>
    <row r="350" spans="1:1" x14ac:dyDescent="0.3">
      <c r="A350" s="17"/>
    </row>
    <row r="351" spans="1:1" x14ac:dyDescent="0.3">
      <c r="A351" s="17"/>
    </row>
    <row r="352" spans="1:1" x14ac:dyDescent="0.3">
      <c r="A352" s="17"/>
    </row>
    <row r="353" spans="1:1" x14ac:dyDescent="0.3">
      <c r="A353" s="17"/>
    </row>
    <row r="354" spans="1:1" x14ac:dyDescent="0.3">
      <c r="A354" s="17"/>
    </row>
    <row r="355" spans="1:1" x14ac:dyDescent="0.3">
      <c r="A355" s="17"/>
    </row>
    <row r="356" spans="1:1" x14ac:dyDescent="0.3">
      <c r="A356" s="17"/>
    </row>
    <row r="357" spans="1:1" x14ac:dyDescent="0.3">
      <c r="A357" s="17"/>
    </row>
    <row r="358" spans="1:1" x14ac:dyDescent="0.3">
      <c r="A358" s="17"/>
    </row>
    <row r="359" spans="1:1" x14ac:dyDescent="0.3">
      <c r="A359" s="17"/>
    </row>
    <row r="360" spans="1:1" x14ac:dyDescent="0.3">
      <c r="A360" s="17"/>
    </row>
    <row r="361" spans="1:1" x14ac:dyDescent="0.3">
      <c r="A361" s="17"/>
    </row>
    <row r="362" spans="1:1" x14ac:dyDescent="0.3">
      <c r="A362" s="17"/>
    </row>
    <row r="363" spans="1:1" x14ac:dyDescent="0.3">
      <c r="A363" s="17"/>
    </row>
    <row r="364" spans="1:1" x14ac:dyDescent="0.3">
      <c r="A364" s="17"/>
    </row>
    <row r="365" spans="1:1" x14ac:dyDescent="0.3">
      <c r="A365" s="17"/>
    </row>
    <row r="366" spans="1:1" x14ac:dyDescent="0.3">
      <c r="A366" s="17"/>
    </row>
    <row r="367" spans="1:1" x14ac:dyDescent="0.3">
      <c r="A367" s="17"/>
    </row>
    <row r="368" spans="1:1" x14ac:dyDescent="0.3">
      <c r="A368" s="17"/>
    </row>
    <row r="369" spans="1:1" x14ac:dyDescent="0.3">
      <c r="A369" s="17"/>
    </row>
    <row r="370" spans="1:1" x14ac:dyDescent="0.3">
      <c r="A370" s="17"/>
    </row>
    <row r="371" spans="1:1" x14ac:dyDescent="0.3">
      <c r="A371" s="17"/>
    </row>
    <row r="372" spans="1:1" x14ac:dyDescent="0.3">
      <c r="A372" s="17"/>
    </row>
    <row r="373" spans="1:1" x14ac:dyDescent="0.3">
      <c r="A373" s="17"/>
    </row>
    <row r="374" spans="1:1" x14ac:dyDescent="0.3">
      <c r="A374" s="17"/>
    </row>
    <row r="375" spans="1:1" x14ac:dyDescent="0.3">
      <c r="A375" s="17"/>
    </row>
    <row r="376" spans="1:1" x14ac:dyDescent="0.3">
      <c r="A376" s="17"/>
    </row>
    <row r="377" spans="1:1" x14ac:dyDescent="0.3">
      <c r="A377" s="17"/>
    </row>
    <row r="378" spans="1:1" x14ac:dyDescent="0.3">
      <c r="A378" s="17"/>
    </row>
    <row r="379" spans="1:1" x14ac:dyDescent="0.3">
      <c r="A379" s="17"/>
    </row>
    <row r="380" spans="1:1" x14ac:dyDescent="0.3">
      <c r="A380" s="17"/>
    </row>
    <row r="381" spans="1:1" x14ac:dyDescent="0.3">
      <c r="A381" s="17"/>
    </row>
    <row r="382" spans="1:1" x14ac:dyDescent="0.3">
      <c r="A382" s="17"/>
    </row>
    <row r="383" spans="1:1" x14ac:dyDescent="0.3">
      <c r="A383" s="17"/>
    </row>
    <row r="384" spans="1:1" x14ac:dyDescent="0.3">
      <c r="A384" s="17"/>
    </row>
    <row r="385" spans="1:1" x14ac:dyDescent="0.3">
      <c r="A385" s="17"/>
    </row>
    <row r="386" spans="1:1" x14ac:dyDescent="0.3">
      <c r="A386" s="17"/>
    </row>
    <row r="387" spans="1:1" x14ac:dyDescent="0.3">
      <c r="A387" s="17"/>
    </row>
    <row r="388" spans="1:1" x14ac:dyDescent="0.3">
      <c r="A388" s="17"/>
    </row>
    <row r="389" spans="1:1" x14ac:dyDescent="0.3">
      <c r="A389" s="17"/>
    </row>
    <row r="390" spans="1:1" x14ac:dyDescent="0.3">
      <c r="A390" s="17"/>
    </row>
    <row r="391" spans="1:1" x14ac:dyDescent="0.3">
      <c r="A391" s="17"/>
    </row>
    <row r="392" spans="1:1" x14ac:dyDescent="0.3">
      <c r="A392" s="17"/>
    </row>
    <row r="393" spans="1:1" x14ac:dyDescent="0.3">
      <c r="A393" s="17"/>
    </row>
    <row r="394" spans="1:1" x14ac:dyDescent="0.3">
      <c r="A394" s="17"/>
    </row>
    <row r="395" spans="1:1" x14ac:dyDescent="0.3">
      <c r="A395" s="17"/>
    </row>
    <row r="396" spans="1:1" x14ac:dyDescent="0.3">
      <c r="A396" s="17"/>
    </row>
    <row r="397" spans="1:1" x14ac:dyDescent="0.3">
      <c r="A397" s="17"/>
    </row>
    <row r="398" spans="1:1" x14ac:dyDescent="0.3">
      <c r="A398" s="17"/>
    </row>
    <row r="399" spans="1:1" x14ac:dyDescent="0.3">
      <c r="A399" s="17"/>
    </row>
    <row r="400" spans="1:1" x14ac:dyDescent="0.3">
      <c r="A400" s="17"/>
    </row>
    <row r="401" spans="1:1" x14ac:dyDescent="0.3">
      <c r="A401" s="17"/>
    </row>
    <row r="402" spans="1:1" x14ac:dyDescent="0.3">
      <c r="A402" s="17"/>
    </row>
    <row r="403" spans="1:1" x14ac:dyDescent="0.3">
      <c r="A403" s="17"/>
    </row>
    <row r="404" spans="1:1" x14ac:dyDescent="0.3">
      <c r="A404" s="17"/>
    </row>
    <row r="405" spans="1:1" x14ac:dyDescent="0.3">
      <c r="A405" s="17"/>
    </row>
    <row r="406" spans="1:1" x14ac:dyDescent="0.3">
      <c r="A406" s="17"/>
    </row>
    <row r="407" spans="1:1" x14ac:dyDescent="0.3">
      <c r="A407" s="17"/>
    </row>
    <row r="408" spans="1:1" x14ac:dyDescent="0.3">
      <c r="A408" s="17"/>
    </row>
    <row r="409" spans="1:1" x14ac:dyDescent="0.3">
      <c r="A409" s="17"/>
    </row>
    <row r="410" spans="1:1" x14ac:dyDescent="0.3">
      <c r="A410" s="17"/>
    </row>
    <row r="411" spans="1:1" x14ac:dyDescent="0.3">
      <c r="A411" s="17"/>
    </row>
    <row r="412" spans="1:1" x14ac:dyDescent="0.3">
      <c r="A412" s="17"/>
    </row>
    <row r="413" spans="1:1" x14ac:dyDescent="0.3">
      <c r="A413" s="17"/>
    </row>
    <row r="414" spans="1:1" x14ac:dyDescent="0.3">
      <c r="A414" s="17"/>
    </row>
    <row r="415" spans="1:1" x14ac:dyDescent="0.3">
      <c r="A415" s="17"/>
    </row>
    <row r="416" spans="1:1" x14ac:dyDescent="0.3">
      <c r="A416" s="17"/>
    </row>
    <row r="417" spans="1:1" x14ac:dyDescent="0.3">
      <c r="A417" s="17"/>
    </row>
    <row r="418" spans="1:1" x14ac:dyDescent="0.3">
      <c r="A418" s="17"/>
    </row>
    <row r="419" spans="1:1" x14ac:dyDescent="0.3">
      <c r="A419" s="17"/>
    </row>
    <row r="420" spans="1:1" x14ac:dyDescent="0.3">
      <c r="A420" s="17"/>
    </row>
    <row r="421" spans="1:1" x14ac:dyDescent="0.3">
      <c r="A421" s="17"/>
    </row>
    <row r="422" spans="1:1" x14ac:dyDescent="0.3">
      <c r="A422" s="17"/>
    </row>
    <row r="423" spans="1:1" x14ac:dyDescent="0.3">
      <c r="A423" s="17"/>
    </row>
    <row r="424" spans="1:1" x14ac:dyDescent="0.3">
      <c r="A424" s="17"/>
    </row>
    <row r="425" spans="1:1" x14ac:dyDescent="0.3">
      <c r="A425" s="17"/>
    </row>
    <row r="426" spans="1:1" x14ac:dyDescent="0.3">
      <c r="A426" s="17"/>
    </row>
    <row r="427" spans="1:1" x14ac:dyDescent="0.3">
      <c r="A427" s="17"/>
    </row>
    <row r="428" spans="1:1" x14ac:dyDescent="0.3">
      <c r="A428" s="17"/>
    </row>
    <row r="429" spans="1:1" x14ac:dyDescent="0.3">
      <c r="A429" s="17"/>
    </row>
    <row r="430" spans="1:1" x14ac:dyDescent="0.3">
      <c r="A430" s="17"/>
    </row>
    <row r="431" spans="1:1" x14ac:dyDescent="0.3">
      <c r="A431" s="17"/>
    </row>
    <row r="432" spans="1:1" x14ac:dyDescent="0.3">
      <c r="A432" s="17"/>
    </row>
    <row r="433" spans="1:1" x14ac:dyDescent="0.3">
      <c r="A433" s="17"/>
    </row>
    <row r="434" spans="1:1" x14ac:dyDescent="0.3">
      <c r="A434" s="17"/>
    </row>
    <row r="435" spans="1:1" x14ac:dyDescent="0.3">
      <c r="A435" s="17"/>
    </row>
    <row r="436" spans="1:1" x14ac:dyDescent="0.3">
      <c r="A436" s="17"/>
    </row>
    <row r="437" spans="1:1" x14ac:dyDescent="0.3">
      <c r="A437" s="17"/>
    </row>
    <row r="438" spans="1:1" x14ac:dyDescent="0.3">
      <c r="A438" s="17"/>
    </row>
    <row r="439" spans="1:1" x14ac:dyDescent="0.3">
      <c r="A439" s="17"/>
    </row>
    <row r="440" spans="1:1" x14ac:dyDescent="0.3">
      <c r="A440" s="17"/>
    </row>
    <row r="441" spans="1:1" x14ac:dyDescent="0.3">
      <c r="A441" s="17"/>
    </row>
    <row r="442" spans="1:1" x14ac:dyDescent="0.3">
      <c r="A442" s="17"/>
    </row>
    <row r="443" spans="1:1" x14ac:dyDescent="0.3">
      <c r="A443" s="17"/>
    </row>
    <row r="444" spans="1:1" x14ac:dyDescent="0.3">
      <c r="A444" s="17"/>
    </row>
    <row r="445" spans="1:1" x14ac:dyDescent="0.3">
      <c r="A445" s="17"/>
    </row>
    <row r="446" spans="1:1" x14ac:dyDescent="0.3">
      <c r="A446" s="17"/>
    </row>
    <row r="447" spans="1:1" x14ac:dyDescent="0.3">
      <c r="A447" s="17"/>
    </row>
    <row r="448" spans="1:1" x14ac:dyDescent="0.3">
      <c r="A448" s="17"/>
    </row>
    <row r="449" spans="1:1" x14ac:dyDescent="0.3">
      <c r="A449" s="17"/>
    </row>
    <row r="450" spans="1:1" x14ac:dyDescent="0.3">
      <c r="A450" s="17"/>
    </row>
    <row r="451" spans="1:1" x14ac:dyDescent="0.3">
      <c r="A451" s="1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1801-81A4-4A9A-9CF0-3A7D54AAF2D1}">
  <dimension ref="A1:B62"/>
  <sheetViews>
    <sheetView showGridLines="0" workbookViewId="0">
      <selection activeCell="E6" sqref="E6"/>
    </sheetView>
  </sheetViews>
  <sheetFormatPr defaultRowHeight="14.4" x14ac:dyDescent="0.3"/>
  <cols>
    <col min="1" max="1" width="13.109375" bestFit="1" customWidth="1"/>
    <col min="2" max="2" width="21.44140625" bestFit="1" customWidth="1"/>
  </cols>
  <sheetData>
    <row r="1" spans="1:2" x14ac:dyDescent="0.3">
      <c r="A1" t="s">
        <v>107</v>
      </c>
      <c r="B1" t="s">
        <v>179</v>
      </c>
    </row>
    <row r="2" spans="1:2" x14ac:dyDescent="0.3">
      <c r="A2" t="s">
        <v>112</v>
      </c>
      <c r="B2" t="s">
        <v>113</v>
      </c>
    </row>
    <row r="3" spans="1:2" x14ac:dyDescent="0.3">
      <c r="A3" t="s">
        <v>117</v>
      </c>
      <c r="B3" t="s">
        <v>180</v>
      </c>
    </row>
    <row r="4" spans="1:2" x14ac:dyDescent="0.3">
      <c r="A4" t="s">
        <v>120</v>
      </c>
      <c r="B4" t="s">
        <v>121</v>
      </c>
    </row>
    <row r="5" spans="1:2" x14ac:dyDescent="0.3">
      <c r="A5" s="17">
        <v>46082</v>
      </c>
      <c r="B5">
        <v>2.02</v>
      </c>
    </row>
    <row r="6" spans="1:2" x14ac:dyDescent="0.3">
      <c r="A6" s="17">
        <v>46054</v>
      </c>
      <c r="B6">
        <v>1.01</v>
      </c>
    </row>
    <row r="7" spans="1:2" x14ac:dyDescent="0.3">
      <c r="A7" s="17">
        <v>46023</v>
      </c>
      <c r="B7">
        <v>1.06</v>
      </c>
    </row>
    <row r="8" spans="1:2" x14ac:dyDescent="0.3">
      <c r="A8" s="17">
        <v>45992</v>
      </c>
      <c r="B8">
        <v>0.79</v>
      </c>
    </row>
    <row r="9" spans="1:2" x14ac:dyDescent="0.3">
      <c r="A9" s="17">
        <v>45962</v>
      </c>
      <c r="B9">
        <v>0.21</v>
      </c>
    </row>
    <row r="10" spans="1:2" x14ac:dyDescent="0.3">
      <c r="A10" s="17">
        <v>45931</v>
      </c>
      <c r="B10">
        <v>0.72</v>
      </c>
    </row>
    <row r="11" spans="1:2" x14ac:dyDescent="0.3">
      <c r="A11" s="17">
        <v>45901</v>
      </c>
      <c r="B11">
        <v>0.25</v>
      </c>
    </row>
    <row r="12" spans="1:2" x14ac:dyDescent="0.3">
      <c r="A12" s="17">
        <v>45870</v>
      </c>
      <c r="B12">
        <v>0.54</v>
      </c>
    </row>
    <row r="13" spans="1:2" x14ac:dyDescent="0.3">
      <c r="A13" s="17">
        <v>45839</v>
      </c>
      <c r="B13">
        <v>-0.11</v>
      </c>
    </row>
    <row r="14" spans="1:2" x14ac:dyDescent="0.3">
      <c r="A14" s="17">
        <v>45809</v>
      </c>
      <c r="B14">
        <v>-0.01</v>
      </c>
    </row>
    <row r="15" spans="1:2" x14ac:dyDescent="0.3">
      <c r="A15" s="17">
        <v>45778</v>
      </c>
      <c r="B15">
        <v>0.14000000000000001</v>
      </c>
    </row>
    <row r="16" spans="1:2" x14ac:dyDescent="0.3">
      <c r="A16" s="17">
        <v>45748</v>
      </c>
      <c r="B16">
        <v>-0.3</v>
      </c>
    </row>
    <row r="17" spans="1:2" x14ac:dyDescent="0.3">
      <c r="A17" s="17">
        <v>45717</v>
      </c>
      <c r="B17">
        <v>-0.19</v>
      </c>
    </row>
    <row r="18" spans="1:2" x14ac:dyDescent="0.3">
      <c r="A18" s="17">
        <v>45689</v>
      </c>
      <c r="B18">
        <v>0.05</v>
      </c>
    </row>
    <row r="19" spans="1:2" x14ac:dyDescent="0.3">
      <c r="A19" s="17">
        <v>45658</v>
      </c>
      <c r="B19">
        <v>0.19</v>
      </c>
    </row>
    <row r="20" spans="1:2" x14ac:dyDescent="0.3">
      <c r="A20" s="17">
        <v>45627</v>
      </c>
      <c r="B20">
        <v>-7.0000000000000007E-2</v>
      </c>
    </row>
    <row r="21" spans="1:2" x14ac:dyDescent="0.3">
      <c r="A21" s="17">
        <v>45597</v>
      </c>
      <c r="B21">
        <v>-0.1</v>
      </c>
    </row>
    <row r="22" spans="1:2" x14ac:dyDescent="0.3">
      <c r="A22" s="17">
        <v>45566</v>
      </c>
      <c r="B22">
        <v>0.34</v>
      </c>
    </row>
    <row r="23" spans="1:2" x14ac:dyDescent="0.3">
      <c r="A23" s="17">
        <v>45536</v>
      </c>
      <c r="B23">
        <v>-0.03</v>
      </c>
    </row>
    <row r="24" spans="1:2" x14ac:dyDescent="0.3">
      <c r="A24" s="17">
        <v>45505</v>
      </c>
      <c r="B24">
        <v>-0.03</v>
      </c>
    </row>
    <row r="25" spans="1:2" x14ac:dyDescent="0.3">
      <c r="A25" s="17">
        <v>45474</v>
      </c>
      <c r="B25">
        <v>-0.11</v>
      </c>
    </row>
    <row r="26" spans="1:2" x14ac:dyDescent="0.3">
      <c r="A26" s="17">
        <v>45444</v>
      </c>
      <c r="B26">
        <v>-0.03</v>
      </c>
    </row>
    <row r="27" spans="1:2" x14ac:dyDescent="0.3">
      <c r="A27" s="17">
        <v>45413</v>
      </c>
      <c r="B27">
        <v>0.37</v>
      </c>
    </row>
    <row r="28" spans="1:2" x14ac:dyDescent="0.3">
      <c r="A28" s="17">
        <v>45383</v>
      </c>
      <c r="B28">
        <v>0.11</v>
      </c>
    </row>
    <row r="29" spans="1:2" x14ac:dyDescent="0.3">
      <c r="A29" s="17">
        <v>45352</v>
      </c>
      <c r="B29">
        <v>0.21</v>
      </c>
    </row>
    <row r="30" spans="1:2" x14ac:dyDescent="0.3">
      <c r="A30" s="17">
        <v>45323</v>
      </c>
      <c r="B30">
        <v>0.36</v>
      </c>
    </row>
    <row r="31" spans="1:2" x14ac:dyDescent="0.3">
      <c r="A31" s="17">
        <v>45292</v>
      </c>
      <c r="B31">
        <v>-0.24</v>
      </c>
    </row>
    <row r="32" spans="1:2" x14ac:dyDescent="0.3">
      <c r="A32" s="17">
        <v>45261</v>
      </c>
      <c r="B32">
        <v>1.24</v>
      </c>
    </row>
    <row r="33" spans="1:2" x14ac:dyDescent="0.3">
      <c r="A33" s="17">
        <v>45231</v>
      </c>
      <c r="B33">
        <v>0.61</v>
      </c>
    </row>
    <row r="34" spans="1:2" x14ac:dyDescent="0.3">
      <c r="A34" s="17">
        <v>45200</v>
      </c>
      <c r="B34">
        <v>0.82</v>
      </c>
    </row>
    <row r="35" spans="1:2" x14ac:dyDescent="0.3">
      <c r="A35" s="17">
        <v>45170</v>
      </c>
      <c r="B35">
        <v>0.34</v>
      </c>
    </row>
    <row r="36" spans="1:2" x14ac:dyDescent="0.3">
      <c r="A36" s="17">
        <v>45139</v>
      </c>
      <c r="B36">
        <v>0.62</v>
      </c>
    </row>
    <row r="37" spans="1:2" x14ac:dyDescent="0.3">
      <c r="A37" s="17">
        <v>45108</v>
      </c>
      <c r="B37">
        <v>0.67</v>
      </c>
    </row>
    <row r="38" spans="1:2" x14ac:dyDescent="0.3">
      <c r="A38" s="17">
        <v>45078</v>
      </c>
      <c r="B38">
        <v>0.7</v>
      </c>
    </row>
    <row r="39" spans="1:2" x14ac:dyDescent="0.3">
      <c r="A39" s="17">
        <v>45047</v>
      </c>
      <c r="B39">
        <v>1.06</v>
      </c>
    </row>
    <row r="40" spans="1:2" x14ac:dyDescent="0.3">
      <c r="A40" s="17">
        <v>45017</v>
      </c>
      <c r="B40">
        <v>1.28</v>
      </c>
    </row>
    <row r="41" spans="1:2" x14ac:dyDescent="0.3">
      <c r="A41" s="17">
        <v>44986</v>
      </c>
      <c r="B41">
        <v>2.25</v>
      </c>
    </row>
    <row r="42" spans="1:2" x14ac:dyDescent="0.3">
      <c r="A42" s="17">
        <v>44958</v>
      </c>
      <c r="B42">
        <v>2.91</v>
      </c>
    </row>
    <row r="43" spans="1:2" x14ac:dyDescent="0.3">
      <c r="A43" s="17">
        <v>44927</v>
      </c>
      <c r="B43">
        <v>4.68</v>
      </c>
    </row>
    <row r="44" spans="1:2" x14ac:dyDescent="0.3">
      <c r="A44" s="17">
        <v>44896</v>
      </c>
      <c r="B44">
        <v>2.4</v>
      </c>
    </row>
    <row r="45" spans="1:2" x14ac:dyDescent="0.3">
      <c r="A45" s="17">
        <v>44866</v>
      </c>
      <c r="B45">
        <v>1.54</v>
      </c>
    </row>
    <row r="46" spans="1:2" x14ac:dyDescent="0.3">
      <c r="A46" s="17">
        <v>44835</v>
      </c>
      <c r="B46">
        <v>1.46</v>
      </c>
    </row>
    <row r="47" spans="1:2" x14ac:dyDescent="0.3">
      <c r="A47" s="17">
        <v>44805</v>
      </c>
      <c r="B47">
        <v>2.84</v>
      </c>
    </row>
    <row r="48" spans="1:2" x14ac:dyDescent="0.3">
      <c r="A48" s="17">
        <v>44774</v>
      </c>
      <c r="B48">
        <v>4.29</v>
      </c>
    </row>
    <row r="49" spans="1:2" x14ac:dyDescent="0.3">
      <c r="A49" s="17">
        <v>44743</v>
      </c>
      <c r="B49">
        <v>1.55</v>
      </c>
    </row>
    <row r="50" spans="1:2" x14ac:dyDescent="0.3">
      <c r="A50" s="17">
        <v>44713</v>
      </c>
      <c r="B50">
        <v>1.69</v>
      </c>
    </row>
    <row r="51" spans="1:2" x14ac:dyDescent="0.3">
      <c r="A51" s="17">
        <v>44682</v>
      </c>
      <c r="B51">
        <v>1.59</v>
      </c>
    </row>
    <row r="52" spans="1:2" x14ac:dyDescent="0.3">
      <c r="A52" s="17">
        <v>44652</v>
      </c>
      <c r="B52">
        <v>1.65</v>
      </c>
    </row>
    <row r="53" spans="1:2" x14ac:dyDescent="0.3">
      <c r="A53" s="17">
        <v>44621</v>
      </c>
      <c r="B53">
        <v>1.66</v>
      </c>
    </row>
    <row r="54" spans="1:2" x14ac:dyDescent="0.3">
      <c r="A54" s="17">
        <v>44593</v>
      </c>
      <c r="B54">
        <v>1.18</v>
      </c>
    </row>
    <row r="55" spans="1:2" x14ac:dyDescent="0.3">
      <c r="A55" s="17">
        <v>44562</v>
      </c>
      <c r="B55">
        <v>1.75</v>
      </c>
    </row>
    <row r="56" spans="1:2" x14ac:dyDescent="0.3">
      <c r="A56" s="17">
        <v>44531</v>
      </c>
      <c r="B56">
        <v>1.1399999999999999</v>
      </c>
    </row>
    <row r="57" spans="1:2" x14ac:dyDescent="0.3">
      <c r="A57" s="17">
        <v>44501</v>
      </c>
      <c r="B57">
        <v>0.8</v>
      </c>
    </row>
    <row r="58" spans="1:2" x14ac:dyDescent="0.3">
      <c r="A58" s="17">
        <v>44470</v>
      </c>
      <c r="B58">
        <v>0.24</v>
      </c>
    </row>
    <row r="59" spans="1:2" x14ac:dyDescent="0.3">
      <c r="A59" s="17">
        <v>44440</v>
      </c>
      <c r="B59">
        <v>0.6</v>
      </c>
    </row>
    <row r="60" spans="1:2" x14ac:dyDescent="0.3">
      <c r="A60" s="17">
        <v>44409</v>
      </c>
      <c r="B60">
        <v>0.77</v>
      </c>
    </row>
    <row r="61" spans="1:2" x14ac:dyDescent="0.3">
      <c r="A61" s="17">
        <v>44378</v>
      </c>
      <c r="B61">
        <v>0.38</v>
      </c>
    </row>
    <row r="62" spans="1:2" x14ac:dyDescent="0.3">
      <c r="A62" s="17">
        <v>44348</v>
      </c>
      <c r="B62">
        <v>0.46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A6209-09FD-4B9C-B64F-8FBB04D26182}">
  <dimension ref="A1:U1287"/>
  <sheetViews>
    <sheetView topLeftCell="A13" workbookViewId="0">
      <selection activeCell="N4" sqref="N4:N54"/>
    </sheetView>
  </sheetViews>
  <sheetFormatPr defaultRowHeight="14.4" x14ac:dyDescent="0.3"/>
  <cols>
    <col min="1" max="1" width="13.109375" bestFit="1" customWidth="1"/>
    <col min="2" max="2" width="44.88671875" bestFit="1" customWidth="1"/>
    <col min="8" max="9" width="9.44140625" bestFit="1" customWidth="1"/>
    <col min="13" max="13" width="9.44140625" bestFit="1" customWidth="1"/>
    <col min="14" max="14" width="12.5546875" bestFit="1" customWidth="1"/>
  </cols>
  <sheetData>
    <row r="1" spans="1:14" x14ac:dyDescent="0.3">
      <c r="A1" t="s">
        <v>107</v>
      </c>
      <c r="B1" t="s">
        <v>190</v>
      </c>
    </row>
    <row r="2" spans="1:14" x14ac:dyDescent="0.3">
      <c r="A2" t="s">
        <v>112</v>
      </c>
      <c r="B2" t="s">
        <v>113</v>
      </c>
    </row>
    <row r="3" spans="1:14" x14ac:dyDescent="0.3">
      <c r="A3" t="s">
        <v>117</v>
      </c>
      <c r="B3" t="s">
        <v>191</v>
      </c>
    </row>
    <row r="4" spans="1:14" x14ac:dyDescent="0.3">
      <c r="A4" t="s">
        <v>120</v>
      </c>
      <c r="B4" t="s">
        <v>121</v>
      </c>
      <c r="C4" t="s">
        <v>192</v>
      </c>
      <c r="D4" t="s">
        <v>174</v>
      </c>
      <c r="E4" t="s">
        <v>154</v>
      </c>
      <c r="F4" t="s">
        <v>153</v>
      </c>
      <c r="H4" t="s">
        <v>128</v>
      </c>
      <c r="J4" t="s">
        <v>151</v>
      </c>
      <c r="N4" t="s">
        <v>193</v>
      </c>
    </row>
    <row r="5" spans="1:14" x14ac:dyDescent="0.3">
      <c r="A5" s="17">
        <v>46055</v>
      </c>
      <c r="B5">
        <v>-4.9400000000000004</v>
      </c>
      <c r="C5">
        <f>+DAY(A5)</f>
        <v>2</v>
      </c>
      <c r="D5">
        <v>1</v>
      </c>
      <c r="E5">
        <f>+MONTH(A5)</f>
        <v>2</v>
      </c>
      <c r="F5">
        <f>+YEAR(A5)</f>
        <v>2026</v>
      </c>
      <c r="H5" s="17">
        <f>+DATE(F5,E5,D5)</f>
        <v>46054</v>
      </c>
      <c r="J5">
        <f t="shared" ref="J5" si="0">IF(AND(C5&gt;=1, C5&lt;=4), 1, 0)</f>
        <v>1</v>
      </c>
      <c r="M5" s="17">
        <v>44562</v>
      </c>
      <c r="N5" s="69">
        <f>+AVERAGEIFS($B$5:$B$1287,$H$5:$H$1287,$M5,$J$5:$J$1287,1)</f>
        <v>0.66500000000000004</v>
      </c>
    </row>
    <row r="6" spans="1:14" x14ac:dyDescent="0.3">
      <c r="A6" s="17">
        <v>46052</v>
      </c>
      <c r="B6">
        <v>-4.9800000000000004</v>
      </c>
      <c r="C6">
        <f>+DAY(A6)</f>
        <v>30</v>
      </c>
      <c r="D6">
        <v>1</v>
      </c>
      <c r="E6">
        <f>+MONTH(A6)</f>
        <v>1</v>
      </c>
      <c r="F6">
        <f>+YEAR(A6)</f>
        <v>2026</v>
      </c>
      <c r="H6" s="17">
        <f>+DATE(F6,E6,D6)</f>
        <v>46023</v>
      </c>
      <c r="J6">
        <f t="shared" ref="J6" si="1">IF(AND(C6&gt;=1, C6&lt;=4), 1, 0)</f>
        <v>0</v>
      </c>
      <c r="M6" s="17">
        <v>44593</v>
      </c>
      <c r="N6" s="69">
        <f t="shared" ref="N6:N54" si="2">+AVERAGEIFS($B$5:$B$1287,$H$5:$H$1287,$M6,$J$5:$J$1287,1)</f>
        <v>1.085</v>
      </c>
    </row>
    <row r="7" spans="1:14" x14ac:dyDescent="0.3">
      <c r="A7" s="17">
        <v>46051</v>
      </c>
      <c r="B7">
        <v>-4.6900000000000004</v>
      </c>
      <c r="C7">
        <f>+DAY(A7)</f>
        <v>29</v>
      </c>
      <c r="D7">
        <v>1</v>
      </c>
      <c r="E7">
        <f>+MONTH(A7)</f>
        <v>1</v>
      </c>
      <c r="F7">
        <f>+YEAR(A7)</f>
        <v>2026</v>
      </c>
      <c r="H7" s="17">
        <f>+DATE(F7,E7,D7)</f>
        <v>46023</v>
      </c>
      <c r="J7">
        <f t="shared" ref="J7" si="3">IF(AND(C7&gt;=1, C7&lt;=4), 1, 0)</f>
        <v>0</v>
      </c>
      <c r="M7" s="17">
        <v>44621</v>
      </c>
      <c r="N7" s="69">
        <f t="shared" si="2"/>
        <v>7.2324999999999999</v>
      </c>
    </row>
    <row r="8" spans="1:14" x14ac:dyDescent="0.3">
      <c r="A8" s="17">
        <v>46050</v>
      </c>
      <c r="B8">
        <v>-4.46</v>
      </c>
      <c r="C8">
        <f>+DAY(A8)</f>
        <v>28</v>
      </c>
      <c r="D8">
        <v>1</v>
      </c>
      <c r="E8">
        <f>+MONTH(A8)</f>
        <v>1</v>
      </c>
      <c r="F8">
        <f>+YEAR(A8)</f>
        <v>2026</v>
      </c>
      <c r="H8" s="17">
        <f>+DATE(F8,E8,D8)</f>
        <v>46023</v>
      </c>
      <c r="J8">
        <f t="shared" ref="J8" si="4">IF(AND(C8&gt;=1, C8&lt;=4), 1, 0)</f>
        <v>0</v>
      </c>
      <c r="M8" s="17">
        <v>44652</v>
      </c>
      <c r="N8" s="69">
        <f t="shared" si="2"/>
        <v>-3.2800000000000002</v>
      </c>
    </row>
    <row r="9" spans="1:14" x14ac:dyDescent="0.3">
      <c r="A9" s="17">
        <v>46049</v>
      </c>
      <c r="B9">
        <v>-4.34</v>
      </c>
      <c r="C9">
        <f>+DAY(A9)</f>
        <v>27</v>
      </c>
      <c r="D9">
        <v>1</v>
      </c>
      <c r="E9">
        <f>+MONTH(A9)</f>
        <v>1</v>
      </c>
      <c r="F9">
        <f>+YEAR(A9)</f>
        <v>2026</v>
      </c>
      <c r="H9" s="17">
        <f>+DATE(F9,E9,D9)</f>
        <v>46023</v>
      </c>
      <c r="J9">
        <f t="shared" ref="J9:J72" si="5">IF(AND(C9&gt;=1, C9&lt;=4), 1, 0)</f>
        <v>0</v>
      </c>
      <c r="M9" s="17">
        <v>44682</v>
      </c>
      <c r="N9" s="69">
        <f t="shared" si="2"/>
        <v>-6.18</v>
      </c>
    </row>
    <row r="10" spans="1:14" x14ac:dyDescent="0.3">
      <c r="A10" s="17">
        <v>46048</v>
      </c>
      <c r="B10">
        <v>-4.5199999999999996</v>
      </c>
      <c r="C10">
        <f t="shared" ref="C10:C73" si="6">+DAY(A10)</f>
        <v>26</v>
      </c>
      <c r="D10">
        <v>1</v>
      </c>
      <c r="E10">
        <f t="shared" ref="E10:E73" si="7">+MONTH(A10)</f>
        <v>1</v>
      </c>
      <c r="F10">
        <f t="shared" ref="F10:F73" si="8">+YEAR(A10)</f>
        <v>2026</v>
      </c>
      <c r="H10" s="17">
        <f t="shared" ref="H10:H73" si="9">+DATE(F10,E10,D10)</f>
        <v>46023</v>
      </c>
      <c r="J10">
        <f t="shared" si="5"/>
        <v>0</v>
      </c>
      <c r="M10" s="17">
        <v>44713</v>
      </c>
      <c r="N10" s="69">
        <f t="shared" si="2"/>
        <v>-14.99</v>
      </c>
    </row>
    <row r="11" spans="1:14" x14ac:dyDescent="0.3">
      <c r="A11" s="17">
        <v>46045</v>
      </c>
      <c r="B11">
        <v>-4.3899999999999997</v>
      </c>
      <c r="C11">
        <f t="shared" si="6"/>
        <v>23</v>
      </c>
      <c r="D11">
        <v>1</v>
      </c>
      <c r="E11">
        <f t="shared" si="7"/>
        <v>1</v>
      </c>
      <c r="F11">
        <f t="shared" si="8"/>
        <v>2026</v>
      </c>
      <c r="H11" s="17">
        <f t="shared" si="9"/>
        <v>46023</v>
      </c>
      <c r="J11">
        <f t="shared" si="5"/>
        <v>0</v>
      </c>
      <c r="M11" s="17">
        <v>44743</v>
      </c>
      <c r="N11" s="69">
        <f t="shared" si="2"/>
        <v>-10.955</v>
      </c>
    </row>
    <row r="12" spans="1:14" x14ac:dyDescent="0.3">
      <c r="A12" s="17">
        <v>46044</v>
      </c>
      <c r="B12">
        <v>-4.96</v>
      </c>
      <c r="C12">
        <f t="shared" si="6"/>
        <v>22</v>
      </c>
      <c r="D12">
        <v>1</v>
      </c>
      <c r="E12">
        <f t="shared" si="7"/>
        <v>1</v>
      </c>
      <c r="F12">
        <f t="shared" si="8"/>
        <v>2026</v>
      </c>
      <c r="H12" s="17">
        <f t="shared" si="9"/>
        <v>46023</v>
      </c>
      <c r="J12">
        <f t="shared" si="5"/>
        <v>0</v>
      </c>
      <c r="M12" s="17">
        <v>44774</v>
      </c>
      <c r="N12" s="69">
        <f t="shared" si="2"/>
        <v>-14.9625</v>
      </c>
    </row>
    <row r="13" spans="1:14" x14ac:dyDescent="0.3">
      <c r="A13" s="17">
        <v>46043</v>
      </c>
      <c r="B13">
        <v>-4.96</v>
      </c>
      <c r="C13">
        <f t="shared" si="6"/>
        <v>21</v>
      </c>
      <c r="D13">
        <v>1</v>
      </c>
      <c r="E13">
        <f t="shared" si="7"/>
        <v>1</v>
      </c>
      <c r="F13">
        <f t="shared" si="8"/>
        <v>2026</v>
      </c>
      <c r="H13" s="17">
        <f t="shared" si="9"/>
        <v>46023</v>
      </c>
      <c r="J13">
        <f t="shared" si="5"/>
        <v>0</v>
      </c>
      <c r="M13" s="17">
        <v>44805</v>
      </c>
      <c r="N13" s="69">
        <f t="shared" si="2"/>
        <v>-20.9</v>
      </c>
    </row>
    <row r="14" spans="1:14" x14ac:dyDescent="0.3">
      <c r="A14" s="17">
        <v>46042</v>
      </c>
      <c r="B14">
        <v>-5.19</v>
      </c>
      <c r="C14">
        <f t="shared" si="6"/>
        <v>20</v>
      </c>
      <c r="D14">
        <v>1</v>
      </c>
      <c r="E14">
        <f t="shared" si="7"/>
        <v>1</v>
      </c>
      <c r="F14">
        <f t="shared" si="8"/>
        <v>2026</v>
      </c>
      <c r="H14" s="17">
        <f t="shared" si="9"/>
        <v>46023</v>
      </c>
      <c r="J14">
        <f t="shared" si="5"/>
        <v>0</v>
      </c>
      <c r="M14" s="17">
        <v>44835</v>
      </c>
      <c r="N14" s="69">
        <f t="shared" si="2"/>
        <v>-13.574999999999999</v>
      </c>
    </row>
    <row r="15" spans="1:14" x14ac:dyDescent="0.3">
      <c r="A15" s="17">
        <v>46041</v>
      </c>
      <c r="B15">
        <v>-5.43</v>
      </c>
      <c r="C15">
        <f t="shared" si="6"/>
        <v>19</v>
      </c>
      <c r="D15">
        <v>1</v>
      </c>
      <c r="E15">
        <f t="shared" si="7"/>
        <v>1</v>
      </c>
      <c r="F15">
        <f t="shared" si="8"/>
        <v>2026</v>
      </c>
      <c r="H15" s="17">
        <f t="shared" si="9"/>
        <v>46023</v>
      </c>
      <c r="J15">
        <f t="shared" si="5"/>
        <v>0</v>
      </c>
      <c r="M15" s="17">
        <v>44866</v>
      </c>
      <c r="N15" s="69">
        <f t="shared" si="2"/>
        <v>-15.112500000000001</v>
      </c>
    </row>
    <row r="16" spans="1:14" x14ac:dyDescent="0.3">
      <c r="A16" s="17">
        <v>46038</v>
      </c>
      <c r="B16">
        <v>-5.68</v>
      </c>
      <c r="C16">
        <f t="shared" si="6"/>
        <v>16</v>
      </c>
      <c r="D16">
        <v>1</v>
      </c>
      <c r="E16">
        <f t="shared" si="7"/>
        <v>1</v>
      </c>
      <c r="F16">
        <f t="shared" si="8"/>
        <v>2026</v>
      </c>
      <c r="H16" s="17">
        <f t="shared" si="9"/>
        <v>46023</v>
      </c>
      <c r="J16">
        <f t="shared" si="5"/>
        <v>0</v>
      </c>
      <c r="M16" s="17">
        <v>44896</v>
      </c>
      <c r="N16" s="69">
        <f t="shared" si="2"/>
        <v>-12.11</v>
      </c>
    </row>
    <row r="17" spans="1:14" x14ac:dyDescent="0.3">
      <c r="A17" s="17">
        <v>46037</v>
      </c>
      <c r="B17">
        <v>-5.86</v>
      </c>
      <c r="C17">
        <f t="shared" si="6"/>
        <v>15</v>
      </c>
      <c r="D17">
        <v>1</v>
      </c>
      <c r="E17">
        <f t="shared" si="7"/>
        <v>1</v>
      </c>
      <c r="F17">
        <f t="shared" si="8"/>
        <v>2026</v>
      </c>
      <c r="H17" s="17">
        <f t="shared" si="9"/>
        <v>46023</v>
      </c>
      <c r="J17">
        <f t="shared" si="5"/>
        <v>0</v>
      </c>
      <c r="M17" s="17">
        <v>44927</v>
      </c>
      <c r="N17" s="69">
        <f t="shared" si="2"/>
        <v>-12.02</v>
      </c>
    </row>
    <row r="18" spans="1:14" x14ac:dyDescent="0.3">
      <c r="A18" s="17">
        <v>46036</v>
      </c>
      <c r="B18">
        <v>-5.41</v>
      </c>
      <c r="C18">
        <f t="shared" si="6"/>
        <v>14</v>
      </c>
      <c r="D18">
        <v>1</v>
      </c>
      <c r="E18">
        <f t="shared" si="7"/>
        <v>1</v>
      </c>
      <c r="F18">
        <f t="shared" si="8"/>
        <v>2026</v>
      </c>
      <c r="H18" s="17">
        <f t="shared" si="9"/>
        <v>46023</v>
      </c>
      <c r="J18">
        <f t="shared" si="5"/>
        <v>0</v>
      </c>
      <c r="M18" s="17">
        <v>44958</v>
      </c>
      <c r="N18" s="69">
        <f t="shared" si="2"/>
        <v>-8.6233333333333331</v>
      </c>
    </row>
    <row r="19" spans="1:14" x14ac:dyDescent="0.3">
      <c r="A19" s="17">
        <v>46035</v>
      </c>
      <c r="B19">
        <v>-4.88</v>
      </c>
      <c r="C19">
        <f t="shared" si="6"/>
        <v>13</v>
      </c>
      <c r="D19">
        <v>1</v>
      </c>
      <c r="E19">
        <f t="shared" si="7"/>
        <v>1</v>
      </c>
      <c r="F19">
        <f t="shared" si="8"/>
        <v>2026</v>
      </c>
      <c r="H19" s="17">
        <f t="shared" si="9"/>
        <v>46023</v>
      </c>
      <c r="J19">
        <f t="shared" si="5"/>
        <v>0</v>
      </c>
      <c r="M19" s="17">
        <v>44986</v>
      </c>
      <c r="N19" s="69">
        <f t="shared" si="2"/>
        <v>-6.083333333333333</v>
      </c>
    </row>
    <row r="20" spans="1:14" x14ac:dyDescent="0.3">
      <c r="A20" s="17">
        <v>46034</v>
      </c>
      <c r="B20">
        <v>-4.83</v>
      </c>
      <c r="C20">
        <f t="shared" si="6"/>
        <v>12</v>
      </c>
      <c r="D20">
        <v>1</v>
      </c>
      <c r="E20">
        <f t="shared" si="7"/>
        <v>1</v>
      </c>
      <c r="F20">
        <f t="shared" si="8"/>
        <v>2026</v>
      </c>
      <c r="H20" s="17">
        <f t="shared" si="9"/>
        <v>46023</v>
      </c>
      <c r="J20">
        <f t="shared" si="5"/>
        <v>0</v>
      </c>
      <c r="M20" s="17">
        <v>45017</v>
      </c>
      <c r="N20" s="69">
        <f t="shared" si="2"/>
        <v>-11.664999999999999</v>
      </c>
    </row>
    <row r="21" spans="1:14" x14ac:dyDescent="0.3">
      <c r="A21" s="17">
        <v>46031</v>
      </c>
      <c r="B21">
        <v>-5</v>
      </c>
      <c r="C21">
        <f t="shared" si="6"/>
        <v>9</v>
      </c>
      <c r="D21">
        <v>1</v>
      </c>
      <c r="E21">
        <f t="shared" si="7"/>
        <v>1</v>
      </c>
      <c r="F21">
        <f t="shared" si="8"/>
        <v>2026</v>
      </c>
      <c r="H21" s="17">
        <f t="shared" si="9"/>
        <v>46023</v>
      </c>
      <c r="J21">
        <f t="shared" si="5"/>
        <v>0</v>
      </c>
      <c r="M21" s="17">
        <v>45047</v>
      </c>
      <c r="N21" s="69">
        <f t="shared" si="2"/>
        <v>-11.19</v>
      </c>
    </row>
    <row r="22" spans="1:14" x14ac:dyDescent="0.3">
      <c r="A22" s="17">
        <v>46030</v>
      </c>
      <c r="B22">
        <v>-4.01</v>
      </c>
      <c r="C22">
        <f t="shared" si="6"/>
        <v>8</v>
      </c>
      <c r="D22">
        <v>1</v>
      </c>
      <c r="E22">
        <f t="shared" si="7"/>
        <v>1</v>
      </c>
      <c r="F22">
        <f t="shared" si="8"/>
        <v>2026</v>
      </c>
      <c r="H22" s="17">
        <f t="shared" si="9"/>
        <v>46023</v>
      </c>
      <c r="J22">
        <f t="shared" si="5"/>
        <v>0</v>
      </c>
      <c r="M22" s="17">
        <v>45078</v>
      </c>
      <c r="N22" s="69">
        <f t="shared" si="2"/>
        <v>-11.94</v>
      </c>
    </row>
    <row r="23" spans="1:14" x14ac:dyDescent="0.3">
      <c r="A23" s="17">
        <v>46029</v>
      </c>
      <c r="B23">
        <v>-4.7699999999999996</v>
      </c>
      <c r="C23">
        <f t="shared" si="6"/>
        <v>7</v>
      </c>
      <c r="D23">
        <v>1</v>
      </c>
      <c r="E23">
        <f t="shared" si="7"/>
        <v>1</v>
      </c>
      <c r="F23">
        <f t="shared" si="8"/>
        <v>2026</v>
      </c>
      <c r="H23" s="17">
        <f t="shared" si="9"/>
        <v>46023</v>
      </c>
      <c r="J23">
        <f t="shared" si="5"/>
        <v>0</v>
      </c>
      <c r="M23" s="17">
        <v>45108</v>
      </c>
      <c r="N23" s="69">
        <f t="shared" si="2"/>
        <v>-16.244999999999997</v>
      </c>
    </row>
    <row r="24" spans="1:14" x14ac:dyDescent="0.3">
      <c r="A24" s="17">
        <v>46028</v>
      </c>
      <c r="B24">
        <v>-5.19</v>
      </c>
      <c r="C24">
        <f t="shared" si="6"/>
        <v>6</v>
      </c>
      <c r="D24">
        <v>1</v>
      </c>
      <c r="E24">
        <f t="shared" si="7"/>
        <v>1</v>
      </c>
      <c r="F24">
        <f t="shared" si="8"/>
        <v>2026</v>
      </c>
      <c r="H24" s="17">
        <f t="shared" si="9"/>
        <v>46023</v>
      </c>
      <c r="J24">
        <f t="shared" si="5"/>
        <v>0</v>
      </c>
      <c r="M24" s="17">
        <v>45139</v>
      </c>
      <c r="N24" s="69">
        <f t="shared" si="2"/>
        <v>-15.527500000000002</v>
      </c>
    </row>
    <row r="25" spans="1:14" x14ac:dyDescent="0.3">
      <c r="A25" s="17">
        <v>46027</v>
      </c>
      <c r="B25">
        <v>-5.28</v>
      </c>
      <c r="C25">
        <f t="shared" si="6"/>
        <v>5</v>
      </c>
      <c r="D25">
        <v>1</v>
      </c>
      <c r="E25">
        <f t="shared" si="7"/>
        <v>1</v>
      </c>
      <c r="F25">
        <f t="shared" si="8"/>
        <v>2026</v>
      </c>
      <c r="H25" s="17">
        <f t="shared" si="9"/>
        <v>46023</v>
      </c>
      <c r="J25">
        <f t="shared" si="5"/>
        <v>0</v>
      </c>
      <c r="M25" s="17">
        <v>45170</v>
      </c>
      <c r="N25" s="69">
        <f t="shared" si="2"/>
        <v>-16.79</v>
      </c>
    </row>
    <row r="26" spans="1:14" x14ac:dyDescent="0.3">
      <c r="A26" s="17">
        <v>46024</v>
      </c>
      <c r="B26">
        <v>-6.36</v>
      </c>
      <c r="C26">
        <f t="shared" si="6"/>
        <v>2</v>
      </c>
      <c r="D26">
        <v>1</v>
      </c>
      <c r="E26">
        <f t="shared" si="7"/>
        <v>1</v>
      </c>
      <c r="F26">
        <f t="shared" si="8"/>
        <v>2026</v>
      </c>
      <c r="H26" s="17">
        <f t="shared" si="9"/>
        <v>46023</v>
      </c>
      <c r="J26">
        <f t="shared" si="5"/>
        <v>1</v>
      </c>
      <c r="M26" s="17">
        <v>45200</v>
      </c>
      <c r="N26" s="69">
        <f t="shared" si="2"/>
        <v>-15.530000000000001</v>
      </c>
    </row>
    <row r="27" spans="1:14" x14ac:dyDescent="0.3">
      <c r="A27" s="17">
        <v>46023</v>
      </c>
      <c r="C27">
        <f t="shared" si="6"/>
        <v>1</v>
      </c>
      <c r="D27">
        <v>1</v>
      </c>
      <c r="E27">
        <f t="shared" si="7"/>
        <v>1</v>
      </c>
      <c r="F27">
        <f t="shared" si="8"/>
        <v>2026</v>
      </c>
      <c r="H27" s="17">
        <f t="shared" si="9"/>
        <v>46023</v>
      </c>
      <c r="J27">
        <f t="shared" si="5"/>
        <v>1</v>
      </c>
      <c r="M27" s="17">
        <v>45231</v>
      </c>
      <c r="N27" s="69">
        <f t="shared" si="2"/>
        <v>-15.893333333333333</v>
      </c>
    </row>
    <row r="28" spans="1:14" x14ac:dyDescent="0.3">
      <c r="A28" s="17">
        <v>46022</v>
      </c>
      <c r="B28">
        <v>-5.04</v>
      </c>
      <c r="C28">
        <f t="shared" si="6"/>
        <v>31</v>
      </c>
      <c r="D28">
        <v>1</v>
      </c>
      <c r="E28">
        <f t="shared" si="7"/>
        <v>12</v>
      </c>
      <c r="F28">
        <f t="shared" si="8"/>
        <v>2025</v>
      </c>
      <c r="H28" s="17">
        <f t="shared" si="9"/>
        <v>45992</v>
      </c>
      <c r="J28">
        <f t="shared" si="5"/>
        <v>0</v>
      </c>
      <c r="M28" s="17">
        <v>45261</v>
      </c>
      <c r="N28" s="69">
        <f t="shared" si="2"/>
        <v>-10.625</v>
      </c>
    </row>
    <row r="29" spans="1:14" x14ac:dyDescent="0.3">
      <c r="A29" s="17">
        <v>46021</v>
      </c>
      <c r="B29">
        <v>-4.75</v>
      </c>
      <c r="C29">
        <f t="shared" si="6"/>
        <v>30</v>
      </c>
      <c r="D29">
        <v>1</v>
      </c>
      <c r="E29">
        <f t="shared" si="7"/>
        <v>12</v>
      </c>
      <c r="F29">
        <f t="shared" si="8"/>
        <v>2025</v>
      </c>
      <c r="H29" s="17">
        <f t="shared" si="9"/>
        <v>45992</v>
      </c>
      <c r="J29">
        <f t="shared" si="5"/>
        <v>0</v>
      </c>
      <c r="M29" s="17">
        <v>45292</v>
      </c>
      <c r="N29" s="69">
        <f t="shared" si="2"/>
        <v>-10.316666666666665</v>
      </c>
    </row>
    <row r="30" spans="1:14" x14ac:dyDescent="0.3">
      <c r="A30" s="17">
        <v>46020</v>
      </c>
      <c r="B30">
        <v>-4.6900000000000004</v>
      </c>
      <c r="C30">
        <f t="shared" si="6"/>
        <v>29</v>
      </c>
      <c r="D30">
        <v>1</v>
      </c>
      <c r="E30">
        <f t="shared" si="7"/>
        <v>12</v>
      </c>
      <c r="F30">
        <f t="shared" si="8"/>
        <v>2025</v>
      </c>
      <c r="H30" s="17">
        <f t="shared" si="9"/>
        <v>45992</v>
      </c>
      <c r="J30">
        <f t="shared" si="5"/>
        <v>0</v>
      </c>
      <c r="M30" s="17">
        <v>45323</v>
      </c>
      <c r="N30" s="69">
        <f t="shared" si="2"/>
        <v>-12.824999999999999</v>
      </c>
    </row>
    <row r="31" spans="1:14" x14ac:dyDescent="0.3">
      <c r="A31" s="17">
        <v>46017</v>
      </c>
      <c r="B31">
        <v>-4.88</v>
      </c>
      <c r="C31">
        <f t="shared" si="6"/>
        <v>26</v>
      </c>
      <c r="D31">
        <v>1</v>
      </c>
      <c r="E31">
        <f t="shared" si="7"/>
        <v>12</v>
      </c>
      <c r="F31">
        <f t="shared" si="8"/>
        <v>2025</v>
      </c>
      <c r="H31" s="17">
        <f t="shared" si="9"/>
        <v>45992</v>
      </c>
      <c r="J31">
        <f t="shared" si="5"/>
        <v>0</v>
      </c>
      <c r="M31" s="17">
        <v>45352</v>
      </c>
      <c r="N31" s="69">
        <f t="shared" si="2"/>
        <v>-10.58</v>
      </c>
    </row>
    <row r="32" spans="1:14" x14ac:dyDescent="0.3">
      <c r="A32" s="17">
        <v>46015</v>
      </c>
      <c r="B32">
        <v>-4.99</v>
      </c>
      <c r="C32">
        <f t="shared" si="6"/>
        <v>24</v>
      </c>
      <c r="D32">
        <v>1</v>
      </c>
      <c r="E32">
        <f t="shared" si="7"/>
        <v>12</v>
      </c>
      <c r="F32">
        <f t="shared" si="8"/>
        <v>2025</v>
      </c>
      <c r="H32" s="17">
        <f t="shared" si="9"/>
        <v>45992</v>
      </c>
      <c r="J32">
        <f t="shared" si="5"/>
        <v>0</v>
      </c>
      <c r="M32" s="17">
        <v>45383</v>
      </c>
      <c r="N32" s="69">
        <f t="shared" si="2"/>
        <v>-13.7525</v>
      </c>
    </row>
    <row r="33" spans="1:21" x14ac:dyDescent="0.3">
      <c r="A33" s="17">
        <v>46014</v>
      </c>
      <c r="B33">
        <v>-4.82</v>
      </c>
      <c r="C33">
        <f t="shared" si="6"/>
        <v>23</v>
      </c>
      <c r="D33">
        <v>1</v>
      </c>
      <c r="E33">
        <f t="shared" si="7"/>
        <v>12</v>
      </c>
      <c r="F33">
        <f t="shared" si="8"/>
        <v>2025</v>
      </c>
      <c r="H33" s="17">
        <f t="shared" si="9"/>
        <v>45992</v>
      </c>
      <c r="J33">
        <f t="shared" si="5"/>
        <v>0</v>
      </c>
      <c r="M33" s="17">
        <v>45413</v>
      </c>
      <c r="N33" s="69">
        <f t="shared" si="2"/>
        <v>-13.31</v>
      </c>
    </row>
    <row r="34" spans="1:21" x14ac:dyDescent="0.3">
      <c r="A34" s="17">
        <v>46013</v>
      </c>
      <c r="B34">
        <v>-4.37</v>
      </c>
      <c r="C34">
        <f t="shared" si="6"/>
        <v>22</v>
      </c>
      <c r="D34">
        <v>1</v>
      </c>
      <c r="E34">
        <f t="shared" si="7"/>
        <v>12</v>
      </c>
      <c r="F34">
        <f t="shared" si="8"/>
        <v>2025</v>
      </c>
      <c r="H34" s="17">
        <f t="shared" si="9"/>
        <v>45992</v>
      </c>
      <c r="J34">
        <f t="shared" si="5"/>
        <v>0</v>
      </c>
      <c r="M34" s="17">
        <v>45444</v>
      </c>
      <c r="N34" s="69">
        <f t="shared" si="2"/>
        <v>-11.91</v>
      </c>
    </row>
    <row r="35" spans="1:21" x14ac:dyDescent="0.3">
      <c r="A35" s="17">
        <v>46010</v>
      </c>
      <c r="B35">
        <v>-4.17</v>
      </c>
      <c r="C35">
        <f t="shared" si="6"/>
        <v>19</v>
      </c>
      <c r="D35">
        <v>1</v>
      </c>
      <c r="E35">
        <f t="shared" si="7"/>
        <v>12</v>
      </c>
      <c r="F35">
        <f t="shared" si="8"/>
        <v>2025</v>
      </c>
      <c r="H35" s="17">
        <f t="shared" si="9"/>
        <v>45992</v>
      </c>
      <c r="J35">
        <f t="shared" si="5"/>
        <v>0</v>
      </c>
      <c r="M35" s="17">
        <v>45474</v>
      </c>
      <c r="N35" s="69">
        <f t="shared" si="2"/>
        <v>-11.1225</v>
      </c>
    </row>
    <row r="36" spans="1:21" x14ac:dyDescent="0.3">
      <c r="A36" s="17">
        <v>46009</v>
      </c>
      <c r="B36">
        <v>-4.07</v>
      </c>
      <c r="C36">
        <f t="shared" si="6"/>
        <v>18</v>
      </c>
      <c r="D36">
        <v>1</v>
      </c>
      <c r="E36">
        <f t="shared" si="7"/>
        <v>12</v>
      </c>
      <c r="F36">
        <f t="shared" si="8"/>
        <v>2025</v>
      </c>
      <c r="H36" s="17">
        <f t="shared" si="9"/>
        <v>45992</v>
      </c>
      <c r="J36">
        <f t="shared" si="5"/>
        <v>0</v>
      </c>
      <c r="M36" s="17">
        <v>45505</v>
      </c>
      <c r="N36" s="69">
        <f t="shared" si="2"/>
        <v>-7.4</v>
      </c>
    </row>
    <row r="37" spans="1:21" x14ac:dyDescent="0.3">
      <c r="A37" s="17">
        <v>46008</v>
      </c>
      <c r="B37">
        <v>-3.83</v>
      </c>
      <c r="C37">
        <f t="shared" si="6"/>
        <v>17</v>
      </c>
      <c r="D37">
        <v>1</v>
      </c>
      <c r="E37">
        <f t="shared" si="7"/>
        <v>12</v>
      </c>
      <c r="F37">
        <f t="shared" si="8"/>
        <v>2025</v>
      </c>
      <c r="H37" s="17">
        <f t="shared" si="9"/>
        <v>45992</v>
      </c>
      <c r="J37">
        <f t="shared" si="5"/>
        <v>0</v>
      </c>
      <c r="M37" s="17">
        <v>45536</v>
      </c>
      <c r="N37" s="69">
        <f t="shared" si="2"/>
        <v>-4.13</v>
      </c>
    </row>
    <row r="38" spans="1:21" x14ac:dyDescent="0.3">
      <c r="A38" s="17">
        <v>46007</v>
      </c>
      <c r="B38">
        <v>-3.95</v>
      </c>
      <c r="C38">
        <f t="shared" si="6"/>
        <v>16</v>
      </c>
      <c r="D38">
        <v>1</v>
      </c>
      <c r="E38">
        <f t="shared" si="7"/>
        <v>12</v>
      </c>
      <c r="F38">
        <f t="shared" si="8"/>
        <v>2025</v>
      </c>
      <c r="H38" s="17">
        <f t="shared" si="9"/>
        <v>45992</v>
      </c>
      <c r="J38">
        <f t="shared" si="5"/>
        <v>0</v>
      </c>
      <c r="M38" s="17">
        <v>45566</v>
      </c>
      <c r="N38" s="69">
        <f t="shared" si="2"/>
        <v>-2.4874999999999998</v>
      </c>
    </row>
    <row r="39" spans="1:21" x14ac:dyDescent="0.3">
      <c r="A39" s="17">
        <v>46006</v>
      </c>
      <c r="B39">
        <v>-4.54</v>
      </c>
      <c r="C39">
        <f t="shared" si="6"/>
        <v>15</v>
      </c>
      <c r="D39">
        <v>1</v>
      </c>
      <c r="E39">
        <f t="shared" si="7"/>
        <v>12</v>
      </c>
      <c r="F39">
        <f t="shared" si="8"/>
        <v>2025</v>
      </c>
      <c r="H39" s="17">
        <f t="shared" si="9"/>
        <v>45992</v>
      </c>
      <c r="J39">
        <f t="shared" si="5"/>
        <v>0</v>
      </c>
      <c r="M39" s="17">
        <v>45597</v>
      </c>
      <c r="N39" s="69">
        <f t="shared" si="2"/>
        <v>-2.41</v>
      </c>
    </row>
    <row r="40" spans="1:21" x14ac:dyDescent="0.3">
      <c r="A40" s="17">
        <v>46003</v>
      </c>
      <c r="B40">
        <v>-4.8499999999999996</v>
      </c>
      <c r="C40">
        <f t="shared" si="6"/>
        <v>12</v>
      </c>
      <c r="D40">
        <v>1</v>
      </c>
      <c r="E40">
        <f t="shared" si="7"/>
        <v>12</v>
      </c>
      <c r="F40">
        <f t="shared" si="8"/>
        <v>2025</v>
      </c>
      <c r="H40" s="17">
        <f t="shared" si="9"/>
        <v>45992</v>
      </c>
      <c r="J40">
        <f t="shared" si="5"/>
        <v>0</v>
      </c>
      <c r="M40" s="17">
        <v>45627</v>
      </c>
      <c r="N40" s="69">
        <f t="shared" si="2"/>
        <v>-4.8133333333333335</v>
      </c>
    </row>
    <row r="41" spans="1:21" x14ac:dyDescent="0.3">
      <c r="A41" s="17">
        <v>46002</v>
      </c>
      <c r="B41">
        <v>-4.22</v>
      </c>
      <c r="C41">
        <f t="shared" si="6"/>
        <v>11</v>
      </c>
      <c r="D41">
        <v>1</v>
      </c>
      <c r="E41">
        <f t="shared" si="7"/>
        <v>12</v>
      </c>
      <c r="F41">
        <f t="shared" si="8"/>
        <v>2025</v>
      </c>
      <c r="H41" s="17">
        <f t="shared" si="9"/>
        <v>45992</v>
      </c>
      <c r="J41">
        <f t="shared" si="5"/>
        <v>0</v>
      </c>
      <c r="M41" s="17">
        <v>45658</v>
      </c>
      <c r="N41" s="69">
        <f t="shared" si="2"/>
        <v>-4.5250000000000004</v>
      </c>
    </row>
    <row r="42" spans="1:21" x14ac:dyDescent="0.3">
      <c r="A42" s="17">
        <v>46001</v>
      </c>
      <c r="B42">
        <v>-4.1100000000000003</v>
      </c>
      <c r="C42">
        <f t="shared" si="6"/>
        <v>10</v>
      </c>
      <c r="D42">
        <v>1</v>
      </c>
      <c r="E42">
        <f t="shared" si="7"/>
        <v>12</v>
      </c>
      <c r="F42">
        <f t="shared" si="8"/>
        <v>2025</v>
      </c>
      <c r="H42" s="17">
        <f t="shared" si="9"/>
        <v>45992</v>
      </c>
      <c r="J42">
        <f t="shared" si="5"/>
        <v>0</v>
      </c>
      <c r="M42" s="17">
        <v>45689</v>
      </c>
      <c r="N42" s="69">
        <f t="shared" si="2"/>
        <v>-5.9</v>
      </c>
    </row>
    <row r="43" spans="1:21" x14ac:dyDescent="0.3">
      <c r="A43" s="17">
        <v>46000</v>
      </c>
      <c r="B43">
        <v>-4.3099999999999996</v>
      </c>
      <c r="C43">
        <f t="shared" si="6"/>
        <v>9</v>
      </c>
      <c r="D43">
        <v>1</v>
      </c>
      <c r="E43">
        <f t="shared" si="7"/>
        <v>12</v>
      </c>
      <c r="F43">
        <f t="shared" si="8"/>
        <v>2025</v>
      </c>
      <c r="H43" s="17">
        <f t="shared" si="9"/>
        <v>45992</v>
      </c>
      <c r="J43">
        <f t="shared" si="5"/>
        <v>0</v>
      </c>
      <c r="M43" s="17">
        <v>45717</v>
      </c>
      <c r="N43" s="69">
        <f t="shared" si="2"/>
        <v>-4.84</v>
      </c>
      <c r="U43" s="49"/>
    </row>
    <row r="44" spans="1:21" x14ac:dyDescent="0.3">
      <c r="A44" s="17">
        <v>45999</v>
      </c>
      <c r="B44">
        <v>-4.95</v>
      </c>
      <c r="C44">
        <f t="shared" si="6"/>
        <v>8</v>
      </c>
      <c r="D44">
        <v>1</v>
      </c>
      <c r="E44">
        <f t="shared" si="7"/>
        <v>12</v>
      </c>
      <c r="F44">
        <f t="shared" si="8"/>
        <v>2025</v>
      </c>
      <c r="H44" s="17">
        <f t="shared" si="9"/>
        <v>45992</v>
      </c>
      <c r="J44">
        <f t="shared" si="5"/>
        <v>0</v>
      </c>
      <c r="M44" s="17">
        <v>45748</v>
      </c>
      <c r="N44" s="69">
        <f t="shared" si="2"/>
        <v>-6.6925000000000008</v>
      </c>
      <c r="U44" s="49"/>
    </row>
    <row r="45" spans="1:21" x14ac:dyDescent="0.3">
      <c r="A45" s="17">
        <v>45996</v>
      </c>
      <c r="B45">
        <v>-5.29</v>
      </c>
      <c r="C45">
        <f t="shared" si="6"/>
        <v>5</v>
      </c>
      <c r="D45">
        <v>1</v>
      </c>
      <c r="E45">
        <f t="shared" si="7"/>
        <v>12</v>
      </c>
      <c r="F45">
        <f t="shared" si="8"/>
        <v>2025</v>
      </c>
      <c r="H45" s="17">
        <f t="shared" si="9"/>
        <v>45992</v>
      </c>
      <c r="J45">
        <f t="shared" si="5"/>
        <v>0</v>
      </c>
      <c r="M45" s="17">
        <v>45778</v>
      </c>
      <c r="N45" s="69">
        <f t="shared" si="2"/>
        <v>-3.31</v>
      </c>
      <c r="U45" s="49"/>
    </row>
    <row r="46" spans="1:21" x14ac:dyDescent="0.3">
      <c r="A46" s="17">
        <v>45995</v>
      </c>
      <c r="B46">
        <v>-5.4</v>
      </c>
      <c r="C46">
        <f t="shared" si="6"/>
        <v>4</v>
      </c>
      <c r="D46">
        <v>1</v>
      </c>
      <c r="E46">
        <f t="shared" si="7"/>
        <v>12</v>
      </c>
      <c r="F46">
        <f t="shared" si="8"/>
        <v>2025</v>
      </c>
      <c r="H46" s="17">
        <f t="shared" si="9"/>
        <v>45992</v>
      </c>
      <c r="J46">
        <f t="shared" si="5"/>
        <v>1</v>
      </c>
      <c r="M46" s="17">
        <v>45809</v>
      </c>
      <c r="N46" s="69">
        <f t="shared" si="2"/>
        <v>-4.5766666666666671</v>
      </c>
    </row>
    <row r="47" spans="1:21" x14ac:dyDescent="0.3">
      <c r="A47" s="17">
        <v>45994</v>
      </c>
      <c r="B47">
        <v>-5.01</v>
      </c>
      <c r="C47">
        <f t="shared" si="6"/>
        <v>3</v>
      </c>
      <c r="D47">
        <v>1</v>
      </c>
      <c r="E47">
        <f t="shared" si="7"/>
        <v>12</v>
      </c>
      <c r="F47">
        <f t="shared" si="8"/>
        <v>2025</v>
      </c>
      <c r="H47" s="17">
        <f t="shared" si="9"/>
        <v>45992</v>
      </c>
      <c r="J47">
        <f t="shared" si="5"/>
        <v>1</v>
      </c>
      <c r="M47" s="17">
        <v>45839</v>
      </c>
      <c r="N47" s="69">
        <f t="shared" si="2"/>
        <v>-5.3274999999999997</v>
      </c>
    </row>
    <row r="48" spans="1:21" x14ac:dyDescent="0.3">
      <c r="A48" s="17">
        <v>45993</v>
      </c>
      <c r="B48">
        <v>-5.0599999999999996</v>
      </c>
      <c r="C48">
        <f t="shared" si="6"/>
        <v>2</v>
      </c>
      <c r="D48">
        <v>1</v>
      </c>
      <c r="E48">
        <f t="shared" si="7"/>
        <v>12</v>
      </c>
      <c r="F48">
        <f t="shared" si="8"/>
        <v>2025</v>
      </c>
      <c r="H48" s="17">
        <f t="shared" si="9"/>
        <v>45992</v>
      </c>
      <c r="J48">
        <f t="shared" si="5"/>
        <v>1</v>
      </c>
      <c r="M48" s="17">
        <v>45870</v>
      </c>
      <c r="N48" s="69">
        <f t="shared" si="2"/>
        <v>-6.4700000000000006</v>
      </c>
    </row>
    <row r="49" spans="1:14" x14ac:dyDescent="0.3">
      <c r="A49" s="17">
        <v>45992</v>
      </c>
      <c r="B49">
        <v>-5.15</v>
      </c>
      <c r="C49">
        <f t="shared" si="6"/>
        <v>1</v>
      </c>
      <c r="D49">
        <v>1</v>
      </c>
      <c r="E49">
        <f t="shared" si="7"/>
        <v>12</v>
      </c>
      <c r="F49">
        <f t="shared" si="8"/>
        <v>2025</v>
      </c>
      <c r="H49" s="17">
        <f t="shared" si="9"/>
        <v>45992</v>
      </c>
      <c r="J49">
        <f t="shared" si="5"/>
        <v>1</v>
      </c>
      <c r="M49" s="17">
        <v>45901</v>
      </c>
      <c r="N49" s="69">
        <f t="shared" si="2"/>
        <v>-5.15</v>
      </c>
    </row>
    <row r="50" spans="1:14" x14ac:dyDescent="0.3">
      <c r="A50" s="17">
        <v>45989</v>
      </c>
      <c r="B50">
        <v>-4.55</v>
      </c>
      <c r="C50">
        <f t="shared" si="6"/>
        <v>28</v>
      </c>
      <c r="D50">
        <v>1</v>
      </c>
      <c r="E50">
        <f t="shared" si="7"/>
        <v>11</v>
      </c>
      <c r="F50">
        <f t="shared" si="8"/>
        <v>2025</v>
      </c>
      <c r="H50" s="17">
        <f t="shared" si="9"/>
        <v>45962</v>
      </c>
      <c r="J50">
        <f t="shared" si="5"/>
        <v>0</v>
      </c>
      <c r="M50" s="17">
        <v>45931</v>
      </c>
      <c r="N50" s="69">
        <f t="shared" si="2"/>
        <v>-4.3533333333333326</v>
      </c>
    </row>
    <row r="51" spans="1:14" x14ac:dyDescent="0.3">
      <c r="A51" s="17">
        <v>45988</v>
      </c>
      <c r="B51">
        <v>-4.57</v>
      </c>
      <c r="C51">
        <f t="shared" si="6"/>
        <v>27</v>
      </c>
      <c r="D51">
        <v>1</v>
      </c>
      <c r="E51">
        <f t="shared" si="7"/>
        <v>11</v>
      </c>
      <c r="F51">
        <f t="shared" si="8"/>
        <v>2025</v>
      </c>
      <c r="H51" s="17">
        <f t="shared" si="9"/>
        <v>45962</v>
      </c>
      <c r="J51">
        <f t="shared" si="5"/>
        <v>0</v>
      </c>
      <c r="M51" s="17">
        <v>45962</v>
      </c>
      <c r="N51" s="69">
        <f t="shared" si="2"/>
        <v>-4.1099999999999994</v>
      </c>
    </row>
    <row r="52" spans="1:14" x14ac:dyDescent="0.3">
      <c r="A52" s="17">
        <v>45987</v>
      </c>
      <c r="B52">
        <v>-4.28</v>
      </c>
      <c r="C52">
        <f t="shared" si="6"/>
        <v>26</v>
      </c>
      <c r="D52">
        <v>1</v>
      </c>
      <c r="E52">
        <f t="shared" si="7"/>
        <v>11</v>
      </c>
      <c r="F52">
        <f t="shared" si="8"/>
        <v>2025</v>
      </c>
      <c r="H52" s="17">
        <f t="shared" si="9"/>
        <v>45962</v>
      </c>
      <c r="J52">
        <f t="shared" si="5"/>
        <v>0</v>
      </c>
      <c r="M52" s="17">
        <v>45992</v>
      </c>
      <c r="N52" s="69">
        <f t="shared" si="2"/>
        <v>-5.1549999999999994</v>
      </c>
    </row>
    <row r="53" spans="1:14" x14ac:dyDescent="0.3">
      <c r="A53" s="17">
        <v>45986</v>
      </c>
      <c r="B53">
        <v>-4.43</v>
      </c>
      <c r="C53">
        <f t="shared" si="6"/>
        <v>25</v>
      </c>
      <c r="D53">
        <v>1</v>
      </c>
      <c r="E53">
        <f t="shared" si="7"/>
        <v>11</v>
      </c>
      <c r="F53">
        <f t="shared" si="8"/>
        <v>2025</v>
      </c>
      <c r="H53" s="17">
        <f t="shared" si="9"/>
        <v>45962</v>
      </c>
      <c r="J53">
        <f t="shared" si="5"/>
        <v>0</v>
      </c>
      <c r="M53" s="17">
        <v>46023</v>
      </c>
      <c r="N53" s="69">
        <f t="shared" si="2"/>
        <v>-6.36</v>
      </c>
    </row>
    <row r="54" spans="1:14" x14ac:dyDescent="0.3">
      <c r="A54" s="17">
        <v>45985</v>
      </c>
      <c r="B54">
        <v>-3.64</v>
      </c>
      <c r="C54">
        <f t="shared" si="6"/>
        <v>24</v>
      </c>
      <c r="D54">
        <v>1</v>
      </c>
      <c r="E54">
        <f t="shared" si="7"/>
        <v>11</v>
      </c>
      <c r="F54">
        <f t="shared" si="8"/>
        <v>2025</v>
      </c>
      <c r="H54" s="17">
        <f t="shared" si="9"/>
        <v>45962</v>
      </c>
      <c r="J54">
        <f t="shared" si="5"/>
        <v>0</v>
      </c>
      <c r="M54" s="17">
        <v>46054</v>
      </c>
      <c r="N54" s="69">
        <f t="shared" si="2"/>
        <v>-4.9400000000000004</v>
      </c>
    </row>
    <row r="55" spans="1:14" x14ac:dyDescent="0.3">
      <c r="A55" s="17">
        <v>45982</v>
      </c>
      <c r="B55">
        <v>-3.72</v>
      </c>
      <c r="C55">
        <f t="shared" si="6"/>
        <v>21</v>
      </c>
      <c r="D55">
        <v>1</v>
      </c>
      <c r="E55">
        <f t="shared" si="7"/>
        <v>11</v>
      </c>
      <c r="F55">
        <f t="shared" si="8"/>
        <v>2025</v>
      </c>
      <c r="H55" s="17">
        <f t="shared" si="9"/>
        <v>45962</v>
      </c>
      <c r="J55">
        <f t="shared" si="5"/>
        <v>0</v>
      </c>
    </row>
    <row r="56" spans="1:14" x14ac:dyDescent="0.3">
      <c r="A56" s="17">
        <v>45981</v>
      </c>
      <c r="B56">
        <v>-3.89</v>
      </c>
      <c r="C56">
        <f t="shared" si="6"/>
        <v>20</v>
      </c>
      <c r="D56">
        <v>1</v>
      </c>
      <c r="E56">
        <f t="shared" si="7"/>
        <v>11</v>
      </c>
      <c r="F56">
        <f t="shared" si="8"/>
        <v>2025</v>
      </c>
      <c r="H56" s="17">
        <f t="shared" si="9"/>
        <v>45962</v>
      </c>
      <c r="J56">
        <f t="shared" si="5"/>
        <v>0</v>
      </c>
    </row>
    <row r="57" spans="1:14" x14ac:dyDescent="0.3">
      <c r="A57" s="17">
        <v>45980</v>
      </c>
      <c r="B57">
        <v>-4.18</v>
      </c>
      <c r="C57">
        <f t="shared" si="6"/>
        <v>19</v>
      </c>
      <c r="D57">
        <v>1</v>
      </c>
      <c r="E57">
        <f t="shared" si="7"/>
        <v>11</v>
      </c>
      <c r="F57">
        <f t="shared" si="8"/>
        <v>2025</v>
      </c>
      <c r="H57" s="17">
        <f t="shared" si="9"/>
        <v>45962</v>
      </c>
      <c r="J57">
        <f t="shared" si="5"/>
        <v>0</v>
      </c>
    </row>
    <row r="58" spans="1:14" x14ac:dyDescent="0.3">
      <c r="A58" s="17">
        <v>45979</v>
      </c>
      <c r="B58">
        <v>-4.24</v>
      </c>
      <c r="C58">
        <f t="shared" si="6"/>
        <v>18</v>
      </c>
      <c r="D58">
        <v>1</v>
      </c>
      <c r="E58">
        <f t="shared" si="7"/>
        <v>11</v>
      </c>
      <c r="F58">
        <f t="shared" si="8"/>
        <v>2025</v>
      </c>
      <c r="H58" s="17">
        <f t="shared" si="9"/>
        <v>45962</v>
      </c>
      <c r="I58" s="17"/>
      <c r="J58">
        <f t="shared" si="5"/>
        <v>0</v>
      </c>
      <c r="N58" s="69"/>
    </row>
    <row r="59" spans="1:14" x14ac:dyDescent="0.3">
      <c r="A59" s="17">
        <v>45978</v>
      </c>
      <c r="B59">
        <v>-4.22</v>
      </c>
      <c r="C59">
        <f t="shared" si="6"/>
        <v>17</v>
      </c>
      <c r="D59">
        <v>1</v>
      </c>
      <c r="E59">
        <f t="shared" si="7"/>
        <v>11</v>
      </c>
      <c r="F59">
        <f t="shared" si="8"/>
        <v>2025</v>
      </c>
      <c r="H59" s="17">
        <f t="shared" si="9"/>
        <v>45962</v>
      </c>
      <c r="I59" s="17"/>
      <c r="J59">
        <f t="shared" si="5"/>
        <v>0</v>
      </c>
      <c r="N59" s="69"/>
    </row>
    <row r="60" spans="1:14" x14ac:dyDescent="0.3">
      <c r="A60" s="17">
        <v>45975</v>
      </c>
      <c r="B60">
        <v>-4.33</v>
      </c>
      <c r="C60">
        <f t="shared" si="6"/>
        <v>14</v>
      </c>
      <c r="D60">
        <v>1</v>
      </c>
      <c r="E60">
        <f t="shared" si="7"/>
        <v>11</v>
      </c>
      <c r="F60">
        <f t="shared" si="8"/>
        <v>2025</v>
      </c>
      <c r="H60" s="17">
        <f t="shared" si="9"/>
        <v>45962</v>
      </c>
      <c r="I60" s="17"/>
      <c r="J60">
        <f t="shared" si="5"/>
        <v>0</v>
      </c>
      <c r="N60" s="69"/>
    </row>
    <row r="61" spans="1:14" x14ac:dyDescent="0.3">
      <c r="A61" s="17">
        <v>45974</v>
      </c>
      <c r="B61">
        <v>-4.3099999999999996</v>
      </c>
      <c r="C61">
        <f t="shared" si="6"/>
        <v>13</v>
      </c>
      <c r="D61">
        <v>1</v>
      </c>
      <c r="E61">
        <f t="shared" si="7"/>
        <v>11</v>
      </c>
      <c r="F61">
        <f t="shared" si="8"/>
        <v>2025</v>
      </c>
      <c r="H61" s="17">
        <f t="shared" si="9"/>
        <v>45962</v>
      </c>
      <c r="I61" s="17"/>
      <c r="J61">
        <f t="shared" si="5"/>
        <v>0</v>
      </c>
      <c r="N61" s="69"/>
    </row>
    <row r="62" spans="1:14" x14ac:dyDescent="0.3">
      <c r="A62" s="17">
        <v>45973</v>
      </c>
      <c r="B62">
        <v>-4.91</v>
      </c>
      <c r="C62">
        <f t="shared" si="6"/>
        <v>12</v>
      </c>
      <c r="D62">
        <v>1</v>
      </c>
      <c r="E62">
        <f t="shared" si="7"/>
        <v>11</v>
      </c>
      <c r="F62">
        <f t="shared" si="8"/>
        <v>2025</v>
      </c>
      <c r="H62" s="17">
        <f t="shared" si="9"/>
        <v>45962</v>
      </c>
      <c r="I62" s="17"/>
      <c r="J62">
        <f t="shared" si="5"/>
        <v>0</v>
      </c>
      <c r="N62" s="69"/>
    </row>
    <row r="63" spans="1:14" x14ac:dyDescent="0.3">
      <c r="A63" s="17">
        <v>45972</v>
      </c>
      <c r="B63">
        <v>-4.79</v>
      </c>
      <c r="C63">
        <f t="shared" si="6"/>
        <v>11</v>
      </c>
      <c r="D63">
        <v>1</v>
      </c>
      <c r="E63">
        <f t="shared" si="7"/>
        <v>11</v>
      </c>
      <c r="F63">
        <f t="shared" si="8"/>
        <v>2025</v>
      </c>
      <c r="H63" s="17">
        <f t="shared" si="9"/>
        <v>45962</v>
      </c>
      <c r="I63" s="17"/>
      <c r="J63">
        <f t="shared" si="5"/>
        <v>0</v>
      </c>
      <c r="N63" s="69"/>
    </row>
    <row r="64" spans="1:14" x14ac:dyDescent="0.3">
      <c r="A64" s="17">
        <v>45971</v>
      </c>
      <c r="B64">
        <v>-4.51</v>
      </c>
      <c r="C64">
        <f t="shared" si="6"/>
        <v>10</v>
      </c>
      <c r="D64">
        <v>1</v>
      </c>
      <c r="E64">
        <f t="shared" si="7"/>
        <v>11</v>
      </c>
      <c r="F64">
        <f t="shared" si="8"/>
        <v>2025</v>
      </c>
      <c r="H64" s="17">
        <f t="shared" si="9"/>
        <v>45962</v>
      </c>
      <c r="I64" s="17"/>
      <c r="J64">
        <f t="shared" si="5"/>
        <v>0</v>
      </c>
      <c r="N64" s="69"/>
    </row>
    <row r="65" spans="1:14" x14ac:dyDescent="0.3">
      <c r="A65" s="17">
        <v>45968</v>
      </c>
      <c r="B65">
        <v>-4.1500000000000004</v>
      </c>
      <c r="C65">
        <f t="shared" si="6"/>
        <v>7</v>
      </c>
      <c r="D65">
        <v>1</v>
      </c>
      <c r="E65">
        <f t="shared" si="7"/>
        <v>11</v>
      </c>
      <c r="F65">
        <f t="shared" si="8"/>
        <v>2025</v>
      </c>
      <c r="H65" s="17">
        <f t="shared" si="9"/>
        <v>45962</v>
      </c>
      <c r="I65" s="17"/>
      <c r="J65">
        <f t="shared" si="5"/>
        <v>0</v>
      </c>
      <c r="N65" s="69"/>
    </row>
    <row r="66" spans="1:14" x14ac:dyDescent="0.3">
      <c r="A66" s="17">
        <v>45967</v>
      </c>
      <c r="B66">
        <v>-4.1900000000000004</v>
      </c>
      <c r="C66">
        <f t="shared" si="6"/>
        <v>6</v>
      </c>
      <c r="D66">
        <v>1</v>
      </c>
      <c r="E66">
        <f t="shared" si="7"/>
        <v>11</v>
      </c>
      <c r="F66">
        <f t="shared" si="8"/>
        <v>2025</v>
      </c>
      <c r="H66" s="17">
        <f t="shared" si="9"/>
        <v>45962</v>
      </c>
      <c r="I66" s="17"/>
      <c r="J66">
        <f t="shared" si="5"/>
        <v>0</v>
      </c>
      <c r="N66" s="69"/>
    </row>
    <row r="67" spans="1:14" x14ac:dyDescent="0.3">
      <c r="A67" s="17">
        <v>45966</v>
      </c>
      <c r="B67">
        <v>-4.3099999999999996</v>
      </c>
      <c r="C67">
        <f t="shared" si="6"/>
        <v>5</v>
      </c>
      <c r="D67">
        <v>1</v>
      </c>
      <c r="E67">
        <f t="shared" si="7"/>
        <v>11</v>
      </c>
      <c r="F67">
        <f t="shared" si="8"/>
        <v>2025</v>
      </c>
      <c r="H67" s="17">
        <f t="shared" si="9"/>
        <v>45962</v>
      </c>
      <c r="I67" s="17"/>
      <c r="J67">
        <f t="shared" si="5"/>
        <v>0</v>
      </c>
      <c r="N67" s="69"/>
    </row>
    <row r="68" spans="1:14" x14ac:dyDescent="0.3">
      <c r="A68" s="17">
        <v>45965</v>
      </c>
      <c r="B68">
        <v>-4.21</v>
      </c>
      <c r="C68">
        <f t="shared" si="6"/>
        <v>4</v>
      </c>
      <c r="D68">
        <v>1</v>
      </c>
      <c r="E68">
        <f t="shared" si="7"/>
        <v>11</v>
      </c>
      <c r="F68">
        <f t="shared" si="8"/>
        <v>2025</v>
      </c>
      <c r="H68" s="17">
        <f t="shared" si="9"/>
        <v>45962</v>
      </c>
      <c r="I68" s="17"/>
      <c r="J68">
        <f t="shared" si="5"/>
        <v>1</v>
      </c>
      <c r="N68" s="69"/>
    </row>
    <row r="69" spans="1:14" x14ac:dyDescent="0.3">
      <c r="A69" s="17">
        <v>45964</v>
      </c>
      <c r="B69">
        <v>-4.01</v>
      </c>
      <c r="C69">
        <f t="shared" si="6"/>
        <v>3</v>
      </c>
      <c r="D69">
        <v>1</v>
      </c>
      <c r="E69">
        <f t="shared" si="7"/>
        <v>11</v>
      </c>
      <c r="F69">
        <f t="shared" si="8"/>
        <v>2025</v>
      </c>
      <c r="H69" s="17">
        <f t="shared" si="9"/>
        <v>45962</v>
      </c>
      <c r="I69" s="17"/>
      <c r="J69">
        <f t="shared" si="5"/>
        <v>1</v>
      </c>
      <c r="N69" s="69"/>
    </row>
    <row r="70" spans="1:14" x14ac:dyDescent="0.3">
      <c r="A70" s="17">
        <v>45962</v>
      </c>
      <c r="C70">
        <f t="shared" si="6"/>
        <v>1</v>
      </c>
      <c r="D70">
        <v>1</v>
      </c>
      <c r="E70">
        <f t="shared" si="7"/>
        <v>11</v>
      </c>
      <c r="F70">
        <f t="shared" si="8"/>
        <v>2025</v>
      </c>
      <c r="H70" s="17">
        <f t="shared" si="9"/>
        <v>45962</v>
      </c>
      <c r="J70">
        <f t="shared" si="5"/>
        <v>1</v>
      </c>
      <c r="N70" s="55"/>
    </row>
    <row r="71" spans="1:14" x14ac:dyDescent="0.3">
      <c r="A71" s="17">
        <v>45961</v>
      </c>
      <c r="B71">
        <v>-3.66</v>
      </c>
      <c r="C71">
        <f t="shared" si="6"/>
        <v>31</v>
      </c>
      <c r="D71">
        <v>1</v>
      </c>
      <c r="E71">
        <f t="shared" si="7"/>
        <v>10</v>
      </c>
      <c r="F71">
        <f t="shared" si="8"/>
        <v>2025</v>
      </c>
      <c r="H71" s="17">
        <f t="shared" si="9"/>
        <v>45931</v>
      </c>
      <c r="J71">
        <f t="shared" si="5"/>
        <v>0</v>
      </c>
      <c r="N71" s="55"/>
    </row>
    <row r="72" spans="1:14" x14ac:dyDescent="0.3">
      <c r="A72" s="17">
        <v>45960</v>
      </c>
      <c r="B72">
        <v>-3.94</v>
      </c>
      <c r="C72">
        <f t="shared" si="6"/>
        <v>30</v>
      </c>
      <c r="D72">
        <v>1</v>
      </c>
      <c r="E72">
        <f t="shared" si="7"/>
        <v>10</v>
      </c>
      <c r="F72">
        <f t="shared" si="8"/>
        <v>2025</v>
      </c>
      <c r="H72" s="17">
        <f t="shared" si="9"/>
        <v>45931</v>
      </c>
      <c r="J72">
        <f t="shared" si="5"/>
        <v>0</v>
      </c>
      <c r="N72" s="55"/>
    </row>
    <row r="73" spans="1:14" x14ac:dyDescent="0.3">
      <c r="A73" s="17">
        <v>45959</v>
      </c>
      <c r="B73">
        <v>-3.68</v>
      </c>
      <c r="C73">
        <f t="shared" si="6"/>
        <v>29</v>
      </c>
      <c r="D73">
        <v>1</v>
      </c>
      <c r="E73">
        <f t="shared" si="7"/>
        <v>10</v>
      </c>
      <c r="F73">
        <f t="shared" si="8"/>
        <v>2025</v>
      </c>
      <c r="H73" s="17">
        <f t="shared" si="9"/>
        <v>45931</v>
      </c>
      <c r="J73">
        <f t="shared" ref="J73:J136" si="10">IF(AND(C73&gt;=1, C73&lt;=4), 1, 0)</f>
        <v>0</v>
      </c>
      <c r="N73" s="55"/>
    </row>
    <row r="74" spans="1:14" x14ac:dyDescent="0.3">
      <c r="A74" s="17">
        <v>45958</v>
      </c>
      <c r="B74">
        <v>-4.09</v>
      </c>
      <c r="C74">
        <f t="shared" ref="C74:C137" si="11">+DAY(A74)</f>
        <v>28</v>
      </c>
      <c r="D74">
        <v>1</v>
      </c>
      <c r="E74">
        <f t="shared" ref="E74:E137" si="12">+MONTH(A74)</f>
        <v>10</v>
      </c>
      <c r="F74">
        <f t="shared" ref="F74:F137" si="13">+YEAR(A74)</f>
        <v>2025</v>
      </c>
      <c r="H74" s="17">
        <f t="shared" ref="H74:H137" si="14">+DATE(F74,E74,D74)</f>
        <v>45931</v>
      </c>
      <c r="J74">
        <f t="shared" si="10"/>
        <v>0</v>
      </c>
      <c r="N74" s="55"/>
    </row>
    <row r="75" spans="1:14" x14ac:dyDescent="0.3">
      <c r="A75" s="17">
        <v>45957</v>
      </c>
      <c r="B75">
        <v>-4.1399999999999997</v>
      </c>
      <c r="C75">
        <f t="shared" si="11"/>
        <v>27</v>
      </c>
      <c r="D75">
        <v>1</v>
      </c>
      <c r="E75">
        <f t="shared" si="12"/>
        <v>10</v>
      </c>
      <c r="F75">
        <f t="shared" si="13"/>
        <v>2025</v>
      </c>
      <c r="H75" s="17">
        <f t="shared" si="14"/>
        <v>45931</v>
      </c>
      <c r="J75">
        <f t="shared" si="10"/>
        <v>0</v>
      </c>
      <c r="N75" s="55"/>
    </row>
    <row r="76" spans="1:14" x14ac:dyDescent="0.3">
      <c r="A76" s="17">
        <v>45954</v>
      </c>
      <c r="B76">
        <v>-4.22</v>
      </c>
      <c r="C76">
        <f t="shared" si="11"/>
        <v>24</v>
      </c>
      <c r="D76">
        <v>1</v>
      </c>
      <c r="E76">
        <f t="shared" si="12"/>
        <v>10</v>
      </c>
      <c r="F76">
        <f t="shared" si="13"/>
        <v>2025</v>
      </c>
      <c r="H76" s="17">
        <f t="shared" si="14"/>
        <v>45931</v>
      </c>
      <c r="J76">
        <f t="shared" si="10"/>
        <v>0</v>
      </c>
      <c r="N76" s="55"/>
    </row>
    <row r="77" spans="1:14" x14ac:dyDescent="0.3">
      <c r="A77" s="17">
        <v>45953</v>
      </c>
      <c r="B77">
        <v>-4.53</v>
      </c>
      <c r="C77">
        <f t="shared" si="11"/>
        <v>23</v>
      </c>
      <c r="D77">
        <v>1</v>
      </c>
      <c r="E77">
        <f t="shared" si="12"/>
        <v>10</v>
      </c>
      <c r="F77">
        <f t="shared" si="13"/>
        <v>2025</v>
      </c>
      <c r="H77" s="17">
        <f t="shared" si="14"/>
        <v>45931</v>
      </c>
      <c r="J77">
        <f t="shared" si="10"/>
        <v>0</v>
      </c>
      <c r="N77" s="55"/>
    </row>
    <row r="78" spans="1:14" x14ac:dyDescent="0.3">
      <c r="A78" s="17">
        <v>45952</v>
      </c>
      <c r="B78">
        <v>-4.37</v>
      </c>
      <c r="C78">
        <f t="shared" si="11"/>
        <v>22</v>
      </c>
      <c r="D78">
        <v>1</v>
      </c>
      <c r="E78">
        <f t="shared" si="12"/>
        <v>10</v>
      </c>
      <c r="F78">
        <f t="shared" si="13"/>
        <v>2025</v>
      </c>
      <c r="H78" s="17">
        <f t="shared" si="14"/>
        <v>45931</v>
      </c>
      <c r="J78">
        <f t="shared" si="10"/>
        <v>0</v>
      </c>
      <c r="N78" s="55"/>
    </row>
    <row r="79" spans="1:14" x14ac:dyDescent="0.3">
      <c r="A79" s="17">
        <v>45951</v>
      </c>
      <c r="B79">
        <v>-4.45</v>
      </c>
      <c r="C79">
        <f t="shared" si="11"/>
        <v>21</v>
      </c>
      <c r="D79">
        <v>1</v>
      </c>
      <c r="E79">
        <f t="shared" si="12"/>
        <v>10</v>
      </c>
      <c r="F79">
        <f t="shared" si="13"/>
        <v>2025</v>
      </c>
      <c r="H79" s="17">
        <f t="shared" si="14"/>
        <v>45931</v>
      </c>
      <c r="J79">
        <f t="shared" si="10"/>
        <v>0</v>
      </c>
      <c r="N79" s="55"/>
    </row>
    <row r="80" spans="1:14" x14ac:dyDescent="0.3">
      <c r="A80" s="17">
        <v>45947</v>
      </c>
      <c r="B80">
        <v>-4.4400000000000004</v>
      </c>
      <c r="C80">
        <f t="shared" si="11"/>
        <v>17</v>
      </c>
      <c r="D80">
        <v>1</v>
      </c>
      <c r="E80">
        <f t="shared" si="12"/>
        <v>10</v>
      </c>
      <c r="F80">
        <f t="shared" si="13"/>
        <v>2025</v>
      </c>
      <c r="H80" s="17">
        <f t="shared" si="14"/>
        <v>45931</v>
      </c>
      <c r="J80">
        <f t="shared" si="10"/>
        <v>0</v>
      </c>
      <c r="N80" s="55"/>
    </row>
    <row r="81" spans="1:14" x14ac:dyDescent="0.3">
      <c r="A81" s="17">
        <v>45946</v>
      </c>
      <c r="B81">
        <v>-4.51</v>
      </c>
      <c r="C81">
        <f t="shared" si="11"/>
        <v>16</v>
      </c>
      <c r="D81">
        <v>1</v>
      </c>
      <c r="E81">
        <f t="shared" si="12"/>
        <v>10</v>
      </c>
      <c r="F81">
        <f t="shared" si="13"/>
        <v>2025</v>
      </c>
      <c r="H81" s="17">
        <f t="shared" si="14"/>
        <v>45931</v>
      </c>
      <c r="J81">
        <f t="shared" si="10"/>
        <v>0</v>
      </c>
      <c r="N81" s="55"/>
    </row>
    <row r="82" spans="1:14" x14ac:dyDescent="0.3">
      <c r="A82" s="17">
        <v>45945</v>
      </c>
      <c r="B82">
        <v>-4.63</v>
      </c>
      <c r="C82">
        <f t="shared" si="11"/>
        <v>15</v>
      </c>
      <c r="D82">
        <v>1</v>
      </c>
      <c r="E82">
        <f t="shared" si="12"/>
        <v>10</v>
      </c>
      <c r="F82">
        <f t="shared" si="13"/>
        <v>2025</v>
      </c>
      <c r="H82" s="17">
        <f t="shared" si="14"/>
        <v>45931</v>
      </c>
      <c r="J82">
        <f t="shared" si="10"/>
        <v>0</v>
      </c>
      <c r="N82" s="55"/>
    </row>
    <row r="83" spans="1:14" x14ac:dyDescent="0.3">
      <c r="A83" s="17">
        <v>45944</v>
      </c>
      <c r="B83">
        <v>-4.28</v>
      </c>
      <c r="C83">
        <f t="shared" si="11"/>
        <v>14</v>
      </c>
      <c r="D83">
        <v>1</v>
      </c>
      <c r="E83">
        <f t="shared" si="12"/>
        <v>10</v>
      </c>
      <c r="F83">
        <f t="shared" si="13"/>
        <v>2025</v>
      </c>
      <c r="H83" s="17">
        <f t="shared" si="14"/>
        <v>45931</v>
      </c>
      <c r="J83">
        <f t="shared" si="10"/>
        <v>0</v>
      </c>
      <c r="N83" s="55"/>
    </row>
    <row r="84" spans="1:14" x14ac:dyDescent="0.3">
      <c r="A84" s="17">
        <v>45943</v>
      </c>
      <c r="B84">
        <v>-3.81</v>
      </c>
      <c r="C84">
        <f t="shared" si="11"/>
        <v>13</v>
      </c>
      <c r="D84">
        <v>1</v>
      </c>
      <c r="E84">
        <f t="shared" si="12"/>
        <v>10</v>
      </c>
      <c r="F84">
        <f t="shared" si="13"/>
        <v>2025</v>
      </c>
      <c r="H84" s="17">
        <f t="shared" si="14"/>
        <v>45931</v>
      </c>
      <c r="J84">
        <f t="shared" si="10"/>
        <v>0</v>
      </c>
      <c r="N84" s="55"/>
    </row>
    <row r="85" spans="1:14" x14ac:dyDescent="0.3">
      <c r="A85" s="17">
        <v>45940</v>
      </c>
      <c r="B85">
        <v>-3.96</v>
      </c>
      <c r="C85">
        <f t="shared" si="11"/>
        <v>10</v>
      </c>
      <c r="D85">
        <v>1</v>
      </c>
      <c r="E85">
        <f t="shared" si="12"/>
        <v>10</v>
      </c>
      <c r="F85">
        <f t="shared" si="13"/>
        <v>2025</v>
      </c>
      <c r="H85" s="17">
        <f t="shared" si="14"/>
        <v>45931</v>
      </c>
      <c r="J85">
        <f t="shared" si="10"/>
        <v>0</v>
      </c>
      <c r="N85" s="55"/>
    </row>
    <row r="86" spans="1:14" x14ac:dyDescent="0.3">
      <c r="A86" s="17">
        <v>45939</v>
      </c>
      <c r="B86">
        <v>-4.03</v>
      </c>
      <c r="C86">
        <f t="shared" si="11"/>
        <v>9</v>
      </c>
      <c r="D86">
        <v>1</v>
      </c>
      <c r="E86">
        <f t="shared" si="12"/>
        <v>10</v>
      </c>
      <c r="F86">
        <f t="shared" si="13"/>
        <v>2025</v>
      </c>
      <c r="H86" s="17">
        <f t="shared" si="14"/>
        <v>45931</v>
      </c>
      <c r="J86">
        <f t="shared" si="10"/>
        <v>0</v>
      </c>
      <c r="N86" s="55"/>
    </row>
    <row r="87" spans="1:14" x14ac:dyDescent="0.3">
      <c r="A87" s="17">
        <v>45938</v>
      </c>
      <c r="B87">
        <v>-4.24</v>
      </c>
      <c r="C87">
        <f t="shared" si="11"/>
        <v>8</v>
      </c>
      <c r="D87">
        <v>1</v>
      </c>
      <c r="E87">
        <f t="shared" si="12"/>
        <v>10</v>
      </c>
      <c r="F87">
        <f t="shared" si="13"/>
        <v>2025</v>
      </c>
      <c r="H87" s="17">
        <f t="shared" si="14"/>
        <v>45931</v>
      </c>
      <c r="J87">
        <f t="shared" si="10"/>
        <v>0</v>
      </c>
      <c r="N87" s="55"/>
    </row>
    <row r="88" spans="1:14" x14ac:dyDescent="0.3">
      <c r="A88" s="17">
        <v>45937</v>
      </c>
      <c r="B88">
        <v>-4.09</v>
      </c>
      <c r="C88">
        <f t="shared" si="11"/>
        <v>7</v>
      </c>
      <c r="D88">
        <v>1</v>
      </c>
      <c r="E88">
        <f t="shared" si="12"/>
        <v>10</v>
      </c>
      <c r="F88">
        <f t="shared" si="13"/>
        <v>2025</v>
      </c>
      <c r="H88" s="17">
        <f t="shared" si="14"/>
        <v>45931</v>
      </c>
      <c r="J88">
        <f t="shared" si="10"/>
        <v>0</v>
      </c>
      <c r="N88" s="55"/>
    </row>
    <row r="89" spans="1:14" x14ac:dyDescent="0.3">
      <c r="A89" s="17">
        <v>45936</v>
      </c>
      <c r="B89">
        <v>-4.08</v>
      </c>
      <c r="C89">
        <f t="shared" si="11"/>
        <v>6</v>
      </c>
      <c r="D89">
        <v>1</v>
      </c>
      <c r="E89">
        <f t="shared" si="12"/>
        <v>10</v>
      </c>
      <c r="F89">
        <f t="shared" si="13"/>
        <v>2025</v>
      </c>
      <c r="H89" s="17">
        <f t="shared" si="14"/>
        <v>45931</v>
      </c>
      <c r="J89">
        <f t="shared" si="10"/>
        <v>0</v>
      </c>
      <c r="N89" s="55"/>
    </row>
    <row r="90" spans="1:14" x14ac:dyDescent="0.3">
      <c r="A90" s="17">
        <v>45933</v>
      </c>
      <c r="B90">
        <v>-3.93</v>
      </c>
      <c r="C90">
        <f t="shared" si="11"/>
        <v>3</v>
      </c>
      <c r="D90">
        <v>1</v>
      </c>
      <c r="E90">
        <f t="shared" si="12"/>
        <v>10</v>
      </c>
      <c r="F90">
        <f t="shared" si="13"/>
        <v>2025</v>
      </c>
      <c r="H90" s="17">
        <f t="shared" si="14"/>
        <v>45931</v>
      </c>
      <c r="J90">
        <f t="shared" si="10"/>
        <v>1</v>
      </c>
      <c r="N90" s="55"/>
    </row>
    <row r="91" spans="1:14" x14ac:dyDescent="0.3">
      <c r="A91" s="17">
        <v>45932</v>
      </c>
      <c r="B91">
        <v>-4.5199999999999996</v>
      </c>
      <c r="C91">
        <f t="shared" si="11"/>
        <v>2</v>
      </c>
      <c r="D91">
        <v>1</v>
      </c>
      <c r="E91">
        <f t="shared" si="12"/>
        <v>10</v>
      </c>
      <c r="F91">
        <f t="shared" si="13"/>
        <v>2025</v>
      </c>
      <c r="H91" s="17">
        <f t="shared" si="14"/>
        <v>45931</v>
      </c>
      <c r="J91">
        <f t="shared" si="10"/>
        <v>1</v>
      </c>
      <c r="N91" s="55"/>
    </row>
    <row r="92" spans="1:14" x14ac:dyDescent="0.3">
      <c r="A92" s="17">
        <v>45931</v>
      </c>
      <c r="B92">
        <v>-4.6100000000000003</v>
      </c>
      <c r="C92">
        <f t="shared" si="11"/>
        <v>1</v>
      </c>
      <c r="D92">
        <v>1</v>
      </c>
      <c r="E92">
        <f t="shared" si="12"/>
        <v>10</v>
      </c>
      <c r="F92">
        <f t="shared" si="13"/>
        <v>2025</v>
      </c>
      <c r="H92" s="17">
        <f t="shared" si="14"/>
        <v>45931</v>
      </c>
      <c r="J92">
        <f t="shared" si="10"/>
        <v>1</v>
      </c>
      <c r="N92" s="55"/>
    </row>
    <row r="93" spans="1:14" x14ac:dyDescent="0.3">
      <c r="A93" s="17">
        <v>45930</v>
      </c>
      <c r="B93">
        <v>-3.78</v>
      </c>
      <c r="C93">
        <f t="shared" si="11"/>
        <v>30</v>
      </c>
      <c r="D93">
        <v>1</v>
      </c>
      <c r="E93">
        <f t="shared" si="12"/>
        <v>9</v>
      </c>
      <c r="F93">
        <f t="shared" si="13"/>
        <v>2025</v>
      </c>
      <c r="H93" s="17">
        <f t="shared" si="14"/>
        <v>45901</v>
      </c>
      <c r="J93">
        <f t="shared" si="10"/>
        <v>0</v>
      </c>
      <c r="N93" s="55"/>
    </row>
    <row r="94" spans="1:14" x14ac:dyDescent="0.3">
      <c r="A94" s="17">
        <v>45929</v>
      </c>
      <c r="B94">
        <v>-4.05</v>
      </c>
      <c r="C94">
        <f t="shared" si="11"/>
        <v>29</v>
      </c>
      <c r="D94">
        <v>1</v>
      </c>
      <c r="E94">
        <f t="shared" si="12"/>
        <v>9</v>
      </c>
      <c r="F94">
        <f t="shared" si="13"/>
        <v>2025</v>
      </c>
      <c r="H94" s="17">
        <f t="shared" si="14"/>
        <v>45901</v>
      </c>
      <c r="J94">
        <f t="shared" si="10"/>
        <v>0</v>
      </c>
      <c r="N94" s="55"/>
    </row>
    <row r="95" spans="1:14" x14ac:dyDescent="0.3">
      <c r="A95" s="17">
        <v>45926</v>
      </c>
      <c r="B95">
        <v>-4.47</v>
      </c>
      <c r="C95">
        <f t="shared" si="11"/>
        <v>26</v>
      </c>
      <c r="D95">
        <v>1</v>
      </c>
      <c r="E95">
        <f t="shared" si="12"/>
        <v>9</v>
      </c>
      <c r="F95">
        <f t="shared" si="13"/>
        <v>2025</v>
      </c>
      <c r="H95" s="17">
        <f t="shared" si="14"/>
        <v>45901</v>
      </c>
      <c r="J95">
        <f t="shared" si="10"/>
        <v>0</v>
      </c>
      <c r="N95" s="55"/>
    </row>
    <row r="96" spans="1:14" x14ac:dyDescent="0.3">
      <c r="A96" s="17">
        <v>45925</v>
      </c>
      <c r="B96">
        <v>-3.95</v>
      </c>
      <c r="C96">
        <f t="shared" si="11"/>
        <v>25</v>
      </c>
      <c r="D96">
        <v>1</v>
      </c>
      <c r="E96">
        <f t="shared" si="12"/>
        <v>9</v>
      </c>
      <c r="F96">
        <f t="shared" si="13"/>
        <v>2025</v>
      </c>
      <c r="H96" s="17">
        <f t="shared" si="14"/>
        <v>45901</v>
      </c>
      <c r="J96">
        <f t="shared" si="10"/>
        <v>0</v>
      </c>
      <c r="N96" s="55"/>
    </row>
    <row r="97" spans="1:14" x14ac:dyDescent="0.3">
      <c r="A97" s="17">
        <v>45924</v>
      </c>
      <c r="B97">
        <v>-3.26</v>
      </c>
      <c r="C97">
        <f t="shared" si="11"/>
        <v>24</v>
      </c>
      <c r="D97">
        <v>1</v>
      </c>
      <c r="E97">
        <f t="shared" si="12"/>
        <v>9</v>
      </c>
      <c r="F97">
        <f t="shared" si="13"/>
        <v>2025</v>
      </c>
      <c r="H97" s="17">
        <f t="shared" si="14"/>
        <v>45901</v>
      </c>
      <c r="J97">
        <f t="shared" si="10"/>
        <v>0</v>
      </c>
      <c r="N97" s="55"/>
    </row>
    <row r="98" spans="1:14" x14ac:dyDescent="0.3">
      <c r="A98" s="17">
        <v>45923</v>
      </c>
      <c r="B98">
        <v>-2.81</v>
      </c>
      <c r="C98">
        <f t="shared" si="11"/>
        <v>23</v>
      </c>
      <c r="D98">
        <v>1</v>
      </c>
      <c r="E98">
        <f t="shared" si="12"/>
        <v>9</v>
      </c>
      <c r="F98">
        <f t="shared" si="13"/>
        <v>2025</v>
      </c>
      <c r="H98" s="17">
        <f t="shared" si="14"/>
        <v>45901</v>
      </c>
      <c r="J98">
        <f t="shared" si="10"/>
        <v>0</v>
      </c>
      <c r="N98" s="55"/>
    </row>
    <row r="99" spans="1:14" x14ac:dyDescent="0.3">
      <c r="A99" s="17">
        <v>45922</v>
      </c>
      <c r="B99">
        <v>-3.81</v>
      </c>
      <c r="C99">
        <f t="shared" si="11"/>
        <v>22</v>
      </c>
      <c r="D99">
        <v>1</v>
      </c>
      <c r="E99">
        <f t="shared" si="12"/>
        <v>9</v>
      </c>
      <c r="F99">
        <f t="shared" si="13"/>
        <v>2025</v>
      </c>
      <c r="H99" s="17">
        <f t="shared" si="14"/>
        <v>45901</v>
      </c>
      <c r="J99">
        <f t="shared" si="10"/>
        <v>0</v>
      </c>
      <c r="N99" s="55"/>
    </row>
    <row r="100" spans="1:14" x14ac:dyDescent="0.3">
      <c r="A100" s="17">
        <v>45919</v>
      </c>
      <c r="B100">
        <v>-3.82</v>
      </c>
      <c r="C100">
        <f t="shared" si="11"/>
        <v>19</v>
      </c>
      <c r="D100">
        <v>1</v>
      </c>
      <c r="E100">
        <f t="shared" si="12"/>
        <v>9</v>
      </c>
      <c r="F100">
        <f t="shared" si="13"/>
        <v>2025</v>
      </c>
      <c r="H100" s="17">
        <f t="shared" si="14"/>
        <v>45901</v>
      </c>
      <c r="J100">
        <f t="shared" si="10"/>
        <v>0</v>
      </c>
      <c r="N100" s="55"/>
    </row>
    <row r="101" spans="1:14" x14ac:dyDescent="0.3">
      <c r="A101" s="17">
        <v>45918</v>
      </c>
      <c r="B101">
        <v>-4.28</v>
      </c>
      <c r="C101">
        <f t="shared" si="11"/>
        <v>18</v>
      </c>
      <c r="D101">
        <v>1</v>
      </c>
      <c r="E101">
        <f t="shared" si="12"/>
        <v>9</v>
      </c>
      <c r="F101">
        <f t="shared" si="13"/>
        <v>2025</v>
      </c>
      <c r="H101" s="17">
        <f t="shared" si="14"/>
        <v>45901</v>
      </c>
      <c r="J101">
        <f t="shared" si="10"/>
        <v>0</v>
      </c>
      <c r="N101" s="55"/>
    </row>
    <row r="102" spans="1:14" x14ac:dyDescent="0.3">
      <c r="A102" s="17">
        <v>45917</v>
      </c>
      <c r="B102">
        <v>-3.64</v>
      </c>
      <c r="C102">
        <f t="shared" si="11"/>
        <v>17</v>
      </c>
      <c r="D102">
        <v>1</v>
      </c>
      <c r="E102">
        <f t="shared" si="12"/>
        <v>9</v>
      </c>
      <c r="F102">
        <f t="shared" si="13"/>
        <v>2025</v>
      </c>
      <c r="H102" s="17">
        <f t="shared" si="14"/>
        <v>45901</v>
      </c>
      <c r="J102">
        <f t="shared" si="10"/>
        <v>0</v>
      </c>
      <c r="N102" s="55"/>
    </row>
    <row r="103" spans="1:14" x14ac:dyDescent="0.3">
      <c r="A103" s="17">
        <v>45916</v>
      </c>
      <c r="B103">
        <v>-3.71</v>
      </c>
      <c r="C103">
        <f t="shared" si="11"/>
        <v>16</v>
      </c>
      <c r="D103">
        <v>1</v>
      </c>
      <c r="E103">
        <f t="shared" si="12"/>
        <v>9</v>
      </c>
      <c r="F103">
        <f t="shared" si="13"/>
        <v>2025</v>
      </c>
      <c r="H103" s="17">
        <f t="shared" si="14"/>
        <v>45901</v>
      </c>
      <c r="J103">
        <f t="shared" si="10"/>
        <v>0</v>
      </c>
      <c r="N103" s="55"/>
    </row>
    <row r="104" spans="1:14" x14ac:dyDescent="0.3">
      <c r="A104" s="17">
        <v>45915</v>
      </c>
      <c r="B104">
        <v>-4.03</v>
      </c>
      <c r="C104">
        <f t="shared" si="11"/>
        <v>15</v>
      </c>
      <c r="D104">
        <v>1</v>
      </c>
      <c r="E104">
        <f t="shared" si="12"/>
        <v>9</v>
      </c>
      <c r="F104">
        <f t="shared" si="13"/>
        <v>2025</v>
      </c>
      <c r="H104" s="17">
        <f t="shared" si="14"/>
        <v>45901</v>
      </c>
      <c r="J104">
        <f t="shared" si="10"/>
        <v>0</v>
      </c>
      <c r="N104" s="55"/>
    </row>
    <row r="105" spans="1:14" x14ac:dyDescent="0.3">
      <c r="A105" s="17">
        <v>45912</v>
      </c>
      <c r="B105">
        <v>-3.97</v>
      </c>
      <c r="C105">
        <f t="shared" si="11"/>
        <v>12</v>
      </c>
      <c r="D105">
        <v>1</v>
      </c>
      <c r="E105">
        <f t="shared" si="12"/>
        <v>9</v>
      </c>
      <c r="F105">
        <f t="shared" si="13"/>
        <v>2025</v>
      </c>
      <c r="H105" s="17">
        <f t="shared" si="14"/>
        <v>45901</v>
      </c>
      <c r="J105">
        <f t="shared" si="10"/>
        <v>0</v>
      </c>
      <c r="N105" s="55"/>
    </row>
    <row r="106" spans="1:14" x14ac:dyDescent="0.3">
      <c r="A106" s="17">
        <v>45911</v>
      </c>
      <c r="B106">
        <v>-4.43</v>
      </c>
      <c r="C106">
        <f t="shared" si="11"/>
        <v>11</v>
      </c>
      <c r="D106">
        <v>1</v>
      </c>
      <c r="E106">
        <f t="shared" si="12"/>
        <v>9</v>
      </c>
      <c r="F106">
        <f t="shared" si="13"/>
        <v>2025</v>
      </c>
      <c r="H106" s="17">
        <f t="shared" si="14"/>
        <v>45901</v>
      </c>
      <c r="J106">
        <f t="shared" si="10"/>
        <v>0</v>
      </c>
      <c r="N106" s="55"/>
    </row>
    <row r="107" spans="1:14" x14ac:dyDescent="0.3">
      <c r="A107" s="17">
        <v>45910</v>
      </c>
      <c r="B107">
        <v>-4.17</v>
      </c>
      <c r="C107">
        <f t="shared" si="11"/>
        <v>10</v>
      </c>
      <c r="D107">
        <v>1</v>
      </c>
      <c r="E107">
        <f t="shared" si="12"/>
        <v>9</v>
      </c>
      <c r="F107">
        <f t="shared" si="13"/>
        <v>2025</v>
      </c>
      <c r="H107" s="17">
        <f t="shared" si="14"/>
        <v>45901</v>
      </c>
      <c r="J107">
        <f t="shared" si="10"/>
        <v>0</v>
      </c>
      <c r="N107" s="55"/>
    </row>
    <row r="108" spans="1:14" x14ac:dyDescent="0.3">
      <c r="A108" s="17">
        <v>45909</v>
      </c>
      <c r="B108">
        <v>-4.29</v>
      </c>
      <c r="C108">
        <f t="shared" si="11"/>
        <v>9</v>
      </c>
      <c r="D108">
        <v>1</v>
      </c>
      <c r="E108">
        <f t="shared" si="12"/>
        <v>9</v>
      </c>
      <c r="F108">
        <f t="shared" si="13"/>
        <v>2025</v>
      </c>
      <c r="H108" s="17">
        <f t="shared" si="14"/>
        <v>45901</v>
      </c>
      <c r="J108">
        <f t="shared" si="10"/>
        <v>0</v>
      </c>
      <c r="N108" s="55"/>
    </row>
    <row r="109" spans="1:14" x14ac:dyDescent="0.3">
      <c r="A109" s="17">
        <v>45908</v>
      </c>
      <c r="B109">
        <v>-4.21</v>
      </c>
      <c r="C109">
        <f t="shared" si="11"/>
        <v>8</v>
      </c>
      <c r="D109">
        <v>1</v>
      </c>
      <c r="E109">
        <f t="shared" si="12"/>
        <v>9</v>
      </c>
      <c r="F109">
        <f t="shared" si="13"/>
        <v>2025</v>
      </c>
      <c r="H109" s="17">
        <f t="shared" si="14"/>
        <v>45901</v>
      </c>
      <c r="J109">
        <f t="shared" si="10"/>
        <v>0</v>
      </c>
      <c r="N109" s="55"/>
    </row>
    <row r="110" spans="1:14" x14ac:dyDescent="0.3">
      <c r="A110" s="17">
        <v>45905</v>
      </c>
      <c r="B110">
        <v>-4.05</v>
      </c>
      <c r="C110">
        <f t="shared" si="11"/>
        <v>5</v>
      </c>
      <c r="D110">
        <v>1</v>
      </c>
      <c r="E110">
        <f t="shared" si="12"/>
        <v>9</v>
      </c>
      <c r="F110">
        <f t="shared" si="13"/>
        <v>2025</v>
      </c>
      <c r="H110" s="17">
        <f t="shared" si="14"/>
        <v>45901</v>
      </c>
      <c r="J110">
        <f t="shared" si="10"/>
        <v>0</v>
      </c>
      <c r="N110" s="55"/>
    </row>
    <row r="111" spans="1:14" x14ac:dyDescent="0.3">
      <c r="A111" s="17">
        <v>45904</v>
      </c>
      <c r="B111">
        <v>-4.66</v>
      </c>
      <c r="C111">
        <f t="shared" si="11"/>
        <v>4</v>
      </c>
      <c r="D111">
        <v>1</v>
      </c>
      <c r="E111">
        <f t="shared" si="12"/>
        <v>9</v>
      </c>
      <c r="F111">
        <f t="shared" si="13"/>
        <v>2025</v>
      </c>
      <c r="H111" s="17">
        <f t="shared" si="14"/>
        <v>45901</v>
      </c>
      <c r="J111">
        <f t="shared" si="10"/>
        <v>1</v>
      </c>
      <c r="N111" s="55"/>
    </row>
    <row r="112" spans="1:14" x14ac:dyDescent="0.3">
      <c r="A112" s="17">
        <v>45903</v>
      </c>
      <c r="B112">
        <v>-5.16</v>
      </c>
      <c r="C112">
        <f t="shared" si="11"/>
        <v>3</v>
      </c>
      <c r="D112">
        <v>1</v>
      </c>
      <c r="E112">
        <f t="shared" si="12"/>
        <v>9</v>
      </c>
      <c r="F112">
        <f t="shared" si="13"/>
        <v>2025</v>
      </c>
      <c r="H112" s="17">
        <f t="shared" si="14"/>
        <v>45901</v>
      </c>
      <c r="J112">
        <f t="shared" si="10"/>
        <v>1</v>
      </c>
      <c r="N112" s="55"/>
    </row>
    <row r="113" spans="1:14" x14ac:dyDescent="0.3">
      <c r="A113" s="17">
        <v>45902</v>
      </c>
      <c r="B113">
        <v>-5.62</v>
      </c>
      <c r="C113">
        <f t="shared" si="11"/>
        <v>2</v>
      </c>
      <c r="D113">
        <v>1</v>
      </c>
      <c r="E113">
        <f t="shared" si="12"/>
        <v>9</v>
      </c>
      <c r="F113">
        <f t="shared" si="13"/>
        <v>2025</v>
      </c>
      <c r="H113" s="17">
        <f t="shared" si="14"/>
        <v>45901</v>
      </c>
      <c r="J113">
        <f t="shared" si="10"/>
        <v>1</v>
      </c>
      <c r="N113" s="55"/>
    </row>
    <row r="114" spans="1:14" x14ac:dyDescent="0.3">
      <c r="A114" s="17">
        <v>45901</v>
      </c>
      <c r="B114">
        <v>-5.16</v>
      </c>
      <c r="C114">
        <f t="shared" si="11"/>
        <v>1</v>
      </c>
      <c r="D114">
        <v>1</v>
      </c>
      <c r="E114">
        <f t="shared" si="12"/>
        <v>9</v>
      </c>
      <c r="F114">
        <f t="shared" si="13"/>
        <v>2025</v>
      </c>
      <c r="H114" s="17">
        <f t="shared" si="14"/>
        <v>45901</v>
      </c>
      <c r="J114">
        <f t="shared" si="10"/>
        <v>1</v>
      </c>
      <c r="N114" s="55"/>
    </row>
    <row r="115" spans="1:14" x14ac:dyDescent="0.3">
      <c r="A115" s="17">
        <v>45898</v>
      </c>
      <c r="B115">
        <v>-4.8099999999999996</v>
      </c>
      <c r="C115">
        <f t="shared" si="11"/>
        <v>29</v>
      </c>
      <c r="D115">
        <v>1</v>
      </c>
      <c r="E115">
        <f t="shared" si="12"/>
        <v>8</v>
      </c>
      <c r="F115">
        <f t="shared" si="13"/>
        <v>2025</v>
      </c>
      <c r="H115" s="17">
        <f t="shared" si="14"/>
        <v>45870</v>
      </c>
      <c r="J115">
        <f t="shared" si="10"/>
        <v>0</v>
      </c>
      <c r="N115" s="55"/>
    </row>
    <row r="116" spans="1:14" x14ac:dyDescent="0.3">
      <c r="A116" s="17">
        <v>45897</v>
      </c>
      <c r="B116">
        <v>-4.72</v>
      </c>
      <c r="C116">
        <f t="shared" si="11"/>
        <v>28</v>
      </c>
      <c r="D116">
        <v>1</v>
      </c>
      <c r="E116">
        <f t="shared" si="12"/>
        <v>8</v>
      </c>
      <c r="F116">
        <f t="shared" si="13"/>
        <v>2025</v>
      </c>
      <c r="H116" s="17">
        <f t="shared" si="14"/>
        <v>45870</v>
      </c>
      <c r="J116">
        <f t="shared" si="10"/>
        <v>0</v>
      </c>
      <c r="N116" s="55"/>
    </row>
    <row r="117" spans="1:14" x14ac:dyDescent="0.3">
      <c r="A117" s="17">
        <v>45896</v>
      </c>
      <c r="B117">
        <v>-4.76</v>
      </c>
      <c r="C117">
        <f t="shared" si="11"/>
        <v>27</v>
      </c>
      <c r="D117">
        <v>1</v>
      </c>
      <c r="E117">
        <f t="shared" si="12"/>
        <v>8</v>
      </c>
      <c r="F117">
        <f t="shared" si="13"/>
        <v>2025</v>
      </c>
      <c r="H117" s="17">
        <f t="shared" si="14"/>
        <v>45870</v>
      </c>
      <c r="J117">
        <f t="shared" si="10"/>
        <v>0</v>
      </c>
      <c r="N117" s="55"/>
    </row>
    <row r="118" spans="1:14" x14ac:dyDescent="0.3">
      <c r="A118" s="17">
        <v>45895</v>
      </c>
      <c r="B118">
        <v>-4.68</v>
      </c>
      <c r="C118">
        <f t="shared" si="11"/>
        <v>26</v>
      </c>
      <c r="D118">
        <v>1</v>
      </c>
      <c r="E118">
        <f t="shared" si="12"/>
        <v>8</v>
      </c>
      <c r="F118">
        <f t="shared" si="13"/>
        <v>2025</v>
      </c>
      <c r="H118" s="17">
        <f t="shared" si="14"/>
        <v>45870</v>
      </c>
      <c r="J118">
        <f t="shared" si="10"/>
        <v>0</v>
      </c>
      <c r="N118" s="55"/>
    </row>
    <row r="119" spans="1:14" x14ac:dyDescent="0.3">
      <c r="A119" s="17">
        <v>45894</v>
      </c>
      <c r="B119">
        <v>-5.0599999999999996</v>
      </c>
      <c r="C119">
        <f t="shared" si="11"/>
        <v>25</v>
      </c>
      <c r="D119">
        <v>1</v>
      </c>
      <c r="E119">
        <f t="shared" si="12"/>
        <v>8</v>
      </c>
      <c r="F119">
        <f t="shared" si="13"/>
        <v>2025</v>
      </c>
      <c r="H119" s="17">
        <f t="shared" si="14"/>
        <v>45870</v>
      </c>
      <c r="J119">
        <f t="shared" si="10"/>
        <v>0</v>
      </c>
      <c r="N119" s="55"/>
    </row>
    <row r="120" spans="1:14" x14ac:dyDescent="0.3">
      <c r="A120" s="17">
        <v>45891</v>
      </c>
      <c r="B120">
        <v>-5.25</v>
      </c>
      <c r="C120">
        <f t="shared" si="11"/>
        <v>22</v>
      </c>
      <c r="D120">
        <v>1</v>
      </c>
      <c r="E120">
        <f t="shared" si="12"/>
        <v>8</v>
      </c>
      <c r="F120">
        <f t="shared" si="13"/>
        <v>2025</v>
      </c>
      <c r="H120" s="17">
        <f t="shared" si="14"/>
        <v>45870</v>
      </c>
      <c r="J120">
        <f t="shared" si="10"/>
        <v>0</v>
      </c>
      <c r="N120" s="55"/>
    </row>
    <row r="121" spans="1:14" x14ac:dyDescent="0.3">
      <c r="A121" s="17">
        <v>45890</v>
      </c>
      <c r="B121">
        <v>-5.23</v>
      </c>
      <c r="C121">
        <f t="shared" si="11"/>
        <v>21</v>
      </c>
      <c r="D121">
        <v>1</v>
      </c>
      <c r="E121">
        <f t="shared" si="12"/>
        <v>8</v>
      </c>
      <c r="F121">
        <f t="shared" si="13"/>
        <v>2025</v>
      </c>
      <c r="H121" s="17">
        <f t="shared" si="14"/>
        <v>45870</v>
      </c>
      <c r="J121">
        <f t="shared" si="10"/>
        <v>0</v>
      </c>
      <c r="N121" s="55"/>
    </row>
    <row r="122" spans="1:14" x14ac:dyDescent="0.3">
      <c r="A122" s="17">
        <v>45889</v>
      </c>
      <c r="B122">
        <v>-5.33</v>
      </c>
      <c r="C122">
        <f t="shared" si="11"/>
        <v>20</v>
      </c>
      <c r="D122">
        <v>1</v>
      </c>
      <c r="E122">
        <f t="shared" si="12"/>
        <v>8</v>
      </c>
      <c r="F122">
        <f t="shared" si="13"/>
        <v>2025</v>
      </c>
      <c r="H122" s="17">
        <f t="shared" si="14"/>
        <v>45870</v>
      </c>
      <c r="J122">
        <f t="shared" si="10"/>
        <v>0</v>
      </c>
      <c r="N122" s="55"/>
    </row>
    <row r="123" spans="1:14" x14ac:dyDescent="0.3">
      <c r="A123" s="17">
        <v>45888</v>
      </c>
      <c r="B123">
        <v>-4.82</v>
      </c>
      <c r="C123">
        <f t="shared" si="11"/>
        <v>19</v>
      </c>
      <c r="D123">
        <v>1</v>
      </c>
      <c r="E123">
        <f t="shared" si="12"/>
        <v>8</v>
      </c>
      <c r="F123">
        <f t="shared" si="13"/>
        <v>2025</v>
      </c>
      <c r="H123" s="17">
        <f t="shared" si="14"/>
        <v>45870</v>
      </c>
      <c r="J123">
        <f t="shared" si="10"/>
        <v>0</v>
      </c>
      <c r="N123" s="55"/>
    </row>
    <row r="124" spans="1:14" x14ac:dyDescent="0.3">
      <c r="A124" s="17">
        <v>45887</v>
      </c>
      <c r="B124">
        <v>-4.8899999999999997</v>
      </c>
      <c r="C124">
        <f t="shared" si="11"/>
        <v>18</v>
      </c>
      <c r="D124">
        <v>1</v>
      </c>
      <c r="E124">
        <f t="shared" si="12"/>
        <v>8</v>
      </c>
      <c r="F124">
        <f t="shared" si="13"/>
        <v>2025</v>
      </c>
      <c r="H124" s="17">
        <f t="shared" si="14"/>
        <v>45870</v>
      </c>
      <c r="J124">
        <f t="shared" si="10"/>
        <v>0</v>
      </c>
      <c r="N124" s="55"/>
    </row>
    <row r="125" spans="1:14" x14ac:dyDescent="0.3">
      <c r="A125" s="17">
        <v>45884</v>
      </c>
      <c r="B125">
        <v>-5.09</v>
      </c>
      <c r="C125">
        <f t="shared" si="11"/>
        <v>15</v>
      </c>
      <c r="D125">
        <v>1</v>
      </c>
      <c r="E125">
        <f t="shared" si="12"/>
        <v>8</v>
      </c>
      <c r="F125">
        <f t="shared" si="13"/>
        <v>2025</v>
      </c>
      <c r="H125" s="17">
        <f t="shared" si="14"/>
        <v>45870</v>
      </c>
      <c r="J125">
        <f t="shared" si="10"/>
        <v>0</v>
      </c>
      <c r="N125" s="55"/>
    </row>
    <row r="126" spans="1:14" x14ac:dyDescent="0.3">
      <c r="A126" s="17">
        <v>45883</v>
      </c>
      <c r="B126">
        <v>-4.88</v>
      </c>
      <c r="C126">
        <f t="shared" si="11"/>
        <v>14</v>
      </c>
      <c r="D126">
        <v>1</v>
      </c>
      <c r="E126">
        <f t="shared" si="12"/>
        <v>8</v>
      </c>
      <c r="F126">
        <f t="shared" si="13"/>
        <v>2025</v>
      </c>
      <c r="H126" s="17">
        <f t="shared" si="14"/>
        <v>45870</v>
      </c>
      <c r="J126">
        <f t="shared" si="10"/>
        <v>0</v>
      </c>
      <c r="N126" s="55"/>
    </row>
    <row r="127" spans="1:14" x14ac:dyDescent="0.3">
      <c r="A127" s="17">
        <v>45882</v>
      </c>
      <c r="B127">
        <v>-5.25</v>
      </c>
      <c r="C127">
        <f t="shared" si="11"/>
        <v>13</v>
      </c>
      <c r="D127">
        <v>1</v>
      </c>
      <c r="E127">
        <f t="shared" si="12"/>
        <v>8</v>
      </c>
      <c r="F127">
        <f t="shared" si="13"/>
        <v>2025</v>
      </c>
      <c r="H127" s="17">
        <f t="shared" si="14"/>
        <v>45870</v>
      </c>
      <c r="J127">
        <f t="shared" si="10"/>
        <v>0</v>
      </c>
      <c r="N127" s="55"/>
    </row>
    <row r="128" spans="1:14" x14ac:dyDescent="0.3">
      <c r="A128" s="17">
        <v>45881</v>
      </c>
      <c r="B128">
        <v>-5.48</v>
      </c>
      <c r="C128">
        <f t="shared" si="11"/>
        <v>12</v>
      </c>
      <c r="D128">
        <v>1</v>
      </c>
      <c r="E128">
        <f t="shared" si="12"/>
        <v>8</v>
      </c>
      <c r="F128">
        <f t="shared" si="13"/>
        <v>2025</v>
      </c>
      <c r="H128" s="17">
        <f t="shared" si="14"/>
        <v>45870</v>
      </c>
      <c r="J128">
        <f t="shared" si="10"/>
        <v>0</v>
      </c>
      <c r="N128" s="55"/>
    </row>
    <row r="129" spans="1:14" x14ac:dyDescent="0.3">
      <c r="A129" s="17">
        <v>45880</v>
      </c>
      <c r="B129">
        <v>-5.15</v>
      </c>
      <c r="C129">
        <f t="shared" si="11"/>
        <v>11</v>
      </c>
      <c r="D129">
        <v>1</v>
      </c>
      <c r="E129">
        <f t="shared" si="12"/>
        <v>8</v>
      </c>
      <c r="F129">
        <f t="shared" si="13"/>
        <v>2025</v>
      </c>
      <c r="H129" s="17">
        <f t="shared" si="14"/>
        <v>45870</v>
      </c>
      <c r="J129">
        <f t="shared" si="10"/>
        <v>0</v>
      </c>
      <c r="N129" s="55"/>
    </row>
    <row r="130" spans="1:14" x14ac:dyDescent="0.3">
      <c r="A130" s="17">
        <v>45877</v>
      </c>
      <c r="B130">
        <v>-5.57</v>
      </c>
      <c r="C130">
        <f t="shared" si="11"/>
        <v>8</v>
      </c>
      <c r="D130">
        <v>1</v>
      </c>
      <c r="E130">
        <f t="shared" si="12"/>
        <v>8</v>
      </c>
      <c r="F130">
        <f t="shared" si="13"/>
        <v>2025</v>
      </c>
      <c r="H130" s="17">
        <f t="shared" si="14"/>
        <v>45870</v>
      </c>
      <c r="J130">
        <f t="shared" si="10"/>
        <v>0</v>
      </c>
      <c r="N130" s="55"/>
    </row>
    <row r="131" spans="1:14" x14ac:dyDescent="0.3">
      <c r="A131" s="17">
        <v>45876</v>
      </c>
      <c r="B131">
        <v>-5.99</v>
      </c>
      <c r="C131">
        <f t="shared" si="11"/>
        <v>7</v>
      </c>
      <c r="D131">
        <v>1</v>
      </c>
      <c r="E131">
        <f t="shared" si="12"/>
        <v>8</v>
      </c>
      <c r="F131">
        <f t="shared" si="13"/>
        <v>2025</v>
      </c>
      <c r="H131" s="17">
        <f t="shared" si="14"/>
        <v>45870</v>
      </c>
      <c r="J131">
        <f t="shared" si="10"/>
        <v>0</v>
      </c>
      <c r="N131" s="55"/>
    </row>
    <row r="132" spans="1:14" x14ac:dyDescent="0.3">
      <c r="A132" s="17">
        <v>45875</v>
      </c>
      <c r="B132">
        <v>-5.96</v>
      </c>
      <c r="C132">
        <f t="shared" si="11"/>
        <v>6</v>
      </c>
      <c r="D132">
        <v>1</v>
      </c>
      <c r="E132">
        <f t="shared" si="12"/>
        <v>8</v>
      </c>
      <c r="F132">
        <f t="shared" si="13"/>
        <v>2025</v>
      </c>
      <c r="H132" s="17">
        <f t="shared" si="14"/>
        <v>45870</v>
      </c>
      <c r="J132">
        <f t="shared" si="10"/>
        <v>0</v>
      </c>
      <c r="N132" s="55"/>
    </row>
    <row r="133" spans="1:14" x14ac:dyDescent="0.3">
      <c r="A133" s="17">
        <v>45874</v>
      </c>
      <c r="B133">
        <v>-5.91</v>
      </c>
      <c r="C133">
        <f t="shared" si="11"/>
        <v>5</v>
      </c>
      <c r="D133">
        <v>1</v>
      </c>
      <c r="E133">
        <f t="shared" si="12"/>
        <v>8</v>
      </c>
      <c r="F133">
        <f t="shared" si="13"/>
        <v>2025</v>
      </c>
      <c r="H133" s="17">
        <f t="shared" si="14"/>
        <v>45870</v>
      </c>
      <c r="J133">
        <f t="shared" si="10"/>
        <v>0</v>
      </c>
      <c r="N133" s="55"/>
    </row>
    <row r="134" spans="1:14" x14ac:dyDescent="0.3">
      <c r="A134" s="17">
        <v>45873</v>
      </c>
      <c r="B134">
        <v>-6.36</v>
      </c>
      <c r="C134">
        <f t="shared" si="11"/>
        <v>4</v>
      </c>
      <c r="D134">
        <v>1</v>
      </c>
      <c r="E134">
        <f t="shared" si="12"/>
        <v>8</v>
      </c>
      <c r="F134">
        <f t="shared" si="13"/>
        <v>2025</v>
      </c>
      <c r="H134" s="17">
        <f t="shared" si="14"/>
        <v>45870</v>
      </c>
      <c r="J134">
        <f t="shared" si="10"/>
        <v>1</v>
      </c>
      <c r="N134" s="55"/>
    </row>
    <row r="135" spans="1:14" x14ac:dyDescent="0.3">
      <c r="A135" s="17">
        <v>45870</v>
      </c>
      <c r="B135">
        <v>-6.58</v>
      </c>
      <c r="C135">
        <f t="shared" si="11"/>
        <v>1</v>
      </c>
      <c r="D135">
        <v>1</v>
      </c>
      <c r="E135">
        <f t="shared" si="12"/>
        <v>8</v>
      </c>
      <c r="F135">
        <f t="shared" si="13"/>
        <v>2025</v>
      </c>
      <c r="H135" s="17">
        <f t="shared" si="14"/>
        <v>45870</v>
      </c>
      <c r="J135">
        <f t="shared" si="10"/>
        <v>1</v>
      </c>
      <c r="N135" s="55"/>
    </row>
    <row r="136" spans="1:14" x14ac:dyDescent="0.3">
      <c r="A136" s="17">
        <v>45869</v>
      </c>
      <c r="B136">
        <v>-6.5</v>
      </c>
      <c r="C136">
        <f t="shared" si="11"/>
        <v>31</v>
      </c>
      <c r="D136">
        <v>1</v>
      </c>
      <c r="E136">
        <f t="shared" si="12"/>
        <v>7</v>
      </c>
      <c r="F136">
        <f t="shared" si="13"/>
        <v>2025</v>
      </c>
      <c r="H136" s="17">
        <f t="shared" si="14"/>
        <v>45839</v>
      </c>
      <c r="J136">
        <f t="shared" si="10"/>
        <v>0</v>
      </c>
      <c r="N136" s="55"/>
    </row>
    <row r="137" spans="1:14" x14ac:dyDescent="0.3">
      <c r="A137" s="17">
        <v>45868</v>
      </c>
      <c r="B137">
        <v>-6.2</v>
      </c>
      <c r="C137">
        <f t="shared" si="11"/>
        <v>30</v>
      </c>
      <c r="D137">
        <v>1</v>
      </c>
      <c r="E137">
        <f t="shared" si="12"/>
        <v>7</v>
      </c>
      <c r="F137">
        <f t="shared" si="13"/>
        <v>2025</v>
      </c>
      <c r="H137" s="17">
        <f t="shared" si="14"/>
        <v>45839</v>
      </c>
      <c r="J137">
        <f t="shared" ref="J137:J200" si="15">IF(AND(C137&gt;=1, C137&lt;=4), 1, 0)</f>
        <v>0</v>
      </c>
      <c r="N137" s="55"/>
    </row>
    <row r="138" spans="1:14" x14ac:dyDescent="0.3">
      <c r="A138" s="17">
        <v>45867</v>
      </c>
      <c r="B138">
        <v>-6.27</v>
      </c>
      <c r="C138">
        <f t="shared" ref="C138:C201" si="16">+DAY(A138)</f>
        <v>29</v>
      </c>
      <c r="D138">
        <v>1</v>
      </c>
      <c r="E138">
        <f t="shared" ref="E138:E201" si="17">+MONTH(A138)</f>
        <v>7</v>
      </c>
      <c r="F138">
        <f t="shared" ref="F138:F201" si="18">+YEAR(A138)</f>
        <v>2025</v>
      </c>
      <c r="H138" s="17">
        <f t="shared" ref="H138:H201" si="19">+DATE(F138,E138,D138)</f>
        <v>45839</v>
      </c>
      <c r="J138">
        <f t="shared" si="15"/>
        <v>0</v>
      </c>
      <c r="N138" s="55"/>
    </row>
    <row r="139" spans="1:14" x14ac:dyDescent="0.3">
      <c r="A139" s="17">
        <v>45866</v>
      </c>
      <c r="B139">
        <v>-6.03</v>
      </c>
      <c r="C139">
        <f t="shared" si="16"/>
        <v>28</v>
      </c>
      <c r="D139">
        <v>1</v>
      </c>
      <c r="E139">
        <f t="shared" si="17"/>
        <v>7</v>
      </c>
      <c r="F139">
        <f t="shared" si="18"/>
        <v>2025</v>
      </c>
      <c r="H139" s="17">
        <f t="shared" si="19"/>
        <v>45839</v>
      </c>
      <c r="J139">
        <f t="shared" si="15"/>
        <v>0</v>
      </c>
      <c r="N139" s="55"/>
    </row>
    <row r="140" spans="1:14" x14ac:dyDescent="0.3">
      <c r="A140" s="17">
        <v>45863</v>
      </c>
      <c r="B140">
        <v>-6.26</v>
      </c>
      <c r="C140">
        <f t="shared" si="16"/>
        <v>25</v>
      </c>
      <c r="D140">
        <v>1</v>
      </c>
      <c r="E140">
        <f t="shared" si="17"/>
        <v>7</v>
      </c>
      <c r="F140">
        <f t="shared" si="18"/>
        <v>2025</v>
      </c>
      <c r="H140" s="17">
        <f t="shared" si="19"/>
        <v>45839</v>
      </c>
      <c r="J140">
        <f t="shared" si="15"/>
        <v>0</v>
      </c>
      <c r="N140" s="55"/>
    </row>
    <row r="141" spans="1:14" x14ac:dyDescent="0.3">
      <c r="A141" s="17">
        <v>45862</v>
      </c>
      <c r="B141">
        <v>-6.44</v>
      </c>
      <c r="C141">
        <f t="shared" si="16"/>
        <v>24</v>
      </c>
      <c r="D141">
        <v>1</v>
      </c>
      <c r="E141">
        <f t="shared" si="17"/>
        <v>7</v>
      </c>
      <c r="F141">
        <f t="shared" si="18"/>
        <v>2025</v>
      </c>
      <c r="H141" s="17">
        <f t="shared" si="19"/>
        <v>45839</v>
      </c>
      <c r="J141">
        <f t="shared" si="15"/>
        <v>0</v>
      </c>
      <c r="N141" s="55"/>
    </row>
    <row r="142" spans="1:14" x14ac:dyDescent="0.3">
      <c r="A142" s="17">
        <v>45861</v>
      </c>
      <c r="B142">
        <v>-6.62</v>
      </c>
      <c r="C142">
        <f t="shared" si="16"/>
        <v>23</v>
      </c>
      <c r="D142">
        <v>1</v>
      </c>
      <c r="E142">
        <f t="shared" si="17"/>
        <v>7</v>
      </c>
      <c r="F142">
        <f t="shared" si="18"/>
        <v>2025</v>
      </c>
      <c r="H142" s="17">
        <f t="shared" si="19"/>
        <v>45839</v>
      </c>
      <c r="J142">
        <f t="shared" si="15"/>
        <v>0</v>
      </c>
      <c r="N142" s="55"/>
    </row>
    <row r="143" spans="1:14" x14ac:dyDescent="0.3">
      <c r="A143" s="17">
        <v>45860</v>
      </c>
      <c r="B143">
        <v>-6.6</v>
      </c>
      <c r="C143">
        <f t="shared" si="16"/>
        <v>22</v>
      </c>
      <c r="D143">
        <v>1</v>
      </c>
      <c r="E143">
        <f t="shared" si="17"/>
        <v>7</v>
      </c>
      <c r="F143">
        <f t="shared" si="18"/>
        <v>2025</v>
      </c>
      <c r="H143" s="17">
        <f t="shared" si="19"/>
        <v>45839</v>
      </c>
      <c r="J143">
        <f t="shared" si="15"/>
        <v>0</v>
      </c>
      <c r="N143" s="55"/>
    </row>
    <row r="144" spans="1:14" x14ac:dyDescent="0.3">
      <c r="A144" s="17">
        <v>45859</v>
      </c>
      <c r="B144">
        <v>-6.23</v>
      </c>
      <c r="C144">
        <f t="shared" si="16"/>
        <v>21</v>
      </c>
      <c r="D144">
        <v>1</v>
      </c>
      <c r="E144">
        <f t="shared" si="17"/>
        <v>7</v>
      </c>
      <c r="F144">
        <f t="shared" si="18"/>
        <v>2025</v>
      </c>
      <c r="H144" s="17">
        <f t="shared" si="19"/>
        <v>45839</v>
      </c>
      <c r="J144">
        <f t="shared" si="15"/>
        <v>0</v>
      </c>
      <c r="N144" s="55"/>
    </row>
    <row r="145" spans="1:14" x14ac:dyDescent="0.3">
      <c r="A145" s="17">
        <v>45856</v>
      </c>
      <c r="B145">
        <v>-6.05</v>
      </c>
      <c r="C145">
        <f t="shared" si="16"/>
        <v>18</v>
      </c>
      <c r="D145">
        <v>1</v>
      </c>
      <c r="E145">
        <f t="shared" si="17"/>
        <v>7</v>
      </c>
      <c r="F145">
        <f t="shared" si="18"/>
        <v>2025</v>
      </c>
      <c r="H145" s="17">
        <f t="shared" si="19"/>
        <v>45839</v>
      </c>
      <c r="J145">
        <f t="shared" si="15"/>
        <v>0</v>
      </c>
      <c r="N145" s="55"/>
    </row>
    <row r="146" spans="1:14" x14ac:dyDescent="0.3">
      <c r="A146" s="17">
        <v>45855</v>
      </c>
      <c r="B146">
        <v>-5.42</v>
      </c>
      <c r="C146">
        <f t="shared" si="16"/>
        <v>17</v>
      </c>
      <c r="D146">
        <v>1</v>
      </c>
      <c r="E146">
        <f t="shared" si="17"/>
        <v>7</v>
      </c>
      <c r="F146">
        <f t="shared" si="18"/>
        <v>2025</v>
      </c>
      <c r="H146" s="17">
        <f t="shared" si="19"/>
        <v>45839</v>
      </c>
      <c r="J146">
        <f t="shared" si="15"/>
        <v>0</v>
      </c>
      <c r="N146" s="55"/>
    </row>
    <row r="147" spans="1:14" x14ac:dyDescent="0.3">
      <c r="A147" s="17">
        <v>45854</v>
      </c>
      <c r="B147">
        <v>-5.05</v>
      </c>
      <c r="C147">
        <f t="shared" si="16"/>
        <v>16</v>
      </c>
      <c r="D147">
        <v>1</v>
      </c>
      <c r="E147">
        <f t="shared" si="17"/>
        <v>7</v>
      </c>
      <c r="F147">
        <f t="shared" si="18"/>
        <v>2025</v>
      </c>
      <c r="H147" s="17">
        <f t="shared" si="19"/>
        <v>45839</v>
      </c>
      <c r="J147">
        <f t="shared" si="15"/>
        <v>0</v>
      </c>
      <c r="N147" s="55"/>
    </row>
    <row r="148" spans="1:14" x14ac:dyDescent="0.3">
      <c r="A148" s="17">
        <v>45853</v>
      </c>
      <c r="B148">
        <v>-5.16</v>
      </c>
      <c r="C148">
        <f t="shared" si="16"/>
        <v>15</v>
      </c>
      <c r="D148">
        <v>1</v>
      </c>
      <c r="E148">
        <f t="shared" si="17"/>
        <v>7</v>
      </c>
      <c r="F148">
        <f t="shared" si="18"/>
        <v>2025</v>
      </c>
      <c r="H148" s="17">
        <f t="shared" si="19"/>
        <v>45839</v>
      </c>
      <c r="J148">
        <f t="shared" si="15"/>
        <v>0</v>
      </c>
      <c r="N148" s="55"/>
    </row>
    <row r="149" spans="1:14" x14ac:dyDescent="0.3">
      <c r="A149" s="17">
        <v>45852</v>
      </c>
      <c r="B149">
        <v>-5.2</v>
      </c>
      <c r="C149">
        <f t="shared" si="16"/>
        <v>14</v>
      </c>
      <c r="D149">
        <v>1</v>
      </c>
      <c r="E149">
        <f t="shared" si="17"/>
        <v>7</v>
      </c>
      <c r="F149">
        <f t="shared" si="18"/>
        <v>2025</v>
      </c>
      <c r="H149" s="17">
        <f t="shared" si="19"/>
        <v>45839</v>
      </c>
      <c r="J149">
        <f t="shared" si="15"/>
        <v>0</v>
      </c>
      <c r="N149" s="55"/>
    </row>
    <row r="150" spans="1:14" x14ac:dyDescent="0.3">
      <c r="A150" s="17">
        <v>45849</v>
      </c>
      <c r="B150">
        <v>-4.96</v>
      </c>
      <c r="C150">
        <f t="shared" si="16"/>
        <v>11</v>
      </c>
      <c r="D150">
        <v>1</v>
      </c>
      <c r="E150">
        <f t="shared" si="17"/>
        <v>7</v>
      </c>
      <c r="F150">
        <f t="shared" si="18"/>
        <v>2025</v>
      </c>
      <c r="H150" s="17">
        <f t="shared" si="19"/>
        <v>45839</v>
      </c>
      <c r="J150">
        <f t="shared" si="15"/>
        <v>0</v>
      </c>
      <c r="N150" s="55"/>
    </row>
    <row r="151" spans="1:14" x14ac:dyDescent="0.3">
      <c r="A151" s="17">
        <v>45848</v>
      </c>
      <c r="B151">
        <v>-5.36</v>
      </c>
      <c r="C151">
        <f t="shared" si="16"/>
        <v>10</v>
      </c>
      <c r="D151">
        <v>1</v>
      </c>
      <c r="E151">
        <f t="shared" si="17"/>
        <v>7</v>
      </c>
      <c r="F151">
        <f t="shared" si="18"/>
        <v>2025</v>
      </c>
      <c r="H151" s="17">
        <f t="shared" si="19"/>
        <v>45839</v>
      </c>
      <c r="J151">
        <f t="shared" si="15"/>
        <v>0</v>
      </c>
      <c r="N151" s="55"/>
    </row>
    <row r="152" spans="1:14" x14ac:dyDescent="0.3">
      <c r="A152" s="17">
        <v>45847</v>
      </c>
      <c r="B152">
        <v>-5.09</v>
      </c>
      <c r="C152">
        <f t="shared" si="16"/>
        <v>9</v>
      </c>
      <c r="D152">
        <v>1</v>
      </c>
      <c r="E152">
        <f t="shared" si="17"/>
        <v>7</v>
      </c>
      <c r="F152">
        <f t="shared" si="18"/>
        <v>2025</v>
      </c>
      <c r="H152" s="17">
        <f t="shared" si="19"/>
        <v>45839</v>
      </c>
      <c r="J152">
        <f t="shared" si="15"/>
        <v>0</v>
      </c>
      <c r="N152" s="55"/>
    </row>
    <row r="153" spans="1:14" x14ac:dyDescent="0.3">
      <c r="A153" s="17">
        <v>45846</v>
      </c>
      <c r="B153">
        <v>-5.22</v>
      </c>
      <c r="C153">
        <f t="shared" si="16"/>
        <v>8</v>
      </c>
      <c r="D153">
        <v>1</v>
      </c>
      <c r="E153">
        <f t="shared" si="17"/>
        <v>7</v>
      </c>
      <c r="F153">
        <f t="shared" si="18"/>
        <v>2025</v>
      </c>
      <c r="H153" s="17">
        <f t="shared" si="19"/>
        <v>45839</v>
      </c>
      <c r="J153">
        <f t="shared" si="15"/>
        <v>0</v>
      </c>
      <c r="N153" s="55"/>
    </row>
    <row r="154" spans="1:14" x14ac:dyDescent="0.3">
      <c r="A154" s="17">
        <v>45845</v>
      </c>
      <c r="B154">
        <v>-5.48</v>
      </c>
      <c r="C154">
        <f t="shared" si="16"/>
        <v>7</v>
      </c>
      <c r="D154">
        <v>1</v>
      </c>
      <c r="E154">
        <f t="shared" si="17"/>
        <v>7</v>
      </c>
      <c r="F154">
        <f t="shared" si="18"/>
        <v>2025</v>
      </c>
      <c r="H154" s="17">
        <f t="shared" si="19"/>
        <v>45839</v>
      </c>
      <c r="J154">
        <f t="shared" si="15"/>
        <v>0</v>
      </c>
      <c r="N154" s="55"/>
    </row>
    <row r="155" spans="1:14" x14ac:dyDescent="0.3">
      <c r="A155" s="17">
        <v>45842</v>
      </c>
      <c r="B155">
        <v>-5.41</v>
      </c>
      <c r="C155">
        <f t="shared" si="16"/>
        <v>4</v>
      </c>
      <c r="D155">
        <v>1</v>
      </c>
      <c r="E155">
        <f t="shared" si="17"/>
        <v>7</v>
      </c>
      <c r="F155">
        <f t="shared" si="18"/>
        <v>2025</v>
      </c>
      <c r="H155" s="17">
        <f t="shared" si="19"/>
        <v>45839</v>
      </c>
      <c r="J155">
        <f t="shared" si="15"/>
        <v>1</v>
      </c>
      <c r="N155" s="55"/>
    </row>
    <row r="156" spans="1:14" x14ac:dyDescent="0.3">
      <c r="A156" s="17">
        <v>45841</v>
      </c>
      <c r="B156">
        <v>-5.31</v>
      </c>
      <c r="C156">
        <f t="shared" si="16"/>
        <v>3</v>
      </c>
      <c r="D156">
        <v>1</v>
      </c>
      <c r="E156">
        <f t="shared" si="17"/>
        <v>7</v>
      </c>
      <c r="F156">
        <f t="shared" si="18"/>
        <v>2025</v>
      </c>
      <c r="H156" s="17">
        <f t="shared" si="19"/>
        <v>45839</v>
      </c>
      <c r="J156">
        <f t="shared" si="15"/>
        <v>1</v>
      </c>
      <c r="N156" s="55"/>
    </row>
    <row r="157" spans="1:14" x14ac:dyDescent="0.3">
      <c r="A157" s="17">
        <v>45840</v>
      </c>
      <c r="B157">
        <v>-5.3</v>
      </c>
      <c r="C157">
        <f t="shared" si="16"/>
        <v>2</v>
      </c>
      <c r="D157">
        <v>1</v>
      </c>
      <c r="E157">
        <f t="shared" si="17"/>
        <v>7</v>
      </c>
      <c r="F157">
        <f t="shared" si="18"/>
        <v>2025</v>
      </c>
      <c r="H157" s="17">
        <f t="shared" si="19"/>
        <v>45839</v>
      </c>
      <c r="J157">
        <f t="shared" si="15"/>
        <v>1</v>
      </c>
      <c r="N157" s="55"/>
    </row>
    <row r="158" spans="1:14" x14ac:dyDescent="0.3">
      <c r="A158" s="17">
        <v>45839</v>
      </c>
      <c r="B158">
        <v>-5.29</v>
      </c>
      <c r="C158">
        <f t="shared" si="16"/>
        <v>1</v>
      </c>
      <c r="D158">
        <v>1</v>
      </c>
      <c r="E158">
        <f t="shared" si="17"/>
        <v>7</v>
      </c>
      <c r="F158">
        <f t="shared" si="18"/>
        <v>2025</v>
      </c>
      <c r="H158" s="17">
        <f t="shared" si="19"/>
        <v>45839</v>
      </c>
      <c r="J158">
        <f t="shared" si="15"/>
        <v>1</v>
      </c>
      <c r="N158" s="55"/>
    </row>
    <row r="159" spans="1:14" x14ac:dyDescent="0.3">
      <c r="A159" s="17">
        <v>45838</v>
      </c>
      <c r="B159">
        <v>-5.82</v>
      </c>
      <c r="C159">
        <f t="shared" si="16"/>
        <v>30</v>
      </c>
      <c r="D159">
        <v>1</v>
      </c>
      <c r="E159">
        <f t="shared" si="17"/>
        <v>6</v>
      </c>
      <c r="F159">
        <f t="shared" si="18"/>
        <v>2025</v>
      </c>
      <c r="H159" s="17">
        <f t="shared" si="19"/>
        <v>45809</v>
      </c>
      <c r="J159">
        <f t="shared" si="15"/>
        <v>0</v>
      </c>
      <c r="N159" s="55"/>
    </row>
    <row r="160" spans="1:14" x14ac:dyDescent="0.3">
      <c r="A160" s="17">
        <v>45835</v>
      </c>
      <c r="B160">
        <v>-6.06</v>
      </c>
      <c r="C160">
        <f t="shared" si="16"/>
        <v>27</v>
      </c>
      <c r="D160">
        <v>1</v>
      </c>
      <c r="E160">
        <f t="shared" si="17"/>
        <v>6</v>
      </c>
      <c r="F160">
        <f t="shared" si="18"/>
        <v>2025</v>
      </c>
      <c r="H160" s="17">
        <f t="shared" si="19"/>
        <v>45809</v>
      </c>
      <c r="J160">
        <f t="shared" si="15"/>
        <v>0</v>
      </c>
      <c r="N160" s="55"/>
    </row>
    <row r="161" spans="1:14" x14ac:dyDescent="0.3">
      <c r="A161" s="17">
        <v>45834</v>
      </c>
      <c r="B161">
        <v>-5.53</v>
      </c>
      <c r="C161">
        <f t="shared" si="16"/>
        <v>26</v>
      </c>
      <c r="D161">
        <v>1</v>
      </c>
      <c r="E161">
        <f t="shared" si="17"/>
        <v>6</v>
      </c>
      <c r="F161">
        <f t="shared" si="18"/>
        <v>2025</v>
      </c>
      <c r="H161" s="17">
        <f t="shared" si="19"/>
        <v>45809</v>
      </c>
      <c r="J161">
        <f t="shared" si="15"/>
        <v>0</v>
      </c>
      <c r="N161" s="55"/>
    </row>
    <row r="162" spans="1:14" x14ac:dyDescent="0.3">
      <c r="A162" s="17">
        <v>45833</v>
      </c>
      <c r="B162">
        <v>-5</v>
      </c>
      <c r="C162">
        <f t="shared" si="16"/>
        <v>25</v>
      </c>
      <c r="D162">
        <v>1</v>
      </c>
      <c r="E162">
        <f t="shared" si="17"/>
        <v>6</v>
      </c>
      <c r="F162">
        <f t="shared" si="18"/>
        <v>2025</v>
      </c>
      <c r="H162" s="17">
        <f t="shared" si="19"/>
        <v>45809</v>
      </c>
      <c r="J162">
        <f t="shared" si="15"/>
        <v>0</v>
      </c>
      <c r="N162" s="55"/>
    </row>
    <row r="163" spans="1:14" x14ac:dyDescent="0.3">
      <c r="A163" s="17">
        <v>45832</v>
      </c>
      <c r="B163">
        <v>-5.22</v>
      </c>
      <c r="C163">
        <f t="shared" si="16"/>
        <v>24</v>
      </c>
      <c r="D163">
        <v>1</v>
      </c>
      <c r="E163">
        <f t="shared" si="17"/>
        <v>6</v>
      </c>
      <c r="F163">
        <f t="shared" si="18"/>
        <v>2025</v>
      </c>
      <c r="H163" s="17">
        <f t="shared" si="19"/>
        <v>45809</v>
      </c>
      <c r="J163">
        <f t="shared" si="15"/>
        <v>0</v>
      </c>
      <c r="N163" s="55"/>
    </row>
    <row r="164" spans="1:14" x14ac:dyDescent="0.3">
      <c r="A164" s="17">
        <v>45831</v>
      </c>
      <c r="B164">
        <v>-5.83</v>
      </c>
      <c r="C164">
        <f t="shared" si="16"/>
        <v>23</v>
      </c>
      <c r="D164">
        <v>1</v>
      </c>
      <c r="E164">
        <f t="shared" si="17"/>
        <v>6</v>
      </c>
      <c r="F164">
        <f t="shared" si="18"/>
        <v>2025</v>
      </c>
      <c r="H164" s="17">
        <f t="shared" si="19"/>
        <v>45809</v>
      </c>
      <c r="J164">
        <f t="shared" si="15"/>
        <v>0</v>
      </c>
      <c r="N164" s="55"/>
    </row>
    <row r="165" spans="1:14" x14ac:dyDescent="0.3">
      <c r="A165" s="17">
        <v>45828</v>
      </c>
      <c r="B165">
        <v>-5.81</v>
      </c>
      <c r="C165">
        <f t="shared" si="16"/>
        <v>20</v>
      </c>
      <c r="D165">
        <v>1</v>
      </c>
      <c r="E165">
        <f t="shared" si="17"/>
        <v>6</v>
      </c>
      <c r="F165">
        <f t="shared" si="18"/>
        <v>2025</v>
      </c>
      <c r="H165" s="17">
        <f t="shared" si="19"/>
        <v>45809</v>
      </c>
      <c r="J165">
        <f t="shared" si="15"/>
        <v>0</v>
      </c>
      <c r="N165" s="55"/>
    </row>
    <row r="166" spans="1:14" x14ac:dyDescent="0.3">
      <c r="A166" s="17">
        <v>45827</v>
      </c>
      <c r="B166">
        <v>-6.01</v>
      </c>
      <c r="C166">
        <f t="shared" si="16"/>
        <v>19</v>
      </c>
      <c r="D166">
        <v>1</v>
      </c>
      <c r="E166">
        <f t="shared" si="17"/>
        <v>6</v>
      </c>
      <c r="F166">
        <f t="shared" si="18"/>
        <v>2025</v>
      </c>
      <c r="H166" s="17">
        <f t="shared" si="19"/>
        <v>45809</v>
      </c>
      <c r="J166">
        <f t="shared" si="15"/>
        <v>0</v>
      </c>
      <c r="N166" s="55"/>
    </row>
    <row r="167" spans="1:14" x14ac:dyDescent="0.3">
      <c r="A167" s="17">
        <v>45826</v>
      </c>
      <c r="B167">
        <v>-5.98</v>
      </c>
      <c r="C167">
        <f t="shared" si="16"/>
        <v>18</v>
      </c>
      <c r="D167">
        <v>1</v>
      </c>
      <c r="E167">
        <f t="shared" si="17"/>
        <v>6</v>
      </c>
      <c r="F167">
        <f t="shared" si="18"/>
        <v>2025</v>
      </c>
      <c r="H167" s="17">
        <f t="shared" si="19"/>
        <v>45809</v>
      </c>
      <c r="J167">
        <f t="shared" si="15"/>
        <v>0</v>
      </c>
      <c r="N167" s="55"/>
    </row>
    <row r="168" spans="1:14" x14ac:dyDescent="0.3">
      <c r="A168" s="17">
        <v>45825</v>
      </c>
      <c r="B168">
        <v>-5.0999999999999996</v>
      </c>
      <c r="C168">
        <f t="shared" si="16"/>
        <v>17</v>
      </c>
      <c r="D168">
        <v>1</v>
      </c>
      <c r="E168">
        <f t="shared" si="17"/>
        <v>6</v>
      </c>
      <c r="F168">
        <f t="shared" si="18"/>
        <v>2025</v>
      </c>
      <c r="H168" s="17">
        <f t="shared" si="19"/>
        <v>45809</v>
      </c>
      <c r="J168">
        <f t="shared" si="15"/>
        <v>0</v>
      </c>
      <c r="N168" s="55"/>
    </row>
    <row r="169" spans="1:14" x14ac:dyDescent="0.3">
      <c r="A169" s="17">
        <v>45824</v>
      </c>
      <c r="B169">
        <v>-4.76</v>
      </c>
      <c r="C169">
        <f t="shared" si="16"/>
        <v>16</v>
      </c>
      <c r="D169">
        <v>1</v>
      </c>
      <c r="E169">
        <f t="shared" si="17"/>
        <v>6</v>
      </c>
      <c r="F169">
        <f t="shared" si="18"/>
        <v>2025</v>
      </c>
      <c r="H169" s="17">
        <f t="shared" si="19"/>
        <v>45809</v>
      </c>
      <c r="J169">
        <f t="shared" si="15"/>
        <v>0</v>
      </c>
      <c r="N169" s="55"/>
    </row>
    <row r="170" spans="1:14" x14ac:dyDescent="0.3">
      <c r="A170" s="17">
        <v>45821</v>
      </c>
      <c r="B170">
        <v>-5.57</v>
      </c>
      <c r="C170">
        <f t="shared" si="16"/>
        <v>13</v>
      </c>
      <c r="D170">
        <v>1</v>
      </c>
      <c r="E170">
        <f t="shared" si="17"/>
        <v>6</v>
      </c>
      <c r="F170">
        <f t="shared" si="18"/>
        <v>2025</v>
      </c>
      <c r="H170" s="17">
        <f t="shared" si="19"/>
        <v>45809</v>
      </c>
      <c r="J170">
        <f t="shared" si="15"/>
        <v>0</v>
      </c>
      <c r="N170" s="55"/>
    </row>
    <row r="171" spans="1:14" x14ac:dyDescent="0.3">
      <c r="A171" s="17">
        <v>45820</v>
      </c>
      <c r="B171">
        <v>-5.48</v>
      </c>
      <c r="C171">
        <f t="shared" si="16"/>
        <v>12</v>
      </c>
      <c r="D171">
        <v>1</v>
      </c>
      <c r="E171">
        <f t="shared" si="17"/>
        <v>6</v>
      </c>
      <c r="F171">
        <f t="shared" si="18"/>
        <v>2025</v>
      </c>
      <c r="H171" s="17">
        <f t="shared" si="19"/>
        <v>45809</v>
      </c>
      <c r="J171">
        <f t="shared" si="15"/>
        <v>0</v>
      </c>
      <c r="N171" s="55"/>
    </row>
    <row r="172" spans="1:14" x14ac:dyDescent="0.3">
      <c r="A172" s="17">
        <v>45819</v>
      </c>
      <c r="B172">
        <v>-5.47</v>
      </c>
      <c r="C172">
        <f t="shared" si="16"/>
        <v>11</v>
      </c>
      <c r="D172">
        <v>1</v>
      </c>
      <c r="E172">
        <f t="shared" si="17"/>
        <v>6</v>
      </c>
      <c r="F172">
        <f t="shared" si="18"/>
        <v>2025</v>
      </c>
      <c r="H172" s="17">
        <f t="shared" si="19"/>
        <v>45809</v>
      </c>
      <c r="J172">
        <f t="shared" si="15"/>
        <v>0</v>
      </c>
      <c r="N172" s="55"/>
    </row>
    <row r="173" spans="1:14" x14ac:dyDescent="0.3">
      <c r="A173" s="17">
        <v>45818</v>
      </c>
      <c r="B173">
        <v>-5.2</v>
      </c>
      <c r="C173">
        <f t="shared" si="16"/>
        <v>10</v>
      </c>
      <c r="D173">
        <v>1</v>
      </c>
      <c r="E173">
        <f t="shared" si="17"/>
        <v>6</v>
      </c>
      <c r="F173">
        <f t="shared" si="18"/>
        <v>2025</v>
      </c>
      <c r="H173" s="17">
        <f t="shared" si="19"/>
        <v>45809</v>
      </c>
      <c r="J173">
        <f t="shared" si="15"/>
        <v>0</v>
      </c>
      <c r="N173" s="55"/>
    </row>
    <row r="174" spans="1:14" x14ac:dyDescent="0.3">
      <c r="A174" s="17">
        <v>45817</v>
      </c>
      <c r="B174">
        <v>-5</v>
      </c>
      <c r="C174">
        <f t="shared" si="16"/>
        <v>9</v>
      </c>
      <c r="D174">
        <v>1</v>
      </c>
      <c r="E174">
        <f t="shared" si="17"/>
        <v>6</v>
      </c>
      <c r="F174">
        <f t="shared" si="18"/>
        <v>2025</v>
      </c>
      <c r="H174" s="17">
        <f t="shared" si="19"/>
        <v>45809</v>
      </c>
      <c r="J174">
        <f t="shared" si="15"/>
        <v>0</v>
      </c>
      <c r="N174" s="55"/>
    </row>
    <row r="175" spans="1:14" x14ac:dyDescent="0.3">
      <c r="A175" s="17">
        <v>45814</v>
      </c>
      <c r="B175">
        <v>-4.75</v>
      </c>
      <c r="C175">
        <f t="shared" si="16"/>
        <v>6</v>
      </c>
      <c r="D175">
        <v>1</v>
      </c>
      <c r="E175">
        <f t="shared" si="17"/>
        <v>6</v>
      </c>
      <c r="F175">
        <f t="shared" si="18"/>
        <v>2025</v>
      </c>
      <c r="H175" s="17">
        <f t="shared" si="19"/>
        <v>45809</v>
      </c>
      <c r="J175">
        <f t="shared" si="15"/>
        <v>0</v>
      </c>
      <c r="N175" s="55"/>
    </row>
    <row r="176" spans="1:14" x14ac:dyDescent="0.3">
      <c r="A176" s="17">
        <v>45813</v>
      </c>
      <c r="B176">
        <v>-5.01</v>
      </c>
      <c r="C176">
        <f t="shared" si="16"/>
        <v>5</v>
      </c>
      <c r="D176">
        <v>1</v>
      </c>
      <c r="E176">
        <f t="shared" si="17"/>
        <v>6</v>
      </c>
      <c r="F176">
        <f t="shared" si="18"/>
        <v>2025</v>
      </c>
      <c r="H176" s="17">
        <f t="shared" si="19"/>
        <v>45809</v>
      </c>
      <c r="J176">
        <f t="shared" si="15"/>
        <v>0</v>
      </c>
      <c r="N176" s="55"/>
    </row>
    <row r="177" spans="1:14" x14ac:dyDescent="0.3">
      <c r="A177" s="17">
        <v>45812</v>
      </c>
      <c r="B177">
        <v>-4.9800000000000004</v>
      </c>
      <c r="C177">
        <f t="shared" si="16"/>
        <v>4</v>
      </c>
      <c r="D177">
        <v>1</v>
      </c>
      <c r="E177">
        <f t="shared" si="17"/>
        <v>6</v>
      </c>
      <c r="F177">
        <f t="shared" si="18"/>
        <v>2025</v>
      </c>
      <c r="H177" s="17">
        <f t="shared" si="19"/>
        <v>45809</v>
      </c>
      <c r="J177">
        <f t="shared" si="15"/>
        <v>1</v>
      </c>
      <c r="N177" s="55"/>
    </row>
    <row r="178" spans="1:14" x14ac:dyDescent="0.3">
      <c r="A178" s="17">
        <v>45811</v>
      </c>
      <c r="B178">
        <v>-4.51</v>
      </c>
      <c r="C178">
        <f t="shared" si="16"/>
        <v>3</v>
      </c>
      <c r="D178">
        <v>1</v>
      </c>
      <c r="E178">
        <f t="shared" si="17"/>
        <v>6</v>
      </c>
      <c r="F178">
        <f t="shared" si="18"/>
        <v>2025</v>
      </c>
      <c r="H178" s="17">
        <f t="shared" si="19"/>
        <v>45809</v>
      </c>
      <c r="J178">
        <f t="shared" si="15"/>
        <v>1</v>
      </c>
      <c r="N178" s="55"/>
    </row>
    <row r="179" spans="1:14" x14ac:dyDescent="0.3">
      <c r="A179" s="17">
        <v>45810</v>
      </c>
      <c r="B179">
        <v>-4.24</v>
      </c>
      <c r="C179">
        <f t="shared" si="16"/>
        <v>2</v>
      </c>
      <c r="D179">
        <v>1</v>
      </c>
      <c r="E179">
        <f t="shared" si="17"/>
        <v>6</v>
      </c>
      <c r="F179">
        <f t="shared" si="18"/>
        <v>2025</v>
      </c>
      <c r="H179" s="17">
        <f t="shared" si="19"/>
        <v>45809</v>
      </c>
      <c r="J179">
        <f t="shared" si="15"/>
        <v>1</v>
      </c>
      <c r="N179" s="55"/>
    </row>
    <row r="180" spans="1:14" x14ac:dyDescent="0.3">
      <c r="A180" s="17">
        <v>45809</v>
      </c>
      <c r="C180">
        <f t="shared" si="16"/>
        <v>1</v>
      </c>
      <c r="D180">
        <v>1</v>
      </c>
      <c r="E180">
        <f t="shared" si="17"/>
        <v>6</v>
      </c>
      <c r="F180">
        <f t="shared" si="18"/>
        <v>2025</v>
      </c>
      <c r="H180" s="17">
        <f t="shared" si="19"/>
        <v>45809</v>
      </c>
      <c r="J180">
        <f t="shared" si="15"/>
        <v>1</v>
      </c>
      <c r="N180" s="55"/>
    </row>
    <row r="181" spans="1:14" x14ac:dyDescent="0.3">
      <c r="A181" s="17">
        <v>45807</v>
      </c>
      <c r="B181">
        <v>-3.74</v>
      </c>
      <c r="C181">
        <f t="shared" si="16"/>
        <v>30</v>
      </c>
      <c r="D181">
        <v>1</v>
      </c>
      <c r="E181">
        <f t="shared" si="17"/>
        <v>5</v>
      </c>
      <c r="F181">
        <f t="shared" si="18"/>
        <v>2025</v>
      </c>
      <c r="H181" s="17">
        <f t="shared" si="19"/>
        <v>45778</v>
      </c>
      <c r="J181">
        <f t="shared" si="15"/>
        <v>0</v>
      </c>
      <c r="N181" s="55"/>
    </row>
    <row r="182" spans="1:14" x14ac:dyDescent="0.3">
      <c r="A182" s="17">
        <v>45806</v>
      </c>
      <c r="B182">
        <v>-3.95</v>
      </c>
      <c r="C182">
        <f t="shared" si="16"/>
        <v>29</v>
      </c>
      <c r="D182">
        <v>1</v>
      </c>
      <c r="E182">
        <f t="shared" si="17"/>
        <v>5</v>
      </c>
      <c r="F182">
        <f t="shared" si="18"/>
        <v>2025</v>
      </c>
      <c r="H182" s="17">
        <f t="shared" si="19"/>
        <v>45778</v>
      </c>
      <c r="J182">
        <f t="shared" si="15"/>
        <v>0</v>
      </c>
      <c r="N182" s="55"/>
    </row>
    <row r="183" spans="1:14" x14ac:dyDescent="0.3">
      <c r="A183" s="17">
        <v>45805</v>
      </c>
      <c r="B183">
        <v>-3.41</v>
      </c>
      <c r="C183">
        <f t="shared" si="16"/>
        <v>28</v>
      </c>
      <c r="D183">
        <v>1</v>
      </c>
      <c r="E183">
        <f t="shared" si="17"/>
        <v>5</v>
      </c>
      <c r="F183">
        <f t="shared" si="18"/>
        <v>2025</v>
      </c>
      <c r="H183" s="17">
        <f t="shared" si="19"/>
        <v>45778</v>
      </c>
      <c r="J183">
        <f t="shared" si="15"/>
        <v>0</v>
      </c>
      <c r="N183" s="55"/>
    </row>
    <row r="184" spans="1:14" x14ac:dyDescent="0.3">
      <c r="A184" s="17">
        <v>45804</v>
      </c>
      <c r="B184">
        <v>-3.25</v>
      </c>
      <c r="C184">
        <f t="shared" si="16"/>
        <v>27</v>
      </c>
      <c r="D184">
        <v>1</v>
      </c>
      <c r="E184">
        <f t="shared" si="17"/>
        <v>5</v>
      </c>
      <c r="F184">
        <f t="shared" si="18"/>
        <v>2025</v>
      </c>
      <c r="H184" s="17">
        <f t="shared" si="19"/>
        <v>45778</v>
      </c>
      <c r="J184">
        <f t="shared" si="15"/>
        <v>0</v>
      </c>
      <c r="N184" s="55"/>
    </row>
    <row r="185" spans="1:14" x14ac:dyDescent="0.3">
      <c r="A185" s="17">
        <v>45803</v>
      </c>
      <c r="B185">
        <v>-3.62</v>
      </c>
      <c r="C185">
        <f t="shared" si="16"/>
        <v>26</v>
      </c>
      <c r="D185">
        <v>1</v>
      </c>
      <c r="E185">
        <f t="shared" si="17"/>
        <v>5</v>
      </c>
      <c r="F185">
        <f t="shared" si="18"/>
        <v>2025</v>
      </c>
      <c r="H185" s="17">
        <f t="shared" si="19"/>
        <v>45778</v>
      </c>
      <c r="J185">
        <f t="shared" si="15"/>
        <v>0</v>
      </c>
      <c r="N185" s="55"/>
    </row>
    <row r="186" spans="1:14" x14ac:dyDescent="0.3">
      <c r="A186" s="17">
        <v>45800</v>
      </c>
      <c r="B186">
        <v>-3.36</v>
      </c>
      <c r="C186">
        <f t="shared" si="16"/>
        <v>23</v>
      </c>
      <c r="D186">
        <v>1</v>
      </c>
      <c r="E186">
        <f t="shared" si="17"/>
        <v>5</v>
      </c>
      <c r="F186">
        <f t="shared" si="18"/>
        <v>2025</v>
      </c>
      <c r="H186" s="17">
        <f t="shared" si="19"/>
        <v>45778</v>
      </c>
      <c r="J186">
        <f t="shared" si="15"/>
        <v>0</v>
      </c>
      <c r="N186" s="55"/>
    </row>
    <row r="187" spans="1:14" x14ac:dyDescent="0.3">
      <c r="A187" s="17">
        <v>45799</v>
      </c>
      <c r="B187">
        <v>-3.55</v>
      </c>
      <c r="C187">
        <f t="shared" si="16"/>
        <v>22</v>
      </c>
      <c r="D187">
        <v>1</v>
      </c>
      <c r="E187">
        <f t="shared" si="17"/>
        <v>5</v>
      </c>
      <c r="F187">
        <f t="shared" si="18"/>
        <v>2025</v>
      </c>
      <c r="H187" s="17">
        <f t="shared" si="19"/>
        <v>45778</v>
      </c>
      <c r="J187">
        <f t="shared" si="15"/>
        <v>0</v>
      </c>
      <c r="N187" s="55"/>
    </row>
    <row r="188" spans="1:14" x14ac:dyDescent="0.3">
      <c r="A188" s="17">
        <v>45798</v>
      </c>
      <c r="B188">
        <v>-4.09</v>
      </c>
      <c r="C188">
        <f t="shared" si="16"/>
        <v>21</v>
      </c>
      <c r="D188">
        <v>1</v>
      </c>
      <c r="E188">
        <f t="shared" si="17"/>
        <v>5</v>
      </c>
      <c r="F188">
        <f t="shared" si="18"/>
        <v>2025</v>
      </c>
      <c r="H188" s="17">
        <f t="shared" si="19"/>
        <v>45778</v>
      </c>
      <c r="J188">
        <f t="shared" si="15"/>
        <v>0</v>
      </c>
      <c r="N188" s="55"/>
    </row>
    <row r="189" spans="1:14" x14ac:dyDescent="0.3">
      <c r="A189" s="17">
        <v>45797</v>
      </c>
      <c r="B189">
        <v>-4.05</v>
      </c>
      <c r="C189">
        <f t="shared" si="16"/>
        <v>20</v>
      </c>
      <c r="D189">
        <v>1</v>
      </c>
      <c r="E189">
        <f t="shared" si="17"/>
        <v>5</v>
      </c>
      <c r="F189">
        <f t="shared" si="18"/>
        <v>2025</v>
      </c>
      <c r="H189" s="17">
        <f t="shared" si="19"/>
        <v>45778</v>
      </c>
      <c r="J189">
        <f t="shared" si="15"/>
        <v>0</v>
      </c>
      <c r="N189" s="55"/>
    </row>
    <row r="190" spans="1:14" x14ac:dyDescent="0.3">
      <c r="A190" s="17">
        <v>45796</v>
      </c>
      <c r="B190">
        <v>-3.76</v>
      </c>
      <c r="C190">
        <f t="shared" si="16"/>
        <v>19</v>
      </c>
      <c r="D190">
        <v>1</v>
      </c>
      <c r="E190">
        <f t="shared" si="17"/>
        <v>5</v>
      </c>
      <c r="F190">
        <f t="shared" si="18"/>
        <v>2025</v>
      </c>
      <c r="H190" s="17">
        <f t="shared" si="19"/>
        <v>45778</v>
      </c>
      <c r="J190">
        <f t="shared" si="15"/>
        <v>0</v>
      </c>
      <c r="N190" s="55"/>
    </row>
    <row r="191" spans="1:14" x14ac:dyDescent="0.3">
      <c r="A191" s="17">
        <v>45793</v>
      </c>
      <c r="B191">
        <v>-3.58</v>
      </c>
      <c r="C191">
        <f t="shared" si="16"/>
        <v>16</v>
      </c>
      <c r="D191">
        <v>1</v>
      </c>
      <c r="E191">
        <f t="shared" si="17"/>
        <v>5</v>
      </c>
      <c r="F191">
        <f t="shared" si="18"/>
        <v>2025</v>
      </c>
      <c r="H191" s="17">
        <f t="shared" si="19"/>
        <v>45778</v>
      </c>
      <c r="J191">
        <f t="shared" si="15"/>
        <v>0</v>
      </c>
      <c r="N191" s="55"/>
    </row>
    <row r="192" spans="1:14" x14ac:dyDescent="0.3">
      <c r="A192" s="17">
        <v>45792</v>
      </c>
      <c r="B192">
        <v>-3.53</v>
      </c>
      <c r="C192">
        <f t="shared" si="16"/>
        <v>15</v>
      </c>
      <c r="D192">
        <v>1</v>
      </c>
      <c r="E192">
        <f t="shared" si="17"/>
        <v>5</v>
      </c>
      <c r="F192">
        <f t="shared" si="18"/>
        <v>2025</v>
      </c>
      <c r="H192" s="17">
        <f t="shared" si="19"/>
        <v>45778</v>
      </c>
      <c r="J192">
        <f t="shared" si="15"/>
        <v>0</v>
      </c>
      <c r="N192" s="55"/>
    </row>
    <row r="193" spans="1:14" x14ac:dyDescent="0.3">
      <c r="A193" s="17">
        <v>45791</v>
      </c>
      <c r="B193">
        <v>-3.87</v>
      </c>
      <c r="C193">
        <f t="shared" si="16"/>
        <v>14</v>
      </c>
      <c r="D193">
        <v>1</v>
      </c>
      <c r="E193">
        <f t="shared" si="17"/>
        <v>5</v>
      </c>
      <c r="F193">
        <f t="shared" si="18"/>
        <v>2025</v>
      </c>
      <c r="H193" s="17">
        <f t="shared" si="19"/>
        <v>45778</v>
      </c>
      <c r="J193">
        <f t="shared" si="15"/>
        <v>0</v>
      </c>
      <c r="N193" s="55"/>
    </row>
    <row r="194" spans="1:14" x14ac:dyDescent="0.3">
      <c r="A194" s="17">
        <v>45790</v>
      </c>
      <c r="B194">
        <v>-4.33</v>
      </c>
      <c r="C194">
        <f t="shared" si="16"/>
        <v>13</v>
      </c>
      <c r="D194">
        <v>1</v>
      </c>
      <c r="E194">
        <f t="shared" si="17"/>
        <v>5</v>
      </c>
      <c r="F194">
        <f t="shared" si="18"/>
        <v>2025</v>
      </c>
      <c r="H194" s="17">
        <f t="shared" si="19"/>
        <v>45778</v>
      </c>
      <c r="J194">
        <f t="shared" si="15"/>
        <v>0</v>
      </c>
      <c r="N194" s="55"/>
    </row>
    <row r="195" spans="1:14" x14ac:dyDescent="0.3">
      <c r="A195" s="17">
        <v>45786</v>
      </c>
      <c r="B195">
        <v>-3.74</v>
      </c>
      <c r="C195">
        <f t="shared" si="16"/>
        <v>9</v>
      </c>
      <c r="D195">
        <v>1</v>
      </c>
      <c r="E195">
        <f t="shared" si="17"/>
        <v>5</v>
      </c>
      <c r="F195">
        <f t="shared" si="18"/>
        <v>2025</v>
      </c>
      <c r="H195" s="17">
        <f t="shared" si="19"/>
        <v>45778</v>
      </c>
      <c r="J195">
        <f t="shared" si="15"/>
        <v>0</v>
      </c>
      <c r="N195" s="55"/>
    </row>
    <row r="196" spans="1:14" x14ac:dyDescent="0.3">
      <c r="A196" s="17">
        <v>45785</v>
      </c>
      <c r="B196">
        <v>-3.6</v>
      </c>
      <c r="C196">
        <f t="shared" si="16"/>
        <v>8</v>
      </c>
      <c r="D196">
        <v>1</v>
      </c>
      <c r="E196">
        <f t="shared" si="17"/>
        <v>5</v>
      </c>
      <c r="F196">
        <f t="shared" si="18"/>
        <v>2025</v>
      </c>
      <c r="H196" s="17">
        <f t="shared" si="19"/>
        <v>45778</v>
      </c>
      <c r="J196">
        <f t="shared" si="15"/>
        <v>0</v>
      </c>
      <c r="N196" s="55"/>
    </row>
    <row r="197" spans="1:14" x14ac:dyDescent="0.3">
      <c r="A197" s="17">
        <v>45784</v>
      </c>
      <c r="B197">
        <v>-3.96</v>
      </c>
      <c r="C197">
        <f t="shared" si="16"/>
        <v>7</v>
      </c>
      <c r="D197">
        <v>1</v>
      </c>
      <c r="E197">
        <f t="shared" si="17"/>
        <v>5</v>
      </c>
      <c r="F197">
        <f t="shared" si="18"/>
        <v>2025</v>
      </c>
      <c r="H197" s="17">
        <f t="shared" si="19"/>
        <v>45778</v>
      </c>
      <c r="J197">
        <f t="shared" si="15"/>
        <v>0</v>
      </c>
      <c r="N197" s="55"/>
    </row>
    <row r="198" spans="1:14" x14ac:dyDescent="0.3">
      <c r="A198" s="17">
        <v>45783</v>
      </c>
      <c r="B198">
        <v>-3.34</v>
      </c>
      <c r="C198">
        <f t="shared" si="16"/>
        <v>6</v>
      </c>
      <c r="D198">
        <v>1</v>
      </c>
      <c r="E198">
        <f t="shared" si="17"/>
        <v>5</v>
      </c>
      <c r="F198">
        <f t="shared" si="18"/>
        <v>2025</v>
      </c>
      <c r="H198" s="17">
        <f t="shared" si="19"/>
        <v>45778</v>
      </c>
      <c r="J198">
        <f t="shared" si="15"/>
        <v>0</v>
      </c>
      <c r="N198" s="55"/>
    </row>
    <row r="199" spans="1:14" x14ac:dyDescent="0.3">
      <c r="A199" s="17">
        <v>45782</v>
      </c>
      <c r="B199">
        <v>-2.56</v>
      </c>
      <c r="C199">
        <f t="shared" si="16"/>
        <v>5</v>
      </c>
      <c r="D199">
        <v>1</v>
      </c>
      <c r="E199">
        <f t="shared" si="17"/>
        <v>5</v>
      </c>
      <c r="F199">
        <f t="shared" si="18"/>
        <v>2025</v>
      </c>
      <c r="H199" s="17">
        <f t="shared" si="19"/>
        <v>45778</v>
      </c>
      <c r="J199">
        <f t="shared" si="15"/>
        <v>0</v>
      </c>
      <c r="N199" s="55"/>
    </row>
    <row r="200" spans="1:14" x14ac:dyDescent="0.3">
      <c r="A200" s="17">
        <v>45779</v>
      </c>
      <c r="B200">
        <v>-3.31</v>
      </c>
      <c r="C200">
        <f t="shared" si="16"/>
        <v>2</v>
      </c>
      <c r="D200">
        <v>1</v>
      </c>
      <c r="E200">
        <f t="shared" si="17"/>
        <v>5</v>
      </c>
      <c r="F200">
        <f t="shared" si="18"/>
        <v>2025</v>
      </c>
      <c r="H200" s="17">
        <f t="shared" si="19"/>
        <v>45778</v>
      </c>
      <c r="J200">
        <f t="shared" si="15"/>
        <v>1</v>
      </c>
      <c r="N200" s="55"/>
    </row>
    <row r="201" spans="1:14" x14ac:dyDescent="0.3">
      <c r="A201" s="17">
        <v>45778</v>
      </c>
      <c r="C201">
        <f t="shared" si="16"/>
        <v>1</v>
      </c>
      <c r="D201">
        <v>1</v>
      </c>
      <c r="E201">
        <f t="shared" si="17"/>
        <v>5</v>
      </c>
      <c r="F201">
        <f t="shared" si="18"/>
        <v>2025</v>
      </c>
      <c r="H201" s="17">
        <f t="shared" si="19"/>
        <v>45778</v>
      </c>
      <c r="J201">
        <f t="shared" ref="J201:J264" si="20">IF(AND(C201&gt;=1, C201&lt;=4), 1, 0)</f>
        <v>1</v>
      </c>
      <c r="N201" s="55"/>
    </row>
    <row r="202" spans="1:14" x14ac:dyDescent="0.3">
      <c r="A202" s="17">
        <v>45777</v>
      </c>
      <c r="B202">
        <v>-3.23</v>
      </c>
      <c r="C202">
        <f t="shared" ref="C202:C265" si="21">+DAY(A202)</f>
        <v>30</v>
      </c>
      <c r="D202">
        <v>1</v>
      </c>
      <c r="E202">
        <f t="shared" ref="E202:E265" si="22">+MONTH(A202)</f>
        <v>4</v>
      </c>
      <c r="F202">
        <f t="shared" ref="F202:F265" si="23">+YEAR(A202)</f>
        <v>2025</v>
      </c>
      <c r="H202" s="17">
        <f t="shared" ref="H202:H265" si="24">+DATE(F202,E202,D202)</f>
        <v>45748</v>
      </c>
      <c r="J202">
        <f t="shared" si="20"/>
        <v>0</v>
      </c>
      <c r="N202" s="55"/>
    </row>
    <row r="203" spans="1:14" x14ac:dyDescent="0.3">
      <c r="A203" s="17">
        <v>45776</v>
      </c>
      <c r="B203">
        <v>-4.47</v>
      </c>
      <c r="C203">
        <f t="shared" si="21"/>
        <v>29</v>
      </c>
      <c r="D203">
        <v>1</v>
      </c>
      <c r="E203">
        <f t="shared" si="22"/>
        <v>4</v>
      </c>
      <c r="F203">
        <f t="shared" si="23"/>
        <v>2025</v>
      </c>
      <c r="H203" s="17">
        <f t="shared" si="24"/>
        <v>45748</v>
      </c>
      <c r="J203">
        <f t="shared" si="20"/>
        <v>0</v>
      </c>
      <c r="N203" s="55"/>
    </row>
    <row r="204" spans="1:14" x14ac:dyDescent="0.3">
      <c r="A204" s="17">
        <v>45775</v>
      </c>
      <c r="B204">
        <v>-4.78</v>
      </c>
      <c r="C204">
        <f t="shared" si="21"/>
        <v>28</v>
      </c>
      <c r="D204">
        <v>1</v>
      </c>
      <c r="E204">
        <f t="shared" si="22"/>
        <v>4</v>
      </c>
      <c r="F204">
        <f t="shared" si="23"/>
        <v>2025</v>
      </c>
      <c r="H204" s="17">
        <f t="shared" si="24"/>
        <v>45748</v>
      </c>
      <c r="J204">
        <f t="shared" si="20"/>
        <v>0</v>
      </c>
      <c r="N204" s="55"/>
    </row>
    <row r="205" spans="1:14" x14ac:dyDescent="0.3">
      <c r="A205" s="17">
        <v>45772</v>
      </c>
      <c r="B205">
        <v>-4.55</v>
      </c>
      <c r="C205">
        <f t="shared" si="21"/>
        <v>25</v>
      </c>
      <c r="D205">
        <v>1</v>
      </c>
      <c r="E205">
        <f t="shared" si="22"/>
        <v>4</v>
      </c>
      <c r="F205">
        <f t="shared" si="23"/>
        <v>2025</v>
      </c>
      <c r="H205" s="17">
        <f t="shared" si="24"/>
        <v>45748</v>
      </c>
      <c r="J205">
        <f t="shared" si="20"/>
        <v>0</v>
      </c>
      <c r="N205" s="55"/>
    </row>
    <row r="206" spans="1:14" x14ac:dyDescent="0.3">
      <c r="A206" s="17">
        <v>45771</v>
      </c>
      <c r="B206">
        <v>-4.55</v>
      </c>
      <c r="C206">
        <f t="shared" si="21"/>
        <v>24</v>
      </c>
      <c r="D206">
        <v>1</v>
      </c>
      <c r="E206">
        <f t="shared" si="22"/>
        <v>4</v>
      </c>
      <c r="F206">
        <f t="shared" si="23"/>
        <v>2025</v>
      </c>
      <c r="H206" s="17">
        <f t="shared" si="24"/>
        <v>45748</v>
      </c>
      <c r="J206">
        <f t="shared" si="20"/>
        <v>0</v>
      </c>
      <c r="N206" s="55"/>
    </row>
    <row r="207" spans="1:14" x14ac:dyDescent="0.3">
      <c r="A207" s="17">
        <v>45770</v>
      </c>
      <c r="B207">
        <v>-5.37</v>
      </c>
      <c r="C207">
        <f t="shared" si="21"/>
        <v>23</v>
      </c>
      <c r="D207">
        <v>1</v>
      </c>
      <c r="E207">
        <f t="shared" si="22"/>
        <v>4</v>
      </c>
      <c r="F207">
        <f t="shared" si="23"/>
        <v>2025</v>
      </c>
      <c r="H207" s="17">
        <f t="shared" si="24"/>
        <v>45748</v>
      </c>
      <c r="J207">
        <f t="shared" si="20"/>
        <v>0</v>
      </c>
      <c r="N207" s="55"/>
    </row>
    <row r="208" spans="1:14" x14ac:dyDescent="0.3">
      <c r="A208" s="17">
        <v>45769</v>
      </c>
      <c r="B208">
        <v>-5.47</v>
      </c>
      <c r="C208">
        <f t="shared" si="21"/>
        <v>22</v>
      </c>
      <c r="D208">
        <v>1</v>
      </c>
      <c r="E208">
        <f t="shared" si="22"/>
        <v>4</v>
      </c>
      <c r="F208">
        <f t="shared" si="23"/>
        <v>2025</v>
      </c>
      <c r="H208" s="17">
        <f t="shared" si="24"/>
        <v>45748</v>
      </c>
      <c r="J208">
        <f t="shared" si="20"/>
        <v>0</v>
      </c>
      <c r="N208" s="55"/>
    </row>
    <row r="209" spans="1:14" x14ac:dyDescent="0.3">
      <c r="A209" s="17">
        <v>45768</v>
      </c>
      <c r="B209">
        <v>-5.89</v>
      </c>
      <c r="C209">
        <f t="shared" si="21"/>
        <v>21</v>
      </c>
      <c r="D209">
        <v>1</v>
      </c>
      <c r="E209">
        <f t="shared" si="22"/>
        <v>4</v>
      </c>
      <c r="F209">
        <f t="shared" si="23"/>
        <v>2025</v>
      </c>
      <c r="H209" s="17">
        <f t="shared" si="24"/>
        <v>45748</v>
      </c>
      <c r="J209">
        <f t="shared" si="20"/>
        <v>0</v>
      </c>
      <c r="N209" s="55"/>
    </row>
    <row r="210" spans="1:14" x14ac:dyDescent="0.3">
      <c r="A210" s="17">
        <v>45764</v>
      </c>
      <c r="B210">
        <v>-6.18</v>
      </c>
      <c r="C210">
        <f t="shared" si="21"/>
        <v>17</v>
      </c>
      <c r="D210">
        <v>1</v>
      </c>
      <c r="E210">
        <f t="shared" si="22"/>
        <v>4</v>
      </c>
      <c r="F210">
        <f t="shared" si="23"/>
        <v>2025</v>
      </c>
      <c r="H210" s="17">
        <f t="shared" si="24"/>
        <v>45748</v>
      </c>
      <c r="J210">
        <f t="shared" si="20"/>
        <v>0</v>
      </c>
      <c r="N210" s="55"/>
    </row>
    <row r="211" spans="1:14" x14ac:dyDescent="0.3">
      <c r="A211" s="17">
        <v>45763</v>
      </c>
      <c r="B211">
        <v>-6.13</v>
      </c>
      <c r="C211">
        <f t="shared" si="21"/>
        <v>16</v>
      </c>
      <c r="D211">
        <v>1</v>
      </c>
      <c r="E211">
        <f t="shared" si="22"/>
        <v>4</v>
      </c>
      <c r="F211">
        <f t="shared" si="23"/>
        <v>2025</v>
      </c>
      <c r="H211" s="17">
        <f t="shared" si="24"/>
        <v>45748</v>
      </c>
      <c r="J211">
        <f t="shared" si="20"/>
        <v>0</v>
      </c>
      <c r="N211" s="55"/>
    </row>
    <row r="212" spans="1:14" x14ac:dyDescent="0.3">
      <c r="A212" s="17">
        <v>45762</v>
      </c>
      <c r="B212">
        <v>-6.12</v>
      </c>
      <c r="C212">
        <f t="shared" si="21"/>
        <v>15</v>
      </c>
      <c r="D212">
        <v>1</v>
      </c>
      <c r="E212">
        <f t="shared" si="22"/>
        <v>4</v>
      </c>
      <c r="F212">
        <f t="shared" si="23"/>
        <v>2025</v>
      </c>
      <c r="H212" s="17">
        <f t="shared" si="24"/>
        <v>45748</v>
      </c>
      <c r="J212">
        <f t="shared" si="20"/>
        <v>0</v>
      </c>
      <c r="N212" s="55"/>
    </row>
    <row r="213" spans="1:14" x14ac:dyDescent="0.3">
      <c r="A213" s="17">
        <v>45761</v>
      </c>
      <c r="B213">
        <v>-6.19</v>
      </c>
      <c r="C213">
        <f t="shared" si="21"/>
        <v>14</v>
      </c>
      <c r="D213">
        <v>1</v>
      </c>
      <c r="E213">
        <f t="shared" si="22"/>
        <v>4</v>
      </c>
      <c r="F213">
        <f t="shared" si="23"/>
        <v>2025</v>
      </c>
      <c r="H213" s="17">
        <f t="shared" si="24"/>
        <v>45748</v>
      </c>
      <c r="J213">
        <f t="shared" si="20"/>
        <v>0</v>
      </c>
      <c r="N213" s="55"/>
    </row>
    <row r="214" spans="1:14" x14ac:dyDescent="0.3">
      <c r="A214" s="17">
        <v>45758</v>
      </c>
      <c r="B214">
        <v>-6.75</v>
      </c>
      <c r="C214">
        <f t="shared" si="21"/>
        <v>11</v>
      </c>
      <c r="D214">
        <v>1</v>
      </c>
      <c r="E214">
        <f t="shared" si="22"/>
        <v>4</v>
      </c>
      <c r="F214">
        <f t="shared" si="23"/>
        <v>2025</v>
      </c>
      <c r="H214" s="17">
        <f t="shared" si="24"/>
        <v>45748</v>
      </c>
      <c r="J214">
        <f t="shared" si="20"/>
        <v>0</v>
      </c>
      <c r="N214" s="55"/>
    </row>
    <row r="215" spans="1:14" x14ac:dyDescent="0.3">
      <c r="A215" s="17">
        <v>45757</v>
      </c>
      <c r="B215">
        <v>-6.78</v>
      </c>
      <c r="C215">
        <f t="shared" si="21"/>
        <v>10</v>
      </c>
      <c r="D215">
        <v>1</v>
      </c>
      <c r="E215">
        <f t="shared" si="22"/>
        <v>4</v>
      </c>
      <c r="F215">
        <f t="shared" si="23"/>
        <v>2025</v>
      </c>
      <c r="H215" s="17">
        <f t="shared" si="24"/>
        <v>45748</v>
      </c>
      <c r="J215">
        <f t="shared" si="20"/>
        <v>0</v>
      </c>
      <c r="N215" s="55"/>
    </row>
    <row r="216" spans="1:14" x14ac:dyDescent="0.3">
      <c r="A216" s="17">
        <v>45756</v>
      </c>
      <c r="B216">
        <v>-6.65</v>
      </c>
      <c r="C216">
        <f t="shared" si="21"/>
        <v>9</v>
      </c>
      <c r="D216">
        <v>1</v>
      </c>
      <c r="E216">
        <f t="shared" si="22"/>
        <v>4</v>
      </c>
      <c r="F216">
        <f t="shared" si="23"/>
        <v>2025</v>
      </c>
      <c r="H216" s="17">
        <f t="shared" si="24"/>
        <v>45748</v>
      </c>
      <c r="J216">
        <f t="shared" si="20"/>
        <v>0</v>
      </c>
      <c r="N216" s="55"/>
    </row>
    <row r="217" spans="1:14" x14ac:dyDescent="0.3">
      <c r="A217" s="17">
        <v>45755</v>
      </c>
      <c r="B217">
        <v>-7.07</v>
      </c>
      <c r="C217">
        <f t="shared" si="21"/>
        <v>8</v>
      </c>
      <c r="D217">
        <v>1</v>
      </c>
      <c r="E217">
        <f t="shared" si="22"/>
        <v>4</v>
      </c>
      <c r="F217">
        <f t="shared" si="23"/>
        <v>2025</v>
      </c>
      <c r="H217" s="17">
        <f t="shared" si="24"/>
        <v>45748</v>
      </c>
      <c r="J217">
        <f t="shared" si="20"/>
        <v>0</v>
      </c>
      <c r="N217" s="55"/>
    </row>
    <row r="218" spans="1:14" x14ac:dyDescent="0.3">
      <c r="A218" s="17">
        <v>45754</v>
      </c>
      <c r="B218">
        <v>-7.37</v>
      </c>
      <c r="C218">
        <f t="shared" si="21"/>
        <v>7</v>
      </c>
      <c r="D218">
        <v>1</v>
      </c>
      <c r="E218">
        <f t="shared" si="22"/>
        <v>4</v>
      </c>
      <c r="F218">
        <f t="shared" si="23"/>
        <v>2025</v>
      </c>
      <c r="H218" s="17">
        <f t="shared" si="24"/>
        <v>45748</v>
      </c>
      <c r="J218">
        <f t="shared" si="20"/>
        <v>0</v>
      </c>
      <c r="N218" s="55"/>
    </row>
    <row r="219" spans="1:14" x14ac:dyDescent="0.3">
      <c r="A219" s="17">
        <v>45751</v>
      </c>
      <c r="B219">
        <v>-6.36</v>
      </c>
      <c r="C219">
        <f t="shared" si="21"/>
        <v>4</v>
      </c>
      <c r="D219">
        <v>1</v>
      </c>
      <c r="E219">
        <f t="shared" si="22"/>
        <v>4</v>
      </c>
      <c r="F219">
        <f t="shared" si="23"/>
        <v>2025</v>
      </c>
      <c r="H219" s="17">
        <f t="shared" si="24"/>
        <v>45748</v>
      </c>
      <c r="J219">
        <f t="shared" si="20"/>
        <v>1</v>
      </c>
      <c r="N219" s="55"/>
    </row>
    <row r="220" spans="1:14" x14ac:dyDescent="0.3">
      <c r="A220" s="17">
        <v>45750</v>
      </c>
      <c r="B220">
        <v>-7.15</v>
      </c>
      <c r="C220">
        <f t="shared" si="21"/>
        <v>3</v>
      </c>
      <c r="D220">
        <v>1</v>
      </c>
      <c r="E220">
        <f t="shared" si="22"/>
        <v>4</v>
      </c>
      <c r="F220">
        <f t="shared" si="23"/>
        <v>2025</v>
      </c>
      <c r="H220" s="17">
        <f t="shared" si="24"/>
        <v>45748</v>
      </c>
      <c r="J220">
        <f t="shared" si="20"/>
        <v>1</v>
      </c>
      <c r="N220" s="55"/>
    </row>
    <row r="221" spans="1:14" x14ac:dyDescent="0.3">
      <c r="A221" s="17">
        <v>45749</v>
      </c>
      <c r="B221">
        <v>-7.07</v>
      </c>
      <c r="C221">
        <f t="shared" si="21"/>
        <v>2</v>
      </c>
      <c r="D221">
        <v>1</v>
      </c>
      <c r="E221">
        <f t="shared" si="22"/>
        <v>4</v>
      </c>
      <c r="F221">
        <f t="shared" si="23"/>
        <v>2025</v>
      </c>
      <c r="H221" s="17">
        <f t="shared" si="24"/>
        <v>45748</v>
      </c>
      <c r="J221">
        <f t="shared" si="20"/>
        <v>1</v>
      </c>
      <c r="N221" s="55"/>
    </row>
    <row r="222" spans="1:14" x14ac:dyDescent="0.3">
      <c r="A222" s="17">
        <v>45748</v>
      </c>
      <c r="B222">
        <v>-6.19</v>
      </c>
      <c r="C222">
        <f t="shared" si="21"/>
        <v>1</v>
      </c>
      <c r="D222">
        <v>1</v>
      </c>
      <c r="E222">
        <f t="shared" si="22"/>
        <v>4</v>
      </c>
      <c r="F222">
        <f t="shared" si="23"/>
        <v>2025</v>
      </c>
      <c r="H222" s="17">
        <f t="shared" si="24"/>
        <v>45748</v>
      </c>
      <c r="J222">
        <f t="shared" si="20"/>
        <v>1</v>
      </c>
      <c r="N222" s="55"/>
    </row>
    <row r="223" spans="1:14" x14ac:dyDescent="0.3">
      <c r="A223" s="17">
        <v>45744</v>
      </c>
      <c r="B223">
        <v>-5.16</v>
      </c>
      <c r="C223">
        <f t="shared" si="21"/>
        <v>28</v>
      </c>
      <c r="D223">
        <v>1</v>
      </c>
      <c r="E223">
        <f t="shared" si="22"/>
        <v>3</v>
      </c>
      <c r="F223">
        <f t="shared" si="23"/>
        <v>2025</v>
      </c>
      <c r="H223" s="17">
        <f t="shared" si="24"/>
        <v>45717</v>
      </c>
      <c r="J223">
        <f t="shared" si="20"/>
        <v>0</v>
      </c>
      <c r="N223" s="55"/>
    </row>
    <row r="224" spans="1:14" x14ac:dyDescent="0.3">
      <c r="A224" s="17">
        <v>45743</v>
      </c>
      <c r="B224">
        <v>-5</v>
      </c>
      <c r="C224">
        <f t="shared" si="21"/>
        <v>27</v>
      </c>
      <c r="D224">
        <v>1</v>
      </c>
      <c r="E224">
        <f t="shared" si="22"/>
        <v>3</v>
      </c>
      <c r="F224">
        <f t="shared" si="23"/>
        <v>2025</v>
      </c>
      <c r="H224" s="17">
        <f t="shared" si="24"/>
        <v>45717</v>
      </c>
      <c r="J224">
        <f t="shared" si="20"/>
        <v>0</v>
      </c>
      <c r="N224" s="55"/>
    </row>
    <row r="225" spans="1:14" x14ac:dyDescent="0.3">
      <c r="A225" s="17">
        <v>45742</v>
      </c>
      <c r="B225">
        <v>-5.25</v>
      </c>
      <c r="C225">
        <f t="shared" si="21"/>
        <v>26</v>
      </c>
      <c r="D225">
        <v>1</v>
      </c>
      <c r="E225">
        <f t="shared" si="22"/>
        <v>3</v>
      </c>
      <c r="F225">
        <f t="shared" si="23"/>
        <v>2025</v>
      </c>
      <c r="H225" s="17">
        <f t="shared" si="24"/>
        <v>45717</v>
      </c>
      <c r="J225">
        <f t="shared" si="20"/>
        <v>0</v>
      </c>
      <c r="N225" s="55"/>
    </row>
    <row r="226" spans="1:14" x14ac:dyDescent="0.3">
      <c r="A226" s="17">
        <v>45741</v>
      </c>
      <c r="B226">
        <v>-5.64</v>
      </c>
      <c r="C226">
        <f t="shared" si="21"/>
        <v>25</v>
      </c>
      <c r="D226">
        <v>1</v>
      </c>
      <c r="E226">
        <f t="shared" si="22"/>
        <v>3</v>
      </c>
      <c r="F226">
        <f t="shared" si="23"/>
        <v>2025</v>
      </c>
      <c r="H226" s="17">
        <f t="shared" si="24"/>
        <v>45717</v>
      </c>
      <c r="J226">
        <f t="shared" si="20"/>
        <v>0</v>
      </c>
      <c r="N226" s="55"/>
    </row>
    <row r="227" spans="1:14" x14ac:dyDescent="0.3">
      <c r="A227" s="17">
        <v>45740</v>
      </c>
      <c r="B227">
        <v>-5.04</v>
      </c>
      <c r="C227">
        <f t="shared" si="21"/>
        <v>24</v>
      </c>
      <c r="D227">
        <v>1</v>
      </c>
      <c r="E227">
        <f t="shared" si="22"/>
        <v>3</v>
      </c>
      <c r="F227">
        <f t="shared" si="23"/>
        <v>2025</v>
      </c>
      <c r="H227" s="17">
        <f t="shared" si="24"/>
        <v>45717</v>
      </c>
      <c r="J227">
        <f t="shared" si="20"/>
        <v>0</v>
      </c>
      <c r="N227" s="55"/>
    </row>
    <row r="228" spans="1:14" x14ac:dyDescent="0.3">
      <c r="A228" s="17">
        <v>45737</v>
      </c>
      <c r="B228">
        <v>-5.03</v>
      </c>
      <c r="C228">
        <f t="shared" si="21"/>
        <v>21</v>
      </c>
      <c r="D228">
        <v>1</v>
      </c>
      <c r="E228">
        <f t="shared" si="22"/>
        <v>3</v>
      </c>
      <c r="F228">
        <f t="shared" si="23"/>
        <v>2025</v>
      </c>
      <c r="H228" s="17">
        <f t="shared" si="24"/>
        <v>45717</v>
      </c>
      <c r="J228">
        <f t="shared" si="20"/>
        <v>0</v>
      </c>
      <c r="N228" s="55"/>
    </row>
    <row r="229" spans="1:14" x14ac:dyDescent="0.3">
      <c r="A229" s="17">
        <v>45736</v>
      </c>
      <c r="B229">
        <v>-4.5</v>
      </c>
      <c r="C229">
        <f t="shared" si="21"/>
        <v>20</v>
      </c>
      <c r="D229">
        <v>1</v>
      </c>
      <c r="E229">
        <f t="shared" si="22"/>
        <v>3</v>
      </c>
      <c r="F229">
        <f t="shared" si="23"/>
        <v>2025</v>
      </c>
      <c r="H229" s="17">
        <f t="shared" si="24"/>
        <v>45717</v>
      </c>
      <c r="J229">
        <f t="shared" si="20"/>
        <v>0</v>
      </c>
      <c r="N229" s="55"/>
    </row>
    <row r="230" spans="1:14" x14ac:dyDescent="0.3">
      <c r="A230" s="17">
        <v>45735</v>
      </c>
      <c r="B230">
        <v>-3.88</v>
      </c>
      <c r="C230">
        <f t="shared" si="21"/>
        <v>19</v>
      </c>
      <c r="D230">
        <v>1</v>
      </c>
      <c r="E230">
        <f t="shared" si="22"/>
        <v>3</v>
      </c>
      <c r="F230">
        <f t="shared" si="23"/>
        <v>2025</v>
      </c>
      <c r="H230" s="17">
        <f t="shared" si="24"/>
        <v>45717</v>
      </c>
      <c r="J230">
        <f t="shared" si="20"/>
        <v>0</v>
      </c>
      <c r="N230" s="55"/>
    </row>
    <row r="231" spans="1:14" x14ac:dyDescent="0.3">
      <c r="A231" s="17">
        <v>45734</v>
      </c>
      <c r="B231">
        <v>-3.95</v>
      </c>
      <c r="C231">
        <f t="shared" si="21"/>
        <v>18</v>
      </c>
      <c r="D231">
        <v>1</v>
      </c>
      <c r="E231">
        <f t="shared" si="22"/>
        <v>3</v>
      </c>
      <c r="F231">
        <f t="shared" si="23"/>
        <v>2025</v>
      </c>
      <c r="H231" s="17">
        <f t="shared" si="24"/>
        <v>45717</v>
      </c>
      <c r="J231">
        <f t="shared" si="20"/>
        <v>0</v>
      </c>
      <c r="N231" s="55"/>
    </row>
    <row r="232" spans="1:14" x14ac:dyDescent="0.3">
      <c r="A232" s="17">
        <v>45733</v>
      </c>
      <c r="B232">
        <v>-3.83</v>
      </c>
      <c r="C232">
        <f t="shared" si="21"/>
        <v>17</v>
      </c>
      <c r="D232">
        <v>1</v>
      </c>
      <c r="E232">
        <f t="shared" si="22"/>
        <v>3</v>
      </c>
      <c r="F232">
        <f t="shared" si="23"/>
        <v>2025</v>
      </c>
      <c r="H232" s="17">
        <f t="shared" si="24"/>
        <v>45717</v>
      </c>
      <c r="J232">
        <f t="shared" si="20"/>
        <v>0</v>
      </c>
      <c r="N232" s="55"/>
    </row>
    <row r="233" spans="1:14" x14ac:dyDescent="0.3">
      <c r="A233" s="17">
        <v>45730</v>
      </c>
      <c r="B233">
        <v>-3.89</v>
      </c>
      <c r="C233">
        <f t="shared" si="21"/>
        <v>14</v>
      </c>
      <c r="D233">
        <v>1</v>
      </c>
      <c r="E233">
        <f t="shared" si="22"/>
        <v>3</v>
      </c>
      <c r="F233">
        <f t="shared" si="23"/>
        <v>2025</v>
      </c>
      <c r="H233" s="17">
        <f t="shared" si="24"/>
        <v>45717</v>
      </c>
      <c r="J233">
        <f t="shared" si="20"/>
        <v>0</v>
      </c>
      <c r="N233" s="55"/>
    </row>
    <row r="234" spans="1:14" x14ac:dyDescent="0.3">
      <c r="A234" s="17">
        <v>45729</v>
      </c>
      <c r="B234">
        <v>-4.59</v>
      </c>
      <c r="C234">
        <f t="shared" si="21"/>
        <v>13</v>
      </c>
      <c r="D234">
        <v>1</v>
      </c>
      <c r="E234">
        <f t="shared" si="22"/>
        <v>3</v>
      </c>
      <c r="F234">
        <f t="shared" si="23"/>
        <v>2025</v>
      </c>
      <c r="H234" s="17">
        <f t="shared" si="24"/>
        <v>45717</v>
      </c>
      <c r="J234">
        <f t="shared" si="20"/>
        <v>0</v>
      </c>
      <c r="N234" s="55"/>
    </row>
    <row r="235" spans="1:14" x14ac:dyDescent="0.3">
      <c r="A235" s="17">
        <v>45728</v>
      </c>
      <c r="B235">
        <v>-4.13</v>
      </c>
      <c r="C235">
        <f t="shared" si="21"/>
        <v>12</v>
      </c>
      <c r="D235">
        <v>1</v>
      </c>
      <c r="E235">
        <f t="shared" si="22"/>
        <v>3</v>
      </c>
      <c r="F235">
        <f t="shared" si="23"/>
        <v>2025</v>
      </c>
      <c r="H235" s="17">
        <f t="shared" si="24"/>
        <v>45717</v>
      </c>
      <c r="J235">
        <f t="shared" si="20"/>
        <v>0</v>
      </c>
      <c r="N235" s="55"/>
    </row>
    <row r="236" spans="1:14" x14ac:dyDescent="0.3">
      <c r="A236" s="17">
        <v>45727</v>
      </c>
      <c r="B236">
        <v>-4.3</v>
      </c>
      <c r="C236">
        <f t="shared" si="21"/>
        <v>11</v>
      </c>
      <c r="D236">
        <v>1</v>
      </c>
      <c r="E236">
        <f t="shared" si="22"/>
        <v>3</v>
      </c>
      <c r="F236">
        <f t="shared" si="23"/>
        <v>2025</v>
      </c>
      <c r="H236" s="17">
        <f t="shared" si="24"/>
        <v>45717</v>
      </c>
      <c r="J236">
        <f t="shared" si="20"/>
        <v>0</v>
      </c>
      <c r="N236" s="55"/>
    </row>
    <row r="237" spans="1:14" x14ac:dyDescent="0.3">
      <c r="A237" s="17">
        <v>45726</v>
      </c>
      <c r="B237">
        <v>-4.82</v>
      </c>
      <c r="C237">
        <f t="shared" si="21"/>
        <v>10</v>
      </c>
      <c r="D237">
        <v>1</v>
      </c>
      <c r="E237">
        <f t="shared" si="22"/>
        <v>3</v>
      </c>
      <c r="F237">
        <f t="shared" si="23"/>
        <v>2025</v>
      </c>
      <c r="H237" s="17">
        <f t="shared" si="24"/>
        <v>45717</v>
      </c>
      <c r="J237">
        <f t="shared" si="20"/>
        <v>0</v>
      </c>
      <c r="N237" s="55"/>
    </row>
    <row r="238" spans="1:14" x14ac:dyDescent="0.3">
      <c r="A238" s="17">
        <v>45723</v>
      </c>
      <c r="B238">
        <v>-5.17</v>
      </c>
      <c r="C238">
        <f t="shared" si="21"/>
        <v>7</v>
      </c>
      <c r="D238">
        <v>1</v>
      </c>
      <c r="E238">
        <f t="shared" si="22"/>
        <v>3</v>
      </c>
      <c r="F238">
        <f t="shared" si="23"/>
        <v>2025</v>
      </c>
      <c r="H238" s="17">
        <f t="shared" si="24"/>
        <v>45717</v>
      </c>
      <c r="J238">
        <f t="shared" si="20"/>
        <v>0</v>
      </c>
      <c r="N238" s="55"/>
    </row>
    <row r="239" spans="1:14" x14ac:dyDescent="0.3">
      <c r="A239" s="17">
        <v>45722</v>
      </c>
      <c r="B239">
        <v>-4.6500000000000004</v>
      </c>
      <c r="C239">
        <f t="shared" si="21"/>
        <v>6</v>
      </c>
      <c r="D239">
        <v>1</v>
      </c>
      <c r="E239">
        <f t="shared" si="22"/>
        <v>3</v>
      </c>
      <c r="F239">
        <f t="shared" si="23"/>
        <v>2025</v>
      </c>
      <c r="H239" s="17">
        <f t="shared" si="24"/>
        <v>45717</v>
      </c>
      <c r="J239">
        <f t="shared" si="20"/>
        <v>0</v>
      </c>
      <c r="N239" s="55"/>
    </row>
    <row r="240" spans="1:14" x14ac:dyDescent="0.3">
      <c r="A240" s="17">
        <v>45721</v>
      </c>
      <c r="B240">
        <v>-5.08</v>
      </c>
      <c r="C240">
        <f t="shared" si="21"/>
        <v>5</v>
      </c>
      <c r="D240">
        <v>1</v>
      </c>
      <c r="E240">
        <f t="shared" si="22"/>
        <v>3</v>
      </c>
      <c r="F240">
        <f t="shared" si="23"/>
        <v>2025</v>
      </c>
      <c r="H240" s="17">
        <f t="shared" si="24"/>
        <v>45717</v>
      </c>
      <c r="J240">
        <f t="shared" si="20"/>
        <v>0</v>
      </c>
      <c r="N240" s="55"/>
    </row>
    <row r="241" spans="1:14" x14ac:dyDescent="0.3">
      <c r="A241" s="17">
        <v>45720</v>
      </c>
      <c r="B241">
        <v>-4.49</v>
      </c>
      <c r="C241">
        <f t="shared" si="21"/>
        <v>4</v>
      </c>
      <c r="D241">
        <v>1</v>
      </c>
      <c r="E241">
        <f t="shared" si="22"/>
        <v>3</v>
      </c>
      <c r="F241">
        <f t="shared" si="23"/>
        <v>2025</v>
      </c>
      <c r="H241" s="17">
        <f t="shared" si="24"/>
        <v>45717</v>
      </c>
      <c r="J241">
        <f t="shared" si="20"/>
        <v>1</v>
      </c>
      <c r="N241" s="55"/>
    </row>
    <row r="242" spans="1:14" x14ac:dyDescent="0.3">
      <c r="A242" s="17">
        <v>45719</v>
      </c>
      <c r="B242">
        <v>-5.19</v>
      </c>
      <c r="C242">
        <f t="shared" si="21"/>
        <v>3</v>
      </c>
      <c r="D242">
        <v>1</v>
      </c>
      <c r="E242">
        <f t="shared" si="22"/>
        <v>3</v>
      </c>
      <c r="F242">
        <f t="shared" si="23"/>
        <v>2025</v>
      </c>
      <c r="H242" s="17">
        <f t="shared" si="24"/>
        <v>45717</v>
      </c>
      <c r="J242">
        <f t="shared" si="20"/>
        <v>1</v>
      </c>
      <c r="N242" s="55"/>
    </row>
    <row r="243" spans="1:14" x14ac:dyDescent="0.3">
      <c r="A243" s="17">
        <v>45717</v>
      </c>
      <c r="C243">
        <f t="shared" si="21"/>
        <v>1</v>
      </c>
      <c r="D243">
        <v>1</v>
      </c>
      <c r="E243">
        <f t="shared" si="22"/>
        <v>3</v>
      </c>
      <c r="F243">
        <f t="shared" si="23"/>
        <v>2025</v>
      </c>
      <c r="H243" s="17">
        <f t="shared" si="24"/>
        <v>45717</v>
      </c>
      <c r="J243">
        <f t="shared" si="20"/>
        <v>1</v>
      </c>
      <c r="N243" s="55"/>
    </row>
    <row r="244" spans="1:14" x14ac:dyDescent="0.3">
      <c r="A244" s="17">
        <v>45716</v>
      </c>
      <c r="B244">
        <v>-4.26</v>
      </c>
      <c r="C244">
        <f t="shared" si="21"/>
        <v>28</v>
      </c>
      <c r="D244">
        <v>1</v>
      </c>
      <c r="E244">
        <f t="shared" si="22"/>
        <v>2</v>
      </c>
      <c r="F244">
        <f t="shared" si="23"/>
        <v>2025</v>
      </c>
      <c r="H244" s="17">
        <f t="shared" si="24"/>
        <v>45689</v>
      </c>
      <c r="J244">
        <f t="shared" si="20"/>
        <v>0</v>
      </c>
      <c r="N244" s="55"/>
    </row>
    <row r="245" spans="1:14" x14ac:dyDescent="0.3">
      <c r="A245" s="17">
        <v>45715</v>
      </c>
      <c r="B245">
        <v>-3.97</v>
      </c>
      <c r="C245">
        <f t="shared" si="21"/>
        <v>27</v>
      </c>
      <c r="D245">
        <v>1</v>
      </c>
      <c r="E245">
        <f t="shared" si="22"/>
        <v>2</v>
      </c>
      <c r="F245">
        <f t="shared" si="23"/>
        <v>2025</v>
      </c>
      <c r="H245" s="17">
        <f t="shared" si="24"/>
        <v>45689</v>
      </c>
      <c r="J245">
        <f t="shared" si="20"/>
        <v>0</v>
      </c>
      <c r="N245" s="55"/>
    </row>
    <row r="246" spans="1:14" x14ac:dyDescent="0.3">
      <c r="A246" s="17">
        <v>45714</v>
      </c>
      <c r="B246">
        <v>-4.0599999999999996</v>
      </c>
      <c r="C246">
        <f t="shared" si="21"/>
        <v>26</v>
      </c>
      <c r="D246">
        <v>1</v>
      </c>
      <c r="E246">
        <f t="shared" si="22"/>
        <v>2</v>
      </c>
      <c r="F246">
        <f t="shared" si="23"/>
        <v>2025</v>
      </c>
      <c r="H246" s="17">
        <f t="shared" si="24"/>
        <v>45689</v>
      </c>
      <c r="J246">
        <f t="shared" si="20"/>
        <v>0</v>
      </c>
      <c r="N246" s="55"/>
    </row>
    <row r="247" spans="1:14" x14ac:dyDescent="0.3">
      <c r="A247" s="17">
        <v>45713</v>
      </c>
      <c r="B247">
        <v>-4.57</v>
      </c>
      <c r="C247">
        <f t="shared" si="21"/>
        <v>25</v>
      </c>
      <c r="D247">
        <v>1</v>
      </c>
      <c r="E247">
        <f t="shared" si="22"/>
        <v>2</v>
      </c>
      <c r="F247">
        <f t="shared" si="23"/>
        <v>2025</v>
      </c>
      <c r="H247" s="17">
        <f t="shared" si="24"/>
        <v>45689</v>
      </c>
      <c r="J247">
        <f t="shared" si="20"/>
        <v>0</v>
      </c>
      <c r="N247" s="55"/>
    </row>
    <row r="248" spans="1:14" x14ac:dyDescent="0.3">
      <c r="A248" s="17">
        <v>45712</v>
      </c>
      <c r="B248">
        <v>-4.93</v>
      </c>
      <c r="C248">
        <f t="shared" si="21"/>
        <v>24</v>
      </c>
      <c r="D248">
        <v>1</v>
      </c>
      <c r="E248">
        <f t="shared" si="22"/>
        <v>2</v>
      </c>
      <c r="F248">
        <f t="shared" si="23"/>
        <v>2025</v>
      </c>
      <c r="H248" s="17">
        <f t="shared" si="24"/>
        <v>45689</v>
      </c>
      <c r="J248">
        <f t="shared" si="20"/>
        <v>0</v>
      </c>
      <c r="N248" s="55"/>
    </row>
    <row r="249" spans="1:14" x14ac:dyDescent="0.3">
      <c r="A249" s="17">
        <v>45709</v>
      </c>
      <c r="B249">
        <v>-5.42</v>
      </c>
      <c r="C249">
        <f t="shared" si="21"/>
        <v>21</v>
      </c>
      <c r="D249">
        <v>1</v>
      </c>
      <c r="E249">
        <f t="shared" si="22"/>
        <v>2</v>
      </c>
      <c r="F249">
        <f t="shared" si="23"/>
        <v>2025</v>
      </c>
      <c r="H249" s="17">
        <f t="shared" si="24"/>
        <v>45689</v>
      </c>
      <c r="J249">
        <f t="shared" si="20"/>
        <v>0</v>
      </c>
      <c r="N249" s="55"/>
    </row>
    <row r="250" spans="1:14" x14ac:dyDescent="0.3">
      <c r="A250" s="17">
        <v>45708</v>
      </c>
      <c r="B250">
        <v>-5.58</v>
      </c>
      <c r="C250">
        <f t="shared" si="21"/>
        <v>20</v>
      </c>
      <c r="D250">
        <v>1</v>
      </c>
      <c r="E250">
        <f t="shared" si="22"/>
        <v>2</v>
      </c>
      <c r="F250">
        <f t="shared" si="23"/>
        <v>2025</v>
      </c>
      <c r="H250" s="17">
        <f t="shared" si="24"/>
        <v>45689</v>
      </c>
      <c r="J250">
        <f t="shared" si="20"/>
        <v>0</v>
      </c>
      <c r="N250" s="55"/>
    </row>
    <row r="251" spans="1:14" x14ac:dyDescent="0.3">
      <c r="A251" s="17">
        <v>45707</v>
      </c>
      <c r="B251">
        <v>-5.68</v>
      </c>
      <c r="C251">
        <f t="shared" si="21"/>
        <v>19</v>
      </c>
      <c r="D251">
        <v>1</v>
      </c>
      <c r="E251">
        <f t="shared" si="22"/>
        <v>2</v>
      </c>
      <c r="F251">
        <f t="shared" si="23"/>
        <v>2025</v>
      </c>
      <c r="H251" s="17">
        <f t="shared" si="24"/>
        <v>45689</v>
      </c>
      <c r="J251">
        <f t="shared" si="20"/>
        <v>0</v>
      </c>
      <c r="N251" s="55"/>
    </row>
    <row r="252" spans="1:14" x14ac:dyDescent="0.3">
      <c r="A252" s="17">
        <v>45706</v>
      </c>
      <c r="B252">
        <v>-5.04</v>
      </c>
      <c r="C252">
        <f t="shared" si="21"/>
        <v>18</v>
      </c>
      <c r="D252">
        <v>1</v>
      </c>
      <c r="E252">
        <f t="shared" si="22"/>
        <v>2</v>
      </c>
      <c r="F252">
        <f t="shared" si="23"/>
        <v>2025</v>
      </c>
      <c r="H252" s="17">
        <f t="shared" si="24"/>
        <v>45689</v>
      </c>
      <c r="J252">
        <f t="shared" si="20"/>
        <v>0</v>
      </c>
      <c r="N252" s="55"/>
    </row>
    <row r="253" spans="1:14" x14ac:dyDescent="0.3">
      <c r="A253" s="17">
        <v>45705</v>
      </c>
      <c r="B253">
        <v>-4.4000000000000004</v>
      </c>
      <c r="C253">
        <f t="shared" si="21"/>
        <v>17</v>
      </c>
      <c r="D253">
        <v>1</v>
      </c>
      <c r="E253">
        <f t="shared" si="22"/>
        <v>2</v>
      </c>
      <c r="F253">
        <f t="shared" si="23"/>
        <v>2025</v>
      </c>
      <c r="H253" s="17">
        <f t="shared" si="24"/>
        <v>45689</v>
      </c>
      <c r="J253">
        <f t="shared" si="20"/>
        <v>0</v>
      </c>
      <c r="N253" s="55"/>
    </row>
    <row r="254" spans="1:14" x14ac:dyDescent="0.3">
      <c r="A254" s="17">
        <v>45702</v>
      </c>
      <c r="B254">
        <v>-4.33</v>
      </c>
      <c r="C254">
        <f t="shared" si="21"/>
        <v>14</v>
      </c>
      <c r="D254">
        <v>1</v>
      </c>
      <c r="E254">
        <f t="shared" si="22"/>
        <v>2</v>
      </c>
      <c r="F254">
        <f t="shared" si="23"/>
        <v>2025</v>
      </c>
      <c r="H254" s="17">
        <f t="shared" si="24"/>
        <v>45689</v>
      </c>
      <c r="J254">
        <f t="shared" si="20"/>
        <v>0</v>
      </c>
      <c r="N254" s="55"/>
    </row>
    <row r="255" spans="1:14" x14ac:dyDescent="0.3">
      <c r="A255" s="17">
        <v>45701</v>
      </c>
      <c r="B255">
        <v>-4.6399999999999997</v>
      </c>
      <c r="C255">
        <f t="shared" si="21"/>
        <v>13</v>
      </c>
      <c r="D255">
        <v>1</v>
      </c>
      <c r="E255">
        <f t="shared" si="22"/>
        <v>2</v>
      </c>
      <c r="F255">
        <f t="shared" si="23"/>
        <v>2025</v>
      </c>
      <c r="H255" s="17">
        <f t="shared" si="24"/>
        <v>45689</v>
      </c>
      <c r="J255">
        <f t="shared" si="20"/>
        <v>0</v>
      </c>
      <c r="N255" s="55"/>
    </row>
    <row r="256" spans="1:14" x14ac:dyDescent="0.3">
      <c r="A256" s="17">
        <v>45700</v>
      </c>
      <c r="B256">
        <v>-5.01</v>
      </c>
      <c r="C256">
        <f t="shared" si="21"/>
        <v>12</v>
      </c>
      <c r="D256">
        <v>1</v>
      </c>
      <c r="E256">
        <f t="shared" si="22"/>
        <v>2</v>
      </c>
      <c r="F256">
        <f t="shared" si="23"/>
        <v>2025</v>
      </c>
      <c r="H256" s="17">
        <f t="shared" si="24"/>
        <v>45689</v>
      </c>
      <c r="J256">
        <f t="shared" si="20"/>
        <v>0</v>
      </c>
      <c r="N256" s="55"/>
    </row>
    <row r="257" spans="1:14" x14ac:dyDescent="0.3">
      <c r="A257" s="17">
        <v>45699</v>
      </c>
      <c r="B257">
        <v>-5.28</v>
      </c>
      <c r="C257">
        <f t="shared" si="21"/>
        <v>11</v>
      </c>
      <c r="D257">
        <v>1</v>
      </c>
      <c r="E257">
        <f t="shared" si="22"/>
        <v>2</v>
      </c>
      <c r="F257">
        <f t="shared" si="23"/>
        <v>2025</v>
      </c>
      <c r="H257" s="17">
        <f t="shared" si="24"/>
        <v>45689</v>
      </c>
      <c r="J257">
        <f t="shared" si="20"/>
        <v>0</v>
      </c>
      <c r="N257" s="55"/>
    </row>
    <row r="258" spans="1:14" x14ac:dyDescent="0.3">
      <c r="A258" s="17">
        <v>45698</v>
      </c>
      <c r="B258">
        <v>-4.7300000000000004</v>
      </c>
      <c r="C258">
        <f t="shared" si="21"/>
        <v>10</v>
      </c>
      <c r="D258">
        <v>1</v>
      </c>
      <c r="E258">
        <f t="shared" si="22"/>
        <v>2</v>
      </c>
      <c r="F258">
        <f t="shared" si="23"/>
        <v>2025</v>
      </c>
      <c r="H258" s="17">
        <f t="shared" si="24"/>
        <v>45689</v>
      </c>
      <c r="J258">
        <f t="shared" si="20"/>
        <v>0</v>
      </c>
      <c r="N258" s="55"/>
    </row>
    <row r="259" spans="1:14" x14ac:dyDescent="0.3">
      <c r="A259" s="17">
        <v>45695</v>
      </c>
      <c r="B259">
        <v>-4.59</v>
      </c>
      <c r="C259">
        <f t="shared" si="21"/>
        <v>7</v>
      </c>
      <c r="D259">
        <v>1</v>
      </c>
      <c r="E259">
        <f t="shared" si="22"/>
        <v>2</v>
      </c>
      <c r="F259">
        <f t="shared" si="23"/>
        <v>2025</v>
      </c>
      <c r="H259" s="17">
        <f t="shared" si="24"/>
        <v>45689</v>
      </c>
      <c r="J259">
        <f t="shared" si="20"/>
        <v>0</v>
      </c>
      <c r="N259" s="55"/>
    </row>
    <row r="260" spans="1:14" x14ac:dyDescent="0.3">
      <c r="A260" s="17">
        <v>45694</v>
      </c>
      <c r="B260">
        <v>-4.76</v>
      </c>
      <c r="C260">
        <f t="shared" si="21"/>
        <v>6</v>
      </c>
      <c r="D260">
        <v>1</v>
      </c>
      <c r="E260">
        <f t="shared" si="22"/>
        <v>2</v>
      </c>
      <c r="F260">
        <f t="shared" si="23"/>
        <v>2025</v>
      </c>
      <c r="H260" s="17">
        <f t="shared" si="24"/>
        <v>45689</v>
      </c>
      <c r="J260">
        <f t="shared" si="20"/>
        <v>0</v>
      </c>
      <c r="N260" s="55"/>
    </row>
    <row r="261" spans="1:14" x14ac:dyDescent="0.3">
      <c r="A261" s="17">
        <v>45693</v>
      </c>
      <c r="B261">
        <v>-5.24</v>
      </c>
      <c r="C261">
        <f t="shared" si="21"/>
        <v>5</v>
      </c>
      <c r="D261">
        <v>1</v>
      </c>
      <c r="E261">
        <f t="shared" si="22"/>
        <v>2</v>
      </c>
      <c r="F261">
        <f t="shared" si="23"/>
        <v>2025</v>
      </c>
      <c r="H261" s="17">
        <f t="shared" si="24"/>
        <v>45689</v>
      </c>
      <c r="J261">
        <f t="shared" si="20"/>
        <v>0</v>
      </c>
      <c r="N261" s="55"/>
    </row>
    <row r="262" spans="1:14" x14ac:dyDescent="0.3">
      <c r="A262" s="17">
        <v>45692</v>
      </c>
      <c r="B262">
        <v>-5.69</v>
      </c>
      <c r="C262">
        <f t="shared" si="21"/>
        <v>4</v>
      </c>
      <c r="D262">
        <v>1</v>
      </c>
      <c r="E262">
        <f t="shared" si="22"/>
        <v>2</v>
      </c>
      <c r="F262">
        <f t="shared" si="23"/>
        <v>2025</v>
      </c>
      <c r="H262" s="17">
        <f t="shared" si="24"/>
        <v>45689</v>
      </c>
      <c r="J262">
        <f t="shared" si="20"/>
        <v>1</v>
      </c>
      <c r="N262" s="55"/>
    </row>
    <row r="263" spans="1:14" x14ac:dyDescent="0.3">
      <c r="A263" s="17">
        <v>45691</v>
      </c>
      <c r="B263">
        <v>-6.11</v>
      </c>
      <c r="C263">
        <f t="shared" si="21"/>
        <v>3</v>
      </c>
      <c r="D263">
        <v>1</v>
      </c>
      <c r="E263">
        <f t="shared" si="22"/>
        <v>2</v>
      </c>
      <c r="F263">
        <f t="shared" si="23"/>
        <v>2025</v>
      </c>
      <c r="H263" s="17">
        <f t="shared" si="24"/>
        <v>45689</v>
      </c>
      <c r="J263">
        <f t="shared" si="20"/>
        <v>1</v>
      </c>
      <c r="N263" s="55"/>
    </row>
    <row r="264" spans="1:14" x14ac:dyDescent="0.3">
      <c r="A264" s="17">
        <v>45689</v>
      </c>
      <c r="C264">
        <f t="shared" si="21"/>
        <v>1</v>
      </c>
      <c r="D264">
        <v>1</v>
      </c>
      <c r="E264">
        <f t="shared" si="22"/>
        <v>2</v>
      </c>
      <c r="F264">
        <f t="shared" si="23"/>
        <v>2025</v>
      </c>
      <c r="H264" s="17">
        <f t="shared" si="24"/>
        <v>45689</v>
      </c>
      <c r="J264">
        <f t="shared" si="20"/>
        <v>1</v>
      </c>
      <c r="N264" s="55"/>
    </row>
    <row r="265" spans="1:14" x14ac:dyDescent="0.3">
      <c r="A265" s="17">
        <v>45688</v>
      </c>
      <c r="B265">
        <v>-4.75</v>
      </c>
      <c r="C265">
        <f t="shared" si="21"/>
        <v>31</v>
      </c>
      <c r="D265">
        <v>1</v>
      </c>
      <c r="E265">
        <f t="shared" si="22"/>
        <v>1</v>
      </c>
      <c r="F265">
        <f t="shared" si="23"/>
        <v>2025</v>
      </c>
      <c r="H265" s="17">
        <f t="shared" si="24"/>
        <v>45658</v>
      </c>
      <c r="J265">
        <f t="shared" ref="J265:J328" si="25">IF(AND(C265&gt;=1, C265&lt;=4), 1, 0)</f>
        <v>0</v>
      </c>
      <c r="N265" s="55"/>
    </row>
    <row r="266" spans="1:14" x14ac:dyDescent="0.3">
      <c r="A266" s="17">
        <v>45685</v>
      </c>
      <c r="B266">
        <v>-4.9800000000000004</v>
      </c>
      <c r="C266">
        <f t="shared" ref="C266:C329" si="26">+DAY(A266)</f>
        <v>28</v>
      </c>
      <c r="D266">
        <v>1</v>
      </c>
      <c r="E266">
        <f t="shared" ref="E266:E329" si="27">+MONTH(A266)</f>
        <v>1</v>
      </c>
      <c r="F266">
        <f t="shared" ref="F266:F329" si="28">+YEAR(A266)</f>
        <v>2025</v>
      </c>
      <c r="H266" s="17">
        <f t="shared" ref="H266:H329" si="29">+DATE(F266,E266,D266)</f>
        <v>45658</v>
      </c>
      <c r="J266">
        <f t="shared" si="25"/>
        <v>0</v>
      </c>
      <c r="N266" s="55"/>
    </row>
    <row r="267" spans="1:14" x14ac:dyDescent="0.3">
      <c r="A267" s="17">
        <v>45684</v>
      </c>
      <c r="B267">
        <v>-4.87</v>
      </c>
      <c r="C267">
        <f t="shared" si="26"/>
        <v>27</v>
      </c>
      <c r="D267">
        <v>1</v>
      </c>
      <c r="E267">
        <f t="shared" si="27"/>
        <v>1</v>
      </c>
      <c r="F267">
        <f t="shared" si="28"/>
        <v>2025</v>
      </c>
      <c r="H267" s="17">
        <f t="shared" si="29"/>
        <v>45658</v>
      </c>
      <c r="J267">
        <f t="shared" si="25"/>
        <v>0</v>
      </c>
      <c r="N267" s="55"/>
    </row>
    <row r="268" spans="1:14" x14ac:dyDescent="0.3">
      <c r="A268" s="17">
        <v>45681</v>
      </c>
      <c r="B268">
        <v>-5.44</v>
      </c>
      <c r="C268">
        <f t="shared" si="26"/>
        <v>24</v>
      </c>
      <c r="D268">
        <v>1</v>
      </c>
      <c r="E268">
        <f t="shared" si="27"/>
        <v>1</v>
      </c>
      <c r="F268">
        <f t="shared" si="28"/>
        <v>2025</v>
      </c>
      <c r="H268" s="17">
        <f t="shared" si="29"/>
        <v>45658</v>
      </c>
      <c r="J268">
        <f t="shared" si="25"/>
        <v>0</v>
      </c>
      <c r="N268" s="55"/>
    </row>
    <row r="269" spans="1:14" x14ac:dyDescent="0.3">
      <c r="A269" s="17">
        <v>45680</v>
      </c>
      <c r="B269">
        <v>-6.13</v>
      </c>
      <c r="C269">
        <f t="shared" si="26"/>
        <v>23</v>
      </c>
      <c r="D269">
        <v>1</v>
      </c>
      <c r="E269">
        <f t="shared" si="27"/>
        <v>1</v>
      </c>
      <c r="F269">
        <f t="shared" si="28"/>
        <v>2025</v>
      </c>
      <c r="H269" s="17">
        <f t="shared" si="29"/>
        <v>45658</v>
      </c>
      <c r="J269">
        <f t="shared" si="25"/>
        <v>0</v>
      </c>
      <c r="N269" s="55"/>
    </row>
    <row r="270" spans="1:14" x14ac:dyDescent="0.3">
      <c r="A270" s="17">
        <v>45679</v>
      </c>
      <c r="B270">
        <v>-5.88</v>
      </c>
      <c r="C270">
        <f t="shared" si="26"/>
        <v>22</v>
      </c>
      <c r="D270">
        <v>1</v>
      </c>
      <c r="E270">
        <f t="shared" si="27"/>
        <v>1</v>
      </c>
      <c r="F270">
        <f t="shared" si="28"/>
        <v>2025</v>
      </c>
      <c r="H270" s="17">
        <f t="shared" si="29"/>
        <v>45658</v>
      </c>
      <c r="J270">
        <f t="shared" si="25"/>
        <v>0</v>
      </c>
      <c r="N270" s="55"/>
    </row>
    <row r="271" spans="1:14" x14ac:dyDescent="0.3">
      <c r="A271" s="17">
        <v>45678</v>
      </c>
      <c r="B271">
        <v>-5.7</v>
      </c>
      <c r="C271">
        <f t="shared" si="26"/>
        <v>21</v>
      </c>
      <c r="D271">
        <v>1</v>
      </c>
      <c r="E271">
        <f t="shared" si="27"/>
        <v>1</v>
      </c>
      <c r="F271">
        <f t="shared" si="28"/>
        <v>2025</v>
      </c>
      <c r="H271" s="17">
        <f t="shared" si="29"/>
        <v>45658</v>
      </c>
      <c r="J271">
        <f t="shared" si="25"/>
        <v>0</v>
      </c>
      <c r="N271" s="55"/>
    </row>
    <row r="272" spans="1:14" x14ac:dyDescent="0.3">
      <c r="A272" s="17">
        <v>45677</v>
      </c>
      <c r="B272">
        <v>-6.15</v>
      </c>
      <c r="C272">
        <f t="shared" si="26"/>
        <v>20</v>
      </c>
      <c r="D272">
        <v>1</v>
      </c>
      <c r="E272">
        <f t="shared" si="27"/>
        <v>1</v>
      </c>
      <c r="F272">
        <f t="shared" si="28"/>
        <v>2025</v>
      </c>
      <c r="H272" s="17">
        <f t="shared" si="29"/>
        <v>45658</v>
      </c>
      <c r="J272">
        <f t="shared" si="25"/>
        <v>0</v>
      </c>
      <c r="N272" s="55"/>
    </row>
    <row r="273" spans="1:14" x14ac:dyDescent="0.3">
      <c r="A273" s="17">
        <v>45674</v>
      </c>
      <c r="B273">
        <v>-6.22</v>
      </c>
      <c r="C273">
        <f t="shared" si="26"/>
        <v>17</v>
      </c>
      <c r="D273">
        <v>1</v>
      </c>
      <c r="E273">
        <f t="shared" si="27"/>
        <v>1</v>
      </c>
      <c r="F273">
        <f t="shared" si="28"/>
        <v>2025</v>
      </c>
      <c r="H273" s="17">
        <f t="shared" si="29"/>
        <v>45658</v>
      </c>
      <c r="J273">
        <f t="shared" si="25"/>
        <v>0</v>
      </c>
      <c r="N273" s="55"/>
    </row>
    <row r="274" spans="1:14" x14ac:dyDescent="0.3">
      <c r="A274" s="17">
        <v>45673</v>
      </c>
      <c r="B274">
        <v>-6.24</v>
      </c>
      <c r="C274">
        <f t="shared" si="26"/>
        <v>16</v>
      </c>
      <c r="D274">
        <v>1</v>
      </c>
      <c r="E274">
        <f t="shared" si="27"/>
        <v>1</v>
      </c>
      <c r="F274">
        <f t="shared" si="28"/>
        <v>2025</v>
      </c>
      <c r="H274" s="17">
        <f t="shared" si="29"/>
        <v>45658</v>
      </c>
      <c r="J274">
        <f t="shared" si="25"/>
        <v>0</v>
      </c>
      <c r="N274" s="55"/>
    </row>
    <row r="275" spans="1:14" x14ac:dyDescent="0.3">
      <c r="A275" s="17">
        <v>45672</v>
      </c>
      <c r="B275">
        <v>-5.99</v>
      </c>
      <c r="C275">
        <f t="shared" si="26"/>
        <v>15</v>
      </c>
      <c r="D275">
        <v>1</v>
      </c>
      <c r="E275">
        <f t="shared" si="27"/>
        <v>1</v>
      </c>
      <c r="F275">
        <f t="shared" si="28"/>
        <v>2025</v>
      </c>
      <c r="H275" s="17">
        <f t="shared" si="29"/>
        <v>45658</v>
      </c>
      <c r="J275">
        <f t="shared" si="25"/>
        <v>0</v>
      </c>
      <c r="N275" s="55"/>
    </row>
    <row r="276" spans="1:14" x14ac:dyDescent="0.3">
      <c r="A276" s="17">
        <v>45671</v>
      </c>
      <c r="B276">
        <v>-5.96</v>
      </c>
      <c r="C276">
        <f t="shared" si="26"/>
        <v>14</v>
      </c>
      <c r="D276">
        <v>1</v>
      </c>
      <c r="E276">
        <f t="shared" si="27"/>
        <v>1</v>
      </c>
      <c r="F276">
        <f t="shared" si="28"/>
        <v>2025</v>
      </c>
      <c r="H276" s="17">
        <f t="shared" si="29"/>
        <v>45658</v>
      </c>
      <c r="J276">
        <f t="shared" si="25"/>
        <v>0</v>
      </c>
      <c r="N276" s="55"/>
    </row>
    <row r="277" spans="1:14" x14ac:dyDescent="0.3">
      <c r="A277" s="17">
        <v>45670</v>
      </c>
      <c r="B277">
        <v>-6.84</v>
      </c>
      <c r="C277">
        <f t="shared" si="26"/>
        <v>13</v>
      </c>
      <c r="D277">
        <v>1</v>
      </c>
      <c r="E277">
        <f t="shared" si="27"/>
        <v>1</v>
      </c>
      <c r="F277">
        <f t="shared" si="28"/>
        <v>2025</v>
      </c>
      <c r="H277" s="17">
        <f t="shared" si="29"/>
        <v>45658</v>
      </c>
      <c r="J277">
        <f t="shared" si="25"/>
        <v>0</v>
      </c>
      <c r="N277" s="55"/>
    </row>
    <row r="278" spans="1:14" x14ac:dyDescent="0.3">
      <c r="A278" s="17">
        <v>45667</v>
      </c>
      <c r="B278">
        <v>-5.7</v>
      </c>
      <c r="C278">
        <f t="shared" si="26"/>
        <v>10</v>
      </c>
      <c r="D278">
        <v>1</v>
      </c>
      <c r="E278">
        <f t="shared" si="27"/>
        <v>1</v>
      </c>
      <c r="F278">
        <f t="shared" si="28"/>
        <v>2025</v>
      </c>
      <c r="H278" s="17">
        <f t="shared" si="29"/>
        <v>45658</v>
      </c>
      <c r="J278">
        <f t="shared" si="25"/>
        <v>0</v>
      </c>
      <c r="N278" s="55"/>
    </row>
    <row r="279" spans="1:14" x14ac:dyDescent="0.3">
      <c r="A279" s="17">
        <v>45666</v>
      </c>
      <c r="B279">
        <v>-5.09</v>
      </c>
      <c r="C279">
        <f t="shared" si="26"/>
        <v>9</v>
      </c>
      <c r="D279">
        <v>1</v>
      </c>
      <c r="E279">
        <f t="shared" si="27"/>
        <v>1</v>
      </c>
      <c r="F279">
        <f t="shared" si="28"/>
        <v>2025</v>
      </c>
      <c r="H279" s="17">
        <f t="shared" si="29"/>
        <v>45658</v>
      </c>
      <c r="J279">
        <f t="shared" si="25"/>
        <v>0</v>
      </c>
      <c r="N279" s="55"/>
    </row>
    <row r="280" spans="1:14" x14ac:dyDescent="0.3">
      <c r="A280" s="17">
        <v>45665</v>
      </c>
      <c r="B280">
        <v>-5.51</v>
      </c>
      <c r="C280">
        <f t="shared" si="26"/>
        <v>8</v>
      </c>
      <c r="D280">
        <v>1</v>
      </c>
      <c r="E280">
        <f t="shared" si="27"/>
        <v>1</v>
      </c>
      <c r="F280">
        <f t="shared" si="28"/>
        <v>2025</v>
      </c>
      <c r="H280" s="17">
        <f t="shared" si="29"/>
        <v>45658</v>
      </c>
      <c r="J280">
        <f t="shared" si="25"/>
        <v>0</v>
      </c>
      <c r="N280" s="55"/>
    </row>
    <row r="281" spans="1:14" x14ac:dyDescent="0.3">
      <c r="A281" s="17">
        <v>45664</v>
      </c>
      <c r="B281">
        <v>-5.03</v>
      </c>
      <c r="C281">
        <f t="shared" si="26"/>
        <v>7</v>
      </c>
      <c r="D281">
        <v>1</v>
      </c>
      <c r="E281">
        <f t="shared" si="27"/>
        <v>1</v>
      </c>
      <c r="F281">
        <f t="shared" si="28"/>
        <v>2025</v>
      </c>
      <c r="H281" s="17">
        <f t="shared" si="29"/>
        <v>45658</v>
      </c>
      <c r="J281">
        <f t="shared" si="25"/>
        <v>0</v>
      </c>
      <c r="N281" s="55"/>
    </row>
    <row r="282" spans="1:14" x14ac:dyDescent="0.3">
      <c r="A282" s="17">
        <v>45663</v>
      </c>
      <c r="B282">
        <v>-5.16</v>
      </c>
      <c r="C282">
        <f t="shared" si="26"/>
        <v>6</v>
      </c>
      <c r="D282">
        <v>1</v>
      </c>
      <c r="E282">
        <f t="shared" si="27"/>
        <v>1</v>
      </c>
      <c r="F282">
        <f t="shared" si="28"/>
        <v>2025</v>
      </c>
      <c r="H282" s="17">
        <f t="shared" si="29"/>
        <v>45658</v>
      </c>
      <c r="J282">
        <f t="shared" si="25"/>
        <v>0</v>
      </c>
      <c r="N282" s="55"/>
    </row>
    <row r="283" spans="1:14" x14ac:dyDescent="0.3">
      <c r="A283" s="17">
        <v>45660</v>
      </c>
      <c r="B283">
        <v>-4.41</v>
      </c>
      <c r="C283">
        <f t="shared" si="26"/>
        <v>3</v>
      </c>
      <c r="D283">
        <v>1</v>
      </c>
      <c r="E283">
        <f t="shared" si="27"/>
        <v>1</v>
      </c>
      <c r="F283">
        <f t="shared" si="28"/>
        <v>2025</v>
      </c>
      <c r="H283" s="17">
        <f t="shared" si="29"/>
        <v>45658</v>
      </c>
      <c r="J283">
        <f t="shared" si="25"/>
        <v>1</v>
      </c>
      <c r="N283" s="55"/>
    </row>
    <row r="284" spans="1:14" x14ac:dyDescent="0.3">
      <c r="A284" s="17">
        <v>45659</v>
      </c>
      <c r="B284">
        <v>-4.6399999999999997</v>
      </c>
      <c r="C284">
        <f t="shared" si="26"/>
        <v>2</v>
      </c>
      <c r="D284">
        <v>1</v>
      </c>
      <c r="E284">
        <f t="shared" si="27"/>
        <v>1</v>
      </c>
      <c r="F284">
        <f t="shared" si="28"/>
        <v>2025</v>
      </c>
      <c r="H284" s="17">
        <f t="shared" si="29"/>
        <v>45658</v>
      </c>
      <c r="J284">
        <f t="shared" si="25"/>
        <v>1</v>
      </c>
      <c r="N284" s="55"/>
    </row>
    <row r="285" spans="1:14" x14ac:dyDescent="0.3">
      <c r="A285" s="17">
        <v>45658</v>
      </c>
      <c r="C285">
        <f t="shared" si="26"/>
        <v>1</v>
      </c>
      <c r="D285">
        <v>1</v>
      </c>
      <c r="E285">
        <f t="shared" si="27"/>
        <v>1</v>
      </c>
      <c r="F285">
        <f t="shared" si="28"/>
        <v>2025</v>
      </c>
      <c r="H285" s="17">
        <f t="shared" si="29"/>
        <v>45658</v>
      </c>
      <c r="J285">
        <f t="shared" si="25"/>
        <v>1</v>
      </c>
      <c r="N285" s="55"/>
    </row>
    <row r="286" spans="1:14" x14ac:dyDescent="0.3">
      <c r="A286" s="17">
        <v>45657</v>
      </c>
      <c r="B286">
        <v>-3.81</v>
      </c>
      <c r="C286">
        <f t="shared" si="26"/>
        <v>31</v>
      </c>
      <c r="D286">
        <v>1</v>
      </c>
      <c r="E286">
        <f t="shared" si="27"/>
        <v>12</v>
      </c>
      <c r="F286">
        <f t="shared" si="28"/>
        <v>2024</v>
      </c>
      <c r="H286" s="17">
        <f t="shared" si="29"/>
        <v>45627</v>
      </c>
      <c r="J286">
        <f t="shared" si="25"/>
        <v>0</v>
      </c>
      <c r="N286" s="55"/>
    </row>
    <row r="287" spans="1:14" x14ac:dyDescent="0.3">
      <c r="A287" s="17">
        <v>45656</v>
      </c>
      <c r="B287">
        <v>-4.0999999999999996</v>
      </c>
      <c r="C287">
        <f t="shared" si="26"/>
        <v>30</v>
      </c>
      <c r="D287">
        <v>1</v>
      </c>
      <c r="E287">
        <f t="shared" si="27"/>
        <v>12</v>
      </c>
      <c r="F287">
        <f t="shared" si="28"/>
        <v>2024</v>
      </c>
      <c r="H287" s="17">
        <f t="shared" si="29"/>
        <v>45627</v>
      </c>
      <c r="J287">
        <f t="shared" si="25"/>
        <v>0</v>
      </c>
      <c r="N287" s="55"/>
    </row>
    <row r="288" spans="1:14" x14ac:dyDescent="0.3">
      <c r="A288" s="17">
        <v>45653</v>
      </c>
      <c r="B288">
        <v>-3.87</v>
      </c>
      <c r="C288">
        <f t="shared" si="26"/>
        <v>27</v>
      </c>
      <c r="D288">
        <v>1</v>
      </c>
      <c r="E288">
        <f t="shared" si="27"/>
        <v>12</v>
      </c>
      <c r="F288">
        <f t="shared" si="28"/>
        <v>2024</v>
      </c>
      <c r="H288" s="17">
        <f t="shared" si="29"/>
        <v>45627</v>
      </c>
      <c r="J288">
        <f t="shared" si="25"/>
        <v>0</v>
      </c>
      <c r="N288" s="55"/>
    </row>
    <row r="289" spans="1:14" x14ac:dyDescent="0.3">
      <c r="A289" s="17">
        <v>45652</v>
      </c>
      <c r="B289">
        <v>-3.94</v>
      </c>
      <c r="C289">
        <f t="shared" si="26"/>
        <v>26</v>
      </c>
      <c r="D289">
        <v>1</v>
      </c>
      <c r="E289">
        <f t="shared" si="27"/>
        <v>12</v>
      </c>
      <c r="F289">
        <f t="shared" si="28"/>
        <v>2024</v>
      </c>
      <c r="H289" s="17">
        <f t="shared" si="29"/>
        <v>45627</v>
      </c>
      <c r="J289">
        <f t="shared" si="25"/>
        <v>0</v>
      </c>
      <c r="N289" s="55"/>
    </row>
    <row r="290" spans="1:14" x14ac:dyDescent="0.3">
      <c r="A290" s="17">
        <v>45650</v>
      </c>
      <c r="B290">
        <v>-3.55</v>
      </c>
      <c r="C290">
        <f t="shared" si="26"/>
        <v>24</v>
      </c>
      <c r="D290">
        <v>1</v>
      </c>
      <c r="E290">
        <f t="shared" si="27"/>
        <v>12</v>
      </c>
      <c r="F290">
        <f t="shared" si="28"/>
        <v>2024</v>
      </c>
      <c r="H290" s="17">
        <f t="shared" si="29"/>
        <v>45627</v>
      </c>
      <c r="J290">
        <f t="shared" si="25"/>
        <v>0</v>
      </c>
      <c r="N290" s="55"/>
    </row>
    <row r="291" spans="1:14" x14ac:dyDescent="0.3">
      <c r="A291" s="17">
        <v>45649</v>
      </c>
      <c r="B291">
        <v>-3.58</v>
      </c>
      <c r="C291">
        <f t="shared" si="26"/>
        <v>23</v>
      </c>
      <c r="D291">
        <v>1</v>
      </c>
      <c r="E291">
        <f t="shared" si="27"/>
        <v>12</v>
      </c>
      <c r="F291">
        <f t="shared" si="28"/>
        <v>2024</v>
      </c>
      <c r="H291" s="17">
        <f t="shared" si="29"/>
        <v>45627</v>
      </c>
      <c r="J291">
        <f t="shared" si="25"/>
        <v>0</v>
      </c>
      <c r="N291" s="55"/>
    </row>
    <row r="292" spans="1:14" x14ac:dyDescent="0.3">
      <c r="A292" s="17">
        <v>45646</v>
      </c>
      <c r="B292">
        <v>-4.0199999999999996</v>
      </c>
      <c r="C292">
        <f t="shared" si="26"/>
        <v>20</v>
      </c>
      <c r="D292">
        <v>1</v>
      </c>
      <c r="E292">
        <f t="shared" si="27"/>
        <v>12</v>
      </c>
      <c r="F292">
        <f t="shared" si="28"/>
        <v>2024</v>
      </c>
      <c r="H292" s="17">
        <f t="shared" si="29"/>
        <v>45627</v>
      </c>
      <c r="J292">
        <f t="shared" si="25"/>
        <v>0</v>
      </c>
      <c r="N292" s="55"/>
    </row>
    <row r="293" spans="1:14" x14ac:dyDescent="0.3">
      <c r="A293" s="17">
        <v>45645</v>
      </c>
      <c r="B293">
        <v>-3.82</v>
      </c>
      <c r="C293">
        <f t="shared" si="26"/>
        <v>19</v>
      </c>
      <c r="D293">
        <v>1</v>
      </c>
      <c r="E293">
        <f t="shared" si="27"/>
        <v>12</v>
      </c>
      <c r="F293">
        <f t="shared" si="28"/>
        <v>2024</v>
      </c>
      <c r="H293" s="17">
        <f t="shared" si="29"/>
        <v>45627</v>
      </c>
      <c r="J293">
        <f t="shared" si="25"/>
        <v>0</v>
      </c>
      <c r="N293" s="55"/>
    </row>
    <row r="294" spans="1:14" x14ac:dyDescent="0.3">
      <c r="A294" s="17">
        <v>45644</v>
      </c>
      <c r="B294">
        <v>-4.32</v>
      </c>
      <c r="C294">
        <f t="shared" si="26"/>
        <v>18</v>
      </c>
      <c r="D294">
        <v>1</v>
      </c>
      <c r="E294">
        <f t="shared" si="27"/>
        <v>12</v>
      </c>
      <c r="F294">
        <f t="shared" si="28"/>
        <v>2024</v>
      </c>
      <c r="H294" s="17">
        <f t="shared" si="29"/>
        <v>45627</v>
      </c>
      <c r="J294">
        <f t="shared" si="25"/>
        <v>0</v>
      </c>
      <c r="N294" s="55"/>
    </row>
    <row r="295" spans="1:14" x14ac:dyDescent="0.3">
      <c r="A295" s="17">
        <v>45643</v>
      </c>
      <c r="B295">
        <v>-4.37</v>
      </c>
      <c r="C295">
        <f t="shared" si="26"/>
        <v>17</v>
      </c>
      <c r="D295">
        <v>1</v>
      </c>
      <c r="E295">
        <f t="shared" si="27"/>
        <v>12</v>
      </c>
      <c r="F295">
        <f t="shared" si="28"/>
        <v>2024</v>
      </c>
      <c r="H295" s="17">
        <f t="shared" si="29"/>
        <v>45627</v>
      </c>
      <c r="J295">
        <f t="shared" si="25"/>
        <v>0</v>
      </c>
      <c r="N295" s="55"/>
    </row>
    <row r="296" spans="1:14" x14ac:dyDescent="0.3">
      <c r="A296" s="17">
        <v>45642</v>
      </c>
      <c r="B296">
        <v>-4.5199999999999996</v>
      </c>
      <c r="C296">
        <f t="shared" si="26"/>
        <v>16</v>
      </c>
      <c r="D296">
        <v>1</v>
      </c>
      <c r="E296">
        <f t="shared" si="27"/>
        <v>12</v>
      </c>
      <c r="F296">
        <f t="shared" si="28"/>
        <v>2024</v>
      </c>
      <c r="H296" s="17">
        <f t="shared" si="29"/>
        <v>45627</v>
      </c>
      <c r="J296">
        <f t="shared" si="25"/>
        <v>0</v>
      </c>
      <c r="N296" s="55"/>
    </row>
    <row r="297" spans="1:14" x14ac:dyDescent="0.3">
      <c r="A297" s="17">
        <v>45639</v>
      </c>
      <c r="B297">
        <v>-4.34</v>
      </c>
      <c r="C297">
        <f t="shared" si="26"/>
        <v>13</v>
      </c>
      <c r="D297">
        <v>1</v>
      </c>
      <c r="E297">
        <f t="shared" si="27"/>
        <v>12</v>
      </c>
      <c r="F297">
        <f t="shared" si="28"/>
        <v>2024</v>
      </c>
      <c r="H297" s="17">
        <f t="shared" si="29"/>
        <v>45627</v>
      </c>
      <c r="J297">
        <f t="shared" si="25"/>
        <v>0</v>
      </c>
      <c r="N297" s="55"/>
    </row>
    <row r="298" spans="1:14" x14ac:dyDescent="0.3">
      <c r="A298" s="17">
        <v>45638</v>
      </c>
      <c r="B298">
        <v>-4.2300000000000004</v>
      </c>
      <c r="C298">
        <f t="shared" si="26"/>
        <v>12</v>
      </c>
      <c r="D298">
        <v>1</v>
      </c>
      <c r="E298">
        <f t="shared" si="27"/>
        <v>12</v>
      </c>
      <c r="F298">
        <f t="shared" si="28"/>
        <v>2024</v>
      </c>
      <c r="H298" s="17">
        <f t="shared" si="29"/>
        <v>45627</v>
      </c>
      <c r="J298">
        <f t="shared" si="25"/>
        <v>0</v>
      </c>
      <c r="N298" s="55"/>
    </row>
    <row r="299" spans="1:14" x14ac:dyDescent="0.3">
      <c r="A299" s="17">
        <v>45637</v>
      </c>
      <c r="B299">
        <v>-4.07</v>
      </c>
      <c r="C299">
        <f t="shared" si="26"/>
        <v>11</v>
      </c>
      <c r="D299">
        <v>1</v>
      </c>
      <c r="E299">
        <f t="shared" si="27"/>
        <v>12</v>
      </c>
      <c r="F299">
        <f t="shared" si="28"/>
        <v>2024</v>
      </c>
      <c r="H299" s="17">
        <f t="shared" si="29"/>
        <v>45627</v>
      </c>
      <c r="J299">
        <f t="shared" si="25"/>
        <v>0</v>
      </c>
      <c r="N299" s="55"/>
    </row>
    <row r="300" spans="1:14" x14ac:dyDescent="0.3">
      <c r="A300" s="17">
        <v>45636</v>
      </c>
      <c r="B300">
        <v>-3.95</v>
      </c>
      <c r="C300">
        <f t="shared" si="26"/>
        <v>10</v>
      </c>
      <c r="D300">
        <v>1</v>
      </c>
      <c r="E300">
        <f t="shared" si="27"/>
        <v>12</v>
      </c>
      <c r="F300">
        <f t="shared" si="28"/>
        <v>2024</v>
      </c>
      <c r="H300" s="17">
        <f t="shared" si="29"/>
        <v>45627</v>
      </c>
      <c r="J300">
        <f t="shared" si="25"/>
        <v>0</v>
      </c>
      <c r="N300" s="55"/>
    </row>
    <row r="301" spans="1:14" x14ac:dyDescent="0.3">
      <c r="A301" s="17">
        <v>45635</v>
      </c>
      <c r="B301">
        <v>-4.41</v>
      </c>
      <c r="C301">
        <f t="shared" si="26"/>
        <v>9</v>
      </c>
      <c r="D301">
        <v>1</v>
      </c>
      <c r="E301">
        <f t="shared" si="27"/>
        <v>12</v>
      </c>
      <c r="F301">
        <f t="shared" si="28"/>
        <v>2024</v>
      </c>
      <c r="H301" s="17">
        <f t="shared" si="29"/>
        <v>45627</v>
      </c>
      <c r="J301">
        <f t="shared" si="25"/>
        <v>0</v>
      </c>
      <c r="N301" s="55"/>
    </row>
    <row r="302" spans="1:14" x14ac:dyDescent="0.3">
      <c r="A302" s="17">
        <v>45632</v>
      </c>
      <c r="B302">
        <v>-4.66</v>
      </c>
      <c r="C302">
        <f t="shared" si="26"/>
        <v>6</v>
      </c>
      <c r="D302">
        <v>1</v>
      </c>
      <c r="E302">
        <f t="shared" si="27"/>
        <v>12</v>
      </c>
      <c r="F302">
        <f t="shared" si="28"/>
        <v>2024</v>
      </c>
      <c r="H302" s="17">
        <f t="shared" si="29"/>
        <v>45627</v>
      </c>
      <c r="J302">
        <f t="shared" si="25"/>
        <v>0</v>
      </c>
      <c r="N302" s="55"/>
    </row>
    <row r="303" spans="1:14" x14ac:dyDescent="0.3">
      <c r="A303" s="17">
        <v>45631</v>
      </c>
      <c r="B303">
        <v>-4.82</v>
      </c>
      <c r="C303">
        <f t="shared" si="26"/>
        <v>5</v>
      </c>
      <c r="D303">
        <v>1</v>
      </c>
      <c r="E303">
        <f t="shared" si="27"/>
        <v>12</v>
      </c>
      <c r="F303">
        <f t="shared" si="28"/>
        <v>2024</v>
      </c>
      <c r="H303" s="17">
        <f t="shared" si="29"/>
        <v>45627</v>
      </c>
      <c r="J303">
        <f t="shared" si="25"/>
        <v>0</v>
      </c>
      <c r="N303" s="55"/>
    </row>
    <row r="304" spans="1:14" x14ac:dyDescent="0.3">
      <c r="A304" s="17">
        <v>45630</v>
      </c>
      <c r="B304">
        <v>-5.19</v>
      </c>
      <c r="C304">
        <f t="shared" si="26"/>
        <v>4</v>
      </c>
      <c r="D304">
        <v>1</v>
      </c>
      <c r="E304">
        <f t="shared" si="27"/>
        <v>12</v>
      </c>
      <c r="F304">
        <f t="shared" si="28"/>
        <v>2024</v>
      </c>
      <c r="H304" s="17">
        <f t="shared" si="29"/>
        <v>45627</v>
      </c>
      <c r="J304">
        <f t="shared" si="25"/>
        <v>1</v>
      </c>
      <c r="N304" s="55"/>
    </row>
    <row r="305" spans="1:14" x14ac:dyDescent="0.3">
      <c r="A305" s="17">
        <v>45629</v>
      </c>
      <c r="B305">
        <v>-4.7699999999999996</v>
      </c>
      <c r="C305">
        <f t="shared" si="26"/>
        <v>3</v>
      </c>
      <c r="D305">
        <v>1</v>
      </c>
      <c r="E305">
        <f t="shared" si="27"/>
        <v>12</v>
      </c>
      <c r="F305">
        <f t="shared" si="28"/>
        <v>2024</v>
      </c>
      <c r="H305" s="17">
        <f t="shared" si="29"/>
        <v>45627</v>
      </c>
      <c r="J305">
        <f t="shared" si="25"/>
        <v>1</v>
      </c>
      <c r="N305" s="55"/>
    </row>
    <row r="306" spans="1:14" x14ac:dyDescent="0.3">
      <c r="A306" s="17">
        <v>45628</v>
      </c>
      <c r="B306">
        <v>-4.4800000000000004</v>
      </c>
      <c r="C306">
        <f t="shared" si="26"/>
        <v>2</v>
      </c>
      <c r="D306">
        <v>1</v>
      </c>
      <c r="E306">
        <f t="shared" si="27"/>
        <v>12</v>
      </c>
      <c r="F306">
        <f t="shared" si="28"/>
        <v>2024</v>
      </c>
      <c r="H306" s="17">
        <f t="shared" si="29"/>
        <v>45627</v>
      </c>
      <c r="J306">
        <f t="shared" si="25"/>
        <v>1</v>
      </c>
      <c r="N306" s="55"/>
    </row>
    <row r="307" spans="1:14" x14ac:dyDescent="0.3">
      <c r="A307" s="17">
        <v>45627</v>
      </c>
      <c r="C307">
        <f t="shared" si="26"/>
        <v>1</v>
      </c>
      <c r="D307">
        <v>1</v>
      </c>
      <c r="E307">
        <f t="shared" si="27"/>
        <v>12</v>
      </c>
      <c r="F307">
        <f t="shared" si="28"/>
        <v>2024</v>
      </c>
      <c r="H307" s="17">
        <f t="shared" si="29"/>
        <v>45627</v>
      </c>
      <c r="J307">
        <f t="shared" si="25"/>
        <v>1</v>
      </c>
      <c r="N307" s="55"/>
    </row>
    <row r="308" spans="1:14" x14ac:dyDescent="0.3">
      <c r="A308" s="17">
        <v>45625</v>
      </c>
      <c r="B308">
        <v>-4.1900000000000004</v>
      </c>
      <c r="C308">
        <f t="shared" si="26"/>
        <v>29</v>
      </c>
      <c r="D308">
        <v>1</v>
      </c>
      <c r="E308">
        <f t="shared" si="27"/>
        <v>11</v>
      </c>
      <c r="F308">
        <f t="shared" si="28"/>
        <v>2024</v>
      </c>
      <c r="H308" s="17">
        <f t="shared" si="29"/>
        <v>45597</v>
      </c>
      <c r="J308">
        <f t="shared" si="25"/>
        <v>0</v>
      </c>
      <c r="N308" s="55"/>
    </row>
    <row r="309" spans="1:14" x14ac:dyDescent="0.3">
      <c r="A309" s="17">
        <v>45624</v>
      </c>
      <c r="B309">
        <v>-3.94</v>
      </c>
      <c r="C309">
        <f t="shared" si="26"/>
        <v>28</v>
      </c>
      <c r="D309">
        <v>1</v>
      </c>
      <c r="E309">
        <f t="shared" si="27"/>
        <v>11</v>
      </c>
      <c r="F309">
        <f t="shared" si="28"/>
        <v>2024</v>
      </c>
      <c r="H309" s="17">
        <f t="shared" si="29"/>
        <v>45597</v>
      </c>
      <c r="J309">
        <f t="shared" si="25"/>
        <v>0</v>
      </c>
      <c r="N309" s="55"/>
    </row>
    <row r="310" spans="1:14" x14ac:dyDescent="0.3">
      <c r="A310" s="17">
        <v>45623</v>
      </c>
      <c r="B310">
        <v>-4.29</v>
      </c>
      <c r="C310">
        <f t="shared" si="26"/>
        <v>27</v>
      </c>
      <c r="D310">
        <v>1</v>
      </c>
      <c r="E310">
        <f t="shared" si="27"/>
        <v>11</v>
      </c>
      <c r="F310">
        <f t="shared" si="28"/>
        <v>2024</v>
      </c>
      <c r="H310" s="17">
        <f t="shared" si="29"/>
        <v>45597</v>
      </c>
      <c r="J310">
        <f t="shared" si="25"/>
        <v>0</v>
      </c>
      <c r="N310" s="55"/>
    </row>
    <row r="311" spans="1:14" x14ac:dyDescent="0.3">
      <c r="A311" s="17">
        <v>45622</v>
      </c>
      <c r="B311">
        <v>-4.1399999999999997</v>
      </c>
      <c r="C311">
        <f t="shared" si="26"/>
        <v>26</v>
      </c>
      <c r="D311">
        <v>1</v>
      </c>
      <c r="E311">
        <f t="shared" si="27"/>
        <v>11</v>
      </c>
      <c r="F311">
        <f t="shared" si="28"/>
        <v>2024</v>
      </c>
      <c r="H311" s="17">
        <f t="shared" si="29"/>
        <v>45597</v>
      </c>
      <c r="J311">
        <f t="shared" si="25"/>
        <v>0</v>
      </c>
      <c r="N311" s="55"/>
    </row>
    <row r="312" spans="1:14" x14ac:dyDescent="0.3">
      <c r="A312" s="17">
        <v>45621</v>
      </c>
      <c r="B312">
        <v>-4</v>
      </c>
      <c r="C312">
        <f t="shared" si="26"/>
        <v>25</v>
      </c>
      <c r="D312">
        <v>1</v>
      </c>
      <c r="E312">
        <f t="shared" si="27"/>
        <v>11</v>
      </c>
      <c r="F312">
        <f t="shared" si="28"/>
        <v>2024</v>
      </c>
      <c r="H312" s="17">
        <f t="shared" si="29"/>
        <v>45597</v>
      </c>
      <c r="J312">
        <f t="shared" si="25"/>
        <v>0</v>
      </c>
      <c r="N312" s="55"/>
    </row>
    <row r="313" spans="1:14" x14ac:dyDescent="0.3">
      <c r="A313" s="17">
        <v>45618</v>
      </c>
      <c r="B313">
        <v>-3.83</v>
      </c>
      <c r="C313">
        <f t="shared" si="26"/>
        <v>22</v>
      </c>
      <c r="D313">
        <v>1</v>
      </c>
      <c r="E313">
        <f t="shared" si="27"/>
        <v>11</v>
      </c>
      <c r="F313">
        <f t="shared" si="28"/>
        <v>2024</v>
      </c>
      <c r="H313" s="17">
        <f t="shared" si="29"/>
        <v>45597</v>
      </c>
      <c r="J313">
        <f t="shared" si="25"/>
        <v>0</v>
      </c>
      <c r="N313" s="55"/>
    </row>
    <row r="314" spans="1:14" x14ac:dyDescent="0.3">
      <c r="A314" s="17">
        <v>45617</v>
      </c>
      <c r="B314">
        <v>-3.62</v>
      </c>
      <c r="C314">
        <f t="shared" si="26"/>
        <v>21</v>
      </c>
      <c r="D314">
        <v>1</v>
      </c>
      <c r="E314">
        <f t="shared" si="27"/>
        <v>11</v>
      </c>
      <c r="F314">
        <f t="shared" si="28"/>
        <v>2024</v>
      </c>
      <c r="H314" s="17">
        <f t="shared" si="29"/>
        <v>45597</v>
      </c>
      <c r="J314">
        <f t="shared" si="25"/>
        <v>0</v>
      </c>
      <c r="N314" s="55"/>
    </row>
    <row r="315" spans="1:14" x14ac:dyDescent="0.3">
      <c r="A315" s="17">
        <v>45616</v>
      </c>
      <c r="B315">
        <v>-4.12</v>
      </c>
      <c r="C315">
        <f t="shared" si="26"/>
        <v>20</v>
      </c>
      <c r="D315">
        <v>1</v>
      </c>
      <c r="E315">
        <f t="shared" si="27"/>
        <v>11</v>
      </c>
      <c r="F315">
        <f t="shared" si="28"/>
        <v>2024</v>
      </c>
      <c r="H315" s="17">
        <f t="shared" si="29"/>
        <v>45597</v>
      </c>
      <c r="J315">
        <f t="shared" si="25"/>
        <v>0</v>
      </c>
      <c r="N315" s="55"/>
    </row>
    <row r="316" spans="1:14" x14ac:dyDescent="0.3">
      <c r="A316" s="17">
        <v>45615</v>
      </c>
      <c r="B316">
        <v>-4.7</v>
      </c>
      <c r="C316">
        <f t="shared" si="26"/>
        <v>19</v>
      </c>
      <c r="D316">
        <v>1</v>
      </c>
      <c r="E316">
        <f t="shared" si="27"/>
        <v>11</v>
      </c>
      <c r="F316">
        <f t="shared" si="28"/>
        <v>2024</v>
      </c>
      <c r="H316" s="17">
        <f t="shared" si="29"/>
        <v>45597</v>
      </c>
      <c r="J316">
        <f t="shared" si="25"/>
        <v>0</v>
      </c>
      <c r="N316" s="55"/>
    </row>
    <row r="317" spans="1:14" x14ac:dyDescent="0.3">
      <c r="A317" s="17">
        <v>45614</v>
      </c>
      <c r="B317">
        <v>-4.32</v>
      </c>
      <c r="C317">
        <f t="shared" si="26"/>
        <v>18</v>
      </c>
      <c r="D317">
        <v>1</v>
      </c>
      <c r="E317">
        <f t="shared" si="27"/>
        <v>11</v>
      </c>
      <c r="F317">
        <f t="shared" si="28"/>
        <v>2024</v>
      </c>
      <c r="H317" s="17">
        <f t="shared" si="29"/>
        <v>45597</v>
      </c>
      <c r="J317">
        <f t="shared" si="25"/>
        <v>0</v>
      </c>
      <c r="N317" s="55"/>
    </row>
    <row r="318" spans="1:14" x14ac:dyDescent="0.3">
      <c r="A318" s="17">
        <v>45611</v>
      </c>
      <c r="B318">
        <v>-4.55</v>
      </c>
      <c r="C318">
        <f t="shared" si="26"/>
        <v>15</v>
      </c>
      <c r="D318">
        <v>1</v>
      </c>
      <c r="E318">
        <f t="shared" si="27"/>
        <v>11</v>
      </c>
      <c r="F318">
        <f t="shared" si="28"/>
        <v>2024</v>
      </c>
      <c r="H318" s="17">
        <f t="shared" si="29"/>
        <v>45597</v>
      </c>
      <c r="J318">
        <f t="shared" si="25"/>
        <v>0</v>
      </c>
      <c r="N318" s="55"/>
    </row>
    <row r="319" spans="1:14" x14ac:dyDescent="0.3">
      <c r="A319" s="17">
        <v>45610</v>
      </c>
      <c r="B319">
        <v>-3.93</v>
      </c>
      <c r="C319">
        <f t="shared" si="26"/>
        <v>14</v>
      </c>
      <c r="D319">
        <v>1</v>
      </c>
      <c r="E319">
        <f t="shared" si="27"/>
        <v>11</v>
      </c>
      <c r="F319">
        <f t="shared" si="28"/>
        <v>2024</v>
      </c>
      <c r="H319" s="17">
        <f t="shared" si="29"/>
        <v>45597</v>
      </c>
      <c r="J319">
        <f t="shared" si="25"/>
        <v>0</v>
      </c>
      <c r="N319" s="55"/>
    </row>
    <row r="320" spans="1:14" x14ac:dyDescent="0.3">
      <c r="A320" s="17">
        <v>45609</v>
      </c>
      <c r="B320">
        <v>-3.06</v>
      </c>
      <c r="C320">
        <f t="shared" si="26"/>
        <v>13</v>
      </c>
      <c r="D320">
        <v>1</v>
      </c>
      <c r="E320">
        <f t="shared" si="27"/>
        <v>11</v>
      </c>
      <c r="F320">
        <f t="shared" si="28"/>
        <v>2024</v>
      </c>
      <c r="H320" s="17">
        <f t="shared" si="29"/>
        <v>45597</v>
      </c>
      <c r="J320">
        <f t="shared" si="25"/>
        <v>0</v>
      </c>
      <c r="N320" s="55"/>
    </row>
    <row r="321" spans="1:14" x14ac:dyDescent="0.3">
      <c r="A321" s="17">
        <v>45608</v>
      </c>
      <c r="B321">
        <v>-2.98</v>
      </c>
      <c r="C321">
        <f t="shared" si="26"/>
        <v>12</v>
      </c>
      <c r="D321">
        <v>1</v>
      </c>
      <c r="E321">
        <f t="shared" si="27"/>
        <v>11</v>
      </c>
      <c r="F321">
        <f t="shared" si="28"/>
        <v>2024</v>
      </c>
      <c r="H321" s="17">
        <f t="shared" si="29"/>
        <v>45597</v>
      </c>
      <c r="J321">
        <f t="shared" si="25"/>
        <v>0</v>
      </c>
      <c r="N321" s="55"/>
    </row>
    <row r="322" spans="1:14" x14ac:dyDescent="0.3">
      <c r="A322" s="17">
        <v>45607</v>
      </c>
      <c r="B322">
        <v>-3.19</v>
      </c>
      <c r="C322">
        <f t="shared" si="26"/>
        <v>11</v>
      </c>
      <c r="D322">
        <v>1</v>
      </c>
      <c r="E322">
        <f t="shared" si="27"/>
        <v>11</v>
      </c>
      <c r="F322">
        <f t="shared" si="28"/>
        <v>2024</v>
      </c>
      <c r="H322" s="17">
        <f t="shared" si="29"/>
        <v>45597</v>
      </c>
      <c r="J322">
        <f t="shared" si="25"/>
        <v>0</v>
      </c>
      <c r="N322" s="55"/>
    </row>
    <row r="323" spans="1:14" x14ac:dyDescent="0.3">
      <c r="A323" s="17">
        <v>45604</v>
      </c>
      <c r="B323">
        <v>-3.41</v>
      </c>
      <c r="C323">
        <f t="shared" si="26"/>
        <v>8</v>
      </c>
      <c r="D323">
        <v>1</v>
      </c>
      <c r="E323">
        <f t="shared" si="27"/>
        <v>11</v>
      </c>
      <c r="F323">
        <f t="shared" si="28"/>
        <v>2024</v>
      </c>
      <c r="H323" s="17">
        <f t="shared" si="29"/>
        <v>45597</v>
      </c>
      <c r="J323">
        <f t="shared" si="25"/>
        <v>0</v>
      </c>
      <c r="N323" s="55"/>
    </row>
    <row r="324" spans="1:14" x14ac:dyDescent="0.3">
      <c r="A324" s="17">
        <v>45603</v>
      </c>
      <c r="B324">
        <v>-3</v>
      </c>
      <c r="C324">
        <f t="shared" si="26"/>
        <v>7</v>
      </c>
      <c r="D324">
        <v>1</v>
      </c>
      <c r="E324">
        <f t="shared" si="27"/>
        <v>11</v>
      </c>
      <c r="F324">
        <f t="shared" si="28"/>
        <v>2024</v>
      </c>
      <c r="H324" s="17">
        <f t="shared" si="29"/>
        <v>45597</v>
      </c>
      <c r="J324">
        <f t="shared" si="25"/>
        <v>0</v>
      </c>
      <c r="N324" s="55"/>
    </row>
    <row r="325" spans="1:14" x14ac:dyDescent="0.3">
      <c r="A325" s="17">
        <v>45602</v>
      </c>
      <c r="B325">
        <v>-2.76</v>
      </c>
      <c r="C325">
        <f t="shared" si="26"/>
        <v>6</v>
      </c>
      <c r="D325">
        <v>1</v>
      </c>
      <c r="E325">
        <f t="shared" si="27"/>
        <v>11</v>
      </c>
      <c r="F325">
        <f t="shared" si="28"/>
        <v>2024</v>
      </c>
      <c r="H325" s="17">
        <f t="shared" si="29"/>
        <v>45597</v>
      </c>
      <c r="J325">
        <f t="shared" si="25"/>
        <v>0</v>
      </c>
      <c r="N325" s="55"/>
    </row>
    <row r="326" spans="1:14" x14ac:dyDescent="0.3">
      <c r="A326" s="17">
        <v>45601</v>
      </c>
      <c r="B326">
        <v>-2.92</v>
      </c>
      <c r="C326">
        <f t="shared" si="26"/>
        <v>5</v>
      </c>
      <c r="D326">
        <v>1</v>
      </c>
      <c r="E326">
        <f t="shared" si="27"/>
        <v>11</v>
      </c>
      <c r="F326">
        <f t="shared" si="28"/>
        <v>2024</v>
      </c>
      <c r="H326" s="17">
        <f t="shared" si="29"/>
        <v>45597</v>
      </c>
      <c r="J326">
        <f t="shared" si="25"/>
        <v>0</v>
      </c>
      <c r="N326" s="55"/>
    </row>
    <row r="327" spans="1:14" x14ac:dyDescent="0.3">
      <c r="A327" s="17">
        <v>45600</v>
      </c>
      <c r="B327">
        <v>-2.5299999999999998</v>
      </c>
      <c r="C327">
        <f t="shared" si="26"/>
        <v>4</v>
      </c>
      <c r="D327">
        <v>1</v>
      </c>
      <c r="E327">
        <f t="shared" si="27"/>
        <v>11</v>
      </c>
      <c r="F327">
        <f t="shared" si="28"/>
        <v>2024</v>
      </c>
      <c r="H327" s="17">
        <f t="shared" si="29"/>
        <v>45597</v>
      </c>
      <c r="J327">
        <f t="shared" si="25"/>
        <v>1</v>
      </c>
      <c r="N327" s="55"/>
    </row>
    <row r="328" spans="1:14" x14ac:dyDescent="0.3">
      <c r="A328" s="17">
        <v>45597</v>
      </c>
      <c r="B328">
        <v>-2.29</v>
      </c>
      <c r="C328">
        <f t="shared" si="26"/>
        <v>1</v>
      </c>
      <c r="D328">
        <v>1</v>
      </c>
      <c r="E328">
        <f t="shared" si="27"/>
        <v>11</v>
      </c>
      <c r="F328">
        <f t="shared" si="28"/>
        <v>2024</v>
      </c>
      <c r="H328" s="17">
        <f t="shared" si="29"/>
        <v>45597</v>
      </c>
      <c r="J328">
        <f t="shared" si="25"/>
        <v>1</v>
      </c>
      <c r="N328" s="55"/>
    </row>
    <row r="329" spans="1:14" x14ac:dyDescent="0.3">
      <c r="A329" s="17">
        <v>45595</v>
      </c>
      <c r="B329">
        <v>-1.38</v>
      </c>
      <c r="C329">
        <f t="shared" si="26"/>
        <v>30</v>
      </c>
      <c r="D329">
        <v>1</v>
      </c>
      <c r="E329">
        <f t="shared" si="27"/>
        <v>10</v>
      </c>
      <c r="F329">
        <f t="shared" si="28"/>
        <v>2024</v>
      </c>
      <c r="H329" s="17">
        <f t="shared" si="29"/>
        <v>45566</v>
      </c>
      <c r="J329">
        <f t="shared" ref="J329:J392" si="30">IF(AND(C329&gt;=1, C329&lt;=4), 1, 0)</f>
        <v>0</v>
      </c>
      <c r="N329" s="55"/>
    </row>
    <row r="330" spans="1:14" x14ac:dyDescent="0.3">
      <c r="A330" s="17">
        <v>45594</v>
      </c>
      <c r="B330">
        <v>-1.4</v>
      </c>
      <c r="C330">
        <f t="shared" ref="C330:C393" si="31">+DAY(A330)</f>
        <v>29</v>
      </c>
      <c r="D330">
        <v>1</v>
      </c>
      <c r="E330">
        <f t="shared" ref="E330:E393" si="32">+MONTH(A330)</f>
        <v>10</v>
      </c>
      <c r="F330">
        <f t="shared" ref="F330:F393" si="33">+YEAR(A330)</f>
        <v>2024</v>
      </c>
      <c r="H330" s="17">
        <f t="shared" ref="H330:H393" si="34">+DATE(F330,E330,D330)</f>
        <v>45566</v>
      </c>
      <c r="J330">
        <f t="shared" si="30"/>
        <v>0</v>
      </c>
      <c r="N330" s="55"/>
    </row>
    <row r="331" spans="1:14" x14ac:dyDescent="0.3">
      <c r="A331" s="17">
        <v>45593</v>
      </c>
      <c r="B331">
        <v>-1.79</v>
      </c>
      <c r="C331">
        <f t="shared" si="31"/>
        <v>28</v>
      </c>
      <c r="D331">
        <v>1</v>
      </c>
      <c r="E331">
        <f t="shared" si="32"/>
        <v>10</v>
      </c>
      <c r="F331">
        <f t="shared" si="33"/>
        <v>2024</v>
      </c>
      <c r="H331" s="17">
        <f t="shared" si="34"/>
        <v>45566</v>
      </c>
      <c r="J331">
        <f t="shared" si="30"/>
        <v>0</v>
      </c>
      <c r="N331" s="55"/>
    </row>
    <row r="332" spans="1:14" x14ac:dyDescent="0.3">
      <c r="A332" s="17">
        <v>45590</v>
      </c>
      <c r="B332">
        <v>-1.84</v>
      </c>
      <c r="C332">
        <f t="shared" si="31"/>
        <v>25</v>
      </c>
      <c r="D332">
        <v>1</v>
      </c>
      <c r="E332">
        <f t="shared" si="32"/>
        <v>10</v>
      </c>
      <c r="F332">
        <f t="shared" si="33"/>
        <v>2024</v>
      </c>
      <c r="H332" s="17">
        <f t="shared" si="34"/>
        <v>45566</v>
      </c>
      <c r="J332">
        <f t="shared" si="30"/>
        <v>0</v>
      </c>
      <c r="N332" s="55"/>
    </row>
    <row r="333" spans="1:14" x14ac:dyDescent="0.3">
      <c r="A333" s="17">
        <v>45589</v>
      </c>
      <c r="B333">
        <v>-2.09</v>
      </c>
      <c r="C333">
        <f t="shared" si="31"/>
        <v>24</v>
      </c>
      <c r="D333">
        <v>1</v>
      </c>
      <c r="E333">
        <f t="shared" si="32"/>
        <v>10</v>
      </c>
      <c r="F333">
        <f t="shared" si="33"/>
        <v>2024</v>
      </c>
      <c r="H333" s="17">
        <f t="shared" si="34"/>
        <v>45566</v>
      </c>
      <c r="J333">
        <f t="shared" si="30"/>
        <v>0</v>
      </c>
      <c r="N333" s="55"/>
    </row>
    <row r="334" spans="1:14" x14ac:dyDescent="0.3">
      <c r="A334" s="17">
        <v>45588</v>
      </c>
      <c r="B334">
        <v>-2.5299999999999998</v>
      </c>
      <c r="C334">
        <f t="shared" si="31"/>
        <v>23</v>
      </c>
      <c r="D334">
        <v>1</v>
      </c>
      <c r="E334">
        <f t="shared" si="32"/>
        <v>10</v>
      </c>
      <c r="F334">
        <f t="shared" si="33"/>
        <v>2024</v>
      </c>
      <c r="H334" s="17">
        <f t="shared" si="34"/>
        <v>45566</v>
      </c>
      <c r="J334">
        <f t="shared" si="30"/>
        <v>0</v>
      </c>
      <c r="N334" s="55"/>
    </row>
    <row r="335" spans="1:14" x14ac:dyDescent="0.3">
      <c r="A335" s="17">
        <v>45587</v>
      </c>
      <c r="B335">
        <v>-2.66</v>
      </c>
      <c r="C335">
        <f t="shared" si="31"/>
        <v>22</v>
      </c>
      <c r="D335">
        <v>1</v>
      </c>
      <c r="E335">
        <f t="shared" si="32"/>
        <v>10</v>
      </c>
      <c r="F335">
        <f t="shared" si="33"/>
        <v>2024</v>
      </c>
      <c r="H335" s="17">
        <f t="shared" si="34"/>
        <v>45566</v>
      </c>
      <c r="J335">
        <f t="shared" si="30"/>
        <v>0</v>
      </c>
      <c r="N335" s="55"/>
    </row>
    <row r="336" spans="1:14" x14ac:dyDescent="0.3">
      <c r="A336" s="17">
        <v>45586</v>
      </c>
      <c r="B336">
        <v>-2.5499999999999998</v>
      </c>
      <c r="C336">
        <f t="shared" si="31"/>
        <v>21</v>
      </c>
      <c r="D336">
        <v>1</v>
      </c>
      <c r="E336">
        <f t="shared" si="32"/>
        <v>10</v>
      </c>
      <c r="F336">
        <f t="shared" si="33"/>
        <v>2024</v>
      </c>
      <c r="H336" s="17">
        <f t="shared" si="34"/>
        <v>45566</v>
      </c>
      <c r="J336">
        <f t="shared" si="30"/>
        <v>0</v>
      </c>
      <c r="N336" s="55"/>
    </row>
    <row r="337" spans="1:14" x14ac:dyDescent="0.3">
      <c r="A337" s="17">
        <v>45583</v>
      </c>
      <c r="B337">
        <v>-2.93</v>
      </c>
      <c r="C337">
        <f t="shared" si="31"/>
        <v>18</v>
      </c>
      <c r="D337">
        <v>1</v>
      </c>
      <c r="E337">
        <f t="shared" si="32"/>
        <v>10</v>
      </c>
      <c r="F337">
        <f t="shared" si="33"/>
        <v>2024</v>
      </c>
      <c r="H337" s="17">
        <f t="shared" si="34"/>
        <v>45566</v>
      </c>
      <c r="J337">
        <f t="shared" si="30"/>
        <v>0</v>
      </c>
      <c r="N337" s="55"/>
    </row>
    <row r="338" spans="1:14" x14ac:dyDescent="0.3">
      <c r="A338" s="17">
        <v>45582</v>
      </c>
      <c r="B338">
        <v>-2.64</v>
      </c>
      <c r="C338">
        <f t="shared" si="31"/>
        <v>17</v>
      </c>
      <c r="D338">
        <v>1</v>
      </c>
      <c r="E338">
        <f t="shared" si="32"/>
        <v>10</v>
      </c>
      <c r="F338">
        <f t="shared" si="33"/>
        <v>2024</v>
      </c>
      <c r="H338" s="17">
        <f t="shared" si="34"/>
        <v>45566</v>
      </c>
      <c r="J338">
        <f t="shared" si="30"/>
        <v>0</v>
      </c>
      <c r="N338" s="55"/>
    </row>
    <row r="339" spans="1:14" x14ac:dyDescent="0.3">
      <c r="A339" s="17">
        <v>45581</v>
      </c>
      <c r="B339">
        <v>-2.76</v>
      </c>
      <c r="C339">
        <f t="shared" si="31"/>
        <v>16</v>
      </c>
      <c r="D339">
        <v>1</v>
      </c>
      <c r="E339">
        <f t="shared" si="32"/>
        <v>10</v>
      </c>
      <c r="F339">
        <f t="shared" si="33"/>
        <v>2024</v>
      </c>
      <c r="H339" s="17">
        <f t="shared" si="34"/>
        <v>45566</v>
      </c>
      <c r="J339">
        <f t="shared" si="30"/>
        <v>0</v>
      </c>
      <c r="N339" s="55"/>
    </row>
    <row r="340" spans="1:14" x14ac:dyDescent="0.3">
      <c r="A340" s="17">
        <v>45580</v>
      </c>
      <c r="B340">
        <v>-2.84</v>
      </c>
      <c r="C340">
        <f t="shared" si="31"/>
        <v>15</v>
      </c>
      <c r="D340">
        <v>1</v>
      </c>
      <c r="E340">
        <f t="shared" si="32"/>
        <v>10</v>
      </c>
      <c r="F340">
        <f t="shared" si="33"/>
        <v>2024</v>
      </c>
      <c r="H340" s="17">
        <f t="shared" si="34"/>
        <v>45566</v>
      </c>
      <c r="J340">
        <f t="shared" si="30"/>
        <v>0</v>
      </c>
      <c r="N340" s="55"/>
    </row>
    <row r="341" spans="1:14" x14ac:dyDescent="0.3">
      <c r="A341" s="17">
        <v>45579</v>
      </c>
      <c r="B341">
        <v>-3.28</v>
      </c>
      <c r="C341">
        <f t="shared" si="31"/>
        <v>14</v>
      </c>
      <c r="D341">
        <v>1</v>
      </c>
      <c r="E341">
        <f t="shared" si="32"/>
        <v>10</v>
      </c>
      <c r="F341">
        <f t="shared" si="33"/>
        <v>2024</v>
      </c>
      <c r="H341" s="17">
        <f t="shared" si="34"/>
        <v>45566</v>
      </c>
      <c r="J341">
        <f t="shared" si="30"/>
        <v>0</v>
      </c>
      <c r="N341" s="55"/>
    </row>
    <row r="342" spans="1:14" x14ac:dyDescent="0.3">
      <c r="A342" s="17">
        <v>45576</v>
      </c>
      <c r="B342">
        <v>-3.53</v>
      </c>
      <c r="C342">
        <f t="shared" si="31"/>
        <v>11</v>
      </c>
      <c r="D342">
        <v>1</v>
      </c>
      <c r="E342">
        <f t="shared" si="32"/>
        <v>10</v>
      </c>
      <c r="F342">
        <f t="shared" si="33"/>
        <v>2024</v>
      </c>
      <c r="H342" s="17">
        <f t="shared" si="34"/>
        <v>45566</v>
      </c>
      <c r="J342">
        <f t="shared" si="30"/>
        <v>0</v>
      </c>
      <c r="N342" s="55"/>
    </row>
    <row r="343" spans="1:14" x14ac:dyDescent="0.3">
      <c r="A343" s="17">
        <v>45575</v>
      </c>
      <c r="B343">
        <v>-3.19</v>
      </c>
      <c r="C343">
        <f t="shared" si="31"/>
        <v>10</v>
      </c>
      <c r="D343">
        <v>1</v>
      </c>
      <c r="E343">
        <f t="shared" si="32"/>
        <v>10</v>
      </c>
      <c r="F343">
        <f t="shared" si="33"/>
        <v>2024</v>
      </c>
      <c r="H343" s="17">
        <f t="shared" si="34"/>
        <v>45566</v>
      </c>
      <c r="J343">
        <f t="shared" si="30"/>
        <v>0</v>
      </c>
      <c r="N343" s="55"/>
    </row>
    <row r="344" spans="1:14" x14ac:dyDescent="0.3">
      <c r="A344" s="17">
        <v>45574</v>
      </c>
      <c r="B344">
        <v>-3.61</v>
      </c>
      <c r="C344">
        <f t="shared" si="31"/>
        <v>9</v>
      </c>
      <c r="D344">
        <v>1</v>
      </c>
      <c r="E344">
        <f t="shared" si="32"/>
        <v>10</v>
      </c>
      <c r="F344">
        <f t="shared" si="33"/>
        <v>2024</v>
      </c>
      <c r="H344" s="17">
        <f t="shared" si="34"/>
        <v>45566</v>
      </c>
      <c r="J344">
        <f t="shared" si="30"/>
        <v>0</v>
      </c>
      <c r="N344" s="55"/>
    </row>
    <row r="345" spans="1:14" x14ac:dyDescent="0.3">
      <c r="A345" s="17">
        <v>45573</v>
      </c>
      <c r="B345">
        <v>-3.78</v>
      </c>
      <c r="C345">
        <f t="shared" si="31"/>
        <v>8</v>
      </c>
      <c r="D345">
        <v>1</v>
      </c>
      <c r="E345">
        <f t="shared" si="32"/>
        <v>10</v>
      </c>
      <c r="F345">
        <f t="shared" si="33"/>
        <v>2024</v>
      </c>
      <c r="H345" s="17">
        <f t="shared" si="34"/>
        <v>45566</v>
      </c>
      <c r="J345">
        <f t="shared" si="30"/>
        <v>0</v>
      </c>
      <c r="N345" s="55"/>
    </row>
    <row r="346" spans="1:14" x14ac:dyDescent="0.3">
      <c r="A346" s="17">
        <v>45572</v>
      </c>
      <c r="B346">
        <v>-2.8</v>
      </c>
      <c r="C346">
        <f t="shared" si="31"/>
        <v>7</v>
      </c>
      <c r="D346">
        <v>1</v>
      </c>
      <c r="E346">
        <f t="shared" si="32"/>
        <v>10</v>
      </c>
      <c r="F346">
        <f t="shared" si="33"/>
        <v>2024</v>
      </c>
      <c r="H346" s="17">
        <f t="shared" si="34"/>
        <v>45566</v>
      </c>
      <c r="J346">
        <f t="shared" si="30"/>
        <v>0</v>
      </c>
      <c r="N346" s="55"/>
    </row>
    <row r="347" spans="1:14" x14ac:dyDescent="0.3">
      <c r="A347" s="17">
        <v>45569</v>
      </c>
      <c r="B347">
        <v>-2.5299999999999998</v>
      </c>
      <c r="C347">
        <f t="shared" si="31"/>
        <v>4</v>
      </c>
      <c r="D347">
        <v>1</v>
      </c>
      <c r="E347">
        <f t="shared" si="32"/>
        <v>10</v>
      </c>
      <c r="F347">
        <f t="shared" si="33"/>
        <v>2024</v>
      </c>
      <c r="H347" s="17">
        <f t="shared" si="34"/>
        <v>45566</v>
      </c>
      <c r="J347">
        <f t="shared" si="30"/>
        <v>1</v>
      </c>
      <c r="N347" s="55"/>
    </row>
    <row r="348" spans="1:14" x14ac:dyDescent="0.3">
      <c r="A348" s="17">
        <v>45568</v>
      </c>
      <c r="B348">
        <v>-2.48</v>
      </c>
      <c r="C348">
        <f t="shared" si="31"/>
        <v>3</v>
      </c>
      <c r="D348">
        <v>1</v>
      </c>
      <c r="E348">
        <f t="shared" si="32"/>
        <v>10</v>
      </c>
      <c r="F348">
        <f t="shared" si="33"/>
        <v>2024</v>
      </c>
      <c r="H348" s="17">
        <f t="shared" si="34"/>
        <v>45566</v>
      </c>
      <c r="J348">
        <f t="shared" si="30"/>
        <v>1</v>
      </c>
      <c r="N348" s="55"/>
    </row>
    <row r="349" spans="1:14" x14ac:dyDescent="0.3">
      <c r="A349" s="17">
        <v>45567</v>
      </c>
      <c r="B349">
        <v>-3.06</v>
      </c>
      <c r="C349">
        <f t="shared" si="31"/>
        <v>2</v>
      </c>
      <c r="D349">
        <v>1</v>
      </c>
      <c r="E349">
        <f t="shared" si="32"/>
        <v>10</v>
      </c>
      <c r="F349">
        <f t="shared" si="33"/>
        <v>2024</v>
      </c>
      <c r="H349" s="17">
        <f t="shared" si="34"/>
        <v>45566</v>
      </c>
      <c r="J349">
        <f t="shared" si="30"/>
        <v>1</v>
      </c>
      <c r="N349" s="55"/>
    </row>
    <row r="350" spans="1:14" x14ac:dyDescent="0.3">
      <c r="A350" s="17">
        <v>45566</v>
      </c>
      <c r="B350">
        <v>-1.88</v>
      </c>
      <c r="C350">
        <f t="shared" si="31"/>
        <v>1</v>
      </c>
      <c r="D350">
        <v>1</v>
      </c>
      <c r="E350">
        <f t="shared" si="32"/>
        <v>10</v>
      </c>
      <c r="F350">
        <f t="shared" si="33"/>
        <v>2024</v>
      </c>
      <c r="H350" s="17">
        <f t="shared" si="34"/>
        <v>45566</v>
      </c>
      <c r="J350">
        <f t="shared" si="30"/>
        <v>1</v>
      </c>
      <c r="N350" s="55"/>
    </row>
    <row r="351" spans="1:14" x14ac:dyDescent="0.3">
      <c r="A351" s="17">
        <v>45565</v>
      </c>
      <c r="B351">
        <v>-1.71</v>
      </c>
      <c r="C351">
        <f t="shared" si="31"/>
        <v>30</v>
      </c>
      <c r="D351">
        <v>1</v>
      </c>
      <c r="E351">
        <f t="shared" si="32"/>
        <v>9</v>
      </c>
      <c r="F351">
        <f t="shared" si="33"/>
        <v>2024</v>
      </c>
      <c r="H351" s="17">
        <f t="shared" si="34"/>
        <v>45536</v>
      </c>
      <c r="J351">
        <f t="shared" si="30"/>
        <v>0</v>
      </c>
      <c r="N351" s="55"/>
    </row>
    <row r="352" spans="1:14" x14ac:dyDescent="0.3">
      <c r="A352" s="17">
        <v>45562</v>
      </c>
      <c r="B352">
        <v>-1.83</v>
      </c>
      <c r="C352">
        <f t="shared" si="31"/>
        <v>27</v>
      </c>
      <c r="D352">
        <v>1</v>
      </c>
      <c r="E352">
        <f t="shared" si="32"/>
        <v>9</v>
      </c>
      <c r="F352">
        <f t="shared" si="33"/>
        <v>2024</v>
      </c>
      <c r="H352" s="17">
        <f t="shared" si="34"/>
        <v>45536</v>
      </c>
      <c r="J352">
        <f t="shared" si="30"/>
        <v>0</v>
      </c>
      <c r="N352" s="55"/>
    </row>
    <row r="353" spans="1:14" x14ac:dyDescent="0.3">
      <c r="A353" s="17">
        <v>45561</v>
      </c>
      <c r="B353">
        <v>-1.86</v>
      </c>
      <c r="C353">
        <f t="shared" si="31"/>
        <v>26</v>
      </c>
      <c r="D353">
        <v>1</v>
      </c>
      <c r="E353">
        <f t="shared" si="32"/>
        <v>9</v>
      </c>
      <c r="F353">
        <f t="shared" si="33"/>
        <v>2024</v>
      </c>
      <c r="H353" s="17">
        <f t="shared" si="34"/>
        <v>45536</v>
      </c>
      <c r="J353">
        <f t="shared" si="30"/>
        <v>0</v>
      </c>
      <c r="N353" s="55"/>
    </row>
    <row r="354" spans="1:14" x14ac:dyDescent="0.3">
      <c r="A354" s="17">
        <v>45560</v>
      </c>
      <c r="B354">
        <v>-2.95</v>
      </c>
      <c r="C354">
        <f t="shared" si="31"/>
        <v>25</v>
      </c>
      <c r="D354">
        <v>1</v>
      </c>
      <c r="E354">
        <f t="shared" si="32"/>
        <v>9</v>
      </c>
      <c r="F354">
        <f t="shared" si="33"/>
        <v>2024</v>
      </c>
      <c r="H354" s="17">
        <f t="shared" si="34"/>
        <v>45536</v>
      </c>
      <c r="J354">
        <f t="shared" si="30"/>
        <v>0</v>
      </c>
      <c r="N354" s="55"/>
    </row>
    <row r="355" spans="1:14" x14ac:dyDescent="0.3">
      <c r="A355" s="17">
        <v>45559</v>
      </c>
      <c r="B355">
        <v>-2.77</v>
      </c>
      <c r="C355">
        <f t="shared" si="31"/>
        <v>24</v>
      </c>
      <c r="D355">
        <v>1</v>
      </c>
      <c r="E355">
        <f t="shared" si="32"/>
        <v>9</v>
      </c>
      <c r="F355">
        <f t="shared" si="33"/>
        <v>2024</v>
      </c>
      <c r="H355" s="17">
        <f t="shared" si="34"/>
        <v>45536</v>
      </c>
      <c r="J355">
        <f t="shared" si="30"/>
        <v>0</v>
      </c>
      <c r="N355" s="55"/>
    </row>
    <row r="356" spans="1:14" x14ac:dyDescent="0.3">
      <c r="A356" s="17">
        <v>45558</v>
      </c>
      <c r="B356">
        <v>-2.9</v>
      </c>
      <c r="C356">
        <f t="shared" si="31"/>
        <v>23</v>
      </c>
      <c r="D356">
        <v>1</v>
      </c>
      <c r="E356">
        <f t="shared" si="32"/>
        <v>9</v>
      </c>
      <c r="F356">
        <f t="shared" si="33"/>
        <v>2024</v>
      </c>
      <c r="H356" s="17">
        <f t="shared" si="34"/>
        <v>45536</v>
      </c>
      <c r="J356">
        <f t="shared" si="30"/>
        <v>0</v>
      </c>
      <c r="N356" s="55"/>
    </row>
    <row r="357" spans="1:14" x14ac:dyDescent="0.3">
      <c r="A357" s="17">
        <v>45555</v>
      </c>
      <c r="B357">
        <v>-2.89</v>
      </c>
      <c r="C357">
        <f t="shared" si="31"/>
        <v>20</v>
      </c>
      <c r="D357">
        <v>1</v>
      </c>
      <c r="E357">
        <f t="shared" si="32"/>
        <v>9</v>
      </c>
      <c r="F357">
        <f t="shared" si="33"/>
        <v>2024</v>
      </c>
      <c r="H357" s="17">
        <f t="shared" si="34"/>
        <v>45536</v>
      </c>
      <c r="J357">
        <f t="shared" si="30"/>
        <v>0</v>
      </c>
      <c r="N357" s="55"/>
    </row>
    <row r="358" spans="1:14" x14ac:dyDescent="0.3">
      <c r="A358" s="17">
        <v>45554</v>
      </c>
      <c r="B358">
        <v>-2.44</v>
      </c>
      <c r="C358">
        <f t="shared" si="31"/>
        <v>19</v>
      </c>
      <c r="D358">
        <v>1</v>
      </c>
      <c r="E358">
        <f t="shared" si="32"/>
        <v>9</v>
      </c>
      <c r="F358">
        <f t="shared" si="33"/>
        <v>2024</v>
      </c>
      <c r="H358" s="17">
        <f t="shared" si="34"/>
        <v>45536</v>
      </c>
      <c r="J358">
        <f t="shared" si="30"/>
        <v>0</v>
      </c>
      <c r="N358" s="55"/>
    </row>
    <row r="359" spans="1:14" x14ac:dyDescent="0.3">
      <c r="A359" s="17">
        <v>45553</v>
      </c>
      <c r="B359">
        <v>-2.02</v>
      </c>
      <c r="C359">
        <f t="shared" si="31"/>
        <v>18</v>
      </c>
      <c r="D359">
        <v>1</v>
      </c>
      <c r="E359">
        <f t="shared" si="32"/>
        <v>9</v>
      </c>
      <c r="F359">
        <f t="shared" si="33"/>
        <v>2024</v>
      </c>
      <c r="H359" s="17">
        <f t="shared" si="34"/>
        <v>45536</v>
      </c>
      <c r="J359">
        <f t="shared" si="30"/>
        <v>0</v>
      </c>
      <c r="N359" s="55"/>
    </row>
    <row r="360" spans="1:14" x14ac:dyDescent="0.3">
      <c r="A360" s="17">
        <v>45552</v>
      </c>
      <c r="B360">
        <v>-2.02</v>
      </c>
      <c r="C360">
        <f t="shared" si="31"/>
        <v>17</v>
      </c>
      <c r="D360">
        <v>1</v>
      </c>
      <c r="E360">
        <f t="shared" si="32"/>
        <v>9</v>
      </c>
      <c r="F360">
        <f t="shared" si="33"/>
        <v>2024</v>
      </c>
      <c r="H360" s="17">
        <f t="shared" si="34"/>
        <v>45536</v>
      </c>
      <c r="J360">
        <f t="shared" si="30"/>
        <v>0</v>
      </c>
      <c r="N360" s="55"/>
    </row>
    <row r="361" spans="1:14" x14ac:dyDescent="0.3">
      <c r="A361" s="17">
        <v>45551</v>
      </c>
      <c r="B361">
        <v>-1.79</v>
      </c>
      <c r="C361">
        <f t="shared" si="31"/>
        <v>16</v>
      </c>
      <c r="D361">
        <v>1</v>
      </c>
      <c r="E361">
        <f t="shared" si="32"/>
        <v>9</v>
      </c>
      <c r="F361">
        <f t="shared" si="33"/>
        <v>2024</v>
      </c>
      <c r="H361" s="17">
        <f t="shared" si="34"/>
        <v>45536</v>
      </c>
      <c r="J361">
        <f t="shared" si="30"/>
        <v>0</v>
      </c>
      <c r="N361" s="55"/>
    </row>
    <row r="362" spans="1:14" x14ac:dyDescent="0.3">
      <c r="A362" s="17">
        <v>45548</v>
      </c>
      <c r="B362">
        <v>-2.65</v>
      </c>
      <c r="C362">
        <f t="shared" si="31"/>
        <v>13</v>
      </c>
      <c r="D362">
        <v>1</v>
      </c>
      <c r="E362">
        <f t="shared" si="32"/>
        <v>9</v>
      </c>
      <c r="F362">
        <f t="shared" si="33"/>
        <v>2024</v>
      </c>
      <c r="H362" s="17">
        <f t="shared" si="34"/>
        <v>45536</v>
      </c>
      <c r="J362">
        <f t="shared" si="30"/>
        <v>0</v>
      </c>
      <c r="N362" s="55"/>
    </row>
    <row r="363" spans="1:14" x14ac:dyDescent="0.3">
      <c r="A363" s="17">
        <v>45547</v>
      </c>
      <c r="B363">
        <v>-2.91</v>
      </c>
      <c r="C363">
        <f t="shared" si="31"/>
        <v>12</v>
      </c>
      <c r="D363">
        <v>1</v>
      </c>
      <c r="E363">
        <f t="shared" si="32"/>
        <v>9</v>
      </c>
      <c r="F363">
        <f t="shared" si="33"/>
        <v>2024</v>
      </c>
      <c r="H363" s="17">
        <f t="shared" si="34"/>
        <v>45536</v>
      </c>
      <c r="J363">
        <f t="shared" si="30"/>
        <v>0</v>
      </c>
      <c r="N363" s="55"/>
    </row>
    <row r="364" spans="1:14" x14ac:dyDescent="0.3">
      <c r="A364" s="17">
        <v>45546</v>
      </c>
      <c r="B364">
        <v>-3.21</v>
      </c>
      <c r="C364">
        <f t="shared" si="31"/>
        <v>11</v>
      </c>
      <c r="D364">
        <v>1</v>
      </c>
      <c r="E364">
        <f t="shared" si="32"/>
        <v>9</v>
      </c>
      <c r="F364">
        <f t="shared" si="33"/>
        <v>2024</v>
      </c>
      <c r="H364" s="17">
        <f t="shared" si="34"/>
        <v>45536</v>
      </c>
      <c r="J364">
        <f t="shared" si="30"/>
        <v>0</v>
      </c>
      <c r="N364" s="55"/>
    </row>
    <row r="365" spans="1:14" x14ac:dyDescent="0.3">
      <c r="A365" s="17">
        <v>45545</v>
      </c>
      <c r="B365">
        <v>-3.53</v>
      </c>
      <c r="C365">
        <f t="shared" si="31"/>
        <v>10</v>
      </c>
      <c r="D365">
        <v>1</v>
      </c>
      <c r="E365">
        <f t="shared" si="32"/>
        <v>9</v>
      </c>
      <c r="F365">
        <f t="shared" si="33"/>
        <v>2024</v>
      </c>
      <c r="H365" s="17">
        <f t="shared" si="34"/>
        <v>45536</v>
      </c>
      <c r="J365">
        <f t="shared" si="30"/>
        <v>0</v>
      </c>
      <c r="N365" s="55"/>
    </row>
    <row r="366" spans="1:14" x14ac:dyDescent="0.3">
      <c r="A366" s="17">
        <v>45544</v>
      </c>
      <c r="B366">
        <v>-3.6</v>
      </c>
      <c r="C366">
        <f t="shared" si="31"/>
        <v>9</v>
      </c>
      <c r="D366">
        <v>1</v>
      </c>
      <c r="E366">
        <f t="shared" si="32"/>
        <v>9</v>
      </c>
      <c r="F366">
        <f t="shared" si="33"/>
        <v>2024</v>
      </c>
      <c r="H366" s="17">
        <f t="shared" si="34"/>
        <v>45536</v>
      </c>
      <c r="J366">
        <f t="shared" si="30"/>
        <v>0</v>
      </c>
      <c r="N366" s="55"/>
    </row>
    <row r="367" spans="1:14" x14ac:dyDescent="0.3">
      <c r="A367" s="17">
        <v>45541</v>
      </c>
      <c r="B367">
        <v>-3.83</v>
      </c>
      <c r="C367">
        <f t="shared" si="31"/>
        <v>6</v>
      </c>
      <c r="D367">
        <v>1</v>
      </c>
      <c r="E367">
        <f t="shared" si="32"/>
        <v>9</v>
      </c>
      <c r="F367">
        <f t="shared" si="33"/>
        <v>2024</v>
      </c>
      <c r="H367" s="17">
        <f t="shared" si="34"/>
        <v>45536</v>
      </c>
      <c r="J367">
        <f t="shared" si="30"/>
        <v>0</v>
      </c>
      <c r="N367" s="55"/>
    </row>
    <row r="368" spans="1:14" x14ac:dyDescent="0.3">
      <c r="A368" s="17">
        <v>45540</v>
      </c>
      <c r="B368">
        <v>-3.15</v>
      </c>
      <c r="C368">
        <f t="shared" si="31"/>
        <v>5</v>
      </c>
      <c r="D368">
        <v>1</v>
      </c>
      <c r="E368">
        <f t="shared" si="32"/>
        <v>9</v>
      </c>
      <c r="F368">
        <f t="shared" si="33"/>
        <v>2024</v>
      </c>
      <c r="H368" s="17">
        <f t="shared" si="34"/>
        <v>45536</v>
      </c>
      <c r="J368">
        <f t="shared" si="30"/>
        <v>0</v>
      </c>
      <c r="N368" s="55"/>
    </row>
    <row r="369" spans="1:14" x14ac:dyDescent="0.3">
      <c r="A369" s="17">
        <v>45539</v>
      </c>
      <c r="B369">
        <v>-3.05</v>
      </c>
      <c r="C369">
        <f t="shared" si="31"/>
        <v>4</v>
      </c>
      <c r="D369">
        <v>1</v>
      </c>
      <c r="E369">
        <f t="shared" si="32"/>
        <v>9</v>
      </c>
      <c r="F369">
        <f t="shared" si="33"/>
        <v>2024</v>
      </c>
      <c r="H369" s="17">
        <f t="shared" si="34"/>
        <v>45536</v>
      </c>
      <c r="J369">
        <f t="shared" si="30"/>
        <v>1</v>
      </c>
      <c r="N369" s="55"/>
    </row>
    <row r="370" spans="1:14" x14ac:dyDescent="0.3">
      <c r="A370" s="17">
        <v>45538</v>
      </c>
      <c r="B370">
        <v>-4.42</v>
      </c>
      <c r="C370">
        <f t="shared" si="31"/>
        <v>3</v>
      </c>
      <c r="D370">
        <v>1</v>
      </c>
      <c r="E370">
        <f t="shared" si="32"/>
        <v>9</v>
      </c>
      <c r="F370">
        <f t="shared" si="33"/>
        <v>2024</v>
      </c>
      <c r="H370" s="17">
        <f t="shared" si="34"/>
        <v>45536</v>
      </c>
      <c r="J370">
        <f t="shared" si="30"/>
        <v>1</v>
      </c>
      <c r="N370" s="55"/>
    </row>
    <row r="371" spans="1:14" x14ac:dyDescent="0.3">
      <c r="A371" s="17">
        <v>45537</v>
      </c>
      <c r="B371">
        <v>-4.92</v>
      </c>
      <c r="C371">
        <f t="shared" si="31"/>
        <v>2</v>
      </c>
      <c r="D371">
        <v>1</v>
      </c>
      <c r="E371">
        <f t="shared" si="32"/>
        <v>9</v>
      </c>
      <c r="F371">
        <f t="shared" si="33"/>
        <v>2024</v>
      </c>
      <c r="H371" s="17">
        <f t="shared" si="34"/>
        <v>45536</v>
      </c>
      <c r="J371">
        <f t="shared" si="30"/>
        <v>1</v>
      </c>
      <c r="N371" s="55"/>
    </row>
    <row r="372" spans="1:14" x14ac:dyDescent="0.3">
      <c r="A372" s="17">
        <v>45536</v>
      </c>
      <c r="C372">
        <f t="shared" si="31"/>
        <v>1</v>
      </c>
      <c r="D372">
        <v>1</v>
      </c>
      <c r="E372">
        <f t="shared" si="32"/>
        <v>9</v>
      </c>
      <c r="F372">
        <f t="shared" si="33"/>
        <v>2024</v>
      </c>
      <c r="H372" s="17">
        <f t="shared" si="34"/>
        <v>45536</v>
      </c>
      <c r="J372">
        <f t="shared" si="30"/>
        <v>1</v>
      </c>
      <c r="N372" s="55"/>
    </row>
    <row r="373" spans="1:14" x14ac:dyDescent="0.3">
      <c r="A373" s="17">
        <v>45534</v>
      </c>
      <c r="B373">
        <v>-4.58</v>
      </c>
      <c r="C373">
        <f t="shared" si="31"/>
        <v>30</v>
      </c>
      <c r="D373">
        <v>1</v>
      </c>
      <c r="E373">
        <f t="shared" si="32"/>
        <v>8</v>
      </c>
      <c r="F373">
        <f t="shared" si="33"/>
        <v>2024</v>
      </c>
      <c r="H373" s="17">
        <f t="shared" si="34"/>
        <v>45505</v>
      </c>
      <c r="J373">
        <f t="shared" si="30"/>
        <v>0</v>
      </c>
      <c r="N373" s="55"/>
    </row>
    <row r="374" spans="1:14" x14ac:dyDescent="0.3">
      <c r="A374" s="17">
        <v>45533</v>
      </c>
      <c r="B374">
        <v>-4.79</v>
      </c>
      <c r="C374">
        <f t="shared" si="31"/>
        <v>29</v>
      </c>
      <c r="D374">
        <v>1</v>
      </c>
      <c r="E374">
        <f t="shared" si="32"/>
        <v>8</v>
      </c>
      <c r="F374">
        <f t="shared" si="33"/>
        <v>2024</v>
      </c>
      <c r="H374" s="17">
        <f t="shared" si="34"/>
        <v>45505</v>
      </c>
      <c r="J374">
        <f t="shared" si="30"/>
        <v>0</v>
      </c>
      <c r="N374" s="55"/>
    </row>
    <row r="375" spans="1:14" x14ac:dyDescent="0.3">
      <c r="A375" s="17">
        <v>45532</v>
      </c>
      <c r="B375">
        <v>-4.82</v>
      </c>
      <c r="C375">
        <f t="shared" si="31"/>
        <v>28</v>
      </c>
      <c r="D375">
        <v>1</v>
      </c>
      <c r="E375">
        <f t="shared" si="32"/>
        <v>8</v>
      </c>
      <c r="F375">
        <f t="shared" si="33"/>
        <v>2024</v>
      </c>
      <c r="H375" s="17">
        <f t="shared" si="34"/>
        <v>45505</v>
      </c>
      <c r="J375">
        <f t="shared" si="30"/>
        <v>0</v>
      </c>
      <c r="N375" s="55"/>
    </row>
    <row r="376" spans="1:14" x14ac:dyDescent="0.3">
      <c r="A376" s="17">
        <v>45531</v>
      </c>
      <c r="B376">
        <v>-4.9400000000000004</v>
      </c>
      <c r="C376">
        <f t="shared" si="31"/>
        <v>27</v>
      </c>
      <c r="D376">
        <v>1</v>
      </c>
      <c r="E376">
        <f t="shared" si="32"/>
        <v>8</v>
      </c>
      <c r="F376">
        <f t="shared" si="33"/>
        <v>2024</v>
      </c>
      <c r="H376" s="17">
        <f t="shared" si="34"/>
        <v>45505</v>
      </c>
      <c r="J376">
        <f t="shared" si="30"/>
        <v>0</v>
      </c>
      <c r="N376" s="55"/>
    </row>
    <row r="377" spans="1:14" x14ac:dyDescent="0.3">
      <c r="A377" s="17">
        <v>45530</v>
      </c>
      <c r="B377">
        <v>-5.4</v>
      </c>
      <c r="C377">
        <f t="shared" si="31"/>
        <v>26</v>
      </c>
      <c r="D377">
        <v>1</v>
      </c>
      <c r="E377">
        <f t="shared" si="32"/>
        <v>8</v>
      </c>
      <c r="F377">
        <f t="shared" si="33"/>
        <v>2024</v>
      </c>
      <c r="H377" s="17">
        <f t="shared" si="34"/>
        <v>45505</v>
      </c>
      <c r="J377">
        <f t="shared" si="30"/>
        <v>0</v>
      </c>
      <c r="N377" s="55"/>
    </row>
    <row r="378" spans="1:14" x14ac:dyDescent="0.3">
      <c r="A378" s="17">
        <v>45527</v>
      </c>
      <c r="B378">
        <v>-4.6900000000000004</v>
      </c>
      <c r="C378">
        <f t="shared" si="31"/>
        <v>23</v>
      </c>
      <c r="D378">
        <v>1</v>
      </c>
      <c r="E378">
        <f t="shared" si="32"/>
        <v>8</v>
      </c>
      <c r="F378">
        <f t="shared" si="33"/>
        <v>2024</v>
      </c>
      <c r="H378" s="17">
        <f t="shared" si="34"/>
        <v>45505</v>
      </c>
      <c r="J378">
        <f t="shared" si="30"/>
        <v>0</v>
      </c>
      <c r="N378" s="55"/>
    </row>
    <row r="379" spans="1:14" x14ac:dyDescent="0.3">
      <c r="A379" s="17">
        <v>45526</v>
      </c>
      <c r="B379">
        <v>-4.29</v>
      </c>
      <c r="C379">
        <f t="shared" si="31"/>
        <v>22</v>
      </c>
      <c r="D379">
        <v>1</v>
      </c>
      <c r="E379">
        <f t="shared" si="32"/>
        <v>8</v>
      </c>
      <c r="F379">
        <f t="shared" si="33"/>
        <v>2024</v>
      </c>
      <c r="H379" s="17">
        <f t="shared" si="34"/>
        <v>45505</v>
      </c>
      <c r="J379">
        <f t="shared" si="30"/>
        <v>0</v>
      </c>
      <c r="N379" s="55"/>
    </row>
    <row r="380" spans="1:14" x14ac:dyDescent="0.3">
      <c r="A380" s="17">
        <v>45525</v>
      </c>
      <c r="B380">
        <v>-4.63</v>
      </c>
      <c r="C380">
        <f t="shared" si="31"/>
        <v>21</v>
      </c>
      <c r="D380">
        <v>1</v>
      </c>
      <c r="E380">
        <f t="shared" si="32"/>
        <v>8</v>
      </c>
      <c r="F380">
        <f t="shared" si="33"/>
        <v>2024</v>
      </c>
      <c r="H380" s="17">
        <f t="shared" si="34"/>
        <v>45505</v>
      </c>
      <c r="J380">
        <f t="shared" si="30"/>
        <v>0</v>
      </c>
      <c r="N380" s="55"/>
    </row>
    <row r="381" spans="1:14" x14ac:dyDescent="0.3">
      <c r="A381" s="17">
        <v>45524</v>
      </c>
      <c r="B381">
        <v>-5.24</v>
      </c>
      <c r="C381">
        <f t="shared" si="31"/>
        <v>20</v>
      </c>
      <c r="D381">
        <v>1</v>
      </c>
      <c r="E381">
        <f t="shared" si="32"/>
        <v>8</v>
      </c>
      <c r="F381">
        <f t="shared" si="33"/>
        <v>2024</v>
      </c>
      <c r="H381" s="17">
        <f t="shared" si="34"/>
        <v>45505</v>
      </c>
      <c r="J381">
        <f t="shared" si="30"/>
        <v>0</v>
      </c>
      <c r="N381" s="55"/>
    </row>
    <row r="382" spans="1:14" x14ac:dyDescent="0.3">
      <c r="A382" s="17">
        <v>45523</v>
      </c>
      <c r="B382">
        <v>-6.44</v>
      </c>
      <c r="C382">
        <f t="shared" si="31"/>
        <v>19</v>
      </c>
      <c r="D382">
        <v>1</v>
      </c>
      <c r="E382">
        <f t="shared" si="32"/>
        <v>8</v>
      </c>
      <c r="F382">
        <f t="shared" si="33"/>
        <v>2024</v>
      </c>
      <c r="H382" s="17">
        <f t="shared" si="34"/>
        <v>45505</v>
      </c>
      <c r="J382">
        <f t="shared" si="30"/>
        <v>0</v>
      </c>
      <c r="N382" s="55"/>
    </row>
    <row r="383" spans="1:14" x14ac:dyDescent="0.3">
      <c r="A383" s="17">
        <v>45520</v>
      </c>
      <c r="B383">
        <v>-6.83</v>
      </c>
      <c r="C383">
        <f t="shared" si="31"/>
        <v>16</v>
      </c>
      <c r="D383">
        <v>1</v>
      </c>
      <c r="E383">
        <f t="shared" si="32"/>
        <v>8</v>
      </c>
      <c r="F383">
        <f t="shared" si="33"/>
        <v>2024</v>
      </c>
      <c r="H383" s="17">
        <f t="shared" si="34"/>
        <v>45505</v>
      </c>
      <c r="J383">
        <f t="shared" si="30"/>
        <v>0</v>
      </c>
      <c r="N383" s="55"/>
    </row>
    <row r="384" spans="1:14" x14ac:dyDescent="0.3">
      <c r="A384" s="17">
        <v>45519</v>
      </c>
      <c r="B384">
        <v>-6.92</v>
      </c>
      <c r="C384">
        <f t="shared" si="31"/>
        <v>15</v>
      </c>
      <c r="D384">
        <v>1</v>
      </c>
      <c r="E384">
        <f t="shared" si="32"/>
        <v>8</v>
      </c>
      <c r="F384">
        <f t="shared" si="33"/>
        <v>2024</v>
      </c>
      <c r="H384" s="17">
        <f t="shared" si="34"/>
        <v>45505</v>
      </c>
      <c r="J384">
        <f t="shared" si="30"/>
        <v>0</v>
      </c>
      <c r="N384" s="55"/>
    </row>
    <row r="385" spans="1:14" x14ac:dyDescent="0.3">
      <c r="A385" s="17">
        <v>45518</v>
      </c>
      <c r="B385">
        <v>-6.66</v>
      </c>
      <c r="C385">
        <f t="shared" si="31"/>
        <v>14</v>
      </c>
      <c r="D385">
        <v>1</v>
      </c>
      <c r="E385">
        <f t="shared" si="32"/>
        <v>8</v>
      </c>
      <c r="F385">
        <f t="shared" si="33"/>
        <v>2024</v>
      </c>
      <c r="H385" s="17">
        <f t="shared" si="34"/>
        <v>45505</v>
      </c>
      <c r="J385">
        <f t="shared" si="30"/>
        <v>0</v>
      </c>
      <c r="N385" s="55"/>
    </row>
    <row r="386" spans="1:14" x14ac:dyDescent="0.3">
      <c r="A386" s="17">
        <v>45517</v>
      </c>
      <c r="B386">
        <v>-6.83</v>
      </c>
      <c r="C386">
        <f t="shared" si="31"/>
        <v>13</v>
      </c>
      <c r="D386">
        <v>1</v>
      </c>
      <c r="E386">
        <f t="shared" si="32"/>
        <v>8</v>
      </c>
      <c r="F386">
        <f t="shared" si="33"/>
        <v>2024</v>
      </c>
      <c r="H386" s="17">
        <f t="shared" si="34"/>
        <v>45505</v>
      </c>
      <c r="J386">
        <f t="shared" si="30"/>
        <v>0</v>
      </c>
      <c r="N386" s="55"/>
    </row>
    <row r="387" spans="1:14" x14ac:dyDescent="0.3">
      <c r="A387" s="17">
        <v>45516</v>
      </c>
      <c r="B387">
        <v>-6.94</v>
      </c>
      <c r="C387">
        <f t="shared" si="31"/>
        <v>12</v>
      </c>
      <c r="D387">
        <v>1</v>
      </c>
      <c r="E387">
        <f t="shared" si="32"/>
        <v>8</v>
      </c>
      <c r="F387">
        <f t="shared" si="33"/>
        <v>2024</v>
      </c>
      <c r="H387" s="17">
        <f t="shared" si="34"/>
        <v>45505</v>
      </c>
      <c r="J387">
        <f t="shared" si="30"/>
        <v>0</v>
      </c>
      <c r="N387" s="55"/>
    </row>
    <row r="388" spans="1:14" x14ac:dyDescent="0.3">
      <c r="A388" s="17">
        <v>45512</v>
      </c>
      <c r="B388">
        <v>-5.76</v>
      </c>
      <c r="C388">
        <f t="shared" si="31"/>
        <v>8</v>
      </c>
      <c r="D388">
        <v>1</v>
      </c>
      <c r="E388">
        <f t="shared" si="32"/>
        <v>8</v>
      </c>
      <c r="F388">
        <f t="shared" si="33"/>
        <v>2024</v>
      </c>
      <c r="H388" s="17">
        <f t="shared" si="34"/>
        <v>45505</v>
      </c>
      <c r="J388">
        <f t="shared" si="30"/>
        <v>0</v>
      </c>
      <c r="N388" s="55"/>
    </row>
    <row r="389" spans="1:14" x14ac:dyDescent="0.3">
      <c r="A389" s="17">
        <v>45511</v>
      </c>
      <c r="B389">
        <v>-5.71</v>
      </c>
      <c r="C389">
        <f t="shared" si="31"/>
        <v>7</v>
      </c>
      <c r="D389">
        <v>1</v>
      </c>
      <c r="E389">
        <f t="shared" si="32"/>
        <v>8</v>
      </c>
      <c r="F389">
        <f t="shared" si="33"/>
        <v>2024</v>
      </c>
      <c r="H389" s="17">
        <f t="shared" si="34"/>
        <v>45505</v>
      </c>
      <c r="J389">
        <f t="shared" si="30"/>
        <v>0</v>
      </c>
      <c r="N389" s="55"/>
    </row>
    <row r="390" spans="1:14" x14ac:dyDescent="0.3">
      <c r="A390" s="17">
        <v>45510</v>
      </c>
      <c r="B390">
        <v>-5.1100000000000003</v>
      </c>
      <c r="C390">
        <f t="shared" si="31"/>
        <v>6</v>
      </c>
      <c r="D390">
        <v>1</v>
      </c>
      <c r="E390">
        <f t="shared" si="32"/>
        <v>8</v>
      </c>
      <c r="F390">
        <f t="shared" si="33"/>
        <v>2024</v>
      </c>
      <c r="H390" s="17">
        <f t="shared" si="34"/>
        <v>45505</v>
      </c>
      <c r="J390">
        <f t="shared" si="30"/>
        <v>0</v>
      </c>
      <c r="N390" s="55"/>
    </row>
    <row r="391" spans="1:14" x14ac:dyDescent="0.3">
      <c r="A391" s="17">
        <v>45509</v>
      </c>
      <c r="B391">
        <v>-5.01</v>
      </c>
      <c r="C391">
        <f t="shared" si="31"/>
        <v>5</v>
      </c>
      <c r="D391">
        <v>1</v>
      </c>
      <c r="E391">
        <f t="shared" si="32"/>
        <v>8</v>
      </c>
      <c r="F391">
        <f t="shared" si="33"/>
        <v>2024</v>
      </c>
      <c r="H391" s="17">
        <f t="shared" si="34"/>
        <v>45505</v>
      </c>
      <c r="J391">
        <f t="shared" si="30"/>
        <v>0</v>
      </c>
      <c r="N391" s="55"/>
    </row>
    <row r="392" spans="1:14" x14ac:dyDescent="0.3">
      <c r="A392" s="17">
        <v>45506</v>
      </c>
      <c r="B392">
        <v>-7.04</v>
      </c>
      <c r="C392">
        <f t="shared" si="31"/>
        <v>2</v>
      </c>
      <c r="D392">
        <v>1</v>
      </c>
      <c r="E392">
        <f t="shared" si="32"/>
        <v>8</v>
      </c>
      <c r="F392">
        <f t="shared" si="33"/>
        <v>2024</v>
      </c>
      <c r="H392" s="17">
        <f t="shared" si="34"/>
        <v>45505</v>
      </c>
      <c r="J392">
        <f t="shared" si="30"/>
        <v>1</v>
      </c>
      <c r="N392" s="55"/>
    </row>
    <row r="393" spans="1:14" x14ac:dyDescent="0.3">
      <c r="A393" s="17">
        <v>45505</v>
      </c>
      <c r="B393">
        <v>-7.76</v>
      </c>
      <c r="C393">
        <f t="shared" si="31"/>
        <v>1</v>
      </c>
      <c r="D393">
        <v>1</v>
      </c>
      <c r="E393">
        <f t="shared" si="32"/>
        <v>8</v>
      </c>
      <c r="F393">
        <f t="shared" si="33"/>
        <v>2024</v>
      </c>
      <c r="H393" s="17">
        <f t="shared" si="34"/>
        <v>45505</v>
      </c>
      <c r="J393">
        <f t="shared" ref="J393:J456" si="35">IF(AND(C393&gt;=1, C393&lt;=4), 1, 0)</f>
        <v>1</v>
      </c>
      <c r="N393" s="55"/>
    </row>
    <row r="394" spans="1:14" x14ac:dyDescent="0.3">
      <c r="A394" s="17">
        <v>45504</v>
      </c>
      <c r="B394">
        <v>-8.0399999999999991</v>
      </c>
      <c r="C394">
        <f t="shared" ref="C394:C457" si="36">+DAY(A394)</f>
        <v>31</v>
      </c>
      <c r="D394">
        <v>1</v>
      </c>
      <c r="E394">
        <f t="shared" ref="E394:E457" si="37">+MONTH(A394)</f>
        <v>7</v>
      </c>
      <c r="F394">
        <f t="shared" ref="F394:F457" si="38">+YEAR(A394)</f>
        <v>2024</v>
      </c>
      <c r="H394" s="17">
        <f t="shared" ref="H394:H457" si="39">+DATE(F394,E394,D394)</f>
        <v>45474</v>
      </c>
      <c r="J394">
        <f t="shared" si="35"/>
        <v>0</v>
      </c>
      <c r="N394" s="55"/>
    </row>
    <row r="395" spans="1:14" x14ac:dyDescent="0.3">
      <c r="A395" s="17">
        <v>45503</v>
      </c>
      <c r="B395">
        <v>-8.27</v>
      </c>
      <c r="C395">
        <f t="shared" si="36"/>
        <v>30</v>
      </c>
      <c r="D395">
        <v>1</v>
      </c>
      <c r="E395">
        <f t="shared" si="37"/>
        <v>7</v>
      </c>
      <c r="F395">
        <f t="shared" si="38"/>
        <v>2024</v>
      </c>
      <c r="H395" s="17">
        <f t="shared" si="39"/>
        <v>45474</v>
      </c>
      <c r="J395">
        <f t="shared" si="35"/>
        <v>0</v>
      </c>
      <c r="N395" s="55"/>
    </row>
    <row r="396" spans="1:14" x14ac:dyDescent="0.3">
      <c r="A396" s="17">
        <v>45502</v>
      </c>
      <c r="B396">
        <v>-7.82</v>
      </c>
      <c r="C396">
        <f t="shared" si="36"/>
        <v>29</v>
      </c>
      <c r="D396">
        <v>1</v>
      </c>
      <c r="E396">
        <f t="shared" si="37"/>
        <v>7</v>
      </c>
      <c r="F396">
        <f t="shared" si="38"/>
        <v>2024</v>
      </c>
      <c r="H396" s="17">
        <f t="shared" si="39"/>
        <v>45474</v>
      </c>
      <c r="J396">
        <f t="shared" si="35"/>
        <v>0</v>
      </c>
      <c r="N396" s="55"/>
    </row>
    <row r="397" spans="1:14" x14ac:dyDescent="0.3">
      <c r="A397" s="17">
        <v>45499</v>
      </c>
      <c r="B397">
        <v>-7.84</v>
      </c>
      <c r="C397">
        <f t="shared" si="36"/>
        <v>26</v>
      </c>
      <c r="D397">
        <v>1</v>
      </c>
      <c r="E397">
        <f t="shared" si="37"/>
        <v>7</v>
      </c>
      <c r="F397">
        <f t="shared" si="38"/>
        <v>2024</v>
      </c>
      <c r="H397" s="17">
        <f t="shared" si="39"/>
        <v>45474</v>
      </c>
      <c r="J397">
        <f t="shared" si="35"/>
        <v>0</v>
      </c>
      <c r="N397" s="55"/>
    </row>
    <row r="398" spans="1:14" x14ac:dyDescent="0.3">
      <c r="A398" s="17">
        <v>45498</v>
      </c>
      <c r="B398">
        <v>-7.83</v>
      </c>
      <c r="C398">
        <f t="shared" si="36"/>
        <v>25</v>
      </c>
      <c r="D398">
        <v>1</v>
      </c>
      <c r="E398">
        <f t="shared" si="37"/>
        <v>7</v>
      </c>
      <c r="F398">
        <f t="shared" si="38"/>
        <v>2024</v>
      </c>
      <c r="H398" s="17">
        <f t="shared" si="39"/>
        <v>45474</v>
      </c>
      <c r="J398">
        <f t="shared" si="35"/>
        <v>0</v>
      </c>
      <c r="N398" s="55"/>
    </row>
    <row r="399" spans="1:14" x14ac:dyDescent="0.3">
      <c r="A399" s="17">
        <v>45497</v>
      </c>
      <c r="B399">
        <v>-7.68</v>
      </c>
      <c r="C399">
        <f t="shared" si="36"/>
        <v>24</v>
      </c>
      <c r="D399">
        <v>1</v>
      </c>
      <c r="E399">
        <f t="shared" si="37"/>
        <v>7</v>
      </c>
      <c r="F399">
        <f t="shared" si="38"/>
        <v>2024</v>
      </c>
      <c r="H399" s="17">
        <f t="shared" si="39"/>
        <v>45474</v>
      </c>
      <c r="J399">
        <f t="shared" si="35"/>
        <v>0</v>
      </c>
      <c r="N399" s="55"/>
    </row>
    <row r="400" spans="1:14" x14ac:dyDescent="0.3">
      <c r="A400" s="17">
        <v>45496</v>
      </c>
      <c r="B400">
        <v>-7.91</v>
      </c>
      <c r="C400">
        <f t="shared" si="36"/>
        <v>23</v>
      </c>
      <c r="D400">
        <v>1</v>
      </c>
      <c r="E400">
        <f t="shared" si="37"/>
        <v>7</v>
      </c>
      <c r="F400">
        <f t="shared" si="38"/>
        <v>2024</v>
      </c>
      <c r="H400" s="17">
        <f t="shared" si="39"/>
        <v>45474</v>
      </c>
      <c r="J400">
        <f t="shared" si="35"/>
        <v>0</v>
      </c>
      <c r="N400" s="55"/>
    </row>
    <row r="401" spans="1:14" x14ac:dyDescent="0.3">
      <c r="A401" s="17">
        <v>45495</v>
      </c>
      <c r="B401">
        <v>-8.49</v>
      </c>
      <c r="C401">
        <f t="shared" si="36"/>
        <v>22</v>
      </c>
      <c r="D401">
        <v>1</v>
      </c>
      <c r="E401">
        <f t="shared" si="37"/>
        <v>7</v>
      </c>
      <c r="F401">
        <f t="shared" si="38"/>
        <v>2024</v>
      </c>
      <c r="H401" s="17">
        <f t="shared" si="39"/>
        <v>45474</v>
      </c>
      <c r="J401">
        <f t="shared" si="35"/>
        <v>0</v>
      </c>
      <c r="N401" s="55"/>
    </row>
    <row r="402" spans="1:14" x14ac:dyDescent="0.3">
      <c r="A402" s="17">
        <v>45492</v>
      </c>
      <c r="B402">
        <v>-8.6999999999999993</v>
      </c>
      <c r="C402">
        <f t="shared" si="36"/>
        <v>19</v>
      </c>
      <c r="D402">
        <v>1</v>
      </c>
      <c r="E402">
        <f t="shared" si="37"/>
        <v>7</v>
      </c>
      <c r="F402">
        <f t="shared" si="38"/>
        <v>2024</v>
      </c>
      <c r="H402" s="17">
        <f t="shared" si="39"/>
        <v>45474</v>
      </c>
      <c r="J402">
        <f t="shared" si="35"/>
        <v>0</v>
      </c>
      <c r="N402" s="55"/>
    </row>
    <row r="403" spans="1:14" x14ac:dyDescent="0.3">
      <c r="A403" s="17">
        <v>45491</v>
      </c>
      <c r="B403">
        <v>-8.8800000000000008</v>
      </c>
      <c r="C403">
        <f t="shared" si="36"/>
        <v>18</v>
      </c>
      <c r="D403">
        <v>1</v>
      </c>
      <c r="E403">
        <f t="shared" si="37"/>
        <v>7</v>
      </c>
      <c r="F403">
        <f t="shared" si="38"/>
        <v>2024</v>
      </c>
      <c r="H403" s="17">
        <f t="shared" si="39"/>
        <v>45474</v>
      </c>
      <c r="J403">
        <f t="shared" si="35"/>
        <v>0</v>
      </c>
      <c r="N403" s="55"/>
    </row>
    <row r="404" spans="1:14" x14ac:dyDescent="0.3">
      <c r="A404" s="17">
        <v>45490</v>
      </c>
      <c r="B404">
        <v>-9.15</v>
      </c>
      <c r="C404">
        <f t="shared" si="36"/>
        <v>17</v>
      </c>
      <c r="D404">
        <v>1</v>
      </c>
      <c r="E404">
        <f t="shared" si="37"/>
        <v>7</v>
      </c>
      <c r="F404">
        <f t="shared" si="38"/>
        <v>2024</v>
      </c>
      <c r="H404" s="17">
        <f t="shared" si="39"/>
        <v>45474</v>
      </c>
      <c r="J404">
        <f t="shared" si="35"/>
        <v>0</v>
      </c>
      <c r="N404" s="55"/>
    </row>
    <row r="405" spans="1:14" x14ac:dyDescent="0.3">
      <c r="A405" s="17">
        <v>45489</v>
      </c>
      <c r="B405">
        <v>-9.6199999999999992</v>
      </c>
      <c r="C405">
        <f t="shared" si="36"/>
        <v>16</v>
      </c>
      <c r="D405">
        <v>1</v>
      </c>
      <c r="E405">
        <f t="shared" si="37"/>
        <v>7</v>
      </c>
      <c r="F405">
        <f t="shared" si="38"/>
        <v>2024</v>
      </c>
      <c r="H405" s="17">
        <f t="shared" si="39"/>
        <v>45474</v>
      </c>
      <c r="J405">
        <f t="shared" si="35"/>
        <v>0</v>
      </c>
      <c r="N405" s="55"/>
    </row>
    <row r="406" spans="1:14" x14ac:dyDescent="0.3">
      <c r="A406" s="17">
        <v>45488</v>
      </c>
      <c r="B406">
        <v>-10.4</v>
      </c>
      <c r="C406">
        <f t="shared" si="36"/>
        <v>15</v>
      </c>
      <c r="D406">
        <v>1</v>
      </c>
      <c r="E406">
        <f t="shared" si="37"/>
        <v>7</v>
      </c>
      <c r="F406">
        <f t="shared" si="38"/>
        <v>2024</v>
      </c>
      <c r="H406" s="17">
        <f t="shared" si="39"/>
        <v>45474</v>
      </c>
      <c r="J406">
        <f t="shared" si="35"/>
        <v>0</v>
      </c>
      <c r="N406" s="55"/>
    </row>
    <row r="407" spans="1:14" x14ac:dyDescent="0.3">
      <c r="A407" s="17">
        <v>45485</v>
      </c>
      <c r="B407">
        <v>-10.8</v>
      </c>
      <c r="C407">
        <f t="shared" si="36"/>
        <v>12</v>
      </c>
      <c r="D407">
        <v>1</v>
      </c>
      <c r="E407">
        <f t="shared" si="37"/>
        <v>7</v>
      </c>
      <c r="F407">
        <f t="shared" si="38"/>
        <v>2024</v>
      </c>
      <c r="H407" s="17">
        <f t="shared" si="39"/>
        <v>45474</v>
      </c>
      <c r="J407">
        <f t="shared" si="35"/>
        <v>0</v>
      </c>
      <c r="N407" s="55"/>
    </row>
    <row r="408" spans="1:14" x14ac:dyDescent="0.3">
      <c r="A408" s="17">
        <v>45484</v>
      </c>
      <c r="B408">
        <v>-10.8</v>
      </c>
      <c r="C408">
        <f t="shared" si="36"/>
        <v>11</v>
      </c>
      <c r="D408">
        <v>1</v>
      </c>
      <c r="E408">
        <f t="shared" si="37"/>
        <v>7</v>
      </c>
      <c r="F408">
        <f t="shared" si="38"/>
        <v>2024</v>
      </c>
      <c r="H408" s="17">
        <f t="shared" si="39"/>
        <v>45474</v>
      </c>
      <c r="J408">
        <f t="shared" si="35"/>
        <v>0</v>
      </c>
      <c r="N408" s="55"/>
    </row>
    <row r="409" spans="1:14" x14ac:dyDescent="0.3">
      <c r="A409" s="17">
        <v>45483</v>
      </c>
      <c r="B409">
        <v>-10.99</v>
      </c>
      <c r="C409">
        <f t="shared" si="36"/>
        <v>10</v>
      </c>
      <c r="D409">
        <v>1</v>
      </c>
      <c r="E409">
        <f t="shared" si="37"/>
        <v>7</v>
      </c>
      <c r="F409">
        <f t="shared" si="38"/>
        <v>2024</v>
      </c>
      <c r="H409" s="17">
        <f t="shared" si="39"/>
        <v>45474</v>
      </c>
      <c r="J409">
        <f t="shared" si="35"/>
        <v>0</v>
      </c>
      <c r="N409" s="55"/>
    </row>
    <row r="410" spans="1:14" x14ac:dyDescent="0.3">
      <c r="A410" s="17">
        <v>45482</v>
      </c>
      <c r="B410">
        <v>-10.99</v>
      </c>
      <c r="C410">
        <f t="shared" si="36"/>
        <v>9</v>
      </c>
      <c r="D410">
        <v>1</v>
      </c>
      <c r="E410">
        <f t="shared" si="37"/>
        <v>7</v>
      </c>
      <c r="F410">
        <f t="shared" si="38"/>
        <v>2024</v>
      </c>
      <c r="H410" s="17">
        <f t="shared" si="39"/>
        <v>45474</v>
      </c>
      <c r="J410">
        <f t="shared" si="35"/>
        <v>0</v>
      </c>
      <c r="N410" s="55"/>
    </row>
    <row r="411" spans="1:14" x14ac:dyDescent="0.3">
      <c r="A411" s="17">
        <v>45481</v>
      </c>
      <c r="B411">
        <v>-11</v>
      </c>
      <c r="C411">
        <f t="shared" si="36"/>
        <v>8</v>
      </c>
      <c r="D411">
        <v>1</v>
      </c>
      <c r="E411">
        <f t="shared" si="37"/>
        <v>7</v>
      </c>
      <c r="F411">
        <f t="shared" si="38"/>
        <v>2024</v>
      </c>
      <c r="H411" s="17">
        <f t="shared" si="39"/>
        <v>45474</v>
      </c>
      <c r="J411">
        <f t="shared" si="35"/>
        <v>0</v>
      </c>
      <c r="N411" s="55"/>
    </row>
    <row r="412" spans="1:14" x14ac:dyDescent="0.3">
      <c r="A412" s="17">
        <v>45478</v>
      </c>
      <c r="B412">
        <v>-11.41</v>
      </c>
      <c r="C412">
        <f t="shared" si="36"/>
        <v>5</v>
      </c>
      <c r="D412">
        <v>1</v>
      </c>
      <c r="E412">
        <f t="shared" si="37"/>
        <v>7</v>
      </c>
      <c r="F412">
        <f t="shared" si="38"/>
        <v>2024</v>
      </c>
      <c r="H412" s="17">
        <f t="shared" si="39"/>
        <v>45474</v>
      </c>
      <c r="J412">
        <f t="shared" si="35"/>
        <v>0</v>
      </c>
      <c r="N412" s="55"/>
    </row>
    <row r="413" spans="1:14" x14ac:dyDescent="0.3">
      <c r="A413" s="17">
        <v>45477</v>
      </c>
      <c r="B413">
        <v>-11.41</v>
      </c>
      <c r="C413">
        <f t="shared" si="36"/>
        <v>4</v>
      </c>
      <c r="D413">
        <v>1</v>
      </c>
      <c r="E413">
        <f t="shared" si="37"/>
        <v>7</v>
      </c>
      <c r="F413">
        <f t="shared" si="38"/>
        <v>2024</v>
      </c>
      <c r="H413" s="17">
        <f t="shared" si="39"/>
        <v>45474</v>
      </c>
      <c r="J413">
        <f t="shared" si="35"/>
        <v>1</v>
      </c>
      <c r="N413" s="55"/>
    </row>
    <row r="414" spans="1:14" x14ac:dyDescent="0.3">
      <c r="A414" s="17">
        <v>45476</v>
      </c>
      <c r="B414">
        <v>-11.09</v>
      </c>
      <c r="C414">
        <f t="shared" si="36"/>
        <v>3</v>
      </c>
      <c r="D414">
        <v>1</v>
      </c>
      <c r="E414">
        <f t="shared" si="37"/>
        <v>7</v>
      </c>
      <c r="F414">
        <f t="shared" si="38"/>
        <v>2024</v>
      </c>
      <c r="H414" s="17">
        <f t="shared" si="39"/>
        <v>45474</v>
      </c>
      <c r="J414">
        <f t="shared" si="35"/>
        <v>1</v>
      </c>
      <c r="N414" s="55"/>
    </row>
    <row r="415" spans="1:14" x14ac:dyDescent="0.3">
      <c r="A415" s="17">
        <v>45475</v>
      </c>
      <c r="B415">
        <v>-10.96</v>
      </c>
      <c r="C415">
        <f t="shared" si="36"/>
        <v>2</v>
      </c>
      <c r="D415">
        <v>1</v>
      </c>
      <c r="E415">
        <f t="shared" si="37"/>
        <v>7</v>
      </c>
      <c r="F415">
        <f t="shared" si="38"/>
        <v>2024</v>
      </c>
      <c r="H415" s="17">
        <f t="shared" si="39"/>
        <v>45474</v>
      </c>
      <c r="J415">
        <f t="shared" si="35"/>
        <v>1</v>
      </c>
      <c r="N415" s="55"/>
    </row>
    <row r="416" spans="1:14" x14ac:dyDescent="0.3">
      <c r="A416" s="17">
        <v>45474</v>
      </c>
      <c r="B416">
        <v>-11.03</v>
      </c>
      <c r="C416">
        <f t="shared" si="36"/>
        <v>1</v>
      </c>
      <c r="D416">
        <v>1</v>
      </c>
      <c r="E416">
        <f t="shared" si="37"/>
        <v>7</v>
      </c>
      <c r="F416">
        <f t="shared" si="38"/>
        <v>2024</v>
      </c>
      <c r="H416" s="17">
        <f t="shared" si="39"/>
        <v>45474</v>
      </c>
      <c r="J416">
        <f t="shared" si="35"/>
        <v>1</v>
      </c>
      <c r="N416" s="55"/>
    </row>
    <row r="417" spans="1:14" x14ac:dyDescent="0.3">
      <c r="A417" s="17">
        <v>45471</v>
      </c>
      <c r="B417">
        <v>-10.79</v>
      </c>
      <c r="C417">
        <f t="shared" si="36"/>
        <v>28</v>
      </c>
      <c r="D417">
        <v>1</v>
      </c>
      <c r="E417">
        <f t="shared" si="37"/>
        <v>6</v>
      </c>
      <c r="F417">
        <f t="shared" si="38"/>
        <v>2024</v>
      </c>
      <c r="H417" s="17">
        <f t="shared" si="39"/>
        <v>45444</v>
      </c>
      <c r="J417">
        <f t="shared" si="35"/>
        <v>0</v>
      </c>
      <c r="N417" s="55"/>
    </row>
    <row r="418" spans="1:14" x14ac:dyDescent="0.3">
      <c r="A418" s="17">
        <v>45470</v>
      </c>
      <c r="B418">
        <v>-10.34</v>
      </c>
      <c r="C418">
        <f t="shared" si="36"/>
        <v>27</v>
      </c>
      <c r="D418">
        <v>1</v>
      </c>
      <c r="E418">
        <f t="shared" si="37"/>
        <v>6</v>
      </c>
      <c r="F418">
        <f t="shared" si="38"/>
        <v>2024</v>
      </c>
      <c r="H418" s="17">
        <f t="shared" si="39"/>
        <v>45444</v>
      </c>
      <c r="J418">
        <f t="shared" si="35"/>
        <v>0</v>
      </c>
      <c r="N418" s="55"/>
    </row>
    <row r="419" spans="1:14" x14ac:dyDescent="0.3">
      <c r="A419" s="17">
        <v>45469</v>
      </c>
      <c r="B419">
        <v>-10.82</v>
      </c>
      <c r="C419">
        <f t="shared" si="36"/>
        <v>26</v>
      </c>
      <c r="D419">
        <v>1</v>
      </c>
      <c r="E419">
        <f t="shared" si="37"/>
        <v>6</v>
      </c>
      <c r="F419">
        <f t="shared" si="38"/>
        <v>2024</v>
      </c>
      <c r="H419" s="17">
        <f t="shared" si="39"/>
        <v>45444</v>
      </c>
      <c r="J419">
        <f t="shared" si="35"/>
        <v>0</v>
      </c>
      <c r="N419" s="55"/>
    </row>
    <row r="420" spans="1:14" x14ac:dyDescent="0.3">
      <c r="A420" s="17">
        <v>45468</v>
      </c>
      <c r="B420">
        <v>-11.23</v>
      </c>
      <c r="C420">
        <f t="shared" si="36"/>
        <v>25</v>
      </c>
      <c r="D420">
        <v>1</v>
      </c>
      <c r="E420">
        <f t="shared" si="37"/>
        <v>6</v>
      </c>
      <c r="F420">
        <f t="shared" si="38"/>
        <v>2024</v>
      </c>
      <c r="H420" s="17">
        <f t="shared" si="39"/>
        <v>45444</v>
      </c>
      <c r="J420">
        <f t="shared" si="35"/>
        <v>0</v>
      </c>
      <c r="N420" s="55"/>
    </row>
    <row r="421" spans="1:14" x14ac:dyDescent="0.3">
      <c r="A421" s="17">
        <v>45467</v>
      </c>
      <c r="B421">
        <v>-11.37</v>
      </c>
      <c r="C421">
        <f t="shared" si="36"/>
        <v>24</v>
      </c>
      <c r="D421">
        <v>1</v>
      </c>
      <c r="E421">
        <f t="shared" si="37"/>
        <v>6</v>
      </c>
      <c r="F421">
        <f t="shared" si="38"/>
        <v>2024</v>
      </c>
      <c r="H421" s="17">
        <f t="shared" si="39"/>
        <v>45444</v>
      </c>
      <c r="J421">
        <f t="shared" si="35"/>
        <v>0</v>
      </c>
      <c r="N421" s="55"/>
    </row>
    <row r="422" spans="1:14" x14ac:dyDescent="0.3">
      <c r="A422" s="17">
        <v>45464</v>
      </c>
      <c r="B422">
        <v>-11.21</v>
      </c>
      <c r="C422">
        <f t="shared" si="36"/>
        <v>21</v>
      </c>
      <c r="D422">
        <v>1</v>
      </c>
      <c r="E422">
        <f t="shared" si="37"/>
        <v>6</v>
      </c>
      <c r="F422">
        <f t="shared" si="38"/>
        <v>2024</v>
      </c>
      <c r="H422" s="17">
        <f t="shared" si="39"/>
        <v>45444</v>
      </c>
      <c r="J422">
        <f t="shared" si="35"/>
        <v>0</v>
      </c>
      <c r="N422" s="55"/>
    </row>
    <row r="423" spans="1:14" x14ac:dyDescent="0.3">
      <c r="A423" s="17">
        <v>45463</v>
      </c>
      <c r="B423">
        <v>-11.22</v>
      </c>
      <c r="C423">
        <f t="shared" si="36"/>
        <v>20</v>
      </c>
      <c r="D423">
        <v>1</v>
      </c>
      <c r="E423">
        <f t="shared" si="37"/>
        <v>6</v>
      </c>
      <c r="F423">
        <f t="shared" si="38"/>
        <v>2024</v>
      </c>
      <c r="H423" s="17">
        <f t="shared" si="39"/>
        <v>45444</v>
      </c>
      <c r="J423">
        <f t="shared" si="35"/>
        <v>0</v>
      </c>
      <c r="N423" s="55"/>
    </row>
    <row r="424" spans="1:14" x14ac:dyDescent="0.3">
      <c r="A424" s="17">
        <v>45462</v>
      </c>
      <c r="B424">
        <v>-11.78</v>
      </c>
      <c r="C424">
        <f t="shared" si="36"/>
        <v>19</v>
      </c>
      <c r="D424">
        <v>1</v>
      </c>
      <c r="E424">
        <f t="shared" si="37"/>
        <v>6</v>
      </c>
      <c r="F424">
        <f t="shared" si="38"/>
        <v>2024</v>
      </c>
      <c r="H424" s="17">
        <f t="shared" si="39"/>
        <v>45444</v>
      </c>
      <c r="J424">
        <f t="shared" si="35"/>
        <v>0</v>
      </c>
      <c r="N424" s="55"/>
    </row>
    <row r="425" spans="1:14" x14ac:dyDescent="0.3">
      <c r="A425" s="17">
        <v>45461</v>
      </c>
      <c r="B425">
        <v>-12.09</v>
      </c>
      <c r="C425">
        <f t="shared" si="36"/>
        <v>18</v>
      </c>
      <c r="D425">
        <v>1</v>
      </c>
      <c r="E425">
        <f t="shared" si="37"/>
        <v>6</v>
      </c>
      <c r="F425">
        <f t="shared" si="38"/>
        <v>2024</v>
      </c>
      <c r="H425" s="17">
        <f t="shared" si="39"/>
        <v>45444</v>
      </c>
      <c r="J425">
        <f t="shared" si="35"/>
        <v>0</v>
      </c>
      <c r="N425" s="55"/>
    </row>
    <row r="426" spans="1:14" x14ac:dyDescent="0.3">
      <c r="A426" s="17">
        <v>45457</v>
      </c>
      <c r="B426">
        <v>-12.04</v>
      </c>
      <c r="C426">
        <f t="shared" si="36"/>
        <v>14</v>
      </c>
      <c r="D426">
        <v>1</v>
      </c>
      <c r="E426">
        <f t="shared" si="37"/>
        <v>6</v>
      </c>
      <c r="F426">
        <f t="shared" si="38"/>
        <v>2024</v>
      </c>
      <c r="H426" s="17">
        <f t="shared" si="39"/>
        <v>45444</v>
      </c>
      <c r="J426">
        <f t="shared" si="35"/>
        <v>0</v>
      </c>
      <c r="N426" s="55"/>
    </row>
    <row r="427" spans="1:14" x14ac:dyDescent="0.3">
      <c r="A427" s="17">
        <v>45456</v>
      </c>
      <c r="B427">
        <v>-12.04</v>
      </c>
      <c r="C427">
        <f t="shared" si="36"/>
        <v>13</v>
      </c>
      <c r="D427">
        <v>1</v>
      </c>
      <c r="E427">
        <f t="shared" si="37"/>
        <v>6</v>
      </c>
      <c r="F427">
        <f t="shared" si="38"/>
        <v>2024</v>
      </c>
      <c r="H427" s="17">
        <f t="shared" si="39"/>
        <v>45444</v>
      </c>
      <c r="J427">
        <f t="shared" si="35"/>
        <v>0</v>
      </c>
      <c r="N427" s="55"/>
    </row>
    <row r="428" spans="1:14" x14ac:dyDescent="0.3">
      <c r="A428" s="17">
        <v>45455</v>
      </c>
      <c r="B428">
        <v>-12.43</v>
      </c>
      <c r="C428">
        <f t="shared" si="36"/>
        <v>12</v>
      </c>
      <c r="D428">
        <v>1</v>
      </c>
      <c r="E428">
        <f t="shared" si="37"/>
        <v>6</v>
      </c>
      <c r="F428">
        <f t="shared" si="38"/>
        <v>2024</v>
      </c>
      <c r="H428" s="17">
        <f t="shared" si="39"/>
        <v>45444</v>
      </c>
      <c r="J428">
        <f t="shared" si="35"/>
        <v>0</v>
      </c>
      <c r="N428" s="55"/>
    </row>
    <row r="429" spans="1:14" x14ac:dyDescent="0.3">
      <c r="A429" s="17">
        <v>45454</v>
      </c>
      <c r="B429">
        <v>-12.73</v>
      </c>
      <c r="C429">
        <f t="shared" si="36"/>
        <v>11</v>
      </c>
      <c r="D429">
        <v>1</v>
      </c>
      <c r="E429">
        <f t="shared" si="37"/>
        <v>6</v>
      </c>
      <c r="F429">
        <f t="shared" si="38"/>
        <v>2024</v>
      </c>
      <c r="H429" s="17">
        <f t="shared" si="39"/>
        <v>45444</v>
      </c>
      <c r="J429">
        <f t="shared" si="35"/>
        <v>0</v>
      </c>
      <c r="N429" s="55"/>
    </row>
    <row r="430" spans="1:14" x14ac:dyDescent="0.3">
      <c r="A430" s="17">
        <v>45453</v>
      </c>
      <c r="B430">
        <v>-12.32</v>
      </c>
      <c r="C430">
        <f t="shared" si="36"/>
        <v>10</v>
      </c>
      <c r="D430">
        <v>1</v>
      </c>
      <c r="E430">
        <f t="shared" si="37"/>
        <v>6</v>
      </c>
      <c r="F430">
        <f t="shared" si="38"/>
        <v>2024</v>
      </c>
      <c r="H430" s="17">
        <f t="shared" si="39"/>
        <v>45444</v>
      </c>
      <c r="J430">
        <f t="shared" si="35"/>
        <v>0</v>
      </c>
      <c r="N430" s="55"/>
    </row>
    <row r="431" spans="1:14" x14ac:dyDescent="0.3">
      <c r="A431" s="17">
        <v>45450</v>
      </c>
      <c r="B431">
        <v>-12.64</v>
      </c>
      <c r="C431">
        <f t="shared" si="36"/>
        <v>7</v>
      </c>
      <c r="D431">
        <v>1</v>
      </c>
      <c r="E431">
        <f t="shared" si="37"/>
        <v>6</v>
      </c>
      <c r="F431">
        <f t="shared" si="38"/>
        <v>2024</v>
      </c>
      <c r="H431" s="17">
        <f t="shared" si="39"/>
        <v>45444</v>
      </c>
      <c r="J431">
        <f t="shared" si="35"/>
        <v>0</v>
      </c>
      <c r="N431" s="55"/>
    </row>
    <row r="432" spans="1:14" x14ac:dyDescent="0.3">
      <c r="A432" s="17">
        <v>45449</v>
      </c>
      <c r="B432">
        <v>-12.3</v>
      </c>
      <c r="C432">
        <f t="shared" si="36"/>
        <v>6</v>
      </c>
      <c r="D432">
        <v>1</v>
      </c>
      <c r="E432">
        <f t="shared" si="37"/>
        <v>6</v>
      </c>
      <c r="F432">
        <f t="shared" si="38"/>
        <v>2024</v>
      </c>
      <c r="H432" s="17">
        <f t="shared" si="39"/>
        <v>45444</v>
      </c>
      <c r="J432">
        <f t="shared" si="35"/>
        <v>0</v>
      </c>
      <c r="N432" s="55"/>
    </row>
    <row r="433" spans="1:14" x14ac:dyDescent="0.3">
      <c r="A433" s="17">
        <v>45448</v>
      </c>
      <c r="B433">
        <v>-11.49</v>
      </c>
      <c r="C433">
        <f t="shared" si="36"/>
        <v>5</v>
      </c>
      <c r="D433">
        <v>1</v>
      </c>
      <c r="E433">
        <f t="shared" si="37"/>
        <v>6</v>
      </c>
      <c r="F433">
        <f t="shared" si="38"/>
        <v>2024</v>
      </c>
      <c r="H433" s="17">
        <f t="shared" si="39"/>
        <v>45444</v>
      </c>
      <c r="J433">
        <f t="shared" si="35"/>
        <v>0</v>
      </c>
      <c r="N433" s="55"/>
    </row>
    <row r="434" spans="1:14" x14ac:dyDescent="0.3">
      <c r="A434" s="17">
        <v>45447</v>
      </c>
      <c r="B434">
        <v>-11.49</v>
      </c>
      <c r="C434">
        <f t="shared" si="36"/>
        <v>4</v>
      </c>
      <c r="D434">
        <v>1</v>
      </c>
      <c r="E434">
        <f t="shared" si="37"/>
        <v>6</v>
      </c>
      <c r="F434">
        <f t="shared" si="38"/>
        <v>2024</v>
      </c>
      <c r="H434" s="17">
        <f t="shared" si="39"/>
        <v>45444</v>
      </c>
      <c r="J434">
        <f t="shared" si="35"/>
        <v>1</v>
      </c>
      <c r="N434" s="55"/>
    </row>
    <row r="435" spans="1:14" x14ac:dyDescent="0.3">
      <c r="A435" s="17">
        <v>45446</v>
      </c>
      <c r="B435">
        <v>-12.33</v>
      </c>
      <c r="C435">
        <f t="shared" si="36"/>
        <v>3</v>
      </c>
      <c r="D435">
        <v>1</v>
      </c>
      <c r="E435">
        <f t="shared" si="37"/>
        <v>6</v>
      </c>
      <c r="F435">
        <f t="shared" si="38"/>
        <v>2024</v>
      </c>
      <c r="H435" s="17">
        <f t="shared" si="39"/>
        <v>45444</v>
      </c>
      <c r="J435">
        <f t="shared" si="35"/>
        <v>1</v>
      </c>
      <c r="N435" s="55"/>
    </row>
    <row r="436" spans="1:14" x14ac:dyDescent="0.3">
      <c r="A436" s="17">
        <v>45444</v>
      </c>
      <c r="C436">
        <f t="shared" si="36"/>
        <v>1</v>
      </c>
      <c r="D436">
        <v>1</v>
      </c>
      <c r="E436">
        <f t="shared" si="37"/>
        <v>6</v>
      </c>
      <c r="F436">
        <f t="shared" si="38"/>
        <v>2024</v>
      </c>
      <c r="H436" s="17">
        <f t="shared" si="39"/>
        <v>45444</v>
      </c>
      <c r="J436">
        <f t="shared" si="35"/>
        <v>1</v>
      </c>
      <c r="N436" s="55"/>
    </row>
    <row r="437" spans="1:14" x14ac:dyDescent="0.3">
      <c r="A437" s="17">
        <v>45443</v>
      </c>
      <c r="B437">
        <v>-12.32</v>
      </c>
      <c r="C437">
        <f t="shared" si="36"/>
        <v>31</v>
      </c>
      <c r="D437">
        <v>1</v>
      </c>
      <c r="E437">
        <f t="shared" si="37"/>
        <v>5</v>
      </c>
      <c r="F437">
        <f t="shared" si="38"/>
        <v>2024</v>
      </c>
      <c r="H437" s="17">
        <f t="shared" si="39"/>
        <v>45413</v>
      </c>
      <c r="J437">
        <f t="shared" si="35"/>
        <v>0</v>
      </c>
      <c r="N437" s="55"/>
    </row>
    <row r="438" spans="1:14" x14ac:dyDescent="0.3">
      <c r="A438" s="17">
        <v>45442</v>
      </c>
      <c r="B438">
        <v>-12.58</v>
      </c>
      <c r="C438">
        <f t="shared" si="36"/>
        <v>30</v>
      </c>
      <c r="D438">
        <v>1</v>
      </c>
      <c r="E438">
        <f t="shared" si="37"/>
        <v>5</v>
      </c>
      <c r="F438">
        <f t="shared" si="38"/>
        <v>2024</v>
      </c>
      <c r="H438" s="17">
        <f t="shared" si="39"/>
        <v>45413</v>
      </c>
      <c r="J438">
        <f t="shared" si="35"/>
        <v>0</v>
      </c>
      <c r="N438" s="55"/>
    </row>
    <row r="439" spans="1:14" x14ac:dyDescent="0.3">
      <c r="A439" s="17">
        <v>45441</v>
      </c>
      <c r="B439">
        <v>-12.7</v>
      </c>
      <c r="C439">
        <f t="shared" si="36"/>
        <v>29</v>
      </c>
      <c r="D439">
        <v>1</v>
      </c>
      <c r="E439">
        <f t="shared" si="37"/>
        <v>5</v>
      </c>
      <c r="F439">
        <f t="shared" si="38"/>
        <v>2024</v>
      </c>
      <c r="H439" s="17">
        <f t="shared" si="39"/>
        <v>45413</v>
      </c>
      <c r="J439">
        <f t="shared" si="35"/>
        <v>0</v>
      </c>
      <c r="N439" s="55"/>
    </row>
    <row r="440" spans="1:14" x14ac:dyDescent="0.3">
      <c r="A440" s="17">
        <v>45440</v>
      </c>
      <c r="B440">
        <v>-11.95</v>
      </c>
      <c r="C440">
        <f t="shared" si="36"/>
        <v>28</v>
      </c>
      <c r="D440">
        <v>1</v>
      </c>
      <c r="E440">
        <f t="shared" si="37"/>
        <v>5</v>
      </c>
      <c r="F440">
        <f t="shared" si="38"/>
        <v>2024</v>
      </c>
      <c r="H440" s="17">
        <f t="shared" si="39"/>
        <v>45413</v>
      </c>
      <c r="J440">
        <f t="shared" si="35"/>
        <v>0</v>
      </c>
      <c r="N440" s="55"/>
    </row>
    <row r="441" spans="1:14" x14ac:dyDescent="0.3">
      <c r="A441" s="17">
        <v>45439</v>
      </c>
      <c r="B441">
        <v>-12.18</v>
      </c>
      <c r="C441">
        <f t="shared" si="36"/>
        <v>27</v>
      </c>
      <c r="D441">
        <v>1</v>
      </c>
      <c r="E441">
        <f t="shared" si="37"/>
        <v>5</v>
      </c>
      <c r="F441">
        <f t="shared" si="38"/>
        <v>2024</v>
      </c>
      <c r="H441" s="17">
        <f t="shared" si="39"/>
        <v>45413</v>
      </c>
      <c r="J441">
        <f t="shared" si="35"/>
        <v>0</v>
      </c>
      <c r="N441" s="55"/>
    </row>
    <row r="442" spans="1:14" x14ac:dyDescent="0.3">
      <c r="A442" s="17">
        <v>45436</v>
      </c>
      <c r="B442">
        <v>-12.24</v>
      </c>
      <c r="C442">
        <f t="shared" si="36"/>
        <v>24</v>
      </c>
      <c r="D442">
        <v>1</v>
      </c>
      <c r="E442">
        <f t="shared" si="37"/>
        <v>5</v>
      </c>
      <c r="F442">
        <f t="shared" si="38"/>
        <v>2024</v>
      </c>
      <c r="H442" s="17">
        <f t="shared" si="39"/>
        <v>45413</v>
      </c>
      <c r="J442">
        <f t="shared" si="35"/>
        <v>0</v>
      </c>
      <c r="N442" s="55"/>
    </row>
    <row r="443" spans="1:14" x14ac:dyDescent="0.3">
      <c r="A443" s="17">
        <v>45435</v>
      </c>
      <c r="B443">
        <v>-12.24</v>
      </c>
      <c r="C443">
        <f t="shared" si="36"/>
        <v>23</v>
      </c>
      <c r="D443">
        <v>1</v>
      </c>
      <c r="E443">
        <f t="shared" si="37"/>
        <v>5</v>
      </c>
      <c r="F443">
        <f t="shared" si="38"/>
        <v>2024</v>
      </c>
      <c r="H443" s="17">
        <f t="shared" si="39"/>
        <v>45413</v>
      </c>
      <c r="J443">
        <f t="shared" si="35"/>
        <v>0</v>
      </c>
      <c r="N443" s="55"/>
    </row>
    <row r="444" spans="1:14" x14ac:dyDescent="0.3">
      <c r="A444" s="17">
        <v>45433</v>
      </c>
      <c r="B444">
        <v>-12.92</v>
      </c>
      <c r="C444">
        <f t="shared" si="36"/>
        <v>21</v>
      </c>
      <c r="D444">
        <v>1</v>
      </c>
      <c r="E444">
        <f t="shared" si="37"/>
        <v>5</v>
      </c>
      <c r="F444">
        <f t="shared" si="38"/>
        <v>2024</v>
      </c>
      <c r="H444" s="17">
        <f t="shared" si="39"/>
        <v>45413</v>
      </c>
      <c r="J444">
        <f t="shared" si="35"/>
        <v>0</v>
      </c>
      <c r="N444" s="55"/>
    </row>
    <row r="445" spans="1:14" x14ac:dyDescent="0.3">
      <c r="A445" s="17">
        <v>45432</v>
      </c>
      <c r="B445">
        <v>-12.84</v>
      </c>
      <c r="C445">
        <f t="shared" si="36"/>
        <v>20</v>
      </c>
      <c r="D445">
        <v>1</v>
      </c>
      <c r="E445">
        <f t="shared" si="37"/>
        <v>5</v>
      </c>
      <c r="F445">
        <f t="shared" si="38"/>
        <v>2024</v>
      </c>
      <c r="H445" s="17">
        <f t="shared" si="39"/>
        <v>45413</v>
      </c>
      <c r="J445">
        <f t="shared" si="35"/>
        <v>0</v>
      </c>
      <c r="N445" s="55"/>
    </row>
    <row r="446" spans="1:14" x14ac:dyDescent="0.3">
      <c r="A446" s="17">
        <v>45429</v>
      </c>
      <c r="B446">
        <v>-13.08</v>
      </c>
      <c r="C446">
        <f t="shared" si="36"/>
        <v>17</v>
      </c>
      <c r="D446">
        <v>1</v>
      </c>
      <c r="E446">
        <f t="shared" si="37"/>
        <v>5</v>
      </c>
      <c r="F446">
        <f t="shared" si="38"/>
        <v>2024</v>
      </c>
      <c r="H446" s="17">
        <f t="shared" si="39"/>
        <v>45413</v>
      </c>
      <c r="J446">
        <f t="shared" si="35"/>
        <v>0</v>
      </c>
      <c r="N446" s="55"/>
    </row>
    <row r="447" spans="1:14" x14ac:dyDescent="0.3">
      <c r="A447" s="17">
        <v>45428</v>
      </c>
      <c r="B447">
        <v>-13.2</v>
      </c>
      <c r="C447">
        <f t="shared" si="36"/>
        <v>16</v>
      </c>
      <c r="D447">
        <v>1</v>
      </c>
      <c r="E447">
        <f t="shared" si="37"/>
        <v>5</v>
      </c>
      <c r="F447">
        <f t="shared" si="38"/>
        <v>2024</v>
      </c>
      <c r="H447" s="17">
        <f t="shared" si="39"/>
        <v>45413</v>
      </c>
      <c r="J447">
        <f t="shared" si="35"/>
        <v>0</v>
      </c>
      <c r="N447" s="55"/>
    </row>
    <row r="448" spans="1:14" x14ac:dyDescent="0.3">
      <c r="A448" s="17">
        <v>45427</v>
      </c>
      <c r="B448">
        <v>-14.25</v>
      </c>
      <c r="C448">
        <f t="shared" si="36"/>
        <v>15</v>
      </c>
      <c r="D448">
        <v>1</v>
      </c>
      <c r="E448">
        <f t="shared" si="37"/>
        <v>5</v>
      </c>
      <c r="F448">
        <f t="shared" si="38"/>
        <v>2024</v>
      </c>
      <c r="H448" s="17">
        <f t="shared" si="39"/>
        <v>45413</v>
      </c>
      <c r="J448">
        <f t="shared" si="35"/>
        <v>0</v>
      </c>
      <c r="N448" s="55"/>
    </row>
    <row r="449" spans="1:14" x14ac:dyDescent="0.3">
      <c r="A449" s="17">
        <v>45426</v>
      </c>
      <c r="B449">
        <v>-14.54</v>
      </c>
      <c r="C449">
        <f t="shared" si="36"/>
        <v>14</v>
      </c>
      <c r="D449">
        <v>1</v>
      </c>
      <c r="E449">
        <f t="shared" si="37"/>
        <v>5</v>
      </c>
      <c r="F449">
        <f t="shared" si="38"/>
        <v>2024</v>
      </c>
      <c r="H449" s="17">
        <f t="shared" si="39"/>
        <v>45413</v>
      </c>
      <c r="J449">
        <f t="shared" si="35"/>
        <v>0</v>
      </c>
      <c r="N449" s="55"/>
    </row>
    <row r="450" spans="1:14" x14ac:dyDescent="0.3">
      <c r="A450" s="17">
        <v>45425</v>
      </c>
      <c r="B450">
        <v>-14.32</v>
      </c>
      <c r="C450">
        <f t="shared" si="36"/>
        <v>13</v>
      </c>
      <c r="D450">
        <v>1</v>
      </c>
      <c r="E450">
        <f t="shared" si="37"/>
        <v>5</v>
      </c>
      <c r="F450">
        <f t="shared" si="38"/>
        <v>2024</v>
      </c>
      <c r="H450" s="17">
        <f t="shared" si="39"/>
        <v>45413</v>
      </c>
      <c r="J450">
        <f t="shared" si="35"/>
        <v>0</v>
      </c>
      <c r="N450" s="55"/>
    </row>
    <row r="451" spans="1:14" x14ac:dyDescent="0.3">
      <c r="A451" s="17">
        <v>45422</v>
      </c>
      <c r="B451">
        <v>-13.99</v>
      </c>
      <c r="C451">
        <f t="shared" si="36"/>
        <v>10</v>
      </c>
      <c r="D451">
        <v>1</v>
      </c>
      <c r="E451">
        <f t="shared" si="37"/>
        <v>5</v>
      </c>
      <c r="F451">
        <f t="shared" si="38"/>
        <v>2024</v>
      </c>
      <c r="H451" s="17">
        <f t="shared" si="39"/>
        <v>45413</v>
      </c>
      <c r="J451">
        <f t="shared" si="35"/>
        <v>0</v>
      </c>
      <c r="N451" s="55"/>
    </row>
    <row r="452" spans="1:14" x14ac:dyDescent="0.3">
      <c r="A452" s="17">
        <v>45421</v>
      </c>
      <c r="B452">
        <v>-13.83</v>
      </c>
      <c r="C452">
        <f t="shared" si="36"/>
        <v>9</v>
      </c>
      <c r="D452">
        <v>1</v>
      </c>
      <c r="E452">
        <f t="shared" si="37"/>
        <v>5</v>
      </c>
      <c r="F452">
        <f t="shared" si="38"/>
        <v>2024</v>
      </c>
      <c r="H452" s="17">
        <f t="shared" si="39"/>
        <v>45413</v>
      </c>
      <c r="J452">
        <f t="shared" si="35"/>
        <v>0</v>
      </c>
      <c r="N452" s="55"/>
    </row>
    <row r="453" spans="1:14" x14ac:dyDescent="0.3">
      <c r="A453" s="17">
        <v>45420</v>
      </c>
      <c r="B453">
        <v>-13.56</v>
      </c>
      <c r="C453">
        <f t="shared" si="36"/>
        <v>8</v>
      </c>
      <c r="D453">
        <v>1</v>
      </c>
      <c r="E453">
        <f t="shared" si="37"/>
        <v>5</v>
      </c>
      <c r="F453">
        <f t="shared" si="38"/>
        <v>2024</v>
      </c>
      <c r="H453" s="17">
        <f t="shared" si="39"/>
        <v>45413</v>
      </c>
      <c r="J453">
        <f t="shared" si="35"/>
        <v>0</v>
      </c>
      <c r="N453" s="55"/>
    </row>
    <row r="454" spans="1:14" x14ac:dyDescent="0.3">
      <c r="A454" s="17">
        <v>45419</v>
      </c>
      <c r="B454">
        <v>-13.36</v>
      </c>
      <c r="C454">
        <f t="shared" si="36"/>
        <v>7</v>
      </c>
      <c r="D454">
        <v>1</v>
      </c>
      <c r="E454">
        <f t="shared" si="37"/>
        <v>5</v>
      </c>
      <c r="F454">
        <f t="shared" si="38"/>
        <v>2024</v>
      </c>
      <c r="H454" s="17">
        <f t="shared" si="39"/>
        <v>45413</v>
      </c>
      <c r="J454">
        <f t="shared" si="35"/>
        <v>0</v>
      </c>
      <c r="N454" s="55"/>
    </row>
    <row r="455" spans="1:14" x14ac:dyDescent="0.3">
      <c r="A455" s="17">
        <v>45418</v>
      </c>
      <c r="B455">
        <v>-13.14</v>
      </c>
      <c r="C455">
        <f t="shared" si="36"/>
        <v>6</v>
      </c>
      <c r="D455">
        <v>1</v>
      </c>
      <c r="E455">
        <f t="shared" si="37"/>
        <v>5</v>
      </c>
      <c r="F455">
        <f t="shared" si="38"/>
        <v>2024</v>
      </c>
      <c r="H455" s="17">
        <f t="shared" si="39"/>
        <v>45413</v>
      </c>
      <c r="J455">
        <f t="shared" si="35"/>
        <v>0</v>
      </c>
      <c r="N455" s="55"/>
    </row>
    <row r="456" spans="1:14" x14ac:dyDescent="0.3">
      <c r="A456" s="17">
        <v>45415</v>
      </c>
      <c r="B456">
        <v>-13.47</v>
      </c>
      <c r="C456">
        <f t="shared" si="36"/>
        <v>3</v>
      </c>
      <c r="D456">
        <v>1</v>
      </c>
      <c r="E456">
        <f t="shared" si="37"/>
        <v>5</v>
      </c>
      <c r="F456">
        <f t="shared" si="38"/>
        <v>2024</v>
      </c>
      <c r="H456" s="17">
        <f t="shared" si="39"/>
        <v>45413</v>
      </c>
      <c r="J456">
        <f t="shared" si="35"/>
        <v>1</v>
      </c>
      <c r="N456" s="55"/>
    </row>
    <row r="457" spans="1:14" x14ac:dyDescent="0.3">
      <c r="A457" s="17">
        <v>45414</v>
      </c>
      <c r="B457">
        <v>-13.15</v>
      </c>
      <c r="C457">
        <f t="shared" si="36"/>
        <v>2</v>
      </c>
      <c r="D457">
        <v>1</v>
      </c>
      <c r="E457">
        <f t="shared" si="37"/>
        <v>5</v>
      </c>
      <c r="F457">
        <f t="shared" si="38"/>
        <v>2024</v>
      </c>
      <c r="H457" s="17">
        <f t="shared" si="39"/>
        <v>45413</v>
      </c>
      <c r="J457">
        <f t="shared" ref="J457:J520" si="40">IF(AND(C457&gt;=1, C457&lt;=4), 1, 0)</f>
        <v>1</v>
      </c>
      <c r="N457" s="55"/>
    </row>
    <row r="458" spans="1:14" x14ac:dyDescent="0.3">
      <c r="A458" s="17">
        <v>45413</v>
      </c>
      <c r="C458">
        <f t="shared" ref="C458:C521" si="41">+DAY(A458)</f>
        <v>1</v>
      </c>
      <c r="D458">
        <v>1</v>
      </c>
      <c r="E458">
        <f t="shared" ref="E458:E521" si="42">+MONTH(A458)</f>
        <v>5</v>
      </c>
      <c r="F458">
        <f t="shared" ref="F458:F521" si="43">+YEAR(A458)</f>
        <v>2024</v>
      </c>
      <c r="H458" s="17">
        <f t="shared" ref="H458:H521" si="44">+DATE(F458,E458,D458)</f>
        <v>45413</v>
      </c>
      <c r="J458">
        <f t="shared" si="40"/>
        <v>1</v>
      </c>
      <c r="N458" s="55"/>
    </row>
    <row r="459" spans="1:14" x14ac:dyDescent="0.3">
      <c r="A459" s="17">
        <v>45412</v>
      </c>
      <c r="B459">
        <v>-12.71</v>
      </c>
      <c r="C459">
        <f t="shared" si="41"/>
        <v>30</v>
      </c>
      <c r="D459">
        <v>1</v>
      </c>
      <c r="E459">
        <f t="shared" si="42"/>
        <v>4</v>
      </c>
      <c r="F459">
        <f t="shared" si="43"/>
        <v>2024</v>
      </c>
      <c r="H459" s="17">
        <f t="shared" si="44"/>
        <v>45383</v>
      </c>
      <c r="J459">
        <f t="shared" si="40"/>
        <v>0</v>
      </c>
      <c r="N459" s="55"/>
    </row>
    <row r="460" spans="1:14" x14ac:dyDescent="0.3">
      <c r="A460" s="17">
        <v>45411</v>
      </c>
      <c r="B460">
        <v>-12.91</v>
      </c>
      <c r="C460">
        <f t="shared" si="41"/>
        <v>29</v>
      </c>
      <c r="D460">
        <v>1</v>
      </c>
      <c r="E460">
        <f t="shared" si="42"/>
        <v>4</v>
      </c>
      <c r="F460">
        <f t="shared" si="43"/>
        <v>2024</v>
      </c>
      <c r="H460" s="17">
        <f t="shared" si="44"/>
        <v>45383</v>
      </c>
      <c r="J460">
        <f t="shared" si="40"/>
        <v>0</v>
      </c>
      <c r="N460" s="55"/>
    </row>
    <row r="461" spans="1:14" x14ac:dyDescent="0.3">
      <c r="A461" s="17">
        <v>45408</v>
      </c>
      <c r="B461">
        <v>-12.96</v>
      </c>
      <c r="C461">
        <f t="shared" si="41"/>
        <v>26</v>
      </c>
      <c r="D461">
        <v>1</v>
      </c>
      <c r="E461">
        <f t="shared" si="42"/>
        <v>4</v>
      </c>
      <c r="F461">
        <f t="shared" si="43"/>
        <v>2024</v>
      </c>
      <c r="H461" s="17">
        <f t="shared" si="44"/>
        <v>45383</v>
      </c>
      <c r="J461">
        <f t="shared" si="40"/>
        <v>0</v>
      </c>
      <c r="N461" s="55"/>
    </row>
    <row r="462" spans="1:14" x14ac:dyDescent="0.3">
      <c r="A462" s="17">
        <v>45407</v>
      </c>
      <c r="B462">
        <v>-12.87</v>
      </c>
      <c r="C462">
        <f t="shared" si="41"/>
        <v>25</v>
      </c>
      <c r="D462">
        <v>1</v>
      </c>
      <c r="E462">
        <f t="shared" si="42"/>
        <v>4</v>
      </c>
      <c r="F462">
        <f t="shared" si="43"/>
        <v>2024</v>
      </c>
      <c r="H462" s="17">
        <f t="shared" si="44"/>
        <v>45383</v>
      </c>
      <c r="J462">
        <f t="shared" si="40"/>
        <v>0</v>
      </c>
      <c r="N462" s="55"/>
    </row>
    <row r="463" spans="1:14" x14ac:dyDescent="0.3">
      <c r="A463" s="17">
        <v>45406</v>
      </c>
      <c r="B463">
        <v>-12.79</v>
      </c>
      <c r="C463">
        <f t="shared" si="41"/>
        <v>24</v>
      </c>
      <c r="D463">
        <v>1</v>
      </c>
      <c r="E463">
        <f t="shared" si="42"/>
        <v>4</v>
      </c>
      <c r="F463">
        <f t="shared" si="43"/>
        <v>2024</v>
      </c>
      <c r="H463" s="17">
        <f t="shared" si="44"/>
        <v>45383</v>
      </c>
      <c r="J463">
        <f t="shared" si="40"/>
        <v>0</v>
      </c>
      <c r="N463" s="55"/>
    </row>
    <row r="464" spans="1:14" x14ac:dyDescent="0.3">
      <c r="A464" s="17">
        <v>45405</v>
      </c>
      <c r="B464">
        <v>-12.73</v>
      </c>
      <c r="C464">
        <f t="shared" si="41"/>
        <v>23</v>
      </c>
      <c r="D464">
        <v>1</v>
      </c>
      <c r="E464">
        <f t="shared" si="42"/>
        <v>4</v>
      </c>
      <c r="F464">
        <f t="shared" si="43"/>
        <v>2024</v>
      </c>
      <c r="H464" s="17">
        <f t="shared" si="44"/>
        <v>45383</v>
      </c>
      <c r="J464">
        <f t="shared" si="40"/>
        <v>0</v>
      </c>
      <c r="N464" s="55"/>
    </row>
    <row r="465" spans="1:14" x14ac:dyDescent="0.3">
      <c r="A465" s="17">
        <v>45404</v>
      </c>
      <c r="B465">
        <v>-12.88</v>
      </c>
      <c r="C465">
        <f t="shared" si="41"/>
        <v>22</v>
      </c>
      <c r="D465">
        <v>1</v>
      </c>
      <c r="E465">
        <f t="shared" si="42"/>
        <v>4</v>
      </c>
      <c r="F465">
        <f t="shared" si="43"/>
        <v>2024</v>
      </c>
      <c r="H465" s="17">
        <f t="shared" si="44"/>
        <v>45383</v>
      </c>
      <c r="J465">
        <f t="shared" si="40"/>
        <v>0</v>
      </c>
      <c r="N465" s="55"/>
    </row>
    <row r="466" spans="1:14" x14ac:dyDescent="0.3">
      <c r="A466" s="17">
        <v>45401</v>
      </c>
      <c r="B466">
        <v>-13.21</v>
      </c>
      <c r="C466">
        <f t="shared" si="41"/>
        <v>19</v>
      </c>
      <c r="D466">
        <v>1</v>
      </c>
      <c r="E466">
        <f t="shared" si="42"/>
        <v>4</v>
      </c>
      <c r="F466">
        <f t="shared" si="43"/>
        <v>2024</v>
      </c>
      <c r="H466" s="17">
        <f t="shared" si="44"/>
        <v>45383</v>
      </c>
      <c r="J466">
        <f t="shared" si="40"/>
        <v>0</v>
      </c>
      <c r="N466" s="55"/>
    </row>
    <row r="467" spans="1:14" x14ac:dyDescent="0.3">
      <c r="A467" s="17">
        <v>45400</v>
      </c>
      <c r="B467">
        <v>-13.39</v>
      </c>
      <c r="C467">
        <f t="shared" si="41"/>
        <v>18</v>
      </c>
      <c r="D467">
        <v>1</v>
      </c>
      <c r="E467">
        <f t="shared" si="42"/>
        <v>4</v>
      </c>
      <c r="F467">
        <f t="shared" si="43"/>
        <v>2024</v>
      </c>
      <c r="H467" s="17">
        <f t="shared" si="44"/>
        <v>45383</v>
      </c>
      <c r="J467">
        <f t="shared" si="40"/>
        <v>0</v>
      </c>
      <c r="N467" s="55"/>
    </row>
    <row r="468" spans="1:14" x14ac:dyDescent="0.3">
      <c r="A468" s="17">
        <v>45399</v>
      </c>
      <c r="B468">
        <v>-13.85</v>
      </c>
      <c r="C468">
        <f t="shared" si="41"/>
        <v>17</v>
      </c>
      <c r="D468">
        <v>1</v>
      </c>
      <c r="E468">
        <f t="shared" si="42"/>
        <v>4</v>
      </c>
      <c r="F468">
        <f t="shared" si="43"/>
        <v>2024</v>
      </c>
      <c r="H468" s="17">
        <f t="shared" si="44"/>
        <v>45383</v>
      </c>
      <c r="J468">
        <f t="shared" si="40"/>
        <v>0</v>
      </c>
      <c r="N468" s="55"/>
    </row>
    <row r="469" spans="1:14" x14ac:dyDescent="0.3">
      <c r="A469" s="17">
        <v>45398</v>
      </c>
      <c r="B469">
        <v>-13.92</v>
      </c>
      <c r="C469">
        <f t="shared" si="41"/>
        <v>16</v>
      </c>
      <c r="D469">
        <v>1</v>
      </c>
      <c r="E469">
        <f t="shared" si="42"/>
        <v>4</v>
      </c>
      <c r="F469">
        <f t="shared" si="43"/>
        <v>2024</v>
      </c>
      <c r="H469" s="17">
        <f t="shared" si="44"/>
        <v>45383</v>
      </c>
      <c r="J469">
        <f t="shared" si="40"/>
        <v>0</v>
      </c>
      <c r="N469" s="55"/>
    </row>
    <row r="470" spans="1:14" x14ac:dyDescent="0.3">
      <c r="A470" s="17">
        <v>45397</v>
      </c>
      <c r="B470">
        <v>-14.9</v>
      </c>
      <c r="C470">
        <f t="shared" si="41"/>
        <v>15</v>
      </c>
      <c r="D470">
        <v>1</v>
      </c>
      <c r="E470">
        <f t="shared" si="42"/>
        <v>4</v>
      </c>
      <c r="F470">
        <f t="shared" si="43"/>
        <v>2024</v>
      </c>
      <c r="H470" s="17">
        <f t="shared" si="44"/>
        <v>45383</v>
      </c>
      <c r="J470">
        <f t="shared" si="40"/>
        <v>0</v>
      </c>
      <c r="N470" s="55"/>
    </row>
    <row r="471" spans="1:14" x14ac:dyDescent="0.3">
      <c r="A471" s="17">
        <v>45394</v>
      </c>
      <c r="B471">
        <v>-14.68</v>
      </c>
      <c r="C471">
        <f t="shared" si="41"/>
        <v>12</v>
      </c>
      <c r="D471">
        <v>1</v>
      </c>
      <c r="E471">
        <f t="shared" si="42"/>
        <v>4</v>
      </c>
      <c r="F471">
        <f t="shared" si="43"/>
        <v>2024</v>
      </c>
      <c r="H471" s="17">
        <f t="shared" si="44"/>
        <v>45383</v>
      </c>
      <c r="J471">
        <f t="shared" si="40"/>
        <v>0</v>
      </c>
      <c r="N471" s="55"/>
    </row>
    <row r="472" spans="1:14" x14ac:dyDescent="0.3">
      <c r="A472" s="17">
        <v>45393</v>
      </c>
      <c r="B472">
        <v>-14.38</v>
      </c>
      <c r="C472">
        <f t="shared" si="41"/>
        <v>11</v>
      </c>
      <c r="D472">
        <v>1</v>
      </c>
      <c r="E472">
        <f t="shared" si="42"/>
        <v>4</v>
      </c>
      <c r="F472">
        <f t="shared" si="43"/>
        <v>2024</v>
      </c>
      <c r="H472" s="17">
        <f t="shared" si="44"/>
        <v>45383</v>
      </c>
      <c r="J472">
        <f t="shared" si="40"/>
        <v>0</v>
      </c>
      <c r="N472" s="55"/>
    </row>
    <row r="473" spans="1:14" x14ac:dyDescent="0.3">
      <c r="A473" s="17">
        <v>45391</v>
      </c>
      <c r="B473">
        <v>-14.61</v>
      </c>
      <c r="C473">
        <f t="shared" si="41"/>
        <v>9</v>
      </c>
      <c r="D473">
        <v>1</v>
      </c>
      <c r="E473">
        <f t="shared" si="42"/>
        <v>4</v>
      </c>
      <c r="F473">
        <f t="shared" si="43"/>
        <v>2024</v>
      </c>
      <c r="H473" s="17">
        <f t="shared" si="44"/>
        <v>45383</v>
      </c>
      <c r="J473">
        <f t="shared" si="40"/>
        <v>0</v>
      </c>
      <c r="N473" s="55"/>
    </row>
    <row r="474" spans="1:14" x14ac:dyDescent="0.3">
      <c r="A474" s="17">
        <v>45390</v>
      </c>
      <c r="B474">
        <v>-14.25</v>
      </c>
      <c r="C474">
        <f t="shared" si="41"/>
        <v>8</v>
      </c>
      <c r="D474">
        <v>1</v>
      </c>
      <c r="E474">
        <f t="shared" si="42"/>
        <v>4</v>
      </c>
      <c r="F474">
        <f t="shared" si="43"/>
        <v>2024</v>
      </c>
      <c r="H474" s="17">
        <f t="shared" si="44"/>
        <v>45383</v>
      </c>
      <c r="J474">
        <f t="shared" si="40"/>
        <v>0</v>
      </c>
      <c r="N474" s="55"/>
    </row>
    <row r="475" spans="1:14" x14ac:dyDescent="0.3">
      <c r="A475" s="17">
        <v>45387</v>
      </c>
      <c r="B475">
        <v>-14.35</v>
      </c>
      <c r="C475">
        <f t="shared" si="41"/>
        <v>5</v>
      </c>
      <c r="D475">
        <v>1</v>
      </c>
      <c r="E475">
        <f t="shared" si="42"/>
        <v>4</v>
      </c>
      <c r="F475">
        <f t="shared" si="43"/>
        <v>2024</v>
      </c>
      <c r="H475" s="17">
        <f t="shared" si="44"/>
        <v>45383</v>
      </c>
      <c r="J475">
        <f t="shared" si="40"/>
        <v>0</v>
      </c>
      <c r="N475" s="55"/>
    </row>
    <row r="476" spans="1:14" x14ac:dyDescent="0.3">
      <c r="A476" s="17">
        <v>45386</v>
      </c>
      <c r="B476">
        <v>-14.85</v>
      </c>
      <c r="C476">
        <f t="shared" si="41"/>
        <v>4</v>
      </c>
      <c r="D476">
        <v>1</v>
      </c>
      <c r="E476">
        <f t="shared" si="42"/>
        <v>4</v>
      </c>
      <c r="F476">
        <f t="shared" si="43"/>
        <v>2024</v>
      </c>
      <c r="H476" s="17">
        <f t="shared" si="44"/>
        <v>45383</v>
      </c>
      <c r="J476">
        <f t="shared" si="40"/>
        <v>1</v>
      </c>
      <c r="N476" s="55"/>
    </row>
    <row r="477" spans="1:14" x14ac:dyDescent="0.3">
      <c r="A477" s="17">
        <v>45385</v>
      </c>
      <c r="B477">
        <v>-14.8</v>
      </c>
      <c r="C477">
        <f t="shared" si="41"/>
        <v>3</v>
      </c>
      <c r="D477">
        <v>1</v>
      </c>
      <c r="E477">
        <f t="shared" si="42"/>
        <v>4</v>
      </c>
      <c r="F477">
        <f t="shared" si="43"/>
        <v>2024</v>
      </c>
      <c r="H477" s="17">
        <f t="shared" si="44"/>
        <v>45383</v>
      </c>
      <c r="J477">
        <f t="shared" si="40"/>
        <v>1</v>
      </c>
      <c r="N477" s="55"/>
    </row>
    <row r="478" spans="1:14" x14ac:dyDescent="0.3">
      <c r="A478" s="17">
        <v>45384</v>
      </c>
      <c r="B478">
        <v>-12.85</v>
      </c>
      <c r="C478">
        <f t="shared" si="41"/>
        <v>2</v>
      </c>
      <c r="D478">
        <v>1</v>
      </c>
      <c r="E478">
        <f t="shared" si="42"/>
        <v>4</v>
      </c>
      <c r="F478">
        <f t="shared" si="43"/>
        <v>2024</v>
      </c>
      <c r="H478" s="17">
        <f t="shared" si="44"/>
        <v>45383</v>
      </c>
      <c r="J478">
        <f t="shared" si="40"/>
        <v>1</v>
      </c>
      <c r="N478" s="55"/>
    </row>
    <row r="479" spans="1:14" x14ac:dyDescent="0.3">
      <c r="A479" s="17">
        <v>45383</v>
      </c>
      <c r="B479">
        <v>-12.51</v>
      </c>
      <c r="C479">
        <f t="shared" si="41"/>
        <v>1</v>
      </c>
      <c r="D479">
        <v>1</v>
      </c>
      <c r="E479">
        <f t="shared" si="42"/>
        <v>4</v>
      </c>
      <c r="F479">
        <f t="shared" si="43"/>
        <v>2024</v>
      </c>
      <c r="H479" s="17">
        <f t="shared" si="44"/>
        <v>45383</v>
      </c>
      <c r="J479">
        <f t="shared" si="40"/>
        <v>1</v>
      </c>
      <c r="N479" s="55"/>
    </row>
    <row r="480" spans="1:14" x14ac:dyDescent="0.3">
      <c r="A480" s="17">
        <v>45379</v>
      </c>
      <c r="B480">
        <v>-11.1</v>
      </c>
      <c r="C480">
        <f t="shared" si="41"/>
        <v>28</v>
      </c>
      <c r="D480">
        <v>1</v>
      </c>
      <c r="E480">
        <f t="shared" si="42"/>
        <v>3</v>
      </c>
      <c r="F480">
        <f t="shared" si="43"/>
        <v>2024</v>
      </c>
      <c r="H480" s="17">
        <f t="shared" si="44"/>
        <v>45352</v>
      </c>
      <c r="J480">
        <f t="shared" si="40"/>
        <v>0</v>
      </c>
      <c r="N480" s="55"/>
    </row>
    <row r="481" spans="1:14" x14ac:dyDescent="0.3">
      <c r="A481" s="17">
        <v>45378</v>
      </c>
      <c r="B481">
        <v>-10.76</v>
      </c>
      <c r="C481">
        <f t="shared" si="41"/>
        <v>27</v>
      </c>
      <c r="D481">
        <v>1</v>
      </c>
      <c r="E481">
        <f t="shared" si="42"/>
        <v>3</v>
      </c>
      <c r="F481">
        <f t="shared" si="43"/>
        <v>2024</v>
      </c>
      <c r="H481" s="17">
        <f t="shared" si="44"/>
        <v>45352</v>
      </c>
      <c r="J481">
        <f t="shared" si="40"/>
        <v>0</v>
      </c>
      <c r="N481" s="55"/>
    </row>
    <row r="482" spans="1:14" x14ac:dyDescent="0.3">
      <c r="A482" s="17">
        <v>45377</v>
      </c>
      <c r="B482">
        <v>-10.47</v>
      </c>
      <c r="C482">
        <f t="shared" si="41"/>
        <v>26</v>
      </c>
      <c r="D482">
        <v>1</v>
      </c>
      <c r="E482">
        <f t="shared" si="42"/>
        <v>3</v>
      </c>
      <c r="F482">
        <f t="shared" si="43"/>
        <v>2024</v>
      </c>
      <c r="H482" s="17">
        <f t="shared" si="44"/>
        <v>45352</v>
      </c>
      <c r="J482">
        <f t="shared" si="40"/>
        <v>0</v>
      </c>
      <c r="N482" s="55"/>
    </row>
    <row r="483" spans="1:14" x14ac:dyDescent="0.3">
      <c r="A483" s="17">
        <v>45376</v>
      </c>
      <c r="B483">
        <v>-9.92</v>
      </c>
      <c r="C483">
        <f t="shared" si="41"/>
        <v>25</v>
      </c>
      <c r="D483">
        <v>1</v>
      </c>
      <c r="E483">
        <f t="shared" si="42"/>
        <v>3</v>
      </c>
      <c r="F483">
        <f t="shared" si="43"/>
        <v>2024</v>
      </c>
      <c r="H483" s="17">
        <f t="shared" si="44"/>
        <v>45352</v>
      </c>
      <c r="J483">
        <f t="shared" si="40"/>
        <v>0</v>
      </c>
      <c r="N483" s="55"/>
    </row>
    <row r="484" spans="1:14" x14ac:dyDescent="0.3">
      <c r="A484" s="17">
        <v>45373</v>
      </c>
      <c r="B484">
        <v>-10.09</v>
      </c>
      <c r="C484">
        <f t="shared" si="41"/>
        <v>22</v>
      </c>
      <c r="D484">
        <v>1</v>
      </c>
      <c r="E484">
        <f t="shared" si="42"/>
        <v>3</v>
      </c>
      <c r="F484">
        <f t="shared" si="43"/>
        <v>2024</v>
      </c>
      <c r="H484" s="17">
        <f t="shared" si="44"/>
        <v>45352</v>
      </c>
      <c r="J484">
        <f t="shared" si="40"/>
        <v>0</v>
      </c>
      <c r="N484" s="55"/>
    </row>
    <row r="485" spans="1:14" x14ac:dyDescent="0.3">
      <c r="A485" s="17">
        <v>45372</v>
      </c>
      <c r="B485">
        <v>-10.47</v>
      </c>
      <c r="C485">
        <f t="shared" si="41"/>
        <v>21</v>
      </c>
      <c r="D485">
        <v>1</v>
      </c>
      <c r="E485">
        <f t="shared" si="42"/>
        <v>3</v>
      </c>
      <c r="F485">
        <f t="shared" si="43"/>
        <v>2024</v>
      </c>
      <c r="H485" s="17">
        <f t="shared" si="44"/>
        <v>45352</v>
      </c>
      <c r="J485">
        <f t="shared" si="40"/>
        <v>0</v>
      </c>
      <c r="N485" s="55"/>
    </row>
    <row r="486" spans="1:14" x14ac:dyDescent="0.3">
      <c r="A486" s="17">
        <v>45371</v>
      </c>
      <c r="B486">
        <v>-10.73</v>
      </c>
      <c r="C486">
        <f t="shared" si="41"/>
        <v>20</v>
      </c>
      <c r="D486">
        <v>1</v>
      </c>
      <c r="E486">
        <f t="shared" si="42"/>
        <v>3</v>
      </c>
      <c r="F486">
        <f t="shared" si="43"/>
        <v>2024</v>
      </c>
      <c r="H486" s="17">
        <f t="shared" si="44"/>
        <v>45352</v>
      </c>
      <c r="J486">
        <f t="shared" si="40"/>
        <v>0</v>
      </c>
      <c r="N486" s="55"/>
    </row>
    <row r="487" spans="1:14" x14ac:dyDescent="0.3">
      <c r="A487" s="17">
        <v>45370</v>
      </c>
      <c r="B487">
        <v>-9.9</v>
      </c>
      <c r="C487">
        <f t="shared" si="41"/>
        <v>19</v>
      </c>
      <c r="D487">
        <v>1</v>
      </c>
      <c r="E487">
        <f t="shared" si="42"/>
        <v>3</v>
      </c>
      <c r="F487">
        <f t="shared" si="43"/>
        <v>2024</v>
      </c>
      <c r="H487" s="17">
        <f t="shared" si="44"/>
        <v>45352</v>
      </c>
      <c r="J487">
        <f t="shared" si="40"/>
        <v>0</v>
      </c>
      <c r="N487" s="55"/>
    </row>
    <row r="488" spans="1:14" x14ac:dyDescent="0.3">
      <c r="A488" s="17">
        <v>45369</v>
      </c>
      <c r="B488">
        <v>-9.5299999999999994</v>
      </c>
      <c r="C488">
        <f t="shared" si="41"/>
        <v>18</v>
      </c>
      <c r="D488">
        <v>1</v>
      </c>
      <c r="E488">
        <f t="shared" si="42"/>
        <v>3</v>
      </c>
      <c r="F488">
        <f t="shared" si="43"/>
        <v>2024</v>
      </c>
      <c r="H488" s="17">
        <f t="shared" si="44"/>
        <v>45352</v>
      </c>
      <c r="J488">
        <f t="shared" si="40"/>
        <v>0</v>
      </c>
      <c r="N488" s="55"/>
    </row>
    <row r="489" spans="1:14" x14ac:dyDescent="0.3">
      <c r="A489" s="17">
        <v>45366</v>
      </c>
      <c r="B489">
        <v>-9.89</v>
      </c>
      <c r="C489">
        <f t="shared" si="41"/>
        <v>15</v>
      </c>
      <c r="D489">
        <v>1</v>
      </c>
      <c r="E489">
        <f t="shared" si="42"/>
        <v>3</v>
      </c>
      <c r="F489">
        <f t="shared" si="43"/>
        <v>2024</v>
      </c>
      <c r="H489" s="17">
        <f t="shared" si="44"/>
        <v>45352</v>
      </c>
      <c r="J489">
        <f t="shared" si="40"/>
        <v>0</v>
      </c>
      <c r="N489" s="55"/>
    </row>
    <row r="490" spans="1:14" x14ac:dyDescent="0.3">
      <c r="A490" s="17">
        <v>45365</v>
      </c>
      <c r="B490">
        <v>-9.56</v>
      </c>
      <c r="C490">
        <f t="shared" si="41"/>
        <v>14</v>
      </c>
      <c r="D490">
        <v>1</v>
      </c>
      <c r="E490">
        <f t="shared" si="42"/>
        <v>3</v>
      </c>
      <c r="F490">
        <f t="shared" si="43"/>
        <v>2024</v>
      </c>
      <c r="H490" s="17">
        <f t="shared" si="44"/>
        <v>45352</v>
      </c>
      <c r="J490">
        <f t="shared" si="40"/>
        <v>0</v>
      </c>
      <c r="N490" s="55"/>
    </row>
    <row r="491" spans="1:14" x14ac:dyDescent="0.3">
      <c r="A491" s="17">
        <v>45364</v>
      </c>
      <c r="B491">
        <v>-9.42</v>
      </c>
      <c r="C491">
        <f t="shared" si="41"/>
        <v>13</v>
      </c>
      <c r="D491">
        <v>1</v>
      </c>
      <c r="E491">
        <f t="shared" si="42"/>
        <v>3</v>
      </c>
      <c r="F491">
        <f t="shared" si="43"/>
        <v>2024</v>
      </c>
      <c r="H491" s="17">
        <f t="shared" si="44"/>
        <v>45352</v>
      </c>
      <c r="J491">
        <f t="shared" si="40"/>
        <v>0</v>
      </c>
      <c r="N491" s="55"/>
    </row>
    <row r="492" spans="1:14" x14ac:dyDescent="0.3">
      <c r="A492" s="17">
        <v>45363</v>
      </c>
      <c r="B492">
        <v>-9.67</v>
      </c>
      <c r="C492">
        <f t="shared" si="41"/>
        <v>12</v>
      </c>
      <c r="D492">
        <v>1</v>
      </c>
      <c r="E492">
        <f t="shared" si="42"/>
        <v>3</v>
      </c>
      <c r="F492">
        <f t="shared" si="43"/>
        <v>2024</v>
      </c>
      <c r="H492" s="17">
        <f t="shared" si="44"/>
        <v>45352</v>
      </c>
      <c r="J492">
        <f t="shared" si="40"/>
        <v>0</v>
      </c>
      <c r="N492" s="55"/>
    </row>
    <row r="493" spans="1:14" x14ac:dyDescent="0.3">
      <c r="A493" s="17">
        <v>45362</v>
      </c>
      <c r="B493">
        <v>-9.3800000000000008</v>
      </c>
      <c r="C493">
        <f t="shared" si="41"/>
        <v>11</v>
      </c>
      <c r="D493">
        <v>1</v>
      </c>
      <c r="E493">
        <f t="shared" si="42"/>
        <v>3</v>
      </c>
      <c r="F493">
        <f t="shared" si="43"/>
        <v>2024</v>
      </c>
      <c r="H493" s="17">
        <f t="shared" si="44"/>
        <v>45352</v>
      </c>
      <c r="J493">
        <f t="shared" si="40"/>
        <v>0</v>
      </c>
      <c r="N493" s="55"/>
    </row>
    <row r="494" spans="1:14" x14ac:dyDescent="0.3">
      <c r="A494" s="17">
        <v>45359</v>
      </c>
      <c r="B494">
        <v>-10.119999999999999</v>
      </c>
      <c r="C494">
        <f t="shared" si="41"/>
        <v>8</v>
      </c>
      <c r="D494">
        <v>1</v>
      </c>
      <c r="E494">
        <f t="shared" si="42"/>
        <v>3</v>
      </c>
      <c r="F494">
        <f t="shared" si="43"/>
        <v>2024</v>
      </c>
      <c r="H494" s="17">
        <f t="shared" si="44"/>
        <v>45352</v>
      </c>
      <c r="J494">
        <f t="shared" si="40"/>
        <v>0</v>
      </c>
      <c r="N494" s="55"/>
    </row>
    <row r="495" spans="1:14" x14ac:dyDescent="0.3">
      <c r="A495" s="17">
        <v>45358</v>
      </c>
      <c r="B495">
        <v>-10.25</v>
      </c>
      <c r="C495">
        <f t="shared" si="41"/>
        <v>7</v>
      </c>
      <c r="D495">
        <v>1</v>
      </c>
      <c r="E495">
        <f t="shared" si="42"/>
        <v>3</v>
      </c>
      <c r="F495">
        <f t="shared" si="43"/>
        <v>2024</v>
      </c>
      <c r="H495" s="17">
        <f t="shared" si="44"/>
        <v>45352</v>
      </c>
      <c r="J495">
        <f t="shared" si="40"/>
        <v>0</v>
      </c>
      <c r="N495" s="55"/>
    </row>
    <row r="496" spans="1:14" x14ac:dyDescent="0.3">
      <c r="A496" s="17">
        <v>45357</v>
      </c>
      <c r="B496">
        <v>-10.73</v>
      </c>
      <c r="C496">
        <f t="shared" si="41"/>
        <v>6</v>
      </c>
      <c r="D496">
        <v>1</v>
      </c>
      <c r="E496">
        <f t="shared" si="42"/>
        <v>3</v>
      </c>
      <c r="F496">
        <f t="shared" si="43"/>
        <v>2024</v>
      </c>
      <c r="H496" s="17">
        <f t="shared" si="44"/>
        <v>45352</v>
      </c>
      <c r="J496">
        <f t="shared" si="40"/>
        <v>0</v>
      </c>
      <c r="N496" s="55"/>
    </row>
    <row r="497" spans="1:14" x14ac:dyDescent="0.3">
      <c r="A497" s="17">
        <v>45356</v>
      </c>
      <c r="B497">
        <v>-10.11</v>
      </c>
      <c r="C497">
        <f t="shared" si="41"/>
        <v>5</v>
      </c>
      <c r="D497">
        <v>1</v>
      </c>
      <c r="E497">
        <f t="shared" si="42"/>
        <v>3</v>
      </c>
      <c r="F497">
        <f t="shared" si="43"/>
        <v>2024</v>
      </c>
      <c r="H497" s="17">
        <f t="shared" si="44"/>
        <v>45352</v>
      </c>
      <c r="J497">
        <f t="shared" si="40"/>
        <v>0</v>
      </c>
      <c r="N497" s="55"/>
    </row>
    <row r="498" spans="1:14" x14ac:dyDescent="0.3">
      <c r="A498" s="17">
        <v>45355</v>
      </c>
      <c r="B498">
        <v>-10.42</v>
      </c>
      <c r="C498">
        <f t="shared" si="41"/>
        <v>4</v>
      </c>
      <c r="D498">
        <v>1</v>
      </c>
      <c r="E498">
        <f t="shared" si="42"/>
        <v>3</v>
      </c>
      <c r="F498">
        <f t="shared" si="43"/>
        <v>2024</v>
      </c>
      <c r="H498" s="17">
        <f t="shared" si="44"/>
        <v>45352</v>
      </c>
      <c r="J498">
        <f t="shared" si="40"/>
        <v>1</v>
      </c>
      <c r="N498" s="55"/>
    </row>
    <row r="499" spans="1:14" x14ac:dyDescent="0.3">
      <c r="A499" s="17">
        <v>45352</v>
      </c>
      <c r="B499">
        <v>-10.74</v>
      </c>
      <c r="C499">
        <f t="shared" si="41"/>
        <v>1</v>
      </c>
      <c r="D499">
        <v>1</v>
      </c>
      <c r="E499">
        <f t="shared" si="42"/>
        <v>3</v>
      </c>
      <c r="F499">
        <f t="shared" si="43"/>
        <v>2024</v>
      </c>
      <c r="H499" s="17">
        <f t="shared" si="44"/>
        <v>45352</v>
      </c>
      <c r="J499">
        <f t="shared" si="40"/>
        <v>1</v>
      </c>
      <c r="N499" s="55"/>
    </row>
    <row r="500" spans="1:14" x14ac:dyDescent="0.3">
      <c r="A500" s="17">
        <v>45351</v>
      </c>
      <c r="B500">
        <v>-9.8699999999999992</v>
      </c>
      <c r="C500">
        <f t="shared" si="41"/>
        <v>29</v>
      </c>
      <c r="D500">
        <v>1</v>
      </c>
      <c r="E500">
        <f t="shared" si="42"/>
        <v>2</v>
      </c>
      <c r="F500">
        <f t="shared" si="43"/>
        <v>2024</v>
      </c>
      <c r="H500" s="17">
        <f t="shared" si="44"/>
        <v>45323</v>
      </c>
      <c r="J500">
        <f t="shared" si="40"/>
        <v>0</v>
      </c>
      <c r="N500" s="55"/>
    </row>
    <row r="501" spans="1:14" x14ac:dyDescent="0.3">
      <c r="A501" s="17">
        <v>45350</v>
      </c>
      <c r="B501">
        <v>-11.07</v>
      </c>
      <c r="C501">
        <f t="shared" si="41"/>
        <v>28</v>
      </c>
      <c r="D501">
        <v>1</v>
      </c>
      <c r="E501">
        <f t="shared" si="42"/>
        <v>2</v>
      </c>
      <c r="F501">
        <f t="shared" si="43"/>
        <v>2024</v>
      </c>
      <c r="H501" s="17">
        <f t="shared" si="44"/>
        <v>45323</v>
      </c>
      <c r="J501">
        <f t="shared" si="40"/>
        <v>0</v>
      </c>
      <c r="N501" s="55"/>
    </row>
    <row r="502" spans="1:14" x14ac:dyDescent="0.3">
      <c r="A502" s="17">
        <v>45349</v>
      </c>
      <c r="B502">
        <v>-11.08</v>
      </c>
      <c r="C502">
        <f t="shared" si="41"/>
        <v>27</v>
      </c>
      <c r="D502">
        <v>1</v>
      </c>
      <c r="E502">
        <f t="shared" si="42"/>
        <v>2</v>
      </c>
      <c r="F502">
        <f t="shared" si="43"/>
        <v>2024</v>
      </c>
      <c r="H502" s="17">
        <f t="shared" si="44"/>
        <v>45323</v>
      </c>
      <c r="J502">
        <f t="shared" si="40"/>
        <v>0</v>
      </c>
      <c r="N502" s="55"/>
    </row>
    <row r="503" spans="1:14" x14ac:dyDescent="0.3">
      <c r="A503" s="17">
        <v>45348</v>
      </c>
      <c r="B503">
        <v>-11.16</v>
      </c>
      <c r="C503">
        <f t="shared" si="41"/>
        <v>26</v>
      </c>
      <c r="D503">
        <v>1</v>
      </c>
      <c r="E503">
        <f t="shared" si="42"/>
        <v>2</v>
      </c>
      <c r="F503">
        <f t="shared" si="43"/>
        <v>2024</v>
      </c>
      <c r="H503" s="17">
        <f t="shared" si="44"/>
        <v>45323</v>
      </c>
      <c r="J503">
        <f t="shared" si="40"/>
        <v>0</v>
      </c>
      <c r="N503" s="55"/>
    </row>
    <row r="504" spans="1:14" x14ac:dyDescent="0.3">
      <c r="A504" s="17">
        <v>45345</v>
      </c>
      <c r="B504">
        <v>-11.39</v>
      </c>
      <c r="C504">
        <f t="shared" si="41"/>
        <v>23</v>
      </c>
      <c r="D504">
        <v>1</v>
      </c>
      <c r="E504">
        <f t="shared" si="42"/>
        <v>2</v>
      </c>
      <c r="F504">
        <f t="shared" si="43"/>
        <v>2024</v>
      </c>
      <c r="H504" s="17">
        <f t="shared" si="44"/>
        <v>45323</v>
      </c>
      <c r="J504">
        <f t="shared" si="40"/>
        <v>0</v>
      </c>
      <c r="N504" s="55"/>
    </row>
    <row r="505" spans="1:14" x14ac:dyDescent="0.3">
      <c r="A505" s="17">
        <v>45344</v>
      </c>
      <c r="B505">
        <v>-11.53</v>
      </c>
      <c r="C505">
        <f t="shared" si="41"/>
        <v>22</v>
      </c>
      <c r="D505">
        <v>1</v>
      </c>
      <c r="E505">
        <f t="shared" si="42"/>
        <v>2</v>
      </c>
      <c r="F505">
        <f t="shared" si="43"/>
        <v>2024</v>
      </c>
      <c r="H505" s="17">
        <f t="shared" si="44"/>
        <v>45323</v>
      </c>
      <c r="J505">
        <f t="shared" si="40"/>
        <v>0</v>
      </c>
      <c r="N505" s="55"/>
    </row>
    <row r="506" spans="1:14" x14ac:dyDescent="0.3">
      <c r="A506" s="17">
        <v>45343</v>
      </c>
      <c r="B506">
        <v>-11.54</v>
      </c>
      <c r="C506">
        <f t="shared" si="41"/>
        <v>21</v>
      </c>
      <c r="D506">
        <v>1</v>
      </c>
      <c r="E506">
        <f t="shared" si="42"/>
        <v>2</v>
      </c>
      <c r="F506">
        <f t="shared" si="43"/>
        <v>2024</v>
      </c>
      <c r="H506" s="17">
        <f t="shared" si="44"/>
        <v>45323</v>
      </c>
      <c r="J506">
        <f t="shared" si="40"/>
        <v>0</v>
      </c>
      <c r="N506" s="55"/>
    </row>
    <row r="507" spans="1:14" x14ac:dyDescent="0.3">
      <c r="A507" s="17">
        <v>45342</v>
      </c>
      <c r="B507">
        <v>-12.02</v>
      </c>
      <c r="C507">
        <f t="shared" si="41"/>
        <v>20</v>
      </c>
      <c r="D507">
        <v>1</v>
      </c>
      <c r="E507">
        <f t="shared" si="42"/>
        <v>2</v>
      </c>
      <c r="F507">
        <f t="shared" si="43"/>
        <v>2024</v>
      </c>
      <c r="H507" s="17">
        <f t="shared" si="44"/>
        <v>45323</v>
      </c>
      <c r="J507">
        <f t="shared" si="40"/>
        <v>0</v>
      </c>
      <c r="N507" s="55"/>
    </row>
    <row r="508" spans="1:14" x14ac:dyDescent="0.3">
      <c r="A508" s="17">
        <v>45341</v>
      </c>
      <c r="B508">
        <v>-11.44</v>
      </c>
      <c r="C508">
        <f t="shared" si="41"/>
        <v>19</v>
      </c>
      <c r="D508">
        <v>1</v>
      </c>
      <c r="E508">
        <f t="shared" si="42"/>
        <v>2</v>
      </c>
      <c r="F508">
        <f t="shared" si="43"/>
        <v>2024</v>
      </c>
      <c r="H508" s="17">
        <f t="shared" si="44"/>
        <v>45323</v>
      </c>
      <c r="J508">
        <f t="shared" si="40"/>
        <v>0</v>
      </c>
      <c r="N508" s="55"/>
    </row>
    <row r="509" spans="1:14" x14ac:dyDescent="0.3">
      <c r="A509" s="17">
        <v>45338</v>
      </c>
      <c r="B509">
        <v>-10.6</v>
      </c>
      <c r="C509">
        <f t="shared" si="41"/>
        <v>16</v>
      </c>
      <c r="D509">
        <v>1</v>
      </c>
      <c r="E509">
        <f t="shared" si="42"/>
        <v>2</v>
      </c>
      <c r="F509">
        <f t="shared" si="43"/>
        <v>2024</v>
      </c>
      <c r="H509" s="17">
        <f t="shared" si="44"/>
        <v>45323</v>
      </c>
      <c r="J509">
        <f t="shared" si="40"/>
        <v>0</v>
      </c>
      <c r="N509" s="55"/>
    </row>
    <row r="510" spans="1:14" x14ac:dyDescent="0.3">
      <c r="A510" s="17">
        <v>45337</v>
      </c>
      <c r="B510">
        <v>-9.67</v>
      </c>
      <c r="C510">
        <f t="shared" si="41"/>
        <v>15</v>
      </c>
      <c r="D510">
        <v>1</v>
      </c>
      <c r="E510">
        <f t="shared" si="42"/>
        <v>2</v>
      </c>
      <c r="F510">
        <f t="shared" si="43"/>
        <v>2024</v>
      </c>
      <c r="H510" s="17">
        <f t="shared" si="44"/>
        <v>45323</v>
      </c>
      <c r="J510">
        <f t="shared" si="40"/>
        <v>0</v>
      </c>
      <c r="N510" s="55"/>
    </row>
    <row r="511" spans="1:14" x14ac:dyDescent="0.3">
      <c r="A511" s="17">
        <v>45336</v>
      </c>
      <c r="B511">
        <v>-10.48</v>
      </c>
      <c r="C511">
        <f t="shared" si="41"/>
        <v>14</v>
      </c>
      <c r="D511">
        <v>1</v>
      </c>
      <c r="E511">
        <f t="shared" si="42"/>
        <v>2</v>
      </c>
      <c r="F511">
        <f t="shared" si="43"/>
        <v>2024</v>
      </c>
      <c r="H511" s="17">
        <f t="shared" si="44"/>
        <v>45323</v>
      </c>
      <c r="J511">
        <f t="shared" si="40"/>
        <v>0</v>
      </c>
      <c r="N511" s="55"/>
    </row>
    <row r="512" spans="1:14" x14ac:dyDescent="0.3">
      <c r="A512" s="17">
        <v>45335</v>
      </c>
      <c r="B512">
        <v>-10.37</v>
      </c>
      <c r="C512">
        <f t="shared" si="41"/>
        <v>13</v>
      </c>
      <c r="D512">
        <v>1</v>
      </c>
      <c r="E512">
        <f t="shared" si="42"/>
        <v>2</v>
      </c>
      <c r="F512">
        <f t="shared" si="43"/>
        <v>2024</v>
      </c>
      <c r="H512" s="17">
        <f t="shared" si="44"/>
        <v>45323</v>
      </c>
      <c r="J512">
        <f t="shared" si="40"/>
        <v>0</v>
      </c>
      <c r="N512" s="55"/>
    </row>
    <row r="513" spans="1:14" x14ac:dyDescent="0.3">
      <c r="A513" s="17">
        <v>45331</v>
      </c>
      <c r="B513">
        <v>-11.22</v>
      </c>
      <c r="C513">
        <f t="shared" si="41"/>
        <v>9</v>
      </c>
      <c r="D513">
        <v>1</v>
      </c>
      <c r="E513">
        <f t="shared" si="42"/>
        <v>2</v>
      </c>
      <c r="F513">
        <f t="shared" si="43"/>
        <v>2024</v>
      </c>
      <c r="H513" s="17">
        <f t="shared" si="44"/>
        <v>45323</v>
      </c>
      <c r="J513">
        <f t="shared" si="40"/>
        <v>0</v>
      </c>
      <c r="N513" s="55"/>
    </row>
    <row r="514" spans="1:14" x14ac:dyDescent="0.3">
      <c r="A514" s="17">
        <v>45330</v>
      </c>
      <c r="B514">
        <v>-11.42</v>
      </c>
      <c r="C514">
        <f t="shared" si="41"/>
        <v>8</v>
      </c>
      <c r="D514">
        <v>1</v>
      </c>
      <c r="E514">
        <f t="shared" si="42"/>
        <v>2</v>
      </c>
      <c r="F514">
        <f t="shared" si="43"/>
        <v>2024</v>
      </c>
      <c r="H514" s="17">
        <f t="shared" si="44"/>
        <v>45323</v>
      </c>
      <c r="J514">
        <f t="shared" si="40"/>
        <v>0</v>
      </c>
      <c r="N514" s="55"/>
    </row>
    <row r="515" spans="1:14" x14ac:dyDescent="0.3">
      <c r="A515" s="17">
        <v>45329</v>
      </c>
      <c r="B515">
        <v>-11.46</v>
      </c>
      <c r="C515">
        <f t="shared" si="41"/>
        <v>7</v>
      </c>
      <c r="D515">
        <v>1</v>
      </c>
      <c r="E515">
        <f t="shared" si="42"/>
        <v>2</v>
      </c>
      <c r="F515">
        <f t="shared" si="43"/>
        <v>2024</v>
      </c>
      <c r="H515" s="17">
        <f t="shared" si="44"/>
        <v>45323</v>
      </c>
      <c r="J515">
        <f t="shared" si="40"/>
        <v>0</v>
      </c>
      <c r="N515" s="55"/>
    </row>
    <row r="516" spans="1:14" x14ac:dyDescent="0.3">
      <c r="A516" s="17">
        <v>45328</v>
      </c>
      <c r="B516">
        <v>-11.54</v>
      </c>
      <c r="C516">
        <f t="shared" si="41"/>
        <v>6</v>
      </c>
      <c r="D516">
        <v>1</v>
      </c>
      <c r="E516">
        <f t="shared" si="42"/>
        <v>2</v>
      </c>
      <c r="F516">
        <f t="shared" si="43"/>
        <v>2024</v>
      </c>
      <c r="H516" s="17">
        <f t="shared" si="44"/>
        <v>45323</v>
      </c>
      <c r="J516">
        <f t="shared" si="40"/>
        <v>0</v>
      </c>
      <c r="N516" s="55"/>
    </row>
    <row r="517" spans="1:14" x14ac:dyDescent="0.3">
      <c r="A517" s="17">
        <v>45327</v>
      </c>
      <c r="B517">
        <v>-11.97</v>
      </c>
      <c r="C517">
        <f t="shared" si="41"/>
        <v>5</v>
      </c>
      <c r="D517">
        <v>1</v>
      </c>
      <c r="E517">
        <f t="shared" si="42"/>
        <v>2</v>
      </c>
      <c r="F517">
        <f t="shared" si="43"/>
        <v>2024</v>
      </c>
      <c r="H517" s="17">
        <f t="shared" si="44"/>
        <v>45323</v>
      </c>
      <c r="J517">
        <f t="shared" si="40"/>
        <v>0</v>
      </c>
      <c r="N517" s="55"/>
    </row>
    <row r="518" spans="1:14" x14ac:dyDescent="0.3">
      <c r="A518" s="17">
        <v>45324</v>
      </c>
      <c r="B518">
        <v>-12.74</v>
      </c>
      <c r="C518">
        <f t="shared" si="41"/>
        <v>2</v>
      </c>
      <c r="D518">
        <v>1</v>
      </c>
      <c r="E518">
        <f t="shared" si="42"/>
        <v>2</v>
      </c>
      <c r="F518">
        <f t="shared" si="43"/>
        <v>2024</v>
      </c>
      <c r="H518" s="17">
        <f t="shared" si="44"/>
        <v>45323</v>
      </c>
      <c r="J518">
        <f t="shared" si="40"/>
        <v>1</v>
      </c>
      <c r="N518" s="55"/>
    </row>
    <row r="519" spans="1:14" x14ac:dyDescent="0.3">
      <c r="A519" s="17">
        <v>45323</v>
      </c>
      <c r="B519">
        <v>-12.91</v>
      </c>
      <c r="C519">
        <f t="shared" si="41"/>
        <v>1</v>
      </c>
      <c r="D519">
        <v>1</v>
      </c>
      <c r="E519">
        <f t="shared" si="42"/>
        <v>2</v>
      </c>
      <c r="F519">
        <f t="shared" si="43"/>
        <v>2024</v>
      </c>
      <c r="H519" s="17">
        <f t="shared" si="44"/>
        <v>45323</v>
      </c>
      <c r="J519">
        <f t="shared" si="40"/>
        <v>1</v>
      </c>
      <c r="N519" s="55"/>
    </row>
    <row r="520" spans="1:14" x14ac:dyDescent="0.3">
      <c r="A520" s="17">
        <v>45322</v>
      </c>
      <c r="B520">
        <v>-11.04</v>
      </c>
      <c r="C520">
        <f t="shared" si="41"/>
        <v>31</v>
      </c>
      <c r="D520">
        <v>1</v>
      </c>
      <c r="E520">
        <f t="shared" si="42"/>
        <v>1</v>
      </c>
      <c r="F520">
        <f t="shared" si="43"/>
        <v>2024</v>
      </c>
      <c r="H520" s="17">
        <f t="shared" si="44"/>
        <v>45292</v>
      </c>
      <c r="J520">
        <f t="shared" si="40"/>
        <v>0</v>
      </c>
      <c r="N520" s="55"/>
    </row>
    <row r="521" spans="1:14" x14ac:dyDescent="0.3">
      <c r="A521" s="17">
        <v>45321</v>
      </c>
      <c r="B521">
        <v>-9.94</v>
      </c>
      <c r="C521">
        <f t="shared" si="41"/>
        <v>30</v>
      </c>
      <c r="D521">
        <v>1</v>
      </c>
      <c r="E521">
        <f t="shared" si="42"/>
        <v>1</v>
      </c>
      <c r="F521">
        <f t="shared" si="43"/>
        <v>2024</v>
      </c>
      <c r="H521" s="17">
        <f t="shared" si="44"/>
        <v>45292</v>
      </c>
      <c r="J521">
        <f t="shared" ref="J521:J584" si="45">IF(AND(C521&gt;=1, C521&lt;=4), 1, 0)</f>
        <v>0</v>
      </c>
      <c r="N521" s="55"/>
    </row>
    <row r="522" spans="1:14" x14ac:dyDescent="0.3">
      <c r="A522" s="17">
        <v>45320</v>
      </c>
      <c r="B522">
        <v>-9.2799999999999994</v>
      </c>
      <c r="C522">
        <f t="shared" ref="C522:C585" si="46">+DAY(A522)</f>
        <v>29</v>
      </c>
      <c r="D522">
        <v>1</v>
      </c>
      <c r="E522">
        <f t="shared" ref="E522:E585" si="47">+MONTH(A522)</f>
        <v>1</v>
      </c>
      <c r="F522">
        <f t="shared" ref="F522:F585" si="48">+YEAR(A522)</f>
        <v>2024</v>
      </c>
      <c r="H522" s="17">
        <f t="shared" ref="H522:H585" si="49">+DATE(F522,E522,D522)</f>
        <v>45292</v>
      </c>
      <c r="J522">
        <f t="shared" si="45"/>
        <v>0</v>
      </c>
      <c r="N522" s="55"/>
    </row>
    <row r="523" spans="1:14" x14ac:dyDescent="0.3">
      <c r="A523" s="17">
        <v>45317</v>
      </c>
      <c r="B523">
        <v>-10.130000000000001</v>
      </c>
      <c r="C523">
        <f t="shared" si="46"/>
        <v>26</v>
      </c>
      <c r="D523">
        <v>1</v>
      </c>
      <c r="E523">
        <f t="shared" si="47"/>
        <v>1</v>
      </c>
      <c r="F523">
        <f t="shared" si="48"/>
        <v>2024</v>
      </c>
      <c r="H523" s="17">
        <f t="shared" si="49"/>
        <v>45292</v>
      </c>
      <c r="J523">
        <f t="shared" si="45"/>
        <v>0</v>
      </c>
      <c r="N523" s="55"/>
    </row>
    <row r="524" spans="1:14" x14ac:dyDescent="0.3">
      <c r="A524" s="17">
        <v>45316</v>
      </c>
      <c r="B524">
        <v>-10.19</v>
      </c>
      <c r="C524">
        <f t="shared" si="46"/>
        <v>25</v>
      </c>
      <c r="D524">
        <v>1</v>
      </c>
      <c r="E524">
        <f t="shared" si="47"/>
        <v>1</v>
      </c>
      <c r="F524">
        <f t="shared" si="48"/>
        <v>2024</v>
      </c>
      <c r="H524" s="17">
        <f t="shared" si="49"/>
        <v>45292</v>
      </c>
      <c r="J524">
        <f t="shared" si="45"/>
        <v>0</v>
      </c>
      <c r="N524" s="55"/>
    </row>
    <row r="525" spans="1:14" x14ac:dyDescent="0.3">
      <c r="A525" s="17">
        <v>45315</v>
      </c>
      <c r="B525">
        <v>-10.37</v>
      </c>
      <c r="C525">
        <f t="shared" si="46"/>
        <v>24</v>
      </c>
      <c r="D525">
        <v>1</v>
      </c>
      <c r="E525">
        <f t="shared" si="47"/>
        <v>1</v>
      </c>
      <c r="F525">
        <f t="shared" si="48"/>
        <v>2024</v>
      </c>
      <c r="H525" s="17">
        <f t="shared" si="49"/>
        <v>45292</v>
      </c>
      <c r="J525">
        <f t="shared" si="45"/>
        <v>0</v>
      </c>
      <c r="N525" s="55"/>
    </row>
    <row r="526" spans="1:14" x14ac:dyDescent="0.3">
      <c r="A526" s="17">
        <v>45314</v>
      </c>
      <c r="B526">
        <v>-9.83</v>
      </c>
      <c r="C526">
        <f t="shared" si="46"/>
        <v>23</v>
      </c>
      <c r="D526">
        <v>1</v>
      </c>
      <c r="E526">
        <f t="shared" si="47"/>
        <v>1</v>
      </c>
      <c r="F526">
        <f t="shared" si="48"/>
        <v>2024</v>
      </c>
      <c r="H526" s="17">
        <f t="shared" si="49"/>
        <v>45292</v>
      </c>
      <c r="J526">
        <f t="shared" si="45"/>
        <v>0</v>
      </c>
      <c r="N526" s="55"/>
    </row>
    <row r="527" spans="1:14" x14ac:dyDescent="0.3">
      <c r="A527" s="17">
        <v>45313</v>
      </c>
      <c r="B527">
        <v>-9.57</v>
      </c>
      <c r="C527">
        <f t="shared" si="46"/>
        <v>22</v>
      </c>
      <c r="D527">
        <v>1</v>
      </c>
      <c r="E527">
        <f t="shared" si="47"/>
        <v>1</v>
      </c>
      <c r="F527">
        <f t="shared" si="48"/>
        <v>2024</v>
      </c>
      <c r="H527" s="17">
        <f t="shared" si="49"/>
        <v>45292</v>
      </c>
      <c r="J527">
        <f t="shared" si="45"/>
        <v>0</v>
      </c>
      <c r="N527" s="55"/>
    </row>
    <row r="528" spans="1:14" x14ac:dyDescent="0.3">
      <c r="A528" s="17">
        <v>45310</v>
      </c>
      <c r="B528">
        <v>-10.18</v>
      </c>
      <c r="C528">
        <f t="shared" si="46"/>
        <v>19</v>
      </c>
      <c r="D528">
        <v>1</v>
      </c>
      <c r="E528">
        <f t="shared" si="47"/>
        <v>1</v>
      </c>
      <c r="F528">
        <f t="shared" si="48"/>
        <v>2024</v>
      </c>
      <c r="H528" s="17">
        <f t="shared" si="49"/>
        <v>45292</v>
      </c>
      <c r="J528">
        <f t="shared" si="45"/>
        <v>0</v>
      </c>
      <c r="N528" s="55"/>
    </row>
    <row r="529" spans="1:14" x14ac:dyDescent="0.3">
      <c r="A529" s="17">
        <v>45309</v>
      </c>
      <c r="B529">
        <v>-8.65</v>
      </c>
      <c r="C529">
        <f t="shared" si="46"/>
        <v>18</v>
      </c>
      <c r="D529">
        <v>1</v>
      </c>
      <c r="E529">
        <f t="shared" si="47"/>
        <v>1</v>
      </c>
      <c r="F529">
        <f t="shared" si="48"/>
        <v>2024</v>
      </c>
      <c r="H529" s="17">
        <f t="shared" si="49"/>
        <v>45292</v>
      </c>
      <c r="J529">
        <f t="shared" si="45"/>
        <v>0</v>
      </c>
      <c r="N529" s="55"/>
    </row>
    <row r="530" spans="1:14" x14ac:dyDescent="0.3">
      <c r="A530" s="17">
        <v>45308</v>
      </c>
      <c r="B530">
        <v>-8.81</v>
      </c>
      <c r="C530">
        <f t="shared" si="46"/>
        <v>17</v>
      </c>
      <c r="D530">
        <v>1</v>
      </c>
      <c r="E530">
        <f t="shared" si="47"/>
        <v>1</v>
      </c>
      <c r="F530">
        <f t="shared" si="48"/>
        <v>2024</v>
      </c>
      <c r="H530" s="17">
        <f t="shared" si="49"/>
        <v>45292</v>
      </c>
      <c r="J530">
        <f t="shared" si="45"/>
        <v>0</v>
      </c>
      <c r="N530" s="55"/>
    </row>
    <row r="531" spans="1:14" x14ac:dyDescent="0.3">
      <c r="A531" s="17">
        <v>45307</v>
      </c>
      <c r="B531">
        <v>-8.51</v>
      </c>
      <c r="C531">
        <f t="shared" si="46"/>
        <v>16</v>
      </c>
      <c r="D531">
        <v>1</v>
      </c>
      <c r="E531">
        <f t="shared" si="47"/>
        <v>1</v>
      </c>
      <c r="F531">
        <f t="shared" si="48"/>
        <v>2024</v>
      </c>
      <c r="H531" s="17">
        <f t="shared" si="49"/>
        <v>45292</v>
      </c>
      <c r="J531">
        <f t="shared" si="45"/>
        <v>0</v>
      </c>
      <c r="N531" s="55"/>
    </row>
    <row r="532" spans="1:14" x14ac:dyDescent="0.3">
      <c r="A532" s="17">
        <v>45306</v>
      </c>
      <c r="B532">
        <v>-8.83</v>
      </c>
      <c r="C532">
        <f t="shared" si="46"/>
        <v>15</v>
      </c>
      <c r="D532">
        <v>1</v>
      </c>
      <c r="E532">
        <f t="shared" si="47"/>
        <v>1</v>
      </c>
      <c r="F532">
        <f t="shared" si="48"/>
        <v>2024</v>
      </c>
      <c r="H532" s="17">
        <f t="shared" si="49"/>
        <v>45292</v>
      </c>
      <c r="J532">
        <f t="shared" si="45"/>
        <v>0</v>
      </c>
      <c r="N532" s="55"/>
    </row>
    <row r="533" spans="1:14" x14ac:dyDescent="0.3">
      <c r="A533" s="17">
        <v>45303</v>
      </c>
      <c r="B533">
        <v>-10.28</v>
      </c>
      <c r="C533">
        <f t="shared" si="46"/>
        <v>12</v>
      </c>
      <c r="D533">
        <v>1</v>
      </c>
      <c r="E533">
        <f t="shared" si="47"/>
        <v>1</v>
      </c>
      <c r="F533">
        <f t="shared" si="48"/>
        <v>2024</v>
      </c>
      <c r="H533" s="17">
        <f t="shared" si="49"/>
        <v>45292</v>
      </c>
      <c r="J533">
        <f t="shared" si="45"/>
        <v>0</v>
      </c>
      <c r="N533" s="55"/>
    </row>
    <row r="534" spans="1:14" x14ac:dyDescent="0.3">
      <c r="A534" s="17">
        <v>45302</v>
      </c>
      <c r="B534">
        <v>-10.33</v>
      </c>
      <c r="C534">
        <f t="shared" si="46"/>
        <v>11</v>
      </c>
      <c r="D534">
        <v>1</v>
      </c>
      <c r="E534">
        <f t="shared" si="47"/>
        <v>1</v>
      </c>
      <c r="F534">
        <f t="shared" si="48"/>
        <v>2024</v>
      </c>
      <c r="H534" s="17">
        <f t="shared" si="49"/>
        <v>45292</v>
      </c>
      <c r="J534">
        <f t="shared" si="45"/>
        <v>0</v>
      </c>
      <c r="N534" s="55"/>
    </row>
    <row r="535" spans="1:14" x14ac:dyDescent="0.3">
      <c r="A535" s="17">
        <v>45301</v>
      </c>
      <c r="B535">
        <v>-10.68</v>
      </c>
      <c r="C535">
        <f t="shared" si="46"/>
        <v>10</v>
      </c>
      <c r="D535">
        <v>1</v>
      </c>
      <c r="E535">
        <f t="shared" si="47"/>
        <v>1</v>
      </c>
      <c r="F535">
        <f t="shared" si="48"/>
        <v>2024</v>
      </c>
      <c r="H535" s="17">
        <f t="shared" si="49"/>
        <v>45292</v>
      </c>
      <c r="J535">
        <f t="shared" si="45"/>
        <v>0</v>
      </c>
      <c r="N535" s="55"/>
    </row>
    <row r="536" spans="1:14" x14ac:dyDescent="0.3">
      <c r="A536" s="17">
        <v>45300</v>
      </c>
      <c r="B536">
        <v>-10.54</v>
      </c>
      <c r="C536">
        <f t="shared" si="46"/>
        <v>9</v>
      </c>
      <c r="D536">
        <v>1</v>
      </c>
      <c r="E536">
        <f t="shared" si="47"/>
        <v>1</v>
      </c>
      <c r="F536">
        <f t="shared" si="48"/>
        <v>2024</v>
      </c>
      <c r="H536" s="17">
        <f t="shared" si="49"/>
        <v>45292</v>
      </c>
      <c r="J536">
        <f t="shared" si="45"/>
        <v>0</v>
      </c>
      <c r="N536" s="55"/>
    </row>
    <row r="537" spans="1:14" x14ac:dyDescent="0.3">
      <c r="A537" s="17">
        <v>45299</v>
      </c>
      <c r="B537">
        <v>-11.22</v>
      </c>
      <c r="C537">
        <f t="shared" si="46"/>
        <v>8</v>
      </c>
      <c r="D537">
        <v>1</v>
      </c>
      <c r="E537">
        <f t="shared" si="47"/>
        <v>1</v>
      </c>
      <c r="F537">
        <f t="shared" si="48"/>
        <v>2024</v>
      </c>
      <c r="H537" s="17">
        <f t="shared" si="49"/>
        <v>45292</v>
      </c>
      <c r="J537">
        <f t="shared" si="45"/>
        <v>0</v>
      </c>
      <c r="N537" s="55"/>
    </row>
    <row r="538" spans="1:14" x14ac:dyDescent="0.3">
      <c r="A538" s="17">
        <v>45296</v>
      </c>
      <c r="B538">
        <v>-11.27</v>
      </c>
      <c r="C538">
        <f t="shared" si="46"/>
        <v>5</v>
      </c>
      <c r="D538">
        <v>1</v>
      </c>
      <c r="E538">
        <f t="shared" si="47"/>
        <v>1</v>
      </c>
      <c r="F538">
        <f t="shared" si="48"/>
        <v>2024</v>
      </c>
      <c r="H538" s="17">
        <f t="shared" si="49"/>
        <v>45292</v>
      </c>
      <c r="J538">
        <f t="shared" si="45"/>
        <v>0</v>
      </c>
      <c r="N538" s="55"/>
    </row>
    <row r="539" spans="1:14" x14ac:dyDescent="0.3">
      <c r="A539" s="17">
        <v>45295</v>
      </c>
      <c r="B539">
        <v>-10.43</v>
      </c>
      <c r="C539">
        <f t="shared" si="46"/>
        <v>4</v>
      </c>
      <c r="D539">
        <v>1</v>
      </c>
      <c r="E539">
        <f t="shared" si="47"/>
        <v>1</v>
      </c>
      <c r="F539">
        <f t="shared" si="48"/>
        <v>2024</v>
      </c>
      <c r="H539" s="17">
        <f t="shared" si="49"/>
        <v>45292</v>
      </c>
      <c r="J539">
        <f t="shared" si="45"/>
        <v>1</v>
      </c>
      <c r="N539" s="55"/>
    </row>
    <row r="540" spans="1:14" x14ac:dyDescent="0.3">
      <c r="A540" s="17">
        <v>45294</v>
      </c>
      <c r="B540">
        <v>-10.15</v>
      </c>
      <c r="C540">
        <f t="shared" si="46"/>
        <v>3</v>
      </c>
      <c r="D540">
        <v>1</v>
      </c>
      <c r="E540">
        <f t="shared" si="47"/>
        <v>1</v>
      </c>
      <c r="F540">
        <f t="shared" si="48"/>
        <v>2024</v>
      </c>
      <c r="H540" s="17">
        <f t="shared" si="49"/>
        <v>45292</v>
      </c>
      <c r="J540">
        <f t="shared" si="45"/>
        <v>1</v>
      </c>
      <c r="N540" s="55"/>
    </row>
    <row r="541" spans="1:14" x14ac:dyDescent="0.3">
      <c r="A541" s="17">
        <v>45293</v>
      </c>
      <c r="B541">
        <v>-10.37</v>
      </c>
      <c r="C541">
        <f t="shared" si="46"/>
        <v>2</v>
      </c>
      <c r="D541">
        <v>1</v>
      </c>
      <c r="E541">
        <f t="shared" si="47"/>
        <v>1</v>
      </c>
      <c r="F541">
        <f t="shared" si="48"/>
        <v>2024</v>
      </c>
      <c r="H541" s="17">
        <f t="shared" si="49"/>
        <v>45292</v>
      </c>
      <c r="J541">
        <f t="shared" si="45"/>
        <v>1</v>
      </c>
      <c r="N541" s="55"/>
    </row>
    <row r="542" spans="1:14" x14ac:dyDescent="0.3">
      <c r="A542" s="17">
        <v>45292</v>
      </c>
      <c r="C542">
        <f t="shared" si="46"/>
        <v>1</v>
      </c>
      <c r="D542">
        <v>1</v>
      </c>
      <c r="E542">
        <f t="shared" si="47"/>
        <v>1</v>
      </c>
      <c r="F542">
        <f t="shared" si="48"/>
        <v>2024</v>
      </c>
      <c r="H542" s="17">
        <f t="shared" si="49"/>
        <v>45292</v>
      </c>
      <c r="J542">
        <f t="shared" si="45"/>
        <v>1</v>
      </c>
      <c r="N542" s="55"/>
    </row>
    <row r="543" spans="1:14" x14ac:dyDescent="0.3">
      <c r="A543" s="17">
        <v>45289</v>
      </c>
      <c r="B543">
        <v>-6.69</v>
      </c>
      <c r="C543">
        <f t="shared" si="46"/>
        <v>29</v>
      </c>
      <c r="D543">
        <v>1</v>
      </c>
      <c r="E543">
        <f t="shared" si="47"/>
        <v>12</v>
      </c>
      <c r="F543">
        <f t="shared" si="48"/>
        <v>2023</v>
      </c>
      <c r="H543" s="17">
        <f t="shared" si="49"/>
        <v>45261</v>
      </c>
      <c r="J543">
        <f t="shared" si="45"/>
        <v>0</v>
      </c>
      <c r="N543" s="55"/>
    </row>
    <row r="544" spans="1:14" x14ac:dyDescent="0.3">
      <c r="A544" s="17">
        <v>45288</v>
      </c>
      <c r="B544">
        <v>-6.28</v>
      </c>
      <c r="C544">
        <f t="shared" si="46"/>
        <v>28</v>
      </c>
      <c r="D544">
        <v>1</v>
      </c>
      <c r="E544">
        <f t="shared" si="47"/>
        <v>12</v>
      </c>
      <c r="F544">
        <f t="shared" si="48"/>
        <v>2023</v>
      </c>
      <c r="H544" s="17">
        <f t="shared" si="49"/>
        <v>45261</v>
      </c>
      <c r="J544">
        <f t="shared" si="45"/>
        <v>0</v>
      </c>
      <c r="N544" s="55"/>
    </row>
    <row r="545" spans="1:14" x14ac:dyDescent="0.3">
      <c r="A545" s="17">
        <v>45287</v>
      </c>
      <c r="B545">
        <v>-7.22</v>
      </c>
      <c r="C545">
        <f t="shared" si="46"/>
        <v>27</v>
      </c>
      <c r="D545">
        <v>1</v>
      </c>
      <c r="E545">
        <f t="shared" si="47"/>
        <v>12</v>
      </c>
      <c r="F545">
        <f t="shared" si="48"/>
        <v>2023</v>
      </c>
      <c r="H545" s="17">
        <f t="shared" si="49"/>
        <v>45261</v>
      </c>
      <c r="J545">
        <f t="shared" si="45"/>
        <v>0</v>
      </c>
      <c r="N545" s="55"/>
    </row>
    <row r="546" spans="1:14" x14ac:dyDescent="0.3">
      <c r="A546" s="17">
        <v>45286</v>
      </c>
      <c r="B546">
        <v>-8.18</v>
      </c>
      <c r="C546">
        <f t="shared" si="46"/>
        <v>26</v>
      </c>
      <c r="D546">
        <v>1</v>
      </c>
      <c r="E546">
        <f t="shared" si="47"/>
        <v>12</v>
      </c>
      <c r="F546">
        <f t="shared" si="48"/>
        <v>2023</v>
      </c>
      <c r="H546" s="17">
        <f t="shared" si="49"/>
        <v>45261</v>
      </c>
      <c r="J546">
        <f t="shared" si="45"/>
        <v>0</v>
      </c>
      <c r="N546" s="55"/>
    </row>
    <row r="547" spans="1:14" x14ac:dyDescent="0.3">
      <c r="A547" s="17">
        <v>45282</v>
      </c>
      <c r="B547">
        <v>-8.56</v>
      </c>
      <c r="C547">
        <f t="shared" si="46"/>
        <v>22</v>
      </c>
      <c r="D547">
        <v>1</v>
      </c>
      <c r="E547">
        <f t="shared" si="47"/>
        <v>12</v>
      </c>
      <c r="F547">
        <f t="shared" si="48"/>
        <v>2023</v>
      </c>
      <c r="H547" s="17">
        <f t="shared" si="49"/>
        <v>45261</v>
      </c>
      <c r="J547">
        <f t="shared" si="45"/>
        <v>0</v>
      </c>
      <c r="N547" s="55"/>
    </row>
    <row r="548" spans="1:14" x14ac:dyDescent="0.3">
      <c r="A548" s="17">
        <v>45281</v>
      </c>
      <c r="B548">
        <v>-7.92</v>
      </c>
      <c r="C548">
        <f t="shared" si="46"/>
        <v>21</v>
      </c>
      <c r="D548">
        <v>1</v>
      </c>
      <c r="E548">
        <f t="shared" si="47"/>
        <v>12</v>
      </c>
      <c r="F548">
        <f t="shared" si="48"/>
        <v>2023</v>
      </c>
      <c r="H548" s="17">
        <f t="shared" si="49"/>
        <v>45261</v>
      </c>
      <c r="J548">
        <f t="shared" si="45"/>
        <v>0</v>
      </c>
      <c r="N548" s="55"/>
    </row>
    <row r="549" spans="1:14" x14ac:dyDescent="0.3">
      <c r="A549" s="17">
        <v>45280</v>
      </c>
      <c r="B549">
        <v>-6.27</v>
      </c>
      <c r="C549">
        <f t="shared" si="46"/>
        <v>20</v>
      </c>
      <c r="D549">
        <v>1</v>
      </c>
      <c r="E549">
        <f t="shared" si="47"/>
        <v>12</v>
      </c>
      <c r="F549">
        <f t="shared" si="48"/>
        <v>2023</v>
      </c>
      <c r="H549" s="17">
        <f t="shared" si="49"/>
        <v>45261</v>
      </c>
      <c r="J549">
        <f t="shared" si="45"/>
        <v>0</v>
      </c>
      <c r="N549" s="55"/>
    </row>
    <row r="550" spans="1:14" x14ac:dyDescent="0.3">
      <c r="A550" s="17">
        <v>45279</v>
      </c>
      <c r="B550">
        <v>-5.66</v>
      </c>
      <c r="C550">
        <f t="shared" si="46"/>
        <v>19</v>
      </c>
      <c r="D550">
        <v>1</v>
      </c>
      <c r="E550">
        <f t="shared" si="47"/>
        <v>12</v>
      </c>
      <c r="F550">
        <f t="shared" si="48"/>
        <v>2023</v>
      </c>
      <c r="H550" s="17">
        <f t="shared" si="49"/>
        <v>45261</v>
      </c>
      <c r="J550">
        <f t="shared" si="45"/>
        <v>0</v>
      </c>
      <c r="N550" s="55"/>
    </row>
    <row r="551" spans="1:14" x14ac:dyDescent="0.3">
      <c r="A551" s="17">
        <v>45278</v>
      </c>
      <c r="B551">
        <v>-4.66</v>
      </c>
      <c r="C551">
        <f t="shared" si="46"/>
        <v>18</v>
      </c>
      <c r="D551">
        <v>1</v>
      </c>
      <c r="E551">
        <f t="shared" si="47"/>
        <v>12</v>
      </c>
      <c r="F551">
        <f t="shared" si="48"/>
        <v>2023</v>
      </c>
      <c r="H551" s="17">
        <f t="shared" si="49"/>
        <v>45261</v>
      </c>
      <c r="J551">
        <f t="shared" si="45"/>
        <v>0</v>
      </c>
      <c r="N551" s="55"/>
    </row>
    <row r="552" spans="1:14" x14ac:dyDescent="0.3">
      <c r="A552" s="17">
        <v>45275</v>
      </c>
      <c r="B552">
        <v>-6.55</v>
      </c>
      <c r="C552">
        <f t="shared" si="46"/>
        <v>15</v>
      </c>
      <c r="D552">
        <v>1</v>
      </c>
      <c r="E552">
        <f t="shared" si="47"/>
        <v>12</v>
      </c>
      <c r="F552">
        <f t="shared" si="48"/>
        <v>2023</v>
      </c>
      <c r="H552" s="17">
        <f t="shared" si="49"/>
        <v>45261</v>
      </c>
      <c r="J552">
        <f t="shared" si="45"/>
        <v>0</v>
      </c>
      <c r="N552" s="55"/>
    </row>
    <row r="553" spans="1:14" x14ac:dyDescent="0.3">
      <c r="A553" s="17">
        <v>45274</v>
      </c>
      <c r="B553">
        <v>-6.93</v>
      </c>
      <c r="C553">
        <f t="shared" si="46"/>
        <v>14</v>
      </c>
      <c r="D553">
        <v>1</v>
      </c>
      <c r="E553">
        <f t="shared" si="47"/>
        <v>12</v>
      </c>
      <c r="F553">
        <f t="shared" si="48"/>
        <v>2023</v>
      </c>
      <c r="H553" s="17">
        <f t="shared" si="49"/>
        <v>45261</v>
      </c>
      <c r="J553">
        <f t="shared" si="45"/>
        <v>0</v>
      </c>
      <c r="N553" s="55"/>
    </row>
    <row r="554" spans="1:14" x14ac:dyDescent="0.3">
      <c r="A554" s="17">
        <v>45273</v>
      </c>
      <c r="B554">
        <v>-6.73</v>
      </c>
      <c r="C554">
        <f t="shared" si="46"/>
        <v>13</v>
      </c>
      <c r="D554">
        <v>1</v>
      </c>
      <c r="E554">
        <f t="shared" si="47"/>
        <v>12</v>
      </c>
      <c r="F554">
        <f t="shared" si="48"/>
        <v>2023</v>
      </c>
      <c r="H554" s="17">
        <f t="shared" si="49"/>
        <v>45261</v>
      </c>
      <c r="J554">
        <f t="shared" si="45"/>
        <v>0</v>
      </c>
      <c r="N554" s="55"/>
    </row>
    <row r="555" spans="1:14" x14ac:dyDescent="0.3">
      <c r="A555" s="17">
        <v>45272</v>
      </c>
      <c r="B555">
        <v>-9.0500000000000007</v>
      </c>
      <c r="C555">
        <f t="shared" si="46"/>
        <v>12</v>
      </c>
      <c r="D555">
        <v>1</v>
      </c>
      <c r="E555">
        <f t="shared" si="47"/>
        <v>12</v>
      </c>
      <c r="F555">
        <f t="shared" si="48"/>
        <v>2023</v>
      </c>
      <c r="H555" s="17">
        <f t="shared" si="49"/>
        <v>45261</v>
      </c>
      <c r="J555">
        <f t="shared" si="45"/>
        <v>0</v>
      </c>
      <c r="N555" s="55"/>
    </row>
    <row r="556" spans="1:14" x14ac:dyDescent="0.3">
      <c r="A556" s="17">
        <v>45271</v>
      </c>
      <c r="B556">
        <v>-9.9700000000000006</v>
      </c>
      <c r="C556">
        <f t="shared" si="46"/>
        <v>11</v>
      </c>
      <c r="D556">
        <v>1</v>
      </c>
      <c r="E556">
        <f t="shared" si="47"/>
        <v>12</v>
      </c>
      <c r="F556">
        <f t="shared" si="48"/>
        <v>2023</v>
      </c>
      <c r="H556" s="17">
        <f t="shared" si="49"/>
        <v>45261</v>
      </c>
      <c r="J556">
        <f t="shared" si="45"/>
        <v>0</v>
      </c>
      <c r="N556" s="55"/>
    </row>
    <row r="557" spans="1:14" x14ac:dyDescent="0.3">
      <c r="A557" s="17">
        <v>45268</v>
      </c>
      <c r="B557">
        <v>-9.85</v>
      </c>
      <c r="C557">
        <f t="shared" si="46"/>
        <v>8</v>
      </c>
      <c r="D557">
        <v>1</v>
      </c>
      <c r="E557">
        <f t="shared" si="47"/>
        <v>12</v>
      </c>
      <c r="F557">
        <f t="shared" si="48"/>
        <v>2023</v>
      </c>
      <c r="H557" s="17">
        <f t="shared" si="49"/>
        <v>45261</v>
      </c>
      <c r="J557">
        <f t="shared" si="45"/>
        <v>0</v>
      </c>
      <c r="N557" s="55"/>
    </row>
    <row r="558" spans="1:14" x14ac:dyDescent="0.3">
      <c r="A558" s="17">
        <v>45267</v>
      </c>
      <c r="B558">
        <v>-9.75</v>
      </c>
      <c r="C558">
        <f t="shared" si="46"/>
        <v>7</v>
      </c>
      <c r="D558">
        <v>1</v>
      </c>
      <c r="E558">
        <f t="shared" si="47"/>
        <v>12</v>
      </c>
      <c r="F558">
        <f t="shared" si="48"/>
        <v>2023</v>
      </c>
      <c r="H558" s="17">
        <f t="shared" si="49"/>
        <v>45261</v>
      </c>
      <c r="J558">
        <f t="shared" si="45"/>
        <v>0</v>
      </c>
      <c r="N558" s="55"/>
    </row>
    <row r="559" spans="1:14" x14ac:dyDescent="0.3">
      <c r="A559" s="17">
        <v>45266</v>
      </c>
      <c r="B559">
        <v>-9.69</v>
      </c>
      <c r="C559">
        <f t="shared" si="46"/>
        <v>6</v>
      </c>
      <c r="D559">
        <v>1</v>
      </c>
      <c r="E559">
        <f t="shared" si="47"/>
        <v>12</v>
      </c>
      <c r="F559">
        <f t="shared" si="48"/>
        <v>2023</v>
      </c>
      <c r="H559" s="17">
        <f t="shared" si="49"/>
        <v>45261</v>
      </c>
      <c r="J559">
        <f t="shared" si="45"/>
        <v>0</v>
      </c>
      <c r="N559" s="55"/>
    </row>
    <row r="560" spans="1:14" x14ac:dyDescent="0.3">
      <c r="A560" s="17">
        <v>45265</v>
      </c>
      <c r="B560">
        <v>-9.94</v>
      </c>
      <c r="C560">
        <f t="shared" si="46"/>
        <v>5</v>
      </c>
      <c r="D560">
        <v>1</v>
      </c>
      <c r="E560">
        <f t="shared" si="47"/>
        <v>12</v>
      </c>
      <c r="F560">
        <f t="shared" si="48"/>
        <v>2023</v>
      </c>
      <c r="H560" s="17">
        <f t="shared" si="49"/>
        <v>45261</v>
      </c>
      <c r="J560">
        <f t="shared" si="45"/>
        <v>0</v>
      </c>
      <c r="N560" s="55"/>
    </row>
    <row r="561" spans="1:14" x14ac:dyDescent="0.3">
      <c r="A561" s="17">
        <v>45264</v>
      </c>
      <c r="B561">
        <v>-10.07</v>
      </c>
      <c r="C561">
        <f t="shared" si="46"/>
        <v>4</v>
      </c>
      <c r="D561">
        <v>1</v>
      </c>
      <c r="E561">
        <f t="shared" si="47"/>
        <v>12</v>
      </c>
      <c r="F561">
        <f t="shared" si="48"/>
        <v>2023</v>
      </c>
      <c r="H561" s="17">
        <f t="shared" si="49"/>
        <v>45261</v>
      </c>
      <c r="J561">
        <f t="shared" si="45"/>
        <v>1</v>
      </c>
      <c r="N561" s="55"/>
    </row>
    <row r="562" spans="1:14" x14ac:dyDescent="0.3">
      <c r="A562" s="17">
        <v>45261</v>
      </c>
      <c r="B562">
        <v>-11.18</v>
      </c>
      <c r="C562">
        <f t="shared" si="46"/>
        <v>1</v>
      </c>
      <c r="D562">
        <v>1</v>
      </c>
      <c r="E562">
        <f t="shared" si="47"/>
        <v>12</v>
      </c>
      <c r="F562">
        <f t="shared" si="48"/>
        <v>2023</v>
      </c>
      <c r="H562" s="17">
        <f t="shared" si="49"/>
        <v>45261</v>
      </c>
      <c r="J562">
        <f t="shared" si="45"/>
        <v>1</v>
      </c>
      <c r="N562" s="55"/>
    </row>
    <row r="563" spans="1:14" x14ac:dyDescent="0.3">
      <c r="A563" s="17">
        <v>45260</v>
      </c>
      <c r="B563">
        <v>-12.24</v>
      </c>
      <c r="C563">
        <f t="shared" si="46"/>
        <v>30</v>
      </c>
      <c r="D563">
        <v>1</v>
      </c>
      <c r="E563">
        <f t="shared" si="47"/>
        <v>11</v>
      </c>
      <c r="F563">
        <f t="shared" si="48"/>
        <v>2023</v>
      </c>
      <c r="H563" s="17">
        <f t="shared" si="49"/>
        <v>45231</v>
      </c>
      <c r="J563">
        <f t="shared" si="45"/>
        <v>0</v>
      </c>
      <c r="N563" s="55"/>
    </row>
    <row r="564" spans="1:14" x14ac:dyDescent="0.3">
      <c r="A564" s="17">
        <v>45259</v>
      </c>
      <c r="B564">
        <v>-11.63</v>
      </c>
      <c r="C564">
        <f t="shared" si="46"/>
        <v>29</v>
      </c>
      <c r="D564">
        <v>1</v>
      </c>
      <c r="E564">
        <f t="shared" si="47"/>
        <v>11</v>
      </c>
      <c r="F564">
        <f t="shared" si="48"/>
        <v>2023</v>
      </c>
      <c r="H564" s="17">
        <f t="shared" si="49"/>
        <v>45231</v>
      </c>
      <c r="J564">
        <f t="shared" si="45"/>
        <v>0</v>
      </c>
      <c r="N564" s="55"/>
    </row>
    <row r="565" spans="1:14" x14ac:dyDescent="0.3">
      <c r="A565" s="17">
        <v>45258</v>
      </c>
      <c r="B565">
        <v>-12.19</v>
      </c>
      <c r="C565">
        <f t="shared" si="46"/>
        <v>28</v>
      </c>
      <c r="D565">
        <v>1</v>
      </c>
      <c r="E565">
        <f t="shared" si="47"/>
        <v>11</v>
      </c>
      <c r="F565">
        <f t="shared" si="48"/>
        <v>2023</v>
      </c>
      <c r="H565" s="17">
        <f t="shared" si="49"/>
        <v>45231</v>
      </c>
      <c r="J565">
        <f t="shared" si="45"/>
        <v>0</v>
      </c>
      <c r="N565" s="55"/>
    </row>
    <row r="566" spans="1:14" x14ac:dyDescent="0.3">
      <c r="A566" s="17">
        <v>45257</v>
      </c>
      <c r="B566">
        <v>-12.11</v>
      </c>
      <c r="C566">
        <f t="shared" si="46"/>
        <v>27</v>
      </c>
      <c r="D566">
        <v>1</v>
      </c>
      <c r="E566">
        <f t="shared" si="47"/>
        <v>11</v>
      </c>
      <c r="F566">
        <f t="shared" si="48"/>
        <v>2023</v>
      </c>
      <c r="H566" s="17">
        <f t="shared" si="49"/>
        <v>45231</v>
      </c>
      <c r="J566">
        <f t="shared" si="45"/>
        <v>0</v>
      </c>
      <c r="N566" s="55"/>
    </row>
    <row r="567" spans="1:14" x14ac:dyDescent="0.3">
      <c r="A567" s="17">
        <v>45254</v>
      </c>
      <c r="B567">
        <v>-12.32</v>
      </c>
      <c r="C567">
        <f t="shared" si="46"/>
        <v>24</v>
      </c>
      <c r="D567">
        <v>1</v>
      </c>
      <c r="E567">
        <f t="shared" si="47"/>
        <v>11</v>
      </c>
      <c r="F567">
        <f t="shared" si="48"/>
        <v>2023</v>
      </c>
      <c r="H567" s="17">
        <f t="shared" si="49"/>
        <v>45231</v>
      </c>
      <c r="J567">
        <f t="shared" si="45"/>
        <v>0</v>
      </c>
      <c r="N567" s="55"/>
    </row>
    <row r="568" spans="1:14" x14ac:dyDescent="0.3">
      <c r="A568" s="17">
        <v>45253</v>
      </c>
      <c r="B568">
        <v>-11.91</v>
      </c>
      <c r="C568">
        <f t="shared" si="46"/>
        <v>23</v>
      </c>
      <c r="D568">
        <v>1</v>
      </c>
      <c r="E568">
        <f t="shared" si="47"/>
        <v>11</v>
      </c>
      <c r="F568">
        <f t="shared" si="48"/>
        <v>2023</v>
      </c>
      <c r="H568" s="17">
        <f t="shared" si="49"/>
        <v>45231</v>
      </c>
      <c r="J568">
        <f t="shared" si="45"/>
        <v>0</v>
      </c>
      <c r="N568" s="55"/>
    </row>
    <row r="569" spans="1:14" x14ac:dyDescent="0.3">
      <c r="A569" s="17">
        <v>45252</v>
      </c>
      <c r="B569">
        <v>-12.98</v>
      </c>
      <c r="C569">
        <f t="shared" si="46"/>
        <v>22</v>
      </c>
      <c r="D569">
        <v>1</v>
      </c>
      <c r="E569">
        <f t="shared" si="47"/>
        <v>11</v>
      </c>
      <c r="F569">
        <f t="shared" si="48"/>
        <v>2023</v>
      </c>
      <c r="H569" s="17">
        <f t="shared" si="49"/>
        <v>45231</v>
      </c>
      <c r="J569">
        <f t="shared" si="45"/>
        <v>0</v>
      </c>
      <c r="N569" s="55"/>
    </row>
    <row r="570" spans="1:14" x14ac:dyDescent="0.3">
      <c r="A570" s="17">
        <v>45251</v>
      </c>
      <c r="B570">
        <v>-13.04</v>
      </c>
      <c r="C570">
        <f t="shared" si="46"/>
        <v>21</v>
      </c>
      <c r="D570">
        <v>1</v>
      </c>
      <c r="E570">
        <f t="shared" si="47"/>
        <v>11</v>
      </c>
      <c r="F570">
        <f t="shared" si="48"/>
        <v>2023</v>
      </c>
      <c r="H570" s="17">
        <f t="shared" si="49"/>
        <v>45231</v>
      </c>
      <c r="J570">
        <f t="shared" si="45"/>
        <v>0</v>
      </c>
      <c r="N570" s="55"/>
    </row>
    <row r="571" spans="1:14" x14ac:dyDescent="0.3">
      <c r="A571" s="17">
        <v>45250</v>
      </c>
      <c r="B571">
        <v>-12.64</v>
      </c>
      <c r="C571">
        <f t="shared" si="46"/>
        <v>20</v>
      </c>
      <c r="D571">
        <v>1</v>
      </c>
      <c r="E571">
        <f t="shared" si="47"/>
        <v>11</v>
      </c>
      <c r="F571">
        <f t="shared" si="48"/>
        <v>2023</v>
      </c>
      <c r="H571" s="17">
        <f t="shared" si="49"/>
        <v>45231</v>
      </c>
      <c r="J571">
        <f t="shared" si="45"/>
        <v>0</v>
      </c>
      <c r="N571" s="55"/>
    </row>
    <row r="572" spans="1:14" x14ac:dyDescent="0.3">
      <c r="A572" s="17">
        <v>45247</v>
      </c>
      <c r="B572">
        <v>-11.47</v>
      </c>
      <c r="C572">
        <f t="shared" si="46"/>
        <v>17</v>
      </c>
      <c r="D572">
        <v>1</v>
      </c>
      <c r="E572">
        <f t="shared" si="47"/>
        <v>11</v>
      </c>
      <c r="F572">
        <f t="shared" si="48"/>
        <v>2023</v>
      </c>
      <c r="H572" s="17">
        <f t="shared" si="49"/>
        <v>45231</v>
      </c>
      <c r="J572">
        <f t="shared" si="45"/>
        <v>0</v>
      </c>
      <c r="N572" s="55"/>
    </row>
    <row r="573" spans="1:14" x14ac:dyDescent="0.3">
      <c r="A573" s="17">
        <v>45246</v>
      </c>
      <c r="B573">
        <v>-12.01</v>
      </c>
      <c r="C573">
        <f t="shared" si="46"/>
        <v>16</v>
      </c>
      <c r="D573">
        <v>1</v>
      </c>
      <c r="E573">
        <f t="shared" si="47"/>
        <v>11</v>
      </c>
      <c r="F573">
        <f t="shared" si="48"/>
        <v>2023</v>
      </c>
      <c r="H573" s="17">
        <f t="shared" si="49"/>
        <v>45231</v>
      </c>
      <c r="J573">
        <f t="shared" si="45"/>
        <v>0</v>
      </c>
      <c r="N573" s="55"/>
    </row>
    <row r="574" spans="1:14" x14ac:dyDescent="0.3">
      <c r="A574" s="17">
        <v>45245</v>
      </c>
      <c r="B574">
        <v>-12.56</v>
      </c>
      <c r="C574">
        <f t="shared" si="46"/>
        <v>15</v>
      </c>
      <c r="D574">
        <v>1</v>
      </c>
      <c r="E574">
        <f t="shared" si="47"/>
        <v>11</v>
      </c>
      <c r="F574">
        <f t="shared" si="48"/>
        <v>2023</v>
      </c>
      <c r="H574" s="17">
        <f t="shared" si="49"/>
        <v>45231</v>
      </c>
      <c r="J574">
        <f t="shared" si="45"/>
        <v>0</v>
      </c>
      <c r="N574" s="55"/>
    </row>
    <row r="575" spans="1:14" x14ac:dyDescent="0.3">
      <c r="A575" s="17">
        <v>45244</v>
      </c>
      <c r="B575">
        <v>-12.54</v>
      </c>
      <c r="C575">
        <f t="shared" si="46"/>
        <v>14</v>
      </c>
      <c r="D575">
        <v>1</v>
      </c>
      <c r="E575">
        <f t="shared" si="47"/>
        <v>11</v>
      </c>
      <c r="F575">
        <f t="shared" si="48"/>
        <v>2023</v>
      </c>
      <c r="H575" s="17">
        <f t="shared" si="49"/>
        <v>45231</v>
      </c>
      <c r="J575">
        <f t="shared" si="45"/>
        <v>0</v>
      </c>
      <c r="N575" s="55"/>
    </row>
    <row r="576" spans="1:14" x14ac:dyDescent="0.3">
      <c r="A576" s="17">
        <v>45240</v>
      </c>
      <c r="B576">
        <v>-12.86</v>
      </c>
      <c r="C576">
        <f t="shared" si="46"/>
        <v>10</v>
      </c>
      <c r="D576">
        <v>1</v>
      </c>
      <c r="E576">
        <f t="shared" si="47"/>
        <v>11</v>
      </c>
      <c r="F576">
        <f t="shared" si="48"/>
        <v>2023</v>
      </c>
      <c r="H576" s="17">
        <f t="shared" si="49"/>
        <v>45231</v>
      </c>
      <c r="J576">
        <f t="shared" si="45"/>
        <v>0</v>
      </c>
      <c r="N576" s="55"/>
    </row>
    <row r="577" spans="1:14" x14ac:dyDescent="0.3">
      <c r="A577" s="17">
        <v>45239</v>
      </c>
      <c r="B577">
        <v>-13.27</v>
      </c>
      <c r="C577">
        <f t="shared" si="46"/>
        <v>9</v>
      </c>
      <c r="D577">
        <v>1</v>
      </c>
      <c r="E577">
        <f t="shared" si="47"/>
        <v>11</v>
      </c>
      <c r="F577">
        <f t="shared" si="48"/>
        <v>2023</v>
      </c>
      <c r="H577" s="17">
        <f t="shared" si="49"/>
        <v>45231</v>
      </c>
      <c r="J577">
        <f t="shared" si="45"/>
        <v>0</v>
      </c>
      <c r="N577" s="55"/>
    </row>
    <row r="578" spans="1:14" x14ac:dyDescent="0.3">
      <c r="A578" s="17">
        <v>45238</v>
      </c>
      <c r="B578">
        <v>-13.95</v>
      </c>
      <c r="C578">
        <f t="shared" si="46"/>
        <v>8</v>
      </c>
      <c r="D578">
        <v>1</v>
      </c>
      <c r="E578">
        <f t="shared" si="47"/>
        <v>11</v>
      </c>
      <c r="F578">
        <f t="shared" si="48"/>
        <v>2023</v>
      </c>
      <c r="H578" s="17">
        <f t="shared" si="49"/>
        <v>45231</v>
      </c>
      <c r="J578">
        <f t="shared" si="45"/>
        <v>0</v>
      </c>
      <c r="N578" s="55"/>
    </row>
    <row r="579" spans="1:14" x14ac:dyDescent="0.3">
      <c r="A579" s="17">
        <v>45237</v>
      </c>
      <c r="B579">
        <v>-14.91</v>
      </c>
      <c r="C579">
        <f t="shared" si="46"/>
        <v>7</v>
      </c>
      <c r="D579">
        <v>1</v>
      </c>
      <c r="E579">
        <f t="shared" si="47"/>
        <v>11</v>
      </c>
      <c r="F579">
        <f t="shared" si="48"/>
        <v>2023</v>
      </c>
      <c r="H579" s="17">
        <f t="shared" si="49"/>
        <v>45231</v>
      </c>
      <c r="J579">
        <f t="shared" si="45"/>
        <v>0</v>
      </c>
      <c r="N579" s="55"/>
    </row>
    <row r="580" spans="1:14" x14ac:dyDescent="0.3">
      <c r="A580" s="17">
        <v>45236</v>
      </c>
      <c r="B580">
        <v>-15.38</v>
      </c>
      <c r="C580">
        <f t="shared" si="46"/>
        <v>6</v>
      </c>
      <c r="D580">
        <v>1</v>
      </c>
      <c r="E580">
        <f t="shared" si="47"/>
        <v>11</v>
      </c>
      <c r="F580">
        <f t="shared" si="48"/>
        <v>2023</v>
      </c>
      <c r="H580" s="17">
        <f t="shared" si="49"/>
        <v>45231</v>
      </c>
      <c r="J580">
        <f t="shared" si="45"/>
        <v>0</v>
      </c>
      <c r="N580" s="55"/>
    </row>
    <row r="581" spans="1:14" x14ac:dyDescent="0.3">
      <c r="A581" s="17">
        <v>45233</v>
      </c>
      <c r="B581">
        <v>-15.86</v>
      </c>
      <c r="C581">
        <f t="shared" si="46"/>
        <v>3</v>
      </c>
      <c r="D581">
        <v>1</v>
      </c>
      <c r="E581">
        <f t="shared" si="47"/>
        <v>11</v>
      </c>
      <c r="F581">
        <f t="shared" si="48"/>
        <v>2023</v>
      </c>
      <c r="H581" s="17">
        <f t="shared" si="49"/>
        <v>45231</v>
      </c>
      <c r="J581">
        <f t="shared" si="45"/>
        <v>1</v>
      </c>
      <c r="N581" s="55"/>
    </row>
    <row r="582" spans="1:14" x14ac:dyDescent="0.3">
      <c r="A582" s="17">
        <v>45232</v>
      </c>
      <c r="B582">
        <v>-16.03</v>
      </c>
      <c r="C582">
        <f t="shared" si="46"/>
        <v>2</v>
      </c>
      <c r="D582">
        <v>1</v>
      </c>
      <c r="E582">
        <f t="shared" si="47"/>
        <v>11</v>
      </c>
      <c r="F582">
        <f t="shared" si="48"/>
        <v>2023</v>
      </c>
      <c r="H582" s="17">
        <f t="shared" si="49"/>
        <v>45231</v>
      </c>
      <c r="J582">
        <f t="shared" si="45"/>
        <v>1</v>
      </c>
      <c r="N582" s="55"/>
    </row>
    <row r="583" spans="1:14" x14ac:dyDescent="0.3">
      <c r="A583" s="17">
        <v>45231</v>
      </c>
      <c r="B583">
        <v>-15.79</v>
      </c>
      <c r="C583">
        <f t="shared" si="46"/>
        <v>1</v>
      </c>
      <c r="D583">
        <v>1</v>
      </c>
      <c r="E583">
        <f t="shared" si="47"/>
        <v>11</v>
      </c>
      <c r="F583">
        <f t="shared" si="48"/>
        <v>2023</v>
      </c>
      <c r="H583" s="17">
        <f t="shared" si="49"/>
        <v>45231</v>
      </c>
      <c r="J583">
        <f t="shared" si="45"/>
        <v>1</v>
      </c>
      <c r="N583" s="55"/>
    </row>
    <row r="584" spans="1:14" x14ac:dyDescent="0.3">
      <c r="A584" s="17">
        <v>45230</v>
      </c>
      <c r="B584">
        <v>-16.61</v>
      </c>
      <c r="C584">
        <f t="shared" si="46"/>
        <v>31</v>
      </c>
      <c r="D584">
        <v>1</v>
      </c>
      <c r="E584">
        <f t="shared" si="47"/>
        <v>10</v>
      </c>
      <c r="F584">
        <f t="shared" si="48"/>
        <v>2023</v>
      </c>
      <c r="H584" s="17">
        <f t="shared" si="49"/>
        <v>45200</v>
      </c>
      <c r="J584">
        <f t="shared" si="45"/>
        <v>0</v>
      </c>
      <c r="N584" s="55"/>
    </row>
    <row r="585" spans="1:14" x14ac:dyDescent="0.3">
      <c r="A585" s="17">
        <v>45229</v>
      </c>
      <c r="B585">
        <v>-17.21</v>
      </c>
      <c r="C585">
        <f t="shared" si="46"/>
        <v>30</v>
      </c>
      <c r="D585">
        <v>1</v>
      </c>
      <c r="E585">
        <f t="shared" si="47"/>
        <v>10</v>
      </c>
      <c r="F585">
        <f t="shared" si="48"/>
        <v>2023</v>
      </c>
      <c r="H585" s="17">
        <f t="shared" si="49"/>
        <v>45200</v>
      </c>
      <c r="J585">
        <f t="shared" ref="J585:J648" si="50">IF(AND(C585&gt;=1, C585&lt;=4), 1, 0)</f>
        <v>0</v>
      </c>
      <c r="N585" s="55"/>
    </row>
    <row r="586" spans="1:14" x14ac:dyDescent="0.3">
      <c r="A586" s="17">
        <v>45226</v>
      </c>
      <c r="B586">
        <v>-17.46</v>
      </c>
      <c r="C586">
        <f t="shared" ref="C586:C649" si="51">+DAY(A586)</f>
        <v>27</v>
      </c>
      <c r="D586">
        <v>1</v>
      </c>
      <c r="E586">
        <f t="shared" ref="E586:E649" si="52">+MONTH(A586)</f>
        <v>10</v>
      </c>
      <c r="F586">
        <f t="shared" ref="F586:F649" si="53">+YEAR(A586)</f>
        <v>2023</v>
      </c>
      <c r="H586" s="17">
        <f t="shared" ref="H586:H649" si="54">+DATE(F586,E586,D586)</f>
        <v>45200</v>
      </c>
      <c r="J586">
        <f t="shared" si="50"/>
        <v>0</v>
      </c>
      <c r="N586" s="55"/>
    </row>
    <row r="587" spans="1:14" x14ac:dyDescent="0.3">
      <c r="A587" s="17">
        <v>45225</v>
      </c>
      <c r="B587">
        <v>-17.3</v>
      </c>
      <c r="C587">
        <f t="shared" si="51"/>
        <v>26</v>
      </c>
      <c r="D587">
        <v>1</v>
      </c>
      <c r="E587">
        <f t="shared" si="52"/>
        <v>10</v>
      </c>
      <c r="F587">
        <f t="shared" si="53"/>
        <v>2023</v>
      </c>
      <c r="H587" s="17">
        <f t="shared" si="54"/>
        <v>45200</v>
      </c>
      <c r="J587">
        <f t="shared" si="50"/>
        <v>0</v>
      </c>
      <c r="N587" s="55"/>
    </row>
    <row r="588" spans="1:14" x14ac:dyDescent="0.3">
      <c r="A588" s="17">
        <v>45224</v>
      </c>
      <c r="B588">
        <v>-16.690000000000001</v>
      </c>
      <c r="C588">
        <f t="shared" si="51"/>
        <v>25</v>
      </c>
      <c r="D588">
        <v>1</v>
      </c>
      <c r="E588">
        <f t="shared" si="52"/>
        <v>10</v>
      </c>
      <c r="F588">
        <f t="shared" si="53"/>
        <v>2023</v>
      </c>
      <c r="H588" s="17">
        <f t="shared" si="54"/>
        <v>45200</v>
      </c>
      <c r="J588">
        <f t="shared" si="50"/>
        <v>0</v>
      </c>
      <c r="N588" s="55"/>
    </row>
    <row r="589" spans="1:14" x14ac:dyDescent="0.3">
      <c r="A589" s="17">
        <v>45223</v>
      </c>
      <c r="B589">
        <v>-16.91</v>
      </c>
      <c r="C589">
        <f t="shared" si="51"/>
        <v>24</v>
      </c>
      <c r="D589">
        <v>1</v>
      </c>
      <c r="E589">
        <f t="shared" si="52"/>
        <v>10</v>
      </c>
      <c r="F589">
        <f t="shared" si="53"/>
        <v>2023</v>
      </c>
      <c r="H589" s="17">
        <f t="shared" si="54"/>
        <v>45200</v>
      </c>
      <c r="J589">
        <f t="shared" si="50"/>
        <v>0</v>
      </c>
      <c r="N589" s="55"/>
    </row>
    <row r="590" spans="1:14" x14ac:dyDescent="0.3">
      <c r="A590" s="17">
        <v>45222</v>
      </c>
      <c r="B590">
        <v>-17.87</v>
      </c>
      <c r="C590">
        <f t="shared" si="51"/>
        <v>23</v>
      </c>
      <c r="D590">
        <v>1</v>
      </c>
      <c r="E590">
        <f t="shared" si="52"/>
        <v>10</v>
      </c>
      <c r="F590">
        <f t="shared" si="53"/>
        <v>2023</v>
      </c>
      <c r="H590" s="17">
        <f t="shared" si="54"/>
        <v>45200</v>
      </c>
      <c r="J590">
        <f t="shared" si="50"/>
        <v>0</v>
      </c>
      <c r="N590" s="55"/>
    </row>
    <row r="591" spans="1:14" x14ac:dyDescent="0.3">
      <c r="A591" s="17">
        <v>45219</v>
      </c>
      <c r="B591">
        <v>-17.88</v>
      </c>
      <c r="C591">
        <f t="shared" si="51"/>
        <v>20</v>
      </c>
      <c r="D591">
        <v>1</v>
      </c>
      <c r="E591">
        <f t="shared" si="52"/>
        <v>10</v>
      </c>
      <c r="F591">
        <f t="shared" si="53"/>
        <v>2023</v>
      </c>
      <c r="H591" s="17">
        <f t="shared" si="54"/>
        <v>45200</v>
      </c>
      <c r="J591">
        <f t="shared" si="50"/>
        <v>0</v>
      </c>
      <c r="N591" s="55"/>
    </row>
    <row r="592" spans="1:14" x14ac:dyDescent="0.3">
      <c r="A592" s="17">
        <v>45218</v>
      </c>
      <c r="B592">
        <v>-17.739999999999998</v>
      </c>
      <c r="C592">
        <f t="shared" si="51"/>
        <v>19</v>
      </c>
      <c r="D592">
        <v>1</v>
      </c>
      <c r="E592">
        <f t="shared" si="52"/>
        <v>10</v>
      </c>
      <c r="F592">
        <f t="shared" si="53"/>
        <v>2023</v>
      </c>
      <c r="H592" s="17">
        <f t="shared" si="54"/>
        <v>45200</v>
      </c>
      <c r="J592">
        <f t="shared" si="50"/>
        <v>0</v>
      </c>
      <c r="N592" s="55"/>
    </row>
    <row r="593" spans="1:14" x14ac:dyDescent="0.3">
      <c r="A593" s="17">
        <v>45217</v>
      </c>
      <c r="B593">
        <v>-18.260000000000002</v>
      </c>
      <c r="C593">
        <f t="shared" si="51"/>
        <v>18</v>
      </c>
      <c r="D593">
        <v>1</v>
      </c>
      <c r="E593">
        <f t="shared" si="52"/>
        <v>10</v>
      </c>
      <c r="F593">
        <f t="shared" si="53"/>
        <v>2023</v>
      </c>
      <c r="H593" s="17">
        <f t="shared" si="54"/>
        <v>45200</v>
      </c>
      <c r="J593">
        <f t="shared" si="50"/>
        <v>0</v>
      </c>
      <c r="N593" s="55"/>
    </row>
    <row r="594" spans="1:14" x14ac:dyDescent="0.3">
      <c r="A594" s="17">
        <v>45216</v>
      </c>
      <c r="B594">
        <v>-18.5</v>
      </c>
      <c r="C594">
        <f t="shared" si="51"/>
        <v>17</v>
      </c>
      <c r="D594">
        <v>1</v>
      </c>
      <c r="E594">
        <f t="shared" si="52"/>
        <v>10</v>
      </c>
      <c r="F594">
        <f t="shared" si="53"/>
        <v>2023</v>
      </c>
      <c r="H594" s="17">
        <f t="shared" si="54"/>
        <v>45200</v>
      </c>
      <c r="J594">
        <f t="shared" si="50"/>
        <v>0</v>
      </c>
      <c r="N594" s="55"/>
    </row>
    <row r="595" spans="1:14" x14ac:dyDescent="0.3">
      <c r="A595" s="17">
        <v>45215</v>
      </c>
      <c r="B595">
        <v>-18.25</v>
      </c>
      <c r="C595">
        <f t="shared" si="51"/>
        <v>16</v>
      </c>
      <c r="D595">
        <v>1</v>
      </c>
      <c r="E595">
        <f t="shared" si="52"/>
        <v>10</v>
      </c>
      <c r="F595">
        <f t="shared" si="53"/>
        <v>2023</v>
      </c>
      <c r="H595" s="17">
        <f t="shared" si="54"/>
        <v>45200</v>
      </c>
      <c r="J595">
        <f t="shared" si="50"/>
        <v>0</v>
      </c>
      <c r="N595" s="55"/>
    </row>
    <row r="596" spans="1:14" x14ac:dyDescent="0.3">
      <c r="A596" s="17">
        <v>45212</v>
      </c>
      <c r="B596">
        <v>-16.89</v>
      </c>
      <c r="C596">
        <f t="shared" si="51"/>
        <v>13</v>
      </c>
      <c r="D596">
        <v>1</v>
      </c>
      <c r="E596">
        <f t="shared" si="52"/>
        <v>10</v>
      </c>
      <c r="F596">
        <f t="shared" si="53"/>
        <v>2023</v>
      </c>
      <c r="H596" s="17">
        <f t="shared" si="54"/>
        <v>45200</v>
      </c>
      <c r="J596">
        <f t="shared" si="50"/>
        <v>0</v>
      </c>
      <c r="N596" s="55"/>
    </row>
    <row r="597" spans="1:14" x14ac:dyDescent="0.3">
      <c r="A597" s="17">
        <v>45211</v>
      </c>
      <c r="B597">
        <v>-16.170000000000002</v>
      </c>
      <c r="C597">
        <f t="shared" si="51"/>
        <v>12</v>
      </c>
      <c r="D597">
        <v>1</v>
      </c>
      <c r="E597">
        <f t="shared" si="52"/>
        <v>10</v>
      </c>
      <c r="F597">
        <f t="shared" si="53"/>
        <v>2023</v>
      </c>
      <c r="H597" s="17">
        <f t="shared" si="54"/>
        <v>45200</v>
      </c>
      <c r="J597">
        <f t="shared" si="50"/>
        <v>0</v>
      </c>
      <c r="N597" s="55"/>
    </row>
    <row r="598" spans="1:14" x14ac:dyDescent="0.3">
      <c r="A598" s="17">
        <v>45210</v>
      </c>
      <c r="B598">
        <v>-15.73</v>
      </c>
      <c r="C598">
        <f t="shared" si="51"/>
        <v>11</v>
      </c>
      <c r="D598">
        <v>1</v>
      </c>
      <c r="E598">
        <f t="shared" si="52"/>
        <v>10</v>
      </c>
      <c r="F598">
        <f t="shared" si="53"/>
        <v>2023</v>
      </c>
      <c r="H598" s="17">
        <f t="shared" si="54"/>
        <v>45200</v>
      </c>
      <c r="J598">
        <f t="shared" si="50"/>
        <v>0</v>
      </c>
      <c r="N598" s="55"/>
    </row>
    <row r="599" spans="1:14" x14ac:dyDescent="0.3">
      <c r="A599" s="17">
        <v>45209</v>
      </c>
      <c r="B599">
        <v>-15.47</v>
      </c>
      <c r="C599">
        <f t="shared" si="51"/>
        <v>10</v>
      </c>
      <c r="D599">
        <v>1</v>
      </c>
      <c r="E599">
        <f t="shared" si="52"/>
        <v>10</v>
      </c>
      <c r="F599">
        <f t="shared" si="53"/>
        <v>2023</v>
      </c>
      <c r="H599" s="17">
        <f t="shared" si="54"/>
        <v>45200</v>
      </c>
      <c r="J599">
        <f t="shared" si="50"/>
        <v>0</v>
      </c>
      <c r="N599" s="55"/>
    </row>
    <row r="600" spans="1:14" x14ac:dyDescent="0.3">
      <c r="A600" s="17">
        <v>45208</v>
      </c>
      <c r="B600">
        <v>-14.89</v>
      </c>
      <c r="C600">
        <f t="shared" si="51"/>
        <v>9</v>
      </c>
      <c r="D600">
        <v>1</v>
      </c>
      <c r="E600">
        <f t="shared" si="52"/>
        <v>10</v>
      </c>
      <c r="F600">
        <f t="shared" si="53"/>
        <v>2023</v>
      </c>
      <c r="H600" s="17">
        <f t="shared" si="54"/>
        <v>45200</v>
      </c>
      <c r="J600">
        <f t="shared" si="50"/>
        <v>0</v>
      </c>
      <c r="N600" s="55"/>
    </row>
    <row r="601" spans="1:14" x14ac:dyDescent="0.3">
      <c r="A601" s="17">
        <v>45205</v>
      </c>
      <c r="B601">
        <v>-14.51</v>
      </c>
      <c r="C601">
        <f t="shared" si="51"/>
        <v>6</v>
      </c>
      <c r="D601">
        <v>1</v>
      </c>
      <c r="E601">
        <f t="shared" si="52"/>
        <v>10</v>
      </c>
      <c r="F601">
        <f t="shared" si="53"/>
        <v>2023</v>
      </c>
      <c r="H601" s="17">
        <f t="shared" si="54"/>
        <v>45200</v>
      </c>
      <c r="J601">
        <f t="shared" si="50"/>
        <v>0</v>
      </c>
      <c r="N601" s="55"/>
    </row>
    <row r="602" spans="1:14" x14ac:dyDescent="0.3">
      <c r="A602" s="17">
        <v>45204</v>
      </c>
      <c r="B602">
        <v>-14.39</v>
      </c>
      <c r="C602">
        <f t="shared" si="51"/>
        <v>5</v>
      </c>
      <c r="D602">
        <v>1</v>
      </c>
      <c r="E602">
        <f t="shared" si="52"/>
        <v>10</v>
      </c>
      <c r="F602">
        <f t="shared" si="53"/>
        <v>2023</v>
      </c>
      <c r="H602" s="17">
        <f t="shared" si="54"/>
        <v>45200</v>
      </c>
      <c r="J602">
        <f t="shared" si="50"/>
        <v>0</v>
      </c>
      <c r="N602" s="55"/>
    </row>
    <row r="603" spans="1:14" x14ac:dyDescent="0.3">
      <c r="A603" s="17">
        <v>45203</v>
      </c>
      <c r="B603">
        <v>-15.73</v>
      </c>
      <c r="C603">
        <f t="shared" si="51"/>
        <v>4</v>
      </c>
      <c r="D603">
        <v>1</v>
      </c>
      <c r="E603">
        <f t="shared" si="52"/>
        <v>10</v>
      </c>
      <c r="F603">
        <f t="shared" si="53"/>
        <v>2023</v>
      </c>
      <c r="H603" s="17">
        <f t="shared" si="54"/>
        <v>45200</v>
      </c>
      <c r="J603">
        <f t="shared" si="50"/>
        <v>1</v>
      </c>
      <c r="N603" s="55"/>
    </row>
    <row r="604" spans="1:14" x14ac:dyDescent="0.3">
      <c r="A604" s="17">
        <v>45202</v>
      </c>
      <c r="B604">
        <v>-15.36</v>
      </c>
      <c r="C604">
        <f t="shared" si="51"/>
        <v>3</v>
      </c>
      <c r="D604">
        <v>1</v>
      </c>
      <c r="E604">
        <f t="shared" si="52"/>
        <v>10</v>
      </c>
      <c r="F604">
        <f t="shared" si="53"/>
        <v>2023</v>
      </c>
      <c r="H604" s="17">
        <f t="shared" si="54"/>
        <v>45200</v>
      </c>
      <c r="J604">
        <f t="shared" si="50"/>
        <v>1</v>
      </c>
      <c r="N604" s="55"/>
    </row>
    <row r="605" spans="1:14" x14ac:dyDescent="0.3">
      <c r="A605" s="17">
        <v>45201</v>
      </c>
      <c r="B605">
        <v>-15.5</v>
      </c>
      <c r="C605">
        <f t="shared" si="51"/>
        <v>2</v>
      </c>
      <c r="D605">
        <v>1</v>
      </c>
      <c r="E605">
        <f t="shared" si="52"/>
        <v>10</v>
      </c>
      <c r="F605">
        <f t="shared" si="53"/>
        <v>2023</v>
      </c>
      <c r="H605" s="17">
        <f t="shared" si="54"/>
        <v>45200</v>
      </c>
      <c r="J605">
        <f t="shared" si="50"/>
        <v>1</v>
      </c>
      <c r="N605" s="55"/>
    </row>
    <row r="606" spans="1:14" x14ac:dyDescent="0.3">
      <c r="A606" s="17">
        <v>45200</v>
      </c>
      <c r="C606">
        <f t="shared" si="51"/>
        <v>1</v>
      </c>
      <c r="D606">
        <v>1</v>
      </c>
      <c r="E606">
        <f t="shared" si="52"/>
        <v>10</v>
      </c>
      <c r="F606">
        <f t="shared" si="53"/>
        <v>2023</v>
      </c>
      <c r="H606" s="17">
        <f t="shared" si="54"/>
        <v>45200</v>
      </c>
      <c r="J606">
        <f t="shared" si="50"/>
        <v>1</v>
      </c>
      <c r="N606" s="55"/>
    </row>
    <row r="607" spans="1:14" x14ac:dyDescent="0.3">
      <c r="A607" s="17">
        <v>45198</v>
      </c>
      <c r="B607">
        <v>-18.16</v>
      </c>
      <c r="C607">
        <f t="shared" si="51"/>
        <v>29</v>
      </c>
      <c r="D607">
        <v>1</v>
      </c>
      <c r="E607">
        <f t="shared" si="52"/>
        <v>9</v>
      </c>
      <c r="F607">
        <f t="shared" si="53"/>
        <v>2023</v>
      </c>
      <c r="H607" s="17">
        <f t="shared" si="54"/>
        <v>45170</v>
      </c>
      <c r="J607">
        <f t="shared" si="50"/>
        <v>0</v>
      </c>
      <c r="N607" s="55"/>
    </row>
    <row r="608" spans="1:14" x14ac:dyDescent="0.3">
      <c r="A608" s="17">
        <v>45197</v>
      </c>
      <c r="B608">
        <v>-18.239999999999998</v>
      </c>
      <c r="C608">
        <f t="shared" si="51"/>
        <v>28</v>
      </c>
      <c r="D608">
        <v>1</v>
      </c>
      <c r="E608">
        <f t="shared" si="52"/>
        <v>9</v>
      </c>
      <c r="F608">
        <f t="shared" si="53"/>
        <v>2023</v>
      </c>
      <c r="H608" s="17">
        <f t="shared" si="54"/>
        <v>45170</v>
      </c>
      <c r="J608">
        <f t="shared" si="50"/>
        <v>0</v>
      </c>
      <c r="N608" s="55"/>
    </row>
    <row r="609" spans="1:14" x14ac:dyDescent="0.3">
      <c r="A609" s="17">
        <v>45196</v>
      </c>
      <c r="B609">
        <v>-17.61</v>
      </c>
      <c r="C609">
        <f t="shared" si="51"/>
        <v>27</v>
      </c>
      <c r="D609">
        <v>1</v>
      </c>
      <c r="E609">
        <f t="shared" si="52"/>
        <v>9</v>
      </c>
      <c r="F609">
        <f t="shared" si="53"/>
        <v>2023</v>
      </c>
      <c r="H609" s="17">
        <f t="shared" si="54"/>
        <v>45170</v>
      </c>
      <c r="J609">
        <f t="shared" si="50"/>
        <v>0</v>
      </c>
      <c r="N609" s="55"/>
    </row>
    <row r="610" spans="1:14" x14ac:dyDescent="0.3">
      <c r="A610" s="17">
        <v>45195</v>
      </c>
      <c r="B610">
        <v>-16.989999999999998</v>
      </c>
      <c r="C610">
        <f t="shared" si="51"/>
        <v>26</v>
      </c>
      <c r="D610">
        <v>1</v>
      </c>
      <c r="E610">
        <f t="shared" si="52"/>
        <v>9</v>
      </c>
      <c r="F610">
        <f t="shared" si="53"/>
        <v>2023</v>
      </c>
      <c r="H610" s="17">
        <f t="shared" si="54"/>
        <v>45170</v>
      </c>
      <c r="J610">
        <f t="shared" si="50"/>
        <v>0</v>
      </c>
      <c r="N610" s="55"/>
    </row>
    <row r="611" spans="1:14" x14ac:dyDescent="0.3">
      <c r="A611" s="17">
        <v>45194</v>
      </c>
      <c r="B611">
        <v>-16.68</v>
      </c>
      <c r="C611">
        <f t="shared" si="51"/>
        <v>25</v>
      </c>
      <c r="D611">
        <v>1</v>
      </c>
      <c r="E611">
        <f t="shared" si="52"/>
        <v>9</v>
      </c>
      <c r="F611">
        <f t="shared" si="53"/>
        <v>2023</v>
      </c>
      <c r="H611" s="17">
        <f t="shared" si="54"/>
        <v>45170</v>
      </c>
      <c r="J611">
        <f t="shared" si="50"/>
        <v>0</v>
      </c>
      <c r="N611" s="55"/>
    </row>
    <row r="612" spans="1:14" x14ac:dyDescent="0.3">
      <c r="A612" s="17">
        <v>45191</v>
      </c>
      <c r="B612">
        <v>-16.809999999999999</v>
      </c>
      <c r="C612">
        <f t="shared" si="51"/>
        <v>22</v>
      </c>
      <c r="D612">
        <v>1</v>
      </c>
      <c r="E612">
        <f t="shared" si="52"/>
        <v>9</v>
      </c>
      <c r="F612">
        <f t="shared" si="53"/>
        <v>2023</v>
      </c>
      <c r="H612" s="17">
        <f t="shared" si="54"/>
        <v>45170</v>
      </c>
      <c r="J612">
        <f t="shared" si="50"/>
        <v>0</v>
      </c>
      <c r="N612" s="55"/>
    </row>
    <row r="613" spans="1:14" x14ac:dyDescent="0.3">
      <c r="A613" s="17">
        <v>45190</v>
      </c>
      <c r="B613">
        <v>-17.18</v>
      </c>
      <c r="C613">
        <f t="shared" si="51"/>
        <v>21</v>
      </c>
      <c r="D613">
        <v>1</v>
      </c>
      <c r="E613">
        <f t="shared" si="52"/>
        <v>9</v>
      </c>
      <c r="F613">
        <f t="shared" si="53"/>
        <v>2023</v>
      </c>
      <c r="H613" s="17">
        <f t="shared" si="54"/>
        <v>45170</v>
      </c>
      <c r="J613">
        <f t="shared" si="50"/>
        <v>0</v>
      </c>
      <c r="N613" s="55"/>
    </row>
    <row r="614" spans="1:14" x14ac:dyDescent="0.3">
      <c r="A614" s="17">
        <v>45189</v>
      </c>
      <c r="B614">
        <v>-17.649999999999999</v>
      </c>
      <c r="C614">
        <f t="shared" si="51"/>
        <v>20</v>
      </c>
      <c r="D614">
        <v>1</v>
      </c>
      <c r="E614">
        <f t="shared" si="52"/>
        <v>9</v>
      </c>
      <c r="F614">
        <f t="shared" si="53"/>
        <v>2023</v>
      </c>
      <c r="H614" s="17">
        <f t="shared" si="54"/>
        <v>45170</v>
      </c>
      <c r="J614">
        <f t="shared" si="50"/>
        <v>0</v>
      </c>
      <c r="N614" s="55"/>
    </row>
    <row r="615" spans="1:14" x14ac:dyDescent="0.3">
      <c r="A615" s="17">
        <v>45188</v>
      </c>
      <c r="B615">
        <v>-17.690000000000001</v>
      </c>
      <c r="C615">
        <f t="shared" si="51"/>
        <v>19</v>
      </c>
      <c r="D615">
        <v>1</v>
      </c>
      <c r="E615">
        <f t="shared" si="52"/>
        <v>9</v>
      </c>
      <c r="F615">
        <f t="shared" si="53"/>
        <v>2023</v>
      </c>
      <c r="H615" s="17">
        <f t="shared" si="54"/>
        <v>45170</v>
      </c>
      <c r="J615">
        <f t="shared" si="50"/>
        <v>0</v>
      </c>
      <c r="N615" s="55"/>
    </row>
    <row r="616" spans="1:14" x14ac:dyDescent="0.3">
      <c r="A616" s="17">
        <v>45187</v>
      </c>
      <c r="B616">
        <v>-18.559999999999999</v>
      </c>
      <c r="C616">
        <f t="shared" si="51"/>
        <v>18</v>
      </c>
      <c r="D616">
        <v>1</v>
      </c>
      <c r="E616">
        <f t="shared" si="52"/>
        <v>9</v>
      </c>
      <c r="F616">
        <f t="shared" si="53"/>
        <v>2023</v>
      </c>
      <c r="H616" s="17">
        <f t="shared" si="54"/>
        <v>45170</v>
      </c>
      <c r="J616">
        <f t="shared" si="50"/>
        <v>0</v>
      </c>
      <c r="N616" s="55"/>
    </row>
    <row r="617" spans="1:14" x14ac:dyDescent="0.3">
      <c r="A617" s="17">
        <v>45184</v>
      </c>
      <c r="B617">
        <v>-18.809999999999999</v>
      </c>
      <c r="C617">
        <f t="shared" si="51"/>
        <v>15</v>
      </c>
      <c r="D617">
        <v>1</v>
      </c>
      <c r="E617">
        <f t="shared" si="52"/>
        <v>9</v>
      </c>
      <c r="F617">
        <f t="shared" si="53"/>
        <v>2023</v>
      </c>
      <c r="H617" s="17">
        <f t="shared" si="54"/>
        <v>45170</v>
      </c>
      <c r="J617">
        <f t="shared" si="50"/>
        <v>0</v>
      </c>
      <c r="N617" s="55"/>
    </row>
    <row r="618" spans="1:14" x14ac:dyDescent="0.3">
      <c r="A618" s="17">
        <v>45183</v>
      </c>
      <c r="B618">
        <v>-17.47</v>
      </c>
      <c r="C618">
        <f t="shared" si="51"/>
        <v>14</v>
      </c>
      <c r="D618">
        <v>1</v>
      </c>
      <c r="E618">
        <f t="shared" si="52"/>
        <v>9</v>
      </c>
      <c r="F618">
        <f t="shared" si="53"/>
        <v>2023</v>
      </c>
      <c r="H618" s="17">
        <f t="shared" si="54"/>
        <v>45170</v>
      </c>
      <c r="J618">
        <f t="shared" si="50"/>
        <v>0</v>
      </c>
      <c r="N618" s="55"/>
    </row>
    <row r="619" spans="1:14" x14ac:dyDescent="0.3">
      <c r="A619" s="17">
        <v>45182</v>
      </c>
      <c r="B619">
        <v>-16.75</v>
      </c>
      <c r="C619">
        <f t="shared" si="51"/>
        <v>13</v>
      </c>
      <c r="D619">
        <v>1</v>
      </c>
      <c r="E619">
        <f t="shared" si="52"/>
        <v>9</v>
      </c>
      <c r="F619">
        <f t="shared" si="53"/>
        <v>2023</v>
      </c>
      <c r="H619" s="17">
        <f t="shared" si="54"/>
        <v>45170</v>
      </c>
      <c r="J619">
        <f t="shared" si="50"/>
        <v>0</v>
      </c>
      <c r="N619" s="55"/>
    </row>
    <row r="620" spans="1:14" x14ac:dyDescent="0.3">
      <c r="A620" s="17">
        <v>45181</v>
      </c>
      <c r="B620">
        <v>-16.13</v>
      </c>
      <c r="C620">
        <f t="shared" si="51"/>
        <v>12</v>
      </c>
      <c r="D620">
        <v>1</v>
      </c>
      <c r="E620">
        <f t="shared" si="52"/>
        <v>9</v>
      </c>
      <c r="F620">
        <f t="shared" si="53"/>
        <v>2023</v>
      </c>
      <c r="H620" s="17">
        <f t="shared" si="54"/>
        <v>45170</v>
      </c>
      <c r="J620">
        <f t="shared" si="50"/>
        <v>0</v>
      </c>
      <c r="N620" s="55"/>
    </row>
    <row r="621" spans="1:14" x14ac:dyDescent="0.3">
      <c r="A621" s="17">
        <v>45180</v>
      </c>
      <c r="B621">
        <v>-16.5</v>
      </c>
      <c r="C621">
        <f t="shared" si="51"/>
        <v>11</v>
      </c>
      <c r="D621">
        <v>1</v>
      </c>
      <c r="E621">
        <f t="shared" si="52"/>
        <v>9</v>
      </c>
      <c r="F621">
        <f t="shared" si="53"/>
        <v>2023</v>
      </c>
      <c r="H621" s="17">
        <f t="shared" si="54"/>
        <v>45170</v>
      </c>
      <c r="J621">
        <f t="shared" si="50"/>
        <v>0</v>
      </c>
      <c r="N621" s="55"/>
    </row>
    <row r="622" spans="1:14" x14ac:dyDescent="0.3">
      <c r="A622" s="17">
        <v>45177</v>
      </c>
      <c r="B622">
        <v>-17.14</v>
      </c>
      <c r="C622">
        <f t="shared" si="51"/>
        <v>8</v>
      </c>
      <c r="D622">
        <v>1</v>
      </c>
      <c r="E622">
        <f t="shared" si="52"/>
        <v>9</v>
      </c>
      <c r="F622">
        <f t="shared" si="53"/>
        <v>2023</v>
      </c>
      <c r="H622" s="17">
        <f t="shared" si="54"/>
        <v>45170</v>
      </c>
      <c r="J622">
        <f t="shared" si="50"/>
        <v>0</v>
      </c>
      <c r="N622" s="55"/>
    </row>
    <row r="623" spans="1:14" x14ac:dyDescent="0.3">
      <c r="A623" s="17">
        <v>45176</v>
      </c>
      <c r="B623">
        <v>-17.399999999999999</v>
      </c>
      <c r="C623">
        <f t="shared" si="51"/>
        <v>7</v>
      </c>
      <c r="D623">
        <v>1</v>
      </c>
      <c r="E623">
        <f t="shared" si="52"/>
        <v>9</v>
      </c>
      <c r="F623">
        <f t="shared" si="53"/>
        <v>2023</v>
      </c>
      <c r="H623" s="17">
        <f t="shared" si="54"/>
        <v>45170</v>
      </c>
      <c r="J623">
        <f t="shared" si="50"/>
        <v>0</v>
      </c>
      <c r="N623" s="55"/>
    </row>
    <row r="624" spans="1:14" x14ac:dyDescent="0.3">
      <c r="A624" s="17">
        <v>45175</v>
      </c>
      <c r="B624">
        <v>-17.47</v>
      </c>
      <c r="C624">
        <f t="shared" si="51"/>
        <v>6</v>
      </c>
      <c r="D624">
        <v>1</v>
      </c>
      <c r="E624">
        <f t="shared" si="52"/>
        <v>9</v>
      </c>
      <c r="F624">
        <f t="shared" si="53"/>
        <v>2023</v>
      </c>
      <c r="H624" s="17">
        <f t="shared" si="54"/>
        <v>45170</v>
      </c>
      <c r="J624">
        <f t="shared" si="50"/>
        <v>0</v>
      </c>
      <c r="N624" s="55"/>
    </row>
    <row r="625" spans="1:14" x14ac:dyDescent="0.3">
      <c r="A625" s="17">
        <v>45174</v>
      </c>
      <c r="B625">
        <v>-17.5</v>
      </c>
      <c r="C625">
        <f t="shared" si="51"/>
        <v>5</v>
      </c>
      <c r="D625">
        <v>1</v>
      </c>
      <c r="E625">
        <f t="shared" si="52"/>
        <v>9</v>
      </c>
      <c r="F625">
        <f t="shared" si="53"/>
        <v>2023</v>
      </c>
      <c r="H625" s="17">
        <f t="shared" si="54"/>
        <v>45170</v>
      </c>
      <c r="J625">
        <f t="shared" si="50"/>
        <v>0</v>
      </c>
      <c r="N625" s="55"/>
    </row>
    <row r="626" spans="1:14" x14ac:dyDescent="0.3">
      <c r="A626" s="17">
        <v>45173</v>
      </c>
      <c r="B626">
        <v>-16.79</v>
      </c>
      <c r="C626">
        <f t="shared" si="51"/>
        <v>4</v>
      </c>
      <c r="D626">
        <v>1</v>
      </c>
      <c r="E626">
        <f t="shared" si="52"/>
        <v>9</v>
      </c>
      <c r="F626">
        <f t="shared" si="53"/>
        <v>2023</v>
      </c>
      <c r="H626" s="17">
        <f t="shared" si="54"/>
        <v>45170</v>
      </c>
      <c r="J626">
        <f t="shared" si="50"/>
        <v>1</v>
      </c>
      <c r="N626" s="55"/>
    </row>
    <row r="627" spans="1:14" x14ac:dyDescent="0.3">
      <c r="A627" s="17">
        <v>45170</v>
      </c>
      <c r="C627">
        <f t="shared" si="51"/>
        <v>1</v>
      </c>
      <c r="D627">
        <v>1</v>
      </c>
      <c r="E627">
        <f t="shared" si="52"/>
        <v>9</v>
      </c>
      <c r="F627">
        <f t="shared" si="53"/>
        <v>2023</v>
      </c>
      <c r="H627" s="17">
        <f t="shared" si="54"/>
        <v>45170</v>
      </c>
      <c r="J627">
        <f t="shared" si="50"/>
        <v>1</v>
      </c>
      <c r="N627" s="55"/>
    </row>
    <row r="628" spans="1:14" x14ac:dyDescent="0.3">
      <c r="A628" s="17">
        <v>45169</v>
      </c>
      <c r="B628">
        <v>-14.7</v>
      </c>
      <c r="C628">
        <f t="shared" si="51"/>
        <v>31</v>
      </c>
      <c r="D628">
        <v>1</v>
      </c>
      <c r="E628">
        <f t="shared" si="52"/>
        <v>8</v>
      </c>
      <c r="F628">
        <f t="shared" si="53"/>
        <v>2023</v>
      </c>
      <c r="H628" s="17">
        <f t="shared" si="54"/>
        <v>45139</v>
      </c>
      <c r="J628">
        <f t="shared" si="50"/>
        <v>0</v>
      </c>
      <c r="N628" s="55"/>
    </row>
    <row r="629" spans="1:14" x14ac:dyDescent="0.3">
      <c r="A629" s="17">
        <v>45168</v>
      </c>
      <c r="B629">
        <v>-14.19</v>
      </c>
      <c r="C629">
        <f t="shared" si="51"/>
        <v>30</v>
      </c>
      <c r="D629">
        <v>1</v>
      </c>
      <c r="E629">
        <f t="shared" si="52"/>
        <v>8</v>
      </c>
      <c r="F629">
        <f t="shared" si="53"/>
        <v>2023</v>
      </c>
      <c r="H629" s="17">
        <f t="shared" si="54"/>
        <v>45139</v>
      </c>
      <c r="J629">
        <f t="shared" si="50"/>
        <v>0</v>
      </c>
      <c r="N629" s="55"/>
    </row>
    <row r="630" spans="1:14" x14ac:dyDescent="0.3">
      <c r="A630" s="17">
        <v>45167</v>
      </c>
      <c r="B630">
        <v>-13.81</v>
      </c>
      <c r="C630">
        <f t="shared" si="51"/>
        <v>29</v>
      </c>
      <c r="D630">
        <v>1</v>
      </c>
      <c r="E630">
        <f t="shared" si="52"/>
        <v>8</v>
      </c>
      <c r="F630">
        <f t="shared" si="53"/>
        <v>2023</v>
      </c>
      <c r="H630" s="17">
        <f t="shared" si="54"/>
        <v>45139</v>
      </c>
      <c r="J630">
        <f t="shared" si="50"/>
        <v>0</v>
      </c>
      <c r="N630" s="55"/>
    </row>
    <row r="631" spans="1:14" x14ac:dyDescent="0.3">
      <c r="A631" s="17">
        <v>45166</v>
      </c>
      <c r="B631">
        <v>-13.94</v>
      </c>
      <c r="C631">
        <f t="shared" si="51"/>
        <v>28</v>
      </c>
      <c r="D631">
        <v>1</v>
      </c>
      <c r="E631">
        <f t="shared" si="52"/>
        <v>8</v>
      </c>
      <c r="F631">
        <f t="shared" si="53"/>
        <v>2023</v>
      </c>
      <c r="H631" s="17">
        <f t="shared" si="54"/>
        <v>45139</v>
      </c>
      <c r="J631">
        <f t="shared" si="50"/>
        <v>0</v>
      </c>
      <c r="N631" s="55"/>
    </row>
    <row r="632" spans="1:14" x14ac:dyDescent="0.3">
      <c r="A632" s="17">
        <v>45163</v>
      </c>
      <c r="B632">
        <v>-14.05</v>
      </c>
      <c r="C632">
        <f t="shared" si="51"/>
        <v>25</v>
      </c>
      <c r="D632">
        <v>1</v>
      </c>
      <c r="E632">
        <f t="shared" si="52"/>
        <v>8</v>
      </c>
      <c r="F632">
        <f t="shared" si="53"/>
        <v>2023</v>
      </c>
      <c r="H632" s="17">
        <f t="shared" si="54"/>
        <v>45139</v>
      </c>
      <c r="J632">
        <f t="shared" si="50"/>
        <v>0</v>
      </c>
      <c r="N632" s="55"/>
    </row>
    <row r="633" spans="1:14" x14ac:dyDescent="0.3">
      <c r="A633" s="17">
        <v>45162</v>
      </c>
      <c r="B633">
        <v>-13.4</v>
      </c>
      <c r="C633">
        <f t="shared" si="51"/>
        <v>24</v>
      </c>
      <c r="D633">
        <v>1</v>
      </c>
      <c r="E633">
        <f t="shared" si="52"/>
        <v>8</v>
      </c>
      <c r="F633">
        <f t="shared" si="53"/>
        <v>2023</v>
      </c>
      <c r="H633" s="17">
        <f t="shared" si="54"/>
        <v>45139</v>
      </c>
      <c r="J633">
        <f t="shared" si="50"/>
        <v>0</v>
      </c>
      <c r="N633" s="55"/>
    </row>
    <row r="634" spans="1:14" x14ac:dyDescent="0.3">
      <c r="A634" s="17">
        <v>45161</v>
      </c>
      <c r="B634">
        <v>-14.48</v>
      </c>
      <c r="C634">
        <f t="shared" si="51"/>
        <v>23</v>
      </c>
      <c r="D634">
        <v>1</v>
      </c>
      <c r="E634">
        <f t="shared" si="52"/>
        <v>8</v>
      </c>
      <c r="F634">
        <f t="shared" si="53"/>
        <v>2023</v>
      </c>
      <c r="H634" s="17">
        <f t="shared" si="54"/>
        <v>45139</v>
      </c>
      <c r="J634">
        <f t="shared" si="50"/>
        <v>0</v>
      </c>
      <c r="N634" s="55"/>
    </row>
    <row r="635" spans="1:14" x14ac:dyDescent="0.3">
      <c r="A635" s="17">
        <v>45160</v>
      </c>
      <c r="B635">
        <v>-14.78</v>
      </c>
      <c r="C635">
        <f t="shared" si="51"/>
        <v>22</v>
      </c>
      <c r="D635">
        <v>1</v>
      </c>
      <c r="E635">
        <f t="shared" si="52"/>
        <v>8</v>
      </c>
      <c r="F635">
        <f t="shared" si="53"/>
        <v>2023</v>
      </c>
      <c r="H635" s="17">
        <f t="shared" si="54"/>
        <v>45139</v>
      </c>
      <c r="J635">
        <f t="shared" si="50"/>
        <v>0</v>
      </c>
      <c r="N635" s="55"/>
    </row>
    <row r="636" spans="1:14" x14ac:dyDescent="0.3">
      <c r="A636" s="17">
        <v>45159</v>
      </c>
      <c r="B636">
        <v>-15.2</v>
      </c>
      <c r="C636">
        <f t="shared" si="51"/>
        <v>21</v>
      </c>
      <c r="D636">
        <v>1</v>
      </c>
      <c r="E636">
        <f t="shared" si="52"/>
        <v>8</v>
      </c>
      <c r="F636">
        <f t="shared" si="53"/>
        <v>2023</v>
      </c>
      <c r="H636" s="17">
        <f t="shared" si="54"/>
        <v>45139</v>
      </c>
      <c r="J636">
        <f t="shared" si="50"/>
        <v>0</v>
      </c>
      <c r="N636" s="55"/>
    </row>
    <row r="637" spans="1:14" x14ac:dyDescent="0.3">
      <c r="A637" s="17">
        <v>45156</v>
      </c>
      <c r="B637">
        <v>-15.24</v>
      </c>
      <c r="C637">
        <f t="shared" si="51"/>
        <v>18</v>
      </c>
      <c r="D637">
        <v>1</v>
      </c>
      <c r="E637">
        <f t="shared" si="52"/>
        <v>8</v>
      </c>
      <c r="F637">
        <f t="shared" si="53"/>
        <v>2023</v>
      </c>
      <c r="H637" s="17">
        <f t="shared" si="54"/>
        <v>45139</v>
      </c>
      <c r="J637">
        <f t="shared" si="50"/>
        <v>0</v>
      </c>
      <c r="N637" s="55"/>
    </row>
    <row r="638" spans="1:14" x14ac:dyDescent="0.3">
      <c r="A638" s="17">
        <v>45155</v>
      </c>
      <c r="B638">
        <v>-15.14</v>
      </c>
      <c r="C638">
        <f t="shared" si="51"/>
        <v>17</v>
      </c>
      <c r="D638">
        <v>1</v>
      </c>
      <c r="E638">
        <f t="shared" si="52"/>
        <v>8</v>
      </c>
      <c r="F638">
        <f t="shared" si="53"/>
        <v>2023</v>
      </c>
      <c r="H638" s="17">
        <f t="shared" si="54"/>
        <v>45139</v>
      </c>
      <c r="J638">
        <f t="shared" si="50"/>
        <v>0</v>
      </c>
      <c r="N638" s="55"/>
    </row>
    <row r="639" spans="1:14" x14ac:dyDescent="0.3">
      <c r="A639" s="17">
        <v>45154</v>
      </c>
      <c r="B639">
        <v>-15.93</v>
      </c>
      <c r="C639">
        <f t="shared" si="51"/>
        <v>16</v>
      </c>
      <c r="D639">
        <v>1</v>
      </c>
      <c r="E639">
        <f t="shared" si="52"/>
        <v>8</v>
      </c>
      <c r="F639">
        <f t="shared" si="53"/>
        <v>2023</v>
      </c>
      <c r="H639" s="17">
        <f t="shared" si="54"/>
        <v>45139</v>
      </c>
      <c r="J639">
        <f t="shared" si="50"/>
        <v>0</v>
      </c>
      <c r="N639" s="55"/>
    </row>
    <row r="640" spans="1:14" x14ac:dyDescent="0.3">
      <c r="A640" s="17">
        <v>45153</v>
      </c>
      <c r="B640">
        <v>-16.22</v>
      </c>
      <c r="C640">
        <f t="shared" si="51"/>
        <v>15</v>
      </c>
      <c r="D640">
        <v>1</v>
      </c>
      <c r="E640">
        <f t="shared" si="52"/>
        <v>8</v>
      </c>
      <c r="F640">
        <f t="shared" si="53"/>
        <v>2023</v>
      </c>
      <c r="H640" s="17">
        <f t="shared" si="54"/>
        <v>45139</v>
      </c>
      <c r="J640">
        <f t="shared" si="50"/>
        <v>0</v>
      </c>
      <c r="N640" s="55"/>
    </row>
    <row r="641" spans="1:14" x14ac:dyDescent="0.3">
      <c r="A641" s="17">
        <v>45152</v>
      </c>
      <c r="B641">
        <v>-15.96</v>
      </c>
      <c r="C641">
        <f t="shared" si="51"/>
        <v>14</v>
      </c>
      <c r="D641">
        <v>1</v>
      </c>
      <c r="E641">
        <f t="shared" si="52"/>
        <v>8</v>
      </c>
      <c r="F641">
        <f t="shared" si="53"/>
        <v>2023</v>
      </c>
      <c r="H641" s="17">
        <f t="shared" si="54"/>
        <v>45139</v>
      </c>
      <c r="J641">
        <f t="shared" si="50"/>
        <v>0</v>
      </c>
      <c r="N641" s="55"/>
    </row>
    <row r="642" spans="1:14" x14ac:dyDescent="0.3">
      <c r="A642" s="17">
        <v>45149</v>
      </c>
      <c r="B642">
        <v>-16.11</v>
      </c>
      <c r="C642">
        <f t="shared" si="51"/>
        <v>11</v>
      </c>
      <c r="D642">
        <v>1</v>
      </c>
      <c r="E642">
        <f t="shared" si="52"/>
        <v>8</v>
      </c>
      <c r="F642">
        <f t="shared" si="53"/>
        <v>2023</v>
      </c>
      <c r="H642" s="17">
        <f t="shared" si="54"/>
        <v>45139</v>
      </c>
      <c r="J642">
        <f t="shared" si="50"/>
        <v>0</v>
      </c>
      <c r="N642" s="55"/>
    </row>
    <row r="643" spans="1:14" x14ac:dyDescent="0.3">
      <c r="A643" s="17">
        <v>45148</v>
      </c>
      <c r="B643">
        <v>-15.54</v>
      </c>
      <c r="C643">
        <f t="shared" si="51"/>
        <v>10</v>
      </c>
      <c r="D643">
        <v>1</v>
      </c>
      <c r="E643">
        <f t="shared" si="52"/>
        <v>8</v>
      </c>
      <c r="F643">
        <f t="shared" si="53"/>
        <v>2023</v>
      </c>
      <c r="H643" s="17">
        <f t="shared" si="54"/>
        <v>45139</v>
      </c>
      <c r="J643">
        <f t="shared" si="50"/>
        <v>0</v>
      </c>
      <c r="N643" s="55"/>
    </row>
    <row r="644" spans="1:14" x14ac:dyDescent="0.3">
      <c r="A644" s="17">
        <v>45146</v>
      </c>
      <c r="B644">
        <v>-15.56</v>
      </c>
      <c r="C644">
        <f t="shared" si="51"/>
        <v>8</v>
      </c>
      <c r="D644">
        <v>1</v>
      </c>
      <c r="E644">
        <f t="shared" si="52"/>
        <v>8</v>
      </c>
      <c r="F644">
        <f t="shared" si="53"/>
        <v>2023</v>
      </c>
      <c r="H644" s="17">
        <f t="shared" si="54"/>
        <v>45139</v>
      </c>
      <c r="J644">
        <f t="shared" si="50"/>
        <v>0</v>
      </c>
      <c r="N644" s="55"/>
    </row>
    <row r="645" spans="1:14" x14ac:dyDescent="0.3">
      <c r="A645" s="17">
        <v>45145</v>
      </c>
      <c r="B645">
        <v>-16.2</v>
      </c>
      <c r="C645">
        <f t="shared" si="51"/>
        <v>7</v>
      </c>
      <c r="D645">
        <v>1</v>
      </c>
      <c r="E645">
        <f t="shared" si="52"/>
        <v>8</v>
      </c>
      <c r="F645">
        <f t="shared" si="53"/>
        <v>2023</v>
      </c>
      <c r="H645" s="17">
        <f t="shared" si="54"/>
        <v>45139</v>
      </c>
      <c r="J645">
        <f t="shared" si="50"/>
        <v>0</v>
      </c>
      <c r="N645" s="55"/>
    </row>
    <row r="646" spans="1:14" x14ac:dyDescent="0.3">
      <c r="A646" s="17">
        <v>45142</v>
      </c>
      <c r="B646">
        <v>-16.25</v>
      </c>
      <c r="C646">
        <f t="shared" si="51"/>
        <v>4</v>
      </c>
      <c r="D646">
        <v>1</v>
      </c>
      <c r="E646">
        <f t="shared" si="52"/>
        <v>8</v>
      </c>
      <c r="F646">
        <f t="shared" si="53"/>
        <v>2023</v>
      </c>
      <c r="H646" s="17">
        <f t="shared" si="54"/>
        <v>45139</v>
      </c>
      <c r="J646">
        <f t="shared" si="50"/>
        <v>1</v>
      </c>
      <c r="N646" s="55"/>
    </row>
    <row r="647" spans="1:14" x14ac:dyDescent="0.3">
      <c r="A647" s="17">
        <v>45141</v>
      </c>
      <c r="B647">
        <v>-15.24</v>
      </c>
      <c r="C647">
        <f t="shared" si="51"/>
        <v>3</v>
      </c>
      <c r="D647">
        <v>1</v>
      </c>
      <c r="E647">
        <f t="shared" si="52"/>
        <v>8</v>
      </c>
      <c r="F647">
        <f t="shared" si="53"/>
        <v>2023</v>
      </c>
      <c r="H647" s="17">
        <f t="shared" si="54"/>
        <v>45139</v>
      </c>
      <c r="J647">
        <f t="shared" si="50"/>
        <v>1</v>
      </c>
      <c r="N647" s="55"/>
    </row>
    <row r="648" spans="1:14" x14ac:dyDescent="0.3">
      <c r="A648" s="17">
        <v>45140</v>
      </c>
      <c r="B648">
        <v>-15.27</v>
      </c>
      <c r="C648">
        <f t="shared" si="51"/>
        <v>2</v>
      </c>
      <c r="D648">
        <v>1</v>
      </c>
      <c r="E648">
        <f t="shared" si="52"/>
        <v>8</v>
      </c>
      <c r="F648">
        <f t="shared" si="53"/>
        <v>2023</v>
      </c>
      <c r="H648" s="17">
        <f t="shared" si="54"/>
        <v>45139</v>
      </c>
      <c r="J648">
        <f t="shared" si="50"/>
        <v>1</v>
      </c>
      <c r="N648" s="55"/>
    </row>
    <row r="649" spans="1:14" x14ac:dyDescent="0.3">
      <c r="A649" s="17">
        <v>45139</v>
      </c>
      <c r="B649">
        <v>-15.35</v>
      </c>
      <c r="C649">
        <f t="shared" si="51"/>
        <v>1</v>
      </c>
      <c r="D649">
        <v>1</v>
      </c>
      <c r="E649">
        <f t="shared" si="52"/>
        <v>8</v>
      </c>
      <c r="F649">
        <f t="shared" si="53"/>
        <v>2023</v>
      </c>
      <c r="H649" s="17">
        <f t="shared" si="54"/>
        <v>45139</v>
      </c>
      <c r="J649">
        <f t="shared" ref="J649:J712" si="55">IF(AND(C649&gt;=1, C649&lt;=4), 1, 0)</f>
        <v>1</v>
      </c>
      <c r="N649" s="55"/>
    </row>
    <row r="650" spans="1:14" x14ac:dyDescent="0.3">
      <c r="A650" s="17">
        <v>45138</v>
      </c>
      <c r="B650">
        <v>-14.11</v>
      </c>
      <c r="C650">
        <f t="shared" ref="C650:C713" si="56">+DAY(A650)</f>
        <v>31</v>
      </c>
      <c r="D650">
        <v>1</v>
      </c>
      <c r="E650">
        <f t="shared" ref="E650:E713" si="57">+MONTH(A650)</f>
        <v>7</v>
      </c>
      <c r="F650">
        <f t="shared" ref="F650:F713" si="58">+YEAR(A650)</f>
        <v>2023</v>
      </c>
      <c r="H650" s="17">
        <f t="shared" ref="H650:H713" si="59">+DATE(F650,E650,D650)</f>
        <v>45108</v>
      </c>
      <c r="J650">
        <f t="shared" si="55"/>
        <v>0</v>
      </c>
      <c r="N650" s="55"/>
    </row>
    <row r="651" spans="1:14" x14ac:dyDescent="0.3">
      <c r="A651" s="17">
        <v>45135</v>
      </c>
      <c r="B651">
        <v>-15.03</v>
      </c>
      <c r="C651">
        <f t="shared" si="56"/>
        <v>28</v>
      </c>
      <c r="D651">
        <v>1</v>
      </c>
      <c r="E651">
        <f t="shared" si="57"/>
        <v>7</v>
      </c>
      <c r="F651">
        <f t="shared" si="58"/>
        <v>2023</v>
      </c>
      <c r="H651" s="17">
        <f t="shared" si="59"/>
        <v>45108</v>
      </c>
      <c r="J651">
        <f t="shared" si="55"/>
        <v>0</v>
      </c>
      <c r="N651" s="55"/>
    </row>
    <row r="652" spans="1:14" x14ac:dyDescent="0.3">
      <c r="A652" s="17">
        <v>45134</v>
      </c>
      <c r="B652">
        <v>-15.71</v>
      </c>
      <c r="C652">
        <f t="shared" si="56"/>
        <v>27</v>
      </c>
      <c r="D652">
        <v>1</v>
      </c>
      <c r="E652">
        <f t="shared" si="57"/>
        <v>7</v>
      </c>
      <c r="F652">
        <f t="shared" si="58"/>
        <v>2023</v>
      </c>
      <c r="H652" s="17">
        <f t="shared" si="59"/>
        <v>45108</v>
      </c>
      <c r="J652">
        <f t="shared" si="55"/>
        <v>0</v>
      </c>
      <c r="N652" s="55"/>
    </row>
    <row r="653" spans="1:14" x14ac:dyDescent="0.3">
      <c r="A653" s="17">
        <v>45133</v>
      </c>
      <c r="B653">
        <v>-16.059999999999999</v>
      </c>
      <c r="C653">
        <f t="shared" si="56"/>
        <v>26</v>
      </c>
      <c r="D653">
        <v>1</v>
      </c>
      <c r="E653">
        <f t="shared" si="57"/>
        <v>7</v>
      </c>
      <c r="F653">
        <f t="shared" si="58"/>
        <v>2023</v>
      </c>
      <c r="H653" s="17">
        <f t="shared" si="59"/>
        <v>45108</v>
      </c>
      <c r="J653">
        <f t="shared" si="55"/>
        <v>0</v>
      </c>
      <c r="N653" s="55"/>
    </row>
    <row r="654" spans="1:14" x14ac:dyDescent="0.3">
      <c r="A654" s="17">
        <v>45132</v>
      </c>
      <c r="B654">
        <v>-16.690000000000001</v>
      </c>
      <c r="C654">
        <f t="shared" si="56"/>
        <v>25</v>
      </c>
      <c r="D654">
        <v>1</v>
      </c>
      <c r="E654">
        <f t="shared" si="57"/>
        <v>7</v>
      </c>
      <c r="F654">
        <f t="shared" si="58"/>
        <v>2023</v>
      </c>
      <c r="H654" s="17">
        <f t="shared" si="59"/>
        <v>45108</v>
      </c>
      <c r="J654">
        <f t="shared" si="55"/>
        <v>0</v>
      </c>
      <c r="N654" s="55"/>
    </row>
    <row r="655" spans="1:14" x14ac:dyDescent="0.3">
      <c r="A655" s="17">
        <v>45131</v>
      </c>
      <c r="B655">
        <v>-15.96</v>
      </c>
      <c r="C655">
        <f t="shared" si="56"/>
        <v>24</v>
      </c>
      <c r="D655">
        <v>1</v>
      </c>
      <c r="E655">
        <f t="shared" si="57"/>
        <v>7</v>
      </c>
      <c r="F655">
        <f t="shared" si="58"/>
        <v>2023</v>
      </c>
      <c r="H655" s="17">
        <f t="shared" si="59"/>
        <v>45108</v>
      </c>
      <c r="J655">
        <f t="shared" si="55"/>
        <v>0</v>
      </c>
      <c r="N655" s="55"/>
    </row>
    <row r="656" spans="1:14" x14ac:dyDescent="0.3">
      <c r="A656" s="17">
        <v>45128</v>
      </c>
      <c r="B656">
        <v>-15.71</v>
      </c>
      <c r="C656">
        <f t="shared" si="56"/>
        <v>21</v>
      </c>
      <c r="D656">
        <v>1</v>
      </c>
      <c r="E656">
        <f t="shared" si="57"/>
        <v>7</v>
      </c>
      <c r="F656">
        <f t="shared" si="58"/>
        <v>2023</v>
      </c>
      <c r="H656" s="17">
        <f t="shared" si="59"/>
        <v>45108</v>
      </c>
      <c r="J656">
        <f t="shared" si="55"/>
        <v>0</v>
      </c>
      <c r="N656" s="55"/>
    </row>
    <row r="657" spans="1:14" x14ac:dyDescent="0.3">
      <c r="A657" s="17">
        <v>45127</v>
      </c>
      <c r="B657">
        <v>-15.65</v>
      </c>
      <c r="C657">
        <f t="shared" si="56"/>
        <v>20</v>
      </c>
      <c r="D657">
        <v>1</v>
      </c>
      <c r="E657">
        <f t="shared" si="57"/>
        <v>7</v>
      </c>
      <c r="F657">
        <f t="shared" si="58"/>
        <v>2023</v>
      </c>
      <c r="H657" s="17">
        <f t="shared" si="59"/>
        <v>45108</v>
      </c>
      <c r="J657">
        <f t="shared" si="55"/>
        <v>0</v>
      </c>
      <c r="N657" s="55"/>
    </row>
    <row r="658" spans="1:14" x14ac:dyDescent="0.3">
      <c r="A658" s="17">
        <v>45126</v>
      </c>
      <c r="B658">
        <v>-16.29</v>
      </c>
      <c r="C658">
        <f t="shared" si="56"/>
        <v>19</v>
      </c>
      <c r="D658">
        <v>1</v>
      </c>
      <c r="E658">
        <f t="shared" si="57"/>
        <v>7</v>
      </c>
      <c r="F658">
        <f t="shared" si="58"/>
        <v>2023</v>
      </c>
      <c r="H658" s="17">
        <f t="shared" si="59"/>
        <v>45108</v>
      </c>
      <c r="J658">
        <f t="shared" si="55"/>
        <v>0</v>
      </c>
      <c r="N658" s="55"/>
    </row>
    <row r="659" spans="1:14" x14ac:dyDescent="0.3">
      <c r="A659" s="17">
        <v>45125</v>
      </c>
      <c r="B659">
        <v>-16.86</v>
      </c>
      <c r="C659">
        <f t="shared" si="56"/>
        <v>18</v>
      </c>
      <c r="D659">
        <v>1</v>
      </c>
      <c r="E659">
        <f t="shared" si="57"/>
        <v>7</v>
      </c>
      <c r="F659">
        <f t="shared" si="58"/>
        <v>2023</v>
      </c>
      <c r="H659" s="17">
        <f t="shared" si="59"/>
        <v>45108</v>
      </c>
      <c r="J659">
        <f t="shared" si="55"/>
        <v>0</v>
      </c>
      <c r="N659" s="55"/>
    </row>
    <row r="660" spans="1:14" x14ac:dyDescent="0.3">
      <c r="A660" s="17">
        <v>45124</v>
      </c>
      <c r="B660">
        <v>-16.059999999999999</v>
      </c>
      <c r="C660">
        <f t="shared" si="56"/>
        <v>17</v>
      </c>
      <c r="D660">
        <v>1</v>
      </c>
      <c r="E660">
        <f t="shared" si="57"/>
        <v>7</v>
      </c>
      <c r="F660">
        <f t="shared" si="58"/>
        <v>2023</v>
      </c>
      <c r="H660" s="17">
        <f t="shared" si="59"/>
        <v>45108</v>
      </c>
      <c r="J660">
        <f t="shared" si="55"/>
        <v>0</v>
      </c>
      <c r="N660" s="55"/>
    </row>
    <row r="661" spans="1:14" x14ac:dyDescent="0.3">
      <c r="A661" s="17">
        <v>45121</v>
      </c>
      <c r="B661">
        <v>-14.99</v>
      </c>
      <c r="C661">
        <f t="shared" si="56"/>
        <v>14</v>
      </c>
      <c r="D661">
        <v>1</v>
      </c>
      <c r="E661">
        <f t="shared" si="57"/>
        <v>7</v>
      </c>
      <c r="F661">
        <f t="shared" si="58"/>
        <v>2023</v>
      </c>
      <c r="H661" s="17">
        <f t="shared" si="59"/>
        <v>45108</v>
      </c>
      <c r="J661">
        <f t="shared" si="55"/>
        <v>0</v>
      </c>
      <c r="N661" s="55"/>
    </row>
    <row r="662" spans="1:14" x14ac:dyDescent="0.3">
      <c r="A662" s="17">
        <v>45120</v>
      </c>
      <c r="B662">
        <v>-15.26</v>
      </c>
      <c r="C662">
        <f t="shared" si="56"/>
        <v>13</v>
      </c>
      <c r="D662">
        <v>1</v>
      </c>
      <c r="E662">
        <f t="shared" si="57"/>
        <v>7</v>
      </c>
      <c r="F662">
        <f t="shared" si="58"/>
        <v>2023</v>
      </c>
      <c r="H662" s="17">
        <f t="shared" si="59"/>
        <v>45108</v>
      </c>
      <c r="J662">
        <f t="shared" si="55"/>
        <v>0</v>
      </c>
      <c r="N662" s="55"/>
    </row>
    <row r="663" spans="1:14" x14ac:dyDescent="0.3">
      <c r="A663" s="17">
        <v>45119</v>
      </c>
      <c r="B663">
        <v>-15.37</v>
      </c>
      <c r="C663">
        <f t="shared" si="56"/>
        <v>12</v>
      </c>
      <c r="D663">
        <v>1</v>
      </c>
      <c r="E663">
        <f t="shared" si="57"/>
        <v>7</v>
      </c>
      <c r="F663">
        <f t="shared" si="58"/>
        <v>2023</v>
      </c>
      <c r="H663" s="17">
        <f t="shared" si="59"/>
        <v>45108</v>
      </c>
      <c r="J663">
        <f t="shared" si="55"/>
        <v>0</v>
      </c>
      <c r="N663" s="55"/>
    </row>
    <row r="664" spans="1:14" x14ac:dyDescent="0.3">
      <c r="A664" s="17">
        <v>45118</v>
      </c>
      <c r="B664">
        <v>-14.87</v>
      </c>
      <c r="C664">
        <f t="shared" si="56"/>
        <v>11</v>
      </c>
      <c r="D664">
        <v>1</v>
      </c>
      <c r="E664">
        <f t="shared" si="57"/>
        <v>7</v>
      </c>
      <c r="F664">
        <f t="shared" si="58"/>
        <v>2023</v>
      </c>
      <c r="H664" s="17">
        <f t="shared" si="59"/>
        <v>45108</v>
      </c>
      <c r="J664">
        <f t="shared" si="55"/>
        <v>0</v>
      </c>
      <c r="N664" s="55"/>
    </row>
    <row r="665" spans="1:14" x14ac:dyDescent="0.3">
      <c r="A665" s="17">
        <v>45117</v>
      </c>
      <c r="B665">
        <v>-15.33</v>
      </c>
      <c r="C665">
        <f t="shared" si="56"/>
        <v>10</v>
      </c>
      <c r="D665">
        <v>1</v>
      </c>
      <c r="E665">
        <f t="shared" si="57"/>
        <v>7</v>
      </c>
      <c r="F665">
        <f t="shared" si="58"/>
        <v>2023</v>
      </c>
      <c r="H665" s="17">
        <f t="shared" si="59"/>
        <v>45108</v>
      </c>
      <c r="J665">
        <f t="shared" si="55"/>
        <v>0</v>
      </c>
      <c r="N665" s="55"/>
    </row>
    <row r="666" spans="1:14" x14ac:dyDescent="0.3">
      <c r="A666" s="17">
        <v>45114</v>
      </c>
      <c r="B666">
        <v>-16.100000000000001</v>
      </c>
      <c r="C666">
        <f t="shared" si="56"/>
        <v>7</v>
      </c>
      <c r="D666">
        <v>1</v>
      </c>
      <c r="E666">
        <f t="shared" si="57"/>
        <v>7</v>
      </c>
      <c r="F666">
        <f t="shared" si="58"/>
        <v>2023</v>
      </c>
      <c r="H666" s="17">
        <f t="shared" si="59"/>
        <v>45108</v>
      </c>
      <c r="J666">
        <f t="shared" si="55"/>
        <v>0</v>
      </c>
      <c r="N666" s="55"/>
    </row>
    <row r="667" spans="1:14" x14ac:dyDescent="0.3">
      <c r="A667" s="17">
        <v>45113</v>
      </c>
      <c r="B667">
        <v>-16.46</v>
      </c>
      <c r="C667">
        <f t="shared" si="56"/>
        <v>6</v>
      </c>
      <c r="D667">
        <v>1</v>
      </c>
      <c r="E667">
        <f t="shared" si="57"/>
        <v>7</v>
      </c>
      <c r="F667">
        <f t="shared" si="58"/>
        <v>2023</v>
      </c>
      <c r="H667" s="17">
        <f t="shared" si="59"/>
        <v>45108</v>
      </c>
      <c r="J667">
        <f t="shared" si="55"/>
        <v>0</v>
      </c>
      <c r="N667" s="55"/>
    </row>
    <row r="668" spans="1:14" x14ac:dyDescent="0.3">
      <c r="A668" s="17">
        <v>45112</v>
      </c>
      <c r="B668">
        <v>-16.79</v>
      </c>
      <c r="C668">
        <f t="shared" si="56"/>
        <v>5</v>
      </c>
      <c r="D668">
        <v>1</v>
      </c>
      <c r="E668">
        <f t="shared" si="57"/>
        <v>7</v>
      </c>
      <c r="F668">
        <f t="shared" si="58"/>
        <v>2023</v>
      </c>
      <c r="H668" s="17">
        <f t="shared" si="59"/>
        <v>45108</v>
      </c>
      <c r="J668">
        <f t="shared" si="55"/>
        <v>0</v>
      </c>
      <c r="N668" s="55"/>
    </row>
    <row r="669" spans="1:14" x14ac:dyDescent="0.3">
      <c r="A669" s="17">
        <v>45111</v>
      </c>
      <c r="B669">
        <v>-16.43</v>
      </c>
      <c r="C669">
        <f t="shared" si="56"/>
        <v>4</v>
      </c>
      <c r="D669">
        <v>1</v>
      </c>
      <c r="E669">
        <f t="shared" si="57"/>
        <v>7</v>
      </c>
      <c r="F669">
        <f t="shared" si="58"/>
        <v>2023</v>
      </c>
      <c r="H669" s="17">
        <f t="shared" si="59"/>
        <v>45108</v>
      </c>
      <c r="J669">
        <f t="shared" si="55"/>
        <v>1</v>
      </c>
      <c r="N669" s="55"/>
    </row>
    <row r="670" spans="1:14" x14ac:dyDescent="0.3">
      <c r="A670" s="17">
        <v>45110</v>
      </c>
      <c r="B670">
        <v>-16.059999999999999</v>
      </c>
      <c r="C670">
        <f t="shared" si="56"/>
        <v>3</v>
      </c>
      <c r="D670">
        <v>1</v>
      </c>
      <c r="E670">
        <f t="shared" si="57"/>
        <v>7</v>
      </c>
      <c r="F670">
        <f t="shared" si="58"/>
        <v>2023</v>
      </c>
      <c r="H670" s="17">
        <f t="shared" si="59"/>
        <v>45108</v>
      </c>
      <c r="J670">
        <f t="shared" si="55"/>
        <v>1</v>
      </c>
      <c r="N670" s="55"/>
    </row>
    <row r="671" spans="1:14" x14ac:dyDescent="0.3">
      <c r="A671" s="17">
        <v>45108</v>
      </c>
      <c r="C671">
        <f t="shared" si="56"/>
        <v>1</v>
      </c>
      <c r="D671">
        <v>1</v>
      </c>
      <c r="E671">
        <f t="shared" si="57"/>
        <v>7</v>
      </c>
      <c r="F671">
        <f t="shared" si="58"/>
        <v>2023</v>
      </c>
      <c r="H671" s="17">
        <f t="shared" si="59"/>
        <v>45108</v>
      </c>
      <c r="J671">
        <f t="shared" si="55"/>
        <v>1</v>
      </c>
      <c r="N671" s="55"/>
    </row>
    <row r="672" spans="1:14" x14ac:dyDescent="0.3">
      <c r="A672" s="17">
        <v>45107</v>
      </c>
      <c r="B672">
        <v>-17.690000000000001</v>
      </c>
      <c r="C672">
        <f t="shared" si="56"/>
        <v>30</v>
      </c>
      <c r="D672">
        <v>1</v>
      </c>
      <c r="E672">
        <f t="shared" si="57"/>
        <v>6</v>
      </c>
      <c r="F672">
        <f t="shared" si="58"/>
        <v>2023</v>
      </c>
      <c r="H672" s="17">
        <f t="shared" si="59"/>
        <v>45078</v>
      </c>
      <c r="J672">
        <f t="shared" si="55"/>
        <v>0</v>
      </c>
      <c r="N672" s="55"/>
    </row>
    <row r="673" spans="1:14" x14ac:dyDescent="0.3">
      <c r="A673" s="17">
        <v>45105</v>
      </c>
      <c r="B673">
        <v>-18.63</v>
      </c>
      <c r="C673">
        <f t="shared" si="56"/>
        <v>28</v>
      </c>
      <c r="D673">
        <v>1</v>
      </c>
      <c r="E673">
        <f t="shared" si="57"/>
        <v>6</v>
      </c>
      <c r="F673">
        <f t="shared" si="58"/>
        <v>2023</v>
      </c>
      <c r="H673" s="17">
        <f t="shared" si="59"/>
        <v>45078</v>
      </c>
      <c r="J673">
        <f t="shared" si="55"/>
        <v>0</v>
      </c>
      <c r="N673" s="55"/>
    </row>
    <row r="674" spans="1:14" x14ac:dyDescent="0.3">
      <c r="A674" s="17">
        <v>45104</v>
      </c>
      <c r="B674">
        <v>-19.98</v>
      </c>
      <c r="C674">
        <f t="shared" si="56"/>
        <v>27</v>
      </c>
      <c r="D674">
        <v>1</v>
      </c>
      <c r="E674">
        <f t="shared" si="57"/>
        <v>6</v>
      </c>
      <c r="F674">
        <f t="shared" si="58"/>
        <v>2023</v>
      </c>
      <c r="H674" s="17">
        <f t="shared" si="59"/>
        <v>45078</v>
      </c>
      <c r="J674">
        <f t="shared" si="55"/>
        <v>0</v>
      </c>
      <c r="N674" s="55"/>
    </row>
    <row r="675" spans="1:14" x14ac:dyDescent="0.3">
      <c r="A675" s="17">
        <v>45103</v>
      </c>
      <c r="B675">
        <v>-19.510000000000002</v>
      </c>
      <c r="C675">
        <f t="shared" si="56"/>
        <v>26</v>
      </c>
      <c r="D675">
        <v>1</v>
      </c>
      <c r="E675">
        <f t="shared" si="57"/>
        <v>6</v>
      </c>
      <c r="F675">
        <f t="shared" si="58"/>
        <v>2023</v>
      </c>
      <c r="H675" s="17">
        <f t="shared" si="59"/>
        <v>45078</v>
      </c>
      <c r="J675">
        <f t="shared" si="55"/>
        <v>0</v>
      </c>
      <c r="N675" s="55"/>
    </row>
    <row r="676" spans="1:14" x14ac:dyDescent="0.3">
      <c r="A676" s="17">
        <v>45100</v>
      </c>
      <c r="B676">
        <v>-19.399999999999999</v>
      </c>
      <c r="C676">
        <f t="shared" si="56"/>
        <v>23</v>
      </c>
      <c r="D676">
        <v>1</v>
      </c>
      <c r="E676">
        <f t="shared" si="57"/>
        <v>6</v>
      </c>
      <c r="F676">
        <f t="shared" si="58"/>
        <v>2023</v>
      </c>
      <c r="H676" s="17">
        <f t="shared" si="59"/>
        <v>45078</v>
      </c>
      <c r="J676">
        <f t="shared" si="55"/>
        <v>0</v>
      </c>
      <c r="N676" s="55"/>
    </row>
    <row r="677" spans="1:14" x14ac:dyDescent="0.3">
      <c r="A677" s="17">
        <v>45099</v>
      </c>
      <c r="B677">
        <v>-19.57</v>
      </c>
      <c r="C677">
        <f t="shared" si="56"/>
        <v>22</v>
      </c>
      <c r="D677">
        <v>1</v>
      </c>
      <c r="E677">
        <f t="shared" si="57"/>
        <v>6</v>
      </c>
      <c r="F677">
        <f t="shared" si="58"/>
        <v>2023</v>
      </c>
      <c r="H677" s="17">
        <f t="shared" si="59"/>
        <v>45078</v>
      </c>
      <c r="J677">
        <f t="shared" si="55"/>
        <v>0</v>
      </c>
      <c r="N677" s="55"/>
    </row>
    <row r="678" spans="1:14" x14ac:dyDescent="0.3">
      <c r="A678" s="17">
        <v>45098</v>
      </c>
      <c r="B678">
        <v>-18.72</v>
      </c>
      <c r="C678">
        <f t="shared" si="56"/>
        <v>21</v>
      </c>
      <c r="D678">
        <v>1</v>
      </c>
      <c r="E678">
        <f t="shared" si="57"/>
        <v>6</v>
      </c>
      <c r="F678">
        <f t="shared" si="58"/>
        <v>2023</v>
      </c>
      <c r="H678" s="17">
        <f t="shared" si="59"/>
        <v>45078</v>
      </c>
      <c r="J678">
        <f t="shared" si="55"/>
        <v>0</v>
      </c>
      <c r="N678" s="55"/>
    </row>
    <row r="679" spans="1:14" x14ac:dyDescent="0.3">
      <c r="A679" s="17">
        <v>45097</v>
      </c>
      <c r="B679">
        <v>-18.940000000000001</v>
      </c>
      <c r="C679">
        <f t="shared" si="56"/>
        <v>20</v>
      </c>
      <c r="D679">
        <v>1</v>
      </c>
      <c r="E679">
        <f t="shared" si="57"/>
        <v>6</v>
      </c>
      <c r="F679">
        <f t="shared" si="58"/>
        <v>2023</v>
      </c>
      <c r="H679" s="17">
        <f t="shared" si="59"/>
        <v>45078</v>
      </c>
      <c r="J679">
        <f t="shared" si="55"/>
        <v>0</v>
      </c>
      <c r="N679" s="55"/>
    </row>
    <row r="680" spans="1:14" x14ac:dyDescent="0.3">
      <c r="A680" s="17">
        <v>45096</v>
      </c>
      <c r="B680">
        <v>-18.98</v>
      </c>
      <c r="C680">
        <f t="shared" si="56"/>
        <v>19</v>
      </c>
      <c r="D680">
        <v>1</v>
      </c>
      <c r="E680">
        <f t="shared" si="57"/>
        <v>6</v>
      </c>
      <c r="F680">
        <f t="shared" si="58"/>
        <v>2023</v>
      </c>
      <c r="H680" s="17">
        <f t="shared" si="59"/>
        <v>45078</v>
      </c>
      <c r="J680">
        <f t="shared" si="55"/>
        <v>0</v>
      </c>
      <c r="N680" s="55"/>
    </row>
    <row r="681" spans="1:14" x14ac:dyDescent="0.3">
      <c r="A681" s="17">
        <v>45093</v>
      </c>
      <c r="B681">
        <v>-17.45</v>
      </c>
      <c r="C681">
        <f t="shared" si="56"/>
        <v>16</v>
      </c>
      <c r="D681">
        <v>1</v>
      </c>
      <c r="E681">
        <f t="shared" si="57"/>
        <v>6</v>
      </c>
      <c r="F681">
        <f t="shared" si="58"/>
        <v>2023</v>
      </c>
      <c r="H681" s="17">
        <f t="shared" si="59"/>
        <v>45078</v>
      </c>
      <c r="J681">
        <f t="shared" si="55"/>
        <v>0</v>
      </c>
      <c r="N681" s="55"/>
    </row>
    <row r="682" spans="1:14" x14ac:dyDescent="0.3">
      <c r="A682" s="17">
        <v>45092</v>
      </c>
      <c r="B682">
        <v>-15.88</v>
      </c>
      <c r="C682">
        <f t="shared" si="56"/>
        <v>15</v>
      </c>
      <c r="D682">
        <v>1</v>
      </c>
      <c r="E682">
        <f t="shared" si="57"/>
        <v>6</v>
      </c>
      <c r="F682">
        <f t="shared" si="58"/>
        <v>2023</v>
      </c>
      <c r="H682" s="17">
        <f t="shared" si="59"/>
        <v>45078</v>
      </c>
      <c r="J682">
        <f t="shared" si="55"/>
        <v>0</v>
      </c>
      <c r="N682" s="55"/>
    </row>
    <row r="683" spans="1:14" x14ac:dyDescent="0.3">
      <c r="A683" s="17">
        <v>45091</v>
      </c>
      <c r="B683">
        <v>-15.73</v>
      </c>
      <c r="C683">
        <f t="shared" si="56"/>
        <v>14</v>
      </c>
      <c r="D683">
        <v>1</v>
      </c>
      <c r="E683">
        <f t="shared" si="57"/>
        <v>6</v>
      </c>
      <c r="F683">
        <f t="shared" si="58"/>
        <v>2023</v>
      </c>
      <c r="H683" s="17">
        <f t="shared" si="59"/>
        <v>45078</v>
      </c>
      <c r="J683">
        <f t="shared" si="55"/>
        <v>0</v>
      </c>
      <c r="N683" s="55"/>
    </row>
    <row r="684" spans="1:14" x14ac:dyDescent="0.3">
      <c r="A684" s="17">
        <v>45090</v>
      </c>
      <c r="B684">
        <v>-14.73</v>
      </c>
      <c r="C684">
        <f t="shared" si="56"/>
        <v>13</v>
      </c>
      <c r="D684">
        <v>1</v>
      </c>
      <c r="E684">
        <f t="shared" si="57"/>
        <v>6</v>
      </c>
      <c r="F684">
        <f t="shared" si="58"/>
        <v>2023</v>
      </c>
      <c r="H684" s="17">
        <f t="shared" si="59"/>
        <v>45078</v>
      </c>
      <c r="J684">
        <f t="shared" si="55"/>
        <v>0</v>
      </c>
      <c r="N684" s="55"/>
    </row>
    <row r="685" spans="1:14" x14ac:dyDescent="0.3">
      <c r="A685" s="17">
        <v>45089</v>
      </c>
      <c r="B685">
        <v>-14.49</v>
      </c>
      <c r="C685">
        <f t="shared" si="56"/>
        <v>12</v>
      </c>
      <c r="D685">
        <v>1</v>
      </c>
      <c r="E685">
        <f t="shared" si="57"/>
        <v>6</v>
      </c>
      <c r="F685">
        <f t="shared" si="58"/>
        <v>2023</v>
      </c>
      <c r="H685" s="17">
        <f t="shared" si="59"/>
        <v>45078</v>
      </c>
      <c r="J685">
        <f t="shared" si="55"/>
        <v>0</v>
      </c>
      <c r="N685" s="55"/>
    </row>
    <row r="686" spans="1:14" x14ac:dyDescent="0.3">
      <c r="A686" s="17">
        <v>45086</v>
      </c>
      <c r="B686">
        <v>-15.6</v>
      </c>
      <c r="C686">
        <f t="shared" si="56"/>
        <v>9</v>
      </c>
      <c r="D686">
        <v>1</v>
      </c>
      <c r="E686">
        <f t="shared" si="57"/>
        <v>6</v>
      </c>
      <c r="F686">
        <f t="shared" si="58"/>
        <v>2023</v>
      </c>
      <c r="H686" s="17">
        <f t="shared" si="59"/>
        <v>45078</v>
      </c>
      <c r="J686">
        <f t="shared" si="55"/>
        <v>0</v>
      </c>
      <c r="N686" s="55"/>
    </row>
    <row r="687" spans="1:14" x14ac:dyDescent="0.3">
      <c r="A687" s="17">
        <v>45085</v>
      </c>
      <c r="B687">
        <v>-14.91</v>
      </c>
      <c r="C687">
        <f t="shared" si="56"/>
        <v>8</v>
      </c>
      <c r="D687">
        <v>1</v>
      </c>
      <c r="E687">
        <f t="shared" si="57"/>
        <v>6</v>
      </c>
      <c r="F687">
        <f t="shared" si="58"/>
        <v>2023</v>
      </c>
      <c r="H687" s="17">
        <f t="shared" si="59"/>
        <v>45078</v>
      </c>
      <c r="J687">
        <f t="shared" si="55"/>
        <v>0</v>
      </c>
      <c r="N687" s="55"/>
    </row>
    <row r="688" spans="1:14" x14ac:dyDescent="0.3">
      <c r="A688" s="17">
        <v>45084</v>
      </c>
      <c r="B688">
        <v>-14.18</v>
      </c>
      <c r="C688">
        <f t="shared" si="56"/>
        <v>7</v>
      </c>
      <c r="D688">
        <v>1</v>
      </c>
      <c r="E688">
        <f t="shared" si="57"/>
        <v>6</v>
      </c>
      <c r="F688">
        <f t="shared" si="58"/>
        <v>2023</v>
      </c>
      <c r="H688" s="17">
        <f t="shared" si="59"/>
        <v>45078</v>
      </c>
      <c r="J688">
        <f t="shared" si="55"/>
        <v>0</v>
      </c>
      <c r="N688" s="55"/>
    </row>
    <row r="689" spans="1:14" x14ac:dyDescent="0.3">
      <c r="A689" s="17">
        <v>45083</v>
      </c>
      <c r="B689">
        <v>-13.77</v>
      </c>
      <c r="C689">
        <f t="shared" si="56"/>
        <v>6</v>
      </c>
      <c r="D689">
        <v>1</v>
      </c>
      <c r="E689">
        <f t="shared" si="57"/>
        <v>6</v>
      </c>
      <c r="F689">
        <f t="shared" si="58"/>
        <v>2023</v>
      </c>
      <c r="H689" s="17">
        <f t="shared" si="59"/>
        <v>45078</v>
      </c>
      <c r="J689">
        <f t="shared" si="55"/>
        <v>0</v>
      </c>
      <c r="N689" s="55"/>
    </row>
    <row r="690" spans="1:14" x14ac:dyDescent="0.3">
      <c r="A690" s="17">
        <v>45082</v>
      </c>
      <c r="B690">
        <v>-13.84</v>
      </c>
      <c r="C690">
        <f t="shared" si="56"/>
        <v>5</v>
      </c>
      <c r="D690">
        <v>1</v>
      </c>
      <c r="E690">
        <f t="shared" si="57"/>
        <v>6</v>
      </c>
      <c r="F690">
        <f t="shared" si="58"/>
        <v>2023</v>
      </c>
      <c r="H690" s="17">
        <f t="shared" si="59"/>
        <v>45078</v>
      </c>
      <c r="J690">
        <f t="shared" si="55"/>
        <v>0</v>
      </c>
      <c r="N690" s="55"/>
    </row>
    <row r="691" spans="1:14" x14ac:dyDescent="0.3">
      <c r="A691" s="17">
        <v>45078</v>
      </c>
      <c r="B691">
        <v>-11.94</v>
      </c>
      <c r="C691">
        <f t="shared" si="56"/>
        <v>1</v>
      </c>
      <c r="D691">
        <v>1</v>
      </c>
      <c r="E691">
        <f t="shared" si="57"/>
        <v>6</v>
      </c>
      <c r="F691">
        <f t="shared" si="58"/>
        <v>2023</v>
      </c>
      <c r="H691" s="17">
        <f t="shared" si="59"/>
        <v>45078</v>
      </c>
      <c r="J691">
        <f t="shared" si="55"/>
        <v>1</v>
      </c>
      <c r="N691" s="55"/>
    </row>
    <row r="692" spans="1:14" x14ac:dyDescent="0.3">
      <c r="A692" s="17">
        <v>45077</v>
      </c>
      <c r="B692">
        <v>-12.16</v>
      </c>
      <c r="C692">
        <f t="shared" si="56"/>
        <v>31</v>
      </c>
      <c r="D692">
        <v>1</v>
      </c>
      <c r="E692">
        <f t="shared" si="57"/>
        <v>5</v>
      </c>
      <c r="F692">
        <f t="shared" si="58"/>
        <v>2023</v>
      </c>
      <c r="H692" s="17">
        <f t="shared" si="59"/>
        <v>45047</v>
      </c>
      <c r="J692">
        <f t="shared" si="55"/>
        <v>0</v>
      </c>
      <c r="N692" s="55"/>
    </row>
    <row r="693" spans="1:14" x14ac:dyDescent="0.3">
      <c r="A693" s="17">
        <v>45076</v>
      </c>
      <c r="B693">
        <v>-12.66</v>
      </c>
      <c r="C693">
        <f t="shared" si="56"/>
        <v>30</v>
      </c>
      <c r="D693">
        <v>1</v>
      </c>
      <c r="E693">
        <f t="shared" si="57"/>
        <v>5</v>
      </c>
      <c r="F693">
        <f t="shared" si="58"/>
        <v>2023</v>
      </c>
      <c r="H693" s="17">
        <f t="shared" si="59"/>
        <v>45047</v>
      </c>
      <c r="J693">
        <f t="shared" si="55"/>
        <v>0</v>
      </c>
      <c r="N693" s="55"/>
    </row>
    <row r="694" spans="1:14" x14ac:dyDescent="0.3">
      <c r="A694" s="17">
        <v>45075</v>
      </c>
      <c r="B694">
        <v>-12.98</v>
      </c>
      <c r="C694">
        <f t="shared" si="56"/>
        <v>29</v>
      </c>
      <c r="D694">
        <v>1</v>
      </c>
      <c r="E694">
        <f t="shared" si="57"/>
        <v>5</v>
      </c>
      <c r="F694">
        <f t="shared" si="58"/>
        <v>2023</v>
      </c>
      <c r="H694" s="17">
        <f t="shared" si="59"/>
        <v>45047</v>
      </c>
      <c r="J694">
        <f t="shared" si="55"/>
        <v>0</v>
      </c>
      <c r="N694" s="55"/>
    </row>
    <row r="695" spans="1:14" x14ac:dyDescent="0.3">
      <c r="A695" s="17">
        <v>45072</v>
      </c>
      <c r="B695">
        <v>-12.81</v>
      </c>
      <c r="C695">
        <f t="shared" si="56"/>
        <v>26</v>
      </c>
      <c r="D695">
        <v>1</v>
      </c>
      <c r="E695">
        <f t="shared" si="57"/>
        <v>5</v>
      </c>
      <c r="F695">
        <f t="shared" si="58"/>
        <v>2023</v>
      </c>
      <c r="H695" s="17">
        <f t="shared" si="59"/>
        <v>45047</v>
      </c>
      <c r="J695">
        <f t="shared" si="55"/>
        <v>0</v>
      </c>
      <c r="N695" s="55"/>
    </row>
    <row r="696" spans="1:14" x14ac:dyDescent="0.3">
      <c r="A696" s="17">
        <v>45071</v>
      </c>
      <c r="B696">
        <v>-12.91</v>
      </c>
      <c r="C696">
        <f t="shared" si="56"/>
        <v>25</v>
      </c>
      <c r="D696">
        <v>1</v>
      </c>
      <c r="E696">
        <f t="shared" si="57"/>
        <v>5</v>
      </c>
      <c r="F696">
        <f t="shared" si="58"/>
        <v>2023</v>
      </c>
      <c r="H696" s="17">
        <f t="shared" si="59"/>
        <v>45047</v>
      </c>
      <c r="J696">
        <f t="shared" si="55"/>
        <v>0</v>
      </c>
      <c r="N696" s="55"/>
    </row>
    <row r="697" spans="1:14" x14ac:dyDescent="0.3">
      <c r="A697" s="17">
        <v>45070</v>
      </c>
      <c r="B697">
        <v>-13.11</v>
      </c>
      <c r="C697">
        <f t="shared" si="56"/>
        <v>24</v>
      </c>
      <c r="D697">
        <v>1</v>
      </c>
      <c r="E697">
        <f t="shared" si="57"/>
        <v>5</v>
      </c>
      <c r="F697">
        <f t="shared" si="58"/>
        <v>2023</v>
      </c>
      <c r="H697" s="17">
        <f t="shared" si="59"/>
        <v>45047</v>
      </c>
      <c r="J697">
        <f t="shared" si="55"/>
        <v>0</v>
      </c>
      <c r="N697" s="55"/>
    </row>
    <row r="698" spans="1:14" x14ac:dyDescent="0.3">
      <c r="A698" s="17">
        <v>45069</v>
      </c>
      <c r="B698">
        <v>-12.83</v>
      </c>
      <c r="C698">
        <f t="shared" si="56"/>
        <v>23</v>
      </c>
      <c r="D698">
        <v>1</v>
      </c>
      <c r="E698">
        <f t="shared" si="57"/>
        <v>5</v>
      </c>
      <c r="F698">
        <f t="shared" si="58"/>
        <v>2023</v>
      </c>
      <c r="H698" s="17">
        <f t="shared" si="59"/>
        <v>45047</v>
      </c>
      <c r="J698">
        <f t="shared" si="55"/>
        <v>0</v>
      </c>
      <c r="N698" s="55"/>
    </row>
    <row r="699" spans="1:14" x14ac:dyDescent="0.3">
      <c r="A699" s="17">
        <v>45068</v>
      </c>
      <c r="B699">
        <v>-12.88</v>
      </c>
      <c r="C699">
        <f t="shared" si="56"/>
        <v>22</v>
      </c>
      <c r="D699">
        <v>1</v>
      </c>
      <c r="E699">
        <f t="shared" si="57"/>
        <v>5</v>
      </c>
      <c r="F699">
        <f t="shared" si="58"/>
        <v>2023</v>
      </c>
      <c r="H699" s="17">
        <f t="shared" si="59"/>
        <v>45047</v>
      </c>
      <c r="J699">
        <f t="shared" si="55"/>
        <v>0</v>
      </c>
      <c r="N699" s="55"/>
    </row>
    <row r="700" spans="1:14" x14ac:dyDescent="0.3">
      <c r="A700" s="17">
        <v>45065</v>
      </c>
      <c r="B700">
        <v>-13.3</v>
      </c>
      <c r="C700">
        <f t="shared" si="56"/>
        <v>19</v>
      </c>
      <c r="D700">
        <v>1</v>
      </c>
      <c r="E700">
        <f t="shared" si="57"/>
        <v>5</v>
      </c>
      <c r="F700">
        <f t="shared" si="58"/>
        <v>2023</v>
      </c>
      <c r="H700" s="17">
        <f t="shared" si="59"/>
        <v>45047</v>
      </c>
      <c r="J700">
        <f t="shared" si="55"/>
        <v>0</v>
      </c>
      <c r="N700" s="55"/>
    </row>
    <row r="701" spans="1:14" x14ac:dyDescent="0.3">
      <c r="A701" s="17">
        <v>45064</v>
      </c>
      <c r="B701">
        <v>-13.58</v>
      </c>
      <c r="C701">
        <f t="shared" si="56"/>
        <v>18</v>
      </c>
      <c r="D701">
        <v>1</v>
      </c>
      <c r="E701">
        <f t="shared" si="57"/>
        <v>5</v>
      </c>
      <c r="F701">
        <f t="shared" si="58"/>
        <v>2023</v>
      </c>
      <c r="H701" s="17">
        <f t="shared" si="59"/>
        <v>45047</v>
      </c>
      <c r="J701">
        <f t="shared" si="55"/>
        <v>0</v>
      </c>
      <c r="N701" s="55"/>
    </row>
    <row r="702" spans="1:14" x14ac:dyDescent="0.3">
      <c r="A702" s="17">
        <v>45063</v>
      </c>
      <c r="B702">
        <v>-12.52</v>
      </c>
      <c r="C702">
        <f t="shared" si="56"/>
        <v>17</v>
      </c>
      <c r="D702">
        <v>1</v>
      </c>
      <c r="E702">
        <f t="shared" si="57"/>
        <v>5</v>
      </c>
      <c r="F702">
        <f t="shared" si="58"/>
        <v>2023</v>
      </c>
      <c r="H702" s="17">
        <f t="shared" si="59"/>
        <v>45047</v>
      </c>
      <c r="J702">
        <f t="shared" si="55"/>
        <v>0</v>
      </c>
      <c r="N702" s="55"/>
    </row>
    <row r="703" spans="1:14" x14ac:dyDescent="0.3">
      <c r="A703" s="17">
        <v>45062</v>
      </c>
      <c r="B703">
        <v>-13.01</v>
      </c>
      <c r="C703">
        <f t="shared" si="56"/>
        <v>16</v>
      </c>
      <c r="D703">
        <v>1</v>
      </c>
      <c r="E703">
        <f t="shared" si="57"/>
        <v>5</v>
      </c>
      <c r="F703">
        <f t="shared" si="58"/>
        <v>2023</v>
      </c>
      <c r="H703" s="17">
        <f t="shared" si="59"/>
        <v>45047</v>
      </c>
      <c r="J703">
        <f t="shared" si="55"/>
        <v>0</v>
      </c>
      <c r="N703" s="55"/>
    </row>
    <row r="704" spans="1:14" x14ac:dyDescent="0.3">
      <c r="A704" s="17">
        <v>45061</v>
      </c>
      <c r="B704">
        <v>-12.06</v>
      </c>
      <c r="C704">
        <f t="shared" si="56"/>
        <v>15</v>
      </c>
      <c r="D704">
        <v>1</v>
      </c>
      <c r="E704">
        <f t="shared" si="57"/>
        <v>5</v>
      </c>
      <c r="F704">
        <f t="shared" si="58"/>
        <v>2023</v>
      </c>
      <c r="H704" s="17">
        <f t="shared" si="59"/>
        <v>45047</v>
      </c>
      <c r="J704">
        <f t="shared" si="55"/>
        <v>0</v>
      </c>
      <c r="N704" s="55"/>
    </row>
    <row r="705" spans="1:14" x14ac:dyDescent="0.3">
      <c r="A705" s="17">
        <v>45058</v>
      </c>
      <c r="B705">
        <v>-11.47</v>
      </c>
      <c r="C705">
        <f t="shared" si="56"/>
        <v>12</v>
      </c>
      <c r="D705">
        <v>1</v>
      </c>
      <c r="E705">
        <f t="shared" si="57"/>
        <v>5</v>
      </c>
      <c r="F705">
        <f t="shared" si="58"/>
        <v>2023</v>
      </c>
      <c r="H705" s="17">
        <f t="shared" si="59"/>
        <v>45047</v>
      </c>
      <c r="J705">
        <f t="shared" si="55"/>
        <v>0</v>
      </c>
      <c r="N705" s="55"/>
    </row>
    <row r="706" spans="1:14" x14ac:dyDescent="0.3">
      <c r="A706" s="17">
        <v>45057</v>
      </c>
      <c r="B706">
        <v>-12.36</v>
      </c>
      <c r="C706">
        <f t="shared" si="56"/>
        <v>11</v>
      </c>
      <c r="D706">
        <v>1</v>
      </c>
      <c r="E706">
        <f t="shared" si="57"/>
        <v>5</v>
      </c>
      <c r="F706">
        <f t="shared" si="58"/>
        <v>2023</v>
      </c>
      <c r="H706" s="17">
        <f t="shared" si="59"/>
        <v>45047</v>
      </c>
      <c r="J706">
        <f t="shared" si="55"/>
        <v>0</v>
      </c>
      <c r="N706" s="55"/>
    </row>
    <row r="707" spans="1:14" x14ac:dyDescent="0.3">
      <c r="A707" s="17">
        <v>45056</v>
      </c>
      <c r="B707">
        <v>-12.29</v>
      </c>
      <c r="C707">
        <f t="shared" si="56"/>
        <v>10</v>
      </c>
      <c r="D707">
        <v>1</v>
      </c>
      <c r="E707">
        <f t="shared" si="57"/>
        <v>5</v>
      </c>
      <c r="F707">
        <f t="shared" si="58"/>
        <v>2023</v>
      </c>
      <c r="H707" s="17">
        <f t="shared" si="59"/>
        <v>45047</v>
      </c>
      <c r="J707">
        <f t="shared" si="55"/>
        <v>0</v>
      </c>
      <c r="N707" s="55"/>
    </row>
    <row r="708" spans="1:14" x14ac:dyDescent="0.3">
      <c r="A708" s="17">
        <v>45055</v>
      </c>
      <c r="B708">
        <v>-11.22</v>
      </c>
      <c r="C708">
        <f t="shared" si="56"/>
        <v>9</v>
      </c>
      <c r="D708">
        <v>1</v>
      </c>
      <c r="E708">
        <f t="shared" si="57"/>
        <v>5</v>
      </c>
      <c r="F708">
        <f t="shared" si="58"/>
        <v>2023</v>
      </c>
      <c r="H708" s="17">
        <f t="shared" si="59"/>
        <v>45047</v>
      </c>
      <c r="J708">
        <f t="shared" si="55"/>
        <v>0</v>
      </c>
      <c r="N708" s="55"/>
    </row>
    <row r="709" spans="1:14" x14ac:dyDescent="0.3">
      <c r="A709" s="17">
        <v>45054</v>
      </c>
      <c r="B709">
        <v>-11.2</v>
      </c>
      <c r="C709">
        <f t="shared" si="56"/>
        <v>8</v>
      </c>
      <c r="D709">
        <v>1</v>
      </c>
      <c r="E709">
        <f t="shared" si="57"/>
        <v>5</v>
      </c>
      <c r="F709">
        <f t="shared" si="58"/>
        <v>2023</v>
      </c>
      <c r="H709" s="17">
        <f t="shared" si="59"/>
        <v>45047</v>
      </c>
      <c r="J709">
        <f t="shared" si="55"/>
        <v>0</v>
      </c>
      <c r="N709" s="55"/>
    </row>
    <row r="710" spans="1:14" x14ac:dyDescent="0.3">
      <c r="A710" s="17">
        <v>45051</v>
      </c>
      <c r="B710">
        <v>-11.19</v>
      </c>
      <c r="C710">
        <f t="shared" si="56"/>
        <v>5</v>
      </c>
      <c r="D710">
        <v>1</v>
      </c>
      <c r="E710">
        <f t="shared" si="57"/>
        <v>5</v>
      </c>
      <c r="F710">
        <f t="shared" si="58"/>
        <v>2023</v>
      </c>
      <c r="H710" s="17">
        <f t="shared" si="59"/>
        <v>45047</v>
      </c>
      <c r="J710">
        <f t="shared" si="55"/>
        <v>0</v>
      </c>
      <c r="N710" s="55"/>
    </row>
    <row r="711" spans="1:14" x14ac:dyDescent="0.3">
      <c r="A711" s="17">
        <v>45050</v>
      </c>
      <c r="B711">
        <v>-10.99</v>
      </c>
      <c r="C711">
        <f t="shared" si="56"/>
        <v>4</v>
      </c>
      <c r="D711">
        <v>1</v>
      </c>
      <c r="E711">
        <f t="shared" si="57"/>
        <v>5</v>
      </c>
      <c r="F711">
        <f t="shared" si="58"/>
        <v>2023</v>
      </c>
      <c r="H711" s="17">
        <f t="shared" si="59"/>
        <v>45047</v>
      </c>
      <c r="J711">
        <f t="shared" si="55"/>
        <v>1</v>
      </c>
      <c r="N711" s="55"/>
    </row>
    <row r="712" spans="1:14" x14ac:dyDescent="0.3">
      <c r="A712" s="17">
        <v>45049</v>
      </c>
      <c r="B712">
        <v>-11.54</v>
      </c>
      <c r="C712">
        <f t="shared" si="56"/>
        <v>3</v>
      </c>
      <c r="D712">
        <v>1</v>
      </c>
      <c r="E712">
        <f t="shared" si="57"/>
        <v>5</v>
      </c>
      <c r="F712">
        <f t="shared" si="58"/>
        <v>2023</v>
      </c>
      <c r="H712" s="17">
        <f t="shared" si="59"/>
        <v>45047</v>
      </c>
      <c r="J712">
        <f t="shared" si="55"/>
        <v>1</v>
      </c>
      <c r="N712" s="55"/>
    </row>
    <row r="713" spans="1:14" x14ac:dyDescent="0.3">
      <c r="A713" s="17">
        <v>45048</v>
      </c>
      <c r="B713">
        <v>-11.04</v>
      </c>
      <c r="C713">
        <f t="shared" si="56"/>
        <v>2</v>
      </c>
      <c r="D713">
        <v>1</v>
      </c>
      <c r="E713">
        <f t="shared" si="57"/>
        <v>5</v>
      </c>
      <c r="F713">
        <f t="shared" si="58"/>
        <v>2023</v>
      </c>
      <c r="H713" s="17">
        <f t="shared" si="59"/>
        <v>45047</v>
      </c>
      <c r="J713">
        <f t="shared" ref="J713:J776" si="60">IF(AND(C713&gt;=1, C713&lt;=4), 1, 0)</f>
        <v>1</v>
      </c>
      <c r="N713" s="55"/>
    </row>
    <row r="714" spans="1:14" x14ac:dyDescent="0.3">
      <c r="A714" s="17">
        <v>45047</v>
      </c>
      <c r="C714">
        <f t="shared" ref="C714:C777" si="61">+DAY(A714)</f>
        <v>1</v>
      </c>
      <c r="D714">
        <v>1</v>
      </c>
      <c r="E714">
        <f t="shared" ref="E714:E777" si="62">+MONTH(A714)</f>
        <v>5</v>
      </c>
      <c r="F714">
        <f t="shared" ref="F714:F777" si="63">+YEAR(A714)</f>
        <v>2023</v>
      </c>
      <c r="H714" s="17">
        <f t="shared" ref="H714:H777" si="64">+DATE(F714,E714,D714)</f>
        <v>45047</v>
      </c>
      <c r="J714">
        <f t="shared" si="60"/>
        <v>1</v>
      </c>
      <c r="N714" s="55"/>
    </row>
    <row r="715" spans="1:14" x14ac:dyDescent="0.3">
      <c r="A715" s="17">
        <v>45044</v>
      </c>
      <c r="B715">
        <v>-11.44</v>
      </c>
      <c r="C715">
        <f t="shared" si="61"/>
        <v>28</v>
      </c>
      <c r="D715">
        <v>1</v>
      </c>
      <c r="E715">
        <f t="shared" si="62"/>
        <v>4</v>
      </c>
      <c r="F715">
        <f t="shared" si="63"/>
        <v>2023</v>
      </c>
      <c r="H715" s="17">
        <f t="shared" si="64"/>
        <v>45017</v>
      </c>
      <c r="J715">
        <f t="shared" si="60"/>
        <v>0</v>
      </c>
      <c r="N715" s="55"/>
    </row>
    <row r="716" spans="1:14" x14ac:dyDescent="0.3">
      <c r="A716" s="17">
        <v>45043</v>
      </c>
      <c r="B716">
        <v>-10.32</v>
      </c>
      <c r="C716">
        <f t="shared" si="61"/>
        <v>27</v>
      </c>
      <c r="D716">
        <v>1</v>
      </c>
      <c r="E716">
        <f t="shared" si="62"/>
        <v>4</v>
      </c>
      <c r="F716">
        <f t="shared" si="63"/>
        <v>2023</v>
      </c>
      <c r="H716" s="17">
        <f t="shared" si="64"/>
        <v>45017</v>
      </c>
      <c r="J716">
        <f t="shared" si="60"/>
        <v>0</v>
      </c>
      <c r="N716" s="55"/>
    </row>
    <row r="717" spans="1:14" x14ac:dyDescent="0.3">
      <c r="A717" s="17">
        <v>45042</v>
      </c>
      <c r="B717">
        <v>-11.05</v>
      </c>
      <c r="C717">
        <f t="shared" si="61"/>
        <v>26</v>
      </c>
      <c r="D717">
        <v>1</v>
      </c>
      <c r="E717">
        <f t="shared" si="62"/>
        <v>4</v>
      </c>
      <c r="F717">
        <f t="shared" si="63"/>
        <v>2023</v>
      </c>
      <c r="H717" s="17">
        <f t="shared" si="64"/>
        <v>45017</v>
      </c>
      <c r="J717">
        <f t="shared" si="60"/>
        <v>0</v>
      </c>
      <c r="N717" s="55"/>
    </row>
    <row r="718" spans="1:14" x14ac:dyDescent="0.3">
      <c r="A718" s="17">
        <v>45041</v>
      </c>
      <c r="B718">
        <v>-11.14</v>
      </c>
      <c r="C718">
        <f t="shared" si="61"/>
        <v>25</v>
      </c>
      <c r="D718">
        <v>1</v>
      </c>
      <c r="E718">
        <f t="shared" si="62"/>
        <v>4</v>
      </c>
      <c r="F718">
        <f t="shared" si="63"/>
        <v>2023</v>
      </c>
      <c r="H718" s="17">
        <f t="shared" si="64"/>
        <v>45017</v>
      </c>
      <c r="J718">
        <f t="shared" si="60"/>
        <v>0</v>
      </c>
      <c r="N718" s="55"/>
    </row>
    <row r="719" spans="1:14" x14ac:dyDescent="0.3">
      <c r="A719" s="17">
        <v>45040</v>
      </c>
      <c r="B719">
        <v>-10.74</v>
      </c>
      <c r="C719">
        <f t="shared" si="61"/>
        <v>24</v>
      </c>
      <c r="D719">
        <v>1</v>
      </c>
      <c r="E719">
        <f t="shared" si="62"/>
        <v>4</v>
      </c>
      <c r="F719">
        <f t="shared" si="63"/>
        <v>2023</v>
      </c>
      <c r="H719" s="17">
        <f t="shared" si="64"/>
        <v>45017</v>
      </c>
      <c r="J719">
        <f t="shared" si="60"/>
        <v>0</v>
      </c>
      <c r="N719" s="55"/>
    </row>
    <row r="720" spans="1:14" x14ac:dyDescent="0.3">
      <c r="A720" s="17">
        <v>45037</v>
      </c>
      <c r="B720">
        <v>-10.85</v>
      </c>
      <c r="C720">
        <f t="shared" si="61"/>
        <v>21</v>
      </c>
      <c r="D720">
        <v>1</v>
      </c>
      <c r="E720">
        <f t="shared" si="62"/>
        <v>4</v>
      </c>
      <c r="F720">
        <f t="shared" si="63"/>
        <v>2023</v>
      </c>
      <c r="H720" s="17">
        <f t="shared" si="64"/>
        <v>45017</v>
      </c>
      <c r="J720">
        <f t="shared" si="60"/>
        <v>0</v>
      </c>
      <c r="N720" s="55"/>
    </row>
    <row r="721" spans="1:14" x14ac:dyDescent="0.3">
      <c r="A721" s="17">
        <v>45036</v>
      </c>
      <c r="B721">
        <v>-11.23</v>
      </c>
      <c r="C721">
        <f t="shared" si="61"/>
        <v>20</v>
      </c>
      <c r="D721">
        <v>1</v>
      </c>
      <c r="E721">
        <f t="shared" si="62"/>
        <v>4</v>
      </c>
      <c r="F721">
        <f t="shared" si="63"/>
        <v>2023</v>
      </c>
      <c r="H721" s="17">
        <f t="shared" si="64"/>
        <v>45017</v>
      </c>
      <c r="J721">
        <f t="shared" si="60"/>
        <v>0</v>
      </c>
      <c r="N721" s="55"/>
    </row>
    <row r="722" spans="1:14" x14ac:dyDescent="0.3">
      <c r="A722" s="17">
        <v>45035</v>
      </c>
      <c r="B722">
        <v>-13.01</v>
      </c>
      <c r="C722">
        <f t="shared" si="61"/>
        <v>19</v>
      </c>
      <c r="D722">
        <v>1</v>
      </c>
      <c r="E722">
        <f t="shared" si="62"/>
        <v>4</v>
      </c>
      <c r="F722">
        <f t="shared" si="63"/>
        <v>2023</v>
      </c>
      <c r="H722" s="17">
        <f t="shared" si="64"/>
        <v>45017</v>
      </c>
      <c r="J722">
        <f t="shared" si="60"/>
        <v>0</v>
      </c>
      <c r="N722" s="55"/>
    </row>
    <row r="723" spans="1:14" x14ac:dyDescent="0.3">
      <c r="A723" s="17">
        <v>45034</v>
      </c>
      <c r="B723">
        <v>-12.27</v>
      </c>
      <c r="C723">
        <f t="shared" si="61"/>
        <v>18</v>
      </c>
      <c r="D723">
        <v>1</v>
      </c>
      <c r="E723">
        <f t="shared" si="62"/>
        <v>4</v>
      </c>
      <c r="F723">
        <f t="shared" si="63"/>
        <v>2023</v>
      </c>
      <c r="H723" s="17">
        <f t="shared" si="64"/>
        <v>45017</v>
      </c>
      <c r="J723">
        <f t="shared" si="60"/>
        <v>0</v>
      </c>
      <c r="N723" s="55"/>
    </row>
    <row r="724" spans="1:14" x14ac:dyDescent="0.3">
      <c r="A724" s="17">
        <v>45033</v>
      </c>
      <c r="B724">
        <v>-12.39</v>
      </c>
      <c r="C724">
        <f t="shared" si="61"/>
        <v>17</v>
      </c>
      <c r="D724">
        <v>1</v>
      </c>
      <c r="E724">
        <f t="shared" si="62"/>
        <v>4</v>
      </c>
      <c r="F724">
        <f t="shared" si="63"/>
        <v>2023</v>
      </c>
      <c r="H724" s="17">
        <f t="shared" si="64"/>
        <v>45017</v>
      </c>
      <c r="J724">
        <f t="shared" si="60"/>
        <v>0</v>
      </c>
      <c r="N724" s="55"/>
    </row>
    <row r="725" spans="1:14" x14ac:dyDescent="0.3">
      <c r="A725" s="17">
        <v>45030</v>
      </c>
      <c r="B725">
        <v>-12</v>
      </c>
      <c r="C725">
        <f t="shared" si="61"/>
        <v>14</v>
      </c>
      <c r="D725">
        <v>1</v>
      </c>
      <c r="E725">
        <f t="shared" si="62"/>
        <v>4</v>
      </c>
      <c r="F725">
        <f t="shared" si="63"/>
        <v>2023</v>
      </c>
      <c r="H725" s="17">
        <f t="shared" si="64"/>
        <v>45017</v>
      </c>
      <c r="J725">
        <f t="shared" si="60"/>
        <v>0</v>
      </c>
      <c r="N725" s="55"/>
    </row>
    <row r="726" spans="1:14" x14ac:dyDescent="0.3">
      <c r="A726" s="17">
        <v>45029</v>
      </c>
      <c r="B726">
        <v>-12.59</v>
      </c>
      <c r="C726">
        <f t="shared" si="61"/>
        <v>13</v>
      </c>
      <c r="D726">
        <v>1</v>
      </c>
      <c r="E726">
        <f t="shared" si="62"/>
        <v>4</v>
      </c>
      <c r="F726">
        <f t="shared" si="63"/>
        <v>2023</v>
      </c>
      <c r="H726" s="17">
        <f t="shared" si="64"/>
        <v>45017</v>
      </c>
      <c r="J726">
        <f t="shared" si="60"/>
        <v>0</v>
      </c>
      <c r="N726" s="55"/>
    </row>
    <row r="727" spans="1:14" x14ac:dyDescent="0.3">
      <c r="A727" s="17">
        <v>45028</v>
      </c>
      <c r="B727">
        <v>-12.01</v>
      </c>
      <c r="C727">
        <f t="shared" si="61"/>
        <v>12</v>
      </c>
      <c r="D727">
        <v>1</v>
      </c>
      <c r="E727">
        <f t="shared" si="62"/>
        <v>4</v>
      </c>
      <c r="F727">
        <f t="shared" si="63"/>
        <v>2023</v>
      </c>
      <c r="H727" s="17">
        <f t="shared" si="64"/>
        <v>45017</v>
      </c>
      <c r="J727">
        <f t="shared" si="60"/>
        <v>0</v>
      </c>
      <c r="N727" s="55"/>
    </row>
    <row r="728" spans="1:14" x14ac:dyDescent="0.3">
      <c r="A728" s="17">
        <v>45027</v>
      </c>
      <c r="B728">
        <v>-11.8</v>
      </c>
      <c r="C728">
        <f t="shared" si="61"/>
        <v>11</v>
      </c>
      <c r="D728">
        <v>1</v>
      </c>
      <c r="E728">
        <f t="shared" si="62"/>
        <v>4</v>
      </c>
      <c r="F728">
        <f t="shared" si="63"/>
        <v>2023</v>
      </c>
      <c r="H728" s="17">
        <f t="shared" si="64"/>
        <v>45017</v>
      </c>
      <c r="J728">
        <f t="shared" si="60"/>
        <v>0</v>
      </c>
      <c r="N728" s="55"/>
    </row>
    <row r="729" spans="1:14" x14ac:dyDescent="0.3">
      <c r="A729" s="17">
        <v>45026</v>
      </c>
      <c r="B729">
        <v>-12.29</v>
      </c>
      <c r="C729">
        <f t="shared" si="61"/>
        <v>10</v>
      </c>
      <c r="D729">
        <v>1</v>
      </c>
      <c r="E729">
        <f t="shared" si="62"/>
        <v>4</v>
      </c>
      <c r="F729">
        <f t="shared" si="63"/>
        <v>2023</v>
      </c>
      <c r="H729" s="17">
        <f t="shared" si="64"/>
        <v>45017</v>
      </c>
      <c r="J729">
        <f t="shared" si="60"/>
        <v>0</v>
      </c>
      <c r="N729" s="55"/>
    </row>
    <row r="730" spans="1:14" x14ac:dyDescent="0.3">
      <c r="A730" s="17">
        <v>45022</v>
      </c>
      <c r="B730">
        <v>-11.97</v>
      </c>
      <c r="C730">
        <f t="shared" si="61"/>
        <v>6</v>
      </c>
      <c r="D730">
        <v>1</v>
      </c>
      <c r="E730">
        <f t="shared" si="62"/>
        <v>4</v>
      </c>
      <c r="F730">
        <f t="shared" si="63"/>
        <v>2023</v>
      </c>
      <c r="H730" s="17">
        <f t="shared" si="64"/>
        <v>45017</v>
      </c>
      <c r="J730">
        <f t="shared" si="60"/>
        <v>0</v>
      </c>
      <c r="N730" s="55"/>
    </row>
    <row r="731" spans="1:14" x14ac:dyDescent="0.3">
      <c r="A731" s="17">
        <v>45021</v>
      </c>
      <c r="B731">
        <v>-11.8</v>
      </c>
      <c r="C731">
        <f t="shared" si="61"/>
        <v>5</v>
      </c>
      <c r="D731">
        <v>1</v>
      </c>
      <c r="E731">
        <f t="shared" si="62"/>
        <v>4</v>
      </c>
      <c r="F731">
        <f t="shared" si="63"/>
        <v>2023</v>
      </c>
      <c r="H731" s="17">
        <f t="shared" si="64"/>
        <v>45017</v>
      </c>
      <c r="J731">
        <f t="shared" si="60"/>
        <v>0</v>
      </c>
      <c r="N731" s="55"/>
    </row>
    <row r="732" spans="1:14" x14ac:dyDescent="0.3">
      <c r="A732" s="17">
        <v>45020</v>
      </c>
      <c r="B732">
        <v>-11.56</v>
      </c>
      <c r="C732">
        <f t="shared" si="61"/>
        <v>4</v>
      </c>
      <c r="D732">
        <v>1</v>
      </c>
      <c r="E732">
        <f t="shared" si="62"/>
        <v>4</v>
      </c>
      <c r="F732">
        <f t="shared" si="63"/>
        <v>2023</v>
      </c>
      <c r="H732" s="17">
        <f t="shared" si="64"/>
        <v>45017</v>
      </c>
      <c r="J732">
        <f t="shared" si="60"/>
        <v>1</v>
      </c>
      <c r="N732" s="55"/>
    </row>
    <row r="733" spans="1:14" x14ac:dyDescent="0.3">
      <c r="A733" s="17">
        <v>45019</v>
      </c>
      <c r="B733">
        <v>-11.77</v>
      </c>
      <c r="C733">
        <f t="shared" si="61"/>
        <v>3</v>
      </c>
      <c r="D733">
        <v>1</v>
      </c>
      <c r="E733">
        <f t="shared" si="62"/>
        <v>4</v>
      </c>
      <c r="F733">
        <f t="shared" si="63"/>
        <v>2023</v>
      </c>
      <c r="H733" s="17">
        <f t="shared" si="64"/>
        <v>45017</v>
      </c>
      <c r="J733">
        <f t="shared" si="60"/>
        <v>1</v>
      </c>
      <c r="N733" s="55"/>
    </row>
    <row r="734" spans="1:14" x14ac:dyDescent="0.3">
      <c r="A734" s="17">
        <v>45017</v>
      </c>
      <c r="C734">
        <f t="shared" si="61"/>
        <v>1</v>
      </c>
      <c r="D734">
        <v>1</v>
      </c>
      <c r="E734">
        <f t="shared" si="62"/>
        <v>4</v>
      </c>
      <c r="F734">
        <f t="shared" si="63"/>
        <v>2023</v>
      </c>
      <c r="H734" s="17">
        <f t="shared" si="64"/>
        <v>45017</v>
      </c>
      <c r="J734">
        <f t="shared" si="60"/>
        <v>1</v>
      </c>
      <c r="N734" s="55"/>
    </row>
    <row r="735" spans="1:14" x14ac:dyDescent="0.3">
      <c r="A735" s="17">
        <v>45016</v>
      </c>
      <c r="B735">
        <v>-9.89</v>
      </c>
      <c r="C735">
        <f t="shared" si="61"/>
        <v>31</v>
      </c>
      <c r="D735">
        <v>1</v>
      </c>
      <c r="E735">
        <f t="shared" si="62"/>
        <v>3</v>
      </c>
      <c r="F735">
        <f t="shared" si="63"/>
        <v>2023</v>
      </c>
      <c r="H735" s="17">
        <f t="shared" si="64"/>
        <v>44986</v>
      </c>
      <c r="J735">
        <f t="shared" si="60"/>
        <v>0</v>
      </c>
      <c r="N735" s="55"/>
    </row>
    <row r="736" spans="1:14" x14ac:dyDescent="0.3">
      <c r="A736" s="17">
        <v>45015</v>
      </c>
      <c r="B736">
        <v>-8.18</v>
      </c>
      <c r="C736">
        <f t="shared" si="61"/>
        <v>30</v>
      </c>
      <c r="D736">
        <v>1</v>
      </c>
      <c r="E736">
        <f t="shared" si="62"/>
        <v>3</v>
      </c>
      <c r="F736">
        <f t="shared" si="63"/>
        <v>2023</v>
      </c>
      <c r="H736" s="17">
        <f t="shared" si="64"/>
        <v>44986</v>
      </c>
      <c r="J736">
        <f t="shared" si="60"/>
        <v>0</v>
      </c>
      <c r="N736" s="55"/>
    </row>
    <row r="737" spans="1:14" x14ac:dyDescent="0.3">
      <c r="A737" s="17">
        <v>45014</v>
      </c>
      <c r="B737">
        <v>-7.9</v>
      </c>
      <c r="C737">
        <f t="shared" si="61"/>
        <v>29</v>
      </c>
      <c r="D737">
        <v>1</v>
      </c>
      <c r="E737">
        <f t="shared" si="62"/>
        <v>3</v>
      </c>
      <c r="F737">
        <f t="shared" si="63"/>
        <v>2023</v>
      </c>
      <c r="H737" s="17">
        <f t="shared" si="64"/>
        <v>44986</v>
      </c>
      <c r="J737">
        <f t="shared" si="60"/>
        <v>0</v>
      </c>
      <c r="N737" s="55"/>
    </row>
    <row r="738" spans="1:14" x14ac:dyDescent="0.3">
      <c r="A738" s="17">
        <v>45013</v>
      </c>
      <c r="B738">
        <v>-7.32</v>
      </c>
      <c r="C738">
        <f t="shared" si="61"/>
        <v>28</v>
      </c>
      <c r="D738">
        <v>1</v>
      </c>
      <c r="E738">
        <f t="shared" si="62"/>
        <v>3</v>
      </c>
      <c r="F738">
        <f t="shared" si="63"/>
        <v>2023</v>
      </c>
      <c r="H738" s="17">
        <f t="shared" si="64"/>
        <v>44986</v>
      </c>
      <c r="J738">
        <f t="shared" si="60"/>
        <v>0</v>
      </c>
      <c r="N738" s="55"/>
    </row>
    <row r="739" spans="1:14" x14ac:dyDescent="0.3">
      <c r="A739" s="17">
        <v>45012</v>
      </c>
      <c r="B739">
        <v>-6.59</v>
      </c>
      <c r="C739">
        <f t="shared" si="61"/>
        <v>27</v>
      </c>
      <c r="D739">
        <v>1</v>
      </c>
      <c r="E739">
        <f t="shared" si="62"/>
        <v>3</v>
      </c>
      <c r="F739">
        <f t="shared" si="63"/>
        <v>2023</v>
      </c>
      <c r="H739" s="17">
        <f t="shared" si="64"/>
        <v>44986</v>
      </c>
      <c r="J739">
        <f t="shared" si="60"/>
        <v>0</v>
      </c>
      <c r="N739" s="55"/>
    </row>
    <row r="740" spans="1:14" x14ac:dyDescent="0.3">
      <c r="A740" s="17">
        <v>45009</v>
      </c>
      <c r="B740">
        <v>-6.77</v>
      </c>
      <c r="C740">
        <f t="shared" si="61"/>
        <v>24</v>
      </c>
      <c r="D740">
        <v>1</v>
      </c>
      <c r="E740">
        <f t="shared" si="62"/>
        <v>3</v>
      </c>
      <c r="F740">
        <f t="shared" si="63"/>
        <v>2023</v>
      </c>
      <c r="H740" s="17">
        <f t="shared" si="64"/>
        <v>44986</v>
      </c>
      <c r="J740">
        <f t="shared" si="60"/>
        <v>0</v>
      </c>
      <c r="N740" s="55"/>
    </row>
    <row r="741" spans="1:14" x14ac:dyDescent="0.3">
      <c r="A741" s="17">
        <v>45008</v>
      </c>
      <c r="B741">
        <v>-7.82</v>
      </c>
      <c r="C741">
        <f t="shared" si="61"/>
        <v>23</v>
      </c>
      <c r="D741">
        <v>1</v>
      </c>
      <c r="E741">
        <f t="shared" si="62"/>
        <v>3</v>
      </c>
      <c r="F741">
        <f t="shared" si="63"/>
        <v>2023</v>
      </c>
      <c r="H741" s="17">
        <f t="shared" si="64"/>
        <v>44986</v>
      </c>
      <c r="J741">
        <f t="shared" si="60"/>
        <v>0</v>
      </c>
      <c r="N741" s="55"/>
    </row>
    <row r="742" spans="1:14" x14ac:dyDescent="0.3">
      <c r="A742" s="17">
        <v>45007</v>
      </c>
      <c r="B742">
        <v>-8.32</v>
      </c>
      <c r="C742">
        <f t="shared" si="61"/>
        <v>22</v>
      </c>
      <c r="D742">
        <v>1</v>
      </c>
      <c r="E742">
        <f t="shared" si="62"/>
        <v>3</v>
      </c>
      <c r="F742">
        <f t="shared" si="63"/>
        <v>2023</v>
      </c>
      <c r="H742" s="17">
        <f t="shared" si="64"/>
        <v>44986</v>
      </c>
      <c r="J742">
        <f t="shared" si="60"/>
        <v>0</v>
      </c>
      <c r="N742" s="55"/>
    </row>
    <row r="743" spans="1:14" x14ac:dyDescent="0.3">
      <c r="A743" s="17">
        <v>45006</v>
      </c>
      <c r="B743">
        <v>-7.29</v>
      </c>
      <c r="C743">
        <f t="shared" si="61"/>
        <v>21</v>
      </c>
      <c r="D743">
        <v>1</v>
      </c>
      <c r="E743">
        <f t="shared" si="62"/>
        <v>3</v>
      </c>
      <c r="F743">
        <f t="shared" si="63"/>
        <v>2023</v>
      </c>
      <c r="H743" s="17">
        <f t="shared" si="64"/>
        <v>44986</v>
      </c>
      <c r="J743">
        <f t="shared" si="60"/>
        <v>0</v>
      </c>
      <c r="N743" s="55"/>
    </row>
    <row r="744" spans="1:14" x14ac:dyDescent="0.3">
      <c r="A744" s="17">
        <v>45005</v>
      </c>
      <c r="B744">
        <v>-7.04</v>
      </c>
      <c r="C744">
        <f t="shared" si="61"/>
        <v>20</v>
      </c>
      <c r="D744">
        <v>1</v>
      </c>
      <c r="E744">
        <f t="shared" si="62"/>
        <v>3</v>
      </c>
      <c r="F744">
        <f t="shared" si="63"/>
        <v>2023</v>
      </c>
      <c r="H744" s="17">
        <f t="shared" si="64"/>
        <v>44986</v>
      </c>
      <c r="J744">
        <f t="shared" si="60"/>
        <v>0</v>
      </c>
      <c r="N744" s="55"/>
    </row>
    <row r="745" spans="1:14" x14ac:dyDescent="0.3">
      <c r="A745" s="17">
        <v>45002</v>
      </c>
      <c r="B745">
        <v>-6.7</v>
      </c>
      <c r="C745">
        <f t="shared" si="61"/>
        <v>17</v>
      </c>
      <c r="D745">
        <v>1</v>
      </c>
      <c r="E745">
        <f t="shared" si="62"/>
        <v>3</v>
      </c>
      <c r="F745">
        <f t="shared" si="63"/>
        <v>2023</v>
      </c>
      <c r="H745" s="17">
        <f t="shared" si="64"/>
        <v>44986</v>
      </c>
      <c r="J745">
        <f t="shared" si="60"/>
        <v>0</v>
      </c>
      <c r="N745" s="55"/>
    </row>
    <row r="746" spans="1:14" x14ac:dyDescent="0.3">
      <c r="A746" s="17">
        <v>45001</v>
      </c>
      <c r="B746">
        <v>-7.22</v>
      </c>
      <c r="C746">
        <f t="shared" si="61"/>
        <v>16</v>
      </c>
      <c r="D746">
        <v>1</v>
      </c>
      <c r="E746">
        <f t="shared" si="62"/>
        <v>3</v>
      </c>
      <c r="F746">
        <f t="shared" si="63"/>
        <v>2023</v>
      </c>
      <c r="H746" s="17">
        <f t="shared" si="64"/>
        <v>44986</v>
      </c>
      <c r="J746">
        <f t="shared" si="60"/>
        <v>0</v>
      </c>
      <c r="N746" s="55"/>
    </row>
    <row r="747" spans="1:14" x14ac:dyDescent="0.3">
      <c r="A747" s="17">
        <v>45000</v>
      </c>
      <c r="B747">
        <v>-6.05</v>
      </c>
      <c r="C747">
        <f t="shared" si="61"/>
        <v>15</v>
      </c>
      <c r="D747">
        <v>1</v>
      </c>
      <c r="E747">
        <f t="shared" si="62"/>
        <v>3</v>
      </c>
      <c r="F747">
        <f t="shared" si="63"/>
        <v>2023</v>
      </c>
      <c r="H747" s="17">
        <f t="shared" si="64"/>
        <v>44986</v>
      </c>
      <c r="J747">
        <f t="shared" si="60"/>
        <v>0</v>
      </c>
      <c r="N747" s="55"/>
    </row>
    <row r="748" spans="1:14" x14ac:dyDescent="0.3">
      <c r="A748" s="17">
        <v>44999</v>
      </c>
      <c r="B748">
        <v>-6.85</v>
      </c>
      <c r="C748">
        <f t="shared" si="61"/>
        <v>14</v>
      </c>
      <c r="D748">
        <v>1</v>
      </c>
      <c r="E748">
        <f t="shared" si="62"/>
        <v>3</v>
      </c>
      <c r="F748">
        <f t="shared" si="63"/>
        <v>2023</v>
      </c>
      <c r="H748" s="17">
        <f t="shared" si="64"/>
        <v>44986</v>
      </c>
      <c r="J748">
        <f t="shared" si="60"/>
        <v>0</v>
      </c>
      <c r="N748" s="55"/>
    </row>
    <row r="749" spans="1:14" x14ac:dyDescent="0.3">
      <c r="A749" s="17">
        <v>44998</v>
      </c>
      <c r="B749">
        <v>-8.41</v>
      </c>
      <c r="C749">
        <f t="shared" si="61"/>
        <v>13</v>
      </c>
      <c r="D749">
        <v>1</v>
      </c>
      <c r="E749">
        <f t="shared" si="62"/>
        <v>3</v>
      </c>
      <c r="F749">
        <f t="shared" si="63"/>
        <v>2023</v>
      </c>
      <c r="H749" s="17">
        <f t="shared" si="64"/>
        <v>44986</v>
      </c>
      <c r="J749">
        <f t="shared" si="60"/>
        <v>0</v>
      </c>
      <c r="N749" s="55"/>
    </row>
    <row r="750" spans="1:14" x14ac:dyDescent="0.3">
      <c r="A750" s="17">
        <v>44995</v>
      </c>
      <c r="B750">
        <v>-7.29</v>
      </c>
      <c r="C750">
        <f t="shared" si="61"/>
        <v>10</v>
      </c>
      <c r="D750">
        <v>1</v>
      </c>
      <c r="E750">
        <f t="shared" si="62"/>
        <v>3</v>
      </c>
      <c r="F750">
        <f t="shared" si="63"/>
        <v>2023</v>
      </c>
      <c r="H750" s="17">
        <f t="shared" si="64"/>
        <v>44986</v>
      </c>
      <c r="J750">
        <f t="shared" si="60"/>
        <v>0</v>
      </c>
      <c r="N750" s="55"/>
    </row>
    <row r="751" spans="1:14" x14ac:dyDescent="0.3">
      <c r="A751" s="17">
        <v>44994</v>
      </c>
      <c r="B751">
        <v>-6.45</v>
      </c>
      <c r="C751">
        <f t="shared" si="61"/>
        <v>9</v>
      </c>
      <c r="D751">
        <v>1</v>
      </c>
      <c r="E751">
        <f t="shared" si="62"/>
        <v>3</v>
      </c>
      <c r="F751">
        <f t="shared" si="63"/>
        <v>2023</v>
      </c>
      <c r="H751" s="17">
        <f t="shared" si="64"/>
        <v>44986</v>
      </c>
      <c r="J751">
        <f t="shared" si="60"/>
        <v>0</v>
      </c>
      <c r="N751" s="55"/>
    </row>
    <row r="752" spans="1:14" x14ac:dyDescent="0.3">
      <c r="A752" s="17">
        <v>44993</v>
      </c>
      <c r="B752">
        <v>-6.03</v>
      </c>
      <c r="C752">
        <f t="shared" si="61"/>
        <v>8</v>
      </c>
      <c r="D752">
        <v>1</v>
      </c>
      <c r="E752">
        <f t="shared" si="62"/>
        <v>3</v>
      </c>
      <c r="F752">
        <f t="shared" si="63"/>
        <v>2023</v>
      </c>
      <c r="H752" s="17">
        <f t="shared" si="64"/>
        <v>44986</v>
      </c>
      <c r="J752">
        <f t="shared" si="60"/>
        <v>0</v>
      </c>
      <c r="N752" s="55"/>
    </row>
    <row r="753" spans="1:14" x14ac:dyDescent="0.3">
      <c r="A753" s="17">
        <v>44992</v>
      </c>
      <c r="B753">
        <v>-5.61</v>
      </c>
      <c r="C753">
        <f t="shared" si="61"/>
        <v>7</v>
      </c>
      <c r="D753">
        <v>1</v>
      </c>
      <c r="E753">
        <f t="shared" si="62"/>
        <v>3</v>
      </c>
      <c r="F753">
        <f t="shared" si="63"/>
        <v>2023</v>
      </c>
      <c r="H753" s="17">
        <f t="shared" si="64"/>
        <v>44986</v>
      </c>
      <c r="J753">
        <f t="shared" si="60"/>
        <v>0</v>
      </c>
      <c r="N753" s="55"/>
    </row>
    <row r="754" spans="1:14" x14ac:dyDescent="0.3">
      <c r="A754" s="17">
        <v>44991</v>
      </c>
      <c r="B754">
        <v>-5.78</v>
      </c>
      <c r="C754">
        <f t="shared" si="61"/>
        <v>6</v>
      </c>
      <c r="D754">
        <v>1</v>
      </c>
      <c r="E754">
        <f t="shared" si="62"/>
        <v>3</v>
      </c>
      <c r="F754">
        <f t="shared" si="63"/>
        <v>2023</v>
      </c>
      <c r="H754" s="17">
        <f t="shared" si="64"/>
        <v>44986</v>
      </c>
      <c r="J754">
        <f t="shared" si="60"/>
        <v>0</v>
      </c>
      <c r="N754" s="55"/>
    </row>
    <row r="755" spans="1:14" x14ac:dyDescent="0.3">
      <c r="A755" s="17">
        <v>44988</v>
      </c>
      <c r="B755">
        <v>-6.48</v>
      </c>
      <c r="C755">
        <f t="shared" si="61"/>
        <v>3</v>
      </c>
      <c r="D755">
        <v>1</v>
      </c>
      <c r="E755">
        <f t="shared" si="62"/>
        <v>3</v>
      </c>
      <c r="F755">
        <f t="shared" si="63"/>
        <v>2023</v>
      </c>
      <c r="H755" s="17">
        <f t="shared" si="64"/>
        <v>44986</v>
      </c>
      <c r="J755">
        <f t="shared" si="60"/>
        <v>1</v>
      </c>
      <c r="N755" s="55"/>
    </row>
    <row r="756" spans="1:14" x14ac:dyDescent="0.3">
      <c r="A756" s="17">
        <v>44987</v>
      </c>
      <c r="B756">
        <v>-6.15</v>
      </c>
      <c r="C756">
        <f t="shared" si="61"/>
        <v>2</v>
      </c>
      <c r="D756">
        <v>1</v>
      </c>
      <c r="E756">
        <f t="shared" si="62"/>
        <v>3</v>
      </c>
      <c r="F756">
        <f t="shared" si="63"/>
        <v>2023</v>
      </c>
      <c r="H756" s="17">
        <f t="shared" si="64"/>
        <v>44986</v>
      </c>
      <c r="J756">
        <f t="shared" si="60"/>
        <v>1</v>
      </c>
      <c r="N756" s="55"/>
    </row>
    <row r="757" spans="1:14" x14ac:dyDescent="0.3">
      <c r="A757" s="17">
        <v>44986</v>
      </c>
      <c r="B757">
        <v>-5.62</v>
      </c>
      <c r="C757">
        <f t="shared" si="61"/>
        <v>1</v>
      </c>
      <c r="D757">
        <v>1</v>
      </c>
      <c r="E757">
        <f t="shared" si="62"/>
        <v>3</v>
      </c>
      <c r="F757">
        <f t="shared" si="63"/>
        <v>2023</v>
      </c>
      <c r="H757" s="17">
        <f t="shared" si="64"/>
        <v>44986</v>
      </c>
      <c r="J757">
        <f t="shared" si="60"/>
        <v>1</v>
      </c>
      <c r="N757" s="55"/>
    </row>
    <row r="758" spans="1:14" x14ac:dyDescent="0.3">
      <c r="A758" s="17">
        <v>44985</v>
      </c>
      <c r="B758">
        <v>-4.17</v>
      </c>
      <c r="C758">
        <f t="shared" si="61"/>
        <v>28</v>
      </c>
      <c r="D758">
        <v>1</v>
      </c>
      <c r="E758">
        <f t="shared" si="62"/>
        <v>2</v>
      </c>
      <c r="F758">
        <f t="shared" si="63"/>
        <v>2023</v>
      </c>
      <c r="H758" s="17">
        <f t="shared" si="64"/>
        <v>44958</v>
      </c>
      <c r="J758">
        <f t="shared" si="60"/>
        <v>0</v>
      </c>
      <c r="N758" s="55"/>
    </row>
    <row r="759" spans="1:14" x14ac:dyDescent="0.3">
      <c r="A759" s="17">
        <v>44984</v>
      </c>
      <c r="B759">
        <v>-5.12</v>
      </c>
      <c r="C759">
        <f t="shared" si="61"/>
        <v>27</v>
      </c>
      <c r="D759">
        <v>1</v>
      </c>
      <c r="E759">
        <f t="shared" si="62"/>
        <v>2</v>
      </c>
      <c r="F759">
        <f t="shared" si="63"/>
        <v>2023</v>
      </c>
      <c r="H759" s="17">
        <f t="shared" si="64"/>
        <v>44958</v>
      </c>
      <c r="J759">
        <f t="shared" si="60"/>
        <v>0</v>
      </c>
      <c r="N759" s="55"/>
    </row>
    <row r="760" spans="1:14" x14ac:dyDescent="0.3">
      <c r="A760" s="17">
        <v>44981</v>
      </c>
      <c r="B760">
        <v>-6.13</v>
      </c>
      <c r="C760">
        <f t="shared" si="61"/>
        <v>24</v>
      </c>
      <c r="D760">
        <v>1</v>
      </c>
      <c r="E760">
        <f t="shared" si="62"/>
        <v>2</v>
      </c>
      <c r="F760">
        <f t="shared" si="63"/>
        <v>2023</v>
      </c>
      <c r="H760" s="17">
        <f t="shared" si="64"/>
        <v>44958</v>
      </c>
      <c r="J760">
        <f t="shared" si="60"/>
        <v>0</v>
      </c>
      <c r="N760" s="55"/>
    </row>
    <row r="761" spans="1:14" x14ac:dyDescent="0.3">
      <c r="A761" s="17">
        <v>44980</v>
      </c>
      <c r="B761">
        <v>-5.7</v>
      </c>
      <c r="C761">
        <f t="shared" si="61"/>
        <v>23</v>
      </c>
      <c r="D761">
        <v>1</v>
      </c>
      <c r="E761">
        <f t="shared" si="62"/>
        <v>2</v>
      </c>
      <c r="F761">
        <f t="shared" si="63"/>
        <v>2023</v>
      </c>
      <c r="H761" s="17">
        <f t="shared" si="64"/>
        <v>44958</v>
      </c>
      <c r="J761">
        <f t="shared" si="60"/>
        <v>0</v>
      </c>
      <c r="N761" s="55"/>
    </row>
    <row r="762" spans="1:14" x14ac:dyDescent="0.3">
      <c r="A762" s="17">
        <v>44979</v>
      </c>
      <c r="B762">
        <v>-5.55</v>
      </c>
      <c r="C762">
        <f t="shared" si="61"/>
        <v>22</v>
      </c>
      <c r="D762">
        <v>1</v>
      </c>
      <c r="E762">
        <f t="shared" si="62"/>
        <v>2</v>
      </c>
      <c r="F762">
        <f t="shared" si="63"/>
        <v>2023</v>
      </c>
      <c r="H762" s="17">
        <f t="shared" si="64"/>
        <v>44958</v>
      </c>
      <c r="J762">
        <f t="shared" si="60"/>
        <v>0</v>
      </c>
      <c r="N762" s="55"/>
    </row>
    <row r="763" spans="1:14" x14ac:dyDescent="0.3">
      <c r="A763" s="17">
        <v>44978</v>
      </c>
      <c r="B763">
        <v>-5.83</v>
      </c>
      <c r="C763">
        <f t="shared" si="61"/>
        <v>21</v>
      </c>
      <c r="D763">
        <v>1</v>
      </c>
      <c r="E763">
        <f t="shared" si="62"/>
        <v>2</v>
      </c>
      <c r="F763">
        <f t="shared" si="63"/>
        <v>2023</v>
      </c>
      <c r="H763" s="17">
        <f t="shared" si="64"/>
        <v>44958</v>
      </c>
      <c r="J763">
        <f t="shared" si="60"/>
        <v>0</v>
      </c>
      <c r="N763" s="55"/>
    </row>
    <row r="764" spans="1:14" x14ac:dyDescent="0.3">
      <c r="A764" s="17">
        <v>44977</v>
      </c>
      <c r="B764">
        <v>-5.65</v>
      </c>
      <c r="C764">
        <f t="shared" si="61"/>
        <v>20</v>
      </c>
      <c r="D764">
        <v>1</v>
      </c>
      <c r="E764">
        <f t="shared" si="62"/>
        <v>2</v>
      </c>
      <c r="F764">
        <f t="shared" si="63"/>
        <v>2023</v>
      </c>
      <c r="H764" s="17">
        <f t="shared" si="64"/>
        <v>44958</v>
      </c>
      <c r="J764">
        <f t="shared" si="60"/>
        <v>0</v>
      </c>
      <c r="N764" s="55"/>
    </row>
    <row r="765" spans="1:14" x14ac:dyDescent="0.3">
      <c r="A765" s="17">
        <v>44974</v>
      </c>
      <c r="B765">
        <v>-6.37</v>
      </c>
      <c r="C765">
        <f t="shared" si="61"/>
        <v>17</v>
      </c>
      <c r="D765">
        <v>1</v>
      </c>
      <c r="E765">
        <f t="shared" si="62"/>
        <v>2</v>
      </c>
      <c r="F765">
        <f t="shared" si="63"/>
        <v>2023</v>
      </c>
      <c r="H765" s="17">
        <f t="shared" si="64"/>
        <v>44958</v>
      </c>
      <c r="J765">
        <f t="shared" si="60"/>
        <v>0</v>
      </c>
      <c r="N765" s="55"/>
    </row>
    <row r="766" spans="1:14" x14ac:dyDescent="0.3">
      <c r="A766" s="17">
        <v>44973</v>
      </c>
      <c r="B766">
        <v>-7.26</v>
      </c>
      <c r="C766">
        <f t="shared" si="61"/>
        <v>16</v>
      </c>
      <c r="D766">
        <v>1</v>
      </c>
      <c r="E766">
        <f t="shared" si="62"/>
        <v>2</v>
      </c>
      <c r="F766">
        <f t="shared" si="63"/>
        <v>2023</v>
      </c>
      <c r="H766" s="17">
        <f t="shared" si="64"/>
        <v>44958</v>
      </c>
      <c r="J766">
        <f t="shared" si="60"/>
        <v>0</v>
      </c>
      <c r="N766" s="55"/>
    </row>
    <row r="767" spans="1:14" x14ac:dyDescent="0.3">
      <c r="A767" s="17">
        <v>44972</v>
      </c>
      <c r="B767">
        <v>-5.95</v>
      </c>
      <c r="C767">
        <f t="shared" si="61"/>
        <v>15</v>
      </c>
      <c r="D767">
        <v>1</v>
      </c>
      <c r="E767">
        <f t="shared" si="62"/>
        <v>2</v>
      </c>
      <c r="F767">
        <f t="shared" si="63"/>
        <v>2023</v>
      </c>
      <c r="H767" s="17">
        <f t="shared" si="64"/>
        <v>44958</v>
      </c>
      <c r="J767">
        <f t="shared" si="60"/>
        <v>0</v>
      </c>
      <c r="N767" s="55"/>
    </row>
    <row r="768" spans="1:14" x14ac:dyDescent="0.3">
      <c r="A768" s="17">
        <v>44971</v>
      </c>
      <c r="B768">
        <v>-8.26</v>
      </c>
      <c r="C768">
        <f t="shared" si="61"/>
        <v>14</v>
      </c>
      <c r="D768">
        <v>1</v>
      </c>
      <c r="E768">
        <f t="shared" si="62"/>
        <v>2</v>
      </c>
      <c r="F768">
        <f t="shared" si="63"/>
        <v>2023</v>
      </c>
      <c r="H768" s="17">
        <f t="shared" si="64"/>
        <v>44958</v>
      </c>
      <c r="J768">
        <f t="shared" si="60"/>
        <v>0</v>
      </c>
      <c r="N768" s="55"/>
    </row>
    <row r="769" spans="1:14" x14ac:dyDescent="0.3">
      <c r="A769" s="17">
        <v>44970</v>
      </c>
      <c r="B769">
        <v>-8.26</v>
      </c>
      <c r="C769">
        <f t="shared" si="61"/>
        <v>13</v>
      </c>
      <c r="D769">
        <v>1</v>
      </c>
      <c r="E769">
        <f t="shared" si="62"/>
        <v>2</v>
      </c>
      <c r="F769">
        <f t="shared" si="63"/>
        <v>2023</v>
      </c>
      <c r="H769" s="17">
        <f t="shared" si="64"/>
        <v>44958</v>
      </c>
      <c r="J769">
        <f t="shared" si="60"/>
        <v>0</v>
      </c>
      <c r="N769" s="55"/>
    </row>
    <row r="770" spans="1:14" x14ac:dyDescent="0.3">
      <c r="A770" s="17">
        <v>44967</v>
      </c>
      <c r="B770">
        <v>-8.02</v>
      </c>
      <c r="C770">
        <f t="shared" si="61"/>
        <v>10</v>
      </c>
      <c r="D770">
        <v>1</v>
      </c>
      <c r="E770">
        <f t="shared" si="62"/>
        <v>2</v>
      </c>
      <c r="F770">
        <f t="shared" si="63"/>
        <v>2023</v>
      </c>
      <c r="H770" s="17">
        <f t="shared" si="64"/>
        <v>44958</v>
      </c>
      <c r="J770">
        <f t="shared" si="60"/>
        <v>0</v>
      </c>
      <c r="N770" s="55"/>
    </row>
    <row r="771" spans="1:14" x14ac:dyDescent="0.3">
      <c r="A771" s="17">
        <v>44966</v>
      </c>
      <c r="B771">
        <v>-8.6199999999999992</v>
      </c>
      <c r="C771">
        <f t="shared" si="61"/>
        <v>9</v>
      </c>
      <c r="D771">
        <v>1</v>
      </c>
      <c r="E771">
        <f t="shared" si="62"/>
        <v>2</v>
      </c>
      <c r="F771">
        <f t="shared" si="63"/>
        <v>2023</v>
      </c>
      <c r="H771" s="17">
        <f t="shared" si="64"/>
        <v>44958</v>
      </c>
      <c r="J771">
        <f t="shared" si="60"/>
        <v>0</v>
      </c>
      <c r="N771" s="55"/>
    </row>
    <row r="772" spans="1:14" x14ac:dyDescent="0.3">
      <c r="A772" s="17">
        <v>44965</v>
      </c>
      <c r="B772">
        <v>-7.97</v>
      </c>
      <c r="C772">
        <f t="shared" si="61"/>
        <v>8</v>
      </c>
      <c r="D772">
        <v>1</v>
      </c>
      <c r="E772">
        <f t="shared" si="62"/>
        <v>2</v>
      </c>
      <c r="F772">
        <f t="shared" si="63"/>
        <v>2023</v>
      </c>
      <c r="H772" s="17">
        <f t="shared" si="64"/>
        <v>44958</v>
      </c>
      <c r="J772">
        <f t="shared" si="60"/>
        <v>0</v>
      </c>
      <c r="N772" s="55"/>
    </row>
    <row r="773" spans="1:14" x14ac:dyDescent="0.3">
      <c r="A773" s="17">
        <v>44964</v>
      </c>
      <c r="B773">
        <v>-8.7100000000000009</v>
      </c>
      <c r="C773">
        <f t="shared" si="61"/>
        <v>7</v>
      </c>
      <c r="D773">
        <v>1</v>
      </c>
      <c r="E773">
        <f t="shared" si="62"/>
        <v>2</v>
      </c>
      <c r="F773">
        <f t="shared" si="63"/>
        <v>2023</v>
      </c>
      <c r="H773" s="17">
        <f t="shared" si="64"/>
        <v>44958</v>
      </c>
      <c r="J773">
        <f t="shared" si="60"/>
        <v>0</v>
      </c>
      <c r="N773" s="55"/>
    </row>
    <row r="774" spans="1:14" x14ac:dyDescent="0.3">
      <c r="A774" s="17">
        <v>44963</v>
      </c>
      <c r="B774">
        <v>-6.57</v>
      </c>
      <c r="C774">
        <f t="shared" si="61"/>
        <v>6</v>
      </c>
      <c r="D774">
        <v>1</v>
      </c>
      <c r="E774">
        <f t="shared" si="62"/>
        <v>2</v>
      </c>
      <c r="F774">
        <f t="shared" si="63"/>
        <v>2023</v>
      </c>
      <c r="H774" s="17">
        <f t="shared" si="64"/>
        <v>44958</v>
      </c>
      <c r="J774">
        <f t="shared" si="60"/>
        <v>0</v>
      </c>
      <c r="N774" s="55"/>
    </row>
    <row r="775" spans="1:14" x14ac:dyDescent="0.3">
      <c r="A775" s="17">
        <v>44960</v>
      </c>
      <c r="B775">
        <v>-7.77</v>
      </c>
      <c r="C775">
        <f t="shared" si="61"/>
        <v>3</v>
      </c>
      <c r="D775">
        <v>1</v>
      </c>
      <c r="E775">
        <f t="shared" si="62"/>
        <v>2</v>
      </c>
      <c r="F775">
        <f t="shared" si="63"/>
        <v>2023</v>
      </c>
      <c r="H775" s="17">
        <f t="shared" si="64"/>
        <v>44958</v>
      </c>
      <c r="J775">
        <f t="shared" si="60"/>
        <v>1</v>
      </c>
      <c r="N775" s="55"/>
    </row>
    <row r="776" spans="1:14" x14ac:dyDescent="0.3">
      <c r="A776" s="17">
        <v>44959</v>
      </c>
      <c r="B776">
        <v>-8.1999999999999993</v>
      </c>
      <c r="C776">
        <f t="shared" si="61"/>
        <v>2</v>
      </c>
      <c r="D776">
        <v>1</v>
      </c>
      <c r="E776">
        <f t="shared" si="62"/>
        <v>2</v>
      </c>
      <c r="F776">
        <f t="shared" si="63"/>
        <v>2023</v>
      </c>
      <c r="H776" s="17">
        <f t="shared" si="64"/>
        <v>44958</v>
      </c>
      <c r="J776">
        <f t="shared" si="60"/>
        <v>1</v>
      </c>
      <c r="N776" s="55"/>
    </row>
    <row r="777" spans="1:14" x14ac:dyDescent="0.3">
      <c r="A777" s="17">
        <v>44958</v>
      </c>
      <c r="B777">
        <v>-9.9</v>
      </c>
      <c r="C777">
        <f t="shared" si="61"/>
        <v>1</v>
      </c>
      <c r="D777">
        <v>1</v>
      </c>
      <c r="E777">
        <f t="shared" si="62"/>
        <v>2</v>
      </c>
      <c r="F777">
        <f t="shared" si="63"/>
        <v>2023</v>
      </c>
      <c r="H777" s="17">
        <f t="shared" si="64"/>
        <v>44958</v>
      </c>
      <c r="J777">
        <f t="shared" ref="J777:J840" si="65">IF(AND(C777&gt;=1, C777&lt;=4), 1, 0)</f>
        <v>1</v>
      </c>
      <c r="N777" s="55"/>
    </row>
    <row r="778" spans="1:14" x14ac:dyDescent="0.3">
      <c r="A778" s="17">
        <v>44957</v>
      </c>
      <c r="B778">
        <v>-8.08</v>
      </c>
      <c r="C778">
        <f t="shared" ref="C778:C841" si="66">+DAY(A778)</f>
        <v>31</v>
      </c>
      <c r="D778">
        <v>1</v>
      </c>
      <c r="E778">
        <f t="shared" ref="E778:E841" si="67">+MONTH(A778)</f>
        <v>1</v>
      </c>
      <c r="F778">
        <f t="shared" ref="F778:F841" si="68">+YEAR(A778)</f>
        <v>2023</v>
      </c>
      <c r="H778" s="17">
        <f t="shared" ref="H778:H841" si="69">+DATE(F778,E778,D778)</f>
        <v>44927</v>
      </c>
      <c r="J778">
        <f t="shared" si="65"/>
        <v>0</v>
      </c>
      <c r="N778" s="55"/>
    </row>
    <row r="779" spans="1:14" x14ac:dyDescent="0.3">
      <c r="A779" s="17">
        <v>44956</v>
      </c>
      <c r="B779">
        <v>-8.02</v>
      </c>
      <c r="C779">
        <f t="shared" si="66"/>
        <v>30</v>
      </c>
      <c r="D779">
        <v>1</v>
      </c>
      <c r="E779">
        <f t="shared" si="67"/>
        <v>1</v>
      </c>
      <c r="F779">
        <f t="shared" si="68"/>
        <v>2023</v>
      </c>
      <c r="H779" s="17">
        <f t="shared" si="69"/>
        <v>44927</v>
      </c>
      <c r="J779">
        <f t="shared" si="65"/>
        <v>0</v>
      </c>
      <c r="N779" s="55"/>
    </row>
    <row r="780" spans="1:14" x14ac:dyDescent="0.3">
      <c r="A780" s="17">
        <v>44953</v>
      </c>
      <c r="B780">
        <v>-8.6199999999999992</v>
      </c>
      <c r="C780">
        <f t="shared" si="66"/>
        <v>27</v>
      </c>
      <c r="D780">
        <v>1</v>
      </c>
      <c r="E780">
        <f t="shared" si="67"/>
        <v>1</v>
      </c>
      <c r="F780">
        <f t="shared" si="68"/>
        <v>2023</v>
      </c>
      <c r="H780" s="17">
        <f t="shared" si="69"/>
        <v>44927</v>
      </c>
      <c r="J780">
        <f t="shared" si="65"/>
        <v>0</v>
      </c>
      <c r="N780" s="55"/>
    </row>
    <row r="781" spans="1:14" x14ac:dyDescent="0.3">
      <c r="A781" s="17">
        <v>44952</v>
      </c>
      <c r="B781">
        <v>-8.4600000000000009</v>
      </c>
      <c r="C781">
        <f t="shared" si="66"/>
        <v>26</v>
      </c>
      <c r="D781">
        <v>1</v>
      </c>
      <c r="E781">
        <f t="shared" si="67"/>
        <v>1</v>
      </c>
      <c r="F781">
        <f t="shared" si="68"/>
        <v>2023</v>
      </c>
      <c r="H781" s="17">
        <f t="shared" si="69"/>
        <v>44927</v>
      </c>
      <c r="J781">
        <f t="shared" si="65"/>
        <v>0</v>
      </c>
      <c r="N781" s="55"/>
    </row>
    <row r="782" spans="1:14" x14ac:dyDescent="0.3">
      <c r="A782" s="17">
        <v>44951</v>
      </c>
      <c r="B782">
        <v>-7.61</v>
      </c>
      <c r="C782">
        <f t="shared" si="66"/>
        <v>25</v>
      </c>
      <c r="D782">
        <v>1</v>
      </c>
      <c r="E782">
        <f t="shared" si="67"/>
        <v>1</v>
      </c>
      <c r="F782">
        <f t="shared" si="68"/>
        <v>2023</v>
      </c>
      <c r="H782" s="17">
        <f t="shared" si="69"/>
        <v>44927</v>
      </c>
      <c r="J782">
        <f t="shared" si="65"/>
        <v>0</v>
      </c>
      <c r="N782" s="55"/>
    </row>
    <row r="783" spans="1:14" x14ac:dyDescent="0.3">
      <c r="A783" s="17">
        <v>44946</v>
      </c>
      <c r="B783">
        <v>-8.75</v>
      </c>
      <c r="C783">
        <f t="shared" si="66"/>
        <v>20</v>
      </c>
      <c r="D783">
        <v>1</v>
      </c>
      <c r="E783">
        <f t="shared" si="67"/>
        <v>1</v>
      </c>
      <c r="F783">
        <f t="shared" si="68"/>
        <v>2023</v>
      </c>
      <c r="H783" s="17">
        <f t="shared" si="69"/>
        <v>44927</v>
      </c>
      <c r="J783">
        <f t="shared" si="65"/>
        <v>0</v>
      </c>
      <c r="N783" s="55"/>
    </row>
    <row r="784" spans="1:14" x14ac:dyDescent="0.3">
      <c r="A784" s="17">
        <v>44945</v>
      </c>
      <c r="B784">
        <v>-8.5399999999999991</v>
      </c>
      <c r="C784">
        <f t="shared" si="66"/>
        <v>19</v>
      </c>
      <c r="D784">
        <v>1</v>
      </c>
      <c r="E784">
        <f t="shared" si="67"/>
        <v>1</v>
      </c>
      <c r="F784">
        <f t="shared" si="68"/>
        <v>2023</v>
      </c>
      <c r="H784" s="17">
        <f t="shared" si="69"/>
        <v>44927</v>
      </c>
      <c r="J784">
        <f t="shared" si="65"/>
        <v>0</v>
      </c>
      <c r="N784" s="55"/>
    </row>
    <row r="785" spans="1:14" x14ac:dyDescent="0.3">
      <c r="A785" s="17">
        <v>44944</v>
      </c>
      <c r="B785">
        <v>-8.34</v>
      </c>
      <c r="C785">
        <f t="shared" si="66"/>
        <v>18</v>
      </c>
      <c r="D785">
        <v>1</v>
      </c>
      <c r="E785">
        <f t="shared" si="67"/>
        <v>1</v>
      </c>
      <c r="F785">
        <f t="shared" si="68"/>
        <v>2023</v>
      </c>
      <c r="H785" s="17">
        <f t="shared" si="69"/>
        <v>44927</v>
      </c>
      <c r="J785">
        <f t="shared" si="65"/>
        <v>0</v>
      </c>
      <c r="N785" s="55"/>
    </row>
    <row r="786" spans="1:14" x14ac:dyDescent="0.3">
      <c r="A786" s="17">
        <v>44943</v>
      </c>
      <c r="B786">
        <v>-8.32</v>
      </c>
      <c r="C786">
        <f t="shared" si="66"/>
        <v>17</v>
      </c>
      <c r="D786">
        <v>1</v>
      </c>
      <c r="E786">
        <f t="shared" si="67"/>
        <v>1</v>
      </c>
      <c r="F786">
        <f t="shared" si="68"/>
        <v>2023</v>
      </c>
      <c r="H786" s="17">
        <f t="shared" si="69"/>
        <v>44927</v>
      </c>
      <c r="J786">
        <f t="shared" si="65"/>
        <v>0</v>
      </c>
      <c r="N786" s="55"/>
    </row>
    <row r="787" spans="1:14" x14ac:dyDescent="0.3">
      <c r="A787" s="17">
        <v>44942</v>
      </c>
      <c r="B787">
        <v>-7.51</v>
      </c>
      <c r="C787">
        <f t="shared" si="66"/>
        <v>16</v>
      </c>
      <c r="D787">
        <v>1</v>
      </c>
      <c r="E787">
        <f t="shared" si="67"/>
        <v>1</v>
      </c>
      <c r="F787">
        <f t="shared" si="68"/>
        <v>2023</v>
      </c>
      <c r="H787" s="17">
        <f t="shared" si="69"/>
        <v>44927</v>
      </c>
      <c r="J787">
        <f t="shared" si="65"/>
        <v>0</v>
      </c>
      <c r="N787" s="55"/>
    </row>
    <row r="788" spans="1:14" x14ac:dyDescent="0.3">
      <c r="A788" s="17">
        <v>44939</v>
      </c>
      <c r="B788">
        <v>-7.42</v>
      </c>
      <c r="C788">
        <f t="shared" si="66"/>
        <v>13</v>
      </c>
      <c r="D788">
        <v>1</v>
      </c>
      <c r="E788">
        <f t="shared" si="67"/>
        <v>1</v>
      </c>
      <c r="F788">
        <f t="shared" si="68"/>
        <v>2023</v>
      </c>
      <c r="H788" s="17">
        <f t="shared" si="69"/>
        <v>44927</v>
      </c>
      <c r="J788">
        <f t="shared" si="65"/>
        <v>0</v>
      </c>
      <c r="N788" s="55"/>
    </row>
    <row r="789" spans="1:14" x14ac:dyDescent="0.3">
      <c r="A789" s="17">
        <v>44938</v>
      </c>
      <c r="B789">
        <v>-9.0500000000000007</v>
      </c>
      <c r="C789">
        <f t="shared" si="66"/>
        <v>12</v>
      </c>
      <c r="D789">
        <v>1</v>
      </c>
      <c r="E789">
        <f t="shared" si="67"/>
        <v>1</v>
      </c>
      <c r="F789">
        <f t="shared" si="68"/>
        <v>2023</v>
      </c>
      <c r="H789" s="17">
        <f t="shared" si="69"/>
        <v>44927</v>
      </c>
      <c r="J789">
        <f t="shared" si="65"/>
        <v>0</v>
      </c>
      <c r="N789" s="55"/>
    </row>
    <row r="790" spans="1:14" x14ac:dyDescent="0.3">
      <c r="A790" s="17">
        <v>44937</v>
      </c>
      <c r="B790">
        <v>-7.67</v>
      </c>
      <c r="C790">
        <f t="shared" si="66"/>
        <v>11</v>
      </c>
      <c r="D790">
        <v>1</v>
      </c>
      <c r="E790">
        <f t="shared" si="67"/>
        <v>1</v>
      </c>
      <c r="F790">
        <f t="shared" si="68"/>
        <v>2023</v>
      </c>
      <c r="H790" s="17">
        <f t="shared" si="69"/>
        <v>44927</v>
      </c>
      <c r="J790">
        <f t="shared" si="65"/>
        <v>0</v>
      </c>
      <c r="N790" s="55"/>
    </row>
    <row r="791" spans="1:14" x14ac:dyDescent="0.3">
      <c r="A791" s="17">
        <v>44936</v>
      </c>
      <c r="B791">
        <v>-9.3000000000000007</v>
      </c>
      <c r="C791">
        <f t="shared" si="66"/>
        <v>10</v>
      </c>
      <c r="D791">
        <v>1</v>
      </c>
      <c r="E791">
        <f t="shared" si="67"/>
        <v>1</v>
      </c>
      <c r="F791">
        <f t="shared" si="68"/>
        <v>2023</v>
      </c>
      <c r="H791" s="17">
        <f t="shared" si="69"/>
        <v>44927</v>
      </c>
      <c r="J791">
        <f t="shared" si="65"/>
        <v>0</v>
      </c>
      <c r="N791" s="55"/>
    </row>
    <row r="792" spans="1:14" x14ac:dyDescent="0.3">
      <c r="A792" s="17">
        <v>44935</v>
      </c>
      <c r="B792">
        <v>-9.57</v>
      </c>
      <c r="C792">
        <f t="shared" si="66"/>
        <v>9</v>
      </c>
      <c r="D792">
        <v>1</v>
      </c>
      <c r="E792">
        <f t="shared" si="67"/>
        <v>1</v>
      </c>
      <c r="F792">
        <f t="shared" si="68"/>
        <v>2023</v>
      </c>
      <c r="H792" s="17">
        <f t="shared" si="69"/>
        <v>44927</v>
      </c>
      <c r="J792">
        <f t="shared" si="65"/>
        <v>0</v>
      </c>
      <c r="N792" s="55"/>
    </row>
    <row r="793" spans="1:14" x14ac:dyDescent="0.3">
      <c r="A793" s="17">
        <v>44932</v>
      </c>
      <c r="B793">
        <v>-9.2899999999999991</v>
      </c>
      <c r="C793">
        <f t="shared" si="66"/>
        <v>6</v>
      </c>
      <c r="D793">
        <v>1</v>
      </c>
      <c r="E793">
        <f t="shared" si="67"/>
        <v>1</v>
      </c>
      <c r="F793">
        <f t="shared" si="68"/>
        <v>2023</v>
      </c>
      <c r="H793" s="17">
        <f t="shared" si="69"/>
        <v>44927</v>
      </c>
      <c r="J793">
        <f t="shared" si="65"/>
        <v>0</v>
      </c>
      <c r="N793" s="55"/>
    </row>
    <row r="794" spans="1:14" x14ac:dyDescent="0.3">
      <c r="A794" s="17">
        <v>44931</v>
      </c>
      <c r="B794">
        <v>-10.039999999999999</v>
      </c>
      <c r="C794">
        <f t="shared" si="66"/>
        <v>5</v>
      </c>
      <c r="D794">
        <v>1</v>
      </c>
      <c r="E794">
        <f t="shared" si="67"/>
        <v>1</v>
      </c>
      <c r="F794">
        <f t="shared" si="68"/>
        <v>2023</v>
      </c>
      <c r="H794" s="17">
        <f t="shared" si="69"/>
        <v>44927</v>
      </c>
      <c r="J794">
        <f t="shared" si="65"/>
        <v>0</v>
      </c>
      <c r="N794" s="55"/>
    </row>
    <row r="795" spans="1:14" x14ac:dyDescent="0.3">
      <c r="A795" s="17">
        <v>44930</v>
      </c>
      <c r="B795">
        <v>-11.09</v>
      </c>
      <c r="C795">
        <f t="shared" si="66"/>
        <v>4</v>
      </c>
      <c r="D795">
        <v>1</v>
      </c>
      <c r="E795">
        <f t="shared" si="67"/>
        <v>1</v>
      </c>
      <c r="F795">
        <f t="shared" si="68"/>
        <v>2023</v>
      </c>
      <c r="H795" s="17">
        <f t="shared" si="69"/>
        <v>44927</v>
      </c>
      <c r="J795">
        <f t="shared" si="65"/>
        <v>1</v>
      </c>
      <c r="N795" s="55"/>
    </row>
    <row r="796" spans="1:14" x14ac:dyDescent="0.3">
      <c r="A796" s="17">
        <v>44929</v>
      </c>
      <c r="B796">
        <v>-12.95</v>
      </c>
      <c r="C796">
        <f t="shared" si="66"/>
        <v>3</v>
      </c>
      <c r="D796">
        <v>1</v>
      </c>
      <c r="E796">
        <f t="shared" si="67"/>
        <v>1</v>
      </c>
      <c r="F796">
        <f t="shared" si="68"/>
        <v>2023</v>
      </c>
      <c r="H796" s="17">
        <f t="shared" si="69"/>
        <v>44927</v>
      </c>
      <c r="J796">
        <f t="shared" si="65"/>
        <v>1</v>
      </c>
      <c r="N796" s="55"/>
    </row>
    <row r="797" spans="1:14" x14ac:dyDescent="0.3">
      <c r="A797" s="17">
        <v>44927</v>
      </c>
      <c r="C797">
        <f t="shared" si="66"/>
        <v>1</v>
      </c>
      <c r="D797">
        <v>1</v>
      </c>
      <c r="E797">
        <f t="shared" si="67"/>
        <v>1</v>
      </c>
      <c r="F797">
        <f t="shared" si="68"/>
        <v>2023</v>
      </c>
      <c r="H797" s="17">
        <f t="shared" si="69"/>
        <v>44927</v>
      </c>
      <c r="J797">
        <f t="shared" si="65"/>
        <v>1</v>
      </c>
      <c r="N797" s="55"/>
    </row>
    <row r="798" spans="1:14" x14ac:dyDescent="0.3">
      <c r="A798" s="17">
        <v>44925</v>
      </c>
      <c r="B798">
        <v>-12.38</v>
      </c>
      <c r="C798">
        <f t="shared" si="66"/>
        <v>30</v>
      </c>
      <c r="D798">
        <v>1</v>
      </c>
      <c r="E798">
        <f t="shared" si="67"/>
        <v>12</v>
      </c>
      <c r="F798">
        <f t="shared" si="68"/>
        <v>2022</v>
      </c>
      <c r="H798" s="17">
        <f t="shared" si="69"/>
        <v>44896</v>
      </c>
      <c r="J798">
        <f t="shared" si="65"/>
        <v>0</v>
      </c>
      <c r="N798" s="55"/>
    </row>
    <row r="799" spans="1:14" x14ac:dyDescent="0.3">
      <c r="A799" s="17">
        <v>44924</v>
      </c>
      <c r="B799">
        <v>-11.69</v>
      </c>
      <c r="C799">
        <f t="shared" si="66"/>
        <v>29</v>
      </c>
      <c r="D799">
        <v>1</v>
      </c>
      <c r="E799">
        <f t="shared" si="67"/>
        <v>12</v>
      </c>
      <c r="F799">
        <f t="shared" si="68"/>
        <v>2022</v>
      </c>
      <c r="H799" s="17">
        <f t="shared" si="69"/>
        <v>44896</v>
      </c>
      <c r="J799">
        <f t="shared" si="65"/>
        <v>0</v>
      </c>
      <c r="N799" s="55"/>
    </row>
    <row r="800" spans="1:14" x14ac:dyDescent="0.3">
      <c r="A800" s="17">
        <v>44923</v>
      </c>
      <c r="B800">
        <v>-13.39</v>
      </c>
      <c r="C800">
        <f t="shared" si="66"/>
        <v>28</v>
      </c>
      <c r="D800">
        <v>1</v>
      </c>
      <c r="E800">
        <f t="shared" si="67"/>
        <v>12</v>
      </c>
      <c r="F800">
        <f t="shared" si="68"/>
        <v>2022</v>
      </c>
      <c r="H800" s="17">
        <f t="shared" si="69"/>
        <v>44896</v>
      </c>
      <c r="J800">
        <f t="shared" si="65"/>
        <v>0</v>
      </c>
      <c r="N800" s="55"/>
    </row>
    <row r="801" spans="1:14" x14ac:dyDescent="0.3">
      <c r="A801" s="17">
        <v>44922</v>
      </c>
      <c r="B801">
        <v>-13.25</v>
      </c>
      <c r="C801">
        <f t="shared" si="66"/>
        <v>27</v>
      </c>
      <c r="D801">
        <v>1</v>
      </c>
      <c r="E801">
        <f t="shared" si="67"/>
        <v>12</v>
      </c>
      <c r="F801">
        <f t="shared" si="68"/>
        <v>2022</v>
      </c>
      <c r="H801" s="17">
        <f t="shared" si="69"/>
        <v>44896</v>
      </c>
      <c r="J801">
        <f t="shared" si="65"/>
        <v>0</v>
      </c>
      <c r="N801" s="55"/>
    </row>
    <row r="802" spans="1:14" x14ac:dyDescent="0.3">
      <c r="A802" s="17">
        <v>44918</v>
      </c>
      <c r="B802">
        <v>-11.97</v>
      </c>
      <c r="C802">
        <f t="shared" si="66"/>
        <v>23</v>
      </c>
      <c r="D802">
        <v>1</v>
      </c>
      <c r="E802">
        <f t="shared" si="67"/>
        <v>12</v>
      </c>
      <c r="F802">
        <f t="shared" si="68"/>
        <v>2022</v>
      </c>
      <c r="H802" s="17">
        <f t="shared" si="69"/>
        <v>44896</v>
      </c>
      <c r="J802">
        <f t="shared" si="65"/>
        <v>0</v>
      </c>
      <c r="N802" s="55"/>
    </row>
    <row r="803" spans="1:14" x14ac:dyDescent="0.3">
      <c r="A803" s="17">
        <v>44917</v>
      </c>
      <c r="B803">
        <v>-13.19</v>
      </c>
      <c r="C803">
        <f t="shared" si="66"/>
        <v>22</v>
      </c>
      <c r="D803">
        <v>1</v>
      </c>
      <c r="E803">
        <f t="shared" si="67"/>
        <v>12</v>
      </c>
      <c r="F803">
        <f t="shared" si="68"/>
        <v>2022</v>
      </c>
      <c r="H803" s="17">
        <f t="shared" si="69"/>
        <v>44896</v>
      </c>
      <c r="J803">
        <f t="shared" si="65"/>
        <v>0</v>
      </c>
      <c r="N803" s="55"/>
    </row>
    <row r="804" spans="1:14" x14ac:dyDescent="0.3">
      <c r="A804" s="17">
        <v>44916</v>
      </c>
      <c r="B804">
        <v>-11.89</v>
      </c>
      <c r="C804">
        <f t="shared" si="66"/>
        <v>21</v>
      </c>
      <c r="D804">
        <v>1</v>
      </c>
      <c r="E804">
        <f t="shared" si="67"/>
        <v>12</v>
      </c>
      <c r="F804">
        <f t="shared" si="68"/>
        <v>2022</v>
      </c>
      <c r="H804" s="17">
        <f t="shared" si="69"/>
        <v>44896</v>
      </c>
      <c r="J804">
        <f t="shared" si="65"/>
        <v>0</v>
      </c>
      <c r="N804" s="55"/>
    </row>
    <row r="805" spans="1:14" x14ac:dyDescent="0.3">
      <c r="A805" s="17">
        <v>44915</v>
      </c>
      <c r="B805">
        <v>-11.48</v>
      </c>
      <c r="C805">
        <f t="shared" si="66"/>
        <v>20</v>
      </c>
      <c r="D805">
        <v>1</v>
      </c>
      <c r="E805">
        <f t="shared" si="67"/>
        <v>12</v>
      </c>
      <c r="F805">
        <f t="shared" si="68"/>
        <v>2022</v>
      </c>
      <c r="H805" s="17">
        <f t="shared" si="69"/>
        <v>44896</v>
      </c>
      <c r="J805">
        <f t="shared" si="65"/>
        <v>0</v>
      </c>
      <c r="N805" s="55"/>
    </row>
    <row r="806" spans="1:14" x14ac:dyDescent="0.3">
      <c r="A806" s="17">
        <v>44914</v>
      </c>
      <c r="B806">
        <v>-11.69</v>
      </c>
      <c r="C806">
        <f t="shared" si="66"/>
        <v>19</v>
      </c>
      <c r="D806">
        <v>1</v>
      </c>
      <c r="E806">
        <f t="shared" si="67"/>
        <v>12</v>
      </c>
      <c r="F806">
        <f t="shared" si="68"/>
        <v>2022</v>
      </c>
      <c r="H806" s="17">
        <f t="shared" si="69"/>
        <v>44896</v>
      </c>
      <c r="J806">
        <f t="shared" si="65"/>
        <v>0</v>
      </c>
      <c r="N806" s="55"/>
    </row>
    <row r="807" spans="1:14" x14ac:dyDescent="0.3">
      <c r="A807" s="17">
        <v>44911</v>
      </c>
      <c r="B807">
        <v>-11.89</v>
      </c>
      <c r="C807">
        <f t="shared" si="66"/>
        <v>16</v>
      </c>
      <c r="D807">
        <v>1</v>
      </c>
      <c r="E807">
        <f t="shared" si="67"/>
        <v>12</v>
      </c>
      <c r="F807">
        <f t="shared" si="68"/>
        <v>2022</v>
      </c>
      <c r="H807" s="17">
        <f t="shared" si="69"/>
        <v>44896</v>
      </c>
      <c r="J807">
        <f t="shared" si="65"/>
        <v>0</v>
      </c>
      <c r="N807" s="55"/>
    </row>
    <row r="808" spans="1:14" x14ac:dyDescent="0.3">
      <c r="A808" s="17">
        <v>44910</v>
      </c>
      <c r="B808">
        <v>-12.39</v>
      </c>
      <c r="C808">
        <f t="shared" si="66"/>
        <v>15</v>
      </c>
      <c r="D808">
        <v>1</v>
      </c>
      <c r="E808">
        <f t="shared" si="67"/>
        <v>12</v>
      </c>
      <c r="F808">
        <f t="shared" si="68"/>
        <v>2022</v>
      </c>
      <c r="H808" s="17">
        <f t="shared" si="69"/>
        <v>44896</v>
      </c>
      <c r="J808">
        <f t="shared" si="65"/>
        <v>0</v>
      </c>
      <c r="N808" s="55"/>
    </row>
    <row r="809" spans="1:14" x14ac:dyDescent="0.3">
      <c r="A809" s="17">
        <v>44909</v>
      </c>
      <c r="B809">
        <v>-11.73</v>
      </c>
      <c r="C809">
        <f t="shared" si="66"/>
        <v>14</v>
      </c>
      <c r="D809">
        <v>1</v>
      </c>
      <c r="E809">
        <f t="shared" si="67"/>
        <v>12</v>
      </c>
      <c r="F809">
        <f t="shared" si="68"/>
        <v>2022</v>
      </c>
      <c r="H809" s="17">
        <f t="shared" si="69"/>
        <v>44896</v>
      </c>
      <c r="J809">
        <f t="shared" si="65"/>
        <v>0</v>
      </c>
      <c r="N809" s="55"/>
    </row>
    <row r="810" spans="1:14" x14ac:dyDescent="0.3">
      <c r="A810" s="17">
        <v>44908</v>
      </c>
      <c r="B810">
        <v>-11</v>
      </c>
      <c r="C810">
        <f t="shared" si="66"/>
        <v>13</v>
      </c>
      <c r="D810">
        <v>1</v>
      </c>
      <c r="E810">
        <f t="shared" si="67"/>
        <v>12</v>
      </c>
      <c r="F810">
        <f t="shared" si="68"/>
        <v>2022</v>
      </c>
      <c r="H810" s="17">
        <f t="shared" si="69"/>
        <v>44896</v>
      </c>
      <c r="J810">
        <f t="shared" si="65"/>
        <v>0</v>
      </c>
      <c r="N810" s="55"/>
    </row>
    <row r="811" spans="1:14" x14ac:dyDescent="0.3">
      <c r="A811" s="17">
        <v>44907</v>
      </c>
      <c r="B811">
        <v>-9.51</v>
      </c>
      <c r="C811">
        <f t="shared" si="66"/>
        <v>12</v>
      </c>
      <c r="D811">
        <v>1</v>
      </c>
      <c r="E811">
        <f t="shared" si="67"/>
        <v>12</v>
      </c>
      <c r="F811">
        <f t="shared" si="68"/>
        <v>2022</v>
      </c>
      <c r="H811" s="17">
        <f t="shared" si="69"/>
        <v>44896</v>
      </c>
      <c r="J811">
        <f t="shared" si="65"/>
        <v>0</v>
      </c>
      <c r="N811" s="55"/>
    </row>
    <row r="812" spans="1:14" x14ac:dyDescent="0.3">
      <c r="A812" s="17">
        <v>44904</v>
      </c>
      <c r="B812">
        <v>-9.6</v>
      </c>
      <c r="C812">
        <f t="shared" si="66"/>
        <v>9</v>
      </c>
      <c r="D812">
        <v>1</v>
      </c>
      <c r="E812">
        <f t="shared" si="67"/>
        <v>12</v>
      </c>
      <c r="F812">
        <f t="shared" si="68"/>
        <v>2022</v>
      </c>
      <c r="H812" s="17">
        <f t="shared" si="69"/>
        <v>44896</v>
      </c>
      <c r="J812">
        <f t="shared" si="65"/>
        <v>0</v>
      </c>
      <c r="N812" s="55"/>
    </row>
    <row r="813" spans="1:14" x14ac:dyDescent="0.3">
      <c r="A813" s="17">
        <v>44903</v>
      </c>
      <c r="B813">
        <v>-11.06</v>
      </c>
      <c r="C813">
        <f t="shared" si="66"/>
        <v>8</v>
      </c>
      <c r="D813">
        <v>1</v>
      </c>
      <c r="E813">
        <f t="shared" si="67"/>
        <v>12</v>
      </c>
      <c r="F813">
        <f t="shared" si="68"/>
        <v>2022</v>
      </c>
      <c r="H813" s="17">
        <f t="shared" si="69"/>
        <v>44896</v>
      </c>
      <c r="J813">
        <f t="shared" si="65"/>
        <v>0</v>
      </c>
      <c r="N813" s="55"/>
    </row>
    <row r="814" spans="1:14" x14ac:dyDescent="0.3">
      <c r="A814" s="17">
        <v>44902</v>
      </c>
      <c r="B814">
        <v>-11.89</v>
      </c>
      <c r="C814">
        <f t="shared" si="66"/>
        <v>7</v>
      </c>
      <c r="D814">
        <v>1</v>
      </c>
      <c r="E814">
        <f t="shared" si="67"/>
        <v>12</v>
      </c>
      <c r="F814">
        <f t="shared" si="68"/>
        <v>2022</v>
      </c>
      <c r="H814" s="17">
        <f t="shared" si="69"/>
        <v>44896</v>
      </c>
      <c r="J814">
        <f t="shared" si="65"/>
        <v>0</v>
      </c>
      <c r="N814" s="55"/>
    </row>
    <row r="815" spans="1:14" x14ac:dyDescent="0.3">
      <c r="A815" s="17">
        <v>44901</v>
      </c>
      <c r="B815">
        <v>-12.55</v>
      </c>
      <c r="C815">
        <f t="shared" si="66"/>
        <v>6</v>
      </c>
      <c r="D815">
        <v>1</v>
      </c>
      <c r="E815">
        <f t="shared" si="67"/>
        <v>12</v>
      </c>
      <c r="F815">
        <f t="shared" si="68"/>
        <v>2022</v>
      </c>
      <c r="H815" s="17">
        <f t="shared" si="69"/>
        <v>44896</v>
      </c>
      <c r="J815">
        <f t="shared" si="65"/>
        <v>0</v>
      </c>
      <c r="N815" s="55"/>
    </row>
    <row r="816" spans="1:14" x14ac:dyDescent="0.3">
      <c r="A816" s="17">
        <v>44900</v>
      </c>
      <c r="B816">
        <v>-12.4</v>
      </c>
      <c r="C816">
        <f t="shared" si="66"/>
        <v>5</v>
      </c>
      <c r="D816">
        <v>1</v>
      </c>
      <c r="E816">
        <f t="shared" si="67"/>
        <v>12</v>
      </c>
      <c r="F816">
        <f t="shared" si="68"/>
        <v>2022</v>
      </c>
      <c r="H816" s="17">
        <f t="shared" si="69"/>
        <v>44896</v>
      </c>
      <c r="J816">
        <f t="shared" si="65"/>
        <v>0</v>
      </c>
      <c r="N816" s="55"/>
    </row>
    <row r="817" spans="1:14" x14ac:dyDescent="0.3">
      <c r="A817" s="17">
        <v>44897</v>
      </c>
      <c r="B817">
        <v>-12.68</v>
      </c>
      <c r="C817">
        <f t="shared" si="66"/>
        <v>2</v>
      </c>
      <c r="D817">
        <v>1</v>
      </c>
      <c r="E817">
        <f t="shared" si="67"/>
        <v>12</v>
      </c>
      <c r="F817">
        <f t="shared" si="68"/>
        <v>2022</v>
      </c>
      <c r="H817" s="17">
        <f t="shared" si="69"/>
        <v>44896</v>
      </c>
      <c r="J817">
        <f t="shared" si="65"/>
        <v>1</v>
      </c>
      <c r="N817" s="55"/>
    </row>
    <row r="818" spans="1:14" x14ac:dyDescent="0.3">
      <c r="A818" s="17">
        <v>44896</v>
      </c>
      <c r="B818">
        <v>-11.54</v>
      </c>
      <c r="C818">
        <f t="shared" si="66"/>
        <v>1</v>
      </c>
      <c r="D818">
        <v>1</v>
      </c>
      <c r="E818">
        <f t="shared" si="67"/>
        <v>12</v>
      </c>
      <c r="F818">
        <f t="shared" si="68"/>
        <v>2022</v>
      </c>
      <c r="H818" s="17">
        <f t="shared" si="69"/>
        <v>44896</v>
      </c>
      <c r="J818">
        <f t="shared" si="65"/>
        <v>1</v>
      </c>
      <c r="N818" s="55"/>
    </row>
    <row r="819" spans="1:14" x14ac:dyDescent="0.3">
      <c r="A819" s="17">
        <v>44895</v>
      </c>
      <c r="B819">
        <v>-11.3</v>
      </c>
      <c r="C819">
        <f t="shared" si="66"/>
        <v>30</v>
      </c>
      <c r="D819">
        <v>1</v>
      </c>
      <c r="E819">
        <f t="shared" si="67"/>
        <v>11</v>
      </c>
      <c r="F819">
        <f t="shared" si="68"/>
        <v>2022</v>
      </c>
      <c r="H819" s="17">
        <f t="shared" si="69"/>
        <v>44866</v>
      </c>
      <c r="J819">
        <f t="shared" si="65"/>
        <v>0</v>
      </c>
      <c r="N819" s="55"/>
    </row>
    <row r="820" spans="1:14" x14ac:dyDescent="0.3">
      <c r="A820" s="17">
        <v>44894</v>
      </c>
      <c r="B820">
        <v>-11.03</v>
      </c>
      <c r="C820">
        <f t="shared" si="66"/>
        <v>29</v>
      </c>
      <c r="D820">
        <v>1</v>
      </c>
      <c r="E820">
        <f t="shared" si="67"/>
        <v>11</v>
      </c>
      <c r="F820">
        <f t="shared" si="68"/>
        <v>2022</v>
      </c>
      <c r="H820" s="17">
        <f t="shared" si="69"/>
        <v>44866</v>
      </c>
      <c r="J820">
        <f t="shared" si="65"/>
        <v>0</v>
      </c>
      <c r="N820" s="55"/>
    </row>
    <row r="821" spans="1:14" x14ac:dyDescent="0.3">
      <c r="A821" s="17">
        <v>44893</v>
      </c>
      <c r="B821">
        <v>-8.0500000000000007</v>
      </c>
      <c r="C821">
        <f t="shared" si="66"/>
        <v>28</v>
      </c>
      <c r="D821">
        <v>1</v>
      </c>
      <c r="E821">
        <f t="shared" si="67"/>
        <v>11</v>
      </c>
      <c r="F821">
        <f t="shared" si="68"/>
        <v>2022</v>
      </c>
      <c r="H821" s="17">
        <f t="shared" si="69"/>
        <v>44866</v>
      </c>
      <c r="J821">
        <f t="shared" si="65"/>
        <v>0</v>
      </c>
      <c r="N821" s="55"/>
    </row>
    <row r="822" spans="1:14" x14ac:dyDescent="0.3">
      <c r="A822" s="17">
        <v>44890</v>
      </c>
      <c r="B822">
        <v>-9.1</v>
      </c>
      <c r="C822">
        <f t="shared" si="66"/>
        <v>25</v>
      </c>
      <c r="D822">
        <v>1</v>
      </c>
      <c r="E822">
        <f t="shared" si="67"/>
        <v>11</v>
      </c>
      <c r="F822">
        <f t="shared" si="68"/>
        <v>2022</v>
      </c>
      <c r="H822" s="17">
        <f t="shared" si="69"/>
        <v>44866</v>
      </c>
      <c r="J822">
        <f t="shared" si="65"/>
        <v>0</v>
      </c>
      <c r="N822" s="55"/>
    </row>
    <row r="823" spans="1:14" x14ac:dyDescent="0.3">
      <c r="A823" s="17">
        <v>44889</v>
      </c>
      <c r="B823">
        <v>-8.09</v>
      </c>
      <c r="C823">
        <f t="shared" si="66"/>
        <v>24</v>
      </c>
      <c r="D823">
        <v>1</v>
      </c>
      <c r="E823">
        <f t="shared" si="67"/>
        <v>11</v>
      </c>
      <c r="F823">
        <f t="shared" si="68"/>
        <v>2022</v>
      </c>
      <c r="H823" s="17">
        <f t="shared" si="69"/>
        <v>44866</v>
      </c>
      <c r="J823">
        <f t="shared" si="65"/>
        <v>0</v>
      </c>
      <c r="N823" s="55"/>
    </row>
    <row r="824" spans="1:14" x14ac:dyDescent="0.3">
      <c r="A824" s="17">
        <v>44888</v>
      </c>
      <c r="B824">
        <v>-9.57</v>
      </c>
      <c r="C824">
        <f t="shared" si="66"/>
        <v>23</v>
      </c>
      <c r="D824">
        <v>1</v>
      </c>
      <c r="E824">
        <f t="shared" si="67"/>
        <v>11</v>
      </c>
      <c r="F824">
        <f t="shared" si="68"/>
        <v>2022</v>
      </c>
      <c r="H824" s="17">
        <f t="shared" si="69"/>
        <v>44866</v>
      </c>
      <c r="J824">
        <f t="shared" si="65"/>
        <v>0</v>
      </c>
      <c r="N824" s="55"/>
    </row>
    <row r="825" spans="1:14" x14ac:dyDescent="0.3">
      <c r="A825" s="17">
        <v>44887</v>
      </c>
      <c r="B825">
        <v>-9.2100000000000009</v>
      </c>
      <c r="C825">
        <f t="shared" si="66"/>
        <v>22</v>
      </c>
      <c r="D825">
        <v>1</v>
      </c>
      <c r="E825">
        <f t="shared" si="67"/>
        <v>11</v>
      </c>
      <c r="F825">
        <f t="shared" si="68"/>
        <v>2022</v>
      </c>
      <c r="H825" s="17">
        <f t="shared" si="69"/>
        <v>44866</v>
      </c>
      <c r="J825">
        <f t="shared" si="65"/>
        <v>0</v>
      </c>
      <c r="N825" s="55"/>
    </row>
    <row r="826" spans="1:14" x14ac:dyDescent="0.3">
      <c r="A826" s="17">
        <v>44886</v>
      </c>
      <c r="B826">
        <v>-9.6199999999999992</v>
      </c>
      <c r="C826">
        <f t="shared" si="66"/>
        <v>21</v>
      </c>
      <c r="D826">
        <v>1</v>
      </c>
      <c r="E826">
        <f t="shared" si="67"/>
        <v>11</v>
      </c>
      <c r="F826">
        <f t="shared" si="68"/>
        <v>2022</v>
      </c>
      <c r="H826" s="17">
        <f t="shared" si="69"/>
        <v>44866</v>
      </c>
      <c r="J826">
        <f t="shared" si="65"/>
        <v>0</v>
      </c>
      <c r="N826" s="55"/>
    </row>
    <row r="827" spans="1:14" x14ac:dyDescent="0.3">
      <c r="A827" s="17">
        <v>44883</v>
      </c>
      <c r="B827">
        <v>-9.65</v>
      </c>
      <c r="C827">
        <f t="shared" si="66"/>
        <v>18</v>
      </c>
      <c r="D827">
        <v>1</v>
      </c>
      <c r="E827">
        <f t="shared" si="67"/>
        <v>11</v>
      </c>
      <c r="F827">
        <f t="shared" si="68"/>
        <v>2022</v>
      </c>
      <c r="H827" s="17">
        <f t="shared" si="69"/>
        <v>44866</v>
      </c>
      <c r="J827">
        <f t="shared" si="65"/>
        <v>0</v>
      </c>
      <c r="N827" s="55"/>
    </row>
    <row r="828" spans="1:14" x14ac:dyDescent="0.3">
      <c r="A828" s="17">
        <v>44882</v>
      </c>
      <c r="B828">
        <v>-11.48</v>
      </c>
      <c r="C828">
        <f t="shared" si="66"/>
        <v>17</v>
      </c>
      <c r="D828">
        <v>1</v>
      </c>
      <c r="E828">
        <f t="shared" si="67"/>
        <v>11</v>
      </c>
      <c r="F828">
        <f t="shared" si="68"/>
        <v>2022</v>
      </c>
      <c r="H828" s="17">
        <f t="shared" si="69"/>
        <v>44866</v>
      </c>
      <c r="J828">
        <f t="shared" si="65"/>
        <v>0</v>
      </c>
      <c r="N828" s="55"/>
    </row>
    <row r="829" spans="1:14" x14ac:dyDescent="0.3">
      <c r="A829" s="17">
        <v>44881</v>
      </c>
      <c r="B829">
        <v>-12.3</v>
      </c>
      <c r="C829">
        <f t="shared" si="66"/>
        <v>16</v>
      </c>
      <c r="D829">
        <v>1</v>
      </c>
      <c r="E829">
        <f t="shared" si="67"/>
        <v>11</v>
      </c>
      <c r="F829">
        <f t="shared" si="68"/>
        <v>2022</v>
      </c>
      <c r="H829" s="17">
        <f t="shared" si="69"/>
        <v>44866</v>
      </c>
      <c r="J829">
        <f t="shared" si="65"/>
        <v>0</v>
      </c>
      <c r="N829" s="55"/>
    </row>
    <row r="830" spans="1:14" x14ac:dyDescent="0.3">
      <c r="A830" s="17">
        <v>44880</v>
      </c>
      <c r="B830">
        <v>-11.49</v>
      </c>
      <c r="C830">
        <f t="shared" si="66"/>
        <v>15</v>
      </c>
      <c r="D830">
        <v>1</v>
      </c>
      <c r="E830">
        <f t="shared" si="67"/>
        <v>11</v>
      </c>
      <c r="F830">
        <f t="shared" si="68"/>
        <v>2022</v>
      </c>
      <c r="H830" s="17">
        <f t="shared" si="69"/>
        <v>44866</v>
      </c>
      <c r="J830">
        <f t="shared" si="65"/>
        <v>0</v>
      </c>
      <c r="N830" s="55"/>
    </row>
    <row r="831" spans="1:14" x14ac:dyDescent="0.3">
      <c r="A831" s="17">
        <v>44879</v>
      </c>
      <c r="B831">
        <v>-13.17</v>
      </c>
      <c r="C831">
        <f t="shared" si="66"/>
        <v>14</v>
      </c>
      <c r="D831">
        <v>1</v>
      </c>
      <c r="E831">
        <f t="shared" si="67"/>
        <v>11</v>
      </c>
      <c r="F831">
        <f t="shared" si="68"/>
        <v>2022</v>
      </c>
      <c r="H831" s="17">
        <f t="shared" si="69"/>
        <v>44866</v>
      </c>
      <c r="J831">
        <f t="shared" si="65"/>
        <v>0</v>
      </c>
      <c r="N831" s="55"/>
    </row>
    <row r="832" spans="1:14" x14ac:dyDescent="0.3">
      <c r="A832" s="17">
        <v>44876</v>
      </c>
      <c r="B832">
        <v>-14.64</v>
      </c>
      <c r="C832">
        <f t="shared" si="66"/>
        <v>11</v>
      </c>
      <c r="D832">
        <v>1</v>
      </c>
      <c r="E832">
        <f t="shared" si="67"/>
        <v>11</v>
      </c>
      <c r="F832">
        <f t="shared" si="68"/>
        <v>2022</v>
      </c>
      <c r="H832" s="17">
        <f t="shared" si="69"/>
        <v>44866</v>
      </c>
      <c r="J832">
        <f t="shared" si="65"/>
        <v>0</v>
      </c>
      <c r="N832" s="55"/>
    </row>
    <row r="833" spans="1:14" x14ac:dyDescent="0.3">
      <c r="A833" s="17">
        <v>44875</v>
      </c>
      <c r="B833">
        <v>-12.93</v>
      </c>
      <c r="C833">
        <f t="shared" si="66"/>
        <v>10</v>
      </c>
      <c r="D833">
        <v>1</v>
      </c>
      <c r="E833">
        <f t="shared" si="67"/>
        <v>11</v>
      </c>
      <c r="F833">
        <f t="shared" si="68"/>
        <v>2022</v>
      </c>
      <c r="H833" s="17">
        <f t="shared" si="69"/>
        <v>44866</v>
      </c>
      <c r="J833">
        <f t="shared" si="65"/>
        <v>0</v>
      </c>
      <c r="N833" s="55"/>
    </row>
    <row r="834" spans="1:14" x14ac:dyDescent="0.3">
      <c r="A834" s="17">
        <v>44874</v>
      </c>
      <c r="B834">
        <v>-14.2</v>
      </c>
      <c r="C834">
        <f t="shared" si="66"/>
        <v>9</v>
      </c>
      <c r="D834">
        <v>1</v>
      </c>
      <c r="E834">
        <f t="shared" si="67"/>
        <v>11</v>
      </c>
      <c r="F834">
        <f t="shared" si="68"/>
        <v>2022</v>
      </c>
      <c r="H834" s="17">
        <f t="shared" si="69"/>
        <v>44866</v>
      </c>
      <c r="J834">
        <f t="shared" si="65"/>
        <v>0</v>
      </c>
      <c r="N834" s="55"/>
    </row>
    <row r="835" spans="1:14" x14ac:dyDescent="0.3">
      <c r="A835" s="17">
        <v>44873</v>
      </c>
      <c r="B835">
        <v>-15.19</v>
      </c>
      <c r="C835">
        <f t="shared" si="66"/>
        <v>8</v>
      </c>
      <c r="D835">
        <v>1</v>
      </c>
      <c r="E835">
        <f t="shared" si="67"/>
        <v>11</v>
      </c>
      <c r="F835">
        <f t="shared" si="68"/>
        <v>2022</v>
      </c>
      <c r="H835" s="17">
        <f t="shared" si="69"/>
        <v>44866</v>
      </c>
      <c r="J835">
        <f t="shared" si="65"/>
        <v>0</v>
      </c>
      <c r="N835" s="55"/>
    </row>
    <row r="836" spans="1:14" x14ac:dyDescent="0.3">
      <c r="A836" s="17">
        <v>44872</v>
      </c>
      <c r="B836">
        <v>-16.18</v>
      </c>
      <c r="C836">
        <f t="shared" si="66"/>
        <v>7</v>
      </c>
      <c r="D836">
        <v>1</v>
      </c>
      <c r="E836">
        <f t="shared" si="67"/>
        <v>11</v>
      </c>
      <c r="F836">
        <f t="shared" si="68"/>
        <v>2022</v>
      </c>
      <c r="H836" s="17">
        <f t="shared" si="69"/>
        <v>44866</v>
      </c>
      <c r="J836">
        <f t="shared" si="65"/>
        <v>0</v>
      </c>
      <c r="N836" s="55"/>
    </row>
    <row r="837" spans="1:14" x14ac:dyDescent="0.3">
      <c r="A837" s="17">
        <v>44869</v>
      </c>
      <c r="B837">
        <v>-16.34</v>
      </c>
      <c r="C837">
        <f t="shared" si="66"/>
        <v>4</v>
      </c>
      <c r="D837">
        <v>1</v>
      </c>
      <c r="E837">
        <f t="shared" si="67"/>
        <v>11</v>
      </c>
      <c r="F837">
        <f t="shared" si="68"/>
        <v>2022</v>
      </c>
      <c r="H837" s="17">
        <f t="shared" si="69"/>
        <v>44866</v>
      </c>
      <c r="J837">
        <f t="shared" si="65"/>
        <v>1</v>
      </c>
      <c r="N837" s="55"/>
    </row>
    <row r="838" spans="1:14" x14ac:dyDescent="0.3">
      <c r="A838" s="17">
        <v>44868</v>
      </c>
      <c r="B838">
        <v>-14.29</v>
      </c>
      <c r="C838">
        <f t="shared" si="66"/>
        <v>3</v>
      </c>
      <c r="D838">
        <v>1</v>
      </c>
      <c r="E838">
        <f t="shared" si="67"/>
        <v>11</v>
      </c>
      <c r="F838">
        <f t="shared" si="68"/>
        <v>2022</v>
      </c>
      <c r="H838" s="17">
        <f t="shared" si="69"/>
        <v>44866</v>
      </c>
      <c r="J838">
        <f t="shared" si="65"/>
        <v>1</v>
      </c>
      <c r="N838" s="55"/>
    </row>
    <row r="839" spans="1:14" x14ac:dyDescent="0.3">
      <c r="A839" s="17">
        <v>44867</v>
      </c>
      <c r="B839">
        <v>-15.08</v>
      </c>
      <c r="C839">
        <f t="shared" si="66"/>
        <v>2</v>
      </c>
      <c r="D839">
        <v>1</v>
      </c>
      <c r="E839">
        <f t="shared" si="67"/>
        <v>11</v>
      </c>
      <c r="F839">
        <f t="shared" si="68"/>
        <v>2022</v>
      </c>
      <c r="H839" s="17">
        <f t="shared" si="69"/>
        <v>44866</v>
      </c>
      <c r="J839">
        <f t="shared" si="65"/>
        <v>1</v>
      </c>
      <c r="N839" s="55"/>
    </row>
    <row r="840" spans="1:14" x14ac:dyDescent="0.3">
      <c r="A840" s="17">
        <v>44866</v>
      </c>
      <c r="B840">
        <v>-14.74</v>
      </c>
      <c r="C840">
        <f t="shared" si="66"/>
        <v>1</v>
      </c>
      <c r="D840">
        <v>1</v>
      </c>
      <c r="E840">
        <f t="shared" si="67"/>
        <v>11</v>
      </c>
      <c r="F840">
        <f t="shared" si="68"/>
        <v>2022</v>
      </c>
      <c r="H840" s="17">
        <f t="shared" si="69"/>
        <v>44866</v>
      </c>
      <c r="J840">
        <f t="shared" si="65"/>
        <v>1</v>
      </c>
      <c r="N840" s="55"/>
    </row>
    <row r="841" spans="1:14" x14ac:dyDescent="0.3">
      <c r="A841" s="17">
        <v>44865</v>
      </c>
      <c r="B841">
        <v>-13.91</v>
      </c>
      <c r="C841">
        <f t="shared" si="66"/>
        <v>31</v>
      </c>
      <c r="D841">
        <v>1</v>
      </c>
      <c r="E841">
        <f t="shared" si="67"/>
        <v>10</v>
      </c>
      <c r="F841">
        <f t="shared" si="68"/>
        <v>2022</v>
      </c>
      <c r="H841" s="17">
        <f t="shared" si="69"/>
        <v>44835</v>
      </c>
      <c r="J841">
        <f t="shared" ref="J841:J904" si="70">IF(AND(C841&gt;=1, C841&lt;=4), 1, 0)</f>
        <v>0</v>
      </c>
      <c r="N841" s="55"/>
    </row>
    <row r="842" spans="1:14" x14ac:dyDescent="0.3">
      <c r="A842" s="17">
        <v>44862</v>
      </c>
      <c r="B842">
        <v>-14.71</v>
      </c>
      <c r="C842">
        <f t="shared" ref="C842:C905" si="71">+DAY(A842)</f>
        <v>28</v>
      </c>
      <c r="D842">
        <v>1</v>
      </c>
      <c r="E842">
        <f t="shared" ref="E842:E905" si="72">+MONTH(A842)</f>
        <v>10</v>
      </c>
      <c r="F842">
        <f t="shared" ref="F842:F905" si="73">+YEAR(A842)</f>
        <v>2022</v>
      </c>
      <c r="H842" s="17">
        <f t="shared" ref="H842:H905" si="74">+DATE(F842,E842,D842)</f>
        <v>44835</v>
      </c>
      <c r="J842">
        <f t="shared" si="70"/>
        <v>0</v>
      </c>
      <c r="N842" s="55"/>
    </row>
    <row r="843" spans="1:14" x14ac:dyDescent="0.3">
      <c r="A843" s="17">
        <v>44861</v>
      </c>
      <c r="B843">
        <v>-15.29</v>
      </c>
      <c r="C843">
        <f t="shared" si="71"/>
        <v>27</v>
      </c>
      <c r="D843">
        <v>1</v>
      </c>
      <c r="E843">
        <f t="shared" si="72"/>
        <v>10</v>
      </c>
      <c r="F843">
        <f t="shared" si="73"/>
        <v>2022</v>
      </c>
      <c r="H843" s="17">
        <f t="shared" si="74"/>
        <v>44835</v>
      </c>
      <c r="J843">
        <f t="shared" si="70"/>
        <v>0</v>
      </c>
      <c r="N843" s="55"/>
    </row>
    <row r="844" spans="1:14" x14ac:dyDescent="0.3">
      <c r="A844" s="17">
        <v>44860</v>
      </c>
      <c r="B844">
        <v>-14.2</v>
      </c>
      <c r="C844">
        <f t="shared" si="71"/>
        <v>26</v>
      </c>
      <c r="D844">
        <v>1</v>
      </c>
      <c r="E844">
        <f t="shared" si="72"/>
        <v>10</v>
      </c>
      <c r="F844">
        <f t="shared" si="73"/>
        <v>2022</v>
      </c>
      <c r="H844" s="17">
        <f t="shared" si="74"/>
        <v>44835</v>
      </c>
      <c r="J844">
        <f t="shared" si="70"/>
        <v>0</v>
      </c>
      <c r="N844" s="55"/>
    </row>
    <row r="845" spans="1:14" x14ac:dyDescent="0.3">
      <c r="A845" s="17">
        <v>44859</v>
      </c>
      <c r="B845">
        <v>-13.6</v>
      </c>
      <c r="C845">
        <f t="shared" si="71"/>
        <v>25</v>
      </c>
      <c r="D845">
        <v>1</v>
      </c>
      <c r="E845">
        <f t="shared" si="72"/>
        <v>10</v>
      </c>
      <c r="F845">
        <f t="shared" si="73"/>
        <v>2022</v>
      </c>
      <c r="H845" s="17">
        <f t="shared" si="74"/>
        <v>44835</v>
      </c>
      <c r="J845">
        <f t="shared" si="70"/>
        <v>0</v>
      </c>
      <c r="N845" s="55"/>
    </row>
    <row r="846" spans="1:14" x14ac:dyDescent="0.3">
      <c r="A846" s="17">
        <v>44855</v>
      </c>
      <c r="B846">
        <v>-14.17</v>
      </c>
      <c r="C846">
        <f t="shared" si="71"/>
        <v>21</v>
      </c>
      <c r="D846">
        <v>1</v>
      </c>
      <c r="E846">
        <f t="shared" si="72"/>
        <v>10</v>
      </c>
      <c r="F846">
        <f t="shared" si="73"/>
        <v>2022</v>
      </c>
      <c r="H846" s="17">
        <f t="shared" si="74"/>
        <v>44835</v>
      </c>
      <c r="J846">
        <f t="shared" si="70"/>
        <v>0</v>
      </c>
      <c r="N846" s="55"/>
    </row>
    <row r="847" spans="1:14" x14ac:dyDescent="0.3">
      <c r="A847" s="17">
        <v>44854</v>
      </c>
      <c r="B847">
        <v>-13.76</v>
      </c>
      <c r="C847">
        <f t="shared" si="71"/>
        <v>20</v>
      </c>
      <c r="D847">
        <v>1</v>
      </c>
      <c r="E847">
        <f t="shared" si="72"/>
        <v>10</v>
      </c>
      <c r="F847">
        <f t="shared" si="73"/>
        <v>2022</v>
      </c>
      <c r="H847" s="17">
        <f t="shared" si="74"/>
        <v>44835</v>
      </c>
      <c r="J847">
        <f t="shared" si="70"/>
        <v>0</v>
      </c>
      <c r="N847" s="55"/>
    </row>
    <row r="848" spans="1:14" x14ac:dyDescent="0.3">
      <c r="A848" s="17">
        <v>44853</v>
      </c>
      <c r="B848">
        <v>-13.56</v>
      </c>
      <c r="C848">
        <f t="shared" si="71"/>
        <v>19</v>
      </c>
      <c r="D848">
        <v>1</v>
      </c>
      <c r="E848">
        <f t="shared" si="72"/>
        <v>10</v>
      </c>
      <c r="F848">
        <f t="shared" si="73"/>
        <v>2022</v>
      </c>
      <c r="H848" s="17">
        <f t="shared" si="74"/>
        <v>44835</v>
      </c>
      <c r="J848">
        <f t="shared" si="70"/>
        <v>0</v>
      </c>
      <c r="N848" s="55"/>
    </row>
    <row r="849" spans="1:14" x14ac:dyDescent="0.3">
      <c r="A849" s="17">
        <v>44852</v>
      </c>
      <c r="B849">
        <v>-14.34</v>
      </c>
      <c r="C849">
        <f t="shared" si="71"/>
        <v>18</v>
      </c>
      <c r="D849">
        <v>1</v>
      </c>
      <c r="E849">
        <f t="shared" si="72"/>
        <v>10</v>
      </c>
      <c r="F849">
        <f t="shared" si="73"/>
        <v>2022</v>
      </c>
      <c r="H849" s="17">
        <f t="shared" si="74"/>
        <v>44835</v>
      </c>
      <c r="J849">
        <f t="shared" si="70"/>
        <v>0</v>
      </c>
      <c r="N849" s="55"/>
    </row>
    <row r="850" spans="1:14" x14ac:dyDescent="0.3">
      <c r="A850" s="17">
        <v>44851</v>
      </c>
      <c r="B850">
        <v>-14.64</v>
      </c>
      <c r="C850">
        <f t="shared" si="71"/>
        <v>17</v>
      </c>
      <c r="D850">
        <v>1</v>
      </c>
      <c r="E850">
        <f t="shared" si="72"/>
        <v>10</v>
      </c>
      <c r="F850">
        <f t="shared" si="73"/>
        <v>2022</v>
      </c>
      <c r="H850" s="17">
        <f t="shared" si="74"/>
        <v>44835</v>
      </c>
      <c r="J850">
        <f t="shared" si="70"/>
        <v>0</v>
      </c>
      <c r="N850" s="55"/>
    </row>
    <row r="851" spans="1:14" x14ac:dyDescent="0.3">
      <c r="A851" s="17">
        <v>44848</v>
      </c>
      <c r="B851">
        <v>-15.77</v>
      </c>
      <c r="C851">
        <f t="shared" si="71"/>
        <v>14</v>
      </c>
      <c r="D851">
        <v>1</v>
      </c>
      <c r="E851">
        <f t="shared" si="72"/>
        <v>10</v>
      </c>
      <c r="F851">
        <f t="shared" si="73"/>
        <v>2022</v>
      </c>
      <c r="H851" s="17">
        <f t="shared" si="74"/>
        <v>44835</v>
      </c>
      <c r="J851">
        <f t="shared" si="70"/>
        <v>0</v>
      </c>
      <c r="N851" s="55"/>
    </row>
    <row r="852" spans="1:14" x14ac:dyDescent="0.3">
      <c r="A852" s="17">
        <v>44847</v>
      </c>
      <c r="B852">
        <v>-14.97</v>
      </c>
      <c r="C852">
        <f t="shared" si="71"/>
        <v>13</v>
      </c>
      <c r="D852">
        <v>1</v>
      </c>
      <c r="E852">
        <f t="shared" si="72"/>
        <v>10</v>
      </c>
      <c r="F852">
        <f t="shared" si="73"/>
        <v>2022</v>
      </c>
      <c r="H852" s="17">
        <f t="shared" si="74"/>
        <v>44835</v>
      </c>
      <c r="J852">
        <f t="shared" si="70"/>
        <v>0</v>
      </c>
      <c r="N852" s="55"/>
    </row>
    <row r="853" spans="1:14" x14ac:dyDescent="0.3">
      <c r="A853" s="17">
        <v>44846</v>
      </c>
      <c r="B853">
        <v>-15.55</v>
      </c>
      <c r="C853">
        <f t="shared" si="71"/>
        <v>12</v>
      </c>
      <c r="D853">
        <v>1</v>
      </c>
      <c r="E853">
        <f t="shared" si="72"/>
        <v>10</v>
      </c>
      <c r="F853">
        <f t="shared" si="73"/>
        <v>2022</v>
      </c>
      <c r="H853" s="17">
        <f t="shared" si="74"/>
        <v>44835</v>
      </c>
      <c r="J853">
        <f t="shared" si="70"/>
        <v>0</v>
      </c>
      <c r="N853" s="55"/>
    </row>
    <row r="854" spans="1:14" x14ac:dyDescent="0.3">
      <c r="A854" s="17">
        <v>44845</v>
      </c>
      <c r="B854">
        <v>-15.33</v>
      </c>
      <c r="C854">
        <f t="shared" si="71"/>
        <v>11</v>
      </c>
      <c r="D854">
        <v>1</v>
      </c>
      <c r="E854">
        <f t="shared" si="72"/>
        <v>10</v>
      </c>
      <c r="F854">
        <f t="shared" si="73"/>
        <v>2022</v>
      </c>
      <c r="H854" s="17">
        <f t="shared" si="74"/>
        <v>44835</v>
      </c>
      <c r="J854">
        <f t="shared" si="70"/>
        <v>0</v>
      </c>
      <c r="N854" s="55"/>
    </row>
    <row r="855" spans="1:14" x14ac:dyDescent="0.3">
      <c r="A855" s="17">
        <v>44844</v>
      </c>
      <c r="B855">
        <v>-16.850000000000001</v>
      </c>
      <c r="C855">
        <f t="shared" si="71"/>
        <v>10</v>
      </c>
      <c r="D855">
        <v>1</v>
      </c>
      <c r="E855">
        <f t="shared" si="72"/>
        <v>10</v>
      </c>
      <c r="F855">
        <f t="shared" si="73"/>
        <v>2022</v>
      </c>
      <c r="H855" s="17">
        <f t="shared" si="74"/>
        <v>44835</v>
      </c>
      <c r="J855">
        <f t="shared" si="70"/>
        <v>0</v>
      </c>
      <c r="N855" s="55"/>
    </row>
    <row r="856" spans="1:14" x14ac:dyDescent="0.3">
      <c r="A856" s="17">
        <v>44841</v>
      </c>
      <c r="B856">
        <v>-14.54</v>
      </c>
      <c r="C856">
        <f t="shared" si="71"/>
        <v>7</v>
      </c>
      <c r="D856">
        <v>1</v>
      </c>
      <c r="E856">
        <f t="shared" si="72"/>
        <v>10</v>
      </c>
      <c r="F856">
        <f t="shared" si="73"/>
        <v>2022</v>
      </c>
      <c r="H856" s="17">
        <f t="shared" si="74"/>
        <v>44835</v>
      </c>
      <c r="J856">
        <f t="shared" si="70"/>
        <v>0</v>
      </c>
      <c r="N856" s="55"/>
    </row>
    <row r="857" spans="1:14" x14ac:dyDescent="0.3">
      <c r="A857" s="17">
        <v>44840</v>
      </c>
      <c r="B857">
        <v>-13.41</v>
      </c>
      <c r="C857">
        <f t="shared" si="71"/>
        <v>6</v>
      </c>
      <c r="D857">
        <v>1</v>
      </c>
      <c r="E857">
        <f t="shared" si="72"/>
        <v>10</v>
      </c>
      <c r="F857">
        <f t="shared" si="73"/>
        <v>2022</v>
      </c>
      <c r="H857" s="17">
        <f t="shared" si="74"/>
        <v>44835</v>
      </c>
      <c r="J857">
        <f t="shared" si="70"/>
        <v>0</v>
      </c>
      <c r="N857" s="55"/>
    </row>
    <row r="858" spans="1:14" x14ac:dyDescent="0.3">
      <c r="A858" s="17">
        <v>44839</v>
      </c>
      <c r="B858">
        <v>-12.69</v>
      </c>
      <c r="C858">
        <f t="shared" si="71"/>
        <v>5</v>
      </c>
      <c r="D858">
        <v>1</v>
      </c>
      <c r="E858">
        <f t="shared" si="72"/>
        <v>10</v>
      </c>
      <c r="F858">
        <f t="shared" si="73"/>
        <v>2022</v>
      </c>
      <c r="H858" s="17">
        <f t="shared" si="74"/>
        <v>44835</v>
      </c>
      <c r="J858">
        <f t="shared" si="70"/>
        <v>0</v>
      </c>
      <c r="N858" s="55"/>
    </row>
    <row r="859" spans="1:14" x14ac:dyDescent="0.3">
      <c r="A859" s="17">
        <v>44838</v>
      </c>
      <c r="B859">
        <v>-13.35</v>
      </c>
      <c r="C859">
        <f t="shared" si="71"/>
        <v>4</v>
      </c>
      <c r="D859">
        <v>1</v>
      </c>
      <c r="E859">
        <f t="shared" si="72"/>
        <v>10</v>
      </c>
      <c r="F859">
        <f t="shared" si="73"/>
        <v>2022</v>
      </c>
      <c r="H859" s="17">
        <f t="shared" si="74"/>
        <v>44835</v>
      </c>
      <c r="J859">
        <f t="shared" si="70"/>
        <v>1</v>
      </c>
      <c r="N859" s="55"/>
    </row>
    <row r="860" spans="1:14" x14ac:dyDescent="0.3">
      <c r="A860" s="17">
        <v>44837</v>
      </c>
      <c r="B860">
        <v>-13.8</v>
      </c>
      <c r="C860">
        <f t="shared" si="71"/>
        <v>3</v>
      </c>
      <c r="D860">
        <v>1</v>
      </c>
      <c r="E860">
        <f t="shared" si="72"/>
        <v>10</v>
      </c>
      <c r="F860">
        <f t="shared" si="73"/>
        <v>2022</v>
      </c>
      <c r="H860" s="17">
        <f t="shared" si="74"/>
        <v>44835</v>
      </c>
      <c r="J860">
        <f t="shared" si="70"/>
        <v>1</v>
      </c>
      <c r="N860" s="55"/>
    </row>
    <row r="861" spans="1:14" x14ac:dyDescent="0.3">
      <c r="A861" s="17">
        <v>44835</v>
      </c>
      <c r="C861">
        <f t="shared" si="71"/>
        <v>1</v>
      </c>
      <c r="D861">
        <v>1</v>
      </c>
      <c r="E861">
        <f t="shared" si="72"/>
        <v>10</v>
      </c>
      <c r="F861">
        <f t="shared" si="73"/>
        <v>2022</v>
      </c>
      <c r="H861" s="17">
        <f t="shared" si="74"/>
        <v>44835</v>
      </c>
      <c r="J861">
        <f t="shared" si="70"/>
        <v>1</v>
      </c>
      <c r="N861" s="55"/>
    </row>
    <row r="862" spans="1:14" x14ac:dyDescent="0.3">
      <c r="A862" s="17">
        <v>44834</v>
      </c>
      <c r="B862">
        <v>-18.14</v>
      </c>
      <c r="C862">
        <f t="shared" si="71"/>
        <v>30</v>
      </c>
      <c r="D862">
        <v>1</v>
      </c>
      <c r="E862">
        <f t="shared" si="72"/>
        <v>9</v>
      </c>
      <c r="F862">
        <f t="shared" si="73"/>
        <v>2022</v>
      </c>
      <c r="H862" s="17">
        <f t="shared" si="74"/>
        <v>44805</v>
      </c>
      <c r="J862">
        <f t="shared" si="70"/>
        <v>0</v>
      </c>
      <c r="N862" s="55"/>
    </row>
    <row r="863" spans="1:14" x14ac:dyDescent="0.3">
      <c r="A863" s="17">
        <v>44833</v>
      </c>
      <c r="B863">
        <v>-16.46</v>
      </c>
      <c r="C863">
        <f t="shared" si="71"/>
        <v>29</v>
      </c>
      <c r="D863">
        <v>1</v>
      </c>
      <c r="E863">
        <f t="shared" si="72"/>
        <v>9</v>
      </c>
      <c r="F863">
        <f t="shared" si="73"/>
        <v>2022</v>
      </c>
      <c r="H863" s="17">
        <f t="shared" si="74"/>
        <v>44805</v>
      </c>
      <c r="J863">
        <f t="shared" si="70"/>
        <v>0</v>
      </c>
      <c r="N863" s="55"/>
    </row>
    <row r="864" spans="1:14" x14ac:dyDescent="0.3">
      <c r="A864" s="17">
        <v>44832</v>
      </c>
      <c r="B864">
        <v>-15.83</v>
      </c>
      <c r="C864">
        <f t="shared" si="71"/>
        <v>28</v>
      </c>
      <c r="D864">
        <v>1</v>
      </c>
      <c r="E864">
        <f t="shared" si="72"/>
        <v>9</v>
      </c>
      <c r="F864">
        <f t="shared" si="73"/>
        <v>2022</v>
      </c>
      <c r="H864" s="17">
        <f t="shared" si="74"/>
        <v>44805</v>
      </c>
      <c r="J864">
        <f t="shared" si="70"/>
        <v>0</v>
      </c>
      <c r="N864" s="55"/>
    </row>
    <row r="865" spans="1:14" x14ac:dyDescent="0.3">
      <c r="A865" s="17">
        <v>44831</v>
      </c>
      <c r="B865">
        <v>-17</v>
      </c>
      <c r="C865">
        <f t="shared" si="71"/>
        <v>27</v>
      </c>
      <c r="D865">
        <v>1</v>
      </c>
      <c r="E865">
        <f t="shared" si="72"/>
        <v>9</v>
      </c>
      <c r="F865">
        <f t="shared" si="73"/>
        <v>2022</v>
      </c>
      <c r="H865" s="17">
        <f t="shared" si="74"/>
        <v>44805</v>
      </c>
      <c r="J865">
        <f t="shared" si="70"/>
        <v>0</v>
      </c>
      <c r="N865" s="55"/>
    </row>
    <row r="866" spans="1:14" x14ac:dyDescent="0.3">
      <c r="A866" s="17">
        <v>44830</v>
      </c>
      <c r="B866">
        <v>-16.309999999999999</v>
      </c>
      <c r="C866">
        <f t="shared" si="71"/>
        <v>26</v>
      </c>
      <c r="D866">
        <v>1</v>
      </c>
      <c r="E866">
        <f t="shared" si="72"/>
        <v>9</v>
      </c>
      <c r="F866">
        <f t="shared" si="73"/>
        <v>2022</v>
      </c>
      <c r="H866" s="17">
        <f t="shared" si="74"/>
        <v>44805</v>
      </c>
      <c r="J866">
        <f t="shared" si="70"/>
        <v>0</v>
      </c>
      <c r="N866" s="55"/>
    </row>
    <row r="867" spans="1:14" x14ac:dyDescent="0.3">
      <c r="A867" s="17">
        <v>44827</v>
      </c>
      <c r="B867">
        <v>-16.93</v>
      </c>
      <c r="C867">
        <f t="shared" si="71"/>
        <v>23</v>
      </c>
      <c r="D867">
        <v>1</v>
      </c>
      <c r="E867">
        <f t="shared" si="72"/>
        <v>9</v>
      </c>
      <c r="F867">
        <f t="shared" si="73"/>
        <v>2022</v>
      </c>
      <c r="H867" s="17">
        <f t="shared" si="74"/>
        <v>44805</v>
      </c>
      <c r="J867">
        <f t="shared" si="70"/>
        <v>0</v>
      </c>
      <c r="N867" s="55"/>
    </row>
    <row r="868" spans="1:14" x14ac:dyDescent="0.3">
      <c r="A868" s="17">
        <v>44826</v>
      </c>
      <c r="B868">
        <v>-17.940000000000001</v>
      </c>
      <c r="C868">
        <f t="shared" si="71"/>
        <v>22</v>
      </c>
      <c r="D868">
        <v>1</v>
      </c>
      <c r="E868">
        <f t="shared" si="72"/>
        <v>9</v>
      </c>
      <c r="F868">
        <f t="shared" si="73"/>
        <v>2022</v>
      </c>
      <c r="H868" s="17">
        <f t="shared" si="74"/>
        <v>44805</v>
      </c>
      <c r="J868">
        <f t="shared" si="70"/>
        <v>0</v>
      </c>
      <c r="N868" s="55"/>
    </row>
    <row r="869" spans="1:14" x14ac:dyDescent="0.3">
      <c r="A869" s="17">
        <v>44825</v>
      </c>
      <c r="B869">
        <v>-18.86</v>
      </c>
      <c r="C869">
        <f t="shared" si="71"/>
        <v>21</v>
      </c>
      <c r="D869">
        <v>1</v>
      </c>
      <c r="E869">
        <f t="shared" si="72"/>
        <v>9</v>
      </c>
      <c r="F869">
        <f t="shared" si="73"/>
        <v>2022</v>
      </c>
      <c r="H869" s="17">
        <f t="shared" si="74"/>
        <v>44805</v>
      </c>
      <c r="J869">
        <f t="shared" si="70"/>
        <v>0</v>
      </c>
      <c r="N869" s="55"/>
    </row>
    <row r="870" spans="1:14" x14ac:dyDescent="0.3">
      <c r="A870" s="17">
        <v>44824</v>
      </c>
      <c r="B870">
        <v>-18.5</v>
      </c>
      <c r="C870">
        <f t="shared" si="71"/>
        <v>20</v>
      </c>
      <c r="D870">
        <v>1</v>
      </c>
      <c r="E870">
        <f t="shared" si="72"/>
        <v>9</v>
      </c>
      <c r="F870">
        <f t="shared" si="73"/>
        <v>2022</v>
      </c>
      <c r="H870" s="17">
        <f t="shared" si="74"/>
        <v>44805</v>
      </c>
      <c r="J870">
        <f t="shared" si="70"/>
        <v>0</v>
      </c>
      <c r="N870" s="55"/>
    </row>
    <row r="871" spans="1:14" x14ac:dyDescent="0.3">
      <c r="A871" s="17">
        <v>44823</v>
      </c>
      <c r="B871">
        <v>-18.190000000000001</v>
      </c>
      <c r="C871">
        <f t="shared" si="71"/>
        <v>19</v>
      </c>
      <c r="D871">
        <v>1</v>
      </c>
      <c r="E871">
        <f t="shared" si="72"/>
        <v>9</v>
      </c>
      <c r="F871">
        <f t="shared" si="73"/>
        <v>2022</v>
      </c>
      <c r="H871" s="17">
        <f t="shared" si="74"/>
        <v>44805</v>
      </c>
      <c r="J871">
        <f t="shared" si="70"/>
        <v>0</v>
      </c>
      <c r="N871" s="55"/>
    </row>
    <row r="872" spans="1:14" x14ac:dyDescent="0.3">
      <c r="A872" s="17">
        <v>44820</v>
      </c>
      <c r="B872">
        <v>-18.87</v>
      </c>
      <c r="C872">
        <f t="shared" si="71"/>
        <v>16</v>
      </c>
      <c r="D872">
        <v>1</v>
      </c>
      <c r="E872">
        <f t="shared" si="72"/>
        <v>9</v>
      </c>
      <c r="F872">
        <f t="shared" si="73"/>
        <v>2022</v>
      </c>
      <c r="H872" s="17">
        <f t="shared" si="74"/>
        <v>44805</v>
      </c>
      <c r="J872">
        <f t="shared" si="70"/>
        <v>0</v>
      </c>
      <c r="N872" s="55"/>
    </row>
    <row r="873" spans="1:14" x14ac:dyDescent="0.3">
      <c r="A873" s="17">
        <v>44819</v>
      </c>
      <c r="B873">
        <v>-20.420000000000002</v>
      </c>
      <c r="C873">
        <f t="shared" si="71"/>
        <v>15</v>
      </c>
      <c r="D873">
        <v>1</v>
      </c>
      <c r="E873">
        <f t="shared" si="72"/>
        <v>9</v>
      </c>
      <c r="F873">
        <f t="shared" si="73"/>
        <v>2022</v>
      </c>
      <c r="H873" s="17">
        <f t="shared" si="74"/>
        <v>44805</v>
      </c>
      <c r="J873">
        <f t="shared" si="70"/>
        <v>0</v>
      </c>
      <c r="N873" s="55"/>
    </row>
    <row r="874" spans="1:14" x14ac:dyDescent="0.3">
      <c r="A874" s="17">
        <v>44818</v>
      </c>
      <c r="B874">
        <v>-19.54</v>
      </c>
      <c r="C874">
        <f t="shared" si="71"/>
        <v>14</v>
      </c>
      <c r="D874">
        <v>1</v>
      </c>
      <c r="E874">
        <f t="shared" si="72"/>
        <v>9</v>
      </c>
      <c r="F874">
        <f t="shared" si="73"/>
        <v>2022</v>
      </c>
      <c r="H874" s="17">
        <f t="shared" si="74"/>
        <v>44805</v>
      </c>
      <c r="J874">
        <f t="shared" si="70"/>
        <v>0</v>
      </c>
      <c r="N874" s="55"/>
    </row>
    <row r="875" spans="1:14" x14ac:dyDescent="0.3">
      <c r="A875" s="17">
        <v>44817</v>
      </c>
      <c r="B875">
        <v>-21.89</v>
      </c>
      <c r="C875">
        <f t="shared" si="71"/>
        <v>13</v>
      </c>
      <c r="D875">
        <v>1</v>
      </c>
      <c r="E875">
        <f t="shared" si="72"/>
        <v>9</v>
      </c>
      <c r="F875">
        <f t="shared" si="73"/>
        <v>2022</v>
      </c>
      <c r="H875" s="17">
        <f t="shared" si="74"/>
        <v>44805</v>
      </c>
      <c r="J875">
        <f t="shared" si="70"/>
        <v>0</v>
      </c>
      <c r="N875" s="55"/>
    </row>
    <row r="876" spans="1:14" x14ac:dyDescent="0.3">
      <c r="A876" s="17">
        <v>44816</v>
      </c>
      <c r="B876">
        <v>-21.7</v>
      </c>
      <c r="C876">
        <f t="shared" si="71"/>
        <v>12</v>
      </c>
      <c r="D876">
        <v>1</v>
      </c>
      <c r="E876">
        <f t="shared" si="72"/>
        <v>9</v>
      </c>
      <c r="F876">
        <f t="shared" si="73"/>
        <v>2022</v>
      </c>
      <c r="H876" s="17">
        <f t="shared" si="74"/>
        <v>44805</v>
      </c>
      <c r="J876">
        <f t="shared" si="70"/>
        <v>0</v>
      </c>
      <c r="N876" s="55"/>
    </row>
    <row r="877" spans="1:14" x14ac:dyDescent="0.3">
      <c r="A877" s="17">
        <v>44813</v>
      </c>
      <c r="B877">
        <v>-20.22</v>
      </c>
      <c r="C877">
        <f t="shared" si="71"/>
        <v>9</v>
      </c>
      <c r="D877">
        <v>1</v>
      </c>
      <c r="E877">
        <f t="shared" si="72"/>
        <v>9</v>
      </c>
      <c r="F877">
        <f t="shared" si="73"/>
        <v>2022</v>
      </c>
      <c r="H877" s="17">
        <f t="shared" si="74"/>
        <v>44805</v>
      </c>
      <c r="J877">
        <f t="shared" si="70"/>
        <v>0</v>
      </c>
      <c r="N877" s="55"/>
    </row>
    <row r="878" spans="1:14" x14ac:dyDescent="0.3">
      <c r="A878" s="17">
        <v>44812</v>
      </c>
      <c r="B878">
        <v>-20.21</v>
      </c>
      <c r="C878">
        <f t="shared" si="71"/>
        <v>8</v>
      </c>
      <c r="D878">
        <v>1</v>
      </c>
      <c r="E878">
        <f t="shared" si="72"/>
        <v>9</v>
      </c>
      <c r="F878">
        <f t="shared" si="73"/>
        <v>2022</v>
      </c>
      <c r="H878" s="17">
        <f t="shared" si="74"/>
        <v>44805</v>
      </c>
      <c r="J878">
        <f t="shared" si="70"/>
        <v>0</v>
      </c>
      <c r="N878" s="55"/>
    </row>
    <row r="879" spans="1:14" x14ac:dyDescent="0.3">
      <c r="A879" s="17">
        <v>44811</v>
      </c>
      <c r="B879">
        <v>-20.64</v>
      </c>
      <c r="C879">
        <f t="shared" si="71"/>
        <v>7</v>
      </c>
      <c r="D879">
        <v>1</v>
      </c>
      <c r="E879">
        <f t="shared" si="72"/>
        <v>9</v>
      </c>
      <c r="F879">
        <f t="shared" si="73"/>
        <v>2022</v>
      </c>
      <c r="H879" s="17">
        <f t="shared" si="74"/>
        <v>44805</v>
      </c>
      <c r="J879">
        <f t="shared" si="70"/>
        <v>0</v>
      </c>
      <c r="N879" s="55"/>
    </row>
    <row r="880" spans="1:14" x14ac:dyDescent="0.3">
      <c r="A880" s="17">
        <v>44810</v>
      </c>
      <c r="B880">
        <v>-21.29</v>
      </c>
      <c r="C880">
        <f t="shared" si="71"/>
        <v>6</v>
      </c>
      <c r="D880">
        <v>1</v>
      </c>
      <c r="E880">
        <f t="shared" si="72"/>
        <v>9</v>
      </c>
      <c r="F880">
        <f t="shared" si="73"/>
        <v>2022</v>
      </c>
      <c r="H880" s="17">
        <f t="shared" si="74"/>
        <v>44805</v>
      </c>
      <c r="J880">
        <f t="shared" si="70"/>
        <v>0</v>
      </c>
      <c r="N880" s="55"/>
    </row>
    <row r="881" spans="1:14" x14ac:dyDescent="0.3">
      <c r="A881" s="17">
        <v>44809</v>
      </c>
      <c r="B881">
        <v>-21.25</v>
      </c>
      <c r="C881">
        <f t="shared" si="71"/>
        <v>5</v>
      </c>
      <c r="D881">
        <v>1</v>
      </c>
      <c r="E881">
        <f t="shared" si="72"/>
        <v>9</v>
      </c>
      <c r="F881">
        <f t="shared" si="73"/>
        <v>2022</v>
      </c>
      <c r="H881" s="17">
        <f t="shared" si="74"/>
        <v>44805</v>
      </c>
      <c r="J881">
        <f t="shared" si="70"/>
        <v>0</v>
      </c>
      <c r="N881" s="55"/>
    </row>
    <row r="882" spans="1:14" x14ac:dyDescent="0.3">
      <c r="A882" s="17">
        <v>44806</v>
      </c>
      <c r="B882">
        <v>-20.41</v>
      </c>
      <c r="C882">
        <f t="shared" si="71"/>
        <v>2</v>
      </c>
      <c r="D882">
        <v>1</v>
      </c>
      <c r="E882">
        <f t="shared" si="72"/>
        <v>9</v>
      </c>
      <c r="F882">
        <f t="shared" si="73"/>
        <v>2022</v>
      </c>
      <c r="H882" s="17">
        <f t="shared" si="74"/>
        <v>44805</v>
      </c>
      <c r="J882">
        <f t="shared" si="70"/>
        <v>1</v>
      </c>
      <c r="N882" s="55"/>
    </row>
    <row r="883" spans="1:14" x14ac:dyDescent="0.3">
      <c r="A883" s="17">
        <v>44805</v>
      </c>
      <c r="B883">
        <v>-21.39</v>
      </c>
      <c r="C883">
        <f t="shared" si="71"/>
        <v>1</v>
      </c>
      <c r="D883">
        <v>1</v>
      </c>
      <c r="E883">
        <f t="shared" si="72"/>
        <v>9</v>
      </c>
      <c r="F883">
        <f t="shared" si="73"/>
        <v>2022</v>
      </c>
      <c r="H883" s="17">
        <f t="shared" si="74"/>
        <v>44805</v>
      </c>
      <c r="J883">
        <f t="shared" si="70"/>
        <v>1</v>
      </c>
      <c r="N883" s="55"/>
    </row>
    <row r="884" spans="1:14" x14ac:dyDescent="0.3">
      <c r="A884" s="17">
        <v>44804</v>
      </c>
      <c r="B884">
        <v>-23.75</v>
      </c>
      <c r="C884">
        <f t="shared" si="71"/>
        <v>31</v>
      </c>
      <c r="D884">
        <v>1</v>
      </c>
      <c r="E884">
        <f t="shared" si="72"/>
        <v>8</v>
      </c>
      <c r="F884">
        <f t="shared" si="73"/>
        <v>2022</v>
      </c>
      <c r="H884" s="17">
        <f t="shared" si="74"/>
        <v>44774</v>
      </c>
      <c r="J884">
        <f t="shared" si="70"/>
        <v>0</v>
      </c>
      <c r="N884" s="55"/>
    </row>
    <row r="885" spans="1:14" x14ac:dyDescent="0.3">
      <c r="A885" s="17">
        <v>44803</v>
      </c>
      <c r="B885">
        <v>-24.14</v>
      </c>
      <c r="C885">
        <f t="shared" si="71"/>
        <v>30</v>
      </c>
      <c r="D885">
        <v>1</v>
      </c>
      <c r="E885">
        <f t="shared" si="72"/>
        <v>8</v>
      </c>
      <c r="F885">
        <f t="shared" si="73"/>
        <v>2022</v>
      </c>
      <c r="H885" s="17">
        <f t="shared" si="74"/>
        <v>44774</v>
      </c>
      <c r="J885">
        <f t="shared" si="70"/>
        <v>0</v>
      </c>
      <c r="N885" s="55"/>
    </row>
    <row r="886" spans="1:14" x14ac:dyDescent="0.3">
      <c r="A886" s="17">
        <v>44802</v>
      </c>
      <c r="B886">
        <v>-22.88</v>
      </c>
      <c r="C886">
        <f t="shared" si="71"/>
        <v>29</v>
      </c>
      <c r="D886">
        <v>1</v>
      </c>
      <c r="E886">
        <f t="shared" si="72"/>
        <v>8</v>
      </c>
      <c r="F886">
        <f t="shared" si="73"/>
        <v>2022</v>
      </c>
      <c r="H886" s="17">
        <f t="shared" si="74"/>
        <v>44774</v>
      </c>
      <c r="J886">
        <f t="shared" si="70"/>
        <v>0</v>
      </c>
      <c r="N886" s="55"/>
    </row>
    <row r="887" spans="1:14" x14ac:dyDescent="0.3">
      <c r="A887" s="17">
        <v>44799</v>
      </c>
      <c r="B887">
        <v>-23.41</v>
      </c>
      <c r="C887">
        <f t="shared" si="71"/>
        <v>26</v>
      </c>
      <c r="D887">
        <v>1</v>
      </c>
      <c r="E887">
        <f t="shared" si="72"/>
        <v>8</v>
      </c>
      <c r="F887">
        <f t="shared" si="73"/>
        <v>2022</v>
      </c>
      <c r="H887" s="17">
        <f t="shared" si="74"/>
        <v>44774</v>
      </c>
      <c r="J887">
        <f t="shared" si="70"/>
        <v>0</v>
      </c>
      <c r="N887" s="55"/>
    </row>
    <row r="888" spans="1:14" x14ac:dyDescent="0.3">
      <c r="A888" s="17">
        <v>44798</v>
      </c>
      <c r="B888">
        <v>-23.2</v>
      </c>
      <c r="C888">
        <f t="shared" si="71"/>
        <v>25</v>
      </c>
      <c r="D888">
        <v>1</v>
      </c>
      <c r="E888">
        <f t="shared" si="72"/>
        <v>8</v>
      </c>
      <c r="F888">
        <f t="shared" si="73"/>
        <v>2022</v>
      </c>
      <c r="H888" s="17">
        <f t="shared" si="74"/>
        <v>44774</v>
      </c>
      <c r="J888">
        <f t="shared" si="70"/>
        <v>0</v>
      </c>
      <c r="N888" s="55"/>
    </row>
    <row r="889" spans="1:14" x14ac:dyDescent="0.3">
      <c r="A889" s="17">
        <v>44797</v>
      </c>
      <c r="B889">
        <v>-21.45</v>
      </c>
      <c r="C889">
        <f t="shared" si="71"/>
        <v>24</v>
      </c>
      <c r="D889">
        <v>1</v>
      </c>
      <c r="E889">
        <f t="shared" si="72"/>
        <v>8</v>
      </c>
      <c r="F889">
        <f t="shared" si="73"/>
        <v>2022</v>
      </c>
      <c r="H889" s="17">
        <f t="shared" si="74"/>
        <v>44774</v>
      </c>
      <c r="J889">
        <f t="shared" si="70"/>
        <v>0</v>
      </c>
      <c r="N889" s="55"/>
    </row>
    <row r="890" spans="1:14" x14ac:dyDescent="0.3">
      <c r="A890" s="17">
        <v>44796</v>
      </c>
      <c r="B890">
        <v>-19.98</v>
      </c>
      <c r="C890">
        <f t="shared" si="71"/>
        <v>23</v>
      </c>
      <c r="D890">
        <v>1</v>
      </c>
      <c r="E890">
        <f t="shared" si="72"/>
        <v>8</v>
      </c>
      <c r="F890">
        <f t="shared" si="73"/>
        <v>2022</v>
      </c>
      <c r="H890" s="17">
        <f t="shared" si="74"/>
        <v>44774</v>
      </c>
      <c r="J890">
        <f t="shared" si="70"/>
        <v>0</v>
      </c>
      <c r="N890" s="55"/>
    </row>
    <row r="891" spans="1:14" x14ac:dyDescent="0.3">
      <c r="A891" s="17">
        <v>44795</v>
      </c>
      <c r="B891">
        <v>-18.5</v>
      </c>
      <c r="C891">
        <f t="shared" si="71"/>
        <v>22</v>
      </c>
      <c r="D891">
        <v>1</v>
      </c>
      <c r="E891">
        <f t="shared" si="72"/>
        <v>8</v>
      </c>
      <c r="F891">
        <f t="shared" si="73"/>
        <v>2022</v>
      </c>
      <c r="H891" s="17">
        <f t="shared" si="74"/>
        <v>44774</v>
      </c>
      <c r="J891">
        <f t="shared" si="70"/>
        <v>0</v>
      </c>
      <c r="N891" s="55"/>
    </row>
    <row r="892" spans="1:14" x14ac:dyDescent="0.3">
      <c r="A892" s="17">
        <v>44792</v>
      </c>
      <c r="B892">
        <v>-17.79</v>
      </c>
      <c r="C892">
        <f t="shared" si="71"/>
        <v>19</v>
      </c>
      <c r="D892">
        <v>1</v>
      </c>
      <c r="E892">
        <f t="shared" si="72"/>
        <v>8</v>
      </c>
      <c r="F892">
        <f t="shared" si="73"/>
        <v>2022</v>
      </c>
      <c r="H892" s="17">
        <f t="shared" si="74"/>
        <v>44774</v>
      </c>
      <c r="J892">
        <f t="shared" si="70"/>
        <v>0</v>
      </c>
      <c r="N892" s="55"/>
    </row>
    <row r="893" spans="1:14" x14ac:dyDescent="0.3">
      <c r="A893" s="17">
        <v>44791</v>
      </c>
      <c r="B893">
        <v>-17.16</v>
      </c>
      <c r="C893">
        <f t="shared" si="71"/>
        <v>18</v>
      </c>
      <c r="D893">
        <v>1</v>
      </c>
      <c r="E893">
        <f t="shared" si="72"/>
        <v>8</v>
      </c>
      <c r="F893">
        <f t="shared" si="73"/>
        <v>2022</v>
      </c>
      <c r="H893" s="17">
        <f t="shared" si="74"/>
        <v>44774</v>
      </c>
      <c r="J893">
        <f t="shared" si="70"/>
        <v>0</v>
      </c>
      <c r="N893" s="55"/>
    </row>
    <row r="894" spans="1:14" x14ac:dyDescent="0.3">
      <c r="A894" s="17">
        <v>44790</v>
      </c>
      <c r="B894">
        <v>-17.43</v>
      </c>
      <c r="C894">
        <f t="shared" si="71"/>
        <v>17</v>
      </c>
      <c r="D894">
        <v>1</v>
      </c>
      <c r="E894">
        <f t="shared" si="72"/>
        <v>8</v>
      </c>
      <c r="F894">
        <f t="shared" si="73"/>
        <v>2022</v>
      </c>
      <c r="H894" s="17">
        <f t="shared" si="74"/>
        <v>44774</v>
      </c>
      <c r="J894">
        <f t="shared" si="70"/>
        <v>0</v>
      </c>
      <c r="N894" s="55"/>
    </row>
    <row r="895" spans="1:14" x14ac:dyDescent="0.3">
      <c r="A895" s="17">
        <v>44789</v>
      </c>
      <c r="B895">
        <v>-18.170000000000002</v>
      </c>
      <c r="C895">
        <f t="shared" si="71"/>
        <v>16</v>
      </c>
      <c r="D895">
        <v>1</v>
      </c>
      <c r="E895">
        <f t="shared" si="72"/>
        <v>8</v>
      </c>
      <c r="F895">
        <f t="shared" si="73"/>
        <v>2022</v>
      </c>
      <c r="H895" s="17">
        <f t="shared" si="74"/>
        <v>44774</v>
      </c>
      <c r="J895">
        <f t="shared" si="70"/>
        <v>0</v>
      </c>
      <c r="N895" s="55"/>
    </row>
    <row r="896" spans="1:14" x14ac:dyDescent="0.3">
      <c r="A896" s="17">
        <v>44788</v>
      </c>
      <c r="B896">
        <v>-17.670000000000002</v>
      </c>
      <c r="C896">
        <f t="shared" si="71"/>
        <v>15</v>
      </c>
      <c r="D896">
        <v>1</v>
      </c>
      <c r="E896">
        <f t="shared" si="72"/>
        <v>8</v>
      </c>
      <c r="F896">
        <f t="shared" si="73"/>
        <v>2022</v>
      </c>
      <c r="H896" s="17">
        <f t="shared" si="74"/>
        <v>44774</v>
      </c>
      <c r="J896">
        <f t="shared" si="70"/>
        <v>0</v>
      </c>
      <c r="N896" s="55"/>
    </row>
    <row r="897" spans="1:14" x14ac:dyDescent="0.3">
      <c r="A897" s="17">
        <v>44785</v>
      </c>
      <c r="B897">
        <v>-18.02</v>
      </c>
      <c r="C897">
        <f t="shared" si="71"/>
        <v>12</v>
      </c>
      <c r="D897">
        <v>1</v>
      </c>
      <c r="E897">
        <f t="shared" si="72"/>
        <v>8</v>
      </c>
      <c r="F897">
        <f t="shared" si="73"/>
        <v>2022</v>
      </c>
      <c r="H897" s="17">
        <f t="shared" si="74"/>
        <v>44774</v>
      </c>
      <c r="J897">
        <f t="shared" si="70"/>
        <v>0</v>
      </c>
      <c r="N897" s="55"/>
    </row>
    <row r="898" spans="1:14" x14ac:dyDescent="0.3">
      <c r="A898" s="17">
        <v>44784</v>
      </c>
      <c r="B898">
        <v>-15.93</v>
      </c>
      <c r="C898">
        <f t="shared" si="71"/>
        <v>11</v>
      </c>
      <c r="D898">
        <v>1</v>
      </c>
      <c r="E898">
        <f t="shared" si="72"/>
        <v>8</v>
      </c>
      <c r="F898">
        <f t="shared" si="73"/>
        <v>2022</v>
      </c>
      <c r="H898" s="17">
        <f t="shared" si="74"/>
        <v>44774</v>
      </c>
      <c r="J898">
        <f t="shared" si="70"/>
        <v>0</v>
      </c>
      <c r="N898" s="55"/>
    </row>
    <row r="899" spans="1:14" x14ac:dyDescent="0.3">
      <c r="A899" s="17">
        <v>44783</v>
      </c>
      <c r="B899">
        <v>-15.37</v>
      </c>
      <c r="C899">
        <f t="shared" si="71"/>
        <v>10</v>
      </c>
      <c r="D899">
        <v>1</v>
      </c>
      <c r="E899">
        <f t="shared" si="72"/>
        <v>8</v>
      </c>
      <c r="F899">
        <f t="shared" si="73"/>
        <v>2022</v>
      </c>
      <c r="H899" s="17">
        <f t="shared" si="74"/>
        <v>44774</v>
      </c>
      <c r="J899">
        <f t="shared" si="70"/>
        <v>0</v>
      </c>
      <c r="N899" s="55"/>
    </row>
    <row r="900" spans="1:14" x14ac:dyDescent="0.3">
      <c r="A900" s="17">
        <v>44781</v>
      </c>
      <c r="B900">
        <v>-14.56</v>
      </c>
      <c r="C900">
        <f t="shared" si="71"/>
        <v>8</v>
      </c>
      <c r="D900">
        <v>1</v>
      </c>
      <c r="E900">
        <f t="shared" si="72"/>
        <v>8</v>
      </c>
      <c r="F900">
        <f t="shared" si="73"/>
        <v>2022</v>
      </c>
      <c r="H900" s="17">
        <f t="shared" si="74"/>
        <v>44774</v>
      </c>
      <c r="J900">
        <f t="shared" si="70"/>
        <v>0</v>
      </c>
      <c r="N900" s="55"/>
    </row>
    <row r="901" spans="1:14" x14ac:dyDescent="0.3">
      <c r="A901" s="17">
        <v>44778</v>
      </c>
      <c r="B901">
        <v>-14.1</v>
      </c>
      <c r="C901">
        <f t="shared" si="71"/>
        <v>5</v>
      </c>
      <c r="D901">
        <v>1</v>
      </c>
      <c r="E901">
        <f t="shared" si="72"/>
        <v>8</v>
      </c>
      <c r="F901">
        <f t="shared" si="73"/>
        <v>2022</v>
      </c>
      <c r="H901" s="17">
        <f t="shared" si="74"/>
        <v>44774</v>
      </c>
      <c r="J901">
        <f t="shared" si="70"/>
        <v>0</v>
      </c>
      <c r="N901" s="55"/>
    </row>
    <row r="902" spans="1:14" x14ac:dyDescent="0.3">
      <c r="A902" s="17">
        <v>44777</v>
      </c>
      <c r="B902">
        <v>-14.37</v>
      </c>
      <c r="C902">
        <f t="shared" si="71"/>
        <v>4</v>
      </c>
      <c r="D902">
        <v>1</v>
      </c>
      <c r="E902">
        <f t="shared" si="72"/>
        <v>8</v>
      </c>
      <c r="F902">
        <f t="shared" si="73"/>
        <v>2022</v>
      </c>
      <c r="H902" s="17">
        <f t="shared" si="74"/>
        <v>44774</v>
      </c>
      <c r="J902">
        <f t="shared" si="70"/>
        <v>1</v>
      </c>
      <c r="N902" s="55"/>
    </row>
    <row r="903" spans="1:14" x14ac:dyDescent="0.3">
      <c r="A903" s="17">
        <v>44776</v>
      </c>
      <c r="B903">
        <v>-14.58</v>
      </c>
      <c r="C903">
        <f t="shared" si="71"/>
        <v>3</v>
      </c>
      <c r="D903">
        <v>1</v>
      </c>
      <c r="E903">
        <f t="shared" si="72"/>
        <v>8</v>
      </c>
      <c r="F903">
        <f t="shared" si="73"/>
        <v>2022</v>
      </c>
      <c r="H903" s="17">
        <f t="shared" si="74"/>
        <v>44774</v>
      </c>
      <c r="J903">
        <f t="shared" si="70"/>
        <v>1</v>
      </c>
      <c r="N903" s="55"/>
    </row>
    <row r="904" spans="1:14" x14ac:dyDescent="0.3">
      <c r="A904" s="17">
        <v>44775</v>
      </c>
      <c r="B904">
        <v>-15.33</v>
      </c>
      <c r="C904">
        <f t="shared" si="71"/>
        <v>2</v>
      </c>
      <c r="D904">
        <v>1</v>
      </c>
      <c r="E904">
        <f t="shared" si="72"/>
        <v>8</v>
      </c>
      <c r="F904">
        <f t="shared" si="73"/>
        <v>2022</v>
      </c>
      <c r="H904" s="17">
        <f t="shared" si="74"/>
        <v>44774</v>
      </c>
      <c r="J904">
        <f t="shared" si="70"/>
        <v>1</v>
      </c>
      <c r="N904" s="55"/>
    </row>
    <row r="905" spans="1:14" x14ac:dyDescent="0.3">
      <c r="A905" s="17">
        <v>44774</v>
      </c>
      <c r="B905">
        <v>-15.57</v>
      </c>
      <c r="C905">
        <f t="shared" si="71"/>
        <v>1</v>
      </c>
      <c r="D905">
        <v>1</v>
      </c>
      <c r="E905">
        <f t="shared" si="72"/>
        <v>8</v>
      </c>
      <c r="F905">
        <f t="shared" si="73"/>
        <v>2022</v>
      </c>
      <c r="H905" s="17">
        <f t="shared" si="74"/>
        <v>44774</v>
      </c>
      <c r="J905">
        <f t="shared" ref="J905:J968" si="75">IF(AND(C905&gt;=1, C905&lt;=4), 1, 0)</f>
        <v>1</v>
      </c>
      <c r="N905" s="55"/>
    </row>
    <row r="906" spans="1:14" x14ac:dyDescent="0.3">
      <c r="A906" s="17">
        <v>44771</v>
      </c>
      <c r="B906">
        <v>-15.16</v>
      </c>
      <c r="C906">
        <f t="shared" ref="C906:C969" si="76">+DAY(A906)</f>
        <v>29</v>
      </c>
      <c r="D906">
        <v>1</v>
      </c>
      <c r="E906">
        <f t="shared" ref="E906:E969" si="77">+MONTH(A906)</f>
        <v>7</v>
      </c>
      <c r="F906">
        <f t="shared" ref="F906:F969" si="78">+YEAR(A906)</f>
        <v>2022</v>
      </c>
      <c r="H906" s="17">
        <f t="shared" ref="H906:H969" si="79">+DATE(F906,E906,D906)</f>
        <v>44743</v>
      </c>
      <c r="J906">
        <f t="shared" si="75"/>
        <v>0</v>
      </c>
      <c r="N906" s="55"/>
    </row>
    <row r="907" spans="1:14" x14ac:dyDescent="0.3">
      <c r="A907" s="17">
        <v>44770</v>
      </c>
      <c r="B907">
        <v>-14.48</v>
      </c>
      <c r="C907">
        <f t="shared" si="76"/>
        <v>28</v>
      </c>
      <c r="D907">
        <v>1</v>
      </c>
      <c r="E907">
        <f t="shared" si="77"/>
        <v>7</v>
      </c>
      <c r="F907">
        <f t="shared" si="78"/>
        <v>2022</v>
      </c>
      <c r="H907" s="17">
        <f t="shared" si="79"/>
        <v>44743</v>
      </c>
      <c r="J907">
        <f t="shared" si="75"/>
        <v>0</v>
      </c>
      <c r="N907" s="55"/>
    </row>
    <row r="908" spans="1:14" x14ac:dyDescent="0.3">
      <c r="A908" s="17">
        <v>44769</v>
      </c>
      <c r="B908">
        <v>-13.61</v>
      </c>
      <c r="C908">
        <f t="shared" si="76"/>
        <v>27</v>
      </c>
      <c r="D908">
        <v>1</v>
      </c>
      <c r="E908">
        <f t="shared" si="77"/>
        <v>7</v>
      </c>
      <c r="F908">
        <f t="shared" si="78"/>
        <v>2022</v>
      </c>
      <c r="H908" s="17">
        <f t="shared" si="79"/>
        <v>44743</v>
      </c>
      <c r="J908">
        <f t="shared" si="75"/>
        <v>0</v>
      </c>
      <c r="N908" s="55"/>
    </row>
    <row r="909" spans="1:14" x14ac:dyDescent="0.3">
      <c r="A909" s="17">
        <v>44768</v>
      </c>
      <c r="B909">
        <v>-13.45</v>
      </c>
      <c r="C909">
        <f t="shared" si="76"/>
        <v>26</v>
      </c>
      <c r="D909">
        <v>1</v>
      </c>
      <c r="E909">
        <f t="shared" si="77"/>
        <v>7</v>
      </c>
      <c r="F909">
        <f t="shared" si="78"/>
        <v>2022</v>
      </c>
      <c r="H909" s="17">
        <f t="shared" si="79"/>
        <v>44743</v>
      </c>
      <c r="J909">
        <f t="shared" si="75"/>
        <v>0</v>
      </c>
      <c r="N909" s="55"/>
    </row>
    <row r="910" spans="1:14" x14ac:dyDescent="0.3">
      <c r="A910" s="17">
        <v>44767</v>
      </c>
      <c r="B910">
        <v>-11.27</v>
      </c>
      <c r="C910">
        <f t="shared" si="76"/>
        <v>25</v>
      </c>
      <c r="D910">
        <v>1</v>
      </c>
      <c r="E910">
        <f t="shared" si="77"/>
        <v>7</v>
      </c>
      <c r="F910">
        <f t="shared" si="78"/>
        <v>2022</v>
      </c>
      <c r="H910" s="17">
        <f t="shared" si="79"/>
        <v>44743</v>
      </c>
      <c r="J910">
        <f t="shared" si="75"/>
        <v>0</v>
      </c>
      <c r="N910" s="55"/>
    </row>
    <row r="911" spans="1:14" x14ac:dyDescent="0.3">
      <c r="A911" s="17">
        <v>44764</v>
      </c>
      <c r="B911">
        <v>-11.55</v>
      </c>
      <c r="C911">
        <f t="shared" si="76"/>
        <v>22</v>
      </c>
      <c r="D911">
        <v>1</v>
      </c>
      <c r="E911">
        <f t="shared" si="77"/>
        <v>7</v>
      </c>
      <c r="F911">
        <f t="shared" si="78"/>
        <v>2022</v>
      </c>
      <c r="H911" s="17">
        <f t="shared" si="79"/>
        <v>44743</v>
      </c>
      <c r="J911">
        <f t="shared" si="75"/>
        <v>0</v>
      </c>
      <c r="N911" s="55"/>
    </row>
    <row r="912" spans="1:14" x14ac:dyDescent="0.3">
      <c r="A912" s="17">
        <v>44763</v>
      </c>
      <c r="B912">
        <v>-11.91</v>
      </c>
      <c r="C912">
        <f t="shared" si="76"/>
        <v>21</v>
      </c>
      <c r="D912">
        <v>1</v>
      </c>
      <c r="E912">
        <f t="shared" si="77"/>
        <v>7</v>
      </c>
      <c r="F912">
        <f t="shared" si="78"/>
        <v>2022</v>
      </c>
      <c r="H912" s="17">
        <f t="shared" si="79"/>
        <v>44743</v>
      </c>
      <c r="J912">
        <f t="shared" si="75"/>
        <v>0</v>
      </c>
      <c r="N912" s="55"/>
    </row>
    <row r="913" spans="1:14" x14ac:dyDescent="0.3">
      <c r="A913" s="17">
        <v>44762</v>
      </c>
      <c r="B913">
        <v>-11.66</v>
      </c>
      <c r="C913">
        <f t="shared" si="76"/>
        <v>20</v>
      </c>
      <c r="D913">
        <v>1</v>
      </c>
      <c r="E913">
        <f t="shared" si="77"/>
        <v>7</v>
      </c>
      <c r="F913">
        <f t="shared" si="78"/>
        <v>2022</v>
      </c>
      <c r="H913" s="17">
        <f t="shared" si="79"/>
        <v>44743</v>
      </c>
      <c r="J913">
        <f t="shared" si="75"/>
        <v>0</v>
      </c>
      <c r="N913" s="55"/>
    </row>
    <row r="914" spans="1:14" x14ac:dyDescent="0.3">
      <c r="A914" s="17">
        <v>44761</v>
      </c>
      <c r="B914">
        <v>-11.66</v>
      </c>
      <c r="C914">
        <f t="shared" si="76"/>
        <v>19</v>
      </c>
      <c r="D914">
        <v>1</v>
      </c>
      <c r="E914">
        <f t="shared" si="77"/>
        <v>7</v>
      </c>
      <c r="F914">
        <f t="shared" si="78"/>
        <v>2022</v>
      </c>
      <c r="H914" s="17">
        <f t="shared" si="79"/>
        <v>44743</v>
      </c>
      <c r="J914">
        <f t="shared" si="75"/>
        <v>0</v>
      </c>
      <c r="N914" s="55"/>
    </row>
    <row r="915" spans="1:14" x14ac:dyDescent="0.3">
      <c r="A915" s="17">
        <v>44760</v>
      </c>
      <c r="B915">
        <v>-10.96</v>
      </c>
      <c r="C915">
        <f t="shared" si="76"/>
        <v>18</v>
      </c>
      <c r="D915">
        <v>1</v>
      </c>
      <c r="E915">
        <f t="shared" si="77"/>
        <v>7</v>
      </c>
      <c r="F915">
        <f t="shared" si="78"/>
        <v>2022</v>
      </c>
      <c r="H915" s="17">
        <f t="shared" si="79"/>
        <v>44743</v>
      </c>
      <c r="J915">
        <f t="shared" si="75"/>
        <v>0</v>
      </c>
      <c r="N915" s="55"/>
    </row>
    <row r="916" spans="1:14" x14ac:dyDescent="0.3">
      <c r="A916" s="17">
        <v>44757</v>
      </c>
      <c r="B916">
        <v>-9.7799999999999994</v>
      </c>
      <c r="C916">
        <f t="shared" si="76"/>
        <v>15</v>
      </c>
      <c r="D916">
        <v>1</v>
      </c>
      <c r="E916">
        <f t="shared" si="77"/>
        <v>7</v>
      </c>
      <c r="F916">
        <f t="shared" si="78"/>
        <v>2022</v>
      </c>
      <c r="H916" s="17">
        <f t="shared" si="79"/>
        <v>44743</v>
      </c>
      <c r="J916">
        <f t="shared" si="75"/>
        <v>0</v>
      </c>
      <c r="N916" s="55"/>
    </row>
    <row r="917" spans="1:14" x14ac:dyDescent="0.3">
      <c r="A917" s="17">
        <v>44756</v>
      </c>
      <c r="B917">
        <v>-9.06</v>
      </c>
      <c r="C917">
        <f t="shared" si="76"/>
        <v>14</v>
      </c>
      <c r="D917">
        <v>1</v>
      </c>
      <c r="E917">
        <f t="shared" si="77"/>
        <v>7</v>
      </c>
      <c r="F917">
        <f t="shared" si="78"/>
        <v>2022</v>
      </c>
      <c r="H917" s="17">
        <f t="shared" si="79"/>
        <v>44743</v>
      </c>
      <c r="J917">
        <f t="shared" si="75"/>
        <v>0</v>
      </c>
      <c r="N917" s="55"/>
    </row>
    <row r="918" spans="1:14" x14ac:dyDescent="0.3">
      <c r="A918" s="17">
        <v>44755</v>
      </c>
      <c r="B918">
        <v>-8.8699999999999992</v>
      </c>
      <c r="C918">
        <f t="shared" si="76"/>
        <v>13</v>
      </c>
      <c r="D918">
        <v>1</v>
      </c>
      <c r="E918">
        <f t="shared" si="77"/>
        <v>7</v>
      </c>
      <c r="F918">
        <f t="shared" si="78"/>
        <v>2022</v>
      </c>
      <c r="H918" s="17">
        <f t="shared" si="79"/>
        <v>44743</v>
      </c>
      <c r="J918">
        <f t="shared" si="75"/>
        <v>0</v>
      </c>
      <c r="N918" s="55"/>
    </row>
    <row r="919" spans="1:14" x14ac:dyDescent="0.3">
      <c r="A919" s="17">
        <v>44754</v>
      </c>
      <c r="B919">
        <v>-9.89</v>
      </c>
      <c r="C919">
        <f t="shared" si="76"/>
        <v>12</v>
      </c>
      <c r="D919">
        <v>1</v>
      </c>
      <c r="E919">
        <f t="shared" si="77"/>
        <v>7</v>
      </c>
      <c r="F919">
        <f t="shared" si="78"/>
        <v>2022</v>
      </c>
      <c r="H919" s="17">
        <f t="shared" si="79"/>
        <v>44743</v>
      </c>
      <c r="J919">
        <f t="shared" si="75"/>
        <v>0</v>
      </c>
      <c r="N919" s="55"/>
    </row>
    <row r="920" spans="1:14" x14ac:dyDescent="0.3">
      <c r="A920" s="17">
        <v>44750</v>
      </c>
      <c r="B920">
        <v>-9.67</v>
      </c>
      <c r="C920">
        <f t="shared" si="76"/>
        <v>8</v>
      </c>
      <c r="D920">
        <v>1</v>
      </c>
      <c r="E920">
        <f t="shared" si="77"/>
        <v>7</v>
      </c>
      <c r="F920">
        <f t="shared" si="78"/>
        <v>2022</v>
      </c>
      <c r="H920" s="17">
        <f t="shared" si="79"/>
        <v>44743</v>
      </c>
      <c r="J920">
        <f t="shared" si="75"/>
        <v>0</v>
      </c>
      <c r="N920" s="55"/>
    </row>
    <row r="921" spans="1:14" x14ac:dyDescent="0.3">
      <c r="A921" s="17">
        <v>44749</v>
      </c>
      <c r="B921">
        <v>-6.64</v>
      </c>
      <c r="C921">
        <f t="shared" si="76"/>
        <v>7</v>
      </c>
      <c r="D921">
        <v>1</v>
      </c>
      <c r="E921">
        <f t="shared" si="77"/>
        <v>7</v>
      </c>
      <c r="F921">
        <f t="shared" si="78"/>
        <v>2022</v>
      </c>
      <c r="H921" s="17">
        <f t="shared" si="79"/>
        <v>44743</v>
      </c>
      <c r="J921">
        <f t="shared" si="75"/>
        <v>0</v>
      </c>
      <c r="N921" s="55"/>
    </row>
    <row r="922" spans="1:14" x14ac:dyDescent="0.3">
      <c r="A922" s="17">
        <v>44748</v>
      </c>
      <c r="B922">
        <v>-6.99</v>
      </c>
      <c r="C922">
        <f t="shared" si="76"/>
        <v>6</v>
      </c>
      <c r="D922">
        <v>1</v>
      </c>
      <c r="E922">
        <f t="shared" si="77"/>
        <v>7</v>
      </c>
      <c r="F922">
        <f t="shared" si="78"/>
        <v>2022</v>
      </c>
      <c r="H922" s="17">
        <f t="shared" si="79"/>
        <v>44743</v>
      </c>
      <c r="J922">
        <f t="shared" si="75"/>
        <v>0</v>
      </c>
      <c r="N922" s="55"/>
    </row>
    <row r="923" spans="1:14" x14ac:dyDescent="0.3">
      <c r="A923" s="17">
        <v>44747</v>
      </c>
      <c r="B923">
        <v>-10.9</v>
      </c>
      <c r="C923">
        <f t="shared" si="76"/>
        <v>5</v>
      </c>
      <c r="D923">
        <v>1</v>
      </c>
      <c r="E923">
        <f t="shared" si="77"/>
        <v>7</v>
      </c>
      <c r="F923">
        <f t="shared" si="78"/>
        <v>2022</v>
      </c>
      <c r="H923" s="17">
        <f t="shared" si="79"/>
        <v>44743</v>
      </c>
      <c r="J923">
        <f t="shared" si="75"/>
        <v>0</v>
      </c>
      <c r="N923" s="55"/>
    </row>
    <row r="924" spans="1:14" x14ac:dyDescent="0.3">
      <c r="A924" s="17">
        <v>44746</v>
      </c>
      <c r="B924">
        <v>-11.03</v>
      </c>
      <c r="C924">
        <f t="shared" si="76"/>
        <v>4</v>
      </c>
      <c r="D924">
        <v>1</v>
      </c>
      <c r="E924">
        <f t="shared" si="77"/>
        <v>7</v>
      </c>
      <c r="F924">
        <f t="shared" si="78"/>
        <v>2022</v>
      </c>
      <c r="H924" s="17">
        <f t="shared" si="79"/>
        <v>44743</v>
      </c>
      <c r="J924">
        <f t="shared" si="75"/>
        <v>1</v>
      </c>
      <c r="N924" s="55"/>
    </row>
    <row r="925" spans="1:14" x14ac:dyDescent="0.3">
      <c r="A925" s="17">
        <v>44743</v>
      </c>
      <c r="B925">
        <v>-10.88</v>
      </c>
      <c r="C925">
        <f t="shared" si="76"/>
        <v>1</v>
      </c>
      <c r="D925">
        <v>1</v>
      </c>
      <c r="E925">
        <f t="shared" si="77"/>
        <v>7</v>
      </c>
      <c r="F925">
        <f t="shared" si="78"/>
        <v>2022</v>
      </c>
      <c r="H925" s="17">
        <f t="shared" si="79"/>
        <v>44743</v>
      </c>
      <c r="J925">
        <f t="shared" si="75"/>
        <v>1</v>
      </c>
      <c r="N925" s="55"/>
    </row>
    <row r="926" spans="1:14" x14ac:dyDescent="0.3">
      <c r="A926" s="17">
        <v>44742</v>
      </c>
      <c r="B926">
        <v>-19.670000000000002</v>
      </c>
      <c r="C926">
        <f t="shared" si="76"/>
        <v>30</v>
      </c>
      <c r="D926">
        <v>1</v>
      </c>
      <c r="E926">
        <f t="shared" si="77"/>
        <v>6</v>
      </c>
      <c r="F926">
        <f t="shared" si="78"/>
        <v>2022</v>
      </c>
      <c r="H926" s="17">
        <f t="shared" si="79"/>
        <v>44713</v>
      </c>
      <c r="J926">
        <f t="shared" si="75"/>
        <v>0</v>
      </c>
      <c r="N926" s="55"/>
    </row>
    <row r="927" spans="1:14" x14ac:dyDescent="0.3">
      <c r="A927" s="17">
        <v>44741</v>
      </c>
      <c r="B927">
        <v>-21.33</v>
      </c>
      <c r="C927">
        <f t="shared" si="76"/>
        <v>29</v>
      </c>
      <c r="D927">
        <v>1</v>
      </c>
      <c r="E927">
        <f t="shared" si="77"/>
        <v>6</v>
      </c>
      <c r="F927">
        <f t="shared" si="78"/>
        <v>2022</v>
      </c>
      <c r="H927" s="17">
        <f t="shared" si="79"/>
        <v>44713</v>
      </c>
      <c r="J927">
        <f t="shared" si="75"/>
        <v>0</v>
      </c>
      <c r="N927" s="55"/>
    </row>
    <row r="928" spans="1:14" x14ac:dyDescent="0.3">
      <c r="A928" s="17">
        <v>44740</v>
      </c>
      <c r="B928">
        <v>-19.72</v>
      </c>
      <c r="C928">
        <f t="shared" si="76"/>
        <v>28</v>
      </c>
      <c r="D928">
        <v>1</v>
      </c>
      <c r="E928">
        <f t="shared" si="77"/>
        <v>6</v>
      </c>
      <c r="F928">
        <f t="shared" si="78"/>
        <v>2022</v>
      </c>
      <c r="H928" s="17">
        <f t="shared" si="79"/>
        <v>44713</v>
      </c>
      <c r="J928">
        <f t="shared" si="75"/>
        <v>0</v>
      </c>
      <c r="N928" s="55"/>
    </row>
    <row r="929" spans="1:14" x14ac:dyDescent="0.3">
      <c r="A929" s="17">
        <v>44739</v>
      </c>
      <c r="B929">
        <v>-17.8</v>
      </c>
      <c r="C929">
        <f t="shared" si="76"/>
        <v>27</v>
      </c>
      <c r="D929">
        <v>1</v>
      </c>
      <c r="E929">
        <f t="shared" si="77"/>
        <v>6</v>
      </c>
      <c r="F929">
        <f t="shared" si="78"/>
        <v>2022</v>
      </c>
      <c r="H929" s="17">
        <f t="shared" si="79"/>
        <v>44713</v>
      </c>
      <c r="J929">
        <f t="shared" si="75"/>
        <v>0</v>
      </c>
      <c r="N929" s="55"/>
    </row>
    <row r="930" spans="1:14" x14ac:dyDescent="0.3">
      <c r="A930" s="17">
        <v>44736</v>
      </c>
      <c r="B930">
        <v>-16.52</v>
      </c>
      <c r="C930">
        <f t="shared" si="76"/>
        <v>24</v>
      </c>
      <c r="D930">
        <v>1</v>
      </c>
      <c r="E930">
        <f t="shared" si="77"/>
        <v>6</v>
      </c>
      <c r="F930">
        <f t="shared" si="78"/>
        <v>2022</v>
      </c>
      <c r="H930" s="17">
        <f t="shared" si="79"/>
        <v>44713</v>
      </c>
      <c r="J930">
        <f t="shared" si="75"/>
        <v>0</v>
      </c>
      <c r="N930" s="55"/>
    </row>
    <row r="931" spans="1:14" x14ac:dyDescent="0.3">
      <c r="A931" s="17">
        <v>44735</v>
      </c>
      <c r="B931">
        <v>-18.71</v>
      </c>
      <c r="C931">
        <f t="shared" si="76"/>
        <v>23</v>
      </c>
      <c r="D931">
        <v>1</v>
      </c>
      <c r="E931">
        <f t="shared" si="77"/>
        <v>6</v>
      </c>
      <c r="F931">
        <f t="shared" si="78"/>
        <v>2022</v>
      </c>
      <c r="H931" s="17">
        <f t="shared" si="79"/>
        <v>44713</v>
      </c>
      <c r="J931">
        <f t="shared" si="75"/>
        <v>0</v>
      </c>
      <c r="N931" s="55"/>
    </row>
    <row r="932" spans="1:14" x14ac:dyDescent="0.3">
      <c r="A932" s="17">
        <v>44734</v>
      </c>
      <c r="B932">
        <v>-21.67</v>
      </c>
      <c r="C932">
        <f t="shared" si="76"/>
        <v>22</v>
      </c>
      <c r="D932">
        <v>1</v>
      </c>
      <c r="E932">
        <f t="shared" si="77"/>
        <v>6</v>
      </c>
      <c r="F932">
        <f t="shared" si="78"/>
        <v>2022</v>
      </c>
      <c r="H932" s="17">
        <f t="shared" si="79"/>
        <v>44713</v>
      </c>
      <c r="J932">
        <f t="shared" si="75"/>
        <v>0</v>
      </c>
      <c r="N932" s="55"/>
    </row>
    <row r="933" spans="1:14" x14ac:dyDescent="0.3">
      <c r="A933" s="17">
        <v>44733</v>
      </c>
      <c r="B933">
        <v>-21.28</v>
      </c>
      <c r="C933">
        <f t="shared" si="76"/>
        <v>21</v>
      </c>
      <c r="D933">
        <v>1</v>
      </c>
      <c r="E933">
        <f t="shared" si="77"/>
        <v>6</v>
      </c>
      <c r="F933">
        <f t="shared" si="78"/>
        <v>2022</v>
      </c>
      <c r="H933" s="17">
        <f t="shared" si="79"/>
        <v>44713</v>
      </c>
      <c r="J933">
        <f t="shared" si="75"/>
        <v>0</v>
      </c>
      <c r="N933" s="55"/>
    </row>
    <row r="934" spans="1:14" x14ac:dyDescent="0.3">
      <c r="A934" s="17">
        <v>44732</v>
      </c>
      <c r="B934">
        <v>-19.34</v>
      </c>
      <c r="C934">
        <f t="shared" si="76"/>
        <v>20</v>
      </c>
      <c r="D934">
        <v>1</v>
      </c>
      <c r="E934">
        <f t="shared" si="77"/>
        <v>6</v>
      </c>
      <c r="F934">
        <f t="shared" si="78"/>
        <v>2022</v>
      </c>
      <c r="H934" s="17">
        <f t="shared" si="79"/>
        <v>44713</v>
      </c>
      <c r="J934">
        <f t="shared" si="75"/>
        <v>0</v>
      </c>
      <c r="N934" s="55"/>
    </row>
    <row r="935" spans="1:14" x14ac:dyDescent="0.3">
      <c r="A935" s="17">
        <v>44729</v>
      </c>
      <c r="B935">
        <v>-23.74</v>
      </c>
      <c r="C935">
        <f t="shared" si="76"/>
        <v>17</v>
      </c>
      <c r="D935">
        <v>1</v>
      </c>
      <c r="E935">
        <f t="shared" si="77"/>
        <v>6</v>
      </c>
      <c r="F935">
        <f t="shared" si="78"/>
        <v>2022</v>
      </c>
      <c r="H935" s="17">
        <f t="shared" si="79"/>
        <v>44713</v>
      </c>
      <c r="J935">
        <f t="shared" si="75"/>
        <v>0</v>
      </c>
      <c r="N935" s="55"/>
    </row>
    <row r="936" spans="1:14" x14ac:dyDescent="0.3">
      <c r="A936" s="17">
        <v>44728</v>
      </c>
      <c r="B936">
        <v>-26.39</v>
      </c>
      <c r="C936">
        <f t="shared" si="76"/>
        <v>16</v>
      </c>
      <c r="D936">
        <v>1</v>
      </c>
      <c r="E936">
        <f t="shared" si="77"/>
        <v>6</v>
      </c>
      <c r="F936">
        <f t="shared" si="78"/>
        <v>2022</v>
      </c>
      <c r="H936" s="17">
        <f t="shared" si="79"/>
        <v>44713</v>
      </c>
      <c r="J936">
        <f t="shared" si="75"/>
        <v>0</v>
      </c>
      <c r="N936" s="55"/>
    </row>
    <row r="937" spans="1:14" x14ac:dyDescent="0.3">
      <c r="A937" s="17">
        <v>44727</v>
      </c>
      <c r="B937">
        <v>-26.96</v>
      </c>
      <c r="C937">
        <f t="shared" si="76"/>
        <v>15</v>
      </c>
      <c r="D937">
        <v>1</v>
      </c>
      <c r="E937">
        <f t="shared" si="77"/>
        <v>6</v>
      </c>
      <c r="F937">
        <f t="shared" si="78"/>
        <v>2022</v>
      </c>
      <c r="H937" s="17">
        <f t="shared" si="79"/>
        <v>44713</v>
      </c>
      <c r="J937">
        <f t="shared" si="75"/>
        <v>0</v>
      </c>
      <c r="N937" s="55"/>
    </row>
    <row r="938" spans="1:14" x14ac:dyDescent="0.3">
      <c r="A938" s="17">
        <v>44726</v>
      </c>
      <c r="B938">
        <v>-26.99</v>
      </c>
      <c r="C938">
        <f t="shared" si="76"/>
        <v>14</v>
      </c>
      <c r="D938">
        <v>1</v>
      </c>
      <c r="E938">
        <f t="shared" si="77"/>
        <v>6</v>
      </c>
      <c r="F938">
        <f t="shared" si="78"/>
        <v>2022</v>
      </c>
      <c r="H938" s="17">
        <f t="shared" si="79"/>
        <v>44713</v>
      </c>
      <c r="J938">
        <f t="shared" si="75"/>
        <v>0</v>
      </c>
      <c r="N938" s="55"/>
    </row>
    <row r="939" spans="1:14" x14ac:dyDescent="0.3">
      <c r="A939" s="17">
        <v>44725</v>
      </c>
      <c r="B939">
        <v>-23.29</v>
      </c>
      <c r="C939">
        <f t="shared" si="76"/>
        <v>13</v>
      </c>
      <c r="D939">
        <v>1</v>
      </c>
      <c r="E939">
        <f t="shared" si="77"/>
        <v>6</v>
      </c>
      <c r="F939">
        <f t="shared" si="78"/>
        <v>2022</v>
      </c>
      <c r="H939" s="17">
        <f t="shared" si="79"/>
        <v>44713</v>
      </c>
      <c r="J939">
        <f t="shared" si="75"/>
        <v>0</v>
      </c>
      <c r="N939" s="55"/>
    </row>
    <row r="940" spans="1:14" x14ac:dyDescent="0.3">
      <c r="A940" s="17">
        <v>44722</v>
      </c>
      <c r="B940">
        <v>-26.52</v>
      </c>
      <c r="C940">
        <f t="shared" si="76"/>
        <v>10</v>
      </c>
      <c r="D940">
        <v>1</v>
      </c>
      <c r="E940">
        <f t="shared" si="77"/>
        <v>6</v>
      </c>
      <c r="F940">
        <f t="shared" si="78"/>
        <v>2022</v>
      </c>
      <c r="H940" s="17">
        <f t="shared" si="79"/>
        <v>44713</v>
      </c>
      <c r="J940">
        <f t="shared" si="75"/>
        <v>0</v>
      </c>
      <c r="N940" s="55"/>
    </row>
    <row r="941" spans="1:14" x14ac:dyDescent="0.3">
      <c r="A941" s="17">
        <v>44721</v>
      </c>
      <c r="B941">
        <v>-23.74</v>
      </c>
      <c r="C941">
        <f t="shared" si="76"/>
        <v>9</v>
      </c>
      <c r="D941">
        <v>1</v>
      </c>
      <c r="E941">
        <f t="shared" si="77"/>
        <v>6</v>
      </c>
      <c r="F941">
        <f t="shared" si="78"/>
        <v>2022</v>
      </c>
      <c r="H941" s="17">
        <f t="shared" si="79"/>
        <v>44713</v>
      </c>
      <c r="J941">
        <f t="shared" si="75"/>
        <v>0</v>
      </c>
      <c r="N941" s="55"/>
    </row>
    <row r="942" spans="1:14" x14ac:dyDescent="0.3">
      <c r="A942" s="17">
        <v>44720</v>
      </c>
      <c r="B942">
        <v>-22.31</v>
      </c>
      <c r="C942">
        <f t="shared" si="76"/>
        <v>8</v>
      </c>
      <c r="D942">
        <v>1</v>
      </c>
      <c r="E942">
        <f t="shared" si="77"/>
        <v>6</v>
      </c>
      <c r="F942">
        <f t="shared" si="78"/>
        <v>2022</v>
      </c>
      <c r="H942" s="17">
        <f t="shared" si="79"/>
        <v>44713</v>
      </c>
      <c r="J942">
        <f t="shared" si="75"/>
        <v>0</v>
      </c>
      <c r="N942" s="55"/>
    </row>
    <row r="943" spans="1:14" x14ac:dyDescent="0.3">
      <c r="A943" s="17">
        <v>44719</v>
      </c>
      <c r="B943">
        <v>-18.71</v>
      </c>
      <c r="C943">
        <f t="shared" si="76"/>
        <v>7</v>
      </c>
      <c r="D943">
        <v>1</v>
      </c>
      <c r="E943">
        <f t="shared" si="77"/>
        <v>6</v>
      </c>
      <c r="F943">
        <f t="shared" si="78"/>
        <v>2022</v>
      </c>
      <c r="H943" s="17">
        <f t="shared" si="79"/>
        <v>44713</v>
      </c>
      <c r="J943">
        <f t="shared" si="75"/>
        <v>0</v>
      </c>
      <c r="N943" s="55"/>
    </row>
    <row r="944" spans="1:14" x14ac:dyDescent="0.3">
      <c r="A944" s="17">
        <v>44718</v>
      </c>
      <c r="B944">
        <v>-16.23</v>
      </c>
      <c r="C944">
        <f t="shared" si="76"/>
        <v>6</v>
      </c>
      <c r="D944">
        <v>1</v>
      </c>
      <c r="E944">
        <f t="shared" si="77"/>
        <v>6</v>
      </c>
      <c r="F944">
        <f t="shared" si="78"/>
        <v>2022</v>
      </c>
      <c r="H944" s="17">
        <f t="shared" si="79"/>
        <v>44713</v>
      </c>
      <c r="J944">
        <f t="shared" si="75"/>
        <v>0</v>
      </c>
      <c r="N944" s="55"/>
    </row>
    <row r="945" spans="1:14" x14ac:dyDescent="0.3">
      <c r="A945" s="17">
        <v>44715</v>
      </c>
      <c r="B945">
        <v>-14.55</v>
      </c>
      <c r="C945">
        <f t="shared" si="76"/>
        <v>3</v>
      </c>
      <c r="D945">
        <v>1</v>
      </c>
      <c r="E945">
        <f t="shared" si="77"/>
        <v>6</v>
      </c>
      <c r="F945">
        <f t="shared" si="78"/>
        <v>2022</v>
      </c>
      <c r="H945" s="17">
        <f t="shared" si="79"/>
        <v>44713</v>
      </c>
      <c r="J945">
        <f t="shared" si="75"/>
        <v>1</v>
      </c>
      <c r="N945" s="55"/>
    </row>
    <row r="946" spans="1:14" x14ac:dyDescent="0.3">
      <c r="A946" s="17">
        <v>44714</v>
      </c>
      <c r="B946">
        <v>-15.22</v>
      </c>
      <c r="C946">
        <f t="shared" si="76"/>
        <v>2</v>
      </c>
      <c r="D946">
        <v>1</v>
      </c>
      <c r="E946">
        <f t="shared" si="77"/>
        <v>6</v>
      </c>
      <c r="F946">
        <f t="shared" si="78"/>
        <v>2022</v>
      </c>
      <c r="H946" s="17">
        <f t="shared" si="79"/>
        <v>44713</v>
      </c>
      <c r="J946">
        <f t="shared" si="75"/>
        <v>1</v>
      </c>
      <c r="N946" s="55"/>
    </row>
    <row r="947" spans="1:14" x14ac:dyDescent="0.3">
      <c r="A947" s="17">
        <v>44713</v>
      </c>
      <c r="B947">
        <v>-15.2</v>
      </c>
      <c r="C947">
        <f t="shared" si="76"/>
        <v>1</v>
      </c>
      <c r="D947">
        <v>1</v>
      </c>
      <c r="E947">
        <f t="shared" si="77"/>
        <v>6</v>
      </c>
      <c r="F947">
        <f t="shared" si="78"/>
        <v>2022</v>
      </c>
      <c r="H947" s="17">
        <f t="shared" si="79"/>
        <v>44713</v>
      </c>
      <c r="J947">
        <f t="shared" si="75"/>
        <v>1</v>
      </c>
      <c r="N947" s="55"/>
    </row>
    <row r="948" spans="1:14" x14ac:dyDescent="0.3">
      <c r="A948" s="17">
        <v>44712</v>
      </c>
      <c r="B948">
        <v>-14.66</v>
      </c>
      <c r="C948">
        <f t="shared" si="76"/>
        <v>31</v>
      </c>
      <c r="D948">
        <v>1</v>
      </c>
      <c r="E948">
        <f t="shared" si="77"/>
        <v>5</v>
      </c>
      <c r="F948">
        <f t="shared" si="78"/>
        <v>2022</v>
      </c>
      <c r="H948" s="17">
        <f t="shared" si="79"/>
        <v>44682</v>
      </c>
      <c r="J948">
        <f t="shared" si="75"/>
        <v>0</v>
      </c>
      <c r="N948" s="55"/>
    </row>
    <row r="949" spans="1:14" x14ac:dyDescent="0.3">
      <c r="A949" s="17">
        <v>44711</v>
      </c>
      <c r="B949">
        <v>-13.35</v>
      </c>
      <c r="C949">
        <f t="shared" si="76"/>
        <v>30</v>
      </c>
      <c r="D949">
        <v>1</v>
      </c>
      <c r="E949">
        <f t="shared" si="77"/>
        <v>5</v>
      </c>
      <c r="F949">
        <f t="shared" si="78"/>
        <v>2022</v>
      </c>
      <c r="H949" s="17">
        <f t="shared" si="79"/>
        <v>44682</v>
      </c>
      <c r="J949">
        <f t="shared" si="75"/>
        <v>0</v>
      </c>
      <c r="N949" s="55"/>
    </row>
    <row r="950" spans="1:14" x14ac:dyDescent="0.3">
      <c r="A950" s="17">
        <v>44708</v>
      </c>
      <c r="B950">
        <v>-11.81</v>
      </c>
      <c r="C950">
        <f t="shared" si="76"/>
        <v>27</v>
      </c>
      <c r="D950">
        <v>1</v>
      </c>
      <c r="E950">
        <f t="shared" si="77"/>
        <v>5</v>
      </c>
      <c r="F950">
        <f t="shared" si="78"/>
        <v>2022</v>
      </c>
      <c r="H950" s="17">
        <f t="shared" si="79"/>
        <v>44682</v>
      </c>
      <c r="J950">
        <f t="shared" si="75"/>
        <v>0</v>
      </c>
      <c r="N950" s="55"/>
    </row>
    <row r="951" spans="1:14" x14ac:dyDescent="0.3">
      <c r="A951" s="17">
        <v>44707</v>
      </c>
      <c r="B951">
        <v>-11.19</v>
      </c>
      <c r="C951">
        <f t="shared" si="76"/>
        <v>26</v>
      </c>
      <c r="D951">
        <v>1</v>
      </c>
      <c r="E951">
        <f t="shared" si="77"/>
        <v>5</v>
      </c>
      <c r="F951">
        <f t="shared" si="78"/>
        <v>2022</v>
      </c>
      <c r="H951" s="17">
        <f t="shared" si="79"/>
        <v>44682</v>
      </c>
      <c r="J951">
        <f t="shared" si="75"/>
        <v>0</v>
      </c>
      <c r="N951" s="55"/>
    </row>
    <row r="952" spans="1:14" x14ac:dyDescent="0.3">
      <c r="A952" s="17">
        <v>44706</v>
      </c>
      <c r="B952">
        <v>-10.53</v>
      </c>
      <c r="C952">
        <f t="shared" si="76"/>
        <v>25</v>
      </c>
      <c r="D952">
        <v>1</v>
      </c>
      <c r="E952">
        <f t="shared" si="77"/>
        <v>5</v>
      </c>
      <c r="F952">
        <f t="shared" si="78"/>
        <v>2022</v>
      </c>
      <c r="H952" s="17">
        <f t="shared" si="79"/>
        <v>44682</v>
      </c>
      <c r="J952">
        <f t="shared" si="75"/>
        <v>0</v>
      </c>
      <c r="N952" s="55"/>
    </row>
    <row r="953" spans="1:14" x14ac:dyDescent="0.3">
      <c r="A953" s="17">
        <v>44705</v>
      </c>
      <c r="B953">
        <v>-8.3699999999999992</v>
      </c>
      <c r="C953">
        <f t="shared" si="76"/>
        <v>24</v>
      </c>
      <c r="D953">
        <v>1</v>
      </c>
      <c r="E953">
        <f t="shared" si="77"/>
        <v>5</v>
      </c>
      <c r="F953">
        <f t="shared" si="78"/>
        <v>2022</v>
      </c>
      <c r="H953" s="17">
        <f t="shared" si="79"/>
        <v>44682</v>
      </c>
      <c r="J953">
        <f t="shared" si="75"/>
        <v>0</v>
      </c>
      <c r="N953" s="55"/>
    </row>
    <row r="954" spans="1:14" x14ac:dyDescent="0.3">
      <c r="A954" s="17">
        <v>44704</v>
      </c>
      <c r="B954">
        <v>-7.51</v>
      </c>
      <c r="C954">
        <f t="shared" si="76"/>
        <v>23</v>
      </c>
      <c r="D954">
        <v>1</v>
      </c>
      <c r="E954">
        <f t="shared" si="77"/>
        <v>5</v>
      </c>
      <c r="F954">
        <f t="shared" si="78"/>
        <v>2022</v>
      </c>
      <c r="H954" s="17">
        <f t="shared" si="79"/>
        <v>44682</v>
      </c>
      <c r="J954">
        <f t="shared" si="75"/>
        <v>0</v>
      </c>
      <c r="N954" s="55"/>
    </row>
    <row r="955" spans="1:14" x14ac:dyDescent="0.3">
      <c r="A955" s="17">
        <v>44701</v>
      </c>
      <c r="B955">
        <v>-7.44</v>
      </c>
      <c r="C955">
        <f t="shared" si="76"/>
        <v>20</v>
      </c>
      <c r="D955">
        <v>1</v>
      </c>
      <c r="E955">
        <f t="shared" si="77"/>
        <v>5</v>
      </c>
      <c r="F955">
        <f t="shared" si="78"/>
        <v>2022</v>
      </c>
      <c r="H955" s="17">
        <f t="shared" si="79"/>
        <v>44682</v>
      </c>
      <c r="J955">
        <f t="shared" si="75"/>
        <v>0</v>
      </c>
      <c r="N955" s="55"/>
    </row>
    <row r="956" spans="1:14" x14ac:dyDescent="0.3">
      <c r="A956" s="17">
        <v>44700</v>
      </c>
      <c r="B956">
        <v>-7.12</v>
      </c>
      <c r="C956">
        <f t="shared" si="76"/>
        <v>19</v>
      </c>
      <c r="D956">
        <v>1</v>
      </c>
      <c r="E956">
        <f t="shared" si="77"/>
        <v>5</v>
      </c>
      <c r="F956">
        <f t="shared" si="78"/>
        <v>2022</v>
      </c>
      <c r="H956" s="17">
        <f t="shared" si="79"/>
        <v>44682</v>
      </c>
      <c r="J956">
        <f t="shared" si="75"/>
        <v>0</v>
      </c>
      <c r="N956" s="55"/>
    </row>
    <row r="957" spans="1:14" x14ac:dyDescent="0.3">
      <c r="A957" s="17">
        <v>44699</v>
      </c>
      <c r="B957">
        <v>-7.39</v>
      </c>
      <c r="C957">
        <f t="shared" si="76"/>
        <v>18</v>
      </c>
      <c r="D957">
        <v>1</v>
      </c>
      <c r="E957">
        <f t="shared" si="77"/>
        <v>5</v>
      </c>
      <c r="F957">
        <f t="shared" si="78"/>
        <v>2022</v>
      </c>
      <c r="H957" s="17">
        <f t="shared" si="79"/>
        <v>44682</v>
      </c>
      <c r="J957">
        <f t="shared" si="75"/>
        <v>0</v>
      </c>
      <c r="N957" s="55"/>
    </row>
    <row r="958" spans="1:14" x14ac:dyDescent="0.3">
      <c r="A958" s="17">
        <v>44698</v>
      </c>
      <c r="B958">
        <v>-7.7</v>
      </c>
      <c r="C958">
        <f t="shared" si="76"/>
        <v>17</v>
      </c>
      <c r="D958">
        <v>1</v>
      </c>
      <c r="E958">
        <f t="shared" si="77"/>
        <v>5</v>
      </c>
      <c r="F958">
        <f t="shared" si="78"/>
        <v>2022</v>
      </c>
      <c r="H958" s="17">
        <f t="shared" si="79"/>
        <v>44682</v>
      </c>
      <c r="J958">
        <f t="shared" si="75"/>
        <v>0</v>
      </c>
      <c r="N958" s="55"/>
    </row>
    <row r="959" spans="1:14" x14ac:dyDescent="0.3">
      <c r="A959" s="17">
        <v>44694</v>
      </c>
      <c r="B959">
        <v>-5.26</v>
      </c>
      <c r="C959">
        <f t="shared" si="76"/>
        <v>13</v>
      </c>
      <c r="D959">
        <v>1</v>
      </c>
      <c r="E959">
        <f t="shared" si="77"/>
        <v>5</v>
      </c>
      <c r="F959">
        <f t="shared" si="78"/>
        <v>2022</v>
      </c>
      <c r="H959" s="17">
        <f t="shared" si="79"/>
        <v>44682</v>
      </c>
      <c r="J959">
        <f t="shared" si="75"/>
        <v>0</v>
      </c>
      <c r="N959" s="55"/>
    </row>
    <row r="960" spans="1:14" x14ac:dyDescent="0.3">
      <c r="A960" s="17">
        <v>44693</v>
      </c>
      <c r="B960">
        <v>-3.48</v>
      </c>
      <c r="C960">
        <f t="shared" si="76"/>
        <v>12</v>
      </c>
      <c r="D960">
        <v>1</v>
      </c>
      <c r="E960">
        <f t="shared" si="77"/>
        <v>5</v>
      </c>
      <c r="F960">
        <f t="shared" si="78"/>
        <v>2022</v>
      </c>
      <c r="H960" s="17">
        <f t="shared" si="79"/>
        <v>44682</v>
      </c>
      <c r="J960">
        <f t="shared" si="75"/>
        <v>0</v>
      </c>
      <c r="N960" s="55"/>
    </row>
    <row r="961" spans="1:14" x14ac:dyDescent="0.3">
      <c r="A961" s="17">
        <v>44692</v>
      </c>
      <c r="B961">
        <v>-3.5</v>
      </c>
      <c r="C961">
        <f t="shared" si="76"/>
        <v>11</v>
      </c>
      <c r="D961">
        <v>1</v>
      </c>
      <c r="E961">
        <f t="shared" si="77"/>
        <v>5</v>
      </c>
      <c r="F961">
        <f t="shared" si="78"/>
        <v>2022</v>
      </c>
      <c r="H961" s="17">
        <f t="shared" si="79"/>
        <v>44682</v>
      </c>
      <c r="J961">
        <f t="shared" si="75"/>
        <v>0</v>
      </c>
      <c r="N961" s="55"/>
    </row>
    <row r="962" spans="1:14" x14ac:dyDescent="0.3">
      <c r="A962" s="17">
        <v>44691</v>
      </c>
      <c r="B962">
        <v>-4.62</v>
      </c>
      <c r="C962">
        <f t="shared" si="76"/>
        <v>10</v>
      </c>
      <c r="D962">
        <v>1</v>
      </c>
      <c r="E962">
        <f t="shared" si="77"/>
        <v>5</v>
      </c>
      <c r="F962">
        <f t="shared" si="78"/>
        <v>2022</v>
      </c>
      <c r="H962" s="17">
        <f t="shared" si="79"/>
        <v>44682</v>
      </c>
      <c r="J962">
        <f t="shared" si="75"/>
        <v>0</v>
      </c>
      <c r="N962" s="55"/>
    </row>
    <row r="963" spans="1:14" x14ac:dyDescent="0.3">
      <c r="A963" s="17">
        <v>44690</v>
      </c>
      <c r="B963">
        <v>-6.59</v>
      </c>
      <c r="C963">
        <f t="shared" si="76"/>
        <v>9</v>
      </c>
      <c r="D963">
        <v>1</v>
      </c>
      <c r="E963">
        <f t="shared" si="77"/>
        <v>5</v>
      </c>
      <c r="F963">
        <f t="shared" si="78"/>
        <v>2022</v>
      </c>
      <c r="H963" s="17">
        <f t="shared" si="79"/>
        <v>44682</v>
      </c>
      <c r="J963">
        <f t="shared" si="75"/>
        <v>0</v>
      </c>
      <c r="N963" s="55"/>
    </row>
    <row r="964" spans="1:14" x14ac:dyDescent="0.3">
      <c r="A964" s="17">
        <v>44687</v>
      </c>
      <c r="B964">
        <v>-6.94</v>
      </c>
      <c r="C964">
        <f t="shared" si="76"/>
        <v>6</v>
      </c>
      <c r="D964">
        <v>1</v>
      </c>
      <c r="E964">
        <f t="shared" si="77"/>
        <v>5</v>
      </c>
      <c r="F964">
        <f t="shared" si="78"/>
        <v>2022</v>
      </c>
      <c r="H964" s="17">
        <f t="shared" si="79"/>
        <v>44682</v>
      </c>
      <c r="J964">
        <f t="shared" si="75"/>
        <v>0</v>
      </c>
      <c r="N964" s="55"/>
    </row>
    <row r="965" spans="1:14" x14ac:dyDescent="0.3">
      <c r="A965" s="17">
        <v>44686</v>
      </c>
      <c r="B965">
        <v>-7.22</v>
      </c>
      <c r="C965">
        <f t="shared" si="76"/>
        <v>5</v>
      </c>
      <c r="D965">
        <v>1</v>
      </c>
      <c r="E965">
        <f t="shared" si="77"/>
        <v>5</v>
      </c>
      <c r="F965">
        <f t="shared" si="78"/>
        <v>2022</v>
      </c>
      <c r="H965" s="17">
        <f t="shared" si="79"/>
        <v>44682</v>
      </c>
      <c r="J965">
        <f t="shared" si="75"/>
        <v>0</v>
      </c>
      <c r="N965" s="55"/>
    </row>
    <row r="966" spans="1:14" x14ac:dyDescent="0.3">
      <c r="A966" s="17">
        <v>44685</v>
      </c>
      <c r="B966">
        <v>-6.18</v>
      </c>
      <c r="C966">
        <f t="shared" si="76"/>
        <v>4</v>
      </c>
      <c r="D966">
        <v>1</v>
      </c>
      <c r="E966">
        <f t="shared" si="77"/>
        <v>5</v>
      </c>
      <c r="F966">
        <f t="shared" si="78"/>
        <v>2022</v>
      </c>
      <c r="H966" s="17">
        <f t="shared" si="79"/>
        <v>44682</v>
      </c>
      <c r="J966">
        <f t="shared" si="75"/>
        <v>1</v>
      </c>
      <c r="N966" s="55"/>
    </row>
    <row r="967" spans="1:14" x14ac:dyDescent="0.3">
      <c r="A967" s="17">
        <v>44682</v>
      </c>
      <c r="C967">
        <f t="shared" si="76"/>
        <v>1</v>
      </c>
      <c r="D967">
        <v>1</v>
      </c>
      <c r="E967">
        <f t="shared" si="77"/>
        <v>5</v>
      </c>
      <c r="F967">
        <f t="shared" si="78"/>
        <v>2022</v>
      </c>
      <c r="H967" s="17">
        <f t="shared" si="79"/>
        <v>44682</v>
      </c>
      <c r="J967">
        <f t="shared" si="75"/>
        <v>1</v>
      </c>
      <c r="N967" s="55"/>
    </row>
    <row r="968" spans="1:14" x14ac:dyDescent="0.3">
      <c r="A968" s="17">
        <v>44680</v>
      </c>
      <c r="B968">
        <v>-7.3</v>
      </c>
      <c r="C968">
        <f t="shared" si="76"/>
        <v>29</v>
      </c>
      <c r="D968">
        <v>1</v>
      </c>
      <c r="E968">
        <f t="shared" si="77"/>
        <v>4</v>
      </c>
      <c r="F968">
        <f t="shared" si="78"/>
        <v>2022</v>
      </c>
      <c r="H968" s="17">
        <f t="shared" si="79"/>
        <v>44652</v>
      </c>
      <c r="J968">
        <f t="shared" si="75"/>
        <v>0</v>
      </c>
      <c r="N968" s="55"/>
    </row>
    <row r="969" spans="1:14" x14ac:dyDescent="0.3">
      <c r="A969" s="17">
        <v>44679</v>
      </c>
      <c r="B969">
        <v>-5.62</v>
      </c>
      <c r="C969">
        <f t="shared" si="76"/>
        <v>28</v>
      </c>
      <c r="D969">
        <v>1</v>
      </c>
      <c r="E969">
        <f t="shared" si="77"/>
        <v>4</v>
      </c>
      <c r="F969">
        <f t="shared" si="78"/>
        <v>2022</v>
      </c>
      <c r="H969" s="17">
        <f t="shared" si="79"/>
        <v>44652</v>
      </c>
      <c r="J969">
        <f t="shared" ref="J969:J1032" si="80">IF(AND(C969&gt;=1, C969&lt;=4), 1, 0)</f>
        <v>0</v>
      </c>
      <c r="N969" s="55"/>
    </row>
    <row r="970" spans="1:14" x14ac:dyDescent="0.3">
      <c r="A970" s="17">
        <v>44678</v>
      </c>
      <c r="B970">
        <v>-4.55</v>
      </c>
      <c r="C970">
        <f t="shared" ref="C970:C1033" si="81">+DAY(A970)</f>
        <v>27</v>
      </c>
      <c r="D970">
        <v>1</v>
      </c>
      <c r="E970">
        <f t="shared" ref="E970:E1033" si="82">+MONTH(A970)</f>
        <v>4</v>
      </c>
      <c r="F970">
        <f t="shared" ref="F970:F1033" si="83">+YEAR(A970)</f>
        <v>2022</v>
      </c>
      <c r="H970" s="17">
        <f t="shared" ref="H970:H1033" si="84">+DATE(F970,E970,D970)</f>
        <v>44652</v>
      </c>
      <c r="J970">
        <f t="shared" si="80"/>
        <v>0</v>
      </c>
      <c r="N970" s="55"/>
    </row>
    <row r="971" spans="1:14" x14ac:dyDescent="0.3">
      <c r="A971" s="17">
        <v>44677</v>
      </c>
      <c r="B971">
        <v>-4.88</v>
      </c>
      <c r="C971">
        <f t="shared" si="81"/>
        <v>26</v>
      </c>
      <c r="D971">
        <v>1</v>
      </c>
      <c r="E971">
        <f t="shared" si="82"/>
        <v>4</v>
      </c>
      <c r="F971">
        <f t="shared" si="83"/>
        <v>2022</v>
      </c>
      <c r="H971" s="17">
        <f t="shared" si="84"/>
        <v>44652</v>
      </c>
      <c r="J971">
        <f t="shared" si="80"/>
        <v>0</v>
      </c>
      <c r="N971" s="55"/>
    </row>
    <row r="972" spans="1:14" x14ac:dyDescent="0.3">
      <c r="A972" s="17">
        <v>44676</v>
      </c>
      <c r="B972">
        <v>-6.02</v>
      </c>
      <c r="C972">
        <f t="shared" si="81"/>
        <v>25</v>
      </c>
      <c r="D972">
        <v>1</v>
      </c>
      <c r="E972">
        <f t="shared" si="82"/>
        <v>4</v>
      </c>
      <c r="F972">
        <f t="shared" si="83"/>
        <v>2022</v>
      </c>
      <c r="H972" s="17">
        <f t="shared" si="84"/>
        <v>44652</v>
      </c>
      <c r="J972">
        <f t="shared" si="80"/>
        <v>0</v>
      </c>
      <c r="N972" s="55"/>
    </row>
    <row r="973" spans="1:14" x14ac:dyDescent="0.3">
      <c r="A973" s="17">
        <v>44673</v>
      </c>
      <c r="B973">
        <v>-6.02</v>
      </c>
      <c r="C973">
        <f t="shared" si="81"/>
        <v>22</v>
      </c>
      <c r="D973">
        <v>1</v>
      </c>
      <c r="E973">
        <f t="shared" si="82"/>
        <v>4</v>
      </c>
      <c r="F973">
        <f t="shared" si="83"/>
        <v>2022</v>
      </c>
      <c r="H973" s="17">
        <f t="shared" si="84"/>
        <v>44652</v>
      </c>
      <c r="J973">
        <f t="shared" si="80"/>
        <v>0</v>
      </c>
      <c r="N973" s="55"/>
    </row>
    <row r="974" spans="1:14" x14ac:dyDescent="0.3">
      <c r="A974" s="17">
        <v>44672</v>
      </c>
      <c r="B974">
        <v>-5.08</v>
      </c>
      <c r="C974">
        <f t="shared" si="81"/>
        <v>21</v>
      </c>
      <c r="D974">
        <v>1</v>
      </c>
      <c r="E974">
        <f t="shared" si="82"/>
        <v>4</v>
      </c>
      <c r="F974">
        <f t="shared" si="83"/>
        <v>2022</v>
      </c>
      <c r="H974" s="17">
        <f t="shared" si="84"/>
        <v>44652</v>
      </c>
      <c r="J974">
        <f t="shared" si="80"/>
        <v>0</v>
      </c>
      <c r="N974" s="55"/>
    </row>
    <row r="975" spans="1:14" x14ac:dyDescent="0.3">
      <c r="A975" s="17">
        <v>44671</v>
      </c>
      <c r="B975">
        <v>-5.09</v>
      </c>
      <c r="C975">
        <f t="shared" si="81"/>
        <v>20</v>
      </c>
      <c r="D975">
        <v>1</v>
      </c>
      <c r="E975">
        <f t="shared" si="82"/>
        <v>4</v>
      </c>
      <c r="F975">
        <f t="shared" si="83"/>
        <v>2022</v>
      </c>
      <c r="H975" s="17">
        <f t="shared" si="84"/>
        <v>44652</v>
      </c>
      <c r="J975">
        <f t="shared" si="80"/>
        <v>0</v>
      </c>
      <c r="N975" s="55"/>
    </row>
    <row r="976" spans="1:14" x14ac:dyDescent="0.3">
      <c r="A976" s="17">
        <v>44670</v>
      </c>
      <c r="B976">
        <v>-4.29</v>
      </c>
      <c r="C976">
        <f t="shared" si="81"/>
        <v>19</v>
      </c>
      <c r="D976">
        <v>1</v>
      </c>
      <c r="E976">
        <f t="shared" si="82"/>
        <v>4</v>
      </c>
      <c r="F976">
        <f t="shared" si="83"/>
        <v>2022</v>
      </c>
      <c r="H976" s="17">
        <f t="shared" si="84"/>
        <v>44652</v>
      </c>
      <c r="J976">
        <f t="shared" si="80"/>
        <v>0</v>
      </c>
      <c r="N976" s="55"/>
    </row>
    <row r="977" spans="1:14" x14ac:dyDescent="0.3">
      <c r="A977" s="17">
        <v>44669</v>
      </c>
      <c r="B977">
        <v>-2.4700000000000002</v>
      </c>
      <c r="C977">
        <f t="shared" si="81"/>
        <v>18</v>
      </c>
      <c r="D977">
        <v>1</v>
      </c>
      <c r="E977">
        <f t="shared" si="82"/>
        <v>4</v>
      </c>
      <c r="F977">
        <f t="shared" si="83"/>
        <v>2022</v>
      </c>
      <c r="H977" s="17">
        <f t="shared" si="84"/>
        <v>44652</v>
      </c>
      <c r="J977">
        <f t="shared" si="80"/>
        <v>0</v>
      </c>
      <c r="N977" s="55"/>
    </row>
    <row r="978" spans="1:14" x14ac:dyDescent="0.3">
      <c r="A978" s="17">
        <v>44665</v>
      </c>
      <c r="B978">
        <v>-2.92</v>
      </c>
      <c r="C978">
        <f t="shared" si="81"/>
        <v>14</v>
      </c>
      <c r="D978">
        <v>1</v>
      </c>
      <c r="E978">
        <f t="shared" si="82"/>
        <v>4</v>
      </c>
      <c r="F978">
        <f t="shared" si="83"/>
        <v>2022</v>
      </c>
      <c r="H978" s="17">
        <f t="shared" si="84"/>
        <v>44652</v>
      </c>
      <c r="J978">
        <f t="shared" si="80"/>
        <v>0</v>
      </c>
      <c r="N978" s="55"/>
    </row>
    <row r="979" spans="1:14" x14ac:dyDescent="0.3">
      <c r="A979" s="17">
        <v>44664</v>
      </c>
      <c r="B979">
        <v>-2.87</v>
      </c>
      <c r="C979">
        <f t="shared" si="81"/>
        <v>13</v>
      </c>
      <c r="D979">
        <v>1</v>
      </c>
      <c r="E979">
        <f t="shared" si="82"/>
        <v>4</v>
      </c>
      <c r="F979">
        <f t="shared" si="83"/>
        <v>2022</v>
      </c>
      <c r="H979" s="17">
        <f t="shared" si="84"/>
        <v>44652</v>
      </c>
      <c r="J979">
        <f t="shared" si="80"/>
        <v>0</v>
      </c>
      <c r="N979" s="55"/>
    </row>
    <row r="980" spans="1:14" x14ac:dyDescent="0.3">
      <c r="A980" s="17">
        <v>44663</v>
      </c>
      <c r="B980">
        <v>-3.65</v>
      </c>
      <c r="C980">
        <f t="shared" si="81"/>
        <v>12</v>
      </c>
      <c r="D980">
        <v>1</v>
      </c>
      <c r="E980">
        <f t="shared" si="82"/>
        <v>4</v>
      </c>
      <c r="F980">
        <f t="shared" si="83"/>
        <v>2022</v>
      </c>
      <c r="H980" s="17">
        <f t="shared" si="84"/>
        <v>44652</v>
      </c>
      <c r="J980">
        <f t="shared" si="80"/>
        <v>0</v>
      </c>
      <c r="N980" s="55"/>
    </row>
    <row r="981" spans="1:14" x14ac:dyDescent="0.3">
      <c r="A981" s="17">
        <v>44662</v>
      </c>
      <c r="B981">
        <v>-2.09</v>
      </c>
      <c r="C981">
        <f t="shared" si="81"/>
        <v>11</v>
      </c>
      <c r="D981">
        <v>1</v>
      </c>
      <c r="E981">
        <f t="shared" si="82"/>
        <v>4</v>
      </c>
      <c r="F981">
        <f t="shared" si="83"/>
        <v>2022</v>
      </c>
      <c r="H981" s="17">
        <f t="shared" si="84"/>
        <v>44652</v>
      </c>
      <c r="J981">
        <f t="shared" si="80"/>
        <v>0</v>
      </c>
      <c r="N981" s="55"/>
    </row>
    <row r="982" spans="1:14" x14ac:dyDescent="0.3">
      <c r="A982" s="17">
        <v>44659</v>
      </c>
      <c r="B982">
        <v>-2.74</v>
      </c>
      <c r="C982">
        <f t="shared" si="81"/>
        <v>8</v>
      </c>
      <c r="D982">
        <v>1</v>
      </c>
      <c r="E982">
        <f t="shared" si="82"/>
        <v>4</v>
      </c>
      <c r="F982">
        <f t="shared" si="83"/>
        <v>2022</v>
      </c>
      <c r="H982" s="17">
        <f t="shared" si="84"/>
        <v>44652</v>
      </c>
      <c r="J982">
        <f t="shared" si="80"/>
        <v>0</v>
      </c>
      <c r="N982" s="55"/>
    </row>
    <row r="983" spans="1:14" x14ac:dyDescent="0.3">
      <c r="A983" s="17">
        <v>44658</v>
      </c>
      <c r="B983">
        <v>-3.66</v>
      </c>
      <c r="C983">
        <f t="shared" si="81"/>
        <v>7</v>
      </c>
      <c r="D983">
        <v>1</v>
      </c>
      <c r="E983">
        <f t="shared" si="82"/>
        <v>4</v>
      </c>
      <c r="F983">
        <f t="shared" si="83"/>
        <v>2022</v>
      </c>
      <c r="H983" s="17">
        <f t="shared" si="84"/>
        <v>44652</v>
      </c>
      <c r="J983">
        <f t="shared" si="80"/>
        <v>0</v>
      </c>
      <c r="N983" s="55"/>
    </row>
    <row r="984" spans="1:14" x14ac:dyDescent="0.3">
      <c r="A984" s="17">
        <v>44657</v>
      </c>
      <c r="B984">
        <v>-4.3099999999999996</v>
      </c>
      <c r="C984">
        <f t="shared" si="81"/>
        <v>6</v>
      </c>
      <c r="D984">
        <v>1</v>
      </c>
      <c r="E984">
        <f t="shared" si="82"/>
        <v>4</v>
      </c>
      <c r="F984">
        <f t="shared" si="83"/>
        <v>2022</v>
      </c>
      <c r="H984" s="17">
        <f t="shared" si="84"/>
        <v>44652</v>
      </c>
      <c r="J984">
        <f t="shared" si="80"/>
        <v>0</v>
      </c>
      <c r="N984" s="55"/>
    </row>
    <row r="985" spans="1:14" x14ac:dyDescent="0.3">
      <c r="A985" s="17">
        <v>44656</v>
      </c>
      <c r="B985">
        <v>-4.33</v>
      </c>
      <c r="C985">
        <f t="shared" si="81"/>
        <v>5</v>
      </c>
      <c r="D985">
        <v>1</v>
      </c>
      <c r="E985">
        <f t="shared" si="82"/>
        <v>4</v>
      </c>
      <c r="F985">
        <f t="shared" si="83"/>
        <v>2022</v>
      </c>
      <c r="H985" s="17">
        <f t="shared" si="84"/>
        <v>44652</v>
      </c>
      <c r="J985">
        <f t="shared" si="80"/>
        <v>0</v>
      </c>
      <c r="N985" s="55"/>
    </row>
    <row r="986" spans="1:14" x14ac:dyDescent="0.3">
      <c r="A986" s="17">
        <v>44655</v>
      </c>
      <c r="B986">
        <v>-3.38</v>
      </c>
      <c r="C986">
        <f t="shared" si="81"/>
        <v>4</v>
      </c>
      <c r="D986">
        <v>1</v>
      </c>
      <c r="E986">
        <f t="shared" si="82"/>
        <v>4</v>
      </c>
      <c r="F986">
        <f t="shared" si="83"/>
        <v>2022</v>
      </c>
      <c r="H986" s="17">
        <f t="shared" si="84"/>
        <v>44652</v>
      </c>
      <c r="J986">
        <f t="shared" si="80"/>
        <v>1</v>
      </c>
      <c r="N986" s="55"/>
    </row>
    <row r="987" spans="1:14" x14ac:dyDescent="0.3">
      <c r="A987" s="17">
        <v>44652</v>
      </c>
      <c r="B987">
        <v>-3.18</v>
      </c>
      <c r="C987">
        <f t="shared" si="81"/>
        <v>1</v>
      </c>
      <c r="D987">
        <v>1</v>
      </c>
      <c r="E987">
        <f t="shared" si="82"/>
        <v>4</v>
      </c>
      <c r="F987">
        <f t="shared" si="83"/>
        <v>2022</v>
      </c>
      <c r="H987" s="17">
        <f t="shared" si="84"/>
        <v>44652</v>
      </c>
      <c r="J987">
        <f t="shared" si="80"/>
        <v>1</v>
      </c>
      <c r="N987" s="55"/>
    </row>
    <row r="988" spans="1:14" x14ac:dyDescent="0.3">
      <c r="A988" s="17">
        <v>44651</v>
      </c>
      <c r="B988">
        <v>-2.86</v>
      </c>
      <c r="C988">
        <f t="shared" si="81"/>
        <v>31</v>
      </c>
      <c r="D988">
        <v>1</v>
      </c>
      <c r="E988">
        <f t="shared" si="82"/>
        <v>3</v>
      </c>
      <c r="F988">
        <f t="shared" si="83"/>
        <v>2022</v>
      </c>
      <c r="H988" s="17">
        <f t="shared" si="84"/>
        <v>44621</v>
      </c>
      <c r="J988">
        <f t="shared" si="80"/>
        <v>0</v>
      </c>
      <c r="N988" s="55"/>
    </row>
    <row r="989" spans="1:14" x14ac:dyDescent="0.3">
      <c r="A989" s="17">
        <v>44650</v>
      </c>
      <c r="B989">
        <v>-0.99</v>
      </c>
      <c r="C989">
        <f t="shared" si="81"/>
        <v>30</v>
      </c>
      <c r="D989">
        <v>1</v>
      </c>
      <c r="E989">
        <f t="shared" si="82"/>
        <v>3</v>
      </c>
      <c r="F989">
        <f t="shared" si="83"/>
        <v>2022</v>
      </c>
      <c r="H989" s="17">
        <f t="shared" si="84"/>
        <v>44621</v>
      </c>
      <c r="J989">
        <f t="shared" si="80"/>
        <v>0</v>
      </c>
      <c r="N989" s="55"/>
    </row>
    <row r="990" spans="1:14" x14ac:dyDescent="0.3">
      <c r="A990" s="17">
        <v>44649</v>
      </c>
      <c r="B990">
        <v>-0.41</v>
      </c>
      <c r="C990">
        <f t="shared" si="81"/>
        <v>29</v>
      </c>
      <c r="D990">
        <v>1</v>
      </c>
      <c r="E990">
        <f t="shared" si="82"/>
        <v>3</v>
      </c>
      <c r="F990">
        <f t="shared" si="83"/>
        <v>2022</v>
      </c>
      <c r="H990" s="17">
        <f t="shared" si="84"/>
        <v>44621</v>
      </c>
      <c r="J990">
        <f t="shared" si="80"/>
        <v>0</v>
      </c>
      <c r="N990" s="55"/>
    </row>
    <row r="991" spans="1:14" x14ac:dyDescent="0.3">
      <c r="A991" s="17">
        <v>44648</v>
      </c>
      <c r="B991">
        <v>-2.19</v>
      </c>
      <c r="C991">
        <f t="shared" si="81"/>
        <v>28</v>
      </c>
      <c r="D991">
        <v>1</v>
      </c>
      <c r="E991">
        <f t="shared" si="82"/>
        <v>3</v>
      </c>
      <c r="F991">
        <f t="shared" si="83"/>
        <v>2022</v>
      </c>
      <c r="H991" s="17">
        <f t="shared" si="84"/>
        <v>44621</v>
      </c>
      <c r="J991">
        <f t="shared" si="80"/>
        <v>0</v>
      </c>
      <c r="N991" s="55"/>
    </row>
    <row r="992" spans="1:14" x14ac:dyDescent="0.3">
      <c r="A992" s="17">
        <v>44645</v>
      </c>
      <c r="B992">
        <v>-2.85</v>
      </c>
      <c r="C992">
        <f t="shared" si="81"/>
        <v>25</v>
      </c>
      <c r="D992">
        <v>1</v>
      </c>
      <c r="E992">
        <f t="shared" si="82"/>
        <v>3</v>
      </c>
      <c r="F992">
        <f t="shared" si="83"/>
        <v>2022</v>
      </c>
      <c r="H992" s="17">
        <f t="shared" si="84"/>
        <v>44621</v>
      </c>
      <c r="J992">
        <f t="shared" si="80"/>
        <v>0</v>
      </c>
      <c r="N992" s="55"/>
    </row>
    <row r="993" spans="1:14" x14ac:dyDescent="0.3">
      <c r="A993" s="17">
        <v>44644</v>
      </c>
      <c r="B993">
        <v>-1.85</v>
      </c>
      <c r="C993">
        <f t="shared" si="81"/>
        <v>24</v>
      </c>
      <c r="D993">
        <v>1</v>
      </c>
      <c r="E993">
        <f t="shared" si="82"/>
        <v>3</v>
      </c>
      <c r="F993">
        <f t="shared" si="83"/>
        <v>2022</v>
      </c>
      <c r="H993" s="17">
        <f t="shared" si="84"/>
        <v>44621</v>
      </c>
      <c r="J993">
        <f t="shared" si="80"/>
        <v>0</v>
      </c>
      <c r="N993" s="55"/>
    </row>
    <row r="994" spans="1:14" x14ac:dyDescent="0.3">
      <c r="A994" s="17">
        <v>44643</v>
      </c>
      <c r="B994">
        <v>0.22</v>
      </c>
      <c r="C994">
        <f t="shared" si="81"/>
        <v>23</v>
      </c>
      <c r="D994">
        <v>1</v>
      </c>
      <c r="E994">
        <f t="shared" si="82"/>
        <v>3</v>
      </c>
      <c r="F994">
        <f t="shared" si="83"/>
        <v>2022</v>
      </c>
      <c r="H994" s="17">
        <f t="shared" si="84"/>
        <v>44621</v>
      </c>
      <c r="J994">
        <f t="shared" si="80"/>
        <v>0</v>
      </c>
      <c r="N994" s="55"/>
    </row>
    <row r="995" spans="1:14" x14ac:dyDescent="0.3">
      <c r="A995" s="17">
        <v>44642</v>
      </c>
      <c r="B995">
        <v>-1.66</v>
      </c>
      <c r="C995">
        <f t="shared" si="81"/>
        <v>22</v>
      </c>
      <c r="D995">
        <v>1</v>
      </c>
      <c r="E995">
        <f t="shared" si="82"/>
        <v>3</v>
      </c>
      <c r="F995">
        <f t="shared" si="83"/>
        <v>2022</v>
      </c>
      <c r="H995" s="17">
        <f t="shared" si="84"/>
        <v>44621</v>
      </c>
      <c r="J995">
        <f t="shared" si="80"/>
        <v>0</v>
      </c>
      <c r="N995" s="55"/>
    </row>
    <row r="996" spans="1:14" x14ac:dyDescent="0.3">
      <c r="A996" s="17">
        <v>44641</v>
      </c>
      <c r="B996">
        <v>-0.61</v>
      </c>
      <c r="C996">
        <f t="shared" si="81"/>
        <v>21</v>
      </c>
      <c r="D996">
        <v>1</v>
      </c>
      <c r="E996">
        <f t="shared" si="82"/>
        <v>3</v>
      </c>
      <c r="F996">
        <f t="shared" si="83"/>
        <v>2022</v>
      </c>
      <c r="H996" s="17">
        <f t="shared" si="84"/>
        <v>44621</v>
      </c>
      <c r="J996">
        <f t="shared" si="80"/>
        <v>0</v>
      </c>
      <c r="N996" s="55"/>
    </row>
    <row r="997" spans="1:14" x14ac:dyDescent="0.3">
      <c r="A997" s="17">
        <v>44638</v>
      </c>
      <c r="B997">
        <v>0.55000000000000004</v>
      </c>
      <c r="C997">
        <f t="shared" si="81"/>
        <v>18</v>
      </c>
      <c r="D997">
        <v>1</v>
      </c>
      <c r="E997">
        <f t="shared" si="82"/>
        <v>3</v>
      </c>
      <c r="F997">
        <f t="shared" si="83"/>
        <v>2022</v>
      </c>
      <c r="H997" s="17">
        <f t="shared" si="84"/>
        <v>44621</v>
      </c>
      <c r="J997">
        <f t="shared" si="80"/>
        <v>0</v>
      </c>
      <c r="N997" s="55"/>
    </row>
    <row r="998" spans="1:14" x14ac:dyDescent="0.3">
      <c r="A998" s="17">
        <v>44637</v>
      </c>
      <c r="B998">
        <v>1.96</v>
      </c>
      <c r="C998">
        <f t="shared" si="81"/>
        <v>17</v>
      </c>
      <c r="D998">
        <v>1</v>
      </c>
      <c r="E998">
        <f t="shared" si="82"/>
        <v>3</v>
      </c>
      <c r="F998">
        <f t="shared" si="83"/>
        <v>2022</v>
      </c>
      <c r="H998" s="17">
        <f t="shared" si="84"/>
        <v>44621</v>
      </c>
      <c r="J998">
        <f t="shared" si="80"/>
        <v>0</v>
      </c>
      <c r="N998" s="55"/>
    </row>
    <row r="999" spans="1:14" x14ac:dyDescent="0.3">
      <c r="A999" s="17">
        <v>44636</v>
      </c>
      <c r="B999">
        <v>1.72</v>
      </c>
      <c r="C999">
        <f t="shared" si="81"/>
        <v>16</v>
      </c>
      <c r="D999">
        <v>1</v>
      </c>
      <c r="E999">
        <f t="shared" si="82"/>
        <v>3</v>
      </c>
      <c r="F999">
        <f t="shared" si="83"/>
        <v>2022</v>
      </c>
      <c r="H999" s="17">
        <f t="shared" si="84"/>
        <v>44621</v>
      </c>
      <c r="J999">
        <f t="shared" si="80"/>
        <v>0</v>
      </c>
      <c r="N999" s="55"/>
    </row>
    <row r="1000" spans="1:14" x14ac:dyDescent="0.3">
      <c r="A1000" s="17">
        <v>44635</v>
      </c>
      <c r="B1000">
        <v>1.54</v>
      </c>
      <c r="C1000">
        <f t="shared" si="81"/>
        <v>15</v>
      </c>
      <c r="D1000">
        <v>1</v>
      </c>
      <c r="E1000">
        <f t="shared" si="82"/>
        <v>3</v>
      </c>
      <c r="F1000">
        <f t="shared" si="83"/>
        <v>2022</v>
      </c>
      <c r="H1000" s="17">
        <f t="shared" si="84"/>
        <v>44621</v>
      </c>
      <c r="J1000">
        <f t="shared" si="80"/>
        <v>0</v>
      </c>
      <c r="N1000" s="55"/>
    </row>
    <row r="1001" spans="1:14" x14ac:dyDescent="0.3">
      <c r="A1001" s="17">
        <v>44634</v>
      </c>
      <c r="B1001">
        <v>4.37</v>
      </c>
      <c r="C1001">
        <f t="shared" si="81"/>
        <v>14</v>
      </c>
      <c r="D1001">
        <v>1</v>
      </c>
      <c r="E1001">
        <f t="shared" si="82"/>
        <v>3</v>
      </c>
      <c r="F1001">
        <f t="shared" si="83"/>
        <v>2022</v>
      </c>
      <c r="H1001" s="17">
        <f t="shared" si="84"/>
        <v>44621</v>
      </c>
      <c r="J1001">
        <f t="shared" si="80"/>
        <v>0</v>
      </c>
      <c r="N1001" s="55"/>
    </row>
    <row r="1002" spans="1:14" x14ac:dyDescent="0.3">
      <c r="A1002" s="17">
        <v>44631</v>
      </c>
      <c r="B1002">
        <v>4.59</v>
      </c>
      <c r="C1002">
        <f t="shared" si="81"/>
        <v>11</v>
      </c>
      <c r="D1002">
        <v>1</v>
      </c>
      <c r="E1002">
        <f t="shared" si="82"/>
        <v>3</v>
      </c>
      <c r="F1002">
        <f t="shared" si="83"/>
        <v>2022</v>
      </c>
      <c r="H1002" s="17">
        <f t="shared" si="84"/>
        <v>44621</v>
      </c>
      <c r="J1002">
        <f t="shared" si="80"/>
        <v>0</v>
      </c>
      <c r="N1002" s="55"/>
    </row>
    <row r="1003" spans="1:14" x14ac:dyDescent="0.3">
      <c r="A1003" s="17">
        <v>44630</v>
      </c>
      <c r="B1003">
        <v>4.82</v>
      </c>
      <c r="C1003">
        <f t="shared" si="81"/>
        <v>10</v>
      </c>
      <c r="D1003">
        <v>1</v>
      </c>
      <c r="E1003">
        <f t="shared" si="82"/>
        <v>3</v>
      </c>
      <c r="F1003">
        <f t="shared" si="83"/>
        <v>2022</v>
      </c>
      <c r="H1003" s="17">
        <f t="shared" si="84"/>
        <v>44621</v>
      </c>
      <c r="J1003">
        <f t="shared" si="80"/>
        <v>0</v>
      </c>
      <c r="N1003" s="55"/>
    </row>
    <row r="1004" spans="1:14" x14ac:dyDescent="0.3">
      <c r="A1004" s="17">
        <v>44629</v>
      </c>
      <c r="B1004">
        <v>3.29</v>
      </c>
      <c r="C1004">
        <f t="shared" si="81"/>
        <v>9</v>
      </c>
      <c r="D1004">
        <v>1</v>
      </c>
      <c r="E1004">
        <f t="shared" si="82"/>
        <v>3</v>
      </c>
      <c r="F1004">
        <f t="shared" si="83"/>
        <v>2022</v>
      </c>
      <c r="H1004" s="17">
        <f t="shared" si="84"/>
        <v>44621</v>
      </c>
      <c r="J1004">
        <f t="shared" si="80"/>
        <v>0</v>
      </c>
      <c r="N1004" s="55"/>
    </row>
    <row r="1005" spans="1:14" x14ac:dyDescent="0.3">
      <c r="A1005" s="17">
        <v>44628</v>
      </c>
      <c r="B1005">
        <v>4.54</v>
      </c>
      <c r="C1005">
        <f t="shared" si="81"/>
        <v>8</v>
      </c>
      <c r="D1005">
        <v>1</v>
      </c>
      <c r="E1005">
        <f t="shared" si="82"/>
        <v>3</v>
      </c>
      <c r="F1005">
        <f t="shared" si="83"/>
        <v>2022</v>
      </c>
      <c r="H1005" s="17">
        <f t="shared" si="84"/>
        <v>44621</v>
      </c>
      <c r="J1005">
        <f t="shared" si="80"/>
        <v>0</v>
      </c>
      <c r="N1005" s="55"/>
    </row>
    <row r="1006" spans="1:14" x14ac:dyDescent="0.3">
      <c r="A1006" s="17">
        <v>44627</v>
      </c>
      <c r="B1006">
        <v>5.88</v>
      </c>
      <c r="C1006">
        <f t="shared" si="81"/>
        <v>7</v>
      </c>
      <c r="D1006">
        <v>1</v>
      </c>
      <c r="E1006">
        <f t="shared" si="82"/>
        <v>3</v>
      </c>
      <c r="F1006">
        <f t="shared" si="83"/>
        <v>2022</v>
      </c>
      <c r="H1006" s="17">
        <f t="shared" si="84"/>
        <v>44621</v>
      </c>
      <c r="J1006">
        <f t="shared" si="80"/>
        <v>0</v>
      </c>
      <c r="N1006" s="55"/>
    </row>
    <row r="1007" spans="1:14" x14ac:dyDescent="0.3">
      <c r="A1007" s="17">
        <v>44624</v>
      </c>
      <c r="B1007">
        <v>6.03</v>
      </c>
      <c r="C1007">
        <f t="shared" si="81"/>
        <v>4</v>
      </c>
      <c r="D1007">
        <v>1</v>
      </c>
      <c r="E1007">
        <f t="shared" si="82"/>
        <v>3</v>
      </c>
      <c r="F1007">
        <f t="shared" si="83"/>
        <v>2022</v>
      </c>
      <c r="H1007" s="17">
        <f t="shared" si="84"/>
        <v>44621</v>
      </c>
      <c r="J1007">
        <f t="shared" si="80"/>
        <v>1</v>
      </c>
      <c r="N1007" s="55"/>
    </row>
    <row r="1008" spans="1:14" x14ac:dyDescent="0.3">
      <c r="A1008" s="17">
        <v>44623</v>
      </c>
      <c r="B1008">
        <v>10.4</v>
      </c>
      <c r="C1008">
        <f t="shared" si="81"/>
        <v>3</v>
      </c>
      <c r="D1008">
        <v>1</v>
      </c>
      <c r="E1008">
        <f t="shared" si="82"/>
        <v>3</v>
      </c>
      <c r="F1008">
        <f t="shared" si="83"/>
        <v>2022</v>
      </c>
      <c r="H1008" s="17">
        <f t="shared" si="84"/>
        <v>44621</v>
      </c>
      <c r="J1008">
        <f t="shared" si="80"/>
        <v>1</v>
      </c>
      <c r="N1008" s="55"/>
    </row>
    <row r="1009" spans="1:14" x14ac:dyDescent="0.3">
      <c r="A1009" s="17">
        <v>44622</v>
      </c>
      <c r="B1009">
        <v>7.65</v>
      </c>
      <c r="C1009">
        <f t="shared" si="81"/>
        <v>2</v>
      </c>
      <c r="D1009">
        <v>1</v>
      </c>
      <c r="E1009">
        <f t="shared" si="82"/>
        <v>3</v>
      </c>
      <c r="F1009">
        <f t="shared" si="83"/>
        <v>2022</v>
      </c>
      <c r="H1009" s="17">
        <f t="shared" si="84"/>
        <v>44621</v>
      </c>
      <c r="J1009">
        <f t="shared" si="80"/>
        <v>1</v>
      </c>
      <c r="N1009" s="55"/>
    </row>
    <row r="1010" spans="1:14" x14ac:dyDescent="0.3">
      <c r="A1010" s="17">
        <v>44621</v>
      </c>
      <c r="B1010">
        <v>4.8499999999999996</v>
      </c>
      <c r="C1010">
        <f t="shared" si="81"/>
        <v>1</v>
      </c>
      <c r="D1010">
        <v>1</v>
      </c>
      <c r="E1010">
        <f t="shared" si="82"/>
        <v>3</v>
      </c>
      <c r="F1010">
        <f t="shared" si="83"/>
        <v>2022</v>
      </c>
      <c r="H1010" s="17">
        <f t="shared" si="84"/>
        <v>44621</v>
      </c>
      <c r="J1010">
        <f t="shared" si="80"/>
        <v>1</v>
      </c>
      <c r="N1010" s="55"/>
    </row>
    <row r="1011" spans="1:14" x14ac:dyDescent="0.3">
      <c r="A1011" s="17">
        <v>44620</v>
      </c>
      <c r="B1011">
        <v>4.7300000000000004</v>
      </c>
      <c r="C1011">
        <f t="shared" si="81"/>
        <v>28</v>
      </c>
      <c r="D1011">
        <v>1</v>
      </c>
      <c r="E1011">
        <f t="shared" si="82"/>
        <v>2</v>
      </c>
      <c r="F1011">
        <f t="shared" si="83"/>
        <v>2022</v>
      </c>
      <c r="H1011" s="17">
        <f t="shared" si="84"/>
        <v>44593</v>
      </c>
      <c r="J1011">
        <f t="shared" si="80"/>
        <v>0</v>
      </c>
      <c r="N1011" s="55"/>
    </row>
    <row r="1012" spans="1:14" x14ac:dyDescent="0.3">
      <c r="A1012" s="17">
        <v>44617</v>
      </c>
      <c r="B1012">
        <v>4.66</v>
      </c>
      <c r="C1012">
        <f t="shared" si="81"/>
        <v>25</v>
      </c>
      <c r="D1012">
        <v>1</v>
      </c>
      <c r="E1012">
        <f t="shared" si="82"/>
        <v>2</v>
      </c>
      <c r="F1012">
        <f t="shared" si="83"/>
        <v>2022</v>
      </c>
      <c r="H1012" s="17">
        <f t="shared" si="84"/>
        <v>44593</v>
      </c>
      <c r="J1012">
        <f t="shared" si="80"/>
        <v>0</v>
      </c>
      <c r="N1012" s="55"/>
    </row>
    <row r="1013" spans="1:14" x14ac:dyDescent="0.3">
      <c r="A1013" s="17">
        <v>44616</v>
      </c>
      <c r="B1013">
        <v>3.84</v>
      </c>
      <c r="C1013">
        <f t="shared" si="81"/>
        <v>24</v>
      </c>
      <c r="D1013">
        <v>1</v>
      </c>
      <c r="E1013">
        <f t="shared" si="82"/>
        <v>2</v>
      </c>
      <c r="F1013">
        <f t="shared" si="83"/>
        <v>2022</v>
      </c>
      <c r="H1013" s="17">
        <f t="shared" si="84"/>
        <v>44593</v>
      </c>
      <c r="J1013">
        <f t="shared" si="80"/>
        <v>0</v>
      </c>
      <c r="N1013" s="55"/>
    </row>
    <row r="1014" spans="1:14" x14ac:dyDescent="0.3">
      <c r="A1014" s="17">
        <v>44615</v>
      </c>
      <c r="B1014">
        <v>3.26</v>
      </c>
      <c r="C1014">
        <f t="shared" si="81"/>
        <v>23</v>
      </c>
      <c r="D1014">
        <v>1</v>
      </c>
      <c r="E1014">
        <f t="shared" si="82"/>
        <v>2</v>
      </c>
      <c r="F1014">
        <f t="shared" si="83"/>
        <v>2022</v>
      </c>
      <c r="H1014" s="17">
        <f t="shared" si="84"/>
        <v>44593</v>
      </c>
      <c r="J1014">
        <f t="shared" si="80"/>
        <v>0</v>
      </c>
      <c r="N1014" s="55"/>
    </row>
    <row r="1015" spans="1:14" x14ac:dyDescent="0.3">
      <c r="A1015" s="17">
        <v>44614</v>
      </c>
      <c r="B1015">
        <v>3.34</v>
      </c>
      <c r="C1015">
        <f t="shared" si="81"/>
        <v>22</v>
      </c>
      <c r="D1015">
        <v>1</v>
      </c>
      <c r="E1015">
        <f t="shared" si="82"/>
        <v>2</v>
      </c>
      <c r="F1015">
        <f t="shared" si="83"/>
        <v>2022</v>
      </c>
      <c r="H1015" s="17">
        <f t="shared" si="84"/>
        <v>44593</v>
      </c>
      <c r="J1015">
        <f t="shared" si="80"/>
        <v>0</v>
      </c>
      <c r="N1015" s="55"/>
    </row>
    <row r="1016" spans="1:14" x14ac:dyDescent="0.3">
      <c r="A1016" s="17">
        <v>44613</v>
      </c>
      <c r="B1016">
        <v>2.78</v>
      </c>
      <c r="C1016">
        <f t="shared" si="81"/>
        <v>21</v>
      </c>
      <c r="D1016">
        <v>1</v>
      </c>
      <c r="E1016">
        <f t="shared" si="82"/>
        <v>2</v>
      </c>
      <c r="F1016">
        <f t="shared" si="83"/>
        <v>2022</v>
      </c>
      <c r="H1016" s="17">
        <f t="shared" si="84"/>
        <v>44593</v>
      </c>
      <c r="J1016">
        <f t="shared" si="80"/>
        <v>0</v>
      </c>
      <c r="N1016" s="55"/>
    </row>
    <row r="1017" spans="1:14" x14ac:dyDescent="0.3">
      <c r="A1017" s="17">
        <v>44610</v>
      </c>
      <c r="B1017">
        <v>2.21</v>
      </c>
      <c r="C1017">
        <f t="shared" si="81"/>
        <v>18</v>
      </c>
      <c r="D1017">
        <v>1</v>
      </c>
      <c r="E1017">
        <f t="shared" si="82"/>
        <v>2</v>
      </c>
      <c r="F1017">
        <f t="shared" si="83"/>
        <v>2022</v>
      </c>
      <c r="H1017" s="17">
        <f t="shared" si="84"/>
        <v>44593</v>
      </c>
      <c r="J1017">
        <f t="shared" si="80"/>
        <v>0</v>
      </c>
      <c r="N1017" s="55"/>
    </row>
    <row r="1018" spans="1:14" x14ac:dyDescent="0.3">
      <c r="A1018" s="17">
        <v>44609</v>
      </c>
      <c r="B1018">
        <v>2.15</v>
      </c>
      <c r="C1018">
        <f t="shared" si="81"/>
        <v>17</v>
      </c>
      <c r="D1018">
        <v>1</v>
      </c>
      <c r="E1018">
        <f t="shared" si="82"/>
        <v>2</v>
      </c>
      <c r="F1018">
        <f t="shared" si="83"/>
        <v>2022</v>
      </c>
      <c r="H1018" s="17">
        <f t="shared" si="84"/>
        <v>44593</v>
      </c>
      <c r="J1018">
        <f t="shared" si="80"/>
        <v>0</v>
      </c>
      <c r="N1018" s="55"/>
    </row>
    <row r="1019" spans="1:14" x14ac:dyDescent="0.3">
      <c r="A1019" s="17">
        <v>44608</v>
      </c>
      <c r="B1019">
        <v>2.21</v>
      </c>
      <c r="C1019">
        <f t="shared" si="81"/>
        <v>16</v>
      </c>
      <c r="D1019">
        <v>1</v>
      </c>
      <c r="E1019">
        <f t="shared" si="82"/>
        <v>2</v>
      </c>
      <c r="F1019">
        <f t="shared" si="83"/>
        <v>2022</v>
      </c>
      <c r="H1019" s="17">
        <f t="shared" si="84"/>
        <v>44593</v>
      </c>
      <c r="J1019">
        <f t="shared" si="80"/>
        <v>0</v>
      </c>
      <c r="N1019" s="55"/>
    </row>
    <row r="1020" spans="1:14" x14ac:dyDescent="0.3">
      <c r="A1020" s="17">
        <v>44607</v>
      </c>
      <c r="B1020">
        <v>3.46</v>
      </c>
      <c r="C1020">
        <f t="shared" si="81"/>
        <v>15</v>
      </c>
      <c r="D1020">
        <v>1</v>
      </c>
      <c r="E1020">
        <f t="shared" si="82"/>
        <v>2</v>
      </c>
      <c r="F1020">
        <f t="shared" si="83"/>
        <v>2022</v>
      </c>
      <c r="H1020" s="17">
        <f t="shared" si="84"/>
        <v>44593</v>
      </c>
      <c r="J1020">
        <f t="shared" si="80"/>
        <v>0</v>
      </c>
      <c r="N1020" s="55"/>
    </row>
    <row r="1021" spans="1:14" x14ac:dyDescent="0.3">
      <c r="A1021" s="17">
        <v>44606</v>
      </c>
      <c r="B1021">
        <v>1.34</v>
      </c>
      <c r="C1021">
        <f t="shared" si="81"/>
        <v>14</v>
      </c>
      <c r="D1021">
        <v>1</v>
      </c>
      <c r="E1021">
        <f t="shared" si="82"/>
        <v>2</v>
      </c>
      <c r="F1021">
        <f t="shared" si="83"/>
        <v>2022</v>
      </c>
      <c r="H1021" s="17">
        <f t="shared" si="84"/>
        <v>44593</v>
      </c>
      <c r="J1021">
        <f t="shared" si="80"/>
        <v>0</v>
      </c>
      <c r="N1021" s="55"/>
    </row>
    <row r="1022" spans="1:14" x14ac:dyDescent="0.3">
      <c r="A1022" s="17">
        <v>44603</v>
      </c>
      <c r="B1022">
        <v>1.04</v>
      </c>
      <c r="C1022">
        <f t="shared" si="81"/>
        <v>11</v>
      </c>
      <c r="D1022">
        <v>1</v>
      </c>
      <c r="E1022">
        <f t="shared" si="82"/>
        <v>2</v>
      </c>
      <c r="F1022">
        <f t="shared" si="83"/>
        <v>2022</v>
      </c>
      <c r="H1022" s="17">
        <f t="shared" si="84"/>
        <v>44593</v>
      </c>
      <c r="J1022">
        <f t="shared" si="80"/>
        <v>0</v>
      </c>
      <c r="N1022" s="55"/>
    </row>
    <row r="1023" spans="1:14" x14ac:dyDescent="0.3">
      <c r="A1023" s="17">
        <v>44602</v>
      </c>
      <c r="B1023">
        <v>1.33</v>
      </c>
      <c r="C1023">
        <f t="shared" si="81"/>
        <v>10</v>
      </c>
      <c r="D1023">
        <v>1</v>
      </c>
      <c r="E1023">
        <f t="shared" si="82"/>
        <v>2</v>
      </c>
      <c r="F1023">
        <f t="shared" si="83"/>
        <v>2022</v>
      </c>
      <c r="H1023" s="17">
        <f t="shared" si="84"/>
        <v>44593</v>
      </c>
      <c r="J1023">
        <f t="shared" si="80"/>
        <v>0</v>
      </c>
      <c r="N1023" s="55"/>
    </row>
    <row r="1024" spans="1:14" x14ac:dyDescent="0.3">
      <c r="A1024" s="17">
        <v>44601</v>
      </c>
      <c r="B1024">
        <v>1.1100000000000001</v>
      </c>
      <c r="C1024">
        <f t="shared" si="81"/>
        <v>9</v>
      </c>
      <c r="D1024">
        <v>1</v>
      </c>
      <c r="E1024">
        <f t="shared" si="82"/>
        <v>2</v>
      </c>
      <c r="F1024">
        <f t="shared" si="83"/>
        <v>2022</v>
      </c>
      <c r="H1024" s="17">
        <f t="shared" si="84"/>
        <v>44593</v>
      </c>
      <c r="J1024">
        <f t="shared" si="80"/>
        <v>0</v>
      </c>
      <c r="N1024" s="55"/>
    </row>
    <row r="1025" spans="1:14" x14ac:dyDescent="0.3">
      <c r="A1025" s="17">
        <v>44600</v>
      </c>
      <c r="B1025">
        <v>0.81</v>
      </c>
      <c r="C1025">
        <f t="shared" si="81"/>
        <v>8</v>
      </c>
      <c r="D1025">
        <v>1</v>
      </c>
      <c r="E1025">
        <f t="shared" si="82"/>
        <v>2</v>
      </c>
      <c r="F1025">
        <f t="shared" si="83"/>
        <v>2022</v>
      </c>
      <c r="H1025" s="17">
        <f t="shared" si="84"/>
        <v>44593</v>
      </c>
      <c r="J1025">
        <f t="shared" si="80"/>
        <v>0</v>
      </c>
      <c r="N1025" s="55"/>
    </row>
    <row r="1026" spans="1:14" x14ac:dyDescent="0.3">
      <c r="A1026" s="17">
        <v>44599</v>
      </c>
      <c r="B1026">
        <v>0.97</v>
      </c>
      <c r="C1026">
        <f t="shared" si="81"/>
        <v>7</v>
      </c>
      <c r="D1026">
        <v>1</v>
      </c>
      <c r="E1026">
        <f t="shared" si="82"/>
        <v>2</v>
      </c>
      <c r="F1026">
        <f t="shared" si="83"/>
        <v>2022</v>
      </c>
      <c r="H1026" s="17">
        <f t="shared" si="84"/>
        <v>44593</v>
      </c>
      <c r="J1026">
        <f t="shared" si="80"/>
        <v>0</v>
      </c>
      <c r="N1026" s="55"/>
    </row>
    <row r="1027" spans="1:14" x14ac:dyDescent="0.3">
      <c r="A1027" s="17">
        <v>44596</v>
      </c>
      <c r="B1027">
        <v>1.1200000000000001</v>
      </c>
      <c r="C1027">
        <f t="shared" si="81"/>
        <v>4</v>
      </c>
      <c r="D1027">
        <v>1</v>
      </c>
      <c r="E1027">
        <f t="shared" si="82"/>
        <v>2</v>
      </c>
      <c r="F1027">
        <f t="shared" si="83"/>
        <v>2022</v>
      </c>
      <c r="H1027" s="17">
        <f t="shared" si="84"/>
        <v>44593</v>
      </c>
      <c r="J1027">
        <f t="shared" si="80"/>
        <v>1</v>
      </c>
      <c r="N1027" s="55"/>
    </row>
    <row r="1028" spans="1:14" x14ac:dyDescent="0.3">
      <c r="A1028" s="17">
        <v>44595</v>
      </c>
      <c r="B1028">
        <v>1.05</v>
      </c>
      <c r="C1028">
        <f t="shared" si="81"/>
        <v>3</v>
      </c>
      <c r="D1028">
        <v>1</v>
      </c>
      <c r="E1028">
        <f t="shared" si="82"/>
        <v>2</v>
      </c>
      <c r="F1028">
        <f t="shared" si="83"/>
        <v>2022</v>
      </c>
      <c r="H1028" s="17">
        <f t="shared" si="84"/>
        <v>44593</v>
      </c>
      <c r="J1028">
        <f t="shared" si="80"/>
        <v>1</v>
      </c>
      <c r="N1028" s="55"/>
    </row>
    <row r="1029" spans="1:14" x14ac:dyDescent="0.3">
      <c r="A1029" s="17">
        <v>44593</v>
      </c>
      <c r="C1029">
        <f t="shared" si="81"/>
        <v>1</v>
      </c>
      <c r="D1029">
        <v>1</v>
      </c>
      <c r="E1029">
        <f t="shared" si="82"/>
        <v>2</v>
      </c>
      <c r="F1029">
        <f t="shared" si="83"/>
        <v>2022</v>
      </c>
      <c r="H1029" s="17">
        <f t="shared" si="84"/>
        <v>44593</v>
      </c>
      <c r="J1029">
        <f t="shared" si="80"/>
        <v>1</v>
      </c>
      <c r="N1029" s="55"/>
    </row>
    <row r="1030" spans="1:14" x14ac:dyDescent="0.3">
      <c r="A1030" s="17">
        <v>44592</v>
      </c>
      <c r="B1030">
        <v>1.32</v>
      </c>
      <c r="C1030">
        <f t="shared" si="81"/>
        <v>31</v>
      </c>
      <c r="D1030">
        <v>1</v>
      </c>
      <c r="E1030">
        <f t="shared" si="82"/>
        <v>1</v>
      </c>
      <c r="F1030">
        <f t="shared" si="83"/>
        <v>2022</v>
      </c>
      <c r="H1030" s="17">
        <f t="shared" si="84"/>
        <v>44562</v>
      </c>
      <c r="J1030">
        <f t="shared" si="80"/>
        <v>0</v>
      </c>
      <c r="N1030" s="55"/>
    </row>
    <row r="1031" spans="1:14" x14ac:dyDescent="0.3">
      <c r="A1031" s="17">
        <v>44589</v>
      </c>
      <c r="B1031">
        <v>0.65</v>
      </c>
      <c r="C1031">
        <f t="shared" si="81"/>
        <v>28</v>
      </c>
      <c r="D1031">
        <v>1</v>
      </c>
      <c r="E1031">
        <f t="shared" si="82"/>
        <v>1</v>
      </c>
      <c r="F1031">
        <f t="shared" si="83"/>
        <v>2022</v>
      </c>
      <c r="H1031" s="17">
        <f t="shared" si="84"/>
        <v>44562</v>
      </c>
      <c r="J1031">
        <f t="shared" si="80"/>
        <v>0</v>
      </c>
      <c r="N1031" s="55"/>
    </row>
    <row r="1032" spans="1:14" x14ac:dyDescent="0.3">
      <c r="A1032" s="17">
        <v>44588</v>
      </c>
      <c r="B1032">
        <v>0.27</v>
      </c>
      <c r="C1032">
        <f t="shared" si="81"/>
        <v>27</v>
      </c>
      <c r="D1032">
        <v>1</v>
      </c>
      <c r="E1032">
        <f t="shared" si="82"/>
        <v>1</v>
      </c>
      <c r="F1032">
        <f t="shared" si="83"/>
        <v>2022</v>
      </c>
      <c r="H1032" s="17">
        <f t="shared" si="84"/>
        <v>44562</v>
      </c>
      <c r="J1032">
        <f t="shared" si="80"/>
        <v>0</v>
      </c>
      <c r="N1032" s="55"/>
    </row>
    <row r="1033" spans="1:14" x14ac:dyDescent="0.3">
      <c r="A1033" s="17">
        <v>44587</v>
      </c>
      <c r="B1033">
        <v>0.01</v>
      </c>
      <c r="C1033">
        <f t="shared" si="81"/>
        <v>26</v>
      </c>
      <c r="D1033">
        <v>1</v>
      </c>
      <c r="E1033">
        <f t="shared" si="82"/>
        <v>1</v>
      </c>
      <c r="F1033">
        <f t="shared" si="83"/>
        <v>2022</v>
      </c>
      <c r="H1033" s="17">
        <f t="shared" si="84"/>
        <v>44562</v>
      </c>
      <c r="J1033">
        <f t="shared" ref="J1033:J1096" si="85">IF(AND(C1033&gt;=1, C1033&lt;=4), 1, 0)</f>
        <v>0</v>
      </c>
      <c r="N1033" s="55"/>
    </row>
    <row r="1034" spans="1:14" x14ac:dyDescent="0.3">
      <c r="A1034" s="17">
        <v>44586</v>
      </c>
      <c r="B1034">
        <v>-0.02</v>
      </c>
      <c r="C1034">
        <f t="shared" ref="C1034:C1097" si="86">+DAY(A1034)</f>
        <v>25</v>
      </c>
      <c r="D1034">
        <v>1</v>
      </c>
      <c r="E1034">
        <f t="shared" ref="E1034:E1097" si="87">+MONTH(A1034)</f>
        <v>1</v>
      </c>
      <c r="F1034">
        <f t="shared" ref="F1034:F1097" si="88">+YEAR(A1034)</f>
        <v>2022</v>
      </c>
      <c r="H1034" s="17">
        <f t="shared" ref="H1034:H1097" si="89">+DATE(F1034,E1034,D1034)</f>
        <v>44562</v>
      </c>
      <c r="J1034">
        <f t="shared" si="85"/>
        <v>0</v>
      </c>
      <c r="N1034" s="55"/>
    </row>
    <row r="1035" spans="1:14" x14ac:dyDescent="0.3">
      <c r="A1035" s="17">
        <v>44585</v>
      </c>
      <c r="B1035">
        <v>-0.42</v>
      </c>
      <c r="C1035">
        <f t="shared" si="86"/>
        <v>24</v>
      </c>
      <c r="D1035">
        <v>1</v>
      </c>
      <c r="E1035">
        <f t="shared" si="87"/>
        <v>1</v>
      </c>
      <c r="F1035">
        <f t="shared" si="88"/>
        <v>2022</v>
      </c>
      <c r="H1035" s="17">
        <f t="shared" si="89"/>
        <v>44562</v>
      </c>
      <c r="J1035">
        <f t="shared" si="85"/>
        <v>0</v>
      </c>
      <c r="N1035" s="55"/>
    </row>
    <row r="1036" spans="1:14" x14ac:dyDescent="0.3">
      <c r="A1036" s="17">
        <v>44582</v>
      </c>
      <c r="B1036">
        <v>-0.22</v>
      </c>
      <c r="C1036">
        <f t="shared" si="86"/>
        <v>21</v>
      </c>
      <c r="D1036">
        <v>1</v>
      </c>
      <c r="E1036">
        <f t="shared" si="87"/>
        <v>1</v>
      </c>
      <c r="F1036">
        <f t="shared" si="88"/>
        <v>2022</v>
      </c>
      <c r="H1036" s="17">
        <f t="shared" si="89"/>
        <v>44562</v>
      </c>
      <c r="J1036">
        <f t="shared" si="85"/>
        <v>0</v>
      </c>
      <c r="N1036" s="55"/>
    </row>
    <row r="1037" spans="1:14" x14ac:dyDescent="0.3">
      <c r="A1037" s="17">
        <v>44581</v>
      </c>
      <c r="B1037">
        <v>-0.28999999999999998</v>
      </c>
      <c r="C1037">
        <f t="shared" si="86"/>
        <v>20</v>
      </c>
      <c r="D1037">
        <v>1</v>
      </c>
      <c r="E1037">
        <f t="shared" si="87"/>
        <v>1</v>
      </c>
      <c r="F1037">
        <f t="shared" si="88"/>
        <v>2022</v>
      </c>
      <c r="H1037" s="17">
        <f t="shared" si="89"/>
        <v>44562</v>
      </c>
      <c r="J1037">
        <f t="shared" si="85"/>
        <v>0</v>
      </c>
      <c r="N1037" s="55"/>
    </row>
    <row r="1038" spans="1:14" x14ac:dyDescent="0.3">
      <c r="A1038" s="17">
        <v>44580</v>
      </c>
      <c r="B1038">
        <v>-0.16</v>
      </c>
      <c r="C1038">
        <f t="shared" si="86"/>
        <v>19</v>
      </c>
      <c r="D1038">
        <v>1</v>
      </c>
      <c r="E1038">
        <f t="shared" si="87"/>
        <v>1</v>
      </c>
      <c r="F1038">
        <f t="shared" si="88"/>
        <v>2022</v>
      </c>
      <c r="H1038" s="17">
        <f t="shared" si="89"/>
        <v>44562</v>
      </c>
      <c r="J1038">
        <f t="shared" si="85"/>
        <v>0</v>
      </c>
      <c r="N1038" s="55"/>
    </row>
    <row r="1039" spans="1:14" x14ac:dyDescent="0.3">
      <c r="A1039" s="17">
        <v>44579</v>
      </c>
      <c r="B1039">
        <v>-0.42</v>
      </c>
      <c r="C1039">
        <f t="shared" si="86"/>
        <v>18</v>
      </c>
      <c r="D1039">
        <v>1</v>
      </c>
      <c r="E1039">
        <f t="shared" si="87"/>
        <v>1</v>
      </c>
      <c r="F1039">
        <f t="shared" si="88"/>
        <v>2022</v>
      </c>
      <c r="H1039" s="17">
        <f t="shared" si="89"/>
        <v>44562</v>
      </c>
      <c r="J1039">
        <f t="shared" si="85"/>
        <v>0</v>
      </c>
      <c r="N1039" s="55"/>
    </row>
    <row r="1040" spans="1:14" x14ac:dyDescent="0.3">
      <c r="A1040" s="17">
        <v>44578</v>
      </c>
      <c r="B1040">
        <v>7.0000000000000007E-2</v>
      </c>
      <c r="C1040">
        <f t="shared" si="86"/>
        <v>17</v>
      </c>
      <c r="D1040">
        <v>1</v>
      </c>
      <c r="E1040">
        <f t="shared" si="87"/>
        <v>1</v>
      </c>
      <c r="F1040">
        <f t="shared" si="88"/>
        <v>2022</v>
      </c>
      <c r="H1040" s="17">
        <f t="shared" si="89"/>
        <v>44562</v>
      </c>
      <c r="J1040">
        <f t="shared" si="85"/>
        <v>0</v>
      </c>
      <c r="N1040" s="55"/>
    </row>
    <row r="1041" spans="1:14" x14ac:dyDescent="0.3">
      <c r="A1041" s="17">
        <v>44575</v>
      </c>
      <c r="B1041">
        <v>0.11</v>
      </c>
      <c r="C1041">
        <f t="shared" si="86"/>
        <v>14</v>
      </c>
      <c r="D1041">
        <v>1</v>
      </c>
      <c r="E1041">
        <f t="shared" si="87"/>
        <v>1</v>
      </c>
      <c r="F1041">
        <f t="shared" si="88"/>
        <v>2022</v>
      </c>
      <c r="H1041" s="17">
        <f t="shared" si="89"/>
        <v>44562</v>
      </c>
      <c r="J1041">
        <f t="shared" si="85"/>
        <v>0</v>
      </c>
      <c r="N1041" s="55"/>
    </row>
    <row r="1042" spans="1:14" x14ac:dyDescent="0.3">
      <c r="A1042" s="17">
        <v>44574</v>
      </c>
      <c r="B1042">
        <v>-0.1</v>
      </c>
      <c r="C1042">
        <f t="shared" si="86"/>
        <v>13</v>
      </c>
      <c r="D1042">
        <v>1</v>
      </c>
      <c r="E1042">
        <f t="shared" si="87"/>
        <v>1</v>
      </c>
      <c r="F1042">
        <f t="shared" si="88"/>
        <v>2022</v>
      </c>
      <c r="H1042" s="17">
        <f t="shared" si="89"/>
        <v>44562</v>
      </c>
      <c r="J1042">
        <f t="shared" si="85"/>
        <v>0</v>
      </c>
      <c r="N1042" s="55"/>
    </row>
    <row r="1043" spans="1:14" x14ac:dyDescent="0.3">
      <c r="A1043" s="17">
        <v>44573</v>
      </c>
      <c r="B1043">
        <v>-0.08</v>
      </c>
      <c r="C1043">
        <f t="shared" si="86"/>
        <v>12</v>
      </c>
      <c r="D1043">
        <v>1</v>
      </c>
      <c r="E1043">
        <f t="shared" si="87"/>
        <v>1</v>
      </c>
      <c r="F1043">
        <f t="shared" si="88"/>
        <v>2022</v>
      </c>
      <c r="H1043" s="17">
        <f t="shared" si="89"/>
        <v>44562</v>
      </c>
      <c r="J1043">
        <f t="shared" si="85"/>
        <v>0</v>
      </c>
      <c r="N1043" s="55"/>
    </row>
    <row r="1044" spans="1:14" x14ac:dyDescent="0.3">
      <c r="A1044" s="17">
        <v>44572</v>
      </c>
      <c r="B1044">
        <v>7.0000000000000007E-2</v>
      </c>
      <c r="C1044">
        <f t="shared" si="86"/>
        <v>11</v>
      </c>
      <c r="D1044">
        <v>1</v>
      </c>
      <c r="E1044">
        <f t="shared" si="87"/>
        <v>1</v>
      </c>
      <c r="F1044">
        <f t="shared" si="88"/>
        <v>2022</v>
      </c>
      <c r="H1044" s="17">
        <f t="shared" si="89"/>
        <v>44562</v>
      </c>
      <c r="J1044">
        <f t="shared" si="85"/>
        <v>0</v>
      </c>
      <c r="N1044" s="55"/>
    </row>
    <row r="1045" spans="1:14" x14ac:dyDescent="0.3">
      <c r="A1045" s="17">
        <v>44571</v>
      </c>
      <c r="B1045">
        <v>0.08</v>
      </c>
      <c r="C1045">
        <f t="shared" si="86"/>
        <v>10</v>
      </c>
      <c r="D1045">
        <v>1</v>
      </c>
      <c r="E1045">
        <f t="shared" si="87"/>
        <v>1</v>
      </c>
      <c r="F1045">
        <f t="shared" si="88"/>
        <v>2022</v>
      </c>
      <c r="H1045" s="17">
        <f t="shared" si="89"/>
        <v>44562</v>
      </c>
      <c r="J1045">
        <f t="shared" si="85"/>
        <v>0</v>
      </c>
      <c r="N1045" s="55"/>
    </row>
    <row r="1046" spans="1:14" x14ac:dyDescent="0.3">
      <c r="A1046" s="17">
        <v>44568</v>
      </c>
      <c r="B1046">
        <v>-0.09</v>
      </c>
      <c r="C1046">
        <f t="shared" si="86"/>
        <v>7</v>
      </c>
      <c r="D1046">
        <v>1</v>
      </c>
      <c r="E1046">
        <f t="shared" si="87"/>
        <v>1</v>
      </c>
      <c r="F1046">
        <f t="shared" si="88"/>
        <v>2022</v>
      </c>
      <c r="H1046" s="17">
        <f t="shared" si="89"/>
        <v>44562</v>
      </c>
      <c r="J1046">
        <f t="shared" si="85"/>
        <v>0</v>
      </c>
      <c r="N1046" s="55"/>
    </row>
    <row r="1047" spans="1:14" x14ac:dyDescent="0.3">
      <c r="A1047" s="17">
        <v>44567</v>
      </c>
      <c r="B1047">
        <v>-0.32</v>
      </c>
      <c r="C1047">
        <f t="shared" si="86"/>
        <v>6</v>
      </c>
      <c r="D1047">
        <v>1</v>
      </c>
      <c r="E1047">
        <f t="shared" si="87"/>
        <v>1</v>
      </c>
      <c r="F1047">
        <f t="shared" si="88"/>
        <v>2022</v>
      </c>
      <c r="H1047" s="17">
        <f t="shared" si="89"/>
        <v>44562</v>
      </c>
      <c r="J1047">
        <f t="shared" si="85"/>
        <v>0</v>
      </c>
      <c r="N1047" s="55"/>
    </row>
    <row r="1048" spans="1:14" x14ac:dyDescent="0.3">
      <c r="A1048" s="17">
        <v>44566</v>
      </c>
      <c r="B1048">
        <v>-0.27</v>
      </c>
      <c r="C1048">
        <f t="shared" si="86"/>
        <v>5</v>
      </c>
      <c r="D1048">
        <v>1</v>
      </c>
      <c r="E1048">
        <f t="shared" si="87"/>
        <v>1</v>
      </c>
      <c r="F1048">
        <f t="shared" si="88"/>
        <v>2022</v>
      </c>
      <c r="H1048" s="17">
        <f t="shared" si="89"/>
        <v>44562</v>
      </c>
      <c r="J1048">
        <f t="shared" si="85"/>
        <v>0</v>
      </c>
      <c r="N1048" s="55"/>
    </row>
    <row r="1049" spans="1:14" x14ac:dyDescent="0.3">
      <c r="A1049" s="17">
        <v>44565</v>
      </c>
      <c r="B1049">
        <v>0.47</v>
      </c>
      <c r="C1049">
        <f t="shared" si="86"/>
        <v>4</v>
      </c>
      <c r="D1049">
        <v>1</v>
      </c>
      <c r="E1049">
        <f t="shared" si="87"/>
        <v>1</v>
      </c>
      <c r="F1049">
        <f t="shared" si="88"/>
        <v>2022</v>
      </c>
      <c r="H1049" s="17">
        <f t="shared" si="89"/>
        <v>44562</v>
      </c>
      <c r="J1049">
        <f t="shared" si="85"/>
        <v>1</v>
      </c>
      <c r="N1049" s="55"/>
    </row>
    <row r="1050" spans="1:14" x14ac:dyDescent="0.3">
      <c r="A1050" s="17">
        <v>44564</v>
      </c>
      <c r="B1050">
        <v>0.86</v>
      </c>
      <c r="C1050">
        <f t="shared" si="86"/>
        <v>3</v>
      </c>
      <c r="D1050">
        <v>1</v>
      </c>
      <c r="E1050">
        <f t="shared" si="87"/>
        <v>1</v>
      </c>
      <c r="F1050">
        <f t="shared" si="88"/>
        <v>2022</v>
      </c>
      <c r="H1050" s="17">
        <f t="shared" si="89"/>
        <v>44562</v>
      </c>
      <c r="J1050">
        <f t="shared" si="85"/>
        <v>1</v>
      </c>
      <c r="N1050" s="55"/>
    </row>
    <row r="1051" spans="1:14" x14ac:dyDescent="0.3">
      <c r="A1051" s="17">
        <v>44562</v>
      </c>
      <c r="C1051">
        <f t="shared" si="86"/>
        <v>1</v>
      </c>
      <c r="D1051">
        <v>1</v>
      </c>
      <c r="E1051">
        <f t="shared" si="87"/>
        <v>1</v>
      </c>
      <c r="F1051">
        <f t="shared" si="88"/>
        <v>2022</v>
      </c>
      <c r="H1051" s="17">
        <f t="shared" si="89"/>
        <v>44562</v>
      </c>
      <c r="J1051">
        <f t="shared" si="85"/>
        <v>1</v>
      </c>
      <c r="N1051" s="55"/>
    </row>
    <row r="1052" spans="1:14" x14ac:dyDescent="0.3">
      <c r="A1052" s="17">
        <v>44561</v>
      </c>
      <c r="B1052">
        <v>3.51</v>
      </c>
      <c r="C1052">
        <f t="shared" si="86"/>
        <v>31</v>
      </c>
      <c r="D1052">
        <v>1</v>
      </c>
      <c r="E1052">
        <f t="shared" si="87"/>
        <v>12</v>
      </c>
      <c r="F1052">
        <f t="shared" si="88"/>
        <v>2021</v>
      </c>
      <c r="H1052" s="17">
        <f t="shared" si="89"/>
        <v>44531</v>
      </c>
      <c r="J1052">
        <f t="shared" si="85"/>
        <v>0</v>
      </c>
      <c r="N1052" s="55"/>
    </row>
    <row r="1053" spans="1:14" x14ac:dyDescent="0.3">
      <c r="A1053" s="17">
        <v>44560</v>
      </c>
      <c r="B1053">
        <v>3.19</v>
      </c>
      <c r="C1053">
        <f t="shared" si="86"/>
        <v>30</v>
      </c>
      <c r="D1053">
        <v>1</v>
      </c>
      <c r="E1053">
        <f t="shared" si="87"/>
        <v>12</v>
      </c>
      <c r="F1053">
        <f t="shared" si="88"/>
        <v>2021</v>
      </c>
      <c r="H1053" s="17">
        <f t="shared" si="89"/>
        <v>44531</v>
      </c>
      <c r="J1053">
        <f t="shared" si="85"/>
        <v>0</v>
      </c>
      <c r="N1053" s="55"/>
    </row>
    <row r="1054" spans="1:14" x14ac:dyDescent="0.3">
      <c r="A1054" s="17">
        <v>44559</v>
      </c>
      <c r="B1054">
        <v>2.76</v>
      </c>
      <c r="C1054">
        <f t="shared" si="86"/>
        <v>29</v>
      </c>
      <c r="D1054">
        <v>1</v>
      </c>
      <c r="E1054">
        <f t="shared" si="87"/>
        <v>12</v>
      </c>
      <c r="F1054">
        <f t="shared" si="88"/>
        <v>2021</v>
      </c>
      <c r="H1054" s="17">
        <f t="shared" si="89"/>
        <v>44531</v>
      </c>
      <c r="J1054">
        <f t="shared" si="85"/>
        <v>0</v>
      </c>
      <c r="N1054" s="55"/>
    </row>
    <row r="1055" spans="1:14" x14ac:dyDescent="0.3">
      <c r="A1055" s="17">
        <v>44558</v>
      </c>
      <c r="B1055">
        <v>3.19</v>
      </c>
      <c r="C1055">
        <f t="shared" si="86"/>
        <v>28</v>
      </c>
      <c r="D1055">
        <v>1</v>
      </c>
      <c r="E1055">
        <f t="shared" si="87"/>
        <v>12</v>
      </c>
      <c r="F1055">
        <f t="shared" si="88"/>
        <v>2021</v>
      </c>
      <c r="H1055" s="17">
        <f t="shared" si="89"/>
        <v>44531</v>
      </c>
      <c r="J1055">
        <f t="shared" si="85"/>
        <v>0</v>
      </c>
      <c r="N1055" s="55"/>
    </row>
    <row r="1056" spans="1:14" x14ac:dyDescent="0.3">
      <c r="A1056" s="17">
        <v>44554</v>
      </c>
      <c r="B1056">
        <v>2.95</v>
      </c>
      <c r="C1056">
        <f t="shared" si="86"/>
        <v>24</v>
      </c>
      <c r="D1056">
        <v>1</v>
      </c>
      <c r="E1056">
        <f t="shared" si="87"/>
        <v>12</v>
      </c>
      <c r="F1056">
        <f t="shared" si="88"/>
        <v>2021</v>
      </c>
      <c r="H1056" s="17">
        <f t="shared" si="89"/>
        <v>44531</v>
      </c>
      <c r="J1056">
        <f t="shared" si="85"/>
        <v>0</v>
      </c>
      <c r="N1056" s="55"/>
    </row>
    <row r="1057" spans="1:14" x14ac:dyDescent="0.3">
      <c r="A1057" s="17">
        <v>44553</v>
      </c>
      <c r="B1057">
        <v>3.02</v>
      </c>
      <c r="C1057">
        <f t="shared" si="86"/>
        <v>23</v>
      </c>
      <c r="D1057">
        <v>1</v>
      </c>
      <c r="E1057">
        <f t="shared" si="87"/>
        <v>12</v>
      </c>
      <c r="F1057">
        <f t="shared" si="88"/>
        <v>2021</v>
      </c>
      <c r="H1057" s="17">
        <f t="shared" si="89"/>
        <v>44531</v>
      </c>
      <c r="J1057">
        <f t="shared" si="85"/>
        <v>0</v>
      </c>
      <c r="N1057" s="55"/>
    </row>
    <row r="1058" spans="1:14" x14ac:dyDescent="0.3">
      <c r="A1058" s="17">
        <v>44552</v>
      </c>
      <c r="B1058">
        <v>2.99</v>
      </c>
      <c r="C1058">
        <f t="shared" si="86"/>
        <v>22</v>
      </c>
      <c r="D1058">
        <v>1</v>
      </c>
      <c r="E1058">
        <f t="shared" si="87"/>
        <v>12</v>
      </c>
      <c r="F1058">
        <f t="shared" si="88"/>
        <v>2021</v>
      </c>
      <c r="H1058" s="17">
        <f t="shared" si="89"/>
        <v>44531</v>
      </c>
      <c r="J1058">
        <f t="shared" si="85"/>
        <v>0</v>
      </c>
      <c r="N1058" s="55"/>
    </row>
    <row r="1059" spans="1:14" x14ac:dyDescent="0.3">
      <c r="A1059" s="17">
        <v>44551</v>
      </c>
      <c r="B1059">
        <v>3.11</v>
      </c>
      <c r="C1059">
        <f t="shared" si="86"/>
        <v>21</v>
      </c>
      <c r="D1059">
        <v>1</v>
      </c>
      <c r="E1059">
        <f t="shared" si="87"/>
        <v>12</v>
      </c>
      <c r="F1059">
        <f t="shared" si="88"/>
        <v>2021</v>
      </c>
      <c r="H1059" s="17">
        <f t="shared" si="89"/>
        <v>44531</v>
      </c>
      <c r="J1059">
        <f t="shared" si="85"/>
        <v>0</v>
      </c>
      <c r="N1059" s="55"/>
    </row>
    <row r="1060" spans="1:14" x14ac:dyDescent="0.3">
      <c r="A1060" s="17">
        <v>44550</v>
      </c>
      <c r="B1060">
        <v>3.5</v>
      </c>
      <c r="C1060">
        <f t="shared" si="86"/>
        <v>20</v>
      </c>
      <c r="D1060">
        <v>1</v>
      </c>
      <c r="E1060">
        <f t="shared" si="87"/>
        <v>12</v>
      </c>
      <c r="F1060">
        <f t="shared" si="88"/>
        <v>2021</v>
      </c>
      <c r="H1060" s="17">
        <f t="shared" si="89"/>
        <v>44531</v>
      </c>
      <c r="J1060">
        <f t="shared" si="85"/>
        <v>0</v>
      </c>
      <c r="N1060" s="55"/>
    </row>
    <row r="1061" spans="1:14" x14ac:dyDescent="0.3">
      <c r="A1061" s="17">
        <v>44547</v>
      </c>
      <c r="B1061">
        <v>3.61</v>
      </c>
      <c r="C1061">
        <f t="shared" si="86"/>
        <v>17</v>
      </c>
      <c r="D1061">
        <v>1</v>
      </c>
      <c r="E1061">
        <f t="shared" si="87"/>
        <v>12</v>
      </c>
      <c r="F1061">
        <f t="shared" si="88"/>
        <v>2021</v>
      </c>
      <c r="H1061" s="17">
        <f t="shared" si="89"/>
        <v>44531</v>
      </c>
      <c r="J1061">
        <f t="shared" si="85"/>
        <v>0</v>
      </c>
      <c r="N1061" s="55"/>
    </row>
    <row r="1062" spans="1:14" x14ac:dyDescent="0.3">
      <c r="A1062" s="17">
        <v>44546</v>
      </c>
      <c r="B1062">
        <v>3.58</v>
      </c>
      <c r="C1062">
        <f t="shared" si="86"/>
        <v>16</v>
      </c>
      <c r="D1062">
        <v>1</v>
      </c>
      <c r="E1062">
        <f t="shared" si="87"/>
        <v>12</v>
      </c>
      <c r="F1062">
        <f t="shared" si="88"/>
        <v>2021</v>
      </c>
      <c r="H1062" s="17">
        <f t="shared" si="89"/>
        <v>44531</v>
      </c>
      <c r="J1062">
        <f t="shared" si="85"/>
        <v>0</v>
      </c>
      <c r="N1062" s="55"/>
    </row>
    <row r="1063" spans="1:14" x14ac:dyDescent="0.3">
      <c r="A1063" s="17">
        <v>44545</v>
      </c>
      <c r="B1063">
        <v>3.3</v>
      </c>
      <c r="C1063">
        <f t="shared" si="86"/>
        <v>15</v>
      </c>
      <c r="D1063">
        <v>1</v>
      </c>
      <c r="E1063">
        <f t="shared" si="87"/>
        <v>12</v>
      </c>
      <c r="F1063">
        <f t="shared" si="88"/>
        <v>2021</v>
      </c>
      <c r="H1063" s="17">
        <f t="shared" si="89"/>
        <v>44531</v>
      </c>
      <c r="J1063">
        <f t="shared" si="85"/>
        <v>0</v>
      </c>
      <c r="N1063" s="55"/>
    </row>
    <row r="1064" spans="1:14" x14ac:dyDescent="0.3">
      <c r="A1064" s="17">
        <v>44544</v>
      </c>
      <c r="B1064">
        <v>3.38</v>
      </c>
      <c r="C1064">
        <f t="shared" si="86"/>
        <v>14</v>
      </c>
      <c r="D1064">
        <v>1</v>
      </c>
      <c r="E1064">
        <f t="shared" si="87"/>
        <v>12</v>
      </c>
      <c r="F1064">
        <f t="shared" si="88"/>
        <v>2021</v>
      </c>
      <c r="H1064" s="17">
        <f t="shared" si="89"/>
        <v>44531</v>
      </c>
      <c r="J1064">
        <f t="shared" si="85"/>
        <v>0</v>
      </c>
      <c r="N1064" s="55"/>
    </row>
    <row r="1065" spans="1:14" x14ac:dyDescent="0.3">
      <c r="A1065" s="17">
        <v>44543</v>
      </c>
      <c r="B1065">
        <v>3</v>
      </c>
      <c r="C1065">
        <f t="shared" si="86"/>
        <v>13</v>
      </c>
      <c r="D1065">
        <v>1</v>
      </c>
      <c r="E1065">
        <f t="shared" si="87"/>
        <v>12</v>
      </c>
      <c r="F1065">
        <f t="shared" si="88"/>
        <v>2021</v>
      </c>
      <c r="H1065" s="17">
        <f t="shared" si="89"/>
        <v>44531</v>
      </c>
      <c r="J1065">
        <f t="shared" si="85"/>
        <v>0</v>
      </c>
      <c r="N1065" s="55"/>
    </row>
    <row r="1066" spans="1:14" x14ac:dyDescent="0.3">
      <c r="A1066" s="17">
        <v>44540</v>
      </c>
      <c r="B1066">
        <v>2.87</v>
      </c>
      <c r="C1066">
        <f t="shared" si="86"/>
        <v>10</v>
      </c>
      <c r="D1066">
        <v>1</v>
      </c>
      <c r="E1066">
        <f t="shared" si="87"/>
        <v>12</v>
      </c>
      <c r="F1066">
        <f t="shared" si="88"/>
        <v>2021</v>
      </c>
      <c r="H1066" s="17">
        <f t="shared" si="89"/>
        <v>44531</v>
      </c>
      <c r="J1066">
        <f t="shared" si="85"/>
        <v>0</v>
      </c>
      <c r="N1066" s="55"/>
    </row>
    <row r="1067" spans="1:14" x14ac:dyDescent="0.3">
      <c r="A1067" s="17">
        <v>44539</v>
      </c>
      <c r="B1067">
        <v>2.8</v>
      </c>
      <c r="C1067">
        <f t="shared" si="86"/>
        <v>9</v>
      </c>
      <c r="D1067">
        <v>1</v>
      </c>
      <c r="E1067">
        <f t="shared" si="87"/>
        <v>12</v>
      </c>
      <c r="F1067">
        <f t="shared" si="88"/>
        <v>2021</v>
      </c>
      <c r="H1067" s="17">
        <f t="shared" si="89"/>
        <v>44531</v>
      </c>
      <c r="J1067">
        <f t="shared" si="85"/>
        <v>0</v>
      </c>
      <c r="N1067" s="55"/>
    </row>
    <row r="1068" spans="1:14" x14ac:dyDescent="0.3">
      <c r="A1068" s="17">
        <v>44538</v>
      </c>
      <c r="B1068">
        <v>2.3199999999999998</v>
      </c>
      <c r="C1068">
        <f t="shared" si="86"/>
        <v>8</v>
      </c>
      <c r="D1068">
        <v>1</v>
      </c>
      <c r="E1068">
        <f t="shared" si="87"/>
        <v>12</v>
      </c>
      <c r="F1068">
        <f t="shared" si="88"/>
        <v>2021</v>
      </c>
      <c r="H1068" s="17">
        <f t="shared" si="89"/>
        <v>44531</v>
      </c>
      <c r="J1068">
        <f t="shared" si="85"/>
        <v>0</v>
      </c>
      <c r="N1068" s="55"/>
    </row>
    <row r="1069" spans="1:14" x14ac:dyDescent="0.3">
      <c r="A1069" s="17">
        <v>44537</v>
      </c>
      <c r="B1069">
        <v>2.19</v>
      </c>
      <c r="C1069">
        <f t="shared" si="86"/>
        <v>7</v>
      </c>
      <c r="D1069">
        <v>1</v>
      </c>
      <c r="E1069">
        <f t="shared" si="87"/>
        <v>12</v>
      </c>
      <c r="F1069">
        <f t="shared" si="88"/>
        <v>2021</v>
      </c>
      <c r="H1069" s="17">
        <f t="shared" si="89"/>
        <v>44531</v>
      </c>
      <c r="J1069">
        <f t="shared" si="85"/>
        <v>0</v>
      </c>
      <c r="N1069" s="55"/>
    </row>
    <row r="1070" spans="1:14" x14ac:dyDescent="0.3">
      <c r="A1070" s="17">
        <v>44536</v>
      </c>
      <c r="B1070">
        <v>1.91</v>
      </c>
      <c r="C1070">
        <f t="shared" si="86"/>
        <v>6</v>
      </c>
      <c r="D1070">
        <v>1</v>
      </c>
      <c r="E1070">
        <f t="shared" si="87"/>
        <v>12</v>
      </c>
      <c r="F1070">
        <f t="shared" si="88"/>
        <v>2021</v>
      </c>
      <c r="H1070" s="17">
        <f t="shared" si="89"/>
        <v>44531</v>
      </c>
      <c r="J1070">
        <f t="shared" si="85"/>
        <v>0</v>
      </c>
      <c r="N1070" s="55"/>
    </row>
    <row r="1071" spans="1:14" x14ac:dyDescent="0.3">
      <c r="A1071" s="17">
        <v>44533</v>
      </c>
      <c r="B1071">
        <v>1.76</v>
      </c>
      <c r="C1071">
        <f t="shared" si="86"/>
        <v>3</v>
      </c>
      <c r="D1071">
        <v>1</v>
      </c>
      <c r="E1071">
        <f t="shared" si="87"/>
        <v>12</v>
      </c>
      <c r="F1071">
        <f t="shared" si="88"/>
        <v>2021</v>
      </c>
      <c r="H1071" s="17">
        <f t="shared" si="89"/>
        <v>44531</v>
      </c>
      <c r="J1071">
        <f t="shared" si="85"/>
        <v>1</v>
      </c>
      <c r="N1071" s="55"/>
    </row>
    <row r="1072" spans="1:14" x14ac:dyDescent="0.3">
      <c r="A1072" s="17">
        <v>44532</v>
      </c>
      <c r="B1072">
        <v>2.29</v>
      </c>
      <c r="C1072">
        <f t="shared" si="86"/>
        <v>2</v>
      </c>
      <c r="D1072">
        <v>1</v>
      </c>
      <c r="E1072">
        <f t="shared" si="87"/>
        <v>12</v>
      </c>
      <c r="F1072">
        <f t="shared" si="88"/>
        <v>2021</v>
      </c>
      <c r="H1072" s="17">
        <f t="shared" si="89"/>
        <v>44531</v>
      </c>
      <c r="J1072">
        <f t="shared" si="85"/>
        <v>1</v>
      </c>
      <c r="N1072" s="55"/>
    </row>
    <row r="1073" spans="1:14" x14ac:dyDescent="0.3">
      <c r="A1073" s="17">
        <v>44531</v>
      </c>
      <c r="B1073">
        <v>1.81</v>
      </c>
      <c r="C1073">
        <f t="shared" si="86"/>
        <v>1</v>
      </c>
      <c r="D1073">
        <v>1</v>
      </c>
      <c r="E1073">
        <f t="shared" si="87"/>
        <v>12</v>
      </c>
      <c r="F1073">
        <f t="shared" si="88"/>
        <v>2021</v>
      </c>
      <c r="H1073" s="17">
        <f t="shared" si="89"/>
        <v>44531</v>
      </c>
      <c r="J1073">
        <f t="shared" si="85"/>
        <v>1</v>
      </c>
      <c r="N1073" s="55"/>
    </row>
    <row r="1074" spans="1:14" x14ac:dyDescent="0.3">
      <c r="A1074" s="17">
        <v>44530</v>
      </c>
      <c r="B1074">
        <v>2.81</v>
      </c>
      <c r="C1074">
        <f t="shared" si="86"/>
        <v>30</v>
      </c>
      <c r="D1074">
        <v>1</v>
      </c>
      <c r="E1074">
        <f t="shared" si="87"/>
        <v>11</v>
      </c>
      <c r="F1074">
        <f t="shared" si="88"/>
        <v>2021</v>
      </c>
      <c r="H1074" s="17">
        <f t="shared" si="89"/>
        <v>44501</v>
      </c>
      <c r="J1074">
        <f t="shared" si="85"/>
        <v>0</v>
      </c>
      <c r="N1074" s="55"/>
    </row>
    <row r="1075" spans="1:14" x14ac:dyDescent="0.3">
      <c r="A1075" s="17">
        <v>44529</v>
      </c>
      <c r="B1075">
        <v>3.08</v>
      </c>
      <c r="C1075">
        <f t="shared" si="86"/>
        <v>29</v>
      </c>
      <c r="D1075">
        <v>1</v>
      </c>
      <c r="E1075">
        <f t="shared" si="87"/>
        <v>11</v>
      </c>
      <c r="F1075">
        <f t="shared" si="88"/>
        <v>2021</v>
      </c>
      <c r="H1075" s="17">
        <f t="shared" si="89"/>
        <v>44501</v>
      </c>
      <c r="J1075">
        <f t="shared" si="85"/>
        <v>0</v>
      </c>
      <c r="N1075" s="55"/>
    </row>
    <row r="1076" spans="1:14" x14ac:dyDescent="0.3">
      <c r="A1076" s="17">
        <v>44526</v>
      </c>
      <c r="B1076">
        <v>2.2999999999999998</v>
      </c>
      <c r="C1076">
        <f t="shared" si="86"/>
        <v>26</v>
      </c>
      <c r="D1076">
        <v>1</v>
      </c>
      <c r="E1076">
        <f t="shared" si="87"/>
        <v>11</v>
      </c>
      <c r="F1076">
        <f t="shared" si="88"/>
        <v>2021</v>
      </c>
      <c r="H1076" s="17">
        <f t="shared" si="89"/>
        <v>44501</v>
      </c>
      <c r="J1076">
        <f t="shared" si="85"/>
        <v>0</v>
      </c>
      <c r="N1076" s="55"/>
    </row>
    <row r="1077" spans="1:14" x14ac:dyDescent="0.3">
      <c r="A1077" s="17">
        <v>44525</v>
      </c>
      <c r="B1077">
        <v>2.36</v>
      </c>
      <c r="C1077">
        <f t="shared" si="86"/>
        <v>25</v>
      </c>
      <c r="D1077">
        <v>1</v>
      </c>
      <c r="E1077">
        <f t="shared" si="87"/>
        <v>11</v>
      </c>
      <c r="F1077">
        <f t="shared" si="88"/>
        <v>2021</v>
      </c>
      <c r="H1077" s="17">
        <f t="shared" si="89"/>
        <v>44501</v>
      </c>
      <c r="J1077">
        <f t="shared" si="85"/>
        <v>0</v>
      </c>
      <c r="N1077" s="55"/>
    </row>
    <row r="1078" spans="1:14" x14ac:dyDescent="0.3">
      <c r="A1078" s="17">
        <v>44524</v>
      </c>
      <c r="B1078">
        <v>2.3199999999999998</v>
      </c>
      <c r="C1078">
        <f t="shared" si="86"/>
        <v>24</v>
      </c>
      <c r="D1078">
        <v>1</v>
      </c>
      <c r="E1078">
        <f t="shared" si="87"/>
        <v>11</v>
      </c>
      <c r="F1078">
        <f t="shared" si="88"/>
        <v>2021</v>
      </c>
      <c r="H1078" s="17">
        <f t="shared" si="89"/>
        <v>44501</v>
      </c>
      <c r="J1078">
        <f t="shared" si="85"/>
        <v>0</v>
      </c>
      <c r="N1078" s="55"/>
    </row>
    <row r="1079" spans="1:14" x14ac:dyDescent="0.3">
      <c r="A1079" s="17">
        <v>44523</v>
      </c>
      <c r="B1079">
        <v>2.56</v>
      </c>
      <c r="C1079">
        <f t="shared" si="86"/>
        <v>23</v>
      </c>
      <c r="D1079">
        <v>1</v>
      </c>
      <c r="E1079">
        <f t="shared" si="87"/>
        <v>11</v>
      </c>
      <c r="F1079">
        <f t="shared" si="88"/>
        <v>2021</v>
      </c>
      <c r="H1079" s="17">
        <f t="shared" si="89"/>
        <v>44501</v>
      </c>
      <c r="J1079">
        <f t="shared" si="85"/>
        <v>0</v>
      </c>
      <c r="N1079" s="55"/>
    </row>
    <row r="1080" spans="1:14" x14ac:dyDescent="0.3">
      <c r="A1080" s="17">
        <v>44522</v>
      </c>
      <c r="B1080">
        <v>2.68</v>
      </c>
      <c r="C1080">
        <f t="shared" si="86"/>
        <v>22</v>
      </c>
      <c r="D1080">
        <v>1</v>
      </c>
      <c r="E1080">
        <f t="shared" si="87"/>
        <v>11</v>
      </c>
      <c r="F1080">
        <f t="shared" si="88"/>
        <v>2021</v>
      </c>
      <c r="H1080" s="17">
        <f t="shared" si="89"/>
        <v>44501</v>
      </c>
      <c r="J1080">
        <f t="shared" si="85"/>
        <v>0</v>
      </c>
      <c r="N1080" s="55"/>
    </row>
    <row r="1081" spans="1:14" x14ac:dyDescent="0.3">
      <c r="A1081" s="17">
        <v>44519</v>
      </c>
      <c r="B1081">
        <v>2.92</v>
      </c>
      <c r="C1081">
        <f t="shared" si="86"/>
        <v>19</v>
      </c>
      <c r="D1081">
        <v>1</v>
      </c>
      <c r="E1081">
        <f t="shared" si="87"/>
        <v>11</v>
      </c>
      <c r="F1081">
        <f t="shared" si="88"/>
        <v>2021</v>
      </c>
      <c r="H1081" s="17">
        <f t="shared" si="89"/>
        <v>44501</v>
      </c>
      <c r="J1081">
        <f t="shared" si="85"/>
        <v>0</v>
      </c>
      <c r="N1081" s="55"/>
    </row>
    <row r="1082" spans="1:14" x14ac:dyDescent="0.3">
      <c r="A1082" s="17">
        <v>44518</v>
      </c>
      <c r="B1082">
        <v>2.91</v>
      </c>
      <c r="C1082">
        <f t="shared" si="86"/>
        <v>18</v>
      </c>
      <c r="D1082">
        <v>1</v>
      </c>
      <c r="E1082">
        <f t="shared" si="87"/>
        <v>11</v>
      </c>
      <c r="F1082">
        <f t="shared" si="88"/>
        <v>2021</v>
      </c>
      <c r="H1082" s="17">
        <f t="shared" si="89"/>
        <v>44501</v>
      </c>
      <c r="J1082">
        <f t="shared" si="85"/>
        <v>0</v>
      </c>
      <c r="N1082" s="55"/>
    </row>
    <row r="1083" spans="1:14" x14ac:dyDescent="0.3">
      <c r="A1083" s="17">
        <v>44517</v>
      </c>
      <c r="B1083">
        <v>3.41</v>
      </c>
      <c r="C1083">
        <f t="shared" si="86"/>
        <v>17</v>
      </c>
      <c r="D1083">
        <v>1</v>
      </c>
      <c r="E1083">
        <f t="shared" si="87"/>
        <v>11</v>
      </c>
      <c r="F1083">
        <f t="shared" si="88"/>
        <v>2021</v>
      </c>
      <c r="H1083" s="17">
        <f t="shared" si="89"/>
        <v>44501</v>
      </c>
      <c r="J1083">
        <f t="shared" si="85"/>
        <v>0</v>
      </c>
      <c r="N1083" s="55"/>
    </row>
    <row r="1084" spans="1:14" x14ac:dyDescent="0.3">
      <c r="A1084" s="17">
        <v>44516</v>
      </c>
      <c r="B1084">
        <v>3.45</v>
      </c>
      <c r="C1084">
        <f t="shared" si="86"/>
        <v>16</v>
      </c>
      <c r="D1084">
        <v>1</v>
      </c>
      <c r="E1084">
        <f t="shared" si="87"/>
        <v>11</v>
      </c>
      <c r="F1084">
        <f t="shared" si="88"/>
        <v>2021</v>
      </c>
      <c r="H1084" s="17">
        <f t="shared" si="89"/>
        <v>44501</v>
      </c>
      <c r="J1084">
        <f t="shared" si="85"/>
        <v>0</v>
      </c>
      <c r="N1084" s="55"/>
    </row>
    <row r="1085" spans="1:14" x14ac:dyDescent="0.3">
      <c r="A1085" s="17">
        <v>44515</v>
      </c>
      <c r="B1085">
        <v>3.19</v>
      </c>
      <c r="C1085">
        <f t="shared" si="86"/>
        <v>15</v>
      </c>
      <c r="D1085">
        <v>1</v>
      </c>
      <c r="E1085">
        <f t="shared" si="87"/>
        <v>11</v>
      </c>
      <c r="F1085">
        <f t="shared" si="88"/>
        <v>2021</v>
      </c>
      <c r="H1085" s="17">
        <f t="shared" si="89"/>
        <v>44501</v>
      </c>
      <c r="J1085">
        <f t="shared" si="85"/>
        <v>0</v>
      </c>
      <c r="N1085" s="55"/>
    </row>
    <row r="1086" spans="1:14" x14ac:dyDescent="0.3">
      <c r="A1086" s="17">
        <v>44512</v>
      </c>
      <c r="B1086">
        <v>3.55</v>
      </c>
      <c r="C1086">
        <f t="shared" si="86"/>
        <v>12</v>
      </c>
      <c r="D1086">
        <v>1</v>
      </c>
      <c r="E1086">
        <f t="shared" si="87"/>
        <v>11</v>
      </c>
      <c r="F1086">
        <f t="shared" si="88"/>
        <v>2021</v>
      </c>
      <c r="H1086" s="17">
        <f t="shared" si="89"/>
        <v>44501</v>
      </c>
      <c r="J1086">
        <f t="shared" si="85"/>
        <v>0</v>
      </c>
      <c r="N1086" s="55"/>
    </row>
    <row r="1087" spans="1:14" x14ac:dyDescent="0.3">
      <c r="A1087" s="17">
        <v>44511</v>
      </c>
      <c r="B1087">
        <v>3.3</v>
      </c>
      <c r="C1087">
        <f t="shared" si="86"/>
        <v>11</v>
      </c>
      <c r="D1087">
        <v>1</v>
      </c>
      <c r="E1087">
        <f t="shared" si="87"/>
        <v>11</v>
      </c>
      <c r="F1087">
        <f t="shared" si="88"/>
        <v>2021</v>
      </c>
      <c r="H1087" s="17">
        <f t="shared" si="89"/>
        <v>44501</v>
      </c>
      <c r="J1087">
        <f t="shared" si="85"/>
        <v>0</v>
      </c>
      <c r="N1087" s="55"/>
    </row>
    <row r="1088" spans="1:14" x14ac:dyDescent="0.3">
      <c r="A1088" s="17">
        <v>44510</v>
      </c>
      <c r="B1088">
        <v>3.46</v>
      </c>
      <c r="C1088">
        <f t="shared" si="86"/>
        <v>10</v>
      </c>
      <c r="D1088">
        <v>1</v>
      </c>
      <c r="E1088">
        <f t="shared" si="87"/>
        <v>11</v>
      </c>
      <c r="F1088">
        <f t="shared" si="88"/>
        <v>2021</v>
      </c>
      <c r="H1088" s="17">
        <f t="shared" si="89"/>
        <v>44501</v>
      </c>
      <c r="J1088">
        <f t="shared" si="85"/>
        <v>0</v>
      </c>
      <c r="N1088" s="55"/>
    </row>
    <row r="1089" spans="1:14" x14ac:dyDescent="0.3">
      <c r="A1089" s="17">
        <v>44509</v>
      </c>
      <c r="B1089">
        <v>3.52</v>
      </c>
      <c r="C1089">
        <f t="shared" si="86"/>
        <v>9</v>
      </c>
      <c r="D1089">
        <v>1</v>
      </c>
      <c r="E1089">
        <f t="shared" si="87"/>
        <v>11</v>
      </c>
      <c r="F1089">
        <f t="shared" si="88"/>
        <v>2021</v>
      </c>
      <c r="H1089" s="17">
        <f t="shared" si="89"/>
        <v>44501</v>
      </c>
      <c r="J1089">
        <f t="shared" si="85"/>
        <v>0</v>
      </c>
      <c r="N1089" s="55"/>
    </row>
    <row r="1090" spans="1:14" x14ac:dyDescent="0.3">
      <c r="A1090" s="17">
        <v>44508</v>
      </c>
      <c r="B1090">
        <v>3.05</v>
      </c>
      <c r="C1090">
        <f t="shared" si="86"/>
        <v>8</v>
      </c>
      <c r="D1090">
        <v>1</v>
      </c>
      <c r="E1090">
        <f t="shared" si="87"/>
        <v>11</v>
      </c>
      <c r="F1090">
        <f t="shared" si="88"/>
        <v>2021</v>
      </c>
      <c r="H1090" s="17">
        <f t="shared" si="89"/>
        <v>44501</v>
      </c>
      <c r="J1090">
        <f t="shared" si="85"/>
        <v>0</v>
      </c>
      <c r="N1090" s="55"/>
    </row>
    <row r="1091" spans="1:14" x14ac:dyDescent="0.3">
      <c r="A1091" s="17">
        <v>44505</v>
      </c>
      <c r="B1091">
        <v>3.45</v>
      </c>
      <c r="C1091">
        <f t="shared" si="86"/>
        <v>5</v>
      </c>
      <c r="D1091">
        <v>1</v>
      </c>
      <c r="E1091">
        <f t="shared" si="87"/>
        <v>11</v>
      </c>
      <c r="F1091">
        <f t="shared" si="88"/>
        <v>2021</v>
      </c>
      <c r="H1091" s="17">
        <f t="shared" si="89"/>
        <v>44501</v>
      </c>
      <c r="J1091">
        <f t="shared" si="85"/>
        <v>0</v>
      </c>
      <c r="N1091" s="55"/>
    </row>
    <row r="1092" spans="1:14" x14ac:dyDescent="0.3">
      <c r="A1092" s="17">
        <v>44503</v>
      </c>
      <c r="B1092">
        <v>3.72</v>
      </c>
      <c r="C1092">
        <f t="shared" si="86"/>
        <v>3</v>
      </c>
      <c r="D1092">
        <v>1</v>
      </c>
      <c r="E1092">
        <f t="shared" si="87"/>
        <v>11</v>
      </c>
      <c r="F1092">
        <f t="shared" si="88"/>
        <v>2021</v>
      </c>
      <c r="H1092" s="17">
        <f t="shared" si="89"/>
        <v>44501</v>
      </c>
      <c r="J1092">
        <f t="shared" si="85"/>
        <v>1</v>
      </c>
      <c r="N1092" s="55"/>
    </row>
    <row r="1093" spans="1:14" x14ac:dyDescent="0.3">
      <c r="A1093" s="17">
        <v>44502</v>
      </c>
      <c r="B1093">
        <v>3.76</v>
      </c>
      <c r="C1093">
        <f t="shared" si="86"/>
        <v>2</v>
      </c>
      <c r="D1093">
        <v>1</v>
      </c>
      <c r="E1093">
        <f t="shared" si="87"/>
        <v>11</v>
      </c>
      <c r="F1093">
        <f t="shared" si="88"/>
        <v>2021</v>
      </c>
      <c r="H1093" s="17">
        <f t="shared" si="89"/>
        <v>44501</v>
      </c>
      <c r="J1093">
        <f t="shared" si="85"/>
        <v>1</v>
      </c>
      <c r="N1093" s="55"/>
    </row>
    <row r="1094" spans="1:14" x14ac:dyDescent="0.3">
      <c r="A1094" s="17">
        <v>44501</v>
      </c>
      <c r="B1094">
        <v>3.32</v>
      </c>
      <c r="C1094">
        <f t="shared" si="86"/>
        <v>1</v>
      </c>
      <c r="D1094">
        <v>1</v>
      </c>
      <c r="E1094">
        <f t="shared" si="87"/>
        <v>11</v>
      </c>
      <c r="F1094">
        <f t="shared" si="88"/>
        <v>2021</v>
      </c>
      <c r="H1094" s="17">
        <f t="shared" si="89"/>
        <v>44501</v>
      </c>
      <c r="J1094">
        <f t="shared" si="85"/>
        <v>1</v>
      </c>
      <c r="N1094" s="55"/>
    </row>
    <row r="1095" spans="1:14" x14ac:dyDescent="0.3">
      <c r="A1095" s="17">
        <v>44498</v>
      </c>
      <c r="B1095">
        <v>3.28</v>
      </c>
      <c r="C1095">
        <f t="shared" si="86"/>
        <v>29</v>
      </c>
      <c r="D1095">
        <v>1</v>
      </c>
      <c r="E1095">
        <f t="shared" si="87"/>
        <v>10</v>
      </c>
      <c r="F1095">
        <f t="shared" si="88"/>
        <v>2021</v>
      </c>
      <c r="H1095" s="17">
        <f t="shared" si="89"/>
        <v>44470</v>
      </c>
      <c r="J1095">
        <f t="shared" si="85"/>
        <v>0</v>
      </c>
      <c r="N1095" s="55"/>
    </row>
    <row r="1096" spans="1:14" x14ac:dyDescent="0.3">
      <c r="A1096" s="17">
        <v>44497</v>
      </c>
      <c r="B1096">
        <v>3.07</v>
      </c>
      <c r="C1096">
        <f t="shared" si="86"/>
        <v>28</v>
      </c>
      <c r="D1096">
        <v>1</v>
      </c>
      <c r="E1096">
        <f t="shared" si="87"/>
        <v>10</v>
      </c>
      <c r="F1096">
        <f t="shared" si="88"/>
        <v>2021</v>
      </c>
      <c r="H1096" s="17">
        <f t="shared" si="89"/>
        <v>44470</v>
      </c>
      <c r="J1096">
        <f t="shared" si="85"/>
        <v>0</v>
      </c>
      <c r="N1096" s="55"/>
    </row>
    <row r="1097" spans="1:14" x14ac:dyDescent="0.3">
      <c r="A1097" s="17">
        <v>44496</v>
      </c>
      <c r="B1097">
        <v>2.74</v>
      </c>
      <c r="C1097">
        <f t="shared" si="86"/>
        <v>27</v>
      </c>
      <c r="D1097">
        <v>1</v>
      </c>
      <c r="E1097">
        <f t="shared" si="87"/>
        <v>10</v>
      </c>
      <c r="F1097">
        <f t="shared" si="88"/>
        <v>2021</v>
      </c>
      <c r="H1097" s="17">
        <f t="shared" si="89"/>
        <v>44470</v>
      </c>
      <c r="J1097">
        <f t="shared" ref="J1097:J1160" si="90">IF(AND(C1097&gt;=1, C1097&lt;=4), 1, 0)</f>
        <v>0</v>
      </c>
      <c r="N1097" s="55"/>
    </row>
    <row r="1098" spans="1:14" x14ac:dyDescent="0.3">
      <c r="A1098" s="17">
        <v>44495</v>
      </c>
      <c r="B1098">
        <v>3.11</v>
      </c>
      <c r="C1098">
        <f t="shared" ref="C1098:C1161" si="91">+DAY(A1098)</f>
        <v>26</v>
      </c>
      <c r="D1098">
        <v>1</v>
      </c>
      <c r="E1098">
        <f t="shared" ref="E1098:E1161" si="92">+MONTH(A1098)</f>
        <v>10</v>
      </c>
      <c r="F1098">
        <f t="shared" ref="F1098:F1161" si="93">+YEAR(A1098)</f>
        <v>2021</v>
      </c>
      <c r="H1098" s="17">
        <f t="shared" ref="H1098:H1161" si="94">+DATE(F1098,E1098,D1098)</f>
        <v>44470</v>
      </c>
      <c r="J1098">
        <f t="shared" si="90"/>
        <v>0</v>
      </c>
      <c r="N1098" s="55"/>
    </row>
    <row r="1099" spans="1:14" x14ac:dyDescent="0.3">
      <c r="A1099" s="17">
        <v>44494</v>
      </c>
      <c r="B1099">
        <v>3.1</v>
      </c>
      <c r="C1099">
        <f t="shared" si="91"/>
        <v>25</v>
      </c>
      <c r="D1099">
        <v>1</v>
      </c>
      <c r="E1099">
        <f t="shared" si="92"/>
        <v>10</v>
      </c>
      <c r="F1099">
        <f t="shared" si="93"/>
        <v>2021</v>
      </c>
      <c r="H1099" s="17">
        <f t="shared" si="94"/>
        <v>44470</v>
      </c>
      <c r="J1099">
        <f t="shared" si="90"/>
        <v>0</v>
      </c>
      <c r="N1099" s="55"/>
    </row>
    <row r="1100" spans="1:14" x14ac:dyDescent="0.3">
      <c r="A1100" s="17">
        <v>44491</v>
      </c>
      <c r="B1100">
        <v>2.79</v>
      </c>
      <c r="C1100">
        <f t="shared" si="91"/>
        <v>22</v>
      </c>
      <c r="D1100">
        <v>1</v>
      </c>
      <c r="E1100">
        <f t="shared" si="92"/>
        <v>10</v>
      </c>
      <c r="F1100">
        <f t="shared" si="93"/>
        <v>2021</v>
      </c>
      <c r="H1100" s="17">
        <f t="shared" si="94"/>
        <v>44470</v>
      </c>
      <c r="J1100">
        <f t="shared" si="90"/>
        <v>0</v>
      </c>
      <c r="N1100" s="55"/>
    </row>
    <row r="1101" spans="1:14" x14ac:dyDescent="0.3">
      <c r="A1101" s="17">
        <v>44490</v>
      </c>
      <c r="B1101">
        <v>2.2999999999999998</v>
      </c>
      <c r="C1101">
        <f t="shared" si="91"/>
        <v>21</v>
      </c>
      <c r="D1101">
        <v>1</v>
      </c>
      <c r="E1101">
        <f t="shared" si="92"/>
        <v>10</v>
      </c>
      <c r="F1101">
        <f t="shared" si="93"/>
        <v>2021</v>
      </c>
      <c r="H1101" s="17">
        <f t="shared" si="94"/>
        <v>44470</v>
      </c>
      <c r="J1101">
        <f t="shared" si="90"/>
        <v>0</v>
      </c>
      <c r="N1101" s="55"/>
    </row>
    <row r="1102" spans="1:14" x14ac:dyDescent="0.3">
      <c r="A1102" s="17">
        <v>44489</v>
      </c>
      <c r="B1102">
        <v>2.34</v>
      </c>
      <c r="C1102">
        <f t="shared" si="91"/>
        <v>20</v>
      </c>
      <c r="D1102">
        <v>1</v>
      </c>
      <c r="E1102">
        <f t="shared" si="92"/>
        <v>10</v>
      </c>
      <c r="F1102">
        <f t="shared" si="93"/>
        <v>2021</v>
      </c>
      <c r="H1102" s="17">
        <f t="shared" si="94"/>
        <v>44470</v>
      </c>
      <c r="J1102">
        <f t="shared" si="90"/>
        <v>0</v>
      </c>
      <c r="N1102" s="55"/>
    </row>
    <row r="1103" spans="1:14" x14ac:dyDescent="0.3">
      <c r="A1103" s="17">
        <v>44488</v>
      </c>
      <c r="B1103">
        <v>2.4</v>
      </c>
      <c r="C1103">
        <f t="shared" si="91"/>
        <v>19</v>
      </c>
      <c r="D1103">
        <v>1</v>
      </c>
      <c r="E1103">
        <f t="shared" si="92"/>
        <v>10</v>
      </c>
      <c r="F1103">
        <f t="shared" si="93"/>
        <v>2021</v>
      </c>
      <c r="H1103" s="17">
        <f t="shared" si="94"/>
        <v>44470</v>
      </c>
      <c r="J1103">
        <f t="shared" si="90"/>
        <v>0</v>
      </c>
      <c r="N1103" s="55"/>
    </row>
    <row r="1104" spans="1:14" x14ac:dyDescent="0.3">
      <c r="A1104" s="17">
        <v>44487</v>
      </c>
      <c r="B1104">
        <v>2.57</v>
      </c>
      <c r="C1104">
        <f t="shared" si="91"/>
        <v>18</v>
      </c>
      <c r="D1104">
        <v>1</v>
      </c>
      <c r="E1104">
        <f t="shared" si="92"/>
        <v>10</v>
      </c>
      <c r="F1104">
        <f t="shared" si="93"/>
        <v>2021</v>
      </c>
      <c r="H1104" s="17">
        <f t="shared" si="94"/>
        <v>44470</v>
      </c>
      <c r="J1104">
        <f t="shared" si="90"/>
        <v>0</v>
      </c>
      <c r="N1104" s="55"/>
    </row>
    <row r="1105" spans="1:14" x14ac:dyDescent="0.3">
      <c r="A1105" s="17">
        <v>44484</v>
      </c>
      <c r="B1105">
        <v>2.37</v>
      </c>
      <c r="C1105">
        <f t="shared" si="91"/>
        <v>15</v>
      </c>
      <c r="D1105">
        <v>1</v>
      </c>
      <c r="E1105">
        <f t="shared" si="92"/>
        <v>10</v>
      </c>
      <c r="F1105">
        <f t="shared" si="93"/>
        <v>2021</v>
      </c>
      <c r="H1105" s="17">
        <f t="shared" si="94"/>
        <v>44470</v>
      </c>
      <c r="J1105">
        <f t="shared" si="90"/>
        <v>0</v>
      </c>
      <c r="N1105" s="55"/>
    </row>
    <row r="1106" spans="1:14" x14ac:dyDescent="0.3">
      <c r="A1106" s="17">
        <v>44483</v>
      </c>
      <c r="B1106">
        <v>2.3199999999999998</v>
      </c>
      <c r="C1106">
        <f t="shared" si="91"/>
        <v>14</v>
      </c>
      <c r="D1106">
        <v>1</v>
      </c>
      <c r="E1106">
        <f t="shared" si="92"/>
        <v>10</v>
      </c>
      <c r="F1106">
        <f t="shared" si="93"/>
        <v>2021</v>
      </c>
      <c r="H1106" s="17">
        <f t="shared" si="94"/>
        <v>44470</v>
      </c>
      <c r="J1106">
        <f t="shared" si="90"/>
        <v>0</v>
      </c>
      <c r="N1106" s="55"/>
    </row>
    <row r="1107" spans="1:14" x14ac:dyDescent="0.3">
      <c r="A1107" s="17">
        <v>44482</v>
      </c>
      <c r="B1107">
        <v>1.94</v>
      </c>
      <c r="C1107">
        <f t="shared" si="91"/>
        <v>13</v>
      </c>
      <c r="D1107">
        <v>1</v>
      </c>
      <c r="E1107">
        <f t="shared" si="92"/>
        <v>10</v>
      </c>
      <c r="F1107">
        <f t="shared" si="93"/>
        <v>2021</v>
      </c>
      <c r="H1107" s="17">
        <f t="shared" si="94"/>
        <v>44470</v>
      </c>
      <c r="J1107">
        <f t="shared" si="90"/>
        <v>0</v>
      </c>
      <c r="N1107" s="55"/>
    </row>
    <row r="1108" spans="1:14" x14ac:dyDescent="0.3">
      <c r="A1108" s="17">
        <v>44481</v>
      </c>
      <c r="B1108">
        <v>1.75</v>
      </c>
      <c r="C1108">
        <f t="shared" si="91"/>
        <v>12</v>
      </c>
      <c r="D1108">
        <v>1</v>
      </c>
      <c r="E1108">
        <f t="shared" si="92"/>
        <v>10</v>
      </c>
      <c r="F1108">
        <f t="shared" si="93"/>
        <v>2021</v>
      </c>
      <c r="H1108" s="17">
        <f t="shared" si="94"/>
        <v>44470</v>
      </c>
      <c r="J1108">
        <f t="shared" si="90"/>
        <v>0</v>
      </c>
      <c r="N1108" s="55"/>
    </row>
    <row r="1109" spans="1:14" x14ac:dyDescent="0.3">
      <c r="A1109" s="17">
        <v>44480</v>
      </c>
      <c r="B1109">
        <v>1.9</v>
      </c>
      <c r="C1109">
        <f t="shared" si="91"/>
        <v>11</v>
      </c>
      <c r="D1109">
        <v>1</v>
      </c>
      <c r="E1109">
        <f t="shared" si="92"/>
        <v>10</v>
      </c>
      <c r="F1109">
        <f t="shared" si="93"/>
        <v>2021</v>
      </c>
      <c r="H1109" s="17">
        <f t="shared" si="94"/>
        <v>44470</v>
      </c>
      <c r="J1109">
        <f t="shared" si="90"/>
        <v>0</v>
      </c>
      <c r="N1109" s="55"/>
    </row>
    <row r="1110" spans="1:14" x14ac:dyDescent="0.3">
      <c r="A1110" s="17">
        <v>44477</v>
      </c>
      <c r="B1110">
        <v>1.93</v>
      </c>
      <c r="C1110">
        <f t="shared" si="91"/>
        <v>8</v>
      </c>
      <c r="D1110">
        <v>1</v>
      </c>
      <c r="E1110">
        <f t="shared" si="92"/>
        <v>10</v>
      </c>
      <c r="F1110">
        <f t="shared" si="93"/>
        <v>2021</v>
      </c>
      <c r="H1110" s="17">
        <f t="shared" si="94"/>
        <v>44470</v>
      </c>
      <c r="J1110">
        <f t="shared" si="90"/>
        <v>0</v>
      </c>
      <c r="N1110" s="55"/>
    </row>
    <row r="1111" spans="1:14" x14ac:dyDescent="0.3">
      <c r="A1111" s="17">
        <v>44476</v>
      </c>
      <c r="B1111">
        <v>1.76</v>
      </c>
      <c r="C1111">
        <f t="shared" si="91"/>
        <v>7</v>
      </c>
      <c r="D1111">
        <v>1</v>
      </c>
      <c r="E1111">
        <f t="shared" si="92"/>
        <v>10</v>
      </c>
      <c r="F1111">
        <f t="shared" si="93"/>
        <v>2021</v>
      </c>
      <c r="H1111" s="17">
        <f t="shared" si="94"/>
        <v>44470</v>
      </c>
      <c r="J1111">
        <f t="shared" si="90"/>
        <v>0</v>
      </c>
      <c r="N1111" s="55"/>
    </row>
    <row r="1112" spans="1:14" x14ac:dyDescent="0.3">
      <c r="A1112" s="17">
        <v>44475</v>
      </c>
      <c r="B1112">
        <v>1.76</v>
      </c>
      <c r="C1112">
        <f t="shared" si="91"/>
        <v>6</v>
      </c>
      <c r="D1112">
        <v>1</v>
      </c>
      <c r="E1112">
        <f t="shared" si="92"/>
        <v>10</v>
      </c>
      <c r="F1112">
        <f t="shared" si="93"/>
        <v>2021</v>
      </c>
      <c r="H1112" s="17">
        <f t="shared" si="94"/>
        <v>44470</v>
      </c>
      <c r="J1112">
        <f t="shared" si="90"/>
        <v>0</v>
      </c>
      <c r="N1112" s="55"/>
    </row>
    <row r="1113" spans="1:14" x14ac:dyDescent="0.3">
      <c r="A1113" s="17">
        <v>44474</v>
      </c>
      <c r="B1113">
        <v>1.51</v>
      </c>
      <c r="C1113">
        <f t="shared" si="91"/>
        <v>5</v>
      </c>
      <c r="D1113">
        <v>1</v>
      </c>
      <c r="E1113">
        <f t="shared" si="92"/>
        <v>10</v>
      </c>
      <c r="F1113">
        <f t="shared" si="93"/>
        <v>2021</v>
      </c>
      <c r="H1113" s="17">
        <f t="shared" si="94"/>
        <v>44470</v>
      </c>
      <c r="J1113">
        <f t="shared" si="90"/>
        <v>0</v>
      </c>
      <c r="N1113" s="55"/>
    </row>
    <row r="1114" spans="1:14" x14ac:dyDescent="0.3">
      <c r="A1114" s="17">
        <v>44473</v>
      </c>
      <c r="B1114">
        <v>1.73</v>
      </c>
      <c r="C1114">
        <f t="shared" si="91"/>
        <v>4</v>
      </c>
      <c r="D1114">
        <v>1</v>
      </c>
      <c r="E1114">
        <f t="shared" si="92"/>
        <v>10</v>
      </c>
      <c r="F1114">
        <f t="shared" si="93"/>
        <v>2021</v>
      </c>
      <c r="H1114" s="17">
        <f t="shared" si="94"/>
        <v>44470</v>
      </c>
      <c r="J1114">
        <f t="shared" si="90"/>
        <v>1</v>
      </c>
      <c r="N1114" s="55"/>
    </row>
    <row r="1115" spans="1:14" x14ac:dyDescent="0.3">
      <c r="A1115" s="17">
        <v>44470</v>
      </c>
      <c r="B1115">
        <v>1.87</v>
      </c>
      <c r="C1115">
        <f t="shared" si="91"/>
        <v>1</v>
      </c>
      <c r="D1115">
        <v>1</v>
      </c>
      <c r="E1115">
        <f t="shared" si="92"/>
        <v>10</v>
      </c>
      <c r="F1115">
        <f t="shared" si="93"/>
        <v>2021</v>
      </c>
      <c r="H1115" s="17">
        <f t="shared" si="94"/>
        <v>44470</v>
      </c>
      <c r="J1115">
        <f t="shared" si="90"/>
        <v>1</v>
      </c>
      <c r="N1115" s="55"/>
    </row>
    <row r="1116" spans="1:14" x14ac:dyDescent="0.3">
      <c r="A1116" s="17">
        <v>44469</v>
      </c>
      <c r="B1116">
        <v>2.52</v>
      </c>
      <c r="C1116">
        <f t="shared" si="91"/>
        <v>30</v>
      </c>
      <c r="D1116">
        <v>1</v>
      </c>
      <c r="E1116">
        <f t="shared" si="92"/>
        <v>9</v>
      </c>
      <c r="F1116">
        <f t="shared" si="93"/>
        <v>2021</v>
      </c>
      <c r="H1116" s="17">
        <f t="shared" si="94"/>
        <v>44440</v>
      </c>
      <c r="J1116">
        <f t="shared" si="90"/>
        <v>0</v>
      </c>
      <c r="N1116" s="55"/>
    </row>
    <row r="1117" spans="1:14" x14ac:dyDescent="0.3">
      <c r="A1117" s="17">
        <v>44468</v>
      </c>
      <c r="B1117">
        <v>2.42</v>
      </c>
      <c r="C1117">
        <f t="shared" si="91"/>
        <v>29</v>
      </c>
      <c r="D1117">
        <v>1</v>
      </c>
      <c r="E1117">
        <f t="shared" si="92"/>
        <v>9</v>
      </c>
      <c r="F1117">
        <f t="shared" si="93"/>
        <v>2021</v>
      </c>
      <c r="H1117" s="17">
        <f t="shared" si="94"/>
        <v>44440</v>
      </c>
      <c r="J1117">
        <f t="shared" si="90"/>
        <v>0</v>
      </c>
      <c r="N1117" s="55"/>
    </row>
    <row r="1118" spans="1:14" x14ac:dyDescent="0.3">
      <c r="A1118" s="17">
        <v>44467</v>
      </c>
      <c r="B1118">
        <v>2.16</v>
      </c>
      <c r="C1118">
        <f t="shared" si="91"/>
        <v>28</v>
      </c>
      <c r="D1118">
        <v>1</v>
      </c>
      <c r="E1118">
        <f t="shared" si="92"/>
        <v>9</v>
      </c>
      <c r="F1118">
        <f t="shared" si="93"/>
        <v>2021</v>
      </c>
      <c r="H1118" s="17">
        <f t="shared" si="94"/>
        <v>44440</v>
      </c>
      <c r="J1118">
        <f t="shared" si="90"/>
        <v>0</v>
      </c>
      <c r="N1118" s="55"/>
    </row>
    <row r="1119" spans="1:14" x14ac:dyDescent="0.3">
      <c r="A1119" s="17">
        <v>44466</v>
      </c>
      <c r="B1119">
        <v>2.87</v>
      </c>
      <c r="C1119">
        <f t="shared" si="91"/>
        <v>27</v>
      </c>
      <c r="D1119">
        <v>1</v>
      </c>
      <c r="E1119">
        <f t="shared" si="92"/>
        <v>9</v>
      </c>
      <c r="F1119">
        <f t="shared" si="93"/>
        <v>2021</v>
      </c>
      <c r="H1119" s="17">
        <f t="shared" si="94"/>
        <v>44440</v>
      </c>
      <c r="J1119">
        <f t="shared" si="90"/>
        <v>0</v>
      </c>
      <c r="N1119" s="55"/>
    </row>
    <row r="1120" spans="1:14" x14ac:dyDescent="0.3">
      <c r="A1120" s="17">
        <v>44463</v>
      </c>
      <c r="B1120">
        <v>2.82</v>
      </c>
      <c r="C1120">
        <f t="shared" si="91"/>
        <v>24</v>
      </c>
      <c r="D1120">
        <v>1</v>
      </c>
      <c r="E1120">
        <f t="shared" si="92"/>
        <v>9</v>
      </c>
      <c r="F1120">
        <f t="shared" si="93"/>
        <v>2021</v>
      </c>
      <c r="H1120" s="17">
        <f t="shared" si="94"/>
        <v>44440</v>
      </c>
      <c r="J1120">
        <f t="shared" si="90"/>
        <v>0</v>
      </c>
      <c r="N1120" s="55"/>
    </row>
    <row r="1121" spans="1:14" x14ac:dyDescent="0.3">
      <c r="A1121" s="17">
        <v>44462</v>
      </c>
      <c r="B1121">
        <v>2.81</v>
      </c>
      <c r="C1121">
        <f t="shared" si="91"/>
        <v>23</v>
      </c>
      <c r="D1121">
        <v>1</v>
      </c>
      <c r="E1121">
        <f t="shared" si="92"/>
        <v>9</v>
      </c>
      <c r="F1121">
        <f t="shared" si="93"/>
        <v>2021</v>
      </c>
      <c r="H1121" s="17">
        <f t="shared" si="94"/>
        <v>44440</v>
      </c>
      <c r="J1121">
        <f t="shared" si="90"/>
        <v>0</v>
      </c>
      <c r="N1121" s="55"/>
    </row>
    <row r="1122" spans="1:14" x14ac:dyDescent="0.3">
      <c r="A1122" s="17">
        <v>44461</v>
      </c>
      <c r="B1122">
        <v>3.26</v>
      </c>
      <c r="C1122">
        <f t="shared" si="91"/>
        <v>22</v>
      </c>
      <c r="D1122">
        <v>1</v>
      </c>
      <c r="E1122">
        <f t="shared" si="92"/>
        <v>9</v>
      </c>
      <c r="F1122">
        <f t="shared" si="93"/>
        <v>2021</v>
      </c>
      <c r="H1122" s="17">
        <f t="shared" si="94"/>
        <v>44440</v>
      </c>
      <c r="J1122">
        <f t="shared" si="90"/>
        <v>0</v>
      </c>
      <c r="N1122" s="55"/>
    </row>
    <row r="1123" spans="1:14" x14ac:dyDescent="0.3">
      <c r="A1123" s="17">
        <v>44460</v>
      </c>
      <c r="B1123">
        <v>3.48</v>
      </c>
      <c r="C1123">
        <f t="shared" si="91"/>
        <v>21</v>
      </c>
      <c r="D1123">
        <v>1</v>
      </c>
      <c r="E1123">
        <f t="shared" si="92"/>
        <v>9</v>
      </c>
      <c r="F1123">
        <f t="shared" si="93"/>
        <v>2021</v>
      </c>
      <c r="H1123" s="17">
        <f t="shared" si="94"/>
        <v>44440</v>
      </c>
      <c r="J1123">
        <f t="shared" si="90"/>
        <v>0</v>
      </c>
      <c r="N1123" s="55"/>
    </row>
    <row r="1124" spans="1:14" x14ac:dyDescent="0.3">
      <c r="A1124" s="17">
        <v>44459</v>
      </c>
      <c r="B1124">
        <v>3.29</v>
      </c>
      <c r="C1124">
        <f t="shared" si="91"/>
        <v>20</v>
      </c>
      <c r="D1124">
        <v>1</v>
      </c>
      <c r="E1124">
        <f t="shared" si="92"/>
        <v>9</v>
      </c>
      <c r="F1124">
        <f t="shared" si="93"/>
        <v>2021</v>
      </c>
      <c r="H1124" s="17">
        <f t="shared" si="94"/>
        <v>44440</v>
      </c>
      <c r="J1124">
        <f t="shared" si="90"/>
        <v>0</v>
      </c>
      <c r="N1124" s="55"/>
    </row>
    <row r="1125" spans="1:14" x14ac:dyDescent="0.3">
      <c r="A1125" s="17">
        <v>44456</v>
      </c>
      <c r="B1125">
        <v>2.91</v>
      </c>
      <c r="C1125">
        <f t="shared" si="91"/>
        <v>17</v>
      </c>
      <c r="D1125">
        <v>1</v>
      </c>
      <c r="E1125">
        <f t="shared" si="92"/>
        <v>9</v>
      </c>
      <c r="F1125">
        <f t="shared" si="93"/>
        <v>2021</v>
      </c>
      <c r="H1125" s="17">
        <f t="shared" si="94"/>
        <v>44440</v>
      </c>
      <c r="J1125">
        <f t="shared" si="90"/>
        <v>0</v>
      </c>
      <c r="N1125" s="55"/>
    </row>
    <row r="1126" spans="1:14" x14ac:dyDescent="0.3">
      <c r="A1126" s="17">
        <v>44455</v>
      </c>
      <c r="B1126">
        <v>2.73</v>
      </c>
      <c r="C1126">
        <f t="shared" si="91"/>
        <v>16</v>
      </c>
      <c r="D1126">
        <v>1</v>
      </c>
      <c r="E1126">
        <f t="shared" si="92"/>
        <v>9</v>
      </c>
      <c r="F1126">
        <f t="shared" si="93"/>
        <v>2021</v>
      </c>
      <c r="H1126" s="17">
        <f t="shared" si="94"/>
        <v>44440</v>
      </c>
      <c r="J1126">
        <f t="shared" si="90"/>
        <v>0</v>
      </c>
      <c r="N1126" s="55"/>
    </row>
    <row r="1127" spans="1:14" x14ac:dyDescent="0.3">
      <c r="A1127" s="17">
        <v>44454</v>
      </c>
      <c r="B1127">
        <v>2.4</v>
      </c>
      <c r="C1127">
        <f t="shared" si="91"/>
        <v>15</v>
      </c>
      <c r="D1127">
        <v>1</v>
      </c>
      <c r="E1127">
        <f t="shared" si="92"/>
        <v>9</v>
      </c>
      <c r="F1127">
        <f t="shared" si="93"/>
        <v>2021</v>
      </c>
      <c r="H1127" s="17">
        <f t="shared" si="94"/>
        <v>44440</v>
      </c>
      <c r="J1127">
        <f t="shared" si="90"/>
        <v>0</v>
      </c>
      <c r="N1127" s="55"/>
    </row>
    <row r="1128" spans="1:14" x14ac:dyDescent="0.3">
      <c r="A1128" s="17">
        <v>44453</v>
      </c>
      <c r="B1128">
        <v>1.8</v>
      </c>
      <c r="C1128">
        <f t="shared" si="91"/>
        <v>14</v>
      </c>
      <c r="D1128">
        <v>1</v>
      </c>
      <c r="E1128">
        <f t="shared" si="92"/>
        <v>9</v>
      </c>
      <c r="F1128">
        <f t="shared" si="93"/>
        <v>2021</v>
      </c>
      <c r="H1128" s="17">
        <f t="shared" si="94"/>
        <v>44440</v>
      </c>
      <c r="J1128">
        <f t="shared" si="90"/>
        <v>0</v>
      </c>
      <c r="N1128" s="55"/>
    </row>
    <row r="1129" spans="1:14" x14ac:dyDescent="0.3">
      <c r="A1129" s="17">
        <v>44452</v>
      </c>
      <c r="B1129">
        <v>2</v>
      </c>
      <c r="C1129">
        <f t="shared" si="91"/>
        <v>13</v>
      </c>
      <c r="D1129">
        <v>1</v>
      </c>
      <c r="E1129">
        <f t="shared" si="92"/>
        <v>9</v>
      </c>
      <c r="F1129">
        <f t="shared" si="93"/>
        <v>2021</v>
      </c>
      <c r="H1129" s="17">
        <f t="shared" si="94"/>
        <v>44440</v>
      </c>
      <c r="J1129">
        <f t="shared" si="90"/>
        <v>0</v>
      </c>
      <c r="N1129" s="55"/>
    </row>
    <row r="1130" spans="1:14" x14ac:dyDescent="0.3">
      <c r="A1130" s="17">
        <v>44449</v>
      </c>
      <c r="B1130">
        <v>2</v>
      </c>
      <c r="C1130">
        <f t="shared" si="91"/>
        <v>10</v>
      </c>
      <c r="D1130">
        <v>1</v>
      </c>
      <c r="E1130">
        <f t="shared" si="92"/>
        <v>9</v>
      </c>
      <c r="F1130">
        <f t="shared" si="93"/>
        <v>2021</v>
      </c>
      <c r="H1130" s="17">
        <f t="shared" si="94"/>
        <v>44440</v>
      </c>
      <c r="J1130">
        <f t="shared" si="90"/>
        <v>0</v>
      </c>
      <c r="N1130" s="55"/>
    </row>
    <row r="1131" spans="1:14" x14ac:dyDescent="0.3">
      <c r="A1131" s="17">
        <v>44448</v>
      </c>
      <c r="B1131">
        <v>1.91</v>
      </c>
      <c r="C1131">
        <f t="shared" si="91"/>
        <v>9</v>
      </c>
      <c r="D1131">
        <v>1</v>
      </c>
      <c r="E1131">
        <f t="shared" si="92"/>
        <v>9</v>
      </c>
      <c r="F1131">
        <f t="shared" si="93"/>
        <v>2021</v>
      </c>
      <c r="H1131" s="17">
        <f t="shared" si="94"/>
        <v>44440</v>
      </c>
      <c r="J1131">
        <f t="shared" si="90"/>
        <v>0</v>
      </c>
      <c r="N1131" s="55"/>
    </row>
    <row r="1132" spans="1:14" x14ac:dyDescent="0.3">
      <c r="A1132" s="17">
        <v>44447</v>
      </c>
      <c r="B1132">
        <v>1.58</v>
      </c>
      <c r="C1132">
        <f t="shared" si="91"/>
        <v>8</v>
      </c>
      <c r="D1132">
        <v>1</v>
      </c>
      <c r="E1132">
        <f t="shared" si="92"/>
        <v>9</v>
      </c>
      <c r="F1132">
        <f t="shared" si="93"/>
        <v>2021</v>
      </c>
      <c r="H1132" s="17">
        <f t="shared" si="94"/>
        <v>44440</v>
      </c>
      <c r="J1132">
        <f t="shared" si="90"/>
        <v>0</v>
      </c>
      <c r="N1132" s="55"/>
    </row>
    <row r="1133" spans="1:14" x14ac:dyDescent="0.3">
      <c r="A1133" s="17">
        <v>44446</v>
      </c>
      <c r="B1133">
        <v>1.89</v>
      </c>
      <c r="C1133">
        <f t="shared" si="91"/>
        <v>7</v>
      </c>
      <c r="D1133">
        <v>1</v>
      </c>
      <c r="E1133">
        <f t="shared" si="92"/>
        <v>9</v>
      </c>
      <c r="F1133">
        <f t="shared" si="93"/>
        <v>2021</v>
      </c>
      <c r="H1133" s="17">
        <f t="shared" si="94"/>
        <v>44440</v>
      </c>
      <c r="J1133">
        <f t="shared" si="90"/>
        <v>0</v>
      </c>
      <c r="N1133" s="55"/>
    </row>
    <row r="1134" spans="1:14" x14ac:dyDescent="0.3">
      <c r="A1134" s="17">
        <v>44445</v>
      </c>
      <c r="B1134">
        <v>1.53</v>
      </c>
      <c r="C1134">
        <f t="shared" si="91"/>
        <v>6</v>
      </c>
      <c r="D1134">
        <v>1</v>
      </c>
      <c r="E1134">
        <f t="shared" si="92"/>
        <v>9</v>
      </c>
      <c r="F1134">
        <f t="shared" si="93"/>
        <v>2021</v>
      </c>
      <c r="H1134" s="17">
        <f t="shared" si="94"/>
        <v>44440</v>
      </c>
      <c r="J1134">
        <f t="shared" si="90"/>
        <v>0</v>
      </c>
      <c r="N1134" s="55"/>
    </row>
    <row r="1135" spans="1:14" x14ac:dyDescent="0.3">
      <c r="A1135" s="17">
        <v>44442</v>
      </c>
      <c r="B1135">
        <v>0.94</v>
      </c>
      <c r="C1135">
        <f t="shared" si="91"/>
        <v>3</v>
      </c>
      <c r="D1135">
        <v>1</v>
      </c>
      <c r="E1135">
        <f t="shared" si="92"/>
        <v>9</v>
      </c>
      <c r="F1135">
        <f t="shared" si="93"/>
        <v>2021</v>
      </c>
      <c r="H1135" s="17">
        <f t="shared" si="94"/>
        <v>44440</v>
      </c>
      <c r="J1135">
        <f t="shared" si="90"/>
        <v>1</v>
      </c>
      <c r="N1135" s="55"/>
    </row>
    <row r="1136" spans="1:14" x14ac:dyDescent="0.3">
      <c r="A1136" s="17">
        <v>44441</v>
      </c>
      <c r="B1136">
        <v>0.71</v>
      </c>
      <c r="C1136">
        <f t="shared" si="91"/>
        <v>2</v>
      </c>
      <c r="D1136">
        <v>1</v>
      </c>
      <c r="E1136">
        <f t="shared" si="92"/>
        <v>9</v>
      </c>
      <c r="F1136">
        <f t="shared" si="93"/>
        <v>2021</v>
      </c>
      <c r="H1136" s="17">
        <f t="shared" si="94"/>
        <v>44440</v>
      </c>
      <c r="J1136">
        <f t="shared" si="90"/>
        <v>1</v>
      </c>
      <c r="N1136" s="55"/>
    </row>
    <row r="1137" spans="1:14" x14ac:dyDescent="0.3">
      <c r="A1137" s="17">
        <v>44440</v>
      </c>
      <c r="B1137">
        <v>0.65</v>
      </c>
      <c r="C1137">
        <f t="shared" si="91"/>
        <v>1</v>
      </c>
      <c r="D1137">
        <v>1</v>
      </c>
      <c r="E1137">
        <f t="shared" si="92"/>
        <v>9</v>
      </c>
      <c r="F1137">
        <f t="shared" si="93"/>
        <v>2021</v>
      </c>
      <c r="H1137" s="17">
        <f t="shared" si="94"/>
        <v>44440</v>
      </c>
      <c r="J1137">
        <f t="shared" si="90"/>
        <v>1</v>
      </c>
      <c r="N1137" s="55"/>
    </row>
    <row r="1138" spans="1:14" x14ac:dyDescent="0.3">
      <c r="A1138" s="17">
        <v>44439</v>
      </c>
      <c r="B1138">
        <v>1.29</v>
      </c>
      <c r="C1138">
        <f t="shared" si="91"/>
        <v>31</v>
      </c>
      <c r="D1138">
        <v>1</v>
      </c>
      <c r="E1138">
        <f t="shared" si="92"/>
        <v>8</v>
      </c>
      <c r="F1138">
        <f t="shared" si="93"/>
        <v>2021</v>
      </c>
      <c r="H1138" s="17">
        <f t="shared" si="94"/>
        <v>44409</v>
      </c>
      <c r="J1138">
        <f t="shared" si="90"/>
        <v>0</v>
      </c>
      <c r="N1138" s="55"/>
    </row>
    <row r="1139" spans="1:14" x14ac:dyDescent="0.3">
      <c r="A1139" s="17">
        <v>44438</v>
      </c>
      <c r="B1139">
        <v>1.51</v>
      </c>
      <c r="C1139">
        <f t="shared" si="91"/>
        <v>30</v>
      </c>
      <c r="D1139">
        <v>1</v>
      </c>
      <c r="E1139">
        <f t="shared" si="92"/>
        <v>8</v>
      </c>
      <c r="F1139">
        <f t="shared" si="93"/>
        <v>2021</v>
      </c>
      <c r="H1139" s="17">
        <f t="shared" si="94"/>
        <v>44409</v>
      </c>
      <c r="J1139">
        <f t="shared" si="90"/>
        <v>0</v>
      </c>
      <c r="N1139" s="55"/>
    </row>
    <row r="1140" spans="1:14" x14ac:dyDescent="0.3">
      <c r="A1140" s="17">
        <v>44435</v>
      </c>
      <c r="B1140">
        <v>1.4</v>
      </c>
      <c r="C1140">
        <f t="shared" si="91"/>
        <v>27</v>
      </c>
      <c r="D1140">
        <v>1</v>
      </c>
      <c r="E1140">
        <f t="shared" si="92"/>
        <v>8</v>
      </c>
      <c r="F1140">
        <f t="shared" si="93"/>
        <v>2021</v>
      </c>
      <c r="H1140" s="17">
        <f t="shared" si="94"/>
        <v>44409</v>
      </c>
      <c r="J1140">
        <f t="shared" si="90"/>
        <v>0</v>
      </c>
      <c r="N1140" s="55"/>
    </row>
    <row r="1141" spans="1:14" x14ac:dyDescent="0.3">
      <c r="A1141" s="17">
        <v>44434</v>
      </c>
      <c r="B1141">
        <v>1.55</v>
      </c>
      <c r="C1141">
        <f t="shared" si="91"/>
        <v>26</v>
      </c>
      <c r="D1141">
        <v>1</v>
      </c>
      <c r="E1141">
        <f t="shared" si="92"/>
        <v>8</v>
      </c>
      <c r="F1141">
        <f t="shared" si="93"/>
        <v>2021</v>
      </c>
      <c r="H1141" s="17">
        <f t="shared" si="94"/>
        <v>44409</v>
      </c>
      <c r="J1141">
        <f t="shared" si="90"/>
        <v>0</v>
      </c>
      <c r="N1141" s="55"/>
    </row>
    <row r="1142" spans="1:14" x14ac:dyDescent="0.3">
      <c r="A1142" s="17">
        <v>44433</v>
      </c>
      <c r="B1142">
        <v>1.25</v>
      </c>
      <c r="C1142">
        <f t="shared" si="91"/>
        <v>25</v>
      </c>
      <c r="D1142">
        <v>1</v>
      </c>
      <c r="E1142">
        <f t="shared" si="92"/>
        <v>8</v>
      </c>
      <c r="F1142">
        <f t="shared" si="93"/>
        <v>2021</v>
      </c>
      <c r="H1142" s="17">
        <f t="shared" si="94"/>
        <v>44409</v>
      </c>
      <c r="J1142">
        <f t="shared" si="90"/>
        <v>0</v>
      </c>
      <c r="N1142" s="55"/>
    </row>
    <row r="1143" spans="1:14" x14ac:dyDescent="0.3">
      <c r="A1143" s="17">
        <v>44432</v>
      </c>
      <c r="B1143">
        <v>1.26</v>
      </c>
      <c r="C1143">
        <f t="shared" si="91"/>
        <v>24</v>
      </c>
      <c r="D1143">
        <v>1</v>
      </c>
      <c r="E1143">
        <f t="shared" si="92"/>
        <v>8</v>
      </c>
      <c r="F1143">
        <f t="shared" si="93"/>
        <v>2021</v>
      </c>
      <c r="H1143" s="17">
        <f t="shared" si="94"/>
        <v>44409</v>
      </c>
      <c r="J1143">
        <f t="shared" si="90"/>
        <v>0</v>
      </c>
      <c r="N1143" s="55"/>
    </row>
    <row r="1144" spans="1:14" x14ac:dyDescent="0.3">
      <c r="A1144" s="17">
        <v>44431</v>
      </c>
      <c r="B1144">
        <v>1.1200000000000001</v>
      </c>
      <c r="C1144">
        <f t="shared" si="91"/>
        <v>23</v>
      </c>
      <c r="D1144">
        <v>1</v>
      </c>
      <c r="E1144">
        <f t="shared" si="92"/>
        <v>8</v>
      </c>
      <c r="F1144">
        <f t="shared" si="93"/>
        <v>2021</v>
      </c>
      <c r="H1144" s="17">
        <f t="shared" si="94"/>
        <v>44409</v>
      </c>
      <c r="J1144">
        <f t="shared" si="90"/>
        <v>0</v>
      </c>
      <c r="N1144" s="55"/>
    </row>
    <row r="1145" spans="1:14" x14ac:dyDescent="0.3">
      <c r="A1145" s="17">
        <v>44428</v>
      </c>
      <c r="B1145">
        <v>0.8</v>
      </c>
      <c r="C1145">
        <f t="shared" si="91"/>
        <v>20</v>
      </c>
      <c r="D1145">
        <v>1</v>
      </c>
      <c r="E1145">
        <f t="shared" si="92"/>
        <v>8</v>
      </c>
      <c r="F1145">
        <f t="shared" si="93"/>
        <v>2021</v>
      </c>
      <c r="H1145" s="17">
        <f t="shared" si="94"/>
        <v>44409</v>
      </c>
      <c r="J1145">
        <f t="shared" si="90"/>
        <v>0</v>
      </c>
      <c r="N1145" s="55"/>
    </row>
    <row r="1146" spans="1:14" x14ac:dyDescent="0.3">
      <c r="A1146" s="17">
        <v>44427</v>
      </c>
      <c r="B1146">
        <v>1.06</v>
      </c>
      <c r="C1146">
        <f t="shared" si="91"/>
        <v>19</v>
      </c>
      <c r="D1146">
        <v>1</v>
      </c>
      <c r="E1146">
        <f t="shared" si="92"/>
        <v>8</v>
      </c>
      <c r="F1146">
        <f t="shared" si="93"/>
        <v>2021</v>
      </c>
      <c r="H1146" s="17">
        <f t="shared" si="94"/>
        <v>44409</v>
      </c>
      <c r="J1146">
        <f t="shared" si="90"/>
        <v>0</v>
      </c>
      <c r="N1146" s="55"/>
    </row>
    <row r="1147" spans="1:14" x14ac:dyDescent="0.3">
      <c r="A1147" s="17">
        <v>44426</v>
      </c>
      <c r="B1147">
        <v>1.08</v>
      </c>
      <c r="C1147">
        <f t="shared" si="91"/>
        <v>18</v>
      </c>
      <c r="D1147">
        <v>1</v>
      </c>
      <c r="E1147">
        <f t="shared" si="92"/>
        <v>8</v>
      </c>
      <c r="F1147">
        <f t="shared" si="93"/>
        <v>2021</v>
      </c>
      <c r="H1147" s="17">
        <f t="shared" si="94"/>
        <v>44409</v>
      </c>
      <c r="J1147">
        <f t="shared" si="90"/>
        <v>0</v>
      </c>
      <c r="N1147" s="55"/>
    </row>
    <row r="1148" spans="1:14" x14ac:dyDescent="0.3">
      <c r="A1148" s="17">
        <v>44425</v>
      </c>
      <c r="B1148">
        <v>1.43</v>
      </c>
      <c r="C1148">
        <f t="shared" si="91"/>
        <v>17</v>
      </c>
      <c r="D1148">
        <v>1</v>
      </c>
      <c r="E1148">
        <f t="shared" si="92"/>
        <v>8</v>
      </c>
      <c r="F1148">
        <f t="shared" si="93"/>
        <v>2021</v>
      </c>
      <c r="H1148" s="17">
        <f t="shared" si="94"/>
        <v>44409</v>
      </c>
      <c r="J1148">
        <f t="shared" si="90"/>
        <v>0</v>
      </c>
      <c r="N1148" s="55"/>
    </row>
    <row r="1149" spans="1:14" x14ac:dyDescent="0.3">
      <c r="A1149" s="17">
        <v>44424</v>
      </c>
      <c r="B1149">
        <v>1.72</v>
      </c>
      <c r="C1149">
        <f t="shared" si="91"/>
        <v>16</v>
      </c>
      <c r="D1149">
        <v>1</v>
      </c>
      <c r="E1149">
        <f t="shared" si="92"/>
        <v>8</v>
      </c>
      <c r="F1149">
        <f t="shared" si="93"/>
        <v>2021</v>
      </c>
      <c r="H1149" s="17">
        <f t="shared" si="94"/>
        <v>44409</v>
      </c>
      <c r="J1149">
        <f t="shared" si="90"/>
        <v>0</v>
      </c>
      <c r="N1149" s="55"/>
    </row>
    <row r="1150" spans="1:14" x14ac:dyDescent="0.3">
      <c r="A1150" s="17">
        <v>44421</v>
      </c>
      <c r="B1150">
        <v>1.94</v>
      </c>
      <c r="C1150">
        <f t="shared" si="91"/>
        <v>13</v>
      </c>
      <c r="D1150">
        <v>1</v>
      </c>
      <c r="E1150">
        <f t="shared" si="92"/>
        <v>8</v>
      </c>
      <c r="F1150">
        <f t="shared" si="93"/>
        <v>2021</v>
      </c>
      <c r="H1150" s="17">
        <f t="shared" si="94"/>
        <v>44409</v>
      </c>
      <c r="J1150">
        <f t="shared" si="90"/>
        <v>0</v>
      </c>
      <c r="N1150" s="55"/>
    </row>
    <row r="1151" spans="1:14" x14ac:dyDescent="0.3">
      <c r="A1151" s="17">
        <v>44420</v>
      </c>
      <c r="B1151">
        <v>2.16</v>
      </c>
      <c r="C1151">
        <f t="shared" si="91"/>
        <v>12</v>
      </c>
      <c r="D1151">
        <v>1</v>
      </c>
      <c r="E1151">
        <f t="shared" si="92"/>
        <v>8</v>
      </c>
      <c r="F1151">
        <f t="shared" si="93"/>
        <v>2021</v>
      </c>
      <c r="H1151" s="17">
        <f t="shared" si="94"/>
        <v>44409</v>
      </c>
      <c r="J1151">
        <f t="shared" si="90"/>
        <v>0</v>
      </c>
      <c r="N1151" s="55"/>
    </row>
    <row r="1152" spans="1:14" x14ac:dyDescent="0.3">
      <c r="A1152" s="17">
        <v>44419</v>
      </c>
      <c r="B1152">
        <v>2.59</v>
      </c>
      <c r="C1152">
        <f t="shared" si="91"/>
        <v>11</v>
      </c>
      <c r="D1152">
        <v>1</v>
      </c>
      <c r="E1152">
        <f t="shared" si="92"/>
        <v>8</v>
      </c>
      <c r="F1152">
        <f t="shared" si="93"/>
        <v>2021</v>
      </c>
      <c r="H1152" s="17">
        <f t="shared" si="94"/>
        <v>44409</v>
      </c>
      <c r="J1152">
        <f t="shared" si="90"/>
        <v>0</v>
      </c>
      <c r="N1152" s="55"/>
    </row>
    <row r="1153" spans="1:14" x14ac:dyDescent="0.3">
      <c r="A1153" s="17">
        <v>44418</v>
      </c>
      <c r="B1153">
        <v>3.16</v>
      </c>
      <c r="C1153">
        <f t="shared" si="91"/>
        <v>10</v>
      </c>
      <c r="D1153">
        <v>1</v>
      </c>
      <c r="E1153">
        <f t="shared" si="92"/>
        <v>8</v>
      </c>
      <c r="F1153">
        <f t="shared" si="93"/>
        <v>2021</v>
      </c>
      <c r="H1153" s="17">
        <f t="shared" si="94"/>
        <v>44409</v>
      </c>
      <c r="J1153">
        <f t="shared" si="90"/>
        <v>0</v>
      </c>
      <c r="N1153" s="55"/>
    </row>
    <row r="1154" spans="1:14" x14ac:dyDescent="0.3">
      <c r="A1154" s="17">
        <v>44414</v>
      </c>
      <c r="B1154">
        <v>2.7</v>
      </c>
      <c r="C1154">
        <f t="shared" si="91"/>
        <v>6</v>
      </c>
      <c r="D1154">
        <v>1</v>
      </c>
      <c r="E1154">
        <f t="shared" si="92"/>
        <v>8</v>
      </c>
      <c r="F1154">
        <f t="shared" si="93"/>
        <v>2021</v>
      </c>
      <c r="H1154" s="17">
        <f t="shared" si="94"/>
        <v>44409</v>
      </c>
      <c r="J1154">
        <f t="shared" si="90"/>
        <v>0</v>
      </c>
      <c r="N1154" s="55"/>
    </row>
    <row r="1155" spans="1:14" x14ac:dyDescent="0.3">
      <c r="A1155" s="17">
        <v>44413</v>
      </c>
      <c r="B1155">
        <v>2.56</v>
      </c>
      <c r="C1155">
        <f t="shared" si="91"/>
        <v>5</v>
      </c>
      <c r="D1155">
        <v>1</v>
      </c>
      <c r="E1155">
        <f t="shared" si="92"/>
        <v>8</v>
      </c>
      <c r="F1155">
        <f t="shared" si="93"/>
        <v>2021</v>
      </c>
      <c r="H1155" s="17">
        <f t="shared" si="94"/>
        <v>44409</v>
      </c>
      <c r="J1155">
        <f t="shared" si="90"/>
        <v>0</v>
      </c>
      <c r="N1155" s="55"/>
    </row>
    <row r="1156" spans="1:14" x14ac:dyDescent="0.3">
      <c r="A1156" s="17">
        <v>44412</v>
      </c>
      <c r="B1156">
        <v>2.69</v>
      </c>
      <c r="C1156">
        <f t="shared" si="91"/>
        <v>4</v>
      </c>
      <c r="D1156">
        <v>1</v>
      </c>
      <c r="E1156">
        <f t="shared" si="92"/>
        <v>8</v>
      </c>
      <c r="F1156">
        <f t="shared" si="93"/>
        <v>2021</v>
      </c>
      <c r="H1156" s="17">
        <f t="shared" si="94"/>
        <v>44409</v>
      </c>
      <c r="J1156">
        <f t="shared" si="90"/>
        <v>1</v>
      </c>
      <c r="N1156" s="55"/>
    </row>
    <row r="1157" spans="1:14" x14ac:dyDescent="0.3">
      <c r="A1157" s="17">
        <v>44411</v>
      </c>
      <c r="B1157">
        <v>2.35</v>
      </c>
      <c r="C1157">
        <f t="shared" si="91"/>
        <v>3</v>
      </c>
      <c r="D1157">
        <v>1</v>
      </c>
      <c r="E1157">
        <f t="shared" si="92"/>
        <v>8</v>
      </c>
      <c r="F1157">
        <f t="shared" si="93"/>
        <v>2021</v>
      </c>
      <c r="H1157" s="17">
        <f t="shared" si="94"/>
        <v>44409</v>
      </c>
      <c r="J1157">
        <f t="shared" si="90"/>
        <v>1</v>
      </c>
      <c r="N1157" s="55"/>
    </row>
    <row r="1158" spans="1:14" x14ac:dyDescent="0.3">
      <c r="A1158" s="17">
        <v>44410</v>
      </c>
      <c r="B1158">
        <v>2.35</v>
      </c>
      <c r="C1158">
        <f t="shared" si="91"/>
        <v>2</v>
      </c>
      <c r="D1158">
        <v>1</v>
      </c>
      <c r="E1158">
        <f t="shared" si="92"/>
        <v>8</v>
      </c>
      <c r="F1158">
        <f t="shared" si="93"/>
        <v>2021</v>
      </c>
      <c r="H1158" s="17">
        <f t="shared" si="94"/>
        <v>44409</v>
      </c>
      <c r="J1158">
        <f t="shared" si="90"/>
        <v>1</v>
      </c>
      <c r="N1158" s="55"/>
    </row>
    <row r="1159" spans="1:14" x14ac:dyDescent="0.3">
      <c r="A1159" s="17">
        <v>44409</v>
      </c>
      <c r="C1159">
        <f t="shared" si="91"/>
        <v>1</v>
      </c>
      <c r="D1159">
        <v>1</v>
      </c>
      <c r="E1159">
        <f t="shared" si="92"/>
        <v>8</v>
      </c>
      <c r="F1159">
        <f t="shared" si="93"/>
        <v>2021</v>
      </c>
      <c r="H1159" s="17">
        <f t="shared" si="94"/>
        <v>44409</v>
      </c>
      <c r="J1159">
        <f t="shared" si="90"/>
        <v>1</v>
      </c>
      <c r="N1159" s="55"/>
    </row>
    <row r="1160" spans="1:14" x14ac:dyDescent="0.3">
      <c r="A1160" s="17">
        <v>44407</v>
      </c>
      <c r="B1160">
        <v>3.4</v>
      </c>
      <c r="C1160">
        <f t="shared" si="91"/>
        <v>30</v>
      </c>
      <c r="D1160">
        <v>1</v>
      </c>
      <c r="E1160">
        <f t="shared" si="92"/>
        <v>7</v>
      </c>
      <c r="F1160">
        <f t="shared" si="93"/>
        <v>2021</v>
      </c>
      <c r="H1160" s="17">
        <f t="shared" si="94"/>
        <v>44378</v>
      </c>
      <c r="J1160">
        <f t="shared" si="90"/>
        <v>0</v>
      </c>
      <c r="N1160" s="55"/>
    </row>
    <row r="1161" spans="1:14" x14ac:dyDescent="0.3">
      <c r="A1161" s="17">
        <v>44406</v>
      </c>
      <c r="B1161">
        <v>3.56</v>
      </c>
      <c r="C1161">
        <f t="shared" si="91"/>
        <v>29</v>
      </c>
      <c r="D1161">
        <v>1</v>
      </c>
      <c r="E1161">
        <f t="shared" si="92"/>
        <v>7</v>
      </c>
      <c r="F1161">
        <f t="shared" si="93"/>
        <v>2021</v>
      </c>
      <c r="H1161" s="17">
        <f t="shared" si="94"/>
        <v>44378</v>
      </c>
      <c r="J1161">
        <f t="shared" ref="J1161:J1224" si="95">IF(AND(C1161&gt;=1, C1161&lt;=4), 1, 0)</f>
        <v>0</v>
      </c>
      <c r="N1161" s="55"/>
    </row>
    <row r="1162" spans="1:14" x14ac:dyDescent="0.3">
      <c r="A1162" s="17">
        <v>44405</v>
      </c>
      <c r="B1162">
        <v>3.75</v>
      </c>
      <c r="C1162">
        <f t="shared" ref="C1162:C1225" si="96">+DAY(A1162)</f>
        <v>28</v>
      </c>
      <c r="D1162">
        <v>1</v>
      </c>
      <c r="E1162">
        <f t="shared" ref="E1162:E1225" si="97">+MONTH(A1162)</f>
        <v>7</v>
      </c>
      <c r="F1162">
        <f t="shared" ref="F1162:F1225" si="98">+YEAR(A1162)</f>
        <v>2021</v>
      </c>
      <c r="H1162" s="17">
        <f t="shared" ref="H1162:H1225" si="99">+DATE(F1162,E1162,D1162)</f>
        <v>44378</v>
      </c>
      <c r="J1162">
        <f t="shared" si="95"/>
        <v>0</v>
      </c>
      <c r="N1162" s="55"/>
    </row>
    <row r="1163" spans="1:14" x14ac:dyDescent="0.3">
      <c r="A1163" s="17">
        <v>44404</v>
      </c>
      <c r="B1163">
        <v>3.62</v>
      </c>
      <c r="C1163">
        <f t="shared" si="96"/>
        <v>27</v>
      </c>
      <c r="D1163">
        <v>1</v>
      </c>
      <c r="E1163">
        <f t="shared" si="97"/>
        <v>7</v>
      </c>
      <c r="F1163">
        <f t="shared" si="98"/>
        <v>2021</v>
      </c>
      <c r="H1163" s="17">
        <f t="shared" si="99"/>
        <v>44378</v>
      </c>
      <c r="J1163">
        <f t="shared" si="95"/>
        <v>0</v>
      </c>
      <c r="N1163" s="55"/>
    </row>
    <row r="1164" spans="1:14" x14ac:dyDescent="0.3">
      <c r="A1164" s="17">
        <v>44403</v>
      </c>
      <c r="B1164">
        <v>3.44</v>
      </c>
      <c r="C1164">
        <f t="shared" si="96"/>
        <v>26</v>
      </c>
      <c r="D1164">
        <v>1</v>
      </c>
      <c r="E1164">
        <f t="shared" si="97"/>
        <v>7</v>
      </c>
      <c r="F1164">
        <f t="shared" si="98"/>
        <v>2021</v>
      </c>
      <c r="H1164" s="17">
        <f t="shared" si="99"/>
        <v>44378</v>
      </c>
      <c r="J1164">
        <f t="shared" si="95"/>
        <v>0</v>
      </c>
      <c r="N1164" s="55"/>
    </row>
    <row r="1165" spans="1:14" x14ac:dyDescent="0.3">
      <c r="A1165" s="17">
        <v>44400</v>
      </c>
      <c r="B1165">
        <v>3.25</v>
      </c>
      <c r="C1165">
        <f t="shared" si="96"/>
        <v>23</v>
      </c>
      <c r="D1165">
        <v>1</v>
      </c>
      <c r="E1165">
        <f t="shared" si="97"/>
        <v>7</v>
      </c>
      <c r="F1165">
        <f t="shared" si="98"/>
        <v>2021</v>
      </c>
      <c r="H1165" s="17">
        <f t="shared" si="99"/>
        <v>44378</v>
      </c>
      <c r="J1165">
        <f t="shared" si="95"/>
        <v>0</v>
      </c>
      <c r="N1165" s="55"/>
    </row>
    <row r="1166" spans="1:14" x14ac:dyDescent="0.3">
      <c r="A1166" s="17">
        <v>44399</v>
      </c>
      <c r="B1166">
        <v>2.93</v>
      </c>
      <c r="C1166">
        <f t="shared" si="96"/>
        <v>22</v>
      </c>
      <c r="D1166">
        <v>1</v>
      </c>
      <c r="E1166">
        <f t="shared" si="97"/>
        <v>7</v>
      </c>
      <c r="F1166">
        <f t="shared" si="98"/>
        <v>2021</v>
      </c>
      <c r="H1166" s="17">
        <f t="shared" si="99"/>
        <v>44378</v>
      </c>
      <c r="J1166">
        <f t="shared" si="95"/>
        <v>0</v>
      </c>
      <c r="N1166" s="55"/>
    </row>
    <row r="1167" spans="1:14" x14ac:dyDescent="0.3">
      <c r="A1167" s="17">
        <v>44398</v>
      </c>
      <c r="B1167">
        <v>2.77</v>
      </c>
      <c r="C1167">
        <f t="shared" si="96"/>
        <v>21</v>
      </c>
      <c r="D1167">
        <v>1</v>
      </c>
      <c r="E1167">
        <f t="shared" si="97"/>
        <v>7</v>
      </c>
      <c r="F1167">
        <f t="shared" si="98"/>
        <v>2021</v>
      </c>
      <c r="H1167" s="17">
        <f t="shared" si="99"/>
        <v>44378</v>
      </c>
      <c r="J1167">
        <f t="shared" si="95"/>
        <v>0</v>
      </c>
      <c r="N1167" s="55"/>
    </row>
    <row r="1168" spans="1:14" x14ac:dyDescent="0.3">
      <c r="A1168" s="17">
        <v>44396</v>
      </c>
      <c r="B1168">
        <v>2.88</v>
      </c>
      <c r="C1168">
        <f t="shared" si="96"/>
        <v>19</v>
      </c>
      <c r="D1168">
        <v>1</v>
      </c>
      <c r="E1168">
        <f t="shared" si="97"/>
        <v>7</v>
      </c>
      <c r="F1168">
        <f t="shared" si="98"/>
        <v>2021</v>
      </c>
      <c r="H1168" s="17">
        <f t="shared" si="99"/>
        <v>44378</v>
      </c>
      <c r="J1168">
        <f t="shared" si="95"/>
        <v>0</v>
      </c>
      <c r="N1168" s="55"/>
    </row>
    <row r="1169" spans="1:14" x14ac:dyDescent="0.3">
      <c r="A1169" s="17">
        <v>44393</v>
      </c>
      <c r="B1169">
        <v>2.59</v>
      </c>
      <c r="C1169">
        <f t="shared" si="96"/>
        <v>16</v>
      </c>
      <c r="D1169">
        <v>1</v>
      </c>
      <c r="E1169">
        <f t="shared" si="97"/>
        <v>7</v>
      </c>
      <c r="F1169">
        <f t="shared" si="98"/>
        <v>2021</v>
      </c>
      <c r="H1169" s="17">
        <f t="shared" si="99"/>
        <v>44378</v>
      </c>
      <c r="J1169">
        <f t="shared" si="95"/>
        <v>0</v>
      </c>
      <c r="N1169" s="55"/>
    </row>
    <row r="1170" spans="1:14" x14ac:dyDescent="0.3">
      <c r="A1170" s="17">
        <v>44392</v>
      </c>
      <c r="B1170">
        <v>1.99</v>
      </c>
      <c r="C1170">
        <f t="shared" si="96"/>
        <v>15</v>
      </c>
      <c r="D1170">
        <v>1</v>
      </c>
      <c r="E1170">
        <f t="shared" si="97"/>
        <v>7</v>
      </c>
      <c r="F1170">
        <f t="shared" si="98"/>
        <v>2021</v>
      </c>
      <c r="H1170" s="17">
        <f t="shared" si="99"/>
        <v>44378</v>
      </c>
      <c r="J1170">
        <f t="shared" si="95"/>
        <v>0</v>
      </c>
      <c r="N1170" s="55"/>
    </row>
    <row r="1171" spans="1:14" x14ac:dyDescent="0.3">
      <c r="A1171" s="17">
        <v>44391</v>
      </c>
      <c r="B1171">
        <v>1.79</v>
      </c>
      <c r="C1171">
        <f t="shared" si="96"/>
        <v>14</v>
      </c>
      <c r="D1171">
        <v>1</v>
      </c>
      <c r="E1171">
        <f t="shared" si="97"/>
        <v>7</v>
      </c>
      <c r="F1171">
        <f t="shared" si="98"/>
        <v>2021</v>
      </c>
      <c r="H1171" s="17">
        <f t="shared" si="99"/>
        <v>44378</v>
      </c>
      <c r="J1171">
        <f t="shared" si="95"/>
        <v>0</v>
      </c>
      <c r="N1171" s="55"/>
    </row>
    <row r="1172" spans="1:14" x14ac:dyDescent="0.3">
      <c r="A1172" s="17">
        <v>44390</v>
      </c>
      <c r="B1172">
        <v>1.85</v>
      </c>
      <c r="C1172">
        <f t="shared" si="96"/>
        <v>13</v>
      </c>
      <c r="D1172">
        <v>1</v>
      </c>
      <c r="E1172">
        <f t="shared" si="97"/>
        <v>7</v>
      </c>
      <c r="F1172">
        <f t="shared" si="98"/>
        <v>2021</v>
      </c>
      <c r="H1172" s="17">
        <f t="shared" si="99"/>
        <v>44378</v>
      </c>
      <c r="J1172">
        <f t="shared" si="95"/>
        <v>0</v>
      </c>
      <c r="N1172" s="55"/>
    </row>
    <row r="1173" spans="1:14" x14ac:dyDescent="0.3">
      <c r="A1173" s="17">
        <v>44389</v>
      </c>
      <c r="B1173">
        <v>2.09</v>
      </c>
      <c r="C1173">
        <f t="shared" si="96"/>
        <v>12</v>
      </c>
      <c r="D1173">
        <v>1</v>
      </c>
      <c r="E1173">
        <f t="shared" si="97"/>
        <v>7</v>
      </c>
      <c r="F1173">
        <f t="shared" si="98"/>
        <v>2021</v>
      </c>
      <c r="H1173" s="17">
        <f t="shared" si="99"/>
        <v>44378</v>
      </c>
      <c r="J1173">
        <f t="shared" si="95"/>
        <v>0</v>
      </c>
      <c r="N1173" s="55"/>
    </row>
    <row r="1174" spans="1:14" x14ac:dyDescent="0.3">
      <c r="A1174" s="17">
        <v>44386</v>
      </c>
      <c r="B1174">
        <v>2.16</v>
      </c>
      <c r="C1174">
        <f t="shared" si="96"/>
        <v>9</v>
      </c>
      <c r="D1174">
        <v>1</v>
      </c>
      <c r="E1174">
        <f t="shared" si="97"/>
        <v>7</v>
      </c>
      <c r="F1174">
        <f t="shared" si="98"/>
        <v>2021</v>
      </c>
      <c r="H1174" s="17">
        <f t="shared" si="99"/>
        <v>44378</v>
      </c>
      <c r="J1174">
        <f t="shared" si="95"/>
        <v>0</v>
      </c>
      <c r="N1174" s="55"/>
    </row>
    <row r="1175" spans="1:14" x14ac:dyDescent="0.3">
      <c r="A1175" s="17">
        <v>44385</v>
      </c>
      <c r="B1175">
        <v>1.83</v>
      </c>
      <c r="C1175">
        <f t="shared" si="96"/>
        <v>8</v>
      </c>
      <c r="D1175">
        <v>1</v>
      </c>
      <c r="E1175">
        <f t="shared" si="97"/>
        <v>7</v>
      </c>
      <c r="F1175">
        <f t="shared" si="98"/>
        <v>2021</v>
      </c>
      <c r="H1175" s="17">
        <f t="shared" si="99"/>
        <v>44378</v>
      </c>
      <c r="J1175">
        <f t="shared" si="95"/>
        <v>0</v>
      </c>
      <c r="N1175" s="55"/>
    </row>
    <row r="1176" spans="1:14" x14ac:dyDescent="0.3">
      <c r="A1176" s="17">
        <v>44384</v>
      </c>
      <c r="B1176">
        <v>1.51</v>
      </c>
      <c r="C1176">
        <f t="shared" si="96"/>
        <v>7</v>
      </c>
      <c r="D1176">
        <v>1</v>
      </c>
      <c r="E1176">
        <f t="shared" si="97"/>
        <v>7</v>
      </c>
      <c r="F1176">
        <f t="shared" si="98"/>
        <v>2021</v>
      </c>
      <c r="H1176" s="17">
        <f t="shared" si="99"/>
        <v>44378</v>
      </c>
      <c r="J1176">
        <f t="shared" si="95"/>
        <v>0</v>
      </c>
      <c r="N1176" s="55"/>
    </row>
    <row r="1177" spans="1:14" x14ac:dyDescent="0.3">
      <c r="A1177" s="17">
        <v>44383</v>
      </c>
      <c r="B1177">
        <v>1.79</v>
      </c>
      <c r="C1177">
        <f t="shared" si="96"/>
        <v>6</v>
      </c>
      <c r="D1177">
        <v>1</v>
      </c>
      <c r="E1177">
        <f t="shared" si="97"/>
        <v>7</v>
      </c>
      <c r="F1177">
        <f t="shared" si="98"/>
        <v>2021</v>
      </c>
      <c r="H1177" s="17">
        <f t="shared" si="99"/>
        <v>44378</v>
      </c>
      <c r="J1177">
        <f t="shared" si="95"/>
        <v>0</v>
      </c>
      <c r="N1177" s="55"/>
    </row>
    <row r="1178" spans="1:14" x14ac:dyDescent="0.3">
      <c r="A1178" s="17">
        <v>44382</v>
      </c>
      <c r="B1178">
        <v>1.51</v>
      </c>
      <c r="C1178">
        <f t="shared" si="96"/>
        <v>5</v>
      </c>
      <c r="D1178">
        <v>1</v>
      </c>
      <c r="E1178">
        <f t="shared" si="97"/>
        <v>7</v>
      </c>
      <c r="F1178">
        <f t="shared" si="98"/>
        <v>2021</v>
      </c>
      <c r="H1178" s="17">
        <f t="shared" si="99"/>
        <v>44378</v>
      </c>
      <c r="J1178">
        <f t="shared" si="95"/>
        <v>0</v>
      </c>
      <c r="N1178" s="55"/>
    </row>
    <row r="1179" spans="1:14" x14ac:dyDescent="0.3">
      <c r="A1179" s="17">
        <v>44379</v>
      </c>
      <c r="B1179">
        <v>0.79</v>
      </c>
      <c r="C1179">
        <f t="shared" si="96"/>
        <v>2</v>
      </c>
      <c r="D1179">
        <v>1</v>
      </c>
      <c r="E1179">
        <f t="shared" si="97"/>
        <v>7</v>
      </c>
      <c r="F1179">
        <f t="shared" si="98"/>
        <v>2021</v>
      </c>
      <c r="H1179" s="17">
        <f t="shared" si="99"/>
        <v>44378</v>
      </c>
      <c r="J1179">
        <f t="shared" si="95"/>
        <v>1</v>
      </c>
      <c r="N1179" s="55"/>
    </row>
    <row r="1180" spans="1:14" x14ac:dyDescent="0.3">
      <c r="A1180" s="17">
        <v>44378</v>
      </c>
      <c r="B1180">
        <v>0.83</v>
      </c>
      <c r="C1180">
        <f t="shared" si="96"/>
        <v>1</v>
      </c>
      <c r="D1180">
        <v>1</v>
      </c>
      <c r="E1180">
        <f t="shared" si="97"/>
        <v>7</v>
      </c>
      <c r="F1180">
        <f t="shared" si="98"/>
        <v>2021</v>
      </c>
      <c r="H1180" s="17">
        <f t="shared" si="99"/>
        <v>44378</v>
      </c>
      <c r="J1180">
        <f t="shared" si="95"/>
        <v>1</v>
      </c>
      <c r="N1180" s="55"/>
    </row>
    <row r="1181" spans="1:14" x14ac:dyDescent="0.3">
      <c r="A1181" s="17">
        <v>44377</v>
      </c>
      <c r="B1181">
        <v>0.43</v>
      </c>
      <c r="C1181">
        <f t="shared" si="96"/>
        <v>30</v>
      </c>
      <c r="D1181">
        <v>1</v>
      </c>
      <c r="E1181">
        <f t="shared" si="97"/>
        <v>6</v>
      </c>
      <c r="F1181">
        <f t="shared" si="98"/>
        <v>2021</v>
      </c>
      <c r="H1181" s="17">
        <f t="shared" si="99"/>
        <v>44348</v>
      </c>
      <c r="J1181">
        <f t="shared" si="95"/>
        <v>0</v>
      </c>
      <c r="N1181" s="55"/>
    </row>
    <row r="1182" spans="1:14" x14ac:dyDescent="0.3">
      <c r="A1182" s="17">
        <v>44376</v>
      </c>
      <c r="B1182">
        <v>-0.05</v>
      </c>
      <c r="C1182">
        <f t="shared" si="96"/>
        <v>29</v>
      </c>
      <c r="D1182">
        <v>1</v>
      </c>
      <c r="E1182">
        <f t="shared" si="97"/>
        <v>6</v>
      </c>
      <c r="F1182">
        <f t="shared" si="98"/>
        <v>2021</v>
      </c>
      <c r="H1182" s="17">
        <f t="shared" si="99"/>
        <v>44348</v>
      </c>
      <c r="J1182">
        <f t="shared" si="95"/>
        <v>0</v>
      </c>
      <c r="N1182" s="55"/>
    </row>
    <row r="1183" spans="1:14" x14ac:dyDescent="0.3">
      <c r="A1183" s="17">
        <v>44375</v>
      </c>
      <c r="B1183">
        <v>-0.19</v>
      </c>
      <c r="C1183">
        <f t="shared" si="96"/>
        <v>28</v>
      </c>
      <c r="D1183">
        <v>1</v>
      </c>
      <c r="E1183">
        <f t="shared" si="97"/>
        <v>6</v>
      </c>
      <c r="F1183">
        <f t="shared" si="98"/>
        <v>2021</v>
      </c>
      <c r="H1183" s="17">
        <f t="shared" si="99"/>
        <v>44348</v>
      </c>
      <c r="J1183">
        <f t="shared" si="95"/>
        <v>0</v>
      </c>
      <c r="N1183" s="55"/>
    </row>
    <row r="1184" spans="1:14" x14ac:dyDescent="0.3">
      <c r="A1184" s="17">
        <v>44372</v>
      </c>
      <c r="B1184">
        <v>-0.04</v>
      </c>
      <c r="C1184">
        <f t="shared" si="96"/>
        <v>25</v>
      </c>
      <c r="D1184">
        <v>1</v>
      </c>
      <c r="E1184">
        <f t="shared" si="97"/>
        <v>6</v>
      </c>
      <c r="F1184">
        <f t="shared" si="98"/>
        <v>2021</v>
      </c>
      <c r="H1184" s="17">
        <f t="shared" si="99"/>
        <v>44348</v>
      </c>
      <c r="J1184">
        <f t="shared" si="95"/>
        <v>0</v>
      </c>
      <c r="N1184" s="55"/>
    </row>
    <row r="1185" spans="1:14" x14ac:dyDescent="0.3">
      <c r="A1185" s="17">
        <v>44371</v>
      </c>
      <c r="B1185">
        <v>-0.55000000000000004</v>
      </c>
      <c r="C1185">
        <f t="shared" si="96"/>
        <v>24</v>
      </c>
      <c r="D1185">
        <v>1</v>
      </c>
      <c r="E1185">
        <f t="shared" si="97"/>
        <v>6</v>
      </c>
      <c r="F1185">
        <f t="shared" si="98"/>
        <v>2021</v>
      </c>
      <c r="H1185" s="17">
        <f t="shared" si="99"/>
        <v>44348</v>
      </c>
      <c r="J1185">
        <f t="shared" si="95"/>
        <v>0</v>
      </c>
      <c r="N1185" s="55"/>
    </row>
    <row r="1186" spans="1:14" x14ac:dyDescent="0.3">
      <c r="A1186" s="17">
        <v>44370</v>
      </c>
      <c r="B1186">
        <v>-0.57999999999999996</v>
      </c>
      <c r="C1186">
        <f t="shared" si="96"/>
        <v>23</v>
      </c>
      <c r="D1186">
        <v>1</v>
      </c>
      <c r="E1186">
        <f t="shared" si="97"/>
        <v>6</v>
      </c>
      <c r="F1186">
        <f t="shared" si="98"/>
        <v>2021</v>
      </c>
      <c r="H1186" s="17">
        <f t="shared" si="99"/>
        <v>44348</v>
      </c>
      <c r="J1186">
        <f t="shared" si="95"/>
        <v>0</v>
      </c>
      <c r="N1186" s="55"/>
    </row>
    <row r="1187" spans="1:14" x14ac:dyDescent="0.3">
      <c r="A1187" s="17">
        <v>44369</v>
      </c>
      <c r="B1187">
        <v>-1.0900000000000001</v>
      </c>
      <c r="C1187">
        <f t="shared" si="96"/>
        <v>22</v>
      </c>
      <c r="D1187">
        <v>1</v>
      </c>
      <c r="E1187">
        <f t="shared" si="97"/>
        <v>6</v>
      </c>
      <c r="F1187">
        <f t="shared" si="98"/>
        <v>2021</v>
      </c>
      <c r="H1187" s="17">
        <f t="shared" si="99"/>
        <v>44348</v>
      </c>
      <c r="J1187">
        <f t="shared" si="95"/>
        <v>0</v>
      </c>
      <c r="N1187" s="55"/>
    </row>
    <row r="1188" spans="1:14" x14ac:dyDescent="0.3">
      <c r="A1188" s="17">
        <v>44368</v>
      </c>
      <c r="B1188">
        <v>-0.86</v>
      </c>
      <c r="C1188">
        <f t="shared" si="96"/>
        <v>21</v>
      </c>
      <c r="D1188">
        <v>1</v>
      </c>
      <c r="E1188">
        <f t="shared" si="97"/>
        <v>6</v>
      </c>
      <c r="F1188">
        <f t="shared" si="98"/>
        <v>2021</v>
      </c>
      <c r="H1188" s="17">
        <f t="shared" si="99"/>
        <v>44348</v>
      </c>
      <c r="J1188">
        <f t="shared" si="95"/>
        <v>0</v>
      </c>
      <c r="N1188" s="55"/>
    </row>
    <row r="1189" spans="1:14" x14ac:dyDescent="0.3">
      <c r="A1189" s="17">
        <v>44365</v>
      </c>
      <c r="B1189">
        <v>-0.96</v>
      </c>
      <c r="C1189">
        <f t="shared" si="96"/>
        <v>18</v>
      </c>
      <c r="D1189">
        <v>1</v>
      </c>
      <c r="E1189">
        <f t="shared" si="97"/>
        <v>6</v>
      </c>
      <c r="F1189">
        <f t="shared" si="98"/>
        <v>2021</v>
      </c>
      <c r="H1189" s="17">
        <f t="shared" si="99"/>
        <v>44348</v>
      </c>
      <c r="J1189">
        <f t="shared" si="95"/>
        <v>0</v>
      </c>
      <c r="N1189" s="55"/>
    </row>
    <row r="1190" spans="1:14" x14ac:dyDescent="0.3">
      <c r="A1190" s="17">
        <v>44364</v>
      </c>
      <c r="B1190">
        <v>-1.5</v>
      </c>
      <c r="C1190">
        <f t="shared" si="96"/>
        <v>17</v>
      </c>
      <c r="D1190">
        <v>1</v>
      </c>
      <c r="E1190">
        <f t="shared" si="97"/>
        <v>6</v>
      </c>
      <c r="F1190">
        <f t="shared" si="98"/>
        <v>2021</v>
      </c>
      <c r="H1190" s="17">
        <f t="shared" si="99"/>
        <v>44348</v>
      </c>
      <c r="J1190">
        <f t="shared" si="95"/>
        <v>0</v>
      </c>
      <c r="N1190" s="55"/>
    </row>
    <row r="1191" spans="1:14" x14ac:dyDescent="0.3">
      <c r="A1191" s="17">
        <v>44363</v>
      </c>
      <c r="B1191">
        <v>-1.83</v>
      </c>
      <c r="C1191">
        <f t="shared" si="96"/>
        <v>16</v>
      </c>
      <c r="D1191">
        <v>1</v>
      </c>
      <c r="E1191">
        <f t="shared" si="97"/>
        <v>6</v>
      </c>
      <c r="F1191">
        <f t="shared" si="98"/>
        <v>2021</v>
      </c>
      <c r="H1191" s="17">
        <f t="shared" si="99"/>
        <v>44348</v>
      </c>
      <c r="J1191">
        <f t="shared" si="95"/>
        <v>0</v>
      </c>
      <c r="N1191" s="55"/>
    </row>
    <row r="1192" spans="1:14" x14ac:dyDescent="0.3">
      <c r="A1192" s="17">
        <v>44362</v>
      </c>
      <c r="B1192">
        <v>-1.89</v>
      </c>
      <c r="C1192">
        <f t="shared" si="96"/>
        <v>15</v>
      </c>
      <c r="D1192">
        <v>1</v>
      </c>
      <c r="E1192">
        <f t="shared" si="97"/>
        <v>6</v>
      </c>
      <c r="F1192">
        <f t="shared" si="98"/>
        <v>2021</v>
      </c>
      <c r="H1192" s="17">
        <f t="shared" si="99"/>
        <v>44348</v>
      </c>
      <c r="J1192">
        <f t="shared" si="95"/>
        <v>0</v>
      </c>
      <c r="N1192" s="55"/>
    </row>
    <row r="1193" spans="1:14" x14ac:dyDescent="0.3">
      <c r="A1193" s="17">
        <v>44361</v>
      </c>
      <c r="B1193">
        <v>-1.26</v>
      </c>
      <c r="C1193">
        <f t="shared" si="96"/>
        <v>14</v>
      </c>
      <c r="D1193">
        <v>1</v>
      </c>
      <c r="E1193">
        <f t="shared" si="97"/>
        <v>6</v>
      </c>
      <c r="F1193">
        <f t="shared" si="98"/>
        <v>2021</v>
      </c>
      <c r="H1193" s="17">
        <f t="shared" si="99"/>
        <v>44348</v>
      </c>
      <c r="J1193">
        <f t="shared" si="95"/>
        <v>0</v>
      </c>
      <c r="N1193" s="55"/>
    </row>
    <row r="1194" spans="1:14" x14ac:dyDescent="0.3">
      <c r="A1194" s="17">
        <v>44358</v>
      </c>
      <c r="B1194">
        <v>-0.9</v>
      </c>
      <c r="C1194">
        <f t="shared" si="96"/>
        <v>11</v>
      </c>
      <c r="D1194">
        <v>1</v>
      </c>
      <c r="E1194">
        <f t="shared" si="97"/>
        <v>6</v>
      </c>
      <c r="F1194">
        <f t="shared" si="98"/>
        <v>2021</v>
      </c>
      <c r="H1194" s="17">
        <f t="shared" si="99"/>
        <v>44348</v>
      </c>
      <c r="J1194">
        <f t="shared" si="95"/>
        <v>0</v>
      </c>
      <c r="N1194" s="55"/>
    </row>
    <row r="1195" spans="1:14" x14ac:dyDescent="0.3">
      <c r="A1195" s="17">
        <v>44357</v>
      </c>
      <c r="B1195">
        <v>-1.19</v>
      </c>
      <c r="C1195">
        <f t="shared" si="96"/>
        <v>10</v>
      </c>
      <c r="D1195">
        <v>1</v>
      </c>
      <c r="E1195">
        <f t="shared" si="97"/>
        <v>6</v>
      </c>
      <c r="F1195">
        <f t="shared" si="98"/>
        <v>2021</v>
      </c>
      <c r="H1195" s="17">
        <f t="shared" si="99"/>
        <v>44348</v>
      </c>
      <c r="J1195">
        <f t="shared" si="95"/>
        <v>0</v>
      </c>
      <c r="N1195" s="55"/>
    </row>
    <row r="1196" spans="1:14" x14ac:dyDescent="0.3">
      <c r="A1196" s="17">
        <v>44356</v>
      </c>
      <c r="B1196">
        <v>-1.18</v>
      </c>
      <c r="C1196">
        <f t="shared" si="96"/>
        <v>9</v>
      </c>
      <c r="D1196">
        <v>1</v>
      </c>
      <c r="E1196">
        <f t="shared" si="97"/>
        <v>6</v>
      </c>
      <c r="F1196">
        <f t="shared" si="98"/>
        <v>2021</v>
      </c>
      <c r="H1196" s="17">
        <f t="shared" si="99"/>
        <v>44348</v>
      </c>
      <c r="J1196">
        <f t="shared" si="95"/>
        <v>0</v>
      </c>
      <c r="N1196" s="55"/>
    </row>
    <row r="1197" spans="1:14" x14ac:dyDescent="0.3">
      <c r="A1197" s="17">
        <v>44355</v>
      </c>
      <c r="B1197">
        <v>-1.01</v>
      </c>
      <c r="C1197">
        <f t="shared" si="96"/>
        <v>8</v>
      </c>
      <c r="D1197">
        <v>1</v>
      </c>
      <c r="E1197">
        <f t="shared" si="97"/>
        <v>6</v>
      </c>
      <c r="F1197">
        <f t="shared" si="98"/>
        <v>2021</v>
      </c>
      <c r="H1197" s="17">
        <f t="shared" si="99"/>
        <v>44348</v>
      </c>
      <c r="J1197">
        <f t="shared" si="95"/>
        <v>0</v>
      </c>
      <c r="N1197" s="55"/>
    </row>
    <row r="1198" spans="1:14" x14ac:dyDescent="0.3">
      <c r="A1198" s="17">
        <v>44354</v>
      </c>
      <c r="B1198">
        <v>-1.03</v>
      </c>
      <c r="C1198">
        <f t="shared" si="96"/>
        <v>7</v>
      </c>
      <c r="D1198">
        <v>1</v>
      </c>
      <c r="E1198">
        <f t="shared" si="97"/>
        <v>6</v>
      </c>
      <c r="F1198">
        <f t="shared" si="98"/>
        <v>2021</v>
      </c>
      <c r="H1198" s="17">
        <f t="shared" si="99"/>
        <v>44348</v>
      </c>
      <c r="J1198">
        <f t="shared" si="95"/>
        <v>0</v>
      </c>
      <c r="N1198" s="55"/>
    </row>
    <row r="1199" spans="1:14" x14ac:dyDescent="0.3">
      <c r="A1199" s="17">
        <v>44351</v>
      </c>
      <c r="B1199">
        <v>-1.03</v>
      </c>
      <c r="C1199">
        <f t="shared" si="96"/>
        <v>4</v>
      </c>
      <c r="D1199">
        <v>1</v>
      </c>
      <c r="E1199">
        <f t="shared" si="97"/>
        <v>6</v>
      </c>
      <c r="F1199">
        <f t="shared" si="98"/>
        <v>2021</v>
      </c>
      <c r="H1199" s="17">
        <f t="shared" si="99"/>
        <v>44348</v>
      </c>
      <c r="J1199">
        <f t="shared" si="95"/>
        <v>1</v>
      </c>
      <c r="N1199" s="55"/>
    </row>
    <row r="1200" spans="1:14" x14ac:dyDescent="0.3">
      <c r="A1200" s="17">
        <v>44350</v>
      </c>
      <c r="B1200">
        <v>-1.25</v>
      </c>
      <c r="C1200">
        <f t="shared" si="96"/>
        <v>3</v>
      </c>
      <c r="D1200">
        <v>1</v>
      </c>
      <c r="E1200">
        <f t="shared" si="97"/>
        <v>6</v>
      </c>
      <c r="F1200">
        <f t="shared" si="98"/>
        <v>2021</v>
      </c>
      <c r="H1200" s="17">
        <f t="shared" si="99"/>
        <v>44348</v>
      </c>
      <c r="J1200">
        <f t="shared" si="95"/>
        <v>1</v>
      </c>
      <c r="N1200" s="55"/>
    </row>
    <row r="1201" spans="1:14" x14ac:dyDescent="0.3">
      <c r="A1201" s="17">
        <v>44349</v>
      </c>
      <c r="B1201">
        <v>-1.35</v>
      </c>
      <c r="C1201">
        <f t="shared" si="96"/>
        <v>2</v>
      </c>
      <c r="D1201">
        <v>1</v>
      </c>
      <c r="E1201">
        <f t="shared" si="97"/>
        <v>6</v>
      </c>
      <c r="F1201">
        <f t="shared" si="98"/>
        <v>2021</v>
      </c>
      <c r="H1201" s="17">
        <f t="shared" si="99"/>
        <v>44348</v>
      </c>
      <c r="J1201">
        <f t="shared" si="95"/>
        <v>1</v>
      </c>
      <c r="N1201" s="55"/>
    </row>
    <row r="1202" spans="1:14" x14ac:dyDescent="0.3">
      <c r="A1202" s="17">
        <v>44348</v>
      </c>
      <c r="B1202">
        <v>-1.36</v>
      </c>
      <c r="C1202">
        <f t="shared" si="96"/>
        <v>1</v>
      </c>
      <c r="D1202">
        <v>1</v>
      </c>
      <c r="E1202">
        <f t="shared" si="97"/>
        <v>6</v>
      </c>
      <c r="F1202">
        <f t="shared" si="98"/>
        <v>2021</v>
      </c>
      <c r="H1202" s="17">
        <f t="shared" si="99"/>
        <v>44348</v>
      </c>
      <c r="J1202">
        <f t="shared" si="95"/>
        <v>1</v>
      </c>
      <c r="N1202" s="55"/>
    </row>
    <row r="1203" spans="1:14" x14ac:dyDescent="0.3">
      <c r="A1203" s="17">
        <v>44347</v>
      </c>
      <c r="B1203">
        <v>-1.24</v>
      </c>
      <c r="C1203">
        <f t="shared" si="96"/>
        <v>31</v>
      </c>
      <c r="D1203">
        <v>1</v>
      </c>
      <c r="E1203">
        <f t="shared" si="97"/>
        <v>5</v>
      </c>
      <c r="F1203">
        <f t="shared" si="98"/>
        <v>2021</v>
      </c>
      <c r="H1203" s="17">
        <f t="shared" si="99"/>
        <v>44317</v>
      </c>
      <c r="J1203">
        <f t="shared" si="95"/>
        <v>0</v>
      </c>
      <c r="N1203" s="55"/>
    </row>
    <row r="1204" spans="1:14" x14ac:dyDescent="0.3">
      <c r="A1204" s="17">
        <v>44344</v>
      </c>
      <c r="B1204">
        <v>-1.02</v>
      </c>
      <c r="C1204">
        <f t="shared" si="96"/>
        <v>28</v>
      </c>
      <c r="D1204">
        <v>1</v>
      </c>
      <c r="E1204">
        <f t="shared" si="97"/>
        <v>5</v>
      </c>
      <c r="F1204">
        <f t="shared" si="98"/>
        <v>2021</v>
      </c>
      <c r="H1204" s="17">
        <f t="shared" si="99"/>
        <v>44317</v>
      </c>
      <c r="J1204">
        <f t="shared" si="95"/>
        <v>0</v>
      </c>
      <c r="N1204" s="55"/>
    </row>
    <row r="1205" spans="1:14" x14ac:dyDescent="0.3">
      <c r="A1205" s="17">
        <v>44343</v>
      </c>
      <c r="B1205">
        <v>-1.21</v>
      </c>
      <c r="C1205">
        <f t="shared" si="96"/>
        <v>27</v>
      </c>
      <c r="D1205">
        <v>1</v>
      </c>
      <c r="E1205">
        <f t="shared" si="97"/>
        <v>5</v>
      </c>
      <c r="F1205">
        <f t="shared" si="98"/>
        <v>2021</v>
      </c>
      <c r="H1205" s="17">
        <f t="shared" si="99"/>
        <v>44317</v>
      </c>
      <c r="J1205">
        <f t="shared" si="95"/>
        <v>0</v>
      </c>
      <c r="N1205" s="55"/>
    </row>
    <row r="1206" spans="1:14" x14ac:dyDescent="0.3">
      <c r="A1206" s="17">
        <v>44341</v>
      </c>
      <c r="B1206">
        <v>-1.1599999999999999</v>
      </c>
      <c r="C1206">
        <f t="shared" si="96"/>
        <v>25</v>
      </c>
      <c r="D1206">
        <v>1</v>
      </c>
      <c r="E1206">
        <f t="shared" si="97"/>
        <v>5</v>
      </c>
      <c r="F1206">
        <f t="shared" si="98"/>
        <v>2021</v>
      </c>
      <c r="H1206" s="17">
        <f t="shared" si="99"/>
        <v>44317</v>
      </c>
      <c r="J1206">
        <f t="shared" si="95"/>
        <v>0</v>
      </c>
      <c r="N1206" s="55"/>
    </row>
    <row r="1207" spans="1:14" x14ac:dyDescent="0.3">
      <c r="A1207" s="17">
        <v>44340</v>
      </c>
      <c r="B1207">
        <v>-1.35</v>
      </c>
      <c r="C1207">
        <f t="shared" si="96"/>
        <v>24</v>
      </c>
      <c r="D1207">
        <v>1</v>
      </c>
      <c r="E1207">
        <f t="shared" si="97"/>
        <v>5</v>
      </c>
      <c r="F1207">
        <f t="shared" si="98"/>
        <v>2021</v>
      </c>
      <c r="H1207" s="17">
        <f t="shared" si="99"/>
        <v>44317</v>
      </c>
      <c r="J1207">
        <f t="shared" si="95"/>
        <v>0</v>
      </c>
      <c r="N1207" s="55"/>
    </row>
    <row r="1208" spans="1:14" x14ac:dyDescent="0.3">
      <c r="A1208" s="17">
        <v>44337</v>
      </c>
      <c r="B1208">
        <v>-1.02</v>
      </c>
      <c r="C1208">
        <f t="shared" si="96"/>
        <v>21</v>
      </c>
      <c r="D1208">
        <v>1</v>
      </c>
      <c r="E1208">
        <f t="shared" si="97"/>
        <v>5</v>
      </c>
      <c r="F1208">
        <f t="shared" si="98"/>
        <v>2021</v>
      </c>
      <c r="H1208" s="17">
        <f t="shared" si="99"/>
        <v>44317</v>
      </c>
      <c r="J1208">
        <f t="shared" si="95"/>
        <v>0</v>
      </c>
      <c r="N1208" s="55"/>
    </row>
    <row r="1209" spans="1:14" x14ac:dyDescent="0.3">
      <c r="A1209" s="17">
        <v>44336</v>
      </c>
      <c r="B1209">
        <v>-0.95</v>
      </c>
      <c r="C1209">
        <f t="shared" si="96"/>
        <v>20</v>
      </c>
      <c r="D1209">
        <v>1</v>
      </c>
      <c r="E1209">
        <f t="shared" si="97"/>
        <v>5</v>
      </c>
      <c r="F1209">
        <f t="shared" si="98"/>
        <v>2021</v>
      </c>
      <c r="H1209" s="17">
        <f t="shared" si="99"/>
        <v>44317</v>
      </c>
      <c r="J1209">
        <f t="shared" si="95"/>
        <v>0</v>
      </c>
      <c r="N1209" s="55"/>
    </row>
    <row r="1210" spans="1:14" x14ac:dyDescent="0.3">
      <c r="A1210" s="17">
        <v>44335</v>
      </c>
      <c r="B1210">
        <v>-1.4</v>
      </c>
      <c r="C1210">
        <f t="shared" si="96"/>
        <v>19</v>
      </c>
      <c r="D1210">
        <v>1</v>
      </c>
      <c r="E1210">
        <f t="shared" si="97"/>
        <v>5</v>
      </c>
      <c r="F1210">
        <f t="shared" si="98"/>
        <v>2021</v>
      </c>
      <c r="H1210" s="17">
        <f t="shared" si="99"/>
        <v>44317</v>
      </c>
      <c r="J1210">
        <f t="shared" si="95"/>
        <v>0</v>
      </c>
      <c r="N1210" s="55"/>
    </row>
    <row r="1211" spans="1:14" x14ac:dyDescent="0.3">
      <c r="A1211" s="17">
        <v>44334</v>
      </c>
      <c r="B1211">
        <v>-1.55</v>
      </c>
      <c r="C1211">
        <f t="shared" si="96"/>
        <v>18</v>
      </c>
      <c r="D1211">
        <v>1</v>
      </c>
      <c r="E1211">
        <f t="shared" si="97"/>
        <v>5</v>
      </c>
      <c r="F1211">
        <f t="shared" si="98"/>
        <v>2021</v>
      </c>
      <c r="H1211" s="17">
        <f t="shared" si="99"/>
        <v>44317</v>
      </c>
      <c r="J1211">
        <f t="shared" si="95"/>
        <v>0</v>
      </c>
      <c r="N1211" s="55"/>
    </row>
    <row r="1212" spans="1:14" x14ac:dyDescent="0.3">
      <c r="A1212" s="17">
        <v>44333</v>
      </c>
      <c r="B1212">
        <v>-1.58</v>
      </c>
      <c r="C1212">
        <f t="shared" si="96"/>
        <v>17</v>
      </c>
      <c r="D1212">
        <v>1</v>
      </c>
      <c r="E1212">
        <f t="shared" si="97"/>
        <v>5</v>
      </c>
      <c r="F1212">
        <f t="shared" si="98"/>
        <v>2021</v>
      </c>
      <c r="H1212" s="17">
        <f t="shared" si="99"/>
        <v>44317</v>
      </c>
      <c r="J1212">
        <f t="shared" si="95"/>
        <v>0</v>
      </c>
      <c r="N1212" s="55"/>
    </row>
    <row r="1213" spans="1:14" x14ac:dyDescent="0.3">
      <c r="A1213" s="17">
        <v>44330</v>
      </c>
      <c r="B1213">
        <v>-1.18</v>
      </c>
      <c r="C1213">
        <f t="shared" si="96"/>
        <v>14</v>
      </c>
      <c r="D1213">
        <v>1</v>
      </c>
      <c r="E1213">
        <f t="shared" si="97"/>
        <v>5</v>
      </c>
      <c r="F1213">
        <f t="shared" si="98"/>
        <v>2021</v>
      </c>
      <c r="H1213" s="17">
        <f t="shared" si="99"/>
        <v>44317</v>
      </c>
      <c r="J1213">
        <f t="shared" si="95"/>
        <v>0</v>
      </c>
      <c r="N1213" s="55"/>
    </row>
    <row r="1214" spans="1:14" x14ac:dyDescent="0.3">
      <c r="A1214" s="17">
        <v>44328</v>
      </c>
      <c r="B1214">
        <v>-1.36</v>
      </c>
      <c r="C1214">
        <f t="shared" si="96"/>
        <v>12</v>
      </c>
      <c r="D1214">
        <v>1</v>
      </c>
      <c r="E1214">
        <f t="shared" si="97"/>
        <v>5</v>
      </c>
      <c r="F1214">
        <f t="shared" si="98"/>
        <v>2021</v>
      </c>
      <c r="H1214" s="17">
        <f t="shared" si="99"/>
        <v>44317</v>
      </c>
      <c r="J1214">
        <f t="shared" si="95"/>
        <v>0</v>
      </c>
      <c r="N1214" s="55"/>
    </row>
    <row r="1215" spans="1:14" x14ac:dyDescent="0.3">
      <c r="A1215" s="17">
        <v>44327</v>
      </c>
      <c r="B1215">
        <v>-1.58</v>
      </c>
      <c r="C1215">
        <f t="shared" si="96"/>
        <v>11</v>
      </c>
      <c r="D1215">
        <v>1</v>
      </c>
      <c r="E1215">
        <f t="shared" si="97"/>
        <v>5</v>
      </c>
      <c r="F1215">
        <f t="shared" si="98"/>
        <v>2021</v>
      </c>
      <c r="H1215" s="17">
        <f t="shared" si="99"/>
        <v>44317</v>
      </c>
      <c r="J1215">
        <f t="shared" si="95"/>
        <v>0</v>
      </c>
      <c r="N1215" s="55"/>
    </row>
    <row r="1216" spans="1:14" x14ac:dyDescent="0.3">
      <c r="A1216" s="17">
        <v>44326</v>
      </c>
      <c r="B1216">
        <v>-1.35</v>
      </c>
      <c r="C1216">
        <f t="shared" si="96"/>
        <v>10</v>
      </c>
      <c r="D1216">
        <v>1</v>
      </c>
      <c r="E1216">
        <f t="shared" si="97"/>
        <v>5</v>
      </c>
      <c r="F1216">
        <f t="shared" si="98"/>
        <v>2021</v>
      </c>
      <c r="H1216" s="17">
        <f t="shared" si="99"/>
        <v>44317</v>
      </c>
      <c r="J1216">
        <f t="shared" si="95"/>
        <v>0</v>
      </c>
      <c r="N1216" s="55"/>
    </row>
    <row r="1217" spans="1:14" x14ac:dyDescent="0.3">
      <c r="A1217" s="17">
        <v>44323</v>
      </c>
      <c r="B1217">
        <v>-1.44</v>
      </c>
      <c r="C1217">
        <f t="shared" si="96"/>
        <v>7</v>
      </c>
      <c r="D1217">
        <v>1</v>
      </c>
      <c r="E1217">
        <f t="shared" si="97"/>
        <v>5</v>
      </c>
      <c r="F1217">
        <f t="shared" si="98"/>
        <v>2021</v>
      </c>
      <c r="H1217" s="17">
        <f t="shared" si="99"/>
        <v>44317</v>
      </c>
      <c r="J1217">
        <f t="shared" si="95"/>
        <v>0</v>
      </c>
      <c r="N1217" s="55"/>
    </row>
    <row r="1218" spans="1:14" x14ac:dyDescent="0.3">
      <c r="A1218" s="17">
        <v>44322</v>
      </c>
      <c r="B1218">
        <v>-1.72</v>
      </c>
      <c r="C1218">
        <f t="shared" si="96"/>
        <v>6</v>
      </c>
      <c r="D1218">
        <v>1</v>
      </c>
      <c r="E1218">
        <f t="shared" si="97"/>
        <v>5</v>
      </c>
      <c r="F1218">
        <f t="shared" si="98"/>
        <v>2021</v>
      </c>
      <c r="H1218" s="17">
        <f t="shared" si="99"/>
        <v>44317</v>
      </c>
      <c r="J1218">
        <f t="shared" si="95"/>
        <v>0</v>
      </c>
      <c r="N1218" s="55"/>
    </row>
    <row r="1219" spans="1:14" x14ac:dyDescent="0.3">
      <c r="A1219" s="17">
        <v>44321</v>
      </c>
      <c r="B1219">
        <v>-1.26</v>
      </c>
      <c r="C1219">
        <f t="shared" si="96"/>
        <v>5</v>
      </c>
      <c r="D1219">
        <v>1</v>
      </c>
      <c r="E1219">
        <f t="shared" si="97"/>
        <v>5</v>
      </c>
      <c r="F1219">
        <f t="shared" si="98"/>
        <v>2021</v>
      </c>
      <c r="H1219" s="17">
        <f t="shared" si="99"/>
        <v>44317</v>
      </c>
      <c r="J1219">
        <f t="shared" si="95"/>
        <v>0</v>
      </c>
      <c r="N1219" s="55"/>
    </row>
    <row r="1220" spans="1:14" x14ac:dyDescent="0.3">
      <c r="A1220" s="17">
        <v>44320</v>
      </c>
      <c r="B1220">
        <v>-1.1200000000000001</v>
      </c>
      <c r="C1220">
        <f t="shared" si="96"/>
        <v>4</v>
      </c>
      <c r="D1220">
        <v>1</v>
      </c>
      <c r="E1220">
        <f t="shared" si="97"/>
        <v>5</v>
      </c>
      <c r="F1220">
        <f t="shared" si="98"/>
        <v>2021</v>
      </c>
      <c r="H1220" s="17">
        <f t="shared" si="99"/>
        <v>44317</v>
      </c>
      <c r="J1220">
        <f t="shared" si="95"/>
        <v>1</v>
      </c>
      <c r="N1220" s="55"/>
    </row>
    <row r="1221" spans="1:14" x14ac:dyDescent="0.3">
      <c r="A1221" s="17">
        <v>44319</v>
      </c>
      <c r="B1221">
        <v>-1.36</v>
      </c>
      <c r="C1221">
        <f t="shared" si="96"/>
        <v>3</v>
      </c>
      <c r="D1221">
        <v>1</v>
      </c>
      <c r="E1221">
        <f t="shared" si="97"/>
        <v>5</v>
      </c>
      <c r="F1221">
        <f t="shared" si="98"/>
        <v>2021</v>
      </c>
      <c r="H1221" s="17">
        <f t="shared" si="99"/>
        <v>44317</v>
      </c>
      <c r="J1221">
        <f t="shared" si="95"/>
        <v>1</v>
      </c>
      <c r="N1221" s="55"/>
    </row>
    <row r="1222" spans="1:14" x14ac:dyDescent="0.3">
      <c r="A1222" s="17">
        <v>44316</v>
      </c>
      <c r="B1222">
        <v>-1.0900000000000001</v>
      </c>
      <c r="C1222">
        <f t="shared" si="96"/>
        <v>30</v>
      </c>
      <c r="D1222">
        <v>1</v>
      </c>
      <c r="E1222">
        <f t="shared" si="97"/>
        <v>4</v>
      </c>
      <c r="F1222">
        <f t="shared" si="98"/>
        <v>2021</v>
      </c>
      <c r="H1222" s="17">
        <f t="shared" si="99"/>
        <v>44287</v>
      </c>
      <c r="J1222">
        <f t="shared" si="95"/>
        <v>0</v>
      </c>
      <c r="N1222" s="55"/>
    </row>
    <row r="1223" spans="1:14" x14ac:dyDescent="0.3">
      <c r="A1223" s="17">
        <v>44315</v>
      </c>
      <c r="B1223">
        <v>-1.39</v>
      </c>
      <c r="C1223">
        <f t="shared" si="96"/>
        <v>29</v>
      </c>
      <c r="D1223">
        <v>1</v>
      </c>
      <c r="E1223">
        <f t="shared" si="97"/>
        <v>4</v>
      </c>
      <c r="F1223">
        <f t="shared" si="98"/>
        <v>2021</v>
      </c>
      <c r="H1223" s="17">
        <f t="shared" si="99"/>
        <v>44287</v>
      </c>
      <c r="J1223">
        <f t="shared" si="95"/>
        <v>0</v>
      </c>
      <c r="N1223" s="55"/>
    </row>
    <row r="1224" spans="1:14" x14ac:dyDescent="0.3">
      <c r="A1224" s="17">
        <v>44314</v>
      </c>
      <c r="B1224">
        <v>-1.31</v>
      </c>
      <c r="C1224">
        <f t="shared" si="96"/>
        <v>28</v>
      </c>
      <c r="D1224">
        <v>1</v>
      </c>
      <c r="E1224">
        <f t="shared" si="97"/>
        <v>4</v>
      </c>
      <c r="F1224">
        <f t="shared" si="98"/>
        <v>2021</v>
      </c>
      <c r="H1224" s="17">
        <f t="shared" si="99"/>
        <v>44287</v>
      </c>
      <c r="J1224">
        <f t="shared" si="95"/>
        <v>0</v>
      </c>
      <c r="N1224" s="55"/>
    </row>
    <row r="1225" spans="1:14" x14ac:dyDescent="0.3">
      <c r="A1225" s="17">
        <v>44313</v>
      </c>
      <c r="B1225">
        <v>-1.34</v>
      </c>
      <c r="C1225">
        <f t="shared" si="96"/>
        <v>27</v>
      </c>
      <c r="D1225">
        <v>1</v>
      </c>
      <c r="E1225">
        <f t="shared" si="97"/>
        <v>4</v>
      </c>
      <c r="F1225">
        <f t="shared" si="98"/>
        <v>2021</v>
      </c>
      <c r="H1225" s="17">
        <f t="shared" si="99"/>
        <v>44287</v>
      </c>
      <c r="J1225">
        <f t="shared" ref="J1225:J1287" si="100">IF(AND(C1225&gt;=1, C1225&lt;=4), 1, 0)</f>
        <v>0</v>
      </c>
      <c r="N1225" s="55"/>
    </row>
    <row r="1226" spans="1:14" x14ac:dyDescent="0.3">
      <c r="A1226" s="17">
        <v>44312</v>
      </c>
      <c r="B1226">
        <v>-1.5</v>
      </c>
      <c r="C1226">
        <f t="shared" ref="C1226:C1287" si="101">+DAY(A1226)</f>
        <v>26</v>
      </c>
      <c r="D1226">
        <v>1</v>
      </c>
      <c r="E1226">
        <f t="shared" ref="E1226:E1287" si="102">+MONTH(A1226)</f>
        <v>4</v>
      </c>
      <c r="F1226">
        <f t="shared" ref="F1226:F1287" si="103">+YEAR(A1226)</f>
        <v>2021</v>
      </c>
      <c r="H1226" s="17">
        <f t="shared" ref="H1226:H1287" si="104">+DATE(F1226,E1226,D1226)</f>
        <v>44287</v>
      </c>
      <c r="J1226">
        <f t="shared" si="100"/>
        <v>0</v>
      </c>
      <c r="N1226" s="55"/>
    </row>
    <row r="1227" spans="1:14" x14ac:dyDescent="0.3">
      <c r="A1227" s="17">
        <v>44309</v>
      </c>
      <c r="B1227">
        <v>-1.81</v>
      </c>
      <c r="C1227">
        <f t="shared" si="101"/>
        <v>23</v>
      </c>
      <c r="D1227">
        <v>1</v>
      </c>
      <c r="E1227">
        <f t="shared" si="102"/>
        <v>4</v>
      </c>
      <c r="F1227">
        <f t="shared" si="103"/>
        <v>2021</v>
      </c>
      <c r="H1227" s="17">
        <f t="shared" si="104"/>
        <v>44287</v>
      </c>
      <c r="J1227">
        <f t="shared" si="100"/>
        <v>0</v>
      </c>
      <c r="N1227" s="55"/>
    </row>
    <row r="1228" spans="1:14" x14ac:dyDescent="0.3">
      <c r="A1228" s="17">
        <v>44308</v>
      </c>
      <c r="B1228">
        <v>-1.72</v>
      </c>
      <c r="C1228">
        <f t="shared" si="101"/>
        <v>22</v>
      </c>
      <c r="D1228">
        <v>1</v>
      </c>
      <c r="E1228">
        <f t="shared" si="102"/>
        <v>4</v>
      </c>
      <c r="F1228">
        <f t="shared" si="103"/>
        <v>2021</v>
      </c>
      <c r="H1228" s="17">
        <f t="shared" si="104"/>
        <v>44287</v>
      </c>
      <c r="J1228">
        <f t="shared" si="100"/>
        <v>0</v>
      </c>
      <c r="N1228" s="55"/>
    </row>
    <row r="1229" spans="1:14" x14ac:dyDescent="0.3">
      <c r="A1229" s="17">
        <v>44307</v>
      </c>
      <c r="B1229">
        <v>-1.87</v>
      </c>
      <c r="C1229">
        <f t="shared" si="101"/>
        <v>21</v>
      </c>
      <c r="D1229">
        <v>1</v>
      </c>
      <c r="E1229">
        <f t="shared" si="102"/>
        <v>4</v>
      </c>
      <c r="F1229">
        <f t="shared" si="103"/>
        <v>2021</v>
      </c>
      <c r="H1229" s="17">
        <f t="shared" si="104"/>
        <v>44287</v>
      </c>
      <c r="J1229">
        <f t="shared" si="100"/>
        <v>0</v>
      </c>
      <c r="N1229" s="55"/>
    </row>
    <row r="1230" spans="1:14" x14ac:dyDescent="0.3">
      <c r="A1230" s="17">
        <v>44306</v>
      </c>
      <c r="B1230">
        <v>-2.2000000000000002</v>
      </c>
      <c r="C1230">
        <f t="shared" si="101"/>
        <v>20</v>
      </c>
      <c r="D1230">
        <v>1</v>
      </c>
      <c r="E1230">
        <f t="shared" si="102"/>
        <v>4</v>
      </c>
      <c r="F1230">
        <f t="shared" si="103"/>
        <v>2021</v>
      </c>
      <c r="H1230" s="17">
        <f t="shared" si="104"/>
        <v>44287</v>
      </c>
      <c r="J1230">
        <f t="shared" si="100"/>
        <v>0</v>
      </c>
      <c r="N1230" s="55"/>
    </row>
    <row r="1231" spans="1:14" x14ac:dyDescent="0.3">
      <c r="A1231" s="17">
        <v>44305</v>
      </c>
      <c r="B1231">
        <v>-1.69</v>
      </c>
      <c r="C1231">
        <f t="shared" si="101"/>
        <v>19</v>
      </c>
      <c r="D1231">
        <v>1</v>
      </c>
      <c r="E1231">
        <f t="shared" si="102"/>
        <v>4</v>
      </c>
      <c r="F1231">
        <f t="shared" si="103"/>
        <v>2021</v>
      </c>
      <c r="H1231" s="17">
        <f t="shared" si="104"/>
        <v>44287</v>
      </c>
      <c r="J1231">
        <f t="shared" si="100"/>
        <v>0</v>
      </c>
      <c r="N1231" s="55"/>
    </row>
    <row r="1232" spans="1:14" x14ac:dyDescent="0.3">
      <c r="A1232" s="17">
        <v>44302</v>
      </c>
      <c r="B1232">
        <v>-1.1599999999999999</v>
      </c>
      <c r="C1232">
        <f t="shared" si="101"/>
        <v>16</v>
      </c>
      <c r="D1232">
        <v>1</v>
      </c>
      <c r="E1232">
        <f t="shared" si="102"/>
        <v>4</v>
      </c>
      <c r="F1232">
        <f t="shared" si="103"/>
        <v>2021</v>
      </c>
      <c r="H1232" s="17">
        <f t="shared" si="104"/>
        <v>44287</v>
      </c>
      <c r="J1232">
        <f t="shared" si="100"/>
        <v>0</v>
      </c>
      <c r="N1232" s="55"/>
    </row>
    <row r="1233" spans="1:14" x14ac:dyDescent="0.3">
      <c r="A1233" s="17">
        <v>44301</v>
      </c>
      <c r="B1233">
        <v>-1.81</v>
      </c>
      <c r="C1233">
        <f t="shared" si="101"/>
        <v>15</v>
      </c>
      <c r="D1233">
        <v>1</v>
      </c>
      <c r="E1233">
        <f t="shared" si="102"/>
        <v>4</v>
      </c>
      <c r="F1233">
        <f t="shared" si="103"/>
        <v>2021</v>
      </c>
      <c r="H1233" s="17">
        <f t="shared" si="104"/>
        <v>44287</v>
      </c>
      <c r="J1233">
        <f t="shared" si="100"/>
        <v>0</v>
      </c>
      <c r="N1233" s="55"/>
    </row>
    <row r="1234" spans="1:14" x14ac:dyDescent="0.3">
      <c r="A1234" s="17">
        <v>44300</v>
      </c>
      <c r="B1234">
        <v>-1.4</v>
      </c>
      <c r="C1234">
        <f t="shared" si="101"/>
        <v>14</v>
      </c>
      <c r="D1234">
        <v>1</v>
      </c>
      <c r="E1234">
        <f t="shared" si="102"/>
        <v>4</v>
      </c>
      <c r="F1234">
        <f t="shared" si="103"/>
        <v>2021</v>
      </c>
      <c r="H1234" s="17">
        <f t="shared" si="104"/>
        <v>44287</v>
      </c>
      <c r="J1234">
        <f t="shared" si="100"/>
        <v>0</v>
      </c>
      <c r="N1234" s="55"/>
    </row>
    <row r="1235" spans="1:14" x14ac:dyDescent="0.3">
      <c r="A1235" s="17">
        <v>44299</v>
      </c>
      <c r="B1235">
        <v>-1.21</v>
      </c>
      <c r="C1235">
        <f t="shared" si="101"/>
        <v>13</v>
      </c>
      <c r="D1235">
        <v>1</v>
      </c>
      <c r="E1235">
        <f t="shared" si="102"/>
        <v>4</v>
      </c>
      <c r="F1235">
        <f t="shared" si="103"/>
        <v>2021</v>
      </c>
      <c r="H1235" s="17">
        <f t="shared" si="104"/>
        <v>44287</v>
      </c>
      <c r="J1235">
        <f t="shared" si="100"/>
        <v>0</v>
      </c>
      <c r="N1235" s="55"/>
    </row>
    <row r="1236" spans="1:14" x14ac:dyDescent="0.3">
      <c r="A1236" s="17">
        <v>44298</v>
      </c>
      <c r="B1236">
        <v>-0.73</v>
      </c>
      <c r="C1236">
        <f t="shared" si="101"/>
        <v>12</v>
      </c>
      <c r="D1236">
        <v>1</v>
      </c>
      <c r="E1236">
        <f t="shared" si="102"/>
        <v>4</v>
      </c>
      <c r="F1236">
        <f t="shared" si="103"/>
        <v>2021</v>
      </c>
      <c r="H1236" s="17">
        <f t="shared" si="104"/>
        <v>44287</v>
      </c>
      <c r="J1236">
        <f t="shared" si="100"/>
        <v>0</v>
      </c>
      <c r="N1236" s="55"/>
    </row>
    <row r="1237" spans="1:14" x14ac:dyDescent="0.3">
      <c r="A1237" s="17">
        <v>44295</v>
      </c>
      <c r="B1237">
        <v>-0.47</v>
      </c>
      <c r="C1237">
        <f t="shared" si="101"/>
        <v>9</v>
      </c>
      <c r="D1237">
        <v>1</v>
      </c>
      <c r="E1237">
        <f t="shared" si="102"/>
        <v>4</v>
      </c>
      <c r="F1237">
        <f t="shared" si="103"/>
        <v>2021</v>
      </c>
      <c r="H1237" s="17">
        <f t="shared" si="104"/>
        <v>44287</v>
      </c>
      <c r="J1237">
        <f t="shared" si="100"/>
        <v>0</v>
      </c>
      <c r="N1237" s="55"/>
    </row>
    <row r="1238" spans="1:14" x14ac:dyDescent="0.3">
      <c r="A1238" s="17">
        <v>44294</v>
      </c>
      <c r="B1238">
        <v>-0.37</v>
      </c>
      <c r="C1238">
        <f t="shared" si="101"/>
        <v>8</v>
      </c>
      <c r="D1238">
        <v>1</v>
      </c>
      <c r="E1238">
        <f t="shared" si="102"/>
        <v>4</v>
      </c>
      <c r="F1238">
        <f t="shared" si="103"/>
        <v>2021</v>
      </c>
      <c r="H1238" s="17">
        <f t="shared" si="104"/>
        <v>44287</v>
      </c>
      <c r="J1238">
        <f t="shared" si="100"/>
        <v>0</v>
      </c>
      <c r="N1238" s="55"/>
    </row>
    <row r="1239" spans="1:14" x14ac:dyDescent="0.3">
      <c r="A1239" s="17">
        <v>44293</v>
      </c>
      <c r="B1239">
        <v>-0.5</v>
      </c>
      <c r="C1239">
        <f t="shared" si="101"/>
        <v>7</v>
      </c>
      <c r="D1239">
        <v>1</v>
      </c>
      <c r="E1239">
        <f t="shared" si="102"/>
        <v>4</v>
      </c>
      <c r="F1239">
        <f t="shared" si="103"/>
        <v>2021</v>
      </c>
      <c r="H1239" s="17">
        <f t="shared" si="104"/>
        <v>44287</v>
      </c>
      <c r="J1239">
        <f t="shared" si="100"/>
        <v>0</v>
      </c>
      <c r="N1239" s="55"/>
    </row>
    <row r="1240" spans="1:14" x14ac:dyDescent="0.3">
      <c r="A1240" s="17">
        <v>44292</v>
      </c>
      <c r="B1240">
        <v>-0.41</v>
      </c>
      <c r="C1240">
        <f t="shared" si="101"/>
        <v>6</v>
      </c>
      <c r="D1240">
        <v>1</v>
      </c>
      <c r="E1240">
        <f t="shared" si="102"/>
        <v>4</v>
      </c>
      <c r="F1240">
        <f t="shared" si="103"/>
        <v>2021</v>
      </c>
      <c r="H1240" s="17">
        <f t="shared" si="104"/>
        <v>44287</v>
      </c>
      <c r="J1240">
        <f t="shared" si="100"/>
        <v>0</v>
      </c>
      <c r="N1240" s="55"/>
    </row>
    <row r="1241" spans="1:14" x14ac:dyDescent="0.3">
      <c r="A1241" s="17">
        <v>44291</v>
      </c>
      <c r="B1241">
        <v>-0.55000000000000004</v>
      </c>
      <c r="C1241">
        <f t="shared" si="101"/>
        <v>5</v>
      </c>
      <c r="D1241">
        <v>1</v>
      </c>
      <c r="E1241">
        <f t="shared" si="102"/>
        <v>4</v>
      </c>
      <c r="F1241">
        <f t="shared" si="103"/>
        <v>2021</v>
      </c>
      <c r="H1241" s="17">
        <f t="shared" si="104"/>
        <v>44287</v>
      </c>
      <c r="J1241">
        <f t="shared" si="100"/>
        <v>0</v>
      </c>
      <c r="N1241" s="55"/>
    </row>
    <row r="1242" spans="1:14" x14ac:dyDescent="0.3">
      <c r="A1242" s="17">
        <v>44287</v>
      </c>
      <c r="B1242">
        <v>-0.77</v>
      </c>
      <c r="C1242">
        <f t="shared" si="101"/>
        <v>1</v>
      </c>
      <c r="D1242">
        <v>1</v>
      </c>
      <c r="E1242">
        <f t="shared" si="102"/>
        <v>4</v>
      </c>
      <c r="F1242">
        <f t="shared" si="103"/>
        <v>2021</v>
      </c>
      <c r="H1242" s="17">
        <f t="shared" si="104"/>
        <v>44287</v>
      </c>
      <c r="J1242">
        <f t="shared" si="100"/>
        <v>1</v>
      </c>
      <c r="N1242" s="55"/>
    </row>
    <row r="1243" spans="1:14" x14ac:dyDescent="0.3">
      <c r="A1243" s="17">
        <v>44286</v>
      </c>
      <c r="B1243">
        <v>-0.8</v>
      </c>
      <c r="C1243">
        <f t="shared" si="101"/>
        <v>31</v>
      </c>
      <c r="D1243">
        <v>1</v>
      </c>
      <c r="E1243">
        <f t="shared" si="102"/>
        <v>3</v>
      </c>
      <c r="F1243">
        <f t="shared" si="103"/>
        <v>2021</v>
      </c>
      <c r="H1243" s="17">
        <f t="shared" si="104"/>
        <v>44256</v>
      </c>
      <c r="J1243">
        <f t="shared" si="100"/>
        <v>0</v>
      </c>
      <c r="N1243" s="55"/>
    </row>
    <row r="1244" spans="1:14" x14ac:dyDescent="0.3">
      <c r="A1244" s="17">
        <v>44285</v>
      </c>
      <c r="B1244">
        <v>-1.1399999999999999</v>
      </c>
      <c r="C1244">
        <f t="shared" si="101"/>
        <v>30</v>
      </c>
      <c r="D1244">
        <v>1</v>
      </c>
      <c r="E1244">
        <f t="shared" si="102"/>
        <v>3</v>
      </c>
      <c r="F1244">
        <f t="shared" si="103"/>
        <v>2021</v>
      </c>
      <c r="H1244" s="17">
        <f t="shared" si="104"/>
        <v>44256</v>
      </c>
      <c r="J1244">
        <f t="shared" si="100"/>
        <v>0</v>
      </c>
      <c r="N1244" s="55"/>
    </row>
    <row r="1245" spans="1:14" x14ac:dyDescent="0.3">
      <c r="A1245" s="17">
        <v>44284</v>
      </c>
      <c r="B1245">
        <v>-0.96</v>
      </c>
      <c r="C1245">
        <f t="shared" si="101"/>
        <v>29</v>
      </c>
      <c r="D1245">
        <v>1</v>
      </c>
      <c r="E1245">
        <f t="shared" si="102"/>
        <v>3</v>
      </c>
      <c r="F1245">
        <f t="shared" si="103"/>
        <v>2021</v>
      </c>
      <c r="H1245" s="17">
        <f t="shared" si="104"/>
        <v>44256</v>
      </c>
      <c r="J1245">
        <f t="shared" si="100"/>
        <v>0</v>
      </c>
      <c r="N1245" s="55"/>
    </row>
    <row r="1246" spans="1:14" x14ac:dyDescent="0.3">
      <c r="A1246" s="17">
        <v>44281</v>
      </c>
      <c r="B1246">
        <v>0.25</v>
      </c>
      <c r="C1246">
        <f t="shared" si="101"/>
        <v>26</v>
      </c>
      <c r="D1246">
        <v>1</v>
      </c>
      <c r="E1246">
        <f t="shared" si="102"/>
        <v>3</v>
      </c>
      <c r="F1246">
        <f t="shared" si="103"/>
        <v>2021</v>
      </c>
      <c r="H1246" s="17">
        <f t="shared" si="104"/>
        <v>44256</v>
      </c>
      <c r="J1246">
        <f t="shared" si="100"/>
        <v>0</v>
      </c>
      <c r="N1246" s="55"/>
    </row>
    <row r="1247" spans="1:14" x14ac:dyDescent="0.3">
      <c r="A1247" s="17">
        <v>44280</v>
      </c>
      <c r="B1247">
        <v>-0.31</v>
      </c>
      <c r="C1247">
        <f t="shared" si="101"/>
        <v>25</v>
      </c>
      <c r="D1247">
        <v>1</v>
      </c>
      <c r="E1247">
        <f t="shared" si="102"/>
        <v>3</v>
      </c>
      <c r="F1247">
        <f t="shared" si="103"/>
        <v>2021</v>
      </c>
      <c r="H1247" s="17">
        <f t="shared" si="104"/>
        <v>44256</v>
      </c>
      <c r="J1247">
        <f t="shared" si="100"/>
        <v>0</v>
      </c>
      <c r="N1247" s="55"/>
    </row>
    <row r="1248" spans="1:14" x14ac:dyDescent="0.3">
      <c r="A1248" s="17">
        <v>44279</v>
      </c>
      <c r="B1248">
        <v>-0.26</v>
      </c>
      <c r="C1248">
        <f t="shared" si="101"/>
        <v>24</v>
      </c>
      <c r="D1248">
        <v>1</v>
      </c>
      <c r="E1248">
        <f t="shared" si="102"/>
        <v>3</v>
      </c>
      <c r="F1248">
        <f t="shared" si="103"/>
        <v>2021</v>
      </c>
      <c r="H1248" s="17">
        <f t="shared" si="104"/>
        <v>44256</v>
      </c>
      <c r="J1248">
        <f t="shared" si="100"/>
        <v>0</v>
      </c>
      <c r="N1248" s="55"/>
    </row>
    <row r="1249" spans="1:14" x14ac:dyDescent="0.3">
      <c r="A1249" s="17">
        <v>44278</v>
      </c>
      <c r="B1249">
        <v>-0.9</v>
      </c>
      <c r="C1249">
        <f t="shared" si="101"/>
        <v>23</v>
      </c>
      <c r="D1249">
        <v>1</v>
      </c>
      <c r="E1249">
        <f t="shared" si="102"/>
        <v>3</v>
      </c>
      <c r="F1249">
        <f t="shared" si="103"/>
        <v>2021</v>
      </c>
      <c r="H1249" s="17">
        <f t="shared" si="104"/>
        <v>44256</v>
      </c>
      <c r="J1249">
        <f t="shared" si="100"/>
        <v>0</v>
      </c>
      <c r="N1249" s="55"/>
    </row>
    <row r="1250" spans="1:14" x14ac:dyDescent="0.3">
      <c r="A1250" s="17">
        <v>44277</v>
      </c>
      <c r="B1250">
        <v>-0.57999999999999996</v>
      </c>
      <c r="C1250">
        <f t="shared" si="101"/>
        <v>22</v>
      </c>
      <c r="D1250">
        <v>1</v>
      </c>
      <c r="E1250">
        <f t="shared" si="102"/>
        <v>3</v>
      </c>
      <c r="F1250">
        <f t="shared" si="103"/>
        <v>2021</v>
      </c>
      <c r="H1250" s="17">
        <f t="shared" si="104"/>
        <v>44256</v>
      </c>
      <c r="J1250">
        <f t="shared" si="100"/>
        <v>0</v>
      </c>
      <c r="N1250" s="55"/>
    </row>
    <row r="1251" spans="1:14" x14ac:dyDescent="0.3">
      <c r="A1251" s="17">
        <v>44274</v>
      </c>
      <c r="B1251">
        <v>-0.23</v>
      </c>
      <c r="C1251">
        <f t="shared" si="101"/>
        <v>19</v>
      </c>
      <c r="D1251">
        <v>1</v>
      </c>
      <c r="E1251">
        <f t="shared" si="102"/>
        <v>3</v>
      </c>
      <c r="F1251">
        <f t="shared" si="103"/>
        <v>2021</v>
      </c>
      <c r="H1251" s="17">
        <f t="shared" si="104"/>
        <v>44256</v>
      </c>
      <c r="J1251">
        <f t="shared" si="100"/>
        <v>0</v>
      </c>
      <c r="N1251" s="55"/>
    </row>
    <row r="1252" spans="1:14" x14ac:dyDescent="0.3">
      <c r="A1252" s="17">
        <v>44273</v>
      </c>
      <c r="B1252">
        <v>-1.1100000000000001</v>
      </c>
      <c r="C1252">
        <f t="shared" si="101"/>
        <v>18</v>
      </c>
      <c r="D1252">
        <v>1</v>
      </c>
      <c r="E1252">
        <f t="shared" si="102"/>
        <v>3</v>
      </c>
      <c r="F1252">
        <f t="shared" si="103"/>
        <v>2021</v>
      </c>
      <c r="H1252" s="17">
        <f t="shared" si="104"/>
        <v>44256</v>
      </c>
      <c r="J1252">
        <f t="shared" si="100"/>
        <v>0</v>
      </c>
      <c r="N1252" s="55"/>
    </row>
    <row r="1253" spans="1:14" x14ac:dyDescent="0.3">
      <c r="A1253" s="17">
        <v>44272</v>
      </c>
      <c r="B1253">
        <v>-0.71</v>
      </c>
      <c r="C1253">
        <f t="shared" si="101"/>
        <v>17</v>
      </c>
      <c r="D1253">
        <v>1</v>
      </c>
      <c r="E1253">
        <f t="shared" si="102"/>
        <v>3</v>
      </c>
      <c r="F1253">
        <f t="shared" si="103"/>
        <v>2021</v>
      </c>
      <c r="H1253" s="17">
        <f t="shared" si="104"/>
        <v>44256</v>
      </c>
      <c r="J1253">
        <f t="shared" si="100"/>
        <v>0</v>
      </c>
      <c r="N1253" s="55"/>
    </row>
    <row r="1254" spans="1:14" x14ac:dyDescent="0.3">
      <c r="A1254" s="17">
        <v>44271</v>
      </c>
      <c r="B1254">
        <v>-0.52</v>
      </c>
      <c r="C1254">
        <f t="shared" si="101"/>
        <v>16</v>
      </c>
      <c r="D1254">
        <v>1</v>
      </c>
      <c r="E1254">
        <f t="shared" si="102"/>
        <v>3</v>
      </c>
      <c r="F1254">
        <f t="shared" si="103"/>
        <v>2021</v>
      </c>
      <c r="H1254" s="17">
        <f t="shared" si="104"/>
        <v>44256</v>
      </c>
      <c r="J1254">
        <f t="shared" si="100"/>
        <v>0</v>
      </c>
      <c r="N1254" s="55"/>
    </row>
    <row r="1255" spans="1:14" x14ac:dyDescent="0.3">
      <c r="A1255" s="17">
        <v>44270</v>
      </c>
      <c r="B1255">
        <v>-0.43</v>
      </c>
      <c r="C1255">
        <f t="shared" si="101"/>
        <v>15</v>
      </c>
      <c r="D1255">
        <v>1</v>
      </c>
      <c r="E1255">
        <f t="shared" si="102"/>
        <v>3</v>
      </c>
      <c r="F1255">
        <f t="shared" si="103"/>
        <v>2021</v>
      </c>
      <c r="H1255" s="17">
        <f t="shared" si="104"/>
        <v>44256</v>
      </c>
      <c r="J1255">
        <f t="shared" si="100"/>
        <v>0</v>
      </c>
      <c r="N1255" s="55"/>
    </row>
    <row r="1256" spans="1:14" x14ac:dyDescent="0.3">
      <c r="A1256" s="17">
        <v>44267</v>
      </c>
      <c r="B1256">
        <v>-0.8</v>
      </c>
      <c r="C1256">
        <f t="shared" si="101"/>
        <v>12</v>
      </c>
      <c r="D1256">
        <v>1</v>
      </c>
      <c r="E1256">
        <f t="shared" si="102"/>
        <v>3</v>
      </c>
      <c r="F1256">
        <f t="shared" si="103"/>
        <v>2021</v>
      </c>
      <c r="H1256" s="17">
        <f t="shared" si="104"/>
        <v>44256</v>
      </c>
      <c r="J1256">
        <f t="shared" si="100"/>
        <v>0</v>
      </c>
      <c r="N1256" s="55"/>
    </row>
    <row r="1257" spans="1:14" x14ac:dyDescent="0.3">
      <c r="A1257" s="17">
        <v>44266</v>
      </c>
      <c r="B1257">
        <v>-0.64</v>
      </c>
      <c r="C1257">
        <f t="shared" si="101"/>
        <v>11</v>
      </c>
      <c r="D1257">
        <v>1</v>
      </c>
      <c r="E1257">
        <f t="shared" si="102"/>
        <v>3</v>
      </c>
      <c r="F1257">
        <f t="shared" si="103"/>
        <v>2021</v>
      </c>
      <c r="H1257" s="17">
        <f t="shared" si="104"/>
        <v>44256</v>
      </c>
      <c r="J1257">
        <f t="shared" si="100"/>
        <v>0</v>
      </c>
      <c r="N1257" s="55"/>
    </row>
    <row r="1258" spans="1:14" x14ac:dyDescent="0.3">
      <c r="A1258" s="17">
        <v>44265</v>
      </c>
      <c r="B1258">
        <v>-0.46</v>
      </c>
      <c r="C1258">
        <f t="shared" si="101"/>
        <v>10</v>
      </c>
      <c r="D1258">
        <v>1</v>
      </c>
      <c r="E1258">
        <f t="shared" si="102"/>
        <v>3</v>
      </c>
      <c r="F1258">
        <f t="shared" si="103"/>
        <v>2021</v>
      </c>
      <c r="H1258" s="17">
        <f t="shared" si="104"/>
        <v>44256</v>
      </c>
      <c r="J1258">
        <f t="shared" si="100"/>
        <v>0</v>
      </c>
      <c r="N1258" s="55"/>
    </row>
    <row r="1259" spans="1:14" x14ac:dyDescent="0.3">
      <c r="A1259" s="17">
        <v>44264</v>
      </c>
      <c r="B1259">
        <v>-0.54</v>
      </c>
      <c r="C1259">
        <f t="shared" si="101"/>
        <v>9</v>
      </c>
      <c r="D1259">
        <v>1</v>
      </c>
      <c r="E1259">
        <f t="shared" si="102"/>
        <v>3</v>
      </c>
      <c r="F1259">
        <f t="shared" si="103"/>
        <v>2021</v>
      </c>
      <c r="H1259" s="17">
        <f t="shared" si="104"/>
        <v>44256</v>
      </c>
      <c r="J1259">
        <f t="shared" si="100"/>
        <v>0</v>
      </c>
      <c r="N1259" s="55"/>
    </row>
    <row r="1260" spans="1:14" x14ac:dyDescent="0.3">
      <c r="A1260" s="17">
        <v>44263</v>
      </c>
      <c r="B1260">
        <v>-0.92</v>
      </c>
      <c r="C1260">
        <f t="shared" si="101"/>
        <v>8</v>
      </c>
      <c r="D1260">
        <v>1</v>
      </c>
      <c r="E1260">
        <f t="shared" si="102"/>
        <v>3</v>
      </c>
      <c r="F1260">
        <f t="shared" si="103"/>
        <v>2021</v>
      </c>
      <c r="H1260" s="17">
        <f t="shared" si="104"/>
        <v>44256</v>
      </c>
      <c r="J1260">
        <f t="shared" si="100"/>
        <v>0</v>
      </c>
      <c r="N1260" s="55"/>
    </row>
    <row r="1261" spans="1:14" x14ac:dyDescent="0.3">
      <c r="A1261" s="17">
        <v>44260</v>
      </c>
      <c r="B1261">
        <v>-0.28999999999999998</v>
      </c>
      <c r="C1261">
        <f t="shared" si="101"/>
        <v>5</v>
      </c>
      <c r="D1261">
        <v>1</v>
      </c>
      <c r="E1261">
        <f t="shared" si="102"/>
        <v>3</v>
      </c>
      <c r="F1261">
        <f t="shared" si="103"/>
        <v>2021</v>
      </c>
      <c r="H1261" s="17">
        <f t="shared" si="104"/>
        <v>44256</v>
      </c>
      <c r="J1261">
        <f t="shared" si="100"/>
        <v>0</v>
      </c>
      <c r="N1261" s="55"/>
    </row>
    <row r="1262" spans="1:14" x14ac:dyDescent="0.3">
      <c r="A1262" s="17">
        <v>44259</v>
      </c>
      <c r="B1262">
        <v>0</v>
      </c>
      <c r="C1262">
        <f t="shared" si="101"/>
        <v>4</v>
      </c>
      <c r="D1262">
        <v>1</v>
      </c>
      <c r="E1262">
        <f t="shared" si="102"/>
        <v>3</v>
      </c>
      <c r="F1262">
        <f t="shared" si="103"/>
        <v>2021</v>
      </c>
      <c r="H1262" s="17">
        <f t="shared" si="104"/>
        <v>44256</v>
      </c>
      <c r="J1262">
        <f t="shared" si="100"/>
        <v>1</v>
      </c>
      <c r="N1262" s="55"/>
    </row>
    <row r="1263" spans="1:14" x14ac:dyDescent="0.3">
      <c r="A1263" s="17">
        <v>44258</v>
      </c>
      <c r="B1263">
        <v>0.19</v>
      </c>
      <c r="C1263">
        <f t="shared" si="101"/>
        <v>3</v>
      </c>
      <c r="D1263">
        <v>1</v>
      </c>
      <c r="E1263">
        <f t="shared" si="102"/>
        <v>3</v>
      </c>
      <c r="F1263">
        <f t="shared" si="103"/>
        <v>2021</v>
      </c>
      <c r="H1263" s="17">
        <f t="shared" si="104"/>
        <v>44256</v>
      </c>
      <c r="J1263">
        <f t="shared" si="100"/>
        <v>1</v>
      </c>
      <c r="N1263" s="55"/>
    </row>
    <row r="1264" spans="1:14" x14ac:dyDescent="0.3">
      <c r="A1264" s="17">
        <v>44257</v>
      </c>
      <c r="B1264">
        <v>0.37</v>
      </c>
      <c r="C1264">
        <f t="shared" si="101"/>
        <v>2</v>
      </c>
      <c r="D1264">
        <v>1</v>
      </c>
      <c r="E1264">
        <f t="shared" si="102"/>
        <v>3</v>
      </c>
      <c r="F1264">
        <f t="shared" si="103"/>
        <v>2021</v>
      </c>
      <c r="H1264" s="17">
        <f t="shared" si="104"/>
        <v>44256</v>
      </c>
      <c r="J1264">
        <f t="shared" si="100"/>
        <v>1</v>
      </c>
      <c r="N1264" s="55"/>
    </row>
    <row r="1265" spans="1:14" x14ac:dyDescent="0.3">
      <c r="A1265" s="17">
        <v>44256</v>
      </c>
      <c r="B1265">
        <v>0.26</v>
      </c>
      <c r="C1265">
        <f t="shared" si="101"/>
        <v>1</v>
      </c>
      <c r="D1265">
        <v>1</v>
      </c>
      <c r="E1265">
        <f t="shared" si="102"/>
        <v>3</v>
      </c>
      <c r="F1265">
        <f t="shared" si="103"/>
        <v>2021</v>
      </c>
      <c r="H1265" s="17">
        <f t="shared" si="104"/>
        <v>44256</v>
      </c>
      <c r="J1265">
        <f t="shared" si="100"/>
        <v>1</v>
      </c>
      <c r="N1265" s="55"/>
    </row>
    <row r="1266" spans="1:14" x14ac:dyDescent="0.3">
      <c r="A1266" s="17">
        <v>44253</v>
      </c>
      <c r="B1266">
        <v>-0.13</v>
      </c>
      <c r="C1266">
        <f t="shared" si="101"/>
        <v>26</v>
      </c>
      <c r="D1266">
        <v>1</v>
      </c>
      <c r="E1266">
        <f t="shared" si="102"/>
        <v>2</v>
      </c>
      <c r="F1266">
        <f t="shared" si="103"/>
        <v>2021</v>
      </c>
      <c r="H1266" s="17">
        <f t="shared" si="104"/>
        <v>44228</v>
      </c>
      <c r="J1266">
        <f t="shared" si="100"/>
        <v>0</v>
      </c>
      <c r="N1266" s="55"/>
    </row>
    <row r="1267" spans="1:14" x14ac:dyDescent="0.3">
      <c r="A1267" s="17">
        <v>44252</v>
      </c>
      <c r="B1267">
        <v>-0.34</v>
      </c>
      <c r="C1267">
        <f t="shared" si="101"/>
        <v>25</v>
      </c>
      <c r="D1267">
        <v>1</v>
      </c>
      <c r="E1267">
        <f t="shared" si="102"/>
        <v>2</v>
      </c>
      <c r="F1267">
        <f t="shared" si="103"/>
        <v>2021</v>
      </c>
      <c r="H1267" s="17">
        <f t="shared" si="104"/>
        <v>44228</v>
      </c>
      <c r="J1267">
        <f t="shared" si="100"/>
        <v>0</v>
      </c>
      <c r="N1267" s="55"/>
    </row>
    <row r="1268" spans="1:14" x14ac:dyDescent="0.3">
      <c r="A1268" s="17">
        <v>44251</v>
      </c>
      <c r="B1268">
        <v>-0.04</v>
      </c>
      <c r="C1268">
        <f t="shared" si="101"/>
        <v>24</v>
      </c>
      <c r="D1268">
        <v>1</v>
      </c>
      <c r="E1268">
        <f t="shared" si="102"/>
        <v>2</v>
      </c>
      <c r="F1268">
        <f t="shared" si="103"/>
        <v>2021</v>
      </c>
      <c r="H1268" s="17">
        <f t="shared" si="104"/>
        <v>44228</v>
      </c>
      <c r="J1268">
        <f t="shared" si="100"/>
        <v>0</v>
      </c>
      <c r="N1268" s="55"/>
    </row>
    <row r="1269" spans="1:14" x14ac:dyDescent="0.3">
      <c r="A1269" s="17">
        <v>44250</v>
      </c>
      <c r="B1269">
        <v>0.01</v>
      </c>
      <c r="C1269">
        <f t="shared" si="101"/>
        <v>23</v>
      </c>
      <c r="D1269">
        <v>1</v>
      </c>
      <c r="E1269">
        <f t="shared" si="102"/>
        <v>2</v>
      </c>
      <c r="F1269">
        <f t="shared" si="103"/>
        <v>2021</v>
      </c>
      <c r="H1269" s="17">
        <f t="shared" si="104"/>
        <v>44228</v>
      </c>
      <c r="J1269">
        <f t="shared" si="100"/>
        <v>0</v>
      </c>
      <c r="N1269" s="55"/>
    </row>
    <row r="1270" spans="1:14" x14ac:dyDescent="0.3">
      <c r="A1270" s="17">
        <v>44249</v>
      </c>
      <c r="B1270">
        <v>0.19</v>
      </c>
      <c r="C1270">
        <f t="shared" si="101"/>
        <v>22</v>
      </c>
      <c r="D1270">
        <v>1</v>
      </c>
      <c r="E1270">
        <f t="shared" si="102"/>
        <v>2</v>
      </c>
      <c r="F1270">
        <f t="shared" si="103"/>
        <v>2021</v>
      </c>
      <c r="H1270" s="17">
        <f t="shared" si="104"/>
        <v>44228</v>
      </c>
      <c r="J1270">
        <f t="shared" si="100"/>
        <v>0</v>
      </c>
      <c r="N1270" s="55"/>
    </row>
    <row r="1271" spans="1:14" x14ac:dyDescent="0.3">
      <c r="A1271" s="17">
        <v>44246</v>
      </c>
      <c r="B1271">
        <v>0.41</v>
      </c>
      <c r="C1271">
        <f t="shared" si="101"/>
        <v>19</v>
      </c>
      <c r="D1271">
        <v>1</v>
      </c>
      <c r="E1271">
        <f t="shared" si="102"/>
        <v>2</v>
      </c>
      <c r="F1271">
        <f t="shared" si="103"/>
        <v>2021</v>
      </c>
      <c r="H1271" s="17">
        <f t="shared" si="104"/>
        <v>44228</v>
      </c>
      <c r="J1271">
        <f t="shared" si="100"/>
        <v>0</v>
      </c>
      <c r="N1271" s="55"/>
    </row>
    <row r="1272" spans="1:14" x14ac:dyDescent="0.3">
      <c r="A1272" s="17">
        <v>44245</v>
      </c>
      <c r="B1272">
        <v>-0.62</v>
      </c>
      <c r="C1272">
        <f t="shared" si="101"/>
        <v>18</v>
      </c>
      <c r="D1272">
        <v>1</v>
      </c>
      <c r="E1272">
        <f t="shared" si="102"/>
        <v>2</v>
      </c>
      <c r="F1272">
        <f t="shared" si="103"/>
        <v>2021</v>
      </c>
      <c r="H1272" s="17">
        <f t="shared" si="104"/>
        <v>44228</v>
      </c>
      <c r="J1272">
        <f t="shared" si="100"/>
        <v>0</v>
      </c>
      <c r="N1272" s="55"/>
    </row>
    <row r="1273" spans="1:14" x14ac:dyDescent="0.3">
      <c r="A1273" s="17">
        <v>44244</v>
      </c>
      <c r="B1273">
        <v>-1.4</v>
      </c>
      <c r="C1273">
        <f t="shared" si="101"/>
        <v>17</v>
      </c>
      <c r="D1273">
        <v>1</v>
      </c>
      <c r="E1273">
        <f t="shared" si="102"/>
        <v>2</v>
      </c>
      <c r="F1273">
        <f t="shared" si="103"/>
        <v>2021</v>
      </c>
      <c r="H1273" s="17">
        <f t="shared" si="104"/>
        <v>44228</v>
      </c>
      <c r="J1273">
        <f t="shared" si="100"/>
        <v>0</v>
      </c>
      <c r="N1273" s="55"/>
    </row>
    <row r="1274" spans="1:14" x14ac:dyDescent="0.3">
      <c r="A1274" s="17">
        <v>44243</v>
      </c>
      <c r="B1274">
        <v>-1.56</v>
      </c>
      <c r="C1274">
        <f t="shared" si="101"/>
        <v>16</v>
      </c>
      <c r="D1274">
        <v>1</v>
      </c>
      <c r="E1274">
        <f t="shared" si="102"/>
        <v>2</v>
      </c>
      <c r="F1274">
        <f t="shared" si="103"/>
        <v>2021</v>
      </c>
      <c r="H1274" s="17">
        <f t="shared" si="104"/>
        <v>44228</v>
      </c>
      <c r="J1274">
        <f t="shared" si="100"/>
        <v>0</v>
      </c>
      <c r="N1274" s="55"/>
    </row>
    <row r="1275" spans="1:14" x14ac:dyDescent="0.3">
      <c r="A1275" s="17">
        <v>44242</v>
      </c>
      <c r="B1275">
        <v>-1.54</v>
      </c>
      <c r="C1275">
        <f t="shared" si="101"/>
        <v>15</v>
      </c>
      <c r="D1275">
        <v>1</v>
      </c>
      <c r="E1275">
        <f t="shared" si="102"/>
        <v>2</v>
      </c>
      <c r="F1275">
        <f t="shared" si="103"/>
        <v>2021</v>
      </c>
      <c r="H1275" s="17">
        <f t="shared" si="104"/>
        <v>44228</v>
      </c>
      <c r="J1275">
        <f t="shared" si="100"/>
        <v>0</v>
      </c>
      <c r="N1275" s="55"/>
    </row>
    <row r="1276" spans="1:14" x14ac:dyDescent="0.3">
      <c r="A1276" s="17">
        <v>44238</v>
      </c>
      <c r="B1276">
        <v>-2</v>
      </c>
      <c r="C1276">
        <f t="shared" si="101"/>
        <v>11</v>
      </c>
      <c r="D1276">
        <v>1</v>
      </c>
      <c r="E1276">
        <f t="shared" si="102"/>
        <v>2</v>
      </c>
      <c r="F1276">
        <f t="shared" si="103"/>
        <v>2021</v>
      </c>
      <c r="H1276" s="17">
        <f t="shared" si="104"/>
        <v>44228</v>
      </c>
      <c r="J1276">
        <f t="shared" si="100"/>
        <v>0</v>
      </c>
      <c r="N1276" s="55"/>
    </row>
    <row r="1277" spans="1:14" x14ac:dyDescent="0.3">
      <c r="A1277" s="17">
        <v>44237</v>
      </c>
      <c r="B1277">
        <v>-1.64</v>
      </c>
      <c r="C1277">
        <f t="shared" si="101"/>
        <v>10</v>
      </c>
      <c r="D1277">
        <v>1</v>
      </c>
      <c r="E1277">
        <f t="shared" si="102"/>
        <v>2</v>
      </c>
      <c r="F1277">
        <f t="shared" si="103"/>
        <v>2021</v>
      </c>
      <c r="H1277" s="17">
        <f t="shared" si="104"/>
        <v>44228</v>
      </c>
      <c r="J1277">
        <f t="shared" si="100"/>
        <v>0</v>
      </c>
      <c r="N1277" s="55"/>
    </row>
    <row r="1278" spans="1:14" x14ac:dyDescent="0.3">
      <c r="A1278" s="17">
        <v>44236</v>
      </c>
      <c r="B1278">
        <v>-0.73</v>
      </c>
      <c r="C1278">
        <f t="shared" si="101"/>
        <v>9</v>
      </c>
      <c r="D1278">
        <v>1</v>
      </c>
      <c r="E1278">
        <f t="shared" si="102"/>
        <v>2</v>
      </c>
      <c r="F1278">
        <f t="shared" si="103"/>
        <v>2021</v>
      </c>
      <c r="H1278" s="17">
        <f t="shared" si="104"/>
        <v>44228</v>
      </c>
      <c r="J1278">
        <f t="shared" si="100"/>
        <v>0</v>
      </c>
      <c r="N1278" s="55"/>
    </row>
    <row r="1279" spans="1:14" x14ac:dyDescent="0.3">
      <c r="A1279" s="17">
        <v>44235</v>
      </c>
      <c r="B1279">
        <v>-0.79</v>
      </c>
      <c r="C1279">
        <f t="shared" si="101"/>
        <v>8</v>
      </c>
      <c r="D1279">
        <v>1</v>
      </c>
      <c r="E1279">
        <f t="shared" si="102"/>
        <v>2</v>
      </c>
      <c r="F1279">
        <f t="shared" si="103"/>
        <v>2021</v>
      </c>
      <c r="H1279" s="17">
        <f t="shared" si="104"/>
        <v>44228</v>
      </c>
      <c r="J1279">
        <f t="shared" si="100"/>
        <v>0</v>
      </c>
      <c r="N1279" s="55"/>
    </row>
    <row r="1280" spans="1:14" x14ac:dyDescent="0.3">
      <c r="A1280" s="17">
        <v>44232</v>
      </c>
      <c r="B1280">
        <v>-0.68</v>
      </c>
      <c r="C1280">
        <f t="shared" si="101"/>
        <v>5</v>
      </c>
      <c r="D1280">
        <v>1</v>
      </c>
      <c r="E1280">
        <f t="shared" si="102"/>
        <v>2</v>
      </c>
      <c r="F1280">
        <f t="shared" si="103"/>
        <v>2021</v>
      </c>
      <c r="H1280" s="17">
        <f t="shared" si="104"/>
        <v>44228</v>
      </c>
      <c r="J1280">
        <f t="shared" si="100"/>
        <v>0</v>
      </c>
      <c r="N1280" s="55"/>
    </row>
    <row r="1281" spans="1:14" x14ac:dyDescent="0.3">
      <c r="A1281" s="17">
        <v>44231</v>
      </c>
      <c r="B1281">
        <v>-0.49</v>
      </c>
      <c r="C1281">
        <f t="shared" si="101"/>
        <v>4</v>
      </c>
      <c r="D1281">
        <v>1</v>
      </c>
      <c r="E1281">
        <f t="shared" si="102"/>
        <v>2</v>
      </c>
      <c r="F1281">
        <f t="shared" si="103"/>
        <v>2021</v>
      </c>
      <c r="H1281" s="17">
        <f t="shared" si="104"/>
        <v>44228</v>
      </c>
      <c r="J1281">
        <f t="shared" si="100"/>
        <v>1</v>
      </c>
      <c r="N1281" s="55"/>
    </row>
    <row r="1282" spans="1:14" x14ac:dyDescent="0.3">
      <c r="A1282" s="17">
        <v>44230</v>
      </c>
      <c r="B1282">
        <v>-0.44</v>
      </c>
      <c r="C1282">
        <f t="shared" si="101"/>
        <v>3</v>
      </c>
      <c r="D1282">
        <v>1</v>
      </c>
      <c r="E1282">
        <f t="shared" si="102"/>
        <v>2</v>
      </c>
      <c r="F1282">
        <f t="shared" si="103"/>
        <v>2021</v>
      </c>
      <c r="H1282" s="17">
        <f t="shared" si="104"/>
        <v>44228</v>
      </c>
      <c r="J1282">
        <f t="shared" si="100"/>
        <v>1</v>
      </c>
      <c r="N1282" s="55"/>
    </row>
    <row r="1283" spans="1:14" x14ac:dyDescent="0.3">
      <c r="A1283" s="17">
        <v>44229</v>
      </c>
      <c r="B1283">
        <v>7.0000000000000007E-2</v>
      </c>
      <c r="C1283">
        <f t="shared" si="101"/>
        <v>2</v>
      </c>
      <c r="D1283">
        <v>1</v>
      </c>
      <c r="E1283">
        <f t="shared" si="102"/>
        <v>2</v>
      </c>
      <c r="F1283">
        <f t="shared" si="103"/>
        <v>2021</v>
      </c>
      <c r="H1283" s="17">
        <f t="shared" si="104"/>
        <v>44228</v>
      </c>
      <c r="J1283">
        <f t="shared" si="100"/>
        <v>1</v>
      </c>
      <c r="N1283" s="55"/>
    </row>
    <row r="1284" spans="1:14" x14ac:dyDescent="0.3">
      <c r="A1284" s="17">
        <v>44228</v>
      </c>
      <c r="B1284">
        <v>-0.26</v>
      </c>
      <c r="C1284">
        <f t="shared" si="101"/>
        <v>1</v>
      </c>
      <c r="D1284">
        <v>1</v>
      </c>
      <c r="E1284">
        <f t="shared" si="102"/>
        <v>2</v>
      </c>
      <c r="F1284">
        <f t="shared" si="103"/>
        <v>2021</v>
      </c>
      <c r="H1284" s="17">
        <f t="shared" si="104"/>
        <v>44228</v>
      </c>
      <c r="J1284">
        <f t="shared" si="100"/>
        <v>1</v>
      </c>
      <c r="N1284" s="55"/>
    </row>
    <row r="1285" spans="1:14" x14ac:dyDescent="0.3">
      <c r="A1285" s="17">
        <v>44225</v>
      </c>
      <c r="B1285">
        <v>-0.31</v>
      </c>
      <c r="C1285">
        <f t="shared" si="101"/>
        <v>29</v>
      </c>
      <c r="D1285">
        <v>1</v>
      </c>
      <c r="E1285">
        <f t="shared" si="102"/>
        <v>1</v>
      </c>
      <c r="F1285">
        <f t="shared" si="103"/>
        <v>2021</v>
      </c>
      <c r="H1285" s="17">
        <f t="shared" si="104"/>
        <v>44197</v>
      </c>
      <c r="J1285">
        <f t="shared" si="100"/>
        <v>0</v>
      </c>
      <c r="N1285" s="55"/>
    </row>
    <row r="1286" spans="1:14" x14ac:dyDescent="0.3">
      <c r="A1286" s="17">
        <v>44224</v>
      </c>
      <c r="B1286">
        <v>-0.3</v>
      </c>
      <c r="C1286">
        <f t="shared" si="101"/>
        <v>28</v>
      </c>
      <c r="D1286">
        <v>1</v>
      </c>
      <c r="E1286">
        <f t="shared" si="102"/>
        <v>1</v>
      </c>
      <c r="F1286">
        <f t="shared" si="103"/>
        <v>2021</v>
      </c>
      <c r="H1286" s="17">
        <f t="shared" si="104"/>
        <v>44197</v>
      </c>
      <c r="J1286">
        <f t="shared" si="100"/>
        <v>0</v>
      </c>
      <c r="N1286" s="55"/>
    </row>
    <row r="1287" spans="1:14" x14ac:dyDescent="0.3">
      <c r="A1287" s="17">
        <v>44223</v>
      </c>
      <c r="B1287">
        <v>-0.56999999999999995</v>
      </c>
      <c r="C1287">
        <f t="shared" si="101"/>
        <v>27</v>
      </c>
      <c r="D1287">
        <v>1</v>
      </c>
      <c r="E1287">
        <f t="shared" si="102"/>
        <v>1</v>
      </c>
      <c r="F1287">
        <f t="shared" si="103"/>
        <v>2021</v>
      </c>
      <c r="H1287" s="17">
        <f t="shared" si="104"/>
        <v>44197</v>
      </c>
      <c r="J1287">
        <f t="shared" si="100"/>
        <v>0</v>
      </c>
      <c r="N1287" s="5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65104-C355-4E25-B889-66BD5CD2E375}">
  <sheetPr>
    <tabColor theme="9" tint="-0.499984740745262"/>
  </sheetPr>
  <dimension ref="A1:F76"/>
  <sheetViews>
    <sheetView showGridLines="0" workbookViewId="0">
      <selection activeCell="S8" sqref="S8"/>
    </sheetView>
  </sheetViews>
  <sheetFormatPr defaultRowHeight="14.4" x14ac:dyDescent="0.3"/>
  <cols>
    <col min="1" max="1" width="9.33203125" bestFit="1" customWidth="1"/>
    <col min="2" max="2" width="16.5546875" bestFit="1" customWidth="1"/>
    <col min="3" max="3" width="21.88671875" bestFit="1" customWidth="1"/>
    <col min="4" max="4" width="22.88671875" bestFit="1" customWidth="1"/>
    <col min="5" max="5" width="18.44140625" bestFit="1" customWidth="1"/>
  </cols>
  <sheetData>
    <row r="1" spans="1:6" x14ac:dyDescent="0.3">
      <c r="A1" t="s">
        <v>128</v>
      </c>
      <c r="B1" s="44" t="s">
        <v>206</v>
      </c>
      <c r="C1" s="44" t="s">
        <v>210</v>
      </c>
      <c r="D1" s="44" t="s">
        <v>215</v>
      </c>
      <c r="E1" s="82" t="s">
        <v>218</v>
      </c>
      <c r="F1" s="82" t="s">
        <v>221</v>
      </c>
    </row>
    <row r="2" spans="1:6" x14ac:dyDescent="0.3">
      <c r="A2" s="17">
        <v>43831</v>
      </c>
      <c r="B2" s="19">
        <f>+SUMIFS('OSP Hvy-light spread'!$D$5:$D$451,'OSP Hvy-light spread'!$A$5:$A$451,$A2)</f>
        <v>-3.85</v>
      </c>
      <c r="C2" s="20">
        <v>6.77836900183105E-2</v>
      </c>
    </row>
    <row r="3" spans="1:6" x14ac:dyDescent="0.3">
      <c r="A3" s="17">
        <v>43862</v>
      </c>
      <c r="B3" s="19">
        <f>+SUMIFS('OSP Hvy-light spread'!$D$5:$D$451,'OSP Hvy-light spread'!$A$5:$A$451,$A3)</f>
        <v>-3.1500000000000004</v>
      </c>
      <c r="C3" s="20">
        <v>5.8236636513477429E-2</v>
      </c>
    </row>
    <row r="4" spans="1:6" x14ac:dyDescent="0.3">
      <c r="A4" s="17">
        <v>43891</v>
      </c>
      <c r="B4" s="19">
        <f>+SUMIFS('OSP Hvy-light spread'!$D$5:$D$451,'OSP Hvy-light spread'!$A$5:$A$451,$A4)</f>
        <v>-2.3499999999999996</v>
      </c>
      <c r="C4" s="20">
        <v>5.5249775894998236E-2</v>
      </c>
    </row>
    <row r="5" spans="1:6" x14ac:dyDescent="0.3">
      <c r="A5" s="17">
        <v>43922</v>
      </c>
      <c r="B5" s="19">
        <f>+SUMIFS('OSP Hvy-light spread'!$D$5:$D$451,'OSP Hvy-light spread'!$A$5:$A$451,$A5)</f>
        <v>-1.35</v>
      </c>
      <c r="C5" s="20">
        <v>5.312855412690623E-2</v>
      </c>
    </row>
    <row r="6" spans="1:6" x14ac:dyDescent="0.3">
      <c r="A6" s="17">
        <v>43952</v>
      </c>
      <c r="B6" s="19">
        <f>+SUMIFS('OSP Hvy-light spread'!$D$5:$D$451,'OSP Hvy-light spread'!$A$5:$A$451,$A6)</f>
        <v>-0.10000000000000053</v>
      </c>
      <c r="C6" s="20">
        <v>3.3696024283101249E-2</v>
      </c>
    </row>
    <row r="7" spans="1:6" x14ac:dyDescent="0.3">
      <c r="A7" s="17">
        <v>43983</v>
      </c>
      <c r="B7" s="19">
        <f>+SUMIFS('OSP Hvy-light spread'!$D$5:$D$451,'OSP Hvy-light spread'!$A$5:$A$451,$A7)</f>
        <v>0.20000000000000018</v>
      </c>
      <c r="C7" s="20">
        <v>4.6542424116237067E-2</v>
      </c>
    </row>
    <row r="8" spans="1:6" x14ac:dyDescent="0.3">
      <c r="A8" s="17">
        <v>44013</v>
      </c>
      <c r="B8" s="19">
        <f>+SUMIFS('OSP Hvy-light spread'!$D$5:$D$451,'OSP Hvy-light spread'!$A$5:$A$451,$A8)</f>
        <v>-0.30000000000000004</v>
      </c>
      <c r="C8" s="20">
        <v>3.1174295606321865E-2</v>
      </c>
    </row>
    <row r="9" spans="1:6" x14ac:dyDescent="0.3">
      <c r="A9" s="17">
        <v>44044</v>
      </c>
      <c r="B9" s="19">
        <f>+SUMIFS('OSP Hvy-light spread'!$D$5:$D$451,'OSP Hvy-light spread'!$A$5:$A$451,$A9)</f>
        <v>-0.29999999999999993</v>
      </c>
      <c r="C9" s="20">
        <v>3.041126999435893E-2</v>
      </c>
    </row>
    <row r="10" spans="1:6" x14ac:dyDescent="0.3">
      <c r="A10" s="17">
        <v>44075</v>
      </c>
      <c r="B10" s="19">
        <f>+SUMIFS('OSP Hvy-light spread'!$D$5:$D$451,'OSP Hvy-light spread'!$A$5:$A$451,$A10)</f>
        <v>-0.30000000000000004</v>
      </c>
      <c r="C10" s="20">
        <v>3.375990794693725E-2</v>
      </c>
    </row>
    <row r="11" spans="1:6" x14ac:dyDescent="0.3">
      <c r="A11" s="17">
        <v>44105</v>
      </c>
      <c r="B11" s="19">
        <f>+SUMIFS('OSP Hvy-light spread'!$D$5:$D$451,'OSP Hvy-light spread'!$A$5:$A$451,$A11)</f>
        <v>0.2</v>
      </c>
      <c r="C11" s="20">
        <v>4.2278357536901463E-2</v>
      </c>
    </row>
    <row r="12" spans="1:6" x14ac:dyDescent="0.3">
      <c r="A12" s="17">
        <v>44136</v>
      </c>
      <c r="B12" s="19">
        <f>+SUMIFS('OSP Hvy-light spread'!$D$5:$D$451,'OSP Hvy-light spread'!$A$5:$A$451,$A12)</f>
        <v>0.10000000000000003</v>
      </c>
      <c r="C12" s="20">
        <v>5.5410869019338588E-2</v>
      </c>
    </row>
    <row r="13" spans="1:6" x14ac:dyDescent="0.3">
      <c r="A13" s="17">
        <v>44166</v>
      </c>
      <c r="B13" s="19">
        <f>+SUMIFS('OSP Hvy-light spread'!$D$5:$D$451,'OSP Hvy-light spread'!$A$5:$A$451,$A13)</f>
        <v>0.2</v>
      </c>
      <c r="C13" s="20">
        <v>5.0870232654359325E-2</v>
      </c>
    </row>
    <row r="14" spans="1:6" x14ac:dyDescent="0.3">
      <c r="A14" s="17">
        <v>44197</v>
      </c>
      <c r="B14" s="19">
        <f>+SUMIFS('OSP Hvy-light spread'!$D$5:$D$451,'OSP Hvy-light spread'!$A$5:$A$451,$A14)</f>
        <v>-0.19999999999999998</v>
      </c>
      <c r="C14" s="20">
        <v>3.7455738019449972E-2</v>
      </c>
    </row>
    <row r="15" spans="1:6" x14ac:dyDescent="0.3">
      <c r="A15" s="17">
        <v>44228</v>
      </c>
      <c r="B15" s="19">
        <f>+SUMIFS('OSP Hvy-light spread'!$D$5:$D$451,'OSP Hvy-light spread'!$A$5:$A$451,$A15)</f>
        <v>-0.7</v>
      </c>
      <c r="C15" s="20">
        <v>4.2560236387019057E-2</v>
      </c>
    </row>
    <row r="16" spans="1:6" x14ac:dyDescent="0.3">
      <c r="A16" s="17">
        <v>44256</v>
      </c>
      <c r="B16" s="19">
        <f>+SUMIFS('OSP Hvy-light spread'!$D$5:$D$451,'OSP Hvy-light spread'!$A$5:$A$451,$A16)</f>
        <v>-0.7</v>
      </c>
      <c r="C16" s="20">
        <v>5.2428346096529563E-2</v>
      </c>
      <c r="D16" s="19">
        <v>-0.54520567424226485</v>
      </c>
      <c r="E16" s="19">
        <v>0.6</v>
      </c>
    </row>
    <row r="17" spans="1:5" x14ac:dyDescent="0.3">
      <c r="A17" s="17">
        <v>44287</v>
      </c>
      <c r="B17" s="19">
        <f>+SUMIFS('OSP Hvy-light spread'!$D$5:$D$451,'OSP Hvy-light spread'!$A$5:$A$451,$A17)</f>
        <v>-1.0999999999999999</v>
      </c>
      <c r="C17" s="20">
        <v>5.8219673403202839E-2</v>
      </c>
      <c r="D17" s="19">
        <v>-0.77017355838971646</v>
      </c>
      <c r="E17" s="19">
        <v>0.7</v>
      </c>
    </row>
    <row r="18" spans="1:5" x14ac:dyDescent="0.3">
      <c r="A18" s="17">
        <v>44317</v>
      </c>
      <c r="B18" s="19">
        <f>+SUMIFS('OSP Hvy-light spread'!$D$5:$D$451,'OSP Hvy-light spread'!$A$5:$A$451,$A18)</f>
        <v>-1</v>
      </c>
      <c r="C18" s="20">
        <v>7.8472420081379654E-2</v>
      </c>
      <c r="D18" s="19">
        <v>-0.36363091891296762</v>
      </c>
      <c r="E18" s="19">
        <v>0.5</v>
      </c>
    </row>
    <row r="19" spans="1:5" x14ac:dyDescent="0.3">
      <c r="A19" s="17">
        <v>44348</v>
      </c>
      <c r="B19" s="19">
        <f>+SUMIFS('OSP Hvy-light spread'!$D$5:$D$451,'OSP Hvy-light spread'!$A$5:$A$451,$A19)</f>
        <v>-1.2</v>
      </c>
      <c r="C19" s="20">
        <v>7.2608508518007875E-2</v>
      </c>
      <c r="D19" s="19">
        <v>-0.71512284753168842</v>
      </c>
      <c r="E19" s="19">
        <v>0.15</v>
      </c>
    </row>
    <row r="20" spans="1:5" x14ac:dyDescent="0.3">
      <c r="A20" s="17">
        <v>44378</v>
      </c>
      <c r="B20" s="19">
        <f>+SUMIFS('OSP Hvy-light spread'!$D$5:$D$451,'OSP Hvy-light spread'!$A$5:$A$451,$A20)</f>
        <v>-1.5</v>
      </c>
      <c r="C20" s="20">
        <v>8.7074845538766779E-2</v>
      </c>
      <c r="D20" s="19">
        <v>-0.29289964918924127</v>
      </c>
      <c r="E20" s="19">
        <v>0.22499999999999998</v>
      </c>
    </row>
    <row r="21" spans="1:5" x14ac:dyDescent="0.3">
      <c r="A21" s="17">
        <v>44409</v>
      </c>
      <c r="B21" s="19">
        <f>+SUMIFS('OSP Hvy-light spread'!$D$5:$D$451,'OSP Hvy-light spread'!$A$5:$A$451,$A21)</f>
        <v>-1.5000000000000002</v>
      </c>
      <c r="C21" s="20">
        <v>7.1767895693619521E-2</v>
      </c>
      <c r="D21" s="19">
        <v>9.2085888960049544E-2</v>
      </c>
      <c r="E21" s="19">
        <v>0.4</v>
      </c>
    </row>
    <row r="22" spans="1:5" x14ac:dyDescent="0.3">
      <c r="A22" s="17">
        <v>44440</v>
      </c>
      <c r="B22" s="19">
        <f>+SUMIFS('OSP Hvy-light spread'!$D$5:$D$451,'OSP Hvy-light spread'!$A$5:$A$451,$A22)</f>
        <v>-1.6</v>
      </c>
      <c r="C22" s="20">
        <v>8.3878413501011911E-2</v>
      </c>
      <c r="D22" s="19">
        <v>0.30445692846651196</v>
      </c>
      <c r="E22" s="19">
        <v>-0.15</v>
      </c>
    </row>
    <row r="23" spans="1:5" x14ac:dyDescent="0.3">
      <c r="A23" s="17">
        <v>44470</v>
      </c>
      <c r="B23" s="19">
        <f>+SUMIFS('OSP Hvy-light spread'!$D$5:$D$451,'OSP Hvy-light spread'!$A$5:$A$451,$A23)</f>
        <v>-1.2999999999999998</v>
      </c>
      <c r="C23" s="20">
        <v>9.5358181045875789E-2</v>
      </c>
      <c r="D23" s="19">
        <v>0.25518170627073289</v>
      </c>
      <c r="E23" s="19">
        <v>-0.34999999999999992</v>
      </c>
    </row>
    <row r="24" spans="1:5" x14ac:dyDescent="0.3">
      <c r="A24" s="17">
        <v>44501</v>
      </c>
      <c r="B24" s="19">
        <f>+SUMIFS('OSP Hvy-light spread'!$D$5:$D$451,'OSP Hvy-light spread'!$A$5:$A$451,$A24)</f>
        <v>-1.4000000000000001</v>
      </c>
      <c r="C24" s="20">
        <v>0.10223679287707285</v>
      </c>
      <c r="D24" s="19">
        <v>0.17270308712008386</v>
      </c>
      <c r="E24" s="19">
        <v>-0.2</v>
      </c>
    </row>
    <row r="25" spans="1:5" x14ac:dyDescent="0.3">
      <c r="A25" s="17">
        <v>44531</v>
      </c>
      <c r="B25" s="19">
        <f>+SUMIFS('OSP Hvy-light spread'!$D$5:$D$451,'OSP Hvy-light spread'!$A$5:$A$451,$A25)</f>
        <v>-1.7000000000000002</v>
      </c>
      <c r="C25" s="20">
        <v>9.6524400297761354E-2</v>
      </c>
      <c r="D25" s="19">
        <v>1.1172585706478961</v>
      </c>
      <c r="E25" s="19">
        <v>0.58333333333333337</v>
      </c>
    </row>
    <row r="26" spans="1:5" x14ac:dyDescent="0.3">
      <c r="A26" s="17">
        <v>44562</v>
      </c>
      <c r="B26" s="19">
        <f>+SUMIFS('OSP Hvy-light spread'!$D$5:$D$451,'OSP Hvy-light spread'!$A$5:$A$451,$A26)</f>
        <v>-1.4999999999999998</v>
      </c>
      <c r="C26" s="20">
        <v>8.2491763175844376E-2</v>
      </c>
      <c r="D26" s="19">
        <v>1.1944287190798946</v>
      </c>
      <c r="E26" s="19">
        <v>0.3</v>
      </c>
    </row>
    <row r="27" spans="1:5" x14ac:dyDescent="0.3">
      <c r="A27" s="17">
        <v>44593</v>
      </c>
      <c r="B27" s="19">
        <f>+SUMIFS('OSP Hvy-light spread'!$D$5:$D$451,'OSP Hvy-light spread'!$A$5:$A$451,$A27)</f>
        <v>-1.5000000000000002</v>
      </c>
      <c r="C27" s="20">
        <v>7.6737508943156854E-2</v>
      </c>
      <c r="D27" s="19">
        <v>0.77910959809405256</v>
      </c>
      <c r="E27" s="19">
        <v>0</v>
      </c>
    </row>
    <row r="28" spans="1:5" x14ac:dyDescent="0.3">
      <c r="A28" s="17">
        <v>44621</v>
      </c>
      <c r="B28" s="19">
        <f>+SUMIFS('OSP Hvy-light spread'!$D$5:$D$451,'OSP Hvy-light spread'!$A$5:$A$451,$A28)</f>
        <v>-1.4</v>
      </c>
      <c r="C28" s="20">
        <v>6.1069708051479793E-2</v>
      </c>
      <c r="D28" s="19">
        <v>0.33983470260510984</v>
      </c>
      <c r="E28" s="19">
        <v>0.45</v>
      </c>
    </row>
    <row r="29" spans="1:5" x14ac:dyDescent="0.3">
      <c r="A29" s="17">
        <v>44652</v>
      </c>
      <c r="B29" s="19">
        <f>+SUMIFS('OSP Hvy-light spread'!$D$5:$D$451,'OSP Hvy-light spread'!$A$5:$A$451,$A29)</f>
        <v>-1.4000000000000004</v>
      </c>
      <c r="C29" s="20">
        <v>4.8338025898160074E-2</v>
      </c>
      <c r="D29" s="19">
        <v>0.7179576992705492</v>
      </c>
      <c r="E29" s="19">
        <v>3.3125</v>
      </c>
    </row>
    <row r="30" spans="1:5" x14ac:dyDescent="0.3">
      <c r="A30" s="17">
        <v>44682</v>
      </c>
      <c r="B30" s="19">
        <f>+SUMIFS('OSP Hvy-light spread'!$D$5:$D$451,'OSP Hvy-light spread'!$A$5:$A$451,$A30)</f>
        <v>-1.3999999999999995</v>
      </c>
      <c r="C30" s="20">
        <v>7.0535784049196484E-2</v>
      </c>
      <c r="D30" s="19">
        <v>-0.14620509101487045</v>
      </c>
      <c r="E30" s="19">
        <v>-1.5249999999999999</v>
      </c>
    </row>
    <row r="31" spans="1:5" x14ac:dyDescent="0.3">
      <c r="A31" s="17">
        <v>44713</v>
      </c>
      <c r="B31" s="19">
        <f>+SUMIFS('OSP Hvy-light spread'!$D$5:$D$451,'OSP Hvy-light spread'!$A$5:$A$451,$A31)</f>
        <v>-1.4000000000000004</v>
      </c>
      <c r="C31" s="20">
        <v>6.0868690831553621E-2</v>
      </c>
      <c r="D31" s="19">
        <v>-0.35247884245912076</v>
      </c>
      <c r="E31" s="19">
        <v>-1</v>
      </c>
    </row>
    <row r="32" spans="1:5" x14ac:dyDescent="0.3">
      <c r="A32" s="17">
        <v>44743</v>
      </c>
      <c r="B32" s="19">
        <f>+SUMIFS('OSP Hvy-light spread'!$D$5:$D$451,'OSP Hvy-light spread'!$A$5:$A$451,$A32)</f>
        <v>-1.7000000000000002</v>
      </c>
      <c r="C32" s="20">
        <v>6.8397322889436826E-2</v>
      </c>
      <c r="D32" s="19">
        <v>1.2881882010421748</v>
      </c>
      <c r="E32" s="19">
        <v>1.5</v>
      </c>
    </row>
    <row r="33" spans="1:6" x14ac:dyDescent="0.3">
      <c r="A33" s="17">
        <v>44774</v>
      </c>
      <c r="B33" s="19">
        <f>+SUMIFS('OSP Hvy-light spread'!$D$5:$D$451,'OSP Hvy-light spread'!$A$5:$A$451,$A33)</f>
        <v>-4.0000000000000009</v>
      </c>
      <c r="C33" s="20">
        <v>7.2116640572225998E-2</v>
      </c>
      <c r="D33" s="19">
        <v>2.7261653990186971</v>
      </c>
      <c r="E33" s="19">
        <v>0.25</v>
      </c>
    </row>
    <row r="34" spans="1:6" x14ac:dyDescent="0.3">
      <c r="A34" s="17">
        <v>44805</v>
      </c>
      <c r="B34" s="19">
        <f>+SUMIFS('OSP Hvy-light spread'!$D$5:$D$451,'OSP Hvy-light spread'!$A$5:$A$451,$A34)</f>
        <v>-3.8000000000000007</v>
      </c>
      <c r="C34" s="20">
        <v>7.6429591048940218E-2</v>
      </c>
      <c r="D34" s="19">
        <v>4.1677752635444278</v>
      </c>
      <c r="E34" s="19">
        <v>-1.2124999999999999</v>
      </c>
    </row>
    <row r="35" spans="1:6" x14ac:dyDescent="0.3">
      <c r="A35" s="17">
        <v>44835</v>
      </c>
      <c r="B35" s="19">
        <f>+SUMIFS('OSP Hvy-light spread'!$D$5:$D$451,'OSP Hvy-light spread'!$A$5:$A$451,$A35)</f>
        <v>-3.6499999999999995</v>
      </c>
      <c r="C35" s="20">
        <v>8.1879001238369623E-2</v>
      </c>
      <c r="D35" s="19">
        <v>5.0818602328535789</v>
      </c>
      <c r="E35" s="19">
        <v>-0.8</v>
      </c>
    </row>
    <row r="36" spans="1:6" x14ac:dyDescent="0.3">
      <c r="A36" s="17">
        <v>44866</v>
      </c>
      <c r="B36" s="19">
        <f>+SUMIFS('OSP Hvy-light spread'!$D$5:$D$451,'OSP Hvy-light spread'!$A$5:$A$451,$A36)</f>
        <v>-3.3999999999999995</v>
      </c>
      <c r="C36" s="20">
        <v>8.0313740779324655E-2</v>
      </c>
      <c r="D36" s="19">
        <v>5.4911411764808946</v>
      </c>
      <c r="E36" s="19">
        <v>0.3</v>
      </c>
    </row>
    <row r="37" spans="1:6" x14ac:dyDescent="0.3">
      <c r="A37" s="17">
        <v>44896</v>
      </c>
      <c r="B37" s="19">
        <f>+SUMIFS('OSP Hvy-light spread'!$D$5:$D$451,'OSP Hvy-light spread'!$A$5:$A$451,$A37)</f>
        <v>-4.2</v>
      </c>
      <c r="C37" s="20">
        <v>8.244846906067782E-2</v>
      </c>
      <c r="D37" s="19">
        <v>5.3561138036978306</v>
      </c>
      <c r="E37" s="19">
        <v>0.1125</v>
      </c>
    </row>
    <row r="38" spans="1:6" x14ac:dyDescent="0.3">
      <c r="A38" s="17">
        <v>44927</v>
      </c>
      <c r="B38" s="19">
        <f>+SUMIFS('OSP Hvy-light spread'!$D$5:$D$451,'OSP Hvy-light spread'!$A$5:$A$451,$A38)</f>
        <v>-4.5</v>
      </c>
      <c r="C38" s="20">
        <v>6.9424084038478037E-2</v>
      </c>
      <c r="D38" s="19">
        <v>6.0040815572142918</v>
      </c>
      <c r="E38" s="19">
        <v>-0.55000000000000004</v>
      </c>
    </row>
    <row r="39" spans="1:6" x14ac:dyDescent="0.3">
      <c r="A39" s="17">
        <v>44958</v>
      </c>
      <c r="B39" s="19">
        <f>+SUMIFS('OSP Hvy-light spread'!$D$5:$D$451,'OSP Hvy-light spread'!$A$5:$A$451,$A39)</f>
        <v>-4.05</v>
      </c>
      <c r="C39" s="20">
        <v>8.9724162651132755E-2</v>
      </c>
      <c r="D39" s="19">
        <v>5.8803324499467067</v>
      </c>
      <c r="E39" s="19">
        <v>-0.1</v>
      </c>
      <c r="F39" s="70">
        <v>-14.533333333333333</v>
      </c>
    </row>
    <row r="40" spans="1:6" x14ac:dyDescent="0.3">
      <c r="A40" s="17">
        <v>44986</v>
      </c>
      <c r="B40" s="19">
        <f>+SUMIFS('OSP Hvy-light spread'!$D$5:$D$451,'OSP Hvy-light spread'!$A$5:$A$451,$A40)</f>
        <v>-3.75</v>
      </c>
      <c r="C40" s="20">
        <v>7.7822867024563688E-2</v>
      </c>
      <c r="D40" s="19">
        <v>5.9679389360661856</v>
      </c>
      <c r="E40" s="19">
        <v>0.26666666666666666</v>
      </c>
      <c r="F40" s="70">
        <v>-15.923333333333332</v>
      </c>
    </row>
    <row r="41" spans="1:6" x14ac:dyDescent="0.3">
      <c r="A41" s="17">
        <v>45017</v>
      </c>
      <c r="B41" s="19">
        <f>+SUMIFS('OSP Hvy-light spread'!$D$5:$D$451,'OSP Hvy-light spread'!$A$5:$A$451,$A41)</f>
        <v>-1.75</v>
      </c>
      <c r="C41" s="20">
        <v>5.1970136632764459E-2</v>
      </c>
      <c r="D41" s="19">
        <v>3.8484609967200121</v>
      </c>
      <c r="E41" s="19">
        <v>0.71666666666666667</v>
      </c>
      <c r="F41" s="70">
        <v>-13.995000000000001</v>
      </c>
    </row>
    <row r="42" spans="1:6" x14ac:dyDescent="0.3">
      <c r="A42" s="17">
        <v>45047</v>
      </c>
      <c r="B42" s="19">
        <f>+SUMIFS('OSP Hvy-light spread'!$D$5:$D$451,'OSP Hvy-light spread'!$A$5:$A$451,$A42)</f>
        <v>-1.5499999999999998</v>
      </c>
      <c r="C42" s="20">
        <v>6.4803243739826571E-2</v>
      </c>
      <c r="D42" s="19">
        <v>0.72918706124273314</v>
      </c>
      <c r="E42" s="19">
        <v>1</v>
      </c>
      <c r="F42" s="70">
        <v>-10.906666666666666</v>
      </c>
    </row>
    <row r="43" spans="1:6" x14ac:dyDescent="0.3">
      <c r="A43" s="17">
        <v>45078</v>
      </c>
      <c r="B43" s="19">
        <f>+SUMIFS('OSP Hvy-light spread'!$D$5:$D$451,'OSP Hvy-light spread'!$A$5:$A$451,$A43)</f>
        <v>-2.1999999999999997</v>
      </c>
      <c r="C43" s="20">
        <v>7.7915067605747387E-2</v>
      </c>
      <c r="D43" s="19">
        <v>8.1053494678641869E-2</v>
      </c>
      <c r="E43" s="19">
        <v>0.83333333333333337</v>
      </c>
      <c r="F43" s="70">
        <v>-10.155000000000001</v>
      </c>
    </row>
    <row r="44" spans="1:6" x14ac:dyDescent="0.3">
      <c r="A44" s="17">
        <v>45108</v>
      </c>
      <c r="B44" s="19">
        <f>+SUMIFS('OSP Hvy-light spread'!$D$5:$D$451,'OSP Hvy-light spread'!$A$5:$A$451,$A44)</f>
        <v>-2.2000000000000002</v>
      </c>
      <c r="C44" s="20">
        <v>8.1950387732380933E-2</v>
      </c>
      <c r="D44" s="19">
        <v>0.56819775755830904</v>
      </c>
      <c r="E44" s="19">
        <v>0.4</v>
      </c>
      <c r="F44" s="70">
        <v>-7.9849999999999994</v>
      </c>
    </row>
    <row r="45" spans="1:6" x14ac:dyDescent="0.3">
      <c r="A45" s="17">
        <v>45139</v>
      </c>
      <c r="B45" s="19">
        <f>+SUMIFS('OSP Hvy-light spread'!$D$5:$D$451,'OSP Hvy-light spread'!$A$5:$A$451,$A45)</f>
        <v>-2.2000000000000002</v>
      </c>
      <c r="C45" s="20">
        <v>7.8950378235144503E-2</v>
      </c>
      <c r="D45" s="19">
        <v>8.0916002415264643E-2</v>
      </c>
      <c r="E45" s="19">
        <v>0.45</v>
      </c>
      <c r="F45" s="70">
        <v>-6.0449999999999999</v>
      </c>
    </row>
    <row r="46" spans="1:6" x14ac:dyDescent="0.3">
      <c r="A46" s="17">
        <v>45170</v>
      </c>
      <c r="B46" s="19">
        <f>+SUMIFS('OSP Hvy-light spread'!$D$5:$D$451,'OSP Hvy-light spread'!$A$5:$A$451,$A46)</f>
        <v>-1.9</v>
      </c>
      <c r="C46" s="20">
        <v>8.791563978484801E-2</v>
      </c>
      <c r="D46" s="19">
        <v>-9.7213222154014289E-2</v>
      </c>
      <c r="E46" s="19">
        <v>0.5625</v>
      </c>
      <c r="F46" s="70">
        <v>-5.9</v>
      </c>
    </row>
    <row r="47" spans="1:6" x14ac:dyDescent="0.3">
      <c r="A47" s="17">
        <v>45200</v>
      </c>
      <c r="B47" s="19">
        <f>+SUMIFS('OSP Hvy-light spread'!$D$5:$D$451,'OSP Hvy-light spread'!$A$5:$A$451,$A47)</f>
        <v>-1.9000000000000001</v>
      </c>
      <c r="C47" s="20">
        <v>7.3712034945470239E-2</v>
      </c>
      <c r="D47" s="19">
        <v>0.51983987797045472</v>
      </c>
      <c r="E47" s="19">
        <v>-0.1</v>
      </c>
      <c r="F47" s="70">
        <v>-2.9266666666666672</v>
      </c>
    </row>
    <row r="48" spans="1:6" x14ac:dyDescent="0.3">
      <c r="A48" s="17">
        <v>45231</v>
      </c>
      <c r="B48" s="19">
        <f>+SUMIFS('OSP Hvy-light spread'!$D$5:$D$451,'OSP Hvy-light spread'!$A$5:$A$451,$A48)</f>
        <v>-2.2999999999999998</v>
      </c>
      <c r="C48" s="20">
        <v>8.6270309613476648E-2</v>
      </c>
      <c r="D48" s="19">
        <v>1.3023110896505203</v>
      </c>
      <c r="E48" s="19">
        <v>0.3666666666666667</v>
      </c>
      <c r="F48" s="70">
        <v>-4.4400000000000004</v>
      </c>
    </row>
    <row r="49" spans="1:6" x14ac:dyDescent="0.3">
      <c r="A49" s="17">
        <v>45261</v>
      </c>
      <c r="B49" s="19">
        <f>+SUMIFS('OSP Hvy-light spread'!$D$5:$D$451,'OSP Hvy-light spread'!$A$5:$A$451,$A49)</f>
        <v>-2</v>
      </c>
      <c r="C49" s="20">
        <v>8.7168351982271589E-2</v>
      </c>
      <c r="D49" s="19">
        <v>1.6849837109681638</v>
      </c>
      <c r="E49" s="19">
        <v>-0.3833333333333333</v>
      </c>
      <c r="F49" s="70">
        <v>-4.01</v>
      </c>
    </row>
    <row r="50" spans="1:6" x14ac:dyDescent="0.3">
      <c r="A50" s="17">
        <v>45292</v>
      </c>
      <c r="B50" s="19">
        <f>+SUMIFS('OSP Hvy-light spread'!$D$5:$D$451,'OSP Hvy-light spread'!$A$5:$A$451,$A50)</f>
        <v>-1.8</v>
      </c>
      <c r="C50" s="20">
        <v>9.3260418943471909E-2</v>
      </c>
      <c r="D50" s="19">
        <v>0.69416711415699694</v>
      </c>
      <c r="E50" s="19">
        <v>-0.8</v>
      </c>
      <c r="F50" s="70">
        <v>-3.8366666666666664</v>
      </c>
    </row>
    <row r="51" spans="1:6" x14ac:dyDescent="0.3">
      <c r="A51" s="17">
        <v>45323</v>
      </c>
      <c r="B51" s="19">
        <f>+SUMIFS('OSP Hvy-light spread'!$D$5:$D$451,'OSP Hvy-light spread'!$A$5:$A$451,$A51)</f>
        <v>-1.8</v>
      </c>
      <c r="C51" s="20">
        <v>7.012626836234305E-2</v>
      </c>
      <c r="D51" s="19">
        <v>0.30501850395435293</v>
      </c>
      <c r="E51" s="19">
        <v>-1.7333333333333334</v>
      </c>
      <c r="F51" s="70">
        <v>-3.7949999999999999</v>
      </c>
    </row>
    <row r="52" spans="1:6" x14ac:dyDescent="0.3">
      <c r="A52" s="17">
        <v>45352</v>
      </c>
      <c r="B52" s="19">
        <f>+SUMIFS('OSP Hvy-light spread'!$D$5:$D$451,'OSP Hvy-light spread'!$A$5:$A$451,$A52)</f>
        <v>-1.8</v>
      </c>
      <c r="C52" s="20">
        <v>7.0511871284987232E-2</v>
      </c>
      <c r="D52" s="19">
        <v>1.175828679102608</v>
      </c>
      <c r="E52" s="19">
        <v>0.05</v>
      </c>
      <c r="F52" s="70">
        <v>-1.87</v>
      </c>
    </row>
    <row r="53" spans="1:6" x14ac:dyDescent="0.3">
      <c r="A53" s="17">
        <v>45383</v>
      </c>
      <c r="B53" s="19">
        <f>+SUMIFS('OSP Hvy-light spread'!$D$5:$D$451,'OSP Hvy-light spread'!$A$5:$A$451,$A53)</f>
        <v>-1.7</v>
      </c>
      <c r="C53" s="20">
        <v>7.1699466693717892E-2</v>
      </c>
      <c r="D53" s="19">
        <v>0.78201039618046053</v>
      </c>
      <c r="E53" s="19">
        <v>0.4</v>
      </c>
      <c r="F53" s="70">
        <v>-2.6166666666666667</v>
      </c>
    </row>
    <row r="54" spans="1:6" x14ac:dyDescent="0.3">
      <c r="A54" s="17">
        <v>45413</v>
      </c>
      <c r="B54" s="19">
        <f>+SUMIFS('OSP Hvy-light spread'!$D$5:$D$451,'OSP Hvy-light spread'!$A$5:$A$451,$A54)</f>
        <v>-1.5</v>
      </c>
      <c r="C54" s="20">
        <v>5.9791077664150732E-2</v>
      </c>
      <c r="D54" s="19">
        <v>7.0594601386156919E-3</v>
      </c>
      <c r="E54" s="19">
        <v>1.1375</v>
      </c>
      <c r="F54" s="70">
        <v>-3</v>
      </c>
    </row>
    <row r="55" spans="1:6" x14ac:dyDescent="0.3">
      <c r="A55" s="17">
        <v>45444</v>
      </c>
      <c r="B55" s="19">
        <f>+SUMIFS('OSP Hvy-light spread'!$D$5:$D$451,'OSP Hvy-light spread'!$A$5:$A$451,$A55)</f>
        <v>-1.2999999999999998</v>
      </c>
      <c r="C55" s="20">
        <v>3.0671050142685841E-2</v>
      </c>
      <c r="D55" s="19">
        <v>-1.2263807100199671</v>
      </c>
      <c r="E55" s="19">
        <v>0.4</v>
      </c>
      <c r="F55" s="70">
        <v>-4.0950000000000006</v>
      </c>
    </row>
    <row r="56" spans="1:6" x14ac:dyDescent="0.3">
      <c r="A56" s="17">
        <v>45474</v>
      </c>
      <c r="B56" s="19">
        <f>+SUMIFS('OSP Hvy-light spread'!$D$5:$D$451,'OSP Hvy-light spread'!$A$5:$A$451,$A56)</f>
        <v>-1.2</v>
      </c>
      <c r="C56" s="20">
        <v>7.5792740188779795E-2</v>
      </c>
      <c r="D56" s="19">
        <v>-1.4776226004208155</v>
      </c>
      <c r="E56" s="19">
        <v>0.2</v>
      </c>
      <c r="F56" s="70">
        <v>-2.6024999999999996</v>
      </c>
    </row>
    <row r="57" spans="1:6" x14ac:dyDescent="0.3">
      <c r="A57" s="17">
        <v>45505</v>
      </c>
      <c r="B57" s="19">
        <f>+SUMIFS('OSP Hvy-light spread'!$D$5:$D$451,'OSP Hvy-light spread'!$A$5:$A$451,$A57)</f>
        <v>-1.3</v>
      </c>
      <c r="C57" s="20">
        <v>6.2616700077905957E-2</v>
      </c>
      <c r="D57" s="19">
        <v>-1.3655477770226092</v>
      </c>
      <c r="E57" s="19">
        <v>0.85</v>
      </c>
      <c r="F57" s="70">
        <v>-2.4649999999999999</v>
      </c>
    </row>
    <row r="58" spans="1:6" x14ac:dyDescent="0.3">
      <c r="A58" s="17">
        <v>45536</v>
      </c>
      <c r="B58" s="19">
        <f>+SUMIFS('OSP Hvy-light spread'!$D$5:$D$451,'OSP Hvy-light spread'!$A$5:$A$451,$A58)</f>
        <v>-1.5</v>
      </c>
      <c r="C58" s="20">
        <v>6.4972833723514048E-2</v>
      </c>
      <c r="D58" s="19">
        <v>-0.82848564654805301</v>
      </c>
      <c r="E58" s="19">
        <v>-0.125</v>
      </c>
      <c r="F58" s="70">
        <v>-2.4</v>
      </c>
    </row>
    <row r="59" spans="1:6" x14ac:dyDescent="0.3">
      <c r="A59" s="17">
        <v>45566</v>
      </c>
      <c r="B59" s="19">
        <f>+SUMIFS('OSP Hvy-light spread'!$D$5:$D$451,'OSP Hvy-light spread'!$A$5:$A$451,$A59)</f>
        <v>-1.8</v>
      </c>
      <c r="C59" s="20">
        <v>7.4951062344891017E-2</v>
      </c>
      <c r="D59" s="19">
        <v>-0.15741322649575784</v>
      </c>
      <c r="E59" s="19">
        <v>1.1333333333333335</v>
      </c>
      <c r="F59" s="70">
        <v>-2.7175000000000002</v>
      </c>
    </row>
    <row r="60" spans="1:6" x14ac:dyDescent="0.3">
      <c r="A60" s="17">
        <v>45597</v>
      </c>
      <c r="B60" s="19">
        <f>+SUMIFS('OSP Hvy-light spread'!$D$5:$D$451,'OSP Hvy-light spread'!$A$5:$A$451,$A60)</f>
        <v>-2</v>
      </c>
      <c r="C60" s="20">
        <v>5.8562570990556555E-2</v>
      </c>
      <c r="D60" s="19">
        <v>0.24881589743339916</v>
      </c>
      <c r="E60" s="19">
        <v>-6.25E-2</v>
      </c>
      <c r="F60" s="70">
        <v>-2.7</v>
      </c>
    </row>
    <row r="61" spans="1:6" x14ac:dyDescent="0.3">
      <c r="A61" s="17">
        <v>45627</v>
      </c>
      <c r="B61" s="19">
        <f>+SUMIFS('OSP Hvy-light spread'!$D$5:$D$451,'OSP Hvy-light spread'!$A$5:$A$451,$A61)</f>
        <v>-1.9</v>
      </c>
      <c r="C61" s="20">
        <v>5.4845088010407383E-2</v>
      </c>
      <c r="D61" s="19">
        <v>-8.9739751365975451E-2</v>
      </c>
      <c r="E61" s="19">
        <v>-0.89999999999999991</v>
      </c>
      <c r="F61" s="70">
        <v>-2.9766666666666666</v>
      </c>
    </row>
    <row r="62" spans="1:6" x14ac:dyDescent="0.3">
      <c r="A62" s="17">
        <v>45658</v>
      </c>
      <c r="B62" s="19">
        <f>+SUMIFS('OSP Hvy-light spread'!$D$5:$D$451,'OSP Hvy-light spread'!$A$5:$A$451,$A62)</f>
        <v>-1.8</v>
      </c>
      <c r="C62" s="20">
        <v>7.6394058362056899E-2</v>
      </c>
      <c r="D62" s="19">
        <v>-0.19802107385361989</v>
      </c>
      <c r="E62" s="19">
        <v>0.65</v>
      </c>
      <c r="F62" s="70">
        <v>-2.8499999999999996</v>
      </c>
    </row>
    <row r="63" spans="1:6" x14ac:dyDescent="0.3">
      <c r="A63" s="17">
        <v>45689</v>
      </c>
      <c r="B63" s="19">
        <f>+SUMIFS('OSP Hvy-light spread'!$D$5:$D$451,'OSP Hvy-light spread'!$A$5:$A$451,$A63)</f>
        <v>-2</v>
      </c>
      <c r="C63" s="20">
        <v>6.946116306346814E-2</v>
      </c>
      <c r="D63" s="19">
        <v>-0.21015500043386481</v>
      </c>
      <c r="E63" s="19">
        <v>0.64999999999999991</v>
      </c>
      <c r="F63" s="70">
        <v>-3.6349999999999998</v>
      </c>
    </row>
    <row r="64" spans="1:6" x14ac:dyDescent="0.3">
      <c r="A64" s="17">
        <v>45717</v>
      </c>
      <c r="B64" s="19">
        <f>+SUMIFS('OSP Hvy-light spread'!$D$5:$D$451,'OSP Hvy-light spread'!$A$5:$A$451,$A64)</f>
        <v>-1.7999999999999998</v>
      </c>
      <c r="C64" s="20">
        <v>4.5852694860566423E-2</v>
      </c>
      <c r="D64" s="19">
        <v>-0.3558123199260379</v>
      </c>
      <c r="E64" s="19">
        <v>-0.35</v>
      </c>
      <c r="F64" s="70">
        <v>-2.4050000000000002</v>
      </c>
    </row>
    <row r="65" spans="1:6" x14ac:dyDescent="0.3">
      <c r="A65" s="17">
        <v>45748</v>
      </c>
      <c r="B65" s="19">
        <f>+SUMIFS('OSP Hvy-light spread'!$D$5:$D$451,'OSP Hvy-light spread'!$A$5:$A$451,$A65)</f>
        <v>-1.7</v>
      </c>
      <c r="C65" s="20">
        <v>3.1424242094651611E-2</v>
      </c>
      <c r="D65" s="19">
        <v>-0.59016867368406167</v>
      </c>
      <c r="E65" s="19">
        <v>-2.2750000000000004</v>
      </c>
      <c r="F65" s="70">
        <v>-3.21</v>
      </c>
    </row>
    <row r="66" spans="1:6" x14ac:dyDescent="0.3">
      <c r="A66" s="17">
        <v>45778</v>
      </c>
      <c r="B66" s="19">
        <f>+SUMIFS('OSP Hvy-light spread'!$D$5:$D$451,'OSP Hvy-light spread'!$A$5:$A$451,$A66)</f>
        <v>-1.7</v>
      </c>
      <c r="C66" s="20">
        <v>3.3803157377537738E-2</v>
      </c>
      <c r="D66" s="19">
        <v>-0.28148886175374699</v>
      </c>
      <c r="E66" s="19">
        <v>0.91250000000000009</v>
      </c>
      <c r="F66" s="70">
        <v>-1.65</v>
      </c>
    </row>
    <row r="67" spans="1:6" x14ac:dyDescent="0.3">
      <c r="A67" s="17">
        <v>45809</v>
      </c>
      <c r="B67" s="19">
        <f>+SUMIFS('OSP Hvy-light spread'!$D$5:$D$451,'OSP Hvy-light spread'!$A$5:$A$451,$A67)</f>
        <v>-1.7</v>
      </c>
      <c r="C67" s="20">
        <v>3.1854723566096713E-2</v>
      </c>
      <c r="D67" s="19">
        <v>-0.22721996595371508</v>
      </c>
      <c r="E67" s="19">
        <v>-0.45</v>
      </c>
      <c r="F67" s="70">
        <v>-0.78666666666666663</v>
      </c>
    </row>
    <row r="68" spans="1:6" x14ac:dyDescent="0.3">
      <c r="A68" s="17">
        <v>45839</v>
      </c>
      <c r="B68" s="19">
        <f>+SUMIFS('OSP Hvy-light spread'!$D$5:$D$451,'OSP Hvy-light spread'!$A$5:$A$451,$A68)</f>
        <v>-1.5</v>
      </c>
      <c r="C68" s="20">
        <v>3.9876924554908863E-2</v>
      </c>
      <c r="D68" s="19">
        <v>-0.44011443290869989</v>
      </c>
      <c r="E68" s="19">
        <v>0.23333333333333331</v>
      </c>
      <c r="F68" s="70">
        <v>-0.6</v>
      </c>
    </row>
    <row r="69" spans="1:6" x14ac:dyDescent="0.3">
      <c r="A69" s="17">
        <v>45870</v>
      </c>
      <c r="B69" s="19">
        <f>+SUMIFS('OSP Hvy-light spread'!$D$5:$D$451,'OSP Hvy-light spread'!$A$5:$A$451,$A69)</f>
        <v>-1.6</v>
      </c>
      <c r="C69" s="20">
        <v>3.0760136440593271E-2</v>
      </c>
      <c r="D69" s="19">
        <v>-4.3241620416708315E-2</v>
      </c>
      <c r="E69" s="19">
        <v>1.075</v>
      </c>
      <c r="F69" s="70">
        <v>-1.7149999999999999</v>
      </c>
    </row>
    <row r="70" spans="1:6" x14ac:dyDescent="0.3">
      <c r="A70" s="17">
        <v>45901</v>
      </c>
      <c r="B70" s="19">
        <f>+SUMIFS('OSP Hvy-light spread'!$D$5:$D$451,'OSP Hvy-light spread'!$A$5:$A$451,$A70)</f>
        <v>-1.9000000000000001</v>
      </c>
      <c r="C70" s="20">
        <v>3.3937410509647471E-2</v>
      </c>
      <c r="D70" s="19">
        <v>-2.0390218476009636E-3</v>
      </c>
      <c r="E70" s="19">
        <v>-0.64999999999999991</v>
      </c>
      <c r="F70" s="70">
        <v>-2.7825000000000002</v>
      </c>
    </row>
    <row r="71" spans="1:6" x14ac:dyDescent="0.3">
      <c r="A71" s="17">
        <v>45931</v>
      </c>
      <c r="B71" s="19">
        <f>+SUMIFS('OSP Hvy-light spread'!$D$5:$D$451,'OSP Hvy-light spread'!$A$5:$A$451,$A71)</f>
        <v>-1.8000000000000003</v>
      </c>
      <c r="C71" s="20">
        <v>3.8475591649966709E-2</v>
      </c>
      <c r="D71" s="19">
        <v>0.55601301593540953</v>
      </c>
      <c r="E71" s="19">
        <v>0.4</v>
      </c>
      <c r="F71" s="70">
        <v>-1.4566666666666663</v>
      </c>
    </row>
    <row r="72" spans="1:6" x14ac:dyDescent="0.3">
      <c r="A72" s="17">
        <v>45962</v>
      </c>
      <c r="B72" s="19">
        <f>+SUMIFS('OSP Hvy-light spread'!$D$5:$D$451,'OSP Hvy-light spread'!$A$5:$A$451,$A72)</f>
        <v>-2.1</v>
      </c>
      <c r="C72" s="20">
        <v>3.586174990742582E-2</v>
      </c>
      <c r="D72" s="19">
        <v>0.44491960821835619</v>
      </c>
      <c r="E72" s="19">
        <v>-2.0833333333333335</v>
      </c>
      <c r="F72" s="70">
        <v>-2.73</v>
      </c>
    </row>
    <row r="73" spans="1:6" x14ac:dyDescent="0.3">
      <c r="A73" s="17">
        <v>45992</v>
      </c>
      <c r="B73" s="19">
        <f>+SUMIFS('OSP Hvy-light spread'!$D$5:$D$451,'OSP Hvy-light spread'!$A$5:$A$451,$A73)</f>
        <v>-2.2999999999999998</v>
      </c>
      <c r="C73" s="20">
        <v>4.0186207427735016E-2</v>
      </c>
      <c r="D73" s="19">
        <v>1.2891515739205062</v>
      </c>
      <c r="E73" s="19">
        <v>7.4999999999999983E-2</v>
      </c>
      <c r="F73" s="70">
        <v>-7.1550000000000002</v>
      </c>
    </row>
    <row r="74" spans="1:6" x14ac:dyDescent="0.3">
      <c r="A74" s="17">
        <v>46023</v>
      </c>
      <c r="B74" s="19">
        <f>+SUMIFS('OSP Hvy-light spread'!$D$5:$D$451,'OSP Hvy-light spread'!$A$5:$A$451,$A74)</f>
        <v>-2.5</v>
      </c>
      <c r="C74" s="20">
        <v>5.946107734341291E-2</v>
      </c>
      <c r="D74" s="19">
        <v>2.070439126651566</v>
      </c>
      <c r="E74" s="19">
        <v>-0.48749999999999993</v>
      </c>
      <c r="F74" s="70">
        <v>-6.84</v>
      </c>
    </row>
    <row r="75" spans="1:6" x14ac:dyDescent="0.3">
      <c r="A75" s="17">
        <v>46054</v>
      </c>
      <c r="B75" s="19">
        <f>+SUMIFS('OSP Hvy-light spread'!$D$5:$D$451,'OSP Hvy-light spread'!$A$5:$A$451,$A75)</f>
        <v>-2.5</v>
      </c>
      <c r="C75" s="20">
        <v>3.6395399667193934E-2</v>
      </c>
      <c r="D75" s="19">
        <v>2.0632437911603034</v>
      </c>
      <c r="E75" s="19">
        <v>-1.05</v>
      </c>
      <c r="F75" s="70">
        <v>-6.8499999999999988</v>
      </c>
    </row>
    <row r="76" spans="1:6" x14ac:dyDescent="0.3">
      <c r="A76" s="17">
        <v>46082</v>
      </c>
      <c r="B76" s="19"/>
      <c r="C76" s="20">
        <v>1.3310500923861462E-2</v>
      </c>
      <c r="D76" s="19">
        <v>1.231619082033987</v>
      </c>
      <c r="E76" s="19">
        <v>1.1666666666666667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02F4B-59AA-4EAE-ADAC-FDA425571357}">
  <dimension ref="A1:D451"/>
  <sheetViews>
    <sheetView showGridLines="0" workbookViewId="0">
      <selection activeCell="E5" sqref="E5"/>
    </sheetView>
  </sheetViews>
  <sheetFormatPr defaultRowHeight="14.4" x14ac:dyDescent="0.3"/>
  <cols>
    <col min="1" max="1" width="13.109375" bestFit="1" customWidth="1"/>
    <col min="2" max="2" width="25.6640625" bestFit="1" customWidth="1"/>
    <col min="3" max="3" width="30.109375" bestFit="1" customWidth="1"/>
    <col min="4" max="4" width="15.5546875" style="55" bestFit="1" customWidth="1"/>
  </cols>
  <sheetData>
    <row r="1" spans="1:4" x14ac:dyDescent="0.3">
      <c r="A1" t="s">
        <v>107</v>
      </c>
      <c r="B1" t="s">
        <v>143</v>
      </c>
      <c r="C1" t="s">
        <v>203</v>
      </c>
      <c r="D1" s="54"/>
    </row>
    <row r="2" spans="1:4" x14ac:dyDescent="0.3">
      <c r="A2" t="s">
        <v>112</v>
      </c>
      <c r="B2" t="s">
        <v>113</v>
      </c>
      <c r="C2" t="s">
        <v>113</v>
      </c>
    </row>
    <row r="3" spans="1:4" x14ac:dyDescent="0.3">
      <c r="A3" t="s">
        <v>117</v>
      </c>
      <c r="B3" t="s">
        <v>145</v>
      </c>
      <c r="C3" t="s">
        <v>204</v>
      </c>
    </row>
    <row r="4" spans="1:4" x14ac:dyDescent="0.3">
      <c r="A4" t="s">
        <v>120</v>
      </c>
      <c r="B4" t="s">
        <v>146</v>
      </c>
      <c r="C4" t="s">
        <v>146</v>
      </c>
      <c r="D4" s="55" t="s">
        <v>205</v>
      </c>
    </row>
    <row r="5" spans="1:4" x14ac:dyDescent="0.3">
      <c r="A5" s="17">
        <v>46082</v>
      </c>
      <c r="B5">
        <v>0</v>
      </c>
      <c r="C5">
        <v>-2.6</v>
      </c>
      <c r="D5" s="55">
        <f>+C5-B5</f>
        <v>-2.6</v>
      </c>
    </row>
    <row r="6" spans="1:4" x14ac:dyDescent="0.3">
      <c r="A6" s="17">
        <v>46054</v>
      </c>
      <c r="B6" s="75">
        <v>0.3</v>
      </c>
      <c r="C6">
        <v>-2.2000000000000002</v>
      </c>
      <c r="D6" s="55">
        <f t="shared" ref="D6:D69" si="0">+C6-B6</f>
        <v>-2.5</v>
      </c>
    </row>
    <row r="7" spans="1:4" x14ac:dyDescent="0.3">
      <c r="A7" s="17">
        <v>46023</v>
      </c>
      <c r="B7">
        <v>0.6</v>
      </c>
      <c r="C7">
        <v>-1.9</v>
      </c>
      <c r="D7" s="55">
        <f t="shared" si="0"/>
        <v>-2.5</v>
      </c>
    </row>
    <row r="8" spans="1:4" x14ac:dyDescent="0.3">
      <c r="A8" s="17">
        <v>45992</v>
      </c>
      <c r="B8">
        <v>1</v>
      </c>
      <c r="C8">
        <v>-1.3</v>
      </c>
      <c r="D8" s="55">
        <f t="shared" si="0"/>
        <v>-2.2999999999999998</v>
      </c>
    </row>
    <row r="9" spans="1:4" x14ac:dyDescent="0.3">
      <c r="A9" s="17">
        <v>45962</v>
      </c>
      <c r="B9">
        <v>2.2000000000000002</v>
      </c>
      <c r="C9">
        <v>0.1</v>
      </c>
      <c r="D9" s="55">
        <f t="shared" si="0"/>
        <v>-2.1</v>
      </c>
    </row>
    <row r="10" spans="1:4" x14ac:dyDescent="0.3">
      <c r="A10" s="17">
        <v>45931</v>
      </c>
      <c r="B10">
        <v>2.2000000000000002</v>
      </c>
      <c r="C10">
        <v>0.4</v>
      </c>
      <c r="D10" s="55">
        <f t="shared" si="0"/>
        <v>-1.8000000000000003</v>
      </c>
    </row>
    <row r="11" spans="1:4" x14ac:dyDescent="0.3">
      <c r="A11" s="17">
        <v>45901</v>
      </c>
      <c r="B11">
        <v>3.2</v>
      </c>
      <c r="C11">
        <v>1.3</v>
      </c>
      <c r="D11" s="55">
        <f t="shared" si="0"/>
        <v>-1.9000000000000001</v>
      </c>
    </row>
    <row r="12" spans="1:4" x14ac:dyDescent="0.3">
      <c r="A12" s="17">
        <v>45870</v>
      </c>
      <c r="B12">
        <v>2.2000000000000002</v>
      </c>
      <c r="C12">
        <v>0.6</v>
      </c>
      <c r="D12" s="55">
        <f t="shared" si="0"/>
        <v>-1.6</v>
      </c>
    </row>
    <row r="13" spans="1:4" x14ac:dyDescent="0.3">
      <c r="A13" s="17">
        <v>45839</v>
      </c>
      <c r="B13">
        <v>1.2</v>
      </c>
      <c r="C13">
        <v>-0.3</v>
      </c>
      <c r="D13" s="55">
        <f t="shared" si="0"/>
        <v>-1.5</v>
      </c>
    </row>
    <row r="14" spans="1:4" x14ac:dyDescent="0.3">
      <c r="A14" s="17">
        <v>45809</v>
      </c>
      <c r="B14">
        <v>1.4</v>
      </c>
      <c r="C14">
        <v>-0.3</v>
      </c>
      <c r="D14" s="55">
        <f t="shared" si="0"/>
        <v>-1.7</v>
      </c>
    </row>
    <row r="15" spans="1:4" x14ac:dyDescent="0.3">
      <c r="A15" s="17">
        <v>45778</v>
      </c>
      <c r="B15">
        <v>1.2</v>
      </c>
      <c r="C15">
        <v>-0.5</v>
      </c>
      <c r="D15" s="55">
        <f t="shared" si="0"/>
        <v>-1.7</v>
      </c>
    </row>
    <row r="16" spans="1:4" x14ac:dyDescent="0.3">
      <c r="A16" s="17">
        <v>45748</v>
      </c>
      <c r="B16">
        <v>3.5</v>
      </c>
      <c r="C16">
        <v>1.8</v>
      </c>
      <c r="D16" s="55">
        <f t="shared" si="0"/>
        <v>-1.7</v>
      </c>
    </row>
    <row r="17" spans="1:4" x14ac:dyDescent="0.3">
      <c r="A17" s="17">
        <v>45717</v>
      </c>
      <c r="B17">
        <v>3.9</v>
      </c>
      <c r="C17">
        <v>2.1</v>
      </c>
      <c r="D17" s="55">
        <f t="shared" si="0"/>
        <v>-1.7999999999999998</v>
      </c>
    </row>
    <row r="18" spans="1:4" x14ac:dyDescent="0.3">
      <c r="A18" s="17">
        <v>45689</v>
      </c>
      <c r="B18">
        <v>1.5</v>
      </c>
      <c r="C18">
        <v>-0.5</v>
      </c>
      <c r="D18" s="55">
        <f t="shared" si="0"/>
        <v>-2</v>
      </c>
    </row>
    <row r="19" spans="1:4" x14ac:dyDescent="0.3">
      <c r="A19" s="17">
        <v>45658</v>
      </c>
      <c r="B19">
        <v>0.9</v>
      </c>
      <c r="C19">
        <v>-0.9</v>
      </c>
      <c r="D19" s="55">
        <f t="shared" si="0"/>
        <v>-1.8</v>
      </c>
    </row>
    <row r="20" spans="1:4" x14ac:dyDescent="0.3">
      <c r="A20" s="17">
        <v>45627</v>
      </c>
      <c r="B20">
        <v>1.7</v>
      </c>
      <c r="C20">
        <v>-0.2</v>
      </c>
      <c r="D20" s="55">
        <f t="shared" si="0"/>
        <v>-1.9</v>
      </c>
    </row>
    <row r="21" spans="1:4" x14ac:dyDescent="0.3">
      <c r="A21" s="17">
        <v>45597</v>
      </c>
      <c r="B21">
        <v>2.2000000000000002</v>
      </c>
      <c r="C21">
        <v>0.2</v>
      </c>
      <c r="D21" s="55">
        <f t="shared" si="0"/>
        <v>-2</v>
      </c>
    </row>
    <row r="22" spans="1:4" x14ac:dyDescent="0.3">
      <c r="A22" s="17">
        <v>45566</v>
      </c>
      <c r="B22">
        <v>1.3</v>
      </c>
      <c r="C22">
        <v>-0.5</v>
      </c>
      <c r="D22" s="55">
        <f t="shared" si="0"/>
        <v>-1.8</v>
      </c>
    </row>
    <row r="23" spans="1:4" x14ac:dyDescent="0.3">
      <c r="A23" s="17">
        <v>45536</v>
      </c>
      <c r="B23">
        <v>2</v>
      </c>
      <c r="C23">
        <v>0.5</v>
      </c>
      <c r="D23" s="55">
        <f t="shared" si="0"/>
        <v>-1.5</v>
      </c>
    </row>
    <row r="24" spans="1:4" x14ac:dyDescent="0.3">
      <c r="A24" s="17">
        <v>45505</v>
      </c>
      <c r="B24">
        <v>1.8</v>
      </c>
      <c r="C24">
        <v>0.5</v>
      </c>
      <c r="D24" s="55">
        <f t="shared" si="0"/>
        <v>-1.3</v>
      </c>
    </row>
    <row r="25" spans="1:4" x14ac:dyDescent="0.3">
      <c r="A25" s="17">
        <v>45474</v>
      </c>
      <c r="B25">
        <v>2.4</v>
      </c>
      <c r="C25">
        <v>1.2</v>
      </c>
      <c r="D25" s="55">
        <f t="shared" si="0"/>
        <v>-1.2</v>
      </c>
    </row>
    <row r="26" spans="1:4" x14ac:dyDescent="0.3">
      <c r="A26" s="17">
        <v>45444</v>
      </c>
      <c r="B26">
        <v>2.9</v>
      </c>
      <c r="C26">
        <v>1.6</v>
      </c>
      <c r="D26" s="55">
        <f t="shared" si="0"/>
        <v>-1.2999999999999998</v>
      </c>
    </row>
    <row r="27" spans="1:4" x14ac:dyDescent="0.3">
      <c r="A27" s="17">
        <v>45413</v>
      </c>
      <c r="B27">
        <v>2</v>
      </c>
      <c r="C27">
        <v>0.5</v>
      </c>
      <c r="D27" s="55">
        <f t="shared" si="0"/>
        <v>-1.5</v>
      </c>
    </row>
    <row r="28" spans="1:4" x14ac:dyDescent="0.3">
      <c r="A28" s="17">
        <v>45383</v>
      </c>
      <c r="B28">
        <v>1.7</v>
      </c>
      <c r="C28">
        <v>0</v>
      </c>
      <c r="D28" s="55">
        <f t="shared" si="0"/>
        <v>-1.7</v>
      </c>
    </row>
    <row r="29" spans="1:4" x14ac:dyDescent="0.3">
      <c r="A29" s="17">
        <v>45352</v>
      </c>
      <c r="B29">
        <v>1.5</v>
      </c>
      <c r="C29">
        <v>-0.3</v>
      </c>
      <c r="D29" s="55">
        <f t="shared" si="0"/>
        <v>-1.8</v>
      </c>
    </row>
    <row r="30" spans="1:4" x14ac:dyDescent="0.3">
      <c r="A30" s="17">
        <v>45323</v>
      </c>
      <c r="B30">
        <v>1.5</v>
      </c>
      <c r="C30">
        <v>-0.3</v>
      </c>
      <c r="D30" s="55">
        <f t="shared" si="0"/>
        <v>-1.8</v>
      </c>
    </row>
    <row r="31" spans="1:4" x14ac:dyDescent="0.3">
      <c r="A31" s="17">
        <v>45292</v>
      </c>
      <c r="B31">
        <v>3.5</v>
      </c>
      <c r="C31">
        <v>1.7</v>
      </c>
      <c r="D31" s="55">
        <f t="shared" si="0"/>
        <v>-1.8</v>
      </c>
    </row>
    <row r="32" spans="1:4" x14ac:dyDescent="0.3">
      <c r="A32" s="17">
        <v>45261</v>
      </c>
      <c r="B32">
        <v>4</v>
      </c>
      <c r="C32">
        <v>2</v>
      </c>
      <c r="D32" s="55">
        <f t="shared" si="0"/>
        <v>-2</v>
      </c>
    </row>
    <row r="33" spans="1:4" x14ac:dyDescent="0.3">
      <c r="A33" s="17">
        <v>45231</v>
      </c>
      <c r="B33">
        <v>4</v>
      </c>
      <c r="C33">
        <v>1.7</v>
      </c>
      <c r="D33" s="55">
        <f t="shared" si="0"/>
        <v>-2.2999999999999998</v>
      </c>
    </row>
    <row r="34" spans="1:4" x14ac:dyDescent="0.3">
      <c r="A34" s="17">
        <v>45200</v>
      </c>
      <c r="B34">
        <v>3.6</v>
      </c>
      <c r="C34">
        <v>1.7</v>
      </c>
      <c r="D34" s="55">
        <f t="shared" si="0"/>
        <v>-1.9000000000000001</v>
      </c>
    </row>
    <row r="35" spans="1:4" x14ac:dyDescent="0.3">
      <c r="A35" s="17">
        <v>45170</v>
      </c>
      <c r="B35">
        <v>3.5</v>
      </c>
      <c r="C35">
        <v>1.6</v>
      </c>
      <c r="D35" s="55">
        <f t="shared" si="0"/>
        <v>-1.9</v>
      </c>
    </row>
    <row r="36" spans="1:4" x14ac:dyDescent="0.3">
      <c r="A36" s="17">
        <v>45139</v>
      </c>
      <c r="B36">
        <v>3.2</v>
      </c>
      <c r="C36">
        <v>1</v>
      </c>
      <c r="D36" s="55">
        <f t="shared" si="0"/>
        <v>-2.2000000000000002</v>
      </c>
    </row>
    <row r="37" spans="1:4" x14ac:dyDescent="0.3">
      <c r="A37" s="17">
        <v>45108</v>
      </c>
      <c r="B37">
        <v>3</v>
      </c>
      <c r="C37">
        <v>0.8</v>
      </c>
      <c r="D37" s="55">
        <f t="shared" si="0"/>
        <v>-2.2000000000000002</v>
      </c>
    </row>
    <row r="38" spans="1:4" x14ac:dyDescent="0.3">
      <c r="A38" s="17">
        <v>45078</v>
      </c>
      <c r="B38">
        <v>2.5499999999999998</v>
      </c>
      <c r="C38">
        <v>0.35</v>
      </c>
      <c r="D38" s="55">
        <f t="shared" si="0"/>
        <v>-2.1999999999999997</v>
      </c>
    </row>
    <row r="39" spans="1:4" x14ac:dyDescent="0.3">
      <c r="A39" s="17">
        <v>45047</v>
      </c>
      <c r="B39">
        <v>2.8</v>
      </c>
      <c r="C39">
        <v>1.25</v>
      </c>
      <c r="D39" s="55">
        <f t="shared" si="0"/>
        <v>-1.5499999999999998</v>
      </c>
    </row>
    <row r="40" spans="1:4" x14ac:dyDescent="0.3">
      <c r="A40" s="17">
        <v>45017</v>
      </c>
      <c r="B40">
        <v>2.5</v>
      </c>
      <c r="C40">
        <v>0.75</v>
      </c>
      <c r="D40" s="55">
        <f t="shared" si="0"/>
        <v>-1.75</v>
      </c>
    </row>
    <row r="41" spans="1:4" x14ac:dyDescent="0.3">
      <c r="A41" s="17">
        <v>44986</v>
      </c>
      <c r="B41">
        <v>2</v>
      </c>
      <c r="C41">
        <v>-1.75</v>
      </c>
      <c r="D41" s="55">
        <f t="shared" si="0"/>
        <v>-3.75</v>
      </c>
    </row>
    <row r="42" spans="1:4" x14ac:dyDescent="0.3">
      <c r="A42" s="17">
        <v>44958</v>
      </c>
      <c r="B42">
        <v>1.8</v>
      </c>
      <c r="C42">
        <v>-2.25</v>
      </c>
      <c r="D42" s="55">
        <f t="shared" si="0"/>
        <v>-4.05</v>
      </c>
    </row>
    <row r="43" spans="1:4" x14ac:dyDescent="0.3">
      <c r="A43" s="17">
        <v>44927</v>
      </c>
      <c r="B43">
        <v>3.25</v>
      </c>
      <c r="C43">
        <v>-1.25</v>
      </c>
      <c r="D43" s="55">
        <f t="shared" si="0"/>
        <v>-4.5</v>
      </c>
    </row>
    <row r="44" spans="1:4" x14ac:dyDescent="0.3">
      <c r="A44" s="17">
        <v>44896</v>
      </c>
      <c r="B44">
        <v>5.45</v>
      </c>
      <c r="C44">
        <v>1.25</v>
      </c>
      <c r="D44" s="55">
        <f t="shared" si="0"/>
        <v>-4.2</v>
      </c>
    </row>
    <row r="45" spans="1:4" x14ac:dyDescent="0.3">
      <c r="A45" s="17">
        <v>44866</v>
      </c>
      <c r="B45">
        <v>5.85</v>
      </c>
      <c r="C45">
        <v>2.4500000000000002</v>
      </c>
      <c r="D45" s="55">
        <f t="shared" si="0"/>
        <v>-3.3999999999999995</v>
      </c>
    </row>
    <row r="46" spans="1:4" x14ac:dyDescent="0.3">
      <c r="A46" s="17">
        <v>44835</v>
      </c>
      <c r="B46">
        <v>5.85</v>
      </c>
      <c r="C46">
        <v>2.2000000000000002</v>
      </c>
      <c r="D46" s="55">
        <f t="shared" si="0"/>
        <v>-3.6499999999999995</v>
      </c>
    </row>
    <row r="47" spans="1:4" x14ac:dyDescent="0.3">
      <c r="A47" s="17">
        <v>44805</v>
      </c>
      <c r="B47">
        <v>9.8000000000000007</v>
      </c>
      <c r="C47">
        <v>6</v>
      </c>
      <c r="D47" s="55">
        <f t="shared" si="0"/>
        <v>-3.8000000000000007</v>
      </c>
    </row>
    <row r="48" spans="1:4" x14ac:dyDescent="0.3">
      <c r="A48" s="17">
        <v>44774</v>
      </c>
      <c r="B48">
        <v>9.3000000000000007</v>
      </c>
      <c r="C48">
        <v>5.3</v>
      </c>
      <c r="D48" s="55">
        <f t="shared" si="0"/>
        <v>-4.0000000000000009</v>
      </c>
    </row>
    <row r="49" spans="1:4" x14ac:dyDescent="0.3">
      <c r="A49" s="17">
        <v>44743</v>
      </c>
      <c r="B49">
        <v>6.5</v>
      </c>
      <c r="C49">
        <v>4.8</v>
      </c>
      <c r="D49" s="55">
        <f t="shared" si="0"/>
        <v>-1.7000000000000002</v>
      </c>
    </row>
    <row r="50" spans="1:4" x14ac:dyDescent="0.3">
      <c r="A50" s="17">
        <v>44713</v>
      </c>
      <c r="B50">
        <v>4.4000000000000004</v>
      </c>
      <c r="C50">
        <v>3</v>
      </c>
      <c r="D50" s="55">
        <f t="shared" si="0"/>
        <v>-1.4000000000000004</v>
      </c>
    </row>
    <row r="51" spans="1:4" x14ac:dyDescent="0.3">
      <c r="A51" s="17">
        <v>44682</v>
      </c>
      <c r="B51">
        <v>9.35</v>
      </c>
      <c r="C51">
        <v>7.95</v>
      </c>
      <c r="D51" s="55">
        <f t="shared" si="0"/>
        <v>-1.3999999999999995</v>
      </c>
    </row>
    <row r="52" spans="1:4" x14ac:dyDescent="0.3">
      <c r="A52" s="17">
        <v>44652</v>
      </c>
      <c r="B52">
        <v>4.95</v>
      </c>
      <c r="C52">
        <v>3.55</v>
      </c>
      <c r="D52" s="55">
        <f t="shared" si="0"/>
        <v>-1.4000000000000004</v>
      </c>
    </row>
    <row r="53" spans="1:4" x14ac:dyDescent="0.3">
      <c r="A53" s="17">
        <v>44621</v>
      </c>
      <c r="B53">
        <v>2.8</v>
      </c>
      <c r="C53">
        <v>1.4</v>
      </c>
      <c r="D53" s="55">
        <f t="shared" si="0"/>
        <v>-1.4</v>
      </c>
    </row>
    <row r="54" spans="1:4" x14ac:dyDescent="0.3">
      <c r="A54" s="17">
        <v>44593</v>
      </c>
      <c r="B54">
        <v>2.2000000000000002</v>
      </c>
      <c r="C54">
        <v>0.7</v>
      </c>
      <c r="D54" s="55">
        <f t="shared" si="0"/>
        <v>-1.5000000000000002</v>
      </c>
    </row>
    <row r="55" spans="1:4" x14ac:dyDescent="0.3">
      <c r="A55" s="17">
        <v>44562</v>
      </c>
      <c r="B55">
        <v>3.3</v>
      </c>
      <c r="C55">
        <v>1.8</v>
      </c>
      <c r="D55" s="55">
        <f t="shared" si="0"/>
        <v>-1.4999999999999998</v>
      </c>
    </row>
    <row r="56" spans="1:4" x14ac:dyDescent="0.3">
      <c r="A56" s="17">
        <v>44531</v>
      </c>
      <c r="B56">
        <v>2.7</v>
      </c>
      <c r="C56">
        <v>1</v>
      </c>
      <c r="D56" s="55">
        <f t="shared" si="0"/>
        <v>-1.7000000000000002</v>
      </c>
    </row>
    <row r="57" spans="1:4" x14ac:dyDescent="0.3">
      <c r="A57" s="17">
        <v>44501</v>
      </c>
      <c r="B57">
        <v>1.3</v>
      </c>
      <c r="C57">
        <v>-0.1</v>
      </c>
      <c r="D57" s="55">
        <f t="shared" si="0"/>
        <v>-1.4000000000000001</v>
      </c>
    </row>
    <row r="58" spans="1:4" x14ac:dyDescent="0.3">
      <c r="A58" s="17">
        <v>44470</v>
      </c>
      <c r="B58">
        <v>1.7</v>
      </c>
      <c r="C58">
        <v>0.4</v>
      </c>
      <c r="D58" s="55">
        <f t="shared" si="0"/>
        <v>-1.2999999999999998</v>
      </c>
    </row>
    <row r="59" spans="1:4" x14ac:dyDescent="0.3">
      <c r="A59" s="17">
        <v>44440</v>
      </c>
      <c r="B59">
        <v>3</v>
      </c>
      <c r="C59">
        <v>1.4</v>
      </c>
      <c r="D59" s="55">
        <f t="shared" si="0"/>
        <v>-1.6</v>
      </c>
    </row>
    <row r="60" spans="1:4" x14ac:dyDescent="0.3">
      <c r="A60" s="17">
        <v>44409</v>
      </c>
      <c r="B60">
        <v>2.7</v>
      </c>
      <c r="C60">
        <v>1.2</v>
      </c>
      <c r="D60" s="55">
        <f t="shared" si="0"/>
        <v>-1.5000000000000002</v>
      </c>
    </row>
    <row r="61" spans="1:4" x14ac:dyDescent="0.3">
      <c r="A61" s="17">
        <v>44378</v>
      </c>
      <c r="B61">
        <v>1.9</v>
      </c>
      <c r="C61">
        <v>0.4</v>
      </c>
      <c r="D61" s="55">
        <f t="shared" si="0"/>
        <v>-1.5</v>
      </c>
    </row>
    <row r="62" spans="1:4" x14ac:dyDescent="0.3">
      <c r="A62" s="17">
        <v>44348</v>
      </c>
      <c r="B62">
        <v>1.7</v>
      </c>
      <c r="C62">
        <v>0.5</v>
      </c>
      <c r="D62" s="55">
        <f t="shared" si="0"/>
        <v>-1.2</v>
      </c>
    </row>
    <row r="63" spans="1:4" x14ac:dyDescent="0.3">
      <c r="A63" s="17">
        <v>44317</v>
      </c>
      <c r="B63">
        <v>1.8</v>
      </c>
      <c r="C63">
        <v>0.8</v>
      </c>
      <c r="D63" s="55">
        <f t="shared" si="0"/>
        <v>-1</v>
      </c>
    </row>
    <row r="64" spans="1:4" x14ac:dyDescent="0.3">
      <c r="A64" s="17">
        <v>44287</v>
      </c>
      <c r="B64">
        <v>1.4</v>
      </c>
      <c r="C64">
        <v>0.3</v>
      </c>
      <c r="D64" s="55">
        <f t="shared" si="0"/>
        <v>-1.0999999999999999</v>
      </c>
    </row>
    <row r="65" spans="1:4" x14ac:dyDescent="0.3">
      <c r="A65" s="17">
        <v>44256</v>
      </c>
      <c r="B65">
        <v>1</v>
      </c>
      <c r="C65">
        <v>0.3</v>
      </c>
      <c r="D65" s="55">
        <f t="shared" si="0"/>
        <v>-0.7</v>
      </c>
    </row>
    <row r="66" spans="1:4" x14ac:dyDescent="0.3">
      <c r="A66" s="17">
        <v>44228</v>
      </c>
      <c r="B66">
        <v>1</v>
      </c>
      <c r="C66">
        <v>0.3</v>
      </c>
      <c r="D66" s="55">
        <f t="shared" si="0"/>
        <v>-0.7</v>
      </c>
    </row>
    <row r="67" spans="1:4" x14ac:dyDescent="0.3">
      <c r="A67" s="17">
        <v>44197</v>
      </c>
      <c r="B67">
        <v>0.3</v>
      </c>
      <c r="C67">
        <v>0.1</v>
      </c>
      <c r="D67" s="55">
        <f t="shared" si="0"/>
        <v>-0.19999999999999998</v>
      </c>
    </row>
    <row r="68" spans="1:4" x14ac:dyDescent="0.3">
      <c r="A68" s="17">
        <v>44166</v>
      </c>
      <c r="B68">
        <v>-0.5</v>
      </c>
      <c r="C68">
        <v>-0.3</v>
      </c>
      <c r="D68" s="55">
        <f t="shared" si="0"/>
        <v>0.2</v>
      </c>
    </row>
    <row r="69" spans="1:4" x14ac:dyDescent="0.3">
      <c r="A69" s="17">
        <v>44136</v>
      </c>
      <c r="B69">
        <v>-0.4</v>
      </c>
      <c r="C69">
        <v>-0.3</v>
      </c>
      <c r="D69" s="55">
        <f t="shared" si="0"/>
        <v>0.10000000000000003</v>
      </c>
    </row>
    <row r="70" spans="1:4" x14ac:dyDescent="0.3">
      <c r="A70" s="17">
        <v>44105</v>
      </c>
      <c r="B70">
        <v>-0.5</v>
      </c>
      <c r="C70">
        <v>-0.3</v>
      </c>
      <c r="D70" s="55">
        <f t="shared" ref="D70:D133" si="1">+C70-B70</f>
        <v>0.2</v>
      </c>
    </row>
    <row r="71" spans="1:4" x14ac:dyDescent="0.3">
      <c r="A71" s="17">
        <v>44075</v>
      </c>
      <c r="B71">
        <v>0.9</v>
      </c>
      <c r="C71">
        <v>0.6</v>
      </c>
      <c r="D71" s="55">
        <f t="shared" si="1"/>
        <v>-0.30000000000000004</v>
      </c>
    </row>
    <row r="72" spans="1:4" x14ac:dyDescent="0.3">
      <c r="A72" s="17">
        <v>44044</v>
      </c>
      <c r="B72">
        <v>1.2</v>
      </c>
      <c r="C72">
        <v>0.9</v>
      </c>
      <c r="D72" s="55">
        <f t="shared" si="1"/>
        <v>-0.29999999999999993</v>
      </c>
    </row>
    <row r="73" spans="1:4" x14ac:dyDescent="0.3">
      <c r="A73" s="17">
        <v>44013</v>
      </c>
      <c r="B73">
        <v>0.2</v>
      </c>
      <c r="C73">
        <v>-0.1</v>
      </c>
      <c r="D73" s="55">
        <f t="shared" si="1"/>
        <v>-0.30000000000000004</v>
      </c>
    </row>
    <row r="74" spans="1:4" x14ac:dyDescent="0.3">
      <c r="A74" s="17">
        <v>43983</v>
      </c>
      <c r="B74">
        <v>-5.9</v>
      </c>
      <c r="C74">
        <v>-5.7</v>
      </c>
      <c r="D74" s="55">
        <f t="shared" si="1"/>
        <v>0.20000000000000018</v>
      </c>
    </row>
    <row r="75" spans="1:4" x14ac:dyDescent="0.3">
      <c r="A75" s="17">
        <v>43952</v>
      </c>
      <c r="B75">
        <v>-7.3</v>
      </c>
      <c r="C75">
        <v>-7.4</v>
      </c>
      <c r="D75" s="55">
        <f t="shared" si="1"/>
        <v>-0.10000000000000053</v>
      </c>
    </row>
    <row r="76" spans="1:4" x14ac:dyDescent="0.3">
      <c r="A76" s="17">
        <v>43922</v>
      </c>
      <c r="B76">
        <v>-3.1</v>
      </c>
      <c r="C76">
        <v>-4.45</v>
      </c>
      <c r="D76" s="55">
        <f t="shared" si="1"/>
        <v>-1.35</v>
      </c>
    </row>
    <row r="77" spans="1:4" x14ac:dyDescent="0.3">
      <c r="A77" s="17">
        <v>43891</v>
      </c>
      <c r="B77">
        <v>2.9</v>
      </c>
      <c r="C77">
        <v>0.55000000000000004</v>
      </c>
      <c r="D77" s="55">
        <f t="shared" si="1"/>
        <v>-2.3499999999999996</v>
      </c>
    </row>
    <row r="78" spans="1:4" x14ac:dyDescent="0.3">
      <c r="A78" s="17">
        <v>43862</v>
      </c>
      <c r="B78">
        <v>3.7</v>
      </c>
      <c r="C78">
        <v>0.55000000000000004</v>
      </c>
      <c r="D78" s="55">
        <f t="shared" si="1"/>
        <v>-3.1500000000000004</v>
      </c>
    </row>
    <row r="79" spans="1:4" x14ac:dyDescent="0.3">
      <c r="A79" s="17">
        <v>43831</v>
      </c>
      <c r="B79">
        <v>3.7</v>
      </c>
      <c r="C79">
        <v>-0.15</v>
      </c>
      <c r="D79" s="55">
        <f t="shared" si="1"/>
        <v>-3.85</v>
      </c>
    </row>
    <row r="80" spans="1:4" x14ac:dyDescent="0.3">
      <c r="A80" s="17">
        <v>43800</v>
      </c>
      <c r="B80">
        <v>3.4</v>
      </c>
      <c r="C80">
        <v>0.45</v>
      </c>
      <c r="D80" s="55">
        <f t="shared" si="1"/>
        <v>-2.9499999999999997</v>
      </c>
    </row>
    <row r="81" spans="1:4" x14ac:dyDescent="0.3">
      <c r="A81" s="17">
        <v>43770</v>
      </c>
      <c r="B81">
        <v>3</v>
      </c>
      <c r="C81">
        <v>0.95</v>
      </c>
      <c r="D81" s="55">
        <f t="shared" si="1"/>
        <v>-2.0499999999999998</v>
      </c>
    </row>
    <row r="82" spans="1:4" x14ac:dyDescent="0.3">
      <c r="A82" s="17">
        <v>43739</v>
      </c>
      <c r="B82">
        <v>2.2999999999999998</v>
      </c>
      <c r="C82">
        <v>0.35</v>
      </c>
      <c r="D82" s="55">
        <f t="shared" si="1"/>
        <v>-1.9499999999999997</v>
      </c>
    </row>
    <row r="83" spans="1:4" x14ac:dyDescent="0.3">
      <c r="A83" s="17">
        <v>43709</v>
      </c>
      <c r="B83">
        <v>1.7</v>
      </c>
      <c r="C83">
        <v>0.65</v>
      </c>
      <c r="D83" s="55">
        <f t="shared" si="1"/>
        <v>-1.0499999999999998</v>
      </c>
    </row>
    <row r="84" spans="1:4" x14ac:dyDescent="0.3">
      <c r="A84" s="17">
        <v>43678</v>
      </c>
      <c r="B84">
        <v>2.4500000000000002</v>
      </c>
      <c r="C84">
        <v>0.85</v>
      </c>
      <c r="D84" s="55">
        <f t="shared" si="1"/>
        <v>-1.6</v>
      </c>
    </row>
    <row r="85" spans="1:4" x14ac:dyDescent="0.3">
      <c r="A85" s="17">
        <v>43647</v>
      </c>
      <c r="B85">
        <v>2.7</v>
      </c>
      <c r="C85">
        <v>0.75</v>
      </c>
      <c r="D85" s="55">
        <f t="shared" si="1"/>
        <v>-1.9500000000000002</v>
      </c>
    </row>
    <row r="86" spans="1:4" x14ac:dyDescent="0.3">
      <c r="A86" s="17">
        <v>43617</v>
      </c>
      <c r="B86">
        <v>2.1</v>
      </c>
      <c r="C86">
        <v>0.15</v>
      </c>
      <c r="D86" s="55">
        <f t="shared" si="1"/>
        <v>-1.9500000000000002</v>
      </c>
    </row>
    <row r="87" spans="1:4" x14ac:dyDescent="0.3">
      <c r="A87" s="17">
        <v>43586</v>
      </c>
      <c r="B87">
        <v>1.4</v>
      </c>
      <c r="C87">
        <v>-0.25</v>
      </c>
      <c r="D87" s="55">
        <f t="shared" si="1"/>
        <v>-1.65</v>
      </c>
    </row>
    <row r="88" spans="1:4" x14ac:dyDescent="0.3">
      <c r="A88" s="17">
        <v>43556</v>
      </c>
      <c r="B88">
        <v>1.2</v>
      </c>
      <c r="C88">
        <v>-0.45</v>
      </c>
      <c r="D88" s="55">
        <f t="shared" si="1"/>
        <v>-1.65</v>
      </c>
    </row>
    <row r="89" spans="1:4" x14ac:dyDescent="0.3">
      <c r="A89" s="17">
        <v>43525</v>
      </c>
      <c r="B89">
        <v>0.7</v>
      </c>
      <c r="C89">
        <v>-0.65</v>
      </c>
      <c r="D89" s="55">
        <f t="shared" si="1"/>
        <v>-1.35</v>
      </c>
    </row>
    <row r="90" spans="1:4" x14ac:dyDescent="0.3">
      <c r="A90" s="17">
        <v>43497</v>
      </c>
      <c r="B90">
        <v>0.7</v>
      </c>
      <c r="C90">
        <v>-0.95</v>
      </c>
      <c r="D90" s="55">
        <f t="shared" si="1"/>
        <v>-1.65</v>
      </c>
    </row>
    <row r="91" spans="1:4" x14ac:dyDescent="0.3">
      <c r="A91" s="17">
        <v>43466</v>
      </c>
      <c r="B91">
        <v>0.6</v>
      </c>
      <c r="C91">
        <v>-0.65</v>
      </c>
      <c r="D91" s="55">
        <f t="shared" si="1"/>
        <v>-1.25</v>
      </c>
    </row>
    <row r="92" spans="1:4" x14ac:dyDescent="0.3">
      <c r="A92" s="17">
        <v>43435</v>
      </c>
      <c r="B92">
        <v>1.6</v>
      </c>
      <c r="C92">
        <v>-0.25</v>
      </c>
      <c r="D92" s="55">
        <f t="shared" si="1"/>
        <v>-1.85</v>
      </c>
    </row>
    <row r="93" spans="1:4" x14ac:dyDescent="0.3">
      <c r="A93" s="17">
        <v>43405</v>
      </c>
      <c r="B93">
        <v>1.7</v>
      </c>
      <c r="C93">
        <v>-0.65</v>
      </c>
      <c r="D93" s="55">
        <f t="shared" si="1"/>
        <v>-2.35</v>
      </c>
    </row>
    <row r="94" spans="1:4" x14ac:dyDescent="0.3">
      <c r="A94" s="17">
        <v>43374</v>
      </c>
      <c r="B94">
        <v>1.1000000000000001</v>
      </c>
      <c r="C94">
        <v>-1.35</v>
      </c>
      <c r="D94" s="55">
        <f t="shared" si="1"/>
        <v>-2.4500000000000002</v>
      </c>
    </row>
    <row r="95" spans="1:4" x14ac:dyDescent="0.3">
      <c r="A95" s="17">
        <v>43344</v>
      </c>
      <c r="B95">
        <v>1.2</v>
      </c>
      <c r="C95">
        <v>-0.85</v>
      </c>
      <c r="D95" s="55">
        <f t="shared" si="1"/>
        <v>-2.0499999999999998</v>
      </c>
    </row>
    <row r="96" spans="1:4" x14ac:dyDescent="0.3">
      <c r="A96" s="17">
        <v>43313</v>
      </c>
      <c r="B96">
        <v>1.9</v>
      </c>
      <c r="C96">
        <v>-0.25</v>
      </c>
      <c r="D96" s="55">
        <f t="shared" si="1"/>
        <v>-2.15</v>
      </c>
    </row>
    <row r="97" spans="1:4" x14ac:dyDescent="0.3">
      <c r="A97" s="17">
        <v>43282</v>
      </c>
      <c r="B97">
        <v>2.1</v>
      </c>
      <c r="C97">
        <v>-0.65</v>
      </c>
      <c r="D97" s="55">
        <f t="shared" si="1"/>
        <v>-2.75</v>
      </c>
    </row>
    <row r="98" spans="1:4" x14ac:dyDescent="0.3">
      <c r="A98" s="17">
        <v>43252</v>
      </c>
      <c r="B98">
        <v>1.9</v>
      </c>
      <c r="C98">
        <v>-1.35</v>
      </c>
      <c r="D98" s="55">
        <f t="shared" si="1"/>
        <v>-3.25</v>
      </c>
    </row>
    <row r="99" spans="1:4" x14ac:dyDescent="0.3">
      <c r="A99" s="17">
        <v>43221</v>
      </c>
      <c r="B99">
        <v>1.2</v>
      </c>
      <c r="C99">
        <v>-2.0499999999999998</v>
      </c>
      <c r="D99" s="55">
        <f t="shared" si="1"/>
        <v>-3.25</v>
      </c>
    </row>
    <row r="100" spans="1:4" x14ac:dyDescent="0.3">
      <c r="A100" s="17">
        <v>43191</v>
      </c>
      <c r="B100">
        <v>1.1000000000000001</v>
      </c>
      <c r="C100">
        <v>-1.85</v>
      </c>
      <c r="D100" s="55">
        <f t="shared" si="1"/>
        <v>-2.95</v>
      </c>
    </row>
    <row r="101" spans="1:4" x14ac:dyDescent="0.3">
      <c r="A101" s="17">
        <v>43160</v>
      </c>
      <c r="B101">
        <v>1.65</v>
      </c>
      <c r="C101">
        <v>-1.55</v>
      </c>
      <c r="D101" s="55">
        <f t="shared" si="1"/>
        <v>-3.2</v>
      </c>
    </row>
    <row r="102" spans="1:4" x14ac:dyDescent="0.3">
      <c r="A102" s="17">
        <v>43132</v>
      </c>
      <c r="B102">
        <v>1.65</v>
      </c>
      <c r="C102">
        <v>-1.25</v>
      </c>
      <c r="D102" s="55">
        <f t="shared" si="1"/>
        <v>-2.9</v>
      </c>
    </row>
    <row r="103" spans="1:4" x14ac:dyDescent="0.3">
      <c r="A103" s="17">
        <v>43101</v>
      </c>
      <c r="B103">
        <v>1.65</v>
      </c>
      <c r="C103">
        <v>-1.05</v>
      </c>
      <c r="D103" s="55">
        <f t="shared" si="1"/>
        <v>-2.7</v>
      </c>
    </row>
    <row r="104" spans="1:4" x14ac:dyDescent="0.3">
      <c r="A104" s="17">
        <v>43070</v>
      </c>
      <c r="B104">
        <v>1.25</v>
      </c>
      <c r="C104">
        <v>-1.1499999999999999</v>
      </c>
      <c r="D104" s="55">
        <f t="shared" si="1"/>
        <v>-2.4</v>
      </c>
    </row>
    <row r="105" spans="1:4" x14ac:dyDescent="0.3">
      <c r="A105" s="17">
        <v>43040</v>
      </c>
      <c r="B105">
        <v>0.6</v>
      </c>
      <c r="C105">
        <v>-1.8</v>
      </c>
      <c r="D105" s="55">
        <f t="shared" si="1"/>
        <v>-2.4</v>
      </c>
    </row>
    <row r="106" spans="1:4" x14ac:dyDescent="0.3">
      <c r="A106" s="17">
        <v>43009</v>
      </c>
      <c r="B106">
        <v>0.3</v>
      </c>
      <c r="C106">
        <v>-1.65</v>
      </c>
      <c r="D106" s="55">
        <f t="shared" si="1"/>
        <v>-1.95</v>
      </c>
    </row>
    <row r="107" spans="1:4" x14ac:dyDescent="0.3">
      <c r="A107" s="17">
        <v>42979</v>
      </c>
      <c r="B107">
        <v>-0.25</v>
      </c>
      <c r="C107">
        <v>-1.95</v>
      </c>
      <c r="D107" s="55">
        <f t="shared" si="1"/>
        <v>-1.7</v>
      </c>
    </row>
    <row r="108" spans="1:4" x14ac:dyDescent="0.3">
      <c r="A108" s="17">
        <v>42948</v>
      </c>
      <c r="B108">
        <v>-0.45</v>
      </c>
      <c r="C108">
        <v>-1.75</v>
      </c>
      <c r="D108" s="55">
        <f t="shared" si="1"/>
        <v>-1.3</v>
      </c>
    </row>
    <row r="109" spans="1:4" x14ac:dyDescent="0.3">
      <c r="A109" s="17">
        <v>42917</v>
      </c>
      <c r="B109">
        <v>-0.25</v>
      </c>
      <c r="C109">
        <v>-1.85</v>
      </c>
      <c r="D109" s="55">
        <f t="shared" si="1"/>
        <v>-1.6</v>
      </c>
    </row>
    <row r="110" spans="1:4" x14ac:dyDescent="0.3">
      <c r="A110" s="17">
        <v>42887</v>
      </c>
      <c r="B110">
        <v>-0.85</v>
      </c>
      <c r="C110">
        <v>-2.8</v>
      </c>
      <c r="D110" s="55">
        <f t="shared" si="1"/>
        <v>-1.9499999999999997</v>
      </c>
    </row>
    <row r="111" spans="1:4" x14ac:dyDescent="0.3">
      <c r="A111" s="17">
        <v>42856</v>
      </c>
      <c r="B111">
        <v>-0.45</v>
      </c>
      <c r="C111">
        <v>-2.6</v>
      </c>
      <c r="D111" s="55">
        <f t="shared" si="1"/>
        <v>-2.15</v>
      </c>
    </row>
    <row r="112" spans="1:4" x14ac:dyDescent="0.3">
      <c r="A112" s="17">
        <v>42826</v>
      </c>
      <c r="B112">
        <v>-0.15</v>
      </c>
      <c r="C112">
        <v>-2.6</v>
      </c>
      <c r="D112" s="55">
        <f t="shared" si="1"/>
        <v>-2.4500000000000002</v>
      </c>
    </row>
    <row r="113" spans="1:4" x14ac:dyDescent="0.3">
      <c r="A113" s="17">
        <v>42795</v>
      </c>
      <c r="B113">
        <v>0.15</v>
      </c>
      <c r="C113">
        <v>-2.6</v>
      </c>
      <c r="D113" s="55">
        <f t="shared" si="1"/>
        <v>-2.75</v>
      </c>
    </row>
    <row r="114" spans="1:4" x14ac:dyDescent="0.3">
      <c r="A114" s="17">
        <v>42767</v>
      </c>
      <c r="B114">
        <v>-0.15</v>
      </c>
      <c r="C114">
        <v>-2.8</v>
      </c>
      <c r="D114" s="55">
        <f t="shared" si="1"/>
        <v>-2.65</v>
      </c>
    </row>
    <row r="115" spans="1:4" x14ac:dyDescent="0.3">
      <c r="A115" s="17">
        <v>42736</v>
      </c>
      <c r="B115">
        <v>-0.75</v>
      </c>
      <c r="C115">
        <v>-3.3</v>
      </c>
      <c r="D115" s="55">
        <f t="shared" si="1"/>
        <v>-2.5499999999999998</v>
      </c>
    </row>
    <row r="116" spans="1:4" x14ac:dyDescent="0.3">
      <c r="A116" s="17">
        <v>42705</v>
      </c>
      <c r="B116">
        <v>0.45</v>
      </c>
      <c r="C116">
        <v>-2.7</v>
      </c>
      <c r="D116" s="55">
        <f t="shared" si="1"/>
        <v>-3.1500000000000004</v>
      </c>
    </row>
    <row r="117" spans="1:4" x14ac:dyDescent="0.3">
      <c r="A117" s="17">
        <v>42675</v>
      </c>
      <c r="B117">
        <v>-0.45</v>
      </c>
      <c r="C117">
        <v>-3.3</v>
      </c>
      <c r="D117" s="55">
        <f t="shared" si="1"/>
        <v>-2.8499999999999996</v>
      </c>
    </row>
    <row r="118" spans="1:4" x14ac:dyDescent="0.3">
      <c r="A118" s="17">
        <v>42644</v>
      </c>
      <c r="B118">
        <v>-0.2</v>
      </c>
      <c r="C118">
        <v>-2.8</v>
      </c>
      <c r="D118" s="55">
        <f t="shared" si="1"/>
        <v>-2.5999999999999996</v>
      </c>
    </row>
    <row r="119" spans="1:4" x14ac:dyDescent="0.3">
      <c r="A119" s="17">
        <v>42614</v>
      </c>
      <c r="B119">
        <v>-1.1000000000000001</v>
      </c>
      <c r="C119">
        <v>-3.5</v>
      </c>
      <c r="D119" s="55">
        <f t="shared" si="1"/>
        <v>-2.4</v>
      </c>
    </row>
    <row r="120" spans="1:4" x14ac:dyDescent="0.3">
      <c r="A120" s="17">
        <v>42583</v>
      </c>
      <c r="B120">
        <v>0.2</v>
      </c>
      <c r="C120">
        <v>-2.8</v>
      </c>
      <c r="D120" s="55">
        <f t="shared" si="1"/>
        <v>-3</v>
      </c>
    </row>
    <row r="121" spans="1:4" x14ac:dyDescent="0.3">
      <c r="A121" s="17">
        <v>42552</v>
      </c>
      <c r="B121">
        <v>0.6</v>
      </c>
      <c r="C121">
        <v>-2.65</v>
      </c>
      <c r="D121" s="55">
        <f t="shared" si="1"/>
        <v>-3.25</v>
      </c>
    </row>
    <row r="122" spans="1:4" x14ac:dyDescent="0.3">
      <c r="A122" s="17">
        <v>42522</v>
      </c>
      <c r="B122">
        <v>0.25</v>
      </c>
      <c r="C122">
        <v>-2.75</v>
      </c>
      <c r="D122" s="55">
        <f t="shared" si="1"/>
        <v>-3</v>
      </c>
    </row>
    <row r="123" spans="1:4" x14ac:dyDescent="0.3">
      <c r="A123" s="17">
        <v>42491</v>
      </c>
      <c r="B123">
        <v>-0.85</v>
      </c>
      <c r="C123">
        <v>-3.65</v>
      </c>
      <c r="D123" s="55">
        <f t="shared" si="1"/>
        <v>-2.8</v>
      </c>
    </row>
    <row r="124" spans="1:4" x14ac:dyDescent="0.3">
      <c r="A124" s="17">
        <v>42461</v>
      </c>
      <c r="B124">
        <v>-0.75</v>
      </c>
      <c r="C124">
        <v>-3.3</v>
      </c>
      <c r="D124" s="55">
        <f t="shared" si="1"/>
        <v>-2.5499999999999998</v>
      </c>
    </row>
    <row r="125" spans="1:4" x14ac:dyDescent="0.3">
      <c r="A125" s="17">
        <v>42430</v>
      </c>
      <c r="B125">
        <v>-1</v>
      </c>
      <c r="C125">
        <v>-3.05</v>
      </c>
      <c r="D125" s="55">
        <f t="shared" si="1"/>
        <v>-2.0499999999999998</v>
      </c>
    </row>
    <row r="126" spans="1:4" x14ac:dyDescent="0.3">
      <c r="A126" s="17">
        <v>42401</v>
      </c>
      <c r="B126">
        <v>-0.8</v>
      </c>
      <c r="C126">
        <v>-3.75</v>
      </c>
      <c r="D126" s="55">
        <f t="shared" si="1"/>
        <v>-2.95</v>
      </c>
    </row>
    <row r="127" spans="1:4" x14ac:dyDescent="0.3">
      <c r="A127" s="17">
        <v>42370</v>
      </c>
      <c r="B127">
        <v>-1.4</v>
      </c>
      <c r="C127">
        <v>-4.6500000000000004</v>
      </c>
      <c r="D127" s="55">
        <f t="shared" si="1"/>
        <v>-3.2500000000000004</v>
      </c>
    </row>
    <row r="128" spans="1:4" x14ac:dyDescent="0.3">
      <c r="A128" s="17">
        <v>42339</v>
      </c>
      <c r="B128">
        <v>-1.3</v>
      </c>
      <c r="C128">
        <v>-4.45</v>
      </c>
      <c r="D128" s="55">
        <f t="shared" si="1"/>
        <v>-3.1500000000000004</v>
      </c>
    </row>
    <row r="129" spans="1:4" x14ac:dyDescent="0.3">
      <c r="A129" s="17">
        <v>42309</v>
      </c>
      <c r="B129">
        <v>-1.6</v>
      </c>
      <c r="C129">
        <v>-4.95</v>
      </c>
      <c r="D129" s="55">
        <f t="shared" si="1"/>
        <v>-3.35</v>
      </c>
    </row>
    <row r="130" spans="1:4" x14ac:dyDescent="0.3">
      <c r="A130" s="17">
        <v>42278</v>
      </c>
      <c r="B130">
        <v>0.1</v>
      </c>
      <c r="C130">
        <v>-2.95</v>
      </c>
      <c r="D130" s="55">
        <f t="shared" si="1"/>
        <v>-3.0500000000000003</v>
      </c>
    </row>
    <row r="131" spans="1:4" x14ac:dyDescent="0.3">
      <c r="A131" s="17">
        <v>42248</v>
      </c>
      <c r="B131">
        <v>0.4</v>
      </c>
      <c r="C131">
        <v>-2.15</v>
      </c>
      <c r="D131" s="55">
        <f t="shared" si="1"/>
        <v>-2.5499999999999998</v>
      </c>
    </row>
    <row r="132" spans="1:4" x14ac:dyDescent="0.3">
      <c r="A132" s="17">
        <v>42217</v>
      </c>
      <c r="B132">
        <v>-0.1</v>
      </c>
      <c r="C132">
        <v>-3.05</v>
      </c>
      <c r="D132" s="55">
        <f t="shared" si="1"/>
        <v>-2.9499999999999997</v>
      </c>
    </row>
    <row r="133" spans="1:4" x14ac:dyDescent="0.3">
      <c r="A133" s="17">
        <v>42186</v>
      </c>
      <c r="B133">
        <v>0</v>
      </c>
      <c r="C133">
        <v>-2.65</v>
      </c>
      <c r="D133" s="55">
        <f t="shared" si="1"/>
        <v>-2.65</v>
      </c>
    </row>
    <row r="134" spans="1:4" x14ac:dyDescent="0.3">
      <c r="A134" s="17">
        <v>42156</v>
      </c>
      <c r="B134">
        <v>-0.6</v>
      </c>
      <c r="C134">
        <v>-3.75</v>
      </c>
      <c r="D134" s="55">
        <f t="shared" ref="D134:D197" si="2">+C134-B134</f>
        <v>-3.15</v>
      </c>
    </row>
    <row r="135" spans="1:4" x14ac:dyDescent="0.3">
      <c r="A135" s="17">
        <v>42125</v>
      </c>
      <c r="B135">
        <v>-0.6</v>
      </c>
      <c r="C135">
        <v>-4.1500000000000004</v>
      </c>
      <c r="D135" s="55">
        <f t="shared" si="2"/>
        <v>-3.5500000000000003</v>
      </c>
    </row>
    <row r="136" spans="1:4" x14ac:dyDescent="0.3">
      <c r="A136" s="17">
        <v>42095</v>
      </c>
      <c r="B136">
        <v>-0.9</v>
      </c>
      <c r="C136">
        <v>-4.3499999999999996</v>
      </c>
      <c r="D136" s="55">
        <f t="shared" si="2"/>
        <v>-3.4499999999999997</v>
      </c>
    </row>
    <row r="137" spans="1:4" x14ac:dyDescent="0.3">
      <c r="A137" s="17">
        <v>42064</v>
      </c>
      <c r="B137">
        <v>-2.2999999999999998</v>
      </c>
      <c r="C137">
        <v>-5.55</v>
      </c>
      <c r="D137" s="55">
        <f t="shared" si="2"/>
        <v>-3.25</v>
      </c>
    </row>
    <row r="138" spans="1:4" x14ac:dyDescent="0.3">
      <c r="A138" s="17">
        <v>42036</v>
      </c>
      <c r="B138">
        <v>-1.4</v>
      </c>
      <c r="C138">
        <v>-5.15</v>
      </c>
      <c r="D138" s="55">
        <f t="shared" si="2"/>
        <v>-3.7500000000000004</v>
      </c>
    </row>
    <row r="139" spans="1:4" x14ac:dyDescent="0.3">
      <c r="A139" s="17">
        <v>42005</v>
      </c>
      <c r="B139">
        <v>-2</v>
      </c>
      <c r="C139">
        <v>-5.85</v>
      </c>
      <c r="D139" s="55">
        <f t="shared" si="2"/>
        <v>-3.8499999999999996</v>
      </c>
    </row>
    <row r="140" spans="1:4" x14ac:dyDescent="0.3">
      <c r="A140" s="17">
        <v>41974</v>
      </c>
      <c r="B140">
        <v>-0.1</v>
      </c>
      <c r="C140">
        <v>-4.05</v>
      </c>
      <c r="D140" s="55">
        <f t="shared" si="2"/>
        <v>-3.9499999999999997</v>
      </c>
    </row>
    <row r="141" spans="1:4" x14ac:dyDescent="0.3">
      <c r="A141" s="17">
        <v>41944</v>
      </c>
      <c r="B141">
        <v>-1.05</v>
      </c>
      <c r="C141">
        <v>-4.9000000000000004</v>
      </c>
      <c r="D141" s="55">
        <f t="shared" si="2"/>
        <v>-3.8500000000000005</v>
      </c>
    </row>
    <row r="142" spans="1:4" x14ac:dyDescent="0.3">
      <c r="A142" s="17">
        <v>41913</v>
      </c>
      <c r="B142">
        <v>-0.05</v>
      </c>
      <c r="C142">
        <v>-4.3</v>
      </c>
      <c r="D142" s="55">
        <f t="shared" si="2"/>
        <v>-4.25</v>
      </c>
    </row>
    <row r="143" spans="1:4" x14ac:dyDescent="0.3">
      <c r="A143" s="17">
        <v>41883</v>
      </c>
      <c r="B143">
        <v>1.65</v>
      </c>
      <c r="C143">
        <v>-3.1</v>
      </c>
      <c r="D143" s="55">
        <f t="shared" si="2"/>
        <v>-4.75</v>
      </c>
    </row>
    <row r="144" spans="1:4" x14ac:dyDescent="0.3">
      <c r="A144" s="17">
        <v>41852</v>
      </c>
      <c r="B144">
        <v>2.0499999999999998</v>
      </c>
      <c r="C144">
        <v>-2.8</v>
      </c>
      <c r="D144" s="55">
        <f t="shared" si="2"/>
        <v>-4.8499999999999996</v>
      </c>
    </row>
    <row r="145" spans="1:4" x14ac:dyDescent="0.3">
      <c r="A145" s="17">
        <v>41821</v>
      </c>
      <c r="B145">
        <v>2.25</v>
      </c>
      <c r="C145">
        <v>-2.4500000000000002</v>
      </c>
      <c r="D145" s="55">
        <f t="shared" si="2"/>
        <v>-4.7</v>
      </c>
    </row>
    <row r="146" spans="1:4" x14ac:dyDescent="0.3">
      <c r="A146" s="17">
        <v>41791</v>
      </c>
      <c r="B146">
        <v>1.65</v>
      </c>
      <c r="C146">
        <v>-3.55</v>
      </c>
      <c r="D146" s="55">
        <f t="shared" si="2"/>
        <v>-5.1999999999999993</v>
      </c>
    </row>
    <row r="147" spans="1:4" x14ac:dyDescent="0.3">
      <c r="A147" s="17">
        <v>41760</v>
      </c>
      <c r="B147">
        <v>1.85</v>
      </c>
      <c r="C147">
        <v>-2.9</v>
      </c>
      <c r="D147" s="55">
        <f t="shared" si="2"/>
        <v>-4.75</v>
      </c>
    </row>
    <row r="148" spans="1:4" x14ac:dyDescent="0.3">
      <c r="A148" s="17">
        <v>41730</v>
      </c>
      <c r="B148">
        <v>1.55</v>
      </c>
      <c r="C148">
        <v>-3.2</v>
      </c>
      <c r="D148" s="55">
        <f t="shared" si="2"/>
        <v>-4.75</v>
      </c>
    </row>
    <row r="149" spans="1:4" x14ac:dyDescent="0.3">
      <c r="A149" s="17">
        <v>41699</v>
      </c>
      <c r="B149">
        <v>1.75</v>
      </c>
      <c r="C149">
        <v>-2.7</v>
      </c>
      <c r="D149" s="55">
        <f t="shared" si="2"/>
        <v>-4.45</v>
      </c>
    </row>
    <row r="150" spans="1:4" x14ac:dyDescent="0.3">
      <c r="A150" s="17">
        <v>41671</v>
      </c>
      <c r="B150">
        <v>2.4500000000000002</v>
      </c>
      <c r="C150">
        <v>-2.7</v>
      </c>
      <c r="D150" s="55">
        <f t="shared" si="2"/>
        <v>-5.15</v>
      </c>
    </row>
    <row r="151" spans="1:4" x14ac:dyDescent="0.3">
      <c r="A151" s="17">
        <v>41640</v>
      </c>
      <c r="B151">
        <v>3.75</v>
      </c>
      <c r="C151">
        <v>-1.8</v>
      </c>
      <c r="D151" s="55">
        <f t="shared" si="2"/>
        <v>-5.55</v>
      </c>
    </row>
    <row r="152" spans="1:4" x14ac:dyDescent="0.3">
      <c r="A152" s="17">
        <v>41609</v>
      </c>
      <c r="B152">
        <v>3.45</v>
      </c>
      <c r="C152">
        <v>-1.05</v>
      </c>
      <c r="D152" s="55">
        <f t="shared" si="2"/>
        <v>-4.5</v>
      </c>
    </row>
    <row r="153" spans="1:4" x14ac:dyDescent="0.3">
      <c r="A153" s="17">
        <v>41579</v>
      </c>
      <c r="B153">
        <v>3.2</v>
      </c>
      <c r="C153">
        <v>-1.05</v>
      </c>
      <c r="D153" s="55">
        <f t="shared" si="2"/>
        <v>-4.25</v>
      </c>
    </row>
    <row r="154" spans="1:4" x14ac:dyDescent="0.3">
      <c r="A154" s="17">
        <v>41548</v>
      </c>
      <c r="B154">
        <v>3.4</v>
      </c>
      <c r="C154">
        <v>-1.7</v>
      </c>
      <c r="D154" s="55">
        <f t="shared" si="2"/>
        <v>-5.0999999999999996</v>
      </c>
    </row>
    <row r="155" spans="1:4" x14ac:dyDescent="0.3">
      <c r="A155" s="17">
        <v>41518</v>
      </c>
      <c r="B155">
        <v>2.9</v>
      </c>
      <c r="C155">
        <v>-1.7</v>
      </c>
      <c r="D155" s="55">
        <f t="shared" si="2"/>
        <v>-4.5999999999999996</v>
      </c>
    </row>
    <row r="156" spans="1:4" x14ac:dyDescent="0.3">
      <c r="A156" s="17">
        <v>41487</v>
      </c>
      <c r="B156">
        <v>1.9</v>
      </c>
      <c r="C156">
        <v>-1.55</v>
      </c>
      <c r="D156" s="55">
        <f t="shared" si="2"/>
        <v>-3.45</v>
      </c>
    </row>
    <row r="157" spans="1:4" x14ac:dyDescent="0.3">
      <c r="A157" s="17">
        <v>41456</v>
      </c>
      <c r="B157">
        <v>1.5</v>
      </c>
      <c r="C157">
        <v>-1.75</v>
      </c>
      <c r="D157" s="55">
        <f t="shared" si="2"/>
        <v>-3.25</v>
      </c>
    </row>
    <row r="158" spans="1:4" x14ac:dyDescent="0.3">
      <c r="A158" s="17">
        <v>41426</v>
      </c>
      <c r="B158">
        <v>2</v>
      </c>
      <c r="C158">
        <v>-0.7</v>
      </c>
      <c r="D158" s="55">
        <f t="shared" si="2"/>
        <v>-2.7</v>
      </c>
    </row>
    <row r="159" spans="1:4" x14ac:dyDescent="0.3">
      <c r="A159" s="17">
        <v>41395</v>
      </c>
      <c r="B159">
        <v>1.8</v>
      </c>
      <c r="C159">
        <v>-1.4</v>
      </c>
      <c r="D159" s="55">
        <f t="shared" si="2"/>
        <v>-3.2</v>
      </c>
    </row>
    <row r="160" spans="1:4" x14ac:dyDescent="0.3">
      <c r="A160" s="17">
        <v>41365</v>
      </c>
      <c r="B160">
        <v>1.3</v>
      </c>
      <c r="C160">
        <v>-3.2</v>
      </c>
      <c r="D160" s="55">
        <f t="shared" si="2"/>
        <v>-4.5</v>
      </c>
    </row>
    <row r="161" spans="1:4" x14ac:dyDescent="0.3">
      <c r="A161" s="17">
        <v>41334</v>
      </c>
      <c r="B161">
        <v>1.95</v>
      </c>
      <c r="C161">
        <v>-2.4</v>
      </c>
      <c r="D161" s="55">
        <f t="shared" si="2"/>
        <v>-4.3499999999999996</v>
      </c>
    </row>
    <row r="162" spans="1:4" x14ac:dyDescent="0.3">
      <c r="A162" s="17">
        <v>41306</v>
      </c>
      <c r="B162">
        <v>3.45</v>
      </c>
      <c r="C162">
        <v>-1.1000000000000001</v>
      </c>
      <c r="D162" s="55">
        <f t="shared" si="2"/>
        <v>-4.5500000000000007</v>
      </c>
    </row>
    <row r="163" spans="1:4" x14ac:dyDescent="0.3">
      <c r="A163" s="17">
        <v>41275</v>
      </c>
      <c r="B163">
        <v>3.3</v>
      </c>
      <c r="C163">
        <v>-1.4</v>
      </c>
      <c r="D163" s="55">
        <f t="shared" si="2"/>
        <v>-4.6999999999999993</v>
      </c>
    </row>
    <row r="164" spans="1:4" x14ac:dyDescent="0.3">
      <c r="A164" s="17">
        <v>41244</v>
      </c>
      <c r="B164">
        <v>2.95</v>
      </c>
      <c r="C164">
        <v>-1.55</v>
      </c>
      <c r="D164" s="55">
        <f t="shared" si="2"/>
        <v>-4.5</v>
      </c>
    </row>
    <row r="165" spans="1:4" x14ac:dyDescent="0.3">
      <c r="A165" s="17">
        <v>41214</v>
      </c>
      <c r="B165">
        <v>2.75</v>
      </c>
      <c r="C165">
        <v>-1.1000000000000001</v>
      </c>
      <c r="D165" s="55">
        <f t="shared" si="2"/>
        <v>-3.85</v>
      </c>
    </row>
    <row r="166" spans="1:4" x14ac:dyDescent="0.3">
      <c r="A166" s="17">
        <v>41183</v>
      </c>
      <c r="B166">
        <v>1.85</v>
      </c>
      <c r="C166">
        <v>-1.9</v>
      </c>
      <c r="D166" s="55">
        <f t="shared" si="2"/>
        <v>-3.75</v>
      </c>
    </row>
    <row r="167" spans="1:4" x14ac:dyDescent="0.3">
      <c r="A167" s="17">
        <v>41153</v>
      </c>
      <c r="B167">
        <v>1.25</v>
      </c>
      <c r="C167">
        <v>-1.5</v>
      </c>
      <c r="D167" s="55">
        <f t="shared" si="2"/>
        <v>-2.75</v>
      </c>
    </row>
    <row r="168" spans="1:4" x14ac:dyDescent="0.3">
      <c r="A168" s="17">
        <v>41122</v>
      </c>
      <c r="B168">
        <v>2.0499999999999998</v>
      </c>
      <c r="C168">
        <v>-0.3</v>
      </c>
      <c r="D168" s="55">
        <f t="shared" si="2"/>
        <v>-2.3499999999999996</v>
      </c>
    </row>
    <row r="169" spans="1:4" x14ac:dyDescent="0.3">
      <c r="A169" s="17">
        <v>41091</v>
      </c>
      <c r="B169">
        <v>1.35</v>
      </c>
      <c r="C169">
        <v>-1.05</v>
      </c>
      <c r="D169" s="55">
        <f t="shared" si="2"/>
        <v>-2.4000000000000004</v>
      </c>
    </row>
    <row r="170" spans="1:4" x14ac:dyDescent="0.3">
      <c r="A170" s="17">
        <v>41061</v>
      </c>
      <c r="B170">
        <v>1.1499999999999999</v>
      </c>
      <c r="C170">
        <v>-1.8</v>
      </c>
      <c r="D170" s="55">
        <f t="shared" si="2"/>
        <v>-2.95</v>
      </c>
    </row>
    <row r="171" spans="1:4" x14ac:dyDescent="0.3">
      <c r="A171" s="17">
        <v>41030</v>
      </c>
      <c r="B171">
        <v>2.4500000000000002</v>
      </c>
      <c r="C171">
        <v>-0.85</v>
      </c>
      <c r="D171" s="55">
        <f t="shared" si="2"/>
        <v>-3.3000000000000003</v>
      </c>
    </row>
    <row r="172" spans="1:4" x14ac:dyDescent="0.3">
      <c r="A172" s="17">
        <v>41000</v>
      </c>
      <c r="B172">
        <v>2.8</v>
      </c>
      <c r="C172">
        <v>-0.75</v>
      </c>
      <c r="D172" s="55">
        <f t="shared" si="2"/>
        <v>-3.55</v>
      </c>
    </row>
    <row r="173" spans="1:4" x14ac:dyDescent="0.3">
      <c r="A173" s="17">
        <v>40969</v>
      </c>
      <c r="B173">
        <v>1.55</v>
      </c>
      <c r="C173">
        <v>-0.85</v>
      </c>
      <c r="D173" s="55">
        <f t="shared" si="2"/>
        <v>-2.4</v>
      </c>
    </row>
    <row r="174" spans="1:4" x14ac:dyDescent="0.3">
      <c r="A174" s="17">
        <v>40940</v>
      </c>
      <c r="B174">
        <v>2.0499999999999998</v>
      </c>
      <c r="C174">
        <v>-0.45</v>
      </c>
      <c r="D174" s="55">
        <f t="shared" si="2"/>
        <v>-2.5</v>
      </c>
    </row>
    <row r="175" spans="1:4" x14ac:dyDescent="0.3">
      <c r="A175" s="17">
        <v>40909</v>
      </c>
      <c r="B175">
        <v>4.1500000000000004</v>
      </c>
      <c r="C175">
        <v>1.35</v>
      </c>
      <c r="D175" s="55">
        <f t="shared" si="2"/>
        <v>-2.8000000000000003</v>
      </c>
    </row>
    <row r="176" spans="1:4" x14ac:dyDescent="0.3">
      <c r="A176" s="17">
        <v>40878</v>
      </c>
      <c r="B176">
        <v>2.5</v>
      </c>
      <c r="C176">
        <v>-0.25</v>
      </c>
      <c r="D176" s="55">
        <f t="shared" si="2"/>
        <v>-2.75</v>
      </c>
    </row>
    <row r="177" spans="1:4" x14ac:dyDescent="0.3">
      <c r="A177" s="17">
        <v>40848</v>
      </c>
      <c r="B177">
        <v>2.7</v>
      </c>
      <c r="C177">
        <v>-0.45</v>
      </c>
      <c r="D177" s="55">
        <f t="shared" si="2"/>
        <v>-3.1500000000000004</v>
      </c>
    </row>
    <row r="178" spans="1:4" x14ac:dyDescent="0.3">
      <c r="A178" s="17">
        <v>40817</v>
      </c>
      <c r="B178">
        <v>1.65</v>
      </c>
      <c r="C178">
        <v>-2.15</v>
      </c>
      <c r="D178" s="55">
        <f t="shared" si="2"/>
        <v>-3.8</v>
      </c>
    </row>
    <row r="179" spans="1:4" x14ac:dyDescent="0.3">
      <c r="A179" s="17">
        <v>40787</v>
      </c>
      <c r="B179">
        <v>0.75</v>
      </c>
      <c r="C179">
        <v>-3.3</v>
      </c>
      <c r="D179" s="55">
        <f t="shared" si="2"/>
        <v>-4.05</v>
      </c>
    </row>
    <row r="180" spans="1:4" x14ac:dyDescent="0.3">
      <c r="A180" s="17">
        <v>40756</v>
      </c>
      <c r="B180">
        <v>1.35</v>
      </c>
      <c r="C180">
        <v>-1.9</v>
      </c>
      <c r="D180" s="55">
        <f t="shared" si="2"/>
        <v>-3.25</v>
      </c>
    </row>
    <row r="181" spans="1:4" x14ac:dyDescent="0.3">
      <c r="A181" s="17">
        <v>40725</v>
      </c>
      <c r="B181">
        <v>1.45</v>
      </c>
      <c r="C181">
        <v>-2.65</v>
      </c>
      <c r="D181" s="55">
        <f t="shared" si="2"/>
        <v>-4.0999999999999996</v>
      </c>
    </row>
    <row r="182" spans="1:4" x14ac:dyDescent="0.3">
      <c r="A182" s="17">
        <v>40695</v>
      </c>
      <c r="B182">
        <v>2.15</v>
      </c>
      <c r="C182">
        <v>-3.5</v>
      </c>
      <c r="D182" s="55">
        <f t="shared" si="2"/>
        <v>-5.65</v>
      </c>
    </row>
    <row r="183" spans="1:4" x14ac:dyDescent="0.3">
      <c r="A183" s="17">
        <v>40664</v>
      </c>
      <c r="B183">
        <v>1.65</v>
      </c>
      <c r="C183">
        <v>-3.45</v>
      </c>
      <c r="D183" s="55">
        <f t="shared" si="2"/>
        <v>-5.0999999999999996</v>
      </c>
    </row>
    <row r="184" spans="1:4" x14ac:dyDescent="0.3">
      <c r="A184" s="17">
        <v>40634</v>
      </c>
      <c r="B184">
        <v>1.95</v>
      </c>
      <c r="C184">
        <v>-2.5499999999999998</v>
      </c>
      <c r="D184" s="55">
        <f t="shared" si="2"/>
        <v>-4.5</v>
      </c>
    </row>
    <row r="185" spans="1:4" x14ac:dyDescent="0.3">
      <c r="A185" s="17">
        <v>40603</v>
      </c>
      <c r="B185">
        <v>1.3</v>
      </c>
      <c r="C185">
        <v>-3.05</v>
      </c>
      <c r="D185" s="55">
        <f t="shared" si="2"/>
        <v>-4.3499999999999996</v>
      </c>
    </row>
    <row r="186" spans="1:4" x14ac:dyDescent="0.3">
      <c r="A186" s="17">
        <v>40575</v>
      </c>
      <c r="B186">
        <v>1.6</v>
      </c>
      <c r="C186">
        <v>-2.9</v>
      </c>
      <c r="D186" s="55">
        <f t="shared" si="2"/>
        <v>-4.5</v>
      </c>
    </row>
    <row r="187" spans="1:4" x14ac:dyDescent="0.3">
      <c r="A187" s="17">
        <v>40544</v>
      </c>
      <c r="B187">
        <v>1.6</v>
      </c>
      <c r="C187">
        <v>-2.15</v>
      </c>
      <c r="D187" s="55">
        <f t="shared" si="2"/>
        <v>-3.75</v>
      </c>
    </row>
    <row r="188" spans="1:4" x14ac:dyDescent="0.3">
      <c r="A188" s="17">
        <v>40513</v>
      </c>
      <c r="B188">
        <v>0.35</v>
      </c>
      <c r="C188">
        <v>-3.1</v>
      </c>
      <c r="D188" s="55">
        <f t="shared" si="2"/>
        <v>-3.45</v>
      </c>
    </row>
    <row r="189" spans="1:4" x14ac:dyDescent="0.3">
      <c r="A189" s="17">
        <v>40483</v>
      </c>
      <c r="B189">
        <v>-0.05</v>
      </c>
      <c r="C189">
        <v>-3.2</v>
      </c>
      <c r="D189" s="55">
        <f t="shared" si="2"/>
        <v>-3.1500000000000004</v>
      </c>
    </row>
    <row r="190" spans="1:4" x14ac:dyDescent="0.3">
      <c r="A190" s="17">
        <v>40452</v>
      </c>
      <c r="B190">
        <v>-0.5</v>
      </c>
      <c r="C190">
        <v>-3.35</v>
      </c>
      <c r="D190" s="55">
        <f t="shared" si="2"/>
        <v>-2.85</v>
      </c>
    </row>
    <row r="191" spans="1:4" x14ac:dyDescent="0.3">
      <c r="A191" s="17">
        <v>40422</v>
      </c>
      <c r="B191">
        <v>-0.65</v>
      </c>
      <c r="C191">
        <v>-3.4</v>
      </c>
      <c r="D191" s="55">
        <f t="shared" si="2"/>
        <v>-2.75</v>
      </c>
    </row>
    <row r="192" spans="1:4" x14ac:dyDescent="0.3">
      <c r="A192" s="17">
        <v>40391</v>
      </c>
      <c r="B192">
        <v>-0.15</v>
      </c>
      <c r="C192">
        <v>-3</v>
      </c>
      <c r="D192" s="55">
        <f t="shared" si="2"/>
        <v>-2.85</v>
      </c>
    </row>
    <row r="193" spans="1:4" x14ac:dyDescent="0.3">
      <c r="A193" s="17">
        <v>40360</v>
      </c>
      <c r="B193">
        <v>-0.2</v>
      </c>
      <c r="C193">
        <v>-2.95</v>
      </c>
      <c r="D193" s="55">
        <f t="shared" si="2"/>
        <v>-2.75</v>
      </c>
    </row>
    <row r="194" spans="1:4" x14ac:dyDescent="0.3">
      <c r="A194" s="17">
        <v>40330</v>
      </c>
      <c r="B194">
        <v>0.2</v>
      </c>
      <c r="C194">
        <v>-2.9</v>
      </c>
      <c r="D194" s="55">
        <f t="shared" si="2"/>
        <v>-3.1</v>
      </c>
    </row>
    <row r="195" spans="1:4" x14ac:dyDescent="0.3">
      <c r="A195" s="17">
        <v>40299</v>
      </c>
      <c r="B195">
        <v>-0.1</v>
      </c>
      <c r="C195">
        <v>-2.9</v>
      </c>
      <c r="D195" s="55">
        <f t="shared" si="2"/>
        <v>-2.8</v>
      </c>
    </row>
    <row r="196" spans="1:4" x14ac:dyDescent="0.3">
      <c r="A196" s="17">
        <v>40269</v>
      </c>
      <c r="B196">
        <v>-0.45</v>
      </c>
      <c r="C196">
        <v>-2.5</v>
      </c>
      <c r="D196" s="55">
        <f t="shared" si="2"/>
        <v>-2.0499999999999998</v>
      </c>
    </row>
    <row r="197" spans="1:4" x14ac:dyDescent="0.3">
      <c r="A197" s="17">
        <v>40238</v>
      </c>
      <c r="B197">
        <v>-0.15</v>
      </c>
      <c r="C197">
        <v>-1.65</v>
      </c>
      <c r="D197" s="55">
        <f t="shared" si="2"/>
        <v>-1.5</v>
      </c>
    </row>
    <row r="198" spans="1:4" x14ac:dyDescent="0.3">
      <c r="A198" s="17">
        <v>40210</v>
      </c>
      <c r="B198">
        <v>0.1</v>
      </c>
      <c r="C198">
        <v>-1.65</v>
      </c>
      <c r="D198" s="55">
        <f t="shared" ref="D198:D261" si="3">+C198-B198</f>
        <v>-1.75</v>
      </c>
    </row>
    <row r="199" spans="1:4" x14ac:dyDescent="0.3">
      <c r="A199" s="17">
        <v>40179</v>
      </c>
      <c r="B199">
        <v>0.45</v>
      </c>
      <c r="C199">
        <v>-1.25</v>
      </c>
      <c r="D199" s="55">
        <f t="shared" si="3"/>
        <v>-1.7</v>
      </c>
    </row>
    <row r="200" spans="1:4" x14ac:dyDescent="0.3">
      <c r="A200" s="17">
        <v>40148</v>
      </c>
      <c r="B200">
        <v>0.5</v>
      </c>
      <c r="C200">
        <v>-1.45</v>
      </c>
      <c r="D200" s="55">
        <f t="shared" si="3"/>
        <v>-1.95</v>
      </c>
    </row>
    <row r="201" spans="1:4" x14ac:dyDescent="0.3">
      <c r="A201" s="17">
        <v>40118</v>
      </c>
      <c r="B201">
        <v>0.15</v>
      </c>
      <c r="C201">
        <v>-1.05</v>
      </c>
      <c r="D201" s="55">
        <f t="shared" si="3"/>
        <v>-1.2</v>
      </c>
    </row>
    <row r="202" spans="1:4" x14ac:dyDescent="0.3">
      <c r="A202" s="17">
        <v>40087</v>
      </c>
      <c r="B202">
        <v>0.6</v>
      </c>
      <c r="C202">
        <v>-0.9</v>
      </c>
      <c r="D202" s="55">
        <f t="shared" si="3"/>
        <v>-1.5</v>
      </c>
    </row>
    <row r="203" spans="1:4" x14ac:dyDescent="0.3">
      <c r="A203" s="17">
        <v>40057</v>
      </c>
      <c r="B203">
        <v>-0.25</v>
      </c>
      <c r="C203">
        <v>-1.85</v>
      </c>
      <c r="D203" s="55">
        <f t="shared" si="3"/>
        <v>-1.6</v>
      </c>
    </row>
    <row r="204" spans="1:4" x14ac:dyDescent="0.3">
      <c r="A204" s="17">
        <v>40026</v>
      </c>
      <c r="B204">
        <v>1.5</v>
      </c>
      <c r="C204">
        <v>-0.45</v>
      </c>
      <c r="D204" s="55">
        <f t="shared" si="3"/>
        <v>-1.95</v>
      </c>
    </row>
    <row r="205" spans="1:4" x14ac:dyDescent="0.3">
      <c r="A205" s="17">
        <v>39995</v>
      </c>
      <c r="B205">
        <v>1.4</v>
      </c>
      <c r="C205">
        <v>-0.15</v>
      </c>
      <c r="D205" s="55">
        <f t="shared" si="3"/>
        <v>-1.5499999999999998</v>
      </c>
    </row>
    <row r="206" spans="1:4" x14ac:dyDescent="0.3">
      <c r="A206" s="17">
        <v>39965</v>
      </c>
      <c r="B206">
        <v>1</v>
      </c>
      <c r="C206">
        <v>-0.7</v>
      </c>
      <c r="D206" s="55">
        <f t="shared" si="3"/>
        <v>-1.7</v>
      </c>
    </row>
    <row r="207" spans="1:4" x14ac:dyDescent="0.3">
      <c r="A207" s="17">
        <v>39934</v>
      </c>
      <c r="B207">
        <v>0.8</v>
      </c>
      <c r="C207">
        <v>-1.85</v>
      </c>
      <c r="D207" s="55">
        <f t="shared" si="3"/>
        <v>-2.6500000000000004</v>
      </c>
    </row>
    <row r="208" spans="1:4" x14ac:dyDescent="0.3">
      <c r="A208" s="17">
        <v>39904</v>
      </c>
      <c r="B208">
        <v>0.9</v>
      </c>
      <c r="C208">
        <v>-0.65</v>
      </c>
      <c r="D208" s="55">
        <f t="shared" si="3"/>
        <v>-1.55</v>
      </c>
    </row>
    <row r="209" spans="1:4" x14ac:dyDescent="0.3">
      <c r="A209" s="17">
        <v>39873</v>
      </c>
      <c r="B209">
        <v>0.25</v>
      </c>
      <c r="C209">
        <v>-1.95</v>
      </c>
      <c r="D209" s="55">
        <f t="shared" si="3"/>
        <v>-2.2000000000000002</v>
      </c>
    </row>
    <row r="210" spans="1:4" x14ac:dyDescent="0.3">
      <c r="A210" s="17">
        <v>39845</v>
      </c>
      <c r="B210">
        <v>-0.45</v>
      </c>
      <c r="C210">
        <v>-3.9</v>
      </c>
      <c r="D210" s="55">
        <f t="shared" si="3"/>
        <v>-3.4499999999999997</v>
      </c>
    </row>
    <row r="211" spans="1:4" x14ac:dyDescent="0.3">
      <c r="A211" s="17">
        <v>39814</v>
      </c>
      <c r="B211">
        <v>-0.85</v>
      </c>
      <c r="C211">
        <v>-5.8</v>
      </c>
      <c r="D211" s="55">
        <f t="shared" si="3"/>
        <v>-4.95</v>
      </c>
    </row>
    <row r="212" spans="1:4" x14ac:dyDescent="0.3">
      <c r="A212" s="17">
        <v>39783</v>
      </c>
      <c r="B212">
        <v>-1.25</v>
      </c>
      <c r="C212">
        <v>-6.3</v>
      </c>
      <c r="D212" s="55">
        <f t="shared" si="3"/>
        <v>-5.05</v>
      </c>
    </row>
    <row r="213" spans="1:4" x14ac:dyDescent="0.3">
      <c r="A213" s="17">
        <v>39753</v>
      </c>
      <c r="B213">
        <v>-0.65</v>
      </c>
      <c r="C213">
        <v>-5</v>
      </c>
      <c r="D213" s="55">
        <f t="shared" si="3"/>
        <v>-4.3499999999999996</v>
      </c>
    </row>
    <row r="214" spans="1:4" x14ac:dyDescent="0.3">
      <c r="A214" s="17">
        <v>39722</v>
      </c>
      <c r="B214">
        <v>0</v>
      </c>
      <c r="C214">
        <v>-4.5999999999999996</v>
      </c>
      <c r="D214" s="55">
        <f t="shared" si="3"/>
        <v>-4.5999999999999996</v>
      </c>
    </row>
    <row r="215" spans="1:4" x14ac:dyDescent="0.3">
      <c r="A215" s="17">
        <v>39692</v>
      </c>
      <c r="B215">
        <v>0.7</v>
      </c>
      <c r="C215">
        <v>-6.1</v>
      </c>
      <c r="D215" s="55">
        <f t="shared" si="3"/>
        <v>-6.8</v>
      </c>
    </row>
    <row r="216" spans="1:4" x14ac:dyDescent="0.3">
      <c r="A216" s="17">
        <v>39661</v>
      </c>
      <c r="B216">
        <v>1.35</v>
      </c>
      <c r="C216">
        <v>-7.6</v>
      </c>
      <c r="D216" s="55">
        <f t="shared" si="3"/>
        <v>-8.9499999999999993</v>
      </c>
    </row>
    <row r="217" spans="1:4" x14ac:dyDescent="0.3">
      <c r="A217" s="17">
        <v>39630</v>
      </c>
      <c r="B217">
        <v>2.0499999999999998</v>
      </c>
      <c r="C217">
        <v>-7.95</v>
      </c>
      <c r="D217" s="55">
        <f t="shared" si="3"/>
        <v>-10</v>
      </c>
    </row>
    <row r="218" spans="1:4" x14ac:dyDescent="0.3">
      <c r="A218" s="17">
        <v>39600</v>
      </c>
      <c r="B218">
        <v>1.85</v>
      </c>
      <c r="C218">
        <v>-7.45</v>
      </c>
      <c r="D218" s="55">
        <f t="shared" si="3"/>
        <v>-9.3000000000000007</v>
      </c>
    </row>
    <row r="219" spans="1:4" x14ac:dyDescent="0.3">
      <c r="A219" s="17">
        <v>39569</v>
      </c>
      <c r="B219">
        <v>1.45</v>
      </c>
      <c r="C219">
        <v>-7</v>
      </c>
      <c r="D219" s="55">
        <f t="shared" si="3"/>
        <v>-8.4499999999999993</v>
      </c>
    </row>
    <row r="220" spans="1:4" x14ac:dyDescent="0.3">
      <c r="A220" s="17">
        <v>39539</v>
      </c>
      <c r="B220">
        <v>1.05</v>
      </c>
      <c r="C220">
        <v>-6.1</v>
      </c>
      <c r="D220" s="55">
        <f t="shared" si="3"/>
        <v>-7.1499999999999995</v>
      </c>
    </row>
    <row r="221" spans="1:4" x14ac:dyDescent="0.3">
      <c r="A221" s="17">
        <v>39508</v>
      </c>
      <c r="B221">
        <v>1.25</v>
      </c>
      <c r="C221">
        <v>-4.5999999999999996</v>
      </c>
      <c r="D221" s="55">
        <f t="shared" si="3"/>
        <v>-5.85</v>
      </c>
    </row>
    <row r="222" spans="1:4" x14ac:dyDescent="0.3">
      <c r="A222" s="17">
        <v>39479</v>
      </c>
      <c r="B222">
        <v>1.55</v>
      </c>
      <c r="C222">
        <v>-4.8</v>
      </c>
      <c r="D222" s="55">
        <f t="shared" si="3"/>
        <v>-6.35</v>
      </c>
    </row>
    <row r="223" spans="1:4" x14ac:dyDescent="0.3">
      <c r="A223" s="17">
        <v>39448</v>
      </c>
      <c r="B223">
        <v>1.75</v>
      </c>
      <c r="C223">
        <v>-5.0999999999999996</v>
      </c>
      <c r="D223" s="55">
        <f t="shared" si="3"/>
        <v>-6.85</v>
      </c>
    </row>
    <row r="224" spans="1:4" x14ac:dyDescent="0.3">
      <c r="A224" s="17">
        <v>39417</v>
      </c>
      <c r="B224">
        <v>1.35</v>
      </c>
      <c r="C224">
        <v>-3.8</v>
      </c>
      <c r="D224" s="55">
        <f t="shared" si="3"/>
        <v>-5.15</v>
      </c>
    </row>
    <row r="225" spans="1:4" x14ac:dyDescent="0.3">
      <c r="A225" s="17">
        <v>39387</v>
      </c>
      <c r="B225">
        <v>2.35</v>
      </c>
      <c r="C225">
        <v>-3.1</v>
      </c>
      <c r="D225" s="55">
        <f t="shared" si="3"/>
        <v>-5.45</v>
      </c>
    </row>
    <row r="226" spans="1:4" x14ac:dyDescent="0.3">
      <c r="A226" s="17">
        <v>39356</v>
      </c>
      <c r="B226">
        <v>1.35</v>
      </c>
      <c r="C226">
        <v>-3.35</v>
      </c>
      <c r="D226" s="55">
        <f t="shared" si="3"/>
        <v>-4.7</v>
      </c>
    </row>
    <row r="227" spans="1:4" x14ac:dyDescent="0.3">
      <c r="A227" s="17">
        <v>39326</v>
      </c>
      <c r="B227">
        <v>0.75</v>
      </c>
      <c r="C227">
        <v>-3.6</v>
      </c>
      <c r="D227" s="55">
        <f t="shared" si="3"/>
        <v>-4.3499999999999996</v>
      </c>
    </row>
    <row r="228" spans="1:4" x14ac:dyDescent="0.3">
      <c r="A228" s="17">
        <v>39295</v>
      </c>
      <c r="B228">
        <v>0.55000000000000004</v>
      </c>
      <c r="C228">
        <v>-4.3</v>
      </c>
      <c r="D228" s="55">
        <f t="shared" si="3"/>
        <v>-4.8499999999999996</v>
      </c>
    </row>
    <row r="229" spans="1:4" x14ac:dyDescent="0.3">
      <c r="A229" s="17">
        <v>39264</v>
      </c>
      <c r="B229">
        <v>0.55000000000000004</v>
      </c>
      <c r="C229">
        <v>-4.8</v>
      </c>
      <c r="D229" s="55">
        <f t="shared" si="3"/>
        <v>-5.35</v>
      </c>
    </row>
    <row r="230" spans="1:4" x14ac:dyDescent="0.3">
      <c r="A230" s="17">
        <v>39234</v>
      </c>
      <c r="B230">
        <v>0.55000000000000004</v>
      </c>
      <c r="C230">
        <v>-4.5</v>
      </c>
      <c r="D230" s="55">
        <f t="shared" si="3"/>
        <v>-5.05</v>
      </c>
    </row>
    <row r="231" spans="1:4" x14ac:dyDescent="0.3">
      <c r="A231" s="17">
        <v>39203</v>
      </c>
      <c r="B231">
        <v>0.15</v>
      </c>
      <c r="C231">
        <v>-4.75</v>
      </c>
      <c r="D231" s="55">
        <f t="shared" si="3"/>
        <v>-4.9000000000000004</v>
      </c>
    </row>
    <row r="232" spans="1:4" x14ac:dyDescent="0.3">
      <c r="A232" s="17">
        <v>39173</v>
      </c>
      <c r="B232">
        <v>0.15</v>
      </c>
      <c r="C232">
        <v>-5.05</v>
      </c>
      <c r="D232" s="55">
        <f t="shared" si="3"/>
        <v>-5.2</v>
      </c>
    </row>
    <row r="233" spans="1:4" x14ac:dyDescent="0.3">
      <c r="A233" s="17">
        <v>39142</v>
      </c>
      <c r="B233">
        <v>0.25</v>
      </c>
      <c r="C233">
        <v>-4.5999999999999996</v>
      </c>
      <c r="D233" s="55">
        <f t="shared" si="3"/>
        <v>-4.8499999999999996</v>
      </c>
    </row>
    <row r="234" spans="1:4" x14ac:dyDescent="0.3">
      <c r="A234" s="17">
        <v>39114</v>
      </c>
      <c r="B234">
        <v>0.05</v>
      </c>
      <c r="C234">
        <v>-5.5</v>
      </c>
      <c r="D234" s="55">
        <f t="shared" si="3"/>
        <v>-5.55</v>
      </c>
    </row>
    <row r="235" spans="1:4" x14ac:dyDescent="0.3">
      <c r="A235" s="17">
        <v>39083</v>
      </c>
      <c r="B235">
        <v>0.15</v>
      </c>
      <c r="C235">
        <v>-6</v>
      </c>
      <c r="D235" s="55">
        <f t="shared" si="3"/>
        <v>-6.15</v>
      </c>
    </row>
    <row r="236" spans="1:4" x14ac:dyDescent="0.3">
      <c r="A236" s="17">
        <v>39052</v>
      </c>
      <c r="B236">
        <v>-0.1</v>
      </c>
      <c r="C236">
        <v>-5.3</v>
      </c>
      <c r="D236" s="55">
        <f t="shared" si="3"/>
        <v>-5.2</v>
      </c>
    </row>
    <row r="237" spans="1:4" x14ac:dyDescent="0.3">
      <c r="A237" s="17">
        <v>39022</v>
      </c>
      <c r="B237">
        <v>0.05</v>
      </c>
      <c r="C237">
        <v>-5.5</v>
      </c>
      <c r="D237" s="55">
        <f t="shared" si="3"/>
        <v>-5.55</v>
      </c>
    </row>
    <row r="238" spans="1:4" x14ac:dyDescent="0.3">
      <c r="A238" s="17">
        <v>38991</v>
      </c>
      <c r="B238">
        <v>0.45</v>
      </c>
      <c r="C238">
        <v>-6.35</v>
      </c>
      <c r="D238" s="55">
        <f t="shared" si="3"/>
        <v>-6.8</v>
      </c>
    </row>
    <row r="239" spans="1:4" x14ac:dyDescent="0.3">
      <c r="A239" s="17">
        <v>38961</v>
      </c>
      <c r="B239">
        <v>0.35</v>
      </c>
      <c r="C239">
        <v>-5.85</v>
      </c>
      <c r="D239" s="55">
        <f t="shared" si="3"/>
        <v>-6.1999999999999993</v>
      </c>
    </row>
    <row r="240" spans="1:4" x14ac:dyDescent="0.3">
      <c r="A240" s="17">
        <v>38930</v>
      </c>
      <c r="B240">
        <v>0.35</v>
      </c>
      <c r="C240">
        <v>-5.95</v>
      </c>
      <c r="D240" s="55">
        <f t="shared" si="3"/>
        <v>-6.3</v>
      </c>
    </row>
    <row r="241" spans="1:4" x14ac:dyDescent="0.3">
      <c r="A241" s="17">
        <v>38899</v>
      </c>
      <c r="B241">
        <v>0.2</v>
      </c>
      <c r="C241">
        <v>-5.95</v>
      </c>
      <c r="D241" s="55">
        <f t="shared" si="3"/>
        <v>-6.15</v>
      </c>
    </row>
    <row r="242" spans="1:4" x14ac:dyDescent="0.3">
      <c r="A242" s="17">
        <v>38869</v>
      </c>
      <c r="B242">
        <v>0.2</v>
      </c>
      <c r="C242">
        <v>-5.85</v>
      </c>
      <c r="D242" s="55">
        <f t="shared" si="3"/>
        <v>-6.05</v>
      </c>
    </row>
    <row r="243" spans="1:4" x14ac:dyDescent="0.3">
      <c r="A243" s="17">
        <v>38838</v>
      </c>
      <c r="B243">
        <v>-0.25</v>
      </c>
      <c r="C243">
        <v>-4.8499999999999996</v>
      </c>
      <c r="D243" s="55">
        <f t="shared" si="3"/>
        <v>-4.5999999999999996</v>
      </c>
    </row>
    <row r="244" spans="1:4" x14ac:dyDescent="0.3">
      <c r="A244" s="17">
        <v>38808</v>
      </c>
      <c r="B244">
        <v>0.05</v>
      </c>
      <c r="C244">
        <v>-4.0999999999999996</v>
      </c>
      <c r="D244" s="55">
        <f t="shared" si="3"/>
        <v>-4.1499999999999995</v>
      </c>
    </row>
    <row r="245" spans="1:4" x14ac:dyDescent="0.3">
      <c r="A245" s="17">
        <v>38777</v>
      </c>
      <c r="B245">
        <v>0.4</v>
      </c>
      <c r="C245">
        <v>-4.4000000000000004</v>
      </c>
      <c r="D245" s="55">
        <f t="shared" si="3"/>
        <v>-4.8000000000000007</v>
      </c>
    </row>
    <row r="246" spans="1:4" x14ac:dyDescent="0.3">
      <c r="A246" s="17">
        <v>38749</v>
      </c>
      <c r="B246">
        <v>0.25</v>
      </c>
      <c r="C246">
        <v>-4.6500000000000004</v>
      </c>
      <c r="D246" s="55">
        <f t="shared" si="3"/>
        <v>-4.9000000000000004</v>
      </c>
    </row>
    <row r="247" spans="1:4" x14ac:dyDescent="0.3">
      <c r="A247" s="17">
        <v>38718</v>
      </c>
      <c r="B247">
        <v>-0.1</v>
      </c>
      <c r="C247">
        <v>-4.05</v>
      </c>
      <c r="D247" s="55">
        <f t="shared" si="3"/>
        <v>-3.9499999999999997</v>
      </c>
    </row>
    <row r="248" spans="1:4" x14ac:dyDescent="0.3">
      <c r="A248" s="17">
        <v>38687</v>
      </c>
      <c r="B248">
        <v>0.05</v>
      </c>
      <c r="C248">
        <v>-4.55</v>
      </c>
      <c r="D248" s="55">
        <f t="shared" si="3"/>
        <v>-4.5999999999999996</v>
      </c>
    </row>
    <row r="249" spans="1:4" x14ac:dyDescent="0.3">
      <c r="A249" s="17">
        <v>38657</v>
      </c>
      <c r="B249">
        <v>-0.25</v>
      </c>
      <c r="C249">
        <v>-5.85</v>
      </c>
      <c r="D249" s="55">
        <f t="shared" si="3"/>
        <v>-5.6</v>
      </c>
    </row>
    <row r="250" spans="1:4" x14ac:dyDescent="0.3">
      <c r="A250" s="17">
        <v>38626</v>
      </c>
      <c r="B250">
        <v>-0.05</v>
      </c>
      <c r="C250">
        <v>-5.75</v>
      </c>
      <c r="D250" s="55">
        <f t="shared" si="3"/>
        <v>-5.7</v>
      </c>
    </row>
    <row r="251" spans="1:4" x14ac:dyDescent="0.3">
      <c r="A251" s="17">
        <v>38596</v>
      </c>
      <c r="B251">
        <v>0.45</v>
      </c>
      <c r="C251">
        <v>-5.0999999999999996</v>
      </c>
      <c r="D251" s="55">
        <f t="shared" si="3"/>
        <v>-5.55</v>
      </c>
    </row>
    <row r="252" spans="1:4" x14ac:dyDescent="0.3">
      <c r="A252" s="17">
        <v>38565</v>
      </c>
      <c r="B252">
        <v>0.85</v>
      </c>
      <c r="C252">
        <v>-4.55</v>
      </c>
      <c r="D252" s="55">
        <f t="shared" si="3"/>
        <v>-5.3999999999999995</v>
      </c>
    </row>
    <row r="253" spans="1:4" x14ac:dyDescent="0.3">
      <c r="A253" s="17">
        <v>38534</v>
      </c>
      <c r="B253">
        <v>0.85</v>
      </c>
      <c r="C253">
        <v>-3.45</v>
      </c>
      <c r="D253" s="55">
        <f t="shared" si="3"/>
        <v>-4.3</v>
      </c>
    </row>
    <row r="254" spans="1:4" x14ac:dyDescent="0.3">
      <c r="A254" s="17">
        <v>38504</v>
      </c>
      <c r="B254">
        <v>0.85</v>
      </c>
      <c r="C254">
        <v>-3.9</v>
      </c>
      <c r="D254" s="55">
        <f t="shared" si="3"/>
        <v>-4.75</v>
      </c>
    </row>
    <row r="255" spans="1:4" x14ac:dyDescent="0.3">
      <c r="A255" s="17">
        <v>38473</v>
      </c>
      <c r="B255">
        <v>1.05</v>
      </c>
      <c r="C255">
        <v>-4.3499999999999996</v>
      </c>
      <c r="D255" s="55">
        <f t="shared" si="3"/>
        <v>-5.3999999999999995</v>
      </c>
    </row>
    <row r="256" spans="1:4" x14ac:dyDescent="0.3">
      <c r="A256" s="17">
        <v>38443</v>
      </c>
      <c r="B256">
        <v>0.65</v>
      </c>
      <c r="C256">
        <v>-4.55</v>
      </c>
      <c r="D256" s="55">
        <f t="shared" si="3"/>
        <v>-5.2</v>
      </c>
    </row>
    <row r="257" spans="1:4" x14ac:dyDescent="0.3">
      <c r="A257" s="17">
        <v>38412</v>
      </c>
      <c r="B257">
        <v>0.25</v>
      </c>
      <c r="C257">
        <v>-4.1500000000000004</v>
      </c>
      <c r="D257" s="55">
        <f t="shared" si="3"/>
        <v>-4.4000000000000004</v>
      </c>
    </row>
    <row r="258" spans="1:4" x14ac:dyDescent="0.3">
      <c r="A258" s="17">
        <v>38384</v>
      </c>
      <c r="B258">
        <v>-0.15</v>
      </c>
      <c r="C258">
        <v>-4.8499999999999996</v>
      </c>
      <c r="D258" s="55">
        <f t="shared" si="3"/>
        <v>-4.6999999999999993</v>
      </c>
    </row>
    <row r="259" spans="1:4" x14ac:dyDescent="0.3">
      <c r="A259" s="17">
        <v>38353</v>
      </c>
      <c r="B259">
        <v>-0.15</v>
      </c>
      <c r="C259">
        <v>-5.45</v>
      </c>
      <c r="D259" s="55">
        <f t="shared" si="3"/>
        <v>-5.3</v>
      </c>
    </row>
    <row r="260" spans="1:4" x14ac:dyDescent="0.3">
      <c r="A260" s="17">
        <v>38322</v>
      </c>
      <c r="B260">
        <v>-0.3</v>
      </c>
      <c r="C260">
        <v>-5.65</v>
      </c>
      <c r="D260" s="55">
        <f t="shared" si="3"/>
        <v>-5.3500000000000005</v>
      </c>
    </row>
    <row r="261" spans="1:4" x14ac:dyDescent="0.3">
      <c r="A261" s="17">
        <v>38292</v>
      </c>
      <c r="B261">
        <v>0.2</v>
      </c>
      <c r="C261">
        <v>-5.35</v>
      </c>
      <c r="D261" s="55">
        <f t="shared" si="3"/>
        <v>-5.55</v>
      </c>
    </row>
    <row r="262" spans="1:4" x14ac:dyDescent="0.3">
      <c r="A262" s="17">
        <v>38261</v>
      </c>
      <c r="B262">
        <v>0.55000000000000004</v>
      </c>
      <c r="C262">
        <v>-3.65</v>
      </c>
      <c r="D262" s="55">
        <f t="shared" ref="D262:D325" si="4">+C262-B262</f>
        <v>-4.2</v>
      </c>
    </row>
    <row r="263" spans="1:4" x14ac:dyDescent="0.3">
      <c r="A263" s="17">
        <v>38231</v>
      </c>
      <c r="B263">
        <v>0.55000000000000004</v>
      </c>
      <c r="C263">
        <v>-3.15</v>
      </c>
      <c r="D263" s="55">
        <f t="shared" si="4"/>
        <v>-3.7</v>
      </c>
    </row>
    <row r="264" spans="1:4" x14ac:dyDescent="0.3">
      <c r="A264" s="17">
        <v>38200</v>
      </c>
      <c r="B264">
        <v>0.65</v>
      </c>
      <c r="C264">
        <v>-2.15</v>
      </c>
      <c r="D264" s="55">
        <f t="shared" si="4"/>
        <v>-2.8</v>
      </c>
    </row>
    <row r="265" spans="1:4" x14ac:dyDescent="0.3">
      <c r="A265" s="17">
        <v>38169</v>
      </c>
      <c r="B265">
        <v>0.95</v>
      </c>
      <c r="C265">
        <v>-1.75</v>
      </c>
      <c r="D265" s="55">
        <f t="shared" si="4"/>
        <v>-2.7</v>
      </c>
    </row>
    <row r="266" spans="1:4" x14ac:dyDescent="0.3">
      <c r="A266" s="17">
        <v>38139</v>
      </c>
      <c r="B266">
        <v>0.95</v>
      </c>
      <c r="C266">
        <v>-1.75</v>
      </c>
      <c r="D266" s="55">
        <f t="shared" si="4"/>
        <v>-2.7</v>
      </c>
    </row>
    <row r="267" spans="1:4" x14ac:dyDescent="0.3">
      <c r="A267" s="17">
        <v>38108</v>
      </c>
      <c r="B267">
        <v>0.8</v>
      </c>
      <c r="C267">
        <v>-1.35</v>
      </c>
      <c r="D267" s="55">
        <f t="shared" si="4"/>
        <v>-2.1500000000000004</v>
      </c>
    </row>
    <row r="268" spans="1:4" x14ac:dyDescent="0.3">
      <c r="A268" s="17">
        <v>38078</v>
      </c>
      <c r="B268">
        <v>0.7</v>
      </c>
      <c r="C268">
        <v>-1.5</v>
      </c>
      <c r="D268" s="55">
        <f t="shared" si="4"/>
        <v>-2.2000000000000002</v>
      </c>
    </row>
    <row r="269" spans="1:4" x14ac:dyDescent="0.3">
      <c r="A269" s="17">
        <v>38047</v>
      </c>
      <c r="B269">
        <v>0.6</v>
      </c>
      <c r="C269">
        <v>-1.6</v>
      </c>
      <c r="D269" s="55">
        <f t="shared" si="4"/>
        <v>-2.2000000000000002</v>
      </c>
    </row>
    <row r="270" spans="1:4" x14ac:dyDescent="0.3">
      <c r="A270" s="17">
        <v>38018</v>
      </c>
      <c r="B270">
        <v>0.6</v>
      </c>
      <c r="C270">
        <v>-1.8</v>
      </c>
      <c r="D270" s="55">
        <f t="shared" si="4"/>
        <v>-2.4</v>
      </c>
    </row>
    <row r="271" spans="1:4" x14ac:dyDescent="0.3">
      <c r="A271" s="17">
        <v>37987</v>
      </c>
      <c r="B271">
        <v>0.95</v>
      </c>
      <c r="C271">
        <v>-1.2</v>
      </c>
      <c r="D271" s="55">
        <f t="shared" si="4"/>
        <v>-2.15</v>
      </c>
    </row>
    <row r="272" spans="1:4" x14ac:dyDescent="0.3">
      <c r="A272" s="17">
        <v>37956</v>
      </c>
      <c r="B272">
        <v>0.95</v>
      </c>
      <c r="C272">
        <v>-0.95</v>
      </c>
      <c r="D272" s="55">
        <f t="shared" si="4"/>
        <v>-1.9</v>
      </c>
    </row>
    <row r="273" spans="1:4" x14ac:dyDescent="0.3">
      <c r="A273" s="17">
        <v>37926</v>
      </c>
      <c r="B273">
        <v>0.55000000000000004</v>
      </c>
      <c r="C273">
        <v>-0.75</v>
      </c>
      <c r="D273" s="55">
        <f t="shared" si="4"/>
        <v>-1.3</v>
      </c>
    </row>
    <row r="274" spans="1:4" x14ac:dyDescent="0.3">
      <c r="A274" s="17">
        <v>37895</v>
      </c>
      <c r="B274">
        <v>0.6</v>
      </c>
      <c r="C274">
        <v>-1.05</v>
      </c>
      <c r="D274" s="55">
        <f t="shared" si="4"/>
        <v>-1.65</v>
      </c>
    </row>
    <row r="275" spans="1:4" x14ac:dyDescent="0.3">
      <c r="A275" s="17">
        <v>37865</v>
      </c>
      <c r="B275">
        <v>0.6</v>
      </c>
      <c r="C275">
        <v>-0.25</v>
      </c>
      <c r="D275" s="55">
        <f t="shared" si="4"/>
        <v>-0.85</v>
      </c>
    </row>
    <row r="276" spans="1:4" x14ac:dyDescent="0.3">
      <c r="A276" s="17">
        <v>37834</v>
      </c>
      <c r="B276">
        <v>0.4</v>
      </c>
      <c r="C276">
        <v>0</v>
      </c>
      <c r="D276" s="55">
        <f t="shared" si="4"/>
        <v>-0.4</v>
      </c>
    </row>
    <row r="277" spans="1:4" x14ac:dyDescent="0.3">
      <c r="A277" s="17">
        <v>37803</v>
      </c>
      <c r="B277">
        <v>0.65</v>
      </c>
      <c r="C277">
        <v>-0.15</v>
      </c>
      <c r="D277" s="55">
        <f t="shared" si="4"/>
        <v>-0.8</v>
      </c>
    </row>
    <row r="278" spans="1:4" x14ac:dyDescent="0.3">
      <c r="A278" s="17">
        <v>37773</v>
      </c>
      <c r="B278">
        <v>0.45</v>
      </c>
      <c r="C278">
        <v>-0.25</v>
      </c>
      <c r="D278" s="55">
        <f t="shared" si="4"/>
        <v>-0.7</v>
      </c>
    </row>
    <row r="279" spans="1:4" x14ac:dyDescent="0.3">
      <c r="A279" s="17">
        <v>37742</v>
      </c>
      <c r="B279">
        <v>0.65</v>
      </c>
      <c r="C279">
        <v>-0.15</v>
      </c>
      <c r="D279" s="55">
        <f t="shared" si="4"/>
        <v>-0.8</v>
      </c>
    </row>
    <row r="280" spans="1:4" x14ac:dyDescent="0.3">
      <c r="A280" s="17">
        <v>37712</v>
      </c>
      <c r="B280">
        <v>1.1000000000000001</v>
      </c>
      <c r="C280">
        <v>-0.7</v>
      </c>
      <c r="D280" s="55">
        <f t="shared" si="4"/>
        <v>-1.8</v>
      </c>
    </row>
    <row r="281" spans="1:4" x14ac:dyDescent="0.3">
      <c r="A281" s="17">
        <v>37681</v>
      </c>
      <c r="B281">
        <v>1</v>
      </c>
      <c r="C281">
        <v>-0.2</v>
      </c>
      <c r="D281" s="55">
        <f t="shared" si="4"/>
        <v>-1.2</v>
      </c>
    </row>
    <row r="282" spans="1:4" x14ac:dyDescent="0.3">
      <c r="A282" s="17">
        <v>37653</v>
      </c>
      <c r="B282">
        <v>0.9</v>
      </c>
      <c r="C282">
        <v>-0.5</v>
      </c>
      <c r="D282" s="55">
        <f t="shared" si="4"/>
        <v>-1.4</v>
      </c>
    </row>
    <row r="283" spans="1:4" x14ac:dyDescent="0.3">
      <c r="A283" s="17">
        <v>37622</v>
      </c>
      <c r="B283">
        <v>0.55000000000000004</v>
      </c>
      <c r="C283">
        <v>-0.5</v>
      </c>
      <c r="D283" s="55">
        <f t="shared" si="4"/>
        <v>-1.05</v>
      </c>
    </row>
    <row r="284" spans="1:4" x14ac:dyDescent="0.3">
      <c r="A284" s="17">
        <v>37591</v>
      </c>
      <c r="B284">
        <v>0.55000000000000004</v>
      </c>
      <c r="C284">
        <v>-0.95</v>
      </c>
      <c r="D284" s="55">
        <f t="shared" si="4"/>
        <v>-1.5</v>
      </c>
    </row>
    <row r="285" spans="1:4" x14ac:dyDescent="0.3">
      <c r="A285" s="17">
        <v>37561</v>
      </c>
      <c r="B285">
        <v>0.55000000000000004</v>
      </c>
      <c r="C285">
        <v>-0.75</v>
      </c>
      <c r="D285" s="55">
        <f t="shared" si="4"/>
        <v>-1.3</v>
      </c>
    </row>
    <row r="286" spans="1:4" x14ac:dyDescent="0.3">
      <c r="A286" s="17">
        <v>37530</v>
      </c>
      <c r="B286">
        <v>0.35</v>
      </c>
      <c r="C286">
        <v>-0.45</v>
      </c>
      <c r="D286" s="55">
        <f t="shared" si="4"/>
        <v>-0.8</v>
      </c>
    </row>
    <row r="287" spans="1:4" x14ac:dyDescent="0.3">
      <c r="A287" s="17">
        <v>37500</v>
      </c>
      <c r="B287">
        <v>0.4</v>
      </c>
      <c r="C287">
        <v>-0.25</v>
      </c>
      <c r="D287" s="55">
        <f t="shared" si="4"/>
        <v>-0.65</v>
      </c>
    </row>
    <row r="288" spans="1:4" x14ac:dyDescent="0.3">
      <c r="A288" s="17">
        <v>37469</v>
      </c>
      <c r="B288">
        <v>0.4</v>
      </c>
      <c r="C288">
        <v>-0.25</v>
      </c>
      <c r="D288" s="55">
        <f t="shared" si="4"/>
        <v>-0.65</v>
      </c>
    </row>
    <row r="289" spans="1:4" x14ac:dyDescent="0.3">
      <c r="A289" s="17">
        <v>37438</v>
      </c>
      <c r="B289">
        <v>0.45</v>
      </c>
      <c r="C289">
        <v>-0.2</v>
      </c>
      <c r="D289" s="55">
        <f t="shared" si="4"/>
        <v>-0.65</v>
      </c>
    </row>
    <row r="290" spans="1:4" x14ac:dyDescent="0.3">
      <c r="A290" s="17">
        <v>37408</v>
      </c>
      <c r="B290">
        <v>0.55000000000000004</v>
      </c>
      <c r="C290">
        <v>-0.35</v>
      </c>
      <c r="D290" s="55">
        <f t="shared" si="4"/>
        <v>-0.9</v>
      </c>
    </row>
    <row r="291" spans="1:4" x14ac:dyDescent="0.3">
      <c r="A291" s="17">
        <v>37377</v>
      </c>
      <c r="B291">
        <v>0.4</v>
      </c>
      <c r="C291">
        <v>-0.6</v>
      </c>
      <c r="D291" s="55">
        <f t="shared" si="4"/>
        <v>-1</v>
      </c>
    </row>
    <row r="292" spans="1:4" x14ac:dyDescent="0.3">
      <c r="A292" s="17">
        <v>37347</v>
      </c>
      <c r="B292">
        <v>0.3</v>
      </c>
      <c r="C292">
        <v>-0.5</v>
      </c>
      <c r="D292" s="55">
        <f t="shared" si="4"/>
        <v>-0.8</v>
      </c>
    </row>
    <row r="293" spans="1:4" x14ac:dyDescent="0.3">
      <c r="A293" s="17">
        <v>37316</v>
      </c>
      <c r="B293">
        <v>0.45</v>
      </c>
      <c r="C293">
        <v>-0.4</v>
      </c>
      <c r="D293" s="55">
        <f t="shared" si="4"/>
        <v>-0.85000000000000009</v>
      </c>
    </row>
    <row r="294" spans="1:4" x14ac:dyDescent="0.3">
      <c r="A294" s="17">
        <v>37288</v>
      </c>
      <c r="B294">
        <v>0.35</v>
      </c>
      <c r="C294">
        <v>-0.5</v>
      </c>
      <c r="D294" s="55">
        <f t="shared" si="4"/>
        <v>-0.85</v>
      </c>
    </row>
    <row r="295" spans="1:4" x14ac:dyDescent="0.3">
      <c r="A295" s="17">
        <v>37257</v>
      </c>
      <c r="B295">
        <v>0.25</v>
      </c>
      <c r="C295">
        <v>-0.5</v>
      </c>
      <c r="D295" s="55">
        <f t="shared" si="4"/>
        <v>-0.75</v>
      </c>
    </row>
    <row r="296" spans="1:4" x14ac:dyDescent="0.3">
      <c r="A296" s="17">
        <v>37226</v>
      </c>
      <c r="B296">
        <v>0.2</v>
      </c>
      <c r="C296">
        <v>-0.65</v>
      </c>
      <c r="D296" s="55">
        <f t="shared" si="4"/>
        <v>-0.85000000000000009</v>
      </c>
    </row>
    <row r="297" spans="1:4" x14ac:dyDescent="0.3">
      <c r="A297" s="17">
        <v>37196</v>
      </c>
      <c r="B297">
        <v>0.2</v>
      </c>
      <c r="C297">
        <v>-0.55000000000000004</v>
      </c>
      <c r="D297" s="55">
        <f t="shared" si="4"/>
        <v>-0.75</v>
      </c>
    </row>
    <row r="298" spans="1:4" x14ac:dyDescent="0.3">
      <c r="A298" s="17">
        <v>37165</v>
      </c>
      <c r="B298">
        <v>0.2</v>
      </c>
      <c r="C298">
        <v>-0.8</v>
      </c>
      <c r="D298" s="55">
        <f t="shared" si="4"/>
        <v>-1</v>
      </c>
    </row>
    <row r="299" spans="1:4" x14ac:dyDescent="0.3">
      <c r="A299" s="17">
        <v>37135</v>
      </c>
      <c r="B299">
        <v>0.3</v>
      </c>
      <c r="C299">
        <v>-0.8</v>
      </c>
      <c r="D299" s="55">
        <f t="shared" si="4"/>
        <v>-1.1000000000000001</v>
      </c>
    </row>
    <row r="300" spans="1:4" x14ac:dyDescent="0.3">
      <c r="A300" s="17">
        <v>37104</v>
      </c>
      <c r="B300">
        <v>0.5</v>
      </c>
      <c r="C300">
        <v>-1.1000000000000001</v>
      </c>
      <c r="D300" s="55">
        <f t="shared" si="4"/>
        <v>-1.6</v>
      </c>
    </row>
    <row r="301" spans="1:4" x14ac:dyDescent="0.3">
      <c r="A301" s="17">
        <v>37073</v>
      </c>
      <c r="B301">
        <v>0.5</v>
      </c>
      <c r="C301">
        <v>-0.8</v>
      </c>
      <c r="D301" s="55">
        <f t="shared" si="4"/>
        <v>-1.3</v>
      </c>
    </row>
    <row r="302" spans="1:4" x14ac:dyDescent="0.3">
      <c r="A302" s="17">
        <v>37043</v>
      </c>
      <c r="B302">
        <v>0.3</v>
      </c>
      <c r="C302">
        <v>-0.9</v>
      </c>
      <c r="D302" s="55">
        <f t="shared" si="4"/>
        <v>-1.2</v>
      </c>
    </row>
    <row r="303" spans="1:4" x14ac:dyDescent="0.3">
      <c r="A303" s="17">
        <v>37012</v>
      </c>
      <c r="B303">
        <v>0.3</v>
      </c>
      <c r="C303">
        <v>-0.75</v>
      </c>
      <c r="D303" s="55">
        <f t="shared" si="4"/>
        <v>-1.05</v>
      </c>
    </row>
    <row r="304" spans="1:4" x14ac:dyDescent="0.3">
      <c r="A304" s="17">
        <v>36982</v>
      </c>
      <c r="B304">
        <v>0.3</v>
      </c>
      <c r="C304">
        <v>-0.9</v>
      </c>
      <c r="D304" s="55">
        <f t="shared" si="4"/>
        <v>-1.2</v>
      </c>
    </row>
    <row r="305" spans="1:4" x14ac:dyDescent="0.3">
      <c r="A305" s="17">
        <v>36951</v>
      </c>
      <c r="B305">
        <v>0.45</v>
      </c>
      <c r="C305">
        <v>-1.05</v>
      </c>
      <c r="D305" s="55">
        <f t="shared" si="4"/>
        <v>-1.5</v>
      </c>
    </row>
    <row r="306" spans="1:4" x14ac:dyDescent="0.3">
      <c r="A306" s="17">
        <v>36923</v>
      </c>
      <c r="B306">
        <v>-0.25</v>
      </c>
      <c r="C306">
        <v>-1.75</v>
      </c>
      <c r="D306" s="55">
        <f t="shared" si="4"/>
        <v>-1.5</v>
      </c>
    </row>
    <row r="307" spans="1:4" x14ac:dyDescent="0.3">
      <c r="A307" s="17">
        <v>36892</v>
      </c>
      <c r="B307">
        <v>0.1</v>
      </c>
      <c r="C307">
        <v>-1.75</v>
      </c>
      <c r="D307" s="55">
        <f t="shared" si="4"/>
        <v>-1.85</v>
      </c>
    </row>
    <row r="308" spans="1:4" x14ac:dyDescent="0.3">
      <c r="A308" s="17">
        <v>36861</v>
      </c>
      <c r="B308">
        <v>0.2</v>
      </c>
      <c r="C308">
        <v>-1.55</v>
      </c>
      <c r="D308" s="55">
        <f t="shared" si="4"/>
        <v>-1.75</v>
      </c>
    </row>
    <row r="309" spans="1:4" x14ac:dyDescent="0.3">
      <c r="A309" s="17">
        <v>36831</v>
      </c>
      <c r="B309">
        <v>0.1</v>
      </c>
      <c r="C309">
        <v>-2</v>
      </c>
      <c r="D309" s="55">
        <f t="shared" si="4"/>
        <v>-2.1</v>
      </c>
    </row>
    <row r="310" spans="1:4" x14ac:dyDescent="0.3">
      <c r="A310" s="17">
        <v>36800</v>
      </c>
      <c r="B310">
        <v>0.3</v>
      </c>
      <c r="C310">
        <v>-2.2999999999999998</v>
      </c>
      <c r="D310" s="55">
        <f t="shared" si="4"/>
        <v>-2.5999999999999996</v>
      </c>
    </row>
    <row r="311" spans="1:4" x14ac:dyDescent="0.3">
      <c r="A311" s="17">
        <v>36770</v>
      </c>
      <c r="B311">
        <v>0.1</v>
      </c>
      <c r="C311">
        <v>-1.5</v>
      </c>
      <c r="D311" s="55">
        <f t="shared" si="4"/>
        <v>-1.6</v>
      </c>
    </row>
    <row r="312" spans="1:4" x14ac:dyDescent="0.3">
      <c r="A312" s="17">
        <v>36739</v>
      </c>
      <c r="B312">
        <v>0.6</v>
      </c>
      <c r="C312">
        <v>-0.6</v>
      </c>
      <c r="D312" s="55">
        <f t="shared" si="4"/>
        <v>-1.2</v>
      </c>
    </row>
    <row r="313" spans="1:4" x14ac:dyDescent="0.3">
      <c r="A313" s="17">
        <v>36708</v>
      </c>
      <c r="B313">
        <v>0.6</v>
      </c>
      <c r="C313">
        <v>-0.4</v>
      </c>
      <c r="D313" s="55">
        <f t="shared" si="4"/>
        <v>-1</v>
      </c>
    </row>
    <row r="314" spans="1:4" x14ac:dyDescent="0.3">
      <c r="A314" s="17">
        <v>36678</v>
      </c>
      <c r="B314">
        <v>0.6</v>
      </c>
      <c r="C314">
        <v>-0.4</v>
      </c>
      <c r="D314" s="55">
        <f t="shared" si="4"/>
        <v>-1</v>
      </c>
    </row>
    <row r="315" spans="1:4" x14ac:dyDescent="0.3">
      <c r="A315" s="17">
        <v>36647</v>
      </c>
      <c r="B315">
        <v>0.5</v>
      </c>
      <c r="C315">
        <v>-0.45</v>
      </c>
      <c r="D315" s="55">
        <f t="shared" si="4"/>
        <v>-0.95</v>
      </c>
    </row>
    <row r="316" spans="1:4" x14ac:dyDescent="0.3">
      <c r="A316" s="17">
        <v>36617</v>
      </c>
      <c r="B316">
        <v>0.75</v>
      </c>
      <c r="C316">
        <v>-0.75</v>
      </c>
      <c r="D316" s="55">
        <f t="shared" si="4"/>
        <v>-1.5</v>
      </c>
    </row>
    <row r="317" spans="1:4" x14ac:dyDescent="0.3">
      <c r="A317" s="17">
        <v>36586</v>
      </c>
      <c r="B317">
        <v>0.75</v>
      </c>
      <c r="C317">
        <v>-1.1000000000000001</v>
      </c>
      <c r="D317" s="55">
        <f t="shared" si="4"/>
        <v>-1.85</v>
      </c>
    </row>
    <row r="318" spans="1:4" x14ac:dyDescent="0.3">
      <c r="A318" s="17">
        <v>36557</v>
      </c>
      <c r="B318">
        <v>0.75</v>
      </c>
      <c r="C318">
        <v>-0.6</v>
      </c>
      <c r="D318" s="55">
        <f t="shared" si="4"/>
        <v>-1.35</v>
      </c>
    </row>
    <row r="319" spans="1:4" x14ac:dyDescent="0.3">
      <c r="A319" s="17">
        <v>36526</v>
      </c>
      <c r="B319">
        <v>1</v>
      </c>
      <c r="C319">
        <v>-0.3</v>
      </c>
      <c r="D319" s="55">
        <f t="shared" si="4"/>
        <v>-1.3</v>
      </c>
    </row>
    <row r="320" spans="1:4" x14ac:dyDescent="0.3">
      <c r="A320" s="17">
        <v>36495</v>
      </c>
      <c r="B320">
        <v>0.5</v>
      </c>
      <c r="C320">
        <v>-0.35</v>
      </c>
      <c r="D320" s="55">
        <f t="shared" si="4"/>
        <v>-0.85</v>
      </c>
    </row>
    <row r="321" spans="1:4" x14ac:dyDescent="0.3">
      <c r="A321" s="17">
        <v>36465</v>
      </c>
      <c r="B321">
        <v>0.7</v>
      </c>
      <c r="C321">
        <v>-0.45</v>
      </c>
      <c r="D321" s="55">
        <f t="shared" si="4"/>
        <v>-1.1499999999999999</v>
      </c>
    </row>
    <row r="322" spans="1:4" x14ac:dyDescent="0.3">
      <c r="A322" s="17">
        <v>36434</v>
      </c>
      <c r="B322">
        <v>0.25</v>
      </c>
      <c r="C322">
        <v>-0.8</v>
      </c>
      <c r="D322" s="55">
        <f t="shared" si="4"/>
        <v>-1.05</v>
      </c>
    </row>
    <row r="323" spans="1:4" x14ac:dyDescent="0.3">
      <c r="A323" s="17">
        <v>36404</v>
      </c>
      <c r="B323">
        <v>0</v>
      </c>
      <c r="C323">
        <v>-1.1499999999999999</v>
      </c>
      <c r="D323" s="55">
        <f t="shared" si="4"/>
        <v>-1.1499999999999999</v>
      </c>
    </row>
    <row r="324" spans="1:4" x14ac:dyDescent="0.3">
      <c r="A324" s="17">
        <v>36373</v>
      </c>
      <c r="B324">
        <v>-0.1</v>
      </c>
      <c r="C324">
        <v>-1.1499999999999999</v>
      </c>
      <c r="D324" s="55">
        <f t="shared" si="4"/>
        <v>-1.0499999999999998</v>
      </c>
    </row>
    <row r="325" spans="1:4" x14ac:dyDescent="0.3">
      <c r="A325" s="17">
        <v>36342</v>
      </c>
      <c r="B325">
        <v>0</v>
      </c>
      <c r="C325">
        <v>-0.9</v>
      </c>
      <c r="D325" s="55">
        <f t="shared" si="4"/>
        <v>-0.9</v>
      </c>
    </row>
    <row r="326" spans="1:4" x14ac:dyDescent="0.3">
      <c r="A326" s="17">
        <v>36312</v>
      </c>
      <c r="B326">
        <v>0.15</v>
      </c>
      <c r="C326">
        <v>-0.85</v>
      </c>
      <c r="D326" s="55">
        <f t="shared" ref="D326:D389" si="5">+C326-B326</f>
        <v>-1</v>
      </c>
    </row>
    <row r="327" spans="1:4" x14ac:dyDescent="0.3">
      <c r="A327" s="17">
        <v>36281</v>
      </c>
      <c r="B327">
        <v>0.05</v>
      </c>
      <c r="C327">
        <v>-1.1499999999999999</v>
      </c>
      <c r="D327" s="55">
        <f t="shared" si="5"/>
        <v>-1.2</v>
      </c>
    </row>
    <row r="328" spans="1:4" x14ac:dyDescent="0.3">
      <c r="A328" s="17">
        <v>36251</v>
      </c>
      <c r="B328">
        <v>-0.15</v>
      </c>
      <c r="C328">
        <v>-0.95</v>
      </c>
      <c r="D328" s="55">
        <f t="shared" si="5"/>
        <v>-0.79999999999999993</v>
      </c>
    </row>
    <row r="329" spans="1:4" x14ac:dyDescent="0.3">
      <c r="A329" s="17">
        <v>36220</v>
      </c>
      <c r="B329">
        <v>0.05</v>
      </c>
      <c r="C329">
        <v>-0.8</v>
      </c>
      <c r="D329" s="55">
        <f t="shared" si="5"/>
        <v>-0.85000000000000009</v>
      </c>
    </row>
    <row r="330" spans="1:4" x14ac:dyDescent="0.3">
      <c r="A330" s="17">
        <v>36192</v>
      </c>
      <c r="B330">
        <v>-0.15</v>
      </c>
      <c r="C330">
        <v>-1.05</v>
      </c>
      <c r="D330" s="55">
        <f t="shared" si="5"/>
        <v>-0.9</v>
      </c>
    </row>
    <row r="331" spans="1:4" x14ac:dyDescent="0.3">
      <c r="A331" s="17">
        <v>36161</v>
      </c>
      <c r="B331">
        <v>-0.05</v>
      </c>
      <c r="C331">
        <v>-0.8</v>
      </c>
      <c r="D331" s="55">
        <f t="shared" si="5"/>
        <v>-0.75</v>
      </c>
    </row>
    <row r="332" spans="1:4" x14ac:dyDescent="0.3">
      <c r="A332" s="17">
        <v>36130</v>
      </c>
      <c r="B332">
        <v>0.2</v>
      </c>
      <c r="C332">
        <v>-0.65</v>
      </c>
      <c r="D332" s="55">
        <f t="shared" si="5"/>
        <v>-0.85000000000000009</v>
      </c>
    </row>
    <row r="333" spans="1:4" x14ac:dyDescent="0.3">
      <c r="A333" s="17">
        <v>36100</v>
      </c>
      <c r="B333">
        <v>0.3</v>
      </c>
      <c r="C333">
        <v>-0.6</v>
      </c>
      <c r="D333" s="55">
        <f t="shared" si="5"/>
        <v>-0.89999999999999991</v>
      </c>
    </row>
    <row r="334" spans="1:4" x14ac:dyDescent="0.3">
      <c r="A334" s="17">
        <v>36069</v>
      </c>
      <c r="B334">
        <v>0.3</v>
      </c>
      <c r="C334">
        <v>-0.7</v>
      </c>
      <c r="D334" s="55">
        <f t="shared" si="5"/>
        <v>-1</v>
      </c>
    </row>
    <row r="335" spans="1:4" x14ac:dyDescent="0.3">
      <c r="A335" s="17">
        <v>36039</v>
      </c>
      <c r="B335">
        <v>0.3</v>
      </c>
      <c r="C335">
        <v>-0.9</v>
      </c>
      <c r="D335" s="55">
        <f t="shared" si="5"/>
        <v>-1.2</v>
      </c>
    </row>
    <row r="336" spans="1:4" x14ac:dyDescent="0.3">
      <c r="A336" s="17">
        <v>36008</v>
      </c>
      <c r="B336">
        <v>-0.2</v>
      </c>
      <c r="C336">
        <v>-1.4</v>
      </c>
      <c r="D336" s="55">
        <f t="shared" si="5"/>
        <v>-1.2</v>
      </c>
    </row>
    <row r="337" spans="1:4" x14ac:dyDescent="0.3">
      <c r="A337" s="17">
        <v>35977</v>
      </c>
      <c r="B337">
        <v>0</v>
      </c>
      <c r="C337">
        <v>-1.4</v>
      </c>
      <c r="D337" s="55">
        <f t="shared" si="5"/>
        <v>-1.4</v>
      </c>
    </row>
    <row r="338" spans="1:4" x14ac:dyDescent="0.3">
      <c r="A338" s="17">
        <v>35947</v>
      </c>
      <c r="B338">
        <v>0</v>
      </c>
      <c r="C338">
        <v>-1.4</v>
      </c>
      <c r="D338" s="55">
        <f t="shared" si="5"/>
        <v>-1.4</v>
      </c>
    </row>
    <row r="339" spans="1:4" x14ac:dyDescent="0.3">
      <c r="A339" s="17">
        <v>35916</v>
      </c>
      <c r="B339">
        <v>-0.15</v>
      </c>
      <c r="C339">
        <v>-1.65</v>
      </c>
      <c r="D339" s="55">
        <f t="shared" si="5"/>
        <v>-1.5</v>
      </c>
    </row>
    <row r="340" spans="1:4" x14ac:dyDescent="0.3">
      <c r="A340" s="17">
        <v>35886</v>
      </c>
      <c r="B340">
        <v>-0.3</v>
      </c>
      <c r="C340">
        <v>-2</v>
      </c>
      <c r="D340" s="55">
        <f t="shared" si="5"/>
        <v>-1.7</v>
      </c>
    </row>
    <row r="341" spans="1:4" x14ac:dyDescent="0.3">
      <c r="A341" s="17">
        <v>35855</v>
      </c>
      <c r="B341">
        <v>-0.15</v>
      </c>
      <c r="C341">
        <v>-1.9</v>
      </c>
      <c r="D341" s="55">
        <f t="shared" si="5"/>
        <v>-1.75</v>
      </c>
    </row>
    <row r="342" spans="1:4" x14ac:dyDescent="0.3">
      <c r="A342" s="17">
        <v>35827</v>
      </c>
      <c r="B342">
        <v>0</v>
      </c>
      <c r="C342">
        <v>-1.7</v>
      </c>
      <c r="D342" s="55">
        <f t="shared" si="5"/>
        <v>-1.7</v>
      </c>
    </row>
    <row r="343" spans="1:4" x14ac:dyDescent="0.3">
      <c r="A343" s="17">
        <v>35796</v>
      </c>
      <c r="B343">
        <v>0.1</v>
      </c>
      <c r="C343">
        <v>-1.4</v>
      </c>
      <c r="D343" s="55">
        <f t="shared" si="5"/>
        <v>-1.5</v>
      </c>
    </row>
    <row r="344" spans="1:4" x14ac:dyDescent="0.3">
      <c r="A344" s="17">
        <v>35765</v>
      </c>
      <c r="B344">
        <v>0.2</v>
      </c>
      <c r="C344">
        <v>-1.3</v>
      </c>
      <c r="D344" s="55">
        <f t="shared" si="5"/>
        <v>-1.5</v>
      </c>
    </row>
    <row r="345" spans="1:4" x14ac:dyDescent="0.3">
      <c r="A345" s="17">
        <v>35735</v>
      </c>
      <c r="B345">
        <v>0.2</v>
      </c>
      <c r="C345">
        <v>-0.9</v>
      </c>
      <c r="D345" s="55">
        <f t="shared" si="5"/>
        <v>-1.1000000000000001</v>
      </c>
    </row>
    <row r="346" spans="1:4" x14ac:dyDescent="0.3">
      <c r="A346" s="17">
        <v>35704</v>
      </c>
      <c r="B346">
        <v>0.2</v>
      </c>
      <c r="C346">
        <v>-0.9</v>
      </c>
      <c r="D346" s="55">
        <f t="shared" si="5"/>
        <v>-1.1000000000000001</v>
      </c>
    </row>
    <row r="347" spans="1:4" x14ac:dyDescent="0.3">
      <c r="A347" s="17">
        <v>35674</v>
      </c>
      <c r="B347">
        <v>0.1</v>
      </c>
      <c r="C347">
        <v>-1</v>
      </c>
      <c r="D347" s="55">
        <f t="shared" si="5"/>
        <v>-1.1000000000000001</v>
      </c>
    </row>
    <row r="348" spans="1:4" x14ac:dyDescent="0.3">
      <c r="A348" s="17">
        <v>35643</v>
      </c>
      <c r="B348">
        <v>0</v>
      </c>
      <c r="C348">
        <v>-1.2</v>
      </c>
      <c r="D348" s="55">
        <f t="shared" si="5"/>
        <v>-1.2</v>
      </c>
    </row>
    <row r="349" spans="1:4" x14ac:dyDescent="0.3">
      <c r="A349" s="17">
        <v>35612</v>
      </c>
      <c r="B349">
        <v>0.4</v>
      </c>
      <c r="C349">
        <v>-1.2</v>
      </c>
      <c r="D349" s="55">
        <f t="shared" si="5"/>
        <v>-1.6</v>
      </c>
    </row>
    <row r="350" spans="1:4" x14ac:dyDescent="0.3">
      <c r="A350" s="17">
        <v>35582</v>
      </c>
      <c r="B350">
        <v>0.4</v>
      </c>
      <c r="C350">
        <v>-1.35</v>
      </c>
      <c r="D350" s="55">
        <f t="shared" si="5"/>
        <v>-1.75</v>
      </c>
    </row>
    <row r="351" spans="1:4" x14ac:dyDescent="0.3">
      <c r="A351" s="17">
        <v>35551</v>
      </c>
      <c r="B351">
        <v>0.5</v>
      </c>
      <c r="C351">
        <v>-1.35</v>
      </c>
      <c r="D351" s="55">
        <f t="shared" si="5"/>
        <v>-1.85</v>
      </c>
    </row>
    <row r="352" spans="1:4" x14ac:dyDescent="0.3">
      <c r="A352" s="17">
        <v>35521</v>
      </c>
      <c r="B352">
        <v>0.6</v>
      </c>
      <c r="C352">
        <v>-1.25</v>
      </c>
      <c r="D352" s="55">
        <f t="shared" si="5"/>
        <v>-1.85</v>
      </c>
    </row>
    <row r="353" spans="1:4" x14ac:dyDescent="0.3">
      <c r="A353" s="17">
        <v>35490</v>
      </c>
      <c r="B353">
        <v>0.6</v>
      </c>
      <c r="C353">
        <v>-1.25</v>
      </c>
      <c r="D353" s="55">
        <f t="shared" si="5"/>
        <v>-1.85</v>
      </c>
    </row>
    <row r="354" spans="1:4" x14ac:dyDescent="0.3">
      <c r="A354" s="17">
        <v>35462</v>
      </c>
      <c r="B354">
        <v>0.75</v>
      </c>
      <c r="C354">
        <v>-1.1499999999999999</v>
      </c>
      <c r="D354" s="55">
        <f t="shared" si="5"/>
        <v>-1.9</v>
      </c>
    </row>
    <row r="355" spans="1:4" x14ac:dyDescent="0.3">
      <c r="A355" s="17">
        <v>35431</v>
      </c>
      <c r="B355">
        <v>0.75</v>
      </c>
      <c r="C355">
        <v>-1.1499999999999999</v>
      </c>
      <c r="D355" s="55">
        <f t="shared" si="5"/>
        <v>-1.9</v>
      </c>
    </row>
    <row r="356" spans="1:4" x14ac:dyDescent="0.3">
      <c r="A356" s="17">
        <v>35400</v>
      </c>
      <c r="B356">
        <v>0.75</v>
      </c>
      <c r="C356">
        <v>-1.1499999999999999</v>
      </c>
      <c r="D356" s="55">
        <f t="shared" si="5"/>
        <v>-1.9</v>
      </c>
    </row>
    <row r="357" spans="1:4" x14ac:dyDescent="0.3">
      <c r="A357" s="17">
        <v>35370</v>
      </c>
      <c r="B357">
        <v>0.6</v>
      </c>
      <c r="C357">
        <v>-1.05</v>
      </c>
      <c r="D357" s="55">
        <f t="shared" si="5"/>
        <v>-1.65</v>
      </c>
    </row>
    <row r="358" spans="1:4" x14ac:dyDescent="0.3">
      <c r="A358" s="17">
        <v>35339</v>
      </c>
      <c r="B358">
        <v>0.55000000000000004</v>
      </c>
      <c r="C358">
        <v>-1.1000000000000001</v>
      </c>
      <c r="D358" s="55">
        <f t="shared" si="5"/>
        <v>-1.6500000000000001</v>
      </c>
    </row>
    <row r="359" spans="1:4" x14ac:dyDescent="0.3">
      <c r="A359" s="17">
        <v>35309</v>
      </c>
      <c r="B359">
        <v>0.55000000000000004</v>
      </c>
      <c r="C359">
        <v>-1.2</v>
      </c>
      <c r="D359" s="55">
        <f t="shared" si="5"/>
        <v>-1.75</v>
      </c>
    </row>
    <row r="360" spans="1:4" x14ac:dyDescent="0.3">
      <c r="A360" s="17">
        <v>35278</v>
      </c>
      <c r="B360">
        <v>0.55000000000000004</v>
      </c>
      <c r="C360">
        <v>-1</v>
      </c>
      <c r="D360" s="55">
        <f t="shared" si="5"/>
        <v>-1.55</v>
      </c>
    </row>
    <row r="361" spans="1:4" x14ac:dyDescent="0.3">
      <c r="A361" s="17">
        <v>35247</v>
      </c>
      <c r="B361">
        <v>0.55000000000000004</v>
      </c>
      <c r="C361">
        <v>-1.25</v>
      </c>
      <c r="D361" s="55">
        <f t="shared" si="5"/>
        <v>-1.8</v>
      </c>
    </row>
    <row r="362" spans="1:4" x14ac:dyDescent="0.3">
      <c r="A362" s="17">
        <v>35217</v>
      </c>
      <c r="B362">
        <v>0.55000000000000004</v>
      </c>
      <c r="C362">
        <v>-0.75</v>
      </c>
      <c r="D362" s="55">
        <f t="shared" si="5"/>
        <v>-1.3</v>
      </c>
    </row>
    <row r="363" spans="1:4" x14ac:dyDescent="0.3">
      <c r="A363" s="17">
        <v>35186</v>
      </c>
      <c r="B363">
        <v>0.55000000000000004</v>
      </c>
      <c r="C363">
        <v>-0.75</v>
      </c>
      <c r="D363" s="55">
        <f t="shared" si="5"/>
        <v>-1.3</v>
      </c>
    </row>
    <row r="364" spans="1:4" x14ac:dyDescent="0.3">
      <c r="A364" s="17">
        <v>35156</v>
      </c>
      <c r="B364">
        <v>0.55000000000000004</v>
      </c>
      <c r="C364">
        <v>-0.75</v>
      </c>
      <c r="D364" s="55">
        <f t="shared" si="5"/>
        <v>-1.3</v>
      </c>
    </row>
    <row r="365" spans="1:4" x14ac:dyDescent="0.3">
      <c r="A365" s="17">
        <v>35125</v>
      </c>
      <c r="B365">
        <v>0.55000000000000004</v>
      </c>
      <c r="C365">
        <v>-0.6</v>
      </c>
      <c r="D365" s="55">
        <f t="shared" si="5"/>
        <v>-1.1499999999999999</v>
      </c>
    </row>
    <row r="366" spans="1:4" x14ac:dyDescent="0.3">
      <c r="A366" s="17">
        <v>35096</v>
      </c>
      <c r="B366">
        <v>0.6</v>
      </c>
      <c r="C366">
        <v>-0.55000000000000004</v>
      </c>
      <c r="D366" s="55">
        <f t="shared" si="5"/>
        <v>-1.1499999999999999</v>
      </c>
    </row>
    <row r="367" spans="1:4" x14ac:dyDescent="0.3">
      <c r="A367" s="17">
        <v>35065</v>
      </c>
      <c r="B367">
        <v>0.6</v>
      </c>
      <c r="C367">
        <v>-0.55000000000000004</v>
      </c>
      <c r="D367" s="55">
        <f t="shared" si="5"/>
        <v>-1.1499999999999999</v>
      </c>
    </row>
    <row r="368" spans="1:4" x14ac:dyDescent="0.3">
      <c r="A368" s="17">
        <v>35034</v>
      </c>
      <c r="B368">
        <v>0.6</v>
      </c>
      <c r="C368">
        <v>-0.4</v>
      </c>
      <c r="D368" s="55">
        <f t="shared" si="5"/>
        <v>-1</v>
      </c>
    </row>
    <row r="369" spans="1:4" x14ac:dyDescent="0.3">
      <c r="A369" s="17">
        <v>35004</v>
      </c>
      <c r="B369">
        <v>0.5</v>
      </c>
      <c r="C369">
        <v>-0.7</v>
      </c>
      <c r="D369" s="55">
        <f t="shared" si="5"/>
        <v>-1.2</v>
      </c>
    </row>
    <row r="370" spans="1:4" x14ac:dyDescent="0.3">
      <c r="A370" s="17">
        <v>34973</v>
      </c>
      <c r="B370">
        <v>0.5</v>
      </c>
      <c r="C370">
        <v>-0.7</v>
      </c>
      <c r="D370" s="55">
        <f t="shared" si="5"/>
        <v>-1.2</v>
      </c>
    </row>
    <row r="371" spans="1:4" x14ac:dyDescent="0.3">
      <c r="A371" s="17">
        <v>34943</v>
      </c>
      <c r="B371">
        <v>0.5</v>
      </c>
      <c r="C371">
        <v>-0.65</v>
      </c>
      <c r="D371" s="55">
        <f t="shared" si="5"/>
        <v>-1.1499999999999999</v>
      </c>
    </row>
    <row r="372" spans="1:4" x14ac:dyDescent="0.3">
      <c r="A372" s="17">
        <v>34912</v>
      </c>
      <c r="B372">
        <v>0.5</v>
      </c>
      <c r="C372">
        <v>-0.55000000000000004</v>
      </c>
      <c r="D372" s="55">
        <f t="shared" si="5"/>
        <v>-1.05</v>
      </c>
    </row>
    <row r="373" spans="1:4" x14ac:dyDescent="0.3">
      <c r="A373" s="17">
        <v>34881</v>
      </c>
      <c r="B373">
        <v>0.5</v>
      </c>
      <c r="C373">
        <v>-0.55000000000000004</v>
      </c>
      <c r="D373" s="55">
        <f t="shared" si="5"/>
        <v>-1.05</v>
      </c>
    </row>
    <row r="374" spans="1:4" x14ac:dyDescent="0.3">
      <c r="A374" s="17">
        <v>34851</v>
      </c>
      <c r="B374">
        <v>0.5</v>
      </c>
      <c r="C374">
        <v>-0.55000000000000004</v>
      </c>
      <c r="D374" s="55">
        <f t="shared" si="5"/>
        <v>-1.05</v>
      </c>
    </row>
    <row r="375" spans="1:4" x14ac:dyDescent="0.3">
      <c r="A375" s="17">
        <v>34820</v>
      </c>
      <c r="B375">
        <v>0.4</v>
      </c>
      <c r="C375">
        <v>-0.45</v>
      </c>
      <c r="D375" s="55">
        <f t="shared" si="5"/>
        <v>-0.85000000000000009</v>
      </c>
    </row>
    <row r="376" spans="1:4" x14ac:dyDescent="0.3">
      <c r="A376" s="17">
        <v>34790</v>
      </c>
      <c r="B376">
        <v>0.5</v>
      </c>
      <c r="C376">
        <v>-0.45</v>
      </c>
      <c r="D376" s="55">
        <f t="shared" si="5"/>
        <v>-0.95</v>
      </c>
    </row>
    <row r="377" spans="1:4" x14ac:dyDescent="0.3">
      <c r="A377" s="17">
        <v>34759</v>
      </c>
      <c r="B377">
        <v>0.5</v>
      </c>
      <c r="C377">
        <v>-0.6</v>
      </c>
      <c r="D377" s="55">
        <f t="shared" si="5"/>
        <v>-1.1000000000000001</v>
      </c>
    </row>
    <row r="378" spans="1:4" x14ac:dyDescent="0.3">
      <c r="A378" s="17">
        <v>34731</v>
      </c>
      <c r="B378">
        <v>0.5</v>
      </c>
      <c r="C378">
        <v>-1.1000000000000001</v>
      </c>
      <c r="D378" s="55">
        <f t="shared" si="5"/>
        <v>-1.6</v>
      </c>
    </row>
    <row r="379" spans="1:4" x14ac:dyDescent="0.3">
      <c r="A379" s="17">
        <v>34700</v>
      </c>
      <c r="B379">
        <v>0.5</v>
      </c>
      <c r="C379">
        <v>-1</v>
      </c>
      <c r="D379" s="55">
        <f t="shared" si="5"/>
        <v>-1.5</v>
      </c>
    </row>
    <row r="380" spans="1:4" x14ac:dyDescent="0.3">
      <c r="A380" s="17">
        <v>34669</v>
      </c>
      <c r="B380">
        <v>0.5</v>
      </c>
      <c r="C380">
        <v>-1.1000000000000001</v>
      </c>
      <c r="D380" s="55">
        <f t="shared" si="5"/>
        <v>-1.6</v>
      </c>
    </row>
    <row r="381" spans="1:4" x14ac:dyDescent="0.3">
      <c r="A381" s="17">
        <v>34639</v>
      </c>
      <c r="B381">
        <v>0.5</v>
      </c>
      <c r="C381">
        <v>-1.2</v>
      </c>
      <c r="D381" s="55">
        <f t="shared" si="5"/>
        <v>-1.7</v>
      </c>
    </row>
    <row r="382" spans="1:4" x14ac:dyDescent="0.3">
      <c r="A382" s="17">
        <v>34608</v>
      </c>
      <c r="B382">
        <v>0.5</v>
      </c>
      <c r="C382">
        <v>-1.2</v>
      </c>
      <c r="D382" s="55">
        <f t="shared" si="5"/>
        <v>-1.7</v>
      </c>
    </row>
    <row r="383" spans="1:4" x14ac:dyDescent="0.3">
      <c r="A383" s="17">
        <v>34578</v>
      </c>
      <c r="B383">
        <v>0.4</v>
      </c>
      <c r="C383">
        <v>-0.5</v>
      </c>
      <c r="D383" s="55">
        <f t="shared" si="5"/>
        <v>-0.9</v>
      </c>
    </row>
    <row r="384" spans="1:4" x14ac:dyDescent="0.3">
      <c r="A384" s="17">
        <v>34547</v>
      </c>
      <c r="B384">
        <v>0.55000000000000004</v>
      </c>
      <c r="C384">
        <v>-0.85</v>
      </c>
      <c r="D384" s="55">
        <f t="shared" si="5"/>
        <v>-1.4</v>
      </c>
    </row>
    <row r="385" spans="1:4" x14ac:dyDescent="0.3">
      <c r="A385" s="17">
        <v>34516</v>
      </c>
      <c r="B385">
        <v>0.5</v>
      </c>
      <c r="C385">
        <v>-0.9</v>
      </c>
      <c r="D385" s="55">
        <f t="shared" si="5"/>
        <v>-1.4</v>
      </c>
    </row>
    <row r="386" spans="1:4" x14ac:dyDescent="0.3">
      <c r="A386" s="17">
        <v>34486</v>
      </c>
      <c r="B386">
        <v>0.65</v>
      </c>
      <c r="C386">
        <v>-1.1000000000000001</v>
      </c>
      <c r="D386" s="55">
        <f t="shared" si="5"/>
        <v>-1.75</v>
      </c>
    </row>
    <row r="387" spans="1:4" x14ac:dyDescent="0.3">
      <c r="A387" s="17">
        <v>34455</v>
      </c>
      <c r="B387">
        <v>0.4</v>
      </c>
      <c r="C387">
        <v>-1.6</v>
      </c>
      <c r="D387" s="55">
        <f t="shared" si="5"/>
        <v>-2</v>
      </c>
    </row>
    <row r="388" spans="1:4" x14ac:dyDescent="0.3">
      <c r="A388" s="17">
        <v>34425</v>
      </c>
      <c r="B388">
        <v>0.4</v>
      </c>
      <c r="C388">
        <v>-1.6</v>
      </c>
      <c r="D388" s="55">
        <f t="shared" si="5"/>
        <v>-2</v>
      </c>
    </row>
    <row r="389" spans="1:4" x14ac:dyDescent="0.3">
      <c r="A389" s="17">
        <v>34394</v>
      </c>
      <c r="B389">
        <v>0.45</v>
      </c>
      <c r="C389">
        <v>-1.5</v>
      </c>
      <c r="D389" s="55">
        <f t="shared" si="5"/>
        <v>-1.95</v>
      </c>
    </row>
    <row r="390" spans="1:4" x14ac:dyDescent="0.3">
      <c r="A390" s="17">
        <v>34366</v>
      </c>
      <c r="B390">
        <v>0.35</v>
      </c>
      <c r="C390">
        <v>-2.1</v>
      </c>
      <c r="D390" s="55">
        <f t="shared" ref="D390:D451" si="6">+C390-B390</f>
        <v>-2.4500000000000002</v>
      </c>
    </row>
    <row r="391" spans="1:4" x14ac:dyDescent="0.3">
      <c r="A391" s="17">
        <v>34335</v>
      </c>
      <c r="B391">
        <v>0.35</v>
      </c>
      <c r="C391">
        <v>-2.5</v>
      </c>
      <c r="D391" s="55">
        <f t="shared" si="6"/>
        <v>-2.85</v>
      </c>
    </row>
    <row r="392" spans="1:4" x14ac:dyDescent="0.3">
      <c r="A392" s="17">
        <v>34304</v>
      </c>
      <c r="B392">
        <v>0.3</v>
      </c>
      <c r="C392">
        <v>-2.25</v>
      </c>
      <c r="D392" s="55">
        <f t="shared" si="6"/>
        <v>-2.5499999999999998</v>
      </c>
    </row>
    <row r="393" spans="1:4" x14ac:dyDescent="0.3">
      <c r="A393" s="17">
        <v>34274</v>
      </c>
      <c r="B393">
        <v>0.3</v>
      </c>
      <c r="C393">
        <v>-2.15</v>
      </c>
      <c r="D393" s="55">
        <f t="shared" si="6"/>
        <v>-2.4499999999999997</v>
      </c>
    </row>
    <row r="394" spans="1:4" x14ac:dyDescent="0.3">
      <c r="A394" s="17">
        <v>34243</v>
      </c>
      <c r="B394">
        <v>0.2</v>
      </c>
      <c r="C394">
        <v>-2.25</v>
      </c>
      <c r="D394" s="55">
        <f t="shared" si="6"/>
        <v>-2.4500000000000002</v>
      </c>
    </row>
    <row r="395" spans="1:4" x14ac:dyDescent="0.3">
      <c r="A395" s="17">
        <v>34213</v>
      </c>
      <c r="B395">
        <v>0.2</v>
      </c>
      <c r="C395">
        <v>-2.4</v>
      </c>
      <c r="D395" s="55">
        <f t="shared" si="6"/>
        <v>-2.6</v>
      </c>
    </row>
    <row r="396" spans="1:4" x14ac:dyDescent="0.3">
      <c r="A396" s="17">
        <v>34182</v>
      </c>
      <c r="B396">
        <v>0.2</v>
      </c>
      <c r="C396">
        <v>-2.6</v>
      </c>
      <c r="D396" s="55">
        <f t="shared" si="6"/>
        <v>-2.8000000000000003</v>
      </c>
    </row>
    <row r="397" spans="1:4" x14ac:dyDescent="0.3">
      <c r="A397" s="17">
        <v>34151</v>
      </c>
      <c r="B397">
        <v>0.3</v>
      </c>
      <c r="C397">
        <v>-2.5</v>
      </c>
      <c r="D397" s="55">
        <f t="shared" si="6"/>
        <v>-2.8</v>
      </c>
    </row>
    <row r="398" spans="1:4" x14ac:dyDescent="0.3">
      <c r="A398" s="17">
        <v>34121</v>
      </c>
      <c r="B398">
        <v>0.3</v>
      </c>
      <c r="C398">
        <v>-2.5</v>
      </c>
      <c r="D398" s="55">
        <f t="shared" si="6"/>
        <v>-2.8</v>
      </c>
    </row>
    <row r="399" spans="1:4" x14ac:dyDescent="0.3">
      <c r="A399" s="17">
        <v>34090</v>
      </c>
      <c r="B399">
        <v>0.3</v>
      </c>
      <c r="C399">
        <v>-2.5</v>
      </c>
      <c r="D399" s="55">
        <f t="shared" si="6"/>
        <v>-2.8</v>
      </c>
    </row>
    <row r="400" spans="1:4" x14ac:dyDescent="0.3">
      <c r="A400" s="17">
        <v>34060</v>
      </c>
      <c r="B400">
        <v>0.3</v>
      </c>
      <c r="C400">
        <v>-2.5</v>
      </c>
      <c r="D400" s="55">
        <f t="shared" si="6"/>
        <v>-2.8</v>
      </c>
    </row>
    <row r="401" spans="1:4" x14ac:dyDescent="0.3">
      <c r="A401" s="17">
        <v>34029</v>
      </c>
      <c r="B401">
        <v>0.3</v>
      </c>
      <c r="C401">
        <v>-2.65</v>
      </c>
      <c r="D401" s="55">
        <f t="shared" si="6"/>
        <v>-2.9499999999999997</v>
      </c>
    </row>
    <row r="402" spans="1:4" x14ac:dyDescent="0.3">
      <c r="A402" s="17">
        <v>34001</v>
      </c>
      <c r="B402">
        <v>0.4</v>
      </c>
      <c r="C402">
        <v>-2.65</v>
      </c>
      <c r="D402" s="55">
        <f t="shared" si="6"/>
        <v>-3.05</v>
      </c>
    </row>
    <row r="403" spans="1:4" x14ac:dyDescent="0.3">
      <c r="A403" s="17">
        <v>33970</v>
      </c>
      <c r="B403">
        <v>0.4</v>
      </c>
      <c r="C403">
        <v>-2.2999999999999998</v>
      </c>
      <c r="D403" s="55">
        <f t="shared" si="6"/>
        <v>-2.6999999999999997</v>
      </c>
    </row>
    <row r="404" spans="1:4" x14ac:dyDescent="0.3">
      <c r="A404" s="17">
        <v>33939</v>
      </c>
      <c r="B404">
        <v>0.35</v>
      </c>
      <c r="C404">
        <v>-2.0499999999999998</v>
      </c>
      <c r="D404" s="55">
        <f t="shared" si="6"/>
        <v>-2.4</v>
      </c>
    </row>
    <row r="405" spans="1:4" x14ac:dyDescent="0.3">
      <c r="A405" s="17">
        <v>33909</v>
      </c>
      <c r="B405">
        <v>0.35</v>
      </c>
      <c r="C405">
        <v>-1.95</v>
      </c>
      <c r="D405" s="55">
        <f t="shared" si="6"/>
        <v>-2.2999999999999998</v>
      </c>
    </row>
    <row r="406" spans="1:4" x14ac:dyDescent="0.3">
      <c r="A406" s="17">
        <v>33878</v>
      </c>
      <c r="B406">
        <v>0.5</v>
      </c>
      <c r="C406">
        <v>-1.95</v>
      </c>
      <c r="D406" s="55">
        <f t="shared" si="6"/>
        <v>-2.4500000000000002</v>
      </c>
    </row>
    <row r="407" spans="1:4" x14ac:dyDescent="0.3">
      <c r="A407" s="17">
        <v>33848</v>
      </c>
      <c r="B407">
        <v>0.5</v>
      </c>
      <c r="C407">
        <v>-2.2000000000000002</v>
      </c>
      <c r="D407" s="55">
        <f t="shared" si="6"/>
        <v>-2.7</v>
      </c>
    </row>
    <row r="408" spans="1:4" x14ac:dyDescent="0.3">
      <c r="A408" s="17">
        <v>33817</v>
      </c>
      <c r="B408">
        <v>0.5</v>
      </c>
      <c r="C408">
        <v>-2.2000000000000002</v>
      </c>
      <c r="D408" s="55">
        <f t="shared" si="6"/>
        <v>-2.7</v>
      </c>
    </row>
    <row r="409" spans="1:4" x14ac:dyDescent="0.3">
      <c r="A409" s="17">
        <v>33786</v>
      </c>
      <c r="B409">
        <v>0.5</v>
      </c>
      <c r="C409">
        <v>-2.2000000000000002</v>
      </c>
      <c r="D409" s="55">
        <f t="shared" si="6"/>
        <v>-2.7</v>
      </c>
    </row>
    <row r="410" spans="1:4" x14ac:dyDescent="0.3">
      <c r="A410" s="17">
        <v>33756</v>
      </c>
      <c r="B410">
        <v>0.5</v>
      </c>
      <c r="C410">
        <v>-2.2000000000000002</v>
      </c>
      <c r="D410" s="55">
        <f t="shared" si="6"/>
        <v>-2.7</v>
      </c>
    </row>
    <row r="411" spans="1:4" x14ac:dyDescent="0.3">
      <c r="A411" s="17">
        <v>33725</v>
      </c>
      <c r="B411">
        <v>0.5</v>
      </c>
      <c r="C411">
        <v>-2.2000000000000002</v>
      </c>
      <c r="D411" s="55">
        <f t="shared" si="6"/>
        <v>-2.7</v>
      </c>
    </row>
    <row r="412" spans="1:4" x14ac:dyDescent="0.3">
      <c r="A412" s="17">
        <v>33695</v>
      </c>
      <c r="B412">
        <v>0.5</v>
      </c>
      <c r="C412">
        <v>-2.4</v>
      </c>
      <c r="D412" s="55">
        <f t="shared" si="6"/>
        <v>-2.9</v>
      </c>
    </row>
    <row r="413" spans="1:4" x14ac:dyDescent="0.3">
      <c r="A413" s="17">
        <v>33664</v>
      </c>
      <c r="B413">
        <v>0.5</v>
      </c>
      <c r="C413">
        <v>-2.7</v>
      </c>
      <c r="D413" s="55">
        <f t="shared" si="6"/>
        <v>-3.2</v>
      </c>
    </row>
    <row r="414" spans="1:4" x14ac:dyDescent="0.3">
      <c r="A414" s="17">
        <v>33635</v>
      </c>
      <c r="B414">
        <v>0.5</v>
      </c>
      <c r="C414">
        <v>-2.7</v>
      </c>
      <c r="D414" s="55">
        <f t="shared" si="6"/>
        <v>-3.2</v>
      </c>
    </row>
    <row r="415" spans="1:4" x14ac:dyDescent="0.3">
      <c r="A415" s="17">
        <v>33604</v>
      </c>
      <c r="B415">
        <v>0.5</v>
      </c>
      <c r="C415">
        <v>-2.7</v>
      </c>
      <c r="D415" s="55">
        <f t="shared" si="6"/>
        <v>-3.2</v>
      </c>
    </row>
    <row r="416" spans="1:4" x14ac:dyDescent="0.3">
      <c r="A416" s="17">
        <v>33573</v>
      </c>
      <c r="B416">
        <v>0.5</v>
      </c>
      <c r="C416">
        <v>-2.8</v>
      </c>
      <c r="D416" s="55">
        <f t="shared" si="6"/>
        <v>-3.3</v>
      </c>
    </row>
    <row r="417" spans="1:4" x14ac:dyDescent="0.3">
      <c r="A417" s="17">
        <v>33543</v>
      </c>
      <c r="B417">
        <v>0.5</v>
      </c>
      <c r="C417">
        <v>-2.8</v>
      </c>
      <c r="D417" s="55">
        <f t="shared" si="6"/>
        <v>-3.3</v>
      </c>
    </row>
    <row r="418" spans="1:4" x14ac:dyDescent="0.3">
      <c r="A418" s="17">
        <v>33512</v>
      </c>
      <c r="B418">
        <v>0.5</v>
      </c>
      <c r="C418">
        <v>-2.5</v>
      </c>
      <c r="D418" s="55">
        <f t="shared" si="6"/>
        <v>-3</v>
      </c>
    </row>
    <row r="419" spans="1:4" x14ac:dyDescent="0.3">
      <c r="A419" s="17">
        <v>33482</v>
      </c>
      <c r="B419">
        <v>0.35</v>
      </c>
      <c r="C419">
        <v>-2.4</v>
      </c>
      <c r="D419" s="55">
        <f t="shared" si="6"/>
        <v>-2.75</v>
      </c>
    </row>
    <row r="420" spans="1:4" x14ac:dyDescent="0.3">
      <c r="A420" s="17">
        <v>33451</v>
      </c>
      <c r="B420">
        <v>0.35</v>
      </c>
      <c r="C420">
        <v>-2.4</v>
      </c>
      <c r="D420" s="55">
        <f t="shared" si="6"/>
        <v>-2.75</v>
      </c>
    </row>
    <row r="421" spans="1:4" x14ac:dyDescent="0.3">
      <c r="A421" s="17">
        <v>33420</v>
      </c>
      <c r="B421">
        <v>0.35</v>
      </c>
      <c r="C421">
        <v>-2.4</v>
      </c>
      <c r="D421" s="55">
        <f t="shared" si="6"/>
        <v>-2.75</v>
      </c>
    </row>
    <row r="422" spans="1:4" x14ac:dyDescent="0.3">
      <c r="A422" s="17">
        <v>33390</v>
      </c>
      <c r="B422">
        <v>0.35</v>
      </c>
      <c r="C422">
        <v>-2.4</v>
      </c>
      <c r="D422" s="55">
        <f t="shared" si="6"/>
        <v>-2.75</v>
      </c>
    </row>
    <row r="423" spans="1:4" x14ac:dyDescent="0.3">
      <c r="A423" s="17">
        <v>33359</v>
      </c>
      <c r="B423">
        <v>0.25</v>
      </c>
      <c r="C423">
        <v>-2.75</v>
      </c>
      <c r="D423" s="55">
        <f t="shared" si="6"/>
        <v>-3</v>
      </c>
    </row>
    <row r="424" spans="1:4" x14ac:dyDescent="0.3">
      <c r="A424" s="17">
        <v>33329</v>
      </c>
      <c r="B424">
        <v>0.85</v>
      </c>
      <c r="C424">
        <v>-2.15</v>
      </c>
      <c r="D424" s="55">
        <f t="shared" si="6"/>
        <v>-3</v>
      </c>
    </row>
    <row r="425" spans="1:4" x14ac:dyDescent="0.3">
      <c r="A425" s="17">
        <v>33298</v>
      </c>
      <c r="B425">
        <v>0.85</v>
      </c>
      <c r="C425">
        <v>-2.15</v>
      </c>
      <c r="D425" s="55">
        <f t="shared" si="6"/>
        <v>-3</v>
      </c>
    </row>
    <row r="426" spans="1:4" x14ac:dyDescent="0.3">
      <c r="A426" s="17">
        <v>33270</v>
      </c>
      <c r="B426">
        <v>0.85</v>
      </c>
      <c r="C426">
        <v>-2.15</v>
      </c>
      <c r="D426" s="55">
        <f t="shared" si="6"/>
        <v>-3</v>
      </c>
    </row>
    <row r="427" spans="1:4" x14ac:dyDescent="0.3">
      <c r="A427" s="17">
        <v>33239</v>
      </c>
      <c r="B427">
        <v>1</v>
      </c>
      <c r="C427">
        <v>-3</v>
      </c>
      <c r="D427" s="55">
        <f t="shared" si="6"/>
        <v>-4</v>
      </c>
    </row>
    <row r="428" spans="1:4" x14ac:dyDescent="0.3">
      <c r="A428" s="17">
        <v>33208</v>
      </c>
      <c r="B428">
        <v>1</v>
      </c>
      <c r="C428">
        <v>-3</v>
      </c>
      <c r="D428" s="55">
        <f t="shared" si="6"/>
        <v>-4</v>
      </c>
    </row>
    <row r="429" spans="1:4" x14ac:dyDescent="0.3">
      <c r="A429" s="17">
        <v>33178</v>
      </c>
      <c r="B429">
        <v>1</v>
      </c>
      <c r="C429">
        <v>-3</v>
      </c>
      <c r="D429" s="55">
        <f t="shared" si="6"/>
        <v>-4</v>
      </c>
    </row>
    <row r="430" spans="1:4" x14ac:dyDescent="0.3">
      <c r="A430" s="17">
        <v>33147</v>
      </c>
      <c r="B430">
        <v>0.65</v>
      </c>
      <c r="C430">
        <v>-1.85</v>
      </c>
      <c r="D430" s="55">
        <f t="shared" si="6"/>
        <v>-2.5</v>
      </c>
    </row>
    <row r="431" spans="1:4" x14ac:dyDescent="0.3">
      <c r="A431" s="17">
        <v>33117</v>
      </c>
      <c r="B431">
        <v>0.35</v>
      </c>
      <c r="C431">
        <v>-1.45</v>
      </c>
      <c r="D431" s="55">
        <f t="shared" si="6"/>
        <v>-1.7999999999999998</v>
      </c>
    </row>
    <row r="432" spans="1:4" x14ac:dyDescent="0.3">
      <c r="A432" s="17">
        <v>33086</v>
      </c>
      <c r="B432">
        <v>0</v>
      </c>
      <c r="C432">
        <v>-1.8</v>
      </c>
      <c r="D432" s="55">
        <f t="shared" si="6"/>
        <v>-1.8</v>
      </c>
    </row>
    <row r="433" spans="1:4" x14ac:dyDescent="0.3">
      <c r="A433" s="17">
        <v>33055</v>
      </c>
      <c r="B433">
        <v>0</v>
      </c>
      <c r="C433">
        <v>-1.8</v>
      </c>
      <c r="D433" s="55">
        <f t="shared" si="6"/>
        <v>-1.8</v>
      </c>
    </row>
    <row r="434" spans="1:4" x14ac:dyDescent="0.3">
      <c r="A434" s="17">
        <v>33025</v>
      </c>
      <c r="B434">
        <v>0.25</v>
      </c>
      <c r="C434">
        <v>-1.2</v>
      </c>
      <c r="D434" s="55">
        <f t="shared" si="6"/>
        <v>-1.45</v>
      </c>
    </row>
    <row r="435" spans="1:4" x14ac:dyDescent="0.3">
      <c r="A435" s="17">
        <v>32994</v>
      </c>
      <c r="B435">
        <v>0.25</v>
      </c>
      <c r="C435">
        <v>-1.2</v>
      </c>
      <c r="D435" s="55">
        <f t="shared" si="6"/>
        <v>-1.45</v>
      </c>
    </row>
    <row r="436" spans="1:4" x14ac:dyDescent="0.3">
      <c r="A436" s="17">
        <v>32964</v>
      </c>
      <c r="B436">
        <v>0.25</v>
      </c>
      <c r="C436">
        <v>-1.2</v>
      </c>
      <c r="D436" s="55">
        <f t="shared" si="6"/>
        <v>-1.45</v>
      </c>
    </row>
    <row r="437" spans="1:4" x14ac:dyDescent="0.3">
      <c r="A437" s="17">
        <v>32933</v>
      </c>
      <c r="B437">
        <v>0.45</v>
      </c>
      <c r="C437">
        <v>-1</v>
      </c>
      <c r="D437" s="55">
        <f t="shared" si="6"/>
        <v>-1.45</v>
      </c>
    </row>
    <row r="438" spans="1:4" x14ac:dyDescent="0.3">
      <c r="A438" s="17">
        <v>32905</v>
      </c>
      <c r="B438">
        <v>0.35</v>
      </c>
      <c r="C438">
        <v>-0.9</v>
      </c>
      <c r="D438" s="55">
        <f t="shared" si="6"/>
        <v>-1.25</v>
      </c>
    </row>
    <row r="439" spans="1:4" x14ac:dyDescent="0.3">
      <c r="A439" s="17">
        <v>32874</v>
      </c>
      <c r="B439">
        <v>0.25</v>
      </c>
      <c r="C439">
        <v>-1</v>
      </c>
      <c r="D439" s="55">
        <f t="shared" si="6"/>
        <v>-1.25</v>
      </c>
    </row>
    <row r="440" spans="1:4" x14ac:dyDescent="0.3">
      <c r="A440" s="17">
        <v>32843</v>
      </c>
      <c r="B440">
        <v>0.25</v>
      </c>
      <c r="C440">
        <v>-1</v>
      </c>
      <c r="D440" s="55">
        <f t="shared" si="6"/>
        <v>-1.25</v>
      </c>
    </row>
    <row r="441" spans="1:4" x14ac:dyDescent="0.3">
      <c r="A441" s="17">
        <v>32813</v>
      </c>
      <c r="B441">
        <v>0.25</v>
      </c>
      <c r="C441">
        <v>-0.9</v>
      </c>
      <c r="D441" s="55">
        <f t="shared" si="6"/>
        <v>-1.1499999999999999</v>
      </c>
    </row>
    <row r="442" spans="1:4" x14ac:dyDescent="0.3">
      <c r="A442" s="17">
        <v>32782</v>
      </c>
      <c r="B442">
        <v>0.35</v>
      </c>
      <c r="C442">
        <v>-0.9</v>
      </c>
      <c r="D442" s="55">
        <f t="shared" si="6"/>
        <v>-1.25</v>
      </c>
    </row>
    <row r="443" spans="1:4" x14ac:dyDescent="0.3">
      <c r="A443" s="17">
        <v>32752</v>
      </c>
      <c r="B443">
        <v>0.35</v>
      </c>
      <c r="C443">
        <v>-0.9</v>
      </c>
      <c r="D443" s="55">
        <f t="shared" si="6"/>
        <v>-1.25</v>
      </c>
    </row>
    <row r="444" spans="1:4" x14ac:dyDescent="0.3">
      <c r="A444" s="17">
        <v>32721</v>
      </c>
      <c r="B444">
        <v>0.35</v>
      </c>
      <c r="C444">
        <v>-0.9</v>
      </c>
      <c r="D444" s="55">
        <f t="shared" si="6"/>
        <v>-1.25</v>
      </c>
    </row>
    <row r="445" spans="1:4" x14ac:dyDescent="0.3">
      <c r="A445" s="17">
        <v>32690</v>
      </c>
      <c r="B445">
        <v>0.35</v>
      </c>
      <c r="C445">
        <v>-0.9</v>
      </c>
      <c r="D445" s="55">
        <f t="shared" si="6"/>
        <v>-1.25</v>
      </c>
    </row>
    <row r="446" spans="1:4" x14ac:dyDescent="0.3">
      <c r="A446" s="17">
        <v>32660</v>
      </c>
      <c r="B446">
        <v>0.35</v>
      </c>
      <c r="C446">
        <v>-0.9</v>
      </c>
      <c r="D446" s="55">
        <f t="shared" si="6"/>
        <v>-1.25</v>
      </c>
    </row>
    <row r="447" spans="1:4" x14ac:dyDescent="0.3">
      <c r="A447" s="17">
        <v>32629</v>
      </c>
      <c r="B447">
        <v>0.35</v>
      </c>
      <c r="C447">
        <v>-0.9</v>
      </c>
      <c r="D447" s="55">
        <f t="shared" si="6"/>
        <v>-1.25</v>
      </c>
    </row>
    <row r="448" spans="1:4" x14ac:dyDescent="0.3">
      <c r="A448" s="17">
        <v>32599</v>
      </c>
      <c r="B448">
        <v>0.25</v>
      </c>
      <c r="C448">
        <v>-1</v>
      </c>
      <c r="D448" s="55">
        <f t="shared" si="6"/>
        <v>-1.25</v>
      </c>
    </row>
    <row r="449" spans="1:4" x14ac:dyDescent="0.3">
      <c r="A449" s="17">
        <v>32568</v>
      </c>
      <c r="B449">
        <v>0.15</v>
      </c>
      <c r="C449">
        <v>-1.1000000000000001</v>
      </c>
      <c r="D449" s="55">
        <f t="shared" si="6"/>
        <v>-1.25</v>
      </c>
    </row>
    <row r="450" spans="1:4" x14ac:dyDescent="0.3">
      <c r="A450" s="17">
        <v>32540</v>
      </c>
      <c r="B450">
        <v>0</v>
      </c>
      <c r="C450">
        <v>-1.25</v>
      </c>
      <c r="D450" s="55">
        <f t="shared" si="6"/>
        <v>-1.25</v>
      </c>
    </row>
    <row r="451" spans="1:4" x14ac:dyDescent="0.3">
      <c r="A451" s="17">
        <v>32509</v>
      </c>
      <c r="B451">
        <v>0</v>
      </c>
      <c r="C451">
        <v>-1.25</v>
      </c>
      <c r="D451" s="55">
        <f t="shared" si="6"/>
        <v>-1.25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B4A1-0A65-499A-B845-96B54F33CFAD}">
  <dimension ref="A1:F78"/>
  <sheetViews>
    <sheetView showGridLines="0" workbookViewId="0">
      <selection activeCell="D1" sqref="D1"/>
    </sheetView>
  </sheetViews>
  <sheetFormatPr defaultRowHeight="14.4" x14ac:dyDescent="0.3"/>
  <cols>
    <col min="1" max="1" width="9.33203125" bestFit="1" customWidth="1"/>
    <col min="2" max="2" width="18.6640625" bestFit="1" customWidth="1"/>
    <col min="3" max="3" width="12" bestFit="1" customWidth="1"/>
    <col min="4" max="4" width="16.109375" bestFit="1" customWidth="1"/>
  </cols>
  <sheetData>
    <row r="1" spans="1:6" x14ac:dyDescent="0.3">
      <c r="A1" t="s">
        <v>128</v>
      </c>
      <c r="B1" t="s">
        <v>208</v>
      </c>
      <c r="C1" t="s">
        <v>207</v>
      </c>
      <c r="D1" t="s">
        <v>209</v>
      </c>
      <c r="F1" s="81" t="s">
        <v>211</v>
      </c>
    </row>
    <row r="2" spans="1:6" x14ac:dyDescent="0.3">
      <c r="A2" s="17">
        <v>43770</v>
      </c>
      <c r="B2">
        <v>12570561.838183001</v>
      </c>
      <c r="C2">
        <v>852079.0669954</v>
      </c>
      <c r="D2">
        <f>+C2/B2</f>
        <v>6.77836900183105E-2</v>
      </c>
      <c r="F2" s="81"/>
    </row>
    <row r="3" spans="1:6" x14ac:dyDescent="0.3">
      <c r="A3" s="17">
        <v>43800</v>
      </c>
      <c r="B3">
        <v>13212775.1017072</v>
      </c>
      <c r="C3">
        <v>769467.58093244699</v>
      </c>
      <c r="D3">
        <f>+C3/B3</f>
        <v>5.8236636513477429E-2</v>
      </c>
      <c r="F3" s="81"/>
    </row>
    <row r="4" spans="1:6" x14ac:dyDescent="0.3">
      <c r="A4" s="17">
        <v>43831</v>
      </c>
      <c r="B4">
        <v>12350777.2949338</v>
      </c>
      <c r="C4">
        <v>682377.67767412495</v>
      </c>
      <c r="D4">
        <f>+C4/B4</f>
        <v>5.5249775894998236E-2</v>
      </c>
    </row>
    <row r="5" spans="1:6" x14ac:dyDescent="0.3">
      <c r="A5" s="17">
        <v>43862</v>
      </c>
      <c r="B5">
        <v>12302326.660082299</v>
      </c>
      <c r="C5">
        <v>653604.82784706401</v>
      </c>
      <c r="D5">
        <f t="shared" ref="D5:D68" si="0">+C5/B5</f>
        <v>5.312855412690623E-2</v>
      </c>
    </row>
    <row r="6" spans="1:6" x14ac:dyDescent="0.3">
      <c r="A6" s="17">
        <v>43891</v>
      </c>
      <c r="B6">
        <v>11709999.2624365</v>
      </c>
      <c r="C6">
        <v>394580.41950215801</v>
      </c>
      <c r="D6">
        <f t="shared" si="0"/>
        <v>3.3696024283101249E-2</v>
      </c>
    </row>
    <row r="7" spans="1:6" x14ac:dyDescent="0.3">
      <c r="A7" s="17">
        <v>43922</v>
      </c>
      <c r="B7">
        <v>14290140.938846501</v>
      </c>
      <c r="C7">
        <v>665097.80025659595</v>
      </c>
      <c r="D7">
        <f t="shared" si="0"/>
        <v>4.6542424116237067E-2</v>
      </c>
    </row>
    <row r="8" spans="1:6" x14ac:dyDescent="0.3">
      <c r="A8" s="17">
        <v>43952</v>
      </c>
      <c r="B8">
        <v>12122930.101300299</v>
      </c>
      <c r="C8">
        <v>377923.80659271299</v>
      </c>
      <c r="D8">
        <f t="shared" si="0"/>
        <v>3.1174295606321865E-2</v>
      </c>
    </row>
    <row r="9" spans="1:6" x14ac:dyDescent="0.3">
      <c r="A9" s="17">
        <v>43983</v>
      </c>
      <c r="B9">
        <v>10967643.470898001</v>
      </c>
      <c r="C9">
        <v>333539.96679534699</v>
      </c>
      <c r="D9">
        <f t="shared" si="0"/>
        <v>3.041126999435893E-2</v>
      </c>
    </row>
    <row r="10" spans="1:6" x14ac:dyDescent="0.3">
      <c r="A10" s="17">
        <v>44013</v>
      </c>
      <c r="B10">
        <v>10737145.165299101</v>
      </c>
      <c r="C10">
        <v>362485.03239339998</v>
      </c>
      <c r="D10">
        <f t="shared" si="0"/>
        <v>3.375990794693725E-2</v>
      </c>
    </row>
    <row r="11" spans="1:6" x14ac:dyDescent="0.3">
      <c r="A11" s="17">
        <v>44044</v>
      </c>
      <c r="B11">
        <v>10439689.745833199</v>
      </c>
      <c r="C11">
        <v>441372.93564866</v>
      </c>
      <c r="D11">
        <f t="shared" si="0"/>
        <v>4.2278357536901463E-2</v>
      </c>
    </row>
    <row r="12" spans="1:6" x14ac:dyDescent="0.3">
      <c r="A12" s="17">
        <v>44075</v>
      </c>
      <c r="B12">
        <v>11120605.2376236</v>
      </c>
      <c r="C12">
        <v>616202.40023773198</v>
      </c>
      <c r="D12">
        <f t="shared" si="0"/>
        <v>5.5410869019338588E-2</v>
      </c>
    </row>
    <row r="13" spans="1:6" x14ac:dyDescent="0.3">
      <c r="A13" s="17">
        <v>44105</v>
      </c>
      <c r="B13">
        <v>11257210.230009399</v>
      </c>
      <c r="C13">
        <v>572656.90343961201</v>
      </c>
      <c r="D13">
        <f t="shared" si="0"/>
        <v>5.0870232654359325E-2</v>
      </c>
    </row>
    <row r="14" spans="1:6" x14ac:dyDescent="0.3">
      <c r="A14" s="17">
        <v>44136</v>
      </c>
      <c r="B14">
        <v>11099508.9709488</v>
      </c>
      <c r="C14">
        <v>415740.300160393</v>
      </c>
      <c r="D14">
        <f t="shared" si="0"/>
        <v>3.7455738019449972E-2</v>
      </c>
    </row>
    <row r="15" spans="1:6" x14ac:dyDescent="0.3">
      <c r="A15" s="17">
        <v>44166</v>
      </c>
      <c r="B15">
        <v>11997078.198027501</v>
      </c>
      <c r="C15">
        <v>510598.48406160303</v>
      </c>
      <c r="D15">
        <f t="shared" si="0"/>
        <v>4.2560236387019057E-2</v>
      </c>
    </row>
    <row r="16" spans="1:6" x14ac:dyDescent="0.3">
      <c r="A16" s="17">
        <v>44197</v>
      </c>
      <c r="B16">
        <v>12579162.972438401</v>
      </c>
      <c r="C16">
        <v>659504.70992365002</v>
      </c>
      <c r="D16">
        <f t="shared" si="0"/>
        <v>5.2428346096529563E-2</v>
      </c>
    </row>
    <row r="17" spans="1:4" x14ac:dyDescent="0.3">
      <c r="A17" s="17">
        <v>44228</v>
      </c>
      <c r="B17">
        <v>11254536.9332236</v>
      </c>
      <c r="C17">
        <v>655235.46455656202</v>
      </c>
      <c r="D17">
        <f t="shared" si="0"/>
        <v>5.8219673403202839E-2</v>
      </c>
    </row>
    <row r="18" spans="1:4" x14ac:dyDescent="0.3">
      <c r="A18" s="17">
        <v>44256</v>
      </c>
      <c r="B18">
        <v>10972854.552483801</v>
      </c>
      <c r="C18">
        <v>861066.45193438802</v>
      </c>
      <c r="D18">
        <f t="shared" si="0"/>
        <v>7.8472420081379654E-2</v>
      </c>
    </row>
    <row r="19" spans="1:4" x14ac:dyDescent="0.3">
      <c r="A19" s="17">
        <v>44287</v>
      </c>
      <c r="B19">
        <v>11724208.604523201</v>
      </c>
      <c r="C19">
        <v>851277.30032842397</v>
      </c>
      <c r="D19">
        <f t="shared" si="0"/>
        <v>7.2608508518007875E-2</v>
      </c>
    </row>
    <row r="20" spans="1:4" x14ac:dyDescent="0.3">
      <c r="A20" s="17">
        <v>44317</v>
      </c>
      <c r="B20">
        <v>10927984.713757399</v>
      </c>
      <c r="C20">
        <v>951552.58100043004</v>
      </c>
      <c r="D20">
        <f t="shared" si="0"/>
        <v>8.7074845538766779E-2</v>
      </c>
    </row>
    <row r="21" spans="1:4" x14ac:dyDescent="0.3">
      <c r="A21" s="17">
        <v>44348</v>
      </c>
      <c r="B21">
        <v>10732247.237473801</v>
      </c>
      <c r="C21">
        <v>770230.80029715598</v>
      </c>
      <c r="D21">
        <f t="shared" si="0"/>
        <v>7.1767895693619521E-2</v>
      </c>
    </row>
    <row r="22" spans="1:4" x14ac:dyDescent="0.3">
      <c r="A22" s="17">
        <v>44378</v>
      </c>
      <c r="B22">
        <v>11604004.8430421</v>
      </c>
      <c r="C22">
        <v>973325.51649243</v>
      </c>
      <c r="D22">
        <f t="shared" si="0"/>
        <v>8.3878413501011911E-2</v>
      </c>
    </row>
    <row r="23" spans="1:4" x14ac:dyDescent="0.3">
      <c r="A23" s="17">
        <v>44409</v>
      </c>
      <c r="B23">
        <v>11425739.230072301</v>
      </c>
      <c r="C23">
        <v>1089537.7100841999</v>
      </c>
      <c r="D23">
        <f t="shared" si="0"/>
        <v>9.5358181045875789E-2</v>
      </c>
    </row>
    <row r="24" spans="1:4" x14ac:dyDescent="0.3">
      <c r="A24" s="17">
        <v>44440</v>
      </c>
      <c r="B24">
        <v>11264762.271012601</v>
      </c>
      <c r="C24">
        <v>1151673.16711098</v>
      </c>
      <c r="D24">
        <f t="shared" si="0"/>
        <v>0.10223679287707285</v>
      </c>
    </row>
    <row r="25" spans="1:4" x14ac:dyDescent="0.3">
      <c r="A25" s="17">
        <v>44470</v>
      </c>
      <c r="B25">
        <v>11457762.7462133</v>
      </c>
      <c r="C25">
        <v>1105953.67783227</v>
      </c>
      <c r="D25">
        <f t="shared" si="0"/>
        <v>9.6524400297761354E-2</v>
      </c>
    </row>
    <row r="26" spans="1:4" x14ac:dyDescent="0.3">
      <c r="A26" s="17">
        <v>44501</v>
      </c>
      <c r="B26">
        <v>12820697.804946201</v>
      </c>
      <c r="C26">
        <v>1057601.9670746899</v>
      </c>
      <c r="D26">
        <f t="shared" si="0"/>
        <v>8.2491763175844376E-2</v>
      </c>
    </row>
    <row r="27" spans="1:4" x14ac:dyDescent="0.3">
      <c r="A27" s="17">
        <v>44531</v>
      </c>
      <c r="B27">
        <v>12793797.2305831</v>
      </c>
      <c r="C27">
        <v>981764.12939880602</v>
      </c>
      <c r="D27">
        <f t="shared" si="0"/>
        <v>7.6737508943156854E-2</v>
      </c>
    </row>
    <row r="28" spans="1:4" x14ac:dyDescent="0.3">
      <c r="A28" s="17">
        <v>44562</v>
      </c>
      <c r="B28">
        <v>12175848.552933</v>
      </c>
      <c r="C28">
        <v>743575.516406651</v>
      </c>
      <c r="D28">
        <f t="shared" si="0"/>
        <v>6.1069708051479793E-2</v>
      </c>
    </row>
    <row r="29" spans="1:4" x14ac:dyDescent="0.3">
      <c r="A29" s="17">
        <v>44593</v>
      </c>
      <c r="B29">
        <v>12160042.076455001</v>
      </c>
      <c r="C29">
        <v>587792.42881439801</v>
      </c>
      <c r="D29">
        <f t="shared" si="0"/>
        <v>4.8338025898160074E-2</v>
      </c>
    </row>
    <row r="30" spans="1:4" x14ac:dyDescent="0.3">
      <c r="A30" s="17">
        <v>44621</v>
      </c>
      <c r="B30">
        <v>12653435.1337565</v>
      </c>
      <c r="C30">
        <v>892519.96807516401</v>
      </c>
      <c r="D30">
        <f t="shared" si="0"/>
        <v>7.0535784049196484E-2</v>
      </c>
    </row>
    <row r="31" spans="1:4" x14ac:dyDescent="0.3">
      <c r="A31" s="17">
        <v>44652</v>
      </c>
      <c r="B31">
        <v>12964462.071668301</v>
      </c>
      <c r="C31">
        <v>789129.83363778098</v>
      </c>
      <c r="D31">
        <f t="shared" si="0"/>
        <v>6.0868690831553621E-2</v>
      </c>
    </row>
    <row r="32" spans="1:4" x14ac:dyDescent="0.3">
      <c r="A32" s="17">
        <v>44682</v>
      </c>
      <c r="B32">
        <v>12022085.3270691</v>
      </c>
      <c r="C32">
        <v>822278.45191990596</v>
      </c>
      <c r="D32">
        <f t="shared" si="0"/>
        <v>6.8397322889436826E-2</v>
      </c>
    </row>
    <row r="33" spans="1:4" x14ac:dyDescent="0.3">
      <c r="A33" s="17">
        <v>44713</v>
      </c>
      <c r="B33">
        <v>12162935.304692401</v>
      </c>
      <c r="C33">
        <v>877150.03367173998</v>
      </c>
      <c r="D33">
        <f t="shared" si="0"/>
        <v>7.2116640572225998E-2</v>
      </c>
    </row>
    <row r="34" spans="1:4" x14ac:dyDescent="0.3">
      <c r="A34" s="17">
        <v>44743</v>
      </c>
      <c r="B34">
        <v>12598684.7466392</v>
      </c>
      <c r="C34">
        <v>962912.32294015505</v>
      </c>
      <c r="D34">
        <f t="shared" si="0"/>
        <v>7.6429591048940218E-2</v>
      </c>
    </row>
    <row r="35" spans="1:4" x14ac:dyDescent="0.3">
      <c r="A35" s="17">
        <v>44774</v>
      </c>
      <c r="B35">
        <v>12939280.3919277</v>
      </c>
      <c r="C35">
        <v>1059455.35523426</v>
      </c>
      <c r="D35">
        <f t="shared" si="0"/>
        <v>8.1879001238369623E-2</v>
      </c>
    </row>
    <row r="36" spans="1:4" x14ac:dyDescent="0.3">
      <c r="A36" s="17">
        <v>44805</v>
      </c>
      <c r="B36">
        <v>12482704.1714825</v>
      </c>
      <c r="C36">
        <v>1002532.66705344</v>
      </c>
      <c r="D36">
        <f t="shared" si="0"/>
        <v>8.0313740779324655E-2</v>
      </c>
    </row>
    <row r="37" spans="1:4" x14ac:dyDescent="0.3">
      <c r="A37" s="17">
        <v>44835</v>
      </c>
      <c r="B37">
        <v>13791158.8761167</v>
      </c>
      <c r="C37">
        <v>1137059.9359084</v>
      </c>
      <c r="D37">
        <f t="shared" si="0"/>
        <v>8.244846906067782E-2</v>
      </c>
    </row>
    <row r="38" spans="1:4" x14ac:dyDescent="0.3">
      <c r="A38" s="17">
        <v>44866</v>
      </c>
      <c r="B38">
        <v>13086856.1383822</v>
      </c>
      <c r="C38">
        <v>908543.00035051804</v>
      </c>
      <c r="D38">
        <f t="shared" si="0"/>
        <v>6.9424084038478037E-2</v>
      </c>
    </row>
    <row r="39" spans="1:4" x14ac:dyDescent="0.3">
      <c r="A39" s="17">
        <v>44896</v>
      </c>
      <c r="B39">
        <v>13109713.8436042</v>
      </c>
      <c r="C39">
        <v>1176258.09721335</v>
      </c>
      <c r="D39">
        <f t="shared" si="0"/>
        <v>8.9724162651132755E-2</v>
      </c>
    </row>
    <row r="40" spans="1:4" x14ac:dyDescent="0.3">
      <c r="A40" s="17">
        <v>44927</v>
      </c>
      <c r="B40">
        <v>13106916.746828999</v>
      </c>
      <c r="C40">
        <v>1020017.8390905</v>
      </c>
      <c r="D40">
        <f t="shared" si="0"/>
        <v>7.7822867024563688E-2</v>
      </c>
    </row>
    <row r="41" spans="1:4" x14ac:dyDescent="0.3">
      <c r="A41" s="17">
        <v>44958</v>
      </c>
      <c r="B41">
        <v>13862014.470015701</v>
      </c>
      <c r="C41">
        <v>720410.78601207398</v>
      </c>
      <c r="D41">
        <f t="shared" si="0"/>
        <v>5.1970136632764459E-2</v>
      </c>
    </row>
    <row r="42" spans="1:4" x14ac:dyDescent="0.3">
      <c r="A42" s="17">
        <v>44986</v>
      </c>
      <c r="B42">
        <v>14058197.618151899</v>
      </c>
      <c r="C42">
        <v>911016.80679174699</v>
      </c>
      <c r="D42">
        <f t="shared" si="0"/>
        <v>6.4803243739826571E-2</v>
      </c>
    </row>
    <row r="43" spans="1:4" x14ac:dyDescent="0.3">
      <c r="A43" s="17">
        <v>45017</v>
      </c>
      <c r="B43">
        <v>14141928.7387893</v>
      </c>
      <c r="C43">
        <v>1101869.3337584301</v>
      </c>
      <c r="D43">
        <f t="shared" si="0"/>
        <v>7.7915067605747387E-2</v>
      </c>
    </row>
    <row r="44" spans="1:4" x14ac:dyDescent="0.3">
      <c r="A44" s="17">
        <v>45047</v>
      </c>
      <c r="B44">
        <v>12674971.2305387</v>
      </c>
      <c r="C44">
        <v>1038718.80683942</v>
      </c>
      <c r="D44">
        <f t="shared" si="0"/>
        <v>8.1950387732380933E-2</v>
      </c>
    </row>
    <row r="45" spans="1:4" x14ac:dyDescent="0.3">
      <c r="A45" s="17">
        <v>45078</v>
      </c>
      <c r="B45">
        <v>13837481.105338501</v>
      </c>
      <c r="C45">
        <v>1092474.36708814</v>
      </c>
      <c r="D45">
        <f t="shared" si="0"/>
        <v>7.8950378235144503E-2</v>
      </c>
    </row>
    <row r="46" spans="1:4" x14ac:dyDescent="0.3">
      <c r="A46" s="17">
        <v>45108</v>
      </c>
      <c r="B46">
        <v>12195312.9722951</v>
      </c>
      <c r="C46">
        <v>1072158.7423357801</v>
      </c>
      <c r="D46">
        <f t="shared" si="0"/>
        <v>8.791563978484801E-2</v>
      </c>
    </row>
    <row r="47" spans="1:4" x14ac:dyDescent="0.3">
      <c r="A47" s="17">
        <v>45139</v>
      </c>
      <c r="B47">
        <v>12004369.230288301</v>
      </c>
      <c r="C47">
        <v>884866.48420133896</v>
      </c>
      <c r="D47">
        <f t="shared" si="0"/>
        <v>7.3712034945470239E-2</v>
      </c>
    </row>
    <row r="48" spans="1:4" x14ac:dyDescent="0.3">
      <c r="A48" s="17">
        <v>45170</v>
      </c>
      <c r="B48">
        <v>12847347.7382898</v>
      </c>
      <c r="C48">
        <v>1108344.66709426</v>
      </c>
      <c r="D48">
        <f t="shared" si="0"/>
        <v>8.6270309613476648E-2</v>
      </c>
    </row>
    <row r="49" spans="1:4" x14ac:dyDescent="0.3">
      <c r="A49" s="17">
        <v>45200</v>
      </c>
      <c r="B49">
        <v>12667676.133761801</v>
      </c>
      <c r="C49">
        <v>1104220.45202517</v>
      </c>
      <c r="D49">
        <f t="shared" si="0"/>
        <v>8.7168351982271589E-2</v>
      </c>
    </row>
    <row r="50" spans="1:4" x14ac:dyDescent="0.3">
      <c r="A50" s="17">
        <v>45231</v>
      </c>
      <c r="B50">
        <v>13337096.071812101</v>
      </c>
      <c r="C50">
        <v>1243823.16714653</v>
      </c>
      <c r="D50">
        <f t="shared" si="0"/>
        <v>9.3260418943471909E-2</v>
      </c>
    </row>
    <row r="51" spans="1:4" x14ac:dyDescent="0.3">
      <c r="A51" s="17">
        <v>45261</v>
      </c>
      <c r="B51">
        <v>13026420.940347301</v>
      </c>
      <c r="C51">
        <v>913494.29066364001</v>
      </c>
      <c r="D51">
        <f t="shared" si="0"/>
        <v>7.012626836234305E-2</v>
      </c>
    </row>
    <row r="52" spans="1:4" x14ac:dyDescent="0.3">
      <c r="A52" s="17">
        <v>45292</v>
      </c>
      <c r="B52">
        <v>12945745.069349499</v>
      </c>
      <c r="C52">
        <v>912828.71001823002</v>
      </c>
      <c r="D52">
        <f t="shared" si="0"/>
        <v>7.0511871284987232E-2</v>
      </c>
    </row>
    <row r="53" spans="1:4" x14ac:dyDescent="0.3">
      <c r="A53" s="17">
        <v>45323</v>
      </c>
      <c r="B53">
        <v>12308176.004912199</v>
      </c>
      <c r="C53">
        <v>882489.65552461997</v>
      </c>
      <c r="D53">
        <f t="shared" si="0"/>
        <v>7.1699466693717892E-2</v>
      </c>
    </row>
    <row r="54" spans="1:4" x14ac:dyDescent="0.3">
      <c r="A54" s="17">
        <v>45352</v>
      </c>
      <c r="B54">
        <v>12678784.5853788</v>
      </c>
      <c r="C54">
        <v>758078.19383142097</v>
      </c>
      <c r="D54">
        <f t="shared" si="0"/>
        <v>5.9791077664150732E-2</v>
      </c>
    </row>
    <row r="55" spans="1:4" x14ac:dyDescent="0.3">
      <c r="A55" s="17">
        <v>45383</v>
      </c>
      <c r="B55">
        <v>13410808.0718405</v>
      </c>
      <c r="C55">
        <v>411323.56682535599</v>
      </c>
      <c r="D55">
        <f t="shared" si="0"/>
        <v>3.0671050142685841E-2</v>
      </c>
    </row>
    <row r="56" spans="1:4" x14ac:dyDescent="0.3">
      <c r="A56" s="17">
        <v>45413</v>
      </c>
      <c r="B56">
        <v>12447317.359486001</v>
      </c>
      <c r="C56">
        <v>943416.290674811</v>
      </c>
      <c r="D56">
        <f t="shared" si="0"/>
        <v>7.5792740188779795E-2</v>
      </c>
    </row>
    <row r="57" spans="1:4" x14ac:dyDescent="0.3">
      <c r="A57" s="17">
        <v>45444</v>
      </c>
      <c r="B57">
        <v>11769575.837874001</v>
      </c>
      <c r="C57">
        <v>736972.00028432498</v>
      </c>
      <c r="D57">
        <f t="shared" si="0"/>
        <v>6.2616700077905957E-2</v>
      </c>
    </row>
    <row r="58" spans="1:4" x14ac:dyDescent="0.3">
      <c r="A58" s="17">
        <v>45474</v>
      </c>
      <c r="B58">
        <v>11922930.0044515</v>
      </c>
      <c r="C58">
        <v>774666.54867632396</v>
      </c>
      <c r="D58">
        <f t="shared" si="0"/>
        <v>6.4972833723514048E-2</v>
      </c>
    </row>
    <row r="59" spans="1:4" x14ac:dyDescent="0.3">
      <c r="A59" s="17">
        <v>45505</v>
      </c>
      <c r="B59">
        <v>12150251.9400202</v>
      </c>
      <c r="C59">
        <v>910674.29066258704</v>
      </c>
      <c r="D59">
        <f t="shared" si="0"/>
        <v>7.4951062344891017E-2</v>
      </c>
    </row>
    <row r="60" spans="1:4" x14ac:dyDescent="0.3">
      <c r="A60" s="17">
        <v>45536</v>
      </c>
      <c r="B60">
        <v>12401209.3047844</v>
      </c>
      <c r="C60">
        <v>726246.70028018695</v>
      </c>
      <c r="D60">
        <f t="shared" si="0"/>
        <v>5.8562570990556555E-2</v>
      </c>
    </row>
    <row r="61" spans="1:4" x14ac:dyDescent="0.3">
      <c r="A61" s="17">
        <v>45566</v>
      </c>
      <c r="B61">
        <v>13001090.7790475</v>
      </c>
      <c r="C61">
        <v>713045.96800815605</v>
      </c>
      <c r="D61">
        <f t="shared" si="0"/>
        <v>5.4845088010407383E-2</v>
      </c>
    </row>
    <row r="62" spans="1:4" x14ac:dyDescent="0.3">
      <c r="A62" s="17">
        <v>45597</v>
      </c>
      <c r="B62">
        <v>12877145.004968001</v>
      </c>
      <c r="C62">
        <v>983737.36704619497</v>
      </c>
      <c r="D62">
        <f t="shared" si="0"/>
        <v>7.6394058362056899E-2</v>
      </c>
    </row>
    <row r="63" spans="1:4" x14ac:dyDescent="0.3">
      <c r="A63" s="17">
        <v>45627</v>
      </c>
      <c r="B63">
        <v>12121141.4238803</v>
      </c>
      <c r="C63">
        <v>841948.58095950796</v>
      </c>
      <c r="D63">
        <f t="shared" si="0"/>
        <v>6.946116306346814E-2</v>
      </c>
    </row>
    <row r="64" spans="1:4" x14ac:dyDescent="0.3">
      <c r="A64" s="17">
        <v>45658</v>
      </c>
      <c r="B64">
        <v>12503720.714345699</v>
      </c>
      <c r="C64">
        <v>573329.29053663695</v>
      </c>
      <c r="D64">
        <f t="shared" si="0"/>
        <v>4.5852694860566423E-2</v>
      </c>
    </row>
    <row r="65" spans="1:4" x14ac:dyDescent="0.3">
      <c r="A65" s="17">
        <v>45689</v>
      </c>
      <c r="B65">
        <v>12753576.148128901</v>
      </c>
      <c r="C65">
        <v>400771.46445137699</v>
      </c>
      <c r="D65">
        <f t="shared" si="0"/>
        <v>3.1424242094651611E-2</v>
      </c>
    </row>
    <row r="66" spans="1:4" x14ac:dyDescent="0.3">
      <c r="A66" s="17">
        <v>45717</v>
      </c>
      <c r="B66">
        <v>13283907.037217701</v>
      </c>
      <c r="C66">
        <v>449038.00016765099</v>
      </c>
      <c r="D66">
        <f t="shared" si="0"/>
        <v>3.3803157377537738E-2</v>
      </c>
    </row>
    <row r="67" spans="1:4" x14ac:dyDescent="0.3">
      <c r="A67" s="17">
        <v>45748</v>
      </c>
      <c r="B67">
        <v>12844412.204955401</v>
      </c>
      <c r="C67">
        <v>409155.20015785302</v>
      </c>
      <c r="D67">
        <f t="shared" si="0"/>
        <v>3.1854723566096713E-2</v>
      </c>
    </row>
    <row r="68" spans="1:4" x14ac:dyDescent="0.3">
      <c r="A68" s="17">
        <v>45778</v>
      </c>
      <c r="B68">
        <v>13141082.0049063</v>
      </c>
      <c r="C68">
        <v>524025.93567951903</v>
      </c>
      <c r="D68">
        <f t="shared" si="0"/>
        <v>3.9876924554908863E-2</v>
      </c>
    </row>
    <row r="69" spans="1:4" x14ac:dyDescent="0.3">
      <c r="A69" s="17">
        <v>45809</v>
      </c>
      <c r="B69">
        <v>13623931.771922801</v>
      </c>
      <c r="C69">
        <v>419074.000161679</v>
      </c>
      <c r="D69">
        <f t="shared" ref="D69:D76" si="1">+C69/B69</f>
        <v>3.0760136440593271E-2</v>
      </c>
    </row>
    <row r="70" spans="1:4" x14ac:dyDescent="0.3">
      <c r="A70" s="17">
        <v>45839</v>
      </c>
      <c r="B70">
        <v>12597411.2305097</v>
      </c>
      <c r="C70">
        <v>427523.51628865098</v>
      </c>
      <c r="D70">
        <f t="shared" si="1"/>
        <v>3.3937410509647471E-2</v>
      </c>
    </row>
    <row r="71" spans="1:4" x14ac:dyDescent="0.3">
      <c r="A71" s="17">
        <v>45870</v>
      </c>
      <c r="B71">
        <v>13130900.3919992</v>
      </c>
      <c r="C71">
        <v>505219.16147894901</v>
      </c>
      <c r="D71">
        <f t="shared" si="1"/>
        <v>3.8475591649966709E-2</v>
      </c>
    </row>
    <row r="72" spans="1:4" x14ac:dyDescent="0.3">
      <c r="A72" s="17">
        <v>45901</v>
      </c>
      <c r="B72">
        <v>13847800.738675799</v>
      </c>
      <c r="C72">
        <v>496606.36685825803</v>
      </c>
      <c r="D72">
        <f t="shared" si="1"/>
        <v>3.586174990742582E-2</v>
      </c>
    </row>
    <row r="73" spans="1:4" x14ac:dyDescent="0.3">
      <c r="A73" s="17">
        <v>45931</v>
      </c>
      <c r="B73">
        <v>14196696.424655201</v>
      </c>
      <c r="C73">
        <v>570511.38730977802</v>
      </c>
      <c r="D73">
        <f t="shared" si="1"/>
        <v>4.0186207427735016E-2</v>
      </c>
    </row>
    <row r="74" spans="1:4" x14ac:dyDescent="0.3">
      <c r="A74" s="17">
        <v>45962</v>
      </c>
      <c r="B74">
        <v>14321565.272191901</v>
      </c>
      <c r="C74">
        <v>851575.70032853901</v>
      </c>
      <c r="D74">
        <f t="shared" si="1"/>
        <v>5.946107734341291E-2</v>
      </c>
    </row>
    <row r="75" spans="1:4" x14ac:dyDescent="0.3">
      <c r="A75" s="17">
        <v>45992</v>
      </c>
      <c r="B75">
        <v>13973667.8439268</v>
      </c>
      <c r="C75">
        <v>508577.22599633201</v>
      </c>
      <c r="D75">
        <f t="shared" si="1"/>
        <v>3.6395399667193934E-2</v>
      </c>
    </row>
    <row r="76" spans="1:4" x14ac:dyDescent="0.3">
      <c r="A76" s="17">
        <v>46023</v>
      </c>
      <c r="B76">
        <v>13645025.843804101</v>
      </c>
      <c r="C76">
        <v>181622.12910006801</v>
      </c>
      <c r="D76">
        <f t="shared" si="1"/>
        <v>1.3310500923861462E-2</v>
      </c>
    </row>
    <row r="77" spans="1:4" x14ac:dyDescent="0.3">
      <c r="A77" s="17">
        <v>46054</v>
      </c>
    </row>
    <row r="78" spans="1:4" x14ac:dyDescent="0.3">
      <c r="A78" s="17">
        <v>46082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D7190-C8D5-43DC-808F-D505116A78B1}">
  <dimension ref="A1:G1267"/>
  <sheetViews>
    <sheetView showGridLines="0" workbookViewId="0">
      <selection activeCell="F5" sqref="F5:F79"/>
    </sheetView>
  </sheetViews>
  <sheetFormatPr defaultRowHeight="14.4" x14ac:dyDescent="0.3"/>
  <cols>
    <col min="1" max="1" width="13.109375" bestFit="1" customWidth="1"/>
    <col min="2" max="2" width="24.33203125" bestFit="1" customWidth="1"/>
    <col min="6" max="6" width="9.33203125" bestFit="1" customWidth="1"/>
    <col min="7" max="7" width="12.5546875" bestFit="1" customWidth="1"/>
  </cols>
  <sheetData>
    <row r="1" spans="1:7" x14ac:dyDescent="0.3">
      <c r="A1" t="s">
        <v>107</v>
      </c>
      <c r="B1" t="s">
        <v>216</v>
      </c>
    </row>
    <row r="2" spans="1:7" x14ac:dyDescent="0.3">
      <c r="A2" t="s">
        <v>112</v>
      </c>
      <c r="B2" t="s">
        <v>113</v>
      </c>
    </row>
    <row r="3" spans="1:7" x14ac:dyDescent="0.3">
      <c r="A3" t="s">
        <v>117</v>
      </c>
      <c r="B3" t="s">
        <v>217</v>
      </c>
    </row>
    <row r="4" spans="1:7" x14ac:dyDescent="0.3">
      <c r="A4" t="s">
        <v>120</v>
      </c>
      <c r="B4" t="s">
        <v>121</v>
      </c>
      <c r="C4" t="s">
        <v>128</v>
      </c>
      <c r="D4" t="s">
        <v>151</v>
      </c>
      <c r="G4" t="s">
        <v>193</v>
      </c>
    </row>
    <row r="5" spans="1:7" x14ac:dyDescent="0.3">
      <c r="A5" s="17">
        <v>46063</v>
      </c>
      <c r="B5">
        <v>1</v>
      </c>
      <c r="C5" s="17">
        <f>+DATE(+YEAR(A5),+MONTH(A5),1)</f>
        <v>46054</v>
      </c>
      <c r="D5">
        <f>IF(AND(+DAY(A5)&gt;=1,+DAY(A5)&lt;= 4), 1, 0)</f>
        <v>0</v>
      </c>
      <c r="F5" s="17">
        <v>43800</v>
      </c>
      <c r="G5" t="e">
        <f>+AVERAGEIFS($B$5:$B$1267,$C$5:$C$1267,$F5,$D$5:$D$1267,1)</f>
        <v>#DIV/0!</v>
      </c>
    </row>
    <row r="6" spans="1:7" x14ac:dyDescent="0.3">
      <c r="A6" s="17">
        <v>46062</v>
      </c>
      <c r="B6">
        <v>1</v>
      </c>
      <c r="C6" s="17">
        <f t="shared" ref="C6:C69" si="0">+DATE(+YEAR(A6),+MONTH(A6),1)</f>
        <v>46054</v>
      </c>
      <c r="D6">
        <f t="shared" ref="D6:D69" si="1">IF(AND(+DAY(A6)&gt;=1,+DAY(A6)&lt;= 4), 1, 0)</f>
        <v>0</v>
      </c>
      <c r="F6" s="17">
        <v>43831</v>
      </c>
      <c r="G6" t="e">
        <f t="shared" ref="G6:G69" si="2">+AVERAGEIFS($B$5:$B$1267,$C$5:$C$1267,$F6,$D$5:$D$1267,1)</f>
        <v>#DIV/0!</v>
      </c>
    </row>
    <row r="7" spans="1:7" x14ac:dyDescent="0.3">
      <c r="A7" s="17">
        <v>46059</v>
      </c>
      <c r="B7">
        <v>1.2</v>
      </c>
      <c r="C7" s="17">
        <f t="shared" si="0"/>
        <v>46054</v>
      </c>
      <c r="D7">
        <f t="shared" si="1"/>
        <v>0</v>
      </c>
      <c r="F7" s="17">
        <v>43862</v>
      </c>
      <c r="G7" t="e">
        <f t="shared" si="2"/>
        <v>#DIV/0!</v>
      </c>
    </row>
    <row r="8" spans="1:7" x14ac:dyDescent="0.3">
      <c r="A8" s="17">
        <v>46058</v>
      </c>
      <c r="B8">
        <v>1.2</v>
      </c>
      <c r="C8" s="17">
        <f t="shared" si="0"/>
        <v>46054</v>
      </c>
      <c r="D8">
        <f t="shared" si="1"/>
        <v>0</v>
      </c>
      <c r="F8" s="17">
        <v>43891</v>
      </c>
      <c r="G8" t="e">
        <f t="shared" si="2"/>
        <v>#DIV/0!</v>
      </c>
    </row>
    <row r="9" spans="1:7" x14ac:dyDescent="0.3">
      <c r="A9" s="17">
        <v>46057</v>
      </c>
      <c r="B9">
        <v>1.1499999999999999</v>
      </c>
      <c r="C9" s="17">
        <f t="shared" si="0"/>
        <v>46054</v>
      </c>
      <c r="D9">
        <f t="shared" si="1"/>
        <v>1</v>
      </c>
      <c r="F9" s="17">
        <v>43922</v>
      </c>
      <c r="G9" t="e">
        <f t="shared" si="2"/>
        <v>#DIV/0!</v>
      </c>
    </row>
    <row r="10" spans="1:7" x14ac:dyDescent="0.3">
      <c r="A10" s="17">
        <v>46056</v>
      </c>
      <c r="B10">
        <v>1.25</v>
      </c>
      <c r="C10" s="17">
        <f t="shared" si="0"/>
        <v>46054</v>
      </c>
      <c r="D10">
        <f t="shared" si="1"/>
        <v>1</v>
      </c>
      <c r="F10" s="17">
        <v>43952</v>
      </c>
      <c r="G10" t="e">
        <f t="shared" si="2"/>
        <v>#DIV/0!</v>
      </c>
    </row>
    <row r="11" spans="1:7" x14ac:dyDescent="0.3">
      <c r="A11" s="17">
        <v>46055</v>
      </c>
      <c r="B11">
        <v>1.1000000000000001</v>
      </c>
      <c r="C11" s="17">
        <f t="shared" si="0"/>
        <v>46054</v>
      </c>
      <c r="D11">
        <f t="shared" si="1"/>
        <v>1</v>
      </c>
      <c r="F11" s="17">
        <v>43983</v>
      </c>
      <c r="G11" t="e">
        <f t="shared" si="2"/>
        <v>#DIV/0!</v>
      </c>
    </row>
    <row r="12" spans="1:7" x14ac:dyDescent="0.3">
      <c r="A12" s="17">
        <v>46052</v>
      </c>
      <c r="B12">
        <v>0.4</v>
      </c>
      <c r="C12" s="17">
        <f t="shared" si="0"/>
        <v>46023</v>
      </c>
      <c r="D12">
        <f t="shared" si="1"/>
        <v>0</v>
      </c>
      <c r="F12" s="17">
        <v>44013</v>
      </c>
      <c r="G12" t="e">
        <f t="shared" si="2"/>
        <v>#DIV/0!</v>
      </c>
    </row>
    <row r="13" spans="1:7" x14ac:dyDescent="0.3">
      <c r="A13" s="17">
        <v>46051</v>
      </c>
      <c r="B13">
        <v>0.55000000000000004</v>
      </c>
      <c r="C13" s="17">
        <f t="shared" si="0"/>
        <v>46023</v>
      </c>
      <c r="D13">
        <f t="shared" si="1"/>
        <v>0</v>
      </c>
      <c r="F13" s="17">
        <v>44044</v>
      </c>
      <c r="G13" t="e">
        <f t="shared" si="2"/>
        <v>#DIV/0!</v>
      </c>
    </row>
    <row r="14" spans="1:7" x14ac:dyDescent="0.3">
      <c r="A14" s="17">
        <v>46050</v>
      </c>
      <c r="B14">
        <v>0.55000000000000004</v>
      </c>
      <c r="C14" s="17">
        <f t="shared" si="0"/>
        <v>46023</v>
      </c>
      <c r="D14">
        <f t="shared" si="1"/>
        <v>0</v>
      </c>
      <c r="F14" s="17">
        <v>44075</v>
      </c>
      <c r="G14" t="e">
        <f t="shared" si="2"/>
        <v>#DIV/0!</v>
      </c>
    </row>
    <row r="15" spans="1:7" x14ac:dyDescent="0.3">
      <c r="A15" s="17">
        <v>46049</v>
      </c>
      <c r="B15">
        <v>0.65</v>
      </c>
      <c r="C15" s="17">
        <f t="shared" si="0"/>
        <v>46023</v>
      </c>
      <c r="D15">
        <f t="shared" si="1"/>
        <v>0</v>
      </c>
      <c r="F15" s="17">
        <v>44105</v>
      </c>
      <c r="G15" t="e">
        <f t="shared" si="2"/>
        <v>#DIV/0!</v>
      </c>
    </row>
    <row r="16" spans="1:7" x14ac:dyDescent="0.3">
      <c r="A16" s="17">
        <v>46048</v>
      </c>
      <c r="B16">
        <v>0.55000000000000004</v>
      </c>
      <c r="C16" s="17">
        <f t="shared" si="0"/>
        <v>46023</v>
      </c>
      <c r="D16">
        <f t="shared" si="1"/>
        <v>0</v>
      </c>
      <c r="F16" s="17">
        <v>44136</v>
      </c>
      <c r="G16" t="e">
        <f t="shared" si="2"/>
        <v>#DIV/0!</v>
      </c>
    </row>
    <row r="17" spans="1:7" x14ac:dyDescent="0.3">
      <c r="A17" s="17">
        <v>46045</v>
      </c>
      <c r="B17">
        <v>0.25</v>
      </c>
      <c r="C17" s="17">
        <f t="shared" si="0"/>
        <v>46023</v>
      </c>
      <c r="D17">
        <f t="shared" si="1"/>
        <v>0</v>
      </c>
      <c r="F17" s="17">
        <v>44166</v>
      </c>
      <c r="G17" t="e">
        <f t="shared" si="2"/>
        <v>#DIV/0!</v>
      </c>
    </row>
    <row r="18" spans="1:7" x14ac:dyDescent="0.3">
      <c r="A18" s="17">
        <v>46044</v>
      </c>
      <c r="B18">
        <v>0.3</v>
      </c>
      <c r="C18" s="17">
        <f t="shared" si="0"/>
        <v>46023</v>
      </c>
      <c r="D18">
        <f t="shared" si="1"/>
        <v>0</v>
      </c>
      <c r="F18" s="17">
        <v>44197</v>
      </c>
      <c r="G18" t="e">
        <f t="shared" si="2"/>
        <v>#DIV/0!</v>
      </c>
    </row>
    <row r="19" spans="1:7" x14ac:dyDescent="0.3">
      <c r="A19" s="17">
        <v>46043</v>
      </c>
      <c r="B19">
        <v>0.3</v>
      </c>
      <c r="C19" s="17">
        <f t="shared" si="0"/>
        <v>46023</v>
      </c>
      <c r="D19">
        <f t="shared" si="1"/>
        <v>0</v>
      </c>
      <c r="F19" s="17">
        <v>44228</v>
      </c>
      <c r="G19" s="19">
        <f t="shared" si="2"/>
        <v>0.6</v>
      </c>
    </row>
    <row r="20" spans="1:7" x14ac:dyDescent="0.3">
      <c r="A20" s="17">
        <v>46042</v>
      </c>
      <c r="B20">
        <v>0.2</v>
      </c>
      <c r="C20" s="17">
        <f t="shared" si="0"/>
        <v>46023</v>
      </c>
      <c r="D20">
        <f t="shared" si="1"/>
        <v>0</v>
      </c>
      <c r="F20" s="17">
        <v>44256</v>
      </c>
      <c r="G20" s="19">
        <f t="shared" si="2"/>
        <v>0.7</v>
      </c>
    </row>
    <row r="21" spans="1:7" x14ac:dyDescent="0.3">
      <c r="A21" s="17">
        <v>46041</v>
      </c>
      <c r="B21">
        <v>0.15</v>
      </c>
      <c r="C21" s="17">
        <f t="shared" si="0"/>
        <v>46023</v>
      </c>
      <c r="D21">
        <f t="shared" si="1"/>
        <v>0</v>
      </c>
      <c r="F21" s="17">
        <v>44287</v>
      </c>
      <c r="G21" s="19">
        <f t="shared" si="2"/>
        <v>0.5</v>
      </c>
    </row>
    <row r="22" spans="1:7" x14ac:dyDescent="0.3">
      <c r="A22" s="17">
        <v>46038</v>
      </c>
      <c r="B22">
        <v>0.1</v>
      </c>
      <c r="C22" s="17">
        <f t="shared" si="0"/>
        <v>46023</v>
      </c>
      <c r="D22">
        <f t="shared" si="1"/>
        <v>0</v>
      </c>
      <c r="F22" s="17">
        <v>44317</v>
      </c>
      <c r="G22" s="19">
        <f t="shared" si="2"/>
        <v>0.15</v>
      </c>
    </row>
    <row r="23" spans="1:7" x14ac:dyDescent="0.3">
      <c r="A23" s="17">
        <v>46037</v>
      </c>
      <c r="B23">
        <v>-0.5</v>
      </c>
      <c r="C23" s="17">
        <f t="shared" si="0"/>
        <v>46023</v>
      </c>
      <c r="D23">
        <f t="shared" si="1"/>
        <v>0</v>
      </c>
      <c r="F23" s="17">
        <v>44348</v>
      </c>
      <c r="G23" s="19">
        <f t="shared" si="2"/>
        <v>0.22499999999999998</v>
      </c>
    </row>
    <row r="24" spans="1:7" x14ac:dyDescent="0.3">
      <c r="A24" s="17">
        <v>46036</v>
      </c>
      <c r="B24">
        <v>-0.7</v>
      </c>
      <c r="C24" s="17">
        <f t="shared" si="0"/>
        <v>46023</v>
      </c>
      <c r="D24">
        <f t="shared" si="1"/>
        <v>0</v>
      </c>
      <c r="F24" s="17">
        <v>44378</v>
      </c>
      <c r="G24" s="19">
        <f t="shared" si="2"/>
        <v>0.4</v>
      </c>
    </row>
    <row r="25" spans="1:7" x14ac:dyDescent="0.3">
      <c r="A25" s="17">
        <v>46035</v>
      </c>
      <c r="B25">
        <v>-0.75</v>
      </c>
      <c r="C25" s="17">
        <f t="shared" si="0"/>
        <v>46023</v>
      </c>
      <c r="D25">
        <f t="shared" si="1"/>
        <v>0</v>
      </c>
      <c r="F25" s="17">
        <v>44409</v>
      </c>
      <c r="G25" s="19">
        <f t="shared" si="2"/>
        <v>-0.15</v>
      </c>
    </row>
    <row r="26" spans="1:7" x14ac:dyDescent="0.3">
      <c r="A26" s="17">
        <v>46034</v>
      </c>
      <c r="B26">
        <v>-0.55000000000000004</v>
      </c>
      <c r="C26" s="17">
        <f t="shared" si="0"/>
        <v>46023</v>
      </c>
      <c r="D26">
        <f t="shared" si="1"/>
        <v>0</v>
      </c>
      <c r="F26" s="17">
        <v>44440</v>
      </c>
      <c r="G26" s="19">
        <f t="shared" si="2"/>
        <v>-0.34999999999999992</v>
      </c>
    </row>
    <row r="27" spans="1:7" x14ac:dyDescent="0.3">
      <c r="A27" s="17">
        <v>46031</v>
      </c>
      <c r="B27">
        <v>-0.5</v>
      </c>
      <c r="C27" s="17">
        <f t="shared" si="0"/>
        <v>46023</v>
      </c>
      <c r="D27">
        <f t="shared" si="1"/>
        <v>0</v>
      </c>
      <c r="F27" s="17">
        <v>44470</v>
      </c>
      <c r="G27" s="19">
        <f t="shared" si="2"/>
        <v>-0.2</v>
      </c>
    </row>
    <row r="28" spans="1:7" x14ac:dyDescent="0.3">
      <c r="A28" s="17">
        <v>46030</v>
      </c>
      <c r="B28">
        <v>-0.7</v>
      </c>
      <c r="C28" s="17">
        <f t="shared" si="0"/>
        <v>46023</v>
      </c>
      <c r="D28">
        <f t="shared" si="1"/>
        <v>0</v>
      </c>
      <c r="F28" s="17">
        <v>44501</v>
      </c>
      <c r="G28" s="19">
        <f t="shared" si="2"/>
        <v>0.58333333333333337</v>
      </c>
    </row>
    <row r="29" spans="1:7" x14ac:dyDescent="0.3">
      <c r="A29" s="17">
        <v>46029</v>
      </c>
      <c r="B29">
        <v>-0.85</v>
      </c>
      <c r="C29" s="17">
        <f t="shared" si="0"/>
        <v>46023</v>
      </c>
      <c r="D29">
        <f t="shared" si="1"/>
        <v>0</v>
      </c>
      <c r="F29" s="17">
        <v>44531</v>
      </c>
      <c r="G29" s="19">
        <f t="shared" si="2"/>
        <v>0.3</v>
      </c>
    </row>
    <row r="30" spans="1:7" x14ac:dyDescent="0.3">
      <c r="A30" s="17">
        <v>46028</v>
      </c>
      <c r="B30">
        <v>-0.95</v>
      </c>
      <c r="C30" s="17">
        <f t="shared" si="0"/>
        <v>46023</v>
      </c>
      <c r="D30">
        <f t="shared" si="1"/>
        <v>0</v>
      </c>
      <c r="F30" s="17">
        <v>44562</v>
      </c>
      <c r="G30" s="19">
        <f t="shared" si="2"/>
        <v>0</v>
      </c>
    </row>
    <row r="31" spans="1:7" x14ac:dyDescent="0.3">
      <c r="A31" s="17">
        <v>46027</v>
      </c>
      <c r="B31">
        <v>-0.95</v>
      </c>
      <c r="C31" s="17">
        <f t="shared" si="0"/>
        <v>46023</v>
      </c>
      <c r="D31">
        <f t="shared" si="1"/>
        <v>0</v>
      </c>
      <c r="F31" s="17">
        <v>44593</v>
      </c>
      <c r="G31" s="19">
        <f t="shared" si="2"/>
        <v>0.45</v>
      </c>
    </row>
    <row r="32" spans="1:7" x14ac:dyDescent="0.3">
      <c r="A32" s="17">
        <v>46024</v>
      </c>
      <c r="B32">
        <v>-1.05</v>
      </c>
      <c r="C32" s="17">
        <f t="shared" si="0"/>
        <v>46023</v>
      </c>
      <c r="D32">
        <f t="shared" si="1"/>
        <v>1</v>
      </c>
      <c r="F32" s="17">
        <v>44621</v>
      </c>
      <c r="G32" s="19">
        <f t="shared" si="2"/>
        <v>3.3125</v>
      </c>
    </row>
    <row r="33" spans="1:7" x14ac:dyDescent="0.3">
      <c r="A33" s="17">
        <v>46022</v>
      </c>
      <c r="B33">
        <v>-0.55000000000000004</v>
      </c>
      <c r="C33" s="17">
        <f t="shared" si="0"/>
        <v>45992</v>
      </c>
      <c r="D33">
        <f t="shared" si="1"/>
        <v>0</v>
      </c>
      <c r="F33" s="17">
        <v>44652</v>
      </c>
      <c r="G33" s="19">
        <f t="shared" si="2"/>
        <v>-1.5249999999999999</v>
      </c>
    </row>
    <row r="34" spans="1:7" x14ac:dyDescent="0.3">
      <c r="A34" s="17">
        <v>46021</v>
      </c>
      <c r="B34">
        <v>-0.25</v>
      </c>
      <c r="C34" s="17">
        <f t="shared" si="0"/>
        <v>45992</v>
      </c>
      <c r="D34">
        <f t="shared" si="1"/>
        <v>0</v>
      </c>
      <c r="F34" s="17">
        <v>44682</v>
      </c>
      <c r="G34" s="19">
        <f t="shared" si="2"/>
        <v>-1</v>
      </c>
    </row>
    <row r="35" spans="1:7" x14ac:dyDescent="0.3">
      <c r="A35" s="17">
        <v>46020</v>
      </c>
      <c r="B35">
        <v>-0.25</v>
      </c>
      <c r="C35" s="17">
        <f t="shared" si="0"/>
        <v>45992</v>
      </c>
      <c r="D35">
        <f t="shared" si="1"/>
        <v>0</v>
      </c>
      <c r="F35" s="17">
        <v>44713</v>
      </c>
      <c r="G35" s="19">
        <f t="shared" si="2"/>
        <v>1.5</v>
      </c>
    </row>
    <row r="36" spans="1:7" x14ac:dyDescent="0.3">
      <c r="A36" s="17">
        <v>46017</v>
      </c>
      <c r="B36">
        <v>-0.3</v>
      </c>
      <c r="C36" s="17">
        <f t="shared" si="0"/>
        <v>45992</v>
      </c>
      <c r="D36">
        <f t="shared" si="1"/>
        <v>0</v>
      </c>
      <c r="F36" s="17">
        <v>44743</v>
      </c>
      <c r="G36" s="19">
        <f t="shared" si="2"/>
        <v>0.25</v>
      </c>
    </row>
    <row r="37" spans="1:7" x14ac:dyDescent="0.3">
      <c r="A37" s="17">
        <v>46015</v>
      </c>
      <c r="B37">
        <v>-0.1</v>
      </c>
      <c r="C37" s="17">
        <f t="shared" si="0"/>
        <v>45992</v>
      </c>
      <c r="D37">
        <f t="shared" si="1"/>
        <v>0</v>
      </c>
      <c r="F37" s="17">
        <v>44774</v>
      </c>
      <c r="G37" s="19">
        <f t="shared" si="2"/>
        <v>-1.2124999999999999</v>
      </c>
    </row>
    <row r="38" spans="1:7" x14ac:dyDescent="0.3">
      <c r="A38" s="17">
        <v>46014</v>
      </c>
      <c r="B38">
        <v>-0.4</v>
      </c>
      <c r="C38" s="17">
        <f t="shared" si="0"/>
        <v>45992</v>
      </c>
      <c r="D38">
        <f t="shared" si="1"/>
        <v>0</v>
      </c>
      <c r="F38" s="17">
        <v>44805</v>
      </c>
      <c r="G38" s="19">
        <f t="shared" si="2"/>
        <v>-0.8</v>
      </c>
    </row>
    <row r="39" spans="1:7" x14ac:dyDescent="0.3">
      <c r="A39" s="17">
        <v>46013</v>
      </c>
      <c r="B39">
        <v>-0.6</v>
      </c>
      <c r="C39" s="17">
        <f t="shared" si="0"/>
        <v>45992</v>
      </c>
      <c r="D39">
        <f t="shared" si="1"/>
        <v>0</v>
      </c>
      <c r="F39" s="17">
        <v>44835</v>
      </c>
      <c r="G39" s="19">
        <f t="shared" si="2"/>
        <v>0.3</v>
      </c>
    </row>
    <row r="40" spans="1:7" x14ac:dyDescent="0.3">
      <c r="A40" s="17">
        <v>46010</v>
      </c>
      <c r="B40">
        <v>-0.6</v>
      </c>
      <c r="C40" s="17">
        <f t="shared" si="0"/>
        <v>45992</v>
      </c>
      <c r="D40">
        <f t="shared" si="1"/>
        <v>0</v>
      </c>
      <c r="F40" s="17">
        <v>44866</v>
      </c>
      <c r="G40" s="19">
        <f t="shared" si="2"/>
        <v>0.1125</v>
      </c>
    </row>
    <row r="41" spans="1:7" x14ac:dyDescent="0.3">
      <c r="A41" s="17">
        <v>46009</v>
      </c>
      <c r="B41">
        <v>-0.55000000000000004</v>
      </c>
      <c r="C41" s="17">
        <f t="shared" si="0"/>
        <v>45992</v>
      </c>
      <c r="D41">
        <f t="shared" si="1"/>
        <v>0</v>
      </c>
      <c r="F41" s="17">
        <v>44896</v>
      </c>
      <c r="G41" s="19">
        <f t="shared" si="2"/>
        <v>-0.55000000000000004</v>
      </c>
    </row>
    <row r="42" spans="1:7" x14ac:dyDescent="0.3">
      <c r="A42" s="17">
        <v>46008</v>
      </c>
      <c r="B42">
        <v>-0.65</v>
      </c>
      <c r="C42" s="17">
        <f t="shared" si="0"/>
        <v>45992</v>
      </c>
      <c r="D42">
        <f t="shared" si="1"/>
        <v>0</v>
      </c>
      <c r="F42" s="17">
        <v>44927</v>
      </c>
      <c r="G42" s="19">
        <f t="shared" si="2"/>
        <v>-0.1</v>
      </c>
    </row>
    <row r="43" spans="1:7" x14ac:dyDescent="0.3">
      <c r="A43" s="17">
        <v>46007</v>
      </c>
      <c r="B43">
        <v>-0.8</v>
      </c>
      <c r="C43" s="17">
        <f t="shared" si="0"/>
        <v>45992</v>
      </c>
      <c r="D43">
        <f t="shared" si="1"/>
        <v>0</v>
      </c>
      <c r="F43" s="17">
        <v>44958</v>
      </c>
      <c r="G43" s="19">
        <f t="shared" si="2"/>
        <v>0.26666666666666666</v>
      </c>
    </row>
    <row r="44" spans="1:7" x14ac:dyDescent="0.3">
      <c r="A44" s="17">
        <v>46006</v>
      </c>
      <c r="B44">
        <v>-0.6</v>
      </c>
      <c r="C44" s="17">
        <f t="shared" si="0"/>
        <v>45992</v>
      </c>
      <c r="D44">
        <f t="shared" si="1"/>
        <v>0</v>
      </c>
      <c r="F44" s="17">
        <v>44986</v>
      </c>
      <c r="G44" s="19">
        <f t="shared" si="2"/>
        <v>0.71666666666666667</v>
      </c>
    </row>
    <row r="45" spans="1:7" x14ac:dyDescent="0.3">
      <c r="A45" s="17">
        <v>46003</v>
      </c>
      <c r="B45">
        <v>-0.6</v>
      </c>
      <c r="C45" s="17">
        <f t="shared" si="0"/>
        <v>45992</v>
      </c>
      <c r="D45">
        <f t="shared" si="1"/>
        <v>0</v>
      </c>
      <c r="F45" s="17">
        <v>45017</v>
      </c>
      <c r="G45" s="19">
        <f t="shared" si="2"/>
        <v>1</v>
      </c>
    </row>
    <row r="46" spans="1:7" x14ac:dyDescent="0.3">
      <c r="A46" s="17">
        <v>46002</v>
      </c>
      <c r="B46">
        <v>-0.65</v>
      </c>
      <c r="C46" s="17">
        <f t="shared" si="0"/>
        <v>45992</v>
      </c>
      <c r="D46">
        <f t="shared" si="1"/>
        <v>0</v>
      </c>
      <c r="F46" s="17">
        <v>45047</v>
      </c>
      <c r="G46" s="19">
        <f t="shared" si="2"/>
        <v>0.83333333333333337</v>
      </c>
    </row>
    <row r="47" spans="1:7" x14ac:dyDescent="0.3">
      <c r="A47" s="17">
        <v>46001</v>
      </c>
      <c r="B47">
        <v>-0.4</v>
      </c>
      <c r="C47" s="17">
        <f t="shared" si="0"/>
        <v>45992</v>
      </c>
      <c r="D47">
        <f t="shared" si="1"/>
        <v>0</v>
      </c>
      <c r="F47" s="17">
        <v>45078</v>
      </c>
      <c r="G47" s="19">
        <f t="shared" si="2"/>
        <v>0.4</v>
      </c>
    </row>
    <row r="48" spans="1:7" x14ac:dyDescent="0.3">
      <c r="A48" s="17">
        <v>46000</v>
      </c>
      <c r="B48">
        <v>-0.45</v>
      </c>
      <c r="C48" s="17">
        <f t="shared" si="0"/>
        <v>45992</v>
      </c>
      <c r="D48">
        <f t="shared" si="1"/>
        <v>0</v>
      </c>
      <c r="F48" s="17">
        <v>45108</v>
      </c>
      <c r="G48" s="19">
        <f t="shared" si="2"/>
        <v>0.45</v>
      </c>
    </row>
    <row r="49" spans="1:7" x14ac:dyDescent="0.3">
      <c r="A49" s="17">
        <v>45999</v>
      </c>
      <c r="B49">
        <v>-0.4</v>
      </c>
      <c r="C49" s="17">
        <f t="shared" si="0"/>
        <v>45992</v>
      </c>
      <c r="D49">
        <f t="shared" si="1"/>
        <v>0</v>
      </c>
      <c r="F49" s="17">
        <v>45139</v>
      </c>
      <c r="G49" s="19">
        <f t="shared" si="2"/>
        <v>0.5625</v>
      </c>
    </row>
    <row r="50" spans="1:7" x14ac:dyDescent="0.3">
      <c r="A50" s="17">
        <v>45996</v>
      </c>
      <c r="B50">
        <v>-0.3</v>
      </c>
      <c r="C50" s="17">
        <f t="shared" si="0"/>
        <v>45992</v>
      </c>
      <c r="D50">
        <f t="shared" si="1"/>
        <v>0</v>
      </c>
      <c r="F50" s="17">
        <v>45170</v>
      </c>
      <c r="G50" s="19">
        <f t="shared" si="2"/>
        <v>-0.1</v>
      </c>
    </row>
    <row r="51" spans="1:7" x14ac:dyDescent="0.3">
      <c r="A51" s="17">
        <v>45995</v>
      </c>
      <c r="B51">
        <v>-0.45</v>
      </c>
      <c r="C51" s="17">
        <f t="shared" si="0"/>
        <v>45992</v>
      </c>
      <c r="D51">
        <f t="shared" si="1"/>
        <v>1</v>
      </c>
      <c r="F51" s="17">
        <v>45200</v>
      </c>
      <c r="G51" s="19">
        <f t="shared" si="2"/>
        <v>0.3666666666666667</v>
      </c>
    </row>
    <row r="52" spans="1:7" x14ac:dyDescent="0.3">
      <c r="A52" s="17">
        <v>45994</v>
      </c>
      <c r="B52">
        <v>-0.5</v>
      </c>
      <c r="C52" s="17">
        <f t="shared" si="0"/>
        <v>45992</v>
      </c>
      <c r="D52">
        <f t="shared" si="1"/>
        <v>1</v>
      </c>
      <c r="F52" s="17">
        <v>45231</v>
      </c>
      <c r="G52" s="19">
        <f t="shared" si="2"/>
        <v>-0.3833333333333333</v>
      </c>
    </row>
    <row r="53" spans="1:7" x14ac:dyDescent="0.3">
      <c r="A53" s="17">
        <v>45993</v>
      </c>
      <c r="B53">
        <v>-0.6</v>
      </c>
      <c r="C53" s="17">
        <f t="shared" si="0"/>
        <v>45992</v>
      </c>
      <c r="D53">
        <f t="shared" si="1"/>
        <v>1</v>
      </c>
      <c r="F53" s="17">
        <v>45261</v>
      </c>
      <c r="G53" s="19">
        <f t="shared" si="2"/>
        <v>-0.8</v>
      </c>
    </row>
    <row r="54" spans="1:7" x14ac:dyDescent="0.3">
      <c r="A54" s="17">
        <v>45992</v>
      </c>
      <c r="B54">
        <v>-0.4</v>
      </c>
      <c r="C54" s="17">
        <f t="shared" si="0"/>
        <v>45992</v>
      </c>
      <c r="D54">
        <f t="shared" si="1"/>
        <v>1</v>
      </c>
      <c r="F54" s="17">
        <v>45292</v>
      </c>
      <c r="G54" s="19">
        <f t="shared" si="2"/>
        <v>-1.7333333333333334</v>
      </c>
    </row>
    <row r="55" spans="1:7" x14ac:dyDescent="0.3">
      <c r="A55" s="17">
        <v>45989</v>
      </c>
      <c r="B55">
        <v>-1</v>
      </c>
      <c r="C55" s="17">
        <f t="shared" si="0"/>
        <v>45962</v>
      </c>
      <c r="D55">
        <f t="shared" si="1"/>
        <v>0</v>
      </c>
      <c r="F55" s="17">
        <v>45323</v>
      </c>
      <c r="G55" s="19">
        <f t="shared" si="2"/>
        <v>0.05</v>
      </c>
    </row>
    <row r="56" spans="1:7" x14ac:dyDescent="0.3">
      <c r="A56" s="17">
        <v>45988</v>
      </c>
      <c r="B56">
        <v>-0.8</v>
      </c>
      <c r="C56" s="17">
        <f t="shared" si="0"/>
        <v>45962</v>
      </c>
      <c r="D56">
        <f t="shared" si="1"/>
        <v>0</v>
      </c>
      <c r="F56" s="17">
        <v>45352</v>
      </c>
      <c r="G56" s="19">
        <f t="shared" si="2"/>
        <v>0.4</v>
      </c>
    </row>
    <row r="57" spans="1:7" x14ac:dyDescent="0.3">
      <c r="A57" s="17">
        <v>45987</v>
      </c>
      <c r="B57">
        <v>-0.9</v>
      </c>
      <c r="C57" s="17">
        <f t="shared" si="0"/>
        <v>45962</v>
      </c>
      <c r="D57">
        <f t="shared" si="1"/>
        <v>0</v>
      </c>
      <c r="F57" s="17">
        <v>45383</v>
      </c>
      <c r="G57" s="19">
        <f t="shared" si="2"/>
        <v>1.1375</v>
      </c>
    </row>
    <row r="58" spans="1:7" x14ac:dyDescent="0.3">
      <c r="A58" s="17">
        <v>45986</v>
      </c>
      <c r="B58">
        <v>-1</v>
      </c>
      <c r="C58" s="17">
        <f t="shared" si="0"/>
        <v>45962</v>
      </c>
      <c r="D58">
        <f t="shared" si="1"/>
        <v>0</v>
      </c>
      <c r="F58" s="17">
        <v>45413</v>
      </c>
      <c r="G58" s="19">
        <f t="shared" si="2"/>
        <v>0.4</v>
      </c>
    </row>
    <row r="59" spans="1:7" x14ac:dyDescent="0.3">
      <c r="A59" s="17">
        <v>45985</v>
      </c>
      <c r="B59">
        <v>-1.05</v>
      </c>
      <c r="C59" s="17">
        <f t="shared" si="0"/>
        <v>45962</v>
      </c>
      <c r="D59">
        <f t="shared" si="1"/>
        <v>0</v>
      </c>
      <c r="F59" s="17">
        <v>45444</v>
      </c>
      <c r="G59" s="19">
        <f t="shared" si="2"/>
        <v>0.2</v>
      </c>
    </row>
    <row r="60" spans="1:7" x14ac:dyDescent="0.3">
      <c r="A60" s="17">
        <v>45982</v>
      </c>
      <c r="B60">
        <v>-1.25</v>
      </c>
      <c r="C60" s="17">
        <f t="shared" si="0"/>
        <v>45962</v>
      </c>
      <c r="D60">
        <f t="shared" si="1"/>
        <v>0</v>
      </c>
      <c r="F60" s="17">
        <v>45474</v>
      </c>
      <c r="G60" s="19">
        <f t="shared" si="2"/>
        <v>0.85</v>
      </c>
    </row>
    <row r="61" spans="1:7" x14ac:dyDescent="0.3">
      <c r="A61" s="17">
        <v>45981</v>
      </c>
      <c r="B61">
        <v>-1.1000000000000001</v>
      </c>
      <c r="C61" s="17">
        <f t="shared" si="0"/>
        <v>45962</v>
      </c>
      <c r="D61">
        <f t="shared" si="1"/>
        <v>0</v>
      </c>
      <c r="F61" s="17">
        <v>45505</v>
      </c>
      <c r="G61" s="19">
        <f t="shared" si="2"/>
        <v>-0.125</v>
      </c>
    </row>
    <row r="62" spans="1:7" x14ac:dyDescent="0.3">
      <c r="A62" s="17">
        <v>45980</v>
      </c>
      <c r="B62">
        <v>-1.05</v>
      </c>
      <c r="C62" s="17">
        <f t="shared" si="0"/>
        <v>45962</v>
      </c>
      <c r="D62">
        <f t="shared" si="1"/>
        <v>0</v>
      </c>
      <c r="F62" s="17">
        <v>45536</v>
      </c>
      <c r="G62" s="19">
        <f t="shared" si="2"/>
        <v>1.1333333333333335</v>
      </c>
    </row>
    <row r="63" spans="1:7" x14ac:dyDescent="0.3">
      <c r="A63" s="17">
        <v>45979</v>
      </c>
      <c r="B63">
        <v>-1</v>
      </c>
      <c r="C63" s="17">
        <f t="shared" si="0"/>
        <v>45962</v>
      </c>
      <c r="D63">
        <f t="shared" si="1"/>
        <v>0</v>
      </c>
      <c r="F63" s="17">
        <v>45566</v>
      </c>
      <c r="G63" s="19">
        <f t="shared" si="2"/>
        <v>-6.25E-2</v>
      </c>
    </row>
    <row r="64" spans="1:7" x14ac:dyDescent="0.3">
      <c r="A64" s="17">
        <v>45978</v>
      </c>
      <c r="B64">
        <v>-1</v>
      </c>
      <c r="C64" s="17">
        <f t="shared" si="0"/>
        <v>45962</v>
      </c>
      <c r="D64">
        <f t="shared" si="1"/>
        <v>0</v>
      </c>
      <c r="F64" s="17">
        <v>45597</v>
      </c>
      <c r="G64" s="19">
        <f t="shared" si="2"/>
        <v>-0.89999999999999991</v>
      </c>
    </row>
    <row r="65" spans="1:7" x14ac:dyDescent="0.3">
      <c r="A65" s="17">
        <v>45975</v>
      </c>
      <c r="B65">
        <v>-0.75</v>
      </c>
      <c r="C65" s="17">
        <f t="shared" si="0"/>
        <v>45962</v>
      </c>
      <c r="D65">
        <f t="shared" si="1"/>
        <v>0</v>
      </c>
      <c r="F65" s="17">
        <v>45627</v>
      </c>
      <c r="G65" s="19">
        <f t="shared" si="2"/>
        <v>0.65</v>
      </c>
    </row>
    <row r="66" spans="1:7" x14ac:dyDescent="0.3">
      <c r="A66" s="17">
        <v>45974</v>
      </c>
      <c r="B66">
        <v>-0.85</v>
      </c>
      <c r="C66" s="17">
        <f t="shared" si="0"/>
        <v>45962</v>
      </c>
      <c r="D66">
        <f t="shared" si="1"/>
        <v>0</v>
      </c>
      <c r="F66" s="17">
        <v>45658</v>
      </c>
      <c r="G66" s="19">
        <f t="shared" si="2"/>
        <v>0.64999999999999991</v>
      </c>
    </row>
    <row r="67" spans="1:7" x14ac:dyDescent="0.3">
      <c r="A67" s="17">
        <v>45973</v>
      </c>
      <c r="B67">
        <v>-0.9</v>
      </c>
      <c r="C67" s="17">
        <f t="shared" si="0"/>
        <v>45962</v>
      </c>
      <c r="D67">
        <f t="shared" si="1"/>
        <v>0</v>
      </c>
      <c r="F67" s="17">
        <v>45689</v>
      </c>
      <c r="G67" s="19">
        <f t="shared" si="2"/>
        <v>-0.35</v>
      </c>
    </row>
    <row r="68" spans="1:7" x14ac:dyDescent="0.3">
      <c r="A68" s="17">
        <v>45972</v>
      </c>
      <c r="B68">
        <v>-0.7</v>
      </c>
      <c r="C68" s="17">
        <f t="shared" si="0"/>
        <v>45962</v>
      </c>
      <c r="D68">
        <f t="shared" si="1"/>
        <v>0</v>
      </c>
      <c r="F68" s="17">
        <v>45717</v>
      </c>
      <c r="G68" s="19">
        <f t="shared" si="2"/>
        <v>-2.2750000000000004</v>
      </c>
    </row>
    <row r="69" spans="1:7" x14ac:dyDescent="0.3">
      <c r="A69" s="17">
        <v>45971</v>
      </c>
      <c r="B69">
        <v>-0.7</v>
      </c>
      <c r="C69" s="17">
        <f t="shared" si="0"/>
        <v>45962</v>
      </c>
      <c r="D69">
        <f t="shared" si="1"/>
        <v>0</v>
      </c>
      <c r="F69" s="17">
        <v>45748</v>
      </c>
      <c r="G69" s="19">
        <f t="shared" si="2"/>
        <v>0.91250000000000009</v>
      </c>
    </row>
    <row r="70" spans="1:7" x14ac:dyDescent="0.3">
      <c r="A70" s="17">
        <v>45968</v>
      </c>
      <c r="B70">
        <v>-0.55000000000000004</v>
      </c>
      <c r="C70" s="17">
        <f t="shared" ref="C70:C133" si="3">+DATE(+YEAR(A70),+MONTH(A70),1)</f>
        <v>45962</v>
      </c>
      <c r="D70">
        <f t="shared" ref="D70:D133" si="4">IF(AND(+DAY(A70)&gt;=1,+DAY(A70)&lt;= 4), 1, 0)</f>
        <v>0</v>
      </c>
      <c r="F70" s="17">
        <v>45778</v>
      </c>
      <c r="G70" s="19">
        <f t="shared" ref="G70:G79" si="5">+AVERAGEIFS($B$5:$B$1267,$C$5:$C$1267,$F70,$D$5:$D$1267,1)</f>
        <v>-0.45</v>
      </c>
    </row>
    <row r="71" spans="1:7" x14ac:dyDescent="0.3">
      <c r="A71" s="17">
        <v>45967</v>
      </c>
      <c r="B71">
        <v>-0.6</v>
      </c>
      <c r="C71" s="17">
        <f t="shared" si="3"/>
        <v>45962</v>
      </c>
      <c r="D71">
        <f t="shared" si="4"/>
        <v>0</v>
      </c>
      <c r="F71" s="17">
        <v>45809</v>
      </c>
      <c r="G71" s="19">
        <f t="shared" si="5"/>
        <v>0.23333333333333331</v>
      </c>
    </row>
    <row r="72" spans="1:7" x14ac:dyDescent="0.3">
      <c r="A72" s="17">
        <v>45966</v>
      </c>
      <c r="B72">
        <v>-0.25</v>
      </c>
      <c r="C72" s="17">
        <f t="shared" si="3"/>
        <v>45962</v>
      </c>
      <c r="D72">
        <f t="shared" si="4"/>
        <v>0</v>
      </c>
      <c r="F72" s="17">
        <v>45839</v>
      </c>
      <c r="G72" s="19">
        <f t="shared" si="5"/>
        <v>1.075</v>
      </c>
    </row>
    <row r="73" spans="1:7" x14ac:dyDescent="0.3">
      <c r="A73" s="17">
        <v>45965</v>
      </c>
      <c r="B73">
        <v>-0.2</v>
      </c>
      <c r="C73" s="17">
        <f t="shared" si="3"/>
        <v>45962</v>
      </c>
      <c r="D73">
        <f t="shared" si="4"/>
        <v>1</v>
      </c>
      <c r="F73" s="17">
        <v>45870</v>
      </c>
      <c r="G73" s="19">
        <f t="shared" si="5"/>
        <v>-0.64999999999999991</v>
      </c>
    </row>
    <row r="74" spans="1:7" x14ac:dyDescent="0.3">
      <c r="A74" s="17">
        <v>45964</v>
      </c>
      <c r="B74">
        <v>0.35</v>
      </c>
      <c r="C74" s="17">
        <f t="shared" si="3"/>
        <v>45962</v>
      </c>
      <c r="D74">
        <f t="shared" si="4"/>
        <v>1</v>
      </c>
      <c r="F74" s="17">
        <v>45901</v>
      </c>
      <c r="G74" s="19">
        <f t="shared" si="5"/>
        <v>0.4</v>
      </c>
    </row>
    <row r="75" spans="1:7" x14ac:dyDescent="0.3">
      <c r="A75" s="17">
        <v>45961</v>
      </c>
      <c r="B75">
        <v>0.35</v>
      </c>
      <c r="C75" s="17">
        <f t="shared" si="3"/>
        <v>45931</v>
      </c>
      <c r="D75">
        <f t="shared" si="4"/>
        <v>0</v>
      </c>
      <c r="F75" s="17">
        <v>45931</v>
      </c>
      <c r="G75" s="19">
        <f t="shared" si="5"/>
        <v>-2.0833333333333335</v>
      </c>
    </row>
    <row r="76" spans="1:7" x14ac:dyDescent="0.3">
      <c r="A76" s="17">
        <v>45960</v>
      </c>
      <c r="B76">
        <v>-0.2</v>
      </c>
      <c r="C76" s="17">
        <f t="shared" si="3"/>
        <v>45931</v>
      </c>
      <c r="D76">
        <f t="shared" si="4"/>
        <v>0</v>
      </c>
      <c r="F76" s="17">
        <v>45962</v>
      </c>
      <c r="G76" s="19">
        <f t="shared" si="5"/>
        <v>7.4999999999999983E-2</v>
      </c>
    </row>
    <row r="77" spans="1:7" x14ac:dyDescent="0.3">
      <c r="A77" s="17">
        <v>45959</v>
      </c>
      <c r="B77">
        <v>-2.0499999999999998</v>
      </c>
      <c r="C77" s="17">
        <f t="shared" si="3"/>
        <v>45931</v>
      </c>
      <c r="D77">
        <f t="shared" si="4"/>
        <v>0</v>
      </c>
      <c r="F77" s="17">
        <v>45992</v>
      </c>
      <c r="G77" s="19">
        <f t="shared" si="5"/>
        <v>-0.48749999999999993</v>
      </c>
    </row>
    <row r="78" spans="1:7" x14ac:dyDescent="0.3">
      <c r="A78" s="17">
        <v>45958</v>
      </c>
      <c r="B78">
        <v>-1.84</v>
      </c>
      <c r="C78" s="17">
        <f t="shared" si="3"/>
        <v>45931</v>
      </c>
      <c r="D78">
        <f t="shared" si="4"/>
        <v>0</v>
      </c>
      <c r="F78" s="17">
        <v>46023</v>
      </c>
      <c r="G78" s="19">
        <f t="shared" si="5"/>
        <v>-1.05</v>
      </c>
    </row>
    <row r="79" spans="1:7" x14ac:dyDescent="0.3">
      <c r="A79" s="17">
        <v>45957</v>
      </c>
      <c r="B79">
        <v>-0.15</v>
      </c>
      <c r="C79" s="17">
        <f t="shared" si="3"/>
        <v>45931</v>
      </c>
      <c r="D79">
        <f t="shared" si="4"/>
        <v>0</v>
      </c>
      <c r="F79" s="17">
        <v>46054</v>
      </c>
      <c r="G79" s="19">
        <f t="shared" si="5"/>
        <v>1.1666666666666667</v>
      </c>
    </row>
    <row r="80" spans="1:7" x14ac:dyDescent="0.3">
      <c r="A80" s="17">
        <v>45954</v>
      </c>
      <c r="B80">
        <v>0.05</v>
      </c>
      <c r="C80" s="17">
        <f t="shared" si="3"/>
        <v>45931</v>
      </c>
      <c r="D80">
        <f t="shared" si="4"/>
        <v>0</v>
      </c>
      <c r="F80" s="17"/>
    </row>
    <row r="81" spans="1:4" x14ac:dyDescent="0.3">
      <c r="A81" s="17">
        <v>45953</v>
      </c>
      <c r="B81">
        <v>-0.2</v>
      </c>
      <c r="C81" s="17">
        <f t="shared" si="3"/>
        <v>45931</v>
      </c>
      <c r="D81">
        <f t="shared" si="4"/>
        <v>0</v>
      </c>
    </row>
    <row r="82" spans="1:4" x14ac:dyDescent="0.3">
      <c r="A82" s="17">
        <v>45952</v>
      </c>
      <c r="B82">
        <v>-0.9</v>
      </c>
      <c r="C82" s="17">
        <f t="shared" si="3"/>
        <v>45931</v>
      </c>
      <c r="D82">
        <f t="shared" si="4"/>
        <v>0</v>
      </c>
    </row>
    <row r="83" spans="1:4" x14ac:dyDescent="0.3">
      <c r="A83" s="17">
        <v>45951</v>
      </c>
      <c r="B83">
        <v>-1.05</v>
      </c>
      <c r="C83" s="17">
        <f t="shared" si="3"/>
        <v>45931</v>
      </c>
      <c r="D83">
        <f t="shared" si="4"/>
        <v>0</v>
      </c>
    </row>
    <row r="84" spans="1:4" x14ac:dyDescent="0.3">
      <c r="A84" s="17">
        <v>45947</v>
      </c>
      <c r="B84">
        <v>-2.1</v>
      </c>
      <c r="C84" s="17">
        <f t="shared" si="3"/>
        <v>45931</v>
      </c>
      <c r="D84">
        <f t="shared" si="4"/>
        <v>0</v>
      </c>
    </row>
    <row r="85" spans="1:4" x14ac:dyDescent="0.3">
      <c r="A85" s="17">
        <v>45946</v>
      </c>
      <c r="B85">
        <v>-2.1</v>
      </c>
      <c r="C85" s="17">
        <f t="shared" si="3"/>
        <v>45931</v>
      </c>
      <c r="D85">
        <f t="shared" si="4"/>
        <v>0</v>
      </c>
    </row>
    <row r="86" spans="1:4" x14ac:dyDescent="0.3">
      <c r="A86" s="17">
        <v>45945</v>
      </c>
      <c r="B86">
        <v>-1.85</v>
      </c>
      <c r="C86" s="17">
        <f t="shared" si="3"/>
        <v>45931</v>
      </c>
      <c r="D86">
        <f t="shared" si="4"/>
        <v>0</v>
      </c>
    </row>
    <row r="87" spans="1:4" x14ac:dyDescent="0.3">
      <c r="A87" s="17">
        <v>45944</v>
      </c>
      <c r="B87">
        <v>-1.9</v>
      </c>
      <c r="C87" s="17">
        <f t="shared" si="3"/>
        <v>45931</v>
      </c>
      <c r="D87">
        <f t="shared" si="4"/>
        <v>0</v>
      </c>
    </row>
    <row r="88" spans="1:4" x14ac:dyDescent="0.3">
      <c r="A88" s="17">
        <v>45943</v>
      </c>
      <c r="B88">
        <v>-1.8</v>
      </c>
      <c r="C88" s="17">
        <f t="shared" si="3"/>
        <v>45931</v>
      </c>
      <c r="D88">
        <f t="shared" si="4"/>
        <v>0</v>
      </c>
    </row>
    <row r="89" spans="1:4" x14ac:dyDescent="0.3">
      <c r="A89" s="17">
        <v>45940</v>
      </c>
      <c r="B89">
        <v>-1.8</v>
      </c>
      <c r="C89" s="17">
        <f t="shared" si="3"/>
        <v>45931</v>
      </c>
      <c r="D89">
        <f t="shared" si="4"/>
        <v>0</v>
      </c>
    </row>
    <row r="90" spans="1:4" x14ac:dyDescent="0.3">
      <c r="A90" s="17">
        <v>45939</v>
      </c>
      <c r="B90">
        <v>-1.3</v>
      </c>
      <c r="C90" s="17">
        <f t="shared" si="3"/>
        <v>45931</v>
      </c>
      <c r="D90">
        <f t="shared" si="4"/>
        <v>0</v>
      </c>
    </row>
    <row r="91" spans="1:4" x14ac:dyDescent="0.3">
      <c r="A91" s="17">
        <v>45938</v>
      </c>
      <c r="B91">
        <v>-1.6</v>
      </c>
      <c r="C91" s="17">
        <f t="shared" si="3"/>
        <v>45931</v>
      </c>
      <c r="D91">
        <f t="shared" si="4"/>
        <v>0</v>
      </c>
    </row>
    <row r="92" spans="1:4" x14ac:dyDescent="0.3">
      <c r="A92" s="17">
        <v>45937</v>
      </c>
      <c r="B92">
        <v>-1.85</v>
      </c>
      <c r="C92" s="17">
        <f t="shared" si="3"/>
        <v>45931</v>
      </c>
      <c r="D92">
        <f t="shared" si="4"/>
        <v>0</v>
      </c>
    </row>
    <row r="93" spans="1:4" x14ac:dyDescent="0.3">
      <c r="A93" s="17">
        <v>45936</v>
      </c>
      <c r="B93">
        <v>-1.4</v>
      </c>
      <c r="C93" s="17">
        <f t="shared" si="3"/>
        <v>45931</v>
      </c>
      <c r="D93">
        <f t="shared" si="4"/>
        <v>0</v>
      </c>
    </row>
    <row r="94" spans="1:4" x14ac:dyDescent="0.3">
      <c r="A94" s="17">
        <v>45933</v>
      </c>
      <c r="B94">
        <v>-2.2000000000000002</v>
      </c>
      <c r="C94" s="17">
        <f t="shared" si="3"/>
        <v>45931</v>
      </c>
      <c r="D94">
        <f t="shared" si="4"/>
        <v>1</v>
      </c>
    </row>
    <row r="95" spans="1:4" x14ac:dyDescent="0.3">
      <c r="A95" s="17">
        <v>45932</v>
      </c>
      <c r="B95">
        <v>-2.0499999999999998</v>
      </c>
      <c r="C95" s="17">
        <f t="shared" si="3"/>
        <v>45931</v>
      </c>
      <c r="D95">
        <f t="shared" si="4"/>
        <v>1</v>
      </c>
    </row>
    <row r="96" spans="1:4" x14ac:dyDescent="0.3">
      <c r="A96" s="17">
        <v>45931</v>
      </c>
      <c r="B96">
        <v>-2</v>
      </c>
      <c r="C96" s="17">
        <f t="shared" si="3"/>
        <v>45931</v>
      </c>
      <c r="D96">
        <f t="shared" si="4"/>
        <v>1</v>
      </c>
    </row>
    <row r="97" spans="1:4" x14ac:dyDescent="0.3">
      <c r="A97" s="17">
        <v>45930</v>
      </c>
      <c r="B97">
        <v>-0.5</v>
      </c>
      <c r="C97" s="17">
        <f t="shared" si="3"/>
        <v>45901</v>
      </c>
      <c r="D97">
        <f t="shared" si="4"/>
        <v>0</v>
      </c>
    </row>
    <row r="98" spans="1:4" x14ac:dyDescent="0.3">
      <c r="A98" s="17">
        <v>45929</v>
      </c>
      <c r="B98">
        <v>-2.6</v>
      </c>
      <c r="C98" s="17">
        <f t="shared" si="3"/>
        <v>45901</v>
      </c>
      <c r="D98">
        <f t="shared" si="4"/>
        <v>0</v>
      </c>
    </row>
    <row r="99" spans="1:4" x14ac:dyDescent="0.3">
      <c r="A99" s="17">
        <v>45926</v>
      </c>
      <c r="B99">
        <v>-1.85</v>
      </c>
      <c r="C99" s="17">
        <f t="shared" si="3"/>
        <v>45901</v>
      </c>
      <c r="D99">
        <f t="shared" si="4"/>
        <v>0</v>
      </c>
    </row>
    <row r="100" spans="1:4" x14ac:dyDescent="0.3">
      <c r="A100" s="17">
        <v>45925</v>
      </c>
      <c r="B100">
        <v>-1.4</v>
      </c>
      <c r="C100" s="17">
        <f t="shared" si="3"/>
        <v>45901</v>
      </c>
      <c r="D100">
        <f t="shared" si="4"/>
        <v>0</v>
      </c>
    </row>
    <row r="101" spans="1:4" x14ac:dyDescent="0.3">
      <c r="A101" s="17">
        <v>45924</v>
      </c>
      <c r="B101">
        <v>-0.95</v>
      </c>
      <c r="C101" s="17">
        <f t="shared" si="3"/>
        <v>45901</v>
      </c>
      <c r="D101">
        <f t="shared" si="4"/>
        <v>0</v>
      </c>
    </row>
    <row r="102" spans="1:4" x14ac:dyDescent="0.3">
      <c r="A102" s="17">
        <v>45923</v>
      </c>
      <c r="B102">
        <v>-1.35</v>
      </c>
      <c r="C102" s="17">
        <f t="shared" si="3"/>
        <v>45901</v>
      </c>
      <c r="D102">
        <f t="shared" si="4"/>
        <v>0</v>
      </c>
    </row>
    <row r="103" spans="1:4" x14ac:dyDescent="0.3">
      <c r="A103" s="17">
        <v>45922</v>
      </c>
      <c r="B103">
        <v>-1.7</v>
      </c>
      <c r="C103" s="17">
        <f t="shared" si="3"/>
        <v>45901</v>
      </c>
      <c r="D103">
        <f t="shared" si="4"/>
        <v>0</v>
      </c>
    </row>
    <row r="104" spans="1:4" x14ac:dyDescent="0.3">
      <c r="A104" s="17">
        <v>45919</v>
      </c>
      <c r="B104">
        <v>-1.1000000000000001</v>
      </c>
      <c r="C104" s="17">
        <f t="shared" si="3"/>
        <v>45901</v>
      </c>
      <c r="D104">
        <f t="shared" si="4"/>
        <v>0</v>
      </c>
    </row>
    <row r="105" spans="1:4" x14ac:dyDescent="0.3">
      <c r="A105" s="17">
        <v>45918</v>
      </c>
      <c r="B105">
        <v>-0.7</v>
      </c>
      <c r="C105" s="17">
        <f t="shared" si="3"/>
        <v>45901</v>
      </c>
      <c r="D105">
        <f t="shared" si="4"/>
        <v>0</v>
      </c>
    </row>
    <row r="106" spans="1:4" x14ac:dyDescent="0.3">
      <c r="A106" s="17">
        <v>45917</v>
      </c>
      <c r="B106">
        <v>-0.7</v>
      </c>
      <c r="C106" s="17">
        <f t="shared" si="3"/>
        <v>45901</v>
      </c>
      <c r="D106">
        <f t="shared" si="4"/>
        <v>0</v>
      </c>
    </row>
    <row r="107" spans="1:4" x14ac:dyDescent="0.3">
      <c r="A107" s="17">
        <v>45916</v>
      </c>
      <c r="B107">
        <v>-0.6</v>
      </c>
      <c r="C107" s="17">
        <f t="shared" si="3"/>
        <v>45901</v>
      </c>
      <c r="D107">
        <f t="shared" si="4"/>
        <v>0</v>
      </c>
    </row>
    <row r="108" spans="1:4" x14ac:dyDescent="0.3">
      <c r="A108" s="17">
        <v>45915</v>
      </c>
      <c r="B108">
        <v>-0.05</v>
      </c>
      <c r="C108" s="17">
        <f t="shared" si="3"/>
        <v>45901</v>
      </c>
      <c r="D108">
        <f t="shared" si="4"/>
        <v>0</v>
      </c>
    </row>
    <row r="109" spans="1:4" x14ac:dyDescent="0.3">
      <c r="A109" s="17">
        <v>45912</v>
      </c>
      <c r="B109">
        <v>-0.25</v>
      </c>
      <c r="C109" s="17">
        <f t="shared" si="3"/>
        <v>45901</v>
      </c>
      <c r="D109">
        <f t="shared" si="4"/>
        <v>0</v>
      </c>
    </row>
    <row r="110" spans="1:4" x14ac:dyDescent="0.3">
      <c r="A110" s="17">
        <v>45911</v>
      </c>
      <c r="B110">
        <v>-0.05</v>
      </c>
      <c r="C110" s="17">
        <f t="shared" si="3"/>
        <v>45901</v>
      </c>
      <c r="D110">
        <f t="shared" si="4"/>
        <v>0</v>
      </c>
    </row>
    <row r="111" spans="1:4" x14ac:dyDescent="0.3">
      <c r="A111" s="17">
        <v>45910</v>
      </c>
      <c r="B111">
        <v>0.3</v>
      </c>
      <c r="C111" s="17">
        <f t="shared" si="3"/>
        <v>45901</v>
      </c>
      <c r="D111">
        <f t="shared" si="4"/>
        <v>0</v>
      </c>
    </row>
    <row r="112" spans="1:4" x14ac:dyDescent="0.3">
      <c r="A112" s="17">
        <v>45909</v>
      </c>
      <c r="B112">
        <v>0.1</v>
      </c>
      <c r="C112" s="17">
        <f t="shared" si="3"/>
        <v>45901</v>
      </c>
      <c r="D112">
        <f t="shared" si="4"/>
        <v>0</v>
      </c>
    </row>
    <row r="113" spans="1:4" x14ac:dyDescent="0.3">
      <c r="A113" s="17">
        <v>45908</v>
      </c>
      <c r="B113">
        <v>0</v>
      </c>
      <c r="C113" s="17">
        <f t="shared" si="3"/>
        <v>45901</v>
      </c>
      <c r="D113">
        <f t="shared" si="4"/>
        <v>0</v>
      </c>
    </row>
    <row r="114" spans="1:4" x14ac:dyDescent="0.3">
      <c r="A114" s="17">
        <v>45905</v>
      </c>
      <c r="B114">
        <v>0.15</v>
      </c>
      <c r="C114" s="17">
        <f t="shared" si="3"/>
        <v>45901</v>
      </c>
      <c r="D114">
        <f t="shared" si="4"/>
        <v>0</v>
      </c>
    </row>
    <row r="115" spans="1:4" x14ac:dyDescent="0.3">
      <c r="A115" s="17">
        <v>45904</v>
      </c>
      <c r="B115">
        <v>0.2</v>
      </c>
      <c r="C115" s="17">
        <f t="shared" si="3"/>
        <v>45901</v>
      </c>
      <c r="D115">
        <f t="shared" si="4"/>
        <v>1</v>
      </c>
    </row>
    <row r="116" spans="1:4" x14ac:dyDescent="0.3">
      <c r="A116" s="17">
        <v>45903</v>
      </c>
      <c r="B116">
        <v>0.3</v>
      </c>
      <c r="C116" s="17">
        <f t="shared" si="3"/>
        <v>45901</v>
      </c>
      <c r="D116">
        <f t="shared" si="4"/>
        <v>1</v>
      </c>
    </row>
    <row r="117" spans="1:4" x14ac:dyDescent="0.3">
      <c r="A117" s="17">
        <v>45902</v>
      </c>
      <c r="B117">
        <v>0.5</v>
      </c>
      <c r="C117" s="17">
        <f t="shared" si="3"/>
        <v>45901</v>
      </c>
      <c r="D117">
        <f t="shared" si="4"/>
        <v>1</v>
      </c>
    </row>
    <row r="118" spans="1:4" x14ac:dyDescent="0.3">
      <c r="A118" s="17">
        <v>45901</v>
      </c>
      <c r="B118">
        <v>0.6</v>
      </c>
      <c r="C118" s="17">
        <f t="shared" si="3"/>
        <v>45901</v>
      </c>
      <c r="D118">
        <f t="shared" si="4"/>
        <v>1</v>
      </c>
    </row>
    <row r="119" spans="1:4" x14ac:dyDescent="0.3">
      <c r="A119" s="17">
        <v>45898</v>
      </c>
      <c r="B119">
        <v>-0.6</v>
      </c>
      <c r="C119" s="17">
        <f t="shared" si="3"/>
        <v>45870</v>
      </c>
      <c r="D119">
        <f t="shared" si="4"/>
        <v>0</v>
      </c>
    </row>
    <row r="120" spans="1:4" x14ac:dyDescent="0.3">
      <c r="A120" s="17">
        <v>45897</v>
      </c>
      <c r="B120">
        <v>-0.8</v>
      </c>
      <c r="C120" s="17">
        <f t="shared" si="3"/>
        <v>45870</v>
      </c>
      <c r="D120">
        <f t="shared" si="4"/>
        <v>0</v>
      </c>
    </row>
    <row r="121" spans="1:4" x14ac:dyDescent="0.3">
      <c r="A121" s="17">
        <v>45896</v>
      </c>
      <c r="B121">
        <v>-0.95</v>
      </c>
      <c r="C121" s="17">
        <f t="shared" si="3"/>
        <v>45870</v>
      </c>
      <c r="D121">
        <f t="shared" si="4"/>
        <v>0</v>
      </c>
    </row>
    <row r="122" spans="1:4" x14ac:dyDescent="0.3">
      <c r="A122" s="17">
        <v>45895</v>
      </c>
      <c r="B122">
        <v>-0.9</v>
      </c>
      <c r="C122" s="17">
        <f t="shared" si="3"/>
        <v>45870</v>
      </c>
      <c r="D122">
        <f t="shared" si="4"/>
        <v>0</v>
      </c>
    </row>
    <row r="123" spans="1:4" x14ac:dyDescent="0.3">
      <c r="A123" s="17">
        <v>45894</v>
      </c>
      <c r="B123">
        <v>-0.95</v>
      </c>
      <c r="C123" s="17">
        <f t="shared" si="3"/>
        <v>45870</v>
      </c>
      <c r="D123">
        <f t="shared" si="4"/>
        <v>0</v>
      </c>
    </row>
    <row r="124" spans="1:4" x14ac:dyDescent="0.3">
      <c r="A124" s="17">
        <v>45891</v>
      </c>
      <c r="B124">
        <v>-0.8</v>
      </c>
      <c r="C124" s="17">
        <f t="shared" si="3"/>
        <v>45870</v>
      </c>
      <c r="D124">
        <f t="shared" si="4"/>
        <v>0</v>
      </c>
    </row>
    <row r="125" spans="1:4" x14ac:dyDescent="0.3">
      <c r="A125" s="17">
        <v>45890</v>
      </c>
      <c r="B125">
        <v>-0.6</v>
      </c>
      <c r="C125" s="17">
        <f t="shared" si="3"/>
        <v>45870</v>
      </c>
      <c r="D125">
        <f t="shared" si="4"/>
        <v>0</v>
      </c>
    </row>
    <row r="126" spans="1:4" x14ac:dyDescent="0.3">
      <c r="A126" s="17">
        <v>45889</v>
      </c>
      <c r="B126">
        <v>-0.55000000000000004</v>
      </c>
      <c r="C126" s="17">
        <f t="shared" si="3"/>
        <v>45870</v>
      </c>
      <c r="D126">
        <f t="shared" si="4"/>
        <v>0</v>
      </c>
    </row>
    <row r="127" spans="1:4" x14ac:dyDescent="0.3">
      <c r="A127" s="17">
        <v>45888</v>
      </c>
      <c r="B127">
        <v>-0.65</v>
      </c>
      <c r="C127" s="17">
        <f t="shared" si="3"/>
        <v>45870</v>
      </c>
      <c r="D127">
        <f t="shared" si="4"/>
        <v>0</v>
      </c>
    </row>
    <row r="128" spans="1:4" x14ac:dyDescent="0.3">
      <c r="A128" s="17">
        <v>45887</v>
      </c>
      <c r="B128">
        <v>-0.8</v>
      </c>
      <c r="C128" s="17">
        <f t="shared" si="3"/>
        <v>45870</v>
      </c>
      <c r="D128">
        <f t="shared" si="4"/>
        <v>0</v>
      </c>
    </row>
    <row r="129" spans="1:4" x14ac:dyDescent="0.3">
      <c r="A129" s="17">
        <v>45884</v>
      </c>
      <c r="B129">
        <v>-0.6</v>
      </c>
      <c r="C129" s="17">
        <f t="shared" si="3"/>
        <v>45870</v>
      </c>
      <c r="D129">
        <f t="shared" si="4"/>
        <v>0</v>
      </c>
    </row>
    <row r="130" spans="1:4" x14ac:dyDescent="0.3">
      <c r="A130" s="17">
        <v>45883</v>
      </c>
      <c r="B130">
        <v>-0.7</v>
      </c>
      <c r="C130" s="17">
        <f t="shared" si="3"/>
        <v>45870</v>
      </c>
      <c r="D130">
        <f t="shared" si="4"/>
        <v>0</v>
      </c>
    </row>
    <row r="131" spans="1:4" x14ac:dyDescent="0.3">
      <c r="A131" s="17">
        <v>45882</v>
      </c>
      <c r="B131">
        <v>-0.95</v>
      </c>
      <c r="C131" s="17">
        <f t="shared" si="3"/>
        <v>45870</v>
      </c>
      <c r="D131">
        <f t="shared" si="4"/>
        <v>0</v>
      </c>
    </row>
    <row r="132" spans="1:4" x14ac:dyDescent="0.3">
      <c r="A132" s="17">
        <v>45881</v>
      </c>
      <c r="B132">
        <v>-1.2</v>
      </c>
      <c r="C132" s="17">
        <f t="shared" si="3"/>
        <v>45870</v>
      </c>
      <c r="D132">
        <f t="shared" si="4"/>
        <v>0</v>
      </c>
    </row>
    <row r="133" spans="1:4" x14ac:dyDescent="0.3">
      <c r="A133" s="17">
        <v>45880</v>
      </c>
      <c r="B133">
        <v>-1.2</v>
      </c>
      <c r="C133" s="17">
        <f t="shared" si="3"/>
        <v>45870</v>
      </c>
      <c r="D133">
        <f t="shared" si="4"/>
        <v>0</v>
      </c>
    </row>
    <row r="134" spans="1:4" x14ac:dyDescent="0.3">
      <c r="A134" s="17">
        <v>45877</v>
      </c>
      <c r="B134">
        <v>-1.45</v>
      </c>
      <c r="C134" s="17">
        <f t="shared" ref="C134:C197" si="6">+DATE(+YEAR(A134),+MONTH(A134),1)</f>
        <v>45870</v>
      </c>
      <c r="D134">
        <f t="shared" ref="D134:D197" si="7">IF(AND(+DAY(A134)&gt;=1,+DAY(A134)&lt;= 4), 1, 0)</f>
        <v>0</v>
      </c>
    </row>
    <row r="135" spans="1:4" x14ac:dyDescent="0.3">
      <c r="A135" s="17">
        <v>45876</v>
      </c>
      <c r="B135">
        <v>-1.05</v>
      </c>
      <c r="C135" s="17">
        <f t="shared" si="6"/>
        <v>45870</v>
      </c>
      <c r="D135">
        <f t="shared" si="7"/>
        <v>0</v>
      </c>
    </row>
    <row r="136" spans="1:4" x14ac:dyDescent="0.3">
      <c r="A136" s="17">
        <v>45875</v>
      </c>
      <c r="B136">
        <v>-0.8</v>
      </c>
      <c r="C136" s="17">
        <f t="shared" si="6"/>
        <v>45870</v>
      </c>
      <c r="D136">
        <f t="shared" si="7"/>
        <v>0</v>
      </c>
    </row>
    <row r="137" spans="1:4" x14ac:dyDescent="0.3">
      <c r="A137" s="17">
        <v>45874</v>
      </c>
      <c r="B137">
        <v>-0.9</v>
      </c>
      <c r="C137" s="17">
        <f t="shared" si="6"/>
        <v>45870</v>
      </c>
      <c r="D137">
        <f t="shared" si="7"/>
        <v>0</v>
      </c>
    </row>
    <row r="138" spans="1:4" x14ac:dyDescent="0.3">
      <c r="A138" s="17">
        <v>45873</v>
      </c>
      <c r="B138">
        <v>-0.7</v>
      </c>
      <c r="C138" s="17">
        <f t="shared" si="6"/>
        <v>45870</v>
      </c>
      <c r="D138">
        <f t="shared" si="7"/>
        <v>1</v>
      </c>
    </row>
    <row r="139" spans="1:4" x14ac:dyDescent="0.3">
      <c r="A139" s="17">
        <v>45870</v>
      </c>
      <c r="B139">
        <v>-0.6</v>
      </c>
      <c r="C139" s="17">
        <f t="shared" si="6"/>
        <v>45870</v>
      </c>
      <c r="D139">
        <f t="shared" si="7"/>
        <v>1</v>
      </c>
    </row>
    <row r="140" spans="1:4" x14ac:dyDescent="0.3">
      <c r="A140" s="17">
        <v>45869</v>
      </c>
      <c r="B140">
        <v>-0.5</v>
      </c>
      <c r="C140" s="17">
        <f t="shared" si="6"/>
        <v>45839</v>
      </c>
      <c r="D140">
        <f t="shared" si="7"/>
        <v>0</v>
      </c>
    </row>
    <row r="141" spans="1:4" x14ac:dyDescent="0.3">
      <c r="A141" s="17">
        <v>45868</v>
      </c>
      <c r="B141">
        <v>-0.05</v>
      </c>
      <c r="C141" s="17">
        <f t="shared" si="6"/>
        <v>45839</v>
      </c>
      <c r="D141">
        <f t="shared" si="7"/>
        <v>0</v>
      </c>
    </row>
    <row r="142" spans="1:4" x14ac:dyDescent="0.3">
      <c r="A142" s="17">
        <v>45867</v>
      </c>
      <c r="B142">
        <v>-0.3</v>
      </c>
      <c r="C142" s="17">
        <f t="shared" si="6"/>
        <v>45839</v>
      </c>
      <c r="D142">
        <f t="shared" si="7"/>
        <v>0</v>
      </c>
    </row>
    <row r="143" spans="1:4" x14ac:dyDescent="0.3">
      <c r="A143" s="17">
        <v>45866</v>
      </c>
      <c r="B143">
        <v>-0.2</v>
      </c>
      <c r="C143" s="17">
        <f t="shared" si="6"/>
        <v>45839</v>
      </c>
      <c r="D143">
        <f t="shared" si="7"/>
        <v>0</v>
      </c>
    </row>
    <row r="144" spans="1:4" x14ac:dyDescent="0.3">
      <c r="A144" s="17">
        <v>45863</v>
      </c>
      <c r="B144">
        <v>-0.15</v>
      </c>
      <c r="C144" s="17">
        <f t="shared" si="6"/>
        <v>45839</v>
      </c>
      <c r="D144">
        <f t="shared" si="7"/>
        <v>0</v>
      </c>
    </row>
    <row r="145" spans="1:4" x14ac:dyDescent="0.3">
      <c r="A145" s="17">
        <v>45862</v>
      </c>
      <c r="B145">
        <v>-0.2</v>
      </c>
      <c r="C145" s="17">
        <f t="shared" si="6"/>
        <v>45839</v>
      </c>
      <c r="D145">
        <f t="shared" si="7"/>
        <v>0</v>
      </c>
    </row>
    <row r="146" spans="1:4" x14ac:dyDescent="0.3">
      <c r="A146" s="17">
        <v>45861</v>
      </c>
      <c r="B146">
        <v>-0.25</v>
      </c>
      <c r="C146" s="17">
        <f t="shared" si="6"/>
        <v>45839</v>
      </c>
      <c r="D146">
        <f t="shared" si="7"/>
        <v>0</v>
      </c>
    </row>
    <row r="147" spans="1:4" x14ac:dyDescent="0.3">
      <c r="A147" s="17">
        <v>45860</v>
      </c>
      <c r="B147">
        <v>0.45</v>
      </c>
      <c r="C147" s="17">
        <f t="shared" si="6"/>
        <v>45839</v>
      </c>
      <c r="D147">
        <f t="shared" si="7"/>
        <v>0</v>
      </c>
    </row>
    <row r="148" spans="1:4" x14ac:dyDescent="0.3">
      <c r="A148" s="17">
        <v>45859</v>
      </c>
      <c r="B148">
        <v>0.6</v>
      </c>
      <c r="C148" s="17">
        <f t="shared" si="6"/>
        <v>45839</v>
      </c>
      <c r="D148">
        <f t="shared" si="7"/>
        <v>0</v>
      </c>
    </row>
    <row r="149" spans="1:4" x14ac:dyDescent="0.3">
      <c r="A149" s="17">
        <v>45856</v>
      </c>
      <c r="B149">
        <v>0.45</v>
      </c>
      <c r="C149" s="17">
        <f t="shared" si="6"/>
        <v>45839</v>
      </c>
      <c r="D149">
        <f t="shared" si="7"/>
        <v>0</v>
      </c>
    </row>
    <row r="150" spans="1:4" x14ac:dyDescent="0.3">
      <c r="A150" s="17">
        <v>45855</v>
      </c>
      <c r="B150">
        <v>0.4</v>
      </c>
      <c r="C150" s="17">
        <f t="shared" si="6"/>
        <v>45839</v>
      </c>
      <c r="D150">
        <f t="shared" si="7"/>
        <v>0</v>
      </c>
    </row>
    <row r="151" spans="1:4" x14ac:dyDescent="0.3">
      <c r="A151" s="17">
        <v>45854</v>
      </c>
      <c r="B151">
        <v>0.55000000000000004</v>
      </c>
      <c r="C151" s="17">
        <f t="shared" si="6"/>
        <v>45839</v>
      </c>
      <c r="D151">
        <f t="shared" si="7"/>
        <v>0</v>
      </c>
    </row>
    <row r="152" spans="1:4" x14ac:dyDescent="0.3">
      <c r="A152" s="17">
        <v>45853</v>
      </c>
      <c r="B152">
        <v>0.7</v>
      </c>
      <c r="C152" s="17">
        <f t="shared" si="6"/>
        <v>45839</v>
      </c>
      <c r="D152">
        <f t="shared" si="7"/>
        <v>0</v>
      </c>
    </row>
    <row r="153" spans="1:4" x14ac:dyDescent="0.3">
      <c r="A153" s="17">
        <v>45852</v>
      </c>
      <c r="B153">
        <v>1.1000000000000001</v>
      </c>
      <c r="C153" s="17">
        <f t="shared" si="6"/>
        <v>45839</v>
      </c>
      <c r="D153">
        <f t="shared" si="7"/>
        <v>0</v>
      </c>
    </row>
    <row r="154" spans="1:4" x14ac:dyDescent="0.3">
      <c r="A154" s="17">
        <v>45849</v>
      </c>
      <c r="B154">
        <v>0.85</v>
      </c>
      <c r="C154" s="17">
        <f t="shared" si="6"/>
        <v>45839</v>
      </c>
      <c r="D154">
        <f t="shared" si="7"/>
        <v>0</v>
      </c>
    </row>
    <row r="155" spans="1:4" x14ac:dyDescent="0.3">
      <c r="A155" s="17">
        <v>45848</v>
      </c>
      <c r="B155">
        <v>0.9</v>
      </c>
      <c r="C155" s="17">
        <f t="shared" si="6"/>
        <v>45839</v>
      </c>
      <c r="D155">
        <f t="shared" si="7"/>
        <v>0</v>
      </c>
    </row>
    <row r="156" spans="1:4" x14ac:dyDescent="0.3">
      <c r="A156" s="17">
        <v>45847</v>
      </c>
      <c r="B156">
        <v>0.9</v>
      </c>
      <c r="C156" s="17">
        <f t="shared" si="6"/>
        <v>45839</v>
      </c>
      <c r="D156">
        <f t="shared" si="7"/>
        <v>0</v>
      </c>
    </row>
    <row r="157" spans="1:4" x14ac:dyDescent="0.3">
      <c r="A157" s="17">
        <v>45846</v>
      </c>
      <c r="B157">
        <v>0.85</v>
      </c>
      <c r="C157" s="17">
        <f t="shared" si="6"/>
        <v>45839</v>
      </c>
      <c r="D157">
        <f t="shared" si="7"/>
        <v>0</v>
      </c>
    </row>
    <row r="158" spans="1:4" x14ac:dyDescent="0.3">
      <c r="A158" s="17">
        <v>45845</v>
      </c>
      <c r="B158">
        <v>0.7</v>
      </c>
      <c r="C158" s="17">
        <f t="shared" si="6"/>
        <v>45839</v>
      </c>
      <c r="D158">
        <f t="shared" si="7"/>
        <v>0</v>
      </c>
    </row>
    <row r="159" spans="1:4" x14ac:dyDescent="0.3">
      <c r="A159" s="17">
        <v>45842</v>
      </c>
      <c r="B159">
        <v>0.95</v>
      </c>
      <c r="C159" s="17">
        <f t="shared" si="6"/>
        <v>45839</v>
      </c>
      <c r="D159">
        <f t="shared" si="7"/>
        <v>1</v>
      </c>
    </row>
    <row r="160" spans="1:4" x14ac:dyDescent="0.3">
      <c r="A160" s="17">
        <v>45841</v>
      </c>
      <c r="B160">
        <v>1.1499999999999999</v>
      </c>
      <c r="C160" s="17">
        <f t="shared" si="6"/>
        <v>45839</v>
      </c>
      <c r="D160">
        <f t="shared" si="7"/>
        <v>1</v>
      </c>
    </row>
    <row r="161" spans="1:4" x14ac:dyDescent="0.3">
      <c r="A161" s="17">
        <v>45840</v>
      </c>
      <c r="B161">
        <v>1.1000000000000001</v>
      </c>
      <c r="C161" s="17">
        <f t="shared" si="6"/>
        <v>45839</v>
      </c>
      <c r="D161">
        <f t="shared" si="7"/>
        <v>1</v>
      </c>
    </row>
    <row r="162" spans="1:4" x14ac:dyDescent="0.3">
      <c r="A162" s="17">
        <v>45839</v>
      </c>
      <c r="B162">
        <v>1.1000000000000001</v>
      </c>
      <c r="C162" s="17">
        <f t="shared" si="6"/>
        <v>45839</v>
      </c>
      <c r="D162">
        <f t="shared" si="7"/>
        <v>1</v>
      </c>
    </row>
    <row r="163" spans="1:4" x14ac:dyDescent="0.3">
      <c r="A163" s="17">
        <v>45838</v>
      </c>
      <c r="B163">
        <v>1.4</v>
      </c>
      <c r="C163" s="17">
        <f t="shared" si="6"/>
        <v>45809</v>
      </c>
      <c r="D163">
        <f t="shared" si="7"/>
        <v>0</v>
      </c>
    </row>
    <row r="164" spans="1:4" x14ac:dyDescent="0.3">
      <c r="A164" s="17">
        <v>45835</v>
      </c>
      <c r="B164">
        <v>1.35</v>
      </c>
      <c r="C164" s="17">
        <f t="shared" si="6"/>
        <v>45809</v>
      </c>
      <c r="D164">
        <f t="shared" si="7"/>
        <v>0</v>
      </c>
    </row>
    <row r="165" spans="1:4" x14ac:dyDescent="0.3">
      <c r="A165" s="17">
        <v>45834</v>
      </c>
      <c r="B165">
        <v>1.25</v>
      </c>
      <c r="C165" s="17">
        <f t="shared" si="6"/>
        <v>45809</v>
      </c>
      <c r="D165">
        <f t="shared" si="7"/>
        <v>0</v>
      </c>
    </row>
    <row r="166" spans="1:4" x14ac:dyDescent="0.3">
      <c r="A166" s="17">
        <v>45833</v>
      </c>
      <c r="B166">
        <v>0.95</v>
      </c>
      <c r="C166" s="17">
        <f t="shared" si="6"/>
        <v>45809</v>
      </c>
      <c r="D166">
        <f t="shared" si="7"/>
        <v>0</v>
      </c>
    </row>
    <row r="167" spans="1:4" x14ac:dyDescent="0.3">
      <c r="A167" s="17">
        <v>45832</v>
      </c>
      <c r="B167">
        <v>1.2</v>
      </c>
      <c r="C167" s="17">
        <f t="shared" si="6"/>
        <v>45809</v>
      </c>
      <c r="D167">
        <f t="shared" si="7"/>
        <v>0</v>
      </c>
    </row>
    <row r="168" spans="1:4" x14ac:dyDescent="0.3">
      <c r="A168" s="17">
        <v>45831</v>
      </c>
      <c r="B168">
        <v>1.65</v>
      </c>
      <c r="C168" s="17">
        <f t="shared" si="6"/>
        <v>45809</v>
      </c>
      <c r="D168">
        <f t="shared" si="7"/>
        <v>0</v>
      </c>
    </row>
    <row r="169" spans="1:4" x14ac:dyDescent="0.3">
      <c r="A169" s="17">
        <v>45828</v>
      </c>
      <c r="B169">
        <v>2</v>
      </c>
      <c r="C169" s="17">
        <f t="shared" si="6"/>
        <v>45809</v>
      </c>
      <c r="D169">
        <f t="shared" si="7"/>
        <v>0</v>
      </c>
    </row>
    <row r="170" spans="1:4" x14ac:dyDescent="0.3">
      <c r="A170" s="17">
        <v>45827</v>
      </c>
      <c r="B170">
        <v>2.15</v>
      </c>
      <c r="C170" s="17">
        <f t="shared" si="6"/>
        <v>45809</v>
      </c>
      <c r="D170">
        <f t="shared" si="7"/>
        <v>0</v>
      </c>
    </row>
    <row r="171" spans="1:4" x14ac:dyDescent="0.3">
      <c r="A171" s="17">
        <v>45826</v>
      </c>
      <c r="B171">
        <v>1.65</v>
      </c>
      <c r="C171" s="17">
        <f t="shared" si="6"/>
        <v>45809</v>
      </c>
      <c r="D171">
        <f t="shared" si="7"/>
        <v>0</v>
      </c>
    </row>
    <row r="172" spans="1:4" x14ac:dyDescent="0.3">
      <c r="A172" s="17">
        <v>45825</v>
      </c>
      <c r="B172">
        <v>1.4</v>
      </c>
      <c r="C172" s="17">
        <f t="shared" si="6"/>
        <v>45809</v>
      </c>
      <c r="D172">
        <f t="shared" si="7"/>
        <v>0</v>
      </c>
    </row>
    <row r="173" spans="1:4" x14ac:dyDescent="0.3">
      <c r="A173" s="17">
        <v>45824</v>
      </c>
      <c r="B173">
        <v>1.1000000000000001</v>
      </c>
      <c r="C173" s="17">
        <f t="shared" si="6"/>
        <v>45809</v>
      </c>
      <c r="D173">
        <f t="shared" si="7"/>
        <v>0</v>
      </c>
    </row>
    <row r="174" spans="1:4" x14ac:dyDescent="0.3">
      <c r="A174" s="17">
        <v>45821</v>
      </c>
      <c r="B174">
        <v>0.6</v>
      </c>
      <c r="C174" s="17">
        <f t="shared" si="6"/>
        <v>45809</v>
      </c>
      <c r="D174">
        <f t="shared" si="7"/>
        <v>0</v>
      </c>
    </row>
    <row r="175" spans="1:4" x14ac:dyDescent="0.3">
      <c r="A175" s="17">
        <v>45820</v>
      </c>
      <c r="B175">
        <v>0.5</v>
      </c>
      <c r="C175" s="17">
        <f t="shared" si="6"/>
        <v>45809</v>
      </c>
      <c r="D175">
        <f t="shared" si="7"/>
        <v>0</v>
      </c>
    </row>
    <row r="176" spans="1:4" x14ac:dyDescent="0.3">
      <c r="A176" s="17">
        <v>45819</v>
      </c>
      <c r="B176">
        <v>0</v>
      </c>
      <c r="C176" s="17">
        <f t="shared" si="6"/>
        <v>45809</v>
      </c>
      <c r="D176">
        <f t="shared" si="7"/>
        <v>0</v>
      </c>
    </row>
    <row r="177" spans="1:4" x14ac:dyDescent="0.3">
      <c r="A177" s="17">
        <v>45818</v>
      </c>
      <c r="B177">
        <v>0.35</v>
      </c>
      <c r="C177" s="17">
        <f t="shared" si="6"/>
        <v>45809</v>
      </c>
      <c r="D177">
        <f t="shared" si="7"/>
        <v>0</v>
      </c>
    </row>
    <row r="178" spans="1:4" x14ac:dyDescent="0.3">
      <c r="A178" s="17">
        <v>45817</v>
      </c>
      <c r="B178">
        <v>0.2</v>
      </c>
      <c r="C178" s="17">
        <f t="shared" si="6"/>
        <v>45809</v>
      </c>
      <c r="D178">
        <f t="shared" si="7"/>
        <v>0</v>
      </c>
    </row>
    <row r="179" spans="1:4" x14ac:dyDescent="0.3">
      <c r="A179" s="17">
        <v>45814</v>
      </c>
      <c r="B179">
        <v>-0.1</v>
      </c>
      <c r="C179" s="17">
        <f t="shared" si="6"/>
        <v>45809</v>
      </c>
      <c r="D179">
        <f t="shared" si="7"/>
        <v>0</v>
      </c>
    </row>
    <row r="180" spans="1:4" x14ac:dyDescent="0.3">
      <c r="A180" s="17">
        <v>45813</v>
      </c>
      <c r="B180">
        <v>-0.3</v>
      </c>
      <c r="C180" s="17">
        <f t="shared" si="6"/>
        <v>45809</v>
      </c>
      <c r="D180">
        <f t="shared" si="7"/>
        <v>0</v>
      </c>
    </row>
    <row r="181" spans="1:4" x14ac:dyDescent="0.3">
      <c r="A181" s="17">
        <v>45812</v>
      </c>
      <c r="B181">
        <v>-0.05</v>
      </c>
      <c r="C181" s="17">
        <f t="shared" si="6"/>
        <v>45809</v>
      </c>
      <c r="D181">
        <f t="shared" si="7"/>
        <v>1</v>
      </c>
    </row>
    <row r="182" spans="1:4" x14ac:dyDescent="0.3">
      <c r="A182" s="17">
        <v>45811</v>
      </c>
      <c r="B182">
        <v>0.3</v>
      </c>
      <c r="C182" s="17">
        <f t="shared" si="6"/>
        <v>45809</v>
      </c>
      <c r="D182">
        <f t="shared" si="7"/>
        <v>1</v>
      </c>
    </row>
    <row r="183" spans="1:4" x14ac:dyDescent="0.3">
      <c r="A183" s="17">
        <v>45810</v>
      </c>
      <c r="B183">
        <v>0.45</v>
      </c>
      <c r="C183" s="17">
        <f t="shared" si="6"/>
        <v>45809</v>
      </c>
      <c r="D183">
        <f t="shared" si="7"/>
        <v>1</v>
      </c>
    </row>
    <row r="184" spans="1:4" x14ac:dyDescent="0.3">
      <c r="A184" s="17">
        <v>45807</v>
      </c>
      <c r="B184">
        <v>0.35</v>
      </c>
      <c r="C184" s="17">
        <f t="shared" si="6"/>
        <v>45778</v>
      </c>
      <c r="D184">
        <f t="shared" si="7"/>
        <v>0</v>
      </c>
    </row>
    <row r="185" spans="1:4" x14ac:dyDescent="0.3">
      <c r="A185" s="17">
        <v>45806</v>
      </c>
      <c r="B185">
        <v>0.45</v>
      </c>
      <c r="C185" s="17">
        <f t="shared" si="6"/>
        <v>45778</v>
      </c>
      <c r="D185">
        <f t="shared" si="7"/>
        <v>0</v>
      </c>
    </row>
    <row r="186" spans="1:4" x14ac:dyDescent="0.3">
      <c r="A186" s="17">
        <v>45805</v>
      </c>
      <c r="B186">
        <v>0.45</v>
      </c>
      <c r="C186" s="17">
        <f t="shared" si="6"/>
        <v>45778</v>
      </c>
      <c r="D186">
        <f t="shared" si="7"/>
        <v>0</v>
      </c>
    </row>
    <row r="187" spans="1:4" x14ac:dyDescent="0.3">
      <c r="A187" s="17">
        <v>45804</v>
      </c>
      <c r="B187">
        <v>0.3</v>
      </c>
      <c r="C187" s="17">
        <f t="shared" si="6"/>
        <v>45778</v>
      </c>
      <c r="D187">
        <f t="shared" si="7"/>
        <v>0</v>
      </c>
    </row>
    <row r="188" spans="1:4" x14ac:dyDescent="0.3">
      <c r="A188" s="17">
        <v>45803</v>
      </c>
      <c r="B188">
        <v>-0.15</v>
      </c>
      <c r="C188" s="17">
        <f t="shared" si="6"/>
        <v>45778</v>
      </c>
      <c r="D188">
        <f t="shared" si="7"/>
        <v>0</v>
      </c>
    </row>
    <row r="189" spans="1:4" x14ac:dyDescent="0.3">
      <c r="A189" s="17">
        <v>45800</v>
      </c>
      <c r="B189">
        <v>0.1</v>
      </c>
      <c r="C189" s="17">
        <f t="shared" si="6"/>
        <v>45778</v>
      </c>
      <c r="D189">
        <f t="shared" si="7"/>
        <v>0</v>
      </c>
    </row>
    <row r="190" spans="1:4" x14ac:dyDescent="0.3">
      <c r="A190" s="17">
        <v>45799</v>
      </c>
      <c r="B190">
        <v>0.05</v>
      </c>
      <c r="C190" s="17">
        <f t="shared" si="6"/>
        <v>45778</v>
      </c>
      <c r="D190">
        <f t="shared" si="7"/>
        <v>0</v>
      </c>
    </row>
    <row r="191" spans="1:4" x14ac:dyDescent="0.3">
      <c r="A191" s="17">
        <v>45798</v>
      </c>
      <c r="B191">
        <v>0.5</v>
      </c>
      <c r="C191" s="17">
        <f t="shared" si="6"/>
        <v>45778</v>
      </c>
      <c r="D191">
        <f t="shared" si="7"/>
        <v>0</v>
      </c>
    </row>
    <row r="192" spans="1:4" x14ac:dyDescent="0.3">
      <c r="A192" s="17">
        <v>45797</v>
      </c>
      <c r="B192">
        <v>0.4</v>
      </c>
      <c r="C192" s="17">
        <f t="shared" si="6"/>
        <v>45778</v>
      </c>
      <c r="D192">
        <f t="shared" si="7"/>
        <v>0</v>
      </c>
    </row>
    <row r="193" spans="1:4" x14ac:dyDescent="0.3">
      <c r="A193" s="17">
        <v>45796</v>
      </c>
      <c r="B193">
        <v>0.2</v>
      </c>
      <c r="C193" s="17">
        <f t="shared" si="6"/>
        <v>45778</v>
      </c>
      <c r="D193">
        <f t="shared" si="7"/>
        <v>0</v>
      </c>
    </row>
    <row r="194" spans="1:4" x14ac:dyDescent="0.3">
      <c r="A194" s="17">
        <v>45793</v>
      </c>
      <c r="B194">
        <v>-0.3</v>
      </c>
      <c r="C194" s="17">
        <f t="shared" si="6"/>
        <v>45778</v>
      </c>
      <c r="D194">
        <f t="shared" si="7"/>
        <v>0</v>
      </c>
    </row>
    <row r="195" spans="1:4" x14ac:dyDescent="0.3">
      <c r="A195" s="17">
        <v>45792</v>
      </c>
      <c r="B195">
        <v>-0.15</v>
      </c>
      <c r="C195" s="17">
        <f t="shared" si="6"/>
        <v>45778</v>
      </c>
      <c r="D195">
        <f t="shared" si="7"/>
        <v>0</v>
      </c>
    </row>
    <row r="196" spans="1:4" x14ac:dyDescent="0.3">
      <c r="A196" s="17">
        <v>45791</v>
      </c>
      <c r="B196">
        <v>-0.3</v>
      </c>
      <c r="C196" s="17">
        <f t="shared" si="6"/>
        <v>45778</v>
      </c>
      <c r="D196">
        <f t="shared" si="7"/>
        <v>0</v>
      </c>
    </row>
    <row r="197" spans="1:4" x14ac:dyDescent="0.3">
      <c r="A197" s="17">
        <v>45790</v>
      </c>
      <c r="B197">
        <v>0</v>
      </c>
      <c r="C197" s="17">
        <f t="shared" si="6"/>
        <v>45778</v>
      </c>
      <c r="D197">
        <f t="shared" si="7"/>
        <v>0</v>
      </c>
    </row>
    <row r="198" spans="1:4" x14ac:dyDescent="0.3">
      <c r="A198" s="17">
        <v>45786</v>
      </c>
      <c r="B198">
        <v>0.1</v>
      </c>
      <c r="C198" s="17">
        <f t="shared" ref="C198:C261" si="8">+DATE(+YEAR(A198),+MONTH(A198),1)</f>
        <v>45778</v>
      </c>
      <c r="D198">
        <f t="shared" ref="D198:D261" si="9">IF(AND(+DAY(A198)&gt;=1,+DAY(A198)&lt;= 4), 1, 0)</f>
        <v>0</v>
      </c>
    </row>
    <row r="199" spans="1:4" x14ac:dyDescent="0.3">
      <c r="A199" s="17">
        <v>45785</v>
      </c>
      <c r="B199">
        <v>0.05</v>
      </c>
      <c r="C199" s="17">
        <f t="shared" si="8"/>
        <v>45778</v>
      </c>
      <c r="D199">
        <f t="shared" si="9"/>
        <v>0</v>
      </c>
    </row>
    <row r="200" spans="1:4" x14ac:dyDescent="0.3">
      <c r="A200" s="17">
        <v>45784</v>
      </c>
      <c r="B200">
        <v>0.1</v>
      </c>
      <c r="C200" s="17">
        <f t="shared" si="8"/>
        <v>45778</v>
      </c>
      <c r="D200">
        <f t="shared" si="9"/>
        <v>0</v>
      </c>
    </row>
    <row r="201" spans="1:4" x14ac:dyDescent="0.3">
      <c r="A201" s="17">
        <v>45783</v>
      </c>
      <c r="B201">
        <v>-0.2</v>
      </c>
      <c r="C201" s="17">
        <f t="shared" si="8"/>
        <v>45778</v>
      </c>
      <c r="D201">
        <f t="shared" si="9"/>
        <v>0</v>
      </c>
    </row>
    <row r="202" spans="1:4" x14ac:dyDescent="0.3">
      <c r="A202" s="17">
        <v>45782</v>
      </c>
      <c r="B202">
        <v>-0.45</v>
      </c>
      <c r="C202" s="17">
        <f t="shared" si="8"/>
        <v>45778</v>
      </c>
      <c r="D202">
        <f t="shared" si="9"/>
        <v>0</v>
      </c>
    </row>
    <row r="203" spans="1:4" x14ac:dyDescent="0.3">
      <c r="A203" s="17">
        <v>45779</v>
      </c>
      <c r="B203">
        <v>-0.45</v>
      </c>
      <c r="C203" s="17">
        <f t="shared" si="8"/>
        <v>45778</v>
      </c>
      <c r="D203">
        <f t="shared" si="9"/>
        <v>1</v>
      </c>
    </row>
    <row r="204" spans="1:4" x14ac:dyDescent="0.3">
      <c r="A204" s="17">
        <v>45777</v>
      </c>
      <c r="B204">
        <v>-0.3</v>
      </c>
      <c r="C204" s="17">
        <f t="shared" si="8"/>
        <v>45748</v>
      </c>
      <c r="D204">
        <f t="shared" si="9"/>
        <v>0</v>
      </c>
    </row>
    <row r="205" spans="1:4" x14ac:dyDescent="0.3">
      <c r="A205" s="17">
        <v>45776</v>
      </c>
      <c r="B205">
        <v>-0.5</v>
      </c>
      <c r="C205" s="17">
        <f t="shared" si="8"/>
        <v>45748</v>
      </c>
      <c r="D205">
        <f t="shared" si="9"/>
        <v>0</v>
      </c>
    </row>
    <row r="206" spans="1:4" x14ac:dyDescent="0.3">
      <c r="A206" s="17">
        <v>45775</v>
      </c>
      <c r="B206">
        <v>0.2</v>
      </c>
      <c r="C206" s="17">
        <f t="shared" si="8"/>
        <v>45748</v>
      </c>
      <c r="D206">
        <f t="shared" si="9"/>
        <v>0</v>
      </c>
    </row>
    <row r="207" spans="1:4" x14ac:dyDescent="0.3">
      <c r="A207" s="17">
        <v>45772</v>
      </c>
      <c r="B207">
        <v>0.45</v>
      </c>
      <c r="C207" s="17">
        <f t="shared" si="8"/>
        <v>45748</v>
      </c>
      <c r="D207">
        <f t="shared" si="9"/>
        <v>0</v>
      </c>
    </row>
    <row r="208" spans="1:4" x14ac:dyDescent="0.3">
      <c r="A208" s="17">
        <v>45771</v>
      </c>
      <c r="B208">
        <v>0.85</v>
      </c>
      <c r="C208" s="17">
        <f t="shared" si="8"/>
        <v>45748</v>
      </c>
      <c r="D208">
        <f t="shared" si="9"/>
        <v>0</v>
      </c>
    </row>
    <row r="209" spans="1:4" x14ac:dyDescent="0.3">
      <c r="A209" s="17">
        <v>45770</v>
      </c>
      <c r="B209">
        <v>0.8</v>
      </c>
      <c r="C209" s="17">
        <f t="shared" si="8"/>
        <v>45748</v>
      </c>
      <c r="D209">
        <f t="shared" si="9"/>
        <v>0</v>
      </c>
    </row>
    <row r="210" spans="1:4" x14ac:dyDescent="0.3">
      <c r="A210" s="17">
        <v>45769</v>
      </c>
      <c r="B210">
        <v>0.9</v>
      </c>
      <c r="C210" s="17">
        <f t="shared" si="8"/>
        <v>45748</v>
      </c>
      <c r="D210">
        <f t="shared" si="9"/>
        <v>0</v>
      </c>
    </row>
    <row r="211" spans="1:4" x14ac:dyDescent="0.3">
      <c r="A211" s="17">
        <v>45768</v>
      </c>
      <c r="B211">
        <v>0.95</v>
      </c>
      <c r="C211" s="17">
        <f t="shared" si="8"/>
        <v>45748</v>
      </c>
      <c r="D211">
        <f t="shared" si="9"/>
        <v>0</v>
      </c>
    </row>
    <row r="212" spans="1:4" x14ac:dyDescent="0.3">
      <c r="A212" s="17">
        <v>45764</v>
      </c>
      <c r="B212">
        <v>0.9</v>
      </c>
      <c r="C212" s="17">
        <f t="shared" si="8"/>
        <v>45748</v>
      </c>
      <c r="D212">
        <f t="shared" si="9"/>
        <v>0</v>
      </c>
    </row>
    <row r="213" spans="1:4" x14ac:dyDescent="0.3">
      <c r="A213" s="17">
        <v>45763</v>
      </c>
      <c r="B213">
        <v>0.9</v>
      </c>
      <c r="C213" s="17">
        <f t="shared" si="8"/>
        <v>45748</v>
      </c>
      <c r="D213">
        <f t="shared" si="9"/>
        <v>0</v>
      </c>
    </row>
    <row r="214" spans="1:4" x14ac:dyDescent="0.3">
      <c r="A214" s="17">
        <v>45762</v>
      </c>
      <c r="B214">
        <v>0.7</v>
      </c>
      <c r="C214" s="17">
        <f t="shared" si="8"/>
        <v>45748</v>
      </c>
      <c r="D214">
        <f t="shared" si="9"/>
        <v>0</v>
      </c>
    </row>
    <row r="215" spans="1:4" x14ac:dyDescent="0.3">
      <c r="A215" s="17">
        <v>45761</v>
      </c>
      <c r="B215">
        <v>0.2</v>
      </c>
      <c r="C215" s="17">
        <f t="shared" si="8"/>
        <v>45748</v>
      </c>
      <c r="D215">
        <f t="shared" si="9"/>
        <v>0</v>
      </c>
    </row>
    <row r="216" spans="1:4" x14ac:dyDescent="0.3">
      <c r="A216" s="17">
        <v>45758</v>
      </c>
      <c r="B216">
        <v>0.05</v>
      </c>
      <c r="C216" s="17">
        <f t="shared" si="8"/>
        <v>45748</v>
      </c>
      <c r="D216">
        <f t="shared" si="9"/>
        <v>0</v>
      </c>
    </row>
    <row r="217" spans="1:4" x14ac:dyDescent="0.3">
      <c r="A217" s="17">
        <v>45757</v>
      </c>
      <c r="B217">
        <v>0.3</v>
      </c>
      <c r="C217" s="17">
        <f t="shared" si="8"/>
        <v>45748</v>
      </c>
      <c r="D217">
        <f t="shared" si="9"/>
        <v>0</v>
      </c>
    </row>
    <row r="218" spans="1:4" x14ac:dyDescent="0.3">
      <c r="A218" s="17">
        <v>45756</v>
      </c>
      <c r="B218">
        <v>0.15</v>
      </c>
      <c r="C218" s="17">
        <f t="shared" si="8"/>
        <v>45748</v>
      </c>
      <c r="D218">
        <f t="shared" si="9"/>
        <v>0</v>
      </c>
    </row>
    <row r="219" spans="1:4" x14ac:dyDescent="0.3">
      <c r="A219" s="17">
        <v>45755</v>
      </c>
      <c r="B219">
        <v>0.15</v>
      </c>
      <c r="C219" s="17">
        <f t="shared" si="8"/>
        <v>45748</v>
      </c>
      <c r="D219">
        <f t="shared" si="9"/>
        <v>0</v>
      </c>
    </row>
    <row r="220" spans="1:4" x14ac:dyDescent="0.3">
      <c r="A220" s="17">
        <v>45754</v>
      </c>
      <c r="B220">
        <v>0.3</v>
      </c>
      <c r="C220" s="17">
        <f t="shared" si="8"/>
        <v>45748</v>
      </c>
      <c r="D220">
        <f t="shared" si="9"/>
        <v>0</v>
      </c>
    </row>
    <row r="221" spans="1:4" x14ac:dyDescent="0.3">
      <c r="A221" s="17">
        <v>45751</v>
      </c>
      <c r="B221">
        <v>0.95</v>
      </c>
      <c r="C221" s="17">
        <f t="shared" si="8"/>
        <v>45748</v>
      </c>
      <c r="D221">
        <f t="shared" si="9"/>
        <v>1</v>
      </c>
    </row>
    <row r="222" spans="1:4" x14ac:dyDescent="0.3">
      <c r="A222" s="17">
        <v>45750</v>
      </c>
      <c r="B222">
        <v>1.25</v>
      </c>
      <c r="C222" s="17">
        <f t="shared" si="8"/>
        <v>45748</v>
      </c>
      <c r="D222">
        <f t="shared" si="9"/>
        <v>1</v>
      </c>
    </row>
    <row r="223" spans="1:4" x14ac:dyDescent="0.3">
      <c r="A223" s="17">
        <v>45749</v>
      </c>
      <c r="B223">
        <v>0.9</v>
      </c>
      <c r="C223" s="17">
        <f t="shared" si="8"/>
        <v>45748</v>
      </c>
      <c r="D223">
        <f t="shared" si="9"/>
        <v>1</v>
      </c>
    </row>
    <row r="224" spans="1:4" x14ac:dyDescent="0.3">
      <c r="A224" s="17">
        <v>45748</v>
      </c>
      <c r="B224">
        <v>0.55000000000000004</v>
      </c>
      <c r="C224" s="17">
        <f t="shared" si="8"/>
        <v>45748</v>
      </c>
      <c r="D224">
        <f t="shared" si="9"/>
        <v>1</v>
      </c>
    </row>
    <row r="225" spans="1:4" x14ac:dyDescent="0.3">
      <c r="A225" s="17">
        <v>45744</v>
      </c>
      <c r="B225">
        <v>-0.95</v>
      </c>
      <c r="C225" s="17">
        <f t="shared" si="8"/>
        <v>45717</v>
      </c>
      <c r="D225">
        <f t="shared" si="9"/>
        <v>0</v>
      </c>
    </row>
    <row r="226" spans="1:4" x14ac:dyDescent="0.3">
      <c r="A226" s="17">
        <v>45743</v>
      </c>
      <c r="B226">
        <v>-1.6</v>
      </c>
      <c r="C226" s="17">
        <f t="shared" si="8"/>
        <v>45717</v>
      </c>
      <c r="D226">
        <f t="shared" si="9"/>
        <v>0</v>
      </c>
    </row>
    <row r="227" spans="1:4" x14ac:dyDescent="0.3">
      <c r="A227" s="17">
        <v>45742</v>
      </c>
      <c r="B227">
        <v>-1.45</v>
      </c>
      <c r="C227" s="17">
        <f t="shared" si="8"/>
        <v>45717</v>
      </c>
      <c r="D227">
        <f t="shared" si="9"/>
        <v>0</v>
      </c>
    </row>
    <row r="228" spans="1:4" x14ac:dyDescent="0.3">
      <c r="A228" s="17">
        <v>45741</v>
      </c>
      <c r="B228">
        <v>-1.55</v>
      </c>
      <c r="C228" s="17">
        <f t="shared" si="8"/>
        <v>45717</v>
      </c>
      <c r="D228">
        <f t="shared" si="9"/>
        <v>0</v>
      </c>
    </row>
    <row r="229" spans="1:4" x14ac:dyDescent="0.3">
      <c r="A229" s="17">
        <v>45740</v>
      </c>
      <c r="B229">
        <v>-1.95</v>
      </c>
      <c r="C229" s="17">
        <f t="shared" si="8"/>
        <v>45717</v>
      </c>
      <c r="D229">
        <f t="shared" si="9"/>
        <v>0</v>
      </c>
    </row>
    <row r="230" spans="1:4" x14ac:dyDescent="0.3">
      <c r="A230" s="17">
        <v>45737</v>
      </c>
      <c r="B230">
        <v>-1.5</v>
      </c>
      <c r="C230" s="17">
        <f t="shared" si="8"/>
        <v>45717</v>
      </c>
      <c r="D230">
        <f t="shared" si="9"/>
        <v>0</v>
      </c>
    </row>
    <row r="231" spans="1:4" x14ac:dyDescent="0.3">
      <c r="A231" s="17">
        <v>45736</v>
      </c>
      <c r="B231">
        <v>-1.6</v>
      </c>
      <c r="C231" s="17">
        <f t="shared" si="8"/>
        <v>45717</v>
      </c>
      <c r="D231">
        <f t="shared" si="9"/>
        <v>0</v>
      </c>
    </row>
    <row r="232" spans="1:4" x14ac:dyDescent="0.3">
      <c r="A232" s="17">
        <v>45735</v>
      </c>
      <c r="B232">
        <v>-1.4</v>
      </c>
      <c r="C232" s="17">
        <f t="shared" si="8"/>
        <v>45717</v>
      </c>
      <c r="D232">
        <f t="shared" si="9"/>
        <v>0</v>
      </c>
    </row>
    <row r="233" spans="1:4" x14ac:dyDescent="0.3">
      <c r="A233" s="17">
        <v>45734</v>
      </c>
      <c r="B233">
        <v>-1.4</v>
      </c>
      <c r="C233" s="17">
        <f t="shared" si="8"/>
        <v>45717</v>
      </c>
      <c r="D233">
        <f t="shared" si="9"/>
        <v>0</v>
      </c>
    </row>
    <row r="234" spans="1:4" x14ac:dyDescent="0.3">
      <c r="A234" s="17">
        <v>45733</v>
      </c>
      <c r="B234">
        <v>-1.55</v>
      </c>
      <c r="C234" s="17">
        <f t="shared" si="8"/>
        <v>45717</v>
      </c>
      <c r="D234">
        <f t="shared" si="9"/>
        <v>0</v>
      </c>
    </row>
    <row r="235" spans="1:4" x14ac:dyDescent="0.3">
      <c r="A235" s="17">
        <v>45730</v>
      </c>
      <c r="B235">
        <v>-1.55</v>
      </c>
      <c r="C235" s="17">
        <f t="shared" si="8"/>
        <v>45717</v>
      </c>
      <c r="D235">
        <f t="shared" si="9"/>
        <v>0</v>
      </c>
    </row>
    <row r="236" spans="1:4" x14ac:dyDescent="0.3">
      <c r="A236" s="17">
        <v>45729</v>
      </c>
      <c r="B236">
        <v>-1.7</v>
      </c>
      <c r="C236" s="17">
        <f t="shared" si="8"/>
        <v>45717</v>
      </c>
      <c r="D236">
        <f t="shared" si="9"/>
        <v>0</v>
      </c>
    </row>
    <row r="237" spans="1:4" x14ac:dyDescent="0.3">
      <c r="A237" s="17">
        <v>45728</v>
      </c>
      <c r="B237">
        <v>-1.75</v>
      </c>
      <c r="C237" s="17">
        <f t="shared" si="8"/>
        <v>45717</v>
      </c>
      <c r="D237">
        <f t="shared" si="9"/>
        <v>0</v>
      </c>
    </row>
    <row r="238" spans="1:4" x14ac:dyDescent="0.3">
      <c r="A238" s="17">
        <v>45727</v>
      </c>
      <c r="B238">
        <v>-1.75</v>
      </c>
      <c r="C238" s="17">
        <f t="shared" si="8"/>
        <v>45717</v>
      </c>
      <c r="D238">
        <f t="shared" si="9"/>
        <v>0</v>
      </c>
    </row>
    <row r="239" spans="1:4" x14ac:dyDescent="0.3">
      <c r="A239" s="17">
        <v>45726</v>
      </c>
      <c r="B239">
        <v>-1.6</v>
      </c>
      <c r="C239" s="17">
        <f t="shared" si="8"/>
        <v>45717</v>
      </c>
      <c r="D239">
        <f t="shared" si="9"/>
        <v>0</v>
      </c>
    </row>
    <row r="240" spans="1:4" x14ac:dyDescent="0.3">
      <c r="A240" s="17">
        <v>45723</v>
      </c>
      <c r="B240">
        <v>-1.85</v>
      </c>
      <c r="C240" s="17">
        <f t="shared" si="8"/>
        <v>45717</v>
      </c>
      <c r="D240">
        <f t="shared" si="9"/>
        <v>0</v>
      </c>
    </row>
    <row r="241" spans="1:4" x14ac:dyDescent="0.3">
      <c r="A241" s="17">
        <v>45722</v>
      </c>
      <c r="B241">
        <v>-2.0499999999999998</v>
      </c>
      <c r="C241" s="17">
        <f t="shared" si="8"/>
        <v>45717</v>
      </c>
      <c r="D241">
        <f t="shared" si="9"/>
        <v>0</v>
      </c>
    </row>
    <row r="242" spans="1:4" x14ac:dyDescent="0.3">
      <c r="A242" s="17">
        <v>45721</v>
      </c>
      <c r="B242">
        <v>-2.1</v>
      </c>
      <c r="C242" s="17">
        <f t="shared" si="8"/>
        <v>45717</v>
      </c>
      <c r="D242">
        <f t="shared" si="9"/>
        <v>0</v>
      </c>
    </row>
    <row r="243" spans="1:4" x14ac:dyDescent="0.3">
      <c r="A243" s="17">
        <v>45720</v>
      </c>
      <c r="B243">
        <v>-2.4500000000000002</v>
      </c>
      <c r="C243" s="17">
        <f t="shared" si="8"/>
        <v>45717</v>
      </c>
      <c r="D243">
        <f t="shared" si="9"/>
        <v>1</v>
      </c>
    </row>
    <row r="244" spans="1:4" x14ac:dyDescent="0.3">
      <c r="A244" s="17">
        <v>45719</v>
      </c>
      <c r="B244">
        <v>-2.1</v>
      </c>
      <c r="C244" s="17">
        <f t="shared" si="8"/>
        <v>45717</v>
      </c>
      <c r="D244">
        <f t="shared" si="9"/>
        <v>1</v>
      </c>
    </row>
    <row r="245" spans="1:4" x14ac:dyDescent="0.3">
      <c r="A245" s="17">
        <v>45716</v>
      </c>
      <c r="B245">
        <v>0.45</v>
      </c>
      <c r="C245" s="17">
        <f t="shared" si="8"/>
        <v>45689</v>
      </c>
      <c r="D245">
        <f t="shared" si="9"/>
        <v>0</v>
      </c>
    </row>
    <row r="246" spans="1:4" x14ac:dyDescent="0.3">
      <c r="A246" s="17">
        <v>45715</v>
      </c>
      <c r="B246">
        <v>-0.35</v>
      </c>
      <c r="C246" s="17">
        <f t="shared" si="8"/>
        <v>45689</v>
      </c>
      <c r="D246">
        <f t="shared" si="9"/>
        <v>0</v>
      </c>
    </row>
    <row r="247" spans="1:4" x14ac:dyDescent="0.3">
      <c r="A247" s="17">
        <v>45714</v>
      </c>
      <c r="B247">
        <v>-0.55000000000000004</v>
      </c>
      <c r="C247" s="17">
        <f t="shared" si="8"/>
        <v>45689</v>
      </c>
      <c r="D247">
        <f t="shared" si="9"/>
        <v>0</v>
      </c>
    </row>
    <row r="248" spans="1:4" x14ac:dyDescent="0.3">
      <c r="A248" s="17">
        <v>45713</v>
      </c>
      <c r="B248">
        <v>-0.55000000000000004</v>
      </c>
      <c r="C248" s="17">
        <f t="shared" si="8"/>
        <v>45689</v>
      </c>
      <c r="D248">
        <f t="shared" si="9"/>
        <v>0</v>
      </c>
    </row>
    <row r="249" spans="1:4" x14ac:dyDescent="0.3">
      <c r="A249" s="17">
        <v>45712</v>
      </c>
      <c r="B249">
        <v>-0.45</v>
      </c>
      <c r="C249" s="17">
        <f t="shared" si="8"/>
        <v>45689</v>
      </c>
      <c r="D249">
        <f t="shared" si="9"/>
        <v>0</v>
      </c>
    </row>
    <row r="250" spans="1:4" x14ac:dyDescent="0.3">
      <c r="A250" s="17">
        <v>45709</v>
      </c>
      <c r="B250">
        <v>-0.35</v>
      </c>
      <c r="C250" s="17">
        <f t="shared" si="8"/>
        <v>45689</v>
      </c>
      <c r="D250">
        <f t="shared" si="9"/>
        <v>0</v>
      </c>
    </row>
    <row r="251" spans="1:4" x14ac:dyDescent="0.3">
      <c r="A251" s="17">
        <v>45708</v>
      </c>
      <c r="B251">
        <v>-0.4</v>
      </c>
      <c r="C251" s="17">
        <f t="shared" si="8"/>
        <v>45689</v>
      </c>
      <c r="D251">
        <f t="shared" si="9"/>
        <v>0</v>
      </c>
    </row>
    <row r="252" spans="1:4" x14ac:dyDescent="0.3">
      <c r="A252" s="17">
        <v>45707</v>
      </c>
      <c r="B252">
        <v>-0.2</v>
      </c>
      <c r="C252" s="17">
        <f t="shared" si="8"/>
        <v>45689</v>
      </c>
      <c r="D252">
        <f t="shared" si="9"/>
        <v>0</v>
      </c>
    </row>
    <row r="253" spans="1:4" x14ac:dyDescent="0.3">
      <c r="A253" s="17">
        <v>45706</v>
      </c>
      <c r="B253">
        <v>-1.1000000000000001</v>
      </c>
      <c r="C253" s="17">
        <f t="shared" si="8"/>
        <v>45689</v>
      </c>
      <c r="D253">
        <f t="shared" si="9"/>
        <v>0</v>
      </c>
    </row>
    <row r="254" spans="1:4" x14ac:dyDescent="0.3">
      <c r="A254" s="17">
        <v>45705</v>
      </c>
      <c r="B254">
        <v>-0.95</v>
      </c>
      <c r="C254" s="17">
        <f t="shared" si="8"/>
        <v>45689</v>
      </c>
      <c r="D254">
        <f t="shared" si="9"/>
        <v>0</v>
      </c>
    </row>
    <row r="255" spans="1:4" x14ac:dyDescent="0.3">
      <c r="A255" s="17">
        <v>45702</v>
      </c>
      <c r="B255">
        <v>-0.8</v>
      </c>
      <c r="C255" s="17">
        <f t="shared" si="8"/>
        <v>45689</v>
      </c>
      <c r="D255">
        <f t="shared" si="9"/>
        <v>0</v>
      </c>
    </row>
    <row r="256" spans="1:4" x14ac:dyDescent="0.3">
      <c r="A256" s="17">
        <v>45701</v>
      </c>
      <c r="B256">
        <v>-0.75</v>
      </c>
      <c r="C256" s="17">
        <f t="shared" si="8"/>
        <v>45689</v>
      </c>
      <c r="D256">
        <f t="shared" si="9"/>
        <v>0</v>
      </c>
    </row>
    <row r="257" spans="1:4" x14ac:dyDescent="0.3">
      <c r="A257" s="17">
        <v>45700</v>
      </c>
      <c r="B257">
        <v>-0.6</v>
      </c>
      <c r="C257" s="17">
        <f t="shared" si="8"/>
        <v>45689</v>
      </c>
      <c r="D257">
        <f t="shared" si="9"/>
        <v>0</v>
      </c>
    </row>
    <row r="258" spans="1:4" x14ac:dyDescent="0.3">
      <c r="A258" s="17">
        <v>45699</v>
      </c>
      <c r="B258">
        <v>-0.6</v>
      </c>
      <c r="C258" s="17">
        <f t="shared" si="8"/>
        <v>45689</v>
      </c>
      <c r="D258">
        <f t="shared" si="9"/>
        <v>0</v>
      </c>
    </row>
    <row r="259" spans="1:4" x14ac:dyDescent="0.3">
      <c r="A259" s="17">
        <v>45698</v>
      </c>
      <c r="B259">
        <v>-0.6</v>
      </c>
      <c r="C259" s="17">
        <f t="shared" si="8"/>
        <v>45689</v>
      </c>
      <c r="D259">
        <f t="shared" si="9"/>
        <v>0</v>
      </c>
    </row>
    <row r="260" spans="1:4" x14ac:dyDescent="0.3">
      <c r="A260" s="17">
        <v>45695</v>
      </c>
      <c r="B260">
        <v>-0.4</v>
      </c>
      <c r="C260" s="17">
        <f t="shared" si="8"/>
        <v>45689</v>
      </c>
      <c r="D260">
        <f t="shared" si="9"/>
        <v>0</v>
      </c>
    </row>
    <row r="261" spans="1:4" x14ac:dyDescent="0.3">
      <c r="A261" s="17">
        <v>45694</v>
      </c>
      <c r="B261">
        <v>-0.25</v>
      </c>
      <c r="C261" s="17">
        <f t="shared" si="8"/>
        <v>45689</v>
      </c>
      <c r="D261">
        <f t="shared" si="9"/>
        <v>0</v>
      </c>
    </row>
    <row r="262" spans="1:4" x14ac:dyDescent="0.3">
      <c r="A262" s="17">
        <v>45693</v>
      </c>
      <c r="B262">
        <v>-0.2</v>
      </c>
      <c r="C262" s="17">
        <f t="shared" ref="C262:C325" si="10">+DATE(+YEAR(A262),+MONTH(A262),1)</f>
        <v>45689</v>
      </c>
      <c r="D262">
        <f t="shared" ref="D262:D325" si="11">IF(AND(+DAY(A262)&gt;=1,+DAY(A262)&lt;= 4), 1, 0)</f>
        <v>0</v>
      </c>
    </row>
    <row r="263" spans="1:4" x14ac:dyDescent="0.3">
      <c r="A263" s="17">
        <v>45692</v>
      </c>
      <c r="B263">
        <v>-0.45</v>
      </c>
      <c r="C263" s="17">
        <f t="shared" si="10"/>
        <v>45689</v>
      </c>
      <c r="D263">
        <f t="shared" si="11"/>
        <v>1</v>
      </c>
    </row>
    <row r="264" spans="1:4" x14ac:dyDescent="0.3">
      <c r="A264" s="17">
        <v>45691</v>
      </c>
      <c r="B264">
        <v>-0.25</v>
      </c>
      <c r="C264" s="17">
        <f t="shared" si="10"/>
        <v>45689</v>
      </c>
      <c r="D264">
        <f t="shared" si="11"/>
        <v>1</v>
      </c>
    </row>
    <row r="265" spans="1:4" x14ac:dyDescent="0.3">
      <c r="A265" s="17">
        <v>45688</v>
      </c>
      <c r="B265">
        <v>2.9</v>
      </c>
      <c r="C265" s="17">
        <f t="shared" si="10"/>
        <v>45658</v>
      </c>
      <c r="D265">
        <f t="shared" si="11"/>
        <v>0</v>
      </c>
    </row>
    <row r="266" spans="1:4" x14ac:dyDescent="0.3">
      <c r="A266" s="17">
        <v>45685</v>
      </c>
      <c r="B266">
        <v>3.45</v>
      </c>
      <c r="C266" s="17">
        <f t="shared" si="10"/>
        <v>45658</v>
      </c>
      <c r="D266">
        <f t="shared" si="11"/>
        <v>0</v>
      </c>
    </row>
    <row r="267" spans="1:4" x14ac:dyDescent="0.3">
      <c r="A267" s="17">
        <v>45684</v>
      </c>
      <c r="B267">
        <v>3.2</v>
      </c>
      <c r="C267" s="17">
        <f t="shared" si="10"/>
        <v>45658</v>
      </c>
      <c r="D267">
        <f t="shared" si="11"/>
        <v>0</v>
      </c>
    </row>
    <row r="268" spans="1:4" x14ac:dyDescent="0.3">
      <c r="A268" s="17">
        <v>45681</v>
      </c>
      <c r="B268">
        <v>3.1</v>
      </c>
      <c r="C268" s="17">
        <f t="shared" si="10"/>
        <v>45658</v>
      </c>
      <c r="D268">
        <f t="shared" si="11"/>
        <v>0</v>
      </c>
    </row>
    <row r="269" spans="1:4" x14ac:dyDescent="0.3">
      <c r="A269" s="17">
        <v>45680</v>
      </c>
      <c r="B269">
        <v>3</v>
      </c>
      <c r="C269" s="17">
        <f t="shared" si="10"/>
        <v>45658</v>
      </c>
      <c r="D269">
        <f t="shared" si="11"/>
        <v>0</v>
      </c>
    </row>
    <row r="270" spans="1:4" x14ac:dyDescent="0.3">
      <c r="A270" s="17">
        <v>45679</v>
      </c>
      <c r="B270">
        <v>3.25</v>
      </c>
      <c r="C270" s="17">
        <f t="shared" si="10"/>
        <v>45658</v>
      </c>
      <c r="D270">
        <f t="shared" si="11"/>
        <v>0</v>
      </c>
    </row>
    <row r="271" spans="1:4" x14ac:dyDescent="0.3">
      <c r="A271" s="17">
        <v>45678</v>
      </c>
      <c r="B271">
        <v>3.45</v>
      </c>
      <c r="C271" s="17">
        <f t="shared" si="10"/>
        <v>45658</v>
      </c>
      <c r="D271">
        <f t="shared" si="11"/>
        <v>0</v>
      </c>
    </row>
    <row r="272" spans="1:4" x14ac:dyDescent="0.3">
      <c r="A272" s="17">
        <v>45677</v>
      </c>
      <c r="B272">
        <v>3.5</v>
      </c>
      <c r="C272" s="17">
        <f t="shared" si="10"/>
        <v>45658</v>
      </c>
      <c r="D272">
        <f t="shared" si="11"/>
        <v>0</v>
      </c>
    </row>
    <row r="273" spans="1:4" x14ac:dyDescent="0.3">
      <c r="A273" s="17">
        <v>45674</v>
      </c>
      <c r="B273">
        <v>3.9</v>
      </c>
      <c r="C273" s="17">
        <f t="shared" si="10"/>
        <v>45658</v>
      </c>
      <c r="D273">
        <f t="shared" si="11"/>
        <v>0</v>
      </c>
    </row>
    <row r="274" spans="1:4" x14ac:dyDescent="0.3">
      <c r="A274" s="17">
        <v>45673</v>
      </c>
      <c r="B274">
        <v>3.6</v>
      </c>
      <c r="C274" s="17">
        <f t="shared" si="10"/>
        <v>45658</v>
      </c>
      <c r="D274">
        <f t="shared" si="11"/>
        <v>0</v>
      </c>
    </row>
    <row r="275" spans="1:4" x14ac:dyDescent="0.3">
      <c r="A275" s="17">
        <v>45672</v>
      </c>
      <c r="B275">
        <v>2.75</v>
      </c>
      <c r="C275" s="17">
        <f t="shared" si="10"/>
        <v>45658</v>
      </c>
      <c r="D275">
        <f t="shared" si="11"/>
        <v>0</v>
      </c>
    </row>
    <row r="276" spans="1:4" x14ac:dyDescent="0.3">
      <c r="A276" s="17">
        <v>45671</v>
      </c>
      <c r="B276">
        <v>2.6</v>
      </c>
      <c r="C276" s="17">
        <f t="shared" si="10"/>
        <v>45658</v>
      </c>
      <c r="D276">
        <f t="shared" si="11"/>
        <v>0</v>
      </c>
    </row>
    <row r="277" spans="1:4" x14ac:dyDescent="0.3">
      <c r="A277" s="17">
        <v>45670</v>
      </c>
      <c r="B277">
        <v>1.85</v>
      </c>
      <c r="C277" s="17">
        <f t="shared" si="10"/>
        <v>45658</v>
      </c>
      <c r="D277">
        <f t="shared" si="11"/>
        <v>0</v>
      </c>
    </row>
    <row r="278" spans="1:4" x14ac:dyDescent="0.3">
      <c r="A278" s="17">
        <v>45667</v>
      </c>
      <c r="B278">
        <v>0.6</v>
      </c>
      <c r="C278" s="17">
        <f t="shared" si="10"/>
        <v>45658</v>
      </c>
      <c r="D278">
        <f t="shared" si="11"/>
        <v>0</v>
      </c>
    </row>
    <row r="279" spans="1:4" x14ac:dyDescent="0.3">
      <c r="A279" s="17">
        <v>45666</v>
      </c>
      <c r="B279">
        <v>0.5</v>
      </c>
      <c r="C279" s="17">
        <f t="shared" si="10"/>
        <v>45658</v>
      </c>
      <c r="D279">
        <f t="shared" si="11"/>
        <v>0</v>
      </c>
    </row>
    <row r="280" spans="1:4" x14ac:dyDescent="0.3">
      <c r="A280" s="17">
        <v>45665</v>
      </c>
      <c r="B280">
        <v>0.6</v>
      </c>
      <c r="C280" s="17">
        <f t="shared" si="10"/>
        <v>45658</v>
      </c>
      <c r="D280">
        <f t="shared" si="11"/>
        <v>0</v>
      </c>
    </row>
    <row r="281" spans="1:4" x14ac:dyDescent="0.3">
      <c r="A281" s="17">
        <v>45664</v>
      </c>
      <c r="B281">
        <v>0.65</v>
      </c>
      <c r="C281" s="17">
        <f t="shared" si="10"/>
        <v>45658</v>
      </c>
      <c r="D281">
        <f t="shared" si="11"/>
        <v>0</v>
      </c>
    </row>
    <row r="282" spans="1:4" x14ac:dyDescent="0.3">
      <c r="A282" s="17">
        <v>45663</v>
      </c>
      <c r="B282">
        <v>0.65</v>
      </c>
      <c r="C282" s="17">
        <f t="shared" si="10"/>
        <v>45658</v>
      </c>
      <c r="D282">
        <f t="shared" si="11"/>
        <v>0</v>
      </c>
    </row>
    <row r="283" spans="1:4" x14ac:dyDescent="0.3">
      <c r="A283" s="17">
        <v>45660</v>
      </c>
      <c r="B283">
        <v>0.7</v>
      </c>
      <c r="C283" s="17">
        <f t="shared" si="10"/>
        <v>45658</v>
      </c>
      <c r="D283">
        <f t="shared" si="11"/>
        <v>1</v>
      </c>
    </row>
    <row r="284" spans="1:4" x14ac:dyDescent="0.3">
      <c r="A284" s="17">
        <v>45659</v>
      </c>
      <c r="B284">
        <v>0.6</v>
      </c>
      <c r="C284" s="17">
        <f t="shared" si="10"/>
        <v>45658</v>
      </c>
      <c r="D284">
        <f t="shared" si="11"/>
        <v>1</v>
      </c>
    </row>
    <row r="285" spans="1:4" x14ac:dyDescent="0.3">
      <c r="A285" s="17">
        <v>45657</v>
      </c>
      <c r="B285">
        <v>1.45</v>
      </c>
      <c r="C285" s="17">
        <f t="shared" si="10"/>
        <v>45627</v>
      </c>
      <c r="D285">
        <f t="shared" si="11"/>
        <v>0</v>
      </c>
    </row>
    <row r="286" spans="1:4" x14ac:dyDescent="0.3">
      <c r="A286" s="17">
        <v>45656</v>
      </c>
      <c r="B286">
        <v>1.75</v>
      </c>
      <c r="C286" s="17">
        <f t="shared" si="10"/>
        <v>45627</v>
      </c>
      <c r="D286">
        <f t="shared" si="11"/>
        <v>0</v>
      </c>
    </row>
    <row r="287" spans="1:4" x14ac:dyDescent="0.3">
      <c r="A287" s="17">
        <v>45653</v>
      </c>
      <c r="B287">
        <v>1.8</v>
      </c>
      <c r="C287" s="17">
        <f t="shared" si="10"/>
        <v>45627</v>
      </c>
      <c r="D287">
        <f t="shared" si="11"/>
        <v>0</v>
      </c>
    </row>
    <row r="288" spans="1:4" x14ac:dyDescent="0.3">
      <c r="A288" s="17">
        <v>45652</v>
      </c>
      <c r="B288">
        <v>1</v>
      </c>
      <c r="C288" s="17">
        <f t="shared" si="10"/>
        <v>45627</v>
      </c>
      <c r="D288">
        <f t="shared" si="11"/>
        <v>0</v>
      </c>
    </row>
    <row r="289" spans="1:4" x14ac:dyDescent="0.3">
      <c r="A289" s="17">
        <v>45650</v>
      </c>
      <c r="B289">
        <v>0.65</v>
      </c>
      <c r="C289" s="17">
        <f t="shared" si="10"/>
        <v>45627</v>
      </c>
      <c r="D289">
        <f t="shared" si="11"/>
        <v>0</v>
      </c>
    </row>
    <row r="290" spans="1:4" x14ac:dyDescent="0.3">
      <c r="A290" s="17">
        <v>45649</v>
      </c>
      <c r="B290">
        <v>0.6</v>
      </c>
      <c r="C290" s="17">
        <f t="shared" si="10"/>
        <v>45627</v>
      </c>
      <c r="D290">
        <f t="shared" si="11"/>
        <v>0</v>
      </c>
    </row>
    <row r="291" spans="1:4" x14ac:dyDescent="0.3">
      <c r="A291" s="17">
        <v>45646</v>
      </c>
      <c r="B291">
        <v>0.45</v>
      </c>
      <c r="C291" s="17">
        <f t="shared" si="10"/>
        <v>45627</v>
      </c>
      <c r="D291">
        <f t="shared" si="11"/>
        <v>0</v>
      </c>
    </row>
    <row r="292" spans="1:4" x14ac:dyDescent="0.3">
      <c r="A292" s="17">
        <v>45645</v>
      </c>
      <c r="B292">
        <v>0.45</v>
      </c>
      <c r="C292" s="17">
        <f t="shared" si="10"/>
        <v>45627</v>
      </c>
      <c r="D292">
        <f t="shared" si="11"/>
        <v>0</v>
      </c>
    </row>
    <row r="293" spans="1:4" x14ac:dyDescent="0.3">
      <c r="A293" s="17">
        <v>45644</v>
      </c>
      <c r="B293">
        <v>0.45</v>
      </c>
      <c r="C293" s="17">
        <f t="shared" si="10"/>
        <v>45627</v>
      </c>
      <c r="D293">
        <f t="shared" si="11"/>
        <v>0</v>
      </c>
    </row>
    <row r="294" spans="1:4" x14ac:dyDescent="0.3">
      <c r="A294" s="17">
        <v>45643</v>
      </c>
      <c r="B294">
        <v>0.45</v>
      </c>
      <c r="C294" s="17">
        <f t="shared" si="10"/>
        <v>45627</v>
      </c>
      <c r="D294">
        <f t="shared" si="11"/>
        <v>0</v>
      </c>
    </row>
    <row r="295" spans="1:4" x14ac:dyDescent="0.3">
      <c r="A295" s="17">
        <v>45642</v>
      </c>
      <c r="B295">
        <v>0.4</v>
      </c>
      <c r="C295" s="17">
        <f t="shared" si="10"/>
        <v>45627</v>
      </c>
      <c r="D295">
        <f t="shared" si="11"/>
        <v>0</v>
      </c>
    </row>
    <row r="296" spans="1:4" x14ac:dyDescent="0.3">
      <c r="A296" s="17">
        <v>45639</v>
      </c>
      <c r="B296">
        <v>0.35</v>
      </c>
      <c r="C296" s="17">
        <f t="shared" si="10"/>
        <v>45627</v>
      </c>
      <c r="D296">
        <f t="shared" si="11"/>
        <v>0</v>
      </c>
    </row>
    <row r="297" spans="1:4" x14ac:dyDescent="0.3">
      <c r="A297" s="17">
        <v>45638</v>
      </c>
      <c r="B297">
        <v>0.4</v>
      </c>
      <c r="C297" s="17">
        <f t="shared" si="10"/>
        <v>45627</v>
      </c>
      <c r="D297">
        <f t="shared" si="11"/>
        <v>0</v>
      </c>
    </row>
    <row r="298" spans="1:4" x14ac:dyDescent="0.3">
      <c r="A298" s="17">
        <v>45637</v>
      </c>
      <c r="B298">
        <v>0.2</v>
      </c>
      <c r="C298" s="17">
        <f t="shared" si="10"/>
        <v>45627</v>
      </c>
      <c r="D298">
        <f t="shared" si="11"/>
        <v>0</v>
      </c>
    </row>
    <row r="299" spans="1:4" x14ac:dyDescent="0.3">
      <c r="A299" s="17">
        <v>45636</v>
      </c>
      <c r="B299">
        <v>0.2</v>
      </c>
      <c r="C299" s="17">
        <f t="shared" si="10"/>
        <v>45627</v>
      </c>
      <c r="D299">
        <f t="shared" si="11"/>
        <v>0</v>
      </c>
    </row>
    <row r="300" spans="1:4" x14ac:dyDescent="0.3">
      <c r="A300" s="17">
        <v>45635</v>
      </c>
      <c r="B300">
        <v>0.25</v>
      </c>
      <c r="C300" s="17">
        <f t="shared" si="10"/>
        <v>45627</v>
      </c>
      <c r="D300">
        <f t="shared" si="11"/>
        <v>0</v>
      </c>
    </row>
    <row r="301" spans="1:4" x14ac:dyDescent="0.3">
      <c r="A301" s="17">
        <v>45632</v>
      </c>
      <c r="B301">
        <v>0.6</v>
      </c>
      <c r="C301" s="17">
        <f t="shared" si="10"/>
        <v>45627</v>
      </c>
      <c r="D301">
        <f t="shared" si="11"/>
        <v>0</v>
      </c>
    </row>
    <row r="302" spans="1:4" x14ac:dyDescent="0.3">
      <c r="A302" s="17">
        <v>45631</v>
      </c>
      <c r="B302">
        <v>0.65</v>
      </c>
      <c r="C302" s="17">
        <f t="shared" si="10"/>
        <v>45627</v>
      </c>
      <c r="D302">
        <f t="shared" si="11"/>
        <v>0</v>
      </c>
    </row>
    <row r="303" spans="1:4" x14ac:dyDescent="0.3">
      <c r="A303" s="17">
        <v>45630</v>
      </c>
      <c r="B303">
        <v>0.65</v>
      </c>
      <c r="C303" s="17">
        <f t="shared" si="10"/>
        <v>45627</v>
      </c>
      <c r="D303">
        <f t="shared" si="11"/>
        <v>1</v>
      </c>
    </row>
    <row r="304" spans="1:4" x14ac:dyDescent="0.3">
      <c r="A304" s="17">
        <v>45629</v>
      </c>
      <c r="B304">
        <v>0.6</v>
      </c>
      <c r="C304" s="17">
        <f t="shared" si="10"/>
        <v>45627</v>
      </c>
      <c r="D304">
        <f t="shared" si="11"/>
        <v>1</v>
      </c>
    </row>
    <row r="305" spans="1:4" x14ac:dyDescent="0.3">
      <c r="A305" s="17">
        <v>45628</v>
      </c>
      <c r="B305">
        <v>0.7</v>
      </c>
      <c r="C305" s="17">
        <f t="shared" si="10"/>
        <v>45627</v>
      </c>
      <c r="D305">
        <f t="shared" si="11"/>
        <v>1</v>
      </c>
    </row>
    <row r="306" spans="1:4" x14ac:dyDescent="0.3">
      <c r="A306" s="17">
        <v>45625</v>
      </c>
      <c r="B306">
        <v>-0.65</v>
      </c>
      <c r="C306" s="17">
        <f t="shared" si="10"/>
        <v>45597</v>
      </c>
      <c r="D306">
        <f t="shared" si="11"/>
        <v>0</v>
      </c>
    </row>
    <row r="307" spans="1:4" x14ac:dyDescent="0.3">
      <c r="A307" s="17">
        <v>45624</v>
      </c>
      <c r="B307">
        <v>-0.2</v>
      </c>
      <c r="C307" s="17">
        <f t="shared" si="10"/>
        <v>45597</v>
      </c>
      <c r="D307">
        <f t="shared" si="11"/>
        <v>0</v>
      </c>
    </row>
    <row r="308" spans="1:4" x14ac:dyDescent="0.3">
      <c r="A308" s="17">
        <v>45623</v>
      </c>
      <c r="B308">
        <v>-0.5</v>
      </c>
      <c r="C308" s="17">
        <f t="shared" si="10"/>
        <v>45597</v>
      </c>
      <c r="D308">
        <f t="shared" si="11"/>
        <v>0</v>
      </c>
    </row>
    <row r="309" spans="1:4" x14ac:dyDescent="0.3">
      <c r="A309" s="17">
        <v>45622</v>
      </c>
      <c r="B309">
        <v>-0.4</v>
      </c>
      <c r="C309" s="17">
        <f t="shared" si="10"/>
        <v>45597</v>
      </c>
      <c r="D309">
        <f t="shared" si="11"/>
        <v>0</v>
      </c>
    </row>
    <row r="310" spans="1:4" x14ac:dyDescent="0.3">
      <c r="A310" s="17">
        <v>45621</v>
      </c>
      <c r="B310">
        <v>-0.35</v>
      </c>
      <c r="C310" s="17">
        <f t="shared" si="10"/>
        <v>45597</v>
      </c>
      <c r="D310">
        <f t="shared" si="11"/>
        <v>0</v>
      </c>
    </row>
    <row r="311" spans="1:4" x14ac:dyDescent="0.3">
      <c r="A311" s="17">
        <v>45618</v>
      </c>
      <c r="B311">
        <v>-0.25</v>
      </c>
      <c r="C311" s="17">
        <f t="shared" si="10"/>
        <v>45597</v>
      </c>
      <c r="D311">
        <f t="shared" si="11"/>
        <v>0</v>
      </c>
    </row>
    <row r="312" spans="1:4" x14ac:dyDescent="0.3">
      <c r="A312" s="17">
        <v>45617</v>
      </c>
      <c r="B312">
        <v>-0.45</v>
      </c>
      <c r="C312" s="17">
        <f t="shared" si="10"/>
        <v>45597</v>
      </c>
      <c r="D312">
        <f t="shared" si="11"/>
        <v>0</v>
      </c>
    </row>
    <row r="313" spans="1:4" x14ac:dyDescent="0.3">
      <c r="A313" s="17">
        <v>45616</v>
      </c>
      <c r="B313">
        <v>-0.4</v>
      </c>
      <c r="C313" s="17">
        <f t="shared" si="10"/>
        <v>45597</v>
      </c>
      <c r="D313">
        <f t="shared" si="11"/>
        <v>0</v>
      </c>
    </row>
    <row r="314" spans="1:4" x14ac:dyDescent="0.3">
      <c r="A314" s="17">
        <v>45615</v>
      </c>
      <c r="B314">
        <v>-0.75</v>
      </c>
      <c r="C314" s="17">
        <f t="shared" si="10"/>
        <v>45597</v>
      </c>
      <c r="D314">
        <f t="shared" si="11"/>
        <v>0</v>
      </c>
    </row>
    <row r="315" spans="1:4" x14ac:dyDescent="0.3">
      <c r="A315" s="17">
        <v>45614</v>
      </c>
      <c r="B315">
        <v>-0.75</v>
      </c>
      <c r="C315" s="17">
        <f t="shared" si="10"/>
        <v>45597</v>
      </c>
      <c r="D315">
        <f t="shared" si="11"/>
        <v>0</v>
      </c>
    </row>
    <row r="316" spans="1:4" x14ac:dyDescent="0.3">
      <c r="A316" s="17">
        <v>45611</v>
      </c>
      <c r="B316">
        <v>-0.75</v>
      </c>
      <c r="C316" s="17">
        <f t="shared" si="10"/>
        <v>45597</v>
      </c>
      <c r="D316">
        <f t="shared" si="11"/>
        <v>0</v>
      </c>
    </row>
    <row r="317" spans="1:4" x14ac:dyDescent="0.3">
      <c r="A317" s="17">
        <v>45610</v>
      </c>
      <c r="B317">
        <v>-0.95</v>
      </c>
      <c r="C317" s="17">
        <f t="shared" si="10"/>
        <v>45597</v>
      </c>
      <c r="D317">
        <f t="shared" si="11"/>
        <v>0</v>
      </c>
    </row>
    <row r="318" spans="1:4" x14ac:dyDescent="0.3">
      <c r="A318" s="17">
        <v>45609</v>
      </c>
      <c r="B318">
        <v>-1</v>
      </c>
      <c r="C318" s="17">
        <f t="shared" si="10"/>
        <v>45597</v>
      </c>
      <c r="D318">
        <f t="shared" si="11"/>
        <v>0</v>
      </c>
    </row>
    <row r="319" spans="1:4" x14ac:dyDescent="0.3">
      <c r="A319" s="17">
        <v>45608</v>
      </c>
      <c r="B319">
        <v>-1</v>
      </c>
      <c r="C319" s="17">
        <f t="shared" si="10"/>
        <v>45597</v>
      </c>
      <c r="D319">
        <f t="shared" si="11"/>
        <v>0</v>
      </c>
    </row>
    <row r="320" spans="1:4" x14ac:dyDescent="0.3">
      <c r="A320" s="17">
        <v>45607</v>
      </c>
      <c r="B320">
        <v>-0.85</v>
      </c>
      <c r="C320" s="17">
        <f t="shared" si="10"/>
        <v>45597</v>
      </c>
      <c r="D320">
        <f t="shared" si="11"/>
        <v>0</v>
      </c>
    </row>
    <row r="321" spans="1:4" x14ac:dyDescent="0.3">
      <c r="A321" s="17">
        <v>45604</v>
      </c>
      <c r="B321">
        <v>-0.9</v>
      </c>
      <c r="C321" s="17">
        <f t="shared" si="10"/>
        <v>45597</v>
      </c>
      <c r="D321">
        <f t="shared" si="11"/>
        <v>0</v>
      </c>
    </row>
    <row r="322" spans="1:4" x14ac:dyDescent="0.3">
      <c r="A322" s="17">
        <v>45603</v>
      </c>
      <c r="B322">
        <v>-0.9</v>
      </c>
      <c r="C322" s="17">
        <f t="shared" si="10"/>
        <v>45597</v>
      </c>
      <c r="D322">
        <f t="shared" si="11"/>
        <v>0</v>
      </c>
    </row>
    <row r="323" spans="1:4" x14ac:dyDescent="0.3">
      <c r="A323" s="17">
        <v>45602</v>
      </c>
      <c r="B323">
        <v>-0.8</v>
      </c>
      <c r="C323" s="17">
        <f t="shared" si="10"/>
        <v>45597</v>
      </c>
      <c r="D323">
        <f t="shared" si="11"/>
        <v>0</v>
      </c>
    </row>
    <row r="324" spans="1:4" x14ac:dyDescent="0.3">
      <c r="A324" s="17">
        <v>45601</v>
      </c>
      <c r="B324">
        <v>-0.95</v>
      </c>
      <c r="C324" s="17">
        <f t="shared" si="10"/>
        <v>45597</v>
      </c>
      <c r="D324">
        <f t="shared" si="11"/>
        <v>0</v>
      </c>
    </row>
    <row r="325" spans="1:4" x14ac:dyDescent="0.3">
      <c r="A325" s="17">
        <v>45600</v>
      </c>
      <c r="B325">
        <v>-0.95</v>
      </c>
      <c r="C325" s="17">
        <f t="shared" si="10"/>
        <v>45597</v>
      </c>
      <c r="D325">
        <f t="shared" si="11"/>
        <v>1</v>
      </c>
    </row>
    <row r="326" spans="1:4" x14ac:dyDescent="0.3">
      <c r="A326" s="17">
        <v>45597</v>
      </c>
      <c r="B326">
        <v>-0.85</v>
      </c>
      <c r="C326" s="17">
        <f t="shared" ref="C326:C389" si="12">+DATE(+YEAR(A326),+MONTH(A326),1)</f>
        <v>45597</v>
      </c>
      <c r="D326">
        <f t="shared" ref="D326:D389" si="13">IF(AND(+DAY(A326)&gt;=1,+DAY(A326)&lt;= 4), 1, 0)</f>
        <v>1</v>
      </c>
    </row>
    <row r="327" spans="1:4" x14ac:dyDescent="0.3">
      <c r="A327" s="17">
        <v>45595</v>
      </c>
      <c r="B327">
        <v>-0.3</v>
      </c>
      <c r="C327" s="17">
        <f t="shared" si="12"/>
        <v>45566</v>
      </c>
      <c r="D327">
        <f t="shared" si="13"/>
        <v>0</v>
      </c>
    </row>
    <row r="328" spans="1:4" x14ac:dyDescent="0.3">
      <c r="A328" s="17">
        <v>45594</v>
      </c>
      <c r="B328">
        <v>-1.25</v>
      </c>
      <c r="C328" s="17">
        <f t="shared" si="12"/>
        <v>45566</v>
      </c>
      <c r="D328">
        <f t="shared" si="13"/>
        <v>0</v>
      </c>
    </row>
    <row r="329" spans="1:4" x14ac:dyDescent="0.3">
      <c r="A329" s="17">
        <v>45593</v>
      </c>
      <c r="B329">
        <v>-0.8</v>
      </c>
      <c r="C329" s="17">
        <f t="shared" si="12"/>
        <v>45566</v>
      </c>
      <c r="D329">
        <f t="shared" si="13"/>
        <v>0</v>
      </c>
    </row>
    <row r="330" spans="1:4" x14ac:dyDescent="0.3">
      <c r="A330" s="17">
        <v>45590</v>
      </c>
      <c r="B330">
        <v>-0.95</v>
      </c>
      <c r="C330" s="17">
        <f t="shared" si="12"/>
        <v>45566</v>
      </c>
      <c r="D330">
        <f t="shared" si="13"/>
        <v>0</v>
      </c>
    </row>
    <row r="331" spans="1:4" x14ac:dyDescent="0.3">
      <c r="A331" s="17">
        <v>45589</v>
      </c>
      <c r="B331">
        <v>-0.55000000000000004</v>
      </c>
      <c r="C331" s="17">
        <f t="shared" si="12"/>
        <v>45566</v>
      </c>
      <c r="D331">
        <f t="shared" si="13"/>
        <v>0</v>
      </c>
    </row>
    <row r="332" spans="1:4" x14ac:dyDescent="0.3">
      <c r="A332" s="17">
        <v>45588</v>
      </c>
      <c r="B332">
        <v>-0.55000000000000004</v>
      </c>
      <c r="C332" s="17">
        <f t="shared" si="12"/>
        <v>45566</v>
      </c>
      <c r="D332">
        <f t="shared" si="13"/>
        <v>0</v>
      </c>
    </row>
    <row r="333" spans="1:4" x14ac:dyDescent="0.3">
      <c r="A333" s="17">
        <v>45587</v>
      </c>
      <c r="B333">
        <v>-0.5</v>
      </c>
      <c r="C333" s="17">
        <f t="shared" si="12"/>
        <v>45566</v>
      </c>
      <c r="D333">
        <f t="shared" si="13"/>
        <v>0</v>
      </c>
    </row>
    <row r="334" spans="1:4" x14ac:dyDescent="0.3">
      <c r="A334" s="17">
        <v>45586</v>
      </c>
      <c r="B334">
        <v>-0.55000000000000004</v>
      </c>
      <c r="C334" s="17">
        <f t="shared" si="12"/>
        <v>45566</v>
      </c>
      <c r="D334">
        <f t="shared" si="13"/>
        <v>0</v>
      </c>
    </row>
    <row r="335" spans="1:4" x14ac:dyDescent="0.3">
      <c r="A335" s="17">
        <v>45583</v>
      </c>
      <c r="B335">
        <v>-0.4</v>
      </c>
      <c r="C335" s="17">
        <f t="shared" si="12"/>
        <v>45566</v>
      </c>
      <c r="D335">
        <f t="shared" si="13"/>
        <v>0</v>
      </c>
    </row>
    <row r="336" spans="1:4" x14ac:dyDescent="0.3">
      <c r="A336" s="17">
        <v>45582</v>
      </c>
      <c r="B336">
        <v>-0.55000000000000004</v>
      </c>
      <c r="C336" s="17">
        <f t="shared" si="12"/>
        <v>45566</v>
      </c>
      <c r="D336">
        <f t="shared" si="13"/>
        <v>0</v>
      </c>
    </row>
    <row r="337" spans="1:4" x14ac:dyDescent="0.3">
      <c r="A337" s="17">
        <v>45581</v>
      </c>
      <c r="B337">
        <v>-0.5</v>
      </c>
      <c r="C337" s="17">
        <f t="shared" si="12"/>
        <v>45566</v>
      </c>
      <c r="D337">
        <f t="shared" si="13"/>
        <v>0</v>
      </c>
    </row>
    <row r="338" spans="1:4" x14ac:dyDescent="0.3">
      <c r="A338" s="17">
        <v>45580</v>
      </c>
      <c r="B338">
        <v>0</v>
      </c>
      <c r="C338" s="17">
        <f t="shared" si="12"/>
        <v>45566</v>
      </c>
      <c r="D338">
        <f t="shared" si="13"/>
        <v>0</v>
      </c>
    </row>
    <row r="339" spans="1:4" x14ac:dyDescent="0.3">
      <c r="A339" s="17">
        <v>45579</v>
      </c>
      <c r="B339">
        <v>0.05</v>
      </c>
      <c r="C339" s="17">
        <f t="shared" si="12"/>
        <v>45566</v>
      </c>
      <c r="D339">
        <f t="shared" si="13"/>
        <v>0</v>
      </c>
    </row>
    <row r="340" spans="1:4" x14ac:dyDescent="0.3">
      <c r="A340" s="17">
        <v>45576</v>
      </c>
      <c r="B340">
        <v>0.1</v>
      </c>
      <c r="C340" s="17">
        <f t="shared" si="12"/>
        <v>45566</v>
      </c>
      <c r="D340">
        <f t="shared" si="13"/>
        <v>0</v>
      </c>
    </row>
    <row r="341" spans="1:4" x14ac:dyDescent="0.3">
      <c r="A341" s="17">
        <v>45575</v>
      </c>
      <c r="B341">
        <v>0.05</v>
      </c>
      <c r="C341" s="17">
        <f t="shared" si="12"/>
        <v>45566</v>
      </c>
      <c r="D341">
        <f t="shared" si="13"/>
        <v>0</v>
      </c>
    </row>
    <row r="342" spans="1:4" x14ac:dyDescent="0.3">
      <c r="A342" s="17">
        <v>45574</v>
      </c>
      <c r="B342">
        <v>-0.05</v>
      </c>
      <c r="C342" s="17">
        <f t="shared" si="12"/>
        <v>45566</v>
      </c>
      <c r="D342">
        <f t="shared" si="13"/>
        <v>0</v>
      </c>
    </row>
    <row r="343" spans="1:4" x14ac:dyDescent="0.3">
      <c r="A343" s="17">
        <v>45573</v>
      </c>
      <c r="B343">
        <v>0</v>
      </c>
      <c r="C343" s="17">
        <f t="shared" si="12"/>
        <v>45566</v>
      </c>
      <c r="D343">
        <f t="shared" si="13"/>
        <v>0</v>
      </c>
    </row>
    <row r="344" spans="1:4" x14ac:dyDescent="0.3">
      <c r="A344" s="17">
        <v>45572</v>
      </c>
      <c r="B344">
        <v>-0.15</v>
      </c>
      <c r="C344" s="17">
        <f t="shared" si="12"/>
        <v>45566</v>
      </c>
      <c r="D344">
        <f t="shared" si="13"/>
        <v>0</v>
      </c>
    </row>
    <row r="345" spans="1:4" x14ac:dyDescent="0.3">
      <c r="A345" s="17">
        <v>45569</v>
      </c>
      <c r="B345">
        <v>0</v>
      </c>
      <c r="C345" s="17">
        <f t="shared" si="12"/>
        <v>45566</v>
      </c>
      <c r="D345">
        <f t="shared" si="13"/>
        <v>1</v>
      </c>
    </row>
    <row r="346" spans="1:4" x14ac:dyDescent="0.3">
      <c r="A346" s="17">
        <v>45568</v>
      </c>
      <c r="B346">
        <v>-0.15</v>
      </c>
      <c r="C346" s="17">
        <f t="shared" si="12"/>
        <v>45566</v>
      </c>
      <c r="D346">
        <f t="shared" si="13"/>
        <v>1</v>
      </c>
    </row>
    <row r="347" spans="1:4" x14ac:dyDescent="0.3">
      <c r="A347" s="17">
        <v>45567</v>
      </c>
      <c r="B347">
        <v>0</v>
      </c>
      <c r="C347" s="17">
        <f t="shared" si="12"/>
        <v>45566</v>
      </c>
      <c r="D347">
        <f t="shared" si="13"/>
        <v>1</v>
      </c>
    </row>
    <row r="348" spans="1:4" x14ac:dyDescent="0.3">
      <c r="A348" s="17">
        <v>45566</v>
      </c>
      <c r="B348">
        <v>-0.1</v>
      </c>
      <c r="C348" s="17">
        <f t="shared" si="12"/>
        <v>45566</v>
      </c>
      <c r="D348">
        <f t="shared" si="13"/>
        <v>1</v>
      </c>
    </row>
    <row r="349" spans="1:4" x14ac:dyDescent="0.3">
      <c r="A349" s="17">
        <v>45565</v>
      </c>
      <c r="B349">
        <v>0.4</v>
      </c>
      <c r="C349" s="17">
        <f t="shared" si="12"/>
        <v>45536</v>
      </c>
      <c r="D349">
        <f t="shared" si="13"/>
        <v>0</v>
      </c>
    </row>
    <row r="350" spans="1:4" x14ac:dyDescent="0.3">
      <c r="A350" s="17">
        <v>45562</v>
      </c>
      <c r="B350">
        <v>0.95</v>
      </c>
      <c r="C350" s="17">
        <f t="shared" si="12"/>
        <v>45536</v>
      </c>
      <c r="D350">
        <f t="shared" si="13"/>
        <v>0</v>
      </c>
    </row>
    <row r="351" spans="1:4" x14ac:dyDescent="0.3">
      <c r="A351" s="17">
        <v>45561</v>
      </c>
      <c r="B351">
        <v>0.65</v>
      </c>
      <c r="C351" s="17">
        <f t="shared" si="12"/>
        <v>45536</v>
      </c>
      <c r="D351">
        <f t="shared" si="13"/>
        <v>0</v>
      </c>
    </row>
    <row r="352" spans="1:4" x14ac:dyDescent="0.3">
      <c r="A352" s="17">
        <v>45560</v>
      </c>
      <c r="B352">
        <v>0.45</v>
      </c>
      <c r="C352" s="17">
        <f t="shared" si="12"/>
        <v>45536</v>
      </c>
      <c r="D352">
        <f t="shared" si="13"/>
        <v>0</v>
      </c>
    </row>
    <row r="353" spans="1:4" x14ac:dyDescent="0.3">
      <c r="A353" s="17">
        <v>45559</v>
      </c>
      <c r="B353">
        <v>0.35</v>
      </c>
      <c r="C353" s="17">
        <f t="shared" si="12"/>
        <v>45536</v>
      </c>
      <c r="D353">
        <f t="shared" si="13"/>
        <v>0</v>
      </c>
    </row>
    <row r="354" spans="1:4" x14ac:dyDescent="0.3">
      <c r="A354" s="17">
        <v>45558</v>
      </c>
      <c r="B354">
        <v>0.45</v>
      </c>
      <c r="C354" s="17">
        <f t="shared" si="12"/>
        <v>45536</v>
      </c>
      <c r="D354">
        <f t="shared" si="13"/>
        <v>0</v>
      </c>
    </row>
    <row r="355" spans="1:4" x14ac:dyDescent="0.3">
      <c r="A355" s="17">
        <v>45555</v>
      </c>
      <c r="B355">
        <v>0.65</v>
      </c>
      <c r="C355" s="17">
        <f t="shared" si="12"/>
        <v>45536</v>
      </c>
      <c r="D355">
        <f t="shared" si="13"/>
        <v>0</v>
      </c>
    </row>
    <row r="356" spans="1:4" x14ac:dyDescent="0.3">
      <c r="A356" s="17">
        <v>45554</v>
      </c>
      <c r="B356">
        <v>1.1000000000000001</v>
      </c>
      <c r="C356" s="17">
        <f t="shared" si="12"/>
        <v>45536</v>
      </c>
      <c r="D356">
        <f t="shared" si="13"/>
        <v>0</v>
      </c>
    </row>
    <row r="357" spans="1:4" x14ac:dyDescent="0.3">
      <c r="A357" s="17">
        <v>45553</v>
      </c>
      <c r="B357">
        <v>1.2</v>
      </c>
      <c r="C357" s="17">
        <f t="shared" si="12"/>
        <v>45536</v>
      </c>
      <c r="D357">
        <f t="shared" si="13"/>
        <v>0</v>
      </c>
    </row>
    <row r="358" spans="1:4" x14ac:dyDescent="0.3">
      <c r="A358" s="17">
        <v>45552</v>
      </c>
      <c r="B358">
        <v>1.3</v>
      </c>
      <c r="C358" s="17">
        <f t="shared" si="12"/>
        <v>45536</v>
      </c>
      <c r="D358">
        <f t="shared" si="13"/>
        <v>0</v>
      </c>
    </row>
    <row r="359" spans="1:4" x14ac:dyDescent="0.3">
      <c r="A359" s="17">
        <v>45551</v>
      </c>
      <c r="B359">
        <v>1.3</v>
      </c>
      <c r="C359" s="17">
        <f t="shared" si="12"/>
        <v>45536</v>
      </c>
      <c r="D359">
        <f t="shared" si="13"/>
        <v>0</v>
      </c>
    </row>
    <row r="360" spans="1:4" x14ac:dyDescent="0.3">
      <c r="A360" s="17">
        <v>45548</v>
      </c>
      <c r="B360">
        <v>1.3</v>
      </c>
      <c r="C360" s="17">
        <f t="shared" si="12"/>
        <v>45536</v>
      </c>
      <c r="D360">
        <f t="shared" si="13"/>
        <v>0</v>
      </c>
    </row>
    <row r="361" spans="1:4" x14ac:dyDescent="0.3">
      <c r="A361" s="17">
        <v>45547</v>
      </c>
      <c r="B361">
        <v>1.35</v>
      </c>
      <c r="C361" s="17">
        <f t="shared" si="12"/>
        <v>45536</v>
      </c>
      <c r="D361">
        <f t="shared" si="13"/>
        <v>0</v>
      </c>
    </row>
    <row r="362" spans="1:4" x14ac:dyDescent="0.3">
      <c r="A362" s="17">
        <v>45546</v>
      </c>
      <c r="B362">
        <v>1.4</v>
      </c>
      <c r="C362" s="17">
        <f t="shared" si="12"/>
        <v>45536</v>
      </c>
      <c r="D362">
        <f t="shared" si="13"/>
        <v>0</v>
      </c>
    </row>
    <row r="363" spans="1:4" x14ac:dyDescent="0.3">
      <c r="A363" s="17">
        <v>45545</v>
      </c>
      <c r="B363">
        <v>1.55</v>
      </c>
      <c r="C363" s="17">
        <f t="shared" si="12"/>
        <v>45536</v>
      </c>
      <c r="D363">
        <f t="shared" si="13"/>
        <v>0</v>
      </c>
    </row>
    <row r="364" spans="1:4" x14ac:dyDescent="0.3">
      <c r="A364" s="17">
        <v>45544</v>
      </c>
      <c r="B364">
        <v>1.45</v>
      </c>
      <c r="C364" s="17">
        <f t="shared" si="12"/>
        <v>45536</v>
      </c>
      <c r="D364">
        <f t="shared" si="13"/>
        <v>0</v>
      </c>
    </row>
    <row r="365" spans="1:4" x14ac:dyDescent="0.3">
      <c r="A365" s="17">
        <v>45541</v>
      </c>
      <c r="B365">
        <v>0.95</v>
      </c>
      <c r="C365" s="17">
        <f t="shared" si="12"/>
        <v>45536</v>
      </c>
      <c r="D365">
        <f t="shared" si="13"/>
        <v>0</v>
      </c>
    </row>
    <row r="366" spans="1:4" x14ac:dyDescent="0.3">
      <c r="A366" s="17">
        <v>45540</v>
      </c>
      <c r="B366">
        <v>0.95</v>
      </c>
      <c r="C366" s="17">
        <f t="shared" si="12"/>
        <v>45536</v>
      </c>
      <c r="D366">
        <f t="shared" si="13"/>
        <v>0</v>
      </c>
    </row>
    <row r="367" spans="1:4" x14ac:dyDescent="0.3">
      <c r="A367" s="17">
        <v>45539</v>
      </c>
      <c r="B367">
        <v>1.05</v>
      </c>
      <c r="C367" s="17">
        <f t="shared" si="12"/>
        <v>45536</v>
      </c>
      <c r="D367">
        <f t="shared" si="13"/>
        <v>1</v>
      </c>
    </row>
    <row r="368" spans="1:4" x14ac:dyDescent="0.3">
      <c r="A368" s="17">
        <v>45538</v>
      </c>
      <c r="B368">
        <v>1.1499999999999999</v>
      </c>
      <c r="C368" s="17">
        <f t="shared" si="12"/>
        <v>45536</v>
      </c>
      <c r="D368">
        <f t="shared" si="13"/>
        <v>1</v>
      </c>
    </row>
    <row r="369" spans="1:4" x14ac:dyDescent="0.3">
      <c r="A369" s="17">
        <v>45537</v>
      </c>
      <c r="B369">
        <v>1.2</v>
      </c>
      <c r="C369" s="17">
        <f t="shared" si="12"/>
        <v>45536</v>
      </c>
      <c r="D369">
        <f t="shared" si="13"/>
        <v>1</v>
      </c>
    </row>
    <row r="370" spans="1:4" x14ac:dyDescent="0.3">
      <c r="A370" s="17">
        <v>45534</v>
      </c>
      <c r="B370">
        <v>0.55000000000000004</v>
      </c>
      <c r="C370" s="17">
        <f t="shared" si="12"/>
        <v>45505</v>
      </c>
      <c r="D370">
        <f t="shared" si="13"/>
        <v>0</v>
      </c>
    </row>
    <row r="371" spans="1:4" x14ac:dyDescent="0.3">
      <c r="A371" s="17">
        <v>45533</v>
      </c>
      <c r="B371">
        <v>0.4</v>
      </c>
      <c r="C371" s="17">
        <f t="shared" si="12"/>
        <v>45505</v>
      </c>
      <c r="D371">
        <f t="shared" si="13"/>
        <v>0</v>
      </c>
    </row>
    <row r="372" spans="1:4" x14ac:dyDescent="0.3">
      <c r="A372" s="17">
        <v>45532</v>
      </c>
      <c r="B372">
        <v>0.85</v>
      </c>
      <c r="C372" s="17">
        <f t="shared" si="12"/>
        <v>45505</v>
      </c>
      <c r="D372">
        <f t="shared" si="13"/>
        <v>0</v>
      </c>
    </row>
    <row r="373" spans="1:4" x14ac:dyDescent="0.3">
      <c r="A373" s="17">
        <v>45531</v>
      </c>
      <c r="B373">
        <v>0.3</v>
      </c>
      <c r="C373" s="17">
        <f t="shared" si="12"/>
        <v>45505</v>
      </c>
      <c r="D373">
        <f t="shared" si="13"/>
        <v>0</v>
      </c>
    </row>
    <row r="374" spans="1:4" x14ac:dyDescent="0.3">
      <c r="A374" s="17">
        <v>45530</v>
      </c>
      <c r="B374">
        <v>0.2</v>
      </c>
      <c r="C374" s="17">
        <f t="shared" si="12"/>
        <v>45505</v>
      </c>
      <c r="D374">
        <f t="shared" si="13"/>
        <v>0</v>
      </c>
    </row>
    <row r="375" spans="1:4" x14ac:dyDescent="0.3">
      <c r="A375" s="17">
        <v>45527</v>
      </c>
      <c r="B375">
        <v>0.35</v>
      </c>
      <c r="C375" s="17">
        <f t="shared" si="12"/>
        <v>45505</v>
      </c>
      <c r="D375">
        <f t="shared" si="13"/>
        <v>0</v>
      </c>
    </row>
    <row r="376" spans="1:4" x14ac:dyDescent="0.3">
      <c r="A376" s="17">
        <v>45526</v>
      </c>
      <c r="B376">
        <v>0.05</v>
      </c>
      <c r="C376" s="17">
        <f t="shared" si="12"/>
        <v>45505</v>
      </c>
      <c r="D376">
        <f t="shared" si="13"/>
        <v>0</v>
      </c>
    </row>
    <row r="377" spans="1:4" x14ac:dyDescent="0.3">
      <c r="A377" s="17">
        <v>45525</v>
      </c>
      <c r="B377">
        <v>0.05</v>
      </c>
      <c r="C377" s="17">
        <f t="shared" si="12"/>
        <v>45505</v>
      </c>
      <c r="D377">
        <f t="shared" si="13"/>
        <v>0</v>
      </c>
    </row>
    <row r="378" spans="1:4" x14ac:dyDescent="0.3">
      <c r="A378" s="17">
        <v>45524</v>
      </c>
      <c r="B378">
        <v>0</v>
      </c>
      <c r="C378" s="17">
        <f t="shared" si="12"/>
        <v>45505</v>
      </c>
      <c r="D378">
        <f t="shared" si="13"/>
        <v>0</v>
      </c>
    </row>
    <row r="379" spans="1:4" x14ac:dyDescent="0.3">
      <c r="A379" s="17">
        <v>45523</v>
      </c>
      <c r="B379">
        <v>0.15</v>
      </c>
      <c r="C379" s="17">
        <f t="shared" si="12"/>
        <v>45505</v>
      </c>
      <c r="D379">
        <f t="shared" si="13"/>
        <v>0</v>
      </c>
    </row>
    <row r="380" spans="1:4" x14ac:dyDescent="0.3">
      <c r="A380" s="17">
        <v>45520</v>
      </c>
      <c r="B380">
        <v>0.05</v>
      </c>
      <c r="C380" s="17">
        <f t="shared" si="12"/>
        <v>45505</v>
      </c>
      <c r="D380">
        <f t="shared" si="13"/>
        <v>0</v>
      </c>
    </row>
    <row r="381" spans="1:4" x14ac:dyDescent="0.3">
      <c r="A381" s="17">
        <v>45519</v>
      </c>
      <c r="B381">
        <v>0.05</v>
      </c>
      <c r="C381" s="17">
        <f t="shared" si="12"/>
        <v>45505</v>
      </c>
      <c r="D381">
        <f t="shared" si="13"/>
        <v>0</v>
      </c>
    </row>
    <row r="382" spans="1:4" x14ac:dyDescent="0.3">
      <c r="A382" s="17">
        <v>45518</v>
      </c>
      <c r="B382">
        <v>-0.05</v>
      </c>
      <c r="C382" s="17">
        <f t="shared" si="12"/>
        <v>45505</v>
      </c>
      <c r="D382">
        <f t="shared" si="13"/>
        <v>0</v>
      </c>
    </row>
    <row r="383" spans="1:4" x14ac:dyDescent="0.3">
      <c r="A383" s="17">
        <v>45517</v>
      </c>
      <c r="B383">
        <v>0.05</v>
      </c>
      <c r="C383" s="17">
        <f t="shared" si="12"/>
        <v>45505</v>
      </c>
      <c r="D383">
        <f t="shared" si="13"/>
        <v>0</v>
      </c>
    </row>
    <row r="384" spans="1:4" x14ac:dyDescent="0.3">
      <c r="A384" s="17">
        <v>45516</v>
      </c>
      <c r="B384">
        <v>0</v>
      </c>
      <c r="C384" s="17">
        <f t="shared" si="12"/>
        <v>45505</v>
      </c>
      <c r="D384">
        <f t="shared" si="13"/>
        <v>0</v>
      </c>
    </row>
    <row r="385" spans="1:4" x14ac:dyDescent="0.3">
      <c r="A385" s="17">
        <v>45512</v>
      </c>
      <c r="B385">
        <v>0.3</v>
      </c>
      <c r="C385" s="17">
        <f t="shared" si="12"/>
        <v>45505</v>
      </c>
      <c r="D385">
        <f t="shared" si="13"/>
        <v>0</v>
      </c>
    </row>
    <row r="386" spans="1:4" x14ac:dyDescent="0.3">
      <c r="A386" s="17">
        <v>45511</v>
      </c>
      <c r="B386">
        <v>-0.1</v>
      </c>
      <c r="C386" s="17">
        <f t="shared" si="12"/>
        <v>45505</v>
      </c>
      <c r="D386">
        <f t="shared" si="13"/>
        <v>0</v>
      </c>
    </row>
    <row r="387" spans="1:4" x14ac:dyDescent="0.3">
      <c r="A387" s="17">
        <v>45510</v>
      </c>
      <c r="B387">
        <v>-0.2</v>
      </c>
      <c r="C387" s="17">
        <f t="shared" si="12"/>
        <v>45505</v>
      </c>
      <c r="D387">
        <f t="shared" si="13"/>
        <v>0</v>
      </c>
    </row>
    <row r="388" spans="1:4" x14ac:dyDescent="0.3">
      <c r="A388" s="17">
        <v>45509</v>
      </c>
      <c r="B388">
        <v>-0.1</v>
      </c>
      <c r="C388" s="17">
        <f t="shared" si="12"/>
        <v>45505</v>
      </c>
      <c r="D388">
        <f t="shared" si="13"/>
        <v>0</v>
      </c>
    </row>
    <row r="389" spans="1:4" x14ac:dyDescent="0.3">
      <c r="A389" s="17">
        <v>45506</v>
      </c>
      <c r="B389">
        <v>-0.15</v>
      </c>
      <c r="C389" s="17">
        <f t="shared" si="12"/>
        <v>45505</v>
      </c>
      <c r="D389">
        <f t="shared" si="13"/>
        <v>1</v>
      </c>
    </row>
    <row r="390" spans="1:4" x14ac:dyDescent="0.3">
      <c r="A390" s="17">
        <v>45505</v>
      </c>
      <c r="B390">
        <v>-0.1</v>
      </c>
      <c r="C390" s="17">
        <f t="shared" ref="C390:C453" si="14">+DATE(+YEAR(A390),+MONTH(A390),1)</f>
        <v>45505</v>
      </c>
      <c r="D390">
        <f t="shared" ref="D390:D453" si="15">IF(AND(+DAY(A390)&gt;=1,+DAY(A390)&lt;= 4), 1, 0)</f>
        <v>1</v>
      </c>
    </row>
    <row r="391" spans="1:4" x14ac:dyDescent="0.3">
      <c r="A391" s="17">
        <v>45504</v>
      </c>
      <c r="B391">
        <v>0.2</v>
      </c>
      <c r="C391" s="17">
        <f t="shared" si="14"/>
        <v>45474</v>
      </c>
      <c r="D391">
        <f t="shared" si="15"/>
        <v>0</v>
      </c>
    </row>
    <row r="392" spans="1:4" x14ac:dyDescent="0.3">
      <c r="A392" s="17">
        <v>45503</v>
      </c>
      <c r="B392">
        <v>0.5</v>
      </c>
      <c r="C392" s="17">
        <f t="shared" si="14"/>
        <v>45474</v>
      </c>
      <c r="D392">
        <f t="shared" si="15"/>
        <v>0</v>
      </c>
    </row>
    <row r="393" spans="1:4" x14ac:dyDescent="0.3">
      <c r="A393" s="17">
        <v>45502</v>
      </c>
      <c r="B393">
        <v>0.35</v>
      </c>
      <c r="C393" s="17">
        <f t="shared" si="14"/>
        <v>45474</v>
      </c>
      <c r="D393">
        <f t="shared" si="15"/>
        <v>0</v>
      </c>
    </row>
    <row r="394" spans="1:4" x14ac:dyDescent="0.3">
      <c r="A394" s="17">
        <v>45499</v>
      </c>
      <c r="B394">
        <v>0.75</v>
      </c>
      <c r="C394" s="17">
        <f t="shared" si="14"/>
        <v>45474</v>
      </c>
      <c r="D394">
        <f t="shared" si="15"/>
        <v>0</v>
      </c>
    </row>
    <row r="395" spans="1:4" x14ac:dyDescent="0.3">
      <c r="A395" s="17">
        <v>45498</v>
      </c>
      <c r="B395">
        <v>0.95</v>
      </c>
      <c r="C395" s="17">
        <f t="shared" si="14"/>
        <v>45474</v>
      </c>
      <c r="D395">
        <f t="shared" si="15"/>
        <v>0</v>
      </c>
    </row>
    <row r="396" spans="1:4" x14ac:dyDescent="0.3">
      <c r="A396" s="17">
        <v>45497</v>
      </c>
      <c r="B396">
        <v>1</v>
      </c>
      <c r="C396" s="17">
        <f t="shared" si="14"/>
        <v>45474</v>
      </c>
      <c r="D396">
        <f t="shared" si="15"/>
        <v>0</v>
      </c>
    </row>
    <row r="397" spans="1:4" x14ac:dyDescent="0.3">
      <c r="A397" s="17">
        <v>45496</v>
      </c>
      <c r="B397">
        <v>1.1499999999999999</v>
      </c>
      <c r="C397" s="17">
        <f t="shared" si="14"/>
        <v>45474</v>
      </c>
      <c r="D397">
        <f t="shared" si="15"/>
        <v>0</v>
      </c>
    </row>
    <row r="398" spans="1:4" x14ac:dyDescent="0.3">
      <c r="A398" s="17">
        <v>45495</v>
      </c>
      <c r="B398">
        <v>1.1499999999999999</v>
      </c>
      <c r="C398" s="17">
        <f t="shared" si="14"/>
        <v>45474</v>
      </c>
      <c r="D398">
        <f t="shared" si="15"/>
        <v>0</v>
      </c>
    </row>
    <row r="399" spans="1:4" x14ac:dyDescent="0.3">
      <c r="A399" s="17">
        <v>45492</v>
      </c>
      <c r="B399">
        <v>1.3</v>
      </c>
      <c r="C399" s="17">
        <f t="shared" si="14"/>
        <v>45474</v>
      </c>
      <c r="D399">
        <f t="shared" si="15"/>
        <v>0</v>
      </c>
    </row>
    <row r="400" spans="1:4" x14ac:dyDescent="0.3">
      <c r="A400" s="17">
        <v>45491</v>
      </c>
      <c r="B400">
        <v>1.3</v>
      </c>
      <c r="C400" s="17">
        <f t="shared" si="14"/>
        <v>45474</v>
      </c>
      <c r="D400">
        <f t="shared" si="15"/>
        <v>0</v>
      </c>
    </row>
    <row r="401" spans="1:4" x14ac:dyDescent="0.3">
      <c r="A401" s="17">
        <v>45490</v>
      </c>
      <c r="B401">
        <v>1.2</v>
      </c>
      <c r="C401" s="17">
        <f t="shared" si="14"/>
        <v>45474</v>
      </c>
      <c r="D401">
        <f t="shared" si="15"/>
        <v>0</v>
      </c>
    </row>
    <row r="402" spans="1:4" x14ac:dyDescent="0.3">
      <c r="A402" s="17">
        <v>45489</v>
      </c>
      <c r="B402">
        <v>1.1499999999999999</v>
      </c>
      <c r="C402" s="17">
        <f t="shared" si="14"/>
        <v>45474</v>
      </c>
      <c r="D402">
        <f t="shared" si="15"/>
        <v>0</v>
      </c>
    </row>
    <row r="403" spans="1:4" x14ac:dyDescent="0.3">
      <c r="A403" s="17">
        <v>45488</v>
      </c>
      <c r="B403">
        <v>1.2</v>
      </c>
      <c r="C403" s="17">
        <f t="shared" si="14"/>
        <v>45474</v>
      </c>
      <c r="D403">
        <f t="shared" si="15"/>
        <v>0</v>
      </c>
    </row>
    <row r="404" spans="1:4" x14ac:dyDescent="0.3">
      <c r="A404" s="17">
        <v>45485</v>
      </c>
      <c r="B404">
        <v>1.1499999999999999</v>
      </c>
      <c r="C404" s="17">
        <f t="shared" si="14"/>
        <v>45474</v>
      </c>
      <c r="D404">
        <f t="shared" si="15"/>
        <v>0</v>
      </c>
    </row>
    <row r="405" spans="1:4" x14ac:dyDescent="0.3">
      <c r="A405" s="17">
        <v>45484</v>
      </c>
      <c r="B405">
        <v>1.1499999999999999</v>
      </c>
      <c r="C405" s="17">
        <f t="shared" si="14"/>
        <v>45474</v>
      </c>
      <c r="D405">
        <f t="shared" si="15"/>
        <v>0</v>
      </c>
    </row>
    <row r="406" spans="1:4" x14ac:dyDescent="0.3">
      <c r="A406" s="17">
        <v>45483</v>
      </c>
      <c r="B406">
        <v>1.1000000000000001</v>
      </c>
      <c r="C406" s="17">
        <f t="shared" si="14"/>
        <v>45474</v>
      </c>
      <c r="D406">
        <f t="shared" si="15"/>
        <v>0</v>
      </c>
    </row>
    <row r="407" spans="1:4" x14ac:dyDescent="0.3">
      <c r="A407" s="17">
        <v>45482</v>
      </c>
      <c r="B407">
        <v>1.1000000000000001</v>
      </c>
      <c r="C407" s="17">
        <f t="shared" si="14"/>
        <v>45474</v>
      </c>
      <c r="D407">
        <f t="shared" si="15"/>
        <v>0</v>
      </c>
    </row>
    <row r="408" spans="1:4" x14ac:dyDescent="0.3">
      <c r="A408" s="17">
        <v>45481</v>
      </c>
      <c r="B408">
        <v>1.1000000000000001</v>
      </c>
      <c r="C408" s="17">
        <f t="shared" si="14"/>
        <v>45474</v>
      </c>
      <c r="D408">
        <f t="shared" si="15"/>
        <v>0</v>
      </c>
    </row>
    <row r="409" spans="1:4" x14ac:dyDescent="0.3">
      <c r="A409" s="17">
        <v>45478</v>
      </c>
      <c r="B409">
        <v>1.2</v>
      </c>
      <c r="C409" s="17">
        <f t="shared" si="14"/>
        <v>45474</v>
      </c>
      <c r="D409">
        <f t="shared" si="15"/>
        <v>0</v>
      </c>
    </row>
    <row r="410" spans="1:4" x14ac:dyDescent="0.3">
      <c r="A410" s="17">
        <v>45477</v>
      </c>
      <c r="B410">
        <v>0.9</v>
      </c>
      <c r="C410" s="17">
        <f t="shared" si="14"/>
        <v>45474</v>
      </c>
      <c r="D410">
        <f t="shared" si="15"/>
        <v>1</v>
      </c>
    </row>
    <row r="411" spans="1:4" x14ac:dyDescent="0.3">
      <c r="A411" s="17">
        <v>45476</v>
      </c>
      <c r="B411">
        <v>0.9</v>
      </c>
      <c r="C411" s="17">
        <f t="shared" si="14"/>
        <v>45474</v>
      </c>
      <c r="D411">
        <f t="shared" si="15"/>
        <v>1</v>
      </c>
    </row>
    <row r="412" spans="1:4" x14ac:dyDescent="0.3">
      <c r="A412" s="17">
        <v>45475</v>
      </c>
      <c r="B412">
        <v>1</v>
      </c>
      <c r="C412" s="17">
        <f t="shared" si="14"/>
        <v>45474</v>
      </c>
      <c r="D412">
        <f t="shared" si="15"/>
        <v>1</v>
      </c>
    </row>
    <row r="413" spans="1:4" x14ac:dyDescent="0.3">
      <c r="A413" s="17">
        <v>45474</v>
      </c>
      <c r="B413">
        <v>0.6</v>
      </c>
      <c r="C413" s="17">
        <f t="shared" si="14"/>
        <v>45474</v>
      </c>
      <c r="D413">
        <f t="shared" si="15"/>
        <v>1</v>
      </c>
    </row>
    <row r="414" spans="1:4" x14ac:dyDescent="0.3">
      <c r="A414" s="17">
        <v>45471</v>
      </c>
      <c r="B414">
        <v>-0.45</v>
      </c>
      <c r="C414" s="17">
        <f t="shared" si="14"/>
        <v>45444</v>
      </c>
      <c r="D414">
        <f t="shared" si="15"/>
        <v>0</v>
      </c>
    </row>
    <row r="415" spans="1:4" x14ac:dyDescent="0.3">
      <c r="A415" s="17">
        <v>45470</v>
      </c>
      <c r="B415">
        <v>-0.35</v>
      </c>
      <c r="C415" s="17">
        <f t="shared" si="14"/>
        <v>45444</v>
      </c>
      <c r="D415">
        <f t="shared" si="15"/>
        <v>0</v>
      </c>
    </row>
    <row r="416" spans="1:4" x14ac:dyDescent="0.3">
      <c r="A416" s="17">
        <v>45469</v>
      </c>
      <c r="B416">
        <v>-0.45</v>
      </c>
      <c r="C416" s="17">
        <f t="shared" si="14"/>
        <v>45444</v>
      </c>
      <c r="D416">
        <f t="shared" si="15"/>
        <v>0</v>
      </c>
    </row>
    <row r="417" spans="1:4" x14ac:dyDescent="0.3">
      <c r="A417" s="17">
        <v>45468</v>
      </c>
      <c r="B417">
        <v>-0.1</v>
      </c>
      <c r="C417" s="17">
        <f t="shared" si="14"/>
        <v>45444</v>
      </c>
      <c r="D417">
        <f t="shared" si="15"/>
        <v>0</v>
      </c>
    </row>
    <row r="418" spans="1:4" x14ac:dyDescent="0.3">
      <c r="A418" s="17">
        <v>45467</v>
      </c>
      <c r="B418">
        <v>-0.2</v>
      </c>
      <c r="C418" s="17">
        <f t="shared" si="14"/>
        <v>45444</v>
      </c>
      <c r="D418">
        <f t="shared" si="15"/>
        <v>0</v>
      </c>
    </row>
    <row r="419" spans="1:4" x14ac:dyDescent="0.3">
      <c r="A419" s="17">
        <v>45464</v>
      </c>
      <c r="B419">
        <v>0</v>
      </c>
      <c r="C419" s="17">
        <f t="shared" si="14"/>
        <v>45444</v>
      </c>
      <c r="D419">
        <f t="shared" si="15"/>
        <v>0</v>
      </c>
    </row>
    <row r="420" spans="1:4" x14ac:dyDescent="0.3">
      <c r="A420" s="17">
        <v>45463</v>
      </c>
      <c r="B420">
        <v>0.05</v>
      </c>
      <c r="C420" s="17">
        <f t="shared" si="14"/>
        <v>45444</v>
      </c>
      <c r="D420">
        <f t="shared" si="15"/>
        <v>0</v>
      </c>
    </row>
    <row r="421" spans="1:4" x14ac:dyDescent="0.3">
      <c r="A421" s="17">
        <v>45462</v>
      </c>
      <c r="B421">
        <v>0.05</v>
      </c>
      <c r="C421" s="17">
        <f t="shared" si="14"/>
        <v>45444</v>
      </c>
      <c r="D421">
        <f t="shared" si="15"/>
        <v>0</v>
      </c>
    </row>
    <row r="422" spans="1:4" x14ac:dyDescent="0.3">
      <c r="A422" s="17">
        <v>45461</v>
      </c>
      <c r="B422">
        <v>0.15</v>
      </c>
      <c r="C422" s="17">
        <f t="shared" si="14"/>
        <v>45444</v>
      </c>
      <c r="D422">
        <f t="shared" si="15"/>
        <v>0</v>
      </c>
    </row>
    <row r="423" spans="1:4" x14ac:dyDescent="0.3">
      <c r="A423" s="17">
        <v>45457</v>
      </c>
      <c r="B423">
        <v>0.2</v>
      </c>
      <c r="C423" s="17">
        <f t="shared" si="14"/>
        <v>45444</v>
      </c>
      <c r="D423">
        <f t="shared" si="15"/>
        <v>0</v>
      </c>
    </row>
    <row r="424" spans="1:4" x14ac:dyDescent="0.3">
      <c r="A424" s="17">
        <v>45456</v>
      </c>
      <c r="B424">
        <v>-0.2</v>
      </c>
      <c r="C424" s="17">
        <f t="shared" si="14"/>
        <v>45444</v>
      </c>
      <c r="D424">
        <f t="shared" si="15"/>
        <v>0</v>
      </c>
    </row>
    <row r="425" spans="1:4" x14ac:dyDescent="0.3">
      <c r="A425" s="17">
        <v>45455</v>
      </c>
      <c r="B425">
        <v>0</v>
      </c>
      <c r="C425" s="17">
        <f t="shared" si="14"/>
        <v>45444</v>
      </c>
      <c r="D425">
        <f t="shared" si="15"/>
        <v>0</v>
      </c>
    </row>
    <row r="426" spans="1:4" x14ac:dyDescent="0.3">
      <c r="A426" s="17">
        <v>45454</v>
      </c>
      <c r="B426">
        <v>-0.05</v>
      </c>
      <c r="C426" s="17">
        <f t="shared" si="14"/>
        <v>45444</v>
      </c>
      <c r="D426">
        <f t="shared" si="15"/>
        <v>0</v>
      </c>
    </row>
    <row r="427" spans="1:4" x14ac:dyDescent="0.3">
      <c r="A427" s="17">
        <v>45453</v>
      </c>
      <c r="B427">
        <v>0</v>
      </c>
      <c r="C427" s="17">
        <f t="shared" si="14"/>
        <v>45444</v>
      </c>
      <c r="D427">
        <f t="shared" si="15"/>
        <v>0</v>
      </c>
    </row>
    <row r="428" spans="1:4" x14ac:dyDescent="0.3">
      <c r="A428" s="17">
        <v>45450</v>
      </c>
      <c r="B428">
        <v>0.5</v>
      </c>
      <c r="C428" s="17">
        <f t="shared" si="14"/>
        <v>45444</v>
      </c>
      <c r="D428">
        <f t="shared" si="15"/>
        <v>0</v>
      </c>
    </row>
    <row r="429" spans="1:4" x14ac:dyDescent="0.3">
      <c r="A429" s="17">
        <v>45449</v>
      </c>
      <c r="B429">
        <v>0.4</v>
      </c>
      <c r="C429" s="17">
        <f t="shared" si="14"/>
        <v>45444</v>
      </c>
      <c r="D429">
        <f t="shared" si="15"/>
        <v>0</v>
      </c>
    </row>
    <row r="430" spans="1:4" x14ac:dyDescent="0.3">
      <c r="A430" s="17">
        <v>45448</v>
      </c>
      <c r="B430">
        <v>0.25</v>
      </c>
      <c r="C430" s="17">
        <f t="shared" si="14"/>
        <v>45444</v>
      </c>
      <c r="D430">
        <f t="shared" si="15"/>
        <v>0</v>
      </c>
    </row>
    <row r="431" spans="1:4" x14ac:dyDescent="0.3">
      <c r="A431" s="17">
        <v>45447</v>
      </c>
      <c r="B431">
        <v>0.15</v>
      </c>
      <c r="C431" s="17">
        <f t="shared" si="14"/>
        <v>45444</v>
      </c>
      <c r="D431">
        <f t="shared" si="15"/>
        <v>1</v>
      </c>
    </row>
    <row r="432" spans="1:4" x14ac:dyDescent="0.3">
      <c r="A432" s="17">
        <v>45446</v>
      </c>
      <c r="B432">
        <v>0.25</v>
      </c>
      <c r="C432" s="17">
        <f t="shared" si="14"/>
        <v>45444</v>
      </c>
      <c r="D432">
        <f t="shared" si="15"/>
        <v>1</v>
      </c>
    </row>
    <row r="433" spans="1:4" x14ac:dyDescent="0.3">
      <c r="A433" s="17">
        <v>45443</v>
      </c>
      <c r="B433">
        <v>0.2</v>
      </c>
      <c r="C433" s="17">
        <f t="shared" si="14"/>
        <v>45413</v>
      </c>
      <c r="D433">
        <f t="shared" si="15"/>
        <v>0</v>
      </c>
    </row>
    <row r="434" spans="1:4" x14ac:dyDescent="0.3">
      <c r="A434" s="17">
        <v>45442</v>
      </c>
      <c r="B434">
        <v>-0.25</v>
      </c>
      <c r="C434" s="17">
        <f t="shared" si="14"/>
        <v>45413</v>
      </c>
      <c r="D434">
        <f t="shared" si="15"/>
        <v>0</v>
      </c>
    </row>
    <row r="435" spans="1:4" x14ac:dyDescent="0.3">
      <c r="A435" s="17">
        <v>45441</v>
      </c>
      <c r="B435">
        <v>-0.1</v>
      </c>
      <c r="C435" s="17">
        <f t="shared" si="14"/>
        <v>45413</v>
      </c>
      <c r="D435">
        <f t="shared" si="15"/>
        <v>0</v>
      </c>
    </row>
    <row r="436" spans="1:4" x14ac:dyDescent="0.3">
      <c r="A436" s="17">
        <v>45440</v>
      </c>
      <c r="B436">
        <v>-0.05</v>
      </c>
      <c r="C436" s="17">
        <f t="shared" si="14"/>
        <v>45413</v>
      </c>
      <c r="D436">
        <f t="shared" si="15"/>
        <v>0</v>
      </c>
    </row>
    <row r="437" spans="1:4" x14ac:dyDescent="0.3">
      <c r="A437" s="17">
        <v>45439</v>
      </c>
      <c r="B437">
        <v>0</v>
      </c>
      <c r="C437" s="17">
        <f t="shared" si="14"/>
        <v>45413</v>
      </c>
      <c r="D437">
        <f t="shared" si="15"/>
        <v>0</v>
      </c>
    </row>
    <row r="438" spans="1:4" x14ac:dyDescent="0.3">
      <c r="A438" s="17">
        <v>45436</v>
      </c>
      <c r="B438">
        <v>-0.1</v>
      </c>
      <c r="C438" s="17">
        <f t="shared" si="14"/>
        <v>45413</v>
      </c>
      <c r="D438">
        <f t="shared" si="15"/>
        <v>0</v>
      </c>
    </row>
    <row r="439" spans="1:4" x14ac:dyDescent="0.3">
      <c r="A439" s="17">
        <v>45435</v>
      </c>
      <c r="B439">
        <v>0.05</v>
      </c>
      <c r="C439" s="17">
        <f t="shared" si="14"/>
        <v>45413</v>
      </c>
      <c r="D439">
        <f t="shared" si="15"/>
        <v>0</v>
      </c>
    </row>
    <row r="440" spans="1:4" x14ac:dyDescent="0.3">
      <c r="A440" s="17">
        <v>45433</v>
      </c>
      <c r="B440">
        <v>0</v>
      </c>
      <c r="C440" s="17">
        <f t="shared" si="14"/>
        <v>45413</v>
      </c>
      <c r="D440">
        <f t="shared" si="15"/>
        <v>0</v>
      </c>
    </row>
    <row r="441" spans="1:4" x14ac:dyDescent="0.3">
      <c r="A441" s="17">
        <v>45432</v>
      </c>
      <c r="B441">
        <v>0.1</v>
      </c>
      <c r="C441" s="17">
        <f t="shared" si="14"/>
        <v>45413</v>
      </c>
      <c r="D441">
        <f t="shared" si="15"/>
        <v>0</v>
      </c>
    </row>
    <row r="442" spans="1:4" x14ac:dyDescent="0.3">
      <c r="A442" s="17">
        <v>45429</v>
      </c>
      <c r="B442">
        <v>0.25</v>
      </c>
      <c r="C442" s="17">
        <f t="shared" si="14"/>
        <v>45413</v>
      </c>
      <c r="D442">
        <f t="shared" si="15"/>
        <v>0</v>
      </c>
    </row>
    <row r="443" spans="1:4" x14ac:dyDescent="0.3">
      <c r="A443" s="17">
        <v>45428</v>
      </c>
      <c r="B443">
        <v>0.15</v>
      </c>
      <c r="C443" s="17">
        <f t="shared" si="14"/>
        <v>45413</v>
      </c>
      <c r="D443">
        <f t="shared" si="15"/>
        <v>0</v>
      </c>
    </row>
    <row r="444" spans="1:4" x14ac:dyDescent="0.3">
      <c r="A444" s="17">
        <v>45427</v>
      </c>
      <c r="B444">
        <v>0.05</v>
      </c>
      <c r="C444" s="17">
        <f t="shared" si="14"/>
        <v>45413</v>
      </c>
      <c r="D444">
        <f t="shared" si="15"/>
        <v>0</v>
      </c>
    </row>
    <row r="445" spans="1:4" x14ac:dyDescent="0.3">
      <c r="A445" s="17">
        <v>45426</v>
      </c>
      <c r="B445">
        <v>0.05</v>
      </c>
      <c r="C445" s="17">
        <f t="shared" si="14"/>
        <v>45413</v>
      </c>
      <c r="D445">
        <f t="shared" si="15"/>
        <v>0</v>
      </c>
    </row>
    <row r="446" spans="1:4" x14ac:dyDescent="0.3">
      <c r="A446" s="17">
        <v>45425</v>
      </c>
      <c r="B446">
        <v>0.15</v>
      </c>
      <c r="C446" s="17">
        <f t="shared" si="14"/>
        <v>45413</v>
      </c>
      <c r="D446">
        <f t="shared" si="15"/>
        <v>0</v>
      </c>
    </row>
    <row r="447" spans="1:4" x14ac:dyDescent="0.3">
      <c r="A447" s="17">
        <v>45422</v>
      </c>
      <c r="B447">
        <v>0.25</v>
      </c>
      <c r="C447" s="17">
        <f t="shared" si="14"/>
        <v>45413</v>
      </c>
      <c r="D447">
        <f t="shared" si="15"/>
        <v>0</v>
      </c>
    </row>
    <row r="448" spans="1:4" x14ac:dyDescent="0.3">
      <c r="A448" s="17">
        <v>45421</v>
      </c>
      <c r="B448">
        <v>0.45</v>
      </c>
      <c r="C448" s="17">
        <f t="shared" si="14"/>
        <v>45413</v>
      </c>
      <c r="D448">
        <f t="shared" si="15"/>
        <v>0</v>
      </c>
    </row>
    <row r="449" spans="1:4" x14ac:dyDescent="0.3">
      <c r="A449" s="17">
        <v>45420</v>
      </c>
      <c r="B449">
        <v>0.4</v>
      </c>
      <c r="C449" s="17">
        <f t="shared" si="14"/>
        <v>45413</v>
      </c>
      <c r="D449">
        <f t="shared" si="15"/>
        <v>0</v>
      </c>
    </row>
    <row r="450" spans="1:4" x14ac:dyDescent="0.3">
      <c r="A450" s="17">
        <v>45419</v>
      </c>
      <c r="B450">
        <v>0.45</v>
      </c>
      <c r="C450" s="17">
        <f t="shared" si="14"/>
        <v>45413</v>
      </c>
      <c r="D450">
        <f t="shared" si="15"/>
        <v>0</v>
      </c>
    </row>
    <row r="451" spans="1:4" x14ac:dyDescent="0.3">
      <c r="A451" s="17">
        <v>45418</v>
      </c>
      <c r="B451">
        <v>0.4</v>
      </c>
      <c r="C451" s="17">
        <f t="shared" si="14"/>
        <v>45413</v>
      </c>
      <c r="D451">
        <f t="shared" si="15"/>
        <v>0</v>
      </c>
    </row>
    <row r="452" spans="1:4" x14ac:dyDescent="0.3">
      <c r="A452" s="17">
        <v>45415</v>
      </c>
      <c r="B452">
        <v>0.4</v>
      </c>
      <c r="C452" s="17">
        <f t="shared" si="14"/>
        <v>45413</v>
      </c>
      <c r="D452">
        <f t="shared" si="15"/>
        <v>1</v>
      </c>
    </row>
    <row r="453" spans="1:4" x14ac:dyDescent="0.3">
      <c r="A453" s="17">
        <v>45414</v>
      </c>
      <c r="B453">
        <v>0.4</v>
      </c>
      <c r="C453" s="17">
        <f t="shared" si="14"/>
        <v>45413</v>
      </c>
      <c r="D453">
        <f t="shared" si="15"/>
        <v>1</v>
      </c>
    </row>
    <row r="454" spans="1:4" x14ac:dyDescent="0.3">
      <c r="A454" s="17">
        <v>45412</v>
      </c>
      <c r="B454">
        <v>1.4</v>
      </c>
      <c r="C454" s="17">
        <f t="shared" ref="C454:C517" si="16">+DATE(+YEAR(A454),+MONTH(A454),1)</f>
        <v>45383</v>
      </c>
      <c r="D454">
        <f t="shared" ref="D454:D517" si="17">IF(AND(+DAY(A454)&gt;=1,+DAY(A454)&lt;= 4), 1, 0)</f>
        <v>0</v>
      </c>
    </row>
    <row r="455" spans="1:4" x14ac:dyDescent="0.3">
      <c r="A455" s="17">
        <v>45411</v>
      </c>
      <c r="B455">
        <v>1.4</v>
      </c>
      <c r="C455" s="17">
        <f t="shared" si="16"/>
        <v>45383</v>
      </c>
      <c r="D455">
        <f t="shared" si="17"/>
        <v>0</v>
      </c>
    </row>
    <row r="456" spans="1:4" x14ac:dyDescent="0.3">
      <c r="A456" s="17">
        <v>45408</v>
      </c>
      <c r="B456">
        <v>1.25</v>
      </c>
      <c r="C456" s="17">
        <f t="shared" si="16"/>
        <v>45383</v>
      </c>
      <c r="D456">
        <f t="shared" si="17"/>
        <v>0</v>
      </c>
    </row>
    <row r="457" spans="1:4" x14ac:dyDescent="0.3">
      <c r="A457" s="17">
        <v>45407</v>
      </c>
      <c r="B457">
        <v>1.35</v>
      </c>
      <c r="C457" s="17">
        <f t="shared" si="16"/>
        <v>45383</v>
      </c>
      <c r="D457">
        <f t="shared" si="17"/>
        <v>0</v>
      </c>
    </row>
    <row r="458" spans="1:4" x14ac:dyDescent="0.3">
      <c r="A458" s="17">
        <v>45406</v>
      </c>
      <c r="B458">
        <v>1.45</v>
      </c>
      <c r="C458" s="17">
        <f t="shared" si="16"/>
        <v>45383</v>
      </c>
      <c r="D458">
        <f t="shared" si="17"/>
        <v>0</v>
      </c>
    </row>
    <row r="459" spans="1:4" x14ac:dyDescent="0.3">
      <c r="A459" s="17">
        <v>45405</v>
      </c>
      <c r="B459">
        <v>1.35</v>
      </c>
      <c r="C459" s="17">
        <f t="shared" si="16"/>
        <v>45383</v>
      </c>
      <c r="D459">
        <f t="shared" si="17"/>
        <v>0</v>
      </c>
    </row>
    <row r="460" spans="1:4" x14ac:dyDescent="0.3">
      <c r="A460" s="17">
        <v>45404</v>
      </c>
      <c r="B460">
        <v>1.3</v>
      </c>
      <c r="C460" s="17">
        <f t="shared" si="16"/>
        <v>45383</v>
      </c>
      <c r="D460">
        <f t="shared" si="17"/>
        <v>0</v>
      </c>
    </row>
    <row r="461" spans="1:4" x14ac:dyDescent="0.3">
      <c r="A461" s="17">
        <v>45401</v>
      </c>
      <c r="B461">
        <v>1.35</v>
      </c>
      <c r="C461" s="17">
        <f t="shared" si="16"/>
        <v>45383</v>
      </c>
      <c r="D461">
        <f t="shared" si="17"/>
        <v>0</v>
      </c>
    </row>
    <row r="462" spans="1:4" x14ac:dyDescent="0.3">
      <c r="A462" s="17">
        <v>45400</v>
      </c>
      <c r="B462">
        <v>1.35</v>
      </c>
      <c r="C462" s="17">
        <f t="shared" si="16"/>
        <v>45383</v>
      </c>
      <c r="D462">
        <f t="shared" si="17"/>
        <v>0</v>
      </c>
    </row>
    <row r="463" spans="1:4" x14ac:dyDescent="0.3">
      <c r="A463" s="17">
        <v>45399</v>
      </c>
      <c r="B463">
        <v>1.35</v>
      </c>
      <c r="C463" s="17">
        <f t="shared" si="16"/>
        <v>45383</v>
      </c>
      <c r="D463">
        <f t="shared" si="17"/>
        <v>0</v>
      </c>
    </row>
    <row r="464" spans="1:4" x14ac:dyDescent="0.3">
      <c r="A464" s="17">
        <v>45398</v>
      </c>
      <c r="B464">
        <v>1.35</v>
      </c>
      <c r="C464" s="17">
        <f t="shared" si="16"/>
        <v>45383</v>
      </c>
      <c r="D464">
        <f t="shared" si="17"/>
        <v>0</v>
      </c>
    </row>
    <row r="465" spans="1:4" x14ac:dyDescent="0.3">
      <c r="A465" s="17">
        <v>45397</v>
      </c>
      <c r="B465">
        <v>1.35</v>
      </c>
      <c r="C465" s="17">
        <f t="shared" si="16"/>
        <v>45383</v>
      </c>
      <c r="D465">
        <f t="shared" si="17"/>
        <v>0</v>
      </c>
    </row>
    <row r="466" spans="1:4" x14ac:dyDescent="0.3">
      <c r="A466" s="17">
        <v>45394</v>
      </c>
      <c r="B466">
        <v>0.85</v>
      </c>
      <c r="C466" s="17">
        <f t="shared" si="16"/>
        <v>45383</v>
      </c>
      <c r="D466">
        <f t="shared" si="17"/>
        <v>0</v>
      </c>
    </row>
    <row r="467" spans="1:4" x14ac:dyDescent="0.3">
      <c r="A467" s="17">
        <v>45393</v>
      </c>
      <c r="B467">
        <v>1.05</v>
      </c>
      <c r="C467" s="17">
        <f t="shared" si="16"/>
        <v>45383</v>
      </c>
      <c r="D467">
        <f t="shared" si="17"/>
        <v>0</v>
      </c>
    </row>
    <row r="468" spans="1:4" x14ac:dyDescent="0.3">
      <c r="A468" s="17">
        <v>45391</v>
      </c>
      <c r="B468">
        <v>0.95</v>
      </c>
      <c r="C468" s="17">
        <f t="shared" si="16"/>
        <v>45383</v>
      </c>
      <c r="D468">
        <f t="shared" si="17"/>
        <v>0</v>
      </c>
    </row>
    <row r="469" spans="1:4" x14ac:dyDescent="0.3">
      <c r="A469" s="17">
        <v>45390</v>
      </c>
      <c r="B469">
        <v>0.9</v>
      </c>
      <c r="C469" s="17">
        <f t="shared" si="16"/>
        <v>45383</v>
      </c>
      <c r="D469">
        <f t="shared" si="17"/>
        <v>0</v>
      </c>
    </row>
    <row r="470" spans="1:4" x14ac:dyDescent="0.3">
      <c r="A470" s="17">
        <v>45387</v>
      </c>
      <c r="B470">
        <v>1.1000000000000001</v>
      </c>
      <c r="C470" s="17">
        <f t="shared" si="16"/>
        <v>45383</v>
      </c>
      <c r="D470">
        <f t="shared" si="17"/>
        <v>0</v>
      </c>
    </row>
    <row r="471" spans="1:4" x14ac:dyDescent="0.3">
      <c r="A471" s="17">
        <v>45386</v>
      </c>
      <c r="B471">
        <v>1.1499999999999999</v>
      </c>
      <c r="C471" s="17">
        <f t="shared" si="16"/>
        <v>45383</v>
      </c>
      <c r="D471">
        <f t="shared" si="17"/>
        <v>1</v>
      </c>
    </row>
    <row r="472" spans="1:4" x14ac:dyDescent="0.3">
      <c r="A472" s="17">
        <v>45385</v>
      </c>
      <c r="B472">
        <v>1.1499999999999999</v>
      </c>
      <c r="C472" s="17">
        <f t="shared" si="16"/>
        <v>45383</v>
      </c>
      <c r="D472">
        <f t="shared" si="17"/>
        <v>1</v>
      </c>
    </row>
    <row r="473" spans="1:4" x14ac:dyDescent="0.3">
      <c r="A473" s="17">
        <v>45384</v>
      </c>
      <c r="B473">
        <v>1.2</v>
      </c>
      <c r="C473" s="17">
        <f t="shared" si="16"/>
        <v>45383</v>
      </c>
      <c r="D473">
        <f t="shared" si="17"/>
        <v>1</v>
      </c>
    </row>
    <row r="474" spans="1:4" x14ac:dyDescent="0.3">
      <c r="A474" s="17">
        <v>45383</v>
      </c>
      <c r="B474">
        <v>1.05</v>
      </c>
      <c r="C474" s="17">
        <f t="shared" si="16"/>
        <v>45383</v>
      </c>
      <c r="D474">
        <f t="shared" si="17"/>
        <v>1</v>
      </c>
    </row>
    <row r="475" spans="1:4" x14ac:dyDescent="0.3">
      <c r="A475" s="17">
        <v>45379</v>
      </c>
      <c r="B475">
        <v>0.6</v>
      </c>
      <c r="C475" s="17">
        <f t="shared" si="16"/>
        <v>45352</v>
      </c>
      <c r="D475">
        <f t="shared" si="17"/>
        <v>0</v>
      </c>
    </row>
    <row r="476" spans="1:4" x14ac:dyDescent="0.3">
      <c r="A476" s="17">
        <v>45378</v>
      </c>
      <c r="B476">
        <v>0.4</v>
      </c>
      <c r="C476" s="17">
        <f t="shared" si="16"/>
        <v>45352</v>
      </c>
      <c r="D476">
        <f t="shared" si="17"/>
        <v>0</v>
      </c>
    </row>
    <row r="477" spans="1:4" x14ac:dyDescent="0.3">
      <c r="A477" s="17">
        <v>45377</v>
      </c>
      <c r="B477">
        <v>0.5</v>
      </c>
      <c r="C477" s="17">
        <f t="shared" si="16"/>
        <v>45352</v>
      </c>
      <c r="D477">
        <f t="shared" si="17"/>
        <v>0</v>
      </c>
    </row>
    <row r="478" spans="1:4" x14ac:dyDescent="0.3">
      <c r="A478" s="17">
        <v>45376</v>
      </c>
      <c r="B478">
        <v>0.5</v>
      </c>
      <c r="C478" s="17">
        <f t="shared" si="16"/>
        <v>45352</v>
      </c>
      <c r="D478">
        <f t="shared" si="17"/>
        <v>0</v>
      </c>
    </row>
    <row r="479" spans="1:4" x14ac:dyDescent="0.3">
      <c r="A479" s="17">
        <v>45373</v>
      </c>
      <c r="B479">
        <v>0.5</v>
      </c>
      <c r="C479" s="17">
        <f t="shared" si="16"/>
        <v>45352</v>
      </c>
      <c r="D479">
        <f t="shared" si="17"/>
        <v>0</v>
      </c>
    </row>
    <row r="480" spans="1:4" x14ac:dyDescent="0.3">
      <c r="A480" s="17">
        <v>45372</v>
      </c>
      <c r="B480">
        <v>0.5</v>
      </c>
      <c r="C480" s="17">
        <f t="shared" si="16"/>
        <v>45352</v>
      </c>
      <c r="D480">
        <f t="shared" si="17"/>
        <v>0</v>
      </c>
    </row>
    <row r="481" spans="1:4" x14ac:dyDescent="0.3">
      <c r="A481" s="17">
        <v>45371</v>
      </c>
      <c r="B481">
        <v>0.6</v>
      </c>
      <c r="C481" s="17">
        <f t="shared" si="16"/>
        <v>45352</v>
      </c>
      <c r="D481">
        <f t="shared" si="17"/>
        <v>0</v>
      </c>
    </row>
    <row r="482" spans="1:4" x14ac:dyDescent="0.3">
      <c r="A482" s="17">
        <v>45370</v>
      </c>
      <c r="B482">
        <v>0.6</v>
      </c>
      <c r="C482" s="17">
        <f t="shared" si="16"/>
        <v>45352</v>
      </c>
      <c r="D482">
        <f t="shared" si="17"/>
        <v>0</v>
      </c>
    </row>
    <row r="483" spans="1:4" x14ac:dyDescent="0.3">
      <c r="A483" s="17">
        <v>45369</v>
      </c>
      <c r="B483">
        <v>0.6</v>
      </c>
      <c r="C483" s="17">
        <f t="shared" si="16"/>
        <v>45352</v>
      </c>
      <c r="D483">
        <f t="shared" si="17"/>
        <v>0</v>
      </c>
    </row>
    <row r="484" spans="1:4" x14ac:dyDescent="0.3">
      <c r="A484" s="17">
        <v>45366</v>
      </c>
      <c r="B484">
        <v>0.7</v>
      </c>
      <c r="C484" s="17">
        <f t="shared" si="16"/>
        <v>45352</v>
      </c>
      <c r="D484">
        <f t="shared" si="17"/>
        <v>0</v>
      </c>
    </row>
    <row r="485" spans="1:4" x14ac:dyDescent="0.3">
      <c r="A485" s="17">
        <v>45365</v>
      </c>
      <c r="B485">
        <v>0.5</v>
      </c>
      <c r="C485" s="17">
        <f t="shared" si="16"/>
        <v>45352</v>
      </c>
      <c r="D485">
        <f t="shared" si="17"/>
        <v>0</v>
      </c>
    </row>
    <row r="486" spans="1:4" x14ac:dyDescent="0.3">
      <c r="A486" s="17">
        <v>45364</v>
      </c>
      <c r="B486">
        <v>0.05</v>
      </c>
      <c r="C486" s="17">
        <f t="shared" si="16"/>
        <v>45352</v>
      </c>
      <c r="D486">
        <f t="shared" si="17"/>
        <v>0</v>
      </c>
    </row>
    <row r="487" spans="1:4" x14ac:dyDescent="0.3">
      <c r="A487" s="17">
        <v>45363</v>
      </c>
      <c r="B487">
        <v>0.05</v>
      </c>
      <c r="C487" s="17">
        <f t="shared" si="16"/>
        <v>45352</v>
      </c>
      <c r="D487">
        <f t="shared" si="17"/>
        <v>0</v>
      </c>
    </row>
    <row r="488" spans="1:4" x14ac:dyDescent="0.3">
      <c r="A488" s="17">
        <v>45362</v>
      </c>
      <c r="B488">
        <v>0.15</v>
      </c>
      <c r="C488" s="17">
        <f t="shared" si="16"/>
        <v>45352</v>
      </c>
      <c r="D488">
        <f t="shared" si="17"/>
        <v>0</v>
      </c>
    </row>
    <row r="489" spans="1:4" x14ac:dyDescent="0.3">
      <c r="A489" s="17">
        <v>45359</v>
      </c>
      <c r="B489">
        <v>0.35</v>
      </c>
      <c r="C489" s="17">
        <f t="shared" si="16"/>
        <v>45352</v>
      </c>
      <c r="D489">
        <f t="shared" si="17"/>
        <v>0</v>
      </c>
    </row>
    <row r="490" spans="1:4" x14ac:dyDescent="0.3">
      <c r="A490" s="17">
        <v>45358</v>
      </c>
      <c r="B490">
        <v>0.4</v>
      </c>
      <c r="C490" s="17">
        <f t="shared" si="16"/>
        <v>45352</v>
      </c>
      <c r="D490">
        <f t="shared" si="17"/>
        <v>0</v>
      </c>
    </row>
    <row r="491" spans="1:4" x14ac:dyDescent="0.3">
      <c r="A491" s="17">
        <v>45357</v>
      </c>
      <c r="B491">
        <v>0.35</v>
      </c>
      <c r="C491" s="17">
        <f t="shared" si="16"/>
        <v>45352</v>
      </c>
      <c r="D491">
        <f t="shared" si="17"/>
        <v>0</v>
      </c>
    </row>
    <row r="492" spans="1:4" x14ac:dyDescent="0.3">
      <c r="A492" s="17">
        <v>45356</v>
      </c>
      <c r="B492">
        <v>0.15</v>
      </c>
      <c r="C492" s="17">
        <f t="shared" si="16"/>
        <v>45352</v>
      </c>
      <c r="D492">
        <f t="shared" si="17"/>
        <v>0</v>
      </c>
    </row>
    <row r="493" spans="1:4" x14ac:dyDescent="0.3">
      <c r="A493" s="17">
        <v>45355</v>
      </c>
      <c r="B493">
        <v>0.6</v>
      </c>
      <c r="C493" s="17">
        <f t="shared" si="16"/>
        <v>45352</v>
      </c>
      <c r="D493">
        <f t="shared" si="17"/>
        <v>1</v>
      </c>
    </row>
    <row r="494" spans="1:4" x14ac:dyDescent="0.3">
      <c r="A494" s="17">
        <v>45352</v>
      </c>
      <c r="B494">
        <v>0.2</v>
      </c>
      <c r="C494" s="17">
        <f t="shared" si="16"/>
        <v>45352</v>
      </c>
      <c r="D494">
        <f t="shared" si="17"/>
        <v>1</v>
      </c>
    </row>
    <row r="495" spans="1:4" x14ac:dyDescent="0.3">
      <c r="A495" s="17">
        <v>45351</v>
      </c>
      <c r="B495">
        <v>0.1</v>
      </c>
      <c r="C495" s="17">
        <f t="shared" si="16"/>
        <v>45323</v>
      </c>
      <c r="D495">
        <f t="shared" si="17"/>
        <v>0</v>
      </c>
    </row>
    <row r="496" spans="1:4" x14ac:dyDescent="0.3">
      <c r="A496" s="17">
        <v>45350</v>
      </c>
      <c r="B496">
        <v>0</v>
      </c>
      <c r="C496" s="17">
        <f t="shared" si="16"/>
        <v>45323</v>
      </c>
      <c r="D496">
        <f t="shared" si="17"/>
        <v>0</v>
      </c>
    </row>
    <row r="497" spans="1:4" x14ac:dyDescent="0.3">
      <c r="A497" s="17">
        <v>45349</v>
      </c>
      <c r="B497">
        <v>0.4</v>
      </c>
      <c r="C497" s="17">
        <f t="shared" si="16"/>
        <v>45323</v>
      </c>
      <c r="D497">
        <f t="shared" si="17"/>
        <v>0</v>
      </c>
    </row>
    <row r="498" spans="1:4" x14ac:dyDescent="0.3">
      <c r="A498" s="17">
        <v>45348</v>
      </c>
      <c r="B498">
        <v>0.1</v>
      </c>
      <c r="C498" s="17">
        <f t="shared" si="16"/>
        <v>45323</v>
      </c>
      <c r="D498">
        <f t="shared" si="17"/>
        <v>0</v>
      </c>
    </row>
    <row r="499" spans="1:4" x14ac:dyDescent="0.3">
      <c r="A499" s="17">
        <v>45345</v>
      </c>
      <c r="B499">
        <v>0.1</v>
      </c>
      <c r="C499" s="17">
        <f t="shared" si="16"/>
        <v>45323</v>
      </c>
      <c r="D499">
        <f t="shared" si="17"/>
        <v>0</v>
      </c>
    </row>
    <row r="500" spans="1:4" x14ac:dyDescent="0.3">
      <c r="A500" s="17">
        <v>45344</v>
      </c>
      <c r="B500">
        <v>0.4</v>
      </c>
      <c r="C500" s="17">
        <f t="shared" si="16"/>
        <v>45323</v>
      </c>
      <c r="D500">
        <f t="shared" si="17"/>
        <v>0</v>
      </c>
    </row>
    <row r="501" spans="1:4" x14ac:dyDescent="0.3">
      <c r="A501" s="17">
        <v>45343</v>
      </c>
      <c r="B501">
        <v>0.25</v>
      </c>
      <c r="C501" s="17">
        <f t="shared" si="16"/>
        <v>45323</v>
      </c>
      <c r="D501">
        <f t="shared" si="17"/>
        <v>0</v>
      </c>
    </row>
    <row r="502" spans="1:4" x14ac:dyDescent="0.3">
      <c r="A502" s="17">
        <v>45342</v>
      </c>
      <c r="B502">
        <v>0.15</v>
      </c>
      <c r="C502" s="17">
        <f t="shared" si="16"/>
        <v>45323</v>
      </c>
      <c r="D502">
        <f t="shared" si="17"/>
        <v>0</v>
      </c>
    </row>
    <row r="503" spans="1:4" x14ac:dyDescent="0.3">
      <c r="A503" s="17">
        <v>45341</v>
      </c>
      <c r="B503">
        <v>0.05</v>
      </c>
      <c r="C503" s="17">
        <f t="shared" si="16"/>
        <v>45323</v>
      </c>
      <c r="D503">
        <f t="shared" si="17"/>
        <v>0</v>
      </c>
    </row>
    <row r="504" spans="1:4" x14ac:dyDescent="0.3">
      <c r="A504" s="17">
        <v>45338</v>
      </c>
      <c r="B504">
        <v>0</v>
      </c>
      <c r="C504" s="17">
        <f t="shared" si="16"/>
        <v>45323</v>
      </c>
      <c r="D504">
        <f t="shared" si="17"/>
        <v>0</v>
      </c>
    </row>
    <row r="505" spans="1:4" x14ac:dyDescent="0.3">
      <c r="A505" s="17">
        <v>45337</v>
      </c>
      <c r="B505">
        <v>0</v>
      </c>
      <c r="C505" s="17">
        <f t="shared" si="16"/>
        <v>45323</v>
      </c>
      <c r="D505">
        <f t="shared" si="17"/>
        <v>0</v>
      </c>
    </row>
    <row r="506" spans="1:4" x14ac:dyDescent="0.3">
      <c r="A506" s="17">
        <v>45336</v>
      </c>
      <c r="B506">
        <v>0.25</v>
      </c>
      <c r="C506" s="17">
        <f t="shared" si="16"/>
        <v>45323</v>
      </c>
      <c r="D506">
        <f t="shared" si="17"/>
        <v>0</v>
      </c>
    </row>
    <row r="507" spans="1:4" x14ac:dyDescent="0.3">
      <c r="A507" s="17">
        <v>45335</v>
      </c>
      <c r="B507">
        <v>0.1</v>
      </c>
      <c r="C507" s="17">
        <f t="shared" si="16"/>
        <v>45323</v>
      </c>
      <c r="D507">
        <f t="shared" si="17"/>
        <v>0</v>
      </c>
    </row>
    <row r="508" spans="1:4" x14ac:dyDescent="0.3">
      <c r="A508" s="17">
        <v>45331</v>
      </c>
      <c r="B508">
        <v>0.05</v>
      </c>
      <c r="C508" s="17">
        <f t="shared" si="16"/>
        <v>45323</v>
      </c>
      <c r="D508">
        <f t="shared" si="17"/>
        <v>0</v>
      </c>
    </row>
    <row r="509" spans="1:4" x14ac:dyDescent="0.3">
      <c r="A509" s="17">
        <v>45330</v>
      </c>
      <c r="B509">
        <v>0.05</v>
      </c>
      <c r="C509" s="17">
        <f t="shared" si="16"/>
        <v>45323</v>
      </c>
      <c r="D509">
        <f t="shared" si="17"/>
        <v>0</v>
      </c>
    </row>
    <row r="510" spans="1:4" x14ac:dyDescent="0.3">
      <c r="A510" s="17">
        <v>45329</v>
      </c>
      <c r="B510">
        <v>0</v>
      </c>
      <c r="C510" s="17">
        <f t="shared" si="16"/>
        <v>45323</v>
      </c>
      <c r="D510">
        <f t="shared" si="17"/>
        <v>0</v>
      </c>
    </row>
    <row r="511" spans="1:4" x14ac:dyDescent="0.3">
      <c r="A511" s="17">
        <v>45328</v>
      </c>
      <c r="B511">
        <v>-0.05</v>
      </c>
      <c r="C511" s="17">
        <f t="shared" si="16"/>
        <v>45323</v>
      </c>
      <c r="D511">
        <f t="shared" si="17"/>
        <v>0</v>
      </c>
    </row>
    <row r="512" spans="1:4" x14ac:dyDescent="0.3">
      <c r="A512" s="17">
        <v>45327</v>
      </c>
      <c r="B512">
        <v>-0.1</v>
      </c>
      <c r="C512" s="17">
        <f t="shared" si="16"/>
        <v>45323</v>
      </c>
      <c r="D512">
        <f t="shared" si="17"/>
        <v>0</v>
      </c>
    </row>
    <row r="513" spans="1:4" x14ac:dyDescent="0.3">
      <c r="A513" s="17">
        <v>45324</v>
      </c>
      <c r="B513">
        <v>0</v>
      </c>
      <c r="C513" s="17">
        <f t="shared" si="16"/>
        <v>45323</v>
      </c>
      <c r="D513">
        <f t="shared" si="17"/>
        <v>1</v>
      </c>
    </row>
    <row r="514" spans="1:4" x14ac:dyDescent="0.3">
      <c r="A514" s="17">
        <v>45323</v>
      </c>
      <c r="B514">
        <v>0.1</v>
      </c>
      <c r="C514" s="17">
        <f t="shared" si="16"/>
        <v>45323</v>
      </c>
      <c r="D514">
        <f t="shared" si="17"/>
        <v>1</v>
      </c>
    </row>
    <row r="515" spans="1:4" x14ac:dyDescent="0.3">
      <c r="A515" s="17">
        <v>45322</v>
      </c>
      <c r="B515">
        <v>0.4</v>
      </c>
      <c r="C515" s="17">
        <f t="shared" si="16"/>
        <v>45292</v>
      </c>
      <c r="D515">
        <f t="shared" si="17"/>
        <v>0</v>
      </c>
    </row>
    <row r="516" spans="1:4" x14ac:dyDescent="0.3">
      <c r="A516" s="17">
        <v>45321</v>
      </c>
      <c r="B516">
        <v>0.6</v>
      </c>
      <c r="C516" s="17">
        <f t="shared" si="16"/>
        <v>45292</v>
      </c>
      <c r="D516">
        <f t="shared" si="17"/>
        <v>0</v>
      </c>
    </row>
    <row r="517" spans="1:4" x14ac:dyDescent="0.3">
      <c r="A517" s="17">
        <v>45320</v>
      </c>
      <c r="B517">
        <v>0.6</v>
      </c>
      <c r="C517" s="17">
        <f t="shared" si="16"/>
        <v>45292</v>
      </c>
      <c r="D517">
        <f t="shared" si="17"/>
        <v>0</v>
      </c>
    </row>
    <row r="518" spans="1:4" x14ac:dyDescent="0.3">
      <c r="A518" s="17">
        <v>45317</v>
      </c>
      <c r="B518">
        <v>0.3</v>
      </c>
      <c r="C518" s="17">
        <f t="shared" ref="C518:C581" si="18">+DATE(+YEAR(A518),+MONTH(A518),1)</f>
        <v>45292</v>
      </c>
      <c r="D518">
        <f t="shared" ref="D518:D581" si="19">IF(AND(+DAY(A518)&gt;=1,+DAY(A518)&lt;= 4), 1, 0)</f>
        <v>0</v>
      </c>
    </row>
    <row r="519" spans="1:4" x14ac:dyDescent="0.3">
      <c r="A519" s="17">
        <v>45316</v>
      </c>
      <c r="B519">
        <v>0.2</v>
      </c>
      <c r="C519" s="17">
        <f t="shared" si="18"/>
        <v>45292</v>
      </c>
      <c r="D519">
        <f t="shared" si="19"/>
        <v>0</v>
      </c>
    </row>
    <row r="520" spans="1:4" x14ac:dyDescent="0.3">
      <c r="A520" s="17">
        <v>45315</v>
      </c>
      <c r="B520">
        <v>0.2</v>
      </c>
      <c r="C520" s="17">
        <f t="shared" si="18"/>
        <v>45292</v>
      </c>
      <c r="D520">
        <f t="shared" si="19"/>
        <v>0</v>
      </c>
    </row>
    <row r="521" spans="1:4" x14ac:dyDescent="0.3">
      <c r="A521" s="17">
        <v>45314</v>
      </c>
      <c r="B521">
        <v>0.15</v>
      </c>
      <c r="C521" s="17">
        <f t="shared" si="18"/>
        <v>45292</v>
      </c>
      <c r="D521">
        <f t="shared" si="19"/>
        <v>0</v>
      </c>
    </row>
    <row r="522" spans="1:4" x14ac:dyDescent="0.3">
      <c r="A522" s="17">
        <v>45313</v>
      </c>
      <c r="B522">
        <v>0.1</v>
      </c>
      <c r="C522" s="17">
        <f t="shared" si="18"/>
        <v>45292</v>
      </c>
      <c r="D522">
        <f t="shared" si="19"/>
        <v>0</v>
      </c>
    </row>
    <row r="523" spans="1:4" x14ac:dyDescent="0.3">
      <c r="A523" s="17">
        <v>45310</v>
      </c>
      <c r="B523">
        <v>-0.3</v>
      </c>
      <c r="C523" s="17">
        <f t="shared" si="18"/>
        <v>45292</v>
      </c>
      <c r="D523">
        <f t="shared" si="19"/>
        <v>0</v>
      </c>
    </row>
    <row r="524" spans="1:4" x14ac:dyDescent="0.3">
      <c r="A524" s="17">
        <v>45309</v>
      </c>
      <c r="B524">
        <v>-0.8</v>
      </c>
      <c r="C524" s="17">
        <f t="shared" si="18"/>
        <v>45292</v>
      </c>
      <c r="D524">
        <f t="shared" si="19"/>
        <v>0</v>
      </c>
    </row>
    <row r="525" spans="1:4" x14ac:dyDescent="0.3">
      <c r="A525" s="17">
        <v>45308</v>
      </c>
      <c r="B525">
        <v>-0.5</v>
      </c>
      <c r="C525" s="17">
        <f t="shared" si="18"/>
        <v>45292</v>
      </c>
      <c r="D525">
        <f t="shared" si="19"/>
        <v>0</v>
      </c>
    </row>
    <row r="526" spans="1:4" x14ac:dyDescent="0.3">
      <c r="A526" s="17">
        <v>45307</v>
      </c>
      <c r="B526">
        <v>-0.35</v>
      </c>
      <c r="C526" s="17">
        <f t="shared" si="18"/>
        <v>45292</v>
      </c>
      <c r="D526">
        <f t="shared" si="19"/>
        <v>0</v>
      </c>
    </row>
    <row r="527" spans="1:4" x14ac:dyDescent="0.3">
      <c r="A527" s="17">
        <v>45306</v>
      </c>
      <c r="B527">
        <v>-0.3</v>
      </c>
      <c r="C527" s="17">
        <f t="shared" si="18"/>
        <v>45292</v>
      </c>
      <c r="D527">
        <f t="shared" si="19"/>
        <v>0</v>
      </c>
    </row>
    <row r="528" spans="1:4" x14ac:dyDescent="0.3">
      <c r="A528" s="17">
        <v>45303</v>
      </c>
      <c r="B528">
        <v>-1.2</v>
      </c>
      <c r="C528" s="17">
        <f t="shared" si="18"/>
        <v>45292</v>
      </c>
      <c r="D528">
        <f t="shared" si="19"/>
        <v>0</v>
      </c>
    </row>
    <row r="529" spans="1:4" x14ac:dyDescent="0.3">
      <c r="A529" s="17">
        <v>45302</v>
      </c>
      <c r="B529">
        <v>-1.2</v>
      </c>
      <c r="C529" s="17">
        <f t="shared" si="18"/>
        <v>45292</v>
      </c>
      <c r="D529">
        <f t="shared" si="19"/>
        <v>0</v>
      </c>
    </row>
    <row r="530" spans="1:4" x14ac:dyDescent="0.3">
      <c r="A530" s="17">
        <v>45301</v>
      </c>
      <c r="B530">
        <v>-1.2</v>
      </c>
      <c r="C530" s="17">
        <f t="shared" si="18"/>
        <v>45292</v>
      </c>
      <c r="D530">
        <f t="shared" si="19"/>
        <v>0</v>
      </c>
    </row>
    <row r="531" spans="1:4" x14ac:dyDescent="0.3">
      <c r="A531" s="17">
        <v>45300</v>
      </c>
      <c r="B531">
        <v>-1.4</v>
      </c>
      <c r="C531" s="17">
        <f t="shared" si="18"/>
        <v>45292</v>
      </c>
      <c r="D531">
        <f t="shared" si="19"/>
        <v>0</v>
      </c>
    </row>
    <row r="532" spans="1:4" x14ac:dyDescent="0.3">
      <c r="A532" s="17">
        <v>45299</v>
      </c>
      <c r="B532">
        <v>-1.6</v>
      </c>
      <c r="C532" s="17">
        <f t="shared" si="18"/>
        <v>45292</v>
      </c>
      <c r="D532">
        <f t="shared" si="19"/>
        <v>0</v>
      </c>
    </row>
    <row r="533" spans="1:4" x14ac:dyDescent="0.3">
      <c r="A533" s="17">
        <v>45296</v>
      </c>
      <c r="B533">
        <v>-1.7</v>
      </c>
      <c r="C533" s="17">
        <f t="shared" si="18"/>
        <v>45292</v>
      </c>
      <c r="D533">
        <f t="shared" si="19"/>
        <v>0</v>
      </c>
    </row>
    <row r="534" spans="1:4" x14ac:dyDescent="0.3">
      <c r="A534" s="17">
        <v>45295</v>
      </c>
      <c r="B534">
        <v>-1.7</v>
      </c>
      <c r="C534" s="17">
        <f t="shared" si="18"/>
        <v>45292</v>
      </c>
      <c r="D534">
        <f t="shared" si="19"/>
        <v>1</v>
      </c>
    </row>
    <row r="535" spans="1:4" x14ac:dyDescent="0.3">
      <c r="A535" s="17">
        <v>45294</v>
      </c>
      <c r="B535">
        <v>-1.8</v>
      </c>
      <c r="C535" s="17">
        <f t="shared" si="18"/>
        <v>45292</v>
      </c>
      <c r="D535">
        <f t="shared" si="19"/>
        <v>1</v>
      </c>
    </row>
    <row r="536" spans="1:4" x14ac:dyDescent="0.3">
      <c r="A536" s="17">
        <v>45293</v>
      </c>
      <c r="B536">
        <v>-1.7</v>
      </c>
      <c r="C536" s="17">
        <f t="shared" si="18"/>
        <v>45292</v>
      </c>
      <c r="D536">
        <f t="shared" si="19"/>
        <v>1</v>
      </c>
    </row>
    <row r="537" spans="1:4" x14ac:dyDescent="0.3">
      <c r="A537" s="17">
        <v>45289</v>
      </c>
      <c r="B537">
        <v>-3.6</v>
      </c>
      <c r="C537" s="17">
        <f t="shared" si="18"/>
        <v>45261</v>
      </c>
      <c r="D537">
        <f t="shared" si="19"/>
        <v>0</v>
      </c>
    </row>
    <row r="538" spans="1:4" x14ac:dyDescent="0.3">
      <c r="A538" s="17">
        <v>45288</v>
      </c>
      <c r="B538">
        <v>-3</v>
      </c>
      <c r="C538" s="17">
        <f t="shared" si="18"/>
        <v>45261</v>
      </c>
      <c r="D538">
        <f t="shared" si="19"/>
        <v>0</v>
      </c>
    </row>
    <row r="539" spans="1:4" x14ac:dyDescent="0.3">
      <c r="A539" s="17">
        <v>45287</v>
      </c>
      <c r="B539">
        <v>-3.1</v>
      </c>
      <c r="C539" s="17">
        <f t="shared" si="18"/>
        <v>45261</v>
      </c>
      <c r="D539">
        <f t="shared" si="19"/>
        <v>0</v>
      </c>
    </row>
    <row r="540" spans="1:4" x14ac:dyDescent="0.3">
      <c r="A540" s="17">
        <v>45286</v>
      </c>
      <c r="B540">
        <v>-2.7</v>
      </c>
      <c r="C540" s="17">
        <f t="shared" si="18"/>
        <v>45261</v>
      </c>
      <c r="D540">
        <f t="shared" si="19"/>
        <v>0</v>
      </c>
    </row>
    <row r="541" spans="1:4" x14ac:dyDescent="0.3">
      <c r="A541" s="17">
        <v>45282</v>
      </c>
      <c r="B541">
        <v>-2.5</v>
      </c>
      <c r="C541" s="17">
        <f t="shared" si="18"/>
        <v>45261</v>
      </c>
      <c r="D541">
        <f t="shared" si="19"/>
        <v>0</v>
      </c>
    </row>
    <row r="542" spans="1:4" x14ac:dyDescent="0.3">
      <c r="A542" s="17">
        <v>45281</v>
      </c>
      <c r="B542">
        <v>-2.2000000000000002</v>
      </c>
      <c r="C542" s="17">
        <f t="shared" si="18"/>
        <v>45261</v>
      </c>
      <c r="D542">
        <f t="shared" si="19"/>
        <v>0</v>
      </c>
    </row>
    <row r="543" spans="1:4" x14ac:dyDescent="0.3">
      <c r="A543" s="17">
        <v>45280</v>
      </c>
      <c r="B543">
        <v>-2.15</v>
      </c>
      <c r="C543" s="17">
        <f t="shared" si="18"/>
        <v>45261</v>
      </c>
      <c r="D543">
        <f t="shared" si="19"/>
        <v>0</v>
      </c>
    </row>
    <row r="544" spans="1:4" x14ac:dyDescent="0.3">
      <c r="A544" s="17">
        <v>45279</v>
      </c>
      <c r="B544">
        <v>-2</v>
      </c>
      <c r="C544" s="17">
        <f t="shared" si="18"/>
        <v>45261</v>
      </c>
      <c r="D544">
        <f t="shared" si="19"/>
        <v>0</v>
      </c>
    </row>
    <row r="545" spans="1:4" x14ac:dyDescent="0.3">
      <c r="A545" s="17">
        <v>45278</v>
      </c>
      <c r="B545">
        <v>-2.2000000000000002</v>
      </c>
      <c r="C545" s="17">
        <f t="shared" si="18"/>
        <v>45261</v>
      </c>
      <c r="D545">
        <f t="shared" si="19"/>
        <v>0</v>
      </c>
    </row>
    <row r="546" spans="1:4" x14ac:dyDescent="0.3">
      <c r="A546" s="17">
        <v>45275</v>
      </c>
      <c r="B546">
        <v>-2.4</v>
      </c>
      <c r="C546" s="17">
        <f t="shared" si="18"/>
        <v>45261</v>
      </c>
      <c r="D546">
        <f t="shared" si="19"/>
        <v>0</v>
      </c>
    </row>
    <row r="547" spans="1:4" x14ac:dyDescent="0.3">
      <c r="A547" s="17">
        <v>45274</v>
      </c>
      <c r="B547">
        <v>-2.5</v>
      </c>
      <c r="C547" s="17">
        <f t="shared" si="18"/>
        <v>45261</v>
      </c>
      <c r="D547">
        <f t="shared" si="19"/>
        <v>0</v>
      </c>
    </row>
    <row r="548" spans="1:4" x14ac:dyDescent="0.3">
      <c r="A548" s="17">
        <v>45273</v>
      </c>
      <c r="B548">
        <v>-2.5</v>
      </c>
      <c r="C548" s="17">
        <f t="shared" si="18"/>
        <v>45261</v>
      </c>
      <c r="D548">
        <f t="shared" si="19"/>
        <v>0</v>
      </c>
    </row>
    <row r="549" spans="1:4" x14ac:dyDescent="0.3">
      <c r="A549" s="17">
        <v>45272</v>
      </c>
      <c r="B549">
        <v>-1.9</v>
      </c>
      <c r="C549" s="17">
        <f t="shared" si="18"/>
        <v>45261</v>
      </c>
      <c r="D549">
        <f t="shared" si="19"/>
        <v>0</v>
      </c>
    </row>
    <row r="550" spans="1:4" x14ac:dyDescent="0.3">
      <c r="A550" s="17">
        <v>45271</v>
      </c>
      <c r="B550">
        <v>-1.3</v>
      </c>
      <c r="C550" s="17">
        <f t="shared" si="18"/>
        <v>45261</v>
      </c>
      <c r="D550">
        <f t="shared" si="19"/>
        <v>0</v>
      </c>
    </row>
    <row r="551" spans="1:4" x14ac:dyDescent="0.3">
      <c r="A551" s="17">
        <v>45268</v>
      </c>
      <c r="B551">
        <v>-1.25</v>
      </c>
      <c r="C551" s="17">
        <f t="shared" si="18"/>
        <v>45261</v>
      </c>
      <c r="D551">
        <f t="shared" si="19"/>
        <v>0</v>
      </c>
    </row>
    <row r="552" spans="1:4" x14ac:dyDescent="0.3">
      <c r="A552" s="17">
        <v>45267</v>
      </c>
      <c r="B552">
        <v>-1.25</v>
      </c>
      <c r="C552" s="17">
        <f t="shared" si="18"/>
        <v>45261</v>
      </c>
      <c r="D552">
        <f t="shared" si="19"/>
        <v>0</v>
      </c>
    </row>
    <row r="553" spans="1:4" x14ac:dyDescent="0.3">
      <c r="A553" s="17">
        <v>45266</v>
      </c>
      <c r="B553">
        <v>-0.95</v>
      </c>
      <c r="C553" s="17">
        <f t="shared" si="18"/>
        <v>45261</v>
      </c>
      <c r="D553">
        <f t="shared" si="19"/>
        <v>0</v>
      </c>
    </row>
    <row r="554" spans="1:4" x14ac:dyDescent="0.3">
      <c r="A554" s="17">
        <v>45265</v>
      </c>
      <c r="B554">
        <v>-0.95</v>
      </c>
      <c r="C554" s="17">
        <f t="shared" si="18"/>
        <v>45261</v>
      </c>
      <c r="D554">
        <f t="shared" si="19"/>
        <v>0</v>
      </c>
    </row>
    <row r="555" spans="1:4" x14ac:dyDescent="0.3">
      <c r="A555" s="17">
        <v>45264</v>
      </c>
      <c r="B555">
        <v>-0.9</v>
      </c>
      <c r="C555" s="17">
        <f t="shared" si="18"/>
        <v>45261</v>
      </c>
      <c r="D555">
        <f t="shared" si="19"/>
        <v>1</v>
      </c>
    </row>
    <row r="556" spans="1:4" x14ac:dyDescent="0.3">
      <c r="A556" s="17">
        <v>45261</v>
      </c>
      <c r="B556">
        <v>-0.7</v>
      </c>
      <c r="C556" s="17">
        <f t="shared" si="18"/>
        <v>45261</v>
      </c>
      <c r="D556">
        <f t="shared" si="19"/>
        <v>1</v>
      </c>
    </row>
    <row r="557" spans="1:4" x14ac:dyDescent="0.3">
      <c r="A557" s="17">
        <v>45260</v>
      </c>
      <c r="B557">
        <v>-1.6</v>
      </c>
      <c r="C557" s="17">
        <f t="shared" si="18"/>
        <v>45231</v>
      </c>
      <c r="D557">
        <f t="shared" si="19"/>
        <v>0</v>
      </c>
    </row>
    <row r="558" spans="1:4" x14ac:dyDescent="0.3">
      <c r="A558" s="17">
        <v>45259</v>
      </c>
      <c r="B558">
        <v>-1.8</v>
      </c>
      <c r="C558" s="17">
        <f t="shared" si="18"/>
        <v>45231</v>
      </c>
      <c r="D558">
        <f t="shared" si="19"/>
        <v>0</v>
      </c>
    </row>
    <row r="559" spans="1:4" x14ac:dyDescent="0.3">
      <c r="A559" s="17">
        <v>45258</v>
      </c>
      <c r="B559">
        <v>-1.6</v>
      </c>
      <c r="C559" s="17">
        <f t="shared" si="18"/>
        <v>45231</v>
      </c>
      <c r="D559">
        <f t="shared" si="19"/>
        <v>0</v>
      </c>
    </row>
    <row r="560" spans="1:4" x14ac:dyDescent="0.3">
      <c r="A560" s="17">
        <v>45257</v>
      </c>
      <c r="B560">
        <v>-0.95</v>
      </c>
      <c r="C560" s="17">
        <f t="shared" si="18"/>
        <v>45231</v>
      </c>
      <c r="D560">
        <f t="shared" si="19"/>
        <v>0</v>
      </c>
    </row>
    <row r="561" spans="1:4" x14ac:dyDescent="0.3">
      <c r="A561" s="17">
        <v>45254</v>
      </c>
      <c r="B561">
        <v>-0.7</v>
      </c>
      <c r="C561" s="17">
        <f t="shared" si="18"/>
        <v>45231</v>
      </c>
      <c r="D561">
        <f t="shared" si="19"/>
        <v>0</v>
      </c>
    </row>
    <row r="562" spans="1:4" x14ac:dyDescent="0.3">
      <c r="A562" s="17">
        <v>45253</v>
      </c>
      <c r="B562">
        <v>-0.75</v>
      </c>
      <c r="C562" s="17">
        <f t="shared" si="18"/>
        <v>45231</v>
      </c>
      <c r="D562">
        <f t="shared" si="19"/>
        <v>0</v>
      </c>
    </row>
    <row r="563" spans="1:4" x14ac:dyDescent="0.3">
      <c r="A563" s="17">
        <v>45252</v>
      </c>
      <c r="B563">
        <v>-0.85</v>
      </c>
      <c r="C563" s="17">
        <f t="shared" si="18"/>
        <v>45231</v>
      </c>
      <c r="D563">
        <f t="shared" si="19"/>
        <v>0</v>
      </c>
    </row>
    <row r="564" spans="1:4" x14ac:dyDescent="0.3">
      <c r="A564" s="17">
        <v>45251</v>
      </c>
      <c r="B564">
        <v>-0.85</v>
      </c>
      <c r="C564" s="17">
        <f t="shared" si="18"/>
        <v>45231</v>
      </c>
      <c r="D564">
        <f t="shared" si="19"/>
        <v>0</v>
      </c>
    </row>
    <row r="565" spans="1:4" x14ac:dyDescent="0.3">
      <c r="A565" s="17">
        <v>45250</v>
      </c>
      <c r="B565">
        <v>-0.65</v>
      </c>
      <c r="C565" s="17">
        <f t="shared" si="18"/>
        <v>45231</v>
      </c>
      <c r="D565">
        <f t="shared" si="19"/>
        <v>0</v>
      </c>
    </row>
    <row r="566" spans="1:4" x14ac:dyDescent="0.3">
      <c r="A566" s="17">
        <v>45247</v>
      </c>
      <c r="B566">
        <v>-0.9</v>
      </c>
      <c r="C566" s="17">
        <f t="shared" si="18"/>
        <v>45231</v>
      </c>
      <c r="D566">
        <f t="shared" si="19"/>
        <v>0</v>
      </c>
    </row>
    <row r="567" spans="1:4" x14ac:dyDescent="0.3">
      <c r="A567" s="17">
        <v>45246</v>
      </c>
      <c r="B567">
        <v>-0.9</v>
      </c>
      <c r="C567" s="17">
        <f t="shared" si="18"/>
        <v>45231</v>
      </c>
      <c r="D567">
        <f t="shared" si="19"/>
        <v>0</v>
      </c>
    </row>
    <row r="568" spans="1:4" x14ac:dyDescent="0.3">
      <c r="A568" s="17">
        <v>45245</v>
      </c>
      <c r="B568">
        <v>-0.9</v>
      </c>
      <c r="C568" s="17">
        <f t="shared" si="18"/>
        <v>45231</v>
      </c>
      <c r="D568">
        <f t="shared" si="19"/>
        <v>0</v>
      </c>
    </row>
    <row r="569" spans="1:4" x14ac:dyDescent="0.3">
      <c r="A569" s="17">
        <v>45244</v>
      </c>
      <c r="B569">
        <v>-0.9</v>
      </c>
      <c r="C569" s="17">
        <f t="shared" si="18"/>
        <v>45231</v>
      </c>
      <c r="D569">
        <f t="shared" si="19"/>
        <v>0</v>
      </c>
    </row>
    <row r="570" spans="1:4" x14ac:dyDescent="0.3">
      <c r="A570" s="17">
        <v>45240</v>
      </c>
      <c r="B570">
        <v>-0.9</v>
      </c>
      <c r="C570" s="17">
        <f t="shared" si="18"/>
        <v>45231</v>
      </c>
      <c r="D570">
        <f t="shared" si="19"/>
        <v>0</v>
      </c>
    </row>
    <row r="571" spans="1:4" x14ac:dyDescent="0.3">
      <c r="A571" s="17">
        <v>45239</v>
      </c>
      <c r="B571">
        <v>-0.75</v>
      </c>
      <c r="C571" s="17">
        <f t="shared" si="18"/>
        <v>45231</v>
      </c>
      <c r="D571">
        <f t="shared" si="19"/>
        <v>0</v>
      </c>
    </row>
    <row r="572" spans="1:4" x14ac:dyDescent="0.3">
      <c r="A572" s="17">
        <v>45238</v>
      </c>
      <c r="B572">
        <v>-0.65</v>
      </c>
      <c r="C572" s="17">
        <f t="shared" si="18"/>
        <v>45231</v>
      </c>
      <c r="D572">
        <f t="shared" si="19"/>
        <v>0</v>
      </c>
    </row>
    <row r="573" spans="1:4" x14ac:dyDescent="0.3">
      <c r="A573" s="17">
        <v>45237</v>
      </c>
      <c r="B573">
        <v>-0.45</v>
      </c>
      <c r="C573" s="17">
        <f t="shared" si="18"/>
        <v>45231</v>
      </c>
      <c r="D573">
        <f t="shared" si="19"/>
        <v>0</v>
      </c>
    </row>
    <row r="574" spans="1:4" x14ac:dyDescent="0.3">
      <c r="A574" s="17">
        <v>45236</v>
      </c>
      <c r="B574">
        <v>-0.45</v>
      </c>
      <c r="C574" s="17">
        <f t="shared" si="18"/>
        <v>45231</v>
      </c>
      <c r="D574">
        <f t="shared" si="19"/>
        <v>0</v>
      </c>
    </row>
    <row r="575" spans="1:4" x14ac:dyDescent="0.3">
      <c r="A575" s="17">
        <v>45233</v>
      </c>
      <c r="B575">
        <v>-0.35</v>
      </c>
      <c r="C575" s="17">
        <f t="shared" si="18"/>
        <v>45231</v>
      </c>
      <c r="D575">
        <f t="shared" si="19"/>
        <v>1</v>
      </c>
    </row>
    <row r="576" spans="1:4" x14ac:dyDescent="0.3">
      <c r="A576" s="17">
        <v>45232</v>
      </c>
      <c r="B576">
        <v>-0.4</v>
      </c>
      <c r="C576" s="17">
        <f t="shared" si="18"/>
        <v>45231</v>
      </c>
      <c r="D576">
        <f t="shared" si="19"/>
        <v>1</v>
      </c>
    </row>
    <row r="577" spans="1:4" x14ac:dyDescent="0.3">
      <c r="A577" s="17">
        <v>45231</v>
      </c>
      <c r="B577">
        <v>-0.4</v>
      </c>
      <c r="C577" s="17">
        <f t="shared" si="18"/>
        <v>45231</v>
      </c>
      <c r="D577">
        <f t="shared" si="19"/>
        <v>1</v>
      </c>
    </row>
    <row r="578" spans="1:4" x14ac:dyDescent="0.3">
      <c r="A578" s="17">
        <v>45230</v>
      </c>
      <c r="B578">
        <v>-1.45</v>
      </c>
      <c r="C578" s="17">
        <f t="shared" si="18"/>
        <v>45200</v>
      </c>
      <c r="D578">
        <f t="shared" si="19"/>
        <v>0</v>
      </c>
    </row>
    <row r="579" spans="1:4" x14ac:dyDescent="0.3">
      <c r="A579" s="17">
        <v>45229</v>
      </c>
      <c r="B579">
        <v>-0.95</v>
      </c>
      <c r="C579" s="17">
        <f t="shared" si="18"/>
        <v>45200</v>
      </c>
      <c r="D579">
        <f t="shared" si="19"/>
        <v>0</v>
      </c>
    </row>
    <row r="580" spans="1:4" x14ac:dyDescent="0.3">
      <c r="A580" s="17">
        <v>45226</v>
      </c>
      <c r="B580">
        <v>-1</v>
      </c>
      <c r="C580" s="17">
        <f t="shared" si="18"/>
        <v>45200</v>
      </c>
      <c r="D580">
        <f t="shared" si="19"/>
        <v>0</v>
      </c>
    </row>
    <row r="581" spans="1:4" x14ac:dyDescent="0.3">
      <c r="A581" s="17">
        <v>45225</v>
      </c>
      <c r="B581">
        <v>-1.1000000000000001</v>
      </c>
      <c r="C581" s="17">
        <f t="shared" si="18"/>
        <v>45200</v>
      </c>
      <c r="D581">
        <f t="shared" si="19"/>
        <v>0</v>
      </c>
    </row>
    <row r="582" spans="1:4" x14ac:dyDescent="0.3">
      <c r="A582" s="17">
        <v>45224</v>
      </c>
      <c r="B582">
        <v>-1.1000000000000001</v>
      </c>
      <c r="C582" s="17">
        <f t="shared" ref="C582:C645" si="20">+DATE(+YEAR(A582),+MONTH(A582),1)</f>
        <v>45200</v>
      </c>
      <c r="D582">
        <f t="shared" ref="D582:D645" si="21">IF(AND(+DAY(A582)&gt;=1,+DAY(A582)&lt;= 4), 1, 0)</f>
        <v>0</v>
      </c>
    </row>
    <row r="583" spans="1:4" x14ac:dyDescent="0.3">
      <c r="A583" s="17">
        <v>45223</v>
      </c>
      <c r="B583">
        <v>-0.7</v>
      </c>
      <c r="C583" s="17">
        <f t="shared" si="20"/>
        <v>45200</v>
      </c>
      <c r="D583">
        <f t="shared" si="21"/>
        <v>0</v>
      </c>
    </row>
    <row r="584" spans="1:4" x14ac:dyDescent="0.3">
      <c r="A584" s="17">
        <v>45222</v>
      </c>
      <c r="B584">
        <v>-0.7</v>
      </c>
      <c r="C584" s="17">
        <f t="shared" si="20"/>
        <v>45200</v>
      </c>
      <c r="D584">
        <f t="shared" si="21"/>
        <v>0</v>
      </c>
    </row>
    <row r="585" spans="1:4" x14ac:dyDescent="0.3">
      <c r="A585" s="17">
        <v>45219</v>
      </c>
      <c r="B585">
        <v>-0.35</v>
      </c>
      <c r="C585" s="17">
        <f t="shared" si="20"/>
        <v>45200</v>
      </c>
      <c r="D585">
        <f t="shared" si="21"/>
        <v>0</v>
      </c>
    </row>
    <row r="586" spans="1:4" x14ac:dyDescent="0.3">
      <c r="A586" s="17">
        <v>45218</v>
      </c>
      <c r="B586">
        <v>-0.3</v>
      </c>
      <c r="C586" s="17">
        <f t="shared" si="20"/>
        <v>45200</v>
      </c>
      <c r="D586">
        <f t="shared" si="21"/>
        <v>0</v>
      </c>
    </row>
    <row r="587" spans="1:4" x14ac:dyDescent="0.3">
      <c r="A587" s="17">
        <v>45217</v>
      </c>
      <c r="B587">
        <v>-0.05</v>
      </c>
      <c r="C587" s="17">
        <f t="shared" si="20"/>
        <v>45200</v>
      </c>
      <c r="D587">
        <f t="shared" si="21"/>
        <v>0</v>
      </c>
    </row>
    <row r="588" spans="1:4" x14ac:dyDescent="0.3">
      <c r="A588" s="17">
        <v>45216</v>
      </c>
      <c r="B588">
        <v>0.1</v>
      </c>
      <c r="C588" s="17">
        <f t="shared" si="20"/>
        <v>45200</v>
      </c>
      <c r="D588">
        <f t="shared" si="21"/>
        <v>0</v>
      </c>
    </row>
    <row r="589" spans="1:4" x14ac:dyDescent="0.3">
      <c r="A589" s="17">
        <v>45215</v>
      </c>
      <c r="B589">
        <v>0.1</v>
      </c>
      <c r="C589" s="17">
        <f t="shared" si="20"/>
        <v>45200</v>
      </c>
      <c r="D589">
        <f t="shared" si="21"/>
        <v>0</v>
      </c>
    </row>
    <row r="590" spans="1:4" x14ac:dyDescent="0.3">
      <c r="A590" s="17">
        <v>45212</v>
      </c>
      <c r="B590">
        <v>0.15</v>
      </c>
      <c r="C590" s="17">
        <f t="shared" si="20"/>
        <v>45200</v>
      </c>
      <c r="D590">
        <f t="shared" si="21"/>
        <v>0</v>
      </c>
    </row>
    <row r="591" spans="1:4" x14ac:dyDescent="0.3">
      <c r="A591" s="17">
        <v>45211</v>
      </c>
      <c r="B591">
        <v>0</v>
      </c>
      <c r="C591" s="17">
        <f t="shared" si="20"/>
        <v>45200</v>
      </c>
      <c r="D591">
        <f t="shared" si="21"/>
        <v>0</v>
      </c>
    </row>
    <row r="592" spans="1:4" x14ac:dyDescent="0.3">
      <c r="A592" s="17">
        <v>45210</v>
      </c>
      <c r="B592">
        <v>0</v>
      </c>
      <c r="C592" s="17">
        <f t="shared" si="20"/>
        <v>45200</v>
      </c>
      <c r="D592">
        <f t="shared" si="21"/>
        <v>0</v>
      </c>
    </row>
    <row r="593" spans="1:4" x14ac:dyDescent="0.3">
      <c r="A593" s="17">
        <v>45209</v>
      </c>
      <c r="B593">
        <v>0.1</v>
      </c>
      <c r="C593" s="17">
        <f t="shared" si="20"/>
        <v>45200</v>
      </c>
      <c r="D593">
        <f t="shared" si="21"/>
        <v>0</v>
      </c>
    </row>
    <row r="594" spans="1:4" x14ac:dyDescent="0.3">
      <c r="A594" s="17">
        <v>45208</v>
      </c>
      <c r="B594">
        <v>0</v>
      </c>
      <c r="C594" s="17">
        <f t="shared" si="20"/>
        <v>45200</v>
      </c>
      <c r="D594">
        <f t="shared" si="21"/>
        <v>0</v>
      </c>
    </row>
    <row r="595" spans="1:4" x14ac:dyDescent="0.3">
      <c r="A595" s="17">
        <v>45205</v>
      </c>
      <c r="B595">
        <v>0.15</v>
      </c>
      <c r="C595" s="17">
        <f t="shared" si="20"/>
        <v>45200</v>
      </c>
      <c r="D595">
        <f t="shared" si="21"/>
        <v>0</v>
      </c>
    </row>
    <row r="596" spans="1:4" x14ac:dyDescent="0.3">
      <c r="A596" s="17">
        <v>45204</v>
      </c>
      <c r="B596">
        <v>0.25</v>
      </c>
      <c r="C596" s="17">
        <f t="shared" si="20"/>
        <v>45200</v>
      </c>
      <c r="D596">
        <f t="shared" si="21"/>
        <v>0</v>
      </c>
    </row>
    <row r="597" spans="1:4" x14ac:dyDescent="0.3">
      <c r="A597" s="17">
        <v>45203</v>
      </c>
      <c r="B597">
        <v>0.3</v>
      </c>
      <c r="C597" s="17">
        <f t="shared" si="20"/>
        <v>45200</v>
      </c>
      <c r="D597">
        <f t="shared" si="21"/>
        <v>1</v>
      </c>
    </row>
    <row r="598" spans="1:4" x14ac:dyDescent="0.3">
      <c r="A598" s="17">
        <v>45202</v>
      </c>
      <c r="B598">
        <v>0.3</v>
      </c>
      <c r="C598" s="17">
        <f t="shared" si="20"/>
        <v>45200</v>
      </c>
      <c r="D598">
        <f t="shared" si="21"/>
        <v>1</v>
      </c>
    </row>
    <row r="599" spans="1:4" x14ac:dyDescent="0.3">
      <c r="A599" s="17">
        <v>45201</v>
      </c>
      <c r="B599">
        <v>0.5</v>
      </c>
      <c r="C599" s="17">
        <f t="shared" si="20"/>
        <v>45200</v>
      </c>
      <c r="D599">
        <f t="shared" si="21"/>
        <v>1</v>
      </c>
    </row>
    <row r="600" spans="1:4" x14ac:dyDescent="0.3">
      <c r="A600" s="17">
        <v>45198</v>
      </c>
      <c r="B600">
        <v>1.2</v>
      </c>
      <c r="C600" s="17">
        <f t="shared" si="20"/>
        <v>45170</v>
      </c>
      <c r="D600">
        <f t="shared" si="21"/>
        <v>0</v>
      </c>
    </row>
    <row r="601" spans="1:4" x14ac:dyDescent="0.3">
      <c r="A601" s="17">
        <v>45197</v>
      </c>
      <c r="B601">
        <v>1</v>
      </c>
      <c r="C601" s="17">
        <f t="shared" si="20"/>
        <v>45170</v>
      </c>
      <c r="D601">
        <f t="shared" si="21"/>
        <v>0</v>
      </c>
    </row>
    <row r="602" spans="1:4" x14ac:dyDescent="0.3">
      <c r="A602" s="17">
        <v>45196</v>
      </c>
      <c r="B602">
        <v>0.6</v>
      </c>
      <c r="C602" s="17">
        <f t="shared" si="20"/>
        <v>45170</v>
      </c>
      <c r="D602">
        <f t="shared" si="21"/>
        <v>0</v>
      </c>
    </row>
    <row r="603" spans="1:4" x14ac:dyDescent="0.3">
      <c r="A603" s="17">
        <v>45195</v>
      </c>
      <c r="B603">
        <v>0.4</v>
      </c>
      <c r="C603" s="17">
        <f t="shared" si="20"/>
        <v>45170</v>
      </c>
      <c r="D603">
        <f t="shared" si="21"/>
        <v>0</v>
      </c>
    </row>
    <row r="604" spans="1:4" x14ac:dyDescent="0.3">
      <c r="A604" s="17">
        <v>45194</v>
      </c>
      <c r="B604">
        <v>0.7</v>
      </c>
      <c r="C604" s="17">
        <f t="shared" si="20"/>
        <v>45170</v>
      </c>
      <c r="D604">
        <f t="shared" si="21"/>
        <v>0</v>
      </c>
    </row>
    <row r="605" spans="1:4" x14ac:dyDescent="0.3">
      <c r="A605" s="17">
        <v>45191</v>
      </c>
      <c r="B605">
        <v>0.4</v>
      </c>
      <c r="C605" s="17">
        <f t="shared" si="20"/>
        <v>45170</v>
      </c>
      <c r="D605">
        <f t="shared" si="21"/>
        <v>0</v>
      </c>
    </row>
    <row r="606" spans="1:4" x14ac:dyDescent="0.3">
      <c r="A606" s="17">
        <v>45190</v>
      </c>
      <c r="B606">
        <v>0.4</v>
      </c>
      <c r="C606" s="17">
        <f t="shared" si="20"/>
        <v>45170</v>
      </c>
      <c r="D606">
        <f t="shared" si="21"/>
        <v>0</v>
      </c>
    </row>
    <row r="607" spans="1:4" x14ac:dyDescent="0.3">
      <c r="A607" s="17">
        <v>45189</v>
      </c>
      <c r="B607">
        <v>0.45</v>
      </c>
      <c r="C607" s="17">
        <f t="shared" si="20"/>
        <v>45170</v>
      </c>
      <c r="D607">
        <f t="shared" si="21"/>
        <v>0</v>
      </c>
    </row>
    <row r="608" spans="1:4" x14ac:dyDescent="0.3">
      <c r="A608" s="17">
        <v>45188</v>
      </c>
      <c r="B608">
        <v>0.55000000000000004</v>
      </c>
      <c r="C608" s="17">
        <f t="shared" si="20"/>
        <v>45170</v>
      </c>
      <c r="D608">
        <f t="shared" si="21"/>
        <v>0</v>
      </c>
    </row>
    <row r="609" spans="1:4" x14ac:dyDescent="0.3">
      <c r="A609" s="17">
        <v>45187</v>
      </c>
      <c r="B609">
        <v>0.2</v>
      </c>
      <c r="C609" s="17">
        <f t="shared" si="20"/>
        <v>45170</v>
      </c>
      <c r="D609">
        <f t="shared" si="21"/>
        <v>0</v>
      </c>
    </row>
    <row r="610" spans="1:4" x14ac:dyDescent="0.3">
      <c r="A610" s="17">
        <v>45184</v>
      </c>
      <c r="B610">
        <v>0.15</v>
      </c>
      <c r="C610" s="17">
        <f t="shared" si="20"/>
        <v>45170</v>
      </c>
      <c r="D610">
        <f t="shared" si="21"/>
        <v>0</v>
      </c>
    </row>
    <row r="611" spans="1:4" x14ac:dyDescent="0.3">
      <c r="A611" s="17">
        <v>45183</v>
      </c>
      <c r="B611">
        <v>0</v>
      </c>
      <c r="C611" s="17">
        <f t="shared" si="20"/>
        <v>45170</v>
      </c>
      <c r="D611">
        <f t="shared" si="21"/>
        <v>0</v>
      </c>
    </row>
    <row r="612" spans="1:4" x14ac:dyDescent="0.3">
      <c r="A612" s="17">
        <v>45182</v>
      </c>
      <c r="B612">
        <v>0.25</v>
      </c>
      <c r="C612" s="17">
        <f t="shared" si="20"/>
        <v>45170</v>
      </c>
      <c r="D612">
        <f t="shared" si="21"/>
        <v>0</v>
      </c>
    </row>
    <row r="613" spans="1:4" x14ac:dyDescent="0.3">
      <c r="A613" s="17">
        <v>45181</v>
      </c>
      <c r="B613">
        <v>0</v>
      </c>
      <c r="C613" s="17">
        <f t="shared" si="20"/>
        <v>45170</v>
      </c>
      <c r="D613">
        <f t="shared" si="21"/>
        <v>0</v>
      </c>
    </row>
    <row r="614" spans="1:4" x14ac:dyDescent="0.3">
      <c r="A614" s="17">
        <v>45180</v>
      </c>
      <c r="B614">
        <v>0</v>
      </c>
      <c r="C614" s="17">
        <f t="shared" si="20"/>
        <v>45170</v>
      </c>
      <c r="D614">
        <f t="shared" si="21"/>
        <v>0</v>
      </c>
    </row>
    <row r="615" spans="1:4" x14ac:dyDescent="0.3">
      <c r="A615" s="17">
        <v>45177</v>
      </c>
      <c r="B615">
        <v>0.1</v>
      </c>
      <c r="C615" s="17">
        <f t="shared" si="20"/>
        <v>45170</v>
      </c>
      <c r="D615">
        <f t="shared" si="21"/>
        <v>0</v>
      </c>
    </row>
    <row r="616" spans="1:4" x14ac:dyDescent="0.3">
      <c r="A616" s="17">
        <v>45176</v>
      </c>
      <c r="B616">
        <v>0.1</v>
      </c>
      <c r="C616" s="17">
        <f t="shared" si="20"/>
        <v>45170</v>
      </c>
      <c r="D616">
        <f t="shared" si="21"/>
        <v>0</v>
      </c>
    </row>
    <row r="617" spans="1:4" x14ac:dyDescent="0.3">
      <c r="A617" s="17">
        <v>45175</v>
      </c>
      <c r="B617">
        <v>0.05</v>
      </c>
      <c r="C617" s="17">
        <f t="shared" si="20"/>
        <v>45170</v>
      </c>
      <c r="D617">
        <f t="shared" si="21"/>
        <v>0</v>
      </c>
    </row>
    <row r="618" spans="1:4" x14ac:dyDescent="0.3">
      <c r="A618" s="17">
        <v>45174</v>
      </c>
      <c r="B618">
        <v>-0.1</v>
      </c>
      <c r="C618" s="17">
        <f t="shared" si="20"/>
        <v>45170</v>
      </c>
      <c r="D618">
        <f t="shared" si="21"/>
        <v>0</v>
      </c>
    </row>
    <row r="619" spans="1:4" x14ac:dyDescent="0.3">
      <c r="A619" s="17">
        <v>45173</v>
      </c>
      <c r="B619">
        <v>-0.1</v>
      </c>
      <c r="C619" s="17">
        <f t="shared" si="20"/>
        <v>45170</v>
      </c>
      <c r="D619">
        <f t="shared" si="21"/>
        <v>1</v>
      </c>
    </row>
    <row r="620" spans="1:4" x14ac:dyDescent="0.3">
      <c r="A620" s="17">
        <v>45169</v>
      </c>
      <c r="B620">
        <v>0</v>
      </c>
      <c r="C620" s="17">
        <f t="shared" si="20"/>
        <v>45139</v>
      </c>
      <c r="D620">
        <f t="shared" si="21"/>
        <v>0</v>
      </c>
    </row>
    <row r="621" spans="1:4" x14ac:dyDescent="0.3">
      <c r="A621" s="17">
        <v>45168</v>
      </c>
      <c r="B621">
        <v>-0.1</v>
      </c>
      <c r="C621" s="17">
        <f t="shared" si="20"/>
        <v>45139</v>
      </c>
      <c r="D621">
        <f t="shared" si="21"/>
        <v>0</v>
      </c>
    </row>
    <row r="622" spans="1:4" x14ac:dyDescent="0.3">
      <c r="A622" s="17">
        <v>45167</v>
      </c>
      <c r="B622">
        <v>0</v>
      </c>
      <c r="C622" s="17">
        <f t="shared" si="20"/>
        <v>45139</v>
      </c>
      <c r="D622">
        <f t="shared" si="21"/>
        <v>0</v>
      </c>
    </row>
    <row r="623" spans="1:4" x14ac:dyDescent="0.3">
      <c r="A623" s="17">
        <v>45166</v>
      </c>
      <c r="B623">
        <v>0</v>
      </c>
      <c r="C623" s="17">
        <f t="shared" si="20"/>
        <v>45139</v>
      </c>
      <c r="D623">
        <f t="shared" si="21"/>
        <v>0</v>
      </c>
    </row>
    <row r="624" spans="1:4" x14ac:dyDescent="0.3">
      <c r="A624" s="17">
        <v>45163</v>
      </c>
      <c r="B624">
        <v>0.1</v>
      </c>
      <c r="C624" s="17">
        <f t="shared" si="20"/>
        <v>45139</v>
      </c>
      <c r="D624">
        <f t="shared" si="21"/>
        <v>0</v>
      </c>
    </row>
    <row r="625" spans="1:4" x14ac:dyDescent="0.3">
      <c r="A625" s="17">
        <v>45162</v>
      </c>
      <c r="B625">
        <v>0.45</v>
      </c>
      <c r="C625" s="17">
        <f t="shared" si="20"/>
        <v>45139</v>
      </c>
      <c r="D625">
        <f t="shared" si="21"/>
        <v>0</v>
      </c>
    </row>
    <row r="626" spans="1:4" x14ac:dyDescent="0.3">
      <c r="A626" s="17">
        <v>45161</v>
      </c>
      <c r="B626">
        <v>0.35</v>
      </c>
      <c r="C626" s="17">
        <f t="shared" si="20"/>
        <v>45139</v>
      </c>
      <c r="D626">
        <f t="shared" si="21"/>
        <v>0</v>
      </c>
    </row>
    <row r="627" spans="1:4" x14ac:dyDescent="0.3">
      <c r="A627" s="17">
        <v>45160</v>
      </c>
      <c r="B627">
        <v>0.35</v>
      </c>
      <c r="C627" s="17">
        <f t="shared" si="20"/>
        <v>45139</v>
      </c>
      <c r="D627">
        <f t="shared" si="21"/>
        <v>0</v>
      </c>
    </row>
    <row r="628" spans="1:4" x14ac:dyDescent="0.3">
      <c r="A628" s="17">
        <v>45159</v>
      </c>
      <c r="B628">
        <v>0.35</v>
      </c>
      <c r="C628" s="17">
        <f t="shared" si="20"/>
        <v>45139</v>
      </c>
      <c r="D628">
        <f t="shared" si="21"/>
        <v>0</v>
      </c>
    </row>
    <row r="629" spans="1:4" x14ac:dyDescent="0.3">
      <c r="A629" s="17">
        <v>45156</v>
      </c>
      <c r="B629">
        <v>0.4</v>
      </c>
      <c r="C629" s="17">
        <f t="shared" si="20"/>
        <v>45139</v>
      </c>
      <c r="D629">
        <f t="shared" si="21"/>
        <v>0</v>
      </c>
    </row>
    <row r="630" spans="1:4" x14ac:dyDescent="0.3">
      <c r="A630" s="17">
        <v>45155</v>
      </c>
      <c r="B630">
        <v>0.5</v>
      </c>
      <c r="C630" s="17">
        <f t="shared" si="20"/>
        <v>45139</v>
      </c>
      <c r="D630">
        <f t="shared" si="21"/>
        <v>0</v>
      </c>
    </row>
    <row r="631" spans="1:4" x14ac:dyDescent="0.3">
      <c r="A631" s="17">
        <v>45154</v>
      </c>
      <c r="B631">
        <v>0.45</v>
      </c>
      <c r="C631" s="17">
        <f t="shared" si="20"/>
        <v>45139</v>
      </c>
      <c r="D631">
        <f t="shared" si="21"/>
        <v>0</v>
      </c>
    </row>
    <row r="632" spans="1:4" x14ac:dyDescent="0.3">
      <c r="A632" s="17">
        <v>45153</v>
      </c>
      <c r="B632">
        <v>0.45</v>
      </c>
      <c r="C632" s="17">
        <f t="shared" si="20"/>
        <v>45139</v>
      </c>
      <c r="D632">
        <f t="shared" si="21"/>
        <v>0</v>
      </c>
    </row>
    <row r="633" spans="1:4" x14ac:dyDescent="0.3">
      <c r="A633" s="17">
        <v>45152</v>
      </c>
      <c r="B633">
        <v>0.4</v>
      </c>
      <c r="C633" s="17">
        <f t="shared" si="20"/>
        <v>45139</v>
      </c>
      <c r="D633">
        <f t="shared" si="21"/>
        <v>0</v>
      </c>
    </row>
    <row r="634" spans="1:4" x14ac:dyDescent="0.3">
      <c r="A634" s="17">
        <v>45149</v>
      </c>
      <c r="B634">
        <v>0.45</v>
      </c>
      <c r="C634" s="17">
        <f t="shared" si="20"/>
        <v>45139</v>
      </c>
      <c r="D634">
        <f t="shared" si="21"/>
        <v>0</v>
      </c>
    </row>
    <row r="635" spans="1:4" x14ac:dyDescent="0.3">
      <c r="A635" s="17">
        <v>45148</v>
      </c>
      <c r="B635">
        <v>0.5</v>
      </c>
      <c r="C635" s="17">
        <f t="shared" si="20"/>
        <v>45139</v>
      </c>
      <c r="D635">
        <f t="shared" si="21"/>
        <v>0</v>
      </c>
    </row>
    <row r="636" spans="1:4" x14ac:dyDescent="0.3">
      <c r="A636" s="17">
        <v>45146</v>
      </c>
      <c r="B636">
        <v>0.7</v>
      </c>
      <c r="C636" s="17">
        <f t="shared" si="20"/>
        <v>45139</v>
      </c>
      <c r="D636">
        <f t="shared" si="21"/>
        <v>0</v>
      </c>
    </row>
    <row r="637" spans="1:4" x14ac:dyDescent="0.3">
      <c r="A637" s="17">
        <v>45145</v>
      </c>
      <c r="B637">
        <v>0.7</v>
      </c>
      <c r="C637" s="17">
        <f t="shared" si="20"/>
        <v>45139</v>
      </c>
      <c r="D637">
        <f t="shared" si="21"/>
        <v>0</v>
      </c>
    </row>
    <row r="638" spans="1:4" x14ac:dyDescent="0.3">
      <c r="A638" s="17">
        <v>45142</v>
      </c>
      <c r="B638">
        <v>0.7</v>
      </c>
      <c r="C638" s="17">
        <f t="shared" si="20"/>
        <v>45139</v>
      </c>
      <c r="D638">
        <f t="shared" si="21"/>
        <v>1</v>
      </c>
    </row>
    <row r="639" spans="1:4" x14ac:dyDescent="0.3">
      <c r="A639" s="17">
        <v>45141</v>
      </c>
      <c r="B639">
        <v>0.5</v>
      </c>
      <c r="C639" s="17">
        <f t="shared" si="20"/>
        <v>45139</v>
      </c>
      <c r="D639">
        <f t="shared" si="21"/>
        <v>1</v>
      </c>
    </row>
    <row r="640" spans="1:4" x14ac:dyDescent="0.3">
      <c r="A640" s="17">
        <v>45140</v>
      </c>
      <c r="B640">
        <v>0.55000000000000004</v>
      </c>
      <c r="C640" s="17">
        <f t="shared" si="20"/>
        <v>45139</v>
      </c>
      <c r="D640">
        <f t="shared" si="21"/>
        <v>1</v>
      </c>
    </row>
    <row r="641" spans="1:4" x14ac:dyDescent="0.3">
      <c r="A641" s="17">
        <v>45139</v>
      </c>
      <c r="B641">
        <v>0.5</v>
      </c>
      <c r="C641" s="17">
        <f t="shared" si="20"/>
        <v>45139</v>
      </c>
      <c r="D641">
        <f t="shared" si="21"/>
        <v>1</v>
      </c>
    </row>
    <row r="642" spans="1:4" x14ac:dyDescent="0.3">
      <c r="A642" s="17">
        <v>45138</v>
      </c>
      <c r="B642">
        <v>1.05</v>
      </c>
      <c r="C642" s="17">
        <f t="shared" si="20"/>
        <v>45108</v>
      </c>
      <c r="D642">
        <f t="shared" si="21"/>
        <v>0</v>
      </c>
    </row>
    <row r="643" spans="1:4" x14ac:dyDescent="0.3">
      <c r="A643" s="17">
        <v>45135</v>
      </c>
      <c r="B643">
        <v>0.75</v>
      </c>
      <c r="C643" s="17">
        <f t="shared" si="20"/>
        <v>45108</v>
      </c>
      <c r="D643">
        <f t="shared" si="21"/>
        <v>0</v>
      </c>
    </row>
    <row r="644" spans="1:4" x14ac:dyDescent="0.3">
      <c r="A644" s="17">
        <v>45134</v>
      </c>
      <c r="B644">
        <v>0.75</v>
      </c>
      <c r="C644" s="17">
        <f t="shared" si="20"/>
        <v>45108</v>
      </c>
      <c r="D644">
        <f t="shared" si="21"/>
        <v>0</v>
      </c>
    </row>
    <row r="645" spans="1:4" x14ac:dyDescent="0.3">
      <c r="A645" s="17">
        <v>45133</v>
      </c>
      <c r="B645">
        <v>1</v>
      </c>
      <c r="C645" s="17">
        <f t="shared" si="20"/>
        <v>45108</v>
      </c>
      <c r="D645">
        <f t="shared" si="21"/>
        <v>0</v>
      </c>
    </row>
    <row r="646" spans="1:4" x14ac:dyDescent="0.3">
      <c r="A646" s="17">
        <v>45132</v>
      </c>
      <c r="B646">
        <v>0.9</v>
      </c>
      <c r="C646" s="17">
        <f t="shared" ref="C646:C709" si="22">+DATE(+YEAR(A646),+MONTH(A646),1)</f>
        <v>45108</v>
      </c>
      <c r="D646">
        <f t="shared" ref="D646:D709" si="23">IF(AND(+DAY(A646)&gt;=1,+DAY(A646)&lt;= 4), 1, 0)</f>
        <v>0</v>
      </c>
    </row>
    <row r="647" spans="1:4" x14ac:dyDescent="0.3">
      <c r="A647" s="17">
        <v>45131</v>
      </c>
      <c r="B647">
        <v>0.7</v>
      </c>
      <c r="C647" s="17">
        <f t="shared" si="22"/>
        <v>45108</v>
      </c>
      <c r="D647">
        <f t="shared" si="23"/>
        <v>0</v>
      </c>
    </row>
    <row r="648" spans="1:4" x14ac:dyDescent="0.3">
      <c r="A648" s="17">
        <v>45128</v>
      </c>
      <c r="B648">
        <v>0.7</v>
      </c>
      <c r="C648" s="17">
        <f t="shared" si="22"/>
        <v>45108</v>
      </c>
      <c r="D648">
        <f t="shared" si="23"/>
        <v>0</v>
      </c>
    </row>
    <row r="649" spans="1:4" x14ac:dyDescent="0.3">
      <c r="A649" s="17">
        <v>45127</v>
      </c>
      <c r="B649">
        <v>0.45</v>
      </c>
      <c r="C649" s="17">
        <f t="shared" si="22"/>
        <v>45108</v>
      </c>
      <c r="D649">
        <f t="shared" si="23"/>
        <v>0</v>
      </c>
    </row>
    <row r="650" spans="1:4" x14ac:dyDescent="0.3">
      <c r="A650" s="17">
        <v>45126</v>
      </c>
      <c r="B650">
        <v>0.45</v>
      </c>
      <c r="C650" s="17">
        <f t="shared" si="22"/>
        <v>45108</v>
      </c>
      <c r="D650">
        <f t="shared" si="23"/>
        <v>0</v>
      </c>
    </row>
    <row r="651" spans="1:4" x14ac:dyDescent="0.3">
      <c r="A651" s="17">
        <v>45125</v>
      </c>
      <c r="B651">
        <v>0.25</v>
      </c>
      <c r="C651" s="17">
        <f t="shared" si="22"/>
        <v>45108</v>
      </c>
      <c r="D651">
        <f t="shared" si="23"/>
        <v>0</v>
      </c>
    </row>
    <row r="652" spans="1:4" x14ac:dyDescent="0.3">
      <c r="A652" s="17">
        <v>45124</v>
      </c>
      <c r="B652">
        <v>0.2</v>
      </c>
      <c r="C652" s="17">
        <f t="shared" si="22"/>
        <v>45108</v>
      </c>
      <c r="D652">
        <f t="shared" si="23"/>
        <v>0</v>
      </c>
    </row>
    <row r="653" spans="1:4" x14ac:dyDescent="0.3">
      <c r="A653" s="17">
        <v>45121</v>
      </c>
      <c r="B653">
        <v>0.3</v>
      </c>
      <c r="C653" s="17">
        <f t="shared" si="22"/>
        <v>45108</v>
      </c>
      <c r="D653">
        <f t="shared" si="23"/>
        <v>0</v>
      </c>
    </row>
    <row r="654" spans="1:4" x14ac:dyDescent="0.3">
      <c r="A654" s="17">
        <v>45120</v>
      </c>
      <c r="B654">
        <v>0.2</v>
      </c>
      <c r="C654" s="17">
        <f t="shared" si="22"/>
        <v>45108</v>
      </c>
      <c r="D654">
        <f t="shared" si="23"/>
        <v>0</v>
      </c>
    </row>
    <row r="655" spans="1:4" x14ac:dyDescent="0.3">
      <c r="A655" s="17">
        <v>45119</v>
      </c>
      <c r="B655">
        <v>0.1</v>
      </c>
      <c r="C655" s="17">
        <f t="shared" si="22"/>
        <v>45108</v>
      </c>
      <c r="D655">
        <f t="shared" si="23"/>
        <v>0</v>
      </c>
    </row>
    <row r="656" spans="1:4" x14ac:dyDescent="0.3">
      <c r="A656" s="17">
        <v>45118</v>
      </c>
      <c r="B656">
        <v>0</v>
      </c>
      <c r="C656" s="17">
        <f t="shared" si="22"/>
        <v>45108</v>
      </c>
      <c r="D656">
        <f t="shared" si="23"/>
        <v>0</v>
      </c>
    </row>
    <row r="657" spans="1:4" x14ac:dyDescent="0.3">
      <c r="A657" s="17">
        <v>45117</v>
      </c>
      <c r="B657">
        <v>0.55000000000000004</v>
      </c>
      <c r="C657" s="17">
        <f t="shared" si="22"/>
        <v>45108</v>
      </c>
      <c r="D657">
        <f t="shared" si="23"/>
        <v>0</v>
      </c>
    </row>
    <row r="658" spans="1:4" x14ac:dyDescent="0.3">
      <c r="A658" s="17">
        <v>45114</v>
      </c>
      <c r="B658">
        <v>0.7</v>
      </c>
      <c r="C658" s="17">
        <f t="shared" si="22"/>
        <v>45108</v>
      </c>
      <c r="D658">
        <f t="shared" si="23"/>
        <v>0</v>
      </c>
    </row>
    <row r="659" spans="1:4" x14ac:dyDescent="0.3">
      <c r="A659" s="17">
        <v>45113</v>
      </c>
      <c r="B659">
        <v>0.55000000000000004</v>
      </c>
      <c r="C659" s="17">
        <f t="shared" si="22"/>
        <v>45108</v>
      </c>
      <c r="D659">
        <f t="shared" si="23"/>
        <v>0</v>
      </c>
    </row>
    <row r="660" spans="1:4" x14ac:dyDescent="0.3">
      <c r="A660" s="17">
        <v>45112</v>
      </c>
      <c r="B660">
        <v>0.45</v>
      </c>
      <c r="C660" s="17">
        <f t="shared" si="22"/>
        <v>45108</v>
      </c>
      <c r="D660">
        <f t="shared" si="23"/>
        <v>0</v>
      </c>
    </row>
    <row r="661" spans="1:4" x14ac:dyDescent="0.3">
      <c r="A661" s="17">
        <v>45111</v>
      </c>
      <c r="B661">
        <v>0.45</v>
      </c>
      <c r="C661" s="17">
        <f t="shared" si="22"/>
        <v>45108</v>
      </c>
      <c r="D661">
        <f t="shared" si="23"/>
        <v>1</v>
      </c>
    </row>
    <row r="662" spans="1:4" x14ac:dyDescent="0.3">
      <c r="A662" s="17">
        <v>45110</v>
      </c>
      <c r="B662">
        <v>0.45</v>
      </c>
      <c r="C662" s="17">
        <f t="shared" si="22"/>
        <v>45108</v>
      </c>
      <c r="D662">
        <f t="shared" si="23"/>
        <v>1</v>
      </c>
    </row>
    <row r="663" spans="1:4" x14ac:dyDescent="0.3">
      <c r="A663" s="17">
        <v>45107</v>
      </c>
      <c r="B663">
        <v>1.3</v>
      </c>
      <c r="C663" s="17">
        <f t="shared" si="22"/>
        <v>45078</v>
      </c>
      <c r="D663">
        <f t="shared" si="23"/>
        <v>0</v>
      </c>
    </row>
    <row r="664" spans="1:4" x14ac:dyDescent="0.3">
      <c r="A664" s="17">
        <v>45105</v>
      </c>
      <c r="B664">
        <v>0.8</v>
      </c>
      <c r="C664" s="17">
        <f t="shared" si="22"/>
        <v>45078</v>
      </c>
      <c r="D664">
        <f t="shared" si="23"/>
        <v>0</v>
      </c>
    </row>
    <row r="665" spans="1:4" x14ac:dyDescent="0.3">
      <c r="A665" s="17">
        <v>45104</v>
      </c>
      <c r="B665">
        <v>1</v>
      </c>
      <c r="C665" s="17">
        <f t="shared" si="22"/>
        <v>45078</v>
      </c>
      <c r="D665">
        <f t="shared" si="23"/>
        <v>0</v>
      </c>
    </row>
    <row r="666" spans="1:4" x14ac:dyDescent="0.3">
      <c r="A666" s="17">
        <v>45103</v>
      </c>
      <c r="B666">
        <v>1.05</v>
      </c>
      <c r="C666" s="17">
        <f t="shared" si="22"/>
        <v>45078</v>
      </c>
      <c r="D666">
        <f t="shared" si="23"/>
        <v>0</v>
      </c>
    </row>
    <row r="667" spans="1:4" x14ac:dyDescent="0.3">
      <c r="A667" s="17">
        <v>45100</v>
      </c>
      <c r="B667">
        <v>1.2</v>
      </c>
      <c r="C667" s="17">
        <f t="shared" si="22"/>
        <v>45078</v>
      </c>
      <c r="D667">
        <f t="shared" si="23"/>
        <v>0</v>
      </c>
    </row>
    <row r="668" spans="1:4" x14ac:dyDescent="0.3">
      <c r="A668" s="17">
        <v>45099</v>
      </c>
      <c r="B668">
        <v>1.2</v>
      </c>
      <c r="C668" s="17">
        <f t="shared" si="22"/>
        <v>45078</v>
      </c>
      <c r="D668">
        <f t="shared" si="23"/>
        <v>0</v>
      </c>
    </row>
    <row r="669" spans="1:4" x14ac:dyDescent="0.3">
      <c r="A669" s="17">
        <v>45098</v>
      </c>
      <c r="B669">
        <v>1.3</v>
      </c>
      <c r="C669" s="17">
        <f t="shared" si="22"/>
        <v>45078</v>
      </c>
      <c r="D669">
        <f t="shared" si="23"/>
        <v>0</v>
      </c>
    </row>
    <row r="670" spans="1:4" x14ac:dyDescent="0.3">
      <c r="A670" s="17">
        <v>45097</v>
      </c>
      <c r="B670">
        <v>1.2</v>
      </c>
      <c r="C670" s="17">
        <f t="shared" si="22"/>
        <v>45078</v>
      </c>
      <c r="D670">
        <f t="shared" si="23"/>
        <v>0</v>
      </c>
    </row>
    <row r="671" spans="1:4" x14ac:dyDescent="0.3">
      <c r="A671" s="17">
        <v>45096</v>
      </c>
      <c r="B671">
        <v>0.8</v>
      </c>
      <c r="C671" s="17">
        <f t="shared" si="22"/>
        <v>45078</v>
      </c>
      <c r="D671">
        <f t="shared" si="23"/>
        <v>0</v>
      </c>
    </row>
    <row r="672" spans="1:4" x14ac:dyDescent="0.3">
      <c r="A672" s="17">
        <v>45093</v>
      </c>
      <c r="B672">
        <v>0.6</v>
      </c>
      <c r="C672" s="17">
        <f t="shared" si="22"/>
        <v>45078</v>
      </c>
      <c r="D672">
        <f t="shared" si="23"/>
        <v>0</v>
      </c>
    </row>
    <row r="673" spans="1:4" x14ac:dyDescent="0.3">
      <c r="A673" s="17">
        <v>45092</v>
      </c>
      <c r="B673">
        <v>0.55000000000000004</v>
      </c>
      <c r="C673" s="17">
        <f t="shared" si="22"/>
        <v>45078</v>
      </c>
      <c r="D673">
        <f t="shared" si="23"/>
        <v>0</v>
      </c>
    </row>
    <row r="674" spans="1:4" x14ac:dyDescent="0.3">
      <c r="A674" s="17">
        <v>45091</v>
      </c>
      <c r="B674">
        <v>0.45</v>
      </c>
      <c r="C674" s="17">
        <f t="shared" si="22"/>
        <v>45078</v>
      </c>
      <c r="D674">
        <f t="shared" si="23"/>
        <v>0</v>
      </c>
    </row>
    <row r="675" spans="1:4" x14ac:dyDescent="0.3">
      <c r="A675" s="17">
        <v>45090</v>
      </c>
      <c r="B675">
        <v>0.45</v>
      </c>
      <c r="C675" s="17">
        <f t="shared" si="22"/>
        <v>45078</v>
      </c>
      <c r="D675">
        <f t="shared" si="23"/>
        <v>0</v>
      </c>
    </row>
    <row r="676" spans="1:4" x14ac:dyDescent="0.3">
      <c r="A676" s="17">
        <v>45089</v>
      </c>
      <c r="B676">
        <v>0.35</v>
      </c>
      <c r="C676" s="17">
        <f t="shared" si="22"/>
        <v>45078</v>
      </c>
      <c r="D676">
        <f t="shared" si="23"/>
        <v>0</v>
      </c>
    </row>
    <row r="677" spans="1:4" x14ac:dyDescent="0.3">
      <c r="A677" s="17">
        <v>45086</v>
      </c>
      <c r="B677">
        <v>0.45</v>
      </c>
      <c r="C677" s="17">
        <f t="shared" si="22"/>
        <v>45078</v>
      </c>
      <c r="D677">
        <f t="shared" si="23"/>
        <v>0</v>
      </c>
    </row>
    <row r="678" spans="1:4" x14ac:dyDescent="0.3">
      <c r="A678" s="17">
        <v>45085</v>
      </c>
      <c r="B678">
        <v>0.45</v>
      </c>
      <c r="C678" s="17">
        <f t="shared" si="22"/>
        <v>45078</v>
      </c>
      <c r="D678">
        <f t="shared" si="23"/>
        <v>0</v>
      </c>
    </row>
    <row r="679" spans="1:4" x14ac:dyDescent="0.3">
      <c r="A679" s="17">
        <v>45084</v>
      </c>
      <c r="B679">
        <v>0.45</v>
      </c>
      <c r="C679" s="17">
        <f t="shared" si="22"/>
        <v>45078</v>
      </c>
      <c r="D679">
        <f t="shared" si="23"/>
        <v>0</v>
      </c>
    </row>
    <row r="680" spans="1:4" x14ac:dyDescent="0.3">
      <c r="A680" s="17">
        <v>45083</v>
      </c>
      <c r="B680">
        <v>0.45</v>
      </c>
      <c r="C680" s="17">
        <f t="shared" si="22"/>
        <v>45078</v>
      </c>
      <c r="D680">
        <f t="shared" si="23"/>
        <v>0</v>
      </c>
    </row>
    <row r="681" spans="1:4" x14ac:dyDescent="0.3">
      <c r="A681" s="17">
        <v>45082</v>
      </c>
      <c r="B681">
        <v>0.45</v>
      </c>
      <c r="C681" s="17">
        <f t="shared" si="22"/>
        <v>45078</v>
      </c>
      <c r="D681">
        <f t="shared" si="23"/>
        <v>0</v>
      </c>
    </row>
    <row r="682" spans="1:4" x14ac:dyDescent="0.3">
      <c r="A682" s="17">
        <v>45078</v>
      </c>
      <c r="B682">
        <v>0.4</v>
      </c>
      <c r="C682" s="17">
        <f t="shared" si="22"/>
        <v>45078</v>
      </c>
      <c r="D682">
        <f t="shared" si="23"/>
        <v>1</v>
      </c>
    </row>
    <row r="683" spans="1:4" x14ac:dyDescent="0.3">
      <c r="A683" s="17">
        <v>45077</v>
      </c>
      <c r="B683">
        <v>0.25</v>
      </c>
      <c r="C683" s="17">
        <f t="shared" si="22"/>
        <v>45047</v>
      </c>
      <c r="D683">
        <f t="shared" si="23"/>
        <v>0</v>
      </c>
    </row>
    <row r="684" spans="1:4" x14ac:dyDescent="0.3">
      <c r="A684" s="17">
        <v>45076</v>
      </c>
      <c r="B684">
        <v>0.35</v>
      </c>
      <c r="C684" s="17">
        <f t="shared" si="22"/>
        <v>45047</v>
      </c>
      <c r="D684">
        <f t="shared" si="23"/>
        <v>0</v>
      </c>
    </row>
    <row r="685" spans="1:4" x14ac:dyDescent="0.3">
      <c r="A685" s="17">
        <v>45075</v>
      </c>
      <c r="B685">
        <v>0.35</v>
      </c>
      <c r="C685" s="17">
        <f t="shared" si="22"/>
        <v>45047</v>
      </c>
      <c r="D685">
        <f t="shared" si="23"/>
        <v>0</v>
      </c>
    </row>
    <row r="686" spans="1:4" x14ac:dyDescent="0.3">
      <c r="A686" s="17">
        <v>45072</v>
      </c>
      <c r="B686">
        <v>0.35</v>
      </c>
      <c r="C686" s="17">
        <f t="shared" si="22"/>
        <v>45047</v>
      </c>
      <c r="D686">
        <f t="shared" si="23"/>
        <v>0</v>
      </c>
    </row>
    <row r="687" spans="1:4" x14ac:dyDescent="0.3">
      <c r="A687" s="17">
        <v>45071</v>
      </c>
      <c r="B687">
        <v>0.5</v>
      </c>
      <c r="C687" s="17">
        <f t="shared" si="22"/>
        <v>45047</v>
      </c>
      <c r="D687">
        <f t="shared" si="23"/>
        <v>0</v>
      </c>
    </row>
    <row r="688" spans="1:4" x14ac:dyDescent="0.3">
      <c r="A688" s="17">
        <v>45070</v>
      </c>
      <c r="B688">
        <v>0.5</v>
      </c>
      <c r="C688" s="17">
        <f t="shared" si="22"/>
        <v>45047</v>
      </c>
      <c r="D688">
        <f t="shared" si="23"/>
        <v>0</v>
      </c>
    </row>
    <row r="689" spans="1:4" x14ac:dyDescent="0.3">
      <c r="A689" s="17">
        <v>45069</v>
      </c>
      <c r="B689">
        <v>0.5</v>
      </c>
      <c r="C689" s="17">
        <f t="shared" si="22"/>
        <v>45047</v>
      </c>
      <c r="D689">
        <f t="shared" si="23"/>
        <v>0</v>
      </c>
    </row>
    <row r="690" spans="1:4" x14ac:dyDescent="0.3">
      <c r="A690" s="17">
        <v>45068</v>
      </c>
      <c r="B690">
        <v>0.3</v>
      </c>
      <c r="C690" s="17">
        <f t="shared" si="22"/>
        <v>45047</v>
      </c>
      <c r="D690">
        <f t="shared" si="23"/>
        <v>0</v>
      </c>
    </row>
    <row r="691" spans="1:4" x14ac:dyDescent="0.3">
      <c r="A691" s="17">
        <v>45065</v>
      </c>
      <c r="B691">
        <v>0.4</v>
      </c>
      <c r="C691" s="17">
        <f t="shared" si="22"/>
        <v>45047</v>
      </c>
      <c r="D691">
        <f t="shared" si="23"/>
        <v>0</v>
      </c>
    </row>
    <row r="692" spans="1:4" x14ac:dyDescent="0.3">
      <c r="A692" s="17">
        <v>45064</v>
      </c>
      <c r="B692">
        <v>0.3</v>
      </c>
      <c r="C692" s="17">
        <f t="shared" si="22"/>
        <v>45047</v>
      </c>
      <c r="D692">
        <f t="shared" si="23"/>
        <v>0</v>
      </c>
    </row>
    <row r="693" spans="1:4" x14ac:dyDescent="0.3">
      <c r="A693" s="17">
        <v>45063</v>
      </c>
      <c r="B693">
        <v>0.4</v>
      </c>
      <c r="C693" s="17">
        <f t="shared" si="22"/>
        <v>45047</v>
      </c>
      <c r="D693">
        <f t="shared" si="23"/>
        <v>0</v>
      </c>
    </row>
    <row r="694" spans="1:4" x14ac:dyDescent="0.3">
      <c r="A694" s="17">
        <v>45062</v>
      </c>
      <c r="B694">
        <v>0.6</v>
      </c>
      <c r="C694" s="17">
        <f t="shared" si="22"/>
        <v>45047</v>
      </c>
      <c r="D694">
        <f t="shared" si="23"/>
        <v>0</v>
      </c>
    </row>
    <row r="695" spans="1:4" x14ac:dyDescent="0.3">
      <c r="A695" s="17">
        <v>45061</v>
      </c>
      <c r="B695">
        <v>0.5</v>
      </c>
      <c r="C695" s="17">
        <f t="shared" si="22"/>
        <v>45047</v>
      </c>
      <c r="D695">
        <f t="shared" si="23"/>
        <v>0</v>
      </c>
    </row>
    <row r="696" spans="1:4" x14ac:dyDescent="0.3">
      <c r="A696" s="17">
        <v>45058</v>
      </c>
      <c r="B696">
        <v>0.55000000000000004</v>
      </c>
      <c r="C696" s="17">
        <f t="shared" si="22"/>
        <v>45047</v>
      </c>
      <c r="D696">
        <f t="shared" si="23"/>
        <v>0</v>
      </c>
    </row>
    <row r="697" spans="1:4" x14ac:dyDescent="0.3">
      <c r="A697" s="17">
        <v>45057</v>
      </c>
      <c r="B697">
        <v>0.6</v>
      </c>
      <c r="C697" s="17">
        <f t="shared" si="22"/>
        <v>45047</v>
      </c>
      <c r="D697">
        <f t="shared" si="23"/>
        <v>0</v>
      </c>
    </row>
    <row r="698" spans="1:4" x14ac:dyDescent="0.3">
      <c r="A698" s="17">
        <v>45056</v>
      </c>
      <c r="B698">
        <v>0.7</v>
      </c>
      <c r="C698" s="17">
        <f t="shared" si="22"/>
        <v>45047</v>
      </c>
      <c r="D698">
        <f t="shared" si="23"/>
        <v>0</v>
      </c>
    </row>
    <row r="699" spans="1:4" x14ac:dyDescent="0.3">
      <c r="A699" s="17">
        <v>45055</v>
      </c>
      <c r="B699">
        <v>0.85</v>
      </c>
      <c r="C699" s="17">
        <f t="shared" si="22"/>
        <v>45047</v>
      </c>
      <c r="D699">
        <f t="shared" si="23"/>
        <v>0</v>
      </c>
    </row>
    <row r="700" spans="1:4" x14ac:dyDescent="0.3">
      <c r="A700" s="17">
        <v>45054</v>
      </c>
      <c r="B700">
        <v>0.9</v>
      </c>
      <c r="C700" s="17">
        <f t="shared" si="22"/>
        <v>45047</v>
      </c>
      <c r="D700">
        <f t="shared" si="23"/>
        <v>0</v>
      </c>
    </row>
    <row r="701" spans="1:4" x14ac:dyDescent="0.3">
      <c r="A701" s="17">
        <v>45051</v>
      </c>
      <c r="B701">
        <v>0.85</v>
      </c>
      <c r="C701" s="17">
        <f t="shared" si="22"/>
        <v>45047</v>
      </c>
      <c r="D701">
        <f t="shared" si="23"/>
        <v>0</v>
      </c>
    </row>
    <row r="702" spans="1:4" x14ac:dyDescent="0.3">
      <c r="A702" s="17">
        <v>45050</v>
      </c>
      <c r="B702">
        <v>0.8</v>
      </c>
      <c r="C702" s="17">
        <f t="shared" si="22"/>
        <v>45047</v>
      </c>
      <c r="D702">
        <f t="shared" si="23"/>
        <v>1</v>
      </c>
    </row>
    <row r="703" spans="1:4" x14ac:dyDescent="0.3">
      <c r="A703" s="17">
        <v>45049</v>
      </c>
      <c r="B703">
        <v>0.8</v>
      </c>
      <c r="C703" s="17">
        <f t="shared" si="22"/>
        <v>45047</v>
      </c>
      <c r="D703">
        <f t="shared" si="23"/>
        <v>1</v>
      </c>
    </row>
    <row r="704" spans="1:4" x14ac:dyDescent="0.3">
      <c r="A704" s="17">
        <v>45048</v>
      </c>
      <c r="B704">
        <v>0.9</v>
      </c>
      <c r="C704" s="17">
        <f t="shared" si="22"/>
        <v>45047</v>
      </c>
      <c r="D704">
        <f t="shared" si="23"/>
        <v>1</v>
      </c>
    </row>
    <row r="705" spans="1:4" x14ac:dyDescent="0.3">
      <c r="A705" s="17">
        <v>45044</v>
      </c>
      <c r="B705">
        <v>1.1000000000000001</v>
      </c>
      <c r="C705" s="17">
        <f t="shared" si="22"/>
        <v>45017</v>
      </c>
      <c r="D705">
        <f t="shared" si="23"/>
        <v>0</v>
      </c>
    </row>
    <row r="706" spans="1:4" x14ac:dyDescent="0.3">
      <c r="A706" s="17">
        <v>45043</v>
      </c>
      <c r="B706">
        <v>0.6</v>
      </c>
      <c r="C706" s="17">
        <f t="shared" si="22"/>
        <v>45017</v>
      </c>
      <c r="D706">
        <f t="shared" si="23"/>
        <v>0</v>
      </c>
    </row>
    <row r="707" spans="1:4" x14ac:dyDescent="0.3">
      <c r="A707" s="17">
        <v>45042</v>
      </c>
      <c r="B707">
        <v>0.55000000000000004</v>
      </c>
      <c r="C707" s="17">
        <f t="shared" si="22"/>
        <v>45017</v>
      </c>
      <c r="D707">
        <f t="shared" si="23"/>
        <v>0</v>
      </c>
    </row>
    <row r="708" spans="1:4" x14ac:dyDescent="0.3">
      <c r="A708" s="17">
        <v>45041</v>
      </c>
      <c r="B708">
        <v>0.7</v>
      </c>
      <c r="C708" s="17">
        <f t="shared" si="22"/>
        <v>45017</v>
      </c>
      <c r="D708">
        <f t="shared" si="23"/>
        <v>0</v>
      </c>
    </row>
    <row r="709" spans="1:4" x14ac:dyDescent="0.3">
      <c r="A709" s="17">
        <v>45040</v>
      </c>
      <c r="B709">
        <v>0.7</v>
      </c>
      <c r="C709" s="17">
        <f t="shared" si="22"/>
        <v>45017</v>
      </c>
      <c r="D709">
        <f t="shared" si="23"/>
        <v>0</v>
      </c>
    </row>
    <row r="710" spans="1:4" x14ac:dyDescent="0.3">
      <c r="A710" s="17">
        <v>45037</v>
      </c>
      <c r="B710">
        <v>0.7</v>
      </c>
      <c r="C710" s="17">
        <f t="shared" ref="C710:C773" si="24">+DATE(+YEAR(A710),+MONTH(A710),1)</f>
        <v>45017</v>
      </c>
      <c r="D710">
        <f t="shared" ref="D710:D773" si="25">IF(AND(+DAY(A710)&gt;=1,+DAY(A710)&lt;= 4), 1, 0)</f>
        <v>0</v>
      </c>
    </row>
    <row r="711" spans="1:4" x14ac:dyDescent="0.3">
      <c r="A711" s="17">
        <v>45036</v>
      </c>
      <c r="B711">
        <v>0.8</v>
      </c>
      <c r="C711" s="17">
        <f t="shared" si="24"/>
        <v>45017</v>
      </c>
      <c r="D711">
        <f t="shared" si="25"/>
        <v>0</v>
      </c>
    </row>
    <row r="712" spans="1:4" x14ac:dyDescent="0.3">
      <c r="A712" s="17">
        <v>45035</v>
      </c>
      <c r="B712">
        <v>0.8</v>
      </c>
      <c r="C712" s="17">
        <f t="shared" si="24"/>
        <v>45017</v>
      </c>
      <c r="D712">
        <f t="shared" si="25"/>
        <v>0</v>
      </c>
    </row>
    <row r="713" spans="1:4" x14ac:dyDescent="0.3">
      <c r="A713" s="17">
        <v>45034</v>
      </c>
      <c r="B713">
        <v>0.85</v>
      </c>
      <c r="C713" s="17">
        <f t="shared" si="24"/>
        <v>45017</v>
      </c>
      <c r="D713">
        <f t="shared" si="25"/>
        <v>0</v>
      </c>
    </row>
    <row r="714" spans="1:4" x14ac:dyDescent="0.3">
      <c r="A714" s="17">
        <v>45033</v>
      </c>
      <c r="B714">
        <v>0.75</v>
      </c>
      <c r="C714" s="17">
        <f t="shared" si="24"/>
        <v>45017</v>
      </c>
      <c r="D714">
        <f t="shared" si="25"/>
        <v>0</v>
      </c>
    </row>
    <row r="715" spans="1:4" x14ac:dyDescent="0.3">
      <c r="A715" s="17">
        <v>45030</v>
      </c>
      <c r="B715">
        <v>0.9</v>
      </c>
      <c r="C715" s="17">
        <f t="shared" si="24"/>
        <v>45017</v>
      </c>
      <c r="D715">
        <f t="shared" si="25"/>
        <v>0</v>
      </c>
    </row>
    <row r="716" spans="1:4" x14ac:dyDescent="0.3">
      <c r="A716" s="17">
        <v>45029</v>
      </c>
      <c r="B716">
        <v>1</v>
      </c>
      <c r="C716" s="17">
        <f t="shared" si="24"/>
        <v>45017</v>
      </c>
      <c r="D716">
        <f t="shared" si="25"/>
        <v>0</v>
      </c>
    </row>
    <row r="717" spans="1:4" x14ac:dyDescent="0.3">
      <c r="A717" s="17">
        <v>45028</v>
      </c>
      <c r="B717">
        <v>0.85</v>
      </c>
      <c r="C717" s="17">
        <f t="shared" si="24"/>
        <v>45017</v>
      </c>
      <c r="D717">
        <f t="shared" si="25"/>
        <v>0</v>
      </c>
    </row>
    <row r="718" spans="1:4" x14ac:dyDescent="0.3">
      <c r="A718" s="17">
        <v>45027</v>
      </c>
      <c r="B718">
        <v>0.75</v>
      </c>
      <c r="C718" s="17">
        <f t="shared" si="24"/>
        <v>45017</v>
      </c>
      <c r="D718">
        <f t="shared" si="25"/>
        <v>0</v>
      </c>
    </row>
    <row r="719" spans="1:4" x14ac:dyDescent="0.3">
      <c r="A719" s="17">
        <v>45026</v>
      </c>
      <c r="B719">
        <v>0.75</v>
      </c>
      <c r="C719" s="17">
        <f t="shared" si="24"/>
        <v>45017</v>
      </c>
      <c r="D719">
        <f t="shared" si="25"/>
        <v>0</v>
      </c>
    </row>
    <row r="720" spans="1:4" x14ac:dyDescent="0.3">
      <c r="A720" s="17">
        <v>45022</v>
      </c>
      <c r="B720">
        <v>0.6</v>
      </c>
      <c r="C720" s="17">
        <f t="shared" si="24"/>
        <v>45017</v>
      </c>
      <c r="D720">
        <f t="shared" si="25"/>
        <v>0</v>
      </c>
    </row>
    <row r="721" spans="1:4" x14ac:dyDescent="0.3">
      <c r="A721" s="17">
        <v>45021</v>
      </c>
      <c r="B721">
        <v>0.9</v>
      </c>
      <c r="C721" s="17">
        <f t="shared" si="24"/>
        <v>45017</v>
      </c>
      <c r="D721">
        <f t="shared" si="25"/>
        <v>0</v>
      </c>
    </row>
    <row r="722" spans="1:4" x14ac:dyDescent="0.3">
      <c r="A722" s="17">
        <v>45020</v>
      </c>
      <c r="B722">
        <v>1</v>
      </c>
      <c r="C722" s="17">
        <f t="shared" si="24"/>
        <v>45017</v>
      </c>
      <c r="D722">
        <f t="shared" si="25"/>
        <v>1</v>
      </c>
    </row>
    <row r="723" spans="1:4" x14ac:dyDescent="0.3">
      <c r="A723" s="17">
        <v>45019</v>
      </c>
      <c r="B723">
        <v>1</v>
      </c>
      <c r="C723" s="17">
        <f t="shared" si="24"/>
        <v>45017</v>
      </c>
      <c r="D723">
        <f t="shared" si="25"/>
        <v>1</v>
      </c>
    </row>
    <row r="724" spans="1:4" x14ac:dyDescent="0.3">
      <c r="A724" s="17">
        <v>45016</v>
      </c>
      <c r="B724">
        <v>0.7</v>
      </c>
      <c r="C724" s="17">
        <f t="shared" si="24"/>
        <v>44986</v>
      </c>
      <c r="D724">
        <f t="shared" si="25"/>
        <v>0</v>
      </c>
    </row>
    <row r="725" spans="1:4" x14ac:dyDescent="0.3">
      <c r="A725" s="17">
        <v>45015</v>
      </c>
      <c r="B725">
        <v>0.65</v>
      </c>
      <c r="C725" s="17">
        <f t="shared" si="24"/>
        <v>44986</v>
      </c>
      <c r="D725">
        <f t="shared" si="25"/>
        <v>0</v>
      </c>
    </row>
    <row r="726" spans="1:4" x14ac:dyDescent="0.3">
      <c r="A726" s="17">
        <v>45014</v>
      </c>
      <c r="B726">
        <v>0.65</v>
      </c>
      <c r="C726" s="17">
        <f t="shared" si="24"/>
        <v>44986</v>
      </c>
      <c r="D726">
        <f t="shared" si="25"/>
        <v>0</v>
      </c>
    </row>
    <row r="727" spans="1:4" x14ac:dyDescent="0.3">
      <c r="A727" s="17">
        <v>45013</v>
      </c>
      <c r="B727">
        <v>0.65</v>
      </c>
      <c r="C727" s="17">
        <f t="shared" si="24"/>
        <v>44986</v>
      </c>
      <c r="D727">
        <f t="shared" si="25"/>
        <v>0</v>
      </c>
    </row>
    <row r="728" spans="1:4" x14ac:dyDescent="0.3">
      <c r="A728" s="17">
        <v>45012</v>
      </c>
      <c r="B728">
        <v>0.55000000000000004</v>
      </c>
      <c r="C728" s="17">
        <f t="shared" si="24"/>
        <v>44986</v>
      </c>
      <c r="D728">
        <f t="shared" si="25"/>
        <v>0</v>
      </c>
    </row>
    <row r="729" spans="1:4" x14ac:dyDescent="0.3">
      <c r="A729" s="17">
        <v>45009</v>
      </c>
      <c r="B729">
        <v>0.8</v>
      </c>
      <c r="C729" s="17">
        <f t="shared" si="24"/>
        <v>44986</v>
      </c>
      <c r="D729">
        <f t="shared" si="25"/>
        <v>0</v>
      </c>
    </row>
    <row r="730" spans="1:4" x14ac:dyDescent="0.3">
      <c r="A730" s="17">
        <v>45008</v>
      </c>
      <c r="B730">
        <v>0.75</v>
      </c>
      <c r="C730" s="17">
        <f t="shared" si="24"/>
        <v>44986</v>
      </c>
      <c r="D730">
        <f t="shared" si="25"/>
        <v>0</v>
      </c>
    </row>
    <row r="731" spans="1:4" x14ac:dyDescent="0.3">
      <c r="A731" s="17">
        <v>45007</v>
      </c>
      <c r="B731">
        <v>0.75</v>
      </c>
      <c r="C731" s="17">
        <f t="shared" si="24"/>
        <v>44986</v>
      </c>
      <c r="D731">
        <f t="shared" si="25"/>
        <v>0</v>
      </c>
    </row>
    <row r="732" spans="1:4" x14ac:dyDescent="0.3">
      <c r="A732" s="17">
        <v>45006</v>
      </c>
      <c r="B732">
        <v>0.2</v>
      </c>
      <c r="C732" s="17">
        <f t="shared" si="24"/>
        <v>44986</v>
      </c>
      <c r="D732">
        <f t="shared" si="25"/>
        <v>0</v>
      </c>
    </row>
    <row r="733" spans="1:4" x14ac:dyDescent="0.3">
      <c r="A733" s="17">
        <v>45005</v>
      </c>
      <c r="B733">
        <v>0.35</v>
      </c>
      <c r="C733" s="17">
        <f t="shared" si="24"/>
        <v>44986</v>
      </c>
      <c r="D733">
        <f t="shared" si="25"/>
        <v>0</v>
      </c>
    </row>
    <row r="734" spans="1:4" x14ac:dyDescent="0.3">
      <c r="A734" s="17">
        <v>45002</v>
      </c>
      <c r="B734">
        <v>0.55000000000000004</v>
      </c>
      <c r="C734" s="17">
        <f t="shared" si="24"/>
        <v>44986</v>
      </c>
      <c r="D734">
        <f t="shared" si="25"/>
        <v>0</v>
      </c>
    </row>
    <row r="735" spans="1:4" x14ac:dyDescent="0.3">
      <c r="A735" s="17">
        <v>45001</v>
      </c>
      <c r="B735">
        <v>0.75</v>
      </c>
      <c r="C735" s="17">
        <f t="shared" si="24"/>
        <v>44986</v>
      </c>
      <c r="D735">
        <f t="shared" si="25"/>
        <v>0</v>
      </c>
    </row>
    <row r="736" spans="1:4" x14ac:dyDescent="0.3">
      <c r="A736" s="17">
        <v>45000</v>
      </c>
      <c r="B736">
        <v>0.75</v>
      </c>
      <c r="C736" s="17">
        <f t="shared" si="24"/>
        <v>44986</v>
      </c>
      <c r="D736">
        <f t="shared" si="25"/>
        <v>0</v>
      </c>
    </row>
    <row r="737" spans="1:4" x14ac:dyDescent="0.3">
      <c r="A737" s="17">
        <v>44999</v>
      </c>
      <c r="B737">
        <v>0.8</v>
      </c>
      <c r="C737" s="17">
        <f t="shared" si="24"/>
        <v>44986</v>
      </c>
      <c r="D737">
        <f t="shared" si="25"/>
        <v>0</v>
      </c>
    </row>
    <row r="738" spans="1:4" x14ac:dyDescent="0.3">
      <c r="A738" s="17">
        <v>44998</v>
      </c>
      <c r="B738">
        <v>0.8</v>
      </c>
      <c r="C738" s="17">
        <f t="shared" si="24"/>
        <v>44986</v>
      </c>
      <c r="D738">
        <f t="shared" si="25"/>
        <v>0</v>
      </c>
    </row>
    <row r="739" spans="1:4" x14ac:dyDescent="0.3">
      <c r="A739" s="17">
        <v>44995</v>
      </c>
      <c r="B739">
        <v>0.5</v>
      </c>
      <c r="C739" s="17">
        <f t="shared" si="24"/>
        <v>44986</v>
      </c>
      <c r="D739">
        <f t="shared" si="25"/>
        <v>0</v>
      </c>
    </row>
    <row r="740" spans="1:4" x14ac:dyDescent="0.3">
      <c r="A740" s="17">
        <v>44994</v>
      </c>
      <c r="B740">
        <v>0</v>
      </c>
      <c r="C740" s="17">
        <f t="shared" si="24"/>
        <v>44986</v>
      </c>
      <c r="D740">
        <f t="shared" si="25"/>
        <v>0</v>
      </c>
    </row>
    <row r="741" spans="1:4" x14ac:dyDescent="0.3">
      <c r="A741" s="17">
        <v>44993</v>
      </c>
      <c r="B741">
        <v>0.6</v>
      </c>
      <c r="C741" s="17">
        <f t="shared" si="24"/>
        <v>44986</v>
      </c>
      <c r="D741">
        <f t="shared" si="25"/>
        <v>0</v>
      </c>
    </row>
    <row r="742" spans="1:4" x14ac:dyDescent="0.3">
      <c r="A742" s="17">
        <v>44992</v>
      </c>
      <c r="B742">
        <v>0.65</v>
      </c>
      <c r="C742" s="17">
        <f t="shared" si="24"/>
        <v>44986</v>
      </c>
      <c r="D742">
        <f t="shared" si="25"/>
        <v>0</v>
      </c>
    </row>
    <row r="743" spans="1:4" x14ac:dyDescent="0.3">
      <c r="A743" s="17">
        <v>44991</v>
      </c>
      <c r="B743">
        <v>0.65</v>
      </c>
      <c r="C743" s="17">
        <f t="shared" si="24"/>
        <v>44986</v>
      </c>
      <c r="D743">
        <f t="shared" si="25"/>
        <v>0</v>
      </c>
    </row>
    <row r="744" spans="1:4" x14ac:dyDescent="0.3">
      <c r="A744" s="17">
        <v>44988</v>
      </c>
      <c r="B744">
        <v>0.65</v>
      </c>
      <c r="C744" s="17">
        <f t="shared" si="24"/>
        <v>44986</v>
      </c>
      <c r="D744">
        <f t="shared" si="25"/>
        <v>1</v>
      </c>
    </row>
    <row r="745" spans="1:4" x14ac:dyDescent="0.3">
      <c r="A745" s="17">
        <v>44987</v>
      </c>
      <c r="B745">
        <v>0.75</v>
      </c>
      <c r="C745" s="17">
        <f t="shared" si="24"/>
        <v>44986</v>
      </c>
      <c r="D745">
        <f t="shared" si="25"/>
        <v>1</v>
      </c>
    </row>
    <row r="746" spans="1:4" x14ac:dyDescent="0.3">
      <c r="A746" s="17">
        <v>44986</v>
      </c>
      <c r="B746">
        <v>0.75</v>
      </c>
      <c r="C746" s="17">
        <f t="shared" si="24"/>
        <v>44986</v>
      </c>
      <c r="D746">
        <f t="shared" si="25"/>
        <v>1</v>
      </c>
    </row>
    <row r="747" spans="1:4" x14ac:dyDescent="0.3">
      <c r="A747" s="17">
        <v>44985</v>
      </c>
      <c r="B747">
        <v>1.8</v>
      </c>
      <c r="C747" s="17">
        <f t="shared" si="24"/>
        <v>44958</v>
      </c>
      <c r="D747">
        <f t="shared" si="25"/>
        <v>0</v>
      </c>
    </row>
    <row r="748" spans="1:4" x14ac:dyDescent="0.3">
      <c r="A748" s="17">
        <v>44984</v>
      </c>
      <c r="B748">
        <v>1.5</v>
      </c>
      <c r="C748" s="17">
        <f t="shared" si="24"/>
        <v>44958</v>
      </c>
      <c r="D748">
        <f t="shared" si="25"/>
        <v>0</v>
      </c>
    </row>
    <row r="749" spans="1:4" x14ac:dyDescent="0.3">
      <c r="A749" s="17">
        <v>44981</v>
      </c>
      <c r="B749">
        <v>1.3</v>
      </c>
      <c r="C749" s="17">
        <f t="shared" si="24"/>
        <v>44958</v>
      </c>
      <c r="D749">
        <f t="shared" si="25"/>
        <v>0</v>
      </c>
    </row>
    <row r="750" spans="1:4" x14ac:dyDescent="0.3">
      <c r="A750" s="17">
        <v>44980</v>
      </c>
      <c r="B750">
        <v>1.5</v>
      </c>
      <c r="C750" s="17">
        <f t="shared" si="24"/>
        <v>44958</v>
      </c>
      <c r="D750">
        <f t="shared" si="25"/>
        <v>0</v>
      </c>
    </row>
    <row r="751" spans="1:4" x14ac:dyDescent="0.3">
      <c r="A751" s="17">
        <v>44979</v>
      </c>
      <c r="B751">
        <v>1.1000000000000001</v>
      </c>
      <c r="C751" s="17">
        <f t="shared" si="24"/>
        <v>44958</v>
      </c>
      <c r="D751">
        <f t="shared" si="25"/>
        <v>0</v>
      </c>
    </row>
    <row r="752" spans="1:4" x14ac:dyDescent="0.3">
      <c r="A752" s="17">
        <v>44978</v>
      </c>
      <c r="B752">
        <v>1.1000000000000001</v>
      </c>
      <c r="C752" s="17">
        <f t="shared" si="24"/>
        <v>44958</v>
      </c>
      <c r="D752">
        <f t="shared" si="25"/>
        <v>0</v>
      </c>
    </row>
    <row r="753" spans="1:4" x14ac:dyDescent="0.3">
      <c r="A753" s="17">
        <v>44977</v>
      </c>
      <c r="B753">
        <v>1.2</v>
      </c>
      <c r="C753" s="17">
        <f t="shared" si="24"/>
        <v>44958</v>
      </c>
      <c r="D753">
        <f t="shared" si="25"/>
        <v>0</v>
      </c>
    </row>
    <row r="754" spans="1:4" x14ac:dyDescent="0.3">
      <c r="A754" s="17">
        <v>44974</v>
      </c>
      <c r="B754">
        <v>1.2</v>
      </c>
      <c r="C754" s="17">
        <f t="shared" si="24"/>
        <v>44958</v>
      </c>
      <c r="D754">
        <f t="shared" si="25"/>
        <v>0</v>
      </c>
    </row>
    <row r="755" spans="1:4" x14ac:dyDescent="0.3">
      <c r="A755" s="17">
        <v>44973</v>
      </c>
      <c r="B755">
        <v>1.1000000000000001</v>
      </c>
      <c r="C755" s="17">
        <f t="shared" si="24"/>
        <v>44958</v>
      </c>
      <c r="D755">
        <f t="shared" si="25"/>
        <v>0</v>
      </c>
    </row>
    <row r="756" spans="1:4" x14ac:dyDescent="0.3">
      <c r="A756" s="17">
        <v>44972</v>
      </c>
      <c r="B756">
        <v>1</v>
      </c>
      <c r="C756" s="17">
        <f t="shared" si="24"/>
        <v>44958</v>
      </c>
      <c r="D756">
        <f t="shared" si="25"/>
        <v>0</v>
      </c>
    </row>
    <row r="757" spans="1:4" x14ac:dyDescent="0.3">
      <c r="A757" s="17">
        <v>44971</v>
      </c>
      <c r="B757">
        <v>0.9</v>
      </c>
      <c r="C757" s="17">
        <f t="shared" si="24"/>
        <v>44958</v>
      </c>
      <c r="D757">
        <f t="shared" si="25"/>
        <v>0</v>
      </c>
    </row>
    <row r="758" spans="1:4" x14ac:dyDescent="0.3">
      <c r="A758" s="17">
        <v>44970</v>
      </c>
      <c r="B758">
        <v>1</v>
      </c>
      <c r="C758" s="17">
        <f t="shared" si="24"/>
        <v>44958</v>
      </c>
      <c r="D758">
        <f t="shared" si="25"/>
        <v>0</v>
      </c>
    </row>
    <row r="759" spans="1:4" x14ac:dyDescent="0.3">
      <c r="A759" s="17">
        <v>44967</v>
      </c>
      <c r="B759">
        <v>0.75</v>
      </c>
      <c r="C759" s="17">
        <f t="shared" si="24"/>
        <v>44958</v>
      </c>
      <c r="D759">
        <f t="shared" si="25"/>
        <v>0</v>
      </c>
    </row>
    <row r="760" spans="1:4" x14ac:dyDescent="0.3">
      <c r="A760" s="17">
        <v>44966</v>
      </c>
      <c r="B760">
        <v>0.25</v>
      </c>
      <c r="C760" s="17">
        <f t="shared" si="24"/>
        <v>44958</v>
      </c>
      <c r="D760">
        <f t="shared" si="25"/>
        <v>0</v>
      </c>
    </row>
    <row r="761" spans="1:4" x14ac:dyDescent="0.3">
      <c r="A761" s="17">
        <v>44965</v>
      </c>
      <c r="B761">
        <v>0.35</v>
      </c>
      <c r="C761" s="17">
        <f t="shared" si="24"/>
        <v>44958</v>
      </c>
      <c r="D761">
        <f t="shared" si="25"/>
        <v>0</v>
      </c>
    </row>
    <row r="762" spans="1:4" x14ac:dyDescent="0.3">
      <c r="A762" s="17">
        <v>44964</v>
      </c>
      <c r="B762">
        <v>0.25</v>
      </c>
      <c r="C762" s="17">
        <f t="shared" si="24"/>
        <v>44958</v>
      </c>
      <c r="D762">
        <f t="shared" si="25"/>
        <v>0</v>
      </c>
    </row>
    <row r="763" spans="1:4" x14ac:dyDescent="0.3">
      <c r="A763" s="17">
        <v>44963</v>
      </c>
      <c r="B763">
        <v>0.35</v>
      </c>
      <c r="C763" s="17">
        <f t="shared" si="24"/>
        <v>44958</v>
      </c>
      <c r="D763">
        <f t="shared" si="25"/>
        <v>0</v>
      </c>
    </row>
    <row r="764" spans="1:4" x14ac:dyDescent="0.3">
      <c r="A764" s="17">
        <v>44960</v>
      </c>
      <c r="B764">
        <v>0.3</v>
      </c>
      <c r="C764" s="17">
        <f t="shared" si="24"/>
        <v>44958</v>
      </c>
      <c r="D764">
        <f t="shared" si="25"/>
        <v>1</v>
      </c>
    </row>
    <row r="765" spans="1:4" x14ac:dyDescent="0.3">
      <c r="A765" s="17">
        <v>44959</v>
      </c>
      <c r="B765">
        <v>0.25</v>
      </c>
      <c r="C765" s="17">
        <f t="shared" si="24"/>
        <v>44958</v>
      </c>
      <c r="D765">
        <f t="shared" si="25"/>
        <v>1</v>
      </c>
    </row>
    <row r="766" spans="1:4" x14ac:dyDescent="0.3">
      <c r="A766" s="17">
        <v>44958</v>
      </c>
      <c r="B766">
        <v>0.25</v>
      </c>
      <c r="C766" s="17">
        <f t="shared" si="24"/>
        <v>44958</v>
      </c>
      <c r="D766">
        <f t="shared" si="25"/>
        <v>1</v>
      </c>
    </row>
    <row r="767" spans="1:4" x14ac:dyDescent="0.3">
      <c r="A767" s="17">
        <v>44957</v>
      </c>
      <c r="B767">
        <v>0.2</v>
      </c>
      <c r="C767" s="17">
        <f t="shared" si="24"/>
        <v>44927</v>
      </c>
      <c r="D767">
        <f t="shared" si="25"/>
        <v>0</v>
      </c>
    </row>
    <row r="768" spans="1:4" x14ac:dyDescent="0.3">
      <c r="A768" s="17">
        <v>44956</v>
      </c>
      <c r="B768">
        <v>0.05</v>
      </c>
      <c r="C768" s="17">
        <f t="shared" si="24"/>
        <v>44927</v>
      </c>
      <c r="D768">
        <f t="shared" si="25"/>
        <v>0</v>
      </c>
    </row>
    <row r="769" spans="1:4" x14ac:dyDescent="0.3">
      <c r="A769" s="17">
        <v>44953</v>
      </c>
      <c r="B769">
        <v>-0.35</v>
      </c>
      <c r="C769" s="17">
        <f t="shared" si="24"/>
        <v>44927</v>
      </c>
      <c r="D769">
        <f t="shared" si="25"/>
        <v>0</v>
      </c>
    </row>
    <row r="770" spans="1:4" x14ac:dyDescent="0.3">
      <c r="A770" s="17">
        <v>44952</v>
      </c>
      <c r="B770">
        <v>-0.15</v>
      </c>
      <c r="C770" s="17">
        <f t="shared" si="24"/>
        <v>44927</v>
      </c>
      <c r="D770">
        <f t="shared" si="25"/>
        <v>0</v>
      </c>
    </row>
    <row r="771" spans="1:4" x14ac:dyDescent="0.3">
      <c r="A771" s="17">
        <v>44951</v>
      </c>
      <c r="B771">
        <v>-0.15</v>
      </c>
      <c r="C771" s="17">
        <f t="shared" si="24"/>
        <v>44927</v>
      </c>
      <c r="D771">
        <f t="shared" si="25"/>
        <v>0</v>
      </c>
    </row>
    <row r="772" spans="1:4" x14ac:dyDescent="0.3">
      <c r="A772" s="17">
        <v>44946</v>
      </c>
      <c r="B772">
        <v>-0.2</v>
      </c>
      <c r="C772" s="17">
        <f t="shared" si="24"/>
        <v>44927</v>
      </c>
      <c r="D772">
        <f t="shared" si="25"/>
        <v>0</v>
      </c>
    </row>
    <row r="773" spans="1:4" x14ac:dyDescent="0.3">
      <c r="A773" s="17">
        <v>44945</v>
      </c>
      <c r="B773">
        <v>-0.3</v>
      </c>
      <c r="C773" s="17">
        <f t="shared" si="24"/>
        <v>44927</v>
      </c>
      <c r="D773">
        <f t="shared" si="25"/>
        <v>0</v>
      </c>
    </row>
    <row r="774" spans="1:4" x14ac:dyDescent="0.3">
      <c r="A774" s="17">
        <v>44944</v>
      </c>
      <c r="B774">
        <v>-0.35</v>
      </c>
      <c r="C774" s="17">
        <f t="shared" ref="C774:C837" si="26">+DATE(+YEAR(A774),+MONTH(A774),1)</f>
        <v>44927</v>
      </c>
      <c r="D774">
        <f t="shared" ref="D774:D837" si="27">IF(AND(+DAY(A774)&gt;=1,+DAY(A774)&lt;= 4), 1, 0)</f>
        <v>0</v>
      </c>
    </row>
    <row r="775" spans="1:4" x14ac:dyDescent="0.3">
      <c r="A775" s="17">
        <v>44943</v>
      </c>
      <c r="B775">
        <v>-0.4</v>
      </c>
      <c r="C775" s="17">
        <f t="shared" si="26"/>
        <v>44927</v>
      </c>
      <c r="D775">
        <f t="shared" si="27"/>
        <v>0</v>
      </c>
    </row>
    <row r="776" spans="1:4" x14ac:dyDescent="0.3">
      <c r="A776" s="17">
        <v>44942</v>
      </c>
      <c r="B776">
        <v>-0.45</v>
      </c>
      <c r="C776" s="17">
        <f t="shared" si="26"/>
        <v>44927</v>
      </c>
      <c r="D776">
        <f t="shared" si="27"/>
        <v>0</v>
      </c>
    </row>
    <row r="777" spans="1:4" x14ac:dyDescent="0.3">
      <c r="A777" s="17">
        <v>44939</v>
      </c>
      <c r="B777">
        <v>-0.55000000000000004</v>
      </c>
      <c r="C777" s="17">
        <f t="shared" si="26"/>
        <v>44927</v>
      </c>
      <c r="D777">
        <f t="shared" si="27"/>
        <v>0</v>
      </c>
    </row>
    <row r="778" spans="1:4" x14ac:dyDescent="0.3">
      <c r="A778" s="17">
        <v>44938</v>
      </c>
      <c r="B778">
        <v>-0.6</v>
      </c>
      <c r="C778" s="17">
        <f t="shared" si="26"/>
        <v>44927</v>
      </c>
      <c r="D778">
        <f t="shared" si="27"/>
        <v>0</v>
      </c>
    </row>
    <row r="779" spans="1:4" x14ac:dyDescent="0.3">
      <c r="A779" s="17">
        <v>44937</v>
      </c>
      <c r="B779">
        <v>-0.8</v>
      </c>
      <c r="C779" s="17">
        <f t="shared" si="26"/>
        <v>44927</v>
      </c>
      <c r="D779">
        <f t="shared" si="27"/>
        <v>0</v>
      </c>
    </row>
    <row r="780" spans="1:4" x14ac:dyDescent="0.3">
      <c r="A780" s="17">
        <v>44936</v>
      </c>
      <c r="B780">
        <v>-0.7</v>
      </c>
      <c r="C780" s="17">
        <f t="shared" si="26"/>
        <v>44927</v>
      </c>
      <c r="D780">
        <f t="shared" si="27"/>
        <v>0</v>
      </c>
    </row>
    <row r="781" spans="1:4" x14ac:dyDescent="0.3">
      <c r="A781" s="17">
        <v>44935</v>
      </c>
      <c r="B781">
        <v>-0.5</v>
      </c>
      <c r="C781" s="17">
        <f t="shared" si="26"/>
        <v>44927</v>
      </c>
      <c r="D781">
        <f t="shared" si="27"/>
        <v>0</v>
      </c>
    </row>
    <row r="782" spans="1:4" x14ac:dyDescent="0.3">
      <c r="A782" s="17">
        <v>44932</v>
      </c>
      <c r="B782">
        <v>-0.3</v>
      </c>
      <c r="C782" s="17">
        <f t="shared" si="26"/>
        <v>44927</v>
      </c>
      <c r="D782">
        <f t="shared" si="27"/>
        <v>0</v>
      </c>
    </row>
    <row r="783" spans="1:4" x14ac:dyDescent="0.3">
      <c r="A783" s="17">
        <v>44931</v>
      </c>
      <c r="B783">
        <v>-0.1</v>
      </c>
      <c r="C783" s="17">
        <f t="shared" si="26"/>
        <v>44927</v>
      </c>
      <c r="D783">
        <f t="shared" si="27"/>
        <v>0</v>
      </c>
    </row>
    <row r="784" spans="1:4" x14ac:dyDescent="0.3">
      <c r="A784" s="17">
        <v>44930</v>
      </c>
      <c r="B784">
        <v>-0.1</v>
      </c>
      <c r="C784" s="17">
        <f t="shared" si="26"/>
        <v>44927</v>
      </c>
      <c r="D784">
        <f t="shared" si="27"/>
        <v>1</v>
      </c>
    </row>
    <row r="785" spans="1:4" x14ac:dyDescent="0.3">
      <c r="A785" s="17">
        <v>44929</v>
      </c>
      <c r="B785">
        <v>-0.1</v>
      </c>
      <c r="C785" s="17">
        <f t="shared" si="26"/>
        <v>44927</v>
      </c>
      <c r="D785">
        <f t="shared" si="27"/>
        <v>1</v>
      </c>
    </row>
    <row r="786" spans="1:4" x14ac:dyDescent="0.3">
      <c r="A786" s="17">
        <v>44925</v>
      </c>
      <c r="B786">
        <v>-0.7</v>
      </c>
      <c r="C786" s="17">
        <f t="shared" si="26"/>
        <v>44896</v>
      </c>
      <c r="D786">
        <f t="shared" si="27"/>
        <v>0</v>
      </c>
    </row>
    <row r="787" spans="1:4" x14ac:dyDescent="0.3">
      <c r="A787" s="17">
        <v>44924</v>
      </c>
      <c r="B787">
        <v>-0.7</v>
      </c>
      <c r="C787" s="17">
        <f t="shared" si="26"/>
        <v>44896</v>
      </c>
      <c r="D787">
        <f t="shared" si="27"/>
        <v>0</v>
      </c>
    </row>
    <row r="788" spans="1:4" x14ac:dyDescent="0.3">
      <c r="A788" s="17">
        <v>44923</v>
      </c>
      <c r="B788">
        <v>-0.6</v>
      </c>
      <c r="C788" s="17">
        <f t="shared" si="26"/>
        <v>44896</v>
      </c>
      <c r="D788">
        <f t="shared" si="27"/>
        <v>0</v>
      </c>
    </row>
    <row r="789" spans="1:4" x14ac:dyDescent="0.3">
      <c r="A789" s="17">
        <v>44922</v>
      </c>
      <c r="B789">
        <v>-0.6</v>
      </c>
      <c r="C789" s="17">
        <f t="shared" si="26"/>
        <v>44896</v>
      </c>
      <c r="D789">
        <f t="shared" si="27"/>
        <v>0</v>
      </c>
    </row>
    <row r="790" spans="1:4" x14ac:dyDescent="0.3">
      <c r="A790" s="17">
        <v>44918</v>
      </c>
      <c r="B790">
        <v>-0.5</v>
      </c>
      <c r="C790" s="17">
        <f t="shared" si="26"/>
        <v>44896</v>
      </c>
      <c r="D790">
        <f t="shared" si="27"/>
        <v>0</v>
      </c>
    </row>
    <row r="791" spans="1:4" x14ac:dyDescent="0.3">
      <c r="A791" s="17">
        <v>44917</v>
      </c>
      <c r="B791">
        <v>-0.5</v>
      </c>
      <c r="C791" s="17">
        <f t="shared" si="26"/>
        <v>44896</v>
      </c>
      <c r="D791">
        <f t="shared" si="27"/>
        <v>0</v>
      </c>
    </row>
    <row r="792" spans="1:4" x14ac:dyDescent="0.3">
      <c r="A792" s="17">
        <v>44916</v>
      </c>
      <c r="B792">
        <v>-0.5</v>
      </c>
      <c r="C792" s="17">
        <f t="shared" si="26"/>
        <v>44896</v>
      </c>
      <c r="D792">
        <f t="shared" si="27"/>
        <v>0</v>
      </c>
    </row>
    <row r="793" spans="1:4" x14ac:dyDescent="0.3">
      <c r="A793" s="17">
        <v>44915</v>
      </c>
      <c r="B793">
        <v>-0.5</v>
      </c>
      <c r="C793" s="17">
        <f t="shared" si="26"/>
        <v>44896</v>
      </c>
      <c r="D793">
        <f t="shared" si="27"/>
        <v>0</v>
      </c>
    </row>
    <row r="794" spans="1:4" x14ac:dyDescent="0.3">
      <c r="A794" s="17">
        <v>44914</v>
      </c>
      <c r="B794">
        <v>-0.5</v>
      </c>
      <c r="C794" s="17">
        <f t="shared" si="26"/>
        <v>44896</v>
      </c>
      <c r="D794">
        <f t="shared" si="27"/>
        <v>0</v>
      </c>
    </row>
    <row r="795" spans="1:4" x14ac:dyDescent="0.3">
      <c r="A795" s="17">
        <v>44911</v>
      </c>
      <c r="B795">
        <v>-0.65</v>
      </c>
      <c r="C795" s="17">
        <f t="shared" si="26"/>
        <v>44896</v>
      </c>
      <c r="D795">
        <f t="shared" si="27"/>
        <v>0</v>
      </c>
    </row>
    <row r="796" spans="1:4" x14ac:dyDescent="0.3">
      <c r="A796" s="17">
        <v>44910</v>
      </c>
      <c r="B796">
        <v>-0.8</v>
      </c>
      <c r="C796" s="17">
        <f t="shared" si="26"/>
        <v>44896</v>
      </c>
      <c r="D796">
        <f t="shared" si="27"/>
        <v>0</v>
      </c>
    </row>
    <row r="797" spans="1:4" x14ac:dyDescent="0.3">
      <c r="A797" s="17">
        <v>44909</v>
      </c>
      <c r="B797">
        <v>-0.9</v>
      </c>
      <c r="C797" s="17">
        <f t="shared" si="26"/>
        <v>44896</v>
      </c>
      <c r="D797">
        <f t="shared" si="27"/>
        <v>0</v>
      </c>
    </row>
    <row r="798" spans="1:4" x14ac:dyDescent="0.3">
      <c r="A798" s="17">
        <v>44908</v>
      </c>
      <c r="B798">
        <v>-0.9</v>
      </c>
      <c r="C798" s="17">
        <f t="shared" si="26"/>
        <v>44896</v>
      </c>
      <c r="D798">
        <f t="shared" si="27"/>
        <v>0</v>
      </c>
    </row>
    <row r="799" spans="1:4" x14ac:dyDescent="0.3">
      <c r="A799" s="17">
        <v>44907</v>
      </c>
      <c r="B799">
        <v>-1</v>
      </c>
      <c r="C799" s="17">
        <f t="shared" si="26"/>
        <v>44896</v>
      </c>
      <c r="D799">
        <f t="shared" si="27"/>
        <v>0</v>
      </c>
    </row>
    <row r="800" spans="1:4" x14ac:dyDescent="0.3">
      <c r="A800" s="17">
        <v>44904</v>
      </c>
      <c r="B800">
        <v>-1</v>
      </c>
      <c r="C800" s="17">
        <f t="shared" si="26"/>
        <v>44896</v>
      </c>
      <c r="D800">
        <f t="shared" si="27"/>
        <v>0</v>
      </c>
    </row>
    <row r="801" spans="1:4" x14ac:dyDescent="0.3">
      <c r="A801" s="17">
        <v>44903</v>
      </c>
      <c r="B801">
        <v>-0.2</v>
      </c>
      <c r="C801" s="17">
        <f t="shared" si="26"/>
        <v>44896</v>
      </c>
      <c r="D801">
        <f t="shared" si="27"/>
        <v>0</v>
      </c>
    </row>
    <row r="802" spans="1:4" x14ac:dyDescent="0.3">
      <c r="A802" s="17">
        <v>44902</v>
      </c>
      <c r="B802">
        <v>-0.2</v>
      </c>
      <c r="C802" s="17">
        <f t="shared" si="26"/>
        <v>44896</v>
      </c>
      <c r="D802">
        <f t="shared" si="27"/>
        <v>0</v>
      </c>
    </row>
    <row r="803" spans="1:4" x14ac:dyDescent="0.3">
      <c r="A803" s="17">
        <v>44901</v>
      </c>
      <c r="B803">
        <v>-0.2</v>
      </c>
      <c r="C803" s="17">
        <f t="shared" si="26"/>
        <v>44896</v>
      </c>
      <c r="D803">
        <f t="shared" si="27"/>
        <v>0</v>
      </c>
    </row>
    <row r="804" spans="1:4" x14ac:dyDescent="0.3">
      <c r="A804" s="17">
        <v>44900</v>
      </c>
      <c r="B804">
        <v>-0.4</v>
      </c>
      <c r="C804" s="17">
        <f t="shared" si="26"/>
        <v>44896</v>
      </c>
      <c r="D804">
        <f t="shared" si="27"/>
        <v>0</v>
      </c>
    </row>
    <row r="805" spans="1:4" x14ac:dyDescent="0.3">
      <c r="A805" s="17">
        <v>44897</v>
      </c>
      <c r="B805">
        <v>-0.55000000000000004</v>
      </c>
      <c r="C805" s="17">
        <f t="shared" si="26"/>
        <v>44896</v>
      </c>
      <c r="D805">
        <f t="shared" si="27"/>
        <v>1</v>
      </c>
    </row>
    <row r="806" spans="1:4" x14ac:dyDescent="0.3">
      <c r="A806" s="17">
        <v>44896</v>
      </c>
      <c r="B806">
        <v>-0.55000000000000004</v>
      </c>
      <c r="C806" s="17">
        <f t="shared" si="26"/>
        <v>44896</v>
      </c>
      <c r="D806">
        <f t="shared" si="27"/>
        <v>1</v>
      </c>
    </row>
    <row r="807" spans="1:4" x14ac:dyDescent="0.3">
      <c r="A807" s="17">
        <v>44895</v>
      </c>
      <c r="B807">
        <v>-0.8</v>
      </c>
      <c r="C807" s="17">
        <f t="shared" si="26"/>
        <v>44866</v>
      </c>
      <c r="D807">
        <f t="shared" si="27"/>
        <v>0</v>
      </c>
    </row>
    <row r="808" spans="1:4" x14ac:dyDescent="0.3">
      <c r="A808" s="17">
        <v>44894</v>
      </c>
      <c r="B808">
        <v>-0.7</v>
      </c>
      <c r="C808" s="17">
        <f t="shared" si="26"/>
        <v>44866</v>
      </c>
      <c r="D808">
        <f t="shared" si="27"/>
        <v>0</v>
      </c>
    </row>
    <row r="809" spans="1:4" x14ac:dyDescent="0.3">
      <c r="A809" s="17">
        <v>44893</v>
      </c>
      <c r="B809">
        <v>-0.8</v>
      </c>
      <c r="C809" s="17">
        <f t="shared" si="26"/>
        <v>44866</v>
      </c>
      <c r="D809">
        <f t="shared" si="27"/>
        <v>0</v>
      </c>
    </row>
    <row r="810" spans="1:4" x14ac:dyDescent="0.3">
      <c r="A810" s="17">
        <v>44890</v>
      </c>
      <c r="B810">
        <v>-1</v>
      </c>
      <c r="C810" s="17">
        <f t="shared" si="26"/>
        <v>44866</v>
      </c>
      <c r="D810">
        <f t="shared" si="27"/>
        <v>0</v>
      </c>
    </row>
    <row r="811" spans="1:4" x14ac:dyDescent="0.3">
      <c r="A811" s="17">
        <v>44889</v>
      </c>
      <c r="B811">
        <v>-1.1000000000000001</v>
      </c>
      <c r="C811" s="17">
        <f t="shared" si="26"/>
        <v>44866</v>
      </c>
      <c r="D811">
        <f t="shared" si="27"/>
        <v>0</v>
      </c>
    </row>
    <row r="812" spans="1:4" x14ac:dyDescent="0.3">
      <c r="A812" s="17">
        <v>44888</v>
      </c>
      <c r="B812">
        <v>-1.1000000000000001</v>
      </c>
      <c r="C812" s="17">
        <f t="shared" si="26"/>
        <v>44866</v>
      </c>
      <c r="D812">
        <f t="shared" si="27"/>
        <v>0</v>
      </c>
    </row>
    <row r="813" spans="1:4" x14ac:dyDescent="0.3">
      <c r="A813" s="17">
        <v>44887</v>
      </c>
      <c r="B813">
        <v>-1</v>
      </c>
      <c r="C813" s="17">
        <f t="shared" si="26"/>
        <v>44866</v>
      </c>
      <c r="D813">
        <f t="shared" si="27"/>
        <v>0</v>
      </c>
    </row>
    <row r="814" spans="1:4" x14ac:dyDescent="0.3">
      <c r="A814" s="17">
        <v>44886</v>
      </c>
      <c r="B814">
        <v>-1</v>
      </c>
      <c r="C814" s="17">
        <f t="shared" si="26"/>
        <v>44866</v>
      </c>
      <c r="D814">
        <f t="shared" si="27"/>
        <v>0</v>
      </c>
    </row>
    <row r="815" spans="1:4" x14ac:dyDescent="0.3">
      <c r="A815" s="17">
        <v>44883</v>
      </c>
      <c r="B815">
        <v>-0.65</v>
      </c>
      <c r="C815" s="17">
        <f t="shared" si="26"/>
        <v>44866</v>
      </c>
      <c r="D815">
        <f t="shared" si="27"/>
        <v>0</v>
      </c>
    </row>
    <row r="816" spans="1:4" x14ac:dyDescent="0.3">
      <c r="A816" s="17">
        <v>44882</v>
      </c>
      <c r="B816">
        <v>-0.55000000000000004</v>
      </c>
      <c r="C816" s="17">
        <f t="shared" si="26"/>
        <v>44866</v>
      </c>
      <c r="D816">
        <f t="shared" si="27"/>
        <v>0</v>
      </c>
    </row>
    <row r="817" spans="1:4" x14ac:dyDescent="0.3">
      <c r="A817" s="17">
        <v>44881</v>
      </c>
      <c r="B817">
        <v>-0.55000000000000004</v>
      </c>
      <c r="C817" s="17">
        <f t="shared" si="26"/>
        <v>44866</v>
      </c>
      <c r="D817">
        <f t="shared" si="27"/>
        <v>0</v>
      </c>
    </row>
    <row r="818" spans="1:4" x14ac:dyDescent="0.3">
      <c r="A818" s="17">
        <v>44880</v>
      </c>
      <c r="B818">
        <v>-0.5</v>
      </c>
      <c r="C818" s="17">
        <f t="shared" si="26"/>
        <v>44866</v>
      </c>
      <c r="D818">
        <f t="shared" si="27"/>
        <v>0</v>
      </c>
    </row>
    <row r="819" spans="1:4" x14ac:dyDescent="0.3">
      <c r="A819" s="17">
        <v>44879</v>
      </c>
      <c r="B819">
        <v>-0.3</v>
      </c>
      <c r="C819" s="17">
        <f t="shared" si="26"/>
        <v>44866</v>
      </c>
      <c r="D819">
        <f t="shared" si="27"/>
        <v>0</v>
      </c>
    </row>
    <row r="820" spans="1:4" x14ac:dyDescent="0.3">
      <c r="A820" s="17">
        <v>44876</v>
      </c>
      <c r="B820">
        <v>-0.2</v>
      </c>
      <c r="C820" s="17">
        <f t="shared" si="26"/>
        <v>44866</v>
      </c>
      <c r="D820">
        <f t="shared" si="27"/>
        <v>0</v>
      </c>
    </row>
    <row r="821" spans="1:4" x14ac:dyDescent="0.3">
      <c r="A821" s="17">
        <v>44875</v>
      </c>
      <c r="B821">
        <v>-0.25</v>
      </c>
      <c r="C821" s="17">
        <f t="shared" si="26"/>
        <v>44866</v>
      </c>
      <c r="D821">
        <f t="shared" si="27"/>
        <v>0</v>
      </c>
    </row>
    <row r="822" spans="1:4" x14ac:dyDescent="0.3">
      <c r="A822" s="17">
        <v>44874</v>
      </c>
      <c r="B822">
        <v>-0.25</v>
      </c>
      <c r="C822" s="17">
        <f t="shared" si="26"/>
        <v>44866</v>
      </c>
      <c r="D822">
        <f t="shared" si="27"/>
        <v>0</v>
      </c>
    </row>
    <row r="823" spans="1:4" x14ac:dyDescent="0.3">
      <c r="A823" s="17">
        <v>44873</v>
      </c>
      <c r="B823">
        <v>-0.05</v>
      </c>
      <c r="C823" s="17">
        <f t="shared" si="26"/>
        <v>44866</v>
      </c>
      <c r="D823">
        <f t="shared" si="27"/>
        <v>0</v>
      </c>
    </row>
    <row r="824" spans="1:4" x14ac:dyDescent="0.3">
      <c r="A824" s="17">
        <v>44872</v>
      </c>
      <c r="B824">
        <v>-0.05</v>
      </c>
      <c r="C824" s="17">
        <f t="shared" si="26"/>
        <v>44866</v>
      </c>
      <c r="D824">
        <f t="shared" si="27"/>
        <v>0</v>
      </c>
    </row>
    <row r="825" spans="1:4" x14ac:dyDescent="0.3">
      <c r="A825" s="17">
        <v>44869</v>
      </c>
      <c r="B825">
        <v>-0.05</v>
      </c>
      <c r="C825" s="17">
        <f t="shared" si="26"/>
        <v>44866</v>
      </c>
      <c r="D825">
        <f t="shared" si="27"/>
        <v>1</v>
      </c>
    </row>
    <row r="826" spans="1:4" x14ac:dyDescent="0.3">
      <c r="A826" s="17">
        <v>44868</v>
      </c>
      <c r="B826">
        <v>-0.05</v>
      </c>
      <c r="C826" s="17">
        <f t="shared" si="26"/>
        <v>44866</v>
      </c>
      <c r="D826">
        <f t="shared" si="27"/>
        <v>1</v>
      </c>
    </row>
    <row r="827" spans="1:4" x14ac:dyDescent="0.3">
      <c r="A827" s="17">
        <v>44867</v>
      </c>
      <c r="B827">
        <v>0.15</v>
      </c>
      <c r="C827" s="17">
        <f t="shared" si="26"/>
        <v>44866</v>
      </c>
      <c r="D827">
        <f t="shared" si="27"/>
        <v>1</v>
      </c>
    </row>
    <row r="828" spans="1:4" x14ac:dyDescent="0.3">
      <c r="A828" s="17">
        <v>44866</v>
      </c>
      <c r="B828">
        <v>0.4</v>
      </c>
      <c r="C828" s="17">
        <f t="shared" si="26"/>
        <v>44866</v>
      </c>
      <c r="D828">
        <f t="shared" si="27"/>
        <v>1</v>
      </c>
    </row>
    <row r="829" spans="1:4" x14ac:dyDescent="0.3">
      <c r="A829" s="17">
        <v>44865</v>
      </c>
      <c r="B829">
        <v>0.75</v>
      </c>
      <c r="C829" s="17">
        <f t="shared" si="26"/>
        <v>44835</v>
      </c>
      <c r="D829">
        <f t="shared" si="27"/>
        <v>0</v>
      </c>
    </row>
    <row r="830" spans="1:4" x14ac:dyDescent="0.3">
      <c r="A830" s="17">
        <v>44862</v>
      </c>
      <c r="B830">
        <v>0.75</v>
      </c>
      <c r="C830" s="17">
        <f t="shared" si="26"/>
        <v>44835</v>
      </c>
      <c r="D830">
        <f t="shared" si="27"/>
        <v>0</v>
      </c>
    </row>
    <row r="831" spans="1:4" x14ac:dyDescent="0.3">
      <c r="A831" s="17">
        <v>44861</v>
      </c>
      <c r="B831">
        <v>0.75</v>
      </c>
      <c r="C831" s="17">
        <f t="shared" si="26"/>
        <v>44835</v>
      </c>
      <c r="D831">
        <f t="shared" si="27"/>
        <v>0</v>
      </c>
    </row>
    <row r="832" spans="1:4" x14ac:dyDescent="0.3">
      <c r="A832" s="17">
        <v>44860</v>
      </c>
      <c r="B832">
        <v>0.75</v>
      </c>
      <c r="C832" s="17">
        <f t="shared" si="26"/>
        <v>44835</v>
      </c>
      <c r="D832">
        <f t="shared" si="27"/>
        <v>0</v>
      </c>
    </row>
    <row r="833" spans="1:4" x14ac:dyDescent="0.3">
      <c r="A833" s="17">
        <v>44859</v>
      </c>
      <c r="B833">
        <v>0.75</v>
      </c>
      <c r="C833" s="17">
        <f t="shared" si="26"/>
        <v>44835</v>
      </c>
      <c r="D833">
        <f t="shared" si="27"/>
        <v>0</v>
      </c>
    </row>
    <row r="834" spans="1:4" x14ac:dyDescent="0.3">
      <c r="A834" s="17">
        <v>44855</v>
      </c>
      <c r="B834">
        <v>0.75</v>
      </c>
      <c r="C834" s="17">
        <f t="shared" si="26"/>
        <v>44835</v>
      </c>
      <c r="D834">
        <f t="shared" si="27"/>
        <v>0</v>
      </c>
    </row>
    <row r="835" spans="1:4" x14ac:dyDescent="0.3">
      <c r="A835" s="17">
        <v>44854</v>
      </c>
      <c r="B835">
        <v>0.2</v>
      </c>
      <c r="C835" s="17">
        <f t="shared" si="26"/>
        <v>44835</v>
      </c>
      <c r="D835">
        <f t="shared" si="27"/>
        <v>0</v>
      </c>
    </row>
    <row r="836" spans="1:4" x14ac:dyDescent="0.3">
      <c r="A836" s="17">
        <v>44853</v>
      </c>
      <c r="B836">
        <v>0.15</v>
      </c>
      <c r="C836" s="17">
        <f t="shared" si="26"/>
        <v>44835</v>
      </c>
      <c r="D836">
        <f t="shared" si="27"/>
        <v>0</v>
      </c>
    </row>
    <row r="837" spans="1:4" x14ac:dyDescent="0.3">
      <c r="A837" s="17">
        <v>44852</v>
      </c>
      <c r="B837">
        <v>0.5</v>
      </c>
      <c r="C837" s="17">
        <f t="shared" si="26"/>
        <v>44835</v>
      </c>
      <c r="D837">
        <f t="shared" si="27"/>
        <v>0</v>
      </c>
    </row>
    <row r="838" spans="1:4" x14ac:dyDescent="0.3">
      <c r="A838" s="17">
        <v>44851</v>
      </c>
      <c r="B838">
        <v>0.75</v>
      </c>
      <c r="C838" s="17">
        <f t="shared" ref="C838:C901" si="28">+DATE(+YEAR(A838),+MONTH(A838),1)</f>
        <v>44835</v>
      </c>
      <c r="D838">
        <f t="shared" ref="D838:D901" si="29">IF(AND(+DAY(A838)&gt;=1,+DAY(A838)&lt;= 4), 1, 0)</f>
        <v>0</v>
      </c>
    </row>
    <row r="839" spans="1:4" x14ac:dyDescent="0.3">
      <c r="A839" s="17">
        <v>44848</v>
      </c>
      <c r="B839">
        <v>0.15</v>
      </c>
      <c r="C839" s="17">
        <f t="shared" si="28"/>
        <v>44835</v>
      </c>
      <c r="D839">
        <f t="shared" si="29"/>
        <v>0</v>
      </c>
    </row>
    <row r="840" spans="1:4" x14ac:dyDescent="0.3">
      <c r="A840" s="17">
        <v>44847</v>
      </c>
      <c r="B840">
        <v>-0.25</v>
      </c>
      <c r="C840" s="17">
        <f t="shared" si="28"/>
        <v>44835</v>
      </c>
      <c r="D840">
        <f t="shared" si="29"/>
        <v>0</v>
      </c>
    </row>
    <row r="841" spans="1:4" x14ac:dyDescent="0.3">
      <c r="A841" s="17">
        <v>44846</v>
      </c>
      <c r="B841">
        <v>-0.1</v>
      </c>
      <c r="C841" s="17">
        <f t="shared" si="28"/>
        <v>44835</v>
      </c>
      <c r="D841">
        <f t="shared" si="29"/>
        <v>0</v>
      </c>
    </row>
    <row r="842" spans="1:4" x14ac:dyDescent="0.3">
      <c r="A842" s="17">
        <v>44845</v>
      </c>
      <c r="B842">
        <v>0.1</v>
      </c>
      <c r="C842" s="17">
        <f t="shared" si="28"/>
        <v>44835</v>
      </c>
      <c r="D842">
        <f t="shared" si="29"/>
        <v>0</v>
      </c>
    </row>
    <row r="843" spans="1:4" x14ac:dyDescent="0.3">
      <c r="A843" s="17">
        <v>44844</v>
      </c>
      <c r="B843">
        <v>0.15</v>
      </c>
      <c r="C843" s="17">
        <f t="shared" si="28"/>
        <v>44835</v>
      </c>
      <c r="D843">
        <f t="shared" si="29"/>
        <v>0</v>
      </c>
    </row>
    <row r="844" spans="1:4" x14ac:dyDescent="0.3">
      <c r="A844" s="17">
        <v>44841</v>
      </c>
      <c r="B844">
        <v>0.45</v>
      </c>
      <c r="C844" s="17">
        <f t="shared" si="28"/>
        <v>44835</v>
      </c>
      <c r="D844">
        <f t="shared" si="29"/>
        <v>0</v>
      </c>
    </row>
    <row r="845" spans="1:4" x14ac:dyDescent="0.3">
      <c r="A845" s="17">
        <v>44840</v>
      </c>
      <c r="B845">
        <v>0.5</v>
      </c>
      <c r="C845" s="17">
        <f t="shared" si="28"/>
        <v>44835</v>
      </c>
      <c r="D845">
        <f t="shared" si="29"/>
        <v>0</v>
      </c>
    </row>
    <row r="846" spans="1:4" x14ac:dyDescent="0.3">
      <c r="A846" s="17">
        <v>44839</v>
      </c>
      <c r="B846">
        <v>0.35</v>
      </c>
      <c r="C846" s="17">
        <f t="shared" si="28"/>
        <v>44835</v>
      </c>
      <c r="D846">
        <f t="shared" si="29"/>
        <v>0</v>
      </c>
    </row>
    <row r="847" spans="1:4" x14ac:dyDescent="0.3">
      <c r="A847" s="17">
        <v>44838</v>
      </c>
      <c r="B847">
        <v>0.3</v>
      </c>
      <c r="C847" s="17">
        <f t="shared" si="28"/>
        <v>44835</v>
      </c>
      <c r="D847">
        <f t="shared" si="29"/>
        <v>1</v>
      </c>
    </row>
    <row r="848" spans="1:4" x14ac:dyDescent="0.3">
      <c r="A848" s="17">
        <v>44837</v>
      </c>
      <c r="B848">
        <v>0.3</v>
      </c>
      <c r="C848" s="17">
        <f t="shared" si="28"/>
        <v>44835</v>
      </c>
      <c r="D848">
        <f t="shared" si="29"/>
        <v>1</v>
      </c>
    </row>
    <row r="849" spans="1:4" x14ac:dyDescent="0.3">
      <c r="A849" s="17">
        <v>44834</v>
      </c>
      <c r="B849">
        <v>0.35</v>
      </c>
      <c r="C849" s="17">
        <f t="shared" si="28"/>
        <v>44805</v>
      </c>
      <c r="D849">
        <f t="shared" si="29"/>
        <v>0</v>
      </c>
    </row>
    <row r="850" spans="1:4" x14ac:dyDescent="0.3">
      <c r="A850" s="17">
        <v>44833</v>
      </c>
      <c r="B850">
        <v>0.4</v>
      </c>
      <c r="C850" s="17">
        <f t="shared" si="28"/>
        <v>44805</v>
      </c>
      <c r="D850">
        <f t="shared" si="29"/>
        <v>0</v>
      </c>
    </row>
    <row r="851" spans="1:4" x14ac:dyDescent="0.3">
      <c r="A851" s="17">
        <v>44832</v>
      </c>
      <c r="B851">
        <v>0.4</v>
      </c>
      <c r="C851" s="17">
        <f t="shared" si="28"/>
        <v>44805</v>
      </c>
      <c r="D851">
        <f t="shared" si="29"/>
        <v>0</v>
      </c>
    </row>
    <row r="852" spans="1:4" x14ac:dyDescent="0.3">
      <c r="A852" s="17">
        <v>44831</v>
      </c>
      <c r="B852">
        <v>0.4</v>
      </c>
      <c r="C852" s="17">
        <f t="shared" si="28"/>
        <v>44805</v>
      </c>
      <c r="D852">
        <f t="shared" si="29"/>
        <v>0</v>
      </c>
    </row>
    <row r="853" spans="1:4" x14ac:dyDescent="0.3">
      <c r="A853" s="17">
        <v>44830</v>
      </c>
      <c r="B853">
        <v>0.45</v>
      </c>
      <c r="C853" s="17">
        <f t="shared" si="28"/>
        <v>44805</v>
      </c>
      <c r="D853">
        <f t="shared" si="29"/>
        <v>0</v>
      </c>
    </row>
    <row r="854" spans="1:4" x14ac:dyDescent="0.3">
      <c r="A854" s="17">
        <v>44827</v>
      </c>
      <c r="B854">
        <v>0.5</v>
      </c>
      <c r="C854" s="17">
        <f t="shared" si="28"/>
        <v>44805</v>
      </c>
      <c r="D854">
        <f t="shared" si="29"/>
        <v>0</v>
      </c>
    </row>
    <row r="855" spans="1:4" x14ac:dyDescent="0.3">
      <c r="A855" s="17">
        <v>44826</v>
      </c>
      <c r="B855">
        <v>0.5</v>
      </c>
      <c r="C855" s="17">
        <f t="shared" si="28"/>
        <v>44805</v>
      </c>
      <c r="D855">
        <f t="shared" si="29"/>
        <v>0</v>
      </c>
    </row>
    <row r="856" spans="1:4" x14ac:dyDescent="0.3">
      <c r="A856" s="17">
        <v>44825</v>
      </c>
      <c r="B856">
        <v>-0.5</v>
      </c>
      <c r="C856" s="17">
        <f t="shared" si="28"/>
        <v>44805</v>
      </c>
      <c r="D856">
        <f t="shared" si="29"/>
        <v>0</v>
      </c>
    </row>
    <row r="857" spans="1:4" x14ac:dyDescent="0.3">
      <c r="A857" s="17">
        <v>44824</v>
      </c>
      <c r="B857">
        <v>-0.3</v>
      </c>
      <c r="C857" s="17">
        <f t="shared" si="28"/>
        <v>44805</v>
      </c>
      <c r="D857">
        <f t="shared" si="29"/>
        <v>0</v>
      </c>
    </row>
    <row r="858" spans="1:4" x14ac:dyDescent="0.3">
      <c r="A858" s="17">
        <v>44823</v>
      </c>
      <c r="B858">
        <v>-0.05</v>
      </c>
      <c r="C858" s="17">
        <f t="shared" si="28"/>
        <v>44805</v>
      </c>
      <c r="D858">
        <f t="shared" si="29"/>
        <v>0</v>
      </c>
    </row>
    <row r="859" spans="1:4" x14ac:dyDescent="0.3">
      <c r="A859" s="17">
        <v>44820</v>
      </c>
      <c r="B859">
        <v>0</v>
      </c>
      <c r="C859" s="17">
        <f t="shared" si="28"/>
        <v>44805</v>
      </c>
      <c r="D859">
        <f t="shared" si="29"/>
        <v>0</v>
      </c>
    </row>
    <row r="860" spans="1:4" x14ac:dyDescent="0.3">
      <c r="A860" s="17">
        <v>44819</v>
      </c>
      <c r="B860">
        <v>-0.3</v>
      </c>
      <c r="C860" s="17">
        <f t="shared" si="28"/>
        <v>44805</v>
      </c>
      <c r="D860">
        <f t="shared" si="29"/>
        <v>0</v>
      </c>
    </row>
    <row r="861" spans="1:4" x14ac:dyDescent="0.3">
      <c r="A861" s="17">
        <v>44818</v>
      </c>
      <c r="B861">
        <v>-0.35</v>
      </c>
      <c r="C861" s="17">
        <f t="shared" si="28"/>
        <v>44805</v>
      </c>
      <c r="D861">
        <f t="shared" si="29"/>
        <v>0</v>
      </c>
    </row>
    <row r="862" spans="1:4" x14ac:dyDescent="0.3">
      <c r="A862" s="17">
        <v>44817</v>
      </c>
      <c r="B862">
        <v>-0.6</v>
      </c>
      <c r="C862" s="17">
        <f t="shared" si="28"/>
        <v>44805</v>
      </c>
      <c r="D862">
        <f t="shared" si="29"/>
        <v>0</v>
      </c>
    </row>
    <row r="863" spans="1:4" x14ac:dyDescent="0.3">
      <c r="A863" s="17">
        <v>44816</v>
      </c>
      <c r="B863">
        <v>-0.9</v>
      </c>
      <c r="C863" s="17">
        <f t="shared" si="28"/>
        <v>44805</v>
      </c>
      <c r="D863">
        <f t="shared" si="29"/>
        <v>0</v>
      </c>
    </row>
    <row r="864" spans="1:4" x14ac:dyDescent="0.3">
      <c r="A864" s="17">
        <v>44813</v>
      </c>
      <c r="B864">
        <v>-0.8</v>
      </c>
      <c r="C864" s="17">
        <f t="shared" si="28"/>
        <v>44805</v>
      </c>
      <c r="D864">
        <f t="shared" si="29"/>
        <v>0</v>
      </c>
    </row>
    <row r="865" spans="1:4" x14ac:dyDescent="0.3">
      <c r="A865" s="17">
        <v>44812</v>
      </c>
      <c r="B865">
        <v>-0.8</v>
      </c>
      <c r="C865" s="17">
        <f t="shared" si="28"/>
        <v>44805</v>
      </c>
      <c r="D865">
        <f t="shared" si="29"/>
        <v>0</v>
      </c>
    </row>
    <row r="866" spans="1:4" x14ac:dyDescent="0.3">
      <c r="A866" s="17">
        <v>44811</v>
      </c>
      <c r="B866">
        <v>-0.8</v>
      </c>
      <c r="C866" s="17">
        <f t="shared" si="28"/>
        <v>44805</v>
      </c>
      <c r="D866">
        <f t="shared" si="29"/>
        <v>0</v>
      </c>
    </row>
    <row r="867" spans="1:4" x14ac:dyDescent="0.3">
      <c r="A867" s="17">
        <v>44810</v>
      </c>
      <c r="B867">
        <v>-0.8</v>
      </c>
      <c r="C867" s="17">
        <f t="shared" si="28"/>
        <v>44805</v>
      </c>
      <c r="D867">
        <f t="shared" si="29"/>
        <v>0</v>
      </c>
    </row>
    <row r="868" spans="1:4" x14ac:dyDescent="0.3">
      <c r="A868" s="17">
        <v>44809</v>
      </c>
      <c r="B868">
        <v>-0.8</v>
      </c>
      <c r="C868" s="17">
        <f t="shared" si="28"/>
        <v>44805</v>
      </c>
      <c r="D868">
        <f t="shared" si="29"/>
        <v>0</v>
      </c>
    </row>
    <row r="869" spans="1:4" x14ac:dyDescent="0.3">
      <c r="A869" s="17">
        <v>44806</v>
      </c>
      <c r="B869">
        <v>-0.8</v>
      </c>
      <c r="C869" s="17">
        <f t="shared" si="28"/>
        <v>44805</v>
      </c>
      <c r="D869">
        <f t="shared" si="29"/>
        <v>1</v>
      </c>
    </row>
    <row r="870" spans="1:4" x14ac:dyDescent="0.3">
      <c r="A870" s="17">
        <v>44805</v>
      </c>
      <c r="B870">
        <v>-0.8</v>
      </c>
      <c r="C870" s="17">
        <f t="shared" si="28"/>
        <v>44805</v>
      </c>
      <c r="D870">
        <f t="shared" si="29"/>
        <v>1</v>
      </c>
    </row>
    <row r="871" spans="1:4" x14ac:dyDescent="0.3">
      <c r="A871" s="17">
        <v>44804</v>
      </c>
      <c r="B871">
        <v>-1.2</v>
      </c>
      <c r="C871" s="17">
        <f t="shared" si="28"/>
        <v>44774</v>
      </c>
      <c r="D871">
        <f t="shared" si="29"/>
        <v>0</v>
      </c>
    </row>
    <row r="872" spans="1:4" x14ac:dyDescent="0.3">
      <c r="A872" s="17">
        <v>44803</v>
      </c>
      <c r="B872">
        <v>-1.3</v>
      </c>
      <c r="C872" s="17">
        <f t="shared" si="28"/>
        <v>44774</v>
      </c>
      <c r="D872">
        <f t="shared" si="29"/>
        <v>0</v>
      </c>
    </row>
    <row r="873" spans="1:4" x14ac:dyDescent="0.3">
      <c r="A873" s="17">
        <v>44802</v>
      </c>
      <c r="B873">
        <v>-1.3</v>
      </c>
      <c r="C873" s="17">
        <f t="shared" si="28"/>
        <v>44774</v>
      </c>
      <c r="D873">
        <f t="shared" si="29"/>
        <v>0</v>
      </c>
    </row>
    <row r="874" spans="1:4" x14ac:dyDescent="0.3">
      <c r="A874" s="17">
        <v>44799</v>
      </c>
      <c r="B874">
        <v>-1.2</v>
      </c>
      <c r="C874" s="17">
        <f t="shared" si="28"/>
        <v>44774</v>
      </c>
      <c r="D874">
        <f t="shared" si="29"/>
        <v>0</v>
      </c>
    </row>
    <row r="875" spans="1:4" x14ac:dyDescent="0.3">
      <c r="A875" s="17">
        <v>44798</v>
      </c>
      <c r="B875">
        <v>-1.2</v>
      </c>
      <c r="C875" s="17">
        <f t="shared" si="28"/>
        <v>44774</v>
      </c>
      <c r="D875">
        <f t="shared" si="29"/>
        <v>0</v>
      </c>
    </row>
    <row r="876" spans="1:4" x14ac:dyDescent="0.3">
      <c r="A876" s="17">
        <v>44797</v>
      </c>
      <c r="B876">
        <v>-1.1000000000000001</v>
      </c>
      <c r="C876" s="17">
        <f t="shared" si="28"/>
        <v>44774</v>
      </c>
      <c r="D876">
        <f t="shared" si="29"/>
        <v>0</v>
      </c>
    </row>
    <row r="877" spans="1:4" x14ac:dyDescent="0.3">
      <c r="A877" s="17">
        <v>44796</v>
      </c>
      <c r="B877">
        <v>-1.1000000000000001</v>
      </c>
      <c r="C877" s="17">
        <f t="shared" si="28"/>
        <v>44774</v>
      </c>
      <c r="D877">
        <f t="shared" si="29"/>
        <v>0</v>
      </c>
    </row>
    <row r="878" spans="1:4" x14ac:dyDescent="0.3">
      <c r="A878" s="17">
        <v>44795</v>
      </c>
      <c r="B878">
        <v>-1</v>
      </c>
      <c r="C878" s="17">
        <f t="shared" si="28"/>
        <v>44774</v>
      </c>
      <c r="D878">
        <f t="shared" si="29"/>
        <v>0</v>
      </c>
    </row>
    <row r="879" spans="1:4" x14ac:dyDescent="0.3">
      <c r="A879" s="17">
        <v>44792</v>
      </c>
      <c r="B879">
        <v>-1</v>
      </c>
      <c r="C879" s="17">
        <f t="shared" si="28"/>
        <v>44774</v>
      </c>
      <c r="D879">
        <f t="shared" si="29"/>
        <v>0</v>
      </c>
    </row>
    <row r="880" spans="1:4" x14ac:dyDescent="0.3">
      <c r="A880" s="17">
        <v>44791</v>
      </c>
      <c r="B880">
        <v>-1</v>
      </c>
      <c r="C880" s="17">
        <f t="shared" si="28"/>
        <v>44774</v>
      </c>
      <c r="D880">
        <f t="shared" si="29"/>
        <v>0</v>
      </c>
    </row>
    <row r="881" spans="1:4" x14ac:dyDescent="0.3">
      <c r="A881" s="17">
        <v>44790</v>
      </c>
      <c r="B881">
        <v>-1</v>
      </c>
      <c r="C881" s="17">
        <f t="shared" si="28"/>
        <v>44774</v>
      </c>
      <c r="D881">
        <f t="shared" si="29"/>
        <v>0</v>
      </c>
    </row>
    <row r="882" spans="1:4" x14ac:dyDescent="0.3">
      <c r="A882" s="17">
        <v>44789</v>
      </c>
      <c r="B882">
        <v>-1</v>
      </c>
      <c r="C882" s="17">
        <f t="shared" si="28"/>
        <v>44774</v>
      </c>
      <c r="D882">
        <f t="shared" si="29"/>
        <v>0</v>
      </c>
    </row>
    <row r="883" spans="1:4" x14ac:dyDescent="0.3">
      <c r="A883" s="17">
        <v>44788</v>
      </c>
      <c r="B883">
        <v>-1.5</v>
      </c>
      <c r="C883" s="17">
        <f t="shared" si="28"/>
        <v>44774</v>
      </c>
      <c r="D883">
        <f t="shared" si="29"/>
        <v>0</v>
      </c>
    </row>
    <row r="884" spans="1:4" x14ac:dyDescent="0.3">
      <c r="A884" s="17">
        <v>44785</v>
      </c>
      <c r="B884">
        <v>-1.5</v>
      </c>
      <c r="C884" s="17">
        <f t="shared" si="28"/>
        <v>44774</v>
      </c>
      <c r="D884">
        <f t="shared" si="29"/>
        <v>0</v>
      </c>
    </row>
    <row r="885" spans="1:4" x14ac:dyDescent="0.3">
      <c r="A885" s="17">
        <v>44784</v>
      </c>
      <c r="B885">
        <v>-1.5</v>
      </c>
      <c r="C885" s="17">
        <f t="shared" si="28"/>
        <v>44774</v>
      </c>
      <c r="D885">
        <f t="shared" si="29"/>
        <v>0</v>
      </c>
    </row>
    <row r="886" spans="1:4" x14ac:dyDescent="0.3">
      <c r="A886" s="17">
        <v>44783</v>
      </c>
      <c r="B886">
        <v>-0.75</v>
      </c>
      <c r="C886" s="17">
        <f t="shared" si="28"/>
        <v>44774</v>
      </c>
      <c r="D886">
        <f t="shared" si="29"/>
        <v>0</v>
      </c>
    </row>
    <row r="887" spans="1:4" x14ac:dyDescent="0.3">
      <c r="A887" s="17">
        <v>44781</v>
      </c>
      <c r="B887">
        <v>-0.75</v>
      </c>
      <c r="C887" s="17">
        <f t="shared" si="28"/>
        <v>44774</v>
      </c>
      <c r="D887">
        <f t="shared" si="29"/>
        <v>0</v>
      </c>
    </row>
    <row r="888" spans="1:4" x14ac:dyDescent="0.3">
      <c r="A888" s="17">
        <v>44778</v>
      </c>
      <c r="B888">
        <v>-0.6</v>
      </c>
      <c r="C888" s="17">
        <f t="shared" si="28"/>
        <v>44774</v>
      </c>
      <c r="D888">
        <f t="shared" si="29"/>
        <v>0</v>
      </c>
    </row>
    <row r="889" spans="1:4" x14ac:dyDescent="0.3">
      <c r="A889" s="17">
        <v>44777</v>
      </c>
      <c r="B889">
        <v>-1.1000000000000001</v>
      </c>
      <c r="C889" s="17">
        <f t="shared" si="28"/>
        <v>44774</v>
      </c>
      <c r="D889">
        <f t="shared" si="29"/>
        <v>1</v>
      </c>
    </row>
    <row r="890" spans="1:4" x14ac:dyDescent="0.3">
      <c r="A890" s="17">
        <v>44776</v>
      </c>
      <c r="B890">
        <v>-1</v>
      </c>
      <c r="C890" s="17">
        <f t="shared" si="28"/>
        <v>44774</v>
      </c>
      <c r="D890">
        <f t="shared" si="29"/>
        <v>1</v>
      </c>
    </row>
    <row r="891" spans="1:4" x14ac:dyDescent="0.3">
      <c r="A891" s="17">
        <v>44775</v>
      </c>
      <c r="B891">
        <v>-1.5</v>
      </c>
      <c r="C891" s="17">
        <f t="shared" si="28"/>
        <v>44774</v>
      </c>
      <c r="D891">
        <f t="shared" si="29"/>
        <v>1</v>
      </c>
    </row>
    <row r="892" spans="1:4" x14ac:dyDescent="0.3">
      <c r="A892" s="17">
        <v>44774</v>
      </c>
      <c r="B892">
        <v>-1.25</v>
      </c>
      <c r="C892" s="17">
        <f t="shared" si="28"/>
        <v>44774</v>
      </c>
      <c r="D892">
        <f t="shared" si="29"/>
        <v>1</v>
      </c>
    </row>
    <row r="893" spans="1:4" x14ac:dyDescent="0.3">
      <c r="A893" s="17">
        <v>44771</v>
      </c>
      <c r="B893">
        <v>-0.5</v>
      </c>
      <c r="C893" s="17">
        <f t="shared" si="28"/>
        <v>44743</v>
      </c>
      <c r="D893">
        <f t="shared" si="29"/>
        <v>0</v>
      </c>
    </row>
    <row r="894" spans="1:4" x14ac:dyDescent="0.3">
      <c r="A894" s="17">
        <v>44770</v>
      </c>
      <c r="B894">
        <v>-0.5</v>
      </c>
      <c r="C894" s="17">
        <f t="shared" si="28"/>
        <v>44743</v>
      </c>
      <c r="D894">
        <f t="shared" si="29"/>
        <v>0</v>
      </c>
    </row>
    <row r="895" spans="1:4" x14ac:dyDescent="0.3">
      <c r="A895" s="17">
        <v>44769</v>
      </c>
      <c r="B895">
        <v>-0.5</v>
      </c>
      <c r="C895" s="17">
        <f t="shared" si="28"/>
        <v>44743</v>
      </c>
      <c r="D895">
        <f t="shared" si="29"/>
        <v>0</v>
      </c>
    </row>
    <row r="896" spans="1:4" x14ac:dyDescent="0.3">
      <c r="A896" s="17">
        <v>44768</v>
      </c>
      <c r="B896">
        <v>0.6</v>
      </c>
      <c r="C896" s="17">
        <f t="shared" si="28"/>
        <v>44743</v>
      </c>
      <c r="D896">
        <f t="shared" si="29"/>
        <v>0</v>
      </c>
    </row>
    <row r="897" spans="1:4" x14ac:dyDescent="0.3">
      <c r="A897" s="17">
        <v>44767</v>
      </c>
      <c r="B897">
        <v>0.6</v>
      </c>
      <c r="C897" s="17">
        <f t="shared" si="28"/>
        <v>44743</v>
      </c>
      <c r="D897">
        <f t="shared" si="29"/>
        <v>0</v>
      </c>
    </row>
    <row r="898" spans="1:4" x14ac:dyDescent="0.3">
      <c r="A898" s="17">
        <v>44764</v>
      </c>
      <c r="B898">
        <v>0.6</v>
      </c>
      <c r="C898" s="17">
        <f t="shared" si="28"/>
        <v>44743</v>
      </c>
      <c r="D898">
        <f t="shared" si="29"/>
        <v>0</v>
      </c>
    </row>
    <row r="899" spans="1:4" x14ac:dyDescent="0.3">
      <c r="A899" s="17">
        <v>44763</v>
      </c>
      <c r="B899">
        <v>0.6</v>
      </c>
      <c r="C899" s="17">
        <f t="shared" si="28"/>
        <v>44743</v>
      </c>
      <c r="D899">
        <f t="shared" si="29"/>
        <v>0</v>
      </c>
    </row>
    <row r="900" spans="1:4" x14ac:dyDescent="0.3">
      <c r="A900" s="17">
        <v>44762</v>
      </c>
      <c r="B900">
        <v>0.6</v>
      </c>
      <c r="C900" s="17">
        <f t="shared" si="28"/>
        <v>44743</v>
      </c>
      <c r="D900">
        <f t="shared" si="29"/>
        <v>0</v>
      </c>
    </row>
    <row r="901" spans="1:4" x14ac:dyDescent="0.3">
      <c r="A901" s="17">
        <v>44761</v>
      </c>
      <c r="B901">
        <v>0.6</v>
      </c>
      <c r="C901" s="17">
        <f t="shared" si="28"/>
        <v>44743</v>
      </c>
      <c r="D901">
        <f t="shared" si="29"/>
        <v>0</v>
      </c>
    </row>
    <row r="902" spans="1:4" x14ac:dyDescent="0.3">
      <c r="A902" s="17">
        <v>44760</v>
      </c>
      <c r="B902">
        <v>0.6</v>
      </c>
      <c r="C902" s="17">
        <f t="shared" ref="C902:C965" si="30">+DATE(+YEAR(A902),+MONTH(A902),1)</f>
        <v>44743</v>
      </c>
      <c r="D902">
        <f t="shared" ref="D902:D965" si="31">IF(AND(+DAY(A902)&gt;=1,+DAY(A902)&lt;= 4), 1, 0)</f>
        <v>0</v>
      </c>
    </row>
    <row r="903" spans="1:4" x14ac:dyDescent="0.3">
      <c r="A903" s="17">
        <v>44757</v>
      </c>
      <c r="B903">
        <v>0.6</v>
      </c>
      <c r="C903" s="17">
        <f t="shared" si="30"/>
        <v>44743</v>
      </c>
      <c r="D903">
        <f t="shared" si="31"/>
        <v>0</v>
      </c>
    </row>
    <row r="904" spans="1:4" x14ac:dyDescent="0.3">
      <c r="A904" s="17">
        <v>44756</v>
      </c>
      <c r="B904">
        <v>0.2</v>
      </c>
      <c r="C904" s="17">
        <f t="shared" si="30"/>
        <v>44743</v>
      </c>
      <c r="D904">
        <f t="shared" si="31"/>
        <v>0</v>
      </c>
    </row>
    <row r="905" spans="1:4" x14ac:dyDescent="0.3">
      <c r="A905" s="17">
        <v>44755</v>
      </c>
      <c r="B905">
        <v>-0.1</v>
      </c>
      <c r="C905" s="17">
        <f t="shared" si="30"/>
        <v>44743</v>
      </c>
      <c r="D905">
        <f t="shared" si="31"/>
        <v>0</v>
      </c>
    </row>
    <row r="906" spans="1:4" x14ac:dyDescent="0.3">
      <c r="A906" s="17">
        <v>44754</v>
      </c>
      <c r="B906">
        <v>0.5</v>
      </c>
      <c r="C906" s="17">
        <f t="shared" si="30"/>
        <v>44743</v>
      </c>
      <c r="D906">
        <f t="shared" si="31"/>
        <v>0</v>
      </c>
    </row>
    <row r="907" spans="1:4" x14ac:dyDescent="0.3">
      <c r="A907" s="17">
        <v>44750</v>
      </c>
      <c r="B907">
        <v>0.75</v>
      </c>
      <c r="C907" s="17">
        <f t="shared" si="30"/>
        <v>44743</v>
      </c>
      <c r="D907">
        <f t="shared" si="31"/>
        <v>0</v>
      </c>
    </row>
    <row r="908" spans="1:4" x14ac:dyDescent="0.3">
      <c r="A908" s="17">
        <v>44749</v>
      </c>
      <c r="B908">
        <v>0.5</v>
      </c>
      <c r="C908" s="17">
        <f t="shared" si="30"/>
        <v>44743</v>
      </c>
      <c r="D908">
        <f t="shared" si="31"/>
        <v>0</v>
      </c>
    </row>
    <row r="909" spans="1:4" x14ac:dyDescent="0.3">
      <c r="A909" s="17">
        <v>44748</v>
      </c>
      <c r="B909">
        <v>0.5</v>
      </c>
      <c r="C909" s="17">
        <f t="shared" si="30"/>
        <v>44743</v>
      </c>
      <c r="D909">
        <f t="shared" si="31"/>
        <v>0</v>
      </c>
    </row>
    <row r="910" spans="1:4" x14ac:dyDescent="0.3">
      <c r="A910" s="17">
        <v>44747</v>
      </c>
      <c r="B910">
        <v>0.25</v>
      </c>
      <c r="C910" s="17">
        <f t="shared" si="30"/>
        <v>44743</v>
      </c>
      <c r="D910">
        <f t="shared" si="31"/>
        <v>0</v>
      </c>
    </row>
    <row r="911" spans="1:4" x14ac:dyDescent="0.3">
      <c r="A911" s="17">
        <v>44746</v>
      </c>
      <c r="B911">
        <v>0.25</v>
      </c>
      <c r="C911" s="17">
        <f t="shared" si="30"/>
        <v>44743</v>
      </c>
      <c r="D911">
        <f t="shared" si="31"/>
        <v>1</v>
      </c>
    </row>
    <row r="912" spans="1:4" x14ac:dyDescent="0.3">
      <c r="A912" s="17">
        <v>44743</v>
      </c>
      <c r="B912">
        <v>0.25</v>
      </c>
      <c r="C912" s="17">
        <f t="shared" si="30"/>
        <v>44743</v>
      </c>
      <c r="D912">
        <f t="shared" si="31"/>
        <v>1</v>
      </c>
    </row>
    <row r="913" spans="1:4" x14ac:dyDescent="0.3">
      <c r="A913" s="17">
        <v>44742</v>
      </c>
      <c r="B913">
        <v>0.35</v>
      </c>
      <c r="C913" s="17">
        <f t="shared" si="30"/>
        <v>44713</v>
      </c>
      <c r="D913">
        <f t="shared" si="31"/>
        <v>0</v>
      </c>
    </row>
    <row r="914" spans="1:4" x14ac:dyDescent="0.3">
      <c r="A914" s="17">
        <v>44741</v>
      </c>
      <c r="B914">
        <v>0.35</v>
      </c>
      <c r="C914" s="17">
        <f t="shared" si="30"/>
        <v>44713</v>
      </c>
      <c r="D914">
        <f t="shared" si="31"/>
        <v>0</v>
      </c>
    </row>
    <row r="915" spans="1:4" x14ac:dyDescent="0.3">
      <c r="A915" s="17">
        <v>44740</v>
      </c>
      <c r="B915">
        <v>0.35</v>
      </c>
      <c r="C915" s="17">
        <f t="shared" si="30"/>
        <v>44713</v>
      </c>
      <c r="D915">
        <f t="shared" si="31"/>
        <v>0</v>
      </c>
    </row>
    <row r="916" spans="1:4" x14ac:dyDescent="0.3">
      <c r="A916" s="17">
        <v>44739</v>
      </c>
      <c r="B916">
        <v>0.1</v>
      </c>
      <c r="C916" s="17">
        <f t="shared" si="30"/>
        <v>44713</v>
      </c>
      <c r="D916">
        <f t="shared" si="31"/>
        <v>0</v>
      </c>
    </row>
    <row r="917" spans="1:4" x14ac:dyDescent="0.3">
      <c r="A917" s="17">
        <v>44736</v>
      </c>
      <c r="B917">
        <v>0.1</v>
      </c>
      <c r="C917" s="17">
        <f t="shared" si="30"/>
        <v>44713</v>
      </c>
      <c r="D917">
        <f t="shared" si="31"/>
        <v>0</v>
      </c>
    </row>
    <row r="918" spans="1:4" x14ac:dyDescent="0.3">
      <c r="A918" s="17">
        <v>44735</v>
      </c>
      <c r="B918">
        <v>0.1</v>
      </c>
      <c r="C918" s="17">
        <f t="shared" si="30"/>
        <v>44713</v>
      </c>
      <c r="D918">
        <f t="shared" si="31"/>
        <v>0</v>
      </c>
    </row>
    <row r="919" spans="1:4" x14ac:dyDescent="0.3">
      <c r="A919" s="17">
        <v>44734</v>
      </c>
      <c r="B919">
        <v>0.1</v>
      </c>
      <c r="C919" s="17">
        <f t="shared" si="30"/>
        <v>44713</v>
      </c>
      <c r="D919">
        <f t="shared" si="31"/>
        <v>0</v>
      </c>
    </row>
    <row r="920" spans="1:4" x14ac:dyDescent="0.3">
      <c r="A920" s="17">
        <v>44733</v>
      </c>
      <c r="B920">
        <v>0.1</v>
      </c>
      <c r="C920" s="17">
        <f t="shared" si="30"/>
        <v>44713</v>
      </c>
      <c r="D920">
        <f t="shared" si="31"/>
        <v>0</v>
      </c>
    </row>
    <row r="921" spans="1:4" x14ac:dyDescent="0.3">
      <c r="A921" s="17">
        <v>44732</v>
      </c>
      <c r="B921">
        <v>0.1</v>
      </c>
      <c r="C921" s="17">
        <f t="shared" si="30"/>
        <v>44713</v>
      </c>
      <c r="D921">
        <f t="shared" si="31"/>
        <v>0</v>
      </c>
    </row>
    <row r="922" spans="1:4" x14ac:dyDescent="0.3">
      <c r="A922" s="17">
        <v>44729</v>
      </c>
      <c r="B922">
        <v>0.15</v>
      </c>
      <c r="C922" s="17">
        <f t="shared" si="30"/>
        <v>44713</v>
      </c>
      <c r="D922">
        <f t="shared" si="31"/>
        <v>0</v>
      </c>
    </row>
    <row r="923" spans="1:4" x14ac:dyDescent="0.3">
      <c r="A923" s="17">
        <v>44728</v>
      </c>
      <c r="B923">
        <v>0.3</v>
      </c>
      <c r="C923" s="17">
        <f t="shared" si="30"/>
        <v>44713</v>
      </c>
      <c r="D923">
        <f t="shared" si="31"/>
        <v>0</v>
      </c>
    </row>
    <row r="924" spans="1:4" x14ac:dyDescent="0.3">
      <c r="A924" s="17">
        <v>44727</v>
      </c>
      <c r="B924">
        <v>0.4</v>
      </c>
      <c r="C924" s="17">
        <f t="shared" si="30"/>
        <v>44713</v>
      </c>
      <c r="D924">
        <f t="shared" si="31"/>
        <v>0</v>
      </c>
    </row>
    <row r="925" spans="1:4" x14ac:dyDescent="0.3">
      <c r="A925" s="17">
        <v>44726</v>
      </c>
      <c r="B925">
        <v>0.4</v>
      </c>
      <c r="C925" s="17">
        <f t="shared" si="30"/>
        <v>44713</v>
      </c>
      <c r="D925">
        <f t="shared" si="31"/>
        <v>0</v>
      </c>
    </row>
    <row r="926" spans="1:4" x14ac:dyDescent="0.3">
      <c r="A926" s="17">
        <v>44725</v>
      </c>
      <c r="B926">
        <v>0.4</v>
      </c>
      <c r="C926" s="17">
        <f t="shared" si="30"/>
        <v>44713</v>
      </c>
      <c r="D926">
        <f t="shared" si="31"/>
        <v>0</v>
      </c>
    </row>
    <row r="927" spans="1:4" x14ac:dyDescent="0.3">
      <c r="A927" s="17">
        <v>44722</v>
      </c>
      <c r="B927">
        <v>0.2</v>
      </c>
      <c r="C927" s="17">
        <f t="shared" si="30"/>
        <v>44713</v>
      </c>
      <c r="D927">
        <f t="shared" si="31"/>
        <v>0</v>
      </c>
    </row>
    <row r="928" spans="1:4" x14ac:dyDescent="0.3">
      <c r="A928" s="17">
        <v>44721</v>
      </c>
      <c r="B928">
        <v>0.2</v>
      </c>
      <c r="C928" s="17">
        <f t="shared" si="30"/>
        <v>44713</v>
      </c>
      <c r="D928">
        <f t="shared" si="31"/>
        <v>0</v>
      </c>
    </row>
    <row r="929" spans="1:4" x14ac:dyDescent="0.3">
      <c r="A929" s="17">
        <v>44720</v>
      </c>
      <c r="B929">
        <v>0.2</v>
      </c>
      <c r="C929" s="17">
        <f t="shared" si="30"/>
        <v>44713</v>
      </c>
      <c r="D929">
        <f t="shared" si="31"/>
        <v>0</v>
      </c>
    </row>
    <row r="930" spans="1:4" x14ac:dyDescent="0.3">
      <c r="A930" s="17">
        <v>44719</v>
      </c>
      <c r="B930">
        <v>0.2</v>
      </c>
      <c r="C930" s="17">
        <f t="shared" si="30"/>
        <v>44713</v>
      </c>
      <c r="D930">
        <f t="shared" si="31"/>
        <v>0</v>
      </c>
    </row>
    <row r="931" spans="1:4" x14ac:dyDescent="0.3">
      <c r="A931" s="17">
        <v>44718</v>
      </c>
      <c r="B931">
        <v>0.2</v>
      </c>
      <c r="C931" s="17">
        <f t="shared" si="30"/>
        <v>44713</v>
      </c>
      <c r="D931">
        <f t="shared" si="31"/>
        <v>0</v>
      </c>
    </row>
    <row r="932" spans="1:4" x14ac:dyDescent="0.3">
      <c r="A932" s="17">
        <v>44715</v>
      </c>
      <c r="B932">
        <v>1.25</v>
      </c>
      <c r="C932" s="17">
        <f t="shared" si="30"/>
        <v>44713</v>
      </c>
      <c r="D932">
        <f t="shared" si="31"/>
        <v>1</v>
      </c>
    </row>
    <row r="933" spans="1:4" x14ac:dyDescent="0.3">
      <c r="A933" s="17">
        <v>44714</v>
      </c>
      <c r="B933">
        <v>1.5</v>
      </c>
      <c r="C933" s="17">
        <f t="shared" si="30"/>
        <v>44713</v>
      </c>
      <c r="D933">
        <f t="shared" si="31"/>
        <v>1</v>
      </c>
    </row>
    <row r="934" spans="1:4" x14ac:dyDescent="0.3">
      <c r="A934" s="17">
        <v>44713</v>
      </c>
      <c r="B934">
        <v>1.75</v>
      </c>
      <c r="C934" s="17">
        <f t="shared" si="30"/>
        <v>44713</v>
      </c>
      <c r="D934">
        <f t="shared" si="31"/>
        <v>1</v>
      </c>
    </row>
    <row r="935" spans="1:4" x14ac:dyDescent="0.3">
      <c r="A935" s="17">
        <v>44712</v>
      </c>
      <c r="B935">
        <v>0.25</v>
      </c>
      <c r="C935" s="17">
        <f t="shared" si="30"/>
        <v>44682</v>
      </c>
      <c r="D935">
        <f t="shared" si="31"/>
        <v>0</v>
      </c>
    </row>
    <row r="936" spans="1:4" x14ac:dyDescent="0.3">
      <c r="A936" s="17">
        <v>44711</v>
      </c>
      <c r="B936">
        <v>0.15</v>
      </c>
      <c r="C936" s="17">
        <f t="shared" si="30"/>
        <v>44682</v>
      </c>
      <c r="D936">
        <f t="shared" si="31"/>
        <v>0</v>
      </c>
    </row>
    <row r="937" spans="1:4" x14ac:dyDescent="0.3">
      <c r="A937" s="17">
        <v>44708</v>
      </c>
      <c r="B937">
        <v>0.15</v>
      </c>
      <c r="C937" s="17">
        <f t="shared" si="30"/>
        <v>44682</v>
      </c>
      <c r="D937">
        <f t="shared" si="31"/>
        <v>0</v>
      </c>
    </row>
    <row r="938" spans="1:4" x14ac:dyDescent="0.3">
      <c r="A938" s="17">
        <v>44707</v>
      </c>
      <c r="B938">
        <v>0.05</v>
      </c>
      <c r="C938" s="17">
        <f t="shared" si="30"/>
        <v>44682</v>
      </c>
      <c r="D938">
        <f t="shared" si="31"/>
        <v>0</v>
      </c>
    </row>
    <row r="939" spans="1:4" x14ac:dyDescent="0.3">
      <c r="A939" s="17">
        <v>44706</v>
      </c>
      <c r="B939">
        <v>0.15</v>
      </c>
      <c r="C939" s="17">
        <f t="shared" si="30"/>
        <v>44682</v>
      </c>
      <c r="D939">
        <f t="shared" si="31"/>
        <v>0</v>
      </c>
    </row>
    <row r="940" spans="1:4" x14ac:dyDescent="0.3">
      <c r="A940" s="17">
        <v>44705</v>
      </c>
      <c r="B940">
        <v>0.2</v>
      </c>
      <c r="C940" s="17">
        <f t="shared" si="30"/>
        <v>44682</v>
      </c>
      <c r="D940">
        <f t="shared" si="31"/>
        <v>0</v>
      </c>
    </row>
    <row r="941" spans="1:4" x14ac:dyDescent="0.3">
      <c r="A941" s="17">
        <v>44704</v>
      </c>
      <c r="B941">
        <v>0.25</v>
      </c>
      <c r="C941" s="17">
        <f t="shared" si="30"/>
        <v>44682</v>
      </c>
      <c r="D941">
        <f t="shared" si="31"/>
        <v>0</v>
      </c>
    </row>
    <row r="942" spans="1:4" x14ac:dyDescent="0.3">
      <c r="A942" s="17">
        <v>44701</v>
      </c>
      <c r="B942">
        <v>0.25</v>
      </c>
      <c r="C942" s="17">
        <f t="shared" si="30"/>
        <v>44682</v>
      </c>
      <c r="D942">
        <f t="shared" si="31"/>
        <v>0</v>
      </c>
    </row>
    <row r="943" spans="1:4" x14ac:dyDescent="0.3">
      <c r="A943" s="17">
        <v>44700</v>
      </c>
      <c r="B943">
        <v>0.3</v>
      </c>
      <c r="C943" s="17">
        <f t="shared" si="30"/>
        <v>44682</v>
      </c>
      <c r="D943">
        <f t="shared" si="31"/>
        <v>0</v>
      </c>
    </row>
    <row r="944" spans="1:4" x14ac:dyDescent="0.3">
      <c r="A944" s="17">
        <v>44699</v>
      </c>
      <c r="B944">
        <v>0.25</v>
      </c>
      <c r="C944" s="17">
        <f t="shared" si="30"/>
        <v>44682</v>
      </c>
      <c r="D944">
        <f t="shared" si="31"/>
        <v>0</v>
      </c>
    </row>
    <row r="945" spans="1:4" x14ac:dyDescent="0.3">
      <c r="A945" s="17">
        <v>44698</v>
      </c>
      <c r="B945">
        <v>0.2</v>
      </c>
      <c r="C945" s="17">
        <f t="shared" si="30"/>
        <v>44682</v>
      </c>
      <c r="D945">
        <f t="shared" si="31"/>
        <v>0</v>
      </c>
    </row>
    <row r="946" spans="1:4" x14ac:dyDescent="0.3">
      <c r="A946" s="17">
        <v>44694</v>
      </c>
      <c r="B946">
        <v>0</v>
      </c>
      <c r="C946" s="17">
        <f t="shared" si="30"/>
        <v>44682</v>
      </c>
      <c r="D946">
        <f t="shared" si="31"/>
        <v>0</v>
      </c>
    </row>
    <row r="947" spans="1:4" x14ac:dyDescent="0.3">
      <c r="A947" s="17">
        <v>44693</v>
      </c>
      <c r="B947">
        <v>-0.2</v>
      </c>
      <c r="C947" s="17">
        <f t="shared" si="30"/>
        <v>44682</v>
      </c>
      <c r="D947">
        <f t="shared" si="31"/>
        <v>0</v>
      </c>
    </row>
    <row r="948" spans="1:4" x14ac:dyDescent="0.3">
      <c r="A948" s="17">
        <v>44692</v>
      </c>
      <c r="B948">
        <v>-0.4</v>
      </c>
      <c r="C948" s="17">
        <f t="shared" si="30"/>
        <v>44682</v>
      </c>
      <c r="D948">
        <f t="shared" si="31"/>
        <v>0</v>
      </c>
    </row>
    <row r="949" spans="1:4" x14ac:dyDescent="0.3">
      <c r="A949" s="17">
        <v>44691</v>
      </c>
      <c r="B949">
        <v>-0.6</v>
      </c>
      <c r="C949" s="17">
        <f t="shared" si="30"/>
        <v>44682</v>
      </c>
      <c r="D949">
        <f t="shared" si="31"/>
        <v>0</v>
      </c>
    </row>
    <row r="950" spans="1:4" x14ac:dyDescent="0.3">
      <c r="A950" s="17">
        <v>44690</v>
      </c>
      <c r="B950">
        <v>-0.6</v>
      </c>
      <c r="C950" s="17">
        <f t="shared" si="30"/>
        <v>44682</v>
      </c>
      <c r="D950">
        <f t="shared" si="31"/>
        <v>0</v>
      </c>
    </row>
    <row r="951" spans="1:4" x14ac:dyDescent="0.3">
      <c r="A951" s="17">
        <v>44687</v>
      </c>
      <c r="B951">
        <v>-0.6</v>
      </c>
      <c r="C951" s="17">
        <f t="shared" si="30"/>
        <v>44682</v>
      </c>
      <c r="D951">
        <f t="shared" si="31"/>
        <v>0</v>
      </c>
    </row>
    <row r="952" spans="1:4" x14ac:dyDescent="0.3">
      <c r="A952" s="17">
        <v>44686</v>
      </c>
      <c r="B952">
        <v>-0.9</v>
      </c>
      <c r="C952" s="17">
        <f t="shared" si="30"/>
        <v>44682</v>
      </c>
      <c r="D952">
        <f t="shared" si="31"/>
        <v>0</v>
      </c>
    </row>
    <row r="953" spans="1:4" x14ac:dyDescent="0.3">
      <c r="A953" s="17">
        <v>44685</v>
      </c>
      <c r="B953">
        <v>-1</v>
      </c>
      <c r="C953" s="17">
        <f t="shared" si="30"/>
        <v>44682</v>
      </c>
      <c r="D953">
        <f t="shared" si="31"/>
        <v>1</v>
      </c>
    </row>
    <row r="954" spans="1:4" x14ac:dyDescent="0.3">
      <c r="A954" s="17">
        <v>44680</v>
      </c>
      <c r="B954">
        <v>-3.3</v>
      </c>
      <c r="C954" s="17">
        <f t="shared" si="30"/>
        <v>44652</v>
      </c>
      <c r="D954">
        <f t="shared" si="31"/>
        <v>0</v>
      </c>
    </row>
    <row r="955" spans="1:4" x14ac:dyDescent="0.3">
      <c r="A955" s="17">
        <v>44679</v>
      </c>
      <c r="B955">
        <v>-3.2</v>
      </c>
      <c r="C955" s="17">
        <f t="shared" si="30"/>
        <v>44652</v>
      </c>
      <c r="D955">
        <f t="shared" si="31"/>
        <v>0</v>
      </c>
    </row>
    <row r="956" spans="1:4" x14ac:dyDescent="0.3">
      <c r="A956" s="17">
        <v>44678</v>
      </c>
      <c r="B956">
        <v>-3.2</v>
      </c>
      <c r="C956" s="17">
        <f t="shared" si="30"/>
        <v>44652</v>
      </c>
      <c r="D956">
        <f t="shared" si="31"/>
        <v>0</v>
      </c>
    </row>
    <row r="957" spans="1:4" x14ac:dyDescent="0.3">
      <c r="A957" s="17">
        <v>44677</v>
      </c>
      <c r="B957">
        <v>-3.2</v>
      </c>
      <c r="C957" s="17">
        <f t="shared" si="30"/>
        <v>44652</v>
      </c>
      <c r="D957">
        <f t="shared" si="31"/>
        <v>0</v>
      </c>
    </row>
    <row r="958" spans="1:4" x14ac:dyDescent="0.3">
      <c r="A958" s="17">
        <v>44676</v>
      </c>
      <c r="B958">
        <v>-3</v>
      </c>
      <c r="C958" s="17">
        <f t="shared" si="30"/>
        <v>44652</v>
      </c>
      <c r="D958">
        <f t="shared" si="31"/>
        <v>0</v>
      </c>
    </row>
    <row r="959" spans="1:4" x14ac:dyDescent="0.3">
      <c r="A959" s="17">
        <v>44673</v>
      </c>
      <c r="B959">
        <v>-3</v>
      </c>
      <c r="C959" s="17">
        <f t="shared" si="30"/>
        <v>44652</v>
      </c>
      <c r="D959">
        <f t="shared" si="31"/>
        <v>0</v>
      </c>
    </row>
    <row r="960" spans="1:4" x14ac:dyDescent="0.3">
      <c r="A960" s="17">
        <v>44672</v>
      </c>
      <c r="B960">
        <v>-3</v>
      </c>
      <c r="C960" s="17">
        <f t="shared" si="30"/>
        <v>44652</v>
      </c>
      <c r="D960">
        <f t="shared" si="31"/>
        <v>0</v>
      </c>
    </row>
    <row r="961" spans="1:4" x14ac:dyDescent="0.3">
      <c r="A961" s="17">
        <v>44671</v>
      </c>
      <c r="B961">
        <v>-3</v>
      </c>
      <c r="C961" s="17">
        <f t="shared" si="30"/>
        <v>44652</v>
      </c>
      <c r="D961">
        <f t="shared" si="31"/>
        <v>0</v>
      </c>
    </row>
    <row r="962" spans="1:4" x14ac:dyDescent="0.3">
      <c r="A962" s="17">
        <v>44670</v>
      </c>
      <c r="B962">
        <v>-3</v>
      </c>
      <c r="C962" s="17">
        <f t="shared" si="30"/>
        <v>44652</v>
      </c>
      <c r="D962">
        <f t="shared" si="31"/>
        <v>0</v>
      </c>
    </row>
    <row r="963" spans="1:4" x14ac:dyDescent="0.3">
      <c r="A963" s="17">
        <v>44669</v>
      </c>
      <c r="B963">
        <v>-3</v>
      </c>
      <c r="C963" s="17">
        <f t="shared" si="30"/>
        <v>44652</v>
      </c>
      <c r="D963">
        <f t="shared" si="31"/>
        <v>0</v>
      </c>
    </row>
    <row r="964" spans="1:4" x14ac:dyDescent="0.3">
      <c r="A964" s="17">
        <v>44665</v>
      </c>
      <c r="B964">
        <v>-2.85</v>
      </c>
      <c r="C964" s="17">
        <f t="shared" si="30"/>
        <v>44652</v>
      </c>
      <c r="D964">
        <f t="shared" si="31"/>
        <v>0</v>
      </c>
    </row>
    <row r="965" spans="1:4" x14ac:dyDescent="0.3">
      <c r="A965" s="17">
        <v>44664</v>
      </c>
      <c r="B965">
        <v>-3.75</v>
      </c>
      <c r="C965" s="17">
        <f t="shared" si="30"/>
        <v>44652</v>
      </c>
      <c r="D965">
        <f t="shared" si="31"/>
        <v>0</v>
      </c>
    </row>
    <row r="966" spans="1:4" x14ac:dyDescent="0.3">
      <c r="A966" s="17">
        <v>44663</v>
      </c>
      <c r="B966">
        <v>-3.85</v>
      </c>
      <c r="C966" s="17">
        <f t="shared" ref="C966:C1029" si="32">+DATE(+YEAR(A966),+MONTH(A966),1)</f>
        <v>44652</v>
      </c>
      <c r="D966">
        <f t="shared" ref="D966:D1029" si="33">IF(AND(+DAY(A966)&gt;=1,+DAY(A966)&lt;= 4), 1, 0)</f>
        <v>0</v>
      </c>
    </row>
    <row r="967" spans="1:4" x14ac:dyDescent="0.3">
      <c r="A967" s="17">
        <v>44662</v>
      </c>
      <c r="B967">
        <v>-3.5</v>
      </c>
      <c r="C967" s="17">
        <f t="shared" si="32"/>
        <v>44652</v>
      </c>
      <c r="D967">
        <f t="shared" si="33"/>
        <v>0</v>
      </c>
    </row>
    <row r="968" spans="1:4" x14ac:dyDescent="0.3">
      <c r="A968" s="17">
        <v>44659</v>
      </c>
      <c r="B968">
        <v>-3.5</v>
      </c>
      <c r="C968" s="17">
        <f t="shared" si="32"/>
        <v>44652</v>
      </c>
      <c r="D968">
        <f t="shared" si="33"/>
        <v>0</v>
      </c>
    </row>
    <row r="969" spans="1:4" x14ac:dyDescent="0.3">
      <c r="A969" s="17">
        <v>44658</v>
      </c>
      <c r="B969">
        <v>-3.25</v>
      </c>
      <c r="C969" s="17">
        <f t="shared" si="32"/>
        <v>44652</v>
      </c>
      <c r="D969">
        <f t="shared" si="33"/>
        <v>0</v>
      </c>
    </row>
    <row r="970" spans="1:4" x14ac:dyDescent="0.3">
      <c r="A970" s="17">
        <v>44657</v>
      </c>
      <c r="B970">
        <v>-2.75</v>
      </c>
      <c r="C970" s="17">
        <f t="shared" si="32"/>
        <v>44652</v>
      </c>
      <c r="D970">
        <f t="shared" si="33"/>
        <v>0</v>
      </c>
    </row>
    <row r="971" spans="1:4" x14ac:dyDescent="0.3">
      <c r="A971" s="17">
        <v>44656</v>
      </c>
      <c r="B971">
        <v>-2.5</v>
      </c>
      <c r="C971" s="17">
        <f t="shared" si="32"/>
        <v>44652</v>
      </c>
      <c r="D971">
        <f t="shared" si="33"/>
        <v>0</v>
      </c>
    </row>
    <row r="972" spans="1:4" x14ac:dyDescent="0.3">
      <c r="A972" s="17">
        <v>44655</v>
      </c>
      <c r="B972">
        <v>-2</v>
      </c>
      <c r="C972" s="17">
        <f t="shared" si="32"/>
        <v>44652</v>
      </c>
      <c r="D972">
        <f t="shared" si="33"/>
        <v>1</v>
      </c>
    </row>
    <row r="973" spans="1:4" x14ac:dyDescent="0.3">
      <c r="A973" s="17">
        <v>44652</v>
      </c>
      <c r="B973">
        <v>-1.05</v>
      </c>
      <c r="C973" s="17">
        <f t="shared" si="32"/>
        <v>44652</v>
      </c>
      <c r="D973">
        <f t="shared" si="33"/>
        <v>1</v>
      </c>
    </row>
    <row r="974" spans="1:4" x14ac:dyDescent="0.3">
      <c r="A974" s="17">
        <v>44651</v>
      </c>
      <c r="B974">
        <v>0.05</v>
      </c>
      <c r="C974" s="17">
        <f t="shared" si="32"/>
        <v>44621</v>
      </c>
      <c r="D974">
        <f t="shared" si="33"/>
        <v>0</v>
      </c>
    </row>
    <row r="975" spans="1:4" x14ac:dyDescent="0.3">
      <c r="A975" s="17">
        <v>44650</v>
      </c>
      <c r="B975">
        <v>0.1</v>
      </c>
      <c r="C975" s="17">
        <f t="shared" si="32"/>
        <v>44621</v>
      </c>
      <c r="D975">
        <f t="shared" si="33"/>
        <v>0</v>
      </c>
    </row>
    <row r="976" spans="1:4" x14ac:dyDescent="0.3">
      <c r="A976" s="17">
        <v>44649</v>
      </c>
      <c r="B976">
        <v>0.15</v>
      </c>
      <c r="C976" s="17">
        <f t="shared" si="32"/>
        <v>44621</v>
      </c>
      <c r="D976">
        <f t="shared" si="33"/>
        <v>0</v>
      </c>
    </row>
    <row r="977" spans="1:4" x14ac:dyDescent="0.3">
      <c r="A977" s="17">
        <v>44648</v>
      </c>
      <c r="B977">
        <v>0.25</v>
      </c>
      <c r="C977" s="17">
        <f t="shared" si="32"/>
        <v>44621</v>
      </c>
      <c r="D977">
        <f t="shared" si="33"/>
        <v>0</v>
      </c>
    </row>
    <row r="978" spans="1:4" x14ac:dyDescent="0.3">
      <c r="A978" s="17">
        <v>44645</v>
      </c>
      <c r="B978">
        <v>0.4</v>
      </c>
      <c r="C978" s="17">
        <f t="shared" si="32"/>
        <v>44621</v>
      </c>
      <c r="D978">
        <f t="shared" si="33"/>
        <v>0</v>
      </c>
    </row>
    <row r="979" spans="1:4" x14ac:dyDescent="0.3">
      <c r="A979" s="17">
        <v>44644</v>
      </c>
      <c r="B979">
        <v>0.5</v>
      </c>
      <c r="C979" s="17">
        <f t="shared" si="32"/>
        <v>44621</v>
      </c>
      <c r="D979">
        <f t="shared" si="33"/>
        <v>0</v>
      </c>
    </row>
    <row r="980" spans="1:4" x14ac:dyDescent="0.3">
      <c r="A980" s="17">
        <v>44643</v>
      </c>
      <c r="B980">
        <v>0.75</v>
      </c>
      <c r="C980" s="17">
        <f t="shared" si="32"/>
        <v>44621</v>
      </c>
      <c r="D980">
        <f t="shared" si="33"/>
        <v>0</v>
      </c>
    </row>
    <row r="981" spans="1:4" x14ac:dyDescent="0.3">
      <c r="A981" s="17">
        <v>44642</v>
      </c>
      <c r="B981">
        <v>0.8</v>
      </c>
      <c r="C981" s="17">
        <f t="shared" si="32"/>
        <v>44621</v>
      </c>
      <c r="D981">
        <f t="shared" si="33"/>
        <v>0</v>
      </c>
    </row>
    <row r="982" spans="1:4" x14ac:dyDescent="0.3">
      <c r="A982" s="17">
        <v>44641</v>
      </c>
      <c r="B982">
        <v>1</v>
      </c>
      <c r="C982" s="17">
        <f t="shared" si="32"/>
        <v>44621</v>
      </c>
      <c r="D982">
        <f t="shared" si="33"/>
        <v>0</v>
      </c>
    </row>
    <row r="983" spans="1:4" x14ac:dyDescent="0.3">
      <c r="A983" s="17">
        <v>44638</v>
      </c>
      <c r="B983">
        <v>2</v>
      </c>
      <c r="C983" s="17">
        <f t="shared" si="32"/>
        <v>44621</v>
      </c>
      <c r="D983">
        <f t="shared" si="33"/>
        <v>0</v>
      </c>
    </row>
    <row r="984" spans="1:4" x14ac:dyDescent="0.3">
      <c r="A984" s="17">
        <v>44637</v>
      </c>
      <c r="B984">
        <v>2</v>
      </c>
      <c r="C984" s="17">
        <f t="shared" si="32"/>
        <v>44621</v>
      </c>
      <c r="D984">
        <f t="shared" si="33"/>
        <v>0</v>
      </c>
    </row>
    <row r="985" spans="1:4" x14ac:dyDescent="0.3">
      <c r="A985" s="17">
        <v>44636</v>
      </c>
      <c r="B985">
        <v>2</v>
      </c>
      <c r="C985" s="17">
        <f t="shared" si="32"/>
        <v>44621</v>
      </c>
      <c r="D985">
        <f t="shared" si="33"/>
        <v>0</v>
      </c>
    </row>
    <row r="986" spans="1:4" x14ac:dyDescent="0.3">
      <c r="A986" s="17">
        <v>44635</v>
      </c>
      <c r="B986">
        <v>2</v>
      </c>
      <c r="C986" s="17">
        <f t="shared" si="32"/>
        <v>44621</v>
      </c>
      <c r="D986">
        <f t="shared" si="33"/>
        <v>0</v>
      </c>
    </row>
    <row r="987" spans="1:4" x14ac:dyDescent="0.3">
      <c r="A987" s="17">
        <v>44634</v>
      </c>
      <c r="B987">
        <v>2.5</v>
      </c>
      <c r="C987" s="17">
        <f t="shared" si="32"/>
        <v>44621</v>
      </c>
      <c r="D987">
        <f t="shared" si="33"/>
        <v>0</v>
      </c>
    </row>
    <row r="988" spans="1:4" x14ac:dyDescent="0.3">
      <c r="A988" s="17">
        <v>44631</v>
      </c>
      <c r="B988">
        <v>2</v>
      </c>
      <c r="C988" s="17">
        <f t="shared" si="32"/>
        <v>44621</v>
      </c>
      <c r="D988">
        <f t="shared" si="33"/>
        <v>0</v>
      </c>
    </row>
    <row r="989" spans="1:4" x14ac:dyDescent="0.3">
      <c r="A989" s="17">
        <v>44630</v>
      </c>
      <c r="B989">
        <v>3.25</v>
      </c>
      <c r="C989" s="17">
        <f t="shared" si="32"/>
        <v>44621</v>
      </c>
      <c r="D989">
        <f t="shared" si="33"/>
        <v>0</v>
      </c>
    </row>
    <row r="990" spans="1:4" x14ac:dyDescent="0.3">
      <c r="A990" s="17">
        <v>44629</v>
      </c>
      <c r="B990">
        <v>3.25</v>
      </c>
      <c r="C990" s="17">
        <f t="shared" si="32"/>
        <v>44621</v>
      </c>
      <c r="D990">
        <f t="shared" si="33"/>
        <v>0</v>
      </c>
    </row>
    <row r="991" spans="1:4" x14ac:dyDescent="0.3">
      <c r="A991" s="17">
        <v>44628</v>
      </c>
      <c r="B991">
        <v>3.25</v>
      </c>
      <c r="C991" s="17">
        <f t="shared" si="32"/>
        <v>44621</v>
      </c>
      <c r="D991">
        <f t="shared" si="33"/>
        <v>0</v>
      </c>
    </row>
    <row r="992" spans="1:4" x14ac:dyDescent="0.3">
      <c r="A992" s="17">
        <v>44627</v>
      </c>
      <c r="B992">
        <v>5.25</v>
      </c>
      <c r="C992" s="17">
        <f t="shared" si="32"/>
        <v>44621</v>
      </c>
      <c r="D992">
        <f t="shared" si="33"/>
        <v>0</v>
      </c>
    </row>
    <row r="993" spans="1:4" x14ac:dyDescent="0.3">
      <c r="A993" s="17">
        <v>44624</v>
      </c>
      <c r="B993">
        <v>3.75</v>
      </c>
      <c r="C993" s="17">
        <f t="shared" si="32"/>
        <v>44621</v>
      </c>
      <c r="D993">
        <f t="shared" si="33"/>
        <v>1</v>
      </c>
    </row>
    <row r="994" spans="1:4" x14ac:dyDescent="0.3">
      <c r="A994" s="17">
        <v>44623</v>
      </c>
      <c r="B994">
        <v>5</v>
      </c>
      <c r="C994" s="17">
        <f t="shared" si="32"/>
        <v>44621</v>
      </c>
      <c r="D994">
        <f t="shared" si="33"/>
        <v>1</v>
      </c>
    </row>
    <row r="995" spans="1:4" x14ac:dyDescent="0.3">
      <c r="A995" s="17">
        <v>44622</v>
      </c>
      <c r="B995">
        <v>3</v>
      </c>
      <c r="C995" s="17">
        <f t="shared" si="32"/>
        <v>44621</v>
      </c>
      <c r="D995">
        <f t="shared" si="33"/>
        <v>1</v>
      </c>
    </row>
    <row r="996" spans="1:4" x14ac:dyDescent="0.3">
      <c r="A996" s="17">
        <v>44621</v>
      </c>
      <c r="B996">
        <v>1.5</v>
      </c>
      <c r="C996" s="17">
        <f t="shared" si="32"/>
        <v>44621</v>
      </c>
      <c r="D996">
        <f t="shared" si="33"/>
        <v>1</v>
      </c>
    </row>
    <row r="997" spans="1:4" x14ac:dyDescent="0.3">
      <c r="A997" s="17">
        <v>44620</v>
      </c>
      <c r="B997">
        <v>-0.3</v>
      </c>
      <c r="C997" s="17">
        <f t="shared" si="32"/>
        <v>44593</v>
      </c>
      <c r="D997">
        <f t="shared" si="33"/>
        <v>0</v>
      </c>
    </row>
    <row r="998" spans="1:4" x14ac:dyDescent="0.3">
      <c r="A998" s="17">
        <v>44617</v>
      </c>
      <c r="B998">
        <v>-0.3</v>
      </c>
      <c r="C998" s="17">
        <f t="shared" si="32"/>
        <v>44593</v>
      </c>
      <c r="D998">
        <f t="shared" si="33"/>
        <v>0</v>
      </c>
    </row>
    <row r="999" spans="1:4" x14ac:dyDescent="0.3">
      <c r="A999" s="17">
        <v>44616</v>
      </c>
      <c r="B999">
        <v>-0.8</v>
      </c>
      <c r="C999" s="17">
        <f t="shared" si="32"/>
        <v>44593</v>
      </c>
      <c r="D999">
        <f t="shared" si="33"/>
        <v>0</v>
      </c>
    </row>
    <row r="1000" spans="1:4" x14ac:dyDescent="0.3">
      <c r="A1000" s="17">
        <v>44615</v>
      </c>
      <c r="B1000">
        <v>-0.7</v>
      </c>
      <c r="C1000" s="17">
        <f t="shared" si="32"/>
        <v>44593</v>
      </c>
      <c r="D1000">
        <f t="shared" si="33"/>
        <v>0</v>
      </c>
    </row>
    <row r="1001" spans="1:4" x14ac:dyDescent="0.3">
      <c r="A1001" s="17">
        <v>44614</v>
      </c>
      <c r="B1001">
        <v>0</v>
      </c>
      <c r="C1001" s="17">
        <f t="shared" si="32"/>
        <v>44593</v>
      </c>
      <c r="D1001">
        <f t="shared" si="33"/>
        <v>0</v>
      </c>
    </row>
    <row r="1002" spans="1:4" x14ac:dyDescent="0.3">
      <c r="A1002" s="17">
        <v>44613</v>
      </c>
      <c r="B1002">
        <v>0</v>
      </c>
      <c r="C1002" s="17">
        <f t="shared" si="32"/>
        <v>44593</v>
      </c>
      <c r="D1002">
        <f t="shared" si="33"/>
        <v>0</v>
      </c>
    </row>
    <row r="1003" spans="1:4" x14ac:dyDescent="0.3">
      <c r="A1003" s="17">
        <v>44610</v>
      </c>
      <c r="B1003">
        <v>0</v>
      </c>
      <c r="C1003" s="17">
        <f t="shared" si="32"/>
        <v>44593</v>
      </c>
      <c r="D1003">
        <f t="shared" si="33"/>
        <v>0</v>
      </c>
    </row>
    <row r="1004" spans="1:4" x14ac:dyDescent="0.3">
      <c r="A1004" s="17">
        <v>44609</v>
      </c>
      <c r="B1004">
        <v>0.5</v>
      </c>
      <c r="C1004" s="17">
        <f t="shared" si="32"/>
        <v>44593</v>
      </c>
      <c r="D1004">
        <f t="shared" si="33"/>
        <v>0</v>
      </c>
    </row>
    <row r="1005" spans="1:4" x14ac:dyDescent="0.3">
      <c r="A1005" s="17">
        <v>44608</v>
      </c>
      <c r="B1005">
        <v>0.5</v>
      </c>
      <c r="C1005" s="17">
        <f t="shared" si="32"/>
        <v>44593</v>
      </c>
      <c r="D1005">
        <f t="shared" si="33"/>
        <v>0</v>
      </c>
    </row>
    <row r="1006" spans="1:4" x14ac:dyDescent="0.3">
      <c r="A1006" s="17">
        <v>44607</v>
      </c>
      <c r="B1006">
        <v>0.45</v>
      </c>
      <c r="C1006" s="17">
        <f t="shared" si="32"/>
        <v>44593</v>
      </c>
      <c r="D1006">
        <f t="shared" si="33"/>
        <v>0</v>
      </c>
    </row>
    <row r="1007" spans="1:4" x14ac:dyDescent="0.3">
      <c r="A1007" s="17">
        <v>44606</v>
      </c>
      <c r="B1007">
        <v>0.45</v>
      </c>
      <c r="C1007" s="17">
        <f t="shared" si="32"/>
        <v>44593</v>
      </c>
      <c r="D1007">
        <f t="shared" si="33"/>
        <v>0</v>
      </c>
    </row>
    <row r="1008" spans="1:4" x14ac:dyDescent="0.3">
      <c r="A1008" s="17">
        <v>44603</v>
      </c>
      <c r="B1008">
        <v>0.45</v>
      </c>
      <c r="C1008" s="17">
        <f t="shared" si="32"/>
        <v>44593</v>
      </c>
      <c r="D1008">
        <f t="shared" si="33"/>
        <v>0</v>
      </c>
    </row>
    <row r="1009" spans="1:4" x14ac:dyDescent="0.3">
      <c r="A1009" s="17">
        <v>44602</v>
      </c>
      <c r="B1009">
        <v>0.45</v>
      </c>
      <c r="C1009" s="17">
        <f t="shared" si="32"/>
        <v>44593</v>
      </c>
      <c r="D1009">
        <f t="shared" si="33"/>
        <v>0</v>
      </c>
    </row>
    <row r="1010" spans="1:4" x14ac:dyDescent="0.3">
      <c r="A1010" s="17">
        <v>44601</v>
      </c>
      <c r="B1010">
        <v>0.45</v>
      </c>
      <c r="C1010" s="17">
        <f t="shared" si="32"/>
        <v>44593</v>
      </c>
      <c r="D1010">
        <f t="shared" si="33"/>
        <v>0</v>
      </c>
    </row>
    <row r="1011" spans="1:4" x14ac:dyDescent="0.3">
      <c r="A1011" s="17">
        <v>44600</v>
      </c>
      <c r="B1011">
        <v>0.45</v>
      </c>
      <c r="C1011" s="17">
        <f t="shared" si="32"/>
        <v>44593</v>
      </c>
      <c r="D1011">
        <f t="shared" si="33"/>
        <v>0</v>
      </c>
    </row>
    <row r="1012" spans="1:4" x14ac:dyDescent="0.3">
      <c r="A1012" s="17">
        <v>44599</v>
      </c>
      <c r="B1012">
        <v>0.45</v>
      </c>
      <c r="C1012" s="17">
        <f t="shared" si="32"/>
        <v>44593</v>
      </c>
      <c r="D1012">
        <f t="shared" si="33"/>
        <v>0</v>
      </c>
    </row>
    <row r="1013" spans="1:4" x14ac:dyDescent="0.3">
      <c r="A1013" s="17">
        <v>44596</v>
      </c>
      <c r="B1013">
        <v>0.45</v>
      </c>
      <c r="C1013" s="17">
        <f t="shared" si="32"/>
        <v>44593</v>
      </c>
      <c r="D1013">
        <f t="shared" si="33"/>
        <v>1</v>
      </c>
    </row>
    <row r="1014" spans="1:4" x14ac:dyDescent="0.3">
      <c r="A1014" s="17">
        <v>44595</v>
      </c>
      <c r="B1014">
        <v>0.45</v>
      </c>
      <c r="C1014" s="17">
        <f t="shared" si="32"/>
        <v>44593</v>
      </c>
      <c r="D1014">
        <f t="shared" si="33"/>
        <v>1</v>
      </c>
    </row>
    <row r="1015" spans="1:4" x14ac:dyDescent="0.3">
      <c r="A1015" s="17">
        <v>44592</v>
      </c>
      <c r="B1015">
        <v>0.35</v>
      </c>
      <c r="C1015" s="17">
        <f t="shared" si="32"/>
        <v>44562</v>
      </c>
      <c r="D1015">
        <f t="shared" si="33"/>
        <v>0</v>
      </c>
    </row>
    <row r="1016" spans="1:4" x14ac:dyDescent="0.3">
      <c r="A1016" s="17">
        <v>44589</v>
      </c>
      <c r="B1016">
        <v>0.35</v>
      </c>
      <c r="C1016" s="17">
        <f t="shared" si="32"/>
        <v>44562</v>
      </c>
      <c r="D1016">
        <f t="shared" si="33"/>
        <v>0</v>
      </c>
    </row>
    <row r="1017" spans="1:4" x14ac:dyDescent="0.3">
      <c r="A1017" s="17">
        <v>44588</v>
      </c>
      <c r="B1017">
        <v>0.35</v>
      </c>
      <c r="C1017" s="17">
        <f t="shared" si="32"/>
        <v>44562</v>
      </c>
      <c r="D1017">
        <f t="shared" si="33"/>
        <v>0</v>
      </c>
    </row>
    <row r="1018" spans="1:4" x14ac:dyDescent="0.3">
      <c r="A1018" s="17">
        <v>44587</v>
      </c>
      <c r="B1018">
        <v>0.3</v>
      </c>
      <c r="C1018" s="17">
        <f t="shared" si="32"/>
        <v>44562</v>
      </c>
      <c r="D1018">
        <f t="shared" si="33"/>
        <v>0</v>
      </c>
    </row>
    <row r="1019" spans="1:4" x14ac:dyDescent="0.3">
      <c r="A1019" s="17">
        <v>44586</v>
      </c>
      <c r="B1019">
        <v>0.3</v>
      </c>
      <c r="C1019" s="17">
        <f t="shared" si="32"/>
        <v>44562</v>
      </c>
      <c r="D1019">
        <f t="shared" si="33"/>
        <v>0</v>
      </c>
    </row>
    <row r="1020" spans="1:4" x14ac:dyDescent="0.3">
      <c r="A1020" s="17">
        <v>44585</v>
      </c>
      <c r="B1020">
        <v>0.3</v>
      </c>
      <c r="C1020" s="17">
        <f t="shared" si="32"/>
        <v>44562</v>
      </c>
      <c r="D1020">
        <f t="shared" si="33"/>
        <v>0</v>
      </c>
    </row>
    <row r="1021" spans="1:4" x14ac:dyDescent="0.3">
      <c r="A1021" s="17">
        <v>44582</v>
      </c>
      <c r="B1021">
        <v>0.3</v>
      </c>
      <c r="C1021" s="17">
        <f t="shared" si="32"/>
        <v>44562</v>
      </c>
      <c r="D1021">
        <f t="shared" si="33"/>
        <v>0</v>
      </c>
    </row>
    <row r="1022" spans="1:4" x14ac:dyDescent="0.3">
      <c r="A1022" s="17">
        <v>44581</v>
      </c>
      <c r="B1022">
        <v>0.35</v>
      </c>
      <c r="C1022" s="17">
        <f t="shared" si="32"/>
        <v>44562</v>
      </c>
      <c r="D1022">
        <f t="shared" si="33"/>
        <v>0</v>
      </c>
    </row>
    <row r="1023" spans="1:4" x14ac:dyDescent="0.3">
      <c r="A1023" s="17">
        <v>44580</v>
      </c>
      <c r="B1023">
        <v>0.35</v>
      </c>
      <c r="C1023" s="17">
        <f t="shared" si="32"/>
        <v>44562</v>
      </c>
      <c r="D1023">
        <f t="shared" si="33"/>
        <v>0</v>
      </c>
    </row>
    <row r="1024" spans="1:4" x14ac:dyDescent="0.3">
      <c r="A1024" s="17">
        <v>44579</v>
      </c>
      <c r="B1024">
        <v>0.1</v>
      </c>
      <c r="C1024" s="17">
        <f t="shared" si="32"/>
        <v>44562</v>
      </c>
      <c r="D1024">
        <f t="shared" si="33"/>
        <v>0</v>
      </c>
    </row>
    <row r="1025" spans="1:4" x14ac:dyDescent="0.3">
      <c r="A1025" s="17">
        <v>44578</v>
      </c>
      <c r="B1025">
        <v>0.05</v>
      </c>
      <c r="C1025" s="17">
        <f t="shared" si="32"/>
        <v>44562</v>
      </c>
      <c r="D1025">
        <f t="shared" si="33"/>
        <v>0</v>
      </c>
    </row>
    <row r="1026" spans="1:4" x14ac:dyDescent="0.3">
      <c r="A1026" s="17">
        <v>44575</v>
      </c>
      <c r="B1026">
        <v>0.05</v>
      </c>
      <c r="C1026" s="17">
        <f t="shared" si="32"/>
        <v>44562</v>
      </c>
      <c r="D1026">
        <f t="shared" si="33"/>
        <v>0</v>
      </c>
    </row>
    <row r="1027" spans="1:4" x14ac:dyDescent="0.3">
      <c r="A1027" s="17">
        <v>44574</v>
      </c>
      <c r="B1027">
        <v>0</v>
      </c>
      <c r="C1027" s="17">
        <f t="shared" si="32"/>
        <v>44562</v>
      </c>
      <c r="D1027">
        <f t="shared" si="33"/>
        <v>0</v>
      </c>
    </row>
    <row r="1028" spans="1:4" x14ac:dyDescent="0.3">
      <c r="A1028" s="17">
        <v>44573</v>
      </c>
      <c r="B1028">
        <v>0</v>
      </c>
      <c r="C1028" s="17">
        <f t="shared" si="32"/>
        <v>44562</v>
      </c>
      <c r="D1028">
        <f t="shared" si="33"/>
        <v>0</v>
      </c>
    </row>
    <row r="1029" spans="1:4" x14ac:dyDescent="0.3">
      <c r="A1029" s="17">
        <v>44572</v>
      </c>
      <c r="B1029">
        <v>0</v>
      </c>
      <c r="C1029" s="17">
        <f t="shared" si="32"/>
        <v>44562</v>
      </c>
      <c r="D1029">
        <f t="shared" si="33"/>
        <v>0</v>
      </c>
    </row>
    <row r="1030" spans="1:4" x14ac:dyDescent="0.3">
      <c r="A1030" s="17">
        <v>44571</v>
      </c>
      <c r="B1030">
        <v>0</v>
      </c>
      <c r="C1030" s="17">
        <f t="shared" ref="C1030:C1093" si="34">+DATE(+YEAR(A1030),+MONTH(A1030),1)</f>
        <v>44562</v>
      </c>
      <c r="D1030">
        <f t="shared" ref="D1030:D1093" si="35">IF(AND(+DAY(A1030)&gt;=1,+DAY(A1030)&lt;= 4), 1, 0)</f>
        <v>0</v>
      </c>
    </row>
    <row r="1031" spans="1:4" x14ac:dyDescent="0.3">
      <c r="A1031" s="17">
        <v>44568</v>
      </c>
      <c r="B1031">
        <v>0</v>
      </c>
      <c r="C1031" s="17">
        <f t="shared" si="34"/>
        <v>44562</v>
      </c>
      <c r="D1031">
        <f t="shared" si="35"/>
        <v>0</v>
      </c>
    </row>
    <row r="1032" spans="1:4" x14ac:dyDescent="0.3">
      <c r="A1032" s="17">
        <v>44567</v>
      </c>
      <c r="B1032">
        <v>0</v>
      </c>
      <c r="C1032" s="17">
        <f t="shared" si="34"/>
        <v>44562</v>
      </c>
      <c r="D1032">
        <f t="shared" si="35"/>
        <v>0</v>
      </c>
    </row>
    <row r="1033" spans="1:4" x14ac:dyDescent="0.3">
      <c r="A1033" s="17">
        <v>44566</v>
      </c>
      <c r="B1033">
        <v>0</v>
      </c>
      <c r="C1033" s="17">
        <f t="shared" si="34"/>
        <v>44562</v>
      </c>
      <c r="D1033">
        <f t="shared" si="35"/>
        <v>0</v>
      </c>
    </row>
    <row r="1034" spans="1:4" x14ac:dyDescent="0.3">
      <c r="A1034" s="17">
        <v>44565</v>
      </c>
      <c r="B1034">
        <v>0</v>
      </c>
      <c r="C1034" s="17">
        <f t="shared" si="34"/>
        <v>44562</v>
      </c>
      <c r="D1034">
        <f t="shared" si="35"/>
        <v>1</v>
      </c>
    </row>
    <row r="1035" spans="1:4" x14ac:dyDescent="0.3">
      <c r="A1035" s="17">
        <v>44564</v>
      </c>
      <c r="B1035">
        <v>0</v>
      </c>
      <c r="C1035" s="17">
        <f t="shared" si="34"/>
        <v>44562</v>
      </c>
      <c r="D1035">
        <f t="shared" si="35"/>
        <v>1</v>
      </c>
    </row>
    <row r="1036" spans="1:4" x14ac:dyDescent="0.3">
      <c r="A1036" s="17">
        <v>44561</v>
      </c>
      <c r="B1036">
        <v>-0.15</v>
      </c>
      <c r="C1036" s="17">
        <f t="shared" si="34"/>
        <v>44531</v>
      </c>
      <c r="D1036">
        <f t="shared" si="35"/>
        <v>0</v>
      </c>
    </row>
    <row r="1037" spans="1:4" x14ac:dyDescent="0.3">
      <c r="A1037" s="17">
        <v>44560</v>
      </c>
      <c r="B1037">
        <v>-0.15</v>
      </c>
      <c r="C1037" s="17">
        <f t="shared" si="34"/>
        <v>44531</v>
      </c>
      <c r="D1037">
        <f t="shared" si="35"/>
        <v>0</v>
      </c>
    </row>
    <row r="1038" spans="1:4" x14ac:dyDescent="0.3">
      <c r="A1038" s="17">
        <v>44559</v>
      </c>
      <c r="B1038">
        <v>-0.15</v>
      </c>
      <c r="C1038" s="17">
        <f t="shared" si="34"/>
        <v>44531</v>
      </c>
      <c r="D1038">
        <f t="shared" si="35"/>
        <v>0</v>
      </c>
    </row>
    <row r="1039" spans="1:4" x14ac:dyDescent="0.3">
      <c r="A1039" s="17">
        <v>44558</v>
      </c>
      <c r="B1039">
        <v>-0.15</v>
      </c>
      <c r="C1039" s="17">
        <f t="shared" si="34"/>
        <v>44531</v>
      </c>
      <c r="D1039">
        <f t="shared" si="35"/>
        <v>0</v>
      </c>
    </row>
    <row r="1040" spans="1:4" x14ac:dyDescent="0.3">
      <c r="A1040" s="17">
        <v>44554</v>
      </c>
      <c r="B1040">
        <v>0.05</v>
      </c>
      <c r="C1040" s="17">
        <f t="shared" si="34"/>
        <v>44531</v>
      </c>
      <c r="D1040">
        <f t="shared" si="35"/>
        <v>0</v>
      </c>
    </row>
    <row r="1041" spans="1:4" x14ac:dyDescent="0.3">
      <c r="A1041" s="17">
        <v>44553</v>
      </c>
      <c r="B1041">
        <v>0.05</v>
      </c>
      <c r="C1041" s="17">
        <f t="shared" si="34"/>
        <v>44531</v>
      </c>
      <c r="D1041">
        <f t="shared" si="35"/>
        <v>0</v>
      </c>
    </row>
    <row r="1042" spans="1:4" x14ac:dyDescent="0.3">
      <c r="A1042" s="17">
        <v>44552</v>
      </c>
      <c r="B1042">
        <v>0.1</v>
      </c>
      <c r="C1042" s="17">
        <f t="shared" si="34"/>
        <v>44531</v>
      </c>
      <c r="D1042">
        <f t="shared" si="35"/>
        <v>0</v>
      </c>
    </row>
    <row r="1043" spans="1:4" x14ac:dyDescent="0.3">
      <c r="A1043" s="17">
        <v>44551</v>
      </c>
      <c r="B1043">
        <v>0.1</v>
      </c>
      <c r="C1043" s="17">
        <f t="shared" si="34"/>
        <v>44531</v>
      </c>
      <c r="D1043">
        <f t="shared" si="35"/>
        <v>0</v>
      </c>
    </row>
    <row r="1044" spans="1:4" x14ac:dyDescent="0.3">
      <c r="A1044" s="17">
        <v>44550</v>
      </c>
      <c r="B1044">
        <v>0.1</v>
      </c>
      <c r="C1044" s="17">
        <f t="shared" si="34"/>
        <v>44531</v>
      </c>
      <c r="D1044">
        <f t="shared" si="35"/>
        <v>0</v>
      </c>
    </row>
    <row r="1045" spans="1:4" x14ac:dyDescent="0.3">
      <c r="A1045" s="17">
        <v>44547</v>
      </c>
      <c r="B1045">
        <v>0.1</v>
      </c>
      <c r="C1045" s="17">
        <f t="shared" si="34"/>
        <v>44531</v>
      </c>
      <c r="D1045">
        <f t="shared" si="35"/>
        <v>0</v>
      </c>
    </row>
    <row r="1046" spans="1:4" x14ac:dyDescent="0.3">
      <c r="A1046" s="17">
        <v>44546</v>
      </c>
      <c r="B1046">
        <v>0.1</v>
      </c>
      <c r="C1046" s="17">
        <f t="shared" si="34"/>
        <v>44531</v>
      </c>
      <c r="D1046">
        <f t="shared" si="35"/>
        <v>0</v>
      </c>
    </row>
    <row r="1047" spans="1:4" x14ac:dyDescent="0.3">
      <c r="A1047" s="17">
        <v>44545</v>
      </c>
      <c r="B1047">
        <v>0.1</v>
      </c>
      <c r="C1047" s="17">
        <f t="shared" si="34"/>
        <v>44531</v>
      </c>
      <c r="D1047">
        <f t="shared" si="35"/>
        <v>0</v>
      </c>
    </row>
    <row r="1048" spans="1:4" x14ac:dyDescent="0.3">
      <c r="A1048" s="17">
        <v>44544</v>
      </c>
      <c r="B1048">
        <v>0.1</v>
      </c>
      <c r="C1048" s="17">
        <f t="shared" si="34"/>
        <v>44531</v>
      </c>
      <c r="D1048">
        <f t="shared" si="35"/>
        <v>0</v>
      </c>
    </row>
    <row r="1049" spans="1:4" x14ac:dyDescent="0.3">
      <c r="A1049" s="17">
        <v>44543</v>
      </c>
      <c r="B1049">
        <v>0.15</v>
      </c>
      <c r="C1049" s="17">
        <f t="shared" si="34"/>
        <v>44531</v>
      </c>
      <c r="D1049">
        <f t="shared" si="35"/>
        <v>0</v>
      </c>
    </row>
    <row r="1050" spans="1:4" x14ac:dyDescent="0.3">
      <c r="A1050" s="17">
        <v>44540</v>
      </c>
      <c r="B1050">
        <v>0.15</v>
      </c>
      <c r="C1050" s="17">
        <f t="shared" si="34"/>
        <v>44531</v>
      </c>
      <c r="D1050">
        <f t="shared" si="35"/>
        <v>0</v>
      </c>
    </row>
    <row r="1051" spans="1:4" x14ac:dyDescent="0.3">
      <c r="A1051" s="17">
        <v>44539</v>
      </c>
      <c r="B1051">
        <v>0.15</v>
      </c>
      <c r="C1051" s="17">
        <f t="shared" si="34"/>
        <v>44531</v>
      </c>
      <c r="D1051">
        <f t="shared" si="35"/>
        <v>0</v>
      </c>
    </row>
    <row r="1052" spans="1:4" x14ac:dyDescent="0.3">
      <c r="A1052" s="17">
        <v>44538</v>
      </c>
      <c r="B1052">
        <v>0.15</v>
      </c>
      <c r="C1052" s="17">
        <f t="shared" si="34"/>
        <v>44531</v>
      </c>
      <c r="D1052">
        <f t="shared" si="35"/>
        <v>0</v>
      </c>
    </row>
    <row r="1053" spans="1:4" x14ac:dyDescent="0.3">
      <c r="A1053" s="17">
        <v>44537</v>
      </c>
      <c r="B1053">
        <v>0.15</v>
      </c>
      <c r="C1053" s="17">
        <f t="shared" si="34"/>
        <v>44531</v>
      </c>
      <c r="D1053">
        <f t="shared" si="35"/>
        <v>0</v>
      </c>
    </row>
    <row r="1054" spans="1:4" x14ac:dyDescent="0.3">
      <c r="A1054" s="17">
        <v>44536</v>
      </c>
      <c r="B1054">
        <v>0.25</v>
      </c>
      <c r="C1054" s="17">
        <f t="shared" si="34"/>
        <v>44531</v>
      </c>
      <c r="D1054">
        <f t="shared" si="35"/>
        <v>0</v>
      </c>
    </row>
    <row r="1055" spans="1:4" x14ac:dyDescent="0.3">
      <c r="A1055" s="17">
        <v>44533</v>
      </c>
      <c r="B1055">
        <v>0.3</v>
      </c>
      <c r="C1055" s="17">
        <f t="shared" si="34"/>
        <v>44531</v>
      </c>
      <c r="D1055">
        <f t="shared" si="35"/>
        <v>1</v>
      </c>
    </row>
    <row r="1056" spans="1:4" x14ac:dyDescent="0.3">
      <c r="A1056" s="17">
        <v>44532</v>
      </c>
      <c r="B1056">
        <v>0.3</v>
      </c>
      <c r="C1056" s="17">
        <f t="shared" si="34"/>
        <v>44531</v>
      </c>
      <c r="D1056">
        <f t="shared" si="35"/>
        <v>1</v>
      </c>
    </row>
    <row r="1057" spans="1:4" x14ac:dyDescent="0.3">
      <c r="A1057" s="17">
        <v>44531</v>
      </c>
      <c r="B1057">
        <v>0.3</v>
      </c>
      <c r="C1057" s="17">
        <f t="shared" si="34"/>
        <v>44531</v>
      </c>
      <c r="D1057">
        <f t="shared" si="35"/>
        <v>1</v>
      </c>
    </row>
    <row r="1058" spans="1:4" x14ac:dyDescent="0.3">
      <c r="A1058" s="17">
        <v>44530</v>
      </c>
      <c r="B1058">
        <v>0.4</v>
      </c>
      <c r="C1058" s="17">
        <f t="shared" si="34"/>
        <v>44501</v>
      </c>
      <c r="D1058">
        <f t="shared" si="35"/>
        <v>0</v>
      </c>
    </row>
    <row r="1059" spans="1:4" x14ac:dyDescent="0.3">
      <c r="A1059" s="17">
        <v>44529</v>
      </c>
      <c r="B1059">
        <v>0.4</v>
      </c>
      <c r="C1059" s="17">
        <f t="shared" si="34"/>
        <v>44501</v>
      </c>
      <c r="D1059">
        <f t="shared" si="35"/>
        <v>0</v>
      </c>
    </row>
    <row r="1060" spans="1:4" x14ac:dyDescent="0.3">
      <c r="A1060" s="17">
        <v>44526</v>
      </c>
      <c r="B1060">
        <v>0.4</v>
      </c>
      <c r="C1060" s="17">
        <f t="shared" si="34"/>
        <v>44501</v>
      </c>
      <c r="D1060">
        <f t="shared" si="35"/>
        <v>0</v>
      </c>
    </row>
    <row r="1061" spans="1:4" x14ac:dyDescent="0.3">
      <c r="A1061" s="17">
        <v>44525</v>
      </c>
      <c r="B1061">
        <v>0.4</v>
      </c>
      <c r="C1061" s="17">
        <f t="shared" si="34"/>
        <v>44501</v>
      </c>
      <c r="D1061">
        <f t="shared" si="35"/>
        <v>0</v>
      </c>
    </row>
    <row r="1062" spans="1:4" x14ac:dyDescent="0.3">
      <c r="A1062" s="17">
        <v>44524</v>
      </c>
      <c r="B1062">
        <v>0.4</v>
      </c>
      <c r="C1062" s="17">
        <f t="shared" si="34"/>
        <v>44501</v>
      </c>
      <c r="D1062">
        <f t="shared" si="35"/>
        <v>0</v>
      </c>
    </row>
    <row r="1063" spans="1:4" x14ac:dyDescent="0.3">
      <c r="A1063" s="17">
        <v>44523</v>
      </c>
      <c r="B1063">
        <v>0.4</v>
      </c>
      <c r="C1063" s="17">
        <f t="shared" si="34"/>
        <v>44501</v>
      </c>
      <c r="D1063">
        <f t="shared" si="35"/>
        <v>0</v>
      </c>
    </row>
    <row r="1064" spans="1:4" x14ac:dyDescent="0.3">
      <c r="A1064" s="17">
        <v>44522</v>
      </c>
      <c r="B1064">
        <v>0.4</v>
      </c>
      <c r="C1064" s="17">
        <f t="shared" si="34"/>
        <v>44501</v>
      </c>
      <c r="D1064">
        <f t="shared" si="35"/>
        <v>0</v>
      </c>
    </row>
    <row r="1065" spans="1:4" x14ac:dyDescent="0.3">
      <c r="A1065" s="17">
        <v>44519</v>
      </c>
      <c r="B1065">
        <v>0.4</v>
      </c>
      <c r="C1065" s="17">
        <f t="shared" si="34"/>
        <v>44501</v>
      </c>
      <c r="D1065">
        <f t="shared" si="35"/>
        <v>0</v>
      </c>
    </row>
    <row r="1066" spans="1:4" x14ac:dyDescent="0.3">
      <c r="A1066" s="17">
        <v>44518</v>
      </c>
      <c r="B1066">
        <v>0.4</v>
      </c>
      <c r="C1066" s="17">
        <f t="shared" si="34"/>
        <v>44501</v>
      </c>
      <c r="D1066">
        <f t="shared" si="35"/>
        <v>0</v>
      </c>
    </row>
    <row r="1067" spans="1:4" x14ac:dyDescent="0.3">
      <c r="A1067" s="17">
        <v>44517</v>
      </c>
      <c r="B1067">
        <v>0.5</v>
      </c>
      <c r="C1067" s="17">
        <f t="shared" si="34"/>
        <v>44501</v>
      </c>
      <c r="D1067">
        <f t="shared" si="35"/>
        <v>0</v>
      </c>
    </row>
    <row r="1068" spans="1:4" x14ac:dyDescent="0.3">
      <c r="A1068" s="17">
        <v>44516</v>
      </c>
      <c r="B1068">
        <v>0.6</v>
      </c>
      <c r="C1068" s="17">
        <f t="shared" si="34"/>
        <v>44501</v>
      </c>
      <c r="D1068">
        <f t="shared" si="35"/>
        <v>0</v>
      </c>
    </row>
    <row r="1069" spans="1:4" x14ac:dyDescent="0.3">
      <c r="A1069" s="17">
        <v>44515</v>
      </c>
      <c r="B1069">
        <v>0.5</v>
      </c>
      <c r="C1069" s="17">
        <f t="shared" si="34"/>
        <v>44501</v>
      </c>
      <c r="D1069">
        <f t="shared" si="35"/>
        <v>0</v>
      </c>
    </row>
    <row r="1070" spans="1:4" x14ac:dyDescent="0.3">
      <c r="A1070" s="17">
        <v>44512</v>
      </c>
      <c r="B1070">
        <v>0.5</v>
      </c>
      <c r="C1070" s="17">
        <f t="shared" si="34"/>
        <v>44501</v>
      </c>
      <c r="D1070">
        <f t="shared" si="35"/>
        <v>0</v>
      </c>
    </row>
    <row r="1071" spans="1:4" x14ac:dyDescent="0.3">
      <c r="A1071" s="17">
        <v>44511</v>
      </c>
      <c r="B1071">
        <v>0.5</v>
      </c>
      <c r="C1071" s="17">
        <f t="shared" si="34"/>
        <v>44501</v>
      </c>
      <c r="D1071">
        <f t="shared" si="35"/>
        <v>0</v>
      </c>
    </row>
    <row r="1072" spans="1:4" x14ac:dyDescent="0.3">
      <c r="A1072" s="17">
        <v>44510</v>
      </c>
      <c r="B1072">
        <v>0.5</v>
      </c>
      <c r="C1072" s="17">
        <f t="shared" si="34"/>
        <v>44501</v>
      </c>
      <c r="D1072">
        <f t="shared" si="35"/>
        <v>0</v>
      </c>
    </row>
    <row r="1073" spans="1:4" x14ac:dyDescent="0.3">
      <c r="A1073" s="17">
        <v>44509</v>
      </c>
      <c r="B1073">
        <v>0.5</v>
      </c>
      <c r="C1073" s="17">
        <f t="shared" si="34"/>
        <v>44501</v>
      </c>
      <c r="D1073">
        <f t="shared" si="35"/>
        <v>0</v>
      </c>
    </row>
    <row r="1074" spans="1:4" x14ac:dyDescent="0.3">
      <c r="A1074" s="17">
        <v>44508</v>
      </c>
      <c r="B1074">
        <v>0.5</v>
      </c>
      <c r="C1074" s="17">
        <f t="shared" si="34"/>
        <v>44501</v>
      </c>
      <c r="D1074">
        <f t="shared" si="35"/>
        <v>0</v>
      </c>
    </row>
    <row r="1075" spans="1:4" x14ac:dyDescent="0.3">
      <c r="A1075" s="17">
        <v>44505</v>
      </c>
      <c r="B1075">
        <v>0.55000000000000004</v>
      </c>
      <c r="C1075" s="17">
        <f t="shared" si="34"/>
        <v>44501</v>
      </c>
      <c r="D1075">
        <f t="shared" si="35"/>
        <v>0</v>
      </c>
    </row>
    <row r="1076" spans="1:4" x14ac:dyDescent="0.3">
      <c r="A1076" s="17">
        <v>44503</v>
      </c>
      <c r="B1076">
        <v>0.55000000000000004</v>
      </c>
      <c r="C1076" s="17">
        <f t="shared" si="34"/>
        <v>44501</v>
      </c>
      <c r="D1076">
        <f t="shared" si="35"/>
        <v>1</v>
      </c>
    </row>
    <row r="1077" spans="1:4" x14ac:dyDescent="0.3">
      <c r="A1077" s="17">
        <v>44502</v>
      </c>
      <c r="B1077">
        <v>0.6</v>
      </c>
      <c r="C1077" s="17">
        <f t="shared" si="34"/>
        <v>44501</v>
      </c>
      <c r="D1077">
        <f t="shared" si="35"/>
        <v>1</v>
      </c>
    </row>
    <row r="1078" spans="1:4" x14ac:dyDescent="0.3">
      <c r="A1078" s="17">
        <v>44501</v>
      </c>
      <c r="B1078">
        <v>0.6</v>
      </c>
      <c r="C1078" s="17">
        <f t="shared" si="34"/>
        <v>44501</v>
      </c>
      <c r="D1078">
        <f t="shared" si="35"/>
        <v>1</v>
      </c>
    </row>
    <row r="1079" spans="1:4" x14ac:dyDescent="0.3">
      <c r="A1079" s="17">
        <v>44498</v>
      </c>
      <c r="B1079">
        <v>0.45</v>
      </c>
      <c r="C1079" s="17">
        <f t="shared" si="34"/>
        <v>44470</v>
      </c>
      <c r="D1079">
        <f t="shared" si="35"/>
        <v>0</v>
      </c>
    </row>
    <row r="1080" spans="1:4" x14ac:dyDescent="0.3">
      <c r="A1080" s="17">
        <v>44497</v>
      </c>
      <c r="B1080">
        <v>0.45</v>
      </c>
      <c r="C1080" s="17">
        <f t="shared" si="34"/>
        <v>44470</v>
      </c>
      <c r="D1080">
        <f t="shared" si="35"/>
        <v>0</v>
      </c>
    </row>
    <row r="1081" spans="1:4" x14ac:dyDescent="0.3">
      <c r="A1081" s="17">
        <v>44496</v>
      </c>
      <c r="B1081">
        <v>0.45</v>
      </c>
      <c r="C1081" s="17">
        <f t="shared" si="34"/>
        <v>44470</v>
      </c>
      <c r="D1081">
        <f t="shared" si="35"/>
        <v>0</v>
      </c>
    </row>
    <row r="1082" spans="1:4" x14ac:dyDescent="0.3">
      <c r="A1082" s="17">
        <v>44495</v>
      </c>
      <c r="B1082">
        <v>0.45</v>
      </c>
      <c r="C1082" s="17">
        <f t="shared" si="34"/>
        <v>44470</v>
      </c>
      <c r="D1082">
        <f t="shared" si="35"/>
        <v>0</v>
      </c>
    </row>
    <row r="1083" spans="1:4" x14ac:dyDescent="0.3">
      <c r="A1083" s="17">
        <v>44494</v>
      </c>
      <c r="B1083">
        <v>0.45</v>
      </c>
      <c r="C1083" s="17">
        <f t="shared" si="34"/>
        <v>44470</v>
      </c>
      <c r="D1083">
        <f t="shared" si="35"/>
        <v>0</v>
      </c>
    </row>
    <row r="1084" spans="1:4" x14ac:dyDescent="0.3">
      <c r="A1084" s="17">
        <v>44491</v>
      </c>
      <c r="B1084">
        <v>0.45</v>
      </c>
      <c r="C1084" s="17">
        <f t="shared" si="34"/>
        <v>44470</v>
      </c>
      <c r="D1084">
        <f t="shared" si="35"/>
        <v>0</v>
      </c>
    </row>
    <row r="1085" spans="1:4" x14ac:dyDescent="0.3">
      <c r="A1085" s="17">
        <v>44490</v>
      </c>
      <c r="B1085">
        <v>0.5</v>
      </c>
      <c r="C1085" s="17">
        <f t="shared" si="34"/>
        <v>44470</v>
      </c>
      <c r="D1085">
        <f t="shared" si="35"/>
        <v>0</v>
      </c>
    </row>
    <row r="1086" spans="1:4" x14ac:dyDescent="0.3">
      <c r="A1086" s="17">
        <v>44489</v>
      </c>
      <c r="B1086">
        <v>0.6</v>
      </c>
      <c r="C1086" s="17">
        <f t="shared" si="34"/>
        <v>44470</v>
      </c>
      <c r="D1086">
        <f t="shared" si="35"/>
        <v>0</v>
      </c>
    </row>
    <row r="1087" spans="1:4" x14ac:dyDescent="0.3">
      <c r="A1087" s="17">
        <v>44488</v>
      </c>
      <c r="B1087">
        <v>0.6</v>
      </c>
      <c r="C1087" s="17">
        <f t="shared" si="34"/>
        <v>44470</v>
      </c>
      <c r="D1087">
        <f t="shared" si="35"/>
        <v>0</v>
      </c>
    </row>
    <row r="1088" spans="1:4" x14ac:dyDescent="0.3">
      <c r="A1088" s="17">
        <v>44487</v>
      </c>
      <c r="B1088">
        <v>0.6</v>
      </c>
      <c r="C1088" s="17">
        <f t="shared" si="34"/>
        <v>44470</v>
      </c>
      <c r="D1088">
        <f t="shared" si="35"/>
        <v>0</v>
      </c>
    </row>
    <row r="1089" spans="1:4" x14ac:dyDescent="0.3">
      <c r="A1089" s="17">
        <v>44484</v>
      </c>
      <c r="B1089">
        <v>0.75</v>
      </c>
      <c r="C1089" s="17">
        <f t="shared" si="34"/>
        <v>44470</v>
      </c>
      <c r="D1089">
        <f t="shared" si="35"/>
        <v>0</v>
      </c>
    </row>
    <row r="1090" spans="1:4" x14ac:dyDescent="0.3">
      <c r="A1090" s="17">
        <v>44483</v>
      </c>
      <c r="B1090">
        <v>0</v>
      </c>
      <c r="C1090" s="17">
        <f t="shared" si="34"/>
        <v>44470</v>
      </c>
      <c r="D1090">
        <f t="shared" si="35"/>
        <v>0</v>
      </c>
    </row>
    <row r="1091" spans="1:4" x14ac:dyDescent="0.3">
      <c r="A1091" s="17">
        <v>44482</v>
      </c>
      <c r="B1091">
        <v>-0.05</v>
      </c>
      <c r="C1091" s="17">
        <f t="shared" si="34"/>
        <v>44470</v>
      </c>
      <c r="D1091">
        <f t="shared" si="35"/>
        <v>0</v>
      </c>
    </row>
    <row r="1092" spans="1:4" x14ac:dyDescent="0.3">
      <c r="A1092" s="17">
        <v>44481</v>
      </c>
      <c r="B1092">
        <v>-0.1</v>
      </c>
      <c r="C1092" s="17">
        <f t="shared" si="34"/>
        <v>44470</v>
      </c>
      <c r="D1092">
        <f t="shared" si="35"/>
        <v>0</v>
      </c>
    </row>
    <row r="1093" spans="1:4" x14ac:dyDescent="0.3">
      <c r="A1093" s="17">
        <v>44480</v>
      </c>
      <c r="B1093">
        <v>-0.2</v>
      </c>
      <c r="C1093" s="17">
        <f t="shared" si="34"/>
        <v>44470</v>
      </c>
      <c r="D1093">
        <f t="shared" si="35"/>
        <v>0</v>
      </c>
    </row>
    <row r="1094" spans="1:4" x14ac:dyDescent="0.3">
      <c r="A1094" s="17">
        <v>44477</v>
      </c>
      <c r="B1094">
        <v>-0.2</v>
      </c>
      <c r="C1094" s="17">
        <f t="shared" ref="C1094:C1157" si="36">+DATE(+YEAR(A1094),+MONTH(A1094),1)</f>
        <v>44470</v>
      </c>
      <c r="D1094">
        <f t="shared" ref="D1094:D1157" si="37">IF(AND(+DAY(A1094)&gt;=1,+DAY(A1094)&lt;= 4), 1, 0)</f>
        <v>0</v>
      </c>
    </row>
    <row r="1095" spans="1:4" x14ac:dyDescent="0.3">
      <c r="A1095" s="17">
        <v>44476</v>
      </c>
      <c r="B1095">
        <v>-0.2</v>
      </c>
      <c r="C1095" s="17">
        <f t="shared" si="36"/>
        <v>44470</v>
      </c>
      <c r="D1095">
        <f t="shared" si="37"/>
        <v>0</v>
      </c>
    </row>
    <row r="1096" spans="1:4" x14ac:dyDescent="0.3">
      <c r="A1096" s="17">
        <v>44475</v>
      </c>
      <c r="B1096">
        <v>-0.2</v>
      </c>
      <c r="C1096" s="17">
        <f t="shared" si="36"/>
        <v>44470</v>
      </c>
      <c r="D1096">
        <f t="shared" si="37"/>
        <v>0</v>
      </c>
    </row>
    <row r="1097" spans="1:4" x14ac:dyDescent="0.3">
      <c r="A1097" s="17">
        <v>44474</v>
      </c>
      <c r="B1097">
        <v>-0.2</v>
      </c>
      <c r="C1097" s="17">
        <f t="shared" si="36"/>
        <v>44470</v>
      </c>
      <c r="D1097">
        <f t="shared" si="37"/>
        <v>0</v>
      </c>
    </row>
    <row r="1098" spans="1:4" x14ac:dyDescent="0.3">
      <c r="A1098" s="17">
        <v>44473</v>
      </c>
      <c r="B1098">
        <v>-0.2</v>
      </c>
      <c r="C1098" s="17">
        <f t="shared" si="36"/>
        <v>44470</v>
      </c>
      <c r="D1098">
        <f t="shared" si="37"/>
        <v>1</v>
      </c>
    </row>
    <row r="1099" spans="1:4" x14ac:dyDescent="0.3">
      <c r="A1099" s="17">
        <v>44470</v>
      </c>
      <c r="B1099">
        <v>-0.2</v>
      </c>
      <c r="C1099" s="17">
        <f t="shared" si="36"/>
        <v>44470</v>
      </c>
      <c r="D1099">
        <f t="shared" si="37"/>
        <v>1</v>
      </c>
    </row>
    <row r="1100" spans="1:4" x14ac:dyDescent="0.3">
      <c r="A1100" s="17">
        <v>44469</v>
      </c>
      <c r="B1100">
        <v>-0.5</v>
      </c>
      <c r="C1100" s="17">
        <f t="shared" si="36"/>
        <v>44440</v>
      </c>
      <c r="D1100">
        <f t="shared" si="37"/>
        <v>0</v>
      </c>
    </row>
    <row r="1101" spans="1:4" x14ac:dyDescent="0.3">
      <c r="A1101" s="17">
        <v>44468</v>
      </c>
      <c r="B1101">
        <v>-0.5</v>
      </c>
      <c r="C1101" s="17">
        <f t="shared" si="36"/>
        <v>44440</v>
      </c>
      <c r="D1101">
        <f t="shared" si="37"/>
        <v>0</v>
      </c>
    </row>
    <row r="1102" spans="1:4" x14ac:dyDescent="0.3">
      <c r="A1102" s="17">
        <v>44467</v>
      </c>
      <c r="B1102">
        <v>-0.5</v>
      </c>
      <c r="C1102" s="17">
        <f t="shared" si="36"/>
        <v>44440</v>
      </c>
      <c r="D1102">
        <f t="shared" si="37"/>
        <v>0</v>
      </c>
    </row>
    <row r="1103" spans="1:4" x14ac:dyDescent="0.3">
      <c r="A1103" s="17">
        <v>44466</v>
      </c>
      <c r="B1103">
        <v>-0.5</v>
      </c>
      <c r="C1103" s="17">
        <f t="shared" si="36"/>
        <v>44440</v>
      </c>
      <c r="D1103">
        <f t="shared" si="37"/>
        <v>0</v>
      </c>
    </row>
    <row r="1104" spans="1:4" x14ac:dyDescent="0.3">
      <c r="A1104" s="17">
        <v>44463</v>
      </c>
      <c r="B1104">
        <v>-0.5</v>
      </c>
      <c r="C1104" s="17">
        <f t="shared" si="36"/>
        <v>44440</v>
      </c>
      <c r="D1104">
        <f t="shared" si="37"/>
        <v>0</v>
      </c>
    </row>
    <row r="1105" spans="1:4" x14ac:dyDescent="0.3">
      <c r="A1105" s="17">
        <v>44462</v>
      </c>
      <c r="B1105">
        <v>-0.3</v>
      </c>
      <c r="C1105" s="17">
        <f t="shared" si="36"/>
        <v>44440</v>
      </c>
      <c r="D1105">
        <f t="shared" si="37"/>
        <v>0</v>
      </c>
    </row>
    <row r="1106" spans="1:4" x14ac:dyDescent="0.3">
      <c r="A1106" s="17">
        <v>44461</v>
      </c>
      <c r="B1106">
        <v>-0.25</v>
      </c>
      <c r="C1106" s="17">
        <f t="shared" si="36"/>
        <v>44440</v>
      </c>
      <c r="D1106">
        <f t="shared" si="37"/>
        <v>0</v>
      </c>
    </row>
    <row r="1107" spans="1:4" x14ac:dyDescent="0.3">
      <c r="A1107" s="17">
        <v>44460</v>
      </c>
      <c r="B1107">
        <v>-0.15</v>
      </c>
      <c r="C1107" s="17">
        <f t="shared" si="36"/>
        <v>44440</v>
      </c>
      <c r="D1107">
        <f t="shared" si="37"/>
        <v>0</v>
      </c>
    </row>
    <row r="1108" spans="1:4" x14ac:dyDescent="0.3">
      <c r="A1108" s="17">
        <v>44459</v>
      </c>
      <c r="B1108">
        <v>-0.05</v>
      </c>
      <c r="C1108" s="17">
        <f t="shared" si="36"/>
        <v>44440</v>
      </c>
      <c r="D1108">
        <f t="shared" si="37"/>
        <v>0</v>
      </c>
    </row>
    <row r="1109" spans="1:4" x14ac:dyDescent="0.3">
      <c r="A1109" s="17">
        <v>44456</v>
      </c>
      <c r="B1109">
        <v>-0.05</v>
      </c>
      <c r="C1109" s="17">
        <f t="shared" si="36"/>
        <v>44440</v>
      </c>
      <c r="D1109">
        <f t="shared" si="37"/>
        <v>0</v>
      </c>
    </row>
    <row r="1110" spans="1:4" x14ac:dyDescent="0.3">
      <c r="A1110" s="17">
        <v>44455</v>
      </c>
      <c r="B1110">
        <v>-0.05</v>
      </c>
      <c r="C1110" s="17">
        <f t="shared" si="36"/>
        <v>44440</v>
      </c>
      <c r="D1110">
        <f t="shared" si="37"/>
        <v>0</v>
      </c>
    </row>
    <row r="1111" spans="1:4" x14ac:dyDescent="0.3">
      <c r="A1111" s="17">
        <v>44454</v>
      </c>
      <c r="B1111">
        <v>-0.05</v>
      </c>
      <c r="C1111" s="17">
        <f t="shared" si="36"/>
        <v>44440</v>
      </c>
      <c r="D1111">
        <f t="shared" si="37"/>
        <v>0</v>
      </c>
    </row>
    <row r="1112" spans="1:4" x14ac:dyDescent="0.3">
      <c r="A1112" s="17">
        <v>44453</v>
      </c>
      <c r="B1112">
        <v>-0.05</v>
      </c>
      <c r="C1112" s="17">
        <f t="shared" si="36"/>
        <v>44440</v>
      </c>
      <c r="D1112">
        <f t="shared" si="37"/>
        <v>0</v>
      </c>
    </row>
    <row r="1113" spans="1:4" x14ac:dyDescent="0.3">
      <c r="A1113" s="17">
        <v>44452</v>
      </c>
      <c r="B1113">
        <v>-0.05</v>
      </c>
      <c r="C1113" s="17">
        <f t="shared" si="36"/>
        <v>44440</v>
      </c>
      <c r="D1113">
        <f t="shared" si="37"/>
        <v>0</v>
      </c>
    </row>
    <row r="1114" spans="1:4" x14ac:dyDescent="0.3">
      <c r="A1114" s="17">
        <v>44449</v>
      </c>
      <c r="B1114">
        <v>-0.05</v>
      </c>
      <c r="C1114" s="17">
        <f t="shared" si="36"/>
        <v>44440</v>
      </c>
      <c r="D1114">
        <f t="shared" si="37"/>
        <v>0</v>
      </c>
    </row>
    <row r="1115" spans="1:4" x14ac:dyDescent="0.3">
      <c r="A1115" s="17">
        <v>44448</v>
      </c>
      <c r="B1115">
        <v>-0.05</v>
      </c>
      <c r="C1115" s="17">
        <f t="shared" si="36"/>
        <v>44440</v>
      </c>
      <c r="D1115">
        <f t="shared" si="37"/>
        <v>0</v>
      </c>
    </row>
    <row r="1116" spans="1:4" x14ac:dyDescent="0.3">
      <c r="A1116" s="17">
        <v>44447</v>
      </c>
      <c r="B1116">
        <v>-0.05</v>
      </c>
      <c r="C1116" s="17">
        <f t="shared" si="36"/>
        <v>44440</v>
      </c>
      <c r="D1116">
        <f t="shared" si="37"/>
        <v>0</v>
      </c>
    </row>
    <row r="1117" spans="1:4" x14ac:dyDescent="0.3">
      <c r="A1117" s="17">
        <v>44446</v>
      </c>
      <c r="B1117">
        <v>-0.05</v>
      </c>
      <c r="C1117" s="17">
        <f t="shared" si="36"/>
        <v>44440</v>
      </c>
      <c r="D1117">
        <f t="shared" si="37"/>
        <v>0</v>
      </c>
    </row>
    <row r="1118" spans="1:4" x14ac:dyDescent="0.3">
      <c r="A1118" s="17">
        <v>44445</v>
      </c>
      <c r="B1118">
        <v>-0.05</v>
      </c>
      <c r="C1118" s="17">
        <f t="shared" si="36"/>
        <v>44440</v>
      </c>
      <c r="D1118">
        <f t="shared" si="37"/>
        <v>0</v>
      </c>
    </row>
    <row r="1119" spans="1:4" x14ac:dyDescent="0.3">
      <c r="A1119" s="17">
        <v>44442</v>
      </c>
      <c r="B1119">
        <v>-0.35</v>
      </c>
      <c r="C1119" s="17">
        <f t="shared" si="36"/>
        <v>44440</v>
      </c>
      <c r="D1119">
        <f t="shared" si="37"/>
        <v>1</v>
      </c>
    </row>
    <row r="1120" spans="1:4" x14ac:dyDescent="0.3">
      <c r="A1120" s="17">
        <v>44441</v>
      </c>
      <c r="B1120">
        <v>-0.35</v>
      </c>
      <c r="C1120" s="17">
        <f t="shared" si="36"/>
        <v>44440</v>
      </c>
      <c r="D1120">
        <f t="shared" si="37"/>
        <v>1</v>
      </c>
    </row>
    <row r="1121" spans="1:4" x14ac:dyDescent="0.3">
      <c r="A1121" s="17">
        <v>44440</v>
      </c>
      <c r="B1121">
        <v>-0.35</v>
      </c>
      <c r="C1121" s="17">
        <f t="shared" si="36"/>
        <v>44440</v>
      </c>
      <c r="D1121">
        <f t="shared" si="37"/>
        <v>1</v>
      </c>
    </row>
    <row r="1122" spans="1:4" x14ac:dyDescent="0.3">
      <c r="A1122" s="17">
        <v>44439</v>
      </c>
      <c r="B1122">
        <v>-0.35</v>
      </c>
      <c r="C1122" s="17">
        <f t="shared" si="36"/>
        <v>44409</v>
      </c>
      <c r="D1122">
        <f t="shared" si="37"/>
        <v>0</v>
      </c>
    </row>
    <row r="1123" spans="1:4" x14ac:dyDescent="0.3">
      <c r="A1123" s="17">
        <v>44438</v>
      </c>
      <c r="B1123">
        <v>-0.35</v>
      </c>
      <c r="C1123" s="17">
        <f t="shared" si="36"/>
        <v>44409</v>
      </c>
      <c r="D1123">
        <f t="shared" si="37"/>
        <v>0</v>
      </c>
    </row>
    <row r="1124" spans="1:4" x14ac:dyDescent="0.3">
      <c r="A1124" s="17">
        <v>44435</v>
      </c>
      <c r="B1124">
        <v>-0.3</v>
      </c>
      <c r="C1124" s="17">
        <f t="shared" si="36"/>
        <v>44409</v>
      </c>
      <c r="D1124">
        <f t="shared" si="37"/>
        <v>0</v>
      </c>
    </row>
    <row r="1125" spans="1:4" x14ac:dyDescent="0.3">
      <c r="A1125" s="17">
        <v>44434</v>
      </c>
      <c r="B1125">
        <v>-0.3</v>
      </c>
      <c r="C1125" s="17">
        <f t="shared" si="36"/>
        <v>44409</v>
      </c>
      <c r="D1125">
        <f t="shared" si="37"/>
        <v>0</v>
      </c>
    </row>
    <row r="1126" spans="1:4" x14ac:dyDescent="0.3">
      <c r="A1126" s="17">
        <v>44433</v>
      </c>
      <c r="B1126">
        <v>-0.3</v>
      </c>
      <c r="C1126" s="17">
        <f t="shared" si="36"/>
        <v>44409</v>
      </c>
      <c r="D1126">
        <f t="shared" si="37"/>
        <v>0</v>
      </c>
    </row>
    <row r="1127" spans="1:4" x14ac:dyDescent="0.3">
      <c r="A1127" s="17">
        <v>44432</v>
      </c>
      <c r="B1127">
        <v>-0.3</v>
      </c>
      <c r="C1127" s="17">
        <f t="shared" si="36"/>
        <v>44409</v>
      </c>
      <c r="D1127">
        <f t="shared" si="37"/>
        <v>0</v>
      </c>
    </row>
    <row r="1128" spans="1:4" x14ac:dyDescent="0.3">
      <c r="A1128" s="17">
        <v>44431</v>
      </c>
      <c r="B1128">
        <v>-0.3</v>
      </c>
      <c r="C1128" s="17">
        <f t="shared" si="36"/>
        <v>44409</v>
      </c>
      <c r="D1128">
        <f t="shared" si="37"/>
        <v>0</v>
      </c>
    </row>
    <row r="1129" spans="1:4" x14ac:dyDescent="0.3">
      <c r="A1129" s="17">
        <v>44428</v>
      </c>
      <c r="B1129">
        <v>-0.3</v>
      </c>
      <c r="C1129" s="17">
        <f t="shared" si="36"/>
        <v>44409</v>
      </c>
      <c r="D1129">
        <f t="shared" si="37"/>
        <v>0</v>
      </c>
    </row>
    <row r="1130" spans="1:4" x14ac:dyDescent="0.3">
      <c r="A1130" s="17">
        <v>44427</v>
      </c>
      <c r="B1130">
        <v>-0.25</v>
      </c>
      <c r="C1130" s="17">
        <f t="shared" si="36"/>
        <v>44409</v>
      </c>
      <c r="D1130">
        <f t="shared" si="37"/>
        <v>0</v>
      </c>
    </row>
    <row r="1131" spans="1:4" x14ac:dyDescent="0.3">
      <c r="A1131" s="17">
        <v>44426</v>
      </c>
      <c r="B1131">
        <v>0.05</v>
      </c>
      <c r="C1131" s="17">
        <f t="shared" si="36"/>
        <v>44409</v>
      </c>
      <c r="D1131">
        <f t="shared" si="37"/>
        <v>0</v>
      </c>
    </row>
    <row r="1132" spans="1:4" x14ac:dyDescent="0.3">
      <c r="A1132" s="17">
        <v>44425</v>
      </c>
      <c r="B1132">
        <v>0.05</v>
      </c>
      <c r="C1132" s="17">
        <f t="shared" si="36"/>
        <v>44409</v>
      </c>
      <c r="D1132">
        <f t="shared" si="37"/>
        <v>0</v>
      </c>
    </row>
    <row r="1133" spans="1:4" x14ac:dyDescent="0.3">
      <c r="A1133" s="17">
        <v>44424</v>
      </c>
      <c r="B1133">
        <v>0.05</v>
      </c>
      <c r="C1133" s="17">
        <f t="shared" si="36"/>
        <v>44409</v>
      </c>
      <c r="D1133">
        <f t="shared" si="37"/>
        <v>0</v>
      </c>
    </row>
    <row r="1134" spans="1:4" x14ac:dyDescent="0.3">
      <c r="A1134" s="17">
        <v>44421</v>
      </c>
      <c r="B1134">
        <v>-0.2</v>
      </c>
      <c r="C1134" s="17">
        <f t="shared" si="36"/>
        <v>44409</v>
      </c>
      <c r="D1134">
        <f t="shared" si="37"/>
        <v>0</v>
      </c>
    </row>
    <row r="1135" spans="1:4" x14ac:dyDescent="0.3">
      <c r="A1135" s="17">
        <v>44420</v>
      </c>
      <c r="B1135">
        <v>-0.2</v>
      </c>
      <c r="C1135" s="17">
        <f t="shared" si="36"/>
        <v>44409</v>
      </c>
      <c r="D1135">
        <f t="shared" si="37"/>
        <v>0</v>
      </c>
    </row>
    <row r="1136" spans="1:4" x14ac:dyDescent="0.3">
      <c r="A1136" s="17">
        <v>44419</v>
      </c>
      <c r="B1136">
        <v>-0.25</v>
      </c>
      <c r="C1136" s="17">
        <f t="shared" si="36"/>
        <v>44409</v>
      </c>
      <c r="D1136">
        <f t="shared" si="37"/>
        <v>0</v>
      </c>
    </row>
    <row r="1137" spans="1:4" x14ac:dyDescent="0.3">
      <c r="A1137" s="17">
        <v>44418</v>
      </c>
      <c r="B1137">
        <v>-0.25</v>
      </c>
      <c r="C1137" s="17">
        <f t="shared" si="36"/>
        <v>44409</v>
      </c>
      <c r="D1137">
        <f t="shared" si="37"/>
        <v>0</v>
      </c>
    </row>
    <row r="1138" spans="1:4" x14ac:dyDescent="0.3">
      <c r="A1138" s="17">
        <v>44414</v>
      </c>
      <c r="B1138">
        <v>-0.25</v>
      </c>
      <c r="C1138" s="17">
        <f t="shared" si="36"/>
        <v>44409</v>
      </c>
      <c r="D1138">
        <f t="shared" si="37"/>
        <v>0</v>
      </c>
    </row>
    <row r="1139" spans="1:4" x14ac:dyDescent="0.3">
      <c r="A1139" s="17">
        <v>44413</v>
      </c>
      <c r="B1139">
        <v>-0.25</v>
      </c>
      <c r="C1139" s="17">
        <f t="shared" si="36"/>
        <v>44409</v>
      </c>
      <c r="D1139">
        <f t="shared" si="37"/>
        <v>0</v>
      </c>
    </row>
    <row r="1140" spans="1:4" x14ac:dyDescent="0.3">
      <c r="A1140" s="17">
        <v>44412</v>
      </c>
      <c r="B1140">
        <v>-0.15</v>
      </c>
      <c r="C1140" s="17">
        <f t="shared" si="36"/>
        <v>44409</v>
      </c>
      <c r="D1140">
        <f t="shared" si="37"/>
        <v>1</v>
      </c>
    </row>
    <row r="1141" spans="1:4" x14ac:dyDescent="0.3">
      <c r="A1141" s="17">
        <v>44411</v>
      </c>
      <c r="B1141">
        <v>-0.15</v>
      </c>
      <c r="C1141" s="17">
        <f t="shared" si="36"/>
        <v>44409</v>
      </c>
      <c r="D1141">
        <f t="shared" si="37"/>
        <v>1</v>
      </c>
    </row>
    <row r="1142" spans="1:4" x14ac:dyDescent="0.3">
      <c r="A1142" s="17">
        <v>44410</v>
      </c>
      <c r="B1142">
        <v>-0.15</v>
      </c>
      <c r="C1142" s="17">
        <f t="shared" si="36"/>
        <v>44409</v>
      </c>
      <c r="D1142">
        <f t="shared" si="37"/>
        <v>1</v>
      </c>
    </row>
    <row r="1143" spans="1:4" x14ac:dyDescent="0.3">
      <c r="A1143" s="17">
        <v>44407</v>
      </c>
      <c r="B1143">
        <v>-0.35</v>
      </c>
      <c r="C1143" s="17">
        <f t="shared" si="36"/>
        <v>44378</v>
      </c>
      <c r="D1143">
        <f t="shared" si="37"/>
        <v>0</v>
      </c>
    </row>
    <row r="1144" spans="1:4" x14ac:dyDescent="0.3">
      <c r="A1144" s="17">
        <v>44406</v>
      </c>
      <c r="B1144">
        <v>-0.2</v>
      </c>
      <c r="C1144" s="17">
        <f t="shared" si="36"/>
        <v>44378</v>
      </c>
      <c r="D1144">
        <f t="shared" si="37"/>
        <v>0</v>
      </c>
    </row>
    <row r="1145" spans="1:4" x14ac:dyDescent="0.3">
      <c r="A1145" s="17">
        <v>44405</v>
      </c>
      <c r="B1145">
        <v>-0.2</v>
      </c>
      <c r="C1145" s="17">
        <f t="shared" si="36"/>
        <v>44378</v>
      </c>
      <c r="D1145">
        <f t="shared" si="37"/>
        <v>0</v>
      </c>
    </row>
    <row r="1146" spans="1:4" x14ac:dyDescent="0.3">
      <c r="A1146" s="17">
        <v>44404</v>
      </c>
      <c r="B1146">
        <v>-0.15</v>
      </c>
      <c r="C1146" s="17">
        <f t="shared" si="36"/>
        <v>44378</v>
      </c>
      <c r="D1146">
        <f t="shared" si="37"/>
        <v>0</v>
      </c>
    </row>
    <row r="1147" spans="1:4" x14ac:dyDescent="0.3">
      <c r="A1147" s="17">
        <v>44403</v>
      </c>
      <c r="B1147">
        <v>-0.05</v>
      </c>
      <c r="C1147" s="17">
        <f t="shared" si="36"/>
        <v>44378</v>
      </c>
      <c r="D1147">
        <f t="shared" si="37"/>
        <v>0</v>
      </c>
    </row>
    <row r="1148" spans="1:4" x14ac:dyDescent="0.3">
      <c r="A1148" s="17">
        <v>44400</v>
      </c>
      <c r="B1148">
        <v>-0.05</v>
      </c>
      <c r="C1148" s="17">
        <f t="shared" si="36"/>
        <v>44378</v>
      </c>
      <c r="D1148">
        <f t="shared" si="37"/>
        <v>0</v>
      </c>
    </row>
    <row r="1149" spans="1:4" x14ac:dyDescent="0.3">
      <c r="A1149" s="17">
        <v>44399</v>
      </c>
      <c r="B1149">
        <v>-0.05</v>
      </c>
      <c r="C1149" s="17">
        <f t="shared" si="36"/>
        <v>44378</v>
      </c>
      <c r="D1149">
        <f t="shared" si="37"/>
        <v>0</v>
      </c>
    </row>
    <row r="1150" spans="1:4" x14ac:dyDescent="0.3">
      <c r="A1150" s="17">
        <v>44398</v>
      </c>
      <c r="B1150">
        <v>0</v>
      </c>
      <c r="C1150" s="17">
        <f t="shared" si="36"/>
        <v>44378</v>
      </c>
      <c r="D1150">
        <f t="shared" si="37"/>
        <v>0</v>
      </c>
    </row>
    <row r="1151" spans="1:4" x14ac:dyDescent="0.3">
      <c r="A1151" s="17">
        <v>44396</v>
      </c>
      <c r="B1151">
        <v>0.4</v>
      </c>
      <c r="C1151" s="17">
        <f t="shared" si="36"/>
        <v>44378</v>
      </c>
      <c r="D1151">
        <f t="shared" si="37"/>
        <v>0</v>
      </c>
    </row>
    <row r="1152" spans="1:4" x14ac:dyDescent="0.3">
      <c r="A1152" s="17">
        <v>44393</v>
      </c>
      <c r="B1152">
        <v>0.45</v>
      </c>
      <c r="C1152" s="17">
        <f t="shared" si="36"/>
        <v>44378</v>
      </c>
      <c r="D1152">
        <f t="shared" si="37"/>
        <v>0</v>
      </c>
    </row>
    <row r="1153" spans="1:4" x14ac:dyDescent="0.3">
      <c r="A1153" s="17">
        <v>44392</v>
      </c>
      <c r="B1153">
        <v>0.45</v>
      </c>
      <c r="C1153" s="17">
        <f t="shared" si="36"/>
        <v>44378</v>
      </c>
      <c r="D1153">
        <f t="shared" si="37"/>
        <v>0</v>
      </c>
    </row>
    <row r="1154" spans="1:4" x14ac:dyDescent="0.3">
      <c r="A1154" s="17">
        <v>44391</v>
      </c>
      <c r="B1154">
        <v>0.5</v>
      </c>
      <c r="C1154" s="17">
        <f t="shared" si="36"/>
        <v>44378</v>
      </c>
      <c r="D1154">
        <f t="shared" si="37"/>
        <v>0</v>
      </c>
    </row>
    <row r="1155" spans="1:4" x14ac:dyDescent="0.3">
      <c r="A1155" s="17">
        <v>44390</v>
      </c>
      <c r="B1155">
        <v>0.5</v>
      </c>
      <c r="C1155" s="17">
        <f t="shared" si="36"/>
        <v>44378</v>
      </c>
      <c r="D1155">
        <f t="shared" si="37"/>
        <v>0</v>
      </c>
    </row>
    <row r="1156" spans="1:4" x14ac:dyDescent="0.3">
      <c r="A1156" s="17">
        <v>44389</v>
      </c>
      <c r="B1156">
        <v>0.5</v>
      </c>
      <c r="C1156" s="17">
        <f t="shared" si="36"/>
        <v>44378</v>
      </c>
      <c r="D1156">
        <f t="shared" si="37"/>
        <v>0</v>
      </c>
    </row>
    <row r="1157" spans="1:4" x14ac:dyDescent="0.3">
      <c r="A1157" s="17">
        <v>44386</v>
      </c>
      <c r="B1157">
        <v>0.5</v>
      </c>
      <c r="C1157" s="17">
        <f t="shared" si="36"/>
        <v>44378</v>
      </c>
      <c r="D1157">
        <f t="shared" si="37"/>
        <v>0</v>
      </c>
    </row>
    <row r="1158" spans="1:4" x14ac:dyDescent="0.3">
      <c r="A1158" s="17">
        <v>44385</v>
      </c>
      <c r="B1158">
        <v>0.4</v>
      </c>
      <c r="C1158" s="17">
        <f t="shared" ref="C1158:C1221" si="38">+DATE(+YEAR(A1158),+MONTH(A1158),1)</f>
        <v>44378</v>
      </c>
      <c r="D1158">
        <f t="shared" ref="D1158:D1221" si="39">IF(AND(+DAY(A1158)&gt;=1,+DAY(A1158)&lt;= 4), 1, 0)</f>
        <v>0</v>
      </c>
    </row>
    <row r="1159" spans="1:4" x14ac:dyDescent="0.3">
      <c r="A1159" s="17">
        <v>44384</v>
      </c>
      <c r="B1159">
        <v>0.4</v>
      </c>
      <c r="C1159" s="17">
        <f t="shared" si="38"/>
        <v>44378</v>
      </c>
      <c r="D1159">
        <f t="shared" si="39"/>
        <v>0</v>
      </c>
    </row>
    <row r="1160" spans="1:4" x14ac:dyDescent="0.3">
      <c r="A1160" s="17">
        <v>44383</v>
      </c>
      <c r="B1160">
        <v>0.4</v>
      </c>
      <c r="C1160" s="17">
        <f t="shared" si="38"/>
        <v>44378</v>
      </c>
      <c r="D1160">
        <f t="shared" si="39"/>
        <v>0</v>
      </c>
    </row>
    <row r="1161" spans="1:4" x14ac:dyDescent="0.3">
      <c r="A1161" s="17">
        <v>44382</v>
      </c>
      <c r="B1161">
        <v>0.4</v>
      </c>
      <c r="C1161" s="17">
        <f t="shared" si="38"/>
        <v>44378</v>
      </c>
      <c r="D1161">
        <f t="shared" si="39"/>
        <v>0</v>
      </c>
    </row>
    <row r="1162" spans="1:4" x14ac:dyDescent="0.3">
      <c r="A1162" s="17">
        <v>44379</v>
      </c>
      <c r="B1162">
        <v>0.4</v>
      </c>
      <c r="C1162" s="17">
        <f t="shared" si="38"/>
        <v>44378</v>
      </c>
      <c r="D1162">
        <f t="shared" si="39"/>
        <v>1</v>
      </c>
    </row>
    <row r="1163" spans="1:4" x14ac:dyDescent="0.3">
      <c r="A1163" s="17">
        <v>44378</v>
      </c>
      <c r="B1163">
        <v>0.4</v>
      </c>
      <c r="C1163" s="17">
        <f t="shared" si="38"/>
        <v>44378</v>
      </c>
      <c r="D1163">
        <f t="shared" si="39"/>
        <v>1</v>
      </c>
    </row>
    <row r="1164" spans="1:4" x14ac:dyDescent="0.3">
      <c r="A1164" s="17">
        <v>44377</v>
      </c>
      <c r="B1164">
        <v>0.55000000000000004</v>
      </c>
      <c r="C1164" s="17">
        <f t="shared" si="38"/>
        <v>44348</v>
      </c>
      <c r="D1164">
        <f t="shared" si="39"/>
        <v>0</v>
      </c>
    </row>
    <row r="1165" spans="1:4" x14ac:dyDescent="0.3">
      <c r="A1165" s="17">
        <v>44376</v>
      </c>
      <c r="B1165">
        <v>0.55000000000000004</v>
      </c>
      <c r="C1165" s="17">
        <f t="shared" si="38"/>
        <v>44348</v>
      </c>
      <c r="D1165">
        <f t="shared" si="39"/>
        <v>0</v>
      </c>
    </row>
    <row r="1166" spans="1:4" x14ac:dyDescent="0.3">
      <c r="A1166" s="17">
        <v>44375</v>
      </c>
      <c r="B1166">
        <v>0.55000000000000004</v>
      </c>
      <c r="C1166" s="17">
        <f t="shared" si="38"/>
        <v>44348</v>
      </c>
      <c r="D1166">
        <f t="shared" si="39"/>
        <v>0</v>
      </c>
    </row>
    <row r="1167" spans="1:4" x14ac:dyDescent="0.3">
      <c r="A1167" s="17">
        <v>44372</v>
      </c>
      <c r="B1167">
        <v>0.5</v>
      </c>
      <c r="C1167" s="17">
        <f t="shared" si="38"/>
        <v>44348</v>
      </c>
      <c r="D1167">
        <f t="shared" si="39"/>
        <v>0</v>
      </c>
    </row>
    <row r="1168" spans="1:4" x14ac:dyDescent="0.3">
      <c r="A1168" s="17">
        <v>44371</v>
      </c>
      <c r="B1168">
        <v>0.5</v>
      </c>
      <c r="C1168" s="17">
        <f t="shared" si="38"/>
        <v>44348</v>
      </c>
      <c r="D1168">
        <f t="shared" si="39"/>
        <v>0</v>
      </c>
    </row>
    <row r="1169" spans="1:4" x14ac:dyDescent="0.3">
      <c r="A1169" s="17">
        <v>44370</v>
      </c>
      <c r="B1169">
        <v>0.55000000000000004</v>
      </c>
      <c r="C1169" s="17">
        <f t="shared" si="38"/>
        <v>44348</v>
      </c>
      <c r="D1169">
        <f t="shared" si="39"/>
        <v>0</v>
      </c>
    </row>
    <row r="1170" spans="1:4" x14ac:dyDescent="0.3">
      <c r="A1170" s="17">
        <v>44369</v>
      </c>
      <c r="B1170">
        <v>0.55000000000000004</v>
      </c>
      <c r="C1170" s="17">
        <f t="shared" si="38"/>
        <v>44348</v>
      </c>
      <c r="D1170">
        <f t="shared" si="39"/>
        <v>0</v>
      </c>
    </row>
    <row r="1171" spans="1:4" x14ac:dyDescent="0.3">
      <c r="A1171" s="17">
        <v>44368</v>
      </c>
      <c r="B1171">
        <v>0.55000000000000004</v>
      </c>
      <c r="C1171" s="17">
        <f t="shared" si="38"/>
        <v>44348</v>
      </c>
      <c r="D1171">
        <f t="shared" si="39"/>
        <v>0</v>
      </c>
    </row>
    <row r="1172" spans="1:4" x14ac:dyDescent="0.3">
      <c r="A1172" s="17">
        <v>44365</v>
      </c>
      <c r="B1172">
        <v>0.55000000000000004</v>
      </c>
      <c r="C1172" s="17">
        <f t="shared" si="38"/>
        <v>44348</v>
      </c>
      <c r="D1172">
        <f t="shared" si="39"/>
        <v>0</v>
      </c>
    </row>
    <row r="1173" spans="1:4" x14ac:dyDescent="0.3">
      <c r="A1173" s="17">
        <v>44364</v>
      </c>
      <c r="B1173">
        <v>0.55000000000000004</v>
      </c>
      <c r="C1173" s="17">
        <f t="shared" si="38"/>
        <v>44348</v>
      </c>
      <c r="D1173">
        <f t="shared" si="39"/>
        <v>0</v>
      </c>
    </row>
    <row r="1174" spans="1:4" x14ac:dyDescent="0.3">
      <c r="A1174" s="17">
        <v>44363</v>
      </c>
      <c r="B1174">
        <v>0.55000000000000004</v>
      </c>
      <c r="C1174" s="17">
        <f t="shared" si="38"/>
        <v>44348</v>
      </c>
      <c r="D1174">
        <f t="shared" si="39"/>
        <v>0</v>
      </c>
    </row>
    <row r="1175" spans="1:4" x14ac:dyDescent="0.3">
      <c r="A1175" s="17">
        <v>44362</v>
      </c>
      <c r="B1175">
        <v>0.65</v>
      </c>
      <c r="C1175" s="17">
        <f t="shared" si="38"/>
        <v>44348</v>
      </c>
      <c r="D1175">
        <f t="shared" si="39"/>
        <v>0</v>
      </c>
    </row>
    <row r="1176" spans="1:4" x14ac:dyDescent="0.3">
      <c r="A1176" s="17">
        <v>44361</v>
      </c>
      <c r="B1176">
        <v>0.6</v>
      </c>
      <c r="C1176" s="17">
        <f t="shared" si="38"/>
        <v>44348</v>
      </c>
      <c r="D1176">
        <f t="shared" si="39"/>
        <v>0</v>
      </c>
    </row>
    <row r="1177" spans="1:4" x14ac:dyDescent="0.3">
      <c r="A1177" s="17">
        <v>44358</v>
      </c>
      <c r="B1177">
        <v>0.5</v>
      </c>
      <c r="C1177" s="17">
        <f t="shared" si="38"/>
        <v>44348</v>
      </c>
      <c r="D1177">
        <f t="shared" si="39"/>
        <v>0</v>
      </c>
    </row>
    <row r="1178" spans="1:4" x14ac:dyDescent="0.3">
      <c r="A1178" s="17">
        <v>44357</v>
      </c>
      <c r="B1178">
        <v>0.4</v>
      </c>
      <c r="C1178" s="17">
        <f t="shared" si="38"/>
        <v>44348</v>
      </c>
      <c r="D1178">
        <f t="shared" si="39"/>
        <v>0</v>
      </c>
    </row>
    <row r="1179" spans="1:4" x14ac:dyDescent="0.3">
      <c r="A1179" s="17">
        <v>44356</v>
      </c>
      <c r="B1179">
        <v>0.3</v>
      </c>
      <c r="C1179" s="17">
        <f t="shared" si="38"/>
        <v>44348</v>
      </c>
      <c r="D1179">
        <f t="shared" si="39"/>
        <v>0</v>
      </c>
    </row>
    <row r="1180" spans="1:4" x14ac:dyDescent="0.3">
      <c r="A1180" s="17">
        <v>44355</v>
      </c>
      <c r="B1180">
        <v>0.3</v>
      </c>
      <c r="C1180" s="17">
        <f t="shared" si="38"/>
        <v>44348</v>
      </c>
      <c r="D1180">
        <f t="shared" si="39"/>
        <v>0</v>
      </c>
    </row>
    <row r="1181" spans="1:4" x14ac:dyDescent="0.3">
      <c r="A1181" s="17">
        <v>44354</v>
      </c>
      <c r="B1181">
        <v>0.3</v>
      </c>
      <c r="C1181" s="17">
        <f t="shared" si="38"/>
        <v>44348</v>
      </c>
      <c r="D1181">
        <f t="shared" si="39"/>
        <v>0</v>
      </c>
    </row>
    <row r="1182" spans="1:4" x14ac:dyDescent="0.3">
      <c r="A1182" s="17">
        <v>44351</v>
      </c>
      <c r="B1182">
        <v>0.3</v>
      </c>
      <c r="C1182" s="17">
        <f t="shared" si="38"/>
        <v>44348</v>
      </c>
      <c r="D1182">
        <f t="shared" si="39"/>
        <v>1</v>
      </c>
    </row>
    <row r="1183" spans="1:4" x14ac:dyDescent="0.3">
      <c r="A1183" s="17">
        <v>44350</v>
      </c>
      <c r="B1183">
        <v>0.2</v>
      </c>
      <c r="C1183" s="17">
        <f t="shared" si="38"/>
        <v>44348</v>
      </c>
      <c r="D1183">
        <f t="shared" si="39"/>
        <v>1</v>
      </c>
    </row>
    <row r="1184" spans="1:4" x14ac:dyDescent="0.3">
      <c r="A1184" s="17">
        <v>44349</v>
      </c>
      <c r="B1184">
        <v>0.2</v>
      </c>
      <c r="C1184" s="17">
        <f t="shared" si="38"/>
        <v>44348</v>
      </c>
      <c r="D1184">
        <f t="shared" si="39"/>
        <v>1</v>
      </c>
    </row>
    <row r="1185" spans="1:4" x14ac:dyDescent="0.3">
      <c r="A1185" s="17">
        <v>44348</v>
      </c>
      <c r="B1185">
        <v>0.2</v>
      </c>
      <c r="C1185" s="17">
        <f t="shared" si="38"/>
        <v>44348</v>
      </c>
      <c r="D1185">
        <f t="shared" si="39"/>
        <v>1</v>
      </c>
    </row>
    <row r="1186" spans="1:4" x14ac:dyDescent="0.3">
      <c r="A1186" s="17">
        <v>44347</v>
      </c>
      <c r="B1186">
        <v>0.1</v>
      </c>
      <c r="C1186" s="17">
        <f t="shared" si="38"/>
        <v>44317</v>
      </c>
      <c r="D1186">
        <f t="shared" si="39"/>
        <v>0</v>
      </c>
    </row>
    <row r="1187" spans="1:4" x14ac:dyDescent="0.3">
      <c r="A1187" s="17">
        <v>44344</v>
      </c>
      <c r="B1187">
        <v>0.1</v>
      </c>
      <c r="C1187" s="17">
        <f t="shared" si="38"/>
        <v>44317</v>
      </c>
      <c r="D1187">
        <f t="shared" si="39"/>
        <v>0</v>
      </c>
    </row>
    <row r="1188" spans="1:4" x14ac:dyDescent="0.3">
      <c r="A1188" s="17">
        <v>44343</v>
      </c>
      <c r="B1188">
        <v>0.1</v>
      </c>
      <c r="C1188" s="17">
        <f t="shared" si="38"/>
        <v>44317</v>
      </c>
      <c r="D1188">
        <f t="shared" si="39"/>
        <v>0</v>
      </c>
    </row>
    <row r="1189" spans="1:4" x14ac:dyDescent="0.3">
      <c r="A1189" s="17">
        <v>44341</v>
      </c>
      <c r="B1189">
        <v>0.2</v>
      </c>
      <c r="C1189" s="17">
        <f t="shared" si="38"/>
        <v>44317</v>
      </c>
      <c r="D1189">
        <f t="shared" si="39"/>
        <v>0</v>
      </c>
    </row>
    <row r="1190" spans="1:4" x14ac:dyDescent="0.3">
      <c r="A1190" s="17">
        <v>44340</v>
      </c>
      <c r="B1190">
        <v>0.2</v>
      </c>
      <c r="C1190" s="17">
        <f t="shared" si="38"/>
        <v>44317</v>
      </c>
      <c r="D1190">
        <f t="shared" si="39"/>
        <v>0</v>
      </c>
    </row>
    <row r="1191" spans="1:4" x14ac:dyDescent="0.3">
      <c r="A1191" s="17">
        <v>44337</v>
      </c>
      <c r="B1191">
        <v>0.2</v>
      </c>
      <c r="C1191" s="17">
        <f t="shared" si="38"/>
        <v>44317</v>
      </c>
      <c r="D1191">
        <f t="shared" si="39"/>
        <v>0</v>
      </c>
    </row>
    <row r="1192" spans="1:4" x14ac:dyDescent="0.3">
      <c r="A1192" s="17">
        <v>44336</v>
      </c>
      <c r="B1192">
        <v>0.2</v>
      </c>
      <c r="C1192" s="17">
        <f t="shared" si="38"/>
        <v>44317</v>
      </c>
      <c r="D1192">
        <f t="shared" si="39"/>
        <v>0</v>
      </c>
    </row>
    <row r="1193" spans="1:4" x14ac:dyDescent="0.3">
      <c r="A1193" s="17">
        <v>44335</v>
      </c>
      <c r="B1193">
        <v>0.2</v>
      </c>
      <c r="C1193" s="17">
        <f t="shared" si="38"/>
        <v>44317</v>
      </c>
      <c r="D1193">
        <f t="shared" si="39"/>
        <v>0</v>
      </c>
    </row>
    <row r="1194" spans="1:4" x14ac:dyDescent="0.3">
      <c r="A1194" s="17">
        <v>44334</v>
      </c>
      <c r="B1194">
        <v>0.3</v>
      </c>
      <c r="C1194" s="17">
        <f t="shared" si="38"/>
        <v>44317</v>
      </c>
      <c r="D1194">
        <f t="shared" si="39"/>
        <v>0</v>
      </c>
    </row>
    <row r="1195" spans="1:4" x14ac:dyDescent="0.3">
      <c r="A1195" s="17">
        <v>44333</v>
      </c>
      <c r="B1195">
        <v>0.3</v>
      </c>
      <c r="C1195" s="17">
        <f t="shared" si="38"/>
        <v>44317</v>
      </c>
      <c r="D1195">
        <f t="shared" si="39"/>
        <v>0</v>
      </c>
    </row>
    <row r="1196" spans="1:4" x14ac:dyDescent="0.3">
      <c r="A1196" s="17">
        <v>44330</v>
      </c>
      <c r="B1196">
        <v>0.3</v>
      </c>
      <c r="C1196" s="17">
        <f t="shared" si="38"/>
        <v>44317</v>
      </c>
      <c r="D1196">
        <f t="shared" si="39"/>
        <v>0</v>
      </c>
    </row>
    <row r="1197" spans="1:4" x14ac:dyDescent="0.3">
      <c r="A1197" s="17">
        <v>44328</v>
      </c>
      <c r="B1197">
        <v>0.3</v>
      </c>
      <c r="C1197" s="17">
        <f t="shared" si="38"/>
        <v>44317</v>
      </c>
      <c r="D1197">
        <f t="shared" si="39"/>
        <v>0</v>
      </c>
    </row>
    <row r="1198" spans="1:4" x14ac:dyDescent="0.3">
      <c r="A1198" s="17">
        <v>44327</v>
      </c>
      <c r="B1198">
        <v>0.3</v>
      </c>
      <c r="C1198" s="17">
        <f t="shared" si="38"/>
        <v>44317</v>
      </c>
      <c r="D1198">
        <f t="shared" si="39"/>
        <v>0</v>
      </c>
    </row>
    <row r="1199" spans="1:4" x14ac:dyDescent="0.3">
      <c r="A1199" s="17">
        <v>44326</v>
      </c>
      <c r="B1199">
        <v>0.15</v>
      </c>
      <c r="C1199" s="17">
        <f t="shared" si="38"/>
        <v>44317</v>
      </c>
      <c r="D1199">
        <f t="shared" si="39"/>
        <v>0</v>
      </c>
    </row>
    <row r="1200" spans="1:4" x14ac:dyDescent="0.3">
      <c r="A1200" s="17">
        <v>44323</v>
      </c>
      <c r="B1200">
        <v>0.15</v>
      </c>
      <c r="C1200" s="17">
        <f t="shared" si="38"/>
        <v>44317</v>
      </c>
      <c r="D1200">
        <f t="shared" si="39"/>
        <v>0</v>
      </c>
    </row>
    <row r="1201" spans="1:4" x14ac:dyDescent="0.3">
      <c r="A1201" s="17">
        <v>44322</v>
      </c>
      <c r="B1201">
        <v>0.15</v>
      </c>
      <c r="C1201" s="17">
        <f t="shared" si="38"/>
        <v>44317</v>
      </c>
      <c r="D1201">
        <f t="shared" si="39"/>
        <v>0</v>
      </c>
    </row>
    <row r="1202" spans="1:4" x14ac:dyDescent="0.3">
      <c r="A1202" s="17">
        <v>44321</v>
      </c>
      <c r="B1202">
        <v>0.15</v>
      </c>
      <c r="C1202" s="17">
        <f t="shared" si="38"/>
        <v>44317</v>
      </c>
      <c r="D1202">
        <f t="shared" si="39"/>
        <v>0</v>
      </c>
    </row>
    <row r="1203" spans="1:4" x14ac:dyDescent="0.3">
      <c r="A1203" s="17">
        <v>44320</v>
      </c>
      <c r="B1203">
        <v>0.15</v>
      </c>
      <c r="C1203" s="17">
        <f t="shared" si="38"/>
        <v>44317</v>
      </c>
      <c r="D1203">
        <f t="shared" si="39"/>
        <v>1</v>
      </c>
    </row>
    <row r="1204" spans="1:4" x14ac:dyDescent="0.3">
      <c r="A1204" s="17">
        <v>44319</v>
      </c>
      <c r="B1204">
        <v>0.15</v>
      </c>
      <c r="C1204" s="17">
        <f t="shared" si="38"/>
        <v>44317</v>
      </c>
      <c r="D1204">
        <f t="shared" si="39"/>
        <v>1</v>
      </c>
    </row>
    <row r="1205" spans="1:4" x14ac:dyDescent="0.3">
      <c r="A1205" s="17">
        <v>44316</v>
      </c>
      <c r="B1205">
        <v>0.15</v>
      </c>
      <c r="C1205" s="17">
        <f t="shared" si="38"/>
        <v>44287</v>
      </c>
      <c r="D1205">
        <f t="shared" si="39"/>
        <v>0</v>
      </c>
    </row>
    <row r="1206" spans="1:4" x14ac:dyDescent="0.3">
      <c r="A1206" s="17">
        <v>44315</v>
      </c>
      <c r="B1206">
        <v>0.15</v>
      </c>
      <c r="C1206" s="17">
        <f t="shared" si="38"/>
        <v>44287</v>
      </c>
      <c r="D1206">
        <f t="shared" si="39"/>
        <v>0</v>
      </c>
    </row>
    <row r="1207" spans="1:4" x14ac:dyDescent="0.3">
      <c r="A1207" s="17">
        <v>44314</v>
      </c>
      <c r="B1207">
        <v>0.15</v>
      </c>
      <c r="C1207" s="17">
        <f t="shared" si="38"/>
        <v>44287</v>
      </c>
      <c r="D1207">
        <f t="shared" si="39"/>
        <v>0</v>
      </c>
    </row>
    <row r="1208" spans="1:4" x14ac:dyDescent="0.3">
      <c r="A1208" s="17">
        <v>44313</v>
      </c>
      <c r="B1208">
        <v>0.2</v>
      </c>
      <c r="C1208" s="17">
        <f t="shared" si="38"/>
        <v>44287</v>
      </c>
      <c r="D1208">
        <f t="shared" si="39"/>
        <v>0</v>
      </c>
    </row>
    <row r="1209" spans="1:4" x14ac:dyDescent="0.3">
      <c r="A1209" s="17">
        <v>44312</v>
      </c>
      <c r="B1209">
        <v>0.25</v>
      </c>
      <c r="C1209" s="17">
        <f t="shared" si="38"/>
        <v>44287</v>
      </c>
      <c r="D1209">
        <f t="shared" si="39"/>
        <v>0</v>
      </c>
    </row>
    <row r="1210" spans="1:4" x14ac:dyDescent="0.3">
      <c r="A1210" s="17">
        <v>44309</v>
      </c>
      <c r="B1210">
        <v>0.2</v>
      </c>
      <c r="C1210" s="17">
        <f t="shared" si="38"/>
        <v>44287</v>
      </c>
      <c r="D1210">
        <f t="shared" si="39"/>
        <v>0</v>
      </c>
    </row>
    <row r="1211" spans="1:4" x14ac:dyDescent="0.3">
      <c r="A1211" s="17">
        <v>44308</v>
      </c>
      <c r="B1211">
        <v>0.35</v>
      </c>
      <c r="C1211" s="17">
        <f t="shared" si="38"/>
        <v>44287</v>
      </c>
      <c r="D1211">
        <f t="shared" si="39"/>
        <v>0</v>
      </c>
    </row>
    <row r="1212" spans="1:4" x14ac:dyDescent="0.3">
      <c r="A1212" s="17">
        <v>44307</v>
      </c>
      <c r="B1212">
        <v>0.35</v>
      </c>
      <c r="C1212" s="17">
        <f t="shared" si="38"/>
        <v>44287</v>
      </c>
      <c r="D1212">
        <f t="shared" si="39"/>
        <v>0</v>
      </c>
    </row>
    <row r="1213" spans="1:4" x14ac:dyDescent="0.3">
      <c r="A1213" s="17">
        <v>44306</v>
      </c>
      <c r="B1213">
        <v>0.35</v>
      </c>
      <c r="C1213" s="17">
        <f t="shared" si="38"/>
        <v>44287</v>
      </c>
      <c r="D1213">
        <f t="shared" si="39"/>
        <v>0</v>
      </c>
    </row>
    <row r="1214" spans="1:4" x14ac:dyDescent="0.3">
      <c r="A1214" s="17">
        <v>44305</v>
      </c>
      <c r="B1214">
        <v>0.3</v>
      </c>
      <c r="C1214" s="17">
        <f t="shared" si="38"/>
        <v>44287</v>
      </c>
      <c r="D1214">
        <f t="shared" si="39"/>
        <v>0</v>
      </c>
    </row>
    <row r="1215" spans="1:4" x14ac:dyDescent="0.3">
      <c r="A1215" s="17">
        <v>44302</v>
      </c>
      <c r="B1215">
        <v>0.4</v>
      </c>
      <c r="C1215" s="17">
        <f t="shared" si="38"/>
        <v>44287</v>
      </c>
      <c r="D1215">
        <f t="shared" si="39"/>
        <v>0</v>
      </c>
    </row>
    <row r="1216" spans="1:4" x14ac:dyDescent="0.3">
      <c r="A1216" s="17">
        <v>44301</v>
      </c>
      <c r="B1216">
        <v>0.4</v>
      </c>
      <c r="C1216" s="17">
        <f t="shared" si="38"/>
        <v>44287</v>
      </c>
      <c r="D1216">
        <f t="shared" si="39"/>
        <v>0</v>
      </c>
    </row>
    <row r="1217" spans="1:4" x14ac:dyDescent="0.3">
      <c r="A1217" s="17">
        <v>44300</v>
      </c>
      <c r="B1217">
        <v>0.4</v>
      </c>
      <c r="C1217" s="17">
        <f t="shared" si="38"/>
        <v>44287</v>
      </c>
      <c r="D1217">
        <f t="shared" si="39"/>
        <v>0</v>
      </c>
    </row>
    <row r="1218" spans="1:4" x14ac:dyDescent="0.3">
      <c r="A1218" s="17">
        <v>44299</v>
      </c>
      <c r="B1218">
        <v>0.4</v>
      </c>
      <c r="C1218" s="17">
        <f t="shared" si="38"/>
        <v>44287</v>
      </c>
      <c r="D1218">
        <f t="shared" si="39"/>
        <v>0</v>
      </c>
    </row>
    <row r="1219" spans="1:4" x14ac:dyDescent="0.3">
      <c r="A1219" s="17">
        <v>44298</v>
      </c>
      <c r="B1219">
        <v>0.4</v>
      </c>
      <c r="C1219" s="17">
        <f t="shared" si="38"/>
        <v>44287</v>
      </c>
      <c r="D1219">
        <f t="shared" si="39"/>
        <v>0</v>
      </c>
    </row>
    <row r="1220" spans="1:4" x14ac:dyDescent="0.3">
      <c r="A1220" s="17">
        <v>44295</v>
      </c>
      <c r="B1220">
        <v>0.5</v>
      </c>
      <c r="C1220" s="17">
        <f t="shared" si="38"/>
        <v>44287</v>
      </c>
      <c r="D1220">
        <f t="shared" si="39"/>
        <v>0</v>
      </c>
    </row>
    <row r="1221" spans="1:4" x14ac:dyDescent="0.3">
      <c r="A1221" s="17">
        <v>44294</v>
      </c>
      <c r="B1221">
        <v>0.5</v>
      </c>
      <c r="C1221" s="17">
        <f t="shared" si="38"/>
        <v>44287</v>
      </c>
      <c r="D1221">
        <f t="shared" si="39"/>
        <v>0</v>
      </c>
    </row>
    <row r="1222" spans="1:4" x14ac:dyDescent="0.3">
      <c r="A1222" s="17">
        <v>44293</v>
      </c>
      <c r="B1222">
        <v>0.5</v>
      </c>
      <c r="C1222" s="17">
        <f t="shared" ref="C1222:C1267" si="40">+DATE(+YEAR(A1222),+MONTH(A1222),1)</f>
        <v>44287</v>
      </c>
      <c r="D1222">
        <f t="shared" ref="D1222:D1267" si="41">IF(AND(+DAY(A1222)&gt;=1,+DAY(A1222)&lt;= 4), 1, 0)</f>
        <v>0</v>
      </c>
    </row>
    <row r="1223" spans="1:4" x14ac:dyDescent="0.3">
      <c r="A1223" s="17">
        <v>44292</v>
      </c>
      <c r="B1223">
        <v>0.5</v>
      </c>
      <c r="C1223" s="17">
        <f t="shared" si="40"/>
        <v>44287</v>
      </c>
      <c r="D1223">
        <f t="shared" si="41"/>
        <v>0</v>
      </c>
    </row>
    <row r="1224" spans="1:4" x14ac:dyDescent="0.3">
      <c r="A1224" s="17">
        <v>44291</v>
      </c>
      <c r="B1224">
        <v>0.5</v>
      </c>
      <c r="C1224" s="17">
        <f t="shared" si="40"/>
        <v>44287</v>
      </c>
      <c r="D1224">
        <f t="shared" si="41"/>
        <v>0</v>
      </c>
    </row>
    <row r="1225" spans="1:4" x14ac:dyDescent="0.3">
      <c r="A1225" s="17">
        <v>44287</v>
      </c>
      <c r="B1225">
        <v>0.5</v>
      </c>
      <c r="C1225" s="17">
        <f t="shared" si="40"/>
        <v>44287</v>
      </c>
      <c r="D1225">
        <f t="shared" si="41"/>
        <v>1</v>
      </c>
    </row>
    <row r="1226" spans="1:4" x14ac:dyDescent="0.3">
      <c r="A1226" s="17">
        <v>44286</v>
      </c>
      <c r="B1226">
        <v>0.5</v>
      </c>
      <c r="C1226" s="17">
        <f t="shared" si="40"/>
        <v>44256</v>
      </c>
      <c r="D1226">
        <f t="shared" si="41"/>
        <v>0</v>
      </c>
    </row>
    <row r="1227" spans="1:4" x14ac:dyDescent="0.3">
      <c r="A1227" s="17">
        <v>44285</v>
      </c>
      <c r="B1227">
        <v>0.5</v>
      </c>
      <c r="C1227" s="17">
        <f t="shared" si="40"/>
        <v>44256</v>
      </c>
      <c r="D1227">
        <f t="shared" si="41"/>
        <v>0</v>
      </c>
    </row>
    <row r="1228" spans="1:4" x14ac:dyDescent="0.3">
      <c r="A1228" s="17">
        <v>44284</v>
      </c>
      <c r="B1228">
        <v>0.75</v>
      </c>
      <c r="C1228" s="17">
        <f t="shared" si="40"/>
        <v>44256</v>
      </c>
      <c r="D1228">
        <f t="shared" si="41"/>
        <v>0</v>
      </c>
    </row>
    <row r="1229" spans="1:4" x14ac:dyDescent="0.3">
      <c r="A1229" s="17">
        <v>44281</v>
      </c>
      <c r="B1229">
        <v>0.75</v>
      </c>
      <c r="C1229" s="17">
        <f t="shared" si="40"/>
        <v>44256</v>
      </c>
      <c r="D1229">
        <f t="shared" si="41"/>
        <v>0</v>
      </c>
    </row>
    <row r="1230" spans="1:4" x14ac:dyDescent="0.3">
      <c r="A1230" s="17">
        <v>44280</v>
      </c>
      <c r="B1230">
        <v>0.75</v>
      </c>
      <c r="C1230" s="17">
        <f t="shared" si="40"/>
        <v>44256</v>
      </c>
      <c r="D1230">
        <f t="shared" si="41"/>
        <v>0</v>
      </c>
    </row>
    <row r="1231" spans="1:4" x14ac:dyDescent="0.3">
      <c r="A1231" s="17">
        <v>44279</v>
      </c>
      <c r="B1231">
        <v>0.7</v>
      </c>
      <c r="C1231" s="17">
        <f t="shared" si="40"/>
        <v>44256</v>
      </c>
      <c r="D1231">
        <f t="shared" si="41"/>
        <v>0</v>
      </c>
    </row>
    <row r="1232" spans="1:4" x14ac:dyDescent="0.3">
      <c r="A1232" s="17">
        <v>44278</v>
      </c>
      <c r="B1232">
        <v>0.7</v>
      </c>
      <c r="C1232" s="17">
        <f t="shared" si="40"/>
        <v>44256</v>
      </c>
      <c r="D1232">
        <f t="shared" si="41"/>
        <v>0</v>
      </c>
    </row>
    <row r="1233" spans="1:4" x14ac:dyDescent="0.3">
      <c r="A1233" s="17">
        <v>44277</v>
      </c>
      <c r="B1233">
        <v>0.65</v>
      </c>
      <c r="C1233" s="17">
        <f t="shared" si="40"/>
        <v>44256</v>
      </c>
      <c r="D1233">
        <f t="shared" si="41"/>
        <v>0</v>
      </c>
    </row>
    <row r="1234" spans="1:4" x14ac:dyDescent="0.3">
      <c r="A1234" s="17">
        <v>44274</v>
      </c>
      <c r="B1234">
        <v>0.6</v>
      </c>
      <c r="C1234" s="17">
        <f t="shared" si="40"/>
        <v>44256</v>
      </c>
      <c r="D1234">
        <f t="shared" si="41"/>
        <v>0</v>
      </c>
    </row>
    <row r="1235" spans="1:4" x14ac:dyDescent="0.3">
      <c r="A1235" s="17">
        <v>44273</v>
      </c>
      <c r="B1235">
        <v>0.4</v>
      </c>
      <c r="C1235" s="17">
        <f t="shared" si="40"/>
        <v>44256</v>
      </c>
      <c r="D1235">
        <f t="shared" si="41"/>
        <v>0</v>
      </c>
    </row>
    <row r="1236" spans="1:4" x14ac:dyDescent="0.3">
      <c r="A1236" s="17">
        <v>44272</v>
      </c>
      <c r="B1236">
        <v>0.45</v>
      </c>
      <c r="C1236" s="17">
        <f t="shared" si="40"/>
        <v>44256</v>
      </c>
      <c r="D1236">
        <f t="shared" si="41"/>
        <v>0</v>
      </c>
    </row>
    <row r="1237" spans="1:4" x14ac:dyDescent="0.3">
      <c r="A1237" s="17">
        <v>44271</v>
      </c>
      <c r="B1237">
        <v>0.5</v>
      </c>
      <c r="C1237" s="17">
        <f t="shared" si="40"/>
        <v>44256</v>
      </c>
      <c r="D1237">
        <f t="shared" si="41"/>
        <v>0</v>
      </c>
    </row>
    <row r="1238" spans="1:4" x14ac:dyDescent="0.3">
      <c r="A1238" s="17">
        <v>44270</v>
      </c>
      <c r="B1238">
        <v>0.6</v>
      </c>
      <c r="C1238" s="17">
        <f t="shared" si="40"/>
        <v>44256</v>
      </c>
      <c r="D1238">
        <f t="shared" si="41"/>
        <v>0</v>
      </c>
    </row>
    <row r="1239" spans="1:4" x14ac:dyDescent="0.3">
      <c r="A1239" s="17">
        <v>44267</v>
      </c>
      <c r="B1239">
        <v>0.6</v>
      </c>
      <c r="C1239" s="17">
        <f t="shared" si="40"/>
        <v>44256</v>
      </c>
      <c r="D1239">
        <f t="shared" si="41"/>
        <v>0</v>
      </c>
    </row>
    <row r="1240" spans="1:4" x14ac:dyDescent="0.3">
      <c r="A1240" s="17">
        <v>44266</v>
      </c>
      <c r="B1240">
        <v>0.6</v>
      </c>
      <c r="C1240" s="17">
        <f t="shared" si="40"/>
        <v>44256</v>
      </c>
      <c r="D1240">
        <f t="shared" si="41"/>
        <v>0</v>
      </c>
    </row>
    <row r="1241" spans="1:4" x14ac:dyDescent="0.3">
      <c r="A1241" s="17">
        <v>44265</v>
      </c>
      <c r="B1241">
        <v>0.6</v>
      </c>
      <c r="C1241" s="17">
        <f t="shared" si="40"/>
        <v>44256</v>
      </c>
      <c r="D1241">
        <f t="shared" si="41"/>
        <v>0</v>
      </c>
    </row>
    <row r="1242" spans="1:4" x14ac:dyDescent="0.3">
      <c r="A1242" s="17">
        <v>44264</v>
      </c>
      <c r="B1242">
        <v>0.6</v>
      </c>
      <c r="C1242" s="17">
        <f t="shared" si="40"/>
        <v>44256</v>
      </c>
      <c r="D1242">
        <f t="shared" si="41"/>
        <v>0</v>
      </c>
    </row>
    <row r="1243" spans="1:4" x14ac:dyDescent="0.3">
      <c r="A1243" s="17">
        <v>44263</v>
      </c>
      <c r="B1243">
        <v>0.7</v>
      </c>
      <c r="C1243" s="17">
        <f t="shared" si="40"/>
        <v>44256</v>
      </c>
      <c r="D1243">
        <f t="shared" si="41"/>
        <v>0</v>
      </c>
    </row>
    <row r="1244" spans="1:4" x14ac:dyDescent="0.3">
      <c r="A1244" s="17">
        <v>44260</v>
      </c>
      <c r="B1244">
        <v>0.7</v>
      </c>
      <c r="C1244" s="17">
        <f t="shared" si="40"/>
        <v>44256</v>
      </c>
      <c r="D1244">
        <f t="shared" si="41"/>
        <v>0</v>
      </c>
    </row>
    <row r="1245" spans="1:4" x14ac:dyDescent="0.3">
      <c r="A1245" s="17">
        <v>44259</v>
      </c>
      <c r="B1245">
        <v>0.7</v>
      </c>
      <c r="C1245" s="17">
        <f t="shared" si="40"/>
        <v>44256</v>
      </c>
      <c r="D1245">
        <f t="shared" si="41"/>
        <v>1</v>
      </c>
    </row>
    <row r="1246" spans="1:4" x14ac:dyDescent="0.3">
      <c r="A1246" s="17">
        <v>44258</v>
      </c>
      <c r="B1246">
        <v>0.7</v>
      </c>
      <c r="C1246" s="17">
        <f t="shared" si="40"/>
        <v>44256</v>
      </c>
      <c r="D1246">
        <f t="shared" si="41"/>
        <v>1</v>
      </c>
    </row>
    <row r="1247" spans="1:4" x14ac:dyDescent="0.3">
      <c r="A1247" s="17">
        <v>44257</v>
      </c>
      <c r="B1247">
        <v>0.7</v>
      </c>
      <c r="C1247" s="17">
        <f t="shared" si="40"/>
        <v>44256</v>
      </c>
      <c r="D1247">
        <f t="shared" si="41"/>
        <v>1</v>
      </c>
    </row>
    <row r="1248" spans="1:4" x14ac:dyDescent="0.3">
      <c r="A1248" s="17">
        <v>44256</v>
      </c>
      <c r="B1248">
        <v>0.7</v>
      </c>
      <c r="C1248" s="17">
        <f t="shared" si="40"/>
        <v>44256</v>
      </c>
      <c r="D1248">
        <f t="shared" si="41"/>
        <v>1</v>
      </c>
    </row>
    <row r="1249" spans="1:4" x14ac:dyDescent="0.3">
      <c r="A1249" s="17">
        <v>44253</v>
      </c>
      <c r="B1249">
        <v>0.7</v>
      </c>
      <c r="C1249" s="17">
        <f t="shared" si="40"/>
        <v>44228</v>
      </c>
      <c r="D1249">
        <f t="shared" si="41"/>
        <v>0</v>
      </c>
    </row>
    <row r="1250" spans="1:4" x14ac:dyDescent="0.3">
      <c r="A1250" s="17">
        <v>44252</v>
      </c>
      <c r="B1250">
        <v>0.7</v>
      </c>
      <c r="C1250" s="17">
        <f t="shared" si="40"/>
        <v>44228</v>
      </c>
      <c r="D1250">
        <f t="shared" si="41"/>
        <v>0</v>
      </c>
    </row>
    <row r="1251" spans="1:4" x14ac:dyDescent="0.3">
      <c r="A1251" s="17">
        <v>44251</v>
      </c>
      <c r="B1251">
        <v>0.7</v>
      </c>
      <c r="C1251" s="17">
        <f t="shared" si="40"/>
        <v>44228</v>
      </c>
      <c r="D1251">
        <f t="shared" si="41"/>
        <v>0</v>
      </c>
    </row>
    <row r="1252" spans="1:4" x14ac:dyDescent="0.3">
      <c r="A1252" s="17">
        <v>44250</v>
      </c>
      <c r="B1252">
        <v>0.7</v>
      </c>
      <c r="C1252" s="17">
        <f t="shared" si="40"/>
        <v>44228</v>
      </c>
      <c r="D1252">
        <f t="shared" si="41"/>
        <v>0</v>
      </c>
    </row>
    <row r="1253" spans="1:4" x14ac:dyDescent="0.3">
      <c r="A1253" s="17">
        <v>44249</v>
      </c>
      <c r="B1253">
        <v>0.25</v>
      </c>
      <c r="C1253" s="17">
        <f t="shared" si="40"/>
        <v>44228</v>
      </c>
      <c r="D1253">
        <f t="shared" si="41"/>
        <v>0</v>
      </c>
    </row>
    <row r="1254" spans="1:4" x14ac:dyDescent="0.3">
      <c r="A1254" s="17">
        <v>44246</v>
      </c>
      <c r="B1254">
        <v>0.35</v>
      </c>
      <c r="C1254" s="17">
        <f t="shared" si="40"/>
        <v>44228</v>
      </c>
      <c r="D1254">
        <f t="shared" si="41"/>
        <v>0</v>
      </c>
    </row>
    <row r="1255" spans="1:4" x14ac:dyDescent="0.3">
      <c r="A1255" s="17">
        <v>44245</v>
      </c>
      <c r="B1255">
        <v>0.4</v>
      </c>
      <c r="C1255" s="17">
        <f t="shared" si="40"/>
        <v>44228</v>
      </c>
      <c r="D1255">
        <f t="shared" si="41"/>
        <v>0</v>
      </c>
    </row>
    <row r="1256" spans="1:4" x14ac:dyDescent="0.3">
      <c r="A1256" s="17">
        <v>44244</v>
      </c>
      <c r="B1256">
        <v>0.4</v>
      </c>
      <c r="C1256" s="17">
        <f t="shared" si="40"/>
        <v>44228</v>
      </c>
      <c r="D1256">
        <f t="shared" si="41"/>
        <v>0</v>
      </c>
    </row>
    <row r="1257" spans="1:4" x14ac:dyDescent="0.3">
      <c r="A1257" s="17">
        <v>44243</v>
      </c>
      <c r="B1257">
        <v>0.4</v>
      </c>
      <c r="C1257" s="17">
        <f t="shared" si="40"/>
        <v>44228</v>
      </c>
      <c r="D1257">
        <f t="shared" si="41"/>
        <v>0</v>
      </c>
    </row>
    <row r="1258" spans="1:4" x14ac:dyDescent="0.3">
      <c r="A1258" s="17">
        <v>44242</v>
      </c>
      <c r="B1258">
        <v>0.4</v>
      </c>
      <c r="C1258" s="17">
        <f t="shared" si="40"/>
        <v>44228</v>
      </c>
      <c r="D1258">
        <f t="shared" si="41"/>
        <v>0</v>
      </c>
    </row>
    <row r="1259" spans="1:4" x14ac:dyDescent="0.3">
      <c r="A1259" s="17">
        <v>44238</v>
      </c>
      <c r="B1259">
        <v>0.4</v>
      </c>
      <c r="C1259" s="17">
        <f t="shared" si="40"/>
        <v>44228</v>
      </c>
      <c r="D1259">
        <f t="shared" si="41"/>
        <v>0</v>
      </c>
    </row>
    <row r="1260" spans="1:4" x14ac:dyDescent="0.3">
      <c r="A1260" s="17">
        <v>44237</v>
      </c>
      <c r="B1260">
        <v>0.6</v>
      </c>
      <c r="C1260" s="17">
        <f t="shared" si="40"/>
        <v>44228</v>
      </c>
      <c r="D1260">
        <f t="shared" si="41"/>
        <v>0</v>
      </c>
    </row>
    <row r="1261" spans="1:4" x14ac:dyDescent="0.3">
      <c r="A1261" s="17">
        <v>44236</v>
      </c>
      <c r="B1261">
        <v>0.6</v>
      </c>
      <c r="C1261" s="17">
        <f t="shared" si="40"/>
        <v>44228</v>
      </c>
      <c r="D1261">
        <f t="shared" si="41"/>
        <v>0</v>
      </c>
    </row>
    <row r="1262" spans="1:4" x14ac:dyDescent="0.3">
      <c r="A1262" s="17">
        <v>44235</v>
      </c>
      <c r="B1262">
        <v>0.6</v>
      </c>
      <c r="C1262" s="17">
        <f t="shared" si="40"/>
        <v>44228</v>
      </c>
      <c r="D1262">
        <f t="shared" si="41"/>
        <v>0</v>
      </c>
    </row>
    <row r="1263" spans="1:4" x14ac:dyDescent="0.3">
      <c r="A1263" s="17">
        <v>44232</v>
      </c>
      <c r="B1263">
        <v>0.6</v>
      </c>
      <c r="C1263" s="17">
        <f t="shared" si="40"/>
        <v>44228</v>
      </c>
      <c r="D1263">
        <f t="shared" si="41"/>
        <v>0</v>
      </c>
    </row>
    <row r="1264" spans="1:4" x14ac:dyDescent="0.3">
      <c r="A1264" s="17">
        <v>44231</v>
      </c>
      <c r="B1264">
        <v>0.6</v>
      </c>
      <c r="C1264" s="17">
        <f t="shared" si="40"/>
        <v>44228</v>
      </c>
      <c r="D1264">
        <f t="shared" si="41"/>
        <v>1</v>
      </c>
    </row>
    <row r="1265" spans="1:4" x14ac:dyDescent="0.3">
      <c r="A1265" s="17">
        <v>44230</v>
      </c>
      <c r="B1265">
        <v>0.6</v>
      </c>
      <c r="C1265" s="17">
        <f t="shared" si="40"/>
        <v>44228</v>
      </c>
      <c r="D1265">
        <f t="shared" si="41"/>
        <v>1</v>
      </c>
    </row>
    <row r="1266" spans="1:4" x14ac:dyDescent="0.3">
      <c r="A1266" s="17">
        <v>44229</v>
      </c>
      <c r="B1266">
        <v>0.6</v>
      </c>
      <c r="C1266" s="17">
        <f t="shared" si="40"/>
        <v>44228</v>
      </c>
      <c r="D1266">
        <f t="shared" si="41"/>
        <v>1</v>
      </c>
    </row>
    <row r="1267" spans="1:4" x14ac:dyDescent="0.3">
      <c r="A1267" s="17">
        <v>44228</v>
      </c>
      <c r="B1267">
        <v>0.6</v>
      </c>
      <c r="C1267" s="17">
        <f t="shared" si="40"/>
        <v>44228</v>
      </c>
      <c r="D1267">
        <f t="shared" si="41"/>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9E587-9F3F-48B4-8A75-08DF8E6DF678}">
  <dimension ref="A1:H778"/>
  <sheetViews>
    <sheetView workbookViewId="0">
      <selection activeCell="H1" sqref="H1"/>
    </sheetView>
  </sheetViews>
  <sheetFormatPr defaultRowHeight="14.4" x14ac:dyDescent="0.3"/>
  <cols>
    <col min="1" max="1" width="13.109375" bestFit="1" customWidth="1"/>
    <col min="2" max="2" width="21.6640625" bestFit="1" customWidth="1"/>
    <col min="6" max="6" width="9.33203125" bestFit="1" customWidth="1"/>
    <col min="7" max="7" width="12.5546875" bestFit="1" customWidth="1"/>
  </cols>
  <sheetData>
    <row r="1" spans="1:7" x14ac:dyDescent="0.3">
      <c r="A1" t="s">
        <v>107</v>
      </c>
      <c r="B1" t="s">
        <v>219</v>
      </c>
    </row>
    <row r="2" spans="1:7" x14ac:dyDescent="0.3">
      <c r="A2" t="s">
        <v>112</v>
      </c>
      <c r="B2" t="s">
        <v>113</v>
      </c>
    </row>
    <row r="3" spans="1:7" x14ac:dyDescent="0.3">
      <c r="A3" t="s">
        <v>117</v>
      </c>
      <c r="B3" t="s">
        <v>220</v>
      </c>
    </row>
    <row r="4" spans="1:7" x14ac:dyDescent="0.3">
      <c r="A4" t="s">
        <v>120</v>
      </c>
      <c r="B4" t="s">
        <v>121</v>
      </c>
      <c r="C4" t="s">
        <v>128</v>
      </c>
      <c r="D4" t="s">
        <v>151</v>
      </c>
      <c r="G4" t="s">
        <v>193</v>
      </c>
    </row>
    <row r="5" spans="1:7" x14ac:dyDescent="0.3">
      <c r="A5" s="17">
        <v>46062</v>
      </c>
      <c r="B5">
        <v>-6.94</v>
      </c>
      <c r="C5" s="17">
        <f>+DATE(+YEAR(A5),+MONTH(A5),1)</f>
        <v>46054</v>
      </c>
      <c r="D5">
        <f>IF(AND(+DAY(A5)&gt;=1,+DAY(A5)&lt;= 4), 1, 0)</f>
        <v>0</v>
      </c>
      <c r="F5" s="17">
        <v>43800</v>
      </c>
      <c r="G5" t="e">
        <f>+AVERAGEIFS($B$5:$B$778,$C$5:$C$778,$F5,$D$5:$D$778,1)</f>
        <v>#DIV/0!</v>
      </c>
    </row>
    <row r="6" spans="1:7" x14ac:dyDescent="0.3">
      <c r="A6" s="17">
        <v>46059</v>
      </c>
      <c r="B6">
        <v>-7.22</v>
      </c>
      <c r="C6" s="17">
        <f t="shared" ref="C6:C69" si="0">+DATE(+YEAR(A6),+MONTH(A6),1)</f>
        <v>46054</v>
      </c>
      <c r="D6">
        <f t="shared" ref="D6:D69" si="1">IF(AND(+DAY(A6)&gt;=1,+DAY(A6)&lt;= 4), 1, 0)</f>
        <v>0</v>
      </c>
      <c r="F6" s="17">
        <v>43831</v>
      </c>
      <c r="G6" t="e">
        <f t="shared" ref="G6:G69" si="2">+AVERAGEIFS($B$5:$B$778,$C$5:$C$778,$F6,$D$5:$D$778,1)</f>
        <v>#DIV/0!</v>
      </c>
    </row>
    <row r="7" spans="1:7" x14ac:dyDescent="0.3">
      <c r="A7" s="17">
        <v>46058</v>
      </c>
      <c r="B7">
        <v>-7.17</v>
      </c>
      <c r="C7" s="17">
        <f t="shared" si="0"/>
        <v>46054</v>
      </c>
      <c r="D7">
        <f t="shared" si="1"/>
        <v>0</v>
      </c>
      <c r="F7" s="17">
        <v>43862</v>
      </c>
      <c r="G7" t="e">
        <f t="shared" si="2"/>
        <v>#DIV/0!</v>
      </c>
    </row>
    <row r="8" spans="1:7" x14ac:dyDescent="0.3">
      <c r="A8" s="17">
        <v>46057</v>
      </c>
      <c r="B8">
        <v>-7.02</v>
      </c>
      <c r="C8" s="17">
        <f t="shared" si="0"/>
        <v>46054</v>
      </c>
      <c r="D8">
        <f t="shared" si="1"/>
        <v>1</v>
      </c>
      <c r="F8" s="17">
        <v>43891</v>
      </c>
      <c r="G8" t="e">
        <f t="shared" si="2"/>
        <v>#DIV/0!</v>
      </c>
    </row>
    <row r="9" spans="1:7" x14ac:dyDescent="0.3">
      <c r="A9" s="17">
        <v>46056</v>
      </c>
      <c r="B9">
        <v>-6.93</v>
      </c>
      <c r="C9" s="17">
        <f t="shared" si="0"/>
        <v>46054</v>
      </c>
      <c r="D9">
        <f t="shared" si="1"/>
        <v>1</v>
      </c>
      <c r="F9" s="17">
        <v>43922</v>
      </c>
      <c r="G9" t="e">
        <f t="shared" si="2"/>
        <v>#DIV/0!</v>
      </c>
    </row>
    <row r="10" spans="1:7" x14ac:dyDescent="0.3">
      <c r="A10" s="17">
        <v>46055</v>
      </c>
      <c r="B10">
        <v>-6.6</v>
      </c>
      <c r="C10" s="17">
        <f t="shared" si="0"/>
        <v>46054</v>
      </c>
      <c r="D10">
        <f t="shared" si="1"/>
        <v>1</v>
      </c>
      <c r="F10" s="17">
        <v>43952</v>
      </c>
      <c r="G10" t="e">
        <f t="shared" si="2"/>
        <v>#DIV/0!</v>
      </c>
    </row>
    <row r="11" spans="1:7" x14ac:dyDescent="0.3">
      <c r="A11" s="17">
        <v>46052</v>
      </c>
      <c r="B11">
        <v>-5.51</v>
      </c>
      <c r="C11" s="17">
        <f t="shared" si="0"/>
        <v>46023</v>
      </c>
      <c r="D11">
        <f t="shared" si="1"/>
        <v>0</v>
      </c>
      <c r="F11" s="17">
        <v>43983</v>
      </c>
      <c r="G11" t="e">
        <f t="shared" si="2"/>
        <v>#DIV/0!</v>
      </c>
    </row>
    <row r="12" spans="1:7" x14ac:dyDescent="0.3">
      <c r="A12" s="17">
        <v>46051</v>
      </c>
      <c r="B12">
        <v>-5.37</v>
      </c>
      <c r="C12" s="17">
        <f t="shared" si="0"/>
        <v>46023</v>
      </c>
      <c r="D12">
        <f t="shared" si="1"/>
        <v>0</v>
      </c>
      <c r="F12" s="17">
        <v>44013</v>
      </c>
      <c r="G12" t="e">
        <f t="shared" si="2"/>
        <v>#DIV/0!</v>
      </c>
    </row>
    <row r="13" spans="1:7" x14ac:dyDescent="0.3">
      <c r="A13" s="17">
        <v>46050</v>
      </c>
      <c r="B13">
        <v>-5.14</v>
      </c>
      <c r="C13" s="17">
        <f t="shared" si="0"/>
        <v>46023</v>
      </c>
      <c r="D13">
        <f t="shared" si="1"/>
        <v>0</v>
      </c>
      <c r="F13" s="17">
        <v>44044</v>
      </c>
      <c r="G13" t="e">
        <f t="shared" si="2"/>
        <v>#DIV/0!</v>
      </c>
    </row>
    <row r="14" spans="1:7" x14ac:dyDescent="0.3">
      <c r="A14" s="17">
        <v>46049</v>
      </c>
      <c r="B14">
        <v>-5.43</v>
      </c>
      <c r="C14" s="17">
        <f t="shared" si="0"/>
        <v>46023</v>
      </c>
      <c r="D14">
        <f t="shared" si="1"/>
        <v>0</v>
      </c>
      <c r="F14" s="17">
        <v>44075</v>
      </c>
      <c r="G14" t="e">
        <f t="shared" si="2"/>
        <v>#DIV/0!</v>
      </c>
    </row>
    <row r="15" spans="1:7" x14ac:dyDescent="0.3">
      <c r="A15" s="17">
        <v>46048</v>
      </c>
      <c r="B15">
        <v>-5.59</v>
      </c>
      <c r="C15" s="17">
        <f t="shared" si="0"/>
        <v>46023</v>
      </c>
      <c r="D15">
        <f t="shared" si="1"/>
        <v>0</v>
      </c>
      <c r="F15" s="17">
        <v>44105</v>
      </c>
      <c r="G15" t="e">
        <f t="shared" si="2"/>
        <v>#DIV/0!</v>
      </c>
    </row>
    <row r="16" spans="1:7" x14ac:dyDescent="0.3">
      <c r="A16" s="17">
        <v>46045</v>
      </c>
      <c r="B16">
        <v>-5.99</v>
      </c>
      <c r="C16" s="17">
        <f t="shared" si="0"/>
        <v>46023</v>
      </c>
      <c r="D16">
        <f t="shared" si="1"/>
        <v>0</v>
      </c>
      <c r="F16" s="17">
        <v>44136</v>
      </c>
      <c r="G16" t="e">
        <f t="shared" si="2"/>
        <v>#DIV/0!</v>
      </c>
    </row>
    <row r="17" spans="1:7" x14ac:dyDescent="0.3">
      <c r="A17" s="17">
        <v>46044</v>
      </c>
      <c r="B17">
        <v>-6.78</v>
      </c>
      <c r="C17" s="17">
        <f t="shared" si="0"/>
        <v>46023</v>
      </c>
      <c r="D17">
        <f t="shared" si="1"/>
        <v>0</v>
      </c>
      <c r="F17" s="17">
        <v>44166</v>
      </c>
      <c r="G17" t="e">
        <f t="shared" si="2"/>
        <v>#DIV/0!</v>
      </c>
    </row>
    <row r="18" spans="1:7" x14ac:dyDescent="0.3">
      <c r="A18" s="17">
        <v>46043</v>
      </c>
      <c r="B18">
        <v>-7.11</v>
      </c>
      <c r="C18" s="17">
        <f t="shared" si="0"/>
        <v>46023</v>
      </c>
      <c r="D18">
        <f t="shared" si="1"/>
        <v>0</v>
      </c>
      <c r="F18" s="17">
        <v>44197</v>
      </c>
      <c r="G18" t="e">
        <f t="shared" si="2"/>
        <v>#DIV/0!</v>
      </c>
    </row>
    <row r="19" spans="1:7" x14ac:dyDescent="0.3">
      <c r="A19" s="17">
        <v>46042</v>
      </c>
      <c r="B19">
        <v>-6.72</v>
      </c>
      <c r="C19" s="17">
        <f t="shared" si="0"/>
        <v>46023</v>
      </c>
      <c r="D19">
        <f t="shared" si="1"/>
        <v>0</v>
      </c>
      <c r="F19" s="17">
        <v>44228</v>
      </c>
      <c r="G19" t="e">
        <f t="shared" si="2"/>
        <v>#DIV/0!</v>
      </c>
    </row>
    <row r="20" spans="1:7" x14ac:dyDescent="0.3">
      <c r="A20" s="17">
        <v>46041</v>
      </c>
      <c r="B20">
        <v>-6.7</v>
      </c>
      <c r="C20" s="17">
        <f t="shared" si="0"/>
        <v>46023</v>
      </c>
      <c r="D20">
        <f t="shared" si="1"/>
        <v>0</v>
      </c>
      <c r="F20" s="17">
        <v>44256</v>
      </c>
      <c r="G20" t="e">
        <f t="shared" si="2"/>
        <v>#DIV/0!</v>
      </c>
    </row>
    <row r="21" spans="1:7" x14ac:dyDescent="0.3">
      <c r="A21" s="17">
        <v>46038</v>
      </c>
      <c r="B21">
        <v>-6.98</v>
      </c>
      <c r="C21" s="17">
        <f t="shared" si="0"/>
        <v>46023</v>
      </c>
      <c r="D21">
        <f t="shared" si="1"/>
        <v>0</v>
      </c>
      <c r="F21" s="17">
        <v>44287</v>
      </c>
      <c r="G21" t="e">
        <f t="shared" si="2"/>
        <v>#DIV/0!</v>
      </c>
    </row>
    <row r="22" spans="1:7" x14ac:dyDescent="0.3">
      <c r="A22" s="17">
        <v>46037</v>
      </c>
      <c r="B22">
        <v>-7.02</v>
      </c>
      <c r="C22" s="17">
        <f t="shared" si="0"/>
        <v>46023</v>
      </c>
      <c r="D22">
        <f t="shared" si="1"/>
        <v>0</v>
      </c>
      <c r="F22" s="17">
        <v>44317</v>
      </c>
      <c r="G22" t="e">
        <f t="shared" si="2"/>
        <v>#DIV/0!</v>
      </c>
    </row>
    <row r="23" spans="1:7" x14ac:dyDescent="0.3">
      <c r="A23" s="17">
        <v>46036</v>
      </c>
      <c r="B23">
        <v>-6.28</v>
      </c>
      <c r="C23" s="17">
        <f t="shared" si="0"/>
        <v>46023</v>
      </c>
      <c r="D23">
        <f t="shared" si="1"/>
        <v>0</v>
      </c>
      <c r="F23" s="17">
        <v>44348</v>
      </c>
      <c r="G23" t="e">
        <f t="shared" si="2"/>
        <v>#DIV/0!</v>
      </c>
    </row>
    <row r="24" spans="1:7" x14ac:dyDescent="0.3">
      <c r="A24" s="17">
        <v>46035</v>
      </c>
      <c r="B24">
        <v>-5.49</v>
      </c>
      <c r="C24" s="17">
        <f t="shared" si="0"/>
        <v>46023</v>
      </c>
      <c r="D24">
        <f t="shared" si="1"/>
        <v>0</v>
      </c>
      <c r="F24" s="17">
        <v>44378</v>
      </c>
      <c r="G24" t="e">
        <f t="shared" si="2"/>
        <v>#DIV/0!</v>
      </c>
    </row>
    <row r="25" spans="1:7" x14ac:dyDescent="0.3">
      <c r="A25" s="17">
        <v>46034</v>
      </c>
      <c r="B25">
        <v>-5.99</v>
      </c>
      <c r="C25" s="17">
        <f t="shared" si="0"/>
        <v>46023</v>
      </c>
      <c r="D25">
        <f t="shared" si="1"/>
        <v>0</v>
      </c>
      <c r="F25" s="17">
        <v>44409</v>
      </c>
      <c r="G25" t="e">
        <f t="shared" si="2"/>
        <v>#DIV/0!</v>
      </c>
    </row>
    <row r="26" spans="1:7" x14ac:dyDescent="0.3">
      <c r="A26" s="17">
        <v>46031</v>
      </c>
      <c r="B26">
        <v>-6.34</v>
      </c>
      <c r="C26" s="17">
        <f t="shared" si="0"/>
        <v>46023</v>
      </c>
      <c r="D26">
        <f t="shared" si="1"/>
        <v>0</v>
      </c>
      <c r="F26" s="17">
        <v>44440</v>
      </c>
      <c r="G26" t="e">
        <f t="shared" si="2"/>
        <v>#DIV/0!</v>
      </c>
    </row>
    <row r="27" spans="1:7" x14ac:dyDescent="0.3">
      <c r="A27" s="17">
        <v>46030</v>
      </c>
      <c r="B27">
        <v>-6.49</v>
      </c>
      <c r="C27" s="17">
        <f t="shared" si="0"/>
        <v>46023</v>
      </c>
      <c r="D27">
        <f t="shared" si="1"/>
        <v>0</v>
      </c>
      <c r="F27" s="17">
        <v>44470</v>
      </c>
      <c r="G27" t="e">
        <f t="shared" si="2"/>
        <v>#DIV/0!</v>
      </c>
    </row>
    <row r="28" spans="1:7" x14ac:dyDescent="0.3">
      <c r="A28" s="17">
        <v>46029</v>
      </c>
      <c r="B28">
        <v>-6.32</v>
      </c>
      <c r="C28" s="17">
        <f t="shared" si="0"/>
        <v>46023</v>
      </c>
      <c r="D28">
        <f t="shared" si="1"/>
        <v>0</v>
      </c>
      <c r="F28" s="17">
        <v>44501</v>
      </c>
      <c r="G28" t="e">
        <f t="shared" si="2"/>
        <v>#DIV/0!</v>
      </c>
    </row>
    <row r="29" spans="1:7" x14ac:dyDescent="0.3">
      <c r="A29" s="17">
        <v>46028</v>
      </c>
      <c r="B29">
        <v>-6.44</v>
      </c>
      <c r="C29" s="17">
        <f t="shared" si="0"/>
        <v>46023</v>
      </c>
      <c r="D29">
        <f t="shared" si="1"/>
        <v>0</v>
      </c>
      <c r="F29" s="17">
        <v>44531</v>
      </c>
      <c r="G29" t="e">
        <f t="shared" si="2"/>
        <v>#DIV/0!</v>
      </c>
    </row>
    <row r="30" spans="1:7" x14ac:dyDescent="0.3">
      <c r="A30" s="17">
        <v>46027</v>
      </c>
      <c r="B30">
        <v>-6.47</v>
      </c>
      <c r="C30" s="17">
        <f t="shared" si="0"/>
        <v>46023</v>
      </c>
      <c r="D30">
        <f t="shared" si="1"/>
        <v>0</v>
      </c>
      <c r="F30" s="17">
        <v>44562</v>
      </c>
      <c r="G30" t="e">
        <f t="shared" si="2"/>
        <v>#DIV/0!</v>
      </c>
    </row>
    <row r="31" spans="1:7" x14ac:dyDescent="0.3">
      <c r="A31" s="17">
        <v>46024</v>
      </c>
      <c r="B31">
        <v>-6.84</v>
      </c>
      <c r="C31" s="17">
        <f t="shared" si="0"/>
        <v>46023</v>
      </c>
      <c r="D31">
        <f t="shared" si="1"/>
        <v>1</v>
      </c>
      <c r="F31" s="17">
        <v>44593</v>
      </c>
      <c r="G31" t="e">
        <f t="shared" si="2"/>
        <v>#DIV/0!</v>
      </c>
    </row>
    <row r="32" spans="1:7" x14ac:dyDescent="0.3">
      <c r="A32" s="17">
        <v>46022</v>
      </c>
      <c r="B32">
        <v>-6.52</v>
      </c>
      <c r="C32" s="17">
        <f t="shared" si="0"/>
        <v>45992</v>
      </c>
      <c r="D32">
        <f t="shared" si="1"/>
        <v>0</v>
      </c>
      <c r="F32" s="17">
        <v>44621</v>
      </c>
      <c r="G32" t="e">
        <f t="shared" si="2"/>
        <v>#DIV/0!</v>
      </c>
    </row>
    <row r="33" spans="1:7" x14ac:dyDescent="0.3">
      <c r="A33" s="17">
        <v>46021</v>
      </c>
      <c r="B33">
        <v>-6.63</v>
      </c>
      <c r="C33" s="17">
        <f t="shared" si="0"/>
        <v>45992</v>
      </c>
      <c r="D33">
        <f t="shared" si="1"/>
        <v>0</v>
      </c>
      <c r="F33" s="17">
        <v>44652</v>
      </c>
      <c r="G33" t="e">
        <f t="shared" si="2"/>
        <v>#DIV/0!</v>
      </c>
    </row>
    <row r="34" spans="1:7" x14ac:dyDescent="0.3">
      <c r="A34" s="17">
        <v>46020</v>
      </c>
      <c r="B34">
        <v>-6.69</v>
      </c>
      <c r="C34" s="17">
        <f t="shared" si="0"/>
        <v>45992</v>
      </c>
      <c r="D34">
        <f t="shared" si="1"/>
        <v>0</v>
      </c>
      <c r="F34" s="17">
        <v>44682</v>
      </c>
      <c r="G34" t="e">
        <f t="shared" si="2"/>
        <v>#DIV/0!</v>
      </c>
    </row>
    <row r="35" spans="1:7" x14ac:dyDescent="0.3">
      <c r="A35" s="17">
        <v>46015</v>
      </c>
      <c r="B35">
        <v>-6.72</v>
      </c>
      <c r="C35" s="17">
        <f t="shared" si="0"/>
        <v>45992</v>
      </c>
      <c r="D35">
        <f t="shared" si="1"/>
        <v>0</v>
      </c>
      <c r="F35" s="17">
        <v>44713</v>
      </c>
      <c r="G35" t="e">
        <f t="shared" si="2"/>
        <v>#DIV/0!</v>
      </c>
    </row>
    <row r="36" spans="1:7" x14ac:dyDescent="0.3">
      <c r="A36" s="17">
        <v>46014</v>
      </c>
      <c r="B36">
        <v>-6.76</v>
      </c>
      <c r="C36" s="17">
        <f t="shared" si="0"/>
        <v>45992</v>
      </c>
      <c r="D36">
        <f t="shared" si="1"/>
        <v>0</v>
      </c>
      <c r="F36" s="17">
        <v>44743</v>
      </c>
      <c r="G36" t="e">
        <f t="shared" si="2"/>
        <v>#DIV/0!</v>
      </c>
    </row>
    <row r="37" spans="1:7" x14ac:dyDescent="0.3">
      <c r="A37" s="17">
        <v>46013</v>
      </c>
      <c r="B37">
        <v>-7.17</v>
      </c>
      <c r="C37" s="17">
        <f t="shared" si="0"/>
        <v>45992</v>
      </c>
      <c r="D37">
        <f t="shared" si="1"/>
        <v>0</v>
      </c>
      <c r="F37" s="17">
        <v>44774</v>
      </c>
      <c r="G37" t="e">
        <f t="shared" si="2"/>
        <v>#DIV/0!</v>
      </c>
    </row>
    <row r="38" spans="1:7" x14ac:dyDescent="0.3">
      <c r="A38" s="17">
        <v>46010</v>
      </c>
      <c r="B38">
        <v>-7.44</v>
      </c>
      <c r="C38" s="17">
        <f t="shared" si="0"/>
        <v>45992</v>
      </c>
      <c r="D38">
        <f t="shared" si="1"/>
        <v>0</v>
      </c>
      <c r="F38" s="17">
        <v>44805</v>
      </c>
      <c r="G38" t="e">
        <f t="shared" si="2"/>
        <v>#DIV/0!</v>
      </c>
    </row>
    <row r="39" spans="1:7" x14ac:dyDescent="0.3">
      <c r="A39" s="17">
        <v>46009</v>
      </c>
      <c r="B39" s="43">
        <v>-7.45</v>
      </c>
      <c r="C39" s="17">
        <f t="shared" si="0"/>
        <v>45992</v>
      </c>
      <c r="D39">
        <f t="shared" si="1"/>
        <v>0</v>
      </c>
      <c r="F39" s="17">
        <v>44835</v>
      </c>
      <c r="G39" t="e">
        <f t="shared" si="2"/>
        <v>#DIV/0!</v>
      </c>
    </row>
    <row r="40" spans="1:7" x14ac:dyDescent="0.3">
      <c r="A40" s="17">
        <v>46008</v>
      </c>
      <c r="B40" s="43">
        <v>-7.39</v>
      </c>
      <c r="C40" s="17">
        <f t="shared" si="0"/>
        <v>45992</v>
      </c>
      <c r="D40">
        <f t="shared" si="1"/>
        <v>0</v>
      </c>
      <c r="F40" s="17">
        <v>44866</v>
      </c>
      <c r="G40" t="e">
        <f t="shared" si="2"/>
        <v>#DIV/0!</v>
      </c>
    </row>
    <row r="41" spans="1:7" x14ac:dyDescent="0.3">
      <c r="A41" s="17">
        <v>46007</v>
      </c>
      <c r="B41" s="43">
        <v>-7.27</v>
      </c>
      <c r="C41" s="17">
        <f t="shared" si="0"/>
        <v>45992</v>
      </c>
      <c r="D41">
        <f t="shared" si="1"/>
        <v>0</v>
      </c>
      <c r="F41" s="17">
        <v>44896</v>
      </c>
      <c r="G41" t="e">
        <f t="shared" si="2"/>
        <v>#DIV/0!</v>
      </c>
    </row>
    <row r="42" spans="1:7" x14ac:dyDescent="0.3">
      <c r="A42" s="17">
        <v>46006</v>
      </c>
      <c r="B42" s="43">
        <v>-7.31</v>
      </c>
      <c r="C42" s="17">
        <f t="shared" si="0"/>
        <v>45992</v>
      </c>
      <c r="D42">
        <f t="shared" si="1"/>
        <v>0</v>
      </c>
      <c r="F42" s="17">
        <v>44927</v>
      </c>
      <c r="G42" t="e">
        <f t="shared" si="2"/>
        <v>#DIV/0!</v>
      </c>
    </row>
    <row r="43" spans="1:7" x14ac:dyDescent="0.3">
      <c r="A43" s="17">
        <v>46003</v>
      </c>
      <c r="B43" s="43">
        <v>-7.41</v>
      </c>
      <c r="C43" s="17">
        <f t="shared" si="0"/>
        <v>45992</v>
      </c>
      <c r="D43">
        <f t="shared" si="1"/>
        <v>0</v>
      </c>
      <c r="F43" s="17">
        <v>44958</v>
      </c>
      <c r="G43" s="70">
        <f t="shared" si="2"/>
        <v>-14.533333333333333</v>
      </c>
    </row>
    <row r="44" spans="1:7" x14ac:dyDescent="0.3">
      <c r="A44" s="17">
        <v>46002</v>
      </c>
      <c r="B44" s="43">
        <v>-7.65</v>
      </c>
      <c r="C44" s="17">
        <f t="shared" si="0"/>
        <v>45992</v>
      </c>
      <c r="D44">
        <f t="shared" si="1"/>
        <v>0</v>
      </c>
      <c r="F44" s="17">
        <v>44986</v>
      </c>
      <c r="G44" s="70">
        <f t="shared" si="2"/>
        <v>-15.923333333333332</v>
      </c>
    </row>
    <row r="45" spans="1:7" x14ac:dyDescent="0.3">
      <c r="A45" s="17">
        <v>46001</v>
      </c>
      <c r="B45" s="43">
        <v>-7.72</v>
      </c>
      <c r="C45" s="17">
        <f t="shared" si="0"/>
        <v>45992</v>
      </c>
      <c r="D45">
        <f t="shared" si="1"/>
        <v>0</v>
      </c>
      <c r="F45" s="17">
        <v>45017</v>
      </c>
      <c r="G45" s="70">
        <f t="shared" si="2"/>
        <v>-13.995000000000001</v>
      </c>
    </row>
    <row r="46" spans="1:7" x14ac:dyDescent="0.3">
      <c r="A46" s="17">
        <v>46000</v>
      </c>
      <c r="B46" s="43">
        <v>-7.96</v>
      </c>
      <c r="C46" s="17">
        <f t="shared" si="0"/>
        <v>45992</v>
      </c>
      <c r="D46">
        <f t="shared" si="1"/>
        <v>0</v>
      </c>
      <c r="F46" s="17">
        <v>45047</v>
      </c>
      <c r="G46" s="70">
        <f t="shared" si="2"/>
        <v>-10.906666666666666</v>
      </c>
    </row>
    <row r="47" spans="1:7" x14ac:dyDescent="0.3">
      <c r="A47" s="17">
        <v>45999</v>
      </c>
      <c r="B47" s="43">
        <v>-7.91</v>
      </c>
      <c r="C47" s="17">
        <f t="shared" si="0"/>
        <v>45992</v>
      </c>
      <c r="D47">
        <f t="shared" si="1"/>
        <v>0</v>
      </c>
      <c r="F47" s="17">
        <v>45078</v>
      </c>
      <c r="G47" s="70">
        <f t="shared" si="2"/>
        <v>-10.155000000000001</v>
      </c>
    </row>
    <row r="48" spans="1:7" x14ac:dyDescent="0.3">
      <c r="A48" s="17">
        <v>45996</v>
      </c>
      <c r="B48" s="43">
        <v>-7.77</v>
      </c>
      <c r="C48" s="17">
        <f t="shared" si="0"/>
        <v>45992</v>
      </c>
      <c r="D48">
        <f t="shared" si="1"/>
        <v>0</v>
      </c>
      <c r="F48" s="17">
        <v>45108</v>
      </c>
      <c r="G48" s="70">
        <f t="shared" si="2"/>
        <v>-7.9849999999999994</v>
      </c>
    </row>
    <row r="49" spans="1:8" x14ac:dyDescent="0.3">
      <c r="A49" s="17">
        <v>45995</v>
      </c>
      <c r="B49" s="43">
        <v>-7.49</v>
      </c>
      <c r="C49" s="17">
        <f t="shared" si="0"/>
        <v>45992</v>
      </c>
      <c r="D49">
        <f t="shared" si="1"/>
        <v>1</v>
      </c>
      <c r="F49" s="17">
        <v>45139</v>
      </c>
      <c r="G49" s="70">
        <f t="shared" si="2"/>
        <v>-6.0449999999999999</v>
      </c>
    </row>
    <row r="50" spans="1:8" x14ac:dyDescent="0.3">
      <c r="A50" s="17">
        <v>45994</v>
      </c>
      <c r="B50" s="43">
        <v>-7.18</v>
      </c>
      <c r="C50" s="17">
        <f t="shared" si="0"/>
        <v>45992</v>
      </c>
      <c r="D50">
        <f t="shared" si="1"/>
        <v>1</v>
      </c>
      <c r="F50" s="17">
        <v>45170</v>
      </c>
      <c r="G50" s="70">
        <f t="shared" si="2"/>
        <v>-5.9</v>
      </c>
    </row>
    <row r="51" spans="1:8" x14ac:dyDescent="0.3">
      <c r="A51" s="17">
        <v>45993</v>
      </c>
      <c r="B51" s="43">
        <v>-6.97</v>
      </c>
      <c r="C51" s="17">
        <f t="shared" si="0"/>
        <v>45992</v>
      </c>
      <c r="D51">
        <f t="shared" si="1"/>
        <v>1</v>
      </c>
      <c r="F51" s="17">
        <v>45200</v>
      </c>
      <c r="G51" s="70">
        <f t="shared" si="2"/>
        <v>-2.9266666666666672</v>
      </c>
    </row>
    <row r="52" spans="1:8" x14ac:dyDescent="0.3">
      <c r="A52" s="17">
        <v>45992</v>
      </c>
      <c r="B52" s="43">
        <v>-6.98</v>
      </c>
      <c r="C52" s="17">
        <f t="shared" si="0"/>
        <v>45992</v>
      </c>
      <c r="D52">
        <f t="shared" si="1"/>
        <v>1</v>
      </c>
      <c r="F52" s="17">
        <v>45231</v>
      </c>
      <c r="G52" s="70">
        <f t="shared" si="2"/>
        <v>-4.4400000000000004</v>
      </c>
    </row>
    <row r="53" spans="1:8" x14ac:dyDescent="0.3">
      <c r="A53" s="17">
        <v>45989</v>
      </c>
      <c r="B53" s="43">
        <v>-6.67</v>
      </c>
      <c r="C53" s="17">
        <f t="shared" si="0"/>
        <v>45962</v>
      </c>
      <c r="D53">
        <f t="shared" si="1"/>
        <v>0</v>
      </c>
      <c r="F53" s="17">
        <v>45261</v>
      </c>
      <c r="G53" s="70">
        <f t="shared" si="2"/>
        <v>-4.01</v>
      </c>
    </row>
    <row r="54" spans="1:8" x14ac:dyDescent="0.3">
      <c r="A54" s="17">
        <v>45988</v>
      </c>
      <c r="B54" s="43">
        <v>-6.26</v>
      </c>
      <c r="C54" s="17">
        <f t="shared" si="0"/>
        <v>45962</v>
      </c>
      <c r="D54">
        <f t="shared" si="1"/>
        <v>0</v>
      </c>
      <c r="F54" s="17">
        <v>45292</v>
      </c>
      <c r="G54" s="70">
        <f t="shared" si="2"/>
        <v>-3.8366666666666664</v>
      </c>
    </row>
    <row r="55" spans="1:8" x14ac:dyDescent="0.3">
      <c r="A55" s="17">
        <v>45987</v>
      </c>
      <c r="B55" s="43">
        <v>-5.87</v>
      </c>
      <c r="C55" s="17">
        <f t="shared" si="0"/>
        <v>45962</v>
      </c>
      <c r="D55">
        <f t="shared" si="1"/>
        <v>0</v>
      </c>
      <c r="F55" s="17">
        <v>45323</v>
      </c>
      <c r="G55" s="70">
        <f t="shared" si="2"/>
        <v>-3.7949999999999999</v>
      </c>
      <c r="H55" s="70"/>
    </row>
    <row r="56" spans="1:8" x14ac:dyDescent="0.3">
      <c r="A56" s="17">
        <v>45986</v>
      </c>
      <c r="B56" s="43">
        <v>-5.62</v>
      </c>
      <c r="C56" s="17">
        <f t="shared" si="0"/>
        <v>45962</v>
      </c>
      <c r="D56">
        <f t="shared" si="1"/>
        <v>0</v>
      </c>
      <c r="F56" s="17">
        <v>45352</v>
      </c>
      <c r="G56" s="70">
        <f t="shared" si="2"/>
        <v>-1.87</v>
      </c>
      <c r="H56" s="70"/>
    </row>
    <row r="57" spans="1:8" x14ac:dyDescent="0.3">
      <c r="A57" s="17">
        <v>45985</v>
      </c>
      <c r="B57" s="43">
        <v>-5.36</v>
      </c>
      <c r="C57" s="17">
        <f t="shared" si="0"/>
        <v>45962</v>
      </c>
      <c r="D57">
        <f t="shared" si="1"/>
        <v>0</v>
      </c>
      <c r="F57" s="17">
        <v>45383</v>
      </c>
      <c r="G57" s="70">
        <f t="shared" si="2"/>
        <v>-2.6166666666666667</v>
      </c>
      <c r="H57" s="70"/>
    </row>
    <row r="58" spans="1:8" x14ac:dyDescent="0.3">
      <c r="A58" s="17">
        <v>45982</v>
      </c>
      <c r="B58" s="43">
        <v>-4.8</v>
      </c>
      <c r="C58" s="17">
        <f t="shared" si="0"/>
        <v>45962</v>
      </c>
      <c r="D58">
        <f t="shared" si="1"/>
        <v>0</v>
      </c>
      <c r="F58" s="17">
        <v>45413</v>
      </c>
      <c r="G58" s="70">
        <f t="shared" si="2"/>
        <v>-3</v>
      </c>
      <c r="H58" s="70"/>
    </row>
    <row r="59" spans="1:8" x14ac:dyDescent="0.3">
      <c r="A59" s="17">
        <v>45981</v>
      </c>
      <c r="B59" s="43">
        <v>-4.1100000000000003</v>
      </c>
      <c r="C59" s="17">
        <f t="shared" si="0"/>
        <v>45962</v>
      </c>
      <c r="D59">
        <f t="shared" si="1"/>
        <v>0</v>
      </c>
      <c r="F59" s="17">
        <v>45444</v>
      </c>
      <c r="G59" s="70">
        <f t="shared" si="2"/>
        <v>-4.0950000000000006</v>
      </c>
      <c r="H59" s="70"/>
    </row>
    <row r="60" spans="1:8" x14ac:dyDescent="0.3">
      <c r="A60" s="17">
        <v>45980</v>
      </c>
      <c r="B60" s="43">
        <v>-3.42</v>
      </c>
      <c r="C60" s="17">
        <f t="shared" si="0"/>
        <v>45962</v>
      </c>
      <c r="D60">
        <f t="shared" si="1"/>
        <v>0</v>
      </c>
      <c r="F60" s="17">
        <v>45474</v>
      </c>
      <c r="G60" s="70">
        <f t="shared" si="2"/>
        <v>-2.6024999999999996</v>
      </c>
      <c r="H60" s="70"/>
    </row>
    <row r="61" spans="1:8" x14ac:dyDescent="0.3">
      <c r="A61" s="17">
        <v>45979</v>
      </c>
      <c r="B61">
        <v>-2.92</v>
      </c>
      <c r="C61" s="17">
        <f t="shared" si="0"/>
        <v>45962</v>
      </c>
      <c r="D61">
        <f t="shared" si="1"/>
        <v>0</v>
      </c>
      <c r="F61" s="17">
        <v>45505</v>
      </c>
      <c r="G61" s="70">
        <f t="shared" si="2"/>
        <v>-2.4649999999999999</v>
      </c>
      <c r="H61" s="70"/>
    </row>
    <row r="62" spans="1:8" x14ac:dyDescent="0.3">
      <c r="A62" s="17">
        <v>45978</v>
      </c>
      <c r="B62">
        <v>-2.63</v>
      </c>
      <c r="C62" s="17">
        <f t="shared" si="0"/>
        <v>45962</v>
      </c>
      <c r="D62">
        <f t="shared" si="1"/>
        <v>0</v>
      </c>
      <c r="F62" s="17">
        <v>45536</v>
      </c>
      <c r="G62" s="70">
        <f t="shared" si="2"/>
        <v>-2.4</v>
      </c>
      <c r="H62" s="70"/>
    </row>
    <row r="63" spans="1:8" x14ac:dyDescent="0.3">
      <c r="A63" s="17">
        <v>45975</v>
      </c>
      <c r="B63">
        <v>-2.79</v>
      </c>
      <c r="C63" s="17">
        <f t="shared" si="0"/>
        <v>45962</v>
      </c>
      <c r="D63">
        <f t="shared" si="1"/>
        <v>0</v>
      </c>
      <c r="F63" s="17">
        <v>45566</v>
      </c>
      <c r="G63" s="70">
        <f t="shared" si="2"/>
        <v>-2.7175000000000002</v>
      </c>
      <c r="H63" s="70"/>
    </row>
    <row r="64" spans="1:8" x14ac:dyDescent="0.3">
      <c r="A64" s="17">
        <v>45974</v>
      </c>
      <c r="B64">
        <v>-2.9</v>
      </c>
      <c r="C64" s="17">
        <f t="shared" si="0"/>
        <v>45962</v>
      </c>
      <c r="D64">
        <f t="shared" si="1"/>
        <v>0</v>
      </c>
      <c r="F64" s="17">
        <v>45597</v>
      </c>
      <c r="G64" s="70">
        <f t="shared" si="2"/>
        <v>-2.7</v>
      </c>
      <c r="H64" s="70"/>
    </row>
    <row r="65" spans="1:8" x14ac:dyDescent="0.3">
      <c r="A65" s="17">
        <v>45973</v>
      </c>
      <c r="B65">
        <v>-2.95</v>
      </c>
      <c r="C65" s="17">
        <f t="shared" si="0"/>
        <v>45962</v>
      </c>
      <c r="D65">
        <f t="shared" si="1"/>
        <v>0</v>
      </c>
      <c r="F65" s="17">
        <v>45627</v>
      </c>
      <c r="G65" s="70">
        <f t="shared" si="2"/>
        <v>-2.9766666666666666</v>
      </c>
      <c r="H65" s="70"/>
    </row>
    <row r="66" spans="1:8" x14ac:dyDescent="0.3">
      <c r="A66" s="17">
        <v>45972</v>
      </c>
      <c r="B66">
        <v>-3</v>
      </c>
      <c r="C66" s="17">
        <f t="shared" si="0"/>
        <v>45962</v>
      </c>
      <c r="D66">
        <f t="shared" si="1"/>
        <v>0</v>
      </c>
      <c r="F66" s="17">
        <v>45658</v>
      </c>
      <c r="G66" s="70">
        <f t="shared" si="2"/>
        <v>-2.8499999999999996</v>
      </c>
      <c r="H66" s="70"/>
    </row>
    <row r="67" spans="1:8" x14ac:dyDescent="0.3">
      <c r="A67" s="17">
        <v>45971</v>
      </c>
      <c r="B67">
        <v>-3.18</v>
      </c>
      <c r="C67" s="17">
        <f t="shared" si="0"/>
        <v>45962</v>
      </c>
      <c r="D67">
        <f t="shared" si="1"/>
        <v>0</v>
      </c>
      <c r="F67" s="17">
        <v>45689</v>
      </c>
      <c r="G67" s="70">
        <f t="shared" si="2"/>
        <v>-3.6349999999999998</v>
      </c>
      <c r="H67" s="70"/>
    </row>
    <row r="68" spans="1:8" x14ac:dyDescent="0.3">
      <c r="A68" s="17">
        <v>45968</v>
      </c>
      <c r="B68">
        <v>-2.99</v>
      </c>
      <c r="C68" s="17">
        <f t="shared" si="0"/>
        <v>45962</v>
      </c>
      <c r="D68">
        <f t="shared" si="1"/>
        <v>0</v>
      </c>
      <c r="F68" s="17">
        <v>45717</v>
      </c>
      <c r="G68" s="70">
        <f t="shared" si="2"/>
        <v>-2.4050000000000002</v>
      </c>
      <c r="H68" s="70"/>
    </row>
    <row r="69" spans="1:8" x14ac:dyDescent="0.3">
      <c r="A69" s="17">
        <v>45967</v>
      </c>
      <c r="B69">
        <v>-2.73</v>
      </c>
      <c r="C69" s="17">
        <f t="shared" si="0"/>
        <v>45962</v>
      </c>
      <c r="D69">
        <f t="shared" si="1"/>
        <v>0</v>
      </c>
      <c r="F69" s="17">
        <v>45748</v>
      </c>
      <c r="G69" s="70">
        <f t="shared" si="2"/>
        <v>-3.21</v>
      </c>
      <c r="H69" s="70"/>
    </row>
    <row r="70" spans="1:8" x14ac:dyDescent="0.3">
      <c r="A70" s="17">
        <v>45966</v>
      </c>
      <c r="B70">
        <v>-2.92</v>
      </c>
      <c r="C70" s="17">
        <f t="shared" ref="C70:C133" si="3">+DATE(+YEAR(A70),+MONTH(A70),1)</f>
        <v>45962</v>
      </c>
      <c r="D70">
        <f t="shared" ref="D70:D133" si="4">IF(AND(+DAY(A70)&gt;=1,+DAY(A70)&lt;= 4), 1, 0)</f>
        <v>0</v>
      </c>
      <c r="F70" s="17">
        <v>45778</v>
      </c>
      <c r="G70" s="70">
        <f t="shared" ref="G70:G79" si="5">+AVERAGEIFS($B$5:$B$778,$C$5:$C$778,$F70,$D$5:$D$778,1)</f>
        <v>-1.65</v>
      </c>
      <c r="H70" s="70"/>
    </row>
    <row r="71" spans="1:8" x14ac:dyDescent="0.3">
      <c r="A71" s="17">
        <v>45965</v>
      </c>
      <c r="B71">
        <v>-2.76</v>
      </c>
      <c r="C71" s="17">
        <f t="shared" si="3"/>
        <v>45962</v>
      </c>
      <c r="D71">
        <f t="shared" si="4"/>
        <v>1</v>
      </c>
      <c r="F71" s="17">
        <v>45809</v>
      </c>
      <c r="G71" s="70">
        <f t="shared" si="5"/>
        <v>-0.78666666666666663</v>
      </c>
      <c r="H71" s="70"/>
    </row>
    <row r="72" spans="1:8" x14ac:dyDescent="0.3">
      <c r="A72" s="17">
        <v>45964</v>
      </c>
      <c r="B72">
        <v>-2.7</v>
      </c>
      <c r="C72" s="17">
        <f t="shared" si="3"/>
        <v>45962</v>
      </c>
      <c r="D72">
        <f t="shared" si="4"/>
        <v>1</v>
      </c>
      <c r="F72" s="17">
        <v>45839</v>
      </c>
      <c r="G72" s="70">
        <f t="shared" si="5"/>
        <v>-0.6</v>
      </c>
      <c r="H72" s="70"/>
    </row>
    <row r="73" spans="1:8" x14ac:dyDescent="0.3">
      <c r="A73" s="17">
        <v>45961</v>
      </c>
      <c r="B73">
        <v>-3.11</v>
      </c>
      <c r="C73" s="17">
        <f t="shared" si="3"/>
        <v>45931</v>
      </c>
      <c r="D73">
        <f t="shared" si="4"/>
        <v>0</v>
      </c>
      <c r="F73" s="17">
        <v>45870</v>
      </c>
      <c r="G73" s="70">
        <f t="shared" si="5"/>
        <v>-1.7149999999999999</v>
      </c>
      <c r="H73" s="70"/>
    </row>
    <row r="74" spans="1:8" x14ac:dyDescent="0.3">
      <c r="A74" s="17">
        <v>45960</v>
      </c>
      <c r="B74">
        <v>-2.86</v>
      </c>
      <c r="C74" s="17">
        <f t="shared" si="3"/>
        <v>45931</v>
      </c>
      <c r="D74">
        <f t="shared" si="4"/>
        <v>0</v>
      </c>
      <c r="F74" s="17">
        <v>45901</v>
      </c>
      <c r="G74" s="70">
        <f t="shared" si="5"/>
        <v>-2.7825000000000002</v>
      </c>
      <c r="H74" s="70"/>
    </row>
    <row r="75" spans="1:8" x14ac:dyDescent="0.3">
      <c r="A75" s="17">
        <v>45959</v>
      </c>
      <c r="B75">
        <v>-2.68</v>
      </c>
      <c r="C75" s="17">
        <f t="shared" si="3"/>
        <v>45931</v>
      </c>
      <c r="D75">
        <f t="shared" si="4"/>
        <v>0</v>
      </c>
      <c r="F75" s="42">
        <v>45931</v>
      </c>
      <c r="G75" s="83">
        <f t="shared" si="5"/>
        <v>-1.4566666666666663</v>
      </c>
      <c r="H75" s="70"/>
    </row>
    <row r="76" spans="1:8" x14ac:dyDescent="0.3">
      <c r="A76" s="17">
        <v>45958</v>
      </c>
      <c r="B76">
        <v>-2.09</v>
      </c>
      <c r="C76" s="17">
        <f t="shared" si="3"/>
        <v>45931</v>
      </c>
      <c r="D76">
        <f t="shared" si="4"/>
        <v>0</v>
      </c>
      <c r="F76" s="42">
        <v>45962</v>
      </c>
      <c r="G76" s="83">
        <f t="shared" si="5"/>
        <v>-2.73</v>
      </c>
      <c r="H76" s="70"/>
    </row>
    <row r="77" spans="1:8" x14ac:dyDescent="0.3">
      <c r="A77" s="17">
        <v>45957</v>
      </c>
      <c r="B77">
        <v>-2.2999999999999998</v>
      </c>
      <c r="C77" s="17">
        <f t="shared" si="3"/>
        <v>45931</v>
      </c>
      <c r="D77">
        <f t="shared" si="4"/>
        <v>0</v>
      </c>
      <c r="F77" s="17">
        <v>45992</v>
      </c>
      <c r="G77" s="70">
        <f t="shared" si="5"/>
        <v>-7.1550000000000002</v>
      </c>
      <c r="H77" s="70"/>
    </row>
    <row r="78" spans="1:8" x14ac:dyDescent="0.3">
      <c r="A78" s="17">
        <v>45954</v>
      </c>
      <c r="B78">
        <v>-2.48</v>
      </c>
      <c r="C78" s="17">
        <f t="shared" si="3"/>
        <v>45931</v>
      </c>
      <c r="D78">
        <f t="shared" si="4"/>
        <v>0</v>
      </c>
      <c r="F78" s="17">
        <v>46023</v>
      </c>
      <c r="G78" s="70">
        <f t="shared" si="5"/>
        <v>-6.84</v>
      </c>
      <c r="H78" s="70"/>
    </row>
    <row r="79" spans="1:8" x14ac:dyDescent="0.3">
      <c r="A79" s="17">
        <v>45953</v>
      </c>
      <c r="B79">
        <v>-2.84</v>
      </c>
      <c r="C79" s="17">
        <f t="shared" si="3"/>
        <v>45931</v>
      </c>
      <c r="D79">
        <f t="shared" si="4"/>
        <v>0</v>
      </c>
      <c r="F79" s="17">
        <v>46054</v>
      </c>
      <c r="G79" s="70">
        <f t="shared" si="5"/>
        <v>-6.8499999999999988</v>
      </c>
      <c r="H79" s="70"/>
    </row>
    <row r="80" spans="1:8" x14ac:dyDescent="0.3">
      <c r="A80" s="17">
        <v>45952</v>
      </c>
      <c r="B80">
        <v>-2.33</v>
      </c>
      <c r="C80" s="17">
        <f t="shared" si="3"/>
        <v>45931</v>
      </c>
      <c r="D80">
        <f t="shared" si="4"/>
        <v>0</v>
      </c>
      <c r="F80" s="17"/>
      <c r="G80" s="70"/>
      <c r="H80" s="70"/>
    </row>
    <row r="81" spans="1:4" x14ac:dyDescent="0.3">
      <c r="A81" s="17">
        <v>45951</v>
      </c>
      <c r="B81">
        <v>-2.08</v>
      </c>
      <c r="C81" s="17">
        <f t="shared" si="3"/>
        <v>45931</v>
      </c>
      <c r="D81">
        <f t="shared" si="4"/>
        <v>0</v>
      </c>
    </row>
    <row r="82" spans="1:4" x14ac:dyDescent="0.3">
      <c r="A82" s="17">
        <v>45950</v>
      </c>
      <c r="B82">
        <v>-2.15</v>
      </c>
      <c r="C82" s="17">
        <f t="shared" si="3"/>
        <v>45931</v>
      </c>
      <c r="D82">
        <f t="shared" si="4"/>
        <v>0</v>
      </c>
    </row>
    <row r="83" spans="1:4" x14ac:dyDescent="0.3">
      <c r="A83" s="17">
        <v>45947</v>
      </c>
      <c r="B83">
        <v>-2.14</v>
      </c>
      <c r="C83" s="17">
        <f t="shared" si="3"/>
        <v>45931</v>
      </c>
      <c r="D83">
        <f t="shared" si="4"/>
        <v>0</v>
      </c>
    </row>
    <row r="84" spans="1:4" x14ac:dyDescent="0.3">
      <c r="A84" s="17">
        <v>45946</v>
      </c>
      <c r="B84">
        <v>-1.87</v>
      </c>
      <c r="C84" s="17">
        <f t="shared" si="3"/>
        <v>45931</v>
      </c>
      <c r="D84">
        <f t="shared" si="4"/>
        <v>0</v>
      </c>
    </row>
    <row r="85" spans="1:4" x14ac:dyDescent="0.3">
      <c r="A85" s="17">
        <v>45945</v>
      </c>
      <c r="B85">
        <v>-1.66</v>
      </c>
      <c r="C85" s="17">
        <f t="shared" si="3"/>
        <v>45931</v>
      </c>
      <c r="D85">
        <f t="shared" si="4"/>
        <v>0</v>
      </c>
    </row>
    <row r="86" spans="1:4" x14ac:dyDescent="0.3">
      <c r="A86" s="17">
        <v>45944</v>
      </c>
      <c r="B86">
        <v>-1.81</v>
      </c>
      <c r="C86" s="17">
        <f t="shared" si="3"/>
        <v>45931</v>
      </c>
      <c r="D86">
        <f t="shared" si="4"/>
        <v>0</v>
      </c>
    </row>
    <row r="87" spans="1:4" x14ac:dyDescent="0.3">
      <c r="A87" s="17">
        <v>45943</v>
      </c>
      <c r="B87">
        <v>-1.75</v>
      </c>
      <c r="C87" s="17">
        <f t="shared" si="3"/>
        <v>45931</v>
      </c>
      <c r="D87">
        <f t="shared" si="4"/>
        <v>0</v>
      </c>
    </row>
    <row r="88" spans="1:4" x14ac:dyDescent="0.3">
      <c r="A88" s="17">
        <v>45940</v>
      </c>
      <c r="B88">
        <v>-1.45</v>
      </c>
      <c r="C88" s="17">
        <f t="shared" si="3"/>
        <v>45931</v>
      </c>
      <c r="D88">
        <f t="shared" si="4"/>
        <v>0</v>
      </c>
    </row>
    <row r="89" spans="1:4" x14ac:dyDescent="0.3">
      <c r="A89" s="17">
        <v>45939</v>
      </c>
      <c r="B89">
        <v>-1.35</v>
      </c>
      <c r="C89" s="17">
        <f t="shared" si="3"/>
        <v>45931</v>
      </c>
      <c r="D89">
        <f t="shared" si="4"/>
        <v>0</v>
      </c>
    </row>
    <row r="90" spans="1:4" x14ac:dyDescent="0.3">
      <c r="A90" s="17">
        <v>45938</v>
      </c>
      <c r="B90">
        <v>-1.1499999999999999</v>
      </c>
      <c r="C90" s="17">
        <f t="shared" si="3"/>
        <v>45931</v>
      </c>
      <c r="D90">
        <f t="shared" si="4"/>
        <v>0</v>
      </c>
    </row>
    <row r="91" spans="1:4" x14ac:dyDescent="0.3">
      <c r="A91" s="17">
        <v>45937</v>
      </c>
      <c r="B91">
        <v>-1.38</v>
      </c>
      <c r="C91" s="17">
        <f t="shared" si="3"/>
        <v>45931</v>
      </c>
      <c r="D91">
        <f t="shared" si="4"/>
        <v>0</v>
      </c>
    </row>
    <row r="92" spans="1:4" x14ac:dyDescent="0.3">
      <c r="A92" s="17">
        <v>45936</v>
      </c>
      <c r="B92">
        <v>-1.54</v>
      </c>
      <c r="C92" s="17">
        <f t="shared" si="3"/>
        <v>45931</v>
      </c>
      <c r="D92">
        <f t="shared" si="4"/>
        <v>0</v>
      </c>
    </row>
    <row r="93" spans="1:4" x14ac:dyDescent="0.3">
      <c r="A93" s="17">
        <v>45933</v>
      </c>
      <c r="B93">
        <v>-1.43</v>
      </c>
      <c r="C93" s="17">
        <f t="shared" si="3"/>
        <v>45931</v>
      </c>
      <c r="D93">
        <f t="shared" si="4"/>
        <v>1</v>
      </c>
    </row>
    <row r="94" spans="1:4" x14ac:dyDescent="0.3">
      <c r="A94" s="17">
        <v>45932</v>
      </c>
      <c r="B94">
        <v>-1.25</v>
      </c>
      <c r="C94" s="17">
        <f t="shared" si="3"/>
        <v>45931</v>
      </c>
      <c r="D94">
        <f t="shared" si="4"/>
        <v>1</v>
      </c>
    </row>
    <row r="95" spans="1:4" x14ac:dyDescent="0.3">
      <c r="A95" s="17">
        <v>45931</v>
      </c>
      <c r="B95">
        <v>-1.69</v>
      </c>
      <c r="C95" s="17">
        <f t="shared" si="3"/>
        <v>45931</v>
      </c>
      <c r="D95">
        <f t="shared" si="4"/>
        <v>1</v>
      </c>
    </row>
    <row r="96" spans="1:4" x14ac:dyDescent="0.3">
      <c r="A96" s="17">
        <v>45930</v>
      </c>
      <c r="B96">
        <v>-1.78</v>
      </c>
      <c r="C96" s="17">
        <f t="shared" si="3"/>
        <v>45901</v>
      </c>
      <c r="D96">
        <f t="shared" si="4"/>
        <v>0</v>
      </c>
    </row>
    <row r="97" spans="1:4" x14ac:dyDescent="0.3">
      <c r="A97" s="17">
        <v>45929</v>
      </c>
      <c r="B97">
        <v>-1.76</v>
      </c>
      <c r="C97" s="17">
        <f t="shared" si="3"/>
        <v>45901</v>
      </c>
      <c r="D97">
        <f t="shared" si="4"/>
        <v>0</v>
      </c>
    </row>
    <row r="98" spans="1:4" x14ac:dyDescent="0.3">
      <c r="A98" s="17">
        <v>45926</v>
      </c>
      <c r="B98">
        <v>-1.88</v>
      </c>
      <c r="C98" s="17">
        <f t="shared" si="3"/>
        <v>45901</v>
      </c>
      <c r="D98">
        <f t="shared" si="4"/>
        <v>0</v>
      </c>
    </row>
    <row r="99" spans="1:4" x14ac:dyDescent="0.3">
      <c r="A99" s="17">
        <v>45925</v>
      </c>
      <c r="B99">
        <v>-2.3199999999999998</v>
      </c>
      <c r="C99" s="17">
        <f t="shared" si="3"/>
        <v>45901</v>
      </c>
      <c r="D99">
        <f t="shared" si="4"/>
        <v>0</v>
      </c>
    </row>
    <row r="100" spans="1:4" x14ac:dyDescent="0.3">
      <c r="A100" s="17">
        <v>45924</v>
      </c>
      <c r="B100">
        <v>-2.67</v>
      </c>
      <c r="C100" s="17">
        <f t="shared" si="3"/>
        <v>45901</v>
      </c>
      <c r="D100">
        <f t="shared" si="4"/>
        <v>0</v>
      </c>
    </row>
    <row r="101" spans="1:4" x14ac:dyDescent="0.3">
      <c r="A101" s="17">
        <v>45923</v>
      </c>
      <c r="B101">
        <v>-3</v>
      </c>
      <c r="C101" s="17">
        <f t="shared" si="3"/>
        <v>45901</v>
      </c>
      <c r="D101">
        <f t="shared" si="4"/>
        <v>0</v>
      </c>
    </row>
    <row r="102" spans="1:4" x14ac:dyDescent="0.3">
      <c r="A102" s="17">
        <v>45922</v>
      </c>
      <c r="B102">
        <v>-2.68</v>
      </c>
      <c r="C102" s="17">
        <f t="shared" si="3"/>
        <v>45901</v>
      </c>
      <c r="D102">
        <f t="shared" si="4"/>
        <v>0</v>
      </c>
    </row>
    <row r="103" spans="1:4" x14ac:dyDescent="0.3">
      <c r="A103" s="17">
        <v>45919</v>
      </c>
      <c r="B103">
        <v>-2.92</v>
      </c>
      <c r="C103" s="17">
        <f t="shared" si="3"/>
        <v>45901</v>
      </c>
      <c r="D103">
        <f t="shared" si="4"/>
        <v>0</v>
      </c>
    </row>
    <row r="104" spans="1:4" x14ac:dyDescent="0.3">
      <c r="A104" s="17">
        <v>45918</v>
      </c>
      <c r="B104">
        <v>-3.07</v>
      </c>
      <c r="C104" s="17">
        <f t="shared" si="3"/>
        <v>45901</v>
      </c>
      <c r="D104">
        <f t="shared" si="4"/>
        <v>0</v>
      </c>
    </row>
    <row r="105" spans="1:4" x14ac:dyDescent="0.3">
      <c r="A105" s="17">
        <v>45917</v>
      </c>
      <c r="B105">
        <v>-3.36</v>
      </c>
      <c r="C105" s="17">
        <f t="shared" si="3"/>
        <v>45901</v>
      </c>
      <c r="D105">
        <f t="shared" si="4"/>
        <v>0</v>
      </c>
    </row>
    <row r="106" spans="1:4" x14ac:dyDescent="0.3">
      <c r="A106" s="17">
        <v>45916</v>
      </c>
      <c r="B106">
        <v>-3.33</v>
      </c>
      <c r="C106" s="17">
        <f t="shared" si="3"/>
        <v>45901</v>
      </c>
      <c r="D106">
        <f t="shared" si="4"/>
        <v>0</v>
      </c>
    </row>
    <row r="107" spans="1:4" x14ac:dyDescent="0.3">
      <c r="A107" s="17">
        <v>45915</v>
      </c>
      <c r="B107">
        <v>-3.69</v>
      </c>
      <c r="C107" s="17">
        <f t="shared" si="3"/>
        <v>45901</v>
      </c>
      <c r="D107">
        <f t="shared" si="4"/>
        <v>0</v>
      </c>
    </row>
    <row r="108" spans="1:4" x14ac:dyDescent="0.3">
      <c r="A108" s="17">
        <v>45912</v>
      </c>
      <c r="B108">
        <v>-3.67</v>
      </c>
      <c r="C108" s="17">
        <f t="shared" si="3"/>
        <v>45901</v>
      </c>
      <c r="D108">
        <f t="shared" si="4"/>
        <v>0</v>
      </c>
    </row>
    <row r="109" spans="1:4" x14ac:dyDescent="0.3">
      <c r="A109" s="17">
        <v>45911</v>
      </c>
      <c r="B109">
        <v>-3.36</v>
      </c>
      <c r="C109" s="17">
        <f t="shared" si="3"/>
        <v>45901</v>
      </c>
      <c r="D109">
        <f t="shared" si="4"/>
        <v>0</v>
      </c>
    </row>
    <row r="110" spans="1:4" x14ac:dyDescent="0.3">
      <c r="A110" s="17">
        <v>45910</v>
      </c>
      <c r="B110">
        <v>-3.47</v>
      </c>
      <c r="C110" s="17">
        <f t="shared" si="3"/>
        <v>45901</v>
      </c>
      <c r="D110">
        <f t="shared" si="4"/>
        <v>0</v>
      </c>
    </row>
    <row r="111" spans="1:4" x14ac:dyDescent="0.3">
      <c r="A111" s="17">
        <v>45909</v>
      </c>
      <c r="B111">
        <v>-3.22</v>
      </c>
      <c r="C111" s="17">
        <f t="shared" si="3"/>
        <v>45901</v>
      </c>
      <c r="D111">
        <f t="shared" si="4"/>
        <v>0</v>
      </c>
    </row>
    <row r="112" spans="1:4" x14ac:dyDescent="0.3">
      <c r="A112" s="17">
        <v>45908</v>
      </c>
      <c r="B112">
        <v>-2.77</v>
      </c>
      <c r="C112" s="17">
        <f t="shared" si="3"/>
        <v>45901</v>
      </c>
      <c r="D112">
        <f t="shared" si="4"/>
        <v>0</v>
      </c>
    </row>
    <row r="113" spans="1:4" x14ac:dyDescent="0.3">
      <c r="A113" s="17">
        <v>45905</v>
      </c>
      <c r="B113">
        <v>-2.56</v>
      </c>
      <c r="C113" s="17">
        <f t="shared" si="3"/>
        <v>45901</v>
      </c>
      <c r="D113">
        <f t="shared" si="4"/>
        <v>0</v>
      </c>
    </row>
    <row r="114" spans="1:4" x14ac:dyDescent="0.3">
      <c r="A114" s="17">
        <v>45904</v>
      </c>
      <c r="B114">
        <v>-2.4</v>
      </c>
      <c r="C114" s="17">
        <f t="shared" si="3"/>
        <v>45901</v>
      </c>
      <c r="D114">
        <f t="shared" si="4"/>
        <v>1</v>
      </c>
    </row>
    <row r="115" spans="1:4" x14ac:dyDescent="0.3">
      <c r="A115" s="17">
        <v>45903</v>
      </c>
      <c r="B115">
        <v>-2.69</v>
      </c>
      <c r="C115" s="17">
        <f t="shared" si="3"/>
        <v>45901</v>
      </c>
      <c r="D115">
        <f t="shared" si="4"/>
        <v>1</v>
      </c>
    </row>
    <row r="116" spans="1:4" x14ac:dyDescent="0.3">
      <c r="A116" s="17">
        <v>45902</v>
      </c>
      <c r="B116">
        <v>-2.96</v>
      </c>
      <c r="C116" s="17">
        <f t="shared" si="3"/>
        <v>45901</v>
      </c>
      <c r="D116">
        <f t="shared" si="4"/>
        <v>1</v>
      </c>
    </row>
    <row r="117" spans="1:4" x14ac:dyDescent="0.3">
      <c r="A117" s="17">
        <v>45901</v>
      </c>
      <c r="B117">
        <v>-3.08</v>
      </c>
      <c r="C117" s="17">
        <f t="shared" si="3"/>
        <v>45901</v>
      </c>
      <c r="D117">
        <f t="shared" si="4"/>
        <v>1</v>
      </c>
    </row>
    <row r="118" spans="1:4" x14ac:dyDescent="0.3">
      <c r="A118" s="17">
        <v>45898</v>
      </c>
      <c r="B118">
        <v>-4.18</v>
      </c>
      <c r="C118" s="17">
        <f t="shared" si="3"/>
        <v>45870</v>
      </c>
      <c r="D118">
        <f t="shared" si="4"/>
        <v>0</v>
      </c>
    </row>
    <row r="119" spans="1:4" x14ac:dyDescent="0.3">
      <c r="A119" s="17">
        <v>45897</v>
      </c>
      <c r="B119">
        <v>-4.05</v>
      </c>
      <c r="C119" s="17">
        <f t="shared" si="3"/>
        <v>45870</v>
      </c>
      <c r="D119">
        <f t="shared" si="4"/>
        <v>0</v>
      </c>
    </row>
    <row r="120" spans="1:4" x14ac:dyDescent="0.3">
      <c r="A120" s="17">
        <v>45896</v>
      </c>
      <c r="B120">
        <v>-4.49</v>
      </c>
      <c r="C120" s="17">
        <f t="shared" si="3"/>
        <v>45870</v>
      </c>
      <c r="D120">
        <f t="shared" si="4"/>
        <v>0</v>
      </c>
    </row>
    <row r="121" spans="1:4" x14ac:dyDescent="0.3">
      <c r="A121" s="17">
        <v>45895</v>
      </c>
      <c r="B121">
        <v>-4.18</v>
      </c>
      <c r="C121" s="17">
        <f t="shared" si="3"/>
        <v>45870</v>
      </c>
      <c r="D121">
        <f t="shared" si="4"/>
        <v>0</v>
      </c>
    </row>
    <row r="122" spans="1:4" x14ac:dyDescent="0.3">
      <c r="A122" s="17">
        <v>45891</v>
      </c>
      <c r="B122">
        <v>-3.88</v>
      </c>
      <c r="C122" s="17">
        <f t="shared" si="3"/>
        <v>45870</v>
      </c>
      <c r="D122">
        <f t="shared" si="4"/>
        <v>0</v>
      </c>
    </row>
    <row r="123" spans="1:4" x14ac:dyDescent="0.3">
      <c r="A123" s="17">
        <v>45890</v>
      </c>
      <c r="B123">
        <v>-3.64</v>
      </c>
      <c r="C123" s="17">
        <f t="shared" si="3"/>
        <v>45870</v>
      </c>
      <c r="D123">
        <f t="shared" si="4"/>
        <v>0</v>
      </c>
    </row>
    <row r="124" spans="1:4" x14ac:dyDescent="0.3">
      <c r="A124" s="17">
        <v>45889</v>
      </c>
      <c r="B124">
        <v>-3.49</v>
      </c>
      <c r="C124" s="17">
        <f t="shared" si="3"/>
        <v>45870</v>
      </c>
      <c r="D124">
        <f t="shared" si="4"/>
        <v>0</v>
      </c>
    </row>
    <row r="125" spans="1:4" x14ac:dyDescent="0.3">
      <c r="A125" s="17">
        <v>45888</v>
      </c>
      <c r="B125">
        <v>-3.02</v>
      </c>
      <c r="C125" s="17">
        <f t="shared" si="3"/>
        <v>45870</v>
      </c>
      <c r="D125">
        <f t="shared" si="4"/>
        <v>0</v>
      </c>
    </row>
    <row r="126" spans="1:4" x14ac:dyDescent="0.3">
      <c r="A126" s="17">
        <v>45887</v>
      </c>
      <c r="B126">
        <v>-2.91</v>
      </c>
      <c r="C126" s="17">
        <f t="shared" si="3"/>
        <v>45870</v>
      </c>
      <c r="D126">
        <f t="shared" si="4"/>
        <v>0</v>
      </c>
    </row>
    <row r="127" spans="1:4" x14ac:dyDescent="0.3">
      <c r="A127" s="17">
        <v>45884</v>
      </c>
      <c r="B127">
        <v>-2.74</v>
      </c>
      <c r="C127" s="17">
        <f t="shared" si="3"/>
        <v>45870</v>
      </c>
      <c r="D127">
        <f t="shared" si="4"/>
        <v>0</v>
      </c>
    </row>
    <row r="128" spans="1:4" x14ac:dyDescent="0.3">
      <c r="A128" s="17">
        <v>45883</v>
      </c>
      <c r="B128">
        <v>-2.64</v>
      </c>
      <c r="C128" s="17">
        <f t="shared" si="3"/>
        <v>45870</v>
      </c>
      <c r="D128">
        <f t="shared" si="4"/>
        <v>0</v>
      </c>
    </row>
    <row r="129" spans="1:4" x14ac:dyDescent="0.3">
      <c r="A129" s="17">
        <v>45882</v>
      </c>
      <c r="B129">
        <v>-2.42</v>
      </c>
      <c r="C129" s="17">
        <f t="shared" si="3"/>
        <v>45870</v>
      </c>
      <c r="D129">
        <f t="shared" si="4"/>
        <v>0</v>
      </c>
    </row>
    <row r="130" spans="1:4" x14ac:dyDescent="0.3">
      <c r="A130" s="17">
        <v>45881</v>
      </c>
      <c r="B130">
        <v>-2.2999999999999998</v>
      </c>
      <c r="C130" s="17">
        <f t="shared" si="3"/>
        <v>45870</v>
      </c>
      <c r="D130">
        <f t="shared" si="4"/>
        <v>0</v>
      </c>
    </row>
    <row r="131" spans="1:4" x14ac:dyDescent="0.3">
      <c r="A131" s="17">
        <v>45880</v>
      </c>
      <c r="B131">
        <v>-1.99</v>
      </c>
      <c r="C131" s="17">
        <f t="shared" si="3"/>
        <v>45870</v>
      </c>
      <c r="D131">
        <f t="shared" si="4"/>
        <v>0</v>
      </c>
    </row>
    <row r="132" spans="1:4" x14ac:dyDescent="0.3">
      <c r="A132" s="17">
        <v>45877</v>
      </c>
      <c r="B132">
        <v>-1.98</v>
      </c>
      <c r="C132" s="17">
        <f t="shared" si="3"/>
        <v>45870</v>
      </c>
      <c r="D132">
        <f t="shared" si="4"/>
        <v>0</v>
      </c>
    </row>
    <row r="133" spans="1:4" x14ac:dyDescent="0.3">
      <c r="A133" s="17">
        <v>45876</v>
      </c>
      <c r="B133">
        <v>-2.3199999999999998</v>
      </c>
      <c r="C133" s="17">
        <f t="shared" si="3"/>
        <v>45870</v>
      </c>
      <c r="D133">
        <f t="shared" si="4"/>
        <v>0</v>
      </c>
    </row>
    <row r="134" spans="1:4" x14ac:dyDescent="0.3">
      <c r="A134" s="17">
        <v>45875</v>
      </c>
      <c r="B134">
        <v>-2.0299999999999998</v>
      </c>
      <c r="C134" s="17">
        <f t="shared" ref="C134:C197" si="6">+DATE(+YEAR(A134),+MONTH(A134),1)</f>
        <v>45870</v>
      </c>
      <c r="D134">
        <f t="shared" ref="D134:D197" si="7">IF(AND(+DAY(A134)&gt;=1,+DAY(A134)&lt;= 4), 1, 0)</f>
        <v>0</v>
      </c>
    </row>
    <row r="135" spans="1:4" x14ac:dyDescent="0.3">
      <c r="A135" s="17">
        <v>45874</v>
      </c>
      <c r="B135">
        <v>-1.83</v>
      </c>
      <c r="C135" s="17">
        <f t="shared" si="6"/>
        <v>45870</v>
      </c>
      <c r="D135">
        <f t="shared" si="7"/>
        <v>0</v>
      </c>
    </row>
    <row r="136" spans="1:4" x14ac:dyDescent="0.3">
      <c r="A136" s="17">
        <v>45873</v>
      </c>
      <c r="B136">
        <v>-1.72</v>
      </c>
      <c r="C136" s="17">
        <f t="shared" si="6"/>
        <v>45870</v>
      </c>
      <c r="D136">
        <f t="shared" si="7"/>
        <v>1</v>
      </c>
    </row>
    <row r="137" spans="1:4" x14ac:dyDescent="0.3">
      <c r="A137" s="17">
        <v>45870</v>
      </c>
      <c r="B137">
        <v>-1.71</v>
      </c>
      <c r="C137" s="17">
        <f t="shared" si="6"/>
        <v>45870</v>
      </c>
      <c r="D137">
        <f t="shared" si="7"/>
        <v>1</v>
      </c>
    </row>
    <row r="138" spans="1:4" x14ac:dyDescent="0.3">
      <c r="A138" s="17">
        <v>45869</v>
      </c>
      <c r="B138">
        <v>-2.21</v>
      </c>
      <c r="C138" s="17">
        <f t="shared" si="6"/>
        <v>45839</v>
      </c>
      <c r="D138">
        <f t="shared" si="7"/>
        <v>0</v>
      </c>
    </row>
    <row r="139" spans="1:4" x14ac:dyDescent="0.3">
      <c r="A139" s="17">
        <v>45868</v>
      </c>
      <c r="B139">
        <v>-2.06</v>
      </c>
      <c r="C139" s="17">
        <f t="shared" si="6"/>
        <v>45839</v>
      </c>
      <c r="D139">
        <f t="shared" si="7"/>
        <v>0</v>
      </c>
    </row>
    <row r="140" spans="1:4" x14ac:dyDescent="0.3">
      <c r="A140" s="17">
        <v>45867</v>
      </c>
      <c r="B140">
        <v>-1.88</v>
      </c>
      <c r="C140" s="17">
        <f t="shared" si="6"/>
        <v>45839</v>
      </c>
      <c r="D140">
        <f t="shared" si="7"/>
        <v>0</v>
      </c>
    </row>
    <row r="141" spans="1:4" x14ac:dyDescent="0.3">
      <c r="A141" s="17">
        <v>45866</v>
      </c>
      <c r="B141">
        <v>-2.04</v>
      </c>
      <c r="C141" s="17">
        <f t="shared" si="6"/>
        <v>45839</v>
      </c>
      <c r="D141">
        <f t="shared" si="7"/>
        <v>0</v>
      </c>
    </row>
    <row r="142" spans="1:4" x14ac:dyDescent="0.3">
      <c r="A142" s="17">
        <v>45863</v>
      </c>
      <c r="B142">
        <v>-2.0099999999999998</v>
      </c>
      <c r="C142" s="17">
        <f t="shared" si="6"/>
        <v>45839</v>
      </c>
      <c r="D142">
        <f t="shared" si="7"/>
        <v>0</v>
      </c>
    </row>
    <row r="143" spans="1:4" x14ac:dyDescent="0.3">
      <c r="A143" s="17">
        <v>45862</v>
      </c>
      <c r="B143">
        <v>-1.64</v>
      </c>
      <c r="C143" s="17">
        <f t="shared" si="6"/>
        <v>45839</v>
      </c>
      <c r="D143">
        <f t="shared" si="7"/>
        <v>0</v>
      </c>
    </row>
    <row r="144" spans="1:4" x14ac:dyDescent="0.3">
      <c r="A144" s="17">
        <v>45861</v>
      </c>
      <c r="B144">
        <v>-1.44</v>
      </c>
      <c r="C144" s="17">
        <f t="shared" si="6"/>
        <v>45839</v>
      </c>
      <c r="D144">
        <f t="shared" si="7"/>
        <v>0</v>
      </c>
    </row>
    <row r="145" spans="1:4" x14ac:dyDescent="0.3">
      <c r="A145" s="17">
        <v>45860</v>
      </c>
      <c r="B145">
        <v>-0.98</v>
      </c>
      <c r="C145" s="17">
        <f t="shared" si="6"/>
        <v>45839</v>
      </c>
      <c r="D145">
        <f t="shared" si="7"/>
        <v>0</v>
      </c>
    </row>
    <row r="146" spans="1:4" x14ac:dyDescent="0.3">
      <c r="A146" s="17">
        <v>45859</v>
      </c>
      <c r="B146">
        <v>-0.71</v>
      </c>
      <c r="C146" s="17">
        <f t="shared" si="6"/>
        <v>45839</v>
      </c>
      <c r="D146">
        <f t="shared" si="7"/>
        <v>0</v>
      </c>
    </row>
    <row r="147" spans="1:4" x14ac:dyDescent="0.3">
      <c r="A147" s="17">
        <v>45856</v>
      </c>
      <c r="B147">
        <v>-0.45</v>
      </c>
      <c r="C147" s="17">
        <f t="shared" si="6"/>
        <v>45839</v>
      </c>
      <c r="D147">
        <f t="shared" si="7"/>
        <v>0</v>
      </c>
    </row>
    <row r="148" spans="1:4" x14ac:dyDescent="0.3">
      <c r="A148" s="17">
        <v>45855</v>
      </c>
      <c r="B148">
        <v>-0.25</v>
      </c>
      <c r="C148" s="17">
        <f t="shared" si="6"/>
        <v>45839</v>
      </c>
      <c r="D148">
        <f t="shared" si="7"/>
        <v>0</v>
      </c>
    </row>
    <row r="149" spans="1:4" x14ac:dyDescent="0.3">
      <c r="A149" s="17">
        <v>45854</v>
      </c>
      <c r="B149">
        <v>-0.4</v>
      </c>
      <c r="C149" s="17">
        <f t="shared" si="6"/>
        <v>45839</v>
      </c>
      <c r="D149">
        <f t="shared" si="7"/>
        <v>0</v>
      </c>
    </row>
    <row r="150" spans="1:4" x14ac:dyDescent="0.3">
      <c r="A150" s="17">
        <v>45853</v>
      </c>
      <c r="B150">
        <v>-0.46</v>
      </c>
      <c r="C150" s="17">
        <f t="shared" si="6"/>
        <v>45839</v>
      </c>
      <c r="D150">
        <f t="shared" si="7"/>
        <v>0</v>
      </c>
    </row>
    <row r="151" spans="1:4" x14ac:dyDescent="0.3">
      <c r="A151" s="17">
        <v>45852</v>
      </c>
      <c r="B151">
        <v>-0.4</v>
      </c>
      <c r="C151" s="17">
        <f t="shared" si="6"/>
        <v>45839</v>
      </c>
      <c r="D151">
        <f t="shared" si="7"/>
        <v>0</v>
      </c>
    </row>
    <row r="152" spans="1:4" x14ac:dyDescent="0.3">
      <c r="A152" s="17">
        <v>45849</v>
      </c>
      <c r="B152">
        <v>-0.26</v>
      </c>
      <c r="C152" s="17">
        <f t="shared" si="6"/>
        <v>45839</v>
      </c>
      <c r="D152">
        <f t="shared" si="7"/>
        <v>0</v>
      </c>
    </row>
    <row r="153" spans="1:4" x14ac:dyDescent="0.3">
      <c r="A153" s="17">
        <v>45848</v>
      </c>
      <c r="B153">
        <v>-0.59</v>
      </c>
      <c r="C153" s="17">
        <f t="shared" si="6"/>
        <v>45839</v>
      </c>
      <c r="D153">
        <f t="shared" si="7"/>
        <v>0</v>
      </c>
    </row>
    <row r="154" spans="1:4" x14ac:dyDescent="0.3">
      <c r="A154" s="17">
        <v>45847</v>
      </c>
      <c r="B154">
        <v>-0.61</v>
      </c>
      <c r="C154" s="17">
        <f t="shared" si="6"/>
        <v>45839</v>
      </c>
      <c r="D154">
        <f t="shared" si="7"/>
        <v>0</v>
      </c>
    </row>
    <row r="155" spans="1:4" x14ac:dyDescent="0.3">
      <c r="A155" s="17">
        <v>45846</v>
      </c>
      <c r="B155">
        <v>-0.63</v>
      </c>
      <c r="C155" s="17">
        <f t="shared" si="6"/>
        <v>45839</v>
      </c>
      <c r="D155">
        <f t="shared" si="7"/>
        <v>0</v>
      </c>
    </row>
    <row r="156" spans="1:4" x14ac:dyDescent="0.3">
      <c r="A156" s="17">
        <v>45845</v>
      </c>
      <c r="B156">
        <v>-0.69</v>
      </c>
      <c r="C156" s="17">
        <f t="shared" si="6"/>
        <v>45839</v>
      </c>
      <c r="D156">
        <f t="shared" si="7"/>
        <v>0</v>
      </c>
    </row>
    <row r="157" spans="1:4" x14ac:dyDescent="0.3">
      <c r="A157" s="17">
        <v>45842</v>
      </c>
      <c r="B157">
        <v>-0.5</v>
      </c>
      <c r="C157" s="17">
        <f t="shared" si="6"/>
        <v>45839</v>
      </c>
      <c r="D157">
        <f t="shared" si="7"/>
        <v>1</v>
      </c>
    </row>
    <row r="158" spans="1:4" x14ac:dyDescent="0.3">
      <c r="A158" s="17">
        <v>45841</v>
      </c>
      <c r="B158">
        <v>-0.39</v>
      </c>
      <c r="C158" s="17">
        <f t="shared" si="6"/>
        <v>45839</v>
      </c>
      <c r="D158">
        <f t="shared" si="7"/>
        <v>1</v>
      </c>
    </row>
    <row r="159" spans="1:4" x14ac:dyDescent="0.3">
      <c r="A159" s="17">
        <v>45840</v>
      </c>
      <c r="B159">
        <v>-0.65</v>
      </c>
      <c r="C159" s="17">
        <f t="shared" si="6"/>
        <v>45839</v>
      </c>
      <c r="D159">
        <f t="shared" si="7"/>
        <v>1</v>
      </c>
    </row>
    <row r="160" spans="1:4" x14ac:dyDescent="0.3">
      <c r="A160" s="17">
        <v>45839</v>
      </c>
      <c r="B160">
        <v>-0.86</v>
      </c>
      <c r="C160" s="17">
        <f t="shared" si="6"/>
        <v>45839</v>
      </c>
      <c r="D160">
        <f t="shared" si="7"/>
        <v>1</v>
      </c>
    </row>
    <row r="161" spans="1:4" x14ac:dyDescent="0.3">
      <c r="A161" s="17">
        <v>45838</v>
      </c>
      <c r="B161">
        <v>-1.32</v>
      </c>
      <c r="C161" s="17">
        <f t="shared" si="6"/>
        <v>45809</v>
      </c>
      <c r="D161">
        <f t="shared" si="7"/>
        <v>0</v>
      </c>
    </row>
    <row r="162" spans="1:4" x14ac:dyDescent="0.3">
      <c r="A162" s="17">
        <v>45835</v>
      </c>
      <c r="B162">
        <v>-1.08</v>
      </c>
      <c r="C162" s="17">
        <f t="shared" si="6"/>
        <v>45809</v>
      </c>
      <c r="D162">
        <f t="shared" si="7"/>
        <v>0</v>
      </c>
    </row>
    <row r="163" spans="1:4" x14ac:dyDescent="0.3">
      <c r="A163" s="17">
        <v>45834</v>
      </c>
      <c r="B163">
        <v>-1</v>
      </c>
      <c r="C163" s="17">
        <f t="shared" si="6"/>
        <v>45809</v>
      </c>
      <c r="D163">
        <f t="shared" si="7"/>
        <v>0</v>
      </c>
    </row>
    <row r="164" spans="1:4" x14ac:dyDescent="0.3">
      <c r="A164" s="17">
        <v>45833</v>
      </c>
      <c r="B164">
        <v>-0.97</v>
      </c>
      <c r="C164" s="17">
        <f t="shared" si="6"/>
        <v>45809</v>
      </c>
      <c r="D164">
        <f t="shared" si="7"/>
        <v>0</v>
      </c>
    </row>
    <row r="165" spans="1:4" x14ac:dyDescent="0.3">
      <c r="A165" s="17">
        <v>45832</v>
      </c>
      <c r="B165">
        <v>-1.04</v>
      </c>
      <c r="C165" s="17">
        <f t="shared" si="6"/>
        <v>45809</v>
      </c>
      <c r="D165">
        <f t="shared" si="7"/>
        <v>0</v>
      </c>
    </row>
    <row r="166" spans="1:4" x14ac:dyDescent="0.3">
      <c r="A166" s="17">
        <v>45831</v>
      </c>
      <c r="B166">
        <v>-0.24</v>
      </c>
      <c r="C166" s="17">
        <f t="shared" si="6"/>
        <v>45809</v>
      </c>
      <c r="D166">
        <f t="shared" si="7"/>
        <v>0</v>
      </c>
    </row>
    <row r="167" spans="1:4" x14ac:dyDescent="0.3">
      <c r="A167" s="17">
        <v>45828</v>
      </c>
      <c r="B167">
        <v>-7.0000000000000007E-2</v>
      </c>
      <c r="C167" s="17">
        <f t="shared" si="6"/>
        <v>45809</v>
      </c>
      <c r="D167">
        <f t="shared" si="7"/>
        <v>0</v>
      </c>
    </row>
    <row r="168" spans="1:4" x14ac:dyDescent="0.3">
      <c r="A168" s="17">
        <v>45827</v>
      </c>
      <c r="B168">
        <v>0.23</v>
      </c>
      <c r="C168" s="17">
        <f t="shared" si="6"/>
        <v>45809</v>
      </c>
      <c r="D168">
        <f t="shared" si="7"/>
        <v>0</v>
      </c>
    </row>
    <row r="169" spans="1:4" x14ac:dyDescent="0.3">
      <c r="A169" s="17">
        <v>45826</v>
      </c>
      <c r="B169">
        <v>-0.27</v>
      </c>
      <c r="C169" s="17">
        <f t="shared" si="6"/>
        <v>45809</v>
      </c>
      <c r="D169">
        <f t="shared" si="7"/>
        <v>0</v>
      </c>
    </row>
    <row r="170" spans="1:4" x14ac:dyDescent="0.3">
      <c r="A170" s="17">
        <v>45825</v>
      </c>
      <c r="B170">
        <v>-0.37</v>
      </c>
      <c r="C170" s="17">
        <f t="shared" si="6"/>
        <v>45809</v>
      </c>
      <c r="D170">
        <f t="shared" si="7"/>
        <v>0</v>
      </c>
    </row>
    <row r="171" spans="1:4" x14ac:dyDescent="0.3">
      <c r="A171" s="17">
        <v>45824</v>
      </c>
      <c r="B171">
        <v>-0.43</v>
      </c>
      <c r="C171" s="17">
        <f t="shared" si="6"/>
        <v>45809</v>
      </c>
      <c r="D171">
        <f t="shared" si="7"/>
        <v>0</v>
      </c>
    </row>
    <row r="172" spans="1:4" x14ac:dyDescent="0.3">
      <c r="A172" s="17">
        <v>45821</v>
      </c>
      <c r="B172">
        <v>-0.43</v>
      </c>
      <c r="C172" s="17">
        <f t="shared" si="6"/>
        <v>45809</v>
      </c>
      <c r="D172">
        <f t="shared" si="7"/>
        <v>0</v>
      </c>
    </row>
    <row r="173" spans="1:4" x14ac:dyDescent="0.3">
      <c r="A173" s="17">
        <v>45820</v>
      </c>
      <c r="B173">
        <v>-0.94</v>
      </c>
      <c r="C173" s="17">
        <f t="shared" si="6"/>
        <v>45809</v>
      </c>
      <c r="D173">
        <f t="shared" si="7"/>
        <v>0</v>
      </c>
    </row>
    <row r="174" spans="1:4" x14ac:dyDescent="0.3">
      <c r="A174" s="17">
        <v>45819</v>
      </c>
      <c r="B174">
        <v>-1.1599999999999999</v>
      </c>
      <c r="C174" s="17">
        <f t="shared" si="6"/>
        <v>45809</v>
      </c>
      <c r="D174">
        <f t="shared" si="7"/>
        <v>0</v>
      </c>
    </row>
    <row r="175" spans="1:4" x14ac:dyDescent="0.3">
      <c r="A175" s="17">
        <v>45818</v>
      </c>
      <c r="B175">
        <v>-1.1599999999999999</v>
      </c>
      <c r="C175" s="17">
        <f t="shared" si="6"/>
        <v>45809</v>
      </c>
      <c r="D175">
        <f t="shared" si="7"/>
        <v>0</v>
      </c>
    </row>
    <row r="176" spans="1:4" x14ac:dyDescent="0.3">
      <c r="A176" s="17">
        <v>45817</v>
      </c>
      <c r="B176">
        <v>-1.07</v>
      </c>
      <c r="C176" s="17">
        <f t="shared" si="6"/>
        <v>45809</v>
      </c>
      <c r="D176">
        <f t="shared" si="7"/>
        <v>0</v>
      </c>
    </row>
    <row r="177" spans="1:4" x14ac:dyDescent="0.3">
      <c r="A177" s="17">
        <v>45814</v>
      </c>
      <c r="B177">
        <v>-1.03</v>
      </c>
      <c r="C177" s="17">
        <f t="shared" si="6"/>
        <v>45809</v>
      </c>
      <c r="D177">
        <f t="shared" si="7"/>
        <v>0</v>
      </c>
    </row>
    <row r="178" spans="1:4" x14ac:dyDescent="0.3">
      <c r="A178" s="17">
        <v>45813</v>
      </c>
      <c r="B178">
        <v>-1.06</v>
      </c>
      <c r="C178" s="17">
        <f t="shared" si="6"/>
        <v>45809</v>
      </c>
      <c r="D178">
        <f t="shared" si="7"/>
        <v>0</v>
      </c>
    </row>
    <row r="179" spans="1:4" x14ac:dyDescent="0.3">
      <c r="A179" s="17">
        <v>45812</v>
      </c>
      <c r="B179">
        <v>-0.87</v>
      </c>
      <c r="C179" s="17">
        <f t="shared" si="6"/>
        <v>45809</v>
      </c>
      <c r="D179">
        <f t="shared" si="7"/>
        <v>1</v>
      </c>
    </row>
    <row r="180" spans="1:4" x14ac:dyDescent="0.3">
      <c r="A180" s="17">
        <v>45811</v>
      </c>
      <c r="B180">
        <v>-0.76</v>
      </c>
      <c r="C180" s="17">
        <f t="shared" si="6"/>
        <v>45809</v>
      </c>
      <c r="D180">
        <f t="shared" si="7"/>
        <v>1</v>
      </c>
    </row>
    <row r="181" spans="1:4" x14ac:dyDescent="0.3">
      <c r="A181" s="17">
        <v>45810</v>
      </c>
      <c r="B181">
        <v>-0.73</v>
      </c>
      <c r="C181" s="17">
        <f t="shared" si="6"/>
        <v>45809</v>
      </c>
      <c r="D181">
        <f t="shared" si="7"/>
        <v>1</v>
      </c>
    </row>
    <row r="182" spans="1:4" x14ac:dyDescent="0.3">
      <c r="A182" s="17">
        <v>45807</v>
      </c>
      <c r="B182">
        <v>0.09</v>
      </c>
      <c r="C182" s="17">
        <f t="shared" si="6"/>
        <v>45778</v>
      </c>
      <c r="D182">
        <f t="shared" si="7"/>
        <v>0</v>
      </c>
    </row>
    <row r="183" spans="1:4" x14ac:dyDescent="0.3">
      <c r="A183" s="17">
        <v>45806</v>
      </c>
      <c r="B183">
        <v>-0.12</v>
      </c>
      <c r="C183" s="17">
        <f t="shared" si="6"/>
        <v>45778</v>
      </c>
      <c r="D183">
        <f t="shared" si="7"/>
        <v>0</v>
      </c>
    </row>
    <row r="184" spans="1:4" x14ac:dyDescent="0.3">
      <c r="A184" s="17">
        <v>45805</v>
      </c>
      <c r="B184">
        <v>-0.53</v>
      </c>
      <c r="C184" s="17">
        <f t="shared" si="6"/>
        <v>45778</v>
      </c>
      <c r="D184">
        <f t="shared" si="7"/>
        <v>0</v>
      </c>
    </row>
    <row r="185" spans="1:4" x14ac:dyDescent="0.3">
      <c r="A185" s="17">
        <v>45804</v>
      </c>
      <c r="B185">
        <v>-0.48</v>
      </c>
      <c r="C185" s="17">
        <f t="shared" si="6"/>
        <v>45778</v>
      </c>
      <c r="D185">
        <f t="shared" si="7"/>
        <v>0</v>
      </c>
    </row>
    <row r="186" spans="1:4" x14ac:dyDescent="0.3">
      <c r="A186" s="17">
        <v>45800</v>
      </c>
      <c r="B186">
        <v>-0.45</v>
      </c>
      <c r="C186" s="17">
        <f t="shared" si="6"/>
        <v>45778</v>
      </c>
      <c r="D186">
        <f t="shared" si="7"/>
        <v>0</v>
      </c>
    </row>
    <row r="187" spans="1:4" x14ac:dyDescent="0.3">
      <c r="A187" s="17">
        <v>45799</v>
      </c>
      <c r="B187">
        <v>-0.77</v>
      </c>
      <c r="C187" s="17">
        <f t="shared" si="6"/>
        <v>45778</v>
      </c>
      <c r="D187">
        <f t="shared" si="7"/>
        <v>0</v>
      </c>
    </row>
    <row r="188" spans="1:4" x14ac:dyDescent="0.3">
      <c r="A188" s="17">
        <v>45798</v>
      </c>
      <c r="B188">
        <v>-1.05</v>
      </c>
      <c r="C188" s="17">
        <f t="shared" si="6"/>
        <v>45778</v>
      </c>
      <c r="D188">
        <f t="shared" si="7"/>
        <v>0</v>
      </c>
    </row>
    <row r="189" spans="1:4" x14ac:dyDescent="0.3">
      <c r="A189" s="17">
        <v>45797</v>
      </c>
      <c r="B189">
        <v>-1.04</v>
      </c>
      <c r="C189" s="17">
        <f t="shared" si="6"/>
        <v>45778</v>
      </c>
      <c r="D189">
        <f t="shared" si="7"/>
        <v>0</v>
      </c>
    </row>
    <row r="190" spans="1:4" x14ac:dyDescent="0.3">
      <c r="A190" s="17">
        <v>45796</v>
      </c>
      <c r="B190">
        <v>-0.81</v>
      </c>
      <c r="C190" s="17">
        <f t="shared" si="6"/>
        <v>45778</v>
      </c>
      <c r="D190">
        <f t="shared" si="7"/>
        <v>0</v>
      </c>
    </row>
    <row r="191" spans="1:4" x14ac:dyDescent="0.3">
      <c r="A191" s="17">
        <v>45793</v>
      </c>
      <c r="B191">
        <v>-1.04</v>
      </c>
      <c r="C191" s="17">
        <f t="shared" si="6"/>
        <v>45778</v>
      </c>
      <c r="D191">
        <f t="shared" si="7"/>
        <v>0</v>
      </c>
    </row>
    <row r="192" spans="1:4" x14ac:dyDescent="0.3">
      <c r="A192" s="17">
        <v>45792</v>
      </c>
      <c r="B192">
        <v>-1.2</v>
      </c>
      <c r="C192" s="17">
        <f t="shared" si="6"/>
        <v>45778</v>
      </c>
      <c r="D192">
        <f t="shared" si="7"/>
        <v>0</v>
      </c>
    </row>
    <row r="193" spans="1:4" x14ac:dyDescent="0.3">
      <c r="A193" s="17">
        <v>45791</v>
      </c>
      <c r="B193">
        <v>-1.34</v>
      </c>
      <c r="C193" s="17">
        <f t="shared" si="6"/>
        <v>45778</v>
      </c>
      <c r="D193">
        <f t="shared" si="7"/>
        <v>0</v>
      </c>
    </row>
    <row r="194" spans="1:4" x14ac:dyDescent="0.3">
      <c r="A194" s="17">
        <v>45790</v>
      </c>
      <c r="B194">
        <v>-1.77</v>
      </c>
      <c r="C194" s="17">
        <f t="shared" si="6"/>
        <v>45778</v>
      </c>
      <c r="D194">
        <f t="shared" si="7"/>
        <v>0</v>
      </c>
    </row>
    <row r="195" spans="1:4" x14ac:dyDescent="0.3">
      <c r="A195" s="17">
        <v>45789</v>
      </c>
      <c r="B195">
        <v>-1.93</v>
      </c>
      <c r="C195" s="17">
        <f t="shared" si="6"/>
        <v>45778</v>
      </c>
      <c r="D195">
        <f t="shared" si="7"/>
        <v>0</v>
      </c>
    </row>
    <row r="196" spans="1:4" x14ac:dyDescent="0.3">
      <c r="A196" s="17">
        <v>45786</v>
      </c>
      <c r="B196">
        <v>-2.04</v>
      </c>
      <c r="C196" s="17">
        <f t="shared" si="6"/>
        <v>45778</v>
      </c>
      <c r="D196">
        <f t="shared" si="7"/>
        <v>0</v>
      </c>
    </row>
    <row r="197" spans="1:4" x14ac:dyDescent="0.3">
      <c r="A197" s="17">
        <v>45785</v>
      </c>
      <c r="B197">
        <v>-2.2000000000000002</v>
      </c>
      <c r="C197" s="17">
        <f t="shared" si="6"/>
        <v>45778</v>
      </c>
      <c r="D197">
        <f t="shared" si="7"/>
        <v>0</v>
      </c>
    </row>
    <row r="198" spans="1:4" x14ac:dyDescent="0.3">
      <c r="A198" s="17">
        <v>45784</v>
      </c>
      <c r="B198">
        <v>-1.95</v>
      </c>
      <c r="C198" s="17">
        <f t="shared" ref="C198:C261" si="8">+DATE(+YEAR(A198),+MONTH(A198),1)</f>
        <v>45778</v>
      </c>
      <c r="D198">
        <f t="shared" ref="D198:D261" si="9">IF(AND(+DAY(A198)&gt;=1,+DAY(A198)&lt;= 4), 1, 0)</f>
        <v>0</v>
      </c>
    </row>
    <row r="199" spans="1:4" x14ac:dyDescent="0.3">
      <c r="A199" s="17">
        <v>45783</v>
      </c>
      <c r="B199">
        <v>-1.74</v>
      </c>
      <c r="C199" s="17">
        <f t="shared" si="8"/>
        <v>45778</v>
      </c>
      <c r="D199">
        <f t="shared" si="9"/>
        <v>0</v>
      </c>
    </row>
    <row r="200" spans="1:4" x14ac:dyDescent="0.3">
      <c r="A200" s="17">
        <v>45779</v>
      </c>
      <c r="B200">
        <v>-1.49</v>
      </c>
      <c r="C200" s="17">
        <f t="shared" si="8"/>
        <v>45778</v>
      </c>
      <c r="D200">
        <f t="shared" si="9"/>
        <v>1</v>
      </c>
    </row>
    <row r="201" spans="1:4" x14ac:dyDescent="0.3">
      <c r="A201" s="17">
        <v>45778</v>
      </c>
      <c r="B201">
        <v>-1.81</v>
      </c>
      <c r="C201" s="17">
        <f t="shared" si="8"/>
        <v>45778</v>
      </c>
      <c r="D201">
        <f t="shared" si="9"/>
        <v>1</v>
      </c>
    </row>
    <row r="202" spans="1:4" x14ac:dyDescent="0.3">
      <c r="A202" s="17">
        <v>45777</v>
      </c>
      <c r="B202">
        <v>-2.59</v>
      </c>
      <c r="C202" s="17">
        <f t="shared" si="8"/>
        <v>45748</v>
      </c>
      <c r="D202">
        <f t="shared" si="9"/>
        <v>0</v>
      </c>
    </row>
    <row r="203" spans="1:4" x14ac:dyDescent="0.3">
      <c r="A203" s="17">
        <v>45776</v>
      </c>
      <c r="B203">
        <v>-2.31</v>
      </c>
      <c r="C203" s="17">
        <f t="shared" si="8"/>
        <v>45748</v>
      </c>
      <c r="D203">
        <f t="shared" si="9"/>
        <v>0</v>
      </c>
    </row>
    <row r="204" spans="1:4" x14ac:dyDescent="0.3">
      <c r="A204" s="17">
        <v>45775</v>
      </c>
      <c r="B204">
        <v>-2.25</v>
      </c>
      <c r="C204" s="17">
        <f t="shared" si="8"/>
        <v>45748</v>
      </c>
      <c r="D204">
        <f t="shared" si="9"/>
        <v>0</v>
      </c>
    </row>
    <row r="205" spans="1:4" x14ac:dyDescent="0.3">
      <c r="A205" s="17">
        <v>45772</v>
      </c>
      <c r="B205">
        <v>-2.4700000000000002</v>
      </c>
      <c r="C205" s="17">
        <f t="shared" si="8"/>
        <v>45748</v>
      </c>
      <c r="D205">
        <f t="shared" si="9"/>
        <v>0</v>
      </c>
    </row>
    <row r="206" spans="1:4" x14ac:dyDescent="0.3">
      <c r="A206" s="17">
        <v>45771</v>
      </c>
      <c r="B206">
        <v>-2.64</v>
      </c>
      <c r="C206" s="17">
        <f t="shared" si="8"/>
        <v>45748</v>
      </c>
      <c r="D206">
        <f t="shared" si="9"/>
        <v>0</v>
      </c>
    </row>
    <row r="207" spans="1:4" x14ac:dyDescent="0.3">
      <c r="A207" s="17">
        <v>45770</v>
      </c>
      <c r="B207">
        <v>-2.65</v>
      </c>
      <c r="C207" s="17">
        <f t="shared" si="8"/>
        <v>45748</v>
      </c>
      <c r="D207">
        <f t="shared" si="9"/>
        <v>0</v>
      </c>
    </row>
    <row r="208" spans="1:4" x14ac:dyDescent="0.3">
      <c r="A208" s="17">
        <v>45769</v>
      </c>
      <c r="B208">
        <v>-2.81</v>
      </c>
      <c r="C208" s="17">
        <f t="shared" si="8"/>
        <v>45748</v>
      </c>
      <c r="D208">
        <f t="shared" si="9"/>
        <v>0</v>
      </c>
    </row>
    <row r="209" spans="1:4" x14ac:dyDescent="0.3">
      <c r="A209" s="17">
        <v>45764</v>
      </c>
      <c r="B209">
        <v>-2.84</v>
      </c>
      <c r="C209" s="17">
        <f t="shared" si="8"/>
        <v>45748</v>
      </c>
      <c r="D209">
        <f t="shared" si="9"/>
        <v>0</v>
      </c>
    </row>
    <row r="210" spans="1:4" x14ac:dyDescent="0.3">
      <c r="A210" s="17">
        <v>45763</v>
      </c>
      <c r="B210">
        <v>-2.86</v>
      </c>
      <c r="C210" s="17">
        <f t="shared" si="8"/>
        <v>45748</v>
      </c>
      <c r="D210">
        <f t="shared" si="9"/>
        <v>0</v>
      </c>
    </row>
    <row r="211" spans="1:4" x14ac:dyDescent="0.3">
      <c r="A211" s="17">
        <v>45762</v>
      </c>
      <c r="B211">
        <v>-2.79</v>
      </c>
      <c r="C211" s="17">
        <f t="shared" si="8"/>
        <v>45748</v>
      </c>
      <c r="D211">
        <f t="shared" si="9"/>
        <v>0</v>
      </c>
    </row>
    <row r="212" spans="1:4" x14ac:dyDescent="0.3">
      <c r="A212" s="17">
        <v>45761</v>
      </c>
      <c r="B212">
        <v>-2.64</v>
      </c>
      <c r="C212" s="17">
        <f t="shared" si="8"/>
        <v>45748</v>
      </c>
      <c r="D212">
        <f t="shared" si="9"/>
        <v>0</v>
      </c>
    </row>
    <row r="213" spans="1:4" x14ac:dyDescent="0.3">
      <c r="A213" s="17">
        <v>45758</v>
      </c>
      <c r="B213">
        <v>-2.68</v>
      </c>
      <c r="C213" s="17">
        <f t="shared" si="8"/>
        <v>45748</v>
      </c>
      <c r="D213">
        <f t="shared" si="9"/>
        <v>0</v>
      </c>
    </row>
    <row r="214" spans="1:4" x14ac:dyDescent="0.3">
      <c r="A214" s="17">
        <v>45757</v>
      </c>
      <c r="B214">
        <v>-2.98</v>
      </c>
      <c r="C214" s="17">
        <f t="shared" si="8"/>
        <v>45748</v>
      </c>
      <c r="D214">
        <f t="shared" si="9"/>
        <v>0</v>
      </c>
    </row>
    <row r="215" spans="1:4" x14ac:dyDescent="0.3">
      <c r="A215" s="17">
        <v>45756</v>
      </c>
      <c r="B215">
        <v>-2.54</v>
      </c>
      <c r="C215" s="17">
        <f t="shared" si="8"/>
        <v>45748</v>
      </c>
      <c r="D215">
        <f t="shared" si="9"/>
        <v>0</v>
      </c>
    </row>
    <row r="216" spans="1:4" x14ac:dyDescent="0.3">
      <c r="A216" s="17">
        <v>45755</v>
      </c>
      <c r="B216">
        <v>-2.77</v>
      </c>
      <c r="C216" s="17">
        <f t="shared" si="8"/>
        <v>45748</v>
      </c>
      <c r="D216">
        <f t="shared" si="9"/>
        <v>0</v>
      </c>
    </row>
    <row r="217" spans="1:4" x14ac:dyDescent="0.3">
      <c r="A217" s="17">
        <v>45754</v>
      </c>
      <c r="B217">
        <v>-2.9</v>
      </c>
      <c r="C217" s="17">
        <f t="shared" si="8"/>
        <v>45748</v>
      </c>
      <c r="D217">
        <f t="shared" si="9"/>
        <v>0</v>
      </c>
    </row>
    <row r="218" spans="1:4" x14ac:dyDescent="0.3">
      <c r="A218" s="17">
        <v>45751</v>
      </c>
      <c r="B218">
        <v>-3.52</v>
      </c>
      <c r="C218" s="17">
        <f t="shared" si="8"/>
        <v>45748</v>
      </c>
      <c r="D218">
        <f t="shared" si="9"/>
        <v>1</v>
      </c>
    </row>
    <row r="219" spans="1:4" x14ac:dyDescent="0.3">
      <c r="A219" s="17">
        <v>45750</v>
      </c>
      <c r="B219">
        <v>-3.3</v>
      </c>
      <c r="C219" s="17">
        <f t="shared" si="8"/>
        <v>45748</v>
      </c>
      <c r="D219">
        <f t="shared" si="9"/>
        <v>1</v>
      </c>
    </row>
    <row r="220" spans="1:4" x14ac:dyDescent="0.3">
      <c r="A220" s="17">
        <v>45749</v>
      </c>
      <c r="B220">
        <v>-3.03</v>
      </c>
      <c r="C220" s="17">
        <f t="shared" si="8"/>
        <v>45748</v>
      </c>
      <c r="D220">
        <f t="shared" si="9"/>
        <v>1</v>
      </c>
    </row>
    <row r="221" spans="1:4" x14ac:dyDescent="0.3">
      <c r="A221" s="17">
        <v>45748</v>
      </c>
      <c r="B221">
        <v>-2.99</v>
      </c>
      <c r="C221" s="17">
        <f t="shared" si="8"/>
        <v>45748</v>
      </c>
      <c r="D221">
        <f t="shared" si="9"/>
        <v>1</v>
      </c>
    </row>
    <row r="222" spans="1:4" x14ac:dyDescent="0.3">
      <c r="A222" s="17">
        <v>45747</v>
      </c>
      <c r="B222">
        <v>-2.11</v>
      </c>
      <c r="C222" s="17">
        <f t="shared" si="8"/>
        <v>45717</v>
      </c>
      <c r="D222">
        <f t="shared" si="9"/>
        <v>0</v>
      </c>
    </row>
    <row r="223" spans="1:4" x14ac:dyDescent="0.3">
      <c r="A223" s="17">
        <v>45744</v>
      </c>
      <c r="B223">
        <v>-2.4900000000000002</v>
      </c>
      <c r="C223" s="17">
        <f t="shared" si="8"/>
        <v>45717</v>
      </c>
      <c r="D223">
        <f t="shared" si="9"/>
        <v>0</v>
      </c>
    </row>
    <row r="224" spans="1:4" x14ac:dyDescent="0.3">
      <c r="A224" s="17">
        <v>45743</v>
      </c>
      <c r="B224">
        <v>-3.19</v>
      </c>
      <c r="C224" s="17">
        <f t="shared" si="8"/>
        <v>45717</v>
      </c>
      <c r="D224">
        <f t="shared" si="9"/>
        <v>0</v>
      </c>
    </row>
    <row r="225" spans="1:4" x14ac:dyDescent="0.3">
      <c r="A225" s="17">
        <v>45742</v>
      </c>
      <c r="B225">
        <v>-3.05</v>
      </c>
      <c r="C225" s="17">
        <f t="shared" si="8"/>
        <v>45717</v>
      </c>
      <c r="D225">
        <f t="shared" si="9"/>
        <v>0</v>
      </c>
    </row>
    <row r="226" spans="1:4" x14ac:dyDescent="0.3">
      <c r="A226" s="17">
        <v>45741</v>
      </c>
      <c r="B226">
        <v>-3.44</v>
      </c>
      <c r="C226" s="17">
        <f t="shared" si="8"/>
        <v>45717</v>
      </c>
      <c r="D226">
        <f t="shared" si="9"/>
        <v>0</v>
      </c>
    </row>
    <row r="227" spans="1:4" x14ac:dyDescent="0.3">
      <c r="A227" s="17">
        <v>45740</v>
      </c>
      <c r="B227">
        <v>-3.35</v>
      </c>
      <c r="C227" s="17">
        <f t="shared" si="8"/>
        <v>45717</v>
      </c>
      <c r="D227">
        <f t="shared" si="9"/>
        <v>0</v>
      </c>
    </row>
    <row r="228" spans="1:4" x14ac:dyDescent="0.3">
      <c r="A228" s="17">
        <v>45737</v>
      </c>
      <c r="B228">
        <v>-3.42</v>
      </c>
      <c r="C228" s="17">
        <f t="shared" si="8"/>
        <v>45717</v>
      </c>
      <c r="D228">
        <f t="shared" si="9"/>
        <v>0</v>
      </c>
    </row>
    <row r="229" spans="1:4" x14ac:dyDescent="0.3">
      <c r="A229" s="17">
        <v>45736</v>
      </c>
      <c r="B229">
        <v>-3.76</v>
      </c>
      <c r="C229" s="17">
        <f t="shared" si="8"/>
        <v>45717</v>
      </c>
      <c r="D229">
        <f t="shared" si="9"/>
        <v>0</v>
      </c>
    </row>
    <row r="230" spans="1:4" x14ac:dyDescent="0.3">
      <c r="A230" s="17">
        <v>45735</v>
      </c>
      <c r="B230">
        <v>-3.37</v>
      </c>
      <c r="C230" s="17">
        <f t="shared" si="8"/>
        <v>45717</v>
      </c>
      <c r="D230">
        <f t="shared" si="9"/>
        <v>0</v>
      </c>
    </row>
    <row r="231" spans="1:4" x14ac:dyDescent="0.3">
      <c r="A231" s="17">
        <v>45734</v>
      </c>
      <c r="B231">
        <v>-3.14</v>
      </c>
      <c r="C231" s="17">
        <f t="shared" si="8"/>
        <v>45717</v>
      </c>
      <c r="D231">
        <f t="shared" si="9"/>
        <v>0</v>
      </c>
    </row>
    <row r="232" spans="1:4" x14ac:dyDescent="0.3">
      <c r="A232" s="17">
        <v>45733</v>
      </c>
      <c r="B232">
        <v>-3.02</v>
      </c>
      <c r="C232" s="17">
        <f t="shared" si="8"/>
        <v>45717</v>
      </c>
      <c r="D232">
        <f t="shared" si="9"/>
        <v>0</v>
      </c>
    </row>
    <row r="233" spans="1:4" x14ac:dyDescent="0.3">
      <c r="A233" s="17">
        <v>45730</v>
      </c>
      <c r="B233">
        <v>-2.93</v>
      </c>
      <c r="C233" s="17">
        <f t="shared" si="8"/>
        <v>45717</v>
      </c>
      <c r="D233">
        <f t="shared" si="9"/>
        <v>0</v>
      </c>
    </row>
    <row r="234" spans="1:4" x14ac:dyDescent="0.3">
      <c r="A234" s="17">
        <v>45729</v>
      </c>
      <c r="B234">
        <v>-2.79</v>
      </c>
      <c r="C234" s="17">
        <f t="shared" si="8"/>
        <v>45717</v>
      </c>
      <c r="D234">
        <f t="shared" si="9"/>
        <v>0</v>
      </c>
    </row>
    <row r="235" spans="1:4" x14ac:dyDescent="0.3">
      <c r="A235" s="17">
        <v>45728</v>
      </c>
      <c r="B235">
        <v>-2.78</v>
      </c>
      <c r="C235" s="17">
        <f t="shared" si="8"/>
        <v>45717</v>
      </c>
      <c r="D235">
        <f t="shared" si="9"/>
        <v>0</v>
      </c>
    </row>
    <row r="236" spans="1:4" x14ac:dyDescent="0.3">
      <c r="A236" s="17">
        <v>45727</v>
      </c>
      <c r="B236">
        <v>-2.8</v>
      </c>
      <c r="C236" s="17">
        <f t="shared" si="8"/>
        <v>45717</v>
      </c>
      <c r="D236">
        <f t="shared" si="9"/>
        <v>0</v>
      </c>
    </row>
    <row r="237" spans="1:4" x14ac:dyDescent="0.3">
      <c r="A237" s="17">
        <v>45726</v>
      </c>
      <c r="B237">
        <v>-2.91</v>
      </c>
      <c r="C237" s="17">
        <f t="shared" si="8"/>
        <v>45717</v>
      </c>
      <c r="D237">
        <f t="shared" si="9"/>
        <v>0</v>
      </c>
    </row>
    <row r="238" spans="1:4" x14ac:dyDescent="0.3">
      <c r="A238" s="17">
        <v>45723</v>
      </c>
      <c r="B238">
        <v>-2.72</v>
      </c>
      <c r="C238" s="17">
        <f t="shared" si="8"/>
        <v>45717</v>
      </c>
      <c r="D238">
        <f t="shared" si="9"/>
        <v>0</v>
      </c>
    </row>
    <row r="239" spans="1:4" x14ac:dyDescent="0.3">
      <c r="A239" s="17">
        <v>45722</v>
      </c>
      <c r="B239">
        <v>-2.79</v>
      </c>
      <c r="C239" s="17">
        <f t="shared" si="8"/>
        <v>45717</v>
      </c>
      <c r="D239">
        <f t="shared" si="9"/>
        <v>0</v>
      </c>
    </row>
    <row r="240" spans="1:4" x14ac:dyDescent="0.3">
      <c r="A240" s="17">
        <v>45721</v>
      </c>
      <c r="B240">
        <v>-2.61</v>
      </c>
      <c r="C240" s="17">
        <f t="shared" si="8"/>
        <v>45717</v>
      </c>
      <c r="D240">
        <f t="shared" si="9"/>
        <v>0</v>
      </c>
    </row>
    <row r="241" spans="1:4" x14ac:dyDescent="0.3">
      <c r="A241" s="17">
        <v>45720</v>
      </c>
      <c r="B241">
        <v>-2.42</v>
      </c>
      <c r="C241" s="17">
        <f t="shared" si="8"/>
        <v>45717</v>
      </c>
      <c r="D241">
        <f t="shared" si="9"/>
        <v>1</v>
      </c>
    </row>
    <row r="242" spans="1:4" x14ac:dyDescent="0.3">
      <c r="A242" s="17">
        <v>45719</v>
      </c>
      <c r="B242">
        <v>-2.39</v>
      </c>
      <c r="C242" s="17">
        <f t="shared" si="8"/>
        <v>45717</v>
      </c>
      <c r="D242">
        <f t="shared" si="9"/>
        <v>1</v>
      </c>
    </row>
    <row r="243" spans="1:4" x14ac:dyDescent="0.3">
      <c r="A243" s="17">
        <v>45716</v>
      </c>
      <c r="B243">
        <v>-2.4500000000000002</v>
      </c>
      <c r="C243" s="17">
        <f t="shared" si="8"/>
        <v>45689</v>
      </c>
      <c r="D243">
        <f t="shared" si="9"/>
        <v>0</v>
      </c>
    </row>
    <row r="244" spans="1:4" x14ac:dyDescent="0.3">
      <c r="A244" s="17">
        <v>45715</v>
      </c>
      <c r="B244">
        <v>-3.01</v>
      </c>
      <c r="C244" s="17">
        <f t="shared" si="8"/>
        <v>45689</v>
      </c>
      <c r="D244">
        <f t="shared" si="9"/>
        <v>0</v>
      </c>
    </row>
    <row r="245" spans="1:4" x14ac:dyDescent="0.3">
      <c r="A245" s="17">
        <v>45714</v>
      </c>
      <c r="B245">
        <v>-3.31</v>
      </c>
      <c r="C245" s="17">
        <f t="shared" si="8"/>
        <v>45689</v>
      </c>
      <c r="D245">
        <f t="shared" si="9"/>
        <v>0</v>
      </c>
    </row>
    <row r="246" spans="1:4" x14ac:dyDescent="0.3">
      <c r="A246" s="17">
        <v>45713</v>
      </c>
      <c r="B246">
        <v>-3.23</v>
      </c>
      <c r="C246" s="17">
        <f t="shared" si="8"/>
        <v>45689</v>
      </c>
      <c r="D246">
        <f t="shared" si="9"/>
        <v>0</v>
      </c>
    </row>
    <row r="247" spans="1:4" x14ac:dyDescent="0.3">
      <c r="A247" s="17">
        <v>45712</v>
      </c>
      <c r="B247">
        <v>-3.2</v>
      </c>
      <c r="C247" s="17">
        <f t="shared" si="8"/>
        <v>45689</v>
      </c>
      <c r="D247">
        <f t="shared" si="9"/>
        <v>0</v>
      </c>
    </row>
    <row r="248" spans="1:4" x14ac:dyDescent="0.3">
      <c r="A248" s="17">
        <v>45709</v>
      </c>
      <c r="B248">
        <v>-3.32</v>
      </c>
      <c r="C248" s="17">
        <f t="shared" si="8"/>
        <v>45689</v>
      </c>
      <c r="D248">
        <f t="shared" si="9"/>
        <v>0</v>
      </c>
    </row>
    <row r="249" spans="1:4" x14ac:dyDescent="0.3">
      <c r="A249" s="17">
        <v>45708</v>
      </c>
      <c r="B249">
        <v>-3.12</v>
      </c>
      <c r="C249" s="17">
        <f t="shared" si="8"/>
        <v>45689</v>
      </c>
      <c r="D249">
        <f t="shared" si="9"/>
        <v>0</v>
      </c>
    </row>
    <row r="250" spans="1:4" x14ac:dyDescent="0.3">
      <c r="A250" s="17">
        <v>45707</v>
      </c>
      <c r="B250">
        <v>-3.18</v>
      </c>
      <c r="C250" s="17">
        <f t="shared" si="8"/>
        <v>45689</v>
      </c>
      <c r="D250">
        <f t="shared" si="9"/>
        <v>0</v>
      </c>
    </row>
    <row r="251" spans="1:4" x14ac:dyDescent="0.3">
      <c r="A251" s="17">
        <v>45706</v>
      </c>
      <c r="B251">
        <v>-3.04</v>
      </c>
      <c r="C251" s="17">
        <f t="shared" si="8"/>
        <v>45689</v>
      </c>
      <c r="D251">
        <f t="shared" si="9"/>
        <v>0</v>
      </c>
    </row>
    <row r="252" spans="1:4" x14ac:dyDescent="0.3">
      <c r="A252" s="17">
        <v>45705</v>
      </c>
      <c r="B252">
        <v>-3</v>
      </c>
      <c r="C252" s="17">
        <f t="shared" si="8"/>
        <v>45689</v>
      </c>
      <c r="D252">
        <f t="shared" si="9"/>
        <v>0</v>
      </c>
    </row>
    <row r="253" spans="1:4" x14ac:dyDescent="0.3">
      <c r="A253" s="17">
        <v>45702</v>
      </c>
      <c r="B253">
        <v>-2.87</v>
      </c>
      <c r="C253" s="17">
        <f t="shared" si="8"/>
        <v>45689</v>
      </c>
      <c r="D253">
        <f t="shared" si="9"/>
        <v>0</v>
      </c>
    </row>
    <row r="254" spans="1:4" x14ac:dyDescent="0.3">
      <c r="A254" s="17">
        <v>45701</v>
      </c>
      <c r="B254">
        <v>-2.73</v>
      </c>
      <c r="C254" s="17">
        <f t="shared" si="8"/>
        <v>45689</v>
      </c>
      <c r="D254">
        <f t="shared" si="9"/>
        <v>0</v>
      </c>
    </row>
    <row r="255" spans="1:4" x14ac:dyDescent="0.3">
      <c r="A255" s="17">
        <v>45700</v>
      </c>
      <c r="B255">
        <v>-3.04</v>
      </c>
      <c r="C255" s="17">
        <f t="shared" si="8"/>
        <v>45689</v>
      </c>
      <c r="D255">
        <f t="shared" si="9"/>
        <v>0</v>
      </c>
    </row>
    <row r="256" spans="1:4" x14ac:dyDescent="0.3">
      <c r="A256" s="17">
        <v>45699</v>
      </c>
      <c r="B256">
        <v>-2.96</v>
      </c>
      <c r="C256" s="17">
        <f t="shared" si="8"/>
        <v>45689</v>
      </c>
      <c r="D256">
        <f t="shared" si="9"/>
        <v>0</v>
      </c>
    </row>
    <row r="257" spans="1:4" x14ac:dyDescent="0.3">
      <c r="A257" s="17">
        <v>45698</v>
      </c>
      <c r="B257">
        <v>-3.02</v>
      </c>
      <c r="C257" s="17">
        <f t="shared" si="8"/>
        <v>45689</v>
      </c>
      <c r="D257">
        <f t="shared" si="9"/>
        <v>0</v>
      </c>
    </row>
    <row r="258" spans="1:4" x14ac:dyDescent="0.3">
      <c r="A258" s="17">
        <v>45695</v>
      </c>
      <c r="B258">
        <v>-3.26</v>
      </c>
      <c r="C258" s="17">
        <f t="shared" si="8"/>
        <v>45689</v>
      </c>
      <c r="D258">
        <f t="shared" si="9"/>
        <v>0</v>
      </c>
    </row>
    <row r="259" spans="1:4" x14ac:dyDescent="0.3">
      <c r="A259" s="17">
        <v>45694</v>
      </c>
      <c r="B259">
        <v>-3.42</v>
      </c>
      <c r="C259" s="17">
        <f t="shared" si="8"/>
        <v>45689</v>
      </c>
      <c r="D259">
        <f t="shared" si="9"/>
        <v>0</v>
      </c>
    </row>
    <row r="260" spans="1:4" x14ac:dyDescent="0.3">
      <c r="A260" s="17">
        <v>45693</v>
      </c>
      <c r="B260">
        <v>-3.88</v>
      </c>
      <c r="C260" s="17">
        <f t="shared" si="8"/>
        <v>45689</v>
      </c>
      <c r="D260">
        <f t="shared" si="9"/>
        <v>0</v>
      </c>
    </row>
    <row r="261" spans="1:4" x14ac:dyDescent="0.3">
      <c r="A261" s="17">
        <v>45692</v>
      </c>
      <c r="B261">
        <v>-3.71</v>
      </c>
      <c r="C261" s="17">
        <f t="shared" si="8"/>
        <v>45689</v>
      </c>
      <c r="D261">
        <f t="shared" si="9"/>
        <v>1</v>
      </c>
    </row>
    <row r="262" spans="1:4" x14ac:dyDescent="0.3">
      <c r="A262" s="17">
        <v>45691</v>
      </c>
      <c r="B262">
        <v>-3.56</v>
      </c>
      <c r="C262" s="17">
        <f t="shared" ref="C262:C325" si="10">+DATE(+YEAR(A262),+MONTH(A262),1)</f>
        <v>45689</v>
      </c>
      <c r="D262">
        <f t="shared" ref="D262:D325" si="11">IF(AND(+DAY(A262)&gt;=1,+DAY(A262)&lt;= 4), 1, 0)</f>
        <v>1</v>
      </c>
    </row>
    <row r="263" spans="1:4" x14ac:dyDescent="0.3">
      <c r="A263" s="17">
        <v>45688</v>
      </c>
      <c r="B263">
        <v>-5.36</v>
      </c>
      <c r="C263" s="17">
        <f t="shared" si="10"/>
        <v>45658</v>
      </c>
      <c r="D263">
        <f t="shared" si="11"/>
        <v>0</v>
      </c>
    </row>
    <row r="264" spans="1:4" x14ac:dyDescent="0.3">
      <c r="A264" s="17">
        <v>45687</v>
      </c>
      <c r="B264">
        <v>-5.1100000000000003</v>
      </c>
      <c r="C264" s="17">
        <f t="shared" si="10"/>
        <v>45658</v>
      </c>
      <c r="D264">
        <f t="shared" si="11"/>
        <v>0</v>
      </c>
    </row>
    <row r="265" spans="1:4" x14ac:dyDescent="0.3">
      <c r="A265" s="17">
        <v>45686</v>
      </c>
      <c r="B265">
        <v>-5.07</v>
      </c>
      <c r="C265" s="17">
        <f t="shared" si="10"/>
        <v>45658</v>
      </c>
      <c r="D265">
        <f t="shared" si="11"/>
        <v>0</v>
      </c>
    </row>
    <row r="266" spans="1:4" x14ac:dyDescent="0.3">
      <c r="A266" s="17">
        <v>45685</v>
      </c>
      <c r="B266">
        <v>-5.01</v>
      </c>
      <c r="C266" s="17">
        <f t="shared" si="10"/>
        <v>45658</v>
      </c>
      <c r="D266">
        <f t="shared" si="11"/>
        <v>0</v>
      </c>
    </row>
    <row r="267" spans="1:4" x14ac:dyDescent="0.3">
      <c r="A267" s="17">
        <v>45684</v>
      </c>
      <c r="B267">
        <v>-5.09</v>
      </c>
      <c r="C267" s="17">
        <f t="shared" si="10"/>
        <v>45658</v>
      </c>
      <c r="D267">
        <f t="shared" si="11"/>
        <v>0</v>
      </c>
    </row>
    <row r="268" spans="1:4" x14ac:dyDescent="0.3">
      <c r="A268" s="17">
        <v>45681</v>
      </c>
      <c r="B268">
        <v>-4.8899999999999997</v>
      </c>
      <c r="C268" s="17">
        <f t="shared" si="10"/>
        <v>45658</v>
      </c>
      <c r="D268">
        <f t="shared" si="11"/>
        <v>0</v>
      </c>
    </row>
    <row r="269" spans="1:4" x14ac:dyDescent="0.3">
      <c r="A269" s="17">
        <v>45680</v>
      </c>
      <c r="B269">
        <v>-4.68</v>
      </c>
      <c r="C269" s="17">
        <f t="shared" si="10"/>
        <v>45658</v>
      </c>
      <c r="D269">
        <f t="shared" si="11"/>
        <v>0</v>
      </c>
    </row>
    <row r="270" spans="1:4" x14ac:dyDescent="0.3">
      <c r="A270" s="17">
        <v>45679</v>
      </c>
      <c r="B270">
        <v>-3.97</v>
      </c>
      <c r="C270" s="17">
        <f t="shared" si="10"/>
        <v>45658</v>
      </c>
      <c r="D270">
        <f t="shared" si="11"/>
        <v>0</v>
      </c>
    </row>
    <row r="271" spans="1:4" x14ac:dyDescent="0.3">
      <c r="A271" s="17">
        <v>45678</v>
      </c>
      <c r="B271">
        <v>-3.81</v>
      </c>
      <c r="C271" s="17">
        <f t="shared" si="10"/>
        <v>45658</v>
      </c>
      <c r="D271">
        <f t="shared" si="11"/>
        <v>0</v>
      </c>
    </row>
    <row r="272" spans="1:4" x14ac:dyDescent="0.3">
      <c r="A272" s="17">
        <v>45677</v>
      </c>
      <c r="B272">
        <v>-3.79</v>
      </c>
      <c r="C272" s="17">
        <f t="shared" si="10"/>
        <v>45658</v>
      </c>
      <c r="D272">
        <f t="shared" si="11"/>
        <v>0</v>
      </c>
    </row>
    <row r="273" spans="1:4" x14ac:dyDescent="0.3">
      <c r="A273" s="17">
        <v>45674</v>
      </c>
      <c r="B273">
        <v>-3.08</v>
      </c>
      <c r="C273" s="17">
        <f t="shared" si="10"/>
        <v>45658</v>
      </c>
      <c r="D273">
        <f t="shared" si="11"/>
        <v>0</v>
      </c>
    </row>
    <row r="274" spans="1:4" x14ac:dyDescent="0.3">
      <c r="A274" s="17">
        <v>45673</v>
      </c>
      <c r="B274">
        <v>-2.91</v>
      </c>
      <c r="C274" s="17">
        <f t="shared" si="10"/>
        <v>45658</v>
      </c>
      <c r="D274">
        <f t="shared" si="11"/>
        <v>0</v>
      </c>
    </row>
    <row r="275" spans="1:4" x14ac:dyDescent="0.3">
      <c r="A275" s="17">
        <v>45672</v>
      </c>
      <c r="B275">
        <v>-2.6</v>
      </c>
      <c r="C275" s="17">
        <f t="shared" si="10"/>
        <v>45658</v>
      </c>
      <c r="D275">
        <f t="shared" si="11"/>
        <v>0</v>
      </c>
    </row>
    <row r="276" spans="1:4" x14ac:dyDescent="0.3">
      <c r="A276" s="17">
        <v>45671</v>
      </c>
      <c r="B276">
        <v>-2.75</v>
      </c>
      <c r="C276" s="17">
        <f t="shared" si="10"/>
        <v>45658</v>
      </c>
      <c r="D276">
        <f t="shared" si="11"/>
        <v>0</v>
      </c>
    </row>
    <row r="277" spans="1:4" x14ac:dyDescent="0.3">
      <c r="A277" s="17">
        <v>45670</v>
      </c>
      <c r="B277">
        <v>-2.34</v>
      </c>
      <c r="C277" s="17">
        <f t="shared" si="10"/>
        <v>45658</v>
      </c>
      <c r="D277">
        <f t="shared" si="11"/>
        <v>0</v>
      </c>
    </row>
    <row r="278" spans="1:4" x14ac:dyDescent="0.3">
      <c r="A278" s="17">
        <v>45667</v>
      </c>
      <c r="B278">
        <v>-2.39</v>
      </c>
      <c r="C278" s="17">
        <f t="shared" si="10"/>
        <v>45658</v>
      </c>
      <c r="D278">
        <f t="shared" si="11"/>
        <v>0</v>
      </c>
    </row>
    <row r="279" spans="1:4" x14ac:dyDescent="0.3">
      <c r="A279" s="17">
        <v>45666</v>
      </c>
      <c r="B279">
        <v>-2.4700000000000002</v>
      </c>
      <c r="C279" s="17">
        <f t="shared" si="10"/>
        <v>45658</v>
      </c>
      <c r="D279">
        <f t="shared" si="11"/>
        <v>0</v>
      </c>
    </row>
    <row r="280" spans="1:4" x14ac:dyDescent="0.3">
      <c r="A280" s="17">
        <v>45665</v>
      </c>
      <c r="B280">
        <v>-2.39</v>
      </c>
      <c r="C280" s="17">
        <f t="shared" si="10"/>
        <v>45658</v>
      </c>
      <c r="D280">
        <f t="shared" si="11"/>
        <v>0</v>
      </c>
    </row>
    <row r="281" spans="1:4" x14ac:dyDescent="0.3">
      <c r="A281" s="17">
        <v>45664</v>
      </c>
      <c r="B281">
        <v>-2.4300000000000002</v>
      </c>
      <c r="C281" s="17">
        <f t="shared" si="10"/>
        <v>45658</v>
      </c>
      <c r="D281">
        <f t="shared" si="11"/>
        <v>0</v>
      </c>
    </row>
    <row r="282" spans="1:4" x14ac:dyDescent="0.3">
      <c r="A282" s="17">
        <v>45663</v>
      </c>
      <c r="B282">
        <v>-2.59</v>
      </c>
      <c r="C282" s="17">
        <f t="shared" si="10"/>
        <v>45658</v>
      </c>
      <c r="D282">
        <f t="shared" si="11"/>
        <v>0</v>
      </c>
    </row>
    <row r="283" spans="1:4" x14ac:dyDescent="0.3">
      <c r="A283" s="17">
        <v>45660</v>
      </c>
      <c r="B283">
        <v>-2.65</v>
      </c>
      <c r="C283" s="17">
        <f t="shared" si="10"/>
        <v>45658</v>
      </c>
      <c r="D283">
        <f t="shared" si="11"/>
        <v>1</v>
      </c>
    </row>
    <row r="284" spans="1:4" x14ac:dyDescent="0.3">
      <c r="A284" s="17">
        <v>45659</v>
      </c>
      <c r="B284">
        <v>-3.05</v>
      </c>
      <c r="C284" s="17">
        <f t="shared" si="10"/>
        <v>45658</v>
      </c>
      <c r="D284">
        <f t="shared" si="11"/>
        <v>1</v>
      </c>
    </row>
    <row r="285" spans="1:4" x14ac:dyDescent="0.3">
      <c r="A285" s="17">
        <v>45657</v>
      </c>
      <c r="B285">
        <v>-3.37</v>
      </c>
      <c r="C285" s="17">
        <f t="shared" si="10"/>
        <v>45627</v>
      </c>
      <c r="D285">
        <f t="shared" si="11"/>
        <v>0</v>
      </c>
    </row>
    <row r="286" spans="1:4" x14ac:dyDescent="0.3">
      <c r="A286" s="17">
        <v>45656</v>
      </c>
      <c r="B286">
        <v>-3.32</v>
      </c>
      <c r="C286" s="17">
        <f t="shared" si="10"/>
        <v>45627</v>
      </c>
      <c r="D286">
        <f t="shared" si="11"/>
        <v>0</v>
      </c>
    </row>
    <row r="287" spans="1:4" x14ac:dyDescent="0.3">
      <c r="A287" s="17">
        <v>45653</v>
      </c>
      <c r="B287">
        <v>-3.13</v>
      </c>
      <c r="C287" s="17">
        <f t="shared" si="10"/>
        <v>45627</v>
      </c>
      <c r="D287">
        <f t="shared" si="11"/>
        <v>0</v>
      </c>
    </row>
    <row r="288" spans="1:4" x14ac:dyDescent="0.3">
      <c r="A288" s="17">
        <v>45650</v>
      </c>
      <c r="B288">
        <v>-3.3</v>
      </c>
      <c r="C288" s="17">
        <f t="shared" si="10"/>
        <v>45627</v>
      </c>
      <c r="D288">
        <f t="shared" si="11"/>
        <v>0</v>
      </c>
    </row>
    <row r="289" spans="1:4" x14ac:dyDescent="0.3">
      <c r="A289" s="17">
        <v>45649</v>
      </c>
      <c r="B289">
        <v>-3.42</v>
      </c>
      <c r="C289" s="17">
        <f t="shared" si="10"/>
        <v>45627</v>
      </c>
      <c r="D289">
        <f t="shared" si="11"/>
        <v>0</v>
      </c>
    </row>
    <row r="290" spans="1:4" x14ac:dyDescent="0.3">
      <c r="A290" s="17">
        <v>45646</v>
      </c>
      <c r="B290">
        <v>-3.31</v>
      </c>
      <c r="C290" s="17">
        <f t="shared" si="10"/>
        <v>45627</v>
      </c>
      <c r="D290">
        <f t="shared" si="11"/>
        <v>0</v>
      </c>
    </row>
    <row r="291" spans="1:4" x14ac:dyDescent="0.3">
      <c r="A291" s="17">
        <v>45645</v>
      </c>
      <c r="B291">
        <v>-3.19</v>
      </c>
      <c r="C291" s="17">
        <f t="shared" si="10"/>
        <v>45627</v>
      </c>
      <c r="D291">
        <f t="shared" si="11"/>
        <v>0</v>
      </c>
    </row>
    <row r="292" spans="1:4" x14ac:dyDescent="0.3">
      <c r="A292" s="17">
        <v>45644</v>
      </c>
      <c r="B292">
        <v>-3.32</v>
      </c>
      <c r="C292" s="17">
        <f t="shared" si="10"/>
        <v>45627</v>
      </c>
      <c r="D292">
        <f t="shared" si="11"/>
        <v>0</v>
      </c>
    </row>
    <row r="293" spans="1:4" x14ac:dyDescent="0.3">
      <c r="A293" s="17">
        <v>45643</v>
      </c>
      <c r="B293">
        <v>-3.41</v>
      </c>
      <c r="C293" s="17">
        <f t="shared" si="10"/>
        <v>45627</v>
      </c>
      <c r="D293">
        <f t="shared" si="11"/>
        <v>0</v>
      </c>
    </row>
    <row r="294" spans="1:4" x14ac:dyDescent="0.3">
      <c r="A294" s="17">
        <v>45642</v>
      </c>
      <c r="B294">
        <v>-3.39</v>
      </c>
      <c r="C294" s="17">
        <f t="shared" si="10"/>
        <v>45627</v>
      </c>
      <c r="D294">
        <f t="shared" si="11"/>
        <v>0</v>
      </c>
    </row>
    <row r="295" spans="1:4" x14ac:dyDescent="0.3">
      <c r="A295" s="17">
        <v>45639</v>
      </c>
      <c r="B295">
        <v>-3.31</v>
      </c>
      <c r="C295" s="17">
        <f t="shared" si="10"/>
        <v>45627</v>
      </c>
      <c r="D295">
        <f t="shared" si="11"/>
        <v>0</v>
      </c>
    </row>
    <row r="296" spans="1:4" x14ac:dyDescent="0.3">
      <c r="A296" s="17">
        <v>45638</v>
      </c>
      <c r="B296">
        <v>-3.31</v>
      </c>
      <c r="C296" s="17">
        <f t="shared" si="10"/>
        <v>45627</v>
      </c>
      <c r="D296">
        <f t="shared" si="11"/>
        <v>0</v>
      </c>
    </row>
    <row r="297" spans="1:4" x14ac:dyDescent="0.3">
      <c r="A297" s="17">
        <v>45637</v>
      </c>
      <c r="B297">
        <v>-3.21</v>
      </c>
      <c r="C297" s="17">
        <f t="shared" si="10"/>
        <v>45627</v>
      </c>
      <c r="D297">
        <f t="shared" si="11"/>
        <v>0</v>
      </c>
    </row>
    <row r="298" spans="1:4" x14ac:dyDescent="0.3">
      <c r="A298" s="17">
        <v>45636</v>
      </c>
      <c r="B298">
        <v>-3.21</v>
      </c>
      <c r="C298" s="17">
        <f t="shared" si="10"/>
        <v>45627</v>
      </c>
      <c r="D298">
        <f t="shared" si="11"/>
        <v>0</v>
      </c>
    </row>
    <row r="299" spans="1:4" x14ac:dyDescent="0.3">
      <c r="A299" s="17">
        <v>45635</v>
      </c>
      <c r="B299">
        <v>-3.11</v>
      </c>
      <c r="C299" s="17">
        <f t="shared" si="10"/>
        <v>45627</v>
      </c>
      <c r="D299">
        <f t="shared" si="11"/>
        <v>0</v>
      </c>
    </row>
    <row r="300" spans="1:4" x14ac:dyDescent="0.3">
      <c r="A300" s="17">
        <v>45632</v>
      </c>
      <c r="B300">
        <v>-3.16</v>
      </c>
      <c r="C300" s="17">
        <f t="shared" si="10"/>
        <v>45627</v>
      </c>
      <c r="D300">
        <f t="shared" si="11"/>
        <v>0</v>
      </c>
    </row>
    <row r="301" spans="1:4" x14ac:dyDescent="0.3">
      <c r="A301" s="17">
        <v>45631</v>
      </c>
      <c r="B301">
        <v>-2.98</v>
      </c>
      <c r="C301" s="17">
        <f t="shared" si="10"/>
        <v>45627</v>
      </c>
      <c r="D301">
        <f t="shared" si="11"/>
        <v>0</v>
      </c>
    </row>
    <row r="302" spans="1:4" x14ac:dyDescent="0.3">
      <c r="A302" s="17">
        <v>45630</v>
      </c>
      <c r="B302">
        <v>-2.95</v>
      </c>
      <c r="C302" s="17">
        <f t="shared" si="10"/>
        <v>45627</v>
      </c>
      <c r="D302">
        <f t="shared" si="11"/>
        <v>1</v>
      </c>
    </row>
    <row r="303" spans="1:4" x14ac:dyDescent="0.3">
      <c r="A303" s="17">
        <v>45629</v>
      </c>
      <c r="B303">
        <v>-3.02</v>
      </c>
      <c r="C303" s="17">
        <f t="shared" si="10"/>
        <v>45627</v>
      </c>
      <c r="D303">
        <f t="shared" si="11"/>
        <v>1</v>
      </c>
    </row>
    <row r="304" spans="1:4" x14ac:dyDescent="0.3">
      <c r="A304" s="17">
        <v>45628</v>
      </c>
      <c r="B304">
        <v>-2.96</v>
      </c>
      <c r="C304" s="17">
        <f t="shared" si="10"/>
        <v>45627</v>
      </c>
      <c r="D304">
        <f t="shared" si="11"/>
        <v>1</v>
      </c>
    </row>
    <row r="305" spans="1:4" x14ac:dyDescent="0.3">
      <c r="A305" s="17">
        <v>45625</v>
      </c>
      <c r="B305">
        <v>-2.56</v>
      </c>
      <c r="C305" s="17">
        <f t="shared" si="10"/>
        <v>45597</v>
      </c>
      <c r="D305">
        <f t="shared" si="11"/>
        <v>0</v>
      </c>
    </row>
    <row r="306" spans="1:4" x14ac:dyDescent="0.3">
      <c r="A306" s="17">
        <v>45624</v>
      </c>
      <c r="B306">
        <v>-2.54</v>
      </c>
      <c r="C306" s="17">
        <f t="shared" si="10"/>
        <v>45597</v>
      </c>
      <c r="D306">
        <f t="shared" si="11"/>
        <v>0</v>
      </c>
    </row>
    <row r="307" spans="1:4" x14ac:dyDescent="0.3">
      <c r="A307" s="17">
        <v>45623</v>
      </c>
      <c r="B307">
        <v>-2.48</v>
      </c>
      <c r="C307" s="17">
        <f t="shared" si="10"/>
        <v>45597</v>
      </c>
      <c r="D307">
        <f t="shared" si="11"/>
        <v>0</v>
      </c>
    </row>
    <row r="308" spans="1:4" x14ac:dyDescent="0.3">
      <c r="A308" s="17">
        <v>45622</v>
      </c>
      <c r="B308">
        <v>-2.5099999999999998</v>
      </c>
      <c r="C308" s="17">
        <f t="shared" si="10"/>
        <v>45597</v>
      </c>
      <c r="D308">
        <f t="shared" si="11"/>
        <v>0</v>
      </c>
    </row>
    <row r="309" spans="1:4" x14ac:dyDescent="0.3">
      <c r="A309" s="17">
        <v>45621</v>
      </c>
      <c r="B309">
        <v>-2.2599999999999998</v>
      </c>
      <c r="C309" s="17">
        <f t="shared" si="10"/>
        <v>45597</v>
      </c>
      <c r="D309">
        <f t="shared" si="11"/>
        <v>0</v>
      </c>
    </row>
    <row r="310" spans="1:4" x14ac:dyDescent="0.3">
      <c r="A310" s="17">
        <v>45618</v>
      </c>
      <c r="B310">
        <v>-2.4300000000000002</v>
      </c>
      <c r="C310" s="17">
        <f t="shared" si="10"/>
        <v>45597</v>
      </c>
      <c r="D310">
        <f t="shared" si="11"/>
        <v>0</v>
      </c>
    </row>
    <row r="311" spans="1:4" x14ac:dyDescent="0.3">
      <c r="A311" s="17">
        <v>45617</v>
      </c>
      <c r="B311">
        <v>-2.59</v>
      </c>
      <c r="C311" s="17">
        <f t="shared" si="10"/>
        <v>45597</v>
      </c>
      <c r="D311">
        <f t="shared" si="11"/>
        <v>0</v>
      </c>
    </row>
    <row r="312" spans="1:4" x14ac:dyDescent="0.3">
      <c r="A312" s="17">
        <v>45616</v>
      </c>
      <c r="B312">
        <v>-2.5499999999999998</v>
      </c>
      <c r="C312" s="17">
        <f t="shared" si="10"/>
        <v>45597</v>
      </c>
      <c r="D312">
        <f t="shared" si="11"/>
        <v>0</v>
      </c>
    </row>
    <row r="313" spans="1:4" x14ac:dyDescent="0.3">
      <c r="A313" s="17">
        <v>45615</v>
      </c>
      <c r="B313">
        <v>-2.67</v>
      </c>
      <c r="C313" s="17">
        <f t="shared" si="10"/>
        <v>45597</v>
      </c>
      <c r="D313">
        <f t="shared" si="11"/>
        <v>0</v>
      </c>
    </row>
    <row r="314" spans="1:4" x14ac:dyDescent="0.3">
      <c r="A314" s="17">
        <v>45614</v>
      </c>
      <c r="B314">
        <v>-2.4300000000000002</v>
      </c>
      <c r="C314" s="17">
        <f t="shared" si="10"/>
        <v>45597</v>
      </c>
      <c r="D314">
        <f t="shared" si="11"/>
        <v>0</v>
      </c>
    </row>
    <row r="315" spans="1:4" x14ac:dyDescent="0.3">
      <c r="A315" s="17">
        <v>45611</v>
      </c>
      <c r="B315">
        <v>-2.5299999999999998</v>
      </c>
      <c r="C315" s="17">
        <f t="shared" si="10"/>
        <v>45597</v>
      </c>
      <c r="D315">
        <f t="shared" si="11"/>
        <v>0</v>
      </c>
    </row>
    <row r="316" spans="1:4" x14ac:dyDescent="0.3">
      <c r="A316" s="17">
        <v>45610</v>
      </c>
      <c r="B316">
        <v>-2.58</v>
      </c>
      <c r="C316" s="17">
        <f t="shared" si="10"/>
        <v>45597</v>
      </c>
      <c r="D316">
        <f t="shared" si="11"/>
        <v>0</v>
      </c>
    </row>
    <row r="317" spans="1:4" x14ac:dyDescent="0.3">
      <c r="A317" s="17">
        <v>45609</v>
      </c>
      <c r="B317">
        <v>-2.5299999999999998</v>
      </c>
      <c r="C317" s="17">
        <f t="shared" si="10"/>
        <v>45597</v>
      </c>
      <c r="D317">
        <f t="shared" si="11"/>
        <v>0</v>
      </c>
    </row>
    <row r="318" spans="1:4" x14ac:dyDescent="0.3">
      <c r="A318" s="17">
        <v>45608</v>
      </c>
      <c r="B318">
        <v>-2.72</v>
      </c>
      <c r="C318" s="17">
        <f t="shared" si="10"/>
        <v>45597</v>
      </c>
      <c r="D318">
        <f t="shared" si="11"/>
        <v>0</v>
      </c>
    </row>
    <row r="319" spans="1:4" x14ac:dyDescent="0.3">
      <c r="A319" s="17">
        <v>45607</v>
      </c>
      <c r="B319">
        <v>-2.7</v>
      </c>
      <c r="C319" s="17">
        <f t="shared" si="10"/>
        <v>45597</v>
      </c>
      <c r="D319">
        <f t="shared" si="11"/>
        <v>0</v>
      </c>
    </row>
    <row r="320" spans="1:4" x14ac:dyDescent="0.3">
      <c r="A320" s="17">
        <v>45604</v>
      </c>
      <c r="B320">
        <v>-2.64</v>
      </c>
      <c r="C320" s="17">
        <f t="shared" si="10"/>
        <v>45597</v>
      </c>
      <c r="D320">
        <f t="shared" si="11"/>
        <v>0</v>
      </c>
    </row>
    <row r="321" spans="1:4" x14ac:dyDescent="0.3">
      <c r="A321" s="17">
        <v>45603</v>
      </c>
      <c r="B321">
        <v>-2.7</v>
      </c>
      <c r="C321" s="17">
        <f t="shared" si="10"/>
        <v>45597</v>
      </c>
      <c r="D321">
        <f t="shared" si="11"/>
        <v>0</v>
      </c>
    </row>
    <row r="322" spans="1:4" x14ac:dyDescent="0.3">
      <c r="A322" s="17">
        <v>45602</v>
      </c>
      <c r="B322">
        <v>-2.71</v>
      </c>
      <c r="C322" s="17">
        <f t="shared" si="10"/>
        <v>45597</v>
      </c>
      <c r="D322">
        <f t="shared" si="11"/>
        <v>0</v>
      </c>
    </row>
    <row r="323" spans="1:4" x14ac:dyDescent="0.3">
      <c r="A323" s="17">
        <v>45601</v>
      </c>
      <c r="B323">
        <v>-2.7</v>
      </c>
      <c r="C323" s="17">
        <f t="shared" si="10"/>
        <v>45597</v>
      </c>
      <c r="D323">
        <f t="shared" si="11"/>
        <v>0</v>
      </c>
    </row>
    <row r="324" spans="1:4" x14ac:dyDescent="0.3">
      <c r="A324" s="17">
        <v>45600</v>
      </c>
      <c r="B324">
        <v>-2.69</v>
      </c>
      <c r="C324" s="17">
        <f t="shared" si="10"/>
        <v>45597</v>
      </c>
      <c r="D324">
        <f t="shared" si="11"/>
        <v>1</v>
      </c>
    </row>
    <row r="325" spans="1:4" x14ac:dyDescent="0.3">
      <c r="A325" s="17">
        <v>45597</v>
      </c>
      <c r="B325">
        <v>-2.71</v>
      </c>
      <c r="C325" s="17">
        <f t="shared" si="10"/>
        <v>45597</v>
      </c>
      <c r="D325">
        <f t="shared" si="11"/>
        <v>1</v>
      </c>
    </row>
    <row r="326" spans="1:4" x14ac:dyDescent="0.3">
      <c r="A326" s="17">
        <v>45596</v>
      </c>
      <c r="B326">
        <v>-2.14</v>
      </c>
      <c r="C326" s="17">
        <f t="shared" ref="C326:C389" si="12">+DATE(+YEAR(A326),+MONTH(A326),1)</f>
        <v>45566</v>
      </c>
      <c r="D326">
        <f t="shared" ref="D326:D389" si="13">IF(AND(+DAY(A326)&gt;=1,+DAY(A326)&lt;= 4), 1, 0)</f>
        <v>0</v>
      </c>
    </row>
    <row r="327" spans="1:4" x14ac:dyDescent="0.3">
      <c r="A327" s="17">
        <v>45595</v>
      </c>
      <c r="B327">
        <v>-2.16</v>
      </c>
      <c r="C327" s="17">
        <f t="shared" si="12"/>
        <v>45566</v>
      </c>
      <c r="D327">
        <f t="shared" si="13"/>
        <v>0</v>
      </c>
    </row>
    <row r="328" spans="1:4" x14ac:dyDescent="0.3">
      <c r="A328" s="17">
        <v>45594</v>
      </c>
      <c r="B328">
        <v>-2.23</v>
      </c>
      <c r="C328" s="17">
        <f t="shared" si="12"/>
        <v>45566</v>
      </c>
      <c r="D328">
        <f t="shared" si="13"/>
        <v>0</v>
      </c>
    </row>
    <row r="329" spans="1:4" x14ac:dyDescent="0.3">
      <c r="A329" s="17">
        <v>45593</v>
      </c>
      <c r="B329">
        <v>-2.23</v>
      </c>
      <c r="C329" s="17">
        <f t="shared" si="12"/>
        <v>45566</v>
      </c>
      <c r="D329">
        <f t="shared" si="13"/>
        <v>0</v>
      </c>
    </row>
    <row r="330" spans="1:4" x14ac:dyDescent="0.3">
      <c r="A330" s="17">
        <v>45590</v>
      </c>
      <c r="B330">
        <v>-2.23</v>
      </c>
      <c r="C330" s="17">
        <f t="shared" si="12"/>
        <v>45566</v>
      </c>
      <c r="D330">
        <f t="shared" si="13"/>
        <v>0</v>
      </c>
    </row>
    <row r="331" spans="1:4" x14ac:dyDescent="0.3">
      <c r="A331" s="17">
        <v>45589</v>
      </c>
      <c r="B331">
        <v>-2.21</v>
      </c>
      <c r="C331" s="17">
        <f t="shared" si="12"/>
        <v>45566</v>
      </c>
      <c r="D331">
        <f t="shared" si="13"/>
        <v>0</v>
      </c>
    </row>
    <row r="332" spans="1:4" x14ac:dyDescent="0.3">
      <c r="A332" s="17">
        <v>45588</v>
      </c>
      <c r="B332">
        <v>-2.1</v>
      </c>
      <c r="C332" s="17">
        <f t="shared" si="12"/>
        <v>45566</v>
      </c>
      <c r="D332">
        <f t="shared" si="13"/>
        <v>0</v>
      </c>
    </row>
    <row r="333" spans="1:4" x14ac:dyDescent="0.3">
      <c r="A333" s="17">
        <v>45587</v>
      </c>
      <c r="B333">
        <v>-2.2599999999999998</v>
      </c>
      <c r="C333" s="17">
        <f t="shared" si="12"/>
        <v>45566</v>
      </c>
      <c r="D333">
        <f t="shared" si="13"/>
        <v>0</v>
      </c>
    </row>
    <row r="334" spans="1:4" x14ac:dyDescent="0.3">
      <c r="A334" s="17">
        <v>45586</v>
      </c>
      <c r="B334">
        <v>-2.58</v>
      </c>
      <c r="C334" s="17">
        <f t="shared" si="12"/>
        <v>45566</v>
      </c>
      <c r="D334">
        <f t="shared" si="13"/>
        <v>0</v>
      </c>
    </row>
    <row r="335" spans="1:4" x14ac:dyDescent="0.3">
      <c r="A335" s="17">
        <v>45583</v>
      </c>
      <c r="B335">
        <v>-2.64</v>
      </c>
      <c r="C335" s="17">
        <f t="shared" si="12"/>
        <v>45566</v>
      </c>
      <c r="D335">
        <f t="shared" si="13"/>
        <v>0</v>
      </c>
    </row>
    <row r="336" spans="1:4" x14ac:dyDescent="0.3">
      <c r="A336" s="17">
        <v>45582</v>
      </c>
      <c r="B336">
        <v>-2.42</v>
      </c>
      <c r="C336" s="17">
        <f t="shared" si="12"/>
        <v>45566</v>
      </c>
      <c r="D336">
        <f t="shared" si="13"/>
        <v>0</v>
      </c>
    </row>
    <row r="337" spans="1:4" x14ac:dyDescent="0.3">
      <c r="A337" s="17">
        <v>45581</v>
      </c>
      <c r="B337">
        <v>-2.61</v>
      </c>
      <c r="C337" s="17">
        <f t="shared" si="12"/>
        <v>45566</v>
      </c>
      <c r="D337">
        <f t="shared" si="13"/>
        <v>0</v>
      </c>
    </row>
    <row r="338" spans="1:4" x14ac:dyDescent="0.3">
      <c r="A338" s="17">
        <v>45580</v>
      </c>
      <c r="B338">
        <v>-2.93</v>
      </c>
      <c r="C338" s="17">
        <f t="shared" si="12"/>
        <v>45566</v>
      </c>
      <c r="D338">
        <f t="shared" si="13"/>
        <v>0</v>
      </c>
    </row>
    <row r="339" spans="1:4" x14ac:dyDescent="0.3">
      <c r="A339" s="17">
        <v>45579</v>
      </c>
      <c r="B339">
        <v>-2.77</v>
      </c>
      <c r="C339" s="17">
        <f t="shared" si="12"/>
        <v>45566</v>
      </c>
      <c r="D339">
        <f t="shared" si="13"/>
        <v>0</v>
      </c>
    </row>
    <row r="340" spans="1:4" x14ac:dyDescent="0.3">
      <c r="A340" s="17">
        <v>45576</v>
      </c>
      <c r="B340">
        <v>-2.5</v>
      </c>
      <c r="C340" s="17">
        <f t="shared" si="12"/>
        <v>45566</v>
      </c>
      <c r="D340">
        <f t="shared" si="13"/>
        <v>0</v>
      </c>
    </row>
    <row r="341" spans="1:4" x14ac:dyDescent="0.3">
      <c r="A341" s="17">
        <v>45575</v>
      </c>
      <c r="B341">
        <v>-2.5</v>
      </c>
      <c r="C341" s="17">
        <f t="shared" si="12"/>
        <v>45566</v>
      </c>
      <c r="D341">
        <f t="shared" si="13"/>
        <v>0</v>
      </c>
    </row>
    <row r="342" spans="1:4" x14ac:dyDescent="0.3">
      <c r="A342" s="17">
        <v>45574</v>
      </c>
      <c r="B342">
        <v>-2.75</v>
      </c>
      <c r="C342" s="17">
        <f t="shared" si="12"/>
        <v>45566</v>
      </c>
      <c r="D342">
        <f t="shared" si="13"/>
        <v>0</v>
      </c>
    </row>
    <row r="343" spans="1:4" x14ac:dyDescent="0.3">
      <c r="A343" s="17">
        <v>45573</v>
      </c>
      <c r="B343">
        <v>-2.64</v>
      </c>
      <c r="C343" s="17">
        <f t="shared" si="12"/>
        <v>45566</v>
      </c>
      <c r="D343">
        <f t="shared" si="13"/>
        <v>0</v>
      </c>
    </row>
    <row r="344" spans="1:4" x14ac:dyDescent="0.3">
      <c r="A344" s="17">
        <v>45572</v>
      </c>
      <c r="B344">
        <v>-2.2799999999999998</v>
      </c>
      <c r="C344" s="17">
        <f t="shared" si="12"/>
        <v>45566</v>
      </c>
      <c r="D344">
        <f t="shared" si="13"/>
        <v>0</v>
      </c>
    </row>
    <row r="345" spans="1:4" x14ac:dyDescent="0.3">
      <c r="A345" s="17">
        <v>45569</v>
      </c>
      <c r="B345">
        <v>-2.19</v>
      </c>
      <c r="C345" s="17">
        <f t="shared" si="12"/>
        <v>45566</v>
      </c>
      <c r="D345">
        <f t="shared" si="13"/>
        <v>1</v>
      </c>
    </row>
    <row r="346" spans="1:4" x14ac:dyDescent="0.3">
      <c r="A346" s="17">
        <v>45568</v>
      </c>
      <c r="B346">
        <v>-2.74</v>
      </c>
      <c r="C346" s="17">
        <f t="shared" si="12"/>
        <v>45566</v>
      </c>
      <c r="D346">
        <f t="shared" si="13"/>
        <v>1</v>
      </c>
    </row>
    <row r="347" spans="1:4" x14ac:dyDescent="0.3">
      <c r="A347" s="17">
        <v>45567</v>
      </c>
      <c r="B347">
        <v>-2.81</v>
      </c>
      <c r="C347" s="17">
        <f t="shared" si="12"/>
        <v>45566</v>
      </c>
      <c r="D347">
        <f t="shared" si="13"/>
        <v>1</v>
      </c>
    </row>
    <row r="348" spans="1:4" x14ac:dyDescent="0.3">
      <c r="A348" s="17">
        <v>45566</v>
      </c>
      <c r="B348">
        <v>-3.13</v>
      </c>
      <c r="C348" s="17">
        <f t="shared" si="12"/>
        <v>45566</v>
      </c>
      <c r="D348">
        <f t="shared" si="13"/>
        <v>1</v>
      </c>
    </row>
    <row r="349" spans="1:4" x14ac:dyDescent="0.3">
      <c r="A349" s="17">
        <v>45565</v>
      </c>
      <c r="B349">
        <v>-3.2</v>
      </c>
      <c r="C349" s="17">
        <f t="shared" si="12"/>
        <v>45536</v>
      </c>
      <c r="D349">
        <f t="shared" si="13"/>
        <v>0</v>
      </c>
    </row>
    <row r="350" spans="1:4" x14ac:dyDescent="0.3">
      <c r="A350" s="17">
        <v>45562</v>
      </c>
      <c r="B350">
        <v>-3.13</v>
      </c>
      <c r="C350" s="17">
        <f t="shared" si="12"/>
        <v>45536</v>
      </c>
      <c r="D350">
        <f t="shared" si="13"/>
        <v>0</v>
      </c>
    </row>
    <row r="351" spans="1:4" x14ac:dyDescent="0.3">
      <c r="A351" s="17">
        <v>45561</v>
      </c>
      <c r="B351">
        <v>-2.97</v>
      </c>
      <c r="C351" s="17">
        <f t="shared" si="12"/>
        <v>45536</v>
      </c>
      <c r="D351">
        <f t="shared" si="13"/>
        <v>0</v>
      </c>
    </row>
    <row r="352" spans="1:4" x14ac:dyDescent="0.3">
      <c r="A352" s="17">
        <v>45560</v>
      </c>
      <c r="B352">
        <v>-2.5299999999999998</v>
      </c>
      <c r="C352" s="17">
        <f t="shared" si="12"/>
        <v>45536</v>
      </c>
      <c r="D352">
        <f t="shared" si="13"/>
        <v>0</v>
      </c>
    </row>
    <row r="353" spans="1:4" x14ac:dyDescent="0.3">
      <c r="A353" s="17">
        <v>45559</v>
      </c>
      <c r="B353">
        <v>-2.61</v>
      </c>
      <c r="C353" s="17">
        <f t="shared" si="12"/>
        <v>45536</v>
      </c>
      <c r="D353">
        <f t="shared" si="13"/>
        <v>0</v>
      </c>
    </row>
    <row r="354" spans="1:4" x14ac:dyDescent="0.3">
      <c r="A354" s="17">
        <v>45558</v>
      </c>
      <c r="B354">
        <v>-2.4700000000000002</v>
      </c>
      <c r="C354" s="17">
        <f t="shared" si="12"/>
        <v>45536</v>
      </c>
      <c r="D354">
        <f t="shared" si="13"/>
        <v>0</v>
      </c>
    </row>
    <row r="355" spans="1:4" x14ac:dyDescent="0.3">
      <c r="A355" s="17">
        <v>45555</v>
      </c>
      <c r="B355">
        <v>-2.4300000000000002</v>
      </c>
      <c r="C355" s="17">
        <f t="shared" si="12"/>
        <v>45536</v>
      </c>
      <c r="D355">
        <f t="shared" si="13"/>
        <v>0</v>
      </c>
    </row>
    <row r="356" spans="1:4" x14ac:dyDescent="0.3">
      <c r="A356" s="17">
        <v>45554</v>
      </c>
      <c r="B356">
        <v>-2.66</v>
      </c>
      <c r="C356" s="17">
        <f t="shared" si="12"/>
        <v>45536</v>
      </c>
      <c r="D356">
        <f t="shared" si="13"/>
        <v>0</v>
      </c>
    </row>
    <row r="357" spans="1:4" x14ac:dyDescent="0.3">
      <c r="A357" s="17">
        <v>45553</v>
      </c>
      <c r="B357">
        <v>-2.72</v>
      </c>
      <c r="C357" s="17">
        <f t="shared" si="12"/>
        <v>45536</v>
      </c>
      <c r="D357">
        <f t="shared" si="13"/>
        <v>0</v>
      </c>
    </row>
    <row r="358" spans="1:4" x14ac:dyDescent="0.3">
      <c r="A358" s="17">
        <v>45552</v>
      </c>
      <c r="B358">
        <v>-2.83</v>
      </c>
      <c r="C358" s="17">
        <f t="shared" si="12"/>
        <v>45536</v>
      </c>
      <c r="D358">
        <f t="shared" si="13"/>
        <v>0</v>
      </c>
    </row>
    <row r="359" spans="1:4" x14ac:dyDescent="0.3">
      <c r="A359" s="17">
        <v>45551</v>
      </c>
      <c r="B359">
        <v>-2.85</v>
      </c>
      <c r="C359" s="17">
        <f t="shared" si="12"/>
        <v>45536</v>
      </c>
      <c r="D359">
        <f t="shared" si="13"/>
        <v>0</v>
      </c>
    </row>
    <row r="360" spans="1:4" x14ac:dyDescent="0.3">
      <c r="A360" s="17">
        <v>45548</v>
      </c>
      <c r="B360">
        <v>-2.8</v>
      </c>
      <c r="C360" s="17">
        <f t="shared" si="12"/>
        <v>45536</v>
      </c>
      <c r="D360">
        <f t="shared" si="13"/>
        <v>0</v>
      </c>
    </row>
    <row r="361" spans="1:4" x14ac:dyDescent="0.3">
      <c r="A361" s="17">
        <v>45547</v>
      </c>
      <c r="B361">
        <v>-2.81</v>
      </c>
      <c r="C361" s="17">
        <f t="shared" si="12"/>
        <v>45536</v>
      </c>
      <c r="D361">
        <f t="shared" si="13"/>
        <v>0</v>
      </c>
    </row>
    <row r="362" spans="1:4" x14ac:dyDescent="0.3">
      <c r="A362" s="17">
        <v>45546</v>
      </c>
      <c r="B362">
        <v>-2.97</v>
      </c>
      <c r="C362" s="17">
        <f t="shared" si="12"/>
        <v>45536</v>
      </c>
      <c r="D362">
        <f t="shared" si="13"/>
        <v>0</v>
      </c>
    </row>
    <row r="363" spans="1:4" x14ac:dyDescent="0.3">
      <c r="A363" s="17">
        <v>45545</v>
      </c>
      <c r="B363">
        <v>-3.03</v>
      </c>
      <c r="C363" s="17">
        <f t="shared" si="12"/>
        <v>45536</v>
      </c>
      <c r="D363">
        <f t="shared" si="13"/>
        <v>0</v>
      </c>
    </row>
    <row r="364" spans="1:4" x14ac:dyDescent="0.3">
      <c r="A364" s="17">
        <v>45544</v>
      </c>
      <c r="B364">
        <v>-2.96</v>
      </c>
      <c r="C364" s="17">
        <f t="shared" si="12"/>
        <v>45536</v>
      </c>
      <c r="D364">
        <f t="shared" si="13"/>
        <v>0</v>
      </c>
    </row>
    <row r="365" spans="1:4" x14ac:dyDescent="0.3">
      <c r="A365" s="17">
        <v>45541</v>
      </c>
      <c r="B365">
        <v>-2.88</v>
      </c>
      <c r="C365" s="17">
        <f t="shared" si="12"/>
        <v>45536</v>
      </c>
      <c r="D365">
        <f t="shared" si="13"/>
        <v>0</v>
      </c>
    </row>
    <row r="366" spans="1:4" x14ac:dyDescent="0.3">
      <c r="A366" s="17">
        <v>45540</v>
      </c>
      <c r="B366">
        <v>-2.7</v>
      </c>
      <c r="C366" s="17">
        <f t="shared" si="12"/>
        <v>45536</v>
      </c>
      <c r="D366">
        <f t="shared" si="13"/>
        <v>0</v>
      </c>
    </row>
    <row r="367" spans="1:4" x14ac:dyDescent="0.3">
      <c r="A367" s="17">
        <v>45539</v>
      </c>
      <c r="B367">
        <v>-2.59</v>
      </c>
      <c r="C367" s="17">
        <f t="shared" si="12"/>
        <v>45536</v>
      </c>
      <c r="D367">
        <f t="shared" si="13"/>
        <v>1</v>
      </c>
    </row>
    <row r="368" spans="1:4" x14ac:dyDescent="0.3">
      <c r="A368" s="17">
        <v>45538</v>
      </c>
      <c r="B368">
        <v>-2.4900000000000002</v>
      </c>
      <c r="C368" s="17">
        <f t="shared" si="12"/>
        <v>45536</v>
      </c>
      <c r="D368">
        <f t="shared" si="13"/>
        <v>1</v>
      </c>
    </row>
    <row r="369" spans="1:4" x14ac:dyDescent="0.3">
      <c r="A369" s="17">
        <v>45537</v>
      </c>
      <c r="B369">
        <v>-2.12</v>
      </c>
      <c r="C369" s="17">
        <f t="shared" si="12"/>
        <v>45536</v>
      </c>
      <c r="D369">
        <f t="shared" si="13"/>
        <v>1</v>
      </c>
    </row>
    <row r="370" spans="1:4" x14ac:dyDescent="0.3">
      <c r="A370" s="17">
        <v>45534</v>
      </c>
      <c r="B370">
        <v>-1.55</v>
      </c>
      <c r="C370" s="17">
        <f t="shared" si="12"/>
        <v>45505</v>
      </c>
      <c r="D370">
        <f t="shared" si="13"/>
        <v>0</v>
      </c>
    </row>
    <row r="371" spans="1:4" x14ac:dyDescent="0.3">
      <c r="A371" s="17">
        <v>45533</v>
      </c>
      <c r="B371">
        <v>-1</v>
      </c>
      <c r="C371" s="17">
        <f t="shared" si="12"/>
        <v>45505</v>
      </c>
      <c r="D371">
        <f t="shared" si="13"/>
        <v>0</v>
      </c>
    </row>
    <row r="372" spans="1:4" x14ac:dyDescent="0.3">
      <c r="A372" s="17">
        <v>45532</v>
      </c>
      <c r="B372">
        <v>-1.59</v>
      </c>
      <c r="C372" s="17">
        <f t="shared" si="12"/>
        <v>45505</v>
      </c>
      <c r="D372">
        <f t="shared" si="13"/>
        <v>0</v>
      </c>
    </row>
    <row r="373" spans="1:4" x14ac:dyDescent="0.3">
      <c r="A373" s="17">
        <v>45531</v>
      </c>
      <c r="B373">
        <v>-1.52</v>
      </c>
      <c r="C373" s="17">
        <f t="shared" si="12"/>
        <v>45505</v>
      </c>
      <c r="D373">
        <f t="shared" si="13"/>
        <v>0</v>
      </c>
    </row>
    <row r="374" spans="1:4" x14ac:dyDescent="0.3">
      <c r="A374" s="17">
        <v>45527</v>
      </c>
      <c r="B374">
        <v>-2.34</v>
      </c>
      <c r="C374" s="17">
        <f t="shared" si="12"/>
        <v>45505</v>
      </c>
      <c r="D374">
        <f t="shared" si="13"/>
        <v>0</v>
      </c>
    </row>
    <row r="375" spans="1:4" x14ac:dyDescent="0.3">
      <c r="A375" s="17">
        <v>45526</v>
      </c>
      <c r="B375">
        <v>-2.4500000000000002</v>
      </c>
      <c r="C375" s="17">
        <f t="shared" si="12"/>
        <v>45505</v>
      </c>
      <c r="D375">
        <f t="shared" si="13"/>
        <v>0</v>
      </c>
    </row>
    <row r="376" spans="1:4" x14ac:dyDescent="0.3">
      <c r="A376" s="17">
        <v>45525</v>
      </c>
      <c r="B376">
        <v>-2.48</v>
      </c>
      <c r="C376" s="17">
        <f t="shared" si="12"/>
        <v>45505</v>
      </c>
      <c r="D376">
        <f t="shared" si="13"/>
        <v>0</v>
      </c>
    </row>
    <row r="377" spans="1:4" x14ac:dyDescent="0.3">
      <c r="A377" s="17">
        <v>45524</v>
      </c>
      <c r="B377">
        <v>-2.54</v>
      </c>
      <c r="C377" s="17">
        <f t="shared" si="12"/>
        <v>45505</v>
      </c>
      <c r="D377">
        <f t="shared" si="13"/>
        <v>0</v>
      </c>
    </row>
    <row r="378" spans="1:4" x14ac:dyDescent="0.3">
      <c r="A378" s="17">
        <v>45523</v>
      </c>
      <c r="B378">
        <v>-2.31</v>
      </c>
      <c r="C378" s="17">
        <f t="shared" si="12"/>
        <v>45505</v>
      </c>
      <c r="D378">
        <f t="shared" si="13"/>
        <v>0</v>
      </c>
    </row>
    <row r="379" spans="1:4" x14ac:dyDescent="0.3">
      <c r="A379" s="17">
        <v>45520</v>
      </c>
      <c r="B379">
        <v>-2.2000000000000002</v>
      </c>
      <c r="C379" s="17">
        <f t="shared" si="12"/>
        <v>45505</v>
      </c>
      <c r="D379">
        <f t="shared" si="13"/>
        <v>0</v>
      </c>
    </row>
    <row r="380" spans="1:4" x14ac:dyDescent="0.3">
      <c r="A380" s="17">
        <v>45519</v>
      </c>
      <c r="B380">
        <v>-2.06</v>
      </c>
      <c r="C380" s="17">
        <f t="shared" si="12"/>
        <v>45505</v>
      </c>
      <c r="D380">
        <f t="shared" si="13"/>
        <v>0</v>
      </c>
    </row>
    <row r="381" spans="1:4" x14ac:dyDescent="0.3">
      <c r="A381" s="17">
        <v>45518</v>
      </c>
      <c r="B381">
        <v>-2.14</v>
      </c>
      <c r="C381" s="17">
        <f t="shared" si="12"/>
        <v>45505</v>
      </c>
      <c r="D381">
        <f t="shared" si="13"/>
        <v>0</v>
      </c>
    </row>
    <row r="382" spans="1:4" x14ac:dyDescent="0.3">
      <c r="A382" s="17">
        <v>45517</v>
      </c>
      <c r="B382">
        <v>-1.62</v>
      </c>
      <c r="C382" s="17">
        <f t="shared" si="12"/>
        <v>45505</v>
      </c>
      <c r="D382">
        <f t="shared" si="13"/>
        <v>0</v>
      </c>
    </row>
    <row r="383" spans="1:4" x14ac:dyDescent="0.3">
      <c r="A383" s="17">
        <v>45516</v>
      </c>
      <c r="B383">
        <v>-1.76</v>
      </c>
      <c r="C383" s="17">
        <f t="shared" si="12"/>
        <v>45505</v>
      </c>
      <c r="D383">
        <f t="shared" si="13"/>
        <v>0</v>
      </c>
    </row>
    <row r="384" spans="1:4" x14ac:dyDescent="0.3">
      <c r="A384" s="17">
        <v>45513</v>
      </c>
      <c r="B384">
        <v>-1.93</v>
      </c>
      <c r="C384" s="17">
        <f t="shared" si="12"/>
        <v>45505</v>
      </c>
      <c r="D384">
        <f t="shared" si="13"/>
        <v>0</v>
      </c>
    </row>
    <row r="385" spans="1:4" x14ac:dyDescent="0.3">
      <c r="A385" s="17">
        <v>45512</v>
      </c>
      <c r="B385">
        <v>-1.98</v>
      </c>
      <c r="C385" s="17">
        <f t="shared" si="12"/>
        <v>45505</v>
      </c>
      <c r="D385">
        <f t="shared" si="13"/>
        <v>0</v>
      </c>
    </row>
    <row r="386" spans="1:4" x14ac:dyDescent="0.3">
      <c r="A386" s="17">
        <v>45511</v>
      </c>
      <c r="B386">
        <v>-1.93</v>
      </c>
      <c r="C386" s="17">
        <f t="shared" si="12"/>
        <v>45505</v>
      </c>
      <c r="D386">
        <f t="shared" si="13"/>
        <v>0</v>
      </c>
    </row>
    <row r="387" spans="1:4" x14ac:dyDescent="0.3">
      <c r="A387" s="17">
        <v>45510</v>
      </c>
      <c r="B387">
        <v>-2.17</v>
      </c>
      <c r="C387" s="17">
        <f t="shared" si="12"/>
        <v>45505</v>
      </c>
      <c r="D387">
        <f t="shared" si="13"/>
        <v>0</v>
      </c>
    </row>
    <row r="388" spans="1:4" x14ac:dyDescent="0.3">
      <c r="A388" s="17">
        <v>45509</v>
      </c>
      <c r="B388">
        <v>-2.15</v>
      </c>
      <c r="C388" s="17">
        <f t="shared" si="12"/>
        <v>45505</v>
      </c>
      <c r="D388">
        <f t="shared" si="13"/>
        <v>0</v>
      </c>
    </row>
    <row r="389" spans="1:4" x14ac:dyDescent="0.3">
      <c r="A389" s="17">
        <v>45506</v>
      </c>
      <c r="B389">
        <v>-2.42</v>
      </c>
      <c r="C389" s="17">
        <f t="shared" si="12"/>
        <v>45505</v>
      </c>
      <c r="D389">
        <f t="shared" si="13"/>
        <v>1</v>
      </c>
    </row>
    <row r="390" spans="1:4" x14ac:dyDescent="0.3">
      <c r="A390" s="17">
        <v>45505</v>
      </c>
      <c r="B390">
        <v>-2.5099999999999998</v>
      </c>
      <c r="C390" s="17">
        <f t="shared" ref="C390:C453" si="14">+DATE(+YEAR(A390),+MONTH(A390),1)</f>
        <v>45505</v>
      </c>
      <c r="D390">
        <f t="shared" ref="D390:D453" si="15">IF(AND(+DAY(A390)&gt;=1,+DAY(A390)&lt;= 4), 1, 0)</f>
        <v>1</v>
      </c>
    </row>
    <row r="391" spans="1:4" x14ac:dyDescent="0.3">
      <c r="A391" s="17">
        <v>45504</v>
      </c>
      <c r="B391">
        <v>-2.09</v>
      </c>
      <c r="C391" s="17">
        <f t="shared" si="14"/>
        <v>45474</v>
      </c>
      <c r="D391">
        <f t="shared" si="15"/>
        <v>0</v>
      </c>
    </row>
    <row r="392" spans="1:4" x14ac:dyDescent="0.3">
      <c r="A392" s="17">
        <v>45503</v>
      </c>
      <c r="B392">
        <v>-2.08</v>
      </c>
      <c r="C392" s="17">
        <f t="shared" si="14"/>
        <v>45474</v>
      </c>
      <c r="D392">
        <f t="shared" si="15"/>
        <v>0</v>
      </c>
    </row>
    <row r="393" spans="1:4" x14ac:dyDescent="0.3">
      <c r="A393" s="17">
        <v>45502</v>
      </c>
      <c r="B393">
        <v>-1.55</v>
      </c>
      <c r="C393" s="17">
        <f t="shared" si="14"/>
        <v>45474</v>
      </c>
      <c r="D393">
        <f t="shared" si="15"/>
        <v>0</v>
      </c>
    </row>
    <row r="394" spans="1:4" x14ac:dyDescent="0.3">
      <c r="A394" s="17">
        <v>45499</v>
      </c>
      <c r="B394">
        <v>-1.51</v>
      </c>
      <c r="C394" s="17">
        <f t="shared" si="14"/>
        <v>45474</v>
      </c>
      <c r="D394">
        <f t="shared" si="15"/>
        <v>0</v>
      </c>
    </row>
    <row r="395" spans="1:4" x14ac:dyDescent="0.3">
      <c r="A395" s="17">
        <v>45498</v>
      </c>
      <c r="B395">
        <v>-1.74</v>
      </c>
      <c r="C395" s="17">
        <f t="shared" si="14"/>
        <v>45474</v>
      </c>
      <c r="D395">
        <f t="shared" si="15"/>
        <v>0</v>
      </c>
    </row>
    <row r="396" spans="1:4" x14ac:dyDescent="0.3">
      <c r="A396" s="17">
        <v>45497</v>
      </c>
      <c r="B396">
        <v>-1.72</v>
      </c>
      <c r="C396" s="17">
        <f t="shared" si="14"/>
        <v>45474</v>
      </c>
      <c r="D396">
        <f t="shared" si="15"/>
        <v>0</v>
      </c>
    </row>
    <row r="397" spans="1:4" x14ac:dyDescent="0.3">
      <c r="A397" s="17">
        <v>45496</v>
      </c>
      <c r="B397">
        <v>-1.5</v>
      </c>
      <c r="C397" s="17">
        <f t="shared" si="14"/>
        <v>45474</v>
      </c>
      <c r="D397">
        <f t="shared" si="15"/>
        <v>0</v>
      </c>
    </row>
    <row r="398" spans="1:4" x14ac:dyDescent="0.3">
      <c r="A398" s="17">
        <v>45495</v>
      </c>
      <c r="B398">
        <v>-1.8</v>
      </c>
      <c r="C398" s="17">
        <f t="shared" si="14"/>
        <v>45474</v>
      </c>
      <c r="D398">
        <f t="shared" si="15"/>
        <v>0</v>
      </c>
    </row>
    <row r="399" spans="1:4" x14ac:dyDescent="0.3">
      <c r="A399" s="17">
        <v>45492</v>
      </c>
      <c r="B399">
        <v>-1.73</v>
      </c>
      <c r="C399" s="17">
        <f t="shared" si="14"/>
        <v>45474</v>
      </c>
      <c r="D399">
        <f t="shared" si="15"/>
        <v>0</v>
      </c>
    </row>
    <row r="400" spans="1:4" x14ac:dyDescent="0.3">
      <c r="A400" s="17">
        <v>45491</v>
      </c>
      <c r="B400">
        <v>-1.63</v>
      </c>
      <c r="C400" s="17">
        <f t="shared" si="14"/>
        <v>45474</v>
      </c>
      <c r="D400">
        <f t="shared" si="15"/>
        <v>0</v>
      </c>
    </row>
    <row r="401" spans="1:4" x14ac:dyDescent="0.3">
      <c r="A401" s="17">
        <v>45490</v>
      </c>
      <c r="B401">
        <v>-1.82</v>
      </c>
      <c r="C401" s="17">
        <f t="shared" si="14"/>
        <v>45474</v>
      </c>
      <c r="D401">
        <f t="shared" si="15"/>
        <v>0</v>
      </c>
    </row>
    <row r="402" spans="1:4" x14ac:dyDescent="0.3">
      <c r="A402" s="17">
        <v>45489</v>
      </c>
      <c r="B402">
        <v>-1.94</v>
      </c>
      <c r="C402" s="17">
        <f t="shared" si="14"/>
        <v>45474</v>
      </c>
      <c r="D402">
        <f t="shared" si="15"/>
        <v>0</v>
      </c>
    </row>
    <row r="403" spans="1:4" x14ac:dyDescent="0.3">
      <c r="A403" s="17">
        <v>45488</v>
      </c>
      <c r="B403">
        <v>-1.77</v>
      </c>
      <c r="C403" s="17">
        <f t="shared" si="14"/>
        <v>45474</v>
      </c>
      <c r="D403">
        <f t="shared" si="15"/>
        <v>0</v>
      </c>
    </row>
    <row r="404" spans="1:4" x14ac:dyDescent="0.3">
      <c r="A404" s="17">
        <v>45485</v>
      </c>
      <c r="B404">
        <v>-1.68</v>
      </c>
      <c r="C404" s="17">
        <f t="shared" si="14"/>
        <v>45474</v>
      </c>
      <c r="D404">
        <f t="shared" si="15"/>
        <v>0</v>
      </c>
    </row>
    <row r="405" spans="1:4" x14ac:dyDescent="0.3">
      <c r="A405" s="17">
        <v>45484</v>
      </c>
      <c r="B405">
        <v>-2.02</v>
      </c>
      <c r="C405" s="17">
        <f t="shared" si="14"/>
        <v>45474</v>
      </c>
      <c r="D405">
        <f t="shared" si="15"/>
        <v>0</v>
      </c>
    </row>
    <row r="406" spans="1:4" x14ac:dyDescent="0.3">
      <c r="A406" s="17">
        <v>45483</v>
      </c>
      <c r="B406">
        <v>-2.19</v>
      </c>
      <c r="C406" s="17">
        <f t="shared" si="14"/>
        <v>45474</v>
      </c>
      <c r="D406">
        <f t="shared" si="15"/>
        <v>0</v>
      </c>
    </row>
    <row r="407" spans="1:4" x14ac:dyDescent="0.3">
      <c r="A407" s="17">
        <v>45482</v>
      </c>
      <c r="B407">
        <v>-2.63</v>
      </c>
      <c r="C407" s="17">
        <f t="shared" si="14"/>
        <v>45474</v>
      </c>
      <c r="D407">
        <f t="shared" si="15"/>
        <v>0</v>
      </c>
    </row>
    <row r="408" spans="1:4" x14ac:dyDescent="0.3">
      <c r="A408" s="17">
        <v>45481</v>
      </c>
      <c r="B408">
        <v>-2.54</v>
      </c>
      <c r="C408" s="17">
        <f t="shared" si="14"/>
        <v>45474</v>
      </c>
      <c r="D408">
        <f t="shared" si="15"/>
        <v>0</v>
      </c>
    </row>
    <row r="409" spans="1:4" x14ac:dyDescent="0.3">
      <c r="A409" s="17">
        <v>45478</v>
      </c>
      <c r="B409">
        <v>-2.4900000000000002</v>
      </c>
      <c r="C409" s="17">
        <f t="shared" si="14"/>
        <v>45474</v>
      </c>
      <c r="D409">
        <f t="shared" si="15"/>
        <v>0</v>
      </c>
    </row>
    <row r="410" spans="1:4" x14ac:dyDescent="0.3">
      <c r="A410" s="17">
        <v>45477</v>
      </c>
      <c r="B410">
        <v>-2.5499999999999998</v>
      </c>
      <c r="C410" s="17">
        <f t="shared" si="14"/>
        <v>45474</v>
      </c>
      <c r="D410">
        <f t="shared" si="15"/>
        <v>1</v>
      </c>
    </row>
    <row r="411" spans="1:4" x14ac:dyDescent="0.3">
      <c r="A411" s="17">
        <v>45476</v>
      </c>
      <c r="B411">
        <v>-2.65</v>
      </c>
      <c r="C411" s="17">
        <f t="shared" si="14"/>
        <v>45474</v>
      </c>
      <c r="D411">
        <f t="shared" si="15"/>
        <v>1</v>
      </c>
    </row>
    <row r="412" spans="1:4" x14ac:dyDescent="0.3">
      <c r="A412" s="17">
        <v>45475</v>
      </c>
      <c r="B412">
        <v>-2.6</v>
      </c>
      <c r="C412" s="17">
        <f t="shared" si="14"/>
        <v>45474</v>
      </c>
      <c r="D412">
        <f t="shared" si="15"/>
        <v>1</v>
      </c>
    </row>
    <row r="413" spans="1:4" x14ac:dyDescent="0.3">
      <c r="A413" s="17">
        <v>45474</v>
      </c>
      <c r="B413">
        <v>-2.61</v>
      </c>
      <c r="C413" s="17">
        <f t="shared" si="14"/>
        <v>45474</v>
      </c>
      <c r="D413">
        <f t="shared" si="15"/>
        <v>1</v>
      </c>
    </row>
    <row r="414" spans="1:4" x14ac:dyDescent="0.3">
      <c r="A414" s="17">
        <v>45471</v>
      </c>
      <c r="B414">
        <v>-2.52</v>
      </c>
      <c r="C414" s="17">
        <f t="shared" si="14"/>
        <v>45444</v>
      </c>
      <c r="D414">
        <f t="shared" si="15"/>
        <v>0</v>
      </c>
    </row>
    <row r="415" spans="1:4" x14ac:dyDescent="0.3">
      <c r="A415" s="17">
        <v>45470</v>
      </c>
      <c r="B415">
        <v>-2.74</v>
      </c>
      <c r="C415" s="17">
        <f t="shared" si="14"/>
        <v>45444</v>
      </c>
      <c r="D415">
        <f t="shared" si="15"/>
        <v>0</v>
      </c>
    </row>
    <row r="416" spans="1:4" x14ac:dyDescent="0.3">
      <c r="A416" s="17">
        <v>45469</v>
      </c>
      <c r="B416">
        <v>-3.13</v>
      </c>
      <c r="C416" s="17">
        <f t="shared" si="14"/>
        <v>45444</v>
      </c>
      <c r="D416">
        <f t="shared" si="15"/>
        <v>0</v>
      </c>
    </row>
    <row r="417" spans="1:4" x14ac:dyDescent="0.3">
      <c r="A417" s="17">
        <v>45468</v>
      </c>
      <c r="B417">
        <v>-2.92</v>
      </c>
      <c r="C417" s="17">
        <f t="shared" si="14"/>
        <v>45444</v>
      </c>
      <c r="D417">
        <f t="shared" si="15"/>
        <v>0</v>
      </c>
    </row>
    <row r="418" spans="1:4" x14ac:dyDescent="0.3">
      <c r="A418" s="17">
        <v>45467</v>
      </c>
      <c r="B418">
        <v>-2.78</v>
      </c>
      <c r="C418" s="17">
        <f t="shared" si="14"/>
        <v>45444</v>
      </c>
      <c r="D418">
        <f t="shared" si="15"/>
        <v>0</v>
      </c>
    </row>
    <row r="419" spans="1:4" x14ac:dyDescent="0.3">
      <c r="A419" s="17">
        <v>45464</v>
      </c>
      <c r="B419">
        <v>-2.72</v>
      </c>
      <c r="C419" s="17">
        <f t="shared" si="14"/>
        <v>45444</v>
      </c>
      <c r="D419">
        <f t="shared" si="15"/>
        <v>0</v>
      </c>
    </row>
    <row r="420" spans="1:4" x14ac:dyDescent="0.3">
      <c r="A420" s="17">
        <v>45463</v>
      </c>
      <c r="B420">
        <v>-2.7</v>
      </c>
      <c r="C420" s="17">
        <f t="shared" si="14"/>
        <v>45444</v>
      </c>
      <c r="D420">
        <f t="shared" si="15"/>
        <v>0</v>
      </c>
    </row>
    <row r="421" spans="1:4" x14ac:dyDescent="0.3">
      <c r="A421" s="17">
        <v>45462</v>
      </c>
      <c r="B421">
        <v>-2.42</v>
      </c>
      <c r="C421" s="17">
        <f t="shared" si="14"/>
        <v>45444</v>
      </c>
      <c r="D421">
        <f t="shared" si="15"/>
        <v>0</v>
      </c>
    </row>
    <row r="422" spans="1:4" x14ac:dyDescent="0.3">
      <c r="A422" s="17">
        <v>45461</v>
      </c>
      <c r="B422">
        <v>-2.46</v>
      </c>
      <c r="C422" s="17">
        <f t="shared" si="14"/>
        <v>45444</v>
      </c>
      <c r="D422">
        <f t="shared" si="15"/>
        <v>0</v>
      </c>
    </row>
    <row r="423" spans="1:4" x14ac:dyDescent="0.3">
      <c r="A423" s="17">
        <v>45460</v>
      </c>
      <c r="B423">
        <v>-2.75</v>
      </c>
      <c r="C423" s="17">
        <f t="shared" si="14"/>
        <v>45444</v>
      </c>
      <c r="D423">
        <f t="shared" si="15"/>
        <v>0</v>
      </c>
    </row>
    <row r="424" spans="1:4" x14ac:dyDescent="0.3">
      <c r="A424" s="17">
        <v>45457</v>
      </c>
      <c r="B424">
        <v>-3.12</v>
      </c>
      <c r="C424" s="17">
        <f t="shared" si="14"/>
        <v>45444</v>
      </c>
      <c r="D424">
        <f t="shared" si="15"/>
        <v>0</v>
      </c>
    </row>
    <row r="425" spans="1:4" x14ac:dyDescent="0.3">
      <c r="A425" s="17">
        <v>45456</v>
      </c>
      <c r="B425">
        <v>-3.24</v>
      </c>
      <c r="C425" s="17">
        <f t="shared" si="14"/>
        <v>45444</v>
      </c>
      <c r="D425">
        <f t="shared" si="15"/>
        <v>0</v>
      </c>
    </row>
    <row r="426" spans="1:4" x14ac:dyDescent="0.3">
      <c r="A426" s="17">
        <v>45455</v>
      </c>
      <c r="B426">
        <v>-3.36</v>
      </c>
      <c r="C426" s="17">
        <f t="shared" si="14"/>
        <v>45444</v>
      </c>
      <c r="D426">
        <f t="shared" si="15"/>
        <v>0</v>
      </c>
    </row>
    <row r="427" spans="1:4" x14ac:dyDescent="0.3">
      <c r="A427" s="17">
        <v>45454</v>
      </c>
      <c r="B427">
        <v>-3.56</v>
      </c>
      <c r="C427" s="17">
        <f t="shared" si="14"/>
        <v>45444</v>
      </c>
      <c r="D427">
        <f t="shared" si="15"/>
        <v>0</v>
      </c>
    </row>
    <row r="428" spans="1:4" x14ac:dyDescent="0.3">
      <c r="A428" s="17">
        <v>45453</v>
      </c>
      <c r="B428">
        <v>-3.63</v>
      </c>
      <c r="C428" s="17">
        <f t="shared" si="14"/>
        <v>45444</v>
      </c>
      <c r="D428">
        <f t="shared" si="15"/>
        <v>0</v>
      </c>
    </row>
    <row r="429" spans="1:4" x14ac:dyDescent="0.3">
      <c r="A429" s="17">
        <v>45450</v>
      </c>
      <c r="B429">
        <v>-3.71</v>
      </c>
      <c r="C429" s="17">
        <f t="shared" si="14"/>
        <v>45444</v>
      </c>
      <c r="D429">
        <f t="shared" si="15"/>
        <v>0</v>
      </c>
    </row>
    <row r="430" spans="1:4" x14ac:dyDescent="0.3">
      <c r="A430" s="17">
        <v>45449</v>
      </c>
      <c r="B430">
        <v>-3.72</v>
      </c>
      <c r="C430" s="17">
        <f t="shared" si="14"/>
        <v>45444</v>
      </c>
      <c r="D430">
        <f t="shared" si="15"/>
        <v>0</v>
      </c>
    </row>
    <row r="431" spans="1:4" x14ac:dyDescent="0.3">
      <c r="A431" s="17">
        <v>45448</v>
      </c>
      <c r="B431">
        <v>-3.88</v>
      </c>
      <c r="C431" s="17">
        <f t="shared" si="14"/>
        <v>45444</v>
      </c>
      <c r="D431">
        <f t="shared" si="15"/>
        <v>0</v>
      </c>
    </row>
    <row r="432" spans="1:4" x14ac:dyDescent="0.3">
      <c r="A432" s="17">
        <v>45447</v>
      </c>
      <c r="B432">
        <v>-4.04</v>
      </c>
      <c r="C432" s="17">
        <f t="shared" si="14"/>
        <v>45444</v>
      </c>
      <c r="D432">
        <f t="shared" si="15"/>
        <v>1</v>
      </c>
    </row>
    <row r="433" spans="1:4" x14ac:dyDescent="0.3">
      <c r="A433" s="17">
        <v>45446</v>
      </c>
      <c r="B433">
        <v>-4.1500000000000004</v>
      </c>
      <c r="C433" s="17">
        <f t="shared" si="14"/>
        <v>45444</v>
      </c>
      <c r="D433">
        <f t="shared" si="15"/>
        <v>1</v>
      </c>
    </row>
    <row r="434" spans="1:4" x14ac:dyDescent="0.3">
      <c r="A434" s="17">
        <v>45443</v>
      </c>
      <c r="B434">
        <v>-4.5</v>
      </c>
      <c r="C434" s="17">
        <f t="shared" si="14"/>
        <v>45413</v>
      </c>
      <c r="D434">
        <f t="shared" si="15"/>
        <v>0</v>
      </c>
    </row>
    <row r="435" spans="1:4" x14ac:dyDescent="0.3">
      <c r="A435" s="17">
        <v>45442</v>
      </c>
      <c r="B435">
        <v>-4.4800000000000004</v>
      </c>
      <c r="C435" s="17">
        <f t="shared" si="14"/>
        <v>45413</v>
      </c>
      <c r="D435">
        <f t="shared" si="15"/>
        <v>0</v>
      </c>
    </row>
    <row r="436" spans="1:4" x14ac:dyDescent="0.3">
      <c r="A436" s="17">
        <v>45441</v>
      </c>
      <c r="B436">
        <v>-4.01</v>
      </c>
      <c r="C436" s="17">
        <f t="shared" si="14"/>
        <v>45413</v>
      </c>
      <c r="D436">
        <f t="shared" si="15"/>
        <v>0</v>
      </c>
    </row>
    <row r="437" spans="1:4" x14ac:dyDescent="0.3">
      <c r="A437" s="17">
        <v>45440</v>
      </c>
      <c r="B437">
        <v>-4.38</v>
      </c>
      <c r="C437" s="17">
        <f t="shared" si="14"/>
        <v>45413</v>
      </c>
      <c r="D437">
        <f t="shared" si="15"/>
        <v>0</v>
      </c>
    </row>
    <row r="438" spans="1:4" x14ac:dyDescent="0.3">
      <c r="A438" s="17">
        <v>45436</v>
      </c>
      <c r="B438">
        <v>-4.59</v>
      </c>
      <c r="C438" s="17">
        <f t="shared" si="14"/>
        <v>45413</v>
      </c>
      <c r="D438">
        <f t="shared" si="15"/>
        <v>0</v>
      </c>
    </row>
    <row r="439" spans="1:4" x14ac:dyDescent="0.3">
      <c r="A439" s="17">
        <v>45435</v>
      </c>
      <c r="B439">
        <v>-4.82</v>
      </c>
      <c r="C439" s="17">
        <f t="shared" si="14"/>
        <v>45413</v>
      </c>
      <c r="D439">
        <f t="shared" si="15"/>
        <v>0</v>
      </c>
    </row>
    <row r="440" spans="1:4" x14ac:dyDescent="0.3">
      <c r="A440" s="17">
        <v>45434</v>
      </c>
      <c r="B440">
        <v>-4.2300000000000004</v>
      </c>
      <c r="C440" s="17">
        <f t="shared" si="14"/>
        <v>45413</v>
      </c>
      <c r="D440">
        <f t="shared" si="15"/>
        <v>0</v>
      </c>
    </row>
    <row r="441" spans="1:4" x14ac:dyDescent="0.3">
      <c r="A441" s="17">
        <v>45433</v>
      </c>
      <c r="B441">
        <v>-4.08</v>
      </c>
      <c r="C441" s="17">
        <f t="shared" si="14"/>
        <v>45413</v>
      </c>
      <c r="D441">
        <f t="shared" si="15"/>
        <v>0</v>
      </c>
    </row>
    <row r="442" spans="1:4" x14ac:dyDescent="0.3">
      <c r="A442" s="17">
        <v>45432</v>
      </c>
      <c r="B442">
        <v>-3.95</v>
      </c>
      <c r="C442" s="17">
        <f t="shared" si="14"/>
        <v>45413</v>
      </c>
      <c r="D442">
        <f t="shared" si="15"/>
        <v>0</v>
      </c>
    </row>
    <row r="443" spans="1:4" x14ac:dyDescent="0.3">
      <c r="A443" s="17">
        <v>45429</v>
      </c>
      <c r="B443">
        <v>-3.54</v>
      </c>
      <c r="C443" s="17">
        <f t="shared" si="14"/>
        <v>45413</v>
      </c>
      <c r="D443">
        <f t="shared" si="15"/>
        <v>0</v>
      </c>
    </row>
    <row r="444" spans="1:4" x14ac:dyDescent="0.3">
      <c r="A444" s="17">
        <v>45428</v>
      </c>
      <c r="B444">
        <v>-3.28</v>
      </c>
      <c r="C444" s="17">
        <f t="shared" si="14"/>
        <v>45413</v>
      </c>
      <c r="D444">
        <f t="shared" si="15"/>
        <v>0</v>
      </c>
    </row>
    <row r="445" spans="1:4" x14ac:dyDescent="0.3">
      <c r="A445" s="17">
        <v>45427</v>
      </c>
      <c r="B445">
        <v>-3.27</v>
      </c>
      <c r="C445" s="17">
        <f t="shared" si="14"/>
        <v>45413</v>
      </c>
      <c r="D445">
        <f t="shared" si="15"/>
        <v>0</v>
      </c>
    </row>
    <row r="446" spans="1:4" x14ac:dyDescent="0.3">
      <c r="A446" s="17">
        <v>45426</v>
      </c>
      <c r="B446">
        <v>-3.42</v>
      </c>
      <c r="C446" s="17">
        <f t="shared" si="14"/>
        <v>45413</v>
      </c>
      <c r="D446">
        <f t="shared" si="15"/>
        <v>0</v>
      </c>
    </row>
    <row r="447" spans="1:4" x14ac:dyDescent="0.3">
      <c r="A447" s="17">
        <v>45425</v>
      </c>
      <c r="B447">
        <v>-3.61</v>
      </c>
      <c r="C447" s="17">
        <f t="shared" si="14"/>
        <v>45413</v>
      </c>
      <c r="D447">
        <f t="shared" si="15"/>
        <v>0</v>
      </c>
    </row>
    <row r="448" spans="1:4" x14ac:dyDescent="0.3">
      <c r="A448" s="17">
        <v>45422</v>
      </c>
      <c r="B448">
        <v>-3.45</v>
      </c>
      <c r="C448" s="17">
        <f t="shared" si="14"/>
        <v>45413</v>
      </c>
      <c r="D448">
        <f t="shared" si="15"/>
        <v>0</v>
      </c>
    </row>
    <row r="449" spans="1:4" x14ac:dyDescent="0.3">
      <c r="A449" s="17">
        <v>45421</v>
      </c>
      <c r="B449">
        <v>-3.23</v>
      </c>
      <c r="C449" s="17">
        <f t="shared" si="14"/>
        <v>45413</v>
      </c>
      <c r="D449">
        <f t="shared" si="15"/>
        <v>0</v>
      </c>
    </row>
    <row r="450" spans="1:4" x14ac:dyDescent="0.3">
      <c r="A450" s="17">
        <v>45420</v>
      </c>
      <c r="B450">
        <v>-3.17</v>
      </c>
      <c r="C450" s="17">
        <f t="shared" si="14"/>
        <v>45413</v>
      </c>
      <c r="D450">
        <f t="shared" si="15"/>
        <v>0</v>
      </c>
    </row>
    <row r="451" spans="1:4" x14ac:dyDescent="0.3">
      <c r="A451" s="17">
        <v>45419</v>
      </c>
      <c r="B451">
        <v>-3.44</v>
      </c>
      <c r="C451" s="17">
        <f t="shared" si="14"/>
        <v>45413</v>
      </c>
      <c r="D451">
        <f t="shared" si="15"/>
        <v>0</v>
      </c>
    </row>
    <row r="452" spans="1:4" x14ac:dyDescent="0.3">
      <c r="A452" s="17">
        <v>45415</v>
      </c>
      <c r="B452">
        <v>-3.05</v>
      </c>
      <c r="C452" s="17">
        <f t="shared" si="14"/>
        <v>45413</v>
      </c>
      <c r="D452">
        <f t="shared" si="15"/>
        <v>1</v>
      </c>
    </row>
    <row r="453" spans="1:4" x14ac:dyDescent="0.3">
      <c r="A453" s="17">
        <v>45414</v>
      </c>
      <c r="B453">
        <v>-3.1</v>
      </c>
      <c r="C453" s="17">
        <f t="shared" si="14"/>
        <v>45413</v>
      </c>
      <c r="D453">
        <f t="shared" si="15"/>
        <v>1</v>
      </c>
    </row>
    <row r="454" spans="1:4" x14ac:dyDescent="0.3">
      <c r="A454" s="17">
        <v>45413</v>
      </c>
      <c r="B454">
        <v>-2.85</v>
      </c>
      <c r="C454" s="17">
        <f t="shared" ref="C454:C517" si="16">+DATE(+YEAR(A454),+MONTH(A454),1)</f>
        <v>45413</v>
      </c>
      <c r="D454">
        <f t="shared" ref="D454:D517" si="17">IF(AND(+DAY(A454)&gt;=1,+DAY(A454)&lt;= 4), 1, 0)</f>
        <v>1</v>
      </c>
    </row>
    <row r="455" spans="1:4" x14ac:dyDescent="0.3">
      <c r="A455" s="17">
        <v>45412</v>
      </c>
      <c r="B455">
        <v>-2.57</v>
      </c>
      <c r="C455" s="17">
        <f t="shared" si="16"/>
        <v>45383</v>
      </c>
      <c r="D455">
        <f t="shared" si="17"/>
        <v>0</v>
      </c>
    </row>
    <row r="456" spans="1:4" x14ac:dyDescent="0.3">
      <c r="A456" s="17">
        <v>45411</v>
      </c>
      <c r="B456">
        <v>-2.37</v>
      </c>
      <c r="C456" s="17">
        <f t="shared" si="16"/>
        <v>45383</v>
      </c>
      <c r="D456">
        <f t="shared" si="17"/>
        <v>0</v>
      </c>
    </row>
    <row r="457" spans="1:4" x14ac:dyDescent="0.3">
      <c r="A457" s="17">
        <v>45408</v>
      </c>
      <c r="B457">
        <v>-2.3199999999999998</v>
      </c>
      <c r="C457" s="17">
        <f t="shared" si="16"/>
        <v>45383</v>
      </c>
      <c r="D457">
        <f t="shared" si="17"/>
        <v>0</v>
      </c>
    </row>
    <row r="458" spans="1:4" x14ac:dyDescent="0.3">
      <c r="A458" s="17">
        <v>45407</v>
      </c>
      <c r="B458">
        <v>-2.4300000000000002</v>
      </c>
      <c r="C458" s="17">
        <f t="shared" si="16"/>
        <v>45383</v>
      </c>
      <c r="D458">
        <f t="shared" si="17"/>
        <v>0</v>
      </c>
    </row>
    <row r="459" spans="1:4" x14ac:dyDescent="0.3">
      <c r="A459" s="17">
        <v>45406</v>
      </c>
      <c r="B459">
        <v>-2.4500000000000002</v>
      </c>
      <c r="C459" s="17">
        <f t="shared" si="16"/>
        <v>45383</v>
      </c>
      <c r="D459">
        <f t="shared" si="17"/>
        <v>0</v>
      </c>
    </row>
    <row r="460" spans="1:4" x14ac:dyDescent="0.3">
      <c r="A460" s="17">
        <v>45405</v>
      </c>
      <c r="B460">
        <v>-2.27</v>
      </c>
      <c r="C460" s="17">
        <f t="shared" si="16"/>
        <v>45383</v>
      </c>
      <c r="D460">
        <f t="shared" si="17"/>
        <v>0</v>
      </c>
    </row>
    <row r="461" spans="1:4" x14ac:dyDescent="0.3">
      <c r="A461" s="17">
        <v>45404</v>
      </c>
      <c r="B461">
        <v>-2.46</v>
      </c>
      <c r="C461" s="17">
        <f t="shared" si="16"/>
        <v>45383</v>
      </c>
      <c r="D461">
        <f t="shared" si="17"/>
        <v>0</v>
      </c>
    </row>
    <row r="462" spans="1:4" x14ac:dyDescent="0.3">
      <c r="A462" s="17">
        <v>45401</v>
      </c>
      <c r="B462">
        <v>-2.52</v>
      </c>
      <c r="C462" s="17">
        <f t="shared" si="16"/>
        <v>45383</v>
      </c>
      <c r="D462">
        <f t="shared" si="17"/>
        <v>0</v>
      </c>
    </row>
    <row r="463" spans="1:4" x14ac:dyDescent="0.3">
      <c r="A463" s="17">
        <v>45400</v>
      </c>
      <c r="B463">
        <v>-2.79</v>
      </c>
      <c r="C463" s="17">
        <f t="shared" si="16"/>
        <v>45383</v>
      </c>
      <c r="D463">
        <f t="shared" si="17"/>
        <v>0</v>
      </c>
    </row>
    <row r="464" spans="1:4" x14ac:dyDescent="0.3">
      <c r="A464" s="17">
        <v>45399</v>
      </c>
      <c r="B464">
        <v>-2.84</v>
      </c>
      <c r="C464" s="17">
        <f t="shared" si="16"/>
        <v>45383</v>
      </c>
      <c r="D464">
        <f t="shared" si="17"/>
        <v>0</v>
      </c>
    </row>
    <row r="465" spans="1:4" x14ac:dyDescent="0.3">
      <c r="A465" s="17">
        <v>45398</v>
      </c>
      <c r="B465">
        <v>-2.5499999999999998</v>
      </c>
      <c r="C465" s="17">
        <f t="shared" si="16"/>
        <v>45383</v>
      </c>
      <c r="D465">
        <f t="shared" si="17"/>
        <v>0</v>
      </c>
    </row>
    <row r="466" spans="1:4" x14ac:dyDescent="0.3">
      <c r="A466" s="17">
        <v>45397</v>
      </c>
      <c r="B466">
        <v>-2.35</v>
      </c>
      <c r="C466" s="17">
        <f t="shared" si="16"/>
        <v>45383</v>
      </c>
      <c r="D466">
        <f t="shared" si="17"/>
        <v>0</v>
      </c>
    </row>
    <row r="467" spans="1:4" x14ac:dyDescent="0.3">
      <c r="A467" s="17">
        <v>45394</v>
      </c>
      <c r="B467">
        <v>-2.16</v>
      </c>
      <c r="C467" s="17">
        <f t="shared" si="16"/>
        <v>45383</v>
      </c>
      <c r="D467">
        <f t="shared" si="17"/>
        <v>0</v>
      </c>
    </row>
    <row r="468" spans="1:4" x14ac:dyDescent="0.3">
      <c r="A468" s="17">
        <v>45393</v>
      </c>
      <c r="B468">
        <v>-2.2400000000000002</v>
      </c>
      <c r="C468" s="17">
        <f t="shared" si="16"/>
        <v>45383</v>
      </c>
      <c r="D468">
        <f t="shared" si="17"/>
        <v>0</v>
      </c>
    </row>
    <row r="469" spans="1:4" x14ac:dyDescent="0.3">
      <c r="A469" s="17">
        <v>45392</v>
      </c>
      <c r="B469">
        <v>-2.31</v>
      </c>
      <c r="C469" s="17">
        <f t="shared" si="16"/>
        <v>45383</v>
      </c>
      <c r="D469">
        <f t="shared" si="17"/>
        <v>0</v>
      </c>
    </row>
    <row r="470" spans="1:4" x14ac:dyDescent="0.3">
      <c r="A470" s="17">
        <v>45391</v>
      </c>
      <c r="B470">
        <v>-2.0499999999999998</v>
      </c>
      <c r="C470" s="17">
        <f t="shared" si="16"/>
        <v>45383</v>
      </c>
      <c r="D470">
        <f t="shared" si="17"/>
        <v>0</v>
      </c>
    </row>
    <row r="471" spans="1:4" x14ac:dyDescent="0.3">
      <c r="A471" s="17">
        <v>45390</v>
      </c>
      <c r="B471">
        <v>-1.97</v>
      </c>
      <c r="C471" s="17">
        <f t="shared" si="16"/>
        <v>45383</v>
      </c>
      <c r="D471">
        <f t="shared" si="17"/>
        <v>0</v>
      </c>
    </row>
    <row r="472" spans="1:4" x14ac:dyDescent="0.3">
      <c r="A472" s="17">
        <v>45387</v>
      </c>
      <c r="B472">
        <v>-1.96</v>
      </c>
      <c r="C472" s="17">
        <f t="shared" si="16"/>
        <v>45383</v>
      </c>
      <c r="D472">
        <f t="shared" si="17"/>
        <v>0</v>
      </c>
    </row>
    <row r="473" spans="1:4" x14ac:dyDescent="0.3">
      <c r="A473" s="17">
        <v>45386</v>
      </c>
      <c r="B473">
        <v>-2.5499999999999998</v>
      </c>
      <c r="C473" s="17">
        <f t="shared" si="16"/>
        <v>45383</v>
      </c>
      <c r="D473">
        <f t="shared" si="17"/>
        <v>1</v>
      </c>
    </row>
    <row r="474" spans="1:4" x14ac:dyDescent="0.3">
      <c r="A474" s="17">
        <v>45385</v>
      </c>
      <c r="B474">
        <v>-2.46</v>
      </c>
      <c r="C474" s="17">
        <f t="shared" si="16"/>
        <v>45383</v>
      </c>
      <c r="D474">
        <f t="shared" si="17"/>
        <v>1</v>
      </c>
    </row>
    <row r="475" spans="1:4" x14ac:dyDescent="0.3">
      <c r="A475" s="17">
        <v>45384</v>
      </c>
      <c r="B475">
        <v>-2.84</v>
      </c>
      <c r="C475" s="17">
        <f t="shared" si="16"/>
        <v>45383</v>
      </c>
      <c r="D475">
        <f t="shared" si="17"/>
        <v>1</v>
      </c>
    </row>
    <row r="476" spans="1:4" x14ac:dyDescent="0.3">
      <c r="A476" s="17">
        <v>45379</v>
      </c>
      <c r="B476">
        <v>-3.61</v>
      </c>
      <c r="C476" s="17">
        <f t="shared" si="16"/>
        <v>45352</v>
      </c>
      <c r="D476">
        <f t="shared" si="17"/>
        <v>0</v>
      </c>
    </row>
    <row r="477" spans="1:4" x14ac:dyDescent="0.3">
      <c r="A477" s="17">
        <v>45378</v>
      </c>
      <c r="B477">
        <v>-3.78</v>
      </c>
      <c r="C477" s="17">
        <f t="shared" si="16"/>
        <v>45352</v>
      </c>
      <c r="D477">
        <f t="shared" si="17"/>
        <v>0</v>
      </c>
    </row>
    <row r="478" spans="1:4" x14ac:dyDescent="0.3">
      <c r="A478" s="17">
        <v>45377</v>
      </c>
      <c r="B478">
        <v>-3.65</v>
      </c>
      <c r="C478" s="17">
        <f t="shared" si="16"/>
        <v>45352</v>
      </c>
      <c r="D478">
        <f t="shared" si="17"/>
        <v>0</v>
      </c>
    </row>
    <row r="479" spans="1:4" x14ac:dyDescent="0.3">
      <c r="A479" s="17">
        <v>45376</v>
      </c>
      <c r="B479">
        <v>-3.37</v>
      </c>
      <c r="C479" s="17">
        <f t="shared" si="16"/>
        <v>45352</v>
      </c>
      <c r="D479">
        <f t="shared" si="17"/>
        <v>0</v>
      </c>
    </row>
    <row r="480" spans="1:4" x14ac:dyDescent="0.3">
      <c r="A480" s="17">
        <v>45373</v>
      </c>
      <c r="B480">
        <v>-3.4</v>
      </c>
      <c r="C480" s="17">
        <f t="shared" si="16"/>
        <v>45352</v>
      </c>
      <c r="D480">
        <f t="shared" si="17"/>
        <v>0</v>
      </c>
    </row>
    <row r="481" spans="1:4" x14ac:dyDescent="0.3">
      <c r="A481" s="17">
        <v>45372</v>
      </c>
      <c r="B481">
        <v>-3.35</v>
      </c>
      <c r="C481" s="17">
        <f t="shared" si="16"/>
        <v>45352</v>
      </c>
      <c r="D481">
        <f t="shared" si="17"/>
        <v>0</v>
      </c>
    </row>
    <row r="482" spans="1:4" x14ac:dyDescent="0.3">
      <c r="A482" s="17">
        <v>45371</v>
      </c>
      <c r="B482">
        <v>-3.3</v>
      </c>
      <c r="C482" s="17">
        <f t="shared" si="16"/>
        <v>45352</v>
      </c>
      <c r="D482">
        <f t="shared" si="17"/>
        <v>0</v>
      </c>
    </row>
    <row r="483" spans="1:4" x14ac:dyDescent="0.3">
      <c r="A483" s="17">
        <v>45370</v>
      </c>
      <c r="B483">
        <v>-3.15</v>
      </c>
      <c r="C483" s="17">
        <f t="shared" si="16"/>
        <v>45352</v>
      </c>
      <c r="D483">
        <f t="shared" si="17"/>
        <v>0</v>
      </c>
    </row>
    <row r="484" spans="1:4" x14ac:dyDescent="0.3">
      <c r="A484" s="17">
        <v>45369</v>
      </c>
      <c r="B484">
        <v>-3.18</v>
      </c>
      <c r="C484" s="17">
        <f t="shared" si="16"/>
        <v>45352</v>
      </c>
      <c r="D484">
        <f t="shared" si="17"/>
        <v>0</v>
      </c>
    </row>
    <row r="485" spans="1:4" x14ac:dyDescent="0.3">
      <c r="A485" s="17">
        <v>45366</v>
      </c>
      <c r="B485">
        <v>-3.12</v>
      </c>
      <c r="C485" s="17">
        <f t="shared" si="16"/>
        <v>45352</v>
      </c>
      <c r="D485">
        <f t="shared" si="17"/>
        <v>0</v>
      </c>
    </row>
    <row r="486" spans="1:4" x14ac:dyDescent="0.3">
      <c r="A486" s="17">
        <v>45365</v>
      </c>
      <c r="B486">
        <v>-2.98</v>
      </c>
      <c r="C486" s="17">
        <f t="shared" si="16"/>
        <v>45352</v>
      </c>
      <c r="D486">
        <f t="shared" si="17"/>
        <v>0</v>
      </c>
    </row>
    <row r="487" spans="1:4" x14ac:dyDescent="0.3">
      <c r="A487" s="17">
        <v>45364</v>
      </c>
      <c r="B487">
        <v>-3.27</v>
      </c>
      <c r="C487" s="17">
        <f t="shared" si="16"/>
        <v>45352</v>
      </c>
      <c r="D487">
        <f t="shared" si="17"/>
        <v>0</v>
      </c>
    </row>
    <row r="488" spans="1:4" x14ac:dyDescent="0.3">
      <c r="A488" s="17">
        <v>45363</v>
      </c>
      <c r="B488">
        <v>-3.35</v>
      </c>
      <c r="C488" s="17">
        <f t="shared" si="16"/>
        <v>45352</v>
      </c>
      <c r="D488">
        <f t="shared" si="17"/>
        <v>0</v>
      </c>
    </row>
    <row r="489" spans="1:4" x14ac:dyDescent="0.3">
      <c r="A489" s="17">
        <v>45362</v>
      </c>
      <c r="B489">
        <v>-3.21</v>
      </c>
      <c r="C489" s="17">
        <f t="shared" si="16"/>
        <v>45352</v>
      </c>
      <c r="D489">
        <f t="shared" si="17"/>
        <v>0</v>
      </c>
    </row>
    <row r="490" spans="1:4" x14ac:dyDescent="0.3">
      <c r="A490" s="17">
        <v>45359</v>
      </c>
      <c r="B490">
        <v>-3.11</v>
      </c>
      <c r="C490" s="17">
        <f t="shared" si="16"/>
        <v>45352</v>
      </c>
      <c r="D490">
        <f t="shared" si="17"/>
        <v>0</v>
      </c>
    </row>
    <row r="491" spans="1:4" x14ac:dyDescent="0.3">
      <c r="A491" s="17">
        <v>45358</v>
      </c>
      <c r="B491">
        <v>-2.8</v>
      </c>
      <c r="C491" s="17">
        <f t="shared" si="16"/>
        <v>45352</v>
      </c>
      <c r="D491">
        <f t="shared" si="17"/>
        <v>0</v>
      </c>
    </row>
    <row r="492" spans="1:4" x14ac:dyDescent="0.3">
      <c r="A492" s="17">
        <v>45357</v>
      </c>
      <c r="B492">
        <v>-2.41</v>
      </c>
      <c r="C492" s="17">
        <f t="shared" si="16"/>
        <v>45352</v>
      </c>
      <c r="D492">
        <f t="shared" si="17"/>
        <v>0</v>
      </c>
    </row>
    <row r="493" spans="1:4" x14ac:dyDescent="0.3">
      <c r="A493" s="17">
        <v>45356</v>
      </c>
      <c r="B493">
        <v>-2.39</v>
      </c>
      <c r="C493" s="17">
        <f t="shared" si="16"/>
        <v>45352</v>
      </c>
      <c r="D493">
        <f t="shared" si="17"/>
        <v>0</v>
      </c>
    </row>
    <row r="494" spans="1:4" x14ac:dyDescent="0.3">
      <c r="A494" s="17">
        <v>45355</v>
      </c>
      <c r="B494">
        <v>-1.89</v>
      </c>
      <c r="C494" s="17">
        <f t="shared" si="16"/>
        <v>45352</v>
      </c>
      <c r="D494">
        <f t="shared" si="17"/>
        <v>1</v>
      </c>
    </row>
    <row r="495" spans="1:4" x14ac:dyDescent="0.3">
      <c r="A495" s="17">
        <v>45352</v>
      </c>
      <c r="B495">
        <v>-1.85</v>
      </c>
      <c r="C495" s="17">
        <f t="shared" si="16"/>
        <v>45352</v>
      </c>
      <c r="D495">
        <f t="shared" si="17"/>
        <v>1</v>
      </c>
    </row>
    <row r="496" spans="1:4" x14ac:dyDescent="0.3">
      <c r="A496" s="17">
        <v>45351</v>
      </c>
      <c r="B496">
        <v>-1.54</v>
      </c>
      <c r="C496" s="17">
        <f t="shared" si="16"/>
        <v>45323</v>
      </c>
      <c r="D496">
        <f t="shared" si="17"/>
        <v>0</v>
      </c>
    </row>
    <row r="497" spans="1:4" x14ac:dyDescent="0.3">
      <c r="A497" s="17">
        <v>45350</v>
      </c>
      <c r="B497">
        <v>-1.91</v>
      </c>
      <c r="C497" s="17">
        <f t="shared" si="16"/>
        <v>45323</v>
      </c>
      <c r="D497">
        <f t="shared" si="17"/>
        <v>0</v>
      </c>
    </row>
    <row r="498" spans="1:4" x14ac:dyDescent="0.3">
      <c r="A498" s="17">
        <v>45349</v>
      </c>
      <c r="B498">
        <v>-2.0099999999999998</v>
      </c>
      <c r="C498" s="17">
        <f t="shared" si="16"/>
        <v>45323</v>
      </c>
      <c r="D498">
        <f t="shared" si="17"/>
        <v>0</v>
      </c>
    </row>
    <row r="499" spans="1:4" x14ac:dyDescent="0.3">
      <c r="A499" s="17">
        <v>45348</v>
      </c>
      <c r="B499">
        <v>-2.25</v>
      </c>
      <c r="C499" s="17">
        <f t="shared" si="16"/>
        <v>45323</v>
      </c>
      <c r="D499">
        <f t="shared" si="17"/>
        <v>0</v>
      </c>
    </row>
    <row r="500" spans="1:4" x14ac:dyDescent="0.3">
      <c r="A500" s="17">
        <v>45345</v>
      </c>
      <c r="B500">
        <v>-2.12</v>
      </c>
      <c r="C500" s="17">
        <f t="shared" si="16"/>
        <v>45323</v>
      </c>
      <c r="D500">
        <f t="shared" si="17"/>
        <v>0</v>
      </c>
    </row>
    <row r="501" spans="1:4" x14ac:dyDescent="0.3">
      <c r="A501" s="17">
        <v>45344</v>
      </c>
      <c r="B501">
        <v>-1.97</v>
      </c>
      <c r="C501" s="17">
        <f t="shared" si="16"/>
        <v>45323</v>
      </c>
      <c r="D501">
        <f t="shared" si="17"/>
        <v>0</v>
      </c>
    </row>
    <row r="502" spans="1:4" x14ac:dyDescent="0.3">
      <c r="A502" s="17">
        <v>45343</v>
      </c>
      <c r="B502">
        <v>-2.04</v>
      </c>
      <c r="C502" s="17">
        <f t="shared" si="16"/>
        <v>45323</v>
      </c>
      <c r="D502">
        <f t="shared" si="17"/>
        <v>0</v>
      </c>
    </row>
    <row r="503" spans="1:4" x14ac:dyDescent="0.3">
      <c r="A503" s="17">
        <v>45342</v>
      </c>
      <c r="B503">
        <v>-2.0099999999999998</v>
      </c>
      <c r="C503" s="17">
        <f t="shared" si="16"/>
        <v>45323</v>
      </c>
      <c r="D503">
        <f t="shared" si="17"/>
        <v>0</v>
      </c>
    </row>
    <row r="504" spans="1:4" x14ac:dyDescent="0.3">
      <c r="A504" s="17">
        <v>45341</v>
      </c>
      <c r="B504">
        <v>-1.79</v>
      </c>
      <c r="C504" s="17">
        <f t="shared" si="16"/>
        <v>45323</v>
      </c>
      <c r="D504">
        <f t="shared" si="17"/>
        <v>0</v>
      </c>
    </row>
    <row r="505" spans="1:4" x14ac:dyDescent="0.3">
      <c r="A505" s="17">
        <v>45338</v>
      </c>
      <c r="B505">
        <v>-1.96</v>
      </c>
      <c r="C505" s="17">
        <f t="shared" si="16"/>
        <v>45323</v>
      </c>
      <c r="D505">
        <f t="shared" si="17"/>
        <v>0</v>
      </c>
    </row>
    <row r="506" spans="1:4" x14ac:dyDescent="0.3">
      <c r="A506" s="17">
        <v>45337</v>
      </c>
      <c r="B506">
        <v>-2.27</v>
      </c>
      <c r="C506" s="17">
        <f t="shared" si="16"/>
        <v>45323</v>
      </c>
      <c r="D506">
        <f t="shared" si="17"/>
        <v>0</v>
      </c>
    </row>
    <row r="507" spans="1:4" x14ac:dyDescent="0.3">
      <c r="A507" s="17">
        <v>45336</v>
      </c>
      <c r="B507">
        <v>-2.29</v>
      </c>
      <c r="C507" s="17">
        <f t="shared" si="16"/>
        <v>45323</v>
      </c>
      <c r="D507">
        <f t="shared" si="17"/>
        <v>0</v>
      </c>
    </row>
    <row r="508" spans="1:4" x14ac:dyDescent="0.3">
      <c r="A508" s="17">
        <v>45335</v>
      </c>
      <c r="B508">
        <v>-2.29</v>
      </c>
      <c r="C508" s="17">
        <f t="shared" si="16"/>
        <v>45323</v>
      </c>
      <c r="D508">
        <f t="shared" si="17"/>
        <v>0</v>
      </c>
    </row>
    <row r="509" spans="1:4" x14ac:dyDescent="0.3">
      <c r="A509" s="17">
        <v>45334</v>
      </c>
      <c r="B509">
        <v>-2.5</v>
      </c>
      <c r="C509" s="17">
        <f t="shared" si="16"/>
        <v>45323</v>
      </c>
      <c r="D509">
        <f t="shared" si="17"/>
        <v>0</v>
      </c>
    </row>
    <row r="510" spans="1:4" x14ac:dyDescent="0.3">
      <c r="A510" s="17">
        <v>45331</v>
      </c>
      <c r="B510">
        <v>-2.41</v>
      </c>
      <c r="C510" s="17">
        <f t="shared" si="16"/>
        <v>45323</v>
      </c>
      <c r="D510">
        <f t="shared" si="17"/>
        <v>0</v>
      </c>
    </row>
    <row r="511" spans="1:4" x14ac:dyDescent="0.3">
      <c r="A511" s="17">
        <v>45330</v>
      </c>
      <c r="B511">
        <v>-2.58</v>
      </c>
      <c r="C511" s="17">
        <f t="shared" si="16"/>
        <v>45323</v>
      </c>
      <c r="D511">
        <f t="shared" si="17"/>
        <v>0</v>
      </c>
    </row>
    <row r="512" spans="1:4" x14ac:dyDescent="0.3">
      <c r="A512" s="17">
        <v>45329</v>
      </c>
      <c r="B512">
        <v>-3.23</v>
      </c>
      <c r="C512" s="17">
        <f t="shared" si="16"/>
        <v>45323</v>
      </c>
      <c r="D512">
        <f t="shared" si="17"/>
        <v>0</v>
      </c>
    </row>
    <row r="513" spans="1:4" x14ac:dyDescent="0.3">
      <c r="A513" s="17">
        <v>45328</v>
      </c>
      <c r="B513">
        <v>-3.48</v>
      </c>
      <c r="C513" s="17">
        <f t="shared" si="16"/>
        <v>45323</v>
      </c>
      <c r="D513">
        <f t="shared" si="17"/>
        <v>0</v>
      </c>
    </row>
    <row r="514" spans="1:4" x14ac:dyDescent="0.3">
      <c r="A514" s="17">
        <v>45327</v>
      </c>
      <c r="B514">
        <v>-3.73</v>
      </c>
      <c r="C514" s="17">
        <f t="shared" si="16"/>
        <v>45323</v>
      </c>
      <c r="D514">
        <f t="shared" si="17"/>
        <v>0</v>
      </c>
    </row>
    <row r="515" spans="1:4" x14ac:dyDescent="0.3">
      <c r="A515" s="17">
        <v>45324</v>
      </c>
      <c r="B515">
        <v>-3.84</v>
      </c>
      <c r="C515" s="17">
        <f t="shared" si="16"/>
        <v>45323</v>
      </c>
      <c r="D515">
        <f t="shared" si="17"/>
        <v>1</v>
      </c>
    </row>
    <row r="516" spans="1:4" x14ac:dyDescent="0.3">
      <c r="A516" s="17">
        <v>45323</v>
      </c>
      <c r="B516">
        <v>-3.75</v>
      </c>
      <c r="C516" s="17">
        <f t="shared" si="16"/>
        <v>45323</v>
      </c>
      <c r="D516">
        <f t="shared" si="17"/>
        <v>1</v>
      </c>
    </row>
    <row r="517" spans="1:4" x14ac:dyDescent="0.3">
      <c r="A517" s="17">
        <v>45322</v>
      </c>
      <c r="B517">
        <v>-3.33</v>
      </c>
      <c r="C517" s="17">
        <f t="shared" si="16"/>
        <v>45292</v>
      </c>
      <c r="D517">
        <f t="shared" si="17"/>
        <v>0</v>
      </c>
    </row>
    <row r="518" spans="1:4" x14ac:dyDescent="0.3">
      <c r="A518" s="17">
        <v>45321</v>
      </c>
      <c r="B518">
        <v>-3.1</v>
      </c>
      <c r="C518" s="17">
        <f t="shared" ref="C518:C581" si="18">+DATE(+YEAR(A518),+MONTH(A518),1)</f>
        <v>45292</v>
      </c>
      <c r="D518">
        <f t="shared" ref="D518:D581" si="19">IF(AND(+DAY(A518)&gt;=1,+DAY(A518)&lt;= 4), 1, 0)</f>
        <v>0</v>
      </c>
    </row>
    <row r="519" spans="1:4" x14ac:dyDescent="0.3">
      <c r="A519" s="17">
        <v>45320</v>
      </c>
      <c r="B519">
        <v>-2.98</v>
      </c>
      <c r="C519" s="17">
        <f t="shared" si="18"/>
        <v>45292</v>
      </c>
      <c r="D519">
        <f t="shared" si="19"/>
        <v>0</v>
      </c>
    </row>
    <row r="520" spans="1:4" x14ac:dyDescent="0.3">
      <c r="A520" s="17">
        <v>45317</v>
      </c>
      <c r="B520">
        <v>-3.05</v>
      </c>
      <c r="C520" s="17">
        <f t="shared" si="18"/>
        <v>45292</v>
      </c>
      <c r="D520">
        <f t="shared" si="19"/>
        <v>0</v>
      </c>
    </row>
    <row r="521" spans="1:4" x14ac:dyDescent="0.3">
      <c r="A521" s="17">
        <v>45316</v>
      </c>
      <c r="B521">
        <v>-3.07</v>
      </c>
      <c r="C521" s="17">
        <f t="shared" si="18"/>
        <v>45292</v>
      </c>
      <c r="D521">
        <f t="shared" si="19"/>
        <v>0</v>
      </c>
    </row>
    <row r="522" spans="1:4" x14ac:dyDescent="0.3">
      <c r="A522" s="17">
        <v>45315</v>
      </c>
      <c r="B522">
        <v>-3.19</v>
      </c>
      <c r="C522" s="17">
        <f t="shared" si="18"/>
        <v>45292</v>
      </c>
      <c r="D522">
        <f t="shared" si="19"/>
        <v>0</v>
      </c>
    </row>
    <row r="523" spans="1:4" x14ac:dyDescent="0.3">
      <c r="A523" s="17">
        <v>45314</v>
      </c>
      <c r="B523">
        <v>-2.75</v>
      </c>
      <c r="C523" s="17">
        <f t="shared" si="18"/>
        <v>45292</v>
      </c>
      <c r="D523">
        <f t="shared" si="19"/>
        <v>0</v>
      </c>
    </row>
    <row r="524" spans="1:4" x14ac:dyDescent="0.3">
      <c r="A524" s="17">
        <v>45313</v>
      </c>
      <c r="B524">
        <v>-2.59</v>
      </c>
      <c r="C524" s="17">
        <f t="shared" si="18"/>
        <v>45292</v>
      </c>
      <c r="D524">
        <f t="shared" si="19"/>
        <v>0</v>
      </c>
    </row>
    <row r="525" spans="1:4" x14ac:dyDescent="0.3">
      <c r="A525" s="17">
        <v>45310</v>
      </c>
      <c r="B525">
        <v>-2.61</v>
      </c>
      <c r="C525" s="17">
        <f t="shared" si="18"/>
        <v>45292</v>
      </c>
      <c r="D525">
        <f t="shared" si="19"/>
        <v>0</v>
      </c>
    </row>
    <row r="526" spans="1:4" x14ac:dyDescent="0.3">
      <c r="A526" s="17">
        <v>45309</v>
      </c>
      <c r="B526">
        <v>-2.59</v>
      </c>
      <c r="C526" s="17">
        <f t="shared" si="18"/>
        <v>45292</v>
      </c>
      <c r="D526">
        <f t="shared" si="19"/>
        <v>0</v>
      </c>
    </row>
    <row r="527" spans="1:4" x14ac:dyDescent="0.3">
      <c r="A527" s="17">
        <v>45308</v>
      </c>
      <c r="B527">
        <v>-2.7</v>
      </c>
      <c r="C527" s="17">
        <f t="shared" si="18"/>
        <v>45292</v>
      </c>
      <c r="D527">
        <f t="shared" si="19"/>
        <v>0</v>
      </c>
    </row>
    <row r="528" spans="1:4" x14ac:dyDescent="0.3">
      <c r="A528" s="17">
        <v>45307</v>
      </c>
      <c r="B528">
        <v>-2.8</v>
      </c>
      <c r="C528" s="17">
        <f t="shared" si="18"/>
        <v>45292</v>
      </c>
      <c r="D528">
        <f t="shared" si="19"/>
        <v>0</v>
      </c>
    </row>
    <row r="529" spans="1:4" x14ac:dyDescent="0.3">
      <c r="A529" s="17">
        <v>45306</v>
      </c>
      <c r="B529">
        <v>-3.18</v>
      </c>
      <c r="C529" s="17">
        <f t="shared" si="18"/>
        <v>45292</v>
      </c>
      <c r="D529">
        <f t="shared" si="19"/>
        <v>0</v>
      </c>
    </row>
    <row r="530" spans="1:4" x14ac:dyDescent="0.3">
      <c r="A530" s="17">
        <v>45303</v>
      </c>
      <c r="B530">
        <v>-3.25</v>
      </c>
      <c r="C530" s="17">
        <f t="shared" si="18"/>
        <v>45292</v>
      </c>
      <c r="D530">
        <f t="shared" si="19"/>
        <v>0</v>
      </c>
    </row>
    <row r="531" spans="1:4" x14ac:dyDescent="0.3">
      <c r="A531" s="17">
        <v>45302</v>
      </c>
      <c r="B531">
        <v>-3.44</v>
      </c>
      <c r="C531" s="17">
        <f t="shared" si="18"/>
        <v>45292</v>
      </c>
      <c r="D531">
        <f t="shared" si="19"/>
        <v>0</v>
      </c>
    </row>
    <row r="532" spans="1:4" x14ac:dyDescent="0.3">
      <c r="A532" s="17">
        <v>45301</v>
      </c>
      <c r="B532">
        <v>-3.63</v>
      </c>
      <c r="C532" s="17">
        <f t="shared" si="18"/>
        <v>45292</v>
      </c>
      <c r="D532">
        <f t="shared" si="19"/>
        <v>0</v>
      </c>
    </row>
    <row r="533" spans="1:4" x14ac:dyDescent="0.3">
      <c r="A533" s="17">
        <v>45300</v>
      </c>
      <c r="B533">
        <v>-3.33</v>
      </c>
      <c r="C533" s="17">
        <f t="shared" si="18"/>
        <v>45292</v>
      </c>
      <c r="D533">
        <f t="shared" si="19"/>
        <v>0</v>
      </c>
    </row>
    <row r="534" spans="1:4" x14ac:dyDescent="0.3">
      <c r="A534" s="17">
        <v>45299</v>
      </c>
      <c r="B534">
        <v>-3.58</v>
      </c>
      <c r="C534" s="17">
        <f t="shared" si="18"/>
        <v>45292</v>
      </c>
      <c r="D534">
        <f t="shared" si="19"/>
        <v>0</v>
      </c>
    </row>
    <row r="535" spans="1:4" x14ac:dyDescent="0.3">
      <c r="A535" s="17">
        <v>45296</v>
      </c>
      <c r="B535">
        <v>-3.52</v>
      </c>
      <c r="C535" s="17">
        <f t="shared" si="18"/>
        <v>45292</v>
      </c>
      <c r="D535">
        <f t="shared" si="19"/>
        <v>0</v>
      </c>
    </row>
    <row r="536" spans="1:4" x14ac:dyDescent="0.3">
      <c r="A536" s="17">
        <v>45295</v>
      </c>
      <c r="B536">
        <v>-3.73</v>
      </c>
      <c r="C536" s="17">
        <f t="shared" si="18"/>
        <v>45292</v>
      </c>
      <c r="D536">
        <f t="shared" si="19"/>
        <v>1</v>
      </c>
    </row>
    <row r="537" spans="1:4" x14ac:dyDescent="0.3">
      <c r="A537" s="17">
        <v>45294</v>
      </c>
      <c r="B537">
        <v>-3.85</v>
      </c>
      <c r="C537" s="17">
        <f t="shared" si="18"/>
        <v>45292</v>
      </c>
      <c r="D537">
        <f t="shared" si="19"/>
        <v>1</v>
      </c>
    </row>
    <row r="538" spans="1:4" x14ac:dyDescent="0.3">
      <c r="A538" s="17">
        <v>45293</v>
      </c>
      <c r="B538">
        <v>-3.93</v>
      </c>
      <c r="C538" s="17">
        <f t="shared" si="18"/>
        <v>45292</v>
      </c>
      <c r="D538">
        <f t="shared" si="19"/>
        <v>1</v>
      </c>
    </row>
    <row r="539" spans="1:4" x14ac:dyDescent="0.3">
      <c r="A539" s="17">
        <v>45289</v>
      </c>
      <c r="B539">
        <v>-4.05</v>
      </c>
      <c r="C539" s="17">
        <f t="shared" si="18"/>
        <v>45261</v>
      </c>
      <c r="D539">
        <f t="shared" si="19"/>
        <v>0</v>
      </c>
    </row>
    <row r="540" spans="1:4" x14ac:dyDescent="0.3">
      <c r="A540" s="17">
        <v>45288</v>
      </c>
      <c r="B540">
        <v>-4.04</v>
      </c>
      <c r="C540" s="17">
        <f t="shared" si="18"/>
        <v>45261</v>
      </c>
      <c r="D540">
        <f t="shared" si="19"/>
        <v>0</v>
      </c>
    </row>
    <row r="541" spans="1:4" x14ac:dyDescent="0.3">
      <c r="A541" s="17">
        <v>45287</v>
      </c>
      <c r="B541">
        <v>-3.95</v>
      </c>
      <c r="C541" s="17">
        <f t="shared" si="18"/>
        <v>45261</v>
      </c>
      <c r="D541">
        <f t="shared" si="19"/>
        <v>0</v>
      </c>
    </row>
    <row r="542" spans="1:4" x14ac:dyDescent="0.3">
      <c r="A542" s="17">
        <v>45282</v>
      </c>
      <c r="B542">
        <v>-3.8</v>
      </c>
      <c r="C542" s="17">
        <f t="shared" si="18"/>
        <v>45261</v>
      </c>
      <c r="D542">
        <f t="shared" si="19"/>
        <v>0</v>
      </c>
    </row>
    <row r="543" spans="1:4" x14ac:dyDescent="0.3">
      <c r="A543" s="17">
        <v>45281</v>
      </c>
      <c r="B543">
        <v>-3.63</v>
      </c>
      <c r="C543" s="17">
        <f t="shared" si="18"/>
        <v>45261</v>
      </c>
      <c r="D543">
        <f t="shared" si="19"/>
        <v>0</v>
      </c>
    </row>
    <row r="544" spans="1:4" x14ac:dyDescent="0.3">
      <c r="A544" s="17">
        <v>45280</v>
      </c>
      <c r="B544">
        <v>-3.39</v>
      </c>
      <c r="C544" s="17">
        <f t="shared" si="18"/>
        <v>45261</v>
      </c>
      <c r="D544">
        <f t="shared" si="19"/>
        <v>0</v>
      </c>
    </row>
    <row r="545" spans="1:4" x14ac:dyDescent="0.3">
      <c r="A545" s="17">
        <v>45279</v>
      </c>
      <c r="B545">
        <v>-3.73</v>
      </c>
      <c r="C545" s="17">
        <f t="shared" si="18"/>
        <v>45261</v>
      </c>
      <c r="D545">
        <f t="shared" si="19"/>
        <v>0</v>
      </c>
    </row>
    <row r="546" spans="1:4" x14ac:dyDescent="0.3">
      <c r="A546" s="17">
        <v>45278</v>
      </c>
      <c r="B546">
        <v>-3.61</v>
      </c>
      <c r="C546" s="17">
        <f t="shared" si="18"/>
        <v>45261</v>
      </c>
      <c r="D546">
        <f t="shared" si="19"/>
        <v>0</v>
      </c>
    </row>
    <row r="547" spans="1:4" x14ac:dyDescent="0.3">
      <c r="A547" s="17">
        <v>45275</v>
      </c>
      <c r="B547">
        <v>-3.95</v>
      </c>
      <c r="C547" s="17">
        <f t="shared" si="18"/>
        <v>45261</v>
      </c>
      <c r="D547">
        <f t="shared" si="19"/>
        <v>0</v>
      </c>
    </row>
    <row r="548" spans="1:4" x14ac:dyDescent="0.3">
      <c r="A548" s="17">
        <v>45274</v>
      </c>
      <c r="B548">
        <v>-4.04</v>
      </c>
      <c r="C548" s="17">
        <f t="shared" si="18"/>
        <v>45261</v>
      </c>
      <c r="D548">
        <f t="shared" si="19"/>
        <v>0</v>
      </c>
    </row>
    <row r="549" spans="1:4" x14ac:dyDescent="0.3">
      <c r="A549" s="17">
        <v>45273</v>
      </c>
      <c r="B549">
        <v>-4.09</v>
      </c>
      <c r="C549" s="17">
        <f t="shared" si="18"/>
        <v>45261</v>
      </c>
      <c r="D549">
        <f t="shared" si="19"/>
        <v>0</v>
      </c>
    </row>
    <row r="550" spans="1:4" x14ac:dyDescent="0.3">
      <c r="A550" s="17">
        <v>45272</v>
      </c>
      <c r="B550">
        <v>-4.3600000000000003</v>
      </c>
      <c r="C550" s="17">
        <f t="shared" si="18"/>
        <v>45261</v>
      </c>
      <c r="D550">
        <f t="shared" si="19"/>
        <v>0</v>
      </c>
    </row>
    <row r="551" spans="1:4" x14ac:dyDescent="0.3">
      <c r="A551" s="17">
        <v>45271</v>
      </c>
      <c r="B551">
        <v>-4.55</v>
      </c>
      <c r="C551" s="17">
        <f t="shared" si="18"/>
        <v>45261</v>
      </c>
      <c r="D551">
        <f t="shared" si="19"/>
        <v>0</v>
      </c>
    </row>
    <row r="552" spans="1:4" x14ac:dyDescent="0.3">
      <c r="A552" s="17">
        <v>45268</v>
      </c>
      <c r="B552">
        <v>-4.59</v>
      </c>
      <c r="C552" s="17">
        <f t="shared" si="18"/>
        <v>45261</v>
      </c>
      <c r="D552">
        <f t="shared" si="19"/>
        <v>0</v>
      </c>
    </row>
    <row r="553" spans="1:4" x14ac:dyDescent="0.3">
      <c r="A553" s="17">
        <v>45267</v>
      </c>
      <c r="B553">
        <v>-4.54</v>
      </c>
      <c r="C553" s="17">
        <f t="shared" si="18"/>
        <v>45261</v>
      </c>
      <c r="D553">
        <f t="shared" si="19"/>
        <v>0</v>
      </c>
    </row>
    <row r="554" spans="1:4" x14ac:dyDescent="0.3">
      <c r="A554" s="17">
        <v>45266</v>
      </c>
      <c r="B554">
        <v>-4.5</v>
      </c>
      <c r="C554" s="17">
        <f t="shared" si="18"/>
        <v>45261</v>
      </c>
      <c r="D554">
        <f t="shared" si="19"/>
        <v>0</v>
      </c>
    </row>
    <row r="555" spans="1:4" x14ac:dyDescent="0.3">
      <c r="A555" s="17">
        <v>45265</v>
      </c>
      <c r="B555">
        <v>-4.13</v>
      </c>
      <c r="C555" s="17">
        <f t="shared" si="18"/>
        <v>45261</v>
      </c>
      <c r="D555">
        <f t="shared" si="19"/>
        <v>0</v>
      </c>
    </row>
    <row r="556" spans="1:4" x14ac:dyDescent="0.3">
      <c r="A556" s="17">
        <v>45264</v>
      </c>
      <c r="B556">
        <v>-3.83</v>
      </c>
      <c r="C556" s="17">
        <f t="shared" si="18"/>
        <v>45261</v>
      </c>
      <c r="D556">
        <f t="shared" si="19"/>
        <v>1</v>
      </c>
    </row>
    <row r="557" spans="1:4" x14ac:dyDescent="0.3">
      <c r="A557" s="17">
        <v>45261</v>
      </c>
      <c r="B557">
        <v>-4.1900000000000004</v>
      </c>
      <c r="C557" s="17">
        <f t="shared" si="18"/>
        <v>45261</v>
      </c>
      <c r="D557">
        <f t="shared" si="19"/>
        <v>1</v>
      </c>
    </row>
    <row r="558" spans="1:4" x14ac:dyDescent="0.3">
      <c r="A558" s="17">
        <v>45260</v>
      </c>
      <c r="B558">
        <v>-4.5</v>
      </c>
      <c r="C558" s="17">
        <f t="shared" si="18"/>
        <v>45231</v>
      </c>
      <c r="D558">
        <f t="shared" si="19"/>
        <v>0</v>
      </c>
    </row>
    <row r="559" spans="1:4" x14ac:dyDescent="0.3">
      <c r="A559" s="17">
        <v>45259</v>
      </c>
      <c r="B559">
        <v>-4.2699999999999996</v>
      </c>
      <c r="C559" s="17">
        <f t="shared" si="18"/>
        <v>45231</v>
      </c>
      <c r="D559">
        <f t="shared" si="19"/>
        <v>0</v>
      </c>
    </row>
    <row r="560" spans="1:4" x14ac:dyDescent="0.3">
      <c r="A560" s="17">
        <v>45258</v>
      </c>
      <c r="B560">
        <v>-4.84</v>
      </c>
      <c r="C560" s="17">
        <f t="shared" si="18"/>
        <v>45231</v>
      </c>
      <c r="D560">
        <f t="shared" si="19"/>
        <v>0</v>
      </c>
    </row>
    <row r="561" spans="1:4" x14ac:dyDescent="0.3">
      <c r="A561" s="17">
        <v>45257</v>
      </c>
      <c r="B561">
        <v>-5.35</v>
      </c>
      <c r="C561" s="17">
        <f t="shared" si="18"/>
        <v>45231</v>
      </c>
      <c r="D561">
        <f t="shared" si="19"/>
        <v>0</v>
      </c>
    </row>
    <row r="562" spans="1:4" x14ac:dyDescent="0.3">
      <c r="A562" s="17">
        <v>45254</v>
      </c>
      <c r="B562">
        <v>-5.22</v>
      </c>
      <c r="C562" s="17">
        <f t="shared" si="18"/>
        <v>45231</v>
      </c>
      <c r="D562">
        <f t="shared" si="19"/>
        <v>0</v>
      </c>
    </row>
    <row r="563" spans="1:4" x14ac:dyDescent="0.3">
      <c r="A563" s="17">
        <v>45253</v>
      </c>
      <c r="B563">
        <v>-5.1100000000000003</v>
      </c>
      <c r="C563" s="17">
        <f t="shared" si="18"/>
        <v>45231</v>
      </c>
      <c r="D563">
        <f t="shared" si="19"/>
        <v>0</v>
      </c>
    </row>
    <row r="564" spans="1:4" x14ac:dyDescent="0.3">
      <c r="A564" s="17">
        <v>45252</v>
      </c>
      <c r="B564">
        <v>-5.16</v>
      </c>
      <c r="C564" s="17">
        <f t="shared" si="18"/>
        <v>45231</v>
      </c>
      <c r="D564">
        <f t="shared" si="19"/>
        <v>0</v>
      </c>
    </row>
    <row r="565" spans="1:4" x14ac:dyDescent="0.3">
      <c r="A565" s="17">
        <v>45251</v>
      </c>
      <c r="B565">
        <v>-4.91</v>
      </c>
      <c r="C565" s="17">
        <f t="shared" si="18"/>
        <v>45231</v>
      </c>
      <c r="D565">
        <f t="shared" si="19"/>
        <v>0</v>
      </c>
    </row>
    <row r="566" spans="1:4" x14ac:dyDescent="0.3">
      <c r="A566" s="17">
        <v>45250</v>
      </c>
      <c r="B566">
        <v>-4.78</v>
      </c>
      <c r="C566" s="17">
        <f t="shared" si="18"/>
        <v>45231</v>
      </c>
      <c r="D566">
        <f t="shared" si="19"/>
        <v>0</v>
      </c>
    </row>
    <row r="567" spans="1:4" x14ac:dyDescent="0.3">
      <c r="A567" s="17">
        <v>45247</v>
      </c>
      <c r="B567">
        <v>-4.78</v>
      </c>
      <c r="C567" s="17">
        <f t="shared" si="18"/>
        <v>45231</v>
      </c>
      <c r="D567">
        <f t="shared" si="19"/>
        <v>0</v>
      </c>
    </row>
    <row r="568" spans="1:4" x14ac:dyDescent="0.3">
      <c r="A568" s="17">
        <v>45246</v>
      </c>
      <c r="B568">
        <v>-4.97</v>
      </c>
      <c r="C568" s="17">
        <f t="shared" si="18"/>
        <v>45231</v>
      </c>
      <c r="D568">
        <f t="shared" si="19"/>
        <v>0</v>
      </c>
    </row>
    <row r="569" spans="1:4" x14ac:dyDescent="0.3">
      <c r="A569" s="17">
        <v>45245</v>
      </c>
      <c r="B569">
        <v>-4.5199999999999996</v>
      </c>
      <c r="C569" s="17">
        <f t="shared" si="18"/>
        <v>45231</v>
      </c>
      <c r="D569">
        <f t="shared" si="19"/>
        <v>0</v>
      </c>
    </row>
    <row r="570" spans="1:4" x14ac:dyDescent="0.3">
      <c r="A570" s="17">
        <v>45244</v>
      </c>
      <c r="B570">
        <v>-4.3099999999999996</v>
      </c>
      <c r="C570" s="17">
        <f t="shared" si="18"/>
        <v>45231</v>
      </c>
      <c r="D570">
        <f t="shared" si="19"/>
        <v>0</v>
      </c>
    </row>
    <row r="571" spans="1:4" x14ac:dyDescent="0.3">
      <c r="A571" s="17">
        <v>45243</v>
      </c>
      <c r="B571">
        <v>-4.3600000000000003</v>
      </c>
      <c r="C571" s="17">
        <f t="shared" si="18"/>
        <v>45231</v>
      </c>
      <c r="D571">
        <f t="shared" si="19"/>
        <v>0</v>
      </c>
    </row>
    <row r="572" spans="1:4" x14ac:dyDescent="0.3">
      <c r="A572" s="17">
        <v>45240</v>
      </c>
      <c r="B572">
        <v>-4.47</v>
      </c>
      <c r="C572" s="17">
        <f t="shared" si="18"/>
        <v>45231</v>
      </c>
      <c r="D572">
        <f t="shared" si="19"/>
        <v>0</v>
      </c>
    </row>
    <row r="573" spans="1:4" x14ac:dyDescent="0.3">
      <c r="A573" s="17">
        <v>45239</v>
      </c>
      <c r="B573">
        <v>-4.76</v>
      </c>
      <c r="C573" s="17">
        <f t="shared" si="18"/>
        <v>45231</v>
      </c>
      <c r="D573">
        <f t="shared" si="19"/>
        <v>0</v>
      </c>
    </row>
    <row r="574" spans="1:4" x14ac:dyDescent="0.3">
      <c r="A574" s="17">
        <v>45238</v>
      </c>
      <c r="B574">
        <v>-4.96</v>
      </c>
      <c r="C574" s="17">
        <f t="shared" si="18"/>
        <v>45231</v>
      </c>
      <c r="D574">
        <f t="shared" si="19"/>
        <v>0</v>
      </c>
    </row>
    <row r="575" spans="1:4" x14ac:dyDescent="0.3">
      <c r="A575" s="17">
        <v>45237</v>
      </c>
      <c r="B575">
        <v>-4.74</v>
      </c>
      <c r="C575" s="17">
        <f t="shared" si="18"/>
        <v>45231</v>
      </c>
      <c r="D575">
        <f t="shared" si="19"/>
        <v>0</v>
      </c>
    </row>
    <row r="576" spans="1:4" x14ac:dyDescent="0.3">
      <c r="A576" s="17">
        <v>45236</v>
      </c>
      <c r="B576">
        <v>-4.7300000000000004</v>
      </c>
      <c r="C576" s="17">
        <f t="shared" si="18"/>
        <v>45231</v>
      </c>
      <c r="D576">
        <f t="shared" si="19"/>
        <v>0</v>
      </c>
    </row>
    <row r="577" spans="1:4" x14ac:dyDescent="0.3">
      <c r="A577" s="17">
        <v>45233</v>
      </c>
      <c r="B577">
        <v>-4.46</v>
      </c>
      <c r="C577" s="17">
        <f t="shared" si="18"/>
        <v>45231</v>
      </c>
      <c r="D577">
        <f t="shared" si="19"/>
        <v>1</v>
      </c>
    </row>
    <row r="578" spans="1:4" x14ac:dyDescent="0.3">
      <c r="A578" s="17">
        <v>45232</v>
      </c>
      <c r="B578">
        <v>-4.5</v>
      </c>
      <c r="C578" s="17">
        <f t="shared" si="18"/>
        <v>45231</v>
      </c>
      <c r="D578">
        <f t="shared" si="19"/>
        <v>1</v>
      </c>
    </row>
    <row r="579" spans="1:4" x14ac:dyDescent="0.3">
      <c r="A579" s="17">
        <v>45231</v>
      </c>
      <c r="B579">
        <v>-4.3600000000000003</v>
      </c>
      <c r="C579" s="17">
        <f t="shared" si="18"/>
        <v>45231</v>
      </c>
      <c r="D579">
        <f t="shared" si="19"/>
        <v>1</v>
      </c>
    </row>
    <row r="580" spans="1:4" x14ac:dyDescent="0.3">
      <c r="A580" s="17">
        <v>45230</v>
      </c>
      <c r="B580">
        <v>-3.68</v>
      </c>
      <c r="C580" s="17">
        <f t="shared" si="18"/>
        <v>45200</v>
      </c>
      <c r="D580">
        <f t="shared" si="19"/>
        <v>0</v>
      </c>
    </row>
    <row r="581" spans="1:4" x14ac:dyDescent="0.3">
      <c r="A581" s="17">
        <v>45229</v>
      </c>
      <c r="B581">
        <v>-3.37</v>
      </c>
      <c r="C581" s="17">
        <f t="shared" si="18"/>
        <v>45200</v>
      </c>
      <c r="D581">
        <f t="shared" si="19"/>
        <v>0</v>
      </c>
    </row>
    <row r="582" spans="1:4" x14ac:dyDescent="0.3">
      <c r="A582" s="17">
        <v>45226</v>
      </c>
      <c r="B582">
        <v>-3.4</v>
      </c>
      <c r="C582" s="17">
        <f t="shared" ref="C582:C645" si="20">+DATE(+YEAR(A582),+MONTH(A582),1)</f>
        <v>45200</v>
      </c>
      <c r="D582">
        <f t="shared" ref="D582:D645" si="21">IF(AND(+DAY(A582)&gt;=1,+DAY(A582)&lt;= 4), 1, 0)</f>
        <v>0</v>
      </c>
    </row>
    <row r="583" spans="1:4" x14ac:dyDescent="0.3">
      <c r="A583" s="17">
        <v>45225</v>
      </c>
      <c r="B583">
        <v>-3.78</v>
      </c>
      <c r="C583" s="17">
        <f t="shared" si="20"/>
        <v>45200</v>
      </c>
      <c r="D583">
        <f t="shared" si="21"/>
        <v>0</v>
      </c>
    </row>
    <row r="584" spans="1:4" x14ac:dyDescent="0.3">
      <c r="A584" s="17">
        <v>45224</v>
      </c>
      <c r="B584">
        <v>-4.07</v>
      </c>
      <c r="C584" s="17">
        <f t="shared" si="20"/>
        <v>45200</v>
      </c>
      <c r="D584">
        <f t="shared" si="21"/>
        <v>0</v>
      </c>
    </row>
    <row r="585" spans="1:4" x14ac:dyDescent="0.3">
      <c r="A585" s="17">
        <v>45223</v>
      </c>
      <c r="B585">
        <v>-3.97</v>
      </c>
      <c r="C585" s="17">
        <f t="shared" si="20"/>
        <v>45200</v>
      </c>
      <c r="D585">
        <f t="shared" si="21"/>
        <v>0</v>
      </c>
    </row>
    <row r="586" spans="1:4" x14ac:dyDescent="0.3">
      <c r="A586" s="17">
        <v>45222</v>
      </c>
      <c r="B586">
        <v>-3.59</v>
      </c>
      <c r="C586" s="17">
        <f t="shared" si="20"/>
        <v>45200</v>
      </c>
      <c r="D586">
        <f t="shared" si="21"/>
        <v>0</v>
      </c>
    </row>
    <row r="587" spans="1:4" x14ac:dyDescent="0.3">
      <c r="A587" s="17">
        <v>45219</v>
      </c>
      <c r="B587">
        <v>-3.41</v>
      </c>
      <c r="C587" s="17">
        <f t="shared" si="20"/>
        <v>45200</v>
      </c>
      <c r="D587">
        <f t="shared" si="21"/>
        <v>0</v>
      </c>
    </row>
    <row r="588" spans="1:4" x14ac:dyDescent="0.3">
      <c r="A588" s="17">
        <v>45218</v>
      </c>
      <c r="B588">
        <v>-3.74</v>
      </c>
      <c r="C588" s="17">
        <f t="shared" si="20"/>
        <v>45200</v>
      </c>
      <c r="D588">
        <f t="shared" si="21"/>
        <v>0</v>
      </c>
    </row>
    <row r="589" spans="1:4" x14ac:dyDescent="0.3">
      <c r="A589" s="17">
        <v>45217</v>
      </c>
      <c r="B589">
        <v>-3.7</v>
      </c>
      <c r="C589" s="17">
        <f t="shared" si="20"/>
        <v>45200</v>
      </c>
      <c r="D589">
        <f t="shared" si="21"/>
        <v>0</v>
      </c>
    </row>
    <row r="590" spans="1:4" x14ac:dyDescent="0.3">
      <c r="A590" s="17">
        <v>45216</v>
      </c>
      <c r="B590">
        <v>-3.6</v>
      </c>
      <c r="C590" s="17">
        <f t="shared" si="20"/>
        <v>45200</v>
      </c>
      <c r="D590">
        <f t="shared" si="21"/>
        <v>0</v>
      </c>
    </row>
    <row r="591" spans="1:4" x14ac:dyDescent="0.3">
      <c r="A591" s="17">
        <v>45215</v>
      </c>
      <c r="B591">
        <v>-3.47</v>
      </c>
      <c r="C591" s="17">
        <f t="shared" si="20"/>
        <v>45200</v>
      </c>
      <c r="D591">
        <f t="shared" si="21"/>
        <v>0</v>
      </c>
    </row>
    <row r="592" spans="1:4" x14ac:dyDescent="0.3">
      <c r="A592" s="17">
        <v>45212</v>
      </c>
      <c r="B592">
        <v>-3.36</v>
      </c>
      <c r="C592" s="17">
        <f t="shared" si="20"/>
        <v>45200</v>
      </c>
      <c r="D592">
        <f t="shared" si="21"/>
        <v>0</v>
      </c>
    </row>
    <row r="593" spans="1:4" x14ac:dyDescent="0.3">
      <c r="A593" s="17">
        <v>45211</v>
      </c>
      <c r="B593">
        <v>-3.49</v>
      </c>
      <c r="C593" s="17">
        <f t="shared" si="20"/>
        <v>45200</v>
      </c>
      <c r="D593">
        <f t="shared" si="21"/>
        <v>0</v>
      </c>
    </row>
    <row r="594" spans="1:4" x14ac:dyDescent="0.3">
      <c r="A594" s="17">
        <v>45210</v>
      </c>
      <c r="B594">
        <v>-3.63</v>
      </c>
      <c r="C594" s="17">
        <f t="shared" si="20"/>
        <v>45200</v>
      </c>
      <c r="D594">
        <f t="shared" si="21"/>
        <v>0</v>
      </c>
    </row>
    <row r="595" spans="1:4" x14ac:dyDescent="0.3">
      <c r="A595" s="17">
        <v>45209</v>
      </c>
      <c r="B595">
        <v>-3.24</v>
      </c>
      <c r="C595" s="17">
        <f t="shared" si="20"/>
        <v>45200</v>
      </c>
      <c r="D595">
        <f t="shared" si="21"/>
        <v>0</v>
      </c>
    </row>
    <row r="596" spans="1:4" x14ac:dyDescent="0.3">
      <c r="A596" s="17">
        <v>45208</v>
      </c>
      <c r="B596">
        <v>-2.84</v>
      </c>
      <c r="C596" s="17">
        <f t="shared" si="20"/>
        <v>45200</v>
      </c>
      <c r="D596">
        <f t="shared" si="21"/>
        <v>0</v>
      </c>
    </row>
    <row r="597" spans="1:4" x14ac:dyDescent="0.3">
      <c r="A597" s="17">
        <v>45205</v>
      </c>
      <c r="B597">
        <v>-3.01</v>
      </c>
      <c r="C597" s="17">
        <f t="shared" si="20"/>
        <v>45200</v>
      </c>
      <c r="D597">
        <f t="shared" si="21"/>
        <v>0</v>
      </c>
    </row>
    <row r="598" spans="1:4" x14ac:dyDescent="0.3">
      <c r="A598" s="17">
        <v>45204</v>
      </c>
      <c r="B598">
        <v>-2.81</v>
      </c>
      <c r="C598" s="17">
        <f t="shared" si="20"/>
        <v>45200</v>
      </c>
      <c r="D598">
        <f t="shared" si="21"/>
        <v>0</v>
      </c>
    </row>
    <row r="599" spans="1:4" x14ac:dyDescent="0.3">
      <c r="A599" s="17">
        <v>45203</v>
      </c>
      <c r="B599">
        <v>-2.92</v>
      </c>
      <c r="C599" s="17">
        <f t="shared" si="20"/>
        <v>45200</v>
      </c>
      <c r="D599">
        <f t="shared" si="21"/>
        <v>1</v>
      </c>
    </row>
    <row r="600" spans="1:4" x14ac:dyDescent="0.3">
      <c r="A600" s="17">
        <v>45202</v>
      </c>
      <c r="B600">
        <v>-2.99</v>
      </c>
      <c r="C600" s="17">
        <f t="shared" si="20"/>
        <v>45200</v>
      </c>
      <c r="D600">
        <f t="shared" si="21"/>
        <v>1</v>
      </c>
    </row>
    <row r="601" spans="1:4" x14ac:dyDescent="0.3">
      <c r="A601" s="17">
        <v>45201</v>
      </c>
      <c r="B601">
        <v>-2.87</v>
      </c>
      <c r="C601" s="17">
        <f t="shared" si="20"/>
        <v>45200</v>
      </c>
      <c r="D601">
        <f t="shared" si="21"/>
        <v>1</v>
      </c>
    </row>
    <row r="602" spans="1:4" x14ac:dyDescent="0.3">
      <c r="A602" s="17">
        <v>45198</v>
      </c>
      <c r="B602">
        <v>-2.62</v>
      </c>
      <c r="C602" s="17">
        <f t="shared" si="20"/>
        <v>45170</v>
      </c>
      <c r="D602">
        <f t="shared" si="21"/>
        <v>0</v>
      </c>
    </row>
    <row r="603" spans="1:4" x14ac:dyDescent="0.3">
      <c r="A603" s="17">
        <v>45197</v>
      </c>
      <c r="B603">
        <v>-2.36</v>
      </c>
      <c r="C603" s="17">
        <f t="shared" si="20"/>
        <v>45170</v>
      </c>
      <c r="D603">
        <f t="shared" si="21"/>
        <v>0</v>
      </c>
    </row>
    <row r="604" spans="1:4" x14ac:dyDescent="0.3">
      <c r="A604" s="17">
        <v>45196</v>
      </c>
      <c r="B604">
        <v>-2.94</v>
      </c>
      <c r="C604" s="17">
        <f t="shared" si="20"/>
        <v>45170</v>
      </c>
      <c r="D604">
        <f t="shared" si="21"/>
        <v>0</v>
      </c>
    </row>
    <row r="605" spans="1:4" x14ac:dyDescent="0.3">
      <c r="A605" s="17">
        <v>45195</v>
      </c>
      <c r="B605">
        <v>-3.98</v>
      </c>
      <c r="C605" s="17">
        <f t="shared" si="20"/>
        <v>45170</v>
      </c>
      <c r="D605">
        <f t="shared" si="21"/>
        <v>0</v>
      </c>
    </row>
    <row r="606" spans="1:4" x14ac:dyDescent="0.3">
      <c r="A606" s="17">
        <v>45194</v>
      </c>
      <c r="B606">
        <v>-4.0599999999999996</v>
      </c>
      <c r="C606" s="17">
        <f t="shared" si="20"/>
        <v>45170</v>
      </c>
      <c r="D606">
        <f t="shared" si="21"/>
        <v>0</v>
      </c>
    </row>
    <row r="607" spans="1:4" x14ac:dyDescent="0.3">
      <c r="A607" s="17">
        <v>45191</v>
      </c>
      <c r="B607">
        <v>-4.18</v>
      </c>
      <c r="C607" s="17">
        <f t="shared" si="20"/>
        <v>45170</v>
      </c>
      <c r="D607">
        <f t="shared" si="21"/>
        <v>0</v>
      </c>
    </row>
    <row r="608" spans="1:4" x14ac:dyDescent="0.3">
      <c r="A608" s="17">
        <v>45190</v>
      </c>
      <c r="B608">
        <v>-4.3600000000000003</v>
      </c>
      <c r="C608" s="17">
        <f t="shared" si="20"/>
        <v>45170</v>
      </c>
      <c r="D608">
        <f t="shared" si="21"/>
        <v>0</v>
      </c>
    </row>
    <row r="609" spans="1:4" x14ac:dyDescent="0.3">
      <c r="A609" s="17">
        <v>45189</v>
      </c>
      <c r="B609">
        <v>-4.0599999999999996</v>
      </c>
      <c r="C609" s="17">
        <f t="shared" si="20"/>
        <v>45170</v>
      </c>
      <c r="D609">
        <f t="shared" si="21"/>
        <v>0</v>
      </c>
    </row>
    <row r="610" spans="1:4" x14ac:dyDescent="0.3">
      <c r="A610" s="17">
        <v>45188</v>
      </c>
      <c r="B610">
        <v>-3.61</v>
      </c>
      <c r="C610" s="17">
        <f t="shared" si="20"/>
        <v>45170</v>
      </c>
      <c r="D610">
        <f t="shared" si="21"/>
        <v>0</v>
      </c>
    </row>
    <row r="611" spans="1:4" x14ac:dyDescent="0.3">
      <c r="A611" s="17">
        <v>45187</v>
      </c>
      <c r="B611">
        <v>-4.24</v>
      </c>
      <c r="C611" s="17">
        <f t="shared" si="20"/>
        <v>45170</v>
      </c>
      <c r="D611">
        <f t="shared" si="21"/>
        <v>0</v>
      </c>
    </row>
    <row r="612" spans="1:4" x14ac:dyDescent="0.3">
      <c r="A612" s="17">
        <v>45184</v>
      </c>
      <c r="B612">
        <v>-4.97</v>
      </c>
      <c r="C612" s="17">
        <f t="shared" si="20"/>
        <v>45170</v>
      </c>
      <c r="D612">
        <f t="shared" si="21"/>
        <v>0</v>
      </c>
    </row>
    <row r="613" spans="1:4" x14ac:dyDescent="0.3">
      <c r="A613" s="17">
        <v>45183</v>
      </c>
      <c r="B613">
        <v>-4.9000000000000004</v>
      </c>
      <c r="C613" s="17">
        <f t="shared" si="20"/>
        <v>45170</v>
      </c>
      <c r="D613">
        <f t="shared" si="21"/>
        <v>0</v>
      </c>
    </row>
    <row r="614" spans="1:4" x14ac:dyDescent="0.3">
      <c r="A614" s="17">
        <v>45182</v>
      </c>
      <c r="B614">
        <v>-4.96</v>
      </c>
      <c r="C614" s="17">
        <f t="shared" si="20"/>
        <v>45170</v>
      </c>
      <c r="D614">
        <f t="shared" si="21"/>
        <v>0</v>
      </c>
    </row>
    <row r="615" spans="1:4" x14ac:dyDescent="0.3">
      <c r="A615" s="17">
        <v>45181</v>
      </c>
      <c r="B615">
        <v>-5.13</v>
      </c>
      <c r="C615" s="17">
        <f t="shared" si="20"/>
        <v>45170</v>
      </c>
      <c r="D615">
        <f t="shared" si="21"/>
        <v>0</v>
      </c>
    </row>
    <row r="616" spans="1:4" x14ac:dyDescent="0.3">
      <c r="A616" s="17">
        <v>45180</v>
      </c>
      <c r="B616">
        <v>-5.56</v>
      </c>
      <c r="C616" s="17">
        <f t="shared" si="20"/>
        <v>45170</v>
      </c>
      <c r="D616">
        <f t="shared" si="21"/>
        <v>0</v>
      </c>
    </row>
    <row r="617" spans="1:4" x14ac:dyDescent="0.3">
      <c r="A617" s="17">
        <v>45177</v>
      </c>
      <c r="B617">
        <v>-5.51</v>
      </c>
      <c r="C617" s="17">
        <f t="shared" si="20"/>
        <v>45170</v>
      </c>
      <c r="D617">
        <f t="shared" si="21"/>
        <v>0</v>
      </c>
    </row>
    <row r="618" spans="1:4" x14ac:dyDescent="0.3">
      <c r="A618" s="17">
        <v>45176</v>
      </c>
      <c r="B618">
        <v>-5.64</v>
      </c>
      <c r="C618" s="17">
        <f t="shared" si="20"/>
        <v>45170</v>
      </c>
      <c r="D618">
        <f t="shared" si="21"/>
        <v>0</v>
      </c>
    </row>
    <row r="619" spans="1:4" x14ac:dyDescent="0.3">
      <c r="A619" s="17">
        <v>45175</v>
      </c>
      <c r="B619">
        <v>-5.87</v>
      </c>
      <c r="C619" s="17">
        <f t="shared" si="20"/>
        <v>45170</v>
      </c>
      <c r="D619">
        <f t="shared" si="21"/>
        <v>0</v>
      </c>
    </row>
    <row r="620" spans="1:4" x14ac:dyDescent="0.3">
      <c r="A620" s="17">
        <v>45174</v>
      </c>
      <c r="B620">
        <v>-5.82</v>
      </c>
      <c r="C620" s="17">
        <f t="shared" si="20"/>
        <v>45170</v>
      </c>
      <c r="D620">
        <f t="shared" si="21"/>
        <v>0</v>
      </c>
    </row>
    <row r="621" spans="1:4" x14ac:dyDescent="0.3">
      <c r="A621" s="17">
        <v>45173</v>
      </c>
      <c r="B621">
        <v>-5.81</v>
      </c>
      <c r="C621" s="17">
        <f t="shared" si="20"/>
        <v>45170</v>
      </c>
      <c r="D621">
        <f t="shared" si="21"/>
        <v>1</v>
      </c>
    </row>
    <row r="622" spans="1:4" x14ac:dyDescent="0.3">
      <c r="A622" s="17">
        <v>45170</v>
      </c>
      <c r="B622">
        <v>-5.99</v>
      </c>
      <c r="C622" s="17">
        <f t="shared" si="20"/>
        <v>45170</v>
      </c>
      <c r="D622">
        <f t="shared" si="21"/>
        <v>1</v>
      </c>
    </row>
    <row r="623" spans="1:4" x14ac:dyDescent="0.3">
      <c r="A623" s="17">
        <v>45169</v>
      </c>
      <c r="B623">
        <v>-6.08</v>
      </c>
      <c r="C623" s="17">
        <f t="shared" si="20"/>
        <v>45139</v>
      </c>
      <c r="D623">
        <f t="shared" si="21"/>
        <v>0</v>
      </c>
    </row>
    <row r="624" spans="1:4" x14ac:dyDescent="0.3">
      <c r="A624" s="17">
        <v>45168</v>
      </c>
      <c r="B624">
        <v>-6.06</v>
      </c>
      <c r="C624" s="17">
        <f t="shared" si="20"/>
        <v>45139</v>
      </c>
      <c r="D624">
        <f t="shared" si="21"/>
        <v>0</v>
      </c>
    </row>
    <row r="625" spans="1:4" x14ac:dyDescent="0.3">
      <c r="A625" s="17">
        <v>45167</v>
      </c>
      <c r="B625">
        <v>-5.93</v>
      </c>
      <c r="C625" s="17">
        <f t="shared" si="20"/>
        <v>45139</v>
      </c>
      <c r="D625">
        <f t="shared" si="21"/>
        <v>0</v>
      </c>
    </row>
    <row r="626" spans="1:4" x14ac:dyDescent="0.3">
      <c r="A626" s="17">
        <v>45163</v>
      </c>
      <c r="B626">
        <v>-6.12</v>
      </c>
      <c r="C626" s="17">
        <f t="shared" si="20"/>
        <v>45139</v>
      </c>
      <c r="D626">
        <f t="shared" si="21"/>
        <v>0</v>
      </c>
    </row>
    <row r="627" spans="1:4" x14ac:dyDescent="0.3">
      <c r="A627" s="17">
        <v>45162</v>
      </c>
      <c r="B627">
        <v>-6.77</v>
      </c>
      <c r="C627" s="17">
        <f t="shared" si="20"/>
        <v>45139</v>
      </c>
      <c r="D627">
        <f t="shared" si="21"/>
        <v>0</v>
      </c>
    </row>
    <row r="628" spans="1:4" x14ac:dyDescent="0.3">
      <c r="A628" s="17">
        <v>45161</v>
      </c>
      <c r="B628">
        <v>-6.52</v>
      </c>
      <c r="C628" s="17">
        <f t="shared" si="20"/>
        <v>45139</v>
      </c>
      <c r="D628">
        <f t="shared" si="21"/>
        <v>0</v>
      </c>
    </row>
    <row r="629" spans="1:4" x14ac:dyDescent="0.3">
      <c r="A629" s="17">
        <v>45160</v>
      </c>
      <c r="B629">
        <v>-6.29</v>
      </c>
      <c r="C629" s="17">
        <f t="shared" si="20"/>
        <v>45139</v>
      </c>
      <c r="D629">
        <f t="shared" si="21"/>
        <v>0</v>
      </c>
    </row>
    <row r="630" spans="1:4" x14ac:dyDescent="0.3">
      <c r="A630" s="17">
        <v>45159</v>
      </c>
      <c r="B630">
        <v>-6.12</v>
      </c>
      <c r="C630" s="17">
        <f t="shared" si="20"/>
        <v>45139</v>
      </c>
      <c r="D630">
        <f t="shared" si="21"/>
        <v>0</v>
      </c>
    </row>
    <row r="631" spans="1:4" x14ac:dyDescent="0.3">
      <c r="A631" s="17">
        <v>45156</v>
      </c>
      <c r="B631">
        <v>-6.03</v>
      </c>
      <c r="C631" s="17">
        <f t="shared" si="20"/>
        <v>45139</v>
      </c>
      <c r="D631">
        <f t="shared" si="21"/>
        <v>0</v>
      </c>
    </row>
    <row r="632" spans="1:4" x14ac:dyDescent="0.3">
      <c r="A632" s="17">
        <v>45155</v>
      </c>
      <c r="B632">
        <v>-5.93</v>
      </c>
      <c r="C632" s="17">
        <f t="shared" si="20"/>
        <v>45139</v>
      </c>
      <c r="D632">
        <f t="shared" si="21"/>
        <v>0</v>
      </c>
    </row>
    <row r="633" spans="1:4" x14ac:dyDescent="0.3">
      <c r="A633" s="17">
        <v>45154</v>
      </c>
      <c r="B633">
        <v>-5.72</v>
      </c>
      <c r="C633" s="17">
        <f t="shared" si="20"/>
        <v>45139</v>
      </c>
      <c r="D633">
        <f t="shared" si="21"/>
        <v>0</v>
      </c>
    </row>
    <row r="634" spans="1:4" x14ac:dyDescent="0.3">
      <c r="A634" s="17">
        <v>45153</v>
      </c>
      <c r="B634">
        <v>-5.72</v>
      </c>
      <c r="C634" s="17">
        <f t="shared" si="20"/>
        <v>45139</v>
      </c>
      <c r="D634">
        <f t="shared" si="21"/>
        <v>0</v>
      </c>
    </row>
    <row r="635" spans="1:4" x14ac:dyDescent="0.3">
      <c r="A635" s="17">
        <v>45152</v>
      </c>
      <c r="B635">
        <v>-5.71</v>
      </c>
      <c r="C635" s="17">
        <f t="shared" si="20"/>
        <v>45139</v>
      </c>
      <c r="D635">
        <f t="shared" si="21"/>
        <v>0</v>
      </c>
    </row>
    <row r="636" spans="1:4" x14ac:dyDescent="0.3">
      <c r="A636" s="17">
        <v>45149</v>
      </c>
      <c r="B636">
        <v>-5.8</v>
      </c>
      <c r="C636" s="17">
        <f t="shared" si="20"/>
        <v>45139</v>
      </c>
      <c r="D636">
        <f t="shared" si="21"/>
        <v>0</v>
      </c>
    </row>
    <row r="637" spans="1:4" x14ac:dyDescent="0.3">
      <c r="A637" s="17">
        <v>45148</v>
      </c>
      <c r="B637">
        <v>-5.98</v>
      </c>
      <c r="C637" s="17">
        <f t="shared" si="20"/>
        <v>45139</v>
      </c>
      <c r="D637">
        <f t="shared" si="21"/>
        <v>0</v>
      </c>
    </row>
    <row r="638" spans="1:4" x14ac:dyDescent="0.3">
      <c r="A638" s="17">
        <v>45147</v>
      </c>
      <c r="B638">
        <v>-6.07</v>
      </c>
      <c r="C638" s="17">
        <f t="shared" si="20"/>
        <v>45139</v>
      </c>
      <c r="D638">
        <f t="shared" si="21"/>
        <v>0</v>
      </c>
    </row>
    <row r="639" spans="1:4" x14ac:dyDescent="0.3">
      <c r="A639" s="17">
        <v>45146</v>
      </c>
      <c r="B639">
        <v>-6.29</v>
      </c>
      <c r="C639" s="17">
        <f t="shared" si="20"/>
        <v>45139</v>
      </c>
      <c r="D639">
        <f t="shared" si="21"/>
        <v>0</v>
      </c>
    </row>
    <row r="640" spans="1:4" x14ac:dyDescent="0.3">
      <c r="A640" s="17">
        <v>45145</v>
      </c>
      <c r="B640">
        <v>-6.33</v>
      </c>
      <c r="C640" s="17">
        <f t="shared" si="20"/>
        <v>45139</v>
      </c>
      <c r="D640">
        <f t="shared" si="21"/>
        <v>0</v>
      </c>
    </row>
    <row r="641" spans="1:4" x14ac:dyDescent="0.3">
      <c r="A641" s="17">
        <v>45142</v>
      </c>
      <c r="B641">
        <v>-6.21</v>
      </c>
      <c r="C641" s="17">
        <f t="shared" si="20"/>
        <v>45139</v>
      </c>
      <c r="D641">
        <f t="shared" si="21"/>
        <v>1</v>
      </c>
    </row>
    <row r="642" spans="1:4" x14ac:dyDescent="0.3">
      <c r="A642" s="17">
        <v>45141</v>
      </c>
      <c r="B642">
        <v>-6</v>
      </c>
      <c r="C642" s="17">
        <f t="shared" si="20"/>
        <v>45139</v>
      </c>
      <c r="D642">
        <f t="shared" si="21"/>
        <v>1</v>
      </c>
    </row>
    <row r="643" spans="1:4" x14ac:dyDescent="0.3">
      <c r="A643" s="17">
        <v>45140</v>
      </c>
      <c r="B643">
        <v>-6.09</v>
      </c>
      <c r="C643" s="17">
        <f t="shared" si="20"/>
        <v>45139</v>
      </c>
      <c r="D643">
        <f t="shared" si="21"/>
        <v>1</v>
      </c>
    </row>
    <row r="644" spans="1:4" x14ac:dyDescent="0.3">
      <c r="A644" s="17">
        <v>45139</v>
      </c>
      <c r="B644">
        <v>-5.88</v>
      </c>
      <c r="C644" s="17">
        <f t="shared" si="20"/>
        <v>45139</v>
      </c>
      <c r="D644">
        <f t="shared" si="21"/>
        <v>1</v>
      </c>
    </row>
    <row r="645" spans="1:4" x14ac:dyDescent="0.3">
      <c r="A645" s="17">
        <v>45138</v>
      </c>
      <c r="B645">
        <v>-5.94</v>
      </c>
      <c r="C645" s="17">
        <f t="shared" si="20"/>
        <v>45108</v>
      </c>
      <c r="D645">
        <f t="shared" si="21"/>
        <v>0</v>
      </c>
    </row>
    <row r="646" spans="1:4" x14ac:dyDescent="0.3">
      <c r="A646" s="17">
        <v>45135</v>
      </c>
      <c r="B646">
        <v>-6.18</v>
      </c>
      <c r="C646" s="17">
        <f t="shared" ref="C646:C709" si="22">+DATE(+YEAR(A646),+MONTH(A646),1)</f>
        <v>45108</v>
      </c>
      <c r="D646">
        <f t="shared" ref="D646:D709" si="23">IF(AND(+DAY(A646)&gt;=1,+DAY(A646)&lt;= 4), 1, 0)</f>
        <v>0</v>
      </c>
    </row>
    <row r="647" spans="1:4" x14ac:dyDescent="0.3">
      <c r="A647" s="17">
        <v>45134</v>
      </c>
      <c r="B647">
        <v>-6.17</v>
      </c>
      <c r="C647" s="17">
        <f t="shared" si="22"/>
        <v>45108</v>
      </c>
      <c r="D647">
        <f t="shared" si="23"/>
        <v>0</v>
      </c>
    </row>
    <row r="648" spans="1:4" x14ac:dyDescent="0.3">
      <c r="A648" s="17">
        <v>45133</v>
      </c>
      <c r="B648">
        <v>-6.1</v>
      </c>
      <c r="C648" s="17">
        <f t="shared" si="22"/>
        <v>45108</v>
      </c>
      <c r="D648">
        <f t="shared" si="23"/>
        <v>0</v>
      </c>
    </row>
    <row r="649" spans="1:4" x14ac:dyDescent="0.3">
      <c r="A649" s="17">
        <v>45132</v>
      </c>
      <c r="B649">
        <v>-6.49</v>
      </c>
      <c r="C649" s="17">
        <f t="shared" si="22"/>
        <v>45108</v>
      </c>
      <c r="D649">
        <f t="shared" si="23"/>
        <v>0</v>
      </c>
    </row>
    <row r="650" spans="1:4" x14ac:dyDescent="0.3">
      <c r="A650" s="17">
        <v>45131</v>
      </c>
      <c r="B650">
        <v>-6.49</v>
      </c>
      <c r="C650" s="17">
        <f t="shared" si="22"/>
        <v>45108</v>
      </c>
      <c r="D650">
        <f t="shared" si="23"/>
        <v>0</v>
      </c>
    </row>
    <row r="651" spans="1:4" x14ac:dyDescent="0.3">
      <c r="A651" s="17">
        <v>45128</v>
      </c>
      <c r="B651">
        <v>-6.54</v>
      </c>
      <c r="C651" s="17">
        <f t="shared" si="22"/>
        <v>45108</v>
      </c>
      <c r="D651">
        <f t="shared" si="23"/>
        <v>0</v>
      </c>
    </row>
    <row r="652" spans="1:4" x14ac:dyDescent="0.3">
      <c r="A652" s="17">
        <v>45127</v>
      </c>
      <c r="B652">
        <v>-6.94</v>
      </c>
      <c r="C652" s="17">
        <f t="shared" si="22"/>
        <v>45108</v>
      </c>
      <c r="D652">
        <f t="shared" si="23"/>
        <v>0</v>
      </c>
    </row>
    <row r="653" spans="1:4" x14ac:dyDescent="0.3">
      <c r="A653" s="17">
        <v>45126</v>
      </c>
      <c r="B653">
        <v>-7.19</v>
      </c>
      <c r="C653" s="17">
        <f t="shared" si="22"/>
        <v>45108</v>
      </c>
      <c r="D653">
        <f t="shared" si="23"/>
        <v>0</v>
      </c>
    </row>
    <row r="654" spans="1:4" x14ac:dyDescent="0.3">
      <c r="A654" s="17">
        <v>45125</v>
      </c>
      <c r="B654">
        <v>-8.01</v>
      </c>
      <c r="C654" s="17">
        <f t="shared" si="22"/>
        <v>45108</v>
      </c>
      <c r="D654">
        <f t="shared" si="23"/>
        <v>0</v>
      </c>
    </row>
    <row r="655" spans="1:4" x14ac:dyDescent="0.3">
      <c r="A655" s="17">
        <v>45124</v>
      </c>
      <c r="B655">
        <v>-7.81</v>
      </c>
      <c r="C655" s="17">
        <f t="shared" si="22"/>
        <v>45108</v>
      </c>
      <c r="D655">
        <f t="shared" si="23"/>
        <v>0</v>
      </c>
    </row>
    <row r="656" spans="1:4" x14ac:dyDescent="0.3">
      <c r="A656" s="17">
        <v>45121</v>
      </c>
      <c r="B656">
        <v>-7.59</v>
      </c>
      <c r="C656" s="17">
        <f t="shared" si="22"/>
        <v>45108</v>
      </c>
      <c r="D656">
        <f t="shared" si="23"/>
        <v>0</v>
      </c>
    </row>
    <row r="657" spans="1:4" x14ac:dyDescent="0.3">
      <c r="A657" s="17">
        <v>45120</v>
      </c>
      <c r="B657">
        <v>-7.42</v>
      </c>
      <c r="C657" s="17">
        <f t="shared" si="22"/>
        <v>45108</v>
      </c>
      <c r="D657">
        <f t="shared" si="23"/>
        <v>0</v>
      </c>
    </row>
    <row r="658" spans="1:4" x14ac:dyDescent="0.3">
      <c r="A658" s="17">
        <v>45119</v>
      </c>
      <c r="B658">
        <v>-7.25</v>
      </c>
      <c r="C658" s="17">
        <f t="shared" si="22"/>
        <v>45108</v>
      </c>
      <c r="D658">
        <f t="shared" si="23"/>
        <v>0</v>
      </c>
    </row>
    <row r="659" spans="1:4" x14ac:dyDescent="0.3">
      <c r="A659" s="17">
        <v>45118</v>
      </c>
      <c r="B659">
        <v>-7.47</v>
      </c>
      <c r="C659" s="17">
        <f t="shared" si="22"/>
        <v>45108</v>
      </c>
      <c r="D659">
        <f t="shared" si="23"/>
        <v>0</v>
      </c>
    </row>
    <row r="660" spans="1:4" x14ac:dyDescent="0.3">
      <c r="A660" s="17">
        <v>45117</v>
      </c>
      <c r="B660">
        <v>-7.54</v>
      </c>
      <c r="C660" s="17">
        <f t="shared" si="22"/>
        <v>45108</v>
      </c>
      <c r="D660">
        <f t="shared" si="23"/>
        <v>0</v>
      </c>
    </row>
    <row r="661" spans="1:4" x14ac:dyDescent="0.3">
      <c r="A661" s="17">
        <v>45114</v>
      </c>
      <c r="B661">
        <v>-7.68</v>
      </c>
      <c r="C661" s="17">
        <f t="shared" si="22"/>
        <v>45108</v>
      </c>
      <c r="D661">
        <f t="shared" si="23"/>
        <v>0</v>
      </c>
    </row>
    <row r="662" spans="1:4" x14ac:dyDescent="0.3">
      <c r="A662" s="17">
        <v>45113</v>
      </c>
      <c r="B662">
        <v>-7.78</v>
      </c>
      <c r="C662" s="17">
        <f t="shared" si="22"/>
        <v>45108</v>
      </c>
      <c r="D662">
        <f t="shared" si="23"/>
        <v>0</v>
      </c>
    </row>
    <row r="663" spans="1:4" x14ac:dyDescent="0.3">
      <c r="A663" s="17">
        <v>45112</v>
      </c>
      <c r="B663">
        <v>-7.78</v>
      </c>
      <c r="C663" s="17">
        <f t="shared" si="22"/>
        <v>45108</v>
      </c>
      <c r="D663">
        <f t="shared" si="23"/>
        <v>0</v>
      </c>
    </row>
    <row r="664" spans="1:4" x14ac:dyDescent="0.3">
      <c r="A664" s="17">
        <v>45111</v>
      </c>
      <c r="B664">
        <v>-7.6</v>
      </c>
      <c r="C664" s="17">
        <f t="shared" si="22"/>
        <v>45108</v>
      </c>
      <c r="D664">
        <f t="shared" si="23"/>
        <v>1</v>
      </c>
    </row>
    <row r="665" spans="1:4" x14ac:dyDescent="0.3">
      <c r="A665" s="17">
        <v>45110</v>
      </c>
      <c r="B665">
        <v>-8.3699999999999992</v>
      </c>
      <c r="C665" s="17">
        <f t="shared" si="22"/>
        <v>45108</v>
      </c>
      <c r="D665">
        <f t="shared" si="23"/>
        <v>1</v>
      </c>
    </row>
    <row r="666" spans="1:4" x14ac:dyDescent="0.3">
      <c r="A666" s="17">
        <v>45107</v>
      </c>
      <c r="B666">
        <v>-9.92</v>
      </c>
      <c r="C666" s="17">
        <f t="shared" si="22"/>
        <v>45078</v>
      </c>
      <c r="D666">
        <f t="shared" si="23"/>
        <v>0</v>
      </c>
    </row>
    <row r="667" spans="1:4" x14ac:dyDescent="0.3">
      <c r="A667" s="17">
        <v>45106</v>
      </c>
      <c r="B667">
        <v>-10.92</v>
      </c>
      <c r="C667" s="17">
        <f t="shared" si="22"/>
        <v>45078</v>
      </c>
      <c r="D667">
        <f t="shared" si="23"/>
        <v>0</v>
      </c>
    </row>
    <row r="668" spans="1:4" x14ac:dyDescent="0.3">
      <c r="A668" s="17">
        <v>45105</v>
      </c>
      <c r="B668">
        <v>-11.12</v>
      </c>
      <c r="C668" s="17">
        <f t="shared" si="22"/>
        <v>45078</v>
      </c>
      <c r="D668">
        <f t="shared" si="23"/>
        <v>0</v>
      </c>
    </row>
    <row r="669" spans="1:4" x14ac:dyDescent="0.3">
      <c r="A669" s="17">
        <v>45104</v>
      </c>
      <c r="B669">
        <v>-11.14</v>
      </c>
      <c r="C669" s="17">
        <f t="shared" si="22"/>
        <v>45078</v>
      </c>
      <c r="D669">
        <f t="shared" si="23"/>
        <v>0</v>
      </c>
    </row>
    <row r="670" spans="1:4" x14ac:dyDescent="0.3">
      <c r="A670" s="17">
        <v>45103</v>
      </c>
      <c r="B670">
        <v>-10.79</v>
      </c>
      <c r="C670" s="17">
        <f t="shared" si="22"/>
        <v>45078</v>
      </c>
      <c r="D670">
        <f t="shared" si="23"/>
        <v>0</v>
      </c>
    </row>
    <row r="671" spans="1:4" x14ac:dyDescent="0.3">
      <c r="A671" s="17">
        <v>45100</v>
      </c>
      <c r="B671">
        <v>-10.72</v>
      </c>
      <c r="C671" s="17">
        <f t="shared" si="22"/>
        <v>45078</v>
      </c>
      <c r="D671">
        <f t="shared" si="23"/>
        <v>0</v>
      </c>
    </row>
    <row r="672" spans="1:4" x14ac:dyDescent="0.3">
      <c r="A672" s="17">
        <v>45099</v>
      </c>
      <c r="B672">
        <v>-10.53</v>
      </c>
      <c r="C672" s="17">
        <f t="shared" si="22"/>
        <v>45078</v>
      </c>
      <c r="D672">
        <f t="shared" si="23"/>
        <v>0</v>
      </c>
    </row>
    <row r="673" spans="1:4" x14ac:dyDescent="0.3">
      <c r="A673" s="17">
        <v>45098</v>
      </c>
      <c r="B673">
        <v>-10.47</v>
      </c>
      <c r="C673" s="17">
        <f t="shared" si="22"/>
        <v>45078</v>
      </c>
      <c r="D673">
        <f t="shared" si="23"/>
        <v>0</v>
      </c>
    </row>
    <row r="674" spans="1:4" x14ac:dyDescent="0.3">
      <c r="A674" s="17">
        <v>45097</v>
      </c>
      <c r="B674">
        <v>-10.42</v>
      </c>
      <c r="C674" s="17">
        <f t="shared" si="22"/>
        <v>45078</v>
      </c>
      <c r="D674">
        <f t="shared" si="23"/>
        <v>0</v>
      </c>
    </row>
    <row r="675" spans="1:4" x14ac:dyDescent="0.3">
      <c r="A675" s="17">
        <v>45096</v>
      </c>
      <c r="B675">
        <v>-10.42</v>
      </c>
      <c r="C675" s="17">
        <f t="shared" si="22"/>
        <v>45078</v>
      </c>
      <c r="D675">
        <f t="shared" si="23"/>
        <v>0</v>
      </c>
    </row>
    <row r="676" spans="1:4" x14ac:dyDescent="0.3">
      <c r="A676" s="17">
        <v>45093</v>
      </c>
      <c r="B676">
        <v>-10.39</v>
      </c>
      <c r="C676" s="17">
        <f t="shared" si="22"/>
        <v>45078</v>
      </c>
      <c r="D676">
        <f t="shared" si="23"/>
        <v>0</v>
      </c>
    </row>
    <row r="677" spans="1:4" x14ac:dyDescent="0.3">
      <c r="A677" s="17">
        <v>45092</v>
      </c>
      <c r="B677">
        <v>-10.24</v>
      </c>
      <c r="C677" s="17">
        <f t="shared" si="22"/>
        <v>45078</v>
      </c>
      <c r="D677">
        <f t="shared" si="23"/>
        <v>0</v>
      </c>
    </row>
    <row r="678" spans="1:4" x14ac:dyDescent="0.3">
      <c r="A678" s="17">
        <v>45091</v>
      </c>
      <c r="B678">
        <v>-10.63</v>
      </c>
      <c r="C678" s="17">
        <f t="shared" si="22"/>
        <v>45078</v>
      </c>
      <c r="D678">
        <f t="shared" si="23"/>
        <v>0</v>
      </c>
    </row>
    <row r="679" spans="1:4" x14ac:dyDescent="0.3">
      <c r="A679" s="17">
        <v>45090</v>
      </c>
      <c r="B679">
        <v>-10.49</v>
      </c>
      <c r="C679" s="17">
        <f t="shared" si="22"/>
        <v>45078</v>
      </c>
      <c r="D679">
        <f t="shared" si="23"/>
        <v>0</v>
      </c>
    </row>
    <row r="680" spans="1:4" x14ac:dyDescent="0.3">
      <c r="A680" s="17">
        <v>45089</v>
      </c>
      <c r="B680">
        <v>-10.47</v>
      </c>
      <c r="C680" s="17">
        <f t="shared" si="22"/>
        <v>45078</v>
      </c>
      <c r="D680">
        <f t="shared" si="23"/>
        <v>0</v>
      </c>
    </row>
    <row r="681" spans="1:4" x14ac:dyDescent="0.3">
      <c r="A681" s="17">
        <v>45086</v>
      </c>
      <c r="B681">
        <v>-10.39</v>
      </c>
      <c r="C681" s="17">
        <f t="shared" si="22"/>
        <v>45078</v>
      </c>
      <c r="D681">
        <f t="shared" si="23"/>
        <v>0</v>
      </c>
    </row>
    <row r="682" spans="1:4" x14ac:dyDescent="0.3">
      <c r="A682" s="17">
        <v>45085</v>
      </c>
      <c r="B682">
        <v>-10.92</v>
      </c>
      <c r="C682" s="17">
        <f t="shared" si="22"/>
        <v>45078</v>
      </c>
      <c r="D682">
        <f t="shared" si="23"/>
        <v>0</v>
      </c>
    </row>
    <row r="683" spans="1:4" x14ac:dyDescent="0.3">
      <c r="A683" s="17">
        <v>45084</v>
      </c>
      <c r="B683">
        <v>-10.89</v>
      </c>
      <c r="C683" s="17">
        <f t="shared" si="22"/>
        <v>45078</v>
      </c>
      <c r="D683">
        <f t="shared" si="23"/>
        <v>0</v>
      </c>
    </row>
    <row r="684" spans="1:4" x14ac:dyDescent="0.3">
      <c r="A684" s="17">
        <v>45083</v>
      </c>
      <c r="B684">
        <v>-10.76</v>
      </c>
      <c r="C684" s="17">
        <f t="shared" si="22"/>
        <v>45078</v>
      </c>
      <c r="D684">
        <f t="shared" si="23"/>
        <v>0</v>
      </c>
    </row>
    <row r="685" spans="1:4" x14ac:dyDescent="0.3">
      <c r="A685" s="17">
        <v>45082</v>
      </c>
      <c r="B685">
        <v>-10.65</v>
      </c>
      <c r="C685" s="17">
        <f t="shared" si="22"/>
        <v>45078</v>
      </c>
      <c r="D685">
        <f t="shared" si="23"/>
        <v>0</v>
      </c>
    </row>
    <row r="686" spans="1:4" x14ac:dyDescent="0.3">
      <c r="A686" s="17">
        <v>45079</v>
      </c>
      <c r="B686">
        <v>-10.14</v>
      </c>
      <c r="C686" s="17">
        <f t="shared" si="22"/>
        <v>45078</v>
      </c>
      <c r="D686">
        <f t="shared" si="23"/>
        <v>1</v>
      </c>
    </row>
    <row r="687" spans="1:4" x14ac:dyDescent="0.3">
      <c r="A687" s="17">
        <v>45078</v>
      </c>
      <c r="B687">
        <v>-10.17</v>
      </c>
      <c r="C687" s="17">
        <f t="shared" si="22"/>
        <v>45078</v>
      </c>
      <c r="D687">
        <f t="shared" si="23"/>
        <v>1</v>
      </c>
    </row>
    <row r="688" spans="1:4" x14ac:dyDescent="0.3">
      <c r="A688" s="17">
        <v>45077</v>
      </c>
      <c r="B688">
        <v>-10.44</v>
      </c>
      <c r="C688" s="17">
        <f t="shared" si="22"/>
        <v>45047</v>
      </c>
      <c r="D688">
        <f t="shared" si="23"/>
        <v>0</v>
      </c>
    </row>
    <row r="689" spans="1:4" x14ac:dyDescent="0.3">
      <c r="A689" s="17">
        <v>45076</v>
      </c>
      <c r="B689">
        <v>-10.45</v>
      </c>
      <c r="C689" s="17">
        <f t="shared" si="22"/>
        <v>45047</v>
      </c>
      <c r="D689">
        <f t="shared" si="23"/>
        <v>0</v>
      </c>
    </row>
    <row r="690" spans="1:4" x14ac:dyDescent="0.3">
      <c r="A690" s="17">
        <v>45072</v>
      </c>
      <c r="B690">
        <v>-10.6</v>
      </c>
      <c r="C690" s="17">
        <f t="shared" si="22"/>
        <v>45047</v>
      </c>
      <c r="D690">
        <f t="shared" si="23"/>
        <v>0</v>
      </c>
    </row>
    <row r="691" spans="1:4" x14ac:dyDescent="0.3">
      <c r="A691" s="17">
        <v>45071</v>
      </c>
      <c r="B691">
        <v>-10.54</v>
      </c>
      <c r="C691" s="17">
        <f t="shared" si="22"/>
        <v>45047</v>
      </c>
      <c r="D691">
        <f t="shared" si="23"/>
        <v>0</v>
      </c>
    </row>
    <row r="692" spans="1:4" x14ac:dyDescent="0.3">
      <c r="A692" s="17">
        <v>45070</v>
      </c>
      <c r="B692">
        <v>-10.36</v>
      </c>
      <c r="C692" s="17">
        <f t="shared" si="22"/>
        <v>45047</v>
      </c>
      <c r="D692">
        <f t="shared" si="23"/>
        <v>0</v>
      </c>
    </row>
    <row r="693" spans="1:4" x14ac:dyDescent="0.3">
      <c r="A693" s="17">
        <v>45069</v>
      </c>
      <c r="B693">
        <v>-10.29</v>
      </c>
      <c r="C693" s="17">
        <f t="shared" si="22"/>
        <v>45047</v>
      </c>
      <c r="D693">
        <f t="shared" si="23"/>
        <v>0</v>
      </c>
    </row>
    <row r="694" spans="1:4" x14ac:dyDescent="0.3">
      <c r="A694" s="17">
        <v>45068</v>
      </c>
      <c r="B694">
        <v>-10.15</v>
      </c>
      <c r="C694" s="17">
        <f t="shared" si="22"/>
        <v>45047</v>
      </c>
      <c r="D694">
        <f t="shared" si="23"/>
        <v>0</v>
      </c>
    </row>
    <row r="695" spans="1:4" x14ac:dyDescent="0.3">
      <c r="A695" s="17">
        <v>45065</v>
      </c>
      <c r="B695">
        <v>-10.39</v>
      </c>
      <c r="C695" s="17">
        <f t="shared" si="22"/>
        <v>45047</v>
      </c>
      <c r="D695">
        <f t="shared" si="23"/>
        <v>0</v>
      </c>
    </row>
    <row r="696" spans="1:4" x14ac:dyDescent="0.3">
      <c r="A696" s="17">
        <v>45064</v>
      </c>
      <c r="B696">
        <v>-10.31</v>
      </c>
      <c r="C696" s="17">
        <f t="shared" si="22"/>
        <v>45047</v>
      </c>
      <c r="D696">
        <f t="shared" si="23"/>
        <v>0</v>
      </c>
    </row>
    <row r="697" spans="1:4" x14ac:dyDescent="0.3">
      <c r="A697" s="17">
        <v>45063</v>
      </c>
      <c r="B697">
        <v>-10.130000000000001</v>
      </c>
      <c r="C697" s="17">
        <f t="shared" si="22"/>
        <v>45047</v>
      </c>
      <c r="D697">
        <f t="shared" si="23"/>
        <v>0</v>
      </c>
    </row>
    <row r="698" spans="1:4" x14ac:dyDescent="0.3">
      <c r="A698" s="17">
        <v>45062</v>
      </c>
      <c r="B698">
        <v>-10.41</v>
      </c>
      <c r="C698" s="17">
        <f t="shared" si="22"/>
        <v>45047</v>
      </c>
      <c r="D698">
        <f t="shared" si="23"/>
        <v>0</v>
      </c>
    </row>
    <row r="699" spans="1:4" x14ac:dyDescent="0.3">
      <c r="A699" s="17">
        <v>45061</v>
      </c>
      <c r="B699">
        <v>-10.38</v>
      </c>
      <c r="C699" s="17">
        <f t="shared" si="22"/>
        <v>45047</v>
      </c>
      <c r="D699">
        <f t="shared" si="23"/>
        <v>0</v>
      </c>
    </row>
    <row r="700" spans="1:4" x14ac:dyDescent="0.3">
      <c r="A700" s="17">
        <v>45058</v>
      </c>
      <c r="B700">
        <v>-10.5</v>
      </c>
      <c r="C700" s="17">
        <f t="shared" si="22"/>
        <v>45047</v>
      </c>
      <c r="D700">
        <f t="shared" si="23"/>
        <v>0</v>
      </c>
    </row>
    <row r="701" spans="1:4" x14ac:dyDescent="0.3">
      <c r="A701" s="17">
        <v>45057</v>
      </c>
      <c r="B701">
        <v>-10.7</v>
      </c>
      <c r="C701" s="17">
        <f t="shared" si="22"/>
        <v>45047</v>
      </c>
      <c r="D701">
        <f t="shared" si="23"/>
        <v>0</v>
      </c>
    </row>
    <row r="702" spans="1:4" x14ac:dyDescent="0.3">
      <c r="A702" s="17">
        <v>45056</v>
      </c>
      <c r="B702">
        <v>-10.84</v>
      </c>
      <c r="C702" s="17">
        <f t="shared" si="22"/>
        <v>45047</v>
      </c>
      <c r="D702">
        <f t="shared" si="23"/>
        <v>0</v>
      </c>
    </row>
    <row r="703" spans="1:4" x14ac:dyDescent="0.3">
      <c r="A703" s="17">
        <v>45055</v>
      </c>
      <c r="B703">
        <v>-10.92</v>
      </c>
      <c r="C703" s="17">
        <f t="shared" si="22"/>
        <v>45047</v>
      </c>
      <c r="D703">
        <f t="shared" si="23"/>
        <v>0</v>
      </c>
    </row>
    <row r="704" spans="1:4" x14ac:dyDescent="0.3">
      <c r="A704" s="17">
        <v>45051</v>
      </c>
      <c r="B704">
        <v>-10.87</v>
      </c>
      <c r="C704" s="17">
        <f t="shared" si="22"/>
        <v>45047</v>
      </c>
      <c r="D704">
        <f t="shared" si="23"/>
        <v>0</v>
      </c>
    </row>
    <row r="705" spans="1:4" x14ac:dyDescent="0.3">
      <c r="A705" s="17">
        <v>45050</v>
      </c>
      <c r="B705">
        <v>-11.08</v>
      </c>
      <c r="C705" s="17">
        <f t="shared" si="22"/>
        <v>45047</v>
      </c>
      <c r="D705">
        <f t="shared" si="23"/>
        <v>1</v>
      </c>
    </row>
    <row r="706" spans="1:4" x14ac:dyDescent="0.3">
      <c r="A706" s="17">
        <v>45049</v>
      </c>
      <c r="B706">
        <v>-10.78</v>
      </c>
      <c r="C706" s="17">
        <f t="shared" si="22"/>
        <v>45047</v>
      </c>
      <c r="D706">
        <f t="shared" si="23"/>
        <v>1</v>
      </c>
    </row>
    <row r="707" spans="1:4" x14ac:dyDescent="0.3">
      <c r="A707" s="17">
        <v>45048</v>
      </c>
      <c r="B707">
        <v>-10.86</v>
      </c>
      <c r="C707" s="17">
        <f t="shared" si="22"/>
        <v>45047</v>
      </c>
      <c r="D707">
        <f t="shared" si="23"/>
        <v>1</v>
      </c>
    </row>
    <row r="708" spans="1:4" x14ac:dyDescent="0.3">
      <c r="A708" s="17">
        <v>45044</v>
      </c>
      <c r="B708">
        <v>-10.96</v>
      </c>
      <c r="C708" s="17">
        <f t="shared" si="22"/>
        <v>45017</v>
      </c>
      <c r="D708">
        <f t="shared" si="23"/>
        <v>0</v>
      </c>
    </row>
    <row r="709" spans="1:4" x14ac:dyDescent="0.3">
      <c r="A709" s="17">
        <v>45043</v>
      </c>
      <c r="B709">
        <v>-11.13</v>
      </c>
      <c r="C709" s="17">
        <f t="shared" si="22"/>
        <v>45017</v>
      </c>
      <c r="D709">
        <f t="shared" si="23"/>
        <v>0</v>
      </c>
    </row>
    <row r="710" spans="1:4" x14ac:dyDescent="0.3">
      <c r="A710" s="17">
        <v>45042</v>
      </c>
      <c r="B710">
        <v>-11.18</v>
      </c>
      <c r="C710" s="17">
        <f t="shared" ref="C710:C773" si="24">+DATE(+YEAR(A710),+MONTH(A710),1)</f>
        <v>45017</v>
      </c>
      <c r="D710">
        <f t="shared" ref="D710:D773" si="25">IF(AND(+DAY(A710)&gt;=1,+DAY(A710)&lt;= 4), 1, 0)</f>
        <v>0</v>
      </c>
    </row>
    <row r="711" spans="1:4" x14ac:dyDescent="0.3">
      <c r="A711" s="17">
        <v>45041</v>
      </c>
      <c r="B711">
        <v>-11.83</v>
      </c>
      <c r="C711" s="17">
        <f t="shared" si="24"/>
        <v>45017</v>
      </c>
      <c r="D711">
        <f t="shared" si="25"/>
        <v>0</v>
      </c>
    </row>
    <row r="712" spans="1:4" x14ac:dyDescent="0.3">
      <c r="A712" s="17">
        <v>45040</v>
      </c>
      <c r="B712">
        <v>-12.88</v>
      </c>
      <c r="C712" s="17">
        <f t="shared" si="24"/>
        <v>45017</v>
      </c>
      <c r="D712">
        <f t="shared" si="25"/>
        <v>0</v>
      </c>
    </row>
    <row r="713" spans="1:4" x14ac:dyDescent="0.3">
      <c r="A713" s="17">
        <v>45037</v>
      </c>
      <c r="B713">
        <v>-12.96</v>
      </c>
      <c r="C713" s="17">
        <f t="shared" si="24"/>
        <v>45017</v>
      </c>
      <c r="D713">
        <f t="shared" si="25"/>
        <v>0</v>
      </c>
    </row>
    <row r="714" spans="1:4" x14ac:dyDescent="0.3">
      <c r="A714" s="17">
        <v>45036</v>
      </c>
      <c r="B714">
        <v>-12.76</v>
      </c>
      <c r="C714" s="17">
        <f t="shared" si="24"/>
        <v>45017</v>
      </c>
      <c r="D714">
        <f t="shared" si="25"/>
        <v>0</v>
      </c>
    </row>
    <row r="715" spans="1:4" x14ac:dyDescent="0.3">
      <c r="A715" s="17">
        <v>45035</v>
      </c>
      <c r="B715">
        <v>-13.02</v>
      </c>
      <c r="C715" s="17">
        <f t="shared" si="24"/>
        <v>45017</v>
      </c>
      <c r="D715">
        <f t="shared" si="25"/>
        <v>0</v>
      </c>
    </row>
    <row r="716" spans="1:4" x14ac:dyDescent="0.3">
      <c r="A716" s="17">
        <v>45034</v>
      </c>
      <c r="B716">
        <v>-13.25</v>
      </c>
      <c r="C716" s="17">
        <f t="shared" si="24"/>
        <v>45017</v>
      </c>
      <c r="D716">
        <f t="shared" si="25"/>
        <v>0</v>
      </c>
    </row>
    <row r="717" spans="1:4" x14ac:dyDescent="0.3">
      <c r="A717" s="17">
        <v>45033</v>
      </c>
      <c r="B717">
        <v>-13.15</v>
      </c>
      <c r="C717" s="17">
        <f t="shared" si="24"/>
        <v>45017</v>
      </c>
      <c r="D717">
        <f t="shared" si="25"/>
        <v>0</v>
      </c>
    </row>
    <row r="718" spans="1:4" x14ac:dyDescent="0.3">
      <c r="A718" s="17">
        <v>45030</v>
      </c>
      <c r="B718">
        <v>-13.55</v>
      </c>
      <c r="C718" s="17">
        <f t="shared" si="24"/>
        <v>45017</v>
      </c>
      <c r="D718">
        <f t="shared" si="25"/>
        <v>0</v>
      </c>
    </row>
    <row r="719" spans="1:4" x14ac:dyDescent="0.3">
      <c r="A719" s="17">
        <v>45029</v>
      </c>
      <c r="B719">
        <v>-14.16</v>
      </c>
      <c r="C719" s="17">
        <f t="shared" si="24"/>
        <v>45017</v>
      </c>
      <c r="D719">
        <f t="shared" si="25"/>
        <v>0</v>
      </c>
    </row>
    <row r="720" spans="1:4" x14ac:dyDescent="0.3">
      <c r="A720" s="17">
        <v>45028</v>
      </c>
      <c r="B720">
        <v>-13.99</v>
      </c>
      <c r="C720" s="17">
        <f t="shared" si="24"/>
        <v>45017</v>
      </c>
      <c r="D720">
        <f t="shared" si="25"/>
        <v>0</v>
      </c>
    </row>
    <row r="721" spans="1:4" x14ac:dyDescent="0.3">
      <c r="A721" s="17">
        <v>45027</v>
      </c>
      <c r="B721">
        <v>-14.05</v>
      </c>
      <c r="C721" s="17">
        <f t="shared" si="24"/>
        <v>45017</v>
      </c>
      <c r="D721">
        <f t="shared" si="25"/>
        <v>0</v>
      </c>
    </row>
    <row r="722" spans="1:4" x14ac:dyDescent="0.3">
      <c r="A722" s="17">
        <v>45022</v>
      </c>
      <c r="B722">
        <v>-13.99</v>
      </c>
      <c r="C722" s="17">
        <f t="shared" si="24"/>
        <v>45017</v>
      </c>
      <c r="D722">
        <f t="shared" si="25"/>
        <v>0</v>
      </c>
    </row>
    <row r="723" spans="1:4" x14ac:dyDescent="0.3">
      <c r="A723" s="17">
        <v>45021</v>
      </c>
      <c r="B723">
        <v>-13.99</v>
      </c>
      <c r="C723" s="17">
        <f t="shared" si="24"/>
        <v>45017</v>
      </c>
      <c r="D723">
        <f t="shared" si="25"/>
        <v>0</v>
      </c>
    </row>
    <row r="724" spans="1:4" x14ac:dyDescent="0.3">
      <c r="A724" s="17">
        <v>45020</v>
      </c>
      <c r="B724">
        <v>-13.91</v>
      </c>
      <c r="C724" s="17">
        <f t="shared" si="24"/>
        <v>45017</v>
      </c>
      <c r="D724">
        <f t="shared" si="25"/>
        <v>1</v>
      </c>
    </row>
    <row r="725" spans="1:4" x14ac:dyDescent="0.3">
      <c r="A725" s="17">
        <v>45019</v>
      </c>
      <c r="B725">
        <v>-14.08</v>
      </c>
      <c r="C725" s="17">
        <f t="shared" si="24"/>
        <v>45017</v>
      </c>
      <c r="D725">
        <f t="shared" si="25"/>
        <v>1</v>
      </c>
    </row>
    <row r="726" spans="1:4" x14ac:dyDescent="0.3">
      <c r="A726" s="17">
        <v>45016</v>
      </c>
      <c r="B726">
        <v>-14.89</v>
      </c>
      <c r="C726" s="17">
        <f t="shared" si="24"/>
        <v>44986</v>
      </c>
      <c r="D726">
        <f t="shared" si="25"/>
        <v>0</v>
      </c>
    </row>
    <row r="727" spans="1:4" x14ac:dyDescent="0.3">
      <c r="A727" s="17">
        <v>45015</v>
      </c>
      <c r="B727">
        <v>-15.59</v>
      </c>
      <c r="C727" s="17">
        <f t="shared" si="24"/>
        <v>44986</v>
      </c>
      <c r="D727">
        <f t="shared" si="25"/>
        <v>0</v>
      </c>
    </row>
    <row r="728" spans="1:4" x14ac:dyDescent="0.3">
      <c r="A728" s="17">
        <v>45014</v>
      </c>
      <c r="B728">
        <v>-16.71</v>
      </c>
      <c r="C728" s="17">
        <f t="shared" si="24"/>
        <v>44986</v>
      </c>
      <c r="D728">
        <f t="shared" si="25"/>
        <v>0</v>
      </c>
    </row>
    <row r="729" spans="1:4" x14ac:dyDescent="0.3">
      <c r="A729" s="17">
        <v>45013</v>
      </c>
      <c r="B729">
        <v>-16.64</v>
      </c>
      <c r="C729" s="17">
        <f t="shared" si="24"/>
        <v>44986</v>
      </c>
      <c r="D729">
        <f t="shared" si="25"/>
        <v>0</v>
      </c>
    </row>
    <row r="730" spans="1:4" x14ac:dyDescent="0.3">
      <c r="A730" s="17">
        <v>45012</v>
      </c>
      <c r="B730">
        <v>-17.18</v>
      </c>
      <c r="C730" s="17">
        <f t="shared" si="24"/>
        <v>44986</v>
      </c>
      <c r="D730">
        <f t="shared" si="25"/>
        <v>0</v>
      </c>
    </row>
    <row r="731" spans="1:4" x14ac:dyDescent="0.3">
      <c r="A731" s="17">
        <v>45009</v>
      </c>
      <c r="B731">
        <v>-17.29</v>
      </c>
      <c r="C731" s="17">
        <f t="shared" si="24"/>
        <v>44986</v>
      </c>
      <c r="D731">
        <f t="shared" si="25"/>
        <v>0</v>
      </c>
    </row>
    <row r="732" spans="1:4" x14ac:dyDescent="0.3">
      <c r="A732" s="17">
        <v>45008</v>
      </c>
      <c r="B732">
        <v>-17.27</v>
      </c>
      <c r="C732" s="17">
        <f t="shared" si="24"/>
        <v>44986</v>
      </c>
      <c r="D732">
        <f t="shared" si="25"/>
        <v>0</v>
      </c>
    </row>
    <row r="733" spans="1:4" x14ac:dyDescent="0.3">
      <c r="A733" s="17">
        <v>45007</v>
      </c>
      <c r="B733">
        <v>-17.39</v>
      </c>
      <c r="C733" s="17">
        <f t="shared" si="24"/>
        <v>44986</v>
      </c>
      <c r="D733">
        <f t="shared" si="25"/>
        <v>0</v>
      </c>
    </row>
    <row r="734" spans="1:4" x14ac:dyDescent="0.3">
      <c r="A734" s="17">
        <v>45006</v>
      </c>
      <c r="B734">
        <v>-17.329999999999998</v>
      </c>
      <c r="C734" s="17">
        <f t="shared" si="24"/>
        <v>44986</v>
      </c>
      <c r="D734">
        <f t="shared" si="25"/>
        <v>0</v>
      </c>
    </row>
    <row r="735" spans="1:4" x14ac:dyDescent="0.3">
      <c r="A735" s="17">
        <v>45005</v>
      </c>
      <c r="B735">
        <v>-17.23</v>
      </c>
      <c r="C735" s="17">
        <f t="shared" si="24"/>
        <v>44986</v>
      </c>
      <c r="D735">
        <f t="shared" si="25"/>
        <v>0</v>
      </c>
    </row>
    <row r="736" spans="1:4" x14ac:dyDescent="0.3">
      <c r="A736" s="17">
        <v>45002</v>
      </c>
      <c r="B736">
        <v>-17.28</v>
      </c>
      <c r="C736" s="17">
        <f t="shared" si="24"/>
        <v>44986</v>
      </c>
      <c r="D736">
        <f t="shared" si="25"/>
        <v>0</v>
      </c>
    </row>
    <row r="737" spans="1:4" x14ac:dyDescent="0.3">
      <c r="A737" s="17">
        <v>45001</v>
      </c>
      <c r="B737">
        <v>-16.89</v>
      </c>
      <c r="C737" s="17">
        <f t="shared" si="24"/>
        <v>44986</v>
      </c>
      <c r="D737">
        <f t="shared" si="25"/>
        <v>0</v>
      </c>
    </row>
    <row r="738" spans="1:4" x14ac:dyDescent="0.3">
      <c r="A738" s="17">
        <v>45000</v>
      </c>
      <c r="B738">
        <v>-17.010000000000002</v>
      </c>
      <c r="C738" s="17">
        <f t="shared" si="24"/>
        <v>44986</v>
      </c>
      <c r="D738">
        <f t="shared" si="25"/>
        <v>0</v>
      </c>
    </row>
    <row r="739" spans="1:4" x14ac:dyDescent="0.3">
      <c r="A739" s="17">
        <v>44999</v>
      </c>
      <c r="B739">
        <v>-16.690000000000001</v>
      </c>
      <c r="C739" s="17">
        <f t="shared" si="24"/>
        <v>44986</v>
      </c>
      <c r="D739">
        <f t="shared" si="25"/>
        <v>0</v>
      </c>
    </row>
    <row r="740" spans="1:4" x14ac:dyDescent="0.3">
      <c r="A740" s="17">
        <v>44998</v>
      </c>
      <c r="B740">
        <v>-16.600000000000001</v>
      </c>
      <c r="C740" s="17">
        <f t="shared" si="24"/>
        <v>44986</v>
      </c>
      <c r="D740">
        <f t="shared" si="25"/>
        <v>0</v>
      </c>
    </row>
    <row r="741" spans="1:4" x14ac:dyDescent="0.3">
      <c r="A741" s="17">
        <v>44995</v>
      </c>
      <c r="B741">
        <v>-16.489999999999998</v>
      </c>
      <c r="C741" s="17">
        <f t="shared" si="24"/>
        <v>44986</v>
      </c>
      <c r="D741">
        <f t="shared" si="25"/>
        <v>0</v>
      </c>
    </row>
    <row r="742" spans="1:4" x14ac:dyDescent="0.3">
      <c r="A742" s="17">
        <v>44994</v>
      </c>
      <c r="B742">
        <v>-16.2</v>
      </c>
      <c r="C742" s="17">
        <f t="shared" si="24"/>
        <v>44986</v>
      </c>
      <c r="D742">
        <f t="shared" si="25"/>
        <v>0</v>
      </c>
    </row>
    <row r="743" spans="1:4" x14ac:dyDescent="0.3">
      <c r="A743" s="17">
        <v>44993</v>
      </c>
      <c r="B743">
        <v>-16.29</v>
      </c>
      <c r="C743" s="17">
        <f t="shared" si="24"/>
        <v>44986</v>
      </c>
      <c r="D743">
        <f t="shared" si="25"/>
        <v>0</v>
      </c>
    </row>
    <row r="744" spans="1:4" x14ac:dyDescent="0.3">
      <c r="A744" s="17">
        <v>44992</v>
      </c>
      <c r="B744">
        <v>-15.82</v>
      </c>
      <c r="C744" s="17">
        <f t="shared" si="24"/>
        <v>44986</v>
      </c>
      <c r="D744">
        <f t="shared" si="25"/>
        <v>0</v>
      </c>
    </row>
    <row r="745" spans="1:4" x14ac:dyDescent="0.3">
      <c r="A745" s="17">
        <v>44991</v>
      </c>
      <c r="B745">
        <v>-15.84</v>
      </c>
      <c r="C745" s="17">
        <f t="shared" si="24"/>
        <v>44986</v>
      </c>
      <c r="D745">
        <f t="shared" si="25"/>
        <v>0</v>
      </c>
    </row>
    <row r="746" spans="1:4" x14ac:dyDescent="0.3">
      <c r="A746" s="17">
        <v>44988</v>
      </c>
      <c r="B746">
        <v>-15.99</v>
      </c>
      <c r="C746" s="17">
        <f t="shared" si="24"/>
        <v>44986</v>
      </c>
      <c r="D746">
        <f t="shared" si="25"/>
        <v>1</v>
      </c>
    </row>
    <row r="747" spans="1:4" x14ac:dyDescent="0.3">
      <c r="A747" s="17">
        <v>44987</v>
      </c>
      <c r="B747">
        <v>-15.99</v>
      </c>
      <c r="C747" s="17">
        <f t="shared" si="24"/>
        <v>44986</v>
      </c>
      <c r="D747">
        <f t="shared" si="25"/>
        <v>1</v>
      </c>
    </row>
    <row r="748" spans="1:4" x14ac:dyDescent="0.3">
      <c r="A748" s="17">
        <v>44986</v>
      </c>
      <c r="B748">
        <v>-15.79</v>
      </c>
      <c r="C748" s="17">
        <f t="shared" si="24"/>
        <v>44986</v>
      </c>
      <c r="D748">
        <f t="shared" si="25"/>
        <v>1</v>
      </c>
    </row>
    <row r="749" spans="1:4" x14ac:dyDescent="0.3">
      <c r="A749" s="17">
        <v>44985</v>
      </c>
      <c r="B749">
        <v>-16.170000000000002</v>
      </c>
      <c r="C749" s="17">
        <f t="shared" si="24"/>
        <v>44958</v>
      </c>
      <c r="D749">
        <f t="shared" si="25"/>
        <v>0</v>
      </c>
    </row>
    <row r="750" spans="1:4" x14ac:dyDescent="0.3">
      <c r="A750" s="17">
        <v>44984</v>
      </c>
      <c r="B750">
        <v>-16.329999999999998</v>
      </c>
      <c r="C750" s="17">
        <f t="shared" si="24"/>
        <v>44958</v>
      </c>
      <c r="D750">
        <f t="shared" si="25"/>
        <v>0</v>
      </c>
    </row>
    <row r="751" spans="1:4" x14ac:dyDescent="0.3">
      <c r="A751" s="17">
        <v>44981</v>
      </c>
      <c r="B751">
        <v>-16.54</v>
      </c>
      <c r="C751" s="17">
        <f t="shared" si="24"/>
        <v>44958</v>
      </c>
      <c r="D751">
        <f t="shared" si="25"/>
        <v>0</v>
      </c>
    </row>
    <row r="752" spans="1:4" x14ac:dyDescent="0.3">
      <c r="A752" s="17">
        <v>44980</v>
      </c>
      <c r="B752">
        <v>-16.46</v>
      </c>
      <c r="C752" s="17">
        <f t="shared" si="24"/>
        <v>44958</v>
      </c>
      <c r="D752">
        <f t="shared" si="25"/>
        <v>0</v>
      </c>
    </row>
    <row r="753" spans="1:4" x14ac:dyDescent="0.3">
      <c r="A753" s="17">
        <v>44979</v>
      </c>
      <c r="B753">
        <v>-16.68</v>
      </c>
      <c r="C753" s="17">
        <f t="shared" si="24"/>
        <v>44958</v>
      </c>
      <c r="D753">
        <f t="shared" si="25"/>
        <v>0</v>
      </c>
    </row>
    <row r="754" spans="1:4" x14ac:dyDescent="0.3">
      <c r="A754" s="17">
        <v>44978</v>
      </c>
      <c r="B754">
        <v>-16.5</v>
      </c>
      <c r="C754" s="17">
        <f t="shared" si="24"/>
        <v>44958</v>
      </c>
      <c r="D754">
        <f t="shared" si="25"/>
        <v>0</v>
      </c>
    </row>
    <row r="755" spans="1:4" x14ac:dyDescent="0.3">
      <c r="A755" s="17">
        <v>44977</v>
      </c>
      <c r="B755">
        <v>-16.48</v>
      </c>
      <c r="C755" s="17">
        <f t="shared" si="24"/>
        <v>44958</v>
      </c>
      <c r="D755">
        <f t="shared" si="25"/>
        <v>0</v>
      </c>
    </row>
    <row r="756" spans="1:4" x14ac:dyDescent="0.3">
      <c r="A756" s="17">
        <v>44974</v>
      </c>
      <c r="B756">
        <v>-16.309999999999999</v>
      </c>
      <c r="C756" s="17">
        <f t="shared" si="24"/>
        <v>44958</v>
      </c>
      <c r="D756">
        <f t="shared" si="25"/>
        <v>0</v>
      </c>
    </row>
    <row r="757" spans="1:4" x14ac:dyDescent="0.3">
      <c r="A757" s="17">
        <v>44973</v>
      </c>
      <c r="B757">
        <v>-16.07</v>
      </c>
      <c r="C757" s="17">
        <f t="shared" si="24"/>
        <v>44958</v>
      </c>
      <c r="D757">
        <f t="shared" si="25"/>
        <v>0</v>
      </c>
    </row>
    <row r="758" spans="1:4" x14ac:dyDescent="0.3">
      <c r="A758" s="17">
        <v>44972</v>
      </c>
      <c r="B758">
        <v>-15.63</v>
      </c>
      <c r="C758" s="17">
        <f t="shared" si="24"/>
        <v>44958</v>
      </c>
      <c r="D758">
        <f t="shared" si="25"/>
        <v>0</v>
      </c>
    </row>
    <row r="759" spans="1:4" x14ac:dyDescent="0.3">
      <c r="A759" s="17">
        <v>44971</v>
      </c>
      <c r="B759">
        <v>-14.68</v>
      </c>
      <c r="C759" s="17">
        <f t="shared" si="24"/>
        <v>44958</v>
      </c>
      <c r="D759">
        <f t="shared" si="25"/>
        <v>0</v>
      </c>
    </row>
    <row r="760" spans="1:4" x14ac:dyDescent="0.3">
      <c r="A760" s="17">
        <v>44970</v>
      </c>
      <c r="B760">
        <v>-13.65</v>
      </c>
      <c r="C760" s="17">
        <f t="shared" si="24"/>
        <v>44958</v>
      </c>
      <c r="D760">
        <f t="shared" si="25"/>
        <v>0</v>
      </c>
    </row>
    <row r="761" spans="1:4" x14ac:dyDescent="0.3">
      <c r="A761" s="17">
        <v>44967</v>
      </c>
      <c r="B761">
        <v>-13.91</v>
      </c>
      <c r="C761" s="17">
        <f t="shared" si="24"/>
        <v>44958</v>
      </c>
      <c r="D761">
        <f t="shared" si="25"/>
        <v>0</v>
      </c>
    </row>
    <row r="762" spans="1:4" x14ac:dyDescent="0.3">
      <c r="A762" s="17">
        <v>44966</v>
      </c>
      <c r="B762">
        <v>-13.73</v>
      </c>
      <c r="C762" s="17">
        <f t="shared" si="24"/>
        <v>44958</v>
      </c>
      <c r="D762">
        <f t="shared" si="25"/>
        <v>0</v>
      </c>
    </row>
    <row r="763" spans="1:4" x14ac:dyDescent="0.3">
      <c r="A763" s="17">
        <v>44965</v>
      </c>
      <c r="B763">
        <v>-13.57</v>
      </c>
      <c r="C763" s="17">
        <f t="shared" si="24"/>
        <v>44958</v>
      </c>
      <c r="D763">
        <f t="shared" si="25"/>
        <v>0</v>
      </c>
    </row>
    <row r="764" spans="1:4" x14ac:dyDescent="0.3">
      <c r="A764" s="17">
        <v>44964</v>
      </c>
      <c r="B764">
        <v>-13.59</v>
      </c>
      <c r="C764" s="17">
        <f t="shared" si="24"/>
        <v>44958</v>
      </c>
      <c r="D764">
        <f t="shared" si="25"/>
        <v>0</v>
      </c>
    </row>
    <row r="765" spans="1:4" x14ac:dyDescent="0.3">
      <c r="A765" s="17">
        <v>44963</v>
      </c>
      <c r="B765">
        <v>-13.45</v>
      </c>
      <c r="C765" s="17">
        <f t="shared" si="24"/>
        <v>44958</v>
      </c>
      <c r="D765">
        <f t="shared" si="25"/>
        <v>0</v>
      </c>
    </row>
    <row r="766" spans="1:4" x14ac:dyDescent="0.3">
      <c r="A766" s="17">
        <v>44960</v>
      </c>
      <c r="B766">
        <v>-13.41</v>
      </c>
      <c r="C766" s="17">
        <f t="shared" si="24"/>
        <v>44958</v>
      </c>
      <c r="D766">
        <f t="shared" si="25"/>
        <v>1</v>
      </c>
    </row>
    <row r="767" spans="1:4" x14ac:dyDescent="0.3">
      <c r="A767" s="17">
        <v>44959</v>
      </c>
      <c r="B767">
        <v>-14.66</v>
      </c>
      <c r="C767" s="17">
        <f t="shared" si="24"/>
        <v>44958</v>
      </c>
      <c r="D767">
        <f t="shared" si="25"/>
        <v>1</v>
      </c>
    </row>
    <row r="768" spans="1:4" x14ac:dyDescent="0.3">
      <c r="A768" s="17">
        <v>44958</v>
      </c>
      <c r="B768">
        <v>-15.53</v>
      </c>
      <c r="C768" s="17">
        <f t="shared" si="24"/>
        <v>44958</v>
      </c>
      <c r="D768">
        <f t="shared" si="25"/>
        <v>1</v>
      </c>
    </row>
    <row r="769" spans="1:4" x14ac:dyDescent="0.3">
      <c r="A769" s="17">
        <v>44957</v>
      </c>
      <c r="B769">
        <v>-15.72</v>
      </c>
      <c r="C769" s="17">
        <f t="shared" si="24"/>
        <v>44927</v>
      </c>
      <c r="D769">
        <f t="shared" si="25"/>
        <v>0</v>
      </c>
    </row>
    <row r="770" spans="1:4" x14ac:dyDescent="0.3">
      <c r="A770" s="17">
        <v>44956</v>
      </c>
      <c r="B770">
        <v>-15.21</v>
      </c>
      <c r="C770" s="17">
        <f t="shared" si="24"/>
        <v>44927</v>
      </c>
      <c r="D770">
        <f t="shared" si="25"/>
        <v>0</v>
      </c>
    </row>
    <row r="771" spans="1:4" x14ac:dyDescent="0.3">
      <c r="A771" s="17">
        <v>44953</v>
      </c>
      <c r="B771">
        <v>-15.12</v>
      </c>
      <c r="C771" s="17">
        <f t="shared" si="24"/>
        <v>44927</v>
      </c>
      <c r="D771">
        <f t="shared" si="25"/>
        <v>0</v>
      </c>
    </row>
    <row r="772" spans="1:4" x14ac:dyDescent="0.3">
      <c r="A772" s="17">
        <v>44952</v>
      </c>
      <c r="B772">
        <v>-15.01</v>
      </c>
      <c r="C772" s="17">
        <f t="shared" si="24"/>
        <v>44927</v>
      </c>
      <c r="D772">
        <f t="shared" si="25"/>
        <v>0</v>
      </c>
    </row>
    <row r="773" spans="1:4" x14ac:dyDescent="0.3">
      <c r="A773" s="17">
        <v>44951</v>
      </c>
      <c r="B773">
        <v>-15.24</v>
      </c>
      <c r="C773" s="17">
        <f t="shared" si="24"/>
        <v>44927</v>
      </c>
      <c r="D773">
        <f t="shared" si="25"/>
        <v>0</v>
      </c>
    </row>
    <row r="774" spans="1:4" x14ac:dyDescent="0.3">
      <c r="A774" s="17">
        <v>44950</v>
      </c>
      <c r="B774">
        <v>-15.25</v>
      </c>
      <c r="C774" s="17">
        <f t="shared" ref="C774:C778" si="26">+DATE(+YEAR(A774),+MONTH(A774),1)</f>
        <v>44927</v>
      </c>
      <c r="D774">
        <f t="shared" ref="D774:D778" si="27">IF(AND(+DAY(A774)&gt;=1,+DAY(A774)&lt;= 4), 1, 0)</f>
        <v>0</v>
      </c>
    </row>
    <row r="775" spans="1:4" x14ac:dyDescent="0.3">
      <c r="A775" s="17">
        <v>44949</v>
      </c>
      <c r="B775">
        <v>-16</v>
      </c>
      <c r="C775" s="17">
        <f t="shared" si="26"/>
        <v>44927</v>
      </c>
      <c r="D775">
        <f t="shared" si="27"/>
        <v>0</v>
      </c>
    </row>
    <row r="776" spans="1:4" x14ac:dyDescent="0.3">
      <c r="A776" s="17">
        <v>44946</v>
      </c>
      <c r="B776">
        <v>-16.190000000000001</v>
      </c>
      <c r="C776" s="17">
        <f t="shared" si="26"/>
        <v>44927</v>
      </c>
      <c r="D776">
        <f t="shared" si="27"/>
        <v>0</v>
      </c>
    </row>
    <row r="777" spans="1:4" x14ac:dyDescent="0.3">
      <c r="A777" s="17">
        <v>44945</v>
      </c>
      <c r="B777">
        <v>-16.760000000000002</v>
      </c>
      <c r="C777" s="17">
        <f t="shared" si="26"/>
        <v>44927</v>
      </c>
      <c r="D777">
        <f t="shared" si="27"/>
        <v>0</v>
      </c>
    </row>
    <row r="778" spans="1:4" x14ac:dyDescent="0.3">
      <c r="A778" s="17">
        <v>44944</v>
      </c>
      <c r="B778">
        <v>-16.55</v>
      </c>
      <c r="C778" s="17">
        <f t="shared" si="26"/>
        <v>44927</v>
      </c>
      <c r="D778">
        <f t="shared" si="27"/>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34260-47DE-463A-B8C4-133589D6579A}">
  <dimension ref="A1:T8"/>
  <sheetViews>
    <sheetView workbookViewId="0">
      <selection activeCell="Y30" sqref="Y30"/>
    </sheetView>
  </sheetViews>
  <sheetFormatPr defaultRowHeight="14.4" x14ac:dyDescent="0.3"/>
  <sheetData>
    <row r="1" spans="1:20" x14ac:dyDescent="0.3">
      <c r="A1" t="s">
        <v>198</v>
      </c>
      <c r="T1" t="s">
        <v>199</v>
      </c>
    </row>
    <row r="2" spans="1:20" x14ac:dyDescent="0.3">
      <c r="A2" s="49" t="s">
        <v>195</v>
      </c>
      <c r="T2" s="49" t="s">
        <v>187</v>
      </c>
    </row>
    <row r="3" spans="1:20" x14ac:dyDescent="0.3">
      <c r="A3" s="49" t="s">
        <v>196</v>
      </c>
      <c r="T3" s="49" t="s">
        <v>197</v>
      </c>
    </row>
    <row r="4" spans="1:20" x14ac:dyDescent="0.3">
      <c r="A4" s="49" t="s">
        <v>197</v>
      </c>
    </row>
    <row r="5" spans="1:20" x14ac:dyDescent="0.3">
      <c r="T5" s="67">
        <v>-1.1399999999999999</v>
      </c>
    </row>
    <row r="6" spans="1:20" x14ac:dyDescent="0.3">
      <c r="A6" s="72">
        <v>1.694820149705569</v>
      </c>
      <c r="T6">
        <v>-1.28</v>
      </c>
    </row>
    <row r="7" spans="1:20" x14ac:dyDescent="0.3">
      <c r="A7">
        <v>1.49</v>
      </c>
    </row>
    <row r="8" spans="1:20" x14ac:dyDescent="0.3">
      <c r="A8">
        <v>0.31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120D4A1A951844483259986DA62C6F2" ma:contentTypeVersion="11" ma:contentTypeDescription="Create a new document." ma:contentTypeScope="" ma:versionID="75f86e621fc72e70b27021dcb8122ce0">
  <xsd:schema xmlns:xsd="http://www.w3.org/2001/XMLSchema" xmlns:xs="http://www.w3.org/2001/XMLSchema" xmlns:p="http://schemas.microsoft.com/office/2006/metadata/properties" xmlns:ns2="0ee416b5-70ba-430b-a05e-82870c320f67" targetNamespace="http://schemas.microsoft.com/office/2006/metadata/properties" ma:root="true" ma:fieldsID="5328afbf2e90e329e9d79d61b3c89a80" ns2:_="">
    <xsd:import namespace="0ee416b5-70ba-430b-a05e-82870c320f6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e416b5-70ba-430b-a05e-82870c320f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805fc0-a2cf-4a6d-98ef-7bb1a0709d7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ee416b5-70ba-430b-a05e-82870c320f6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20FD6A-AC03-4B8C-92AA-D9373D14D971}">
  <ds:schemaRefs>
    <ds:schemaRef ds:uri="http://schemas.microsoft.com/sharepoint/v3/contenttype/forms"/>
  </ds:schemaRefs>
</ds:datastoreItem>
</file>

<file path=customXml/itemProps2.xml><?xml version="1.0" encoding="utf-8"?>
<ds:datastoreItem xmlns:ds="http://schemas.openxmlformats.org/officeDocument/2006/customXml" ds:itemID="{7E0C4975-38FA-43E8-85FE-369D35EAF6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e416b5-70ba-430b-a05e-82870c320f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A19275-A308-4DB3-8A9A-68B2E2210A97}">
  <ds:schemaRefs>
    <ds:schemaRef ds:uri="http://schemas.microsoft.com/office/2006/metadata/properties"/>
    <ds:schemaRef ds:uri="http://schemas.microsoft.com/office/infopath/2007/PartnerControls"/>
    <ds:schemaRef ds:uri="0ee416b5-70ba-430b-a05e-82870c320f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Modelling Architecture</vt:lpstr>
      <vt:lpstr>Arablight OSP</vt:lpstr>
      <vt:lpstr>Arabmedlight</vt:lpstr>
      <vt:lpstr>OSP Med-Light spread</vt:lpstr>
      <vt:lpstr>Qatar Marine FOB</vt:lpstr>
      <vt:lpstr>Runs - Platts</vt:lpstr>
      <vt:lpstr>Exports MoE</vt:lpstr>
      <vt:lpstr>Dubai-alight asia mgn</vt:lpstr>
      <vt:lpstr>HCU_BVU_HSFO - FO CRACK</vt:lpstr>
      <vt:lpstr>Arabxltlight</vt:lpstr>
      <vt:lpstr>Arabxltlight_2</vt:lpstr>
      <vt:lpstr>ArabXlt-LT diff</vt:lpstr>
      <vt:lpstr>Murban diff Dubai</vt:lpstr>
      <vt:lpstr>Naphtha crack Dubai</vt:lpstr>
      <vt:lpstr>Arabhvylight</vt:lpstr>
      <vt:lpstr>OSP Hvy-light spread</vt:lpstr>
      <vt:lpstr>Arabhvy v med sour X</vt:lpstr>
      <vt:lpstr>Basrah Medium v OSP</vt:lpstr>
      <vt:lpstr>URALS</vt:lpstr>
      <vt:lpstr>Notes</vt:lpstr>
    </vt:vector>
  </TitlesOfParts>
  <Company>KAPSARC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Valdivieso</dc:creator>
  <cp:lastModifiedBy>Patricio Valdivieso</cp:lastModifiedBy>
  <dcterms:created xsi:type="dcterms:W3CDTF">2026-01-20T13:26:30Z</dcterms:created>
  <dcterms:modified xsi:type="dcterms:W3CDTF">2026-02-11T13:23:04Z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4983198-45e9-4323-a8a6-e384a20365d1_Enabled">
    <vt:lpwstr>true</vt:lpwstr>
  </property>
  <property fmtid="{D5CDD505-2E9C-101B-9397-08002B2CF9AE}" pid="3" name="MSIP_Label_c4983198-45e9-4323-a8a6-e384a20365d1_SetDate">
    <vt:lpwstr>2026-01-20T13:41:28Z</vt:lpwstr>
  </property>
  <property fmtid="{D5CDD505-2E9C-101B-9397-08002B2CF9AE}" pid="4" name="MSIP_Label_c4983198-45e9-4323-a8a6-e384a20365d1_Method">
    <vt:lpwstr>Privileged</vt:lpwstr>
  </property>
  <property fmtid="{D5CDD505-2E9C-101B-9397-08002B2CF9AE}" pid="5" name="MSIP_Label_c4983198-45e9-4323-a8a6-e384a20365d1_Name">
    <vt:lpwstr>Internal</vt:lpwstr>
  </property>
  <property fmtid="{D5CDD505-2E9C-101B-9397-08002B2CF9AE}" pid="6" name="MSIP_Label_c4983198-45e9-4323-a8a6-e384a20365d1_SiteId">
    <vt:lpwstr>9d1eab37-c590-430b-ba29-48eeaea0eee2</vt:lpwstr>
  </property>
  <property fmtid="{D5CDD505-2E9C-101B-9397-08002B2CF9AE}" pid="7" name="MSIP_Label_c4983198-45e9-4323-a8a6-e384a20365d1_ActionId">
    <vt:lpwstr>83dccb5d-aa2f-41d6-a91a-f8fbe0476258</vt:lpwstr>
  </property>
  <property fmtid="{D5CDD505-2E9C-101B-9397-08002B2CF9AE}" pid="8" name="MSIP_Label_c4983198-45e9-4323-a8a6-e384a20365d1_ContentBits">
    <vt:lpwstr>2</vt:lpwstr>
  </property>
  <property fmtid="{D5CDD505-2E9C-101B-9397-08002B2CF9AE}" pid="9" name="MSIP_Label_c4983198-45e9-4323-a8a6-e384a20365d1_Tag">
    <vt:lpwstr>10, 0, 1, 1</vt:lpwstr>
  </property>
  <property fmtid="{D5CDD505-2E9C-101B-9397-08002B2CF9AE}" pid="10" name="ContentTypeId">
    <vt:lpwstr>0x0101007120D4A1A951844483259986DA62C6F2</vt:lpwstr>
  </property>
  <property fmtid="{D5CDD505-2E9C-101B-9397-08002B2CF9AE}" pid="11" name="MediaServiceImageTags">
    <vt:lpwstr/>
  </property>
</Properties>
</file>